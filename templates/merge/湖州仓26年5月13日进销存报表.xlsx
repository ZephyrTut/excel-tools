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8615" tabRatio="443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  <sheet name="售后配件" sheetId="8" state="hidden" r:id="rId8"/>
    <sheet name="预警" sheetId="15" state="hidden" r:id="rId9"/>
    <sheet name="Sheet1" sheetId="17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xlnm._FilterDatabase" localSheetId="0" hidden="1">日报!$A$3:$CD$106</definedName>
    <definedName name="_xlnm._FilterDatabase" localSheetId="1" hidden="1">合格品入货记录!$A$1:$CTV$361</definedName>
    <definedName name="_xlnm._FilterDatabase" localSheetId="2" hidden="1">合格品出库记录!$A$1:$CTV$803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<sst xmlns="http://schemas.openxmlformats.org/spreadsheetml/2006/main" count="10149" uniqueCount="624">
  <si>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</si>
  <si>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</si>
  <si>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</si>
  <si>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</si>
  <si>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</si>
  <si>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</si>
  <si>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</si>
  <si>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</si>
  <si>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</si>
  <si>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</si>
  <si>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</si>
  <si>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</si>
  <si>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</si>
  <si>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</si>
  <si>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</si>
  <si>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</si>
  <si>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</si>
  <si>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</si>
  <si>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</si>
  <si>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</si>
  <si>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</si>
  <si>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</si>
  <si>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6ABE</t>
  </si>
  <si>
    <t>力高新能源技术股份有限公司</t>
  </si>
  <si>
    <t>F5000000156</t>
  </si>
  <si>
    <t>3.1.01.30.00344</t>
  </si>
  <si>
    <t>LX-SHUNT010-AA_V100_STLA_HY_三防漆双面933_001</t>
  </si>
  <si>
    <t>料盒</t>
  </si>
  <si>
    <t/>
  </si>
  <si>
    <t>F5000000022</t>
  </si>
  <si>
    <t>3.1.01.30.00399</t>
  </si>
  <si>
    <t>LP_SHUNT010-AA_A12EV_V1_三防漆双面925_007</t>
  </si>
  <si>
    <t>F5000000013</t>
  </si>
  <si>
    <t>3.1.01.30.00341</t>
  </si>
  <si>
    <t>LP-BSU053-AA_V100_TI_32A2_BTW三防漆双面922_0截</t>
  </si>
  <si>
    <t>F5000000014</t>
  </si>
  <si>
    <t>3.1.01.30.00342</t>
  </si>
  <si>
    <t>LP-BSU054-AA_V100_TI_32B1_BTW三防漆双面923_0截</t>
  </si>
  <si>
    <t>F5000000016</t>
  </si>
  <si>
    <t>3.1.01.30.00347</t>
  </si>
  <si>
    <t>LP-BSU050-AA_V100_TI_32B2_HW_三防漆双面911_0截</t>
  </si>
  <si>
    <t>F5000000282</t>
  </si>
  <si>
    <t>3.1.01.30.00401</t>
  </si>
  <si>
    <t>LP-BSU051-AA_V100_TI_31A三防漆双面916_019</t>
  </si>
  <si>
    <t>F5000000203</t>
  </si>
  <si>
    <t>3.1.01.30.00448</t>
  </si>
  <si>
    <t>LP-BSU050-AA_V100_TI_32B_SS三防漆双面911_057</t>
  </si>
  <si>
    <t>F5000000207</t>
  </si>
  <si>
    <t>3.1.01.30.00449</t>
  </si>
  <si>
    <t>LP-BSU051-AA_V100_TI_32A_SS三防漆双面916_019</t>
  </si>
  <si>
    <t>F5000000015</t>
  </si>
  <si>
    <t>3.1.01.30.00346</t>
  </si>
  <si>
    <t>LP-BSU051-AA_V100_TI_32A1_HW_三防漆双面916_019</t>
  </si>
  <si>
    <t>F5000000355</t>
  </si>
  <si>
    <t>3.1.04.30.00019</t>
  </si>
  <si>
    <t>LXA12EV10-BSU总成-01</t>
  </si>
  <si>
    <t>F5000000356</t>
  </si>
  <si>
    <t>3.1.04.30.00020</t>
  </si>
  <si>
    <t>LXA12EV10-BSU总成-02</t>
  </si>
  <si>
    <t>F5000000328</t>
  </si>
  <si>
    <t>3.1.01.20.00433</t>
  </si>
  <si>
    <t>LS-MCUP006-AA-V1.10三防漆双面904.158</t>
  </si>
  <si>
    <t>F50000000507</t>
  </si>
  <si>
    <t>3.1.03.20.00108</t>
  </si>
  <si>
    <t>IGBT组件（A平台国内版NON-FUSA一体板结构PCBA）</t>
  </si>
  <si>
    <t>F50000000503</t>
  </si>
  <si>
    <t>3.1.01.20.00491</t>
  </si>
  <si>
    <t>LS-CCUB001-AC-V1.02 三防漆双面 926_018</t>
  </si>
  <si>
    <t>F5000000352</t>
  </si>
  <si>
    <t>3.1.01.20.00458</t>
  </si>
  <si>
    <t>LS-CCMM024-AA-V1.01_三防漆双面 930_006</t>
  </si>
  <si>
    <t>F50000000500</t>
  </si>
  <si>
    <t>3.1.01.20.00488</t>
  </si>
  <si>
    <t>LS-CCUC001-AA-CM1-V1.03 三防漆双面 930_010</t>
  </si>
  <si>
    <t>F50000000523</t>
  </si>
  <si>
    <t>3.1.01.20.00501</t>
  </si>
  <si>
    <t>LS-CCUM001-AA-V1.05 三防漆双面 908_065</t>
  </si>
  <si>
    <t>F50000000522</t>
  </si>
  <si>
    <t>3.1.01.20.00493</t>
  </si>
  <si>
    <t>LS-CCUG001-AA-V1.03 三防漆单面 926_014</t>
  </si>
  <si>
    <t>F50000000504</t>
  </si>
  <si>
    <t>3.1.01.20.00452</t>
  </si>
  <si>
    <t>LS-CCUG001-AB-V1.02 三防漆单面 924_028</t>
  </si>
  <si>
    <t>F50000000499</t>
  </si>
  <si>
    <t>3.1.01.20.00487</t>
  </si>
  <si>
    <t>LS-CCUG001-AB-V1.02 三防漆单面 924_029</t>
  </si>
  <si>
    <t>F50000000501</t>
  </si>
  <si>
    <t>3.1.01.20.00489</t>
  </si>
  <si>
    <t>LS-CCUC001-AA-DM2-V1.03 三防漆双面 930_010</t>
  </si>
  <si>
    <t>F50000000497</t>
  </si>
  <si>
    <t>3.1.01.20.00486</t>
  </si>
  <si>
    <t>LS-CCUB001-AA-DM2-V1.03 三防漆单面 931_007</t>
  </si>
  <si>
    <t>F50000000498</t>
  </si>
  <si>
    <t>3.1.01.20.00485</t>
  </si>
  <si>
    <t>LS-CCUB001-AB-V1.04 三防漆双面 904_219</t>
  </si>
  <si>
    <t>F50000000751</t>
  </si>
  <si>
    <t>3.1.01.20.00536</t>
  </si>
  <si>
    <t>LS-MCUM027-CA-V1.20 三防漆双面 908_068（B平台高压中</t>
  </si>
  <si>
    <t>F50000000427</t>
  </si>
  <si>
    <t>3.1.01.20.00459</t>
  </si>
  <si>
    <t>LS-MCUM026-AA-V1.10_后驱_三防漆双面_926_009（中车版</t>
  </si>
  <si>
    <t>F50000000420</t>
  </si>
  <si>
    <t>3.1.01.20.00368</t>
  </si>
  <si>
    <t>LS-MCUM018-BA-V1.21_前驱_三防漆双面_924_017（中车截</t>
  </si>
  <si>
    <t>F50000000359</t>
  </si>
  <si>
    <t>3.1.01.20.00399</t>
  </si>
  <si>
    <t>LS-MCUM017-BB-V2.30 三防漆双面 926_008（A平台海外截</t>
  </si>
  <si>
    <t>F50000000432</t>
  </si>
  <si>
    <t>3.1.01.20.00403</t>
  </si>
  <si>
    <t>LS-MCUM112-CL-V2.30 三防漆双面 926_008（B平台士兰截</t>
  </si>
  <si>
    <t>F50000000792</t>
  </si>
  <si>
    <t>3.1.01.20.00566</t>
  </si>
  <si>
    <t>LS-CCUM001-AA-V1.06 三防漆双面 908_067</t>
  </si>
  <si>
    <t>F50000000793</t>
  </si>
  <si>
    <t>3.1.01.20.00580</t>
  </si>
  <si>
    <t>F50000000674</t>
  </si>
  <si>
    <t>3.1.04.30.00036</t>
  </si>
  <si>
    <t>LXT05EV20-BSU总成-03</t>
  </si>
  <si>
    <t>F50000000675</t>
  </si>
  <si>
    <t>3.1.04.30.00037</t>
  </si>
  <si>
    <t>LXT05EV20-BSU总成-04</t>
  </si>
  <si>
    <t>F50000000814</t>
  </si>
  <si>
    <t>3.1.01.20.00550</t>
  </si>
  <si>
    <t>LS-MCUM027-CB-V2.00 三防漆双面 926_024（B平台高压纳芯微版本）</t>
  </si>
  <si>
    <t>F50000000575</t>
  </si>
  <si>
    <t>3.1.01.30.00546</t>
  </si>
  <si>
    <t>LP-BSU051-AA_V100_TI_32A1-SISO_HW_三防漆双面截</t>
  </si>
  <si>
    <t>纸箱</t>
  </si>
  <si>
    <t>F50000000576</t>
  </si>
  <si>
    <t>3.1.01.30.00547</t>
  </si>
  <si>
    <t>LP-BSU050-AA_V100_TI_32B2-SISO-HW_三防漆双面截</t>
  </si>
  <si>
    <t>F50000000606</t>
  </si>
  <si>
    <t>3.1.01.30.00337</t>
  </si>
  <si>
    <t>LP-UAV010-AA-12S_HSD_OZ3717D_V1.20三防漆双截</t>
  </si>
  <si>
    <t>F50000000715</t>
  </si>
  <si>
    <t>3.1.01.20.00477</t>
  </si>
  <si>
    <t>LS-CCMM026-AA-V1.00_三防漆双面908_063（瞻芯3代版本）</t>
  </si>
  <si>
    <t>F50000000855</t>
  </si>
  <si>
    <t>3.1.01.30.00606</t>
  </si>
  <si>
    <t>LP-BSU057-AA_V100_TI_29S-TE_三防漆双面919_081</t>
  </si>
  <si>
    <t>F50000000750</t>
  </si>
  <si>
    <t>3.1.01.20.00537</t>
  </si>
  <si>
    <t>LS-MCUM027-CA-V1.20 三防漆双面 908_068（B平台高压士兰版本)</t>
  </si>
  <si>
    <t>F50000000537</t>
  </si>
  <si>
    <t>3.1.01.30.00607</t>
  </si>
  <si>
    <t>LP-BSU070-AA_T1616_A_24S_V1_凡申40_三防漆双面9截</t>
  </si>
  <si>
    <t>F50000000538</t>
  </si>
  <si>
    <t>3.1.01.30.00608</t>
  </si>
  <si>
    <t>LP-BSU070-AA_T1616_46S_V1_凡申40_三防漆双面925截</t>
  </si>
  <si>
    <t>1AZ</t>
  </si>
  <si>
    <t>芜湖博康机电股份有限公司</t>
  </si>
  <si>
    <t>3.2.50.30.00806-000</t>
  </si>
  <si>
    <t>A12-高压支路连接线束-500</t>
  </si>
  <si>
    <t>3.2.50.30.00927-000</t>
  </si>
  <si>
    <t>A12-外部通讯连接线束</t>
  </si>
  <si>
    <t>3.2.50.30.01736-000</t>
  </si>
  <si>
    <t>A12EV10-预充电阻连接线束</t>
  </si>
  <si>
    <t>3.2.50.30.00808-000</t>
  </si>
  <si>
    <t>A12-预充电阻连接线束1</t>
  </si>
  <si>
    <t>3.2.50.30.00842-000</t>
  </si>
  <si>
    <t>A12-菊花链线束</t>
  </si>
  <si>
    <t>3.2.50.30.02116-000</t>
  </si>
  <si>
    <t>A12EV10-通讯-水温-互锁集成线束-500</t>
  </si>
  <si>
    <t>3.2.50.30.02118-000</t>
  </si>
  <si>
    <t>A12EV10-BDU-采样集成线束</t>
  </si>
  <si>
    <t>3.2.50.30.00596-000</t>
  </si>
  <si>
    <t>CTC_高压插座线束</t>
  </si>
  <si>
    <t>3.2.50.30.01656-000</t>
  </si>
  <si>
    <t>LXC11EV1A-水温-互锁集成线束</t>
  </si>
  <si>
    <t>3.2.50.30.01657-000</t>
  </si>
  <si>
    <t>LXC11EV1A-高压支路线束</t>
  </si>
  <si>
    <t>3.2.50.30.01661-000</t>
  </si>
  <si>
    <t>LXC11EV1A-BDU内部线束</t>
  </si>
  <si>
    <t>3.2.50.30.01625-000</t>
  </si>
  <si>
    <t>LXC11EV1A-快充高压插座线束</t>
  </si>
  <si>
    <t>3.2.50.30.01626-000</t>
  </si>
  <si>
    <t>LXC11EV1A-电机口高压插座线束</t>
  </si>
  <si>
    <t>3.1.02.30.00776</t>
  </si>
  <si>
    <t>LX00148-CCS总成</t>
  </si>
  <si>
    <t>3.2.50.30.01786-000</t>
  </si>
  <si>
    <t>A03HW67.1-通讯集成线束</t>
  </si>
  <si>
    <t>3.2.50.30.01787-000</t>
  </si>
  <si>
    <t>A03HW67.1-采样集成线束</t>
  </si>
  <si>
    <t>3.2.50.30.01784-000</t>
  </si>
  <si>
    <t>A03HW56.2-通讯集成线束</t>
  </si>
  <si>
    <t>3.2.50.30.01785-000</t>
  </si>
  <si>
    <t>A03HW56.2-采样集成线束</t>
  </si>
  <si>
    <t>3.2.50.30.01886-000</t>
  </si>
  <si>
    <t>LXCU13E01-分流器线束</t>
  </si>
  <si>
    <t>3.2.50.30.02283-000</t>
  </si>
  <si>
    <t>LXBU1101-BDU集成线束-60.8</t>
  </si>
  <si>
    <t>3.2.50.30.02282-000</t>
  </si>
  <si>
    <t>LXBU1101-通讯集成线束-60.8</t>
  </si>
  <si>
    <t>3.2.50.30.01757-000</t>
  </si>
  <si>
    <t>线束总成</t>
  </si>
  <si>
    <t>3.2.50.30.01758-000</t>
  </si>
  <si>
    <t>3.2.50.30.01532-000</t>
  </si>
  <si>
    <t>3.2.50.30.02391-000</t>
  </si>
  <si>
    <t>3.2.50.30.02392-000</t>
  </si>
  <si>
    <t>3.2.50.30.02364-000</t>
  </si>
  <si>
    <t>3.2.50.30.02365-000</t>
  </si>
  <si>
    <t>3.2.50.30.02366-000</t>
  </si>
  <si>
    <t>3.2.50.30.02363-000</t>
  </si>
  <si>
    <t>6ABI</t>
  </si>
  <si>
    <t>南京熊猫电子制造有限公司</t>
  </si>
  <si>
    <t>3.1.01.20.00336</t>
  </si>
  <si>
    <t>压缩机34CC</t>
  </si>
  <si>
    <t>3.1.01.20.00337</t>
  </si>
  <si>
    <t>压缩机40CC</t>
  </si>
  <si>
    <t>1DH</t>
  </si>
  <si>
    <t>宁波碧海精工有限公司</t>
  </si>
  <si>
    <t>3.2.44.30.02154-000</t>
  </si>
  <si>
    <t>02154端板</t>
  </si>
  <si>
    <t>2CQ</t>
  </si>
  <si>
    <t>宁波隆源股份有限公司</t>
  </si>
  <si>
    <t>LSD06AM1</t>
  </si>
  <si>
    <t>3.2.44.20.01636-000</t>
  </si>
  <si>
    <t>D06电源壳体</t>
  </si>
  <si>
    <t>围板箱</t>
  </si>
  <si>
    <t>LS180DM2</t>
  </si>
  <si>
    <t>3.2.44.20.01461-000</t>
  </si>
  <si>
    <t>DM2上箱体</t>
  </si>
  <si>
    <t>3.2.44.20.01460-000</t>
  </si>
  <si>
    <t>DM2下箱体</t>
  </si>
  <si>
    <t>3.2.44.20.01462-000</t>
  </si>
  <si>
    <t>DM1箱体</t>
  </si>
  <si>
    <t>3.2.44.20.01981-000</t>
  </si>
  <si>
    <t>控制器箱体</t>
  </si>
  <si>
    <t>2FZ</t>
  </si>
  <si>
    <t>索恩格汽车电动系统有限公司</t>
  </si>
  <si>
    <t>3.1.02.20.00554</t>
  </si>
  <si>
    <t>定子成品组件</t>
  </si>
  <si>
    <t>3.1.02.20.00611</t>
  </si>
  <si>
    <t>电机转子部件</t>
  </si>
  <si>
    <t>3.1.02.20.00407</t>
  </si>
  <si>
    <t>3.1.02.20.00233</t>
  </si>
  <si>
    <t>3.1.02.20.00551</t>
  </si>
  <si>
    <t>3.1.02.20.00612</t>
  </si>
  <si>
    <t>6EM</t>
  </si>
  <si>
    <t>立讯精密工业(盐城)有限公司</t>
  </si>
  <si>
    <t>L278S3017-AM-R</t>
  </si>
  <si>
    <t>3.2.50.20.00386-000</t>
  </si>
  <si>
    <t>国内MCU线束总成</t>
  </si>
  <si>
    <t>塑料箱</t>
  </si>
  <si>
    <t>L278S3020-AM-R</t>
  </si>
  <si>
    <t>3.2.50.20.00385-000</t>
  </si>
  <si>
    <t>海外MCU线束总成</t>
  </si>
  <si>
    <t>2GQ</t>
  </si>
  <si>
    <t>浙江富特科技股份有限公司</t>
  </si>
  <si>
    <t>3.1.03.20.00045-A03</t>
  </si>
  <si>
    <t>A平台车载电源二合一</t>
  </si>
  <si>
    <t>3.1.03.20.00073</t>
  </si>
  <si>
    <t>车载电源二合一</t>
  </si>
  <si>
    <t>3.1.03.20.00143</t>
  </si>
  <si>
    <t>800V车载二合一电源总成</t>
  </si>
  <si>
    <t>7AAI</t>
  </si>
  <si>
    <t>深圳市和盛行新型材料有限公司</t>
  </si>
  <si>
    <t>3.2.99.01.00220-000</t>
  </si>
  <si>
    <t>PC HL6157</t>
  </si>
  <si>
    <t>25/KG</t>
  </si>
  <si>
    <t>吨袋</t>
  </si>
  <si>
    <t>3.2.99.01.00221-000</t>
  </si>
  <si>
    <t>PCAK1225BK</t>
  </si>
  <si>
    <t>2AAV</t>
  </si>
  <si>
    <t>格林精密部件(苏州)有限公司</t>
  </si>
  <si>
    <t>3.2.44.20.01142-000</t>
  </si>
  <si>
    <t>电机轴180CM1</t>
  </si>
  <si>
    <t>6ABA</t>
  </si>
  <si>
    <t>东莞市汇创新能电子科技有限公司</t>
  </si>
  <si>
    <t>3.1.02.30.00934</t>
  </si>
  <si>
    <t>LXA12EV10-CCS-A</t>
  </si>
  <si>
    <t>3.1.02.30.00935</t>
  </si>
  <si>
    <t>LXA12EV10-CCS-B</t>
  </si>
  <si>
    <t>3.2.44.30.01769-000</t>
  </si>
  <si>
    <t>LXA12EV10-模组跨接铝排-1</t>
  </si>
  <si>
    <t>3.2.44.30.01770-000</t>
  </si>
  <si>
    <t>LXA12EV10-模组跨接铝排-2</t>
  </si>
  <si>
    <t>2CY</t>
  </si>
  <si>
    <t>聊城市德通交通器材制造有限公司</t>
  </si>
  <si>
    <t>3.2.53.05.00022-000</t>
  </si>
  <si>
    <t>油冷器</t>
  </si>
  <si>
    <t>2FM</t>
  </si>
  <si>
    <t>东实精工齿轮（武汉）有限公司</t>
  </si>
  <si>
    <t>3.1.02.20.00605</t>
  </si>
  <si>
    <t>T05差速器总成</t>
  </si>
  <si>
    <t>3.1.02.20.00844</t>
  </si>
  <si>
    <t>差速器总成</t>
  </si>
  <si>
    <t>2CM</t>
  </si>
  <si>
    <t>天津天海精密锻造股份有限公司</t>
  </si>
  <si>
    <t>电机轴</t>
  </si>
  <si>
    <t>2AAW</t>
  </si>
  <si>
    <t>科普费尔（常州）传动技术有限公司</t>
  </si>
  <si>
    <t>3.2.47.02.00073-000</t>
  </si>
  <si>
    <t>输入轴</t>
  </si>
  <si>
    <t>3.2.47.02.00076-000</t>
  </si>
  <si>
    <t>差速器大齿轮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</si>
  <si>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</si>
  <si>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</si>
  <si>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</si>
  <si>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</si>
  <si>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</si>
  <si>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</si>
  <si>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</si>
  <si>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</si>
  <si>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</si>
  <si>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L1-K350-2604001519</t>
  </si>
  <si>
    <t>昌 玉</t>
  </si>
  <si>
    <t>L1-K350-2604001562</t>
  </si>
  <si>
    <t>L1-K350-2604001560</t>
  </si>
  <si>
    <t>L1-K350-2604001551</t>
  </si>
  <si>
    <t>L1-K350-2604001518</t>
  </si>
  <si>
    <t>L1-K350-2604001558</t>
  </si>
  <si>
    <t>L1-K350-2604001521</t>
  </si>
  <si>
    <t>L1-K350-2604001600</t>
  </si>
  <si>
    <t>L1-K350-2604001609</t>
  </si>
  <si>
    <t>L1-K350-2604001613</t>
  </si>
  <si>
    <t>L1-K350-2605000032</t>
  </si>
  <si>
    <t>L1-K350-2605000049</t>
  </si>
  <si>
    <t>L1-K350-2605000048</t>
  </si>
  <si>
    <t>L1-K350-2605000040</t>
  </si>
  <si>
    <t>L1-K350-2605000037</t>
  </si>
  <si>
    <t>L1-K350-2605000038</t>
  </si>
  <si>
    <t>L1-K350-2605000002</t>
  </si>
  <si>
    <t>L1-K350-2605000012</t>
  </si>
  <si>
    <t>L1-K350-2605000013</t>
  </si>
  <si>
    <t>L1-K350-2605000044</t>
  </si>
  <si>
    <t>L1-K350-2605000021</t>
  </si>
  <si>
    <t>L1-K350-2604001601</t>
  </si>
  <si>
    <t>L1-K350-2604001615</t>
  </si>
  <si>
    <t>L1-K350-2605000001</t>
  </si>
  <si>
    <t>L1-K350-2604001607</t>
  </si>
  <si>
    <t>L1-K350-2605000023</t>
  </si>
  <si>
    <t>L1-K350-2605000010</t>
  </si>
  <si>
    <t>L1-K350-2605000009</t>
  </si>
  <si>
    <t>L1-K350-2604001605</t>
  </si>
  <si>
    <t>L1-K350-2604001511</t>
  </si>
  <si>
    <t>L1-K350-2604001524</t>
  </si>
  <si>
    <t>L1-K350-2604001515</t>
  </si>
  <si>
    <t>L1-K350-2604001545</t>
  </si>
  <si>
    <t>L1-K350-2604001514</t>
  </si>
  <si>
    <t>L1-K350-2604001527</t>
  </si>
  <si>
    <t>L1-K350-2604001523</t>
  </si>
  <si>
    <t>L1-K350-2604001517</t>
  </si>
  <si>
    <t>L1-K350-2604001520</t>
  </si>
  <si>
    <t>L1-K350-2604001529</t>
  </si>
  <si>
    <t>L1-K350-2604001526</t>
  </si>
  <si>
    <t>L1-K350-2604001550</t>
  </si>
  <si>
    <t>L1-K350-2604001552</t>
  </si>
  <si>
    <t>L1-K350-2604001530</t>
  </si>
  <si>
    <t>L1-K350-2605000067</t>
  </si>
  <si>
    <t>L1-K350-2605000043</t>
  </si>
  <si>
    <t>L1-K350-2605000085</t>
  </si>
  <si>
    <t>L1-K350-2605000079</t>
  </si>
  <si>
    <t>0000081398</t>
  </si>
  <si>
    <t>202604280044</t>
  </si>
  <si>
    <t xml:space="preserve">天津天海精密锻造股份有限公司    </t>
  </si>
  <si>
    <t>L1-K350-2605000092</t>
  </si>
  <si>
    <t>L1-K350-2605000091</t>
  </si>
  <si>
    <t>L1-K350-2605000131</t>
  </si>
  <si>
    <t>L1-K350-2605000099</t>
  </si>
  <si>
    <t>L1-K350-2605000081</t>
  </si>
  <si>
    <t>L1-K350-2605000133</t>
  </si>
  <si>
    <t>L1-K350-2605000130</t>
  </si>
  <si>
    <t>L1-K350-2605000118</t>
  </si>
  <si>
    <t>L1-K350-2605000088</t>
  </si>
  <si>
    <t>L1-K350-2605000142</t>
  </si>
  <si>
    <t>L1-K350-2605000155</t>
  </si>
  <si>
    <t>L1-K350-2605000157</t>
  </si>
  <si>
    <t>L1-K350-2605000180</t>
  </si>
  <si>
    <t>L1-K350-2605000169</t>
  </si>
  <si>
    <t>L1-K350-2605000267</t>
  </si>
  <si>
    <t>L1-K350-2605000259</t>
  </si>
  <si>
    <t>L1-K350-2605000246</t>
  </si>
  <si>
    <t>L1-K350-2605000260</t>
  </si>
  <si>
    <t>L1-K350-2605000236</t>
  </si>
  <si>
    <t>L1-K350-2605000239</t>
  </si>
  <si>
    <t>L1-K350-2605000237</t>
  </si>
  <si>
    <t>L1-K350-2605000183</t>
  </si>
  <si>
    <t>L1-K350-2605000197</t>
  </si>
  <si>
    <t>L1-K350-2605000190</t>
  </si>
  <si>
    <t>L1-K350-2605000187</t>
  </si>
  <si>
    <t>L1-K350-2605000214</t>
  </si>
  <si>
    <t>L1-K350-2605000191</t>
  </si>
  <si>
    <t>L1-K350-2605000229</t>
  </si>
  <si>
    <t>L1-K350-2605000196</t>
  </si>
  <si>
    <t>L1-K350-2605000213</t>
  </si>
  <si>
    <t>L1-K350-2605000192</t>
  </si>
  <si>
    <t>L1-K350-2605000230</t>
  </si>
  <si>
    <t>L1-K350-2605000188</t>
  </si>
  <si>
    <t>L1-K350-2605000217</t>
  </si>
  <si>
    <t>L1-K350-2605000194</t>
  </si>
  <si>
    <t>L1-K350-2605000224</t>
  </si>
  <si>
    <t>L1-K350-2605000220</t>
  </si>
  <si>
    <t>L1-K350-2605000193</t>
  </si>
  <si>
    <t>0000081422</t>
  </si>
  <si>
    <t>100SM2604280005</t>
  </si>
  <si>
    <t>100SM2605020001</t>
  </si>
  <si>
    <t>202604290057</t>
  </si>
  <si>
    <t>L1-K350-2605000309</t>
  </si>
  <si>
    <t>L1-K350-2605000280</t>
  </si>
  <si>
    <t>L1-K350-2605000281</t>
  </si>
  <si>
    <t>L1-K350-2605000288</t>
  </si>
  <si>
    <t>L1-K350-2605000275</t>
  </si>
  <si>
    <t>L1-K350-2605000316</t>
  </si>
  <si>
    <t>L1-K350-2605000278</t>
  </si>
  <si>
    <t>L1-K350-2605000279</t>
  </si>
  <si>
    <t>L1-K350-2605000277</t>
  </si>
  <si>
    <t>L1-K350-2605000287</t>
  </si>
  <si>
    <t>L1-K350-2605000310</t>
  </si>
  <si>
    <t>L1-K350-2605000317</t>
  </si>
  <si>
    <t>L1-K350-2605000307</t>
  </si>
  <si>
    <t>L1-K350-2605000303</t>
  </si>
  <si>
    <t>L1-K350-2605000285</t>
  </si>
  <si>
    <t>L1-K350-2605000282</t>
  </si>
  <si>
    <t>L1-K350-2605000291</t>
  </si>
  <si>
    <t>L1-K350-2605000290</t>
  </si>
  <si>
    <t>L1-K350-2605000334</t>
  </si>
  <si>
    <t>L1-K350-2605000324</t>
  </si>
  <si>
    <t>L1-K350-2605000274</t>
  </si>
  <si>
    <t>L1-K350-2605000335</t>
  </si>
  <si>
    <t>L1-K350-2605000332</t>
  </si>
  <si>
    <t>S260504001</t>
  </si>
  <si>
    <t>0000081457</t>
  </si>
  <si>
    <t>WYC-20260505-001</t>
  </si>
  <si>
    <t>L1-K350-2605000416</t>
  </si>
  <si>
    <t>L1-K350-2605000400</t>
  </si>
  <si>
    <t>L1-K350-2605000401</t>
  </si>
  <si>
    <t>L1-K350-2605000399</t>
  </si>
  <si>
    <t>L1-K350-2605000395</t>
  </si>
  <si>
    <t>L1-K350-2605000390</t>
  </si>
  <si>
    <t>L1-K350-2605000369</t>
  </si>
  <si>
    <t>L1-K350-2605000379</t>
  </si>
  <si>
    <t>L1-K350-2605000371</t>
  </si>
  <si>
    <t>L1-K350-2605000378</t>
  </si>
  <si>
    <t>L1-K350-2605000376</t>
  </si>
  <si>
    <t>L1-K350-2605000372</t>
  </si>
  <si>
    <t>L1-K350-2605000375</t>
  </si>
  <si>
    <t>L1-K350-2605000454</t>
  </si>
  <si>
    <t>L1-K350-2605000410</t>
  </si>
  <si>
    <t>L1-K350-2605000430</t>
  </si>
  <si>
    <t>L1-K350-2605000428</t>
  </si>
  <si>
    <t>L1-K350-2605000450</t>
  </si>
  <si>
    <t>L1-K350-2605000449</t>
  </si>
  <si>
    <t>0000081491</t>
  </si>
  <si>
    <t>LX20260505-01</t>
  </si>
  <si>
    <t>100SM2605040005</t>
  </si>
  <si>
    <t>202605040030</t>
  </si>
  <si>
    <t>2026/5//2</t>
  </si>
  <si>
    <t>2026/5//5</t>
  </si>
  <si>
    <t>2026/5//6</t>
  </si>
  <si>
    <t>L1-K350-2605000537</t>
  </si>
  <si>
    <t>L1-K350-2605000538</t>
  </si>
  <si>
    <t>L1-K350-2605000471</t>
  </si>
  <si>
    <t>L1-K350-2605000470</t>
  </si>
  <si>
    <t>L1-K350-2605000469</t>
  </si>
  <si>
    <t>L1-K350-2605000503</t>
  </si>
  <si>
    <t>L1-K350-2605000506</t>
  </si>
  <si>
    <t>L1-K350-2605000464</t>
  </si>
  <si>
    <t>L1-K350-2605000460</t>
  </si>
  <si>
    <t>L1-K350-2605000462</t>
  </si>
  <si>
    <t>L1-K350-2605000473</t>
  </si>
  <si>
    <t>L1-K350-2605000461</t>
  </si>
  <si>
    <t>L1-K350-2605000502</t>
  </si>
  <si>
    <t>L1-K350-2605000527</t>
  </si>
  <si>
    <t>L1-K350-2605000522</t>
  </si>
  <si>
    <t>L1-K350-2605000521</t>
  </si>
  <si>
    <t>L1-K350-2605000523</t>
  </si>
  <si>
    <t>L1-K350-2605000544</t>
  </si>
  <si>
    <t>L1-K350-2605000548</t>
  </si>
  <si>
    <t>L1-K350-2605000563</t>
  </si>
  <si>
    <t>2026/5//7</t>
  </si>
  <si>
    <t>0000081546</t>
  </si>
  <si>
    <t>100SM2605060005</t>
  </si>
  <si>
    <t>L1-K350-2605000598</t>
  </si>
  <si>
    <t>L1-K350-2605000565</t>
  </si>
  <si>
    <t>L1-K350-2605000551</t>
  </si>
  <si>
    <t>L1-K350-2605000559</t>
  </si>
  <si>
    <t>L1-K350-2605000597</t>
  </si>
  <si>
    <t>L1-K350-2605000558</t>
  </si>
  <si>
    <t>L1-K350-2605000550</t>
  </si>
  <si>
    <t>L1-K350-2605000557</t>
  </si>
  <si>
    <t>L1-K350-2605000567</t>
  </si>
  <si>
    <t>L1-K350-2605000566</t>
  </si>
  <si>
    <t>L1-K350-2605000609</t>
  </si>
  <si>
    <t>L1-K350-2605000615</t>
  </si>
  <si>
    <t>L1-K350-2605000624</t>
  </si>
  <si>
    <t>L1-K350-2605000605</t>
  </si>
  <si>
    <t>L1-K350-2605000661</t>
  </si>
  <si>
    <t>L1-K350-2605000660</t>
  </si>
  <si>
    <t>2026/5//8</t>
  </si>
  <si>
    <t>S260507001</t>
  </si>
  <si>
    <t>0000081592</t>
  </si>
  <si>
    <t>202605050024</t>
  </si>
  <si>
    <t>202605060026</t>
  </si>
  <si>
    <t>L1-K350-2605000693</t>
  </si>
  <si>
    <t>L1-K350-2605000695</t>
  </si>
  <si>
    <t>L1-K350-2605000697</t>
  </si>
  <si>
    <t>L1-K350-2605000659</t>
  </si>
  <si>
    <t>L1-K350-2605000671</t>
  </si>
  <si>
    <t>L1-K350-2605000639</t>
  </si>
  <si>
    <t>L1-K350-2605000640</t>
  </si>
  <si>
    <t>L1-K350-2605000653</t>
  </si>
  <si>
    <t>L1-K350-2605000658</t>
  </si>
  <si>
    <t>L1-K350-2605000679</t>
  </si>
  <si>
    <t>L1-K350-2605000680</t>
  </si>
  <si>
    <t>L1-K350-2605000637</t>
  </si>
  <si>
    <t>L1-K350-2605000651</t>
  </si>
  <si>
    <t>L1-K350-2605000666</t>
  </si>
  <si>
    <t>L1-K350-2605000633</t>
  </si>
  <si>
    <t>L1-K350-2605000634</t>
  </si>
  <si>
    <t>L1-K350-2605000682</t>
  </si>
  <si>
    <t>L1-K350-2605000673</t>
  </si>
  <si>
    <t>L1-K350-2605000636</t>
  </si>
  <si>
    <t>L1-K350-2605000713</t>
  </si>
  <si>
    <t>L1-K350-2605000699</t>
  </si>
  <si>
    <t>L1-K350-2605000703</t>
  </si>
  <si>
    <t>L1-K350-2605000716</t>
  </si>
  <si>
    <t>L1-K350-2605000719</t>
  </si>
  <si>
    <t>L1-K350-2605000701</t>
  </si>
  <si>
    <t>0000081631</t>
  </si>
  <si>
    <t>0806853465</t>
  </si>
  <si>
    <t>202605080029</t>
  </si>
  <si>
    <t>L1-K350-2605000818</t>
  </si>
  <si>
    <t>L1-K350-2605000816</t>
  </si>
  <si>
    <t>L1-K350-2605000737</t>
  </si>
  <si>
    <t>L1-K350-2605000732</t>
  </si>
  <si>
    <t>L1-K350-2605000739</t>
  </si>
  <si>
    <t>L1-K350-2605000727</t>
  </si>
  <si>
    <t>L1-K350-2605000722</t>
  </si>
  <si>
    <t>L1-K350-2605000766</t>
  </si>
  <si>
    <t>L1-K350-2605000740</t>
  </si>
  <si>
    <t>L1-K350-2605000738</t>
  </si>
  <si>
    <t>L1-K350-2605000735</t>
  </si>
  <si>
    <t>0000023677样件</t>
  </si>
  <si>
    <t>0000081680</t>
  </si>
  <si>
    <t>100SM2605080006</t>
  </si>
  <si>
    <t>L1-K350-2605000882</t>
  </si>
  <si>
    <t>L1-K350-2605000881</t>
  </si>
  <si>
    <t>L1-K350-2605000823</t>
  </si>
  <si>
    <t>L1-K350-2605000813</t>
  </si>
  <si>
    <t>L1-K350-2605000807</t>
  </si>
  <si>
    <t>L1-K350-2605000848</t>
  </si>
  <si>
    <t>L1-K350-2605000811</t>
  </si>
  <si>
    <t>L1-K350-2605000852</t>
  </si>
  <si>
    <t>L1-K350-2605000800</t>
  </si>
  <si>
    <t>L1-K350-2605000798</t>
  </si>
  <si>
    <t>L1-K350-2605000810</t>
  </si>
  <si>
    <t>L1-K350-2605000806</t>
  </si>
  <si>
    <t>L1-K350-2605000814</t>
  </si>
  <si>
    <t>L1-K350-2605000853</t>
  </si>
  <si>
    <t>L1-K350-2605000809</t>
  </si>
  <si>
    <t>L1-K350-2605000812</t>
  </si>
  <si>
    <t>0000081689</t>
  </si>
  <si>
    <t>0806854201</t>
  </si>
  <si>
    <t>100SM2605090003</t>
  </si>
  <si>
    <t>202605090005</t>
  </si>
  <si>
    <t>L1-K350-2605000960</t>
  </si>
  <si>
    <t>L1-K350-2605000961</t>
  </si>
  <si>
    <t>L1-K350-2605000937</t>
  </si>
  <si>
    <t>L1-K350-2605000939</t>
  </si>
  <si>
    <t>L1-K350-2605000917</t>
  </si>
  <si>
    <t>L1-K350-2605000919</t>
  </si>
  <si>
    <t>L1-K350-2605000907</t>
  </si>
  <si>
    <t>L1-K350-2605000916</t>
  </si>
  <si>
    <t>L1-K350-2605000933</t>
  </si>
  <si>
    <t>L1-K350-2605000924</t>
  </si>
  <si>
    <t>L1-K350-2605000923</t>
  </si>
  <si>
    <t>L1-K350-2605000929</t>
  </si>
  <si>
    <t>L1-K350-2605000927</t>
  </si>
  <si>
    <t>L1-K350-2605000925</t>
  </si>
  <si>
    <t>L1-K350-2605000930</t>
  </si>
  <si>
    <t>0000081746</t>
  </si>
  <si>
    <t>LX20260512-01</t>
  </si>
  <si>
    <t>100SM2605110008</t>
  </si>
  <si>
    <t>202605110020</t>
  </si>
  <si>
    <t>发货日期</t>
  </si>
  <si>
    <t>装箱单号</t>
  </si>
  <si>
    <t>发货数量</t>
  </si>
  <si>
    <t>调拨武义</t>
  </si>
  <si>
    <t>HZC-2026005012-001
调拨杭州</t>
  </si>
  <si>
    <t>HZC-20260502-001</t>
  </si>
  <si>
    <t>零跑拒收退回</t>
  </si>
  <si>
    <t>A05/A10海外</t>
  </si>
  <si>
    <t>日期</t>
  </si>
  <si>
    <t>退货数量</t>
  </si>
  <si>
    <t>发货人</t>
  </si>
  <si>
    <t>单号</t>
  </si>
  <si>
    <t>备注2</t>
  </si>
  <si>
    <t>邓冰芯</t>
  </si>
  <si>
    <t>零跑退回不良品</t>
  </si>
  <si>
    <t>零件号/空盛具</t>
  </si>
  <si>
    <t>计划生产日期</t>
  </si>
  <si>
    <t>订单号</t>
  </si>
  <si>
    <t>物料</t>
  </si>
  <si>
    <t>物料名称</t>
  </si>
  <si>
    <t>指示数量</t>
  </si>
  <si>
    <t>实发</t>
  </si>
  <si>
    <t>签收日期</t>
  </si>
  <si>
    <t>发货SNP</t>
  </si>
  <si>
    <t>安徽晨阳</t>
  </si>
  <si>
    <t>供应商</t>
  </si>
  <si>
    <t>零件代码</t>
  </si>
  <si>
    <t>差异</t>
  </si>
  <si>
    <t>华通</t>
  </si>
  <si>
    <t>KK7B17C871AA</t>
  </si>
  <si>
    <t>CD539C MCA中支架总成</t>
  </si>
  <si>
    <t>KK7B17D995AA</t>
  </si>
  <si>
    <t>CD539C MCA刚度支架总成-左</t>
  </si>
  <si>
    <t>KK7B17D995BA</t>
  </si>
  <si>
    <t>CD539C MCA刚度支架总成-右</t>
  </si>
  <si>
    <t>翰氏</t>
  </si>
  <si>
    <t>KK7B17D948AB</t>
  </si>
  <si>
    <t>CD539C MCA尾灯支架总成-右</t>
  </si>
  <si>
    <t>KK7B17D949AB</t>
  </si>
  <si>
    <t>CD539C MCA尾灯支架总成-左</t>
  </si>
  <si>
    <t>KK7B17E850AB</t>
  </si>
  <si>
    <t>CD539C MCA侧围支架总成-右</t>
  </si>
  <si>
    <t>KK7B17E851AB</t>
  </si>
  <si>
    <t>CD539C MCA侧围支架总成-左</t>
  </si>
  <si>
    <t>塑源</t>
  </si>
  <si>
    <t>KK7B17D995VB</t>
  </si>
  <si>
    <t>CD539C MCA刚度支架总成-左-高配</t>
  </si>
  <si>
    <t>KK7B17D995XB</t>
  </si>
  <si>
    <t>CD539C MCA刚度支架总成-右-高配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</si>
</sst>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62"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Microsoft YaHei"/>
      <charset val="134"/>
    </font>
    <font>
      <sz val="14"/>
      <name val="微软雅黑"/>
      <charset val="134"/>
    </font>
    <font>
      <sz val="12"/>
      <name val="微软雅黑"/>
      <charset val="134"/>
    </font>
    <font>
      <b/>
      <sz val="10"/>
      <color rgb="FF000000"/>
      <name val="宋体"/>
      <charset val="134"/>
    </font>
    <font>
      <sz val="12"/>
      <name val="宋体"/>
      <charset val="134"/>
    </font>
    <font>
      <sz val="14"/>
      <color rgb="FF000000"/>
      <name val="黑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sz val="12"/>
      <name val="黑体"/>
      <charset val="134"/>
    </font>
    <font>
      <sz val="14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4"/>
      <color rgb="FF000000"/>
      <name val="宋体"/>
      <charset val="134"/>
      <scheme val="major"/>
    </font>
    <font>
      <sz val="14"/>
      <name val="宋体"/>
      <charset val="134"/>
      <scheme val="major"/>
    </font>
    <font>
      <b/>
      <sz val="14"/>
      <color rgb="FF000000"/>
      <name val="宋体"/>
      <charset val="134"/>
      <scheme val="major"/>
    </font>
    <font>
      <sz val="14"/>
      <color rgb="FF000000"/>
      <name val="宋体"/>
      <charset val="134"/>
    </font>
    <font>
      <b/>
      <sz val="12"/>
      <name val="黑体"/>
      <charset val="134"/>
    </font>
    <font>
      <b/>
      <sz val="12"/>
      <color rgb="FF000000"/>
      <name val="黑体"/>
      <charset val="134"/>
    </font>
    <font>
      <sz val="12"/>
      <color rgb="FF000000"/>
      <name val="微软雅黑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1"/>
      <color rgb="FF000000"/>
      <name val="黑体"/>
      <charset val="134"/>
    </font>
    <font>
      <sz val="14"/>
      <color theme="1"/>
      <name val="微软雅黑"/>
      <charset val="134"/>
    </font>
    <font>
      <sz val="14"/>
      <color theme="1"/>
      <name val="宋体"/>
      <charset val="134"/>
      <scheme val="major"/>
    </font>
    <font>
      <sz val="12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</fonts>
  <fills count="68">
    <fill>
      <patternFill patternType="none"/>
    </fill>
    <fill>
      <patternFill patternType="gray125"/>
    </fill>
    <fill>
      <patternFill patternType="solid">
        <fgColor rgb="FF93CD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4" borderId="7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5" borderId="10" applyNumberFormat="0" applyAlignment="0" applyProtection="0">
      <alignment vertical="center"/>
    </xf>
    <xf numFmtId="0" fontId="43" fillId="16" borderId="11" applyNumberFormat="0" applyAlignment="0" applyProtection="0">
      <alignment vertical="center"/>
    </xf>
    <xf numFmtId="0" fontId="44" fillId="16" borderId="10" applyNumberFormat="0" applyAlignment="0" applyProtection="0">
      <alignment vertical="center"/>
    </xf>
    <xf numFmtId="0" fontId="45" fillId="17" borderId="12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3" fillId="45" borderId="0" applyProtection="0">
      <alignment vertical="center"/>
    </xf>
    <xf numFmtId="0" fontId="53" fillId="46" borderId="0" applyProtection="0">
      <alignment vertical="center"/>
    </xf>
    <xf numFmtId="0" fontId="53" fillId="47" borderId="0" applyProtection="0">
      <alignment vertical="center"/>
    </xf>
    <xf numFmtId="0" fontId="53" fillId="48" borderId="0" applyProtection="0">
      <alignment vertical="center"/>
    </xf>
    <xf numFmtId="0" fontId="53" fillId="49" borderId="0" applyProtection="0">
      <alignment vertical="center"/>
    </xf>
    <xf numFmtId="0" fontId="53" fillId="50" borderId="0" applyProtection="0">
      <alignment vertical="center"/>
    </xf>
    <xf numFmtId="0" fontId="53" fillId="51" borderId="0" applyProtection="0">
      <alignment vertical="center"/>
    </xf>
    <xf numFmtId="0" fontId="53" fillId="52" borderId="0" applyProtection="0">
      <alignment vertical="center"/>
    </xf>
    <xf numFmtId="0" fontId="53" fillId="53" borderId="0" applyProtection="0">
      <alignment vertical="center"/>
    </xf>
    <xf numFmtId="0" fontId="53" fillId="54" borderId="0" applyProtection="0">
      <alignment vertical="center"/>
    </xf>
    <xf numFmtId="0" fontId="53" fillId="55" borderId="0" applyProtection="0">
      <alignment vertical="center"/>
    </xf>
    <xf numFmtId="0" fontId="53" fillId="56" borderId="0" applyProtection="0">
      <alignment vertical="center"/>
    </xf>
    <xf numFmtId="0" fontId="54" fillId="57" borderId="0" applyProtection="0">
      <alignment vertical="center"/>
    </xf>
    <xf numFmtId="0" fontId="54" fillId="58" borderId="0" applyProtection="0">
      <alignment vertical="center"/>
    </xf>
    <xf numFmtId="0" fontId="54" fillId="59" borderId="0" applyProtection="0">
      <alignment vertical="center"/>
    </xf>
    <xf numFmtId="0" fontId="54" fillId="60" borderId="0" applyProtection="0">
      <alignment vertical="center"/>
    </xf>
    <xf numFmtId="0" fontId="54" fillId="2" borderId="0" applyProtection="0">
      <alignment vertical="center"/>
    </xf>
    <xf numFmtId="0" fontId="54" fillId="61" borderId="0" applyProtection="0">
      <alignment vertical="center"/>
    </xf>
    <xf numFmtId="0" fontId="55" fillId="0" borderId="0"/>
    <xf numFmtId="0" fontId="56" fillId="0" borderId="15" applyProtection="0">
      <alignment vertical="center"/>
    </xf>
    <xf numFmtId="0" fontId="57" fillId="0" borderId="16" applyProtection="0">
      <alignment vertical="center"/>
    </xf>
    <xf numFmtId="0" fontId="58" fillId="0" borderId="17" applyProtection="0">
      <alignment vertical="center"/>
    </xf>
    <xf numFmtId="0" fontId="59" fillId="0" borderId="0" applyProtection="0">
      <alignment vertical="center"/>
    </xf>
    <xf numFmtId="0" fontId="55" fillId="0" borderId="0" applyProtection="0"/>
    <xf numFmtId="0" fontId="10" fillId="0" borderId="0"/>
    <xf numFmtId="0" fontId="60" fillId="0" borderId="0"/>
    <xf numFmtId="0" fontId="61" fillId="0" borderId="0">
      <alignment vertical="center"/>
    </xf>
    <xf numFmtId="0" fontId="53" fillId="0" borderId="0"/>
    <xf numFmtId="0" fontId="54" fillId="62" borderId="0" applyProtection="0">
      <alignment vertical="center"/>
    </xf>
    <xf numFmtId="0" fontId="54" fillId="63" borderId="0" applyProtection="0">
      <alignment vertical="center"/>
    </xf>
    <xf numFmtId="0" fontId="54" fillId="64" borderId="0" applyProtection="0">
      <alignment vertical="center"/>
    </xf>
    <xf numFmtId="0" fontId="54" fillId="65" borderId="0" applyProtection="0">
      <alignment vertical="center"/>
    </xf>
    <xf numFmtId="0" fontId="54" fillId="66" borderId="0" applyProtection="0">
      <alignment vertical="center"/>
    </xf>
    <xf numFmtId="0" fontId="54" fillId="67" borderId="0" applyProtection="0">
      <alignment vertical="center"/>
    </xf>
  </cellStyleXfs>
  <cellXfs count="14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 applyProtection="1">
      <alignment horizontal="center" vertical="center" wrapText="1"/>
      <protection hidden="1"/>
    </xf>
    <xf numFmtId="0" fontId="5" fillId="6" borderId="2" xfId="0" applyFont="1" applyFill="1" applyBorder="1" applyAlignment="1" applyProtection="1">
      <alignment horizontal="center" vertical="center" wrapText="1"/>
      <protection hidden="1"/>
    </xf>
    <xf numFmtId="0" fontId="5" fillId="6" borderId="1" xfId="0" applyFont="1" applyFill="1" applyBorder="1" applyAlignment="1" applyProtection="1">
      <alignment horizontal="center" vertical="center" wrapText="1" shrinkToFit="1"/>
      <protection hidden="1"/>
    </xf>
    <xf numFmtId="0" fontId="5" fillId="6" borderId="3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7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9" fillId="7" borderId="2" xfId="0" applyNumberFormat="1" applyFont="1" applyFill="1" applyBorder="1" applyAlignment="1" applyProtection="1">
      <alignment horizontal="center" vertical="center"/>
      <protection locked="0"/>
    </xf>
    <xf numFmtId="177" fontId="9" fillId="7" borderId="1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 applyProtection="1">
      <alignment horizontal="center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 applyProtection="1">
      <alignment horizontal="center" vertical="center"/>
      <protection locked="0"/>
    </xf>
    <xf numFmtId="0" fontId="11" fillId="1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0" fillId="11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horizontal="center" vertical="center"/>
    </xf>
    <xf numFmtId="21" fontId="10" fillId="8" borderId="0" xfId="0" applyNumberFormat="1" applyFont="1" applyFill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12" fillId="0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14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 applyProtection="1">
      <alignment horizontal="center" vertical="center" wrapText="1"/>
      <protection hidden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/>
    </xf>
    <xf numFmtId="176" fontId="17" fillId="13" borderId="1" xfId="0" applyNumberFormat="1" applyFont="1" applyFill="1" applyBorder="1" applyAlignment="1">
      <alignment horizontal="center" vertical="center"/>
    </xf>
    <xf numFmtId="0" fontId="14" fillId="12" borderId="1" xfId="0" applyNumberFormat="1" applyFont="1" applyFill="1" applyBorder="1" applyAlignment="1">
      <alignment horizontal="center" vertical="center"/>
    </xf>
    <xf numFmtId="0" fontId="14" fillId="8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22" fillId="12" borderId="1" xfId="0" applyNumberFormat="1" applyFont="1" applyFill="1" applyBorder="1" applyAlignment="1">
      <alignment horizontal="center" vertical="center"/>
    </xf>
    <xf numFmtId="0" fontId="22" fillId="8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78" fontId="23" fillId="0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 applyProtection="1">
      <alignment horizontal="left" vertical="center"/>
      <protection hidden="1"/>
    </xf>
    <xf numFmtId="0" fontId="21" fillId="13" borderId="1" xfId="0" applyFont="1" applyFill="1" applyBorder="1" applyAlignment="1" applyProtection="1">
      <alignment horizontal="center" vertical="center"/>
      <protection hidden="1"/>
    </xf>
    <xf numFmtId="49" fontId="12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7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Fill="1" applyBorder="1" applyAlignment="1" applyProtection="1">
      <alignment horizontal="center" vertical="center" wrapText="1"/>
      <protection hidden="1"/>
    </xf>
    <xf numFmtId="0" fontId="27" fillId="0" borderId="0" xfId="0" applyFont="1" applyFill="1" applyBorder="1" applyAlignment="1" applyProtection="1">
      <alignment horizontal="center" vertical="center" wrapText="1"/>
      <protection hidden="1"/>
    </xf>
    <xf numFmtId="0" fontId="27" fillId="0" borderId="1" xfId="0" applyFont="1" applyFill="1" applyBorder="1" applyAlignment="1" applyProtection="1">
      <alignment horizontal="center" vertical="center" wrapText="1"/>
      <protection hidden="1"/>
    </xf>
    <xf numFmtId="0" fontId="5" fillId="6" borderId="4" xfId="0" applyFont="1" applyFill="1" applyBorder="1" applyAlignment="1" applyProtection="1">
      <alignment horizontal="center" vertical="center" wrapText="1"/>
      <protection hidden="1"/>
    </xf>
    <xf numFmtId="0" fontId="5" fillId="6" borderId="5" xfId="0" applyFont="1" applyFill="1" applyBorder="1" applyAlignment="1" applyProtection="1">
      <alignment horizontal="center" vertical="center" wrapText="1"/>
      <protection hidden="1"/>
    </xf>
    <xf numFmtId="0" fontId="5" fillId="6" borderId="4" xfId="0" applyFont="1" applyFill="1" applyBorder="1" applyAlignment="1" applyProtection="1">
      <alignment horizontal="center" vertical="center" wrapText="1"/>
      <protection hidden="1"/>
    </xf>
    <xf numFmtId="0" fontId="5" fillId="6" borderId="6" xfId="0" applyFont="1" applyFill="1" applyBorder="1" applyAlignment="1" applyProtection="1">
      <alignment horizontal="center" vertical="center" wrapText="1"/>
      <protection hidden="1"/>
    </xf>
    <xf numFmtId="0" fontId="5" fillId="6" borderId="5" xfId="0" applyFont="1" applyFill="1" applyBorder="1" applyAlignment="1" applyProtection="1">
      <alignment horizontal="center" vertical="center" wrapText="1"/>
      <protection hidden="1"/>
    </xf>
    <xf numFmtId="177" fontId="5" fillId="6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6" fillId="0" borderId="4" xfId="0" applyFont="1" applyFill="1" applyBorder="1" applyAlignment="1" applyProtection="1">
      <alignment horizontal="center" vertical="center" wrapText="1"/>
      <protection hidden="1"/>
    </xf>
    <xf numFmtId="0" fontId="6" fillId="0" borderId="5" xfId="0" applyFont="1" applyFill="1" applyBorder="1" applyAlignment="1" applyProtection="1">
      <alignment horizontal="center" vertical="center" wrapText="1"/>
      <protection hidden="1"/>
    </xf>
    <xf numFmtId="0" fontId="29" fillId="0" borderId="1" xfId="0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4" xfId="0" applyFont="1" applyFill="1" applyBorder="1" applyAlignment="1" applyProtection="1">
      <alignment horizontal="center" vertical="center" wrapText="1"/>
      <protection hidden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left" vertical="center"/>
    </xf>
    <xf numFmtId="0" fontId="31" fillId="0" borderId="1" xfId="0" applyFont="1" applyFill="1" applyBorder="1" applyAlignment="1">
      <alignment horizontal="left" vertical="center"/>
    </xf>
    <xf numFmtId="0" fontId="6" fillId="4" borderId="5" xfId="0" applyFont="1" applyFill="1" applyBorder="1" applyAlignment="1" applyProtection="1">
      <alignment horizontal="center" vertical="center" wrapText="1"/>
      <protection hidden="1"/>
    </xf>
    <xf numFmtId="0" fontId="32" fillId="0" borderId="1" xfId="0" applyFont="1" applyFill="1" applyBorder="1" applyAlignment="1" applyProtection="1">
      <alignment horizontal="center" vertical="center" wrapText="1"/>
      <protection hidden="1"/>
    </xf>
    <xf numFmtId="0" fontId="18" fillId="0" borderId="1" xfId="0" applyFont="1" applyFill="1" applyBorder="1" applyAlignment="1" quotePrefix="1">
      <alignment horizontal="center" vertical="center" wrapText="1"/>
    </xf>
    <xf numFmtId="0" fontId="19" fillId="0" borderId="1" xfId="0" applyFont="1" applyFill="1" applyBorder="1" applyAlignment="1" quotePrefix="1">
      <alignment horizontal="center" vertical="center"/>
    </xf>
    <xf numFmtId="0" fontId="14" fillId="0" borderId="1" xfId="0" applyNumberFormat="1" applyFont="1" applyFill="1" applyBorder="1" applyAlignment="1" quotePrefix="1">
      <alignment horizontal="center" vertical="center"/>
    </xf>
    <xf numFmtId="0" fontId="6" fillId="0" borderId="1" xfId="0" applyNumberFormat="1" applyFont="1" applyFill="1" applyBorder="1" applyAlignment="1" quotePrefix="1">
      <alignment horizontal="center" vertical="center" wrapText="1"/>
    </xf>
    <xf numFmtId="0" fontId="21" fillId="13" borderId="1" xfId="0" applyFont="1" applyFill="1" applyBorder="1" applyAlignment="1" quotePrefix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20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761955626087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F099BF14-BE94-47DC-8E1B-D49DC5C21AE1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secondRowStripe" dxfId="7"/>
      <tableStyleElement type="firstColumnStripe" dxfId="6"/>
    </tableStyle>
    <tableStyle name="中色系标题行镶边行表格样式_6e22f3" count="7" xr9:uid="{ACCEFAD5-8023-4A87-8FC8-91410AC2B055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secondRowStripe" dxfId="14"/>
      <tableStyleElement type="firstColumnStripe" dxfId="13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3" Type="http://schemas.openxmlformats.org/officeDocument/2006/relationships/styles" Target="styles.xml"/><Relationship Id="rId82" Type="http://schemas.openxmlformats.org/officeDocument/2006/relationships/sharedStrings" Target="sharedStrings.xml"/><Relationship Id="rId81" Type="http://schemas.openxmlformats.org/officeDocument/2006/relationships/theme" Target="theme/theme1.xml"/><Relationship Id="rId80" Type="http://schemas.openxmlformats.org/officeDocument/2006/relationships/externalLink" Target="externalLinks/externalLink70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69.xml"/><Relationship Id="rId78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67.xml"/><Relationship Id="rId76" Type="http://schemas.openxmlformats.org/officeDocument/2006/relationships/externalLink" Target="externalLinks/externalLink66.xml"/><Relationship Id="rId75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63.xml"/><Relationship Id="rId72" Type="http://schemas.openxmlformats.org/officeDocument/2006/relationships/externalLink" Target="externalLinks/externalLink62.xml"/><Relationship Id="rId71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0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52.xml"/><Relationship Id="rId61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0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45.xml"/><Relationship Id="rId54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42.xml"/><Relationship Id="rId51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35.xml"/><Relationship Id="rId44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32.xml"/><Relationship Id="rId41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22.xml"/><Relationship Id="rId31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9.xml"/><Relationship Id="rId18" Type="http://schemas.openxmlformats.org/officeDocument/2006/relationships/externalLink" Target="externalLinks/externalLink8.xml"/><Relationship Id="rId17" Type="http://schemas.openxmlformats.org/officeDocument/2006/relationships/externalLink" Target="externalLinks/externalLink7.xml"/><Relationship Id="rId16" Type="http://schemas.openxmlformats.org/officeDocument/2006/relationships/externalLink" Target="externalLinks/externalLink6.xml"/><Relationship Id="rId15" Type="http://schemas.openxmlformats.org/officeDocument/2006/relationships/externalLink" Target="externalLinks/externalLink5.xml"/><Relationship Id="rId14" Type="http://schemas.openxmlformats.org/officeDocument/2006/relationships/externalLink" Target="externalLinks/externalLink4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7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10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1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18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2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27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32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1)(2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1)(4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2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4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7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9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10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12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5&#26376;&#20221;&#26085;&#25253;&#34920;(14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1335;&#20140;&#29066;&#29483;&#65289;5&#26376;&#20221;&#36827;&#38144;&#23384;&#25253;&#34920;(6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425;&#27874;&#30887;&#28023;&#65289;5&#26376;&#20221;&#36827;&#38144;&#23384;&#25253;&#34920;(2)(6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2034;&#24681;&#26684;&#65289;5&#26376;&#20221;&#36827;&#38144;&#23384;&#25253;&#34920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425;&#27874;&#38534;&#28304;&#65289;5&#26376;&#36827;&#38144;&#23384;&#25253;&#34920;(2)(6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425;&#27874;&#38534;&#28304;&#65289;5&#26376;&#36827;&#38144;&#23384;&#25253;&#34920;(1)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425;&#27874;&#38534;&#28304;&#65289;5&#26376;&#36827;&#38144;&#23384;&#25253;&#34920;(5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425;&#27874;&#38534;&#28304;&#65289;5&#26376;&#36827;&#38144;&#23384;&#25253;&#34920;(8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425;&#27874;&#38534;&#28304;&#65289;5&#26376;&#36827;&#38144;&#23384;&#25253;&#34920;(11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425;&#27874;&#38534;&#28304;&#65289;5&#26376;&#36827;&#38144;&#23384;&#25253;&#34920;(18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7993;&#27743;&#23500;&#29305;&#65289;5&#26376;&#20221;&#26085;&#25253;&#34920;(2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1335;&#20140;&#29066;&#29483;&#65289;4&#26376;&#20221;&#36827;&#38144;&#23384;&#25253;&#34920;(35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665;&#19996;&#21147;&#39640;&#65289;4&#26376;&#20221;&#26085;&#25253;&#34920;(42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665;&#19996;&#21147;&#39640;&#65289;4&#26376;&#20221;&#26085;&#25253;&#34920;(45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665;&#19996;&#21147;&#39640;&#65289;4&#26376;&#20221;&#26085;&#25253;&#34920;(47)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1335;&#20140;&#29066;&#29483;&#65289;4&#26376;&#20221;&#36827;&#38144;&#23384;&#25253;&#34920;(44)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425;&#27874;&#38534;&#28304;&#65289;4&#26376;&#36827;&#38144;&#23384;&#25253;&#34920;(43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3487;&#24030;&#26684;&#26519;&#65289;4&#26376;&#20221;&#26085;&#25253;&#34920;(42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665;&#19996;&#21147;&#39640;&#65289;4&#26376;&#20221;&#26085;&#25253;&#34920;(50)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4503;&#36890;&#65289;4&#26376;&#20221;&#26085;&#25253;&#34920;(49)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665;&#19996;&#21147;&#39640;&#65289;4&#26376;&#20221;&#26085;&#25253;&#34920;(52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3436;&#28246;&#21338;&#24247;&#65289;4&#26376;&#20221;&#26085;&#25253;&#34920;(29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4503;&#36890;&#65289;4&#26376;&#20221;&#26085;&#25253;&#34920;(52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1335;&#20140;&#29066;&#29483;&#65289;4&#26376;&#20221;&#36827;&#38144;&#23384;&#25253;&#34920;(54)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425;&#27874;&#38534;&#28304;&#65289;4&#26376;&#36827;&#38144;&#23384;&#25253;&#34920;(51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4503;&#36890;&#65289;4&#26376;&#20221;&#26085;&#25253;&#34920;(55)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19996;&#23454;&#31934;&#24037;&#65289;4&#26376;&#20221;&#26085;&#25253;&#34920;(47)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3436;&#28246;&#21338;&#24247;&#65289;4&#26376;&#20221;&#26085;&#25253;&#34920;(33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425;&#27874;&#38534;&#28304;&#65289;4&#26376;&#36827;&#38144;&#23384;&#25253;&#34920;(54)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4503;&#36890;&#65289;4&#26376;&#20221;&#26085;&#25253;&#34920;(58)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19996;&#23454;&#31934;&#24037;&#65289;4&#26376;&#20221;&#26085;&#25253;&#34920;(51)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3436;&#28246;&#21338;&#24247;&#65289;4&#26376;&#20221;&#26085;&#25253;&#34920;(35)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425;&#27874;&#38534;&#28304;&#65289;4&#26376;&#36827;&#38144;&#23384;&#25253;&#34920;(56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3436;&#28246;&#21338;&#24247;&#65289;4&#26376;&#20221;&#26085;&#25253;&#34920;(36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425;&#27874;&#38534;&#28304;&#65289;4&#26376;&#36827;&#38144;&#23384;&#25253;&#34920;(58)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3436;&#28246;&#21338;&#24247;&#65289;4&#26376;&#20221;&#26085;&#25253;&#34920;(38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1335;&#20140;&#29066;&#29483;&#65289;4&#26376;&#20221;&#36827;&#38144;&#23384;&#25253;&#34920;(62)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425;&#27874;&#38534;&#28304;&#65289;4&#26376;&#36827;&#38144;&#23384;&#25253;&#34920;(60)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3436;&#28246;&#21338;&#24247;&#65289;4&#26376;&#20221;&#26085;&#25253;&#34920;(40)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1335;&#20140;&#29066;&#29483;&#65289;4&#26376;&#20221;&#36827;&#38144;&#23384;&#25253;&#34920;(64)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425;&#27874;&#38534;&#28304;&#65289;4&#26376;&#36827;&#38144;&#23384;&#25253;&#34920;(63)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2034;&#24681;&#26684;&#65289;4&#26376;&#20221;&#36827;&#38144;&#23384;&#25253;&#34920;(41)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7719;&#21019;&#65289;4&#26376;&#20221;&#26085;&#25253;&#34920;(63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4503;&#36890;&#65289;4&#26376;&#20221;&#26085;&#25253;&#34920;(66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19996;&#23454;&#31934;&#24037;&#65289;4&#26376;&#20221;&#26085;&#25253;&#34920;(58)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3436;&#28246;&#21338;&#24247;&#65289;4&#26376;&#20221;&#26085;&#25253;&#34920;(41)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1335;&#20140;&#29066;&#29483;&#65289;4&#26376;&#20221;&#36827;&#38144;&#23384;&#25253;&#34920;(66)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23425;&#27874;&#38534;&#28304;&#65289;4&#26376;&#36827;&#38144;&#23384;&#25253;&#34920;(65)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4\&#28246;&#24030;&#20179;&#65288;&#32034;&#24681;&#26684;&#65289;4&#26376;&#20221;&#36827;&#38144;&#23384;&#25253;&#34920;(42)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3436;&#28246;&#21338;&#24247;&#65289;4&#26376;&#20221;&#26085;&#25253;&#34920;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32034;&#24681;&#26684;&#65289;4&#26376;&#20221;&#36827;&#38144;&#23384;&#25253;&#34920;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665;&#19996;&#21147;&#39640;&#65289;5&#26376;&#20221;&#26085;&#25253;&#34920;(34)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xwechat_files\wxid_8vgum29hpwgs22_5b14\msg\file\2026-05\&#28246;&#24030;&#20179;&#65288;&#23425;&#27874;&#38534;&#28304;&#65289;5&#26376;&#36827;&#38144;&#23384;&#25253;&#34920;(20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  <row r="41"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</row>
        <row r="42">
          <cell r="H42" t="str">
            <v>料盒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  <row r="41"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</row>
        <row r="42"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  <row r="41"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</row>
        <row r="42"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  <row r="41"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G42">
            <v>12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  <row r="41"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G42">
            <v>12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  <row r="41"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G42">
            <v>12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3.1.01.20.00536</v>
          </cell>
          <cell r="F38" t="str">
            <v>LS-MCUM027-CA-V1.20  三防漆双面 908_068（B平台高压中车版本）</v>
          </cell>
          <cell r="G38">
            <v>12</v>
          </cell>
          <cell r="H38" t="str">
            <v>料盒</v>
          </cell>
        </row>
        <row r="39">
          <cell r="E39" t="str">
            <v>3.1.01.30.00337</v>
          </cell>
          <cell r="F39" t="str">
            <v>LP-UAV010-AA-12S_HSD_OZ3717D_V1.20三防漆双截</v>
          </cell>
          <cell r="G39">
            <v>72</v>
          </cell>
          <cell r="H39" t="str">
            <v>纸箱</v>
          </cell>
        </row>
        <row r="40">
          <cell r="E40" t="str">
            <v>3.1.01.20.00477</v>
          </cell>
          <cell r="F40" t="str">
            <v>LS-CCMM026-AA-V1.00_三防漆双面908_063（瞻芯3代版本）</v>
          </cell>
          <cell r="G40">
            <v>45</v>
          </cell>
          <cell r="H40" t="str">
            <v>料盒</v>
          </cell>
        </row>
        <row r="41">
          <cell r="E41" t="str">
            <v>3.1.01.30.00606</v>
          </cell>
          <cell r="F41" t="str">
            <v>LP-BSU057-AA_V100_TI_29S-TE_三防漆双面919_081</v>
          </cell>
        </row>
        <row r="41">
          <cell r="H41" t="str">
            <v>料盒</v>
          </cell>
        </row>
        <row r="42">
          <cell r="E42" t="str">
            <v>3.1.01.20.00537</v>
          </cell>
          <cell r="F42" t="str">
            <v>LS-MCUM027-CA-V1.20 三防漆双面 908_068（B平台高压士兰版本)</v>
          </cell>
          <cell r="G42">
            <v>12</v>
          </cell>
          <cell r="H42" t="str">
            <v>料盒</v>
          </cell>
        </row>
        <row r="43">
          <cell r="E43" t="str">
            <v>3.1.01.30.00607</v>
          </cell>
          <cell r="F43" t="str">
            <v>LP-BSU070-AA_T1616_A_24S_V1_凡申40_三防漆双面9截</v>
          </cell>
          <cell r="G43">
            <v>48</v>
          </cell>
          <cell r="H43" t="str">
            <v>料盒</v>
          </cell>
        </row>
        <row r="44">
          <cell r="E44" t="str">
            <v>3.1.01.30.00608</v>
          </cell>
          <cell r="F44" t="str">
            <v>LP-BSU070-AA_T1616_46S_V1_凡申40_三防漆双面925截</v>
          </cell>
          <cell r="G44">
            <v>24</v>
          </cell>
          <cell r="H44" t="str">
            <v>料盒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</row>
        <row r="23">
          <cell r="E23" t="str">
            <v>3.2.50.30.02282-000</v>
          </cell>
          <cell r="F23" t="str">
            <v>LXBU1101-通讯集成线束-60.8</v>
          </cell>
        </row>
      </sheetData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  <cell r="G22">
            <v>40</v>
          </cell>
          <cell r="H22" t="str">
            <v>料盒</v>
          </cell>
        </row>
        <row r="23">
          <cell r="E23" t="str">
            <v>3.2.50.30.02282-000</v>
          </cell>
          <cell r="F23" t="str">
            <v>LXBU1101-通讯集成线束-60.8</v>
          </cell>
          <cell r="G23">
            <v>30</v>
          </cell>
          <cell r="H23" t="str">
            <v>料盒</v>
          </cell>
        </row>
        <row r="24">
          <cell r="E24" t="str">
            <v>3.2.50.30.01757-000</v>
          </cell>
          <cell r="F24" t="str">
            <v>线束总成</v>
          </cell>
          <cell r="G24">
            <v>200</v>
          </cell>
          <cell r="H24" t="str">
            <v>料盒</v>
          </cell>
        </row>
        <row r="25">
          <cell r="E25" t="str">
            <v>3.2.50.30.01758-000</v>
          </cell>
          <cell r="F25" t="str">
            <v>线束总成</v>
          </cell>
          <cell r="G25">
            <v>100</v>
          </cell>
          <cell r="H25" t="str">
            <v>料盒</v>
          </cell>
        </row>
        <row r="26">
          <cell r="E26" t="str">
            <v>3.2.50.30.01532-000</v>
          </cell>
          <cell r="F26" t="str">
            <v>线束总成</v>
          </cell>
          <cell r="G26">
            <v>100</v>
          </cell>
          <cell r="H26" t="str">
            <v>料盒</v>
          </cell>
        </row>
        <row r="27">
          <cell r="E27" t="str">
            <v>3.2.50.30.02391-000</v>
          </cell>
          <cell r="F27" t="str">
            <v>线束总成</v>
          </cell>
          <cell r="G27">
            <v>30</v>
          </cell>
          <cell r="H27" t="str">
            <v>料盒</v>
          </cell>
        </row>
        <row r="28">
          <cell r="E28" t="str">
            <v>3.2.50.30.02392-000</v>
          </cell>
          <cell r="F28" t="str">
            <v>线束总成</v>
          </cell>
          <cell r="G28">
            <v>20</v>
          </cell>
          <cell r="H28" t="str">
            <v>料盒</v>
          </cell>
        </row>
        <row r="29">
          <cell r="E29" t="str">
            <v>3.2.50.30.02364-000</v>
          </cell>
          <cell r="F29" t="str">
            <v>线束总成</v>
          </cell>
          <cell r="G29">
            <v>55</v>
          </cell>
          <cell r="H29" t="str">
            <v>料盒</v>
          </cell>
        </row>
        <row r="30">
          <cell r="E30" t="str">
            <v>3.2.50.30.02365-000</v>
          </cell>
          <cell r="F30" t="str">
            <v>线束总成</v>
          </cell>
          <cell r="G30">
            <v>55</v>
          </cell>
          <cell r="H30" t="str">
            <v>料盒</v>
          </cell>
        </row>
        <row r="31">
          <cell r="E31" t="str">
            <v>3.2.50.30.02366-000</v>
          </cell>
          <cell r="F31" t="str">
            <v>线束总成</v>
          </cell>
          <cell r="G31">
            <v>55</v>
          </cell>
          <cell r="H31" t="str">
            <v>料盒</v>
          </cell>
        </row>
        <row r="32">
          <cell r="E32" t="str">
            <v>3.2.50.30.02363-000</v>
          </cell>
          <cell r="F32" t="str">
            <v>线束总成</v>
          </cell>
          <cell r="G32">
            <v>21</v>
          </cell>
          <cell r="H32" t="str">
            <v>料盒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  <cell r="G22">
            <v>40</v>
          </cell>
          <cell r="H22" t="str">
            <v>料盒</v>
          </cell>
        </row>
        <row r="23">
          <cell r="E23" t="str">
            <v>3.2.50.30.02282-000</v>
          </cell>
          <cell r="F23" t="str">
            <v>LXBU1101-通讯集成线束-60.8</v>
          </cell>
          <cell r="G23">
            <v>100</v>
          </cell>
          <cell r="H23" t="str">
            <v>料盒</v>
          </cell>
        </row>
        <row r="24">
          <cell r="E24" t="str">
            <v>3.2.50.30.01757-000</v>
          </cell>
          <cell r="F24" t="str">
            <v>线束总成</v>
          </cell>
          <cell r="G24">
            <v>200</v>
          </cell>
          <cell r="H24" t="str">
            <v>料盒</v>
          </cell>
        </row>
        <row r="25">
          <cell r="E25" t="str">
            <v>3.2.50.30.01758-000</v>
          </cell>
          <cell r="F25" t="str">
            <v>线束总成</v>
          </cell>
          <cell r="G25">
            <v>100</v>
          </cell>
          <cell r="H25" t="str">
            <v>料盒</v>
          </cell>
        </row>
        <row r="26">
          <cell r="E26" t="str">
            <v>3.2.50.30.01532-000</v>
          </cell>
          <cell r="F26" t="str">
            <v>线束总成</v>
          </cell>
          <cell r="G26">
            <v>100</v>
          </cell>
          <cell r="H26" t="str">
            <v>料盒</v>
          </cell>
        </row>
        <row r="27">
          <cell r="E27" t="str">
            <v>3.2.50.30.02391-000</v>
          </cell>
          <cell r="F27" t="str">
            <v>线束总成</v>
          </cell>
          <cell r="G27">
            <v>30</v>
          </cell>
          <cell r="H27" t="str">
            <v>料盒</v>
          </cell>
        </row>
        <row r="28">
          <cell r="E28" t="str">
            <v>3.2.50.30.02392-000</v>
          </cell>
          <cell r="F28" t="str">
            <v>线束总成</v>
          </cell>
          <cell r="G28">
            <v>20</v>
          </cell>
          <cell r="H28" t="str">
            <v>料盒</v>
          </cell>
        </row>
        <row r="29">
          <cell r="E29" t="str">
            <v>3.2.50.30.02364-000</v>
          </cell>
          <cell r="F29" t="str">
            <v>线束总成</v>
          </cell>
          <cell r="G29">
            <v>55</v>
          </cell>
          <cell r="H29" t="str">
            <v>料盒</v>
          </cell>
        </row>
        <row r="30">
          <cell r="E30" t="str">
            <v>3.2.50.30.02365-000</v>
          </cell>
          <cell r="F30" t="str">
            <v>线束总成</v>
          </cell>
          <cell r="G30">
            <v>55</v>
          </cell>
          <cell r="H30" t="str">
            <v>料盒</v>
          </cell>
        </row>
        <row r="31">
          <cell r="E31" t="str">
            <v>3.2.50.30.02366-000</v>
          </cell>
          <cell r="F31" t="str">
            <v>线束总成</v>
          </cell>
          <cell r="G31">
            <v>55</v>
          </cell>
          <cell r="H31" t="str">
            <v>料盒</v>
          </cell>
        </row>
        <row r="32">
          <cell r="E32" t="str">
            <v>3.2.50.30.02363-000</v>
          </cell>
          <cell r="F32" t="str">
            <v>线束总成</v>
          </cell>
          <cell r="G32">
            <v>21</v>
          </cell>
          <cell r="H32" t="str">
            <v>料盒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  <cell r="G22">
            <v>40</v>
          </cell>
          <cell r="H22" t="str">
            <v>料盒</v>
          </cell>
        </row>
        <row r="23">
          <cell r="E23" t="str">
            <v>3.2.50.30.02282-000</v>
          </cell>
          <cell r="F23" t="str">
            <v>LXBU1101-通讯集成线束-60.8</v>
          </cell>
          <cell r="G23">
            <v>100</v>
          </cell>
          <cell r="H23" t="str">
            <v>料盒</v>
          </cell>
        </row>
        <row r="24">
          <cell r="E24" t="str">
            <v>3.2.50.30.01757-000</v>
          </cell>
          <cell r="F24" t="str">
            <v>线束总成</v>
          </cell>
          <cell r="G24">
            <v>200</v>
          </cell>
          <cell r="H24" t="str">
            <v>料盒</v>
          </cell>
        </row>
        <row r="25">
          <cell r="E25" t="str">
            <v>3.2.50.30.01758-000</v>
          </cell>
          <cell r="F25" t="str">
            <v>线束总成</v>
          </cell>
          <cell r="G25">
            <v>100</v>
          </cell>
          <cell r="H25" t="str">
            <v>料盒</v>
          </cell>
        </row>
        <row r="26">
          <cell r="E26" t="str">
            <v>3.2.50.30.01532-000</v>
          </cell>
          <cell r="F26" t="str">
            <v>线束总成</v>
          </cell>
          <cell r="G26">
            <v>100</v>
          </cell>
          <cell r="H26" t="str">
            <v>料盒</v>
          </cell>
        </row>
        <row r="27">
          <cell r="E27" t="str">
            <v>3.2.50.30.02391-000</v>
          </cell>
          <cell r="F27" t="str">
            <v>线束总成</v>
          </cell>
          <cell r="G27">
            <v>30</v>
          </cell>
          <cell r="H27" t="str">
            <v>料盒</v>
          </cell>
        </row>
        <row r="28">
          <cell r="E28" t="str">
            <v>3.2.50.30.02392-000</v>
          </cell>
          <cell r="F28" t="str">
            <v>线束总成</v>
          </cell>
          <cell r="G28">
            <v>20</v>
          </cell>
          <cell r="H28" t="str">
            <v>料盒</v>
          </cell>
        </row>
        <row r="29">
          <cell r="E29" t="str">
            <v>3.2.50.30.02364-000</v>
          </cell>
          <cell r="F29" t="str">
            <v>线束总成</v>
          </cell>
          <cell r="G29">
            <v>55</v>
          </cell>
          <cell r="H29" t="str">
            <v>料盒</v>
          </cell>
        </row>
        <row r="30">
          <cell r="E30" t="str">
            <v>3.2.50.30.02365-000</v>
          </cell>
          <cell r="F30" t="str">
            <v>线束总成</v>
          </cell>
          <cell r="G30">
            <v>55</v>
          </cell>
          <cell r="H30" t="str">
            <v>料盒</v>
          </cell>
        </row>
        <row r="31">
          <cell r="E31" t="str">
            <v>3.2.50.30.02366-000</v>
          </cell>
          <cell r="F31" t="str">
            <v>线束总成</v>
          </cell>
          <cell r="G31">
            <v>55</v>
          </cell>
          <cell r="H31" t="str">
            <v>料盒</v>
          </cell>
        </row>
        <row r="32">
          <cell r="E32" t="str">
            <v>3.2.50.30.02363-000</v>
          </cell>
          <cell r="F32" t="str">
            <v>线束总成</v>
          </cell>
          <cell r="G32">
            <v>21</v>
          </cell>
          <cell r="H32" t="str">
            <v>料盒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3.2.50.30.00806-000</v>
          </cell>
          <cell r="F3" t="str">
            <v>A12-高压支路连接线束-500</v>
          </cell>
          <cell r="G3">
            <v>20</v>
          </cell>
          <cell r="H3" t="str">
            <v>料盒</v>
          </cell>
        </row>
        <row r="4">
          <cell r="E4" t="str">
            <v>3.2.50.30.00927-000</v>
          </cell>
          <cell r="F4" t="str">
            <v>A12-外部通讯连接线束</v>
          </cell>
          <cell r="G4">
            <v>100</v>
          </cell>
          <cell r="H4" t="str">
            <v>料盒</v>
          </cell>
        </row>
        <row r="5">
          <cell r="E5" t="str">
            <v>3.2.50.30.01736-000</v>
          </cell>
          <cell r="F5" t="str">
            <v>A12EV10-预充电阻连接线束</v>
          </cell>
          <cell r="G5">
            <v>100</v>
          </cell>
          <cell r="H5" t="str">
            <v>料盒</v>
          </cell>
        </row>
        <row r="6">
          <cell r="E6" t="str">
            <v>3.2.50.30.00808-000</v>
          </cell>
          <cell r="F6" t="str">
            <v>A12-预充电阻连接线束1</v>
          </cell>
          <cell r="G6">
            <v>1500</v>
          </cell>
          <cell r="H6" t="str">
            <v>料盒</v>
          </cell>
        </row>
        <row r="7">
          <cell r="E7" t="str">
            <v>3.2.50.30.00842-000</v>
          </cell>
          <cell r="F7" t="str">
            <v>A12-菊花链线束</v>
          </cell>
          <cell r="G7">
            <v>1500</v>
          </cell>
          <cell r="H7" t="str">
            <v>料盒</v>
          </cell>
        </row>
        <row r="8">
          <cell r="E8" t="str">
            <v>3.2.50.30.02116-000</v>
          </cell>
          <cell r="F8" t="str">
            <v>A12EV10-通讯-水温-互锁集成线束-500</v>
          </cell>
          <cell r="G8">
            <v>30</v>
          </cell>
          <cell r="H8" t="str">
            <v>料盒</v>
          </cell>
        </row>
        <row r="9">
          <cell r="E9" t="str">
            <v>3.2.50.30.02118-000</v>
          </cell>
          <cell r="F9" t="str">
            <v>A12EV10-BDU-采样集成线束</v>
          </cell>
          <cell r="G9">
            <v>50</v>
          </cell>
          <cell r="H9" t="str">
            <v>料盒</v>
          </cell>
        </row>
        <row r="10">
          <cell r="E10" t="str">
            <v>3.2.50.30.00596-000</v>
          </cell>
          <cell r="F10" t="str">
            <v>CTC_高压插座线束</v>
          </cell>
          <cell r="G10">
            <v>70</v>
          </cell>
          <cell r="H10" t="str">
            <v>料盒</v>
          </cell>
        </row>
        <row r="11">
          <cell r="E11" t="str">
            <v>3.2.50.30.01656-000</v>
          </cell>
          <cell r="F11" t="str">
            <v>LXC11EV1A-水温-互锁集成线束</v>
          </cell>
          <cell r="G11">
            <v>15</v>
          </cell>
          <cell r="H11" t="str">
            <v>料盒</v>
          </cell>
        </row>
        <row r="12">
          <cell r="E12" t="str">
            <v>3.2.50.30.01657-000</v>
          </cell>
          <cell r="F12" t="str">
            <v>LXC11EV1A-高压支路线束</v>
          </cell>
          <cell r="G12">
            <v>20</v>
          </cell>
          <cell r="H12" t="str">
            <v>料盒</v>
          </cell>
        </row>
        <row r="13">
          <cell r="E13" t="str">
            <v>3.2.50.30.01661-000</v>
          </cell>
          <cell r="F13" t="str">
            <v>LXC11EV1A-BDU内部线束</v>
          </cell>
          <cell r="G13">
            <v>50</v>
          </cell>
          <cell r="H13" t="str">
            <v>料盒</v>
          </cell>
        </row>
        <row r="14">
          <cell r="E14" t="str">
            <v>3.2.50.30.01625-000</v>
          </cell>
          <cell r="F14" t="str">
            <v>LXC11EV1A-快充高压插座线束</v>
          </cell>
          <cell r="G14">
            <v>48</v>
          </cell>
          <cell r="H14" t="str">
            <v>料盒</v>
          </cell>
        </row>
        <row r="15">
          <cell r="E15" t="str">
            <v>3.2.50.30.01626-000</v>
          </cell>
          <cell r="F15" t="str">
            <v>LXC11EV1A-电机口高压插座线束</v>
          </cell>
          <cell r="G15">
            <v>70</v>
          </cell>
          <cell r="H15" t="str">
            <v>料盒</v>
          </cell>
        </row>
        <row r="16">
          <cell r="E16" t="str">
            <v>3.1.02.30.00776</v>
          </cell>
          <cell r="F16" t="str">
            <v>LX00148-CCS总成</v>
          </cell>
          <cell r="G16">
            <v>12</v>
          </cell>
          <cell r="H16" t="str">
            <v>纸箱</v>
          </cell>
        </row>
        <row r="17">
          <cell r="E17" t="str">
            <v>3.2.50.30.01786-000</v>
          </cell>
          <cell r="F17" t="str">
            <v>A03HW67.1-通讯集成线束</v>
          </cell>
          <cell r="G17">
            <v>100</v>
          </cell>
          <cell r="H17" t="str">
            <v>料盒</v>
          </cell>
        </row>
        <row r="18">
          <cell r="E18" t="str">
            <v>3.2.50.30.01787-000</v>
          </cell>
          <cell r="F18" t="str">
            <v>A03HW67.1-采样集成线束</v>
          </cell>
          <cell r="G18">
            <v>40</v>
          </cell>
          <cell r="H18" t="str">
            <v>料盒</v>
          </cell>
        </row>
        <row r="19">
          <cell r="E19" t="str">
            <v>3.2.50.30.01784-000</v>
          </cell>
          <cell r="F19" t="str">
            <v>A03HW56.2-通讯集成线束</v>
          </cell>
          <cell r="G19">
            <v>100</v>
          </cell>
          <cell r="H19" t="str">
            <v>料盒</v>
          </cell>
        </row>
        <row r="20">
          <cell r="E20" t="str">
            <v>3.2.50.30.01785-000</v>
          </cell>
          <cell r="F20" t="str">
            <v>A03HW56.2-采样集成线束</v>
          </cell>
          <cell r="G20">
            <v>40</v>
          </cell>
          <cell r="H20" t="str">
            <v>料盒</v>
          </cell>
        </row>
        <row r="21">
          <cell r="E21" t="str">
            <v>3.2.50.30.01886-000</v>
          </cell>
          <cell r="F21" t="str">
            <v>LXCU13E01-分流器线束</v>
          </cell>
          <cell r="G21">
            <v>1500</v>
          </cell>
          <cell r="H21" t="str">
            <v>料盒</v>
          </cell>
        </row>
        <row r="22">
          <cell r="E22" t="str">
            <v>3.2.50.30.02283-000</v>
          </cell>
          <cell r="F22" t="str">
            <v>LXBU1101-BDU集成线束-60.8</v>
          </cell>
          <cell r="G22">
            <v>40</v>
          </cell>
          <cell r="H22" t="str">
            <v>料盒</v>
          </cell>
        </row>
        <row r="23">
          <cell r="E23" t="str">
            <v>3.2.50.30.02282-000</v>
          </cell>
          <cell r="F23" t="str">
            <v>LXBU1101-通讯集成线束-60.8</v>
          </cell>
          <cell r="G23">
            <v>100</v>
          </cell>
          <cell r="H23" t="str">
            <v>料盒</v>
          </cell>
        </row>
        <row r="24">
          <cell r="E24" t="str">
            <v>3.2.50.30.01757-000</v>
          </cell>
          <cell r="F24" t="str">
            <v>线束总成</v>
          </cell>
          <cell r="G24">
            <v>200</v>
          </cell>
          <cell r="H24" t="str">
            <v>料盒</v>
          </cell>
        </row>
        <row r="25">
          <cell r="E25" t="str">
            <v>3.2.50.30.01758-000</v>
          </cell>
          <cell r="F25" t="str">
            <v>线束总成</v>
          </cell>
          <cell r="G25">
            <v>100</v>
          </cell>
          <cell r="H25" t="str">
            <v>料盒</v>
          </cell>
        </row>
        <row r="26">
          <cell r="E26" t="str">
            <v>3.2.50.30.01532-000</v>
          </cell>
          <cell r="F26" t="str">
            <v>线束总成</v>
          </cell>
          <cell r="G26">
            <v>100</v>
          </cell>
          <cell r="H26" t="str">
            <v>料盒</v>
          </cell>
        </row>
        <row r="27">
          <cell r="E27" t="str">
            <v>3.2.50.30.02391-000</v>
          </cell>
          <cell r="F27" t="str">
            <v>线束总成</v>
          </cell>
          <cell r="G27">
            <v>30</v>
          </cell>
          <cell r="H27" t="str">
            <v>料盒</v>
          </cell>
        </row>
        <row r="28">
          <cell r="E28" t="str">
            <v>3.2.50.30.02392-000</v>
          </cell>
          <cell r="F28" t="str">
            <v>线束总成</v>
          </cell>
          <cell r="G28">
            <v>20</v>
          </cell>
          <cell r="H28" t="str">
            <v>料盒</v>
          </cell>
        </row>
        <row r="29">
          <cell r="E29" t="str">
            <v>3.2.50.30.02364-000</v>
          </cell>
          <cell r="F29" t="str">
            <v>线束总成</v>
          </cell>
          <cell r="G29">
            <v>55</v>
          </cell>
          <cell r="H29" t="str">
            <v>料盒</v>
          </cell>
        </row>
        <row r="30">
          <cell r="E30" t="str">
            <v>3.2.50.30.02365-000</v>
          </cell>
          <cell r="F30" t="str">
            <v>线束总成</v>
          </cell>
          <cell r="G30">
            <v>55</v>
          </cell>
          <cell r="H30" t="str">
            <v>料盒</v>
          </cell>
        </row>
        <row r="31">
          <cell r="E31" t="str">
            <v>3.2.50.30.02366-000</v>
          </cell>
          <cell r="F31" t="str">
            <v>线束总成</v>
          </cell>
          <cell r="G31">
            <v>55</v>
          </cell>
          <cell r="H31" t="str">
            <v>料盒</v>
          </cell>
        </row>
        <row r="32">
          <cell r="E32" t="str">
            <v>3.2.50.30.02363-000</v>
          </cell>
          <cell r="F32" t="str">
            <v>线束总成</v>
          </cell>
          <cell r="G32">
            <v>21</v>
          </cell>
          <cell r="H32" t="str">
            <v>料盒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3.1.01.20.00336</v>
          </cell>
          <cell r="F3" t="str">
            <v>压缩机34CC</v>
          </cell>
          <cell r="G3">
            <v>45</v>
          </cell>
          <cell r="H3" t="str">
            <v>料盒</v>
          </cell>
        </row>
        <row r="4">
          <cell r="E4" t="str">
            <v>3.1.01.20.00337</v>
          </cell>
          <cell r="F4" t="str">
            <v>压缩机40CC</v>
          </cell>
          <cell r="G4">
            <v>40</v>
          </cell>
          <cell r="H4" t="str">
            <v>料盒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>
        <row r="1">
          <cell r="F1" t="str">
            <v>注：“可用结存”列中红色数据代表库存量过低;</v>
          </cell>
        </row>
        <row r="2">
          <cell r="E2" t="str">
            <v>零跑零件编号</v>
          </cell>
          <cell r="F2" t="str">
            <v>零件名称</v>
          </cell>
          <cell r="G2" t="str">
            <v>SNP</v>
          </cell>
          <cell r="H2" t="str">
            <v>器具类型</v>
          </cell>
        </row>
        <row r="4">
          <cell r="E4" t="str">
            <v>3.2.44.30.02154-000</v>
          </cell>
          <cell r="F4" t="str">
            <v>02154端板</v>
          </cell>
          <cell r="G4">
            <v>84</v>
          </cell>
          <cell r="H4" t="str">
            <v>料盒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湖州CM1定子"/>
      <sheetName val="湖州CM1转子"/>
      <sheetName val="湖州DM2定子"/>
      <sheetName val="湖州DM2转子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3.1.02.20.00554</v>
          </cell>
          <cell r="F3" t="str">
            <v>定子成品组件</v>
          </cell>
          <cell r="G3">
            <v>24</v>
          </cell>
          <cell r="H3" t="str">
            <v>围板箱</v>
          </cell>
        </row>
        <row r="4">
          <cell r="E4" t="str">
            <v>3.1.02.20.00611</v>
          </cell>
          <cell r="F4" t="str">
            <v>电机转子部件</v>
          </cell>
          <cell r="G4">
            <v>48</v>
          </cell>
          <cell r="H4" t="str">
            <v>围板箱</v>
          </cell>
        </row>
        <row r="5">
          <cell r="E5" t="str">
            <v>3.1.02.20.00407</v>
          </cell>
          <cell r="F5" t="str">
            <v>电机转子部件</v>
          </cell>
          <cell r="G5">
            <v>48</v>
          </cell>
          <cell r="H5" t="str">
            <v>围板箱</v>
          </cell>
        </row>
        <row r="6">
          <cell r="E6" t="str">
            <v>3.1.02.20.00233</v>
          </cell>
          <cell r="F6" t="str">
            <v>定子成品组件</v>
          </cell>
          <cell r="G6">
            <v>24</v>
          </cell>
          <cell r="H6" t="str">
            <v>围板箱</v>
          </cell>
        </row>
        <row r="7">
          <cell r="E7" t="str">
            <v>3.1.02.20.00551</v>
          </cell>
          <cell r="F7" t="str">
            <v>定子成品组件</v>
          </cell>
          <cell r="G7">
            <v>24</v>
          </cell>
          <cell r="H7" t="str">
            <v>围板箱</v>
          </cell>
        </row>
        <row r="8">
          <cell r="E8" t="str">
            <v>3.1.02.20.00612</v>
          </cell>
          <cell r="F8" t="str">
            <v>电机转子部件</v>
          </cell>
          <cell r="G8">
            <v>48</v>
          </cell>
          <cell r="H8" t="str">
            <v>围板箱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E4" t="str">
            <v>3.1.03.20.00073</v>
          </cell>
          <cell r="F4" t="str">
            <v>车载电源二合一</v>
          </cell>
          <cell r="G4">
            <v>45</v>
          </cell>
          <cell r="H4" t="str">
            <v>围板箱</v>
          </cell>
        </row>
      </sheetData>
      <sheetData sheetId="7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湖州CM1定子"/>
      <sheetName val="湖州CM1转子"/>
      <sheetName val="湖州DM2定子"/>
      <sheetName val="湖州DM2转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退回供应商"/>
      <sheetName val="零跑退回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湖州CM1定子"/>
      <sheetName val="湖州CM1转子"/>
      <sheetName val="湖州DM2定子"/>
      <sheetName val="湖州DM2转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湖州CM1定子"/>
      <sheetName val="湖州CM1转子"/>
      <sheetName val="湖州DM2定子"/>
      <sheetName val="湖州DM2转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库内不良"/>
      <sheetName val="退回供应商"/>
      <sheetName val="基础数据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零跑零件编号</v>
          </cell>
          <cell r="F1" t="str">
            <v>零件名称</v>
          </cell>
          <cell r="G1" t="str">
            <v>SNP</v>
          </cell>
          <cell r="H1" t="str">
            <v>器具类型</v>
          </cell>
        </row>
        <row r="3">
          <cell r="E3" t="str">
            <v>3.1.01.30.00344</v>
          </cell>
          <cell r="F3" t="str">
            <v>LX-SHUNT010-AA_V100_STLA_HY_三防漆双面933_001</v>
          </cell>
          <cell r="G3">
            <v>162</v>
          </cell>
          <cell r="H3" t="str">
            <v>料盒</v>
          </cell>
        </row>
        <row r="4">
          <cell r="E4" t="str">
            <v>3.1.01.30.00399</v>
          </cell>
          <cell r="F4" t="str">
            <v>LP_SHUNT010-AA_A12EV_V1_三防漆双面925_007</v>
          </cell>
          <cell r="G4">
            <v>162</v>
          </cell>
          <cell r="H4" t="str">
            <v>料盒</v>
          </cell>
        </row>
        <row r="5">
          <cell r="E5" t="str">
            <v>3.1.01.30.00341</v>
          </cell>
          <cell r="F5" t="str">
            <v>LP-BSU053-AA_V100_TI_32A2_BTW三防漆双面922_0截</v>
          </cell>
          <cell r="G5">
            <v>36</v>
          </cell>
          <cell r="H5" t="str">
            <v>料盒</v>
          </cell>
        </row>
        <row r="6">
          <cell r="E6" t="str">
            <v>3.1.01.30.00342</v>
          </cell>
          <cell r="F6" t="str">
            <v>LP-BSU054-AA_V100_TI_32B1_BTW三防漆双面923_0截</v>
          </cell>
          <cell r="G6">
            <v>36</v>
          </cell>
          <cell r="H6" t="str">
            <v>料盒</v>
          </cell>
        </row>
        <row r="7">
          <cell r="E7" t="str">
            <v>3.1.01.30.00347</v>
          </cell>
          <cell r="F7" t="str">
            <v>LP-BSU050-AA_V100_TI_32B2_HW_三防漆双面911_0截</v>
          </cell>
          <cell r="G7">
            <v>36</v>
          </cell>
          <cell r="H7" t="str">
            <v>料盒</v>
          </cell>
        </row>
        <row r="8">
          <cell r="E8" t="str">
            <v>3.1.01.30.00401</v>
          </cell>
          <cell r="F8" t="str">
            <v>LP-BSU051-AA_V100_TI_31A三防漆双面916_019</v>
          </cell>
          <cell r="G8">
            <v>36</v>
          </cell>
          <cell r="H8" t="str">
            <v>料盒</v>
          </cell>
        </row>
        <row r="9">
          <cell r="E9" t="str">
            <v>3.1.01.30.00448</v>
          </cell>
          <cell r="F9" t="str">
            <v>LP-BSU050-AA_V100_TI_32B_SS三防漆双面911_057</v>
          </cell>
          <cell r="G9">
            <v>36</v>
          </cell>
          <cell r="H9" t="str">
            <v>料盒</v>
          </cell>
        </row>
        <row r="10">
          <cell r="E10" t="str">
            <v>3.1.01.30.00449</v>
          </cell>
          <cell r="F10" t="str">
            <v>LP-BSU051-AA_V100_TI_32A_SS三防漆双面916_019</v>
          </cell>
          <cell r="G10">
            <v>36</v>
          </cell>
          <cell r="H10" t="str">
            <v>料盒</v>
          </cell>
        </row>
        <row r="11">
          <cell r="E11" t="str">
            <v>3.1.01.30.00346</v>
          </cell>
          <cell r="F11" t="str">
            <v>LP-BSU051-AA_V100_TI_32A1_HW_三防漆双面916_019</v>
          </cell>
          <cell r="G11">
            <v>36</v>
          </cell>
          <cell r="H11" t="str">
            <v>料盒</v>
          </cell>
        </row>
        <row r="12">
          <cell r="E12" t="str">
            <v>3.1.04.30.00019</v>
          </cell>
          <cell r="F12" t="str">
            <v>LXA12EV10-BSU总成-01</v>
          </cell>
          <cell r="G12">
            <v>20</v>
          </cell>
          <cell r="H12" t="str">
            <v>料盒</v>
          </cell>
        </row>
        <row r="13">
          <cell r="E13" t="str">
            <v>3.1.04.30.00020</v>
          </cell>
          <cell r="F13" t="str">
            <v>LXA12EV10-BSU总成-02</v>
          </cell>
          <cell r="G13">
            <v>20</v>
          </cell>
          <cell r="H13" t="str">
            <v>料盒</v>
          </cell>
        </row>
        <row r="14">
          <cell r="E14" t="str">
            <v>3.1.01.20.00433</v>
          </cell>
          <cell r="F14" t="str">
            <v>LS-MCUP006-AA-V1.10三防漆双面904.158</v>
          </cell>
          <cell r="G14">
            <v>210</v>
          </cell>
          <cell r="H14" t="str">
            <v>料盒</v>
          </cell>
        </row>
        <row r="15">
          <cell r="E15" t="str">
            <v>3.1.03.20.00108</v>
          </cell>
          <cell r="F15" t="str">
            <v>IGBT组件（A平台国内版NON-FUSA一体板结构PCBA）</v>
          </cell>
          <cell r="G15">
            <v>12</v>
          </cell>
          <cell r="H15" t="str">
            <v>料盒</v>
          </cell>
        </row>
        <row r="16">
          <cell r="E16" t="str">
            <v>3.1.01.20.00491</v>
          </cell>
          <cell r="F16" t="str">
            <v>LS-CCUB001-AC-V1.02 三防漆双面 926_018</v>
          </cell>
          <cell r="G16">
            <v>240</v>
          </cell>
          <cell r="H16" t="str">
            <v>料盒</v>
          </cell>
        </row>
        <row r="17">
          <cell r="E17" t="str">
            <v>3.1.01.20.00458</v>
          </cell>
          <cell r="F17" t="str">
            <v>LS-CCMM024-AA-V1.01_三防漆双面 930_006</v>
          </cell>
          <cell r="G17">
            <v>24</v>
          </cell>
          <cell r="H17" t="str">
            <v>料盒</v>
          </cell>
        </row>
        <row r="18">
          <cell r="E18" t="str">
            <v>3.1.01.20.00488</v>
          </cell>
          <cell r="F18" t="str">
            <v>LS-CCUC001-AA-CM1-V1.03 三防漆双面 930_010</v>
          </cell>
          <cell r="G18">
            <v>108</v>
          </cell>
          <cell r="H18" t="str">
            <v>料盒</v>
          </cell>
        </row>
        <row r="19">
          <cell r="E19" t="str">
            <v>3.1.01.20.00501</v>
          </cell>
          <cell r="F19" t="str">
            <v>LS-CCUM001-AA-V1.05 三防漆双面 908_065</v>
          </cell>
          <cell r="G19">
            <v>8</v>
          </cell>
          <cell r="H19" t="str">
            <v>料盒</v>
          </cell>
        </row>
        <row r="20">
          <cell r="E20" t="str">
            <v>3.1.01.20.00493</v>
          </cell>
          <cell r="F20" t="str">
            <v>LS-CCUG001-AA-V1.03 三防漆单面 926_014</v>
          </cell>
          <cell r="G20">
            <v>72</v>
          </cell>
          <cell r="H20" t="str">
            <v>料盒</v>
          </cell>
        </row>
        <row r="21">
          <cell r="E21" t="str">
            <v>3.1.01.20.00452</v>
          </cell>
          <cell r="F21" t="str">
            <v>LS-CCUG001-AB-V1.02 三防漆单面 924_028</v>
          </cell>
          <cell r="G21">
            <v>72</v>
          </cell>
          <cell r="H21" t="str">
            <v>料盒</v>
          </cell>
        </row>
        <row r="22">
          <cell r="E22" t="str">
            <v>3.1.01.20.00487</v>
          </cell>
          <cell r="F22" t="str">
            <v>LS-CCUG001-AB-V1.02 三防漆单面 924_029</v>
          </cell>
          <cell r="G22">
            <v>24</v>
          </cell>
          <cell r="H22" t="str">
            <v>料盒</v>
          </cell>
        </row>
        <row r="23">
          <cell r="E23" t="str">
            <v>3.1.01.20.00489</v>
          </cell>
          <cell r="F23" t="str">
            <v>LS-CCUC001-AA-DM2-V1.03 三防漆双面 930_010</v>
          </cell>
          <cell r="G23">
            <v>108</v>
          </cell>
          <cell r="H23" t="str">
            <v>料盒</v>
          </cell>
        </row>
        <row r="24">
          <cell r="E24" t="str">
            <v>3.1.01.20.00486</v>
          </cell>
          <cell r="F24" t="str">
            <v>LS-CCUB001-AA-DM2-V1.03 三防漆单面 931_007</v>
          </cell>
          <cell r="G24">
            <v>24</v>
          </cell>
          <cell r="H24" t="str">
            <v>料盒</v>
          </cell>
        </row>
        <row r="25">
          <cell r="E25" t="str">
            <v>3.1.01.20.00485</v>
          </cell>
          <cell r="F25" t="str">
            <v>LS-CCUB001-AB-V1.04 三防漆双面 904_219</v>
          </cell>
          <cell r="G25">
            <v>54</v>
          </cell>
          <cell r="H25" t="str">
            <v>料盒</v>
          </cell>
        </row>
        <row r="26">
          <cell r="E26" t="str">
            <v>3.1.01.20.00536</v>
          </cell>
          <cell r="F26" t="str">
            <v>LS-MCUM027-CA-V1.20 三防漆双面 908_068（B平台高压中</v>
          </cell>
          <cell r="G26">
            <v>12</v>
          </cell>
          <cell r="H26" t="str">
            <v>料盒</v>
          </cell>
        </row>
        <row r="27">
          <cell r="E27" t="str">
            <v>3.1.01.20.00459</v>
          </cell>
          <cell r="F27" t="str">
            <v>LS-MCUM026-AA-V1.10_后驱_三防漆双面_926_009（中车版</v>
          </cell>
          <cell r="G27">
            <v>8</v>
          </cell>
          <cell r="H27" t="str">
            <v>料盒</v>
          </cell>
        </row>
        <row r="28">
          <cell r="E28" t="str">
            <v>3.1.01.20.00368</v>
          </cell>
          <cell r="F28" t="str">
            <v>LS-MCUM018-BA-V1.21_前驱_三防漆双面_924_017（中车截</v>
          </cell>
          <cell r="G28">
            <v>8</v>
          </cell>
          <cell r="H28" t="str">
            <v>料盒</v>
          </cell>
        </row>
        <row r="29">
          <cell r="E29" t="str">
            <v>3.1.01.20.00399</v>
          </cell>
          <cell r="F29" t="str">
            <v>LS-MCUM017-BB-V2.30 三防漆双面 926_008（A平台海外截</v>
          </cell>
          <cell r="G29">
            <v>12</v>
          </cell>
          <cell r="H29" t="str">
            <v>料盒</v>
          </cell>
        </row>
        <row r="30">
          <cell r="E30" t="str">
            <v>3.1.01.20.00403</v>
          </cell>
          <cell r="F30" t="str">
            <v>LS-MCUM112-CL-V2.30 三防漆双面 926_008（B平台士兰截</v>
          </cell>
          <cell r="G30">
            <v>12</v>
          </cell>
          <cell r="H30" t="str">
            <v>料盒</v>
          </cell>
        </row>
        <row r="31">
          <cell r="E31" t="str">
            <v>3.1.01.20.00566</v>
          </cell>
          <cell r="F31" t="str">
            <v>LS-CCUM001-AA-V1.06 三防漆双面 908_067</v>
          </cell>
          <cell r="G31">
            <v>8</v>
          </cell>
          <cell r="H31" t="str">
            <v>料盒</v>
          </cell>
        </row>
        <row r="32">
          <cell r="E32" t="str">
            <v>3.1.01.20.00580</v>
          </cell>
          <cell r="F32" t="str">
            <v>LS-CCUB001-AB-V1.04 三防漆双面 904_219</v>
          </cell>
          <cell r="G32">
            <v>54</v>
          </cell>
          <cell r="H32" t="str">
            <v>料盒</v>
          </cell>
        </row>
        <row r="33">
          <cell r="E33" t="str">
            <v>3.1.04.30.00036</v>
          </cell>
          <cell r="F33" t="str">
            <v>LXT05EV20-BSU总成-03</v>
          </cell>
          <cell r="G33">
            <v>44</v>
          </cell>
          <cell r="H33" t="str">
            <v>料盒</v>
          </cell>
        </row>
        <row r="34">
          <cell r="E34" t="str">
            <v>3.1.04.30.00037</v>
          </cell>
          <cell r="F34" t="str">
            <v>LXT05EV20-BSU总成-04</v>
          </cell>
          <cell r="G34">
            <v>16</v>
          </cell>
          <cell r="H34" t="str">
            <v>料盒</v>
          </cell>
        </row>
        <row r="35">
          <cell r="E35" t="str">
            <v>3.1.01.20.00550</v>
          </cell>
          <cell r="F35" t="str">
            <v>LS-MCUM027-CB-V2.00 三防漆双面 926_024（B平台高压纳芯微版本）</v>
          </cell>
          <cell r="G35">
            <v>12</v>
          </cell>
          <cell r="H35" t="str">
            <v>料盒</v>
          </cell>
        </row>
        <row r="36">
          <cell r="E36" t="str">
            <v>3.1.01.30.00546</v>
          </cell>
          <cell r="F36" t="str">
            <v>LP-BSU051-AA_V100_TI_32A1-SISO_HW_三防漆双面截</v>
          </cell>
          <cell r="G36">
            <v>36</v>
          </cell>
          <cell r="H36" t="str">
            <v>纸箱</v>
          </cell>
        </row>
        <row r="37">
          <cell r="E37" t="str">
            <v>3.1.01.30.00547</v>
          </cell>
          <cell r="F37" t="str">
            <v>LP-BSU050-AA_V100_TI_32B2-SISO-HW_三防漆双面截</v>
          </cell>
          <cell r="G37">
            <v>36</v>
          </cell>
          <cell r="H37" t="str">
            <v>纸箱</v>
          </cell>
        </row>
        <row r="38">
          <cell r="E38" t="str">
            <v>3.1.01.30.00337</v>
          </cell>
          <cell r="F38" t="str">
            <v>LP-UAV010-AA-12S_HSD_OZ3717D_V1.20三防漆双截</v>
          </cell>
          <cell r="G38">
            <v>72</v>
          </cell>
          <cell r="H38" t="str">
            <v>纸箱</v>
          </cell>
        </row>
        <row r="39">
          <cell r="E39" t="str">
            <v>3.1.01.20.00477</v>
          </cell>
          <cell r="F39" t="str">
            <v>LS-CCMM026-AA-V1.00_三防漆双面908_063（瞻芯3代版本）</v>
          </cell>
          <cell r="G39">
            <v>45</v>
          </cell>
          <cell r="H39" t="str">
            <v>料盒</v>
          </cell>
        </row>
        <row r="40">
          <cell r="E40" t="str">
            <v>3.1.01.30.00606</v>
          </cell>
          <cell r="F40" t="str">
            <v>LP-BSU057-AA_V100_TI_29S-TE_三防漆双面919_081</v>
          </cell>
          <cell r="G40">
            <v>14</v>
          </cell>
          <cell r="H40" t="str">
            <v>料盒</v>
          </cell>
        </row>
        <row r="41">
          <cell r="E41" t="str">
            <v>3.1.01.20.00537</v>
          </cell>
          <cell r="F41" t="str">
            <v>LS-MCUM027-CA-V1.20 三防漆双面 908_068（B平台高压士兰版本)</v>
          </cell>
          <cell r="G41">
            <v>12</v>
          </cell>
          <cell r="H41" t="str">
            <v>料盒</v>
          </cell>
        </row>
        <row r="42">
          <cell r="E42" t="str">
            <v>3.1.01.30.00607</v>
          </cell>
          <cell r="F42" t="str">
            <v>LP-BSU070-AA_T1616_A_24S_V1_凡申40_三防漆双面9截</v>
          </cell>
          <cell r="G42">
            <v>48</v>
          </cell>
          <cell r="H42" t="str">
            <v>料盒</v>
          </cell>
        </row>
        <row r="43">
          <cell r="E43" t="str">
            <v>3.1.01.30.00608</v>
          </cell>
          <cell r="F43" t="str">
            <v>LP-BSU070-AA_T1616_46S_V1_凡申40_三防漆双面925截</v>
          </cell>
          <cell r="G43">
            <v>24</v>
          </cell>
          <cell r="H43" t="str">
            <v>料盒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日报"/>
      <sheetName val="合格品入货记录"/>
      <sheetName val="合格品出库记录"/>
      <sheetName val="零跑退回"/>
      <sheetName val="退回供应商"/>
      <sheetName val="库内不良"/>
      <sheetName val="基础数据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3.2.44.20.01636-000</v>
          </cell>
          <cell r="F3" t="str">
            <v>D06电源壳体</v>
          </cell>
          <cell r="G3">
            <v>176</v>
          </cell>
          <cell r="H3" t="str">
            <v>围板箱</v>
          </cell>
        </row>
        <row r="4">
          <cell r="E4" t="str">
            <v>3.2.44.20.01461-000</v>
          </cell>
          <cell r="F4" t="str">
            <v>DM2上箱体</v>
          </cell>
          <cell r="G4">
            <v>54</v>
          </cell>
          <cell r="H4" t="str">
            <v>围板箱</v>
          </cell>
        </row>
        <row r="5">
          <cell r="E5" t="str">
            <v>3.2.44.20.01460-000</v>
          </cell>
          <cell r="F5" t="str">
            <v>DM2下箱体</v>
          </cell>
          <cell r="G5">
            <v>66</v>
          </cell>
          <cell r="H5" t="str">
            <v>围板箱</v>
          </cell>
        </row>
        <row r="6">
          <cell r="E6" t="str">
            <v>3.2.44.20.01462-000</v>
          </cell>
          <cell r="F6" t="str">
            <v>DM1箱体</v>
          </cell>
          <cell r="G6">
            <v>66</v>
          </cell>
          <cell r="H6" t="str">
            <v>围板箱</v>
          </cell>
        </row>
        <row r="7">
          <cell r="E7" t="str">
            <v>3.2.44.20.01981-000</v>
          </cell>
          <cell r="F7" t="str">
            <v>控制器箱体</v>
          </cell>
          <cell r="G7">
            <v>4</v>
          </cell>
          <cell r="H7" t="str">
            <v>纸箱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D363"/>
  <sheetViews>
    <sheetView showGridLines="0" tabSelected="1" zoomScale="70" zoomScaleNormal="70" workbookViewId="0">
      <pane xSplit="1" ySplit="3" topLeftCell="BQ4" activePane="bottomRight" state="frozen"/>
      <selection/>
      <selection pane="topRight"/>
      <selection pane="bottomLeft"/>
      <selection pane="bottomRight" activeCell="CA10" sqref="CA10"/>
    </sheetView>
  </sheetViews>
  <sheetFormatPr defaultColWidth="9" defaultRowHeight="18" customHeight="1"/>
  <cols>
    <col min="1" max="1" width="7.22222222222222" style="1" customWidth="1"/>
    <col min="2" max="2" width="9.55555555555556" style="1" customWidth="1"/>
    <col min="3" max="3" width="36.8888888888889" style="1" customWidth="1"/>
    <col min="4" max="4" width="19" style="1" customWidth="1"/>
    <col min="5" max="5" width="24.4444444444444" style="1" customWidth="1"/>
    <col min="6" max="6" width="57.6666666666667" style="1" customWidth="1"/>
    <col min="7" max="7" width="10.4444444444444" style="1" customWidth="1"/>
    <col min="8" max="9" width="10" style="1" customWidth="1"/>
    <col min="10" max="10" width="12" style="1" customWidth="1"/>
    <col min="11" max="11" width="8.22222222222222" style="14" customWidth="1"/>
    <col min="12" max="12" width="8.44444444444444" style="1" customWidth="1"/>
    <col min="13" max="15" width="10" style="1" customWidth="1"/>
    <col min="16" max="16" width="11.3333333333333" style="1" customWidth="1"/>
    <col min="17" max="17" width="10" style="1" customWidth="1"/>
    <col min="18" max="18" width="6.33333333333333" style="1" customWidth="1"/>
    <col min="19" max="19" width="10" style="1" customWidth="1"/>
    <col min="20" max="28" width="11.2222222222222" style="1" customWidth="1"/>
    <col min="29" max="50" width="12.3333333333333" style="1" customWidth="1"/>
    <col min="51" max="59" width="11.2222222222222" style="1" customWidth="1"/>
    <col min="60" max="81" width="12.3333333333333" style="1" customWidth="1"/>
  </cols>
  <sheetData>
    <row r="1" s="116" customFormat="1" ht="36" customHeight="1" spans="1:81">
      <c r="A1" s="119">
        <v>46143</v>
      </c>
      <c r="B1" s="119"/>
      <c r="C1" s="119"/>
      <c r="D1" s="119"/>
      <c r="E1" s="119"/>
      <c r="F1" s="120" t="s">
        <v>0</v>
      </c>
      <c r="G1" s="121"/>
      <c r="H1" s="121"/>
      <c r="I1" s="121"/>
      <c r="J1" s="121"/>
      <c r="K1" s="122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s="117" customFormat="1" ht="22.5" customHeight="1" spans="1:81">
      <c r="A2" s="32" t="s">
        <v>1</v>
      </c>
      <c r="B2" s="32" t="s">
        <v>2</v>
      </c>
      <c r="C2" s="32" t="s">
        <v>3</v>
      </c>
      <c r="D2" s="33" t="s">
        <v>4</v>
      </c>
      <c r="E2" s="32" t="s">
        <v>5</v>
      </c>
      <c r="F2" s="34" t="s">
        <v>6</v>
      </c>
      <c r="G2" s="34" t="s">
        <v>7</v>
      </c>
      <c r="H2" s="33" t="s">
        <v>8</v>
      </c>
      <c r="I2" s="32" t="s">
        <v>9</v>
      </c>
      <c r="J2" s="123" t="s">
        <v>10</v>
      </c>
      <c r="K2" s="32" t="s">
        <v>11</v>
      </c>
      <c r="L2" s="124" t="s">
        <v>12</v>
      </c>
      <c r="M2" s="32" t="s">
        <v>13</v>
      </c>
      <c r="N2" s="32" t="s">
        <v>14</v>
      </c>
      <c r="O2" s="32" t="s">
        <v>15</v>
      </c>
      <c r="P2" s="32" t="s">
        <v>16</v>
      </c>
      <c r="Q2" s="32" t="s">
        <v>17</v>
      </c>
      <c r="R2" s="32" t="s">
        <v>18</v>
      </c>
      <c r="S2" s="32" t="s">
        <v>19</v>
      </c>
      <c r="T2" s="32" t="s">
        <v>20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125" t="s">
        <v>21</v>
      </c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7"/>
    </row>
    <row r="3" s="117" customFormat="1" ht="22.5" customHeight="1" spans="1:81">
      <c r="A3" s="32"/>
      <c r="B3" s="32"/>
      <c r="C3" s="32"/>
      <c r="D3" s="35"/>
      <c r="E3" s="32"/>
      <c r="F3" s="34"/>
      <c r="G3" s="34"/>
      <c r="H3" s="35"/>
      <c r="I3" s="32"/>
      <c r="J3" s="123"/>
      <c r="K3" s="32"/>
      <c r="L3" s="124"/>
      <c r="M3" s="32"/>
      <c r="N3" s="32"/>
      <c r="O3" s="32"/>
      <c r="P3" s="32"/>
      <c r="Q3" s="32"/>
      <c r="R3" s="32"/>
      <c r="S3" s="32"/>
      <c r="T3" s="128">
        <v>46143</v>
      </c>
      <c r="U3" s="128">
        <v>46144</v>
      </c>
      <c r="V3" s="128">
        <v>46145</v>
      </c>
      <c r="W3" s="128">
        <v>46146</v>
      </c>
      <c r="X3" s="128">
        <v>46147</v>
      </c>
      <c r="Y3" s="128">
        <v>46148</v>
      </c>
      <c r="Z3" s="128">
        <v>46149</v>
      </c>
      <c r="AA3" s="128">
        <v>46150</v>
      </c>
      <c r="AB3" s="128">
        <v>46151</v>
      </c>
      <c r="AC3" s="128">
        <v>46152</v>
      </c>
      <c r="AD3" s="128">
        <v>46153</v>
      </c>
      <c r="AE3" s="128">
        <v>46154</v>
      </c>
      <c r="AF3" s="128">
        <v>46155</v>
      </c>
      <c r="AG3" s="128">
        <v>46156</v>
      </c>
      <c r="AH3" s="128">
        <v>46157</v>
      </c>
      <c r="AI3" s="128">
        <v>46158</v>
      </c>
      <c r="AJ3" s="128">
        <v>46159</v>
      </c>
      <c r="AK3" s="128">
        <v>46160</v>
      </c>
      <c r="AL3" s="128">
        <v>46161</v>
      </c>
      <c r="AM3" s="128">
        <v>46162</v>
      </c>
      <c r="AN3" s="128">
        <v>46163</v>
      </c>
      <c r="AO3" s="128">
        <v>46164</v>
      </c>
      <c r="AP3" s="128">
        <v>46165</v>
      </c>
      <c r="AQ3" s="128">
        <v>46166</v>
      </c>
      <c r="AR3" s="128">
        <v>46167</v>
      </c>
      <c r="AS3" s="128">
        <v>46168</v>
      </c>
      <c r="AT3" s="128">
        <v>46169</v>
      </c>
      <c r="AU3" s="128">
        <v>46170</v>
      </c>
      <c r="AV3" s="128">
        <v>46171</v>
      </c>
      <c r="AW3" s="128">
        <v>46172</v>
      </c>
      <c r="AX3" s="128">
        <v>46173</v>
      </c>
      <c r="AY3" s="128">
        <v>46143</v>
      </c>
      <c r="AZ3" s="128">
        <v>46144</v>
      </c>
      <c r="BA3" s="128">
        <v>46145</v>
      </c>
      <c r="BB3" s="128">
        <v>46146</v>
      </c>
      <c r="BC3" s="128">
        <v>46147</v>
      </c>
      <c r="BD3" s="128">
        <v>46148</v>
      </c>
      <c r="BE3" s="128">
        <v>46149</v>
      </c>
      <c r="BF3" s="128">
        <v>46150</v>
      </c>
      <c r="BG3" s="128">
        <v>46151</v>
      </c>
      <c r="BH3" s="128">
        <v>46152</v>
      </c>
      <c r="BI3" s="128">
        <v>46153</v>
      </c>
      <c r="BJ3" s="128">
        <v>46154</v>
      </c>
      <c r="BK3" s="128">
        <v>46155</v>
      </c>
      <c r="BL3" s="128">
        <v>46156</v>
      </c>
      <c r="BM3" s="128">
        <v>46157</v>
      </c>
      <c r="BN3" s="128">
        <v>46158</v>
      </c>
      <c r="BO3" s="128">
        <v>46159</v>
      </c>
      <c r="BP3" s="128">
        <v>46160</v>
      </c>
      <c r="BQ3" s="128">
        <v>46161</v>
      </c>
      <c r="BR3" s="128">
        <v>46162</v>
      </c>
      <c r="BS3" s="128">
        <v>46163</v>
      </c>
      <c r="BT3" s="128">
        <v>46164</v>
      </c>
      <c r="BU3" s="128">
        <v>46165</v>
      </c>
      <c r="BV3" s="128">
        <v>46166</v>
      </c>
      <c r="BW3" s="128">
        <v>46167</v>
      </c>
      <c r="BX3" s="128">
        <v>46168</v>
      </c>
      <c r="BY3" s="128">
        <v>46169</v>
      </c>
      <c r="BZ3" s="128">
        <v>46170</v>
      </c>
      <c r="CA3" s="128">
        <v>46171</v>
      </c>
      <c r="CB3" s="128">
        <v>46172</v>
      </c>
      <c r="CC3" s="128">
        <v>46173</v>
      </c>
    </row>
    <row r="4" s="118" customFormat="1" ht="25.05" customHeight="1" spans="1:81">
      <c r="A4" s="36">
        <v>1</v>
      </c>
      <c r="B4" s="37" t="s">
        <v>22</v>
      </c>
      <c r="C4" s="38" t="s">
        <v>23</v>
      </c>
      <c r="D4" s="38" t="s">
        <v>24</v>
      </c>
      <c r="E4" s="39" t="s">
        <v>25</v>
      </c>
      <c r="F4" s="36" t="s">
        <v>26</v>
      </c>
      <c r="G4" s="36">
        <v>162</v>
      </c>
      <c r="H4" s="40" t="s">
        <v>27</v>
      </c>
      <c r="I4" s="36">
        <v>0</v>
      </c>
      <c r="J4" s="129">
        <v>0</v>
      </c>
      <c r="K4" s="36">
        <v>1403</v>
      </c>
      <c r="L4" s="130">
        <v>810</v>
      </c>
      <c r="M4" s="36">
        <v>0</v>
      </c>
      <c r="N4" s="36">
        <v>0</v>
      </c>
      <c r="O4" s="36">
        <v>0</v>
      </c>
      <c r="P4" s="36">
        <v>0</v>
      </c>
      <c r="Q4" s="131">
        <v>593</v>
      </c>
      <c r="R4" s="36"/>
      <c r="S4" s="36"/>
      <c r="T4" s="36"/>
      <c r="U4" s="36" t="s">
        <v>28</v>
      </c>
      <c r="V4" s="36" t="s">
        <v>28</v>
      </c>
      <c r="W4" s="36">
        <v>486</v>
      </c>
      <c r="X4" s="36" t="s">
        <v>28</v>
      </c>
      <c r="Y4" s="36" t="s">
        <v>28</v>
      </c>
      <c r="Z4" s="36">
        <v>324</v>
      </c>
      <c r="AA4" s="36" t="s">
        <v>28</v>
      </c>
      <c r="AB4" s="36">
        <v>123</v>
      </c>
      <c r="AC4" s="36" t="s">
        <v>28</v>
      </c>
      <c r="AD4" s="36">
        <v>162</v>
      </c>
      <c r="AE4" s="36">
        <v>308</v>
      </c>
      <c r="AF4" s="36" t="s">
        <v>28</v>
      </c>
      <c r="AG4" s="36" t="s">
        <v>28</v>
      </c>
      <c r="AH4" s="36" t="s">
        <v>28</v>
      </c>
      <c r="AI4" s="36" t="s">
        <v>28</v>
      </c>
      <c r="AJ4" s="36" t="s">
        <v>28</v>
      </c>
      <c r="AK4" s="36" t="s">
        <v>28</v>
      </c>
      <c r="AL4" s="36" t="s">
        <v>28</v>
      </c>
      <c r="AM4" s="36" t="s">
        <v>28</v>
      </c>
      <c r="AN4" s="36" t="s">
        <v>28</v>
      </c>
      <c r="AO4" s="36" t="s">
        <v>28</v>
      </c>
      <c r="AP4" s="36" t="s">
        <v>28</v>
      </c>
      <c r="AQ4" s="36" t="s">
        <v>28</v>
      </c>
      <c r="AR4" s="36" t="s">
        <v>28</v>
      </c>
      <c r="AS4" s="36" t="s">
        <v>28</v>
      </c>
      <c r="AT4" s="36" t="s">
        <v>28</v>
      </c>
      <c r="AU4" s="36" t="s">
        <v>28</v>
      </c>
      <c r="AV4" s="36" t="s">
        <v>28</v>
      </c>
      <c r="AW4" s="36" t="s">
        <v>28</v>
      </c>
      <c r="AX4" s="36" t="s">
        <v>28</v>
      </c>
      <c r="AY4" s="36" t="s">
        <v>28</v>
      </c>
      <c r="AZ4" s="36" t="s">
        <v>28</v>
      </c>
      <c r="BA4" s="36" t="s">
        <v>28</v>
      </c>
      <c r="BB4" s="36" t="s">
        <v>28</v>
      </c>
      <c r="BC4" s="36" t="s">
        <v>28</v>
      </c>
      <c r="BD4" s="36" t="s">
        <v>28</v>
      </c>
      <c r="BE4" s="36" t="s">
        <v>28</v>
      </c>
      <c r="BF4" s="36" t="s">
        <v>28</v>
      </c>
      <c r="BG4" s="36">
        <v>810</v>
      </c>
      <c r="BH4" s="36" t="s">
        <v>28</v>
      </c>
      <c r="BI4" s="36" t="s">
        <v>28</v>
      </c>
      <c r="BJ4" s="36" t="s">
        <v>28</v>
      </c>
      <c r="BK4" s="36" t="s">
        <v>28</v>
      </c>
      <c r="BL4" s="36" t="s">
        <v>28</v>
      </c>
      <c r="BM4" s="36" t="s">
        <v>28</v>
      </c>
      <c r="BN4" s="36" t="s">
        <v>28</v>
      </c>
      <c r="BO4" s="36" t="s">
        <v>28</v>
      </c>
      <c r="BP4" s="36" t="s">
        <v>28</v>
      </c>
      <c r="BQ4" s="36" t="s">
        <v>28</v>
      </c>
      <c r="BR4" s="36" t="s">
        <v>28</v>
      </c>
      <c r="BS4" s="36" t="s">
        <v>28</v>
      </c>
      <c r="BT4" s="36" t="s">
        <v>28</v>
      </c>
      <c r="BU4" s="36" t="s">
        <v>28</v>
      </c>
      <c r="BV4" s="36" t="s">
        <v>28</v>
      </c>
      <c r="BW4" s="36" t="s">
        <v>28</v>
      </c>
      <c r="BX4" s="36" t="s">
        <v>28</v>
      </c>
      <c r="BY4" s="36" t="s">
        <v>28</v>
      </c>
      <c r="BZ4" s="36" t="s">
        <v>28</v>
      </c>
      <c r="CA4" s="36" t="s">
        <v>28</v>
      </c>
      <c r="CB4" s="36" t="s">
        <v>28</v>
      </c>
      <c r="CC4" s="36" t="s">
        <v>28</v>
      </c>
    </row>
    <row r="5" s="118" customFormat="1" ht="25.05" customHeight="1" spans="1:81">
      <c r="A5" s="36">
        <v>2</v>
      </c>
      <c r="B5" s="37" t="s">
        <v>22</v>
      </c>
      <c r="C5" s="38" t="s">
        <v>23</v>
      </c>
      <c r="D5" s="38" t="s">
        <v>29</v>
      </c>
      <c r="E5" s="36" t="s">
        <v>30</v>
      </c>
      <c r="F5" s="36" t="s">
        <v>31</v>
      </c>
      <c r="G5" s="36">
        <v>162</v>
      </c>
      <c r="H5" s="40" t="s">
        <v>27</v>
      </c>
      <c r="I5" s="36">
        <v>0</v>
      </c>
      <c r="J5" s="129">
        <v>0</v>
      </c>
      <c r="K5" s="36">
        <v>10513</v>
      </c>
      <c r="L5" s="130">
        <v>9217</v>
      </c>
      <c r="M5" s="36">
        <v>0</v>
      </c>
      <c r="N5" s="36">
        <v>0</v>
      </c>
      <c r="O5" s="36">
        <v>0</v>
      </c>
      <c r="P5" s="36">
        <v>0</v>
      </c>
      <c r="Q5" s="131">
        <v>1296</v>
      </c>
      <c r="R5" s="36"/>
      <c r="S5" s="36"/>
      <c r="T5" s="36"/>
      <c r="U5" s="36">
        <v>3564</v>
      </c>
      <c r="V5" s="36" t="s">
        <v>28</v>
      </c>
      <c r="W5" s="36" t="s">
        <v>28</v>
      </c>
      <c r="X5" s="36" t="s">
        <v>28</v>
      </c>
      <c r="Y5" s="36">
        <v>1620</v>
      </c>
      <c r="Z5" s="36">
        <v>648</v>
      </c>
      <c r="AA5" s="36">
        <v>799</v>
      </c>
      <c r="AB5" s="36">
        <v>1290</v>
      </c>
      <c r="AC5" s="36">
        <v>324</v>
      </c>
      <c r="AD5" s="36">
        <v>2106</v>
      </c>
      <c r="AE5" s="36">
        <v>162</v>
      </c>
      <c r="AF5" s="36" t="s">
        <v>28</v>
      </c>
      <c r="AG5" s="36" t="s">
        <v>28</v>
      </c>
      <c r="AH5" s="36" t="s">
        <v>28</v>
      </c>
      <c r="AI5" s="36" t="s">
        <v>28</v>
      </c>
      <c r="AJ5" s="36" t="s">
        <v>28</v>
      </c>
      <c r="AK5" s="36" t="s">
        <v>28</v>
      </c>
      <c r="AL5" s="36" t="s">
        <v>28</v>
      </c>
      <c r="AM5" s="36" t="s">
        <v>28</v>
      </c>
      <c r="AN5" s="36" t="s">
        <v>28</v>
      </c>
      <c r="AO5" s="36" t="s">
        <v>28</v>
      </c>
      <c r="AP5" s="36" t="s">
        <v>28</v>
      </c>
      <c r="AQ5" s="36" t="s">
        <v>28</v>
      </c>
      <c r="AR5" s="36" t="s">
        <v>28</v>
      </c>
      <c r="AS5" s="36" t="s">
        <v>28</v>
      </c>
      <c r="AT5" s="36" t="s">
        <v>28</v>
      </c>
      <c r="AU5" s="36" t="s">
        <v>28</v>
      </c>
      <c r="AV5" s="36" t="s">
        <v>28</v>
      </c>
      <c r="AW5" s="36" t="s">
        <v>28</v>
      </c>
      <c r="AX5" s="36" t="s">
        <v>28</v>
      </c>
      <c r="AY5" s="36" t="s">
        <v>28</v>
      </c>
      <c r="AZ5" s="36">
        <v>2916</v>
      </c>
      <c r="BA5" s="36">
        <v>648</v>
      </c>
      <c r="BB5" s="36" t="s">
        <v>28</v>
      </c>
      <c r="BC5" s="36" t="s">
        <v>28</v>
      </c>
      <c r="BD5" s="36">
        <v>486</v>
      </c>
      <c r="BE5" s="36">
        <v>1782</v>
      </c>
      <c r="BF5" s="36">
        <v>799</v>
      </c>
      <c r="BG5" s="36">
        <v>1290</v>
      </c>
      <c r="BH5" s="36" t="s">
        <v>28</v>
      </c>
      <c r="BI5" s="36" t="s">
        <v>28</v>
      </c>
      <c r="BJ5" s="36">
        <v>1296</v>
      </c>
      <c r="BK5" s="36" t="s">
        <v>28</v>
      </c>
      <c r="BL5" s="36" t="s">
        <v>28</v>
      </c>
      <c r="BM5" s="36" t="s">
        <v>28</v>
      </c>
      <c r="BN5" s="36" t="s">
        <v>28</v>
      </c>
      <c r="BO5" s="36" t="s">
        <v>28</v>
      </c>
      <c r="BP5" s="36" t="s">
        <v>28</v>
      </c>
      <c r="BQ5" s="36" t="s">
        <v>28</v>
      </c>
      <c r="BR5" s="36" t="s">
        <v>28</v>
      </c>
      <c r="BS5" s="36" t="s">
        <v>28</v>
      </c>
      <c r="BT5" s="36" t="s">
        <v>28</v>
      </c>
      <c r="BU5" s="36" t="s">
        <v>28</v>
      </c>
      <c r="BV5" s="36" t="s">
        <v>28</v>
      </c>
      <c r="BW5" s="36" t="s">
        <v>28</v>
      </c>
      <c r="BX5" s="36" t="s">
        <v>28</v>
      </c>
      <c r="BY5" s="36" t="s">
        <v>28</v>
      </c>
      <c r="BZ5" s="36" t="s">
        <v>28</v>
      </c>
      <c r="CA5" s="36" t="s">
        <v>28</v>
      </c>
      <c r="CB5" s="36" t="s">
        <v>28</v>
      </c>
      <c r="CC5" s="36" t="s">
        <v>28</v>
      </c>
    </row>
    <row r="6" s="118" customFormat="1" ht="25.05" customHeight="1" spans="1:81">
      <c r="A6" s="36">
        <v>3</v>
      </c>
      <c r="B6" s="37" t="s">
        <v>22</v>
      </c>
      <c r="C6" s="38" t="s">
        <v>23</v>
      </c>
      <c r="D6" s="38" t="s">
        <v>32</v>
      </c>
      <c r="E6" s="39" t="s">
        <v>33</v>
      </c>
      <c r="F6" s="36" t="s">
        <v>34</v>
      </c>
      <c r="G6" s="36">
        <v>36</v>
      </c>
      <c r="H6" s="40" t="s">
        <v>27</v>
      </c>
      <c r="I6" s="36">
        <v>756</v>
      </c>
      <c r="J6" s="129">
        <v>0</v>
      </c>
      <c r="K6" s="36">
        <v>2664</v>
      </c>
      <c r="L6" s="130">
        <v>3276</v>
      </c>
      <c r="M6" s="36">
        <v>0</v>
      </c>
      <c r="N6" s="36">
        <v>0</v>
      </c>
      <c r="O6" s="36">
        <v>0</v>
      </c>
      <c r="P6" s="36">
        <v>0</v>
      </c>
      <c r="Q6" s="131">
        <v>144</v>
      </c>
      <c r="R6" s="36"/>
      <c r="S6" s="36"/>
      <c r="T6" s="36"/>
      <c r="U6" s="36">
        <v>1548</v>
      </c>
      <c r="V6" s="36" t="s">
        <v>28</v>
      </c>
      <c r="W6" s="36">
        <v>468</v>
      </c>
      <c r="X6" s="36" t="s">
        <v>28</v>
      </c>
      <c r="Y6" s="36" t="s">
        <v>28</v>
      </c>
      <c r="Z6" s="36" t="s">
        <v>28</v>
      </c>
      <c r="AA6" s="36" t="s">
        <v>28</v>
      </c>
      <c r="AB6" s="36">
        <v>504</v>
      </c>
      <c r="AC6" s="36" t="s">
        <v>28</v>
      </c>
      <c r="AD6" s="36" t="s">
        <v>28</v>
      </c>
      <c r="AE6" s="36">
        <v>144</v>
      </c>
      <c r="AF6" s="36" t="s">
        <v>28</v>
      </c>
      <c r="AG6" s="36" t="s">
        <v>28</v>
      </c>
      <c r="AH6" s="36" t="s">
        <v>28</v>
      </c>
      <c r="AI6" s="36" t="s">
        <v>28</v>
      </c>
      <c r="AJ6" s="36" t="s">
        <v>28</v>
      </c>
      <c r="AK6" s="36" t="s">
        <v>28</v>
      </c>
      <c r="AL6" s="36" t="s">
        <v>28</v>
      </c>
      <c r="AM6" s="36" t="s">
        <v>28</v>
      </c>
      <c r="AN6" s="36" t="s">
        <v>28</v>
      </c>
      <c r="AO6" s="36" t="s">
        <v>28</v>
      </c>
      <c r="AP6" s="36" t="s">
        <v>28</v>
      </c>
      <c r="AQ6" s="36" t="s">
        <v>28</v>
      </c>
      <c r="AR6" s="36" t="s">
        <v>28</v>
      </c>
      <c r="AS6" s="36" t="s">
        <v>28</v>
      </c>
      <c r="AT6" s="36" t="s">
        <v>28</v>
      </c>
      <c r="AU6" s="36" t="s">
        <v>28</v>
      </c>
      <c r="AV6" s="36" t="s">
        <v>28</v>
      </c>
      <c r="AW6" s="36" t="s">
        <v>28</v>
      </c>
      <c r="AX6" s="36" t="s">
        <v>28</v>
      </c>
      <c r="AY6" s="36" t="s">
        <v>28</v>
      </c>
      <c r="AZ6" s="36" t="s">
        <v>28</v>
      </c>
      <c r="BA6" s="36">
        <v>576</v>
      </c>
      <c r="BB6" s="36" t="s">
        <v>28</v>
      </c>
      <c r="BC6" s="36" t="s">
        <v>28</v>
      </c>
      <c r="BD6" s="36" t="s">
        <v>28</v>
      </c>
      <c r="BE6" s="36">
        <v>576</v>
      </c>
      <c r="BF6" s="36" t="s">
        <v>28</v>
      </c>
      <c r="BG6" s="36">
        <v>2124</v>
      </c>
      <c r="BH6" s="36" t="s">
        <v>28</v>
      </c>
      <c r="BI6" s="36" t="s">
        <v>28</v>
      </c>
      <c r="BJ6" s="36" t="s">
        <v>28</v>
      </c>
      <c r="BK6" s="36" t="s">
        <v>28</v>
      </c>
      <c r="BL6" s="36" t="s">
        <v>28</v>
      </c>
      <c r="BM6" s="36" t="s">
        <v>28</v>
      </c>
      <c r="BN6" s="36" t="s">
        <v>28</v>
      </c>
      <c r="BO6" s="36" t="s">
        <v>28</v>
      </c>
      <c r="BP6" s="36" t="s">
        <v>28</v>
      </c>
      <c r="BQ6" s="36" t="s">
        <v>28</v>
      </c>
      <c r="BR6" s="36" t="s">
        <v>28</v>
      </c>
      <c r="BS6" s="36" t="s">
        <v>28</v>
      </c>
      <c r="BT6" s="36" t="s">
        <v>28</v>
      </c>
      <c r="BU6" s="36" t="s">
        <v>28</v>
      </c>
      <c r="BV6" s="36" t="s">
        <v>28</v>
      </c>
      <c r="BW6" s="36" t="s">
        <v>28</v>
      </c>
      <c r="BX6" s="36" t="s">
        <v>28</v>
      </c>
      <c r="BY6" s="36" t="s">
        <v>28</v>
      </c>
      <c r="BZ6" s="36" t="s">
        <v>28</v>
      </c>
      <c r="CA6" s="36" t="s">
        <v>28</v>
      </c>
      <c r="CB6" s="36" t="s">
        <v>28</v>
      </c>
      <c r="CC6" s="36" t="s">
        <v>28</v>
      </c>
    </row>
    <row r="7" s="118" customFormat="1" ht="25.05" customHeight="1" spans="1:81">
      <c r="A7" s="36">
        <v>4</v>
      </c>
      <c r="B7" s="37" t="s">
        <v>22</v>
      </c>
      <c r="C7" s="38" t="s">
        <v>23</v>
      </c>
      <c r="D7" s="36" t="s">
        <v>35</v>
      </c>
      <c r="E7" s="36" t="s">
        <v>36</v>
      </c>
      <c r="F7" s="36" t="s">
        <v>37</v>
      </c>
      <c r="G7" s="36">
        <v>36</v>
      </c>
      <c r="H7" s="40" t="s">
        <v>27</v>
      </c>
      <c r="I7" s="36">
        <v>0</v>
      </c>
      <c r="J7" s="129">
        <v>0</v>
      </c>
      <c r="K7" s="36">
        <v>3312</v>
      </c>
      <c r="L7" s="130">
        <v>3312</v>
      </c>
      <c r="M7" s="36">
        <v>0</v>
      </c>
      <c r="N7" s="36">
        <v>0</v>
      </c>
      <c r="O7" s="36">
        <v>0</v>
      </c>
      <c r="P7" s="36">
        <v>0</v>
      </c>
      <c r="Q7" s="131">
        <v>0</v>
      </c>
      <c r="R7" s="36"/>
      <c r="S7" s="36"/>
      <c r="T7" s="36"/>
      <c r="U7" s="36">
        <v>2088</v>
      </c>
      <c r="V7" s="36">
        <v>36</v>
      </c>
      <c r="W7" s="36" t="s">
        <v>28</v>
      </c>
      <c r="X7" s="36">
        <v>324</v>
      </c>
      <c r="Y7" s="36" t="s">
        <v>28</v>
      </c>
      <c r="Z7" s="36" t="s">
        <v>28</v>
      </c>
      <c r="AA7" s="36">
        <v>144</v>
      </c>
      <c r="AB7" s="36">
        <v>720</v>
      </c>
      <c r="AC7" s="36" t="s">
        <v>28</v>
      </c>
      <c r="AD7" s="36" t="s">
        <v>28</v>
      </c>
      <c r="AE7" s="36" t="s">
        <v>28</v>
      </c>
      <c r="AF7" s="36" t="s">
        <v>28</v>
      </c>
      <c r="AG7" s="36" t="s">
        <v>28</v>
      </c>
      <c r="AH7" s="36" t="s">
        <v>28</v>
      </c>
      <c r="AI7" s="36" t="s">
        <v>28</v>
      </c>
      <c r="AJ7" s="36" t="s">
        <v>28</v>
      </c>
      <c r="AK7" s="36" t="s">
        <v>28</v>
      </c>
      <c r="AL7" s="36" t="s">
        <v>28</v>
      </c>
      <c r="AM7" s="36" t="s">
        <v>28</v>
      </c>
      <c r="AN7" s="36" t="s">
        <v>28</v>
      </c>
      <c r="AO7" s="36" t="s">
        <v>28</v>
      </c>
      <c r="AP7" s="36" t="s">
        <v>28</v>
      </c>
      <c r="AQ7" s="36" t="s">
        <v>28</v>
      </c>
      <c r="AR7" s="36" t="s">
        <v>28</v>
      </c>
      <c r="AS7" s="36" t="s">
        <v>28</v>
      </c>
      <c r="AT7" s="36" t="s">
        <v>28</v>
      </c>
      <c r="AU7" s="36" t="s">
        <v>28</v>
      </c>
      <c r="AV7" s="36" t="s">
        <v>28</v>
      </c>
      <c r="AW7" s="36" t="s">
        <v>28</v>
      </c>
      <c r="AX7" s="36" t="s">
        <v>28</v>
      </c>
      <c r="AY7" s="36" t="s">
        <v>28</v>
      </c>
      <c r="AZ7" s="36" t="s">
        <v>28</v>
      </c>
      <c r="BA7" s="36" t="s">
        <v>28</v>
      </c>
      <c r="BB7" s="36" t="s">
        <v>28</v>
      </c>
      <c r="BC7" s="36" t="s">
        <v>28</v>
      </c>
      <c r="BD7" s="36" t="s">
        <v>28</v>
      </c>
      <c r="BE7" s="36">
        <v>432</v>
      </c>
      <c r="BF7" s="36" t="s">
        <v>28</v>
      </c>
      <c r="BG7" s="36">
        <v>2880</v>
      </c>
      <c r="BH7" s="36" t="s">
        <v>28</v>
      </c>
      <c r="BI7" s="36" t="s">
        <v>28</v>
      </c>
      <c r="BJ7" s="36" t="s">
        <v>28</v>
      </c>
      <c r="BK7" s="36" t="s">
        <v>28</v>
      </c>
      <c r="BL7" s="36" t="s">
        <v>28</v>
      </c>
      <c r="BM7" s="36" t="s">
        <v>28</v>
      </c>
      <c r="BN7" s="36" t="s">
        <v>28</v>
      </c>
      <c r="BO7" s="36" t="s">
        <v>28</v>
      </c>
      <c r="BP7" s="36" t="s">
        <v>28</v>
      </c>
      <c r="BQ7" s="36" t="s">
        <v>28</v>
      </c>
      <c r="BR7" s="36" t="s">
        <v>28</v>
      </c>
      <c r="BS7" s="36" t="s">
        <v>28</v>
      </c>
      <c r="BT7" s="36" t="s">
        <v>28</v>
      </c>
      <c r="BU7" s="36" t="s">
        <v>28</v>
      </c>
      <c r="BV7" s="36" t="s">
        <v>28</v>
      </c>
      <c r="BW7" s="36" t="s">
        <v>28</v>
      </c>
      <c r="BX7" s="36" t="s">
        <v>28</v>
      </c>
      <c r="BY7" s="36" t="s">
        <v>28</v>
      </c>
      <c r="BZ7" s="36" t="s">
        <v>28</v>
      </c>
      <c r="CA7" s="36" t="s">
        <v>28</v>
      </c>
      <c r="CB7" s="36" t="s">
        <v>28</v>
      </c>
      <c r="CC7" s="36" t="s">
        <v>28</v>
      </c>
    </row>
    <row r="8" ht="25.05" customHeight="1" spans="1:81">
      <c r="A8" s="36">
        <v>5</v>
      </c>
      <c r="B8" s="37" t="s">
        <v>22</v>
      </c>
      <c r="C8" s="38" t="s">
        <v>23</v>
      </c>
      <c r="D8" s="132" t="s">
        <v>38</v>
      </c>
      <c r="E8" s="39" t="s">
        <v>39</v>
      </c>
      <c r="F8" s="36" t="s">
        <v>40</v>
      </c>
      <c r="G8" s="36">
        <v>36</v>
      </c>
      <c r="H8" s="40" t="s">
        <v>27</v>
      </c>
      <c r="I8" s="133">
        <v>684</v>
      </c>
      <c r="J8" s="134">
        <v>0</v>
      </c>
      <c r="K8" s="36">
        <v>2016</v>
      </c>
      <c r="L8" s="130">
        <v>2700</v>
      </c>
      <c r="M8" s="36">
        <v>0</v>
      </c>
      <c r="N8" s="36">
        <v>0</v>
      </c>
      <c r="O8" s="36">
        <v>0</v>
      </c>
      <c r="P8" s="36">
        <v>0</v>
      </c>
      <c r="Q8" s="131">
        <v>0</v>
      </c>
      <c r="R8" s="133"/>
      <c r="S8" s="133"/>
      <c r="T8" s="133"/>
      <c r="U8" s="133">
        <v>468</v>
      </c>
      <c r="V8" s="133" t="s">
        <v>28</v>
      </c>
      <c r="W8" s="133">
        <v>36</v>
      </c>
      <c r="X8" s="133">
        <v>792</v>
      </c>
      <c r="Y8" s="133">
        <v>504</v>
      </c>
      <c r="Z8" s="133">
        <v>144</v>
      </c>
      <c r="AA8" s="133" t="s">
        <v>28</v>
      </c>
      <c r="AB8" s="133">
        <v>72</v>
      </c>
      <c r="AC8" s="133" t="s">
        <v>28</v>
      </c>
      <c r="AD8" s="133" t="s">
        <v>28</v>
      </c>
      <c r="AE8" s="133" t="s">
        <v>28</v>
      </c>
      <c r="AF8" s="133" t="s">
        <v>28</v>
      </c>
      <c r="AG8" s="133" t="s">
        <v>28</v>
      </c>
      <c r="AH8" s="133" t="s">
        <v>28</v>
      </c>
      <c r="AI8" s="133" t="s">
        <v>28</v>
      </c>
      <c r="AJ8" s="133" t="s">
        <v>28</v>
      </c>
      <c r="AK8" s="133" t="s">
        <v>28</v>
      </c>
      <c r="AL8" s="133" t="s">
        <v>28</v>
      </c>
      <c r="AM8" s="133" t="s">
        <v>28</v>
      </c>
      <c r="AN8" s="133" t="s">
        <v>28</v>
      </c>
      <c r="AO8" s="133" t="s">
        <v>28</v>
      </c>
      <c r="AP8" s="133" t="s">
        <v>28</v>
      </c>
      <c r="AQ8" s="133" t="s">
        <v>28</v>
      </c>
      <c r="AR8" s="133" t="s">
        <v>28</v>
      </c>
      <c r="AS8" s="133" t="s">
        <v>28</v>
      </c>
      <c r="AT8" s="133" t="s">
        <v>28</v>
      </c>
      <c r="AU8" s="133" t="s">
        <v>28</v>
      </c>
      <c r="AV8" s="133" t="s">
        <v>28</v>
      </c>
      <c r="AW8" s="133" t="s">
        <v>28</v>
      </c>
      <c r="AX8" s="133" t="s">
        <v>28</v>
      </c>
      <c r="AY8" s="133" t="s">
        <v>28</v>
      </c>
      <c r="AZ8" s="133" t="s">
        <v>28</v>
      </c>
      <c r="BA8" s="133" t="s">
        <v>28</v>
      </c>
      <c r="BB8" s="133" t="s">
        <v>28</v>
      </c>
      <c r="BC8" s="133">
        <v>468</v>
      </c>
      <c r="BD8" s="133" t="s">
        <v>28</v>
      </c>
      <c r="BE8" s="133" t="s">
        <v>28</v>
      </c>
      <c r="BF8" s="133" t="s">
        <v>28</v>
      </c>
      <c r="BG8" s="133">
        <v>2160</v>
      </c>
      <c r="BH8" s="133">
        <v>72</v>
      </c>
      <c r="BI8" s="133" t="s">
        <v>28</v>
      </c>
      <c r="BJ8" s="133" t="s">
        <v>28</v>
      </c>
      <c r="BK8" s="133" t="s">
        <v>28</v>
      </c>
      <c r="BL8" s="133" t="s">
        <v>28</v>
      </c>
      <c r="BM8" s="133" t="s">
        <v>28</v>
      </c>
      <c r="BN8" s="133" t="s">
        <v>28</v>
      </c>
      <c r="BO8" s="133" t="s">
        <v>28</v>
      </c>
      <c r="BP8" s="133" t="s">
        <v>28</v>
      </c>
      <c r="BQ8" s="133" t="s">
        <v>28</v>
      </c>
      <c r="BR8" s="133" t="s">
        <v>28</v>
      </c>
      <c r="BS8" s="133" t="s">
        <v>28</v>
      </c>
      <c r="BT8" s="133" t="s">
        <v>28</v>
      </c>
      <c r="BU8" s="133" t="s">
        <v>28</v>
      </c>
      <c r="BV8" s="133" t="s">
        <v>28</v>
      </c>
      <c r="BW8" s="133" t="s">
        <v>28</v>
      </c>
      <c r="BX8" s="133" t="s">
        <v>28</v>
      </c>
      <c r="BY8" s="133" t="s">
        <v>28</v>
      </c>
      <c r="BZ8" s="133" t="s">
        <v>28</v>
      </c>
      <c r="CA8" s="133" t="s">
        <v>28</v>
      </c>
      <c r="CB8" s="133" t="s">
        <v>28</v>
      </c>
      <c r="CC8" s="133" t="s">
        <v>28</v>
      </c>
    </row>
    <row r="9" ht="25.05" customHeight="1" spans="1:81">
      <c r="A9" s="36">
        <v>6</v>
      </c>
      <c r="B9" s="37" t="s">
        <v>22</v>
      </c>
      <c r="C9" s="38" t="s">
        <v>23</v>
      </c>
      <c r="D9" s="14" t="s">
        <v>41</v>
      </c>
      <c r="E9" s="36" t="s">
        <v>42</v>
      </c>
      <c r="F9" s="36" t="s">
        <v>43</v>
      </c>
      <c r="G9" s="36">
        <v>36</v>
      </c>
      <c r="H9" s="40" t="s">
        <v>27</v>
      </c>
      <c r="I9" s="133">
        <v>1076</v>
      </c>
      <c r="J9" s="134">
        <v>0</v>
      </c>
      <c r="K9" s="36">
        <v>3960</v>
      </c>
      <c r="L9" s="130">
        <v>2016</v>
      </c>
      <c r="M9" s="36">
        <v>0</v>
      </c>
      <c r="N9" s="36">
        <v>0</v>
      </c>
      <c r="O9" s="36">
        <v>0</v>
      </c>
      <c r="P9" s="36">
        <v>0</v>
      </c>
      <c r="Q9" s="131">
        <v>3020</v>
      </c>
      <c r="R9" s="133"/>
      <c r="S9" s="133"/>
      <c r="T9" s="133"/>
      <c r="U9" s="133">
        <v>144</v>
      </c>
      <c r="V9" s="133">
        <v>1188</v>
      </c>
      <c r="W9" s="133">
        <v>1044</v>
      </c>
      <c r="X9" s="133">
        <v>360</v>
      </c>
      <c r="Y9" s="133" t="s">
        <v>28</v>
      </c>
      <c r="Z9" s="133" t="s">
        <v>28</v>
      </c>
      <c r="AA9" s="133" t="s">
        <v>28</v>
      </c>
      <c r="AB9" s="133">
        <v>1224</v>
      </c>
      <c r="AC9" s="133" t="s">
        <v>28</v>
      </c>
      <c r="AD9" s="133" t="s">
        <v>28</v>
      </c>
      <c r="AE9" s="133" t="s">
        <v>28</v>
      </c>
      <c r="AF9" s="133" t="s">
        <v>28</v>
      </c>
      <c r="AG9" s="133" t="s">
        <v>28</v>
      </c>
      <c r="AH9" s="133" t="s">
        <v>28</v>
      </c>
      <c r="AI9" s="133" t="s">
        <v>28</v>
      </c>
      <c r="AJ9" s="133" t="s">
        <v>28</v>
      </c>
      <c r="AK9" s="133" t="s">
        <v>28</v>
      </c>
      <c r="AL9" s="133" t="s">
        <v>28</v>
      </c>
      <c r="AM9" s="133" t="s">
        <v>28</v>
      </c>
      <c r="AN9" s="133" t="s">
        <v>28</v>
      </c>
      <c r="AO9" s="133" t="s">
        <v>28</v>
      </c>
      <c r="AP9" s="133" t="s">
        <v>28</v>
      </c>
      <c r="AQ9" s="133" t="s">
        <v>28</v>
      </c>
      <c r="AR9" s="133" t="s">
        <v>28</v>
      </c>
      <c r="AS9" s="133" t="s">
        <v>28</v>
      </c>
      <c r="AT9" s="133" t="s">
        <v>28</v>
      </c>
      <c r="AU9" s="133" t="s">
        <v>28</v>
      </c>
      <c r="AV9" s="133" t="s">
        <v>28</v>
      </c>
      <c r="AW9" s="133" t="s">
        <v>28</v>
      </c>
      <c r="AX9" s="133" t="s">
        <v>28</v>
      </c>
      <c r="AY9" s="133" t="s">
        <v>28</v>
      </c>
      <c r="AZ9" s="133" t="s">
        <v>28</v>
      </c>
      <c r="BA9" s="133" t="s">
        <v>28</v>
      </c>
      <c r="BB9" s="133">
        <v>2016</v>
      </c>
      <c r="BC9" s="133" t="s">
        <v>28</v>
      </c>
      <c r="BD9" s="133" t="s">
        <v>28</v>
      </c>
      <c r="BE9" s="133" t="s">
        <v>28</v>
      </c>
      <c r="BF9" s="133" t="s">
        <v>28</v>
      </c>
      <c r="BG9" s="133" t="s">
        <v>28</v>
      </c>
      <c r="BH9" s="133" t="s">
        <v>28</v>
      </c>
      <c r="BI9" s="133" t="s">
        <v>28</v>
      </c>
      <c r="BJ9" s="133" t="s">
        <v>28</v>
      </c>
      <c r="BK9" s="133" t="s">
        <v>28</v>
      </c>
      <c r="BL9" s="133" t="s">
        <v>28</v>
      </c>
      <c r="BM9" s="133" t="s">
        <v>28</v>
      </c>
      <c r="BN9" s="133" t="s">
        <v>28</v>
      </c>
      <c r="BO9" s="133" t="s">
        <v>28</v>
      </c>
      <c r="BP9" s="133" t="s">
        <v>28</v>
      </c>
      <c r="BQ9" s="133" t="s">
        <v>28</v>
      </c>
      <c r="BR9" s="133" t="s">
        <v>28</v>
      </c>
      <c r="BS9" s="133" t="s">
        <v>28</v>
      </c>
      <c r="BT9" s="133" t="s">
        <v>28</v>
      </c>
      <c r="BU9" s="133" t="s">
        <v>28</v>
      </c>
      <c r="BV9" s="133" t="s">
        <v>28</v>
      </c>
      <c r="BW9" s="133" t="s">
        <v>28</v>
      </c>
      <c r="BX9" s="133" t="s">
        <v>28</v>
      </c>
      <c r="BY9" s="133" t="s">
        <v>28</v>
      </c>
      <c r="BZ9" s="133" t="s">
        <v>28</v>
      </c>
      <c r="CA9" s="133" t="s">
        <v>28</v>
      </c>
      <c r="CB9" s="133" t="s">
        <v>28</v>
      </c>
      <c r="CC9" s="14" t="s">
        <v>28</v>
      </c>
    </row>
    <row r="10" ht="25.05" customHeight="1" spans="1:81">
      <c r="A10" s="36">
        <v>7</v>
      </c>
      <c r="B10" s="37" t="s">
        <v>22</v>
      </c>
      <c r="C10" s="38" t="s">
        <v>23</v>
      </c>
      <c r="D10" s="14" t="s">
        <v>44</v>
      </c>
      <c r="E10" s="36" t="s">
        <v>45</v>
      </c>
      <c r="F10" s="36" t="s">
        <v>46</v>
      </c>
      <c r="G10" s="36">
        <v>36</v>
      </c>
      <c r="H10" s="40" t="s">
        <v>27</v>
      </c>
      <c r="I10" s="133">
        <v>0</v>
      </c>
      <c r="J10" s="134">
        <v>0</v>
      </c>
      <c r="K10" s="36">
        <v>0</v>
      </c>
      <c r="L10" s="130">
        <v>0</v>
      </c>
      <c r="M10" s="36">
        <v>0</v>
      </c>
      <c r="N10" s="36">
        <v>0</v>
      </c>
      <c r="O10" s="36">
        <v>0</v>
      </c>
      <c r="P10" s="36">
        <v>0</v>
      </c>
      <c r="Q10" s="131">
        <v>0</v>
      </c>
      <c r="R10" s="133"/>
      <c r="S10" s="133"/>
      <c r="T10" s="133" t="s">
        <v>28</v>
      </c>
      <c r="U10" s="133" t="s">
        <v>28</v>
      </c>
      <c r="V10" s="133" t="s">
        <v>28</v>
      </c>
      <c r="W10" s="133" t="s">
        <v>28</v>
      </c>
      <c r="X10" s="133" t="s">
        <v>28</v>
      </c>
      <c r="Y10" s="133" t="s">
        <v>28</v>
      </c>
      <c r="Z10" s="133" t="s">
        <v>28</v>
      </c>
      <c r="AA10" s="133" t="s">
        <v>28</v>
      </c>
      <c r="AB10" s="133" t="s">
        <v>28</v>
      </c>
      <c r="AC10" s="133" t="s">
        <v>28</v>
      </c>
      <c r="AD10" s="133" t="s">
        <v>28</v>
      </c>
      <c r="AE10" s="133" t="s">
        <v>28</v>
      </c>
      <c r="AF10" s="133" t="s">
        <v>28</v>
      </c>
      <c r="AG10" s="133" t="s">
        <v>28</v>
      </c>
      <c r="AH10" s="133" t="s">
        <v>28</v>
      </c>
      <c r="AI10" s="133" t="s">
        <v>28</v>
      </c>
      <c r="AJ10" s="133" t="s">
        <v>28</v>
      </c>
      <c r="AK10" s="133" t="s">
        <v>28</v>
      </c>
      <c r="AL10" s="133" t="s">
        <v>28</v>
      </c>
      <c r="AM10" s="133" t="s">
        <v>28</v>
      </c>
      <c r="AN10" s="133" t="s">
        <v>28</v>
      </c>
      <c r="AO10" s="133" t="s">
        <v>28</v>
      </c>
      <c r="AP10" s="133" t="s">
        <v>28</v>
      </c>
      <c r="AQ10" s="133" t="s">
        <v>28</v>
      </c>
      <c r="AR10" s="133" t="s">
        <v>28</v>
      </c>
      <c r="AS10" s="133" t="s">
        <v>28</v>
      </c>
      <c r="AT10" s="133" t="s">
        <v>28</v>
      </c>
      <c r="AU10" s="133" t="s">
        <v>28</v>
      </c>
      <c r="AV10" s="133" t="s">
        <v>28</v>
      </c>
      <c r="AW10" s="133" t="s">
        <v>28</v>
      </c>
      <c r="AX10" s="133" t="s">
        <v>28</v>
      </c>
      <c r="AY10" s="133" t="s">
        <v>28</v>
      </c>
      <c r="AZ10" s="133" t="s">
        <v>28</v>
      </c>
      <c r="BA10" s="133" t="s">
        <v>28</v>
      </c>
      <c r="BB10" s="133" t="s">
        <v>28</v>
      </c>
      <c r="BC10" s="133" t="s">
        <v>28</v>
      </c>
      <c r="BD10" s="133" t="s">
        <v>28</v>
      </c>
      <c r="BE10" s="133" t="s">
        <v>28</v>
      </c>
      <c r="BF10" s="133" t="s">
        <v>28</v>
      </c>
      <c r="BG10" s="133" t="s">
        <v>28</v>
      </c>
      <c r="BH10" s="133" t="s">
        <v>28</v>
      </c>
      <c r="BI10" s="133" t="s">
        <v>28</v>
      </c>
      <c r="BJ10" s="133" t="s">
        <v>28</v>
      </c>
      <c r="BK10" s="133" t="s">
        <v>28</v>
      </c>
      <c r="BL10" s="133" t="s">
        <v>28</v>
      </c>
      <c r="BM10" s="133" t="s">
        <v>28</v>
      </c>
      <c r="BN10" s="133" t="s">
        <v>28</v>
      </c>
      <c r="BO10" s="133" t="s">
        <v>28</v>
      </c>
      <c r="BP10" s="133" t="s">
        <v>28</v>
      </c>
      <c r="BQ10" s="133" t="s">
        <v>28</v>
      </c>
      <c r="BR10" s="133" t="s">
        <v>28</v>
      </c>
      <c r="BS10" s="133" t="s">
        <v>28</v>
      </c>
      <c r="BT10" s="133" t="s">
        <v>28</v>
      </c>
      <c r="BU10" s="133" t="s">
        <v>28</v>
      </c>
      <c r="BV10" s="133" t="s">
        <v>28</v>
      </c>
      <c r="BW10" s="133" t="s">
        <v>28</v>
      </c>
      <c r="BX10" s="133" t="s">
        <v>28</v>
      </c>
      <c r="BY10" s="133" t="s">
        <v>28</v>
      </c>
      <c r="BZ10" s="133" t="s">
        <v>28</v>
      </c>
      <c r="CA10" s="133" t="s">
        <v>28</v>
      </c>
      <c r="CB10" s="133" t="s">
        <v>28</v>
      </c>
      <c r="CC10" s="14" t="s">
        <v>28</v>
      </c>
    </row>
    <row r="11" ht="25.05" customHeight="1" spans="1:81">
      <c r="A11" s="36">
        <v>8</v>
      </c>
      <c r="B11" s="37" t="s">
        <v>22</v>
      </c>
      <c r="C11" s="38" t="s">
        <v>23</v>
      </c>
      <c r="D11" s="14" t="s">
        <v>47</v>
      </c>
      <c r="E11" s="36" t="s">
        <v>48</v>
      </c>
      <c r="F11" s="36" t="s">
        <v>49</v>
      </c>
      <c r="G11" s="36">
        <v>36</v>
      </c>
      <c r="H11" s="40" t="s">
        <v>27</v>
      </c>
      <c r="I11" s="133">
        <v>0</v>
      </c>
      <c r="J11" s="134">
        <v>0</v>
      </c>
      <c r="K11" s="36">
        <v>0</v>
      </c>
      <c r="L11" s="130">
        <v>0</v>
      </c>
      <c r="M11" s="36">
        <v>0</v>
      </c>
      <c r="N11" s="36">
        <v>0</v>
      </c>
      <c r="O11" s="36">
        <v>0</v>
      </c>
      <c r="P11" s="36">
        <v>0</v>
      </c>
      <c r="Q11" s="131">
        <v>0</v>
      </c>
      <c r="R11" s="133"/>
      <c r="S11" s="133"/>
      <c r="T11" s="133" t="s">
        <v>28</v>
      </c>
      <c r="U11" s="133" t="s">
        <v>28</v>
      </c>
      <c r="V11" s="133" t="s">
        <v>28</v>
      </c>
      <c r="W11" s="133" t="s">
        <v>28</v>
      </c>
      <c r="X11" s="133" t="s">
        <v>28</v>
      </c>
      <c r="Y11" s="133" t="s">
        <v>28</v>
      </c>
      <c r="Z11" s="133" t="s">
        <v>28</v>
      </c>
      <c r="AA11" s="133" t="s">
        <v>28</v>
      </c>
      <c r="AB11" s="133" t="s">
        <v>28</v>
      </c>
      <c r="AC11" s="133" t="s">
        <v>28</v>
      </c>
      <c r="AD11" s="133" t="s">
        <v>28</v>
      </c>
      <c r="AE11" s="133" t="s">
        <v>28</v>
      </c>
      <c r="AF11" s="133" t="s">
        <v>28</v>
      </c>
      <c r="AG11" s="133" t="s">
        <v>28</v>
      </c>
      <c r="AH11" s="133" t="s">
        <v>28</v>
      </c>
      <c r="AI11" s="133" t="s">
        <v>28</v>
      </c>
      <c r="AJ11" s="133" t="s">
        <v>28</v>
      </c>
      <c r="AK11" s="133" t="s">
        <v>28</v>
      </c>
      <c r="AL11" s="133" t="s">
        <v>28</v>
      </c>
      <c r="AM11" s="133" t="s">
        <v>28</v>
      </c>
      <c r="AN11" s="133" t="s">
        <v>28</v>
      </c>
      <c r="AO11" s="133" t="s">
        <v>28</v>
      </c>
      <c r="AP11" s="133" t="s">
        <v>28</v>
      </c>
      <c r="AQ11" s="133" t="s">
        <v>28</v>
      </c>
      <c r="AR11" s="133" t="s">
        <v>28</v>
      </c>
      <c r="AS11" s="133" t="s">
        <v>28</v>
      </c>
      <c r="AT11" s="133" t="s">
        <v>28</v>
      </c>
      <c r="AU11" s="133" t="s">
        <v>28</v>
      </c>
      <c r="AV11" s="133" t="s">
        <v>28</v>
      </c>
      <c r="AW11" s="133" t="s">
        <v>28</v>
      </c>
      <c r="AX11" s="133" t="s">
        <v>28</v>
      </c>
      <c r="AY11" s="133" t="s">
        <v>28</v>
      </c>
      <c r="AZ11" s="133" t="s">
        <v>28</v>
      </c>
      <c r="BA11" s="133" t="s">
        <v>28</v>
      </c>
      <c r="BB11" s="133" t="s">
        <v>28</v>
      </c>
      <c r="BC11" s="133" t="s">
        <v>28</v>
      </c>
      <c r="BD11" s="133" t="s">
        <v>28</v>
      </c>
      <c r="BE11" s="133" t="s">
        <v>28</v>
      </c>
      <c r="BF11" s="133" t="s">
        <v>28</v>
      </c>
      <c r="BG11" s="133" t="s">
        <v>28</v>
      </c>
      <c r="BH11" s="133" t="s">
        <v>28</v>
      </c>
      <c r="BI11" s="133" t="s">
        <v>28</v>
      </c>
      <c r="BJ11" s="133" t="s">
        <v>28</v>
      </c>
      <c r="BK11" s="133" t="s">
        <v>28</v>
      </c>
      <c r="BL11" s="133" t="s">
        <v>28</v>
      </c>
      <c r="BM11" s="133" t="s">
        <v>28</v>
      </c>
      <c r="BN11" s="133" t="s">
        <v>28</v>
      </c>
      <c r="BO11" s="133" t="s">
        <v>28</v>
      </c>
      <c r="BP11" s="133" t="s">
        <v>28</v>
      </c>
      <c r="BQ11" s="133" t="s">
        <v>28</v>
      </c>
      <c r="BR11" s="133" t="s">
        <v>28</v>
      </c>
      <c r="BS11" s="133" t="s">
        <v>28</v>
      </c>
      <c r="BT11" s="133" t="s">
        <v>28</v>
      </c>
      <c r="BU11" s="133" t="s">
        <v>28</v>
      </c>
      <c r="BV11" s="133" t="s">
        <v>28</v>
      </c>
      <c r="BW11" s="133" t="s">
        <v>28</v>
      </c>
      <c r="BX11" s="133" t="s">
        <v>28</v>
      </c>
      <c r="BY11" s="133" t="s">
        <v>28</v>
      </c>
      <c r="BZ11" s="133" t="s">
        <v>28</v>
      </c>
      <c r="CA11" s="133" t="s">
        <v>28</v>
      </c>
      <c r="CB11" s="133" t="s">
        <v>28</v>
      </c>
      <c r="CC11" s="14" t="s">
        <v>28</v>
      </c>
    </row>
    <row r="12" ht="25.05" customHeight="1" spans="1:81">
      <c r="A12" s="36">
        <v>9</v>
      </c>
      <c r="B12" s="37" t="s">
        <v>22</v>
      </c>
      <c r="C12" s="38" t="s">
        <v>23</v>
      </c>
      <c r="D12" s="14" t="s">
        <v>50</v>
      </c>
      <c r="E12" s="36" t="s">
        <v>51</v>
      </c>
      <c r="F12" s="36" t="s">
        <v>52</v>
      </c>
      <c r="G12" s="36">
        <v>36</v>
      </c>
      <c r="H12" s="40" t="s">
        <v>27</v>
      </c>
      <c r="I12" s="133">
        <v>1692</v>
      </c>
      <c r="J12" s="134">
        <v>0</v>
      </c>
      <c r="K12" s="36">
        <v>2484</v>
      </c>
      <c r="L12" s="130">
        <v>2304</v>
      </c>
      <c r="M12" s="36">
        <v>0</v>
      </c>
      <c r="N12" s="36">
        <v>0</v>
      </c>
      <c r="O12" s="36">
        <v>0</v>
      </c>
      <c r="P12" s="36">
        <v>0</v>
      </c>
      <c r="Q12" s="131">
        <v>1872</v>
      </c>
      <c r="R12" s="133"/>
      <c r="S12" s="133"/>
      <c r="T12" s="133" t="s">
        <v>28</v>
      </c>
      <c r="U12" s="133">
        <v>252</v>
      </c>
      <c r="V12" s="133" t="s">
        <v>28</v>
      </c>
      <c r="W12" s="133">
        <v>324</v>
      </c>
      <c r="X12" s="133">
        <v>720</v>
      </c>
      <c r="Y12" s="133">
        <v>468</v>
      </c>
      <c r="Z12" s="133">
        <v>108</v>
      </c>
      <c r="AA12" s="133">
        <v>216</v>
      </c>
      <c r="AB12" s="133">
        <v>396</v>
      </c>
      <c r="AC12" s="133" t="s">
        <v>28</v>
      </c>
      <c r="AD12" s="133" t="s">
        <v>28</v>
      </c>
      <c r="AE12" s="133" t="s">
        <v>28</v>
      </c>
      <c r="AF12" s="133" t="s">
        <v>28</v>
      </c>
      <c r="AG12" s="133" t="s">
        <v>28</v>
      </c>
      <c r="AH12" s="133" t="s">
        <v>28</v>
      </c>
      <c r="AI12" s="133" t="s">
        <v>28</v>
      </c>
      <c r="AJ12" s="133" t="s">
        <v>28</v>
      </c>
      <c r="AK12" s="133" t="s">
        <v>28</v>
      </c>
      <c r="AL12" s="133" t="s">
        <v>28</v>
      </c>
      <c r="AM12" s="133" t="s">
        <v>28</v>
      </c>
      <c r="AN12" s="133" t="s">
        <v>28</v>
      </c>
      <c r="AO12" s="133" t="s">
        <v>28</v>
      </c>
      <c r="AP12" s="133" t="s">
        <v>28</v>
      </c>
      <c r="AQ12" s="133" t="s">
        <v>28</v>
      </c>
      <c r="AR12" s="133" t="s">
        <v>28</v>
      </c>
      <c r="AS12" s="133" t="s">
        <v>28</v>
      </c>
      <c r="AT12" s="133" t="s">
        <v>28</v>
      </c>
      <c r="AU12" s="133" t="s">
        <v>28</v>
      </c>
      <c r="AV12" s="133" t="s">
        <v>28</v>
      </c>
      <c r="AW12" s="133" t="s">
        <v>28</v>
      </c>
      <c r="AX12" s="133" t="s">
        <v>28</v>
      </c>
      <c r="AY12" s="133" t="s">
        <v>28</v>
      </c>
      <c r="AZ12" s="133" t="s">
        <v>28</v>
      </c>
      <c r="BA12" s="133">
        <v>576</v>
      </c>
      <c r="BB12" s="133" t="s">
        <v>28</v>
      </c>
      <c r="BC12" s="133" t="s">
        <v>28</v>
      </c>
      <c r="BD12" s="133" t="s">
        <v>28</v>
      </c>
      <c r="BE12" s="133">
        <v>576</v>
      </c>
      <c r="BF12" s="133" t="s">
        <v>28</v>
      </c>
      <c r="BG12" s="133" t="s">
        <v>28</v>
      </c>
      <c r="BH12" s="133">
        <v>1152</v>
      </c>
      <c r="BI12" s="133" t="s">
        <v>28</v>
      </c>
      <c r="BJ12" s="133" t="s">
        <v>28</v>
      </c>
      <c r="BK12" s="133" t="s">
        <v>28</v>
      </c>
      <c r="BL12" s="133" t="s">
        <v>28</v>
      </c>
      <c r="BM12" s="133" t="s">
        <v>28</v>
      </c>
      <c r="BN12" s="133" t="s">
        <v>28</v>
      </c>
      <c r="BO12" s="133" t="s">
        <v>28</v>
      </c>
      <c r="BP12" s="133" t="s">
        <v>28</v>
      </c>
      <c r="BQ12" s="133" t="s">
        <v>28</v>
      </c>
      <c r="BR12" s="133" t="s">
        <v>28</v>
      </c>
      <c r="BS12" s="133" t="s">
        <v>28</v>
      </c>
      <c r="BT12" s="133" t="s">
        <v>28</v>
      </c>
      <c r="BU12" s="133" t="s">
        <v>28</v>
      </c>
      <c r="BV12" s="133" t="s">
        <v>28</v>
      </c>
      <c r="BW12" s="133" t="s">
        <v>28</v>
      </c>
      <c r="BX12" s="133" t="s">
        <v>28</v>
      </c>
      <c r="BY12" s="133" t="s">
        <v>28</v>
      </c>
      <c r="BZ12" s="133" t="s">
        <v>28</v>
      </c>
      <c r="CA12" s="133" t="s">
        <v>28</v>
      </c>
      <c r="CB12" s="133" t="s">
        <v>28</v>
      </c>
      <c r="CC12" s="14" t="s">
        <v>28</v>
      </c>
    </row>
    <row r="13" ht="25.05" customHeight="1" spans="1:81">
      <c r="A13" s="36">
        <v>10</v>
      </c>
      <c r="B13" s="37" t="s">
        <v>22</v>
      </c>
      <c r="C13" s="38" t="s">
        <v>23</v>
      </c>
      <c r="D13" s="14" t="s">
        <v>53</v>
      </c>
      <c r="E13" s="36" t="s">
        <v>54</v>
      </c>
      <c r="F13" s="36" t="s">
        <v>55</v>
      </c>
      <c r="G13" s="36">
        <v>20</v>
      </c>
      <c r="H13" s="40" t="s">
        <v>27</v>
      </c>
      <c r="I13" s="133">
        <v>8817</v>
      </c>
      <c r="J13" s="134">
        <v>0</v>
      </c>
      <c r="K13" s="36">
        <v>5915</v>
      </c>
      <c r="L13" s="130">
        <v>9886</v>
      </c>
      <c r="M13" s="36">
        <v>0</v>
      </c>
      <c r="N13" s="36">
        <v>0</v>
      </c>
      <c r="O13" s="36">
        <v>0</v>
      </c>
      <c r="P13" s="36">
        <v>0</v>
      </c>
      <c r="Q13" s="131">
        <v>4846</v>
      </c>
      <c r="R13" s="133"/>
      <c r="S13" s="133"/>
      <c r="T13" s="133" t="s">
        <v>28</v>
      </c>
      <c r="U13" s="133" t="s">
        <v>28</v>
      </c>
      <c r="V13" s="133">
        <v>960</v>
      </c>
      <c r="W13" s="133">
        <v>3055</v>
      </c>
      <c r="X13" s="133">
        <v>660</v>
      </c>
      <c r="Y13" s="133">
        <v>760</v>
      </c>
      <c r="Z13" s="133" t="s">
        <v>28</v>
      </c>
      <c r="AA13" s="133" t="s">
        <v>28</v>
      </c>
      <c r="AB13" s="133">
        <v>480</v>
      </c>
      <c r="AC13" s="133" t="s">
        <v>28</v>
      </c>
      <c r="AD13" s="133" t="s">
        <v>28</v>
      </c>
      <c r="AE13" s="133" t="s">
        <v>28</v>
      </c>
      <c r="AF13" s="133" t="s">
        <v>28</v>
      </c>
      <c r="AG13" s="133" t="s">
        <v>28</v>
      </c>
      <c r="AH13" s="133" t="s">
        <v>28</v>
      </c>
      <c r="AI13" s="133" t="s">
        <v>28</v>
      </c>
      <c r="AJ13" s="133" t="s">
        <v>28</v>
      </c>
      <c r="AK13" s="133" t="s">
        <v>28</v>
      </c>
      <c r="AL13" s="133" t="s">
        <v>28</v>
      </c>
      <c r="AM13" s="133" t="s">
        <v>28</v>
      </c>
      <c r="AN13" s="133" t="s">
        <v>28</v>
      </c>
      <c r="AO13" s="133" t="s">
        <v>28</v>
      </c>
      <c r="AP13" s="133" t="s">
        <v>28</v>
      </c>
      <c r="AQ13" s="133" t="s">
        <v>28</v>
      </c>
      <c r="AR13" s="133" t="s">
        <v>28</v>
      </c>
      <c r="AS13" s="133" t="s">
        <v>28</v>
      </c>
      <c r="AT13" s="133" t="s">
        <v>28</v>
      </c>
      <c r="AU13" s="133" t="s">
        <v>28</v>
      </c>
      <c r="AV13" s="133" t="s">
        <v>28</v>
      </c>
      <c r="AW13" s="133" t="s">
        <v>28</v>
      </c>
      <c r="AX13" s="133" t="s">
        <v>28</v>
      </c>
      <c r="AY13" s="133" t="s">
        <v>28</v>
      </c>
      <c r="AZ13" s="133" t="s">
        <v>28</v>
      </c>
      <c r="BA13" s="133">
        <v>1920</v>
      </c>
      <c r="BB13" s="133" t="s">
        <v>28</v>
      </c>
      <c r="BC13" s="133">
        <v>2880</v>
      </c>
      <c r="BD13" s="133">
        <v>606</v>
      </c>
      <c r="BE13" s="133" t="s">
        <v>28</v>
      </c>
      <c r="BF13" s="133" t="s">
        <v>28</v>
      </c>
      <c r="BG13" s="133" t="s">
        <v>28</v>
      </c>
      <c r="BH13" s="133">
        <v>1280</v>
      </c>
      <c r="BI13" s="133">
        <v>960</v>
      </c>
      <c r="BJ13" s="133">
        <v>2240</v>
      </c>
      <c r="BK13" s="133" t="s">
        <v>28</v>
      </c>
      <c r="BL13" s="133" t="s">
        <v>28</v>
      </c>
      <c r="BM13" s="133" t="s">
        <v>28</v>
      </c>
      <c r="BN13" s="133" t="s">
        <v>28</v>
      </c>
      <c r="BO13" s="133" t="s">
        <v>28</v>
      </c>
      <c r="BP13" s="133" t="s">
        <v>28</v>
      </c>
      <c r="BQ13" s="133" t="s">
        <v>28</v>
      </c>
      <c r="BR13" s="133" t="s">
        <v>28</v>
      </c>
      <c r="BS13" s="133" t="s">
        <v>28</v>
      </c>
      <c r="BT13" s="133" t="s">
        <v>28</v>
      </c>
      <c r="BU13" s="133" t="s">
        <v>28</v>
      </c>
      <c r="BV13" s="133" t="s">
        <v>28</v>
      </c>
      <c r="BW13" s="133" t="s">
        <v>28</v>
      </c>
      <c r="BX13" s="133" t="s">
        <v>28</v>
      </c>
      <c r="BY13" s="133" t="s">
        <v>28</v>
      </c>
      <c r="BZ13" s="133" t="s">
        <v>28</v>
      </c>
      <c r="CA13" s="133" t="s">
        <v>28</v>
      </c>
      <c r="CB13" s="133" t="s">
        <v>28</v>
      </c>
      <c r="CC13" s="14" t="s">
        <v>28</v>
      </c>
    </row>
    <row r="14" ht="25.05" customHeight="1" spans="1:81">
      <c r="A14" s="36">
        <v>11</v>
      </c>
      <c r="B14" s="37" t="s">
        <v>22</v>
      </c>
      <c r="C14" s="38" t="s">
        <v>23</v>
      </c>
      <c r="D14" s="14" t="s">
        <v>56</v>
      </c>
      <c r="E14" s="36" t="s">
        <v>57</v>
      </c>
      <c r="F14" s="36" t="s">
        <v>58</v>
      </c>
      <c r="G14" s="36">
        <v>20</v>
      </c>
      <c r="H14" s="40" t="s">
        <v>27</v>
      </c>
      <c r="I14" s="133">
        <v>2866</v>
      </c>
      <c r="J14" s="134">
        <v>0</v>
      </c>
      <c r="K14" s="36">
        <v>8882</v>
      </c>
      <c r="L14" s="130">
        <v>9566</v>
      </c>
      <c r="M14" s="36">
        <v>0</v>
      </c>
      <c r="N14" s="36">
        <v>0</v>
      </c>
      <c r="O14" s="36">
        <v>0</v>
      </c>
      <c r="P14" s="36">
        <v>0</v>
      </c>
      <c r="Q14" s="131">
        <v>2182</v>
      </c>
      <c r="R14" s="133"/>
      <c r="S14" s="133"/>
      <c r="T14" s="133" t="s">
        <v>28</v>
      </c>
      <c r="U14" s="133">
        <v>440</v>
      </c>
      <c r="V14" s="133">
        <v>820</v>
      </c>
      <c r="W14" s="133">
        <v>480</v>
      </c>
      <c r="X14" s="133">
        <v>480</v>
      </c>
      <c r="Y14" s="133">
        <v>1160</v>
      </c>
      <c r="Z14" s="133">
        <v>960</v>
      </c>
      <c r="AA14" s="133">
        <v>220</v>
      </c>
      <c r="AB14" s="133">
        <v>780</v>
      </c>
      <c r="AC14" s="133">
        <v>960</v>
      </c>
      <c r="AD14" s="133">
        <v>322</v>
      </c>
      <c r="AE14" s="133">
        <v>2260</v>
      </c>
      <c r="AF14" s="133" t="s">
        <v>28</v>
      </c>
      <c r="AG14" s="133" t="s">
        <v>28</v>
      </c>
      <c r="AH14" s="133" t="s">
        <v>28</v>
      </c>
      <c r="AI14" s="133" t="s">
        <v>28</v>
      </c>
      <c r="AJ14" s="133" t="s">
        <v>28</v>
      </c>
      <c r="AK14" s="133" t="s">
        <v>28</v>
      </c>
      <c r="AL14" s="133" t="s">
        <v>28</v>
      </c>
      <c r="AM14" s="133" t="s">
        <v>28</v>
      </c>
      <c r="AN14" s="133" t="s">
        <v>28</v>
      </c>
      <c r="AO14" s="133" t="s">
        <v>28</v>
      </c>
      <c r="AP14" s="133" t="s">
        <v>28</v>
      </c>
      <c r="AQ14" s="133" t="s">
        <v>28</v>
      </c>
      <c r="AR14" s="133" t="s">
        <v>28</v>
      </c>
      <c r="AS14" s="133" t="s">
        <v>28</v>
      </c>
      <c r="AT14" s="133" t="s">
        <v>28</v>
      </c>
      <c r="AU14" s="133" t="s">
        <v>28</v>
      </c>
      <c r="AV14" s="133" t="s">
        <v>28</v>
      </c>
      <c r="AW14" s="133" t="s">
        <v>28</v>
      </c>
      <c r="AX14" s="133" t="s">
        <v>28</v>
      </c>
      <c r="AY14" s="133" t="s">
        <v>28</v>
      </c>
      <c r="AZ14" s="133" t="s">
        <v>28</v>
      </c>
      <c r="BA14" s="133">
        <v>1280</v>
      </c>
      <c r="BB14" s="133" t="s">
        <v>28</v>
      </c>
      <c r="BC14" s="133">
        <v>2880</v>
      </c>
      <c r="BD14" s="133">
        <v>926</v>
      </c>
      <c r="BE14" s="133" t="s">
        <v>28</v>
      </c>
      <c r="BF14" s="133" t="s">
        <v>28</v>
      </c>
      <c r="BG14" s="133" t="s">
        <v>28</v>
      </c>
      <c r="BH14" s="133">
        <v>1280</v>
      </c>
      <c r="BI14" s="133">
        <v>960</v>
      </c>
      <c r="BJ14" s="133">
        <v>2240</v>
      </c>
      <c r="BK14" s="133" t="s">
        <v>28</v>
      </c>
      <c r="BL14" s="133" t="s">
        <v>28</v>
      </c>
      <c r="BM14" s="133" t="s">
        <v>28</v>
      </c>
      <c r="BN14" s="133" t="s">
        <v>28</v>
      </c>
      <c r="BO14" s="133" t="s">
        <v>28</v>
      </c>
      <c r="BP14" s="133" t="s">
        <v>28</v>
      </c>
      <c r="BQ14" s="133" t="s">
        <v>28</v>
      </c>
      <c r="BR14" s="133" t="s">
        <v>28</v>
      </c>
      <c r="BS14" s="133" t="s">
        <v>28</v>
      </c>
      <c r="BT14" s="133" t="s">
        <v>28</v>
      </c>
      <c r="BU14" s="133" t="s">
        <v>28</v>
      </c>
      <c r="BV14" s="133" t="s">
        <v>28</v>
      </c>
      <c r="BW14" s="133" t="s">
        <v>28</v>
      </c>
      <c r="BX14" s="133" t="s">
        <v>28</v>
      </c>
      <c r="BY14" s="133" t="s">
        <v>28</v>
      </c>
      <c r="BZ14" s="133" t="s">
        <v>28</v>
      </c>
      <c r="CA14" s="133" t="s">
        <v>28</v>
      </c>
      <c r="CB14" s="133" t="s">
        <v>28</v>
      </c>
      <c r="CC14" s="14" t="s">
        <v>28</v>
      </c>
    </row>
    <row r="15" ht="25.05" customHeight="1" spans="1:81">
      <c r="A15" s="36">
        <v>12</v>
      </c>
      <c r="B15" s="37" t="s">
        <v>22</v>
      </c>
      <c r="C15" s="38" t="s">
        <v>23</v>
      </c>
      <c r="D15" s="14" t="s">
        <v>59</v>
      </c>
      <c r="E15" s="36" t="s">
        <v>60</v>
      </c>
      <c r="F15" s="36" t="s">
        <v>61</v>
      </c>
      <c r="G15" s="36">
        <v>210</v>
      </c>
      <c r="H15" s="40" t="s">
        <v>27</v>
      </c>
      <c r="I15" s="133">
        <v>10692</v>
      </c>
      <c r="J15" s="134">
        <v>0</v>
      </c>
      <c r="K15" s="36">
        <v>420</v>
      </c>
      <c r="L15" s="130">
        <v>4200</v>
      </c>
      <c r="M15" s="36">
        <v>0</v>
      </c>
      <c r="N15" s="36">
        <v>0</v>
      </c>
      <c r="O15" s="36">
        <v>0</v>
      </c>
      <c r="P15" s="36">
        <v>0</v>
      </c>
      <c r="Q15" s="131">
        <v>6912</v>
      </c>
      <c r="R15" s="133"/>
      <c r="S15" s="133"/>
      <c r="T15" s="133" t="s">
        <v>28</v>
      </c>
      <c r="U15" s="133">
        <v>420</v>
      </c>
      <c r="V15" s="133" t="s">
        <v>28</v>
      </c>
      <c r="W15" s="133" t="s">
        <v>28</v>
      </c>
      <c r="X15" s="133" t="s">
        <v>28</v>
      </c>
      <c r="Y15" s="133" t="s">
        <v>28</v>
      </c>
      <c r="Z15" s="133" t="s">
        <v>28</v>
      </c>
      <c r="AA15" s="133" t="s">
        <v>28</v>
      </c>
      <c r="AB15" s="133" t="s">
        <v>28</v>
      </c>
      <c r="AC15" s="133" t="s">
        <v>28</v>
      </c>
      <c r="AD15" s="133" t="s">
        <v>28</v>
      </c>
      <c r="AE15" s="133" t="s">
        <v>28</v>
      </c>
      <c r="AF15" s="133" t="s">
        <v>28</v>
      </c>
      <c r="AG15" s="133" t="s">
        <v>28</v>
      </c>
      <c r="AH15" s="133" t="s">
        <v>28</v>
      </c>
      <c r="AI15" s="133" t="s">
        <v>28</v>
      </c>
      <c r="AJ15" s="133" t="s">
        <v>28</v>
      </c>
      <c r="AK15" s="133" t="s">
        <v>28</v>
      </c>
      <c r="AL15" s="133" t="s">
        <v>28</v>
      </c>
      <c r="AM15" s="133" t="s">
        <v>28</v>
      </c>
      <c r="AN15" s="133" t="s">
        <v>28</v>
      </c>
      <c r="AO15" s="133" t="s">
        <v>28</v>
      </c>
      <c r="AP15" s="133" t="s">
        <v>28</v>
      </c>
      <c r="AQ15" s="133" t="s">
        <v>28</v>
      </c>
      <c r="AR15" s="133" t="s">
        <v>28</v>
      </c>
      <c r="AS15" s="133" t="s">
        <v>28</v>
      </c>
      <c r="AT15" s="133" t="s">
        <v>28</v>
      </c>
      <c r="AU15" s="133" t="s">
        <v>28</v>
      </c>
      <c r="AV15" s="133" t="s">
        <v>28</v>
      </c>
      <c r="AW15" s="133" t="s">
        <v>28</v>
      </c>
      <c r="AX15" s="133" t="s">
        <v>28</v>
      </c>
      <c r="AY15" s="133" t="s">
        <v>28</v>
      </c>
      <c r="AZ15" s="133" t="s">
        <v>28</v>
      </c>
      <c r="BA15" s="133" t="s">
        <v>28</v>
      </c>
      <c r="BB15" s="133" t="s">
        <v>28</v>
      </c>
      <c r="BC15" s="133">
        <v>2100</v>
      </c>
      <c r="BD15" s="133">
        <v>2100</v>
      </c>
      <c r="BE15" s="133" t="s">
        <v>28</v>
      </c>
      <c r="BF15" s="133" t="s">
        <v>28</v>
      </c>
      <c r="BG15" s="133" t="s">
        <v>28</v>
      </c>
      <c r="BH15" s="133" t="s">
        <v>28</v>
      </c>
      <c r="BI15" s="133" t="s">
        <v>28</v>
      </c>
      <c r="BJ15" s="133" t="s">
        <v>28</v>
      </c>
      <c r="BK15" s="133" t="s">
        <v>28</v>
      </c>
      <c r="BL15" s="133" t="s">
        <v>28</v>
      </c>
      <c r="BM15" s="133" t="s">
        <v>28</v>
      </c>
      <c r="BN15" s="133" t="s">
        <v>28</v>
      </c>
      <c r="BO15" s="133" t="s">
        <v>28</v>
      </c>
      <c r="BP15" s="133" t="s">
        <v>28</v>
      </c>
      <c r="BQ15" s="133" t="s">
        <v>28</v>
      </c>
      <c r="BR15" s="133" t="s">
        <v>28</v>
      </c>
      <c r="BS15" s="133" t="s">
        <v>28</v>
      </c>
      <c r="BT15" s="133" t="s">
        <v>28</v>
      </c>
      <c r="BU15" s="133" t="s">
        <v>28</v>
      </c>
      <c r="BV15" s="133" t="s">
        <v>28</v>
      </c>
      <c r="BW15" s="133" t="s">
        <v>28</v>
      </c>
      <c r="BX15" s="133" t="s">
        <v>28</v>
      </c>
      <c r="BY15" s="133" t="s">
        <v>28</v>
      </c>
      <c r="BZ15" s="133" t="s">
        <v>28</v>
      </c>
      <c r="CA15" s="133" t="s">
        <v>28</v>
      </c>
      <c r="CB15" s="133" t="s">
        <v>28</v>
      </c>
      <c r="CC15" s="14" t="s">
        <v>28</v>
      </c>
    </row>
    <row r="16" ht="25.05" customHeight="1" spans="1:81">
      <c r="A16" s="36">
        <v>13</v>
      </c>
      <c r="B16" s="37" t="s">
        <v>22</v>
      </c>
      <c r="C16" s="38" t="s">
        <v>23</v>
      </c>
      <c r="D16" s="14" t="s">
        <v>62</v>
      </c>
      <c r="E16" s="36" t="s">
        <v>63</v>
      </c>
      <c r="F16" s="36" t="s">
        <v>64</v>
      </c>
      <c r="G16" s="36">
        <v>12</v>
      </c>
      <c r="H16" s="40" t="s">
        <v>27</v>
      </c>
      <c r="I16" s="133">
        <v>3960</v>
      </c>
      <c r="J16" s="134">
        <v>0</v>
      </c>
      <c r="K16" s="36">
        <v>7113</v>
      </c>
      <c r="L16" s="130">
        <v>6360</v>
      </c>
      <c r="M16" s="36">
        <v>0</v>
      </c>
      <c r="N16" s="36">
        <v>0</v>
      </c>
      <c r="O16" s="36">
        <v>0</v>
      </c>
      <c r="P16" s="36">
        <v>0</v>
      </c>
      <c r="Q16" s="131">
        <v>4713</v>
      </c>
      <c r="R16" s="133"/>
      <c r="S16" s="133"/>
      <c r="T16" s="133" t="s">
        <v>28</v>
      </c>
      <c r="U16" s="133">
        <v>1625</v>
      </c>
      <c r="V16" s="133">
        <v>552</v>
      </c>
      <c r="W16" s="133">
        <v>492</v>
      </c>
      <c r="X16" s="133">
        <v>420</v>
      </c>
      <c r="Y16" s="133">
        <v>552</v>
      </c>
      <c r="Z16" s="133">
        <v>540</v>
      </c>
      <c r="AA16" s="133">
        <v>456</v>
      </c>
      <c r="AB16" s="133">
        <v>436</v>
      </c>
      <c r="AC16" s="133" t="s">
        <v>28</v>
      </c>
      <c r="AD16" s="133">
        <v>828</v>
      </c>
      <c r="AE16" s="133">
        <v>1212</v>
      </c>
      <c r="AF16" s="133" t="s">
        <v>28</v>
      </c>
      <c r="AG16" s="133" t="s">
        <v>28</v>
      </c>
      <c r="AH16" s="133" t="s">
        <v>28</v>
      </c>
      <c r="AI16" s="133" t="s">
        <v>28</v>
      </c>
      <c r="AJ16" s="133" t="s">
        <v>28</v>
      </c>
      <c r="AK16" s="133" t="s">
        <v>28</v>
      </c>
      <c r="AL16" s="133" t="s">
        <v>28</v>
      </c>
      <c r="AM16" s="133" t="s">
        <v>28</v>
      </c>
      <c r="AN16" s="133" t="s">
        <v>28</v>
      </c>
      <c r="AO16" s="133" t="s">
        <v>28</v>
      </c>
      <c r="AP16" s="133" t="s">
        <v>28</v>
      </c>
      <c r="AQ16" s="133" t="s">
        <v>28</v>
      </c>
      <c r="AR16" s="133" t="s">
        <v>28</v>
      </c>
      <c r="AS16" s="133" t="s">
        <v>28</v>
      </c>
      <c r="AT16" s="133" t="s">
        <v>28</v>
      </c>
      <c r="AU16" s="133" t="s">
        <v>28</v>
      </c>
      <c r="AV16" s="133" t="s">
        <v>28</v>
      </c>
      <c r="AW16" s="133" t="s">
        <v>28</v>
      </c>
      <c r="AX16" s="133" t="s">
        <v>28</v>
      </c>
      <c r="AY16" s="133" t="s">
        <v>28</v>
      </c>
      <c r="AZ16" s="133" t="s">
        <v>28</v>
      </c>
      <c r="BA16" s="133" t="s">
        <v>28</v>
      </c>
      <c r="BB16" s="133" t="s">
        <v>28</v>
      </c>
      <c r="BC16" s="133">
        <v>1080</v>
      </c>
      <c r="BD16" s="133">
        <v>1080</v>
      </c>
      <c r="BE16" s="133">
        <v>648</v>
      </c>
      <c r="BF16" s="133" t="s">
        <v>28</v>
      </c>
      <c r="BG16" s="133">
        <v>1392</v>
      </c>
      <c r="BH16" s="133" t="s">
        <v>28</v>
      </c>
      <c r="BI16" s="133">
        <v>1080</v>
      </c>
      <c r="BJ16" s="133">
        <v>1080</v>
      </c>
      <c r="BK16" s="133" t="s">
        <v>28</v>
      </c>
      <c r="BL16" s="133" t="s">
        <v>28</v>
      </c>
      <c r="BM16" s="133" t="s">
        <v>28</v>
      </c>
      <c r="BN16" s="133" t="s">
        <v>28</v>
      </c>
      <c r="BO16" s="133" t="s">
        <v>28</v>
      </c>
      <c r="BP16" s="133" t="s">
        <v>28</v>
      </c>
      <c r="BQ16" s="133" t="s">
        <v>28</v>
      </c>
      <c r="BR16" s="133" t="s">
        <v>28</v>
      </c>
      <c r="BS16" s="133" t="s">
        <v>28</v>
      </c>
      <c r="BT16" s="133" t="s">
        <v>28</v>
      </c>
      <c r="BU16" s="133" t="s">
        <v>28</v>
      </c>
      <c r="BV16" s="133" t="s">
        <v>28</v>
      </c>
      <c r="BW16" s="133" t="s">
        <v>28</v>
      </c>
      <c r="BX16" s="133" t="s">
        <v>28</v>
      </c>
      <c r="BY16" s="133" t="s">
        <v>28</v>
      </c>
      <c r="BZ16" s="133" t="s">
        <v>28</v>
      </c>
      <c r="CA16" s="133" t="s">
        <v>28</v>
      </c>
      <c r="CB16" s="133" t="s">
        <v>28</v>
      </c>
      <c r="CC16" s="14" t="s">
        <v>28</v>
      </c>
    </row>
    <row r="17" ht="25.05" customHeight="1" spans="1:81">
      <c r="A17" s="36">
        <v>14</v>
      </c>
      <c r="B17" s="37" t="s">
        <v>22</v>
      </c>
      <c r="C17" s="38" t="s">
        <v>23</v>
      </c>
      <c r="D17" s="14" t="s">
        <v>65</v>
      </c>
      <c r="E17" s="36" t="s">
        <v>66</v>
      </c>
      <c r="F17" s="36" t="s">
        <v>67</v>
      </c>
      <c r="G17" s="36">
        <v>240</v>
      </c>
      <c r="H17" s="40" t="s">
        <v>27</v>
      </c>
      <c r="I17" s="133">
        <v>2979</v>
      </c>
      <c r="J17" s="134">
        <v>0</v>
      </c>
      <c r="K17" s="36">
        <v>7920</v>
      </c>
      <c r="L17" s="130">
        <v>3699</v>
      </c>
      <c r="M17" s="36">
        <v>0</v>
      </c>
      <c r="N17" s="36">
        <v>0</v>
      </c>
      <c r="O17" s="36">
        <v>0</v>
      </c>
      <c r="P17" s="36">
        <v>0</v>
      </c>
      <c r="Q17" s="131">
        <v>7200</v>
      </c>
      <c r="R17" s="133"/>
      <c r="S17" s="133"/>
      <c r="T17" s="133" t="s">
        <v>28</v>
      </c>
      <c r="U17" s="133" t="s">
        <v>28</v>
      </c>
      <c r="V17" s="133" t="s">
        <v>28</v>
      </c>
      <c r="W17" s="133" t="s">
        <v>28</v>
      </c>
      <c r="X17" s="133" t="s">
        <v>28</v>
      </c>
      <c r="Y17" s="133" t="s">
        <v>28</v>
      </c>
      <c r="Z17" s="133">
        <v>960</v>
      </c>
      <c r="AA17" s="133">
        <v>3480</v>
      </c>
      <c r="AB17" s="133" t="s">
        <v>28</v>
      </c>
      <c r="AC17" s="133">
        <v>120</v>
      </c>
      <c r="AD17" s="133">
        <v>2880</v>
      </c>
      <c r="AE17" s="133">
        <v>480</v>
      </c>
      <c r="AF17" s="133" t="s">
        <v>28</v>
      </c>
      <c r="AG17" s="133" t="s">
        <v>28</v>
      </c>
      <c r="AH17" s="133" t="s">
        <v>28</v>
      </c>
      <c r="AI17" s="133" t="s">
        <v>28</v>
      </c>
      <c r="AJ17" s="133" t="s">
        <v>28</v>
      </c>
      <c r="AK17" s="133" t="s">
        <v>28</v>
      </c>
      <c r="AL17" s="133" t="s">
        <v>28</v>
      </c>
      <c r="AM17" s="133" t="s">
        <v>28</v>
      </c>
      <c r="AN17" s="133" t="s">
        <v>28</v>
      </c>
      <c r="AO17" s="133" t="s">
        <v>28</v>
      </c>
      <c r="AP17" s="133" t="s">
        <v>28</v>
      </c>
      <c r="AQ17" s="133" t="s">
        <v>28</v>
      </c>
      <c r="AR17" s="133" t="s">
        <v>28</v>
      </c>
      <c r="AS17" s="133" t="s">
        <v>28</v>
      </c>
      <c r="AT17" s="133" t="s">
        <v>28</v>
      </c>
      <c r="AU17" s="133" t="s">
        <v>28</v>
      </c>
      <c r="AV17" s="133" t="s">
        <v>28</v>
      </c>
      <c r="AW17" s="133" t="s">
        <v>28</v>
      </c>
      <c r="AX17" s="133" t="s">
        <v>28</v>
      </c>
      <c r="AY17" s="133" t="s">
        <v>28</v>
      </c>
      <c r="AZ17" s="133" t="s">
        <v>28</v>
      </c>
      <c r="BA17" s="133" t="s">
        <v>28</v>
      </c>
      <c r="BB17" s="133">
        <v>480</v>
      </c>
      <c r="BC17" s="133">
        <v>720</v>
      </c>
      <c r="BD17" s="133">
        <v>1006</v>
      </c>
      <c r="BE17" s="133" t="s">
        <v>28</v>
      </c>
      <c r="BF17" s="133" t="s">
        <v>28</v>
      </c>
      <c r="BG17" s="133" t="s">
        <v>28</v>
      </c>
      <c r="BH17" s="133" t="s">
        <v>28</v>
      </c>
      <c r="BI17" s="133">
        <v>893</v>
      </c>
      <c r="BJ17" s="133">
        <v>600</v>
      </c>
      <c r="BK17" s="133" t="s">
        <v>28</v>
      </c>
      <c r="BL17" s="133" t="s">
        <v>28</v>
      </c>
      <c r="BM17" s="133" t="s">
        <v>28</v>
      </c>
      <c r="BN17" s="133" t="s">
        <v>28</v>
      </c>
      <c r="BO17" s="133" t="s">
        <v>28</v>
      </c>
      <c r="BP17" s="133" t="s">
        <v>28</v>
      </c>
      <c r="BQ17" s="133" t="s">
        <v>28</v>
      </c>
      <c r="BR17" s="133" t="s">
        <v>28</v>
      </c>
      <c r="BS17" s="133" t="s">
        <v>28</v>
      </c>
      <c r="BT17" s="133" t="s">
        <v>28</v>
      </c>
      <c r="BU17" s="133" t="s">
        <v>28</v>
      </c>
      <c r="BV17" s="133" t="s">
        <v>28</v>
      </c>
      <c r="BW17" s="133" t="s">
        <v>28</v>
      </c>
      <c r="BX17" s="133" t="s">
        <v>28</v>
      </c>
      <c r="BY17" s="133" t="s">
        <v>28</v>
      </c>
      <c r="BZ17" s="133" t="s">
        <v>28</v>
      </c>
      <c r="CA17" s="133" t="s">
        <v>28</v>
      </c>
      <c r="CB17" s="133" t="s">
        <v>28</v>
      </c>
      <c r="CC17" s="14" t="s">
        <v>28</v>
      </c>
    </row>
    <row r="18" ht="25.05" customHeight="1" spans="1:81">
      <c r="A18" s="36">
        <v>15</v>
      </c>
      <c r="B18" s="37" t="s">
        <v>22</v>
      </c>
      <c r="C18" s="38" t="s">
        <v>23</v>
      </c>
      <c r="D18" s="14" t="s">
        <v>68</v>
      </c>
      <c r="E18" s="36" t="s">
        <v>69</v>
      </c>
      <c r="F18" s="36" t="s">
        <v>70</v>
      </c>
      <c r="G18" s="36">
        <v>24</v>
      </c>
      <c r="H18" s="40" t="s">
        <v>27</v>
      </c>
      <c r="I18" s="133">
        <v>0</v>
      </c>
      <c r="J18" s="134">
        <v>0</v>
      </c>
      <c r="K18" s="36">
        <v>3552</v>
      </c>
      <c r="L18" s="130">
        <v>3405</v>
      </c>
      <c r="M18" s="36">
        <v>0</v>
      </c>
      <c r="N18" s="36">
        <v>3</v>
      </c>
      <c r="O18" s="36">
        <v>0</v>
      </c>
      <c r="P18" s="36">
        <v>3</v>
      </c>
      <c r="Q18" s="131">
        <v>144</v>
      </c>
      <c r="R18" s="133"/>
      <c r="S18" s="133"/>
      <c r="T18" s="133" t="s">
        <v>28</v>
      </c>
      <c r="U18" s="133">
        <v>504</v>
      </c>
      <c r="V18" s="133">
        <v>600</v>
      </c>
      <c r="W18" s="133">
        <v>120</v>
      </c>
      <c r="X18" s="133">
        <v>48</v>
      </c>
      <c r="Y18" s="133">
        <v>384</v>
      </c>
      <c r="Z18" s="133">
        <v>288</v>
      </c>
      <c r="AA18" s="133">
        <v>1464</v>
      </c>
      <c r="AB18" s="133">
        <v>120</v>
      </c>
      <c r="AC18" s="133">
        <v>24</v>
      </c>
      <c r="AD18" s="133" t="s">
        <v>28</v>
      </c>
      <c r="AE18" s="133" t="s">
        <v>28</v>
      </c>
      <c r="AF18" s="133" t="s">
        <v>28</v>
      </c>
      <c r="AG18" s="133" t="s">
        <v>28</v>
      </c>
      <c r="AH18" s="133" t="s">
        <v>28</v>
      </c>
      <c r="AI18" s="133" t="s">
        <v>28</v>
      </c>
      <c r="AJ18" s="133" t="s">
        <v>28</v>
      </c>
      <c r="AK18" s="133" t="s">
        <v>28</v>
      </c>
      <c r="AL18" s="133" t="s">
        <v>28</v>
      </c>
      <c r="AM18" s="133" t="s">
        <v>28</v>
      </c>
      <c r="AN18" s="133" t="s">
        <v>28</v>
      </c>
      <c r="AO18" s="133" t="s">
        <v>28</v>
      </c>
      <c r="AP18" s="133" t="s">
        <v>28</v>
      </c>
      <c r="AQ18" s="133" t="s">
        <v>28</v>
      </c>
      <c r="AR18" s="133" t="s">
        <v>28</v>
      </c>
      <c r="AS18" s="133" t="s">
        <v>28</v>
      </c>
      <c r="AT18" s="133" t="s">
        <v>28</v>
      </c>
      <c r="AU18" s="133" t="s">
        <v>28</v>
      </c>
      <c r="AV18" s="133" t="s">
        <v>28</v>
      </c>
      <c r="AW18" s="133" t="s">
        <v>28</v>
      </c>
      <c r="AX18" s="133" t="s">
        <v>28</v>
      </c>
      <c r="AY18" s="133" t="s">
        <v>28</v>
      </c>
      <c r="AZ18" s="133" t="s">
        <v>28</v>
      </c>
      <c r="BA18" s="133" t="s">
        <v>28</v>
      </c>
      <c r="BB18" s="133" t="s">
        <v>28</v>
      </c>
      <c r="BC18" s="133">
        <v>720</v>
      </c>
      <c r="BD18" s="133">
        <v>549</v>
      </c>
      <c r="BE18" s="133">
        <v>384</v>
      </c>
      <c r="BF18" s="133" t="s">
        <v>28</v>
      </c>
      <c r="BG18" s="133">
        <v>1752</v>
      </c>
      <c r="BH18" s="133" t="s">
        <v>28</v>
      </c>
      <c r="BI18" s="133" t="s">
        <v>28</v>
      </c>
      <c r="BJ18" s="133" t="s">
        <v>28</v>
      </c>
      <c r="BK18" s="133" t="s">
        <v>28</v>
      </c>
      <c r="BL18" s="133" t="s">
        <v>28</v>
      </c>
      <c r="BM18" s="133" t="s">
        <v>28</v>
      </c>
      <c r="BN18" s="133" t="s">
        <v>28</v>
      </c>
      <c r="BO18" s="133" t="s">
        <v>28</v>
      </c>
      <c r="BP18" s="133" t="s">
        <v>28</v>
      </c>
      <c r="BQ18" s="133" t="s">
        <v>28</v>
      </c>
      <c r="BR18" s="133" t="s">
        <v>28</v>
      </c>
      <c r="BS18" s="133" t="s">
        <v>28</v>
      </c>
      <c r="BT18" s="133" t="s">
        <v>28</v>
      </c>
      <c r="BU18" s="133" t="s">
        <v>28</v>
      </c>
      <c r="BV18" s="133" t="s">
        <v>28</v>
      </c>
      <c r="BW18" s="133" t="s">
        <v>28</v>
      </c>
      <c r="BX18" s="133" t="s">
        <v>28</v>
      </c>
      <c r="BY18" s="133" t="s">
        <v>28</v>
      </c>
      <c r="BZ18" s="133" t="s">
        <v>28</v>
      </c>
      <c r="CA18" s="133" t="s">
        <v>28</v>
      </c>
      <c r="CB18" s="133" t="s">
        <v>28</v>
      </c>
      <c r="CC18" s="14" t="s">
        <v>28</v>
      </c>
    </row>
    <row r="19" ht="25.05" customHeight="1" spans="1:81">
      <c r="A19" s="36">
        <v>16</v>
      </c>
      <c r="B19" s="37" t="s">
        <v>22</v>
      </c>
      <c r="C19" s="38" t="s">
        <v>23</v>
      </c>
      <c r="D19" s="14" t="s">
        <v>71</v>
      </c>
      <c r="E19" s="36" t="s">
        <v>72</v>
      </c>
      <c r="F19" s="36" t="s">
        <v>73</v>
      </c>
      <c r="G19" s="36">
        <v>108</v>
      </c>
      <c r="H19" s="40" t="s">
        <v>27</v>
      </c>
      <c r="I19" s="133">
        <v>5112</v>
      </c>
      <c r="J19" s="134">
        <v>0</v>
      </c>
      <c r="K19" s="36">
        <v>864</v>
      </c>
      <c r="L19" s="130">
        <v>0</v>
      </c>
      <c r="M19" s="36">
        <v>0</v>
      </c>
      <c r="N19" s="36">
        <v>0</v>
      </c>
      <c r="O19" s="36">
        <v>0</v>
      </c>
      <c r="P19" s="36">
        <v>0</v>
      </c>
      <c r="Q19" s="131">
        <v>5976</v>
      </c>
      <c r="R19" s="133"/>
      <c r="S19" s="133"/>
      <c r="T19" s="133" t="s">
        <v>28</v>
      </c>
      <c r="U19" s="133">
        <v>864</v>
      </c>
      <c r="V19" s="133" t="s">
        <v>28</v>
      </c>
      <c r="W19" s="133" t="s">
        <v>28</v>
      </c>
      <c r="X19" s="133" t="s">
        <v>28</v>
      </c>
      <c r="Y19" s="133" t="s">
        <v>28</v>
      </c>
      <c r="Z19" s="133" t="s">
        <v>28</v>
      </c>
      <c r="AA19" s="133" t="s">
        <v>28</v>
      </c>
      <c r="AB19" s="133" t="s">
        <v>28</v>
      </c>
      <c r="AC19" s="133" t="s">
        <v>28</v>
      </c>
      <c r="AD19" s="133" t="s">
        <v>28</v>
      </c>
      <c r="AE19" s="133" t="s">
        <v>28</v>
      </c>
      <c r="AF19" s="133" t="s">
        <v>28</v>
      </c>
      <c r="AG19" s="133" t="s">
        <v>28</v>
      </c>
      <c r="AH19" s="133" t="s">
        <v>28</v>
      </c>
      <c r="AI19" s="133" t="s">
        <v>28</v>
      </c>
      <c r="AJ19" s="133" t="s">
        <v>28</v>
      </c>
      <c r="AK19" s="133" t="s">
        <v>28</v>
      </c>
      <c r="AL19" s="133" t="s">
        <v>28</v>
      </c>
      <c r="AM19" s="133" t="s">
        <v>28</v>
      </c>
      <c r="AN19" s="133" t="s">
        <v>28</v>
      </c>
      <c r="AO19" s="133" t="s">
        <v>28</v>
      </c>
      <c r="AP19" s="133" t="s">
        <v>28</v>
      </c>
      <c r="AQ19" s="133" t="s">
        <v>28</v>
      </c>
      <c r="AR19" s="133" t="s">
        <v>28</v>
      </c>
      <c r="AS19" s="133" t="s">
        <v>28</v>
      </c>
      <c r="AT19" s="133" t="s">
        <v>28</v>
      </c>
      <c r="AU19" s="133" t="s">
        <v>28</v>
      </c>
      <c r="AV19" s="133" t="s">
        <v>28</v>
      </c>
      <c r="AW19" s="133" t="s">
        <v>28</v>
      </c>
      <c r="AX19" s="133" t="s">
        <v>28</v>
      </c>
      <c r="AY19" s="133" t="s">
        <v>28</v>
      </c>
      <c r="AZ19" s="133" t="s">
        <v>28</v>
      </c>
      <c r="BA19" s="133" t="s">
        <v>28</v>
      </c>
      <c r="BB19" s="133" t="s">
        <v>28</v>
      </c>
      <c r="BC19" s="133" t="s">
        <v>28</v>
      </c>
      <c r="BD19" s="133" t="s">
        <v>28</v>
      </c>
      <c r="BE19" s="133" t="s">
        <v>28</v>
      </c>
      <c r="BF19" s="133" t="s">
        <v>28</v>
      </c>
      <c r="BG19" s="133" t="s">
        <v>28</v>
      </c>
      <c r="BH19" s="133" t="s">
        <v>28</v>
      </c>
      <c r="BI19" s="133" t="s">
        <v>28</v>
      </c>
      <c r="BJ19" s="133" t="s">
        <v>28</v>
      </c>
      <c r="BK19" s="133" t="s">
        <v>28</v>
      </c>
      <c r="BL19" s="133" t="s">
        <v>28</v>
      </c>
      <c r="BM19" s="133" t="s">
        <v>28</v>
      </c>
      <c r="BN19" s="133" t="s">
        <v>28</v>
      </c>
      <c r="BO19" s="133" t="s">
        <v>28</v>
      </c>
      <c r="BP19" s="133" t="s">
        <v>28</v>
      </c>
      <c r="BQ19" s="133" t="s">
        <v>28</v>
      </c>
      <c r="BR19" s="133" t="s">
        <v>28</v>
      </c>
      <c r="BS19" s="133" t="s">
        <v>28</v>
      </c>
      <c r="BT19" s="133" t="s">
        <v>28</v>
      </c>
      <c r="BU19" s="133" t="s">
        <v>28</v>
      </c>
      <c r="BV19" s="133" t="s">
        <v>28</v>
      </c>
      <c r="BW19" s="133" t="s">
        <v>28</v>
      </c>
      <c r="BX19" s="133" t="s">
        <v>28</v>
      </c>
      <c r="BY19" s="133" t="s">
        <v>28</v>
      </c>
      <c r="BZ19" s="133" t="s">
        <v>28</v>
      </c>
      <c r="CA19" s="133" t="s">
        <v>28</v>
      </c>
      <c r="CB19" s="133" t="s">
        <v>28</v>
      </c>
      <c r="CC19" s="14" t="s">
        <v>28</v>
      </c>
    </row>
    <row r="20" ht="25.05" customHeight="1" spans="1:81">
      <c r="A20" s="36">
        <v>17</v>
      </c>
      <c r="B20" s="37" t="s">
        <v>22</v>
      </c>
      <c r="C20" s="38" t="s">
        <v>23</v>
      </c>
      <c r="D20" s="14" t="s">
        <v>74</v>
      </c>
      <c r="E20" s="36" t="s">
        <v>75</v>
      </c>
      <c r="F20" s="36" t="s">
        <v>76</v>
      </c>
      <c r="G20" s="36">
        <v>8</v>
      </c>
      <c r="H20" s="40" t="s">
        <v>27</v>
      </c>
      <c r="I20" s="133">
        <v>0</v>
      </c>
      <c r="J20" s="134">
        <v>0</v>
      </c>
      <c r="K20" s="36">
        <v>0</v>
      </c>
      <c r="L20" s="130">
        <v>0</v>
      </c>
      <c r="M20" s="36">
        <v>0</v>
      </c>
      <c r="N20" s="36">
        <v>0</v>
      </c>
      <c r="O20" s="36">
        <v>0</v>
      </c>
      <c r="P20" s="36">
        <v>0</v>
      </c>
      <c r="Q20" s="131">
        <v>0</v>
      </c>
      <c r="R20" s="133"/>
      <c r="S20" s="133"/>
      <c r="T20" s="133" t="s">
        <v>28</v>
      </c>
      <c r="U20" s="133" t="s">
        <v>28</v>
      </c>
      <c r="V20" s="133" t="s">
        <v>28</v>
      </c>
      <c r="W20" s="133" t="s">
        <v>28</v>
      </c>
      <c r="X20" s="133" t="s">
        <v>28</v>
      </c>
      <c r="Y20" s="133" t="s">
        <v>28</v>
      </c>
      <c r="Z20" s="133" t="s">
        <v>28</v>
      </c>
      <c r="AA20" s="133" t="s">
        <v>28</v>
      </c>
      <c r="AB20" s="133" t="s">
        <v>28</v>
      </c>
      <c r="AC20" s="133" t="s">
        <v>28</v>
      </c>
      <c r="AD20" s="133" t="s">
        <v>28</v>
      </c>
      <c r="AE20" s="133" t="s">
        <v>28</v>
      </c>
      <c r="AF20" s="133" t="s">
        <v>28</v>
      </c>
      <c r="AG20" s="133" t="s">
        <v>28</v>
      </c>
      <c r="AH20" s="133" t="s">
        <v>28</v>
      </c>
      <c r="AI20" s="133" t="s">
        <v>28</v>
      </c>
      <c r="AJ20" s="133" t="s">
        <v>28</v>
      </c>
      <c r="AK20" s="133" t="s">
        <v>28</v>
      </c>
      <c r="AL20" s="133" t="s">
        <v>28</v>
      </c>
      <c r="AM20" s="133" t="s">
        <v>28</v>
      </c>
      <c r="AN20" s="133" t="s">
        <v>28</v>
      </c>
      <c r="AO20" s="133" t="s">
        <v>28</v>
      </c>
      <c r="AP20" s="133" t="s">
        <v>28</v>
      </c>
      <c r="AQ20" s="133" t="s">
        <v>28</v>
      </c>
      <c r="AR20" s="133" t="s">
        <v>28</v>
      </c>
      <c r="AS20" s="133" t="s">
        <v>28</v>
      </c>
      <c r="AT20" s="133" t="s">
        <v>28</v>
      </c>
      <c r="AU20" s="133" t="s">
        <v>28</v>
      </c>
      <c r="AV20" s="133" t="s">
        <v>28</v>
      </c>
      <c r="AW20" s="133" t="s">
        <v>28</v>
      </c>
      <c r="AX20" s="133" t="s">
        <v>28</v>
      </c>
      <c r="AY20" s="133" t="s">
        <v>28</v>
      </c>
      <c r="AZ20" s="133" t="s">
        <v>28</v>
      </c>
      <c r="BA20" s="133" t="s">
        <v>28</v>
      </c>
      <c r="BB20" s="133" t="s">
        <v>28</v>
      </c>
      <c r="BC20" s="133" t="s">
        <v>28</v>
      </c>
      <c r="BD20" s="133" t="s">
        <v>28</v>
      </c>
      <c r="BE20" s="133" t="s">
        <v>28</v>
      </c>
      <c r="BF20" s="133" t="s">
        <v>28</v>
      </c>
      <c r="BG20" s="133" t="s">
        <v>28</v>
      </c>
      <c r="BH20" s="133" t="s">
        <v>28</v>
      </c>
      <c r="BI20" s="133" t="s">
        <v>28</v>
      </c>
      <c r="BJ20" s="133" t="s">
        <v>28</v>
      </c>
      <c r="BK20" s="133" t="s">
        <v>28</v>
      </c>
      <c r="BL20" s="133" t="s">
        <v>28</v>
      </c>
      <c r="BM20" s="133" t="s">
        <v>28</v>
      </c>
      <c r="BN20" s="133" t="s">
        <v>28</v>
      </c>
      <c r="BO20" s="133" t="s">
        <v>28</v>
      </c>
      <c r="BP20" s="133" t="s">
        <v>28</v>
      </c>
      <c r="BQ20" s="133" t="s">
        <v>28</v>
      </c>
      <c r="BR20" s="133" t="s">
        <v>28</v>
      </c>
      <c r="BS20" s="133" t="s">
        <v>28</v>
      </c>
      <c r="BT20" s="133" t="s">
        <v>28</v>
      </c>
      <c r="BU20" s="133" t="s">
        <v>28</v>
      </c>
      <c r="BV20" s="133" t="s">
        <v>28</v>
      </c>
      <c r="BW20" s="133" t="s">
        <v>28</v>
      </c>
      <c r="BX20" s="133" t="s">
        <v>28</v>
      </c>
      <c r="BY20" s="133" t="s">
        <v>28</v>
      </c>
      <c r="BZ20" s="133" t="s">
        <v>28</v>
      </c>
      <c r="CA20" s="133" t="s">
        <v>28</v>
      </c>
      <c r="CB20" s="133" t="s">
        <v>28</v>
      </c>
      <c r="CC20" s="14" t="s">
        <v>28</v>
      </c>
    </row>
    <row r="21" ht="25.05" customHeight="1" spans="1:81">
      <c r="A21" s="36">
        <v>18</v>
      </c>
      <c r="B21" s="37" t="s">
        <v>22</v>
      </c>
      <c r="C21" s="38" t="s">
        <v>23</v>
      </c>
      <c r="D21" s="14" t="s">
        <v>77</v>
      </c>
      <c r="E21" s="36" t="s">
        <v>78</v>
      </c>
      <c r="F21" s="36" t="s">
        <v>79</v>
      </c>
      <c r="G21" s="36">
        <v>72</v>
      </c>
      <c r="H21" s="40" t="s">
        <v>27</v>
      </c>
      <c r="I21" s="133">
        <v>1680</v>
      </c>
      <c r="J21" s="134">
        <v>0</v>
      </c>
      <c r="K21" s="36">
        <v>3783</v>
      </c>
      <c r="L21" s="130">
        <v>4200</v>
      </c>
      <c r="M21" s="36">
        <v>0</v>
      </c>
      <c r="N21" s="36">
        <v>0</v>
      </c>
      <c r="O21" s="36">
        <v>0</v>
      </c>
      <c r="P21" s="36">
        <v>0</v>
      </c>
      <c r="Q21" s="131">
        <v>1263</v>
      </c>
      <c r="R21" s="133"/>
      <c r="S21" s="133"/>
      <c r="T21" s="133" t="s">
        <v>28</v>
      </c>
      <c r="U21" s="133">
        <v>576</v>
      </c>
      <c r="V21" s="133" t="s">
        <v>28</v>
      </c>
      <c r="W21" s="133" t="s">
        <v>28</v>
      </c>
      <c r="X21" s="133" t="s">
        <v>28</v>
      </c>
      <c r="Y21" s="133">
        <v>648</v>
      </c>
      <c r="Z21" s="133">
        <v>576</v>
      </c>
      <c r="AA21" s="133">
        <v>360</v>
      </c>
      <c r="AB21" s="133">
        <v>1368</v>
      </c>
      <c r="AC21" s="133">
        <v>72</v>
      </c>
      <c r="AD21" s="133">
        <v>39</v>
      </c>
      <c r="AE21" s="133">
        <v>144</v>
      </c>
      <c r="AF21" s="133" t="s">
        <v>28</v>
      </c>
      <c r="AG21" s="133" t="s">
        <v>28</v>
      </c>
      <c r="AH21" s="133" t="s">
        <v>28</v>
      </c>
      <c r="AI21" s="133" t="s">
        <v>28</v>
      </c>
      <c r="AJ21" s="133" t="s">
        <v>28</v>
      </c>
      <c r="AK21" s="133" t="s">
        <v>28</v>
      </c>
      <c r="AL21" s="133" t="s">
        <v>28</v>
      </c>
      <c r="AM21" s="133" t="s">
        <v>28</v>
      </c>
      <c r="AN21" s="133" t="s">
        <v>28</v>
      </c>
      <c r="AO21" s="133" t="s">
        <v>28</v>
      </c>
      <c r="AP21" s="133" t="s">
        <v>28</v>
      </c>
      <c r="AQ21" s="133" t="s">
        <v>28</v>
      </c>
      <c r="AR21" s="133" t="s">
        <v>28</v>
      </c>
      <c r="AS21" s="133" t="s">
        <v>28</v>
      </c>
      <c r="AT21" s="133" t="s">
        <v>28</v>
      </c>
      <c r="AU21" s="133" t="s">
        <v>28</v>
      </c>
      <c r="AV21" s="133" t="s">
        <v>28</v>
      </c>
      <c r="AW21" s="133" t="s">
        <v>28</v>
      </c>
      <c r="AX21" s="133" t="s">
        <v>28</v>
      </c>
      <c r="AY21" s="133" t="s">
        <v>28</v>
      </c>
      <c r="AZ21" s="133" t="s">
        <v>28</v>
      </c>
      <c r="BA21" s="133" t="s">
        <v>28</v>
      </c>
      <c r="BB21" s="133">
        <v>720</v>
      </c>
      <c r="BC21" s="133">
        <v>1392</v>
      </c>
      <c r="BD21" s="133">
        <v>144</v>
      </c>
      <c r="BE21" s="133">
        <v>648</v>
      </c>
      <c r="BF21" s="133" t="s">
        <v>28</v>
      </c>
      <c r="BG21" s="133" t="s">
        <v>28</v>
      </c>
      <c r="BH21" s="133" t="s">
        <v>28</v>
      </c>
      <c r="BI21" s="133">
        <v>576</v>
      </c>
      <c r="BJ21" s="133">
        <v>720</v>
      </c>
      <c r="BK21" s="133" t="s">
        <v>28</v>
      </c>
      <c r="BL21" s="133" t="s">
        <v>28</v>
      </c>
      <c r="BM21" s="133" t="s">
        <v>28</v>
      </c>
      <c r="BN21" s="133" t="s">
        <v>28</v>
      </c>
      <c r="BO21" s="133" t="s">
        <v>28</v>
      </c>
      <c r="BP21" s="133" t="s">
        <v>28</v>
      </c>
      <c r="BQ21" s="133" t="s">
        <v>28</v>
      </c>
      <c r="BR21" s="133" t="s">
        <v>28</v>
      </c>
      <c r="BS21" s="133" t="s">
        <v>28</v>
      </c>
      <c r="BT21" s="133" t="s">
        <v>28</v>
      </c>
      <c r="BU21" s="133" t="s">
        <v>28</v>
      </c>
      <c r="BV21" s="133" t="s">
        <v>28</v>
      </c>
      <c r="BW21" s="133" t="s">
        <v>28</v>
      </c>
      <c r="BX21" s="133" t="s">
        <v>28</v>
      </c>
      <c r="BY21" s="133" t="s">
        <v>28</v>
      </c>
      <c r="BZ21" s="133" t="s">
        <v>28</v>
      </c>
      <c r="CA21" s="133" t="s">
        <v>28</v>
      </c>
      <c r="CB21" s="133" t="s">
        <v>28</v>
      </c>
      <c r="CC21" s="14" t="s">
        <v>28</v>
      </c>
    </row>
    <row r="22" ht="25.05" customHeight="1" spans="1:81">
      <c r="A22" s="36">
        <v>19</v>
      </c>
      <c r="B22" s="37" t="s">
        <v>22</v>
      </c>
      <c r="C22" s="38" t="s">
        <v>23</v>
      </c>
      <c r="D22" s="14" t="s">
        <v>80</v>
      </c>
      <c r="E22" s="36" t="s">
        <v>81</v>
      </c>
      <c r="F22" s="36" t="s">
        <v>82</v>
      </c>
      <c r="G22" s="36">
        <v>72</v>
      </c>
      <c r="H22" s="40" t="s">
        <v>27</v>
      </c>
      <c r="I22" s="133">
        <v>144</v>
      </c>
      <c r="J22" s="134">
        <v>0</v>
      </c>
      <c r="K22" s="36">
        <v>5545</v>
      </c>
      <c r="L22" s="130">
        <v>3492</v>
      </c>
      <c r="M22" s="36">
        <v>0</v>
      </c>
      <c r="N22" s="36">
        <v>0</v>
      </c>
      <c r="O22" s="36">
        <v>0</v>
      </c>
      <c r="P22" s="36">
        <v>0</v>
      </c>
      <c r="Q22" s="131">
        <v>2197</v>
      </c>
      <c r="R22" s="133"/>
      <c r="S22" s="133"/>
      <c r="T22" s="133" t="s">
        <v>28</v>
      </c>
      <c r="U22" s="133">
        <v>792</v>
      </c>
      <c r="V22" s="133">
        <v>288</v>
      </c>
      <c r="W22" s="133">
        <v>468</v>
      </c>
      <c r="X22" s="133">
        <v>360</v>
      </c>
      <c r="Y22" s="133">
        <v>144</v>
      </c>
      <c r="Z22" s="133">
        <v>648</v>
      </c>
      <c r="AA22" s="133" t="s">
        <v>28</v>
      </c>
      <c r="AB22" s="133">
        <v>492</v>
      </c>
      <c r="AC22" s="133">
        <v>360</v>
      </c>
      <c r="AD22" s="133">
        <v>697</v>
      </c>
      <c r="AE22" s="133">
        <v>1296</v>
      </c>
      <c r="AF22" s="133" t="s">
        <v>28</v>
      </c>
      <c r="AG22" s="133" t="s">
        <v>28</v>
      </c>
      <c r="AH22" s="133" t="s">
        <v>28</v>
      </c>
      <c r="AI22" s="133" t="s">
        <v>28</v>
      </c>
      <c r="AJ22" s="133" t="s">
        <v>28</v>
      </c>
      <c r="AK22" s="133" t="s">
        <v>28</v>
      </c>
      <c r="AL22" s="133" t="s">
        <v>28</v>
      </c>
      <c r="AM22" s="133" t="s">
        <v>28</v>
      </c>
      <c r="AN22" s="133" t="s">
        <v>28</v>
      </c>
      <c r="AO22" s="133" t="s">
        <v>28</v>
      </c>
      <c r="AP22" s="133" t="s">
        <v>28</v>
      </c>
      <c r="AQ22" s="133" t="s">
        <v>28</v>
      </c>
      <c r="AR22" s="133" t="s">
        <v>28</v>
      </c>
      <c r="AS22" s="133" t="s">
        <v>28</v>
      </c>
      <c r="AT22" s="133" t="s">
        <v>28</v>
      </c>
      <c r="AU22" s="133" t="s">
        <v>28</v>
      </c>
      <c r="AV22" s="133" t="s">
        <v>28</v>
      </c>
      <c r="AW22" s="133" t="s">
        <v>28</v>
      </c>
      <c r="AX22" s="133" t="s">
        <v>28</v>
      </c>
      <c r="AY22" s="133" t="s">
        <v>28</v>
      </c>
      <c r="AZ22" s="133" t="s">
        <v>28</v>
      </c>
      <c r="BA22" s="133" t="s">
        <v>28</v>
      </c>
      <c r="BB22" s="133">
        <v>936</v>
      </c>
      <c r="BC22" s="133">
        <v>612</v>
      </c>
      <c r="BD22" s="133" t="s">
        <v>28</v>
      </c>
      <c r="BE22" s="133">
        <v>648</v>
      </c>
      <c r="BF22" s="133" t="s">
        <v>28</v>
      </c>
      <c r="BG22" s="133" t="s">
        <v>28</v>
      </c>
      <c r="BH22" s="133" t="s">
        <v>28</v>
      </c>
      <c r="BI22" s="133">
        <v>648</v>
      </c>
      <c r="BJ22" s="133">
        <v>648</v>
      </c>
      <c r="BK22" s="133" t="s">
        <v>28</v>
      </c>
      <c r="BL22" s="133" t="s">
        <v>28</v>
      </c>
      <c r="BM22" s="133" t="s">
        <v>28</v>
      </c>
      <c r="BN22" s="133" t="s">
        <v>28</v>
      </c>
      <c r="BO22" s="133" t="s">
        <v>28</v>
      </c>
      <c r="BP22" s="133" t="s">
        <v>28</v>
      </c>
      <c r="BQ22" s="133" t="s">
        <v>28</v>
      </c>
      <c r="BR22" s="133" t="s">
        <v>28</v>
      </c>
      <c r="BS22" s="133" t="s">
        <v>28</v>
      </c>
      <c r="BT22" s="133" t="s">
        <v>28</v>
      </c>
      <c r="BU22" s="133" t="s">
        <v>28</v>
      </c>
      <c r="BV22" s="133" t="s">
        <v>28</v>
      </c>
      <c r="BW22" s="133" t="s">
        <v>28</v>
      </c>
      <c r="BX22" s="133" t="s">
        <v>28</v>
      </c>
      <c r="BY22" s="133" t="s">
        <v>28</v>
      </c>
      <c r="BZ22" s="133" t="s">
        <v>28</v>
      </c>
      <c r="CA22" s="133" t="s">
        <v>28</v>
      </c>
      <c r="CB22" s="133" t="s">
        <v>28</v>
      </c>
      <c r="CC22" s="14" t="s">
        <v>28</v>
      </c>
    </row>
    <row r="23" ht="25.05" customHeight="1" spans="1:81">
      <c r="A23" s="36">
        <v>20</v>
      </c>
      <c r="B23" s="37" t="s">
        <v>22</v>
      </c>
      <c r="C23" s="38" t="s">
        <v>23</v>
      </c>
      <c r="D23" s="14" t="s">
        <v>83</v>
      </c>
      <c r="E23" s="36" t="s">
        <v>84</v>
      </c>
      <c r="F23" s="36" t="s">
        <v>85</v>
      </c>
      <c r="G23" s="36">
        <v>24</v>
      </c>
      <c r="H23" s="40" t="s">
        <v>27</v>
      </c>
      <c r="I23" s="133">
        <v>960</v>
      </c>
      <c r="J23" s="134">
        <v>0</v>
      </c>
      <c r="K23" s="36">
        <v>960</v>
      </c>
      <c r="L23" s="130">
        <v>0</v>
      </c>
      <c r="M23" s="36">
        <v>0</v>
      </c>
      <c r="N23" s="36">
        <v>0</v>
      </c>
      <c r="O23" s="36">
        <v>0</v>
      </c>
      <c r="P23" s="36">
        <v>0</v>
      </c>
      <c r="Q23" s="131">
        <v>1920</v>
      </c>
      <c r="R23" s="133"/>
      <c r="S23" s="133"/>
      <c r="T23" s="133" t="s">
        <v>28</v>
      </c>
      <c r="U23" s="133">
        <v>528</v>
      </c>
      <c r="V23" s="133" t="s">
        <v>28</v>
      </c>
      <c r="W23" s="133">
        <v>336</v>
      </c>
      <c r="X23" s="133">
        <v>96</v>
      </c>
      <c r="Y23" s="133" t="s">
        <v>28</v>
      </c>
      <c r="Z23" s="133" t="s">
        <v>28</v>
      </c>
      <c r="AA23" s="133" t="s">
        <v>28</v>
      </c>
      <c r="AB23" s="133" t="s">
        <v>28</v>
      </c>
      <c r="AC23" s="133" t="s">
        <v>28</v>
      </c>
      <c r="AD23" s="133" t="s">
        <v>28</v>
      </c>
      <c r="AE23" s="133" t="s">
        <v>28</v>
      </c>
      <c r="AF23" s="133" t="s">
        <v>28</v>
      </c>
      <c r="AG23" s="133" t="s">
        <v>28</v>
      </c>
      <c r="AH23" s="133" t="s">
        <v>28</v>
      </c>
      <c r="AI23" s="133" t="s">
        <v>28</v>
      </c>
      <c r="AJ23" s="133" t="s">
        <v>28</v>
      </c>
      <c r="AK23" s="133" t="s">
        <v>28</v>
      </c>
      <c r="AL23" s="133" t="s">
        <v>28</v>
      </c>
      <c r="AM23" s="133" t="s">
        <v>28</v>
      </c>
      <c r="AN23" s="133" t="s">
        <v>28</v>
      </c>
      <c r="AO23" s="133" t="s">
        <v>28</v>
      </c>
      <c r="AP23" s="133" t="s">
        <v>28</v>
      </c>
      <c r="AQ23" s="133" t="s">
        <v>28</v>
      </c>
      <c r="AR23" s="133" t="s">
        <v>28</v>
      </c>
      <c r="AS23" s="133" t="s">
        <v>28</v>
      </c>
      <c r="AT23" s="133" t="s">
        <v>28</v>
      </c>
      <c r="AU23" s="133" t="s">
        <v>28</v>
      </c>
      <c r="AV23" s="133" t="s">
        <v>28</v>
      </c>
      <c r="AW23" s="133" t="s">
        <v>28</v>
      </c>
      <c r="AX23" s="133" t="s">
        <v>28</v>
      </c>
      <c r="AY23" s="133" t="s">
        <v>28</v>
      </c>
      <c r="AZ23" s="133" t="s">
        <v>28</v>
      </c>
      <c r="BA23" s="133" t="s">
        <v>28</v>
      </c>
      <c r="BB23" s="133" t="s">
        <v>28</v>
      </c>
      <c r="BC23" s="133" t="s">
        <v>28</v>
      </c>
      <c r="BD23" s="133" t="s">
        <v>28</v>
      </c>
      <c r="BE23" s="133" t="s">
        <v>28</v>
      </c>
      <c r="BF23" s="133" t="s">
        <v>28</v>
      </c>
      <c r="BG23" s="133" t="s">
        <v>28</v>
      </c>
      <c r="BH23" s="133" t="s">
        <v>28</v>
      </c>
      <c r="BI23" s="133" t="s">
        <v>28</v>
      </c>
      <c r="BJ23" s="133" t="s">
        <v>28</v>
      </c>
      <c r="BK23" s="133" t="s">
        <v>28</v>
      </c>
      <c r="BL23" s="133" t="s">
        <v>28</v>
      </c>
      <c r="BM23" s="133" t="s">
        <v>28</v>
      </c>
      <c r="BN23" s="133" t="s">
        <v>28</v>
      </c>
      <c r="BO23" s="133" t="s">
        <v>28</v>
      </c>
      <c r="BP23" s="133" t="s">
        <v>28</v>
      </c>
      <c r="BQ23" s="133" t="s">
        <v>28</v>
      </c>
      <c r="BR23" s="133" t="s">
        <v>28</v>
      </c>
      <c r="BS23" s="133" t="s">
        <v>28</v>
      </c>
      <c r="BT23" s="133" t="s">
        <v>28</v>
      </c>
      <c r="BU23" s="133" t="s">
        <v>28</v>
      </c>
      <c r="BV23" s="133" t="s">
        <v>28</v>
      </c>
      <c r="BW23" s="133" t="s">
        <v>28</v>
      </c>
      <c r="BX23" s="133" t="s">
        <v>28</v>
      </c>
      <c r="BY23" s="133" t="s">
        <v>28</v>
      </c>
      <c r="BZ23" s="133" t="s">
        <v>28</v>
      </c>
      <c r="CA23" s="133" t="s">
        <v>28</v>
      </c>
      <c r="CB23" s="133" t="s">
        <v>28</v>
      </c>
      <c r="CC23" s="14" t="s">
        <v>28</v>
      </c>
    </row>
    <row r="24" ht="25.05" customHeight="1" spans="1:81">
      <c r="A24" s="36">
        <v>21</v>
      </c>
      <c r="B24" s="37" t="s">
        <v>22</v>
      </c>
      <c r="C24" s="38" t="s">
        <v>23</v>
      </c>
      <c r="D24" s="14" t="s">
        <v>86</v>
      </c>
      <c r="E24" s="36" t="s">
        <v>87</v>
      </c>
      <c r="F24" s="36" t="s">
        <v>88</v>
      </c>
      <c r="G24" s="36">
        <v>108</v>
      </c>
      <c r="H24" s="40" t="s">
        <v>27</v>
      </c>
      <c r="I24" s="133">
        <v>0</v>
      </c>
      <c r="J24" s="134">
        <v>0</v>
      </c>
      <c r="K24" s="36">
        <v>4276</v>
      </c>
      <c r="L24" s="130">
        <v>3088</v>
      </c>
      <c r="M24" s="36">
        <v>0</v>
      </c>
      <c r="N24" s="36">
        <v>0</v>
      </c>
      <c r="O24" s="36">
        <v>0</v>
      </c>
      <c r="P24" s="36">
        <v>0</v>
      </c>
      <c r="Q24" s="131">
        <v>1188</v>
      </c>
      <c r="R24" s="133"/>
      <c r="S24" s="133"/>
      <c r="T24" s="133" t="s">
        <v>28</v>
      </c>
      <c r="U24" s="133">
        <v>216</v>
      </c>
      <c r="V24" s="133" t="s">
        <v>28</v>
      </c>
      <c r="W24" s="133" t="s">
        <v>28</v>
      </c>
      <c r="X24" s="133" t="s">
        <v>28</v>
      </c>
      <c r="Y24" s="133" t="s">
        <v>28</v>
      </c>
      <c r="Z24" s="133" t="s">
        <v>28</v>
      </c>
      <c r="AA24" s="133">
        <v>712</v>
      </c>
      <c r="AB24" s="133">
        <v>3024</v>
      </c>
      <c r="AC24" s="133">
        <v>324</v>
      </c>
      <c r="AD24" s="133" t="s">
        <v>28</v>
      </c>
      <c r="AE24" s="133" t="s">
        <v>28</v>
      </c>
      <c r="AF24" s="133" t="s">
        <v>28</v>
      </c>
      <c r="AG24" s="133" t="s">
        <v>28</v>
      </c>
      <c r="AH24" s="133" t="s">
        <v>28</v>
      </c>
      <c r="AI24" s="133" t="s">
        <v>28</v>
      </c>
      <c r="AJ24" s="133" t="s">
        <v>28</v>
      </c>
      <c r="AK24" s="133" t="s">
        <v>28</v>
      </c>
      <c r="AL24" s="133" t="s">
        <v>28</v>
      </c>
      <c r="AM24" s="133" t="s">
        <v>28</v>
      </c>
      <c r="AN24" s="133" t="s">
        <v>28</v>
      </c>
      <c r="AO24" s="133" t="s">
        <v>28</v>
      </c>
      <c r="AP24" s="133" t="s">
        <v>28</v>
      </c>
      <c r="AQ24" s="133" t="s">
        <v>28</v>
      </c>
      <c r="AR24" s="133" t="s">
        <v>28</v>
      </c>
      <c r="AS24" s="133" t="s">
        <v>28</v>
      </c>
      <c r="AT24" s="133" t="s">
        <v>28</v>
      </c>
      <c r="AU24" s="133" t="s">
        <v>28</v>
      </c>
      <c r="AV24" s="133" t="s">
        <v>28</v>
      </c>
      <c r="AW24" s="133" t="s">
        <v>28</v>
      </c>
      <c r="AX24" s="133" t="s">
        <v>28</v>
      </c>
      <c r="AY24" s="133" t="s">
        <v>28</v>
      </c>
      <c r="AZ24" s="133" t="s">
        <v>28</v>
      </c>
      <c r="BA24" s="133" t="s">
        <v>28</v>
      </c>
      <c r="BB24" s="133">
        <v>216</v>
      </c>
      <c r="BC24" s="133" t="s">
        <v>28</v>
      </c>
      <c r="BD24" s="133" t="s">
        <v>28</v>
      </c>
      <c r="BE24" s="133" t="s">
        <v>28</v>
      </c>
      <c r="BF24" s="133" t="s">
        <v>28</v>
      </c>
      <c r="BG24" s="133">
        <v>712</v>
      </c>
      <c r="BH24" s="133">
        <v>864</v>
      </c>
      <c r="BI24" s="133">
        <v>648</v>
      </c>
      <c r="BJ24" s="133">
        <v>648</v>
      </c>
      <c r="BK24" s="133" t="s">
        <v>28</v>
      </c>
      <c r="BL24" s="133" t="s">
        <v>28</v>
      </c>
      <c r="BM24" s="133" t="s">
        <v>28</v>
      </c>
      <c r="BN24" s="133" t="s">
        <v>28</v>
      </c>
      <c r="BO24" s="133" t="s">
        <v>28</v>
      </c>
      <c r="BP24" s="133" t="s">
        <v>28</v>
      </c>
      <c r="BQ24" s="133" t="s">
        <v>28</v>
      </c>
      <c r="BR24" s="133" t="s">
        <v>28</v>
      </c>
      <c r="BS24" s="133" t="s">
        <v>28</v>
      </c>
      <c r="BT24" s="133" t="s">
        <v>28</v>
      </c>
      <c r="BU24" s="133" t="s">
        <v>28</v>
      </c>
      <c r="BV24" s="133" t="s">
        <v>28</v>
      </c>
      <c r="BW24" s="133" t="s">
        <v>28</v>
      </c>
      <c r="BX24" s="133" t="s">
        <v>28</v>
      </c>
      <c r="BY24" s="133" t="s">
        <v>28</v>
      </c>
      <c r="BZ24" s="133" t="s">
        <v>28</v>
      </c>
      <c r="CA24" s="133" t="s">
        <v>28</v>
      </c>
      <c r="CB24" s="133" t="s">
        <v>28</v>
      </c>
      <c r="CC24" s="14" t="s">
        <v>28</v>
      </c>
    </row>
    <row r="25" ht="25.05" customHeight="1" spans="1:81">
      <c r="A25" s="36">
        <v>22</v>
      </c>
      <c r="B25" s="37" t="s">
        <v>22</v>
      </c>
      <c r="C25" s="38" t="s">
        <v>23</v>
      </c>
      <c r="D25" s="14" t="s">
        <v>89</v>
      </c>
      <c r="E25" s="36" t="s">
        <v>90</v>
      </c>
      <c r="F25" s="36" t="s">
        <v>91</v>
      </c>
      <c r="G25" s="36">
        <v>24</v>
      </c>
      <c r="H25" s="40" t="s">
        <v>27</v>
      </c>
      <c r="I25" s="133">
        <v>0</v>
      </c>
      <c r="J25" s="134">
        <v>0</v>
      </c>
      <c r="K25" s="36">
        <v>3888</v>
      </c>
      <c r="L25" s="130">
        <v>3696</v>
      </c>
      <c r="M25" s="36">
        <v>0</v>
      </c>
      <c r="N25" s="36">
        <v>0</v>
      </c>
      <c r="O25" s="36">
        <v>0</v>
      </c>
      <c r="P25" s="36">
        <v>0</v>
      </c>
      <c r="Q25" s="131">
        <v>192</v>
      </c>
      <c r="R25" s="133"/>
      <c r="S25" s="133"/>
      <c r="T25" s="133" t="s">
        <v>28</v>
      </c>
      <c r="U25" s="133">
        <v>1440</v>
      </c>
      <c r="V25" s="133" t="s">
        <v>28</v>
      </c>
      <c r="W25" s="133">
        <v>1248</v>
      </c>
      <c r="X25" s="133">
        <v>408</v>
      </c>
      <c r="Y25" s="133">
        <v>504</v>
      </c>
      <c r="Z25" s="133">
        <v>96</v>
      </c>
      <c r="AA25" s="133" t="s">
        <v>28</v>
      </c>
      <c r="AB25" s="133" t="s">
        <v>28</v>
      </c>
      <c r="AC25" s="133" t="s">
        <v>28</v>
      </c>
      <c r="AD25" s="133" t="s">
        <v>28</v>
      </c>
      <c r="AE25" s="133">
        <v>192</v>
      </c>
      <c r="AF25" s="133" t="s">
        <v>28</v>
      </c>
      <c r="AG25" s="133" t="s">
        <v>28</v>
      </c>
      <c r="AH25" s="133" t="s">
        <v>28</v>
      </c>
      <c r="AI25" s="133" t="s">
        <v>28</v>
      </c>
      <c r="AJ25" s="133" t="s">
        <v>28</v>
      </c>
      <c r="AK25" s="133" t="s">
        <v>28</v>
      </c>
      <c r="AL25" s="133" t="s">
        <v>28</v>
      </c>
      <c r="AM25" s="133" t="s">
        <v>28</v>
      </c>
      <c r="AN25" s="133" t="s">
        <v>28</v>
      </c>
      <c r="AO25" s="133" t="s">
        <v>28</v>
      </c>
      <c r="AP25" s="133" t="s">
        <v>28</v>
      </c>
      <c r="AQ25" s="133" t="s">
        <v>28</v>
      </c>
      <c r="AR25" s="133" t="s">
        <v>28</v>
      </c>
      <c r="AS25" s="133" t="s">
        <v>28</v>
      </c>
      <c r="AT25" s="133" t="s">
        <v>28</v>
      </c>
      <c r="AU25" s="133" t="s">
        <v>28</v>
      </c>
      <c r="AV25" s="133" t="s">
        <v>28</v>
      </c>
      <c r="AW25" s="133" t="s">
        <v>28</v>
      </c>
      <c r="AX25" s="133" t="s">
        <v>28</v>
      </c>
      <c r="AY25" s="133" t="s">
        <v>28</v>
      </c>
      <c r="AZ25" s="133" t="s">
        <v>28</v>
      </c>
      <c r="BA25" s="133" t="s">
        <v>28</v>
      </c>
      <c r="BB25" s="133">
        <v>480</v>
      </c>
      <c r="BC25" s="133" t="s">
        <v>28</v>
      </c>
      <c r="BD25" s="133">
        <v>480</v>
      </c>
      <c r="BE25" s="133">
        <v>768</v>
      </c>
      <c r="BF25" s="133" t="s">
        <v>28</v>
      </c>
      <c r="BG25" s="133" t="s">
        <v>28</v>
      </c>
      <c r="BH25" s="133">
        <v>720</v>
      </c>
      <c r="BI25" s="133">
        <v>720</v>
      </c>
      <c r="BJ25" s="133">
        <v>528</v>
      </c>
      <c r="BK25" s="133" t="s">
        <v>28</v>
      </c>
      <c r="BL25" s="133" t="s">
        <v>28</v>
      </c>
      <c r="BM25" s="133" t="s">
        <v>28</v>
      </c>
      <c r="BN25" s="133" t="s">
        <v>28</v>
      </c>
      <c r="BO25" s="133" t="s">
        <v>28</v>
      </c>
      <c r="BP25" s="133" t="s">
        <v>28</v>
      </c>
      <c r="BQ25" s="133" t="s">
        <v>28</v>
      </c>
      <c r="BR25" s="133" t="s">
        <v>28</v>
      </c>
      <c r="BS25" s="133" t="s">
        <v>28</v>
      </c>
      <c r="BT25" s="133" t="s">
        <v>28</v>
      </c>
      <c r="BU25" s="133" t="s">
        <v>28</v>
      </c>
      <c r="BV25" s="133" t="s">
        <v>28</v>
      </c>
      <c r="BW25" s="133" t="s">
        <v>28</v>
      </c>
      <c r="BX25" s="133" t="s">
        <v>28</v>
      </c>
      <c r="BY25" s="133" t="s">
        <v>28</v>
      </c>
      <c r="BZ25" s="133" t="s">
        <v>28</v>
      </c>
      <c r="CA25" s="133" t="s">
        <v>28</v>
      </c>
      <c r="CB25" s="133" t="s">
        <v>28</v>
      </c>
      <c r="CC25" s="14" t="s">
        <v>28</v>
      </c>
    </row>
    <row r="26" ht="25.05" customHeight="1" spans="1:81">
      <c r="A26" s="36">
        <v>23</v>
      </c>
      <c r="B26" s="37" t="s">
        <v>22</v>
      </c>
      <c r="C26" s="38" t="s">
        <v>23</v>
      </c>
      <c r="D26" s="14" t="s">
        <v>92</v>
      </c>
      <c r="E26" s="36" t="s">
        <v>93</v>
      </c>
      <c r="F26" s="36" t="s">
        <v>94</v>
      </c>
      <c r="G26" s="36">
        <v>54</v>
      </c>
      <c r="H26" s="40" t="s">
        <v>27</v>
      </c>
      <c r="I26" s="133">
        <v>0</v>
      </c>
      <c r="J26" s="134">
        <v>0</v>
      </c>
      <c r="K26" s="36">
        <v>0</v>
      </c>
      <c r="L26" s="130">
        <v>0</v>
      </c>
      <c r="M26" s="36">
        <v>0</v>
      </c>
      <c r="N26" s="36">
        <v>0</v>
      </c>
      <c r="O26" s="36">
        <v>0</v>
      </c>
      <c r="P26" s="36">
        <v>0</v>
      </c>
      <c r="Q26" s="131">
        <v>0</v>
      </c>
      <c r="R26" s="133"/>
      <c r="S26" s="133"/>
      <c r="T26" s="133" t="s">
        <v>28</v>
      </c>
      <c r="U26" s="133" t="s">
        <v>28</v>
      </c>
      <c r="V26" s="133" t="s">
        <v>28</v>
      </c>
      <c r="W26" s="133" t="s">
        <v>28</v>
      </c>
      <c r="X26" s="133" t="s">
        <v>28</v>
      </c>
      <c r="Y26" s="133" t="s">
        <v>28</v>
      </c>
      <c r="Z26" s="133" t="s">
        <v>28</v>
      </c>
      <c r="AA26" s="133" t="s">
        <v>28</v>
      </c>
      <c r="AB26" s="133" t="s">
        <v>28</v>
      </c>
      <c r="AC26" s="133" t="s">
        <v>28</v>
      </c>
      <c r="AD26" s="133" t="s">
        <v>28</v>
      </c>
      <c r="AE26" s="133" t="s">
        <v>28</v>
      </c>
      <c r="AF26" s="133" t="s">
        <v>28</v>
      </c>
      <c r="AG26" s="133" t="s">
        <v>28</v>
      </c>
      <c r="AH26" s="133" t="s">
        <v>28</v>
      </c>
      <c r="AI26" s="133" t="s">
        <v>28</v>
      </c>
      <c r="AJ26" s="133" t="s">
        <v>28</v>
      </c>
      <c r="AK26" s="133" t="s">
        <v>28</v>
      </c>
      <c r="AL26" s="133" t="s">
        <v>28</v>
      </c>
      <c r="AM26" s="133" t="s">
        <v>28</v>
      </c>
      <c r="AN26" s="133" t="s">
        <v>28</v>
      </c>
      <c r="AO26" s="133" t="s">
        <v>28</v>
      </c>
      <c r="AP26" s="133" t="s">
        <v>28</v>
      </c>
      <c r="AQ26" s="133" t="s">
        <v>28</v>
      </c>
      <c r="AR26" s="133" t="s">
        <v>28</v>
      </c>
      <c r="AS26" s="133" t="s">
        <v>28</v>
      </c>
      <c r="AT26" s="133" t="s">
        <v>28</v>
      </c>
      <c r="AU26" s="133" t="s">
        <v>28</v>
      </c>
      <c r="AV26" s="133" t="s">
        <v>28</v>
      </c>
      <c r="AW26" s="133" t="s">
        <v>28</v>
      </c>
      <c r="AX26" s="133" t="s">
        <v>28</v>
      </c>
      <c r="AY26" s="133" t="s">
        <v>28</v>
      </c>
      <c r="AZ26" s="133" t="s">
        <v>28</v>
      </c>
      <c r="BA26" s="133" t="s">
        <v>28</v>
      </c>
      <c r="BB26" s="133" t="s">
        <v>28</v>
      </c>
      <c r="BC26" s="133" t="s">
        <v>28</v>
      </c>
      <c r="BD26" s="133" t="s">
        <v>28</v>
      </c>
      <c r="BE26" s="133" t="s">
        <v>28</v>
      </c>
      <c r="BF26" s="133" t="s">
        <v>28</v>
      </c>
      <c r="BG26" s="133" t="s">
        <v>28</v>
      </c>
      <c r="BH26" s="133" t="s">
        <v>28</v>
      </c>
      <c r="BI26" s="133" t="s">
        <v>28</v>
      </c>
      <c r="BJ26" s="133" t="s">
        <v>28</v>
      </c>
      <c r="BK26" s="133" t="s">
        <v>28</v>
      </c>
      <c r="BL26" s="133" t="s">
        <v>28</v>
      </c>
      <c r="BM26" s="133" t="s">
        <v>28</v>
      </c>
      <c r="BN26" s="133" t="s">
        <v>28</v>
      </c>
      <c r="BO26" s="133" t="s">
        <v>28</v>
      </c>
      <c r="BP26" s="133" t="s">
        <v>28</v>
      </c>
      <c r="BQ26" s="133" t="s">
        <v>28</v>
      </c>
      <c r="BR26" s="133" t="s">
        <v>28</v>
      </c>
      <c r="BS26" s="133" t="s">
        <v>28</v>
      </c>
      <c r="BT26" s="133" t="s">
        <v>28</v>
      </c>
      <c r="BU26" s="133" t="s">
        <v>28</v>
      </c>
      <c r="BV26" s="133" t="s">
        <v>28</v>
      </c>
      <c r="BW26" s="133" t="s">
        <v>28</v>
      </c>
      <c r="BX26" s="133" t="s">
        <v>28</v>
      </c>
      <c r="BY26" s="133" t="s">
        <v>28</v>
      </c>
      <c r="BZ26" s="133" t="s">
        <v>28</v>
      </c>
      <c r="CA26" s="133" t="s">
        <v>28</v>
      </c>
      <c r="CB26" s="133" t="s">
        <v>28</v>
      </c>
      <c r="CC26" s="14" t="s">
        <v>28</v>
      </c>
    </row>
    <row r="27" ht="25.05" customHeight="1" spans="1:81">
      <c r="A27" s="36">
        <v>24</v>
      </c>
      <c r="B27" s="37" t="s">
        <v>22</v>
      </c>
      <c r="C27" s="38" t="s">
        <v>23</v>
      </c>
      <c r="D27" s="14" t="s">
        <v>95</v>
      </c>
      <c r="E27" s="36" t="s">
        <v>96</v>
      </c>
      <c r="F27" s="36" t="s">
        <v>97</v>
      </c>
      <c r="G27" s="36">
        <v>12</v>
      </c>
      <c r="H27" s="40" t="s">
        <v>27</v>
      </c>
      <c r="I27" s="133">
        <v>0</v>
      </c>
      <c r="J27" s="134">
        <v>0</v>
      </c>
      <c r="K27" s="36">
        <v>0</v>
      </c>
      <c r="L27" s="130">
        <v>0</v>
      </c>
      <c r="M27" s="36">
        <v>0</v>
      </c>
      <c r="N27" s="36">
        <v>0</v>
      </c>
      <c r="O27" s="36">
        <v>0</v>
      </c>
      <c r="P27" s="36">
        <v>0</v>
      </c>
      <c r="Q27" s="131">
        <v>0</v>
      </c>
      <c r="R27" s="133"/>
      <c r="S27" s="133"/>
      <c r="T27" s="133" t="s">
        <v>28</v>
      </c>
      <c r="U27" s="133" t="s">
        <v>28</v>
      </c>
      <c r="V27" s="133" t="s">
        <v>28</v>
      </c>
      <c r="W27" s="133" t="s">
        <v>28</v>
      </c>
      <c r="X27" s="133" t="s">
        <v>28</v>
      </c>
      <c r="Y27" s="133" t="s">
        <v>28</v>
      </c>
      <c r="Z27" s="133" t="s">
        <v>28</v>
      </c>
      <c r="AA27" s="133" t="s">
        <v>28</v>
      </c>
      <c r="AB27" s="133" t="s">
        <v>28</v>
      </c>
      <c r="AC27" s="133" t="s">
        <v>28</v>
      </c>
      <c r="AD27" s="133" t="s">
        <v>28</v>
      </c>
      <c r="AE27" s="133" t="s">
        <v>28</v>
      </c>
      <c r="AF27" s="133" t="s">
        <v>28</v>
      </c>
      <c r="AG27" s="133" t="s">
        <v>28</v>
      </c>
      <c r="AH27" s="133" t="s">
        <v>28</v>
      </c>
      <c r="AI27" s="133" t="s">
        <v>28</v>
      </c>
      <c r="AJ27" s="133" t="s">
        <v>28</v>
      </c>
      <c r="AK27" s="133" t="s">
        <v>28</v>
      </c>
      <c r="AL27" s="133" t="s">
        <v>28</v>
      </c>
      <c r="AM27" s="133" t="s">
        <v>28</v>
      </c>
      <c r="AN27" s="133" t="s">
        <v>28</v>
      </c>
      <c r="AO27" s="133" t="s">
        <v>28</v>
      </c>
      <c r="AP27" s="133" t="s">
        <v>28</v>
      </c>
      <c r="AQ27" s="133" t="s">
        <v>28</v>
      </c>
      <c r="AR27" s="133" t="s">
        <v>28</v>
      </c>
      <c r="AS27" s="133" t="s">
        <v>28</v>
      </c>
      <c r="AT27" s="133" t="s">
        <v>28</v>
      </c>
      <c r="AU27" s="133" t="s">
        <v>28</v>
      </c>
      <c r="AV27" s="133" t="s">
        <v>28</v>
      </c>
      <c r="AW27" s="133" t="s">
        <v>28</v>
      </c>
      <c r="AX27" s="133" t="s">
        <v>28</v>
      </c>
      <c r="AY27" s="133" t="s">
        <v>28</v>
      </c>
      <c r="AZ27" s="133" t="s">
        <v>28</v>
      </c>
      <c r="BA27" s="133" t="s">
        <v>28</v>
      </c>
      <c r="BB27" s="133" t="s">
        <v>28</v>
      </c>
      <c r="BC27" s="133" t="s">
        <v>28</v>
      </c>
      <c r="BD27" s="133" t="s">
        <v>28</v>
      </c>
      <c r="BE27" s="133" t="s">
        <v>28</v>
      </c>
      <c r="BF27" s="133" t="s">
        <v>28</v>
      </c>
      <c r="BG27" s="133" t="s">
        <v>28</v>
      </c>
      <c r="BH27" s="133" t="s">
        <v>28</v>
      </c>
      <c r="BI27" s="133" t="s">
        <v>28</v>
      </c>
      <c r="BJ27" s="133" t="s">
        <v>28</v>
      </c>
      <c r="BK27" s="133" t="s">
        <v>28</v>
      </c>
      <c r="BL27" s="133" t="s">
        <v>28</v>
      </c>
      <c r="BM27" s="133" t="s">
        <v>28</v>
      </c>
      <c r="BN27" s="133" t="s">
        <v>28</v>
      </c>
      <c r="BO27" s="133" t="s">
        <v>28</v>
      </c>
      <c r="BP27" s="133" t="s">
        <v>28</v>
      </c>
      <c r="BQ27" s="133" t="s">
        <v>28</v>
      </c>
      <c r="BR27" s="133" t="s">
        <v>28</v>
      </c>
      <c r="BS27" s="133" t="s">
        <v>28</v>
      </c>
      <c r="BT27" s="133" t="s">
        <v>28</v>
      </c>
      <c r="BU27" s="133" t="s">
        <v>28</v>
      </c>
      <c r="BV27" s="133" t="s">
        <v>28</v>
      </c>
      <c r="BW27" s="133" t="s">
        <v>28</v>
      </c>
      <c r="BX27" s="133" t="s">
        <v>28</v>
      </c>
      <c r="BY27" s="133" t="s">
        <v>28</v>
      </c>
      <c r="BZ27" s="133" t="s">
        <v>28</v>
      </c>
      <c r="CA27" s="133" t="s">
        <v>28</v>
      </c>
      <c r="CB27" s="133" t="s">
        <v>28</v>
      </c>
      <c r="CC27" s="14" t="s">
        <v>28</v>
      </c>
    </row>
    <row r="28" ht="25.05" customHeight="1" spans="1:81">
      <c r="A28" s="36">
        <v>25</v>
      </c>
      <c r="B28" s="37" t="s">
        <v>22</v>
      </c>
      <c r="C28" s="38" t="s">
        <v>23</v>
      </c>
      <c r="D28" s="14" t="s">
        <v>98</v>
      </c>
      <c r="E28" s="36" t="s">
        <v>99</v>
      </c>
      <c r="F28" s="36" t="s">
        <v>100</v>
      </c>
      <c r="G28" s="36">
        <v>8</v>
      </c>
      <c r="H28" s="40" t="s">
        <v>27</v>
      </c>
      <c r="I28" s="133">
        <v>535</v>
      </c>
      <c r="J28" s="134">
        <v>0</v>
      </c>
      <c r="K28" s="36">
        <v>0</v>
      </c>
      <c r="L28" s="130">
        <v>0</v>
      </c>
      <c r="M28" s="36">
        <v>0</v>
      </c>
      <c r="N28" s="36">
        <v>0</v>
      </c>
      <c r="O28" s="36">
        <v>0</v>
      </c>
      <c r="P28" s="36">
        <v>0</v>
      </c>
      <c r="Q28" s="131">
        <v>535</v>
      </c>
      <c r="R28" s="133"/>
      <c r="S28" s="133"/>
      <c r="T28" s="133" t="s">
        <v>28</v>
      </c>
      <c r="U28" s="133" t="s">
        <v>28</v>
      </c>
      <c r="V28" s="133" t="s">
        <v>28</v>
      </c>
      <c r="W28" s="133" t="s">
        <v>28</v>
      </c>
      <c r="X28" s="133" t="s">
        <v>28</v>
      </c>
      <c r="Y28" s="133" t="s">
        <v>28</v>
      </c>
      <c r="Z28" s="133" t="s">
        <v>28</v>
      </c>
      <c r="AA28" s="133" t="s">
        <v>28</v>
      </c>
      <c r="AB28" s="133" t="s">
        <v>28</v>
      </c>
      <c r="AC28" s="133" t="s">
        <v>28</v>
      </c>
      <c r="AD28" s="133" t="s">
        <v>28</v>
      </c>
      <c r="AE28" s="133" t="s">
        <v>28</v>
      </c>
      <c r="AF28" s="133" t="s">
        <v>28</v>
      </c>
      <c r="AG28" s="133" t="s">
        <v>28</v>
      </c>
      <c r="AH28" s="133" t="s">
        <v>28</v>
      </c>
      <c r="AI28" s="133" t="s">
        <v>28</v>
      </c>
      <c r="AJ28" s="133" t="s">
        <v>28</v>
      </c>
      <c r="AK28" s="133" t="s">
        <v>28</v>
      </c>
      <c r="AL28" s="133" t="s">
        <v>28</v>
      </c>
      <c r="AM28" s="133" t="s">
        <v>28</v>
      </c>
      <c r="AN28" s="133" t="s">
        <v>28</v>
      </c>
      <c r="AO28" s="133" t="s">
        <v>28</v>
      </c>
      <c r="AP28" s="133" t="s">
        <v>28</v>
      </c>
      <c r="AQ28" s="133" t="s">
        <v>28</v>
      </c>
      <c r="AR28" s="133" t="s">
        <v>28</v>
      </c>
      <c r="AS28" s="133" t="s">
        <v>28</v>
      </c>
      <c r="AT28" s="133" t="s">
        <v>28</v>
      </c>
      <c r="AU28" s="133" t="s">
        <v>28</v>
      </c>
      <c r="AV28" s="133" t="s">
        <v>28</v>
      </c>
      <c r="AW28" s="133" t="s">
        <v>28</v>
      </c>
      <c r="AX28" s="133" t="s">
        <v>28</v>
      </c>
      <c r="AY28" s="133" t="s">
        <v>28</v>
      </c>
      <c r="AZ28" s="133" t="s">
        <v>28</v>
      </c>
      <c r="BA28" s="133" t="s">
        <v>28</v>
      </c>
      <c r="BB28" s="133" t="s">
        <v>28</v>
      </c>
      <c r="BC28" s="133" t="s">
        <v>28</v>
      </c>
      <c r="BD28" s="133" t="s">
        <v>28</v>
      </c>
      <c r="BE28" s="133" t="s">
        <v>28</v>
      </c>
      <c r="BF28" s="133" t="s">
        <v>28</v>
      </c>
      <c r="BG28" s="133" t="s">
        <v>28</v>
      </c>
      <c r="BH28" s="133" t="s">
        <v>28</v>
      </c>
      <c r="BI28" s="133" t="s">
        <v>28</v>
      </c>
      <c r="BJ28" s="133" t="s">
        <v>28</v>
      </c>
      <c r="BK28" s="133" t="s">
        <v>28</v>
      </c>
      <c r="BL28" s="133" t="s">
        <v>28</v>
      </c>
      <c r="BM28" s="133" t="s">
        <v>28</v>
      </c>
      <c r="BN28" s="133" t="s">
        <v>28</v>
      </c>
      <c r="BO28" s="133" t="s">
        <v>28</v>
      </c>
      <c r="BP28" s="133" t="s">
        <v>28</v>
      </c>
      <c r="BQ28" s="133" t="s">
        <v>28</v>
      </c>
      <c r="BR28" s="133" t="s">
        <v>28</v>
      </c>
      <c r="BS28" s="133" t="s">
        <v>28</v>
      </c>
      <c r="BT28" s="133" t="s">
        <v>28</v>
      </c>
      <c r="BU28" s="133" t="s">
        <v>28</v>
      </c>
      <c r="BV28" s="133" t="s">
        <v>28</v>
      </c>
      <c r="BW28" s="133" t="s">
        <v>28</v>
      </c>
      <c r="BX28" s="133" t="s">
        <v>28</v>
      </c>
      <c r="BY28" s="133" t="s">
        <v>28</v>
      </c>
      <c r="BZ28" s="133" t="s">
        <v>28</v>
      </c>
      <c r="CA28" s="133" t="s">
        <v>28</v>
      </c>
      <c r="CB28" s="133" t="s">
        <v>28</v>
      </c>
      <c r="CC28" s="14" t="s">
        <v>28</v>
      </c>
    </row>
    <row r="29" ht="25.05" customHeight="1" spans="1:81">
      <c r="A29" s="36">
        <v>26</v>
      </c>
      <c r="B29" s="37" t="s">
        <v>22</v>
      </c>
      <c r="C29" s="38" t="s">
        <v>23</v>
      </c>
      <c r="D29" s="14" t="s">
        <v>101</v>
      </c>
      <c r="E29" s="36" t="s">
        <v>102</v>
      </c>
      <c r="F29" s="36" t="s">
        <v>103</v>
      </c>
      <c r="G29" s="36">
        <v>8</v>
      </c>
      <c r="H29" s="40" t="s">
        <v>27</v>
      </c>
      <c r="I29" s="133">
        <v>0</v>
      </c>
      <c r="J29" s="134">
        <v>0</v>
      </c>
      <c r="K29" s="36">
        <v>0</v>
      </c>
      <c r="L29" s="130">
        <v>0</v>
      </c>
      <c r="M29" s="36">
        <v>0</v>
      </c>
      <c r="N29" s="36">
        <v>0</v>
      </c>
      <c r="O29" s="36">
        <v>0</v>
      </c>
      <c r="P29" s="36">
        <v>0</v>
      </c>
      <c r="Q29" s="131">
        <v>0</v>
      </c>
      <c r="R29" s="133"/>
      <c r="S29" s="133"/>
      <c r="T29" s="133" t="s">
        <v>28</v>
      </c>
      <c r="U29" s="133" t="s">
        <v>28</v>
      </c>
      <c r="V29" s="133" t="s">
        <v>28</v>
      </c>
      <c r="W29" s="133" t="s">
        <v>28</v>
      </c>
      <c r="X29" s="133" t="s">
        <v>28</v>
      </c>
      <c r="Y29" s="133" t="s">
        <v>28</v>
      </c>
      <c r="Z29" s="133" t="s">
        <v>28</v>
      </c>
      <c r="AA29" s="133" t="s">
        <v>28</v>
      </c>
      <c r="AB29" s="133" t="s">
        <v>28</v>
      </c>
      <c r="AC29" s="133" t="s">
        <v>28</v>
      </c>
      <c r="AD29" s="133" t="s">
        <v>28</v>
      </c>
      <c r="AE29" s="133" t="s">
        <v>28</v>
      </c>
      <c r="AF29" s="133" t="s">
        <v>28</v>
      </c>
      <c r="AG29" s="133" t="s">
        <v>28</v>
      </c>
      <c r="AH29" s="133" t="s">
        <v>28</v>
      </c>
      <c r="AI29" s="133" t="s">
        <v>28</v>
      </c>
      <c r="AJ29" s="133" t="s">
        <v>28</v>
      </c>
      <c r="AK29" s="133" t="s">
        <v>28</v>
      </c>
      <c r="AL29" s="133" t="s">
        <v>28</v>
      </c>
      <c r="AM29" s="133" t="s">
        <v>28</v>
      </c>
      <c r="AN29" s="133" t="s">
        <v>28</v>
      </c>
      <c r="AO29" s="133" t="s">
        <v>28</v>
      </c>
      <c r="AP29" s="133" t="s">
        <v>28</v>
      </c>
      <c r="AQ29" s="133" t="s">
        <v>28</v>
      </c>
      <c r="AR29" s="133" t="s">
        <v>28</v>
      </c>
      <c r="AS29" s="133" t="s">
        <v>28</v>
      </c>
      <c r="AT29" s="133" t="s">
        <v>28</v>
      </c>
      <c r="AU29" s="133" t="s">
        <v>28</v>
      </c>
      <c r="AV29" s="133" t="s">
        <v>28</v>
      </c>
      <c r="AW29" s="133" t="s">
        <v>28</v>
      </c>
      <c r="AX29" s="133" t="s">
        <v>28</v>
      </c>
      <c r="AY29" s="133" t="s">
        <v>28</v>
      </c>
      <c r="AZ29" s="133" t="s">
        <v>28</v>
      </c>
      <c r="BA29" s="133" t="s">
        <v>28</v>
      </c>
      <c r="BB29" s="133" t="s">
        <v>28</v>
      </c>
      <c r="BC29" s="133" t="s">
        <v>28</v>
      </c>
      <c r="BD29" s="133" t="s">
        <v>28</v>
      </c>
      <c r="BE29" s="133" t="s">
        <v>28</v>
      </c>
      <c r="BF29" s="133" t="s">
        <v>28</v>
      </c>
      <c r="BG29" s="133" t="s">
        <v>28</v>
      </c>
      <c r="BH29" s="133" t="s">
        <v>28</v>
      </c>
      <c r="BI29" s="133" t="s">
        <v>28</v>
      </c>
      <c r="BJ29" s="133" t="s">
        <v>28</v>
      </c>
      <c r="BK29" s="133" t="s">
        <v>28</v>
      </c>
      <c r="BL29" s="133" t="s">
        <v>28</v>
      </c>
      <c r="BM29" s="133" t="s">
        <v>28</v>
      </c>
      <c r="BN29" s="133" t="s">
        <v>28</v>
      </c>
      <c r="BO29" s="133" t="s">
        <v>28</v>
      </c>
      <c r="BP29" s="133" t="s">
        <v>28</v>
      </c>
      <c r="BQ29" s="133" t="s">
        <v>28</v>
      </c>
      <c r="BR29" s="133" t="s">
        <v>28</v>
      </c>
      <c r="BS29" s="133" t="s">
        <v>28</v>
      </c>
      <c r="BT29" s="133" t="s">
        <v>28</v>
      </c>
      <c r="BU29" s="133" t="s">
        <v>28</v>
      </c>
      <c r="BV29" s="133" t="s">
        <v>28</v>
      </c>
      <c r="BW29" s="133" t="s">
        <v>28</v>
      </c>
      <c r="BX29" s="133" t="s">
        <v>28</v>
      </c>
      <c r="BY29" s="133" t="s">
        <v>28</v>
      </c>
      <c r="BZ29" s="133" t="s">
        <v>28</v>
      </c>
      <c r="CA29" s="133" t="s">
        <v>28</v>
      </c>
      <c r="CB29" s="133" t="s">
        <v>28</v>
      </c>
      <c r="CC29" s="14" t="s">
        <v>28</v>
      </c>
    </row>
    <row r="30" ht="25.05" customHeight="1" spans="1:81">
      <c r="A30" s="36">
        <v>27</v>
      </c>
      <c r="B30" s="37" t="s">
        <v>22</v>
      </c>
      <c r="C30" s="38" t="s">
        <v>23</v>
      </c>
      <c r="D30" s="14" t="s">
        <v>104</v>
      </c>
      <c r="E30" s="36" t="s">
        <v>105</v>
      </c>
      <c r="F30" s="36" t="s">
        <v>106</v>
      </c>
      <c r="G30" s="36">
        <v>12</v>
      </c>
      <c r="H30" s="40" t="s">
        <v>27</v>
      </c>
      <c r="I30" s="133">
        <v>389</v>
      </c>
      <c r="J30" s="134">
        <v>0</v>
      </c>
      <c r="K30" s="36">
        <v>2434</v>
      </c>
      <c r="L30" s="130">
        <v>1905</v>
      </c>
      <c r="M30" s="36">
        <v>0</v>
      </c>
      <c r="N30" s="36">
        <v>0</v>
      </c>
      <c r="O30" s="36">
        <v>0</v>
      </c>
      <c r="P30" s="36">
        <v>0</v>
      </c>
      <c r="Q30" s="131">
        <v>918</v>
      </c>
      <c r="R30" s="133"/>
      <c r="S30" s="133"/>
      <c r="T30" s="133" t="s">
        <v>28</v>
      </c>
      <c r="U30" s="133">
        <v>456</v>
      </c>
      <c r="V30" s="133">
        <v>155</v>
      </c>
      <c r="W30" s="133">
        <v>257</v>
      </c>
      <c r="X30" s="133">
        <v>600</v>
      </c>
      <c r="Y30" s="133">
        <v>192</v>
      </c>
      <c r="Z30" s="133">
        <v>444</v>
      </c>
      <c r="AA30" s="133">
        <v>174</v>
      </c>
      <c r="AB30" s="133" t="s">
        <v>28</v>
      </c>
      <c r="AC30" s="133" t="s">
        <v>28</v>
      </c>
      <c r="AD30" s="133">
        <v>156</v>
      </c>
      <c r="AE30" s="133" t="s">
        <v>28</v>
      </c>
      <c r="AF30" s="133" t="s">
        <v>28</v>
      </c>
      <c r="AG30" s="133" t="s">
        <v>28</v>
      </c>
      <c r="AH30" s="133" t="s">
        <v>28</v>
      </c>
      <c r="AI30" s="133" t="s">
        <v>28</v>
      </c>
      <c r="AJ30" s="133" t="s">
        <v>28</v>
      </c>
      <c r="AK30" s="133" t="s">
        <v>28</v>
      </c>
      <c r="AL30" s="133" t="s">
        <v>28</v>
      </c>
      <c r="AM30" s="133" t="s">
        <v>28</v>
      </c>
      <c r="AN30" s="133" t="s">
        <v>28</v>
      </c>
      <c r="AO30" s="133" t="s">
        <v>28</v>
      </c>
      <c r="AP30" s="133" t="s">
        <v>28</v>
      </c>
      <c r="AQ30" s="133" t="s">
        <v>28</v>
      </c>
      <c r="AR30" s="133" t="s">
        <v>28</v>
      </c>
      <c r="AS30" s="133" t="s">
        <v>28</v>
      </c>
      <c r="AT30" s="133" t="s">
        <v>28</v>
      </c>
      <c r="AU30" s="133" t="s">
        <v>28</v>
      </c>
      <c r="AV30" s="133" t="s">
        <v>28</v>
      </c>
      <c r="AW30" s="133" t="s">
        <v>28</v>
      </c>
      <c r="AX30" s="133" t="s">
        <v>28</v>
      </c>
      <c r="AY30" s="133" t="s">
        <v>28</v>
      </c>
      <c r="AZ30" s="133" t="s">
        <v>28</v>
      </c>
      <c r="BA30" s="133" t="s">
        <v>28</v>
      </c>
      <c r="BB30" s="133" t="s">
        <v>28</v>
      </c>
      <c r="BC30" s="133" t="s">
        <v>28</v>
      </c>
      <c r="BD30" s="133">
        <v>856</v>
      </c>
      <c r="BE30" s="133">
        <v>689</v>
      </c>
      <c r="BF30" s="133" t="s">
        <v>28</v>
      </c>
      <c r="BG30" s="133">
        <v>360</v>
      </c>
      <c r="BH30" s="133" t="s">
        <v>28</v>
      </c>
      <c r="BI30" s="133" t="s">
        <v>28</v>
      </c>
      <c r="BJ30" s="133" t="s">
        <v>28</v>
      </c>
      <c r="BK30" s="133" t="s">
        <v>28</v>
      </c>
      <c r="BL30" s="133" t="s">
        <v>28</v>
      </c>
      <c r="BM30" s="133" t="s">
        <v>28</v>
      </c>
      <c r="BN30" s="133" t="s">
        <v>28</v>
      </c>
      <c r="BO30" s="133" t="s">
        <v>28</v>
      </c>
      <c r="BP30" s="133" t="s">
        <v>28</v>
      </c>
      <c r="BQ30" s="133" t="s">
        <v>28</v>
      </c>
      <c r="BR30" s="133" t="s">
        <v>28</v>
      </c>
      <c r="BS30" s="133" t="s">
        <v>28</v>
      </c>
      <c r="BT30" s="133" t="s">
        <v>28</v>
      </c>
      <c r="BU30" s="133" t="s">
        <v>28</v>
      </c>
      <c r="BV30" s="133" t="s">
        <v>28</v>
      </c>
      <c r="BW30" s="133" t="s">
        <v>28</v>
      </c>
      <c r="BX30" s="133" t="s">
        <v>28</v>
      </c>
      <c r="BY30" s="133" t="s">
        <v>28</v>
      </c>
      <c r="BZ30" s="133" t="s">
        <v>28</v>
      </c>
      <c r="CA30" s="133" t="s">
        <v>28</v>
      </c>
      <c r="CB30" s="133" t="s">
        <v>28</v>
      </c>
      <c r="CC30" s="14" t="s">
        <v>28</v>
      </c>
    </row>
    <row r="31" ht="25.05" customHeight="1" spans="1:81">
      <c r="A31" s="36">
        <v>28</v>
      </c>
      <c r="B31" s="37" t="s">
        <v>22</v>
      </c>
      <c r="C31" s="38" t="s">
        <v>23</v>
      </c>
      <c r="D31" s="14" t="s">
        <v>107</v>
      </c>
      <c r="E31" s="36" t="s">
        <v>108</v>
      </c>
      <c r="F31" s="36" t="s">
        <v>109</v>
      </c>
      <c r="G31" s="36">
        <v>12</v>
      </c>
      <c r="H31" s="40" t="s">
        <v>27</v>
      </c>
      <c r="I31" s="133">
        <v>0</v>
      </c>
      <c r="J31" s="134">
        <v>0</v>
      </c>
      <c r="K31" s="36">
        <v>0</v>
      </c>
      <c r="L31" s="130">
        <v>0</v>
      </c>
      <c r="M31" s="36">
        <v>0</v>
      </c>
      <c r="N31" s="36">
        <v>0</v>
      </c>
      <c r="O31" s="36">
        <v>0</v>
      </c>
      <c r="P31" s="36">
        <v>0</v>
      </c>
      <c r="Q31" s="131">
        <v>0</v>
      </c>
      <c r="R31" s="133"/>
      <c r="S31" s="133"/>
      <c r="T31" s="133" t="s">
        <v>28</v>
      </c>
      <c r="U31" s="133" t="s">
        <v>28</v>
      </c>
      <c r="V31" s="133" t="s">
        <v>28</v>
      </c>
      <c r="W31" s="133" t="s">
        <v>28</v>
      </c>
      <c r="X31" s="133" t="s">
        <v>28</v>
      </c>
      <c r="Y31" s="133" t="s">
        <v>28</v>
      </c>
      <c r="Z31" s="133" t="s">
        <v>28</v>
      </c>
      <c r="AA31" s="133" t="s">
        <v>28</v>
      </c>
      <c r="AB31" s="133" t="s">
        <v>28</v>
      </c>
      <c r="AC31" s="133" t="s">
        <v>28</v>
      </c>
      <c r="AD31" s="133" t="s">
        <v>28</v>
      </c>
      <c r="AE31" s="133" t="s">
        <v>28</v>
      </c>
      <c r="AF31" s="133" t="s">
        <v>28</v>
      </c>
      <c r="AG31" s="133" t="s">
        <v>28</v>
      </c>
      <c r="AH31" s="133" t="s">
        <v>28</v>
      </c>
      <c r="AI31" s="133" t="s">
        <v>28</v>
      </c>
      <c r="AJ31" s="133" t="s">
        <v>28</v>
      </c>
      <c r="AK31" s="133" t="s">
        <v>28</v>
      </c>
      <c r="AL31" s="133" t="s">
        <v>28</v>
      </c>
      <c r="AM31" s="133" t="s">
        <v>28</v>
      </c>
      <c r="AN31" s="133" t="s">
        <v>28</v>
      </c>
      <c r="AO31" s="133" t="s">
        <v>28</v>
      </c>
      <c r="AP31" s="133" t="s">
        <v>28</v>
      </c>
      <c r="AQ31" s="133" t="s">
        <v>28</v>
      </c>
      <c r="AR31" s="133" t="s">
        <v>28</v>
      </c>
      <c r="AS31" s="133" t="s">
        <v>28</v>
      </c>
      <c r="AT31" s="133" t="s">
        <v>28</v>
      </c>
      <c r="AU31" s="133" t="s">
        <v>28</v>
      </c>
      <c r="AV31" s="133" t="s">
        <v>28</v>
      </c>
      <c r="AW31" s="133" t="s">
        <v>28</v>
      </c>
      <c r="AX31" s="133" t="s">
        <v>28</v>
      </c>
      <c r="AY31" s="133" t="s">
        <v>28</v>
      </c>
      <c r="AZ31" s="133" t="s">
        <v>28</v>
      </c>
      <c r="BA31" s="133" t="s">
        <v>28</v>
      </c>
      <c r="BB31" s="133" t="s">
        <v>28</v>
      </c>
      <c r="BC31" s="133" t="s">
        <v>28</v>
      </c>
      <c r="BD31" s="133" t="s">
        <v>28</v>
      </c>
      <c r="BE31" s="133" t="s">
        <v>28</v>
      </c>
      <c r="BF31" s="133" t="s">
        <v>28</v>
      </c>
      <c r="BG31" s="133" t="s">
        <v>28</v>
      </c>
      <c r="BH31" s="133" t="s">
        <v>28</v>
      </c>
      <c r="BI31" s="133" t="s">
        <v>28</v>
      </c>
      <c r="BJ31" s="133" t="s">
        <v>28</v>
      </c>
      <c r="BK31" s="133" t="s">
        <v>28</v>
      </c>
      <c r="BL31" s="133" t="s">
        <v>28</v>
      </c>
      <c r="BM31" s="133" t="s">
        <v>28</v>
      </c>
      <c r="BN31" s="133" t="s">
        <v>28</v>
      </c>
      <c r="BO31" s="133" t="s">
        <v>28</v>
      </c>
      <c r="BP31" s="133" t="s">
        <v>28</v>
      </c>
      <c r="BQ31" s="133" t="s">
        <v>28</v>
      </c>
      <c r="BR31" s="133" t="s">
        <v>28</v>
      </c>
      <c r="BS31" s="133" t="s">
        <v>28</v>
      </c>
      <c r="BT31" s="133" t="s">
        <v>28</v>
      </c>
      <c r="BU31" s="133" t="s">
        <v>28</v>
      </c>
      <c r="BV31" s="133" t="s">
        <v>28</v>
      </c>
      <c r="BW31" s="133" t="s">
        <v>28</v>
      </c>
      <c r="BX31" s="133" t="s">
        <v>28</v>
      </c>
      <c r="BY31" s="133" t="s">
        <v>28</v>
      </c>
      <c r="BZ31" s="133" t="s">
        <v>28</v>
      </c>
      <c r="CA31" s="133" t="s">
        <v>28</v>
      </c>
      <c r="CB31" s="133" t="s">
        <v>28</v>
      </c>
      <c r="CC31" s="14" t="s">
        <v>28</v>
      </c>
    </row>
    <row r="32" ht="25.05" customHeight="1" spans="1:81">
      <c r="A32" s="36">
        <v>29</v>
      </c>
      <c r="B32" s="37" t="s">
        <v>22</v>
      </c>
      <c r="C32" s="38" t="s">
        <v>23</v>
      </c>
      <c r="D32" s="14" t="s">
        <v>110</v>
      </c>
      <c r="E32" s="36" t="s">
        <v>111</v>
      </c>
      <c r="F32" s="36" t="s">
        <v>112</v>
      </c>
      <c r="G32" s="36">
        <v>8</v>
      </c>
      <c r="H32" s="40" t="s">
        <v>27</v>
      </c>
      <c r="I32" s="133">
        <v>704</v>
      </c>
      <c r="J32" s="134">
        <v>0</v>
      </c>
      <c r="K32" s="36">
        <v>5688</v>
      </c>
      <c r="L32" s="130">
        <v>3904</v>
      </c>
      <c r="M32" s="36">
        <v>0</v>
      </c>
      <c r="N32" s="36">
        <v>0</v>
      </c>
      <c r="O32" s="36">
        <v>0</v>
      </c>
      <c r="P32" s="36">
        <v>0</v>
      </c>
      <c r="Q32" s="131">
        <v>2488</v>
      </c>
      <c r="R32" s="133"/>
      <c r="S32" s="133"/>
      <c r="T32" s="133" t="s">
        <v>28</v>
      </c>
      <c r="U32" s="133">
        <v>1560</v>
      </c>
      <c r="V32" s="133" t="s">
        <v>28</v>
      </c>
      <c r="W32" s="133">
        <v>248</v>
      </c>
      <c r="X32" s="133">
        <v>520</v>
      </c>
      <c r="Y32" s="133">
        <v>320</v>
      </c>
      <c r="Z32" s="133">
        <v>384</v>
      </c>
      <c r="AA32" s="133">
        <v>576</v>
      </c>
      <c r="AB32" s="133">
        <v>544</v>
      </c>
      <c r="AC32" s="133">
        <v>464</v>
      </c>
      <c r="AD32" s="133">
        <v>288</v>
      </c>
      <c r="AE32" s="133">
        <v>784</v>
      </c>
      <c r="AF32" s="133" t="s">
        <v>28</v>
      </c>
      <c r="AG32" s="133" t="s">
        <v>28</v>
      </c>
      <c r="AH32" s="133" t="s">
        <v>28</v>
      </c>
      <c r="AI32" s="133" t="s">
        <v>28</v>
      </c>
      <c r="AJ32" s="133" t="s">
        <v>28</v>
      </c>
      <c r="AK32" s="133" t="s">
        <v>28</v>
      </c>
      <c r="AL32" s="133" t="s">
        <v>28</v>
      </c>
      <c r="AM32" s="133" t="s">
        <v>28</v>
      </c>
      <c r="AN32" s="133" t="s">
        <v>28</v>
      </c>
      <c r="AO32" s="133" t="s">
        <v>28</v>
      </c>
      <c r="AP32" s="133" t="s">
        <v>28</v>
      </c>
      <c r="AQ32" s="133" t="s">
        <v>28</v>
      </c>
      <c r="AR32" s="133" t="s">
        <v>28</v>
      </c>
      <c r="AS32" s="133" t="s">
        <v>28</v>
      </c>
      <c r="AT32" s="133" t="s">
        <v>28</v>
      </c>
      <c r="AU32" s="133" t="s">
        <v>28</v>
      </c>
      <c r="AV32" s="133" t="s">
        <v>28</v>
      </c>
      <c r="AW32" s="133" t="s">
        <v>28</v>
      </c>
      <c r="AX32" s="133" t="s">
        <v>28</v>
      </c>
      <c r="AY32" s="133" t="s">
        <v>28</v>
      </c>
      <c r="AZ32" s="133" t="s">
        <v>28</v>
      </c>
      <c r="BA32" s="133" t="s">
        <v>28</v>
      </c>
      <c r="BB32" s="133">
        <v>720</v>
      </c>
      <c r="BC32" s="133">
        <v>720</v>
      </c>
      <c r="BD32" s="133">
        <v>544</v>
      </c>
      <c r="BE32" s="133" t="s">
        <v>28</v>
      </c>
      <c r="BF32" s="133" t="s">
        <v>28</v>
      </c>
      <c r="BG32" s="133" t="s">
        <v>28</v>
      </c>
      <c r="BH32" s="133">
        <v>640</v>
      </c>
      <c r="BI32" s="133">
        <v>640</v>
      </c>
      <c r="BJ32" s="133">
        <v>640</v>
      </c>
      <c r="BK32" s="133" t="s">
        <v>28</v>
      </c>
      <c r="BL32" s="133" t="s">
        <v>28</v>
      </c>
      <c r="BM32" s="133" t="s">
        <v>28</v>
      </c>
      <c r="BN32" s="133" t="s">
        <v>28</v>
      </c>
      <c r="BO32" s="133" t="s">
        <v>28</v>
      </c>
      <c r="BP32" s="133" t="s">
        <v>28</v>
      </c>
      <c r="BQ32" s="133" t="s">
        <v>28</v>
      </c>
      <c r="BR32" s="133" t="s">
        <v>28</v>
      </c>
      <c r="BS32" s="133" t="s">
        <v>28</v>
      </c>
      <c r="BT32" s="133" t="s">
        <v>28</v>
      </c>
      <c r="BU32" s="133" t="s">
        <v>28</v>
      </c>
      <c r="BV32" s="133" t="s">
        <v>28</v>
      </c>
      <c r="BW32" s="133" t="s">
        <v>28</v>
      </c>
      <c r="BX32" s="133" t="s">
        <v>28</v>
      </c>
      <c r="BY32" s="133" t="s">
        <v>28</v>
      </c>
      <c r="BZ32" s="133" t="s">
        <v>28</v>
      </c>
      <c r="CA32" s="133" t="s">
        <v>28</v>
      </c>
      <c r="CB32" s="133" t="s">
        <v>28</v>
      </c>
      <c r="CC32" s="14" t="s">
        <v>28</v>
      </c>
    </row>
    <row r="33" ht="25.05" customHeight="1" spans="1:81">
      <c r="A33" s="36">
        <v>30</v>
      </c>
      <c r="B33" s="37" t="s">
        <v>22</v>
      </c>
      <c r="C33" s="38" t="s">
        <v>23</v>
      </c>
      <c r="D33" s="14" t="s">
        <v>113</v>
      </c>
      <c r="E33" s="36" t="s">
        <v>114</v>
      </c>
      <c r="F33" s="36" t="s">
        <v>94</v>
      </c>
      <c r="G33" s="36">
        <v>54</v>
      </c>
      <c r="H33" s="40" t="s">
        <v>27</v>
      </c>
      <c r="I33" s="133">
        <v>1404</v>
      </c>
      <c r="J33" s="134">
        <v>0</v>
      </c>
      <c r="K33" s="36">
        <v>3007</v>
      </c>
      <c r="L33" s="130">
        <v>3277</v>
      </c>
      <c r="M33" s="36">
        <v>0</v>
      </c>
      <c r="N33" s="36">
        <v>0</v>
      </c>
      <c r="O33" s="36">
        <v>0</v>
      </c>
      <c r="P33" s="36">
        <v>0</v>
      </c>
      <c r="Q33" s="131">
        <v>1134</v>
      </c>
      <c r="R33" s="133"/>
      <c r="S33" s="133"/>
      <c r="T33" s="133" t="s">
        <v>28</v>
      </c>
      <c r="U33" s="133">
        <v>54</v>
      </c>
      <c r="V33" s="133">
        <v>270</v>
      </c>
      <c r="W33" s="133" t="s">
        <v>28</v>
      </c>
      <c r="X33" s="133">
        <v>270</v>
      </c>
      <c r="Y33" s="133">
        <v>108</v>
      </c>
      <c r="Z33" s="133" t="s">
        <v>28</v>
      </c>
      <c r="AA33" s="133" t="s">
        <v>28</v>
      </c>
      <c r="AB33" s="133">
        <v>199</v>
      </c>
      <c r="AC33" s="133">
        <v>324</v>
      </c>
      <c r="AD33" s="133">
        <v>1350</v>
      </c>
      <c r="AE33" s="133">
        <v>432</v>
      </c>
      <c r="AF33" s="133" t="s">
        <v>28</v>
      </c>
      <c r="AG33" s="133" t="s">
        <v>28</v>
      </c>
      <c r="AH33" s="133" t="s">
        <v>28</v>
      </c>
      <c r="AI33" s="133" t="s">
        <v>28</v>
      </c>
      <c r="AJ33" s="133" t="s">
        <v>28</v>
      </c>
      <c r="AK33" s="133" t="s">
        <v>28</v>
      </c>
      <c r="AL33" s="133" t="s">
        <v>28</v>
      </c>
      <c r="AM33" s="133" t="s">
        <v>28</v>
      </c>
      <c r="AN33" s="133" t="s">
        <v>28</v>
      </c>
      <c r="AO33" s="133" t="s">
        <v>28</v>
      </c>
      <c r="AP33" s="133" t="s">
        <v>28</v>
      </c>
      <c r="AQ33" s="133" t="s">
        <v>28</v>
      </c>
      <c r="AR33" s="133" t="s">
        <v>28</v>
      </c>
      <c r="AS33" s="133" t="s">
        <v>28</v>
      </c>
      <c r="AT33" s="133" t="s">
        <v>28</v>
      </c>
      <c r="AU33" s="133" t="s">
        <v>28</v>
      </c>
      <c r="AV33" s="133" t="s">
        <v>28</v>
      </c>
      <c r="AW33" s="133" t="s">
        <v>28</v>
      </c>
      <c r="AX33" s="133" t="s">
        <v>28</v>
      </c>
      <c r="AY33" s="133" t="s">
        <v>28</v>
      </c>
      <c r="AZ33" s="133" t="s">
        <v>28</v>
      </c>
      <c r="BA33" s="133" t="s">
        <v>28</v>
      </c>
      <c r="BB33" s="133">
        <v>540</v>
      </c>
      <c r="BC33" s="133">
        <v>540</v>
      </c>
      <c r="BD33" s="133">
        <v>648</v>
      </c>
      <c r="BE33" s="133">
        <v>378</v>
      </c>
      <c r="BF33" s="133" t="s">
        <v>28</v>
      </c>
      <c r="BG33" s="133" t="s">
        <v>28</v>
      </c>
      <c r="BH33" s="133" t="s">
        <v>28</v>
      </c>
      <c r="BI33" s="133">
        <v>523</v>
      </c>
      <c r="BJ33" s="133">
        <v>648</v>
      </c>
      <c r="BK33" s="133" t="s">
        <v>28</v>
      </c>
      <c r="BL33" s="133" t="s">
        <v>28</v>
      </c>
      <c r="BM33" s="133" t="s">
        <v>28</v>
      </c>
      <c r="BN33" s="133" t="s">
        <v>28</v>
      </c>
      <c r="BO33" s="133" t="s">
        <v>28</v>
      </c>
      <c r="BP33" s="133" t="s">
        <v>28</v>
      </c>
      <c r="BQ33" s="133" t="s">
        <v>28</v>
      </c>
      <c r="BR33" s="133" t="s">
        <v>28</v>
      </c>
      <c r="BS33" s="133" t="s">
        <v>28</v>
      </c>
      <c r="BT33" s="133" t="s">
        <v>28</v>
      </c>
      <c r="BU33" s="133" t="s">
        <v>28</v>
      </c>
      <c r="BV33" s="133" t="s">
        <v>28</v>
      </c>
      <c r="BW33" s="133" t="s">
        <v>28</v>
      </c>
      <c r="BX33" s="133" t="s">
        <v>28</v>
      </c>
      <c r="BY33" s="133" t="s">
        <v>28</v>
      </c>
      <c r="BZ33" s="133" t="s">
        <v>28</v>
      </c>
      <c r="CA33" s="133" t="s">
        <v>28</v>
      </c>
      <c r="CB33" s="133" t="s">
        <v>28</v>
      </c>
      <c r="CC33" s="14" t="s">
        <v>28</v>
      </c>
    </row>
    <row r="34" ht="25.05" customHeight="1" spans="1:81">
      <c r="A34" s="36">
        <v>31</v>
      </c>
      <c r="B34" s="37" t="s">
        <v>22</v>
      </c>
      <c r="C34" s="38" t="s">
        <v>23</v>
      </c>
      <c r="D34" s="14" t="s">
        <v>115</v>
      </c>
      <c r="E34" s="36" t="s">
        <v>116</v>
      </c>
      <c r="F34" s="36" t="s">
        <v>117</v>
      </c>
      <c r="G34" s="36">
        <v>44</v>
      </c>
      <c r="H34" s="40" t="s">
        <v>27</v>
      </c>
      <c r="I34" s="133">
        <v>532</v>
      </c>
      <c r="J34" s="134">
        <v>0</v>
      </c>
      <c r="K34" s="36">
        <v>132</v>
      </c>
      <c r="L34" s="130">
        <v>0</v>
      </c>
      <c r="M34" s="36">
        <v>0</v>
      </c>
      <c r="N34" s="36">
        <v>0</v>
      </c>
      <c r="O34" s="36">
        <v>0</v>
      </c>
      <c r="P34" s="36">
        <v>0</v>
      </c>
      <c r="Q34" s="131">
        <v>664</v>
      </c>
      <c r="R34" s="133"/>
      <c r="S34" s="133"/>
      <c r="T34" s="133" t="s">
        <v>28</v>
      </c>
      <c r="U34" s="133" t="s">
        <v>28</v>
      </c>
      <c r="V34" s="133">
        <v>132</v>
      </c>
      <c r="W34" s="133" t="s">
        <v>28</v>
      </c>
      <c r="X34" s="133" t="s">
        <v>28</v>
      </c>
      <c r="Y34" s="133" t="s">
        <v>28</v>
      </c>
      <c r="Z34" s="133" t="s">
        <v>28</v>
      </c>
      <c r="AA34" s="133" t="s">
        <v>28</v>
      </c>
      <c r="AB34" s="133" t="s">
        <v>28</v>
      </c>
      <c r="AC34" s="133" t="s">
        <v>28</v>
      </c>
      <c r="AD34" s="133" t="s">
        <v>28</v>
      </c>
      <c r="AE34" s="133" t="s">
        <v>28</v>
      </c>
      <c r="AF34" s="133" t="s">
        <v>28</v>
      </c>
      <c r="AG34" s="133" t="s">
        <v>28</v>
      </c>
      <c r="AH34" s="133" t="s">
        <v>28</v>
      </c>
      <c r="AI34" s="133" t="s">
        <v>28</v>
      </c>
      <c r="AJ34" s="133" t="s">
        <v>28</v>
      </c>
      <c r="AK34" s="133" t="s">
        <v>28</v>
      </c>
      <c r="AL34" s="133" t="s">
        <v>28</v>
      </c>
      <c r="AM34" s="133" t="s">
        <v>28</v>
      </c>
      <c r="AN34" s="133" t="s">
        <v>28</v>
      </c>
      <c r="AO34" s="133" t="s">
        <v>28</v>
      </c>
      <c r="AP34" s="133" t="s">
        <v>28</v>
      </c>
      <c r="AQ34" s="133" t="s">
        <v>28</v>
      </c>
      <c r="AR34" s="133" t="s">
        <v>28</v>
      </c>
      <c r="AS34" s="133" t="s">
        <v>28</v>
      </c>
      <c r="AT34" s="133" t="s">
        <v>28</v>
      </c>
      <c r="AU34" s="133" t="s">
        <v>28</v>
      </c>
      <c r="AV34" s="133" t="s">
        <v>28</v>
      </c>
      <c r="AW34" s="133" t="s">
        <v>28</v>
      </c>
      <c r="AX34" s="133" t="s">
        <v>28</v>
      </c>
      <c r="AY34" s="133" t="s">
        <v>28</v>
      </c>
      <c r="AZ34" s="133" t="s">
        <v>28</v>
      </c>
      <c r="BA34" s="133" t="s">
        <v>28</v>
      </c>
      <c r="BB34" s="133" t="s">
        <v>28</v>
      </c>
      <c r="BC34" s="133" t="s">
        <v>28</v>
      </c>
      <c r="BD34" s="133" t="s">
        <v>28</v>
      </c>
      <c r="BE34" s="133" t="s">
        <v>28</v>
      </c>
      <c r="BF34" s="133" t="s">
        <v>28</v>
      </c>
      <c r="BG34" s="133" t="s">
        <v>28</v>
      </c>
      <c r="BH34" s="133" t="s">
        <v>28</v>
      </c>
      <c r="BI34" s="133" t="s">
        <v>28</v>
      </c>
      <c r="BJ34" s="133" t="s">
        <v>28</v>
      </c>
      <c r="BK34" s="133" t="s">
        <v>28</v>
      </c>
      <c r="BL34" s="133" t="s">
        <v>28</v>
      </c>
      <c r="BM34" s="133" t="s">
        <v>28</v>
      </c>
      <c r="BN34" s="133" t="s">
        <v>28</v>
      </c>
      <c r="BO34" s="133" t="s">
        <v>28</v>
      </c>
      <c r="BP34" s="133" t="s">
        <v>28</v>
      </c>
      <c r="BQ34" s="133" t="s">
        <v>28</v>
      </c>
      <c r="BR34" s="133" t="s">
        <v>28</v>
      </c>
      <c r="BS34" s="133" t="s">
        <v>28</v>
      </c>
      <c r="BT34" s="133" t="s">
        <v>28</v>
      </c>
      <c r="BU34" s="133" t="s">
        <v>28</v>
      </c>
      <c r="BV34" s="133" t="s">
        <v>28</v>
      </c>
      <c r="BW34" s="133" t="s">
        <v>28</v>
      </c>
      <c r="BX34" s="133" t="s">
        <v>28</v>
      </c>
      <c r="BY34" s="133" t="s">
        <v>28</v>
      </c>
      <c r="BZ34" s="133" t="s">
        <v>28</v>
      </c>
      <c r="CA34" s="133" t="s">
        <v>28</v>
      </c>
      <c r="CB34" s="133" t="s">
        <v>28</v>
      </c>
      <c r="CC34" s="14" t="s">
        <v>28</v>
      </c>
    </row>
    <row r="35" ht="25.05" customHeight="1" spans="1:81">
      <c r="A35" s="36">
        <v>32</v>
      </c>
      <c r="B35" s="37" t="s">
        <v>22</v>
      </c>
      <c r="C35" s="38" t="s">
        <v>23</v>
      </c>
      <c r="D35" s="14" t="s">
        <v>118</v>
      </c>
      <c r="E35" s="36" t="s">
        <v>119</v>
      </c>
      <c r="F35" s="36" t="s">
        <v>120</v>
      </c>
      <c r="G35" s="36">
        <v>16</v>
      </c>
      <c r="H35" s="40" t="s">
        <v>27</v>
      </c>
      <c r="I35" s="133">
        <v>272</v>
      </c>
      <c r="J35" s="134">
        <v>0</v>
      </c>
      <c r="K35" s="36">
        <v>352</v>
      </c>
      <c r="L35" s="130">
        <v>624</v>
      </c>
      <c r="M35" s="36">
        <v>0</v>
      </c>
      <c r="N35" s="36">
        <v>0</v>
      </c>
      <c r="O35" s="36">
        <v>0</v>
      </c>
      <c r="P35" s="36">
        <v>0</v>
      </c>
      <c r="Q35" s="131">
        <v>0</v>
      </c>
      <c r="R35" s="133"/>
      <c r="S35" s="133"/>
      <c r="T35" s="133" t="s">
        <v>28</v>
      </c>
      <c r="U35" s="133">
        <v>112</v>
      </c>
      <c r="V35" s="133">
        <v>240</v>
      </c>
      <c r="W35" s="133" t="s">
        <v>28</v>
      </c>
      <c r="X35" s="133" t="s">
        <v>28</v>
      </c>
      <c r="Y35" s="133" t="s">
        <v>28</v>
      </c>
      <c r="Z35" s="133" t="s">
        <v>28</v>
      </c>
      <c r="AA35" s="133" t="s">
        <v>28</v>
      </c>
      <c r="AB35" s="133" t="s">
        <v>28</v>
      </c>
      <c r="AC35" s="133" t="s">
        <v>28</v>
      </c>
      <c r="AD35" s="133" t="s">
        <v>28</v>
      </c>
      <c r="AE35" s="133" t="s">
        <v>28</v>
      </c>
      <c r="AF35" s="133" t="s">
        <v>28</v>
      </c>
      <c r="AG35" s="133" t="s">
        <v>28</v>
      </c>
      <c r="AH35" s="133" t="s">
        <v>28</v>
      </c>
      <c r="AI35" s="133" t="s">
        <v>28</v>
      </c>
      <c r="AJ35" s="133" t="s">
        <v>28</v>
      </c>
      <c r="AK35" s="133" t="s">
        <v>28</v>
      </c>
      <c r="AL35" s="133" t="s">
        <v>28</v>
      </c>
      <c r="AM35" s="133" t="s">
        <v>28</v>
      </c>
      <c r="AN35" s="133" t="s">
        <v>28</v>
      </c>
      <c r="AO35" s="133" t="s">
        <v>28</v>
      </c>
      <c r="AP35" s="133" t="s">
        <v>28</v>
      </c>
      <c r="AQ35" s="133" t="s">
        <v>28</v>
      </c>
      <c r="AR35" s="133" t="s">
        <v>28</v>
      </c>
      <c r="AS35" s="133" t="s">
        <v>28</v>
      </c>
      <c r="AT35" s="133" t="s">
        <v>28</v>
      </c>
      <c r="AU35" s="133" t="s">
        <v>28</v>
      </c>
      <c r="AV35" s="133" t="s">
        <v>28</v>
      </c>
      <c r="AW35" s="133" t="s">
        <v>28</v>
      </c>
      <c r="AX35" s="133" t="s">
        <v>28</v>
      </c>
      <c r="AY35" s="133" t="s">
        <v>28</v>
      </c>
      <c r="AZ35" s="133">
        <v>384</v>
      </c>
      <c r="BA35" s="133">
        <v>240</v>
      </c>
      <c r="BB35" s="133" t="s">
        <v>28</v>
      </c>
      <c r="BC35" s="133" t="s">
        <v>28</v>
      </c>
      <c r="BD35" s="133" t="s">
        <v>28</v>
      </c>
      <c r="BE35" s="133" t="s">
        <v>28</v>
      </c>
      <c r="BF35" s="133" t="s">
        <v>28</v>
      </c>
      <c r="BG35" s="133" t="s">
        <v>28</v>
      </c>
      <c r="BH35" s="133" t="s">
        <v>28</v>
      </c>
      <c r="BI35" s="133" t="s">
        <v>28</v>
      </c>
      <c r="BJ35" s="133" t="s">
        <v>28</v>
      </c>
      <c r="BK35" s="133" t="s">
        <v>28</v>
      </c>
      <c r="BL35" s="133" t="s">
        <v>28</v>
      </c>
      <c r="BM35" s="133" t="s">
        <v>28</v>
      </c>
      <c r="BN35" s="133" t="s">
        <v>28</v>
      </c>
      <c r="BO35" s="133" t="s">
        <v>28</v>
      </c>
      <c r="BP35" s="133" t="s">
        <v>28</v>
      </c>
      <c r="BQ35" s="133" t="s">
        <v>28</v>
      </c>
      <c r="BR35" s="133" t="s">
        <v>28</v>
      </c>
      <c r="BS35" s="133" t="s">
        <v>28</v>
      </c>
      <c r="BT35" s="133" t="s">
        <v>28</v>
      </c>
      <c r="BU35" s="133" t="s">
        <v>28</v>
      </c>
      <c r="BV35" s="133" t="s">
        <v>28</v>
      </c>
      <c r="BW35" s="133" t="s">
        <v>28</v>
      </c>
      <c r="BX35" s="133" t="s">
        <v>28</v>
      </c>
      <c r="BY35" s="133" t="s">
        <v>28</v>
      </c>
      <c r="BZ35" s="133" t="s">
        <v>28</v>
      </c>
      <c r="CA35" s="133" t="s">
        <v>28</v>
      </c>
      <c r="CB35" s="133" t="s">
        <v>28</v>
      </c>
      <c r="CC35" s="14" t="s">
        <v>28</v>
      </c>
    </row>
    <row r="36" ht="25.05" customHeight="1" spans="1:81">
      <c r="A36" s="36">
        <v>33</v>
      </c>
      <c r="B36" s="37" t="s">
        <v>22</v>
      </c>
      <c r="C36" s="38" t="s">
        <v>23</v>
      </c>
      <c r="D36" s="14" t="s">
        <v>121</v>
      </c>
      <c r="E36" s="36" t="s">
        <v>122</v>
      </c>
      <c r="F36" s="36" t="s">
        <v>123</v>
      </c>
      <c r="G36" s="36">
        <v>12</v>
      </c>
      <c r="H36" s="40" t="s">
        <v>27</v>
      </c>
      <c r="I36" s="133">
        <v>0</v>
      </c>
      <c r="J36" s="134">
        <v>0</v>
      </c>
      <c r="K36" s="36">
        <v>0</v>
      </c>
      <c r="L36" s="130">
        <v>0</v>
      </c>
      <c r="M36" s="36">
        <v>0</v>
      </c>
      <c r="N36" s="36">
        <v>0</v>
      </c>
      <c r="O36" s="36">
        <v>0</v>
      </c>
      <c r="P36" s="36">
        <v>0</v>
      </c>
      <c r="Q36" s="37">
        <v>0</v>
      </c>
      <c r="R36" s="133"/>
      <c r="S36" s="133"/>
      <c r="T36" s="133" t="s">
        <v>28</v>
      </c>
      <c r="U36" s="133" t="s">
        <v>28</v>
      </c>
      <c r="V36" s="133" t="s">
        <v>28</v>
      </c>
      <c r="W36" s="133" t="s">
        <v>28</v>
      </c>
      <c r="X36" s="133" t="s">
        <v>28</v>
      </c>
      <c r="Y36" s="133" t="s">
        <v>28</v>
      </c>
      <c r="Z36" s="133" t="s">
        <v>28</v>
      </c>
      <c r="AA36" s="133" t="s">
        <v>28</v>
      </c>
      <c r="AB36" s="133" t="s">
        <v>28</v>
      </c>
      <c r="AC36" s="133" t="s">
        <v>28</v>
      </c>
      <c r="AD36" s="133" t="s">
        <v>28</v>
      </c>
      <c r="AE36" s="133" t="s">
        <v>28</v>
      </c>
      <c r="AF36" s="133" t="s">
        <v>28</v>
      </c>
      <c r="AG36" s="133" t="s">
        <v>28</v>
      </c>
      <c r="AH36" s="133" t="s">
        <v>28</v>
      </c>
      <c r="AI36" s="133" t="s">
        <v>28</v>
      </c>
      <c r="AJ36" s="133" t="s">
        <v>28</v>
      </c>
      <c r="AK36" s="133" t="s">
        <v>28</v>
      </c>
      <c r="AL36" s="133" t="s">
        <v>28</v>
      </c>
      <c r="AM36" s="133" t="s">
        <v>28</v>
      </c>
      <c r="AN36" s="133" t="s">
        <v>28</v>
      </c>
      <c r="AO36" s="133" t="s">
        <v>28</v>
      </c>
      <c r="AP36" s="133" t="s">
        <v>28</v>
      </c>
      <c r="AQ36" s="133" t="s">
        <v>28</v>
      </c>
      <c r="AR36" s="133" t="s">
        <v>28</v>
      </c>
      <c r="AS36" s="133" t="s">
        <v>28</v>
      </c>
      <c r="AT36" s="133" t="s">
        <v>28</v>
      </c>
      <c r="AU36" s="133" t="s">
        <v>28</v>
      </c>
      <c r="AV36" s="133" t="s">
        <v>28</v>
      </c>
      <c r="AW36" s="133" t="s">
        <v>28</v>
      </c>
      <c r="AX36" s="133" t="s">
        <v>28</v>
      </c>
      <c r="AY36" s="133" t="s">
        <v>28</v>
      </c>
      <c r="AZ36" s="133" t="s">
        <v>28</v>
      </c>
      <c r="BA36" s="133" t="s">
        <v>28</v>
      </c>
      <c r="BB36" s="133" t="s">
        <v>28</v>
      </c>
      <c r="BC36" s="133" t="s">
        <v>28</v>
      </c>
      <c r="BD36" s="133" t="s">
        <v>28</v>
      </c>
      <c r="BE36" s="133" t="s">
        <v>28</v>
      </c>
      <c r="BF36" s="133" t="s">
        <v>28</v>
      </c>
      <c r="BG36" s="133" t="s">
        <v>28</v>
      </c>
      <c r="BH36" s="133" t="s">
        <v>28</v>
      </c>
      <c r="BI36" s="133" t="s">
        <v>28</v>
      </c>
      <c r="BJ36" s="133" t="s">
        <v>28</v>
      </c>
      <c r="BK36" s="133" t="s">
        <v>28</v>
      </c>
      <c r="BL36" s="133" t="s">
        <v>28</v>
      </c>
      <c r="BM36" s="133" t="s">
        <v>28</v>
      </c>
      <c r="BN36" s="133" t="s">
        <v>28</v>
      </c>
      <c r="BO36" s="133" t="s">
        <v>28</v>
      </c>
      <c r="BP36" s="133" t="s">
        <v>28</v>
      </c>
      <c r="BQ36" s="133" t="s">
        <v>28</v>
      </c>
      <c r="BR36" s="133" t="s">
        <v>28</v>
      </c>
      <c r="BS36" s="133" t="s">
        <v>28</v>
      </c>
      <c r="BT36" s="133" t="s">
        <v>28</v>
      </c>
      <c r="BU36" s="133" t="s">
        <v>28</v>
      </c>
      <c r="BV36" s="133" t="s">
        <v>28</v>
      </c>
      <c r="BW36" s="133" t="s">
        <v>28</v>
      </c>
      <c r="BX36" s="133" t="s">
        <v>28</v>
      </c>
      <c r="BY36" s="133" t="s">
        <v>28</v>
      </c>
      <c r="BZ36" s="133" t="s">
        <v>28</v>
      </c>
      <c r="CA36" s="133" t="s">
        <v>28</v>
      </c>
      <c r="CB36" s="133" t="s">
        <v>28</v>
      </c>
      <c r="CC36" s="14" t="s">
        <v>28</v>
      </c>
    </row>
    <row r="37" ht="25.05" customHeight="1" spans="1:81">
      <c r="A37" s="36">
        <v>34</v>
      </c>
      <c r="B37" s="37" t="s">
        <v>22</v>
      </c>
      <c r="C37" s="38" t="s">
        <v>23</v>
      </c>
      <c r="D37" s="14" t="s">
        <v>124</v>
      </c>
      <c r="E37" s="36" t="s">
        <v>125</v>
      </c>
      <c r="F37" s="36" t="s">
        <v>126</v>
      </c>
      <c r="G37" s="36">
        <v>36</v>
      </c>
      <c r="H37" s="40" t="s">
        <v>127</v>
      </c>
      <c r="I37" s="133">
        <v>13</v>
      </c>
      <c r="J37" s="134">
        <v>0</v>
      </c>
      <c r="K37" s="36">
        <v>0</v>
      </c>
      <c r="L37" s="130">
        <v>0</v>
      </c>
      <c r="M37" s="36">
        <v>0</v>
      </c>
      <c r="N37" s="36">
        <v>0</v>
      </c>
      <c r="O37" s="36">
        <v>0</v>
      </c>
      <c r="P37" s="36">
        <v>0</v>
      </c>
      <c r="Q37" s="37">
        <v>13</v>
      </c>
      <c r="R37" s="133"/>
      <c r="S37" s="133"/>
      <c r="T37" s="133" t="s">
        <v>28</v>
      </c>
      <c r="U37" s="133" t="s">
        <v>28</v>
      </c>
      <c r="V37" s="133" t="s">
        <v>28</v>
      </c>
      <c r="W37" s="133" t="s">
        <v>28</v>
      </c>
      <c r="X37" s="133" t="s">
        <v>28</v>
      </c>
      <c r="Y37" s="133" t="s">
        <v>28</v>
      </c>
      <c r="Z37" s="133" t="s">
        <v>28</v>
      </c>
      <c r="AA37" s="133" t="s">
        <v>28</v>
      </c>
      <c r="AB37" s="133" t="s">
        <v>28</v>
      </c>
      <c r="AC37" s="133" t="s">
        <v>28</v>
      </c>
      <c r="AD37" s="133" t="s">
        <v>28</v>
      </c>
      <c r="AE37" s="133" t="s">
        <v>28</v>
      </c>
      <c r="AF37" s="133" t="s">
        <v>28</v>
      </c>
      <c r="AG37" s="133" t="s">
        <v>28</v>
      </c>
      <c r="AH37" s="133" t="s">
        <v>28</v>
      </c>
      <c r="AI37" s="133" t="s">
        <v>28</v>
      </c>
      <c r="AJ37" s="133" t="s">
        <v>28</v>
      </c>
      <c r="AK37" s="133" t="s">
        <v>28</v>
      </c>
      <c r="AL37" s="133" t="s">
        <v>28</v>
      </c>
      <c r="AM37" s="133" t="s">
        <v>28</v>
      </c>
      <c r="AN37" s="133" t="s">
        <v>28</v>
      </c>
      <c r="AO37" s="133" t="s">
        <v>28</v>
      </c>
      <c r="AP37" s="133" t="s">
        <v>28</v>
      </c>
      <c r="AQ37" s="133" t="s">
        <v>28</v>
      </c>
      <c r="AR37" s="133" t="s">
        <v>28</v>
      </c>
      <c r="AS37" s="133" t="s">
        <v>28</v>
      </c>
      <c r="AT37" s="133" t="s">
        <v>28</v>
      </c>
      <c r="AU37" s="133" t="s">
        <v>28</v>
      </c>
      <c r="AV37" s="133" t="s">
        <v>28</v>
      </c>
      <c r="AW37" s="133" t="s">
        <v>28</v>
      </c>
      <c r="AX37" s="133" t="s">
        <v>28</v>
      </c>
      <c r="AY37" s="133" t="s">
        <v>28</v>
      </c>
      <c r="AZ37" s="133" t="s">
        <v>28</v>
      </c>
      <c r="BA37" s="133" t="s">
        <v>28</v>
      </c>
      <c r="BB37" s="133" t="s">
        <v>28</v>
      </c>
      <c r="BC37" s="133" t="s">
        <v>28</v>
      </c>
      <c r="BD37" s="133" t="s">
        <v>28</v>
      </c>
      <c r="BE37" s="133" t="s">
        <v>28</v>
      </c>
      <c r="BF37" s="133" t="s">
        <v>28</v>
      </c>
      <c r="BG37" s="133" t="s">
        <v>28</v>
      </c>
      <c r="BH37" s="133" t="s">
        <v>28</v>
      </c>
      <c r="BI37" s="133" t="s">
        <v>28</v>
      </c>
      <c r="BJ37" s="133" t="s">
        <v>28</v>
      </c>
      <c r="BK37" s="133" t="s">
        <v>28</v>
      </c>
      <c r="BL37" s="133" t="s">
        <v>28</v>
      </c>
      <c r="BM37" s="133" t="s">
        <v>28</v>
      </c>
      <c r="BN37" s="133" t="s">
        <v>28</v>
      </c>
      <c r="BO37" s="133" t="s">
        <v>28</v>
      </c>
      <c r="BP37" s="133" t="s">
        <v>28</v>
      </c>
      <c r="BQ37" s="133" t="s">
        <v>28</v>
      </c>
      <c r="BR37" s="133" t="s">
        <v>28</v>
      </c>
      <c r="BS37" s="133" t="s">
        <v>28</v>
      </c>
      <c r="BT37" s="133" t="s">
        <v>28</v>
      </c>
      <c r="BU37" s="133" t="s">
        <v>28</v>
      </c>
      <c r="BV37" s="133" t="s">
        <v>28</v>
      </c>
      <c r="BW37" s="133" t="s">
        <v>28</v>
      </c>
      <c r="BX37" s="133" t="s">
        <v>28</v>
      </c>
      <c r="BY37" s="133" t="s">
        <v>28</v>
      </c>
      <c r="BZ37" s="133" t="s">
        <v>28</v>
      </c>
      <c r="CA37" s="133" t="s">
        <v>28</v>
      </c>
      <c r="CB37" s="133" t="s">
        <v>28</v>
      </c>
      <c r="CC37" s="14" t="s">
        <v>28</v>
      </c>
    </row>
    <row r="38" ht="25.05" customHeight="1" spans="1:81">
      <c r="A38" s="36">
        <v>35</v>
      </c>
      <c r="B38" s="37" t="s">
        <v>22</v>
      </c>
      <c r="C38" s="38" t="s">
        <v>23</v>
      </c>
      <c r="D38" s="14" t="s">
        <v>128</v>
      </c>
      <c r="E38" s="36" t="s">
        <v>129</v>
      </c>
      <c r="F38" s="36" t="s">
        <v>130</v>
      </c>
      <c r="G38" s="36">
        <v>36</v>
      </c>
      <c r="H38" s="40" t="s">
        <v>127</v>
      </c>
      <c r="I38" s="133">
        <v>13</v>
      </c>
      <c r="J38" s="134">
        <v>0</v>
      </c>
      <c r="K38" s="36">
        <v>0</v>
      </c>
      <c r="L38" s="130">
        <v>0</v>
      </c>
      <c r="M38" s="36">
        <v>0</v>
      </c>
      <c r="N38" s="36">
        <v>0</v>
      </c>
      <c r="O38" s="36">
        <v>0</v>
      </c>
      <c r="P38" s="36">
        <v>0</v>
      </c>
      <c r="Q38" s="37">
        <v>13</v>
      </c>
      <c r="R38" s="133"/>
      <c r="S38" s="133"/>
      <c r="T38" s="133" t="s">
        <v>28</v>
      </c>
      <c r="U38" s="133" t="s">
        <v>28</v>
      </c>
      <c r="V38" s="133" t="s">
        <v>28</v>
      </c>
      <c r="W38" s="133" t="s">
        <v>28</v>
      </c>
      <c r="X38" s="133" t="s">
        <v>28</v>
      </c>
      <c r="Y38" s="133" t="s">
        <v>28</v>
      </c>
      <c r="Z38" s="133" t="s">
        <v>28</v>
      </c>
      <c r="AA38" s="133" t="s">
        <v>28</v>
      </c>
      <c r="AB38" s="133" t="s">
        <v>28</v>
      </c>
      <c r="AC38" s="133" t="s">
        <v>28</v>
      </c>
      <c r="AD38" s="133" t="s">
        <v>28</v>
      </c>
      <c r="AE38" s="133" t="s">
        <v>28</v>
      </c>
      <c r="AF38" s="133" t="s">
        <v>28</v>
      </c>
      <c r="AG38" s="133" t="s">
        <v>28</v>
      </c>
      <c r="AH38" s="133" t="s">
        <v>28</v>
      </c>
      <c r="AI38" s="133" t="s">
        <v>28</v>
      </c>
      <c r="AJ38" s="133" t="s">
        <v>28</v>
      </c>
      <c r="AK38" s="133" t="s">
        <v>28</v>
      </c>
      <c r="AL38" s="133" t="s">
        <v>28</v>
      </c>
      <c r="AM38" s="133" t="s">
        <v>28</v>
      </c>
      <c r="AN38" s="133" t="s">
        <v>28</v>
      </c>
      <c r="AO38" s="133" t="s">
        <v>28</v>
      </c>
      <c r="AP38" s="133" t="s">
        <v>28</v>
      </c>
      <c r="AQ38" s="133" t="s">
        <v>28</v>
      </c>
      <c r="AR38" s="133" t="s">
        <v>28</v>
      </c>
      <c r="AS38" s="133" t="s">
        <v>28</v>
      </c>
      <c r="AT38" s="133" t="s">
        <v>28</v>
      </c>
      <c r="AU38" s="133" t="s">
        <v>28</v>
      </c>
      <c r="AV38" s="133" t="s">
        <v>28</v>
      </c>
      <c r="AW38" s="133" t="s">
        <v>28</v>
      </c>
      <c r="AX38" s="133" t="s">
        <v>28</v>
      </c>
      <c r="AY38" s="133" t="s">
        <v>28</v>
      </c>
      <c r="AZ38" s="133" t="s">
        <v>28</v>
      </c>
      <c r="BA38" s="133" t="s">
        <v>28</v>
      </c>
      <c r="BB38" s="133" t="s">
        <v>28</v>
      </c>
      <c r="BC38" s="133" t="s">
        <v>28</v>
      </c>
      <c r="BD38" s="133" t="s">
        <v>28</v>
      </c>
      <c r="BE38" s="133" t="s">
        <v>28</v>
      </c>
      <c r="BF38" s="133" t="s">
        <v>28</v>
      </c>
      <c r="BG38" s="133" t="s">
        <v>28</v>
      </c>
      <c r="BH38" s="133" t="s">
        <v>28</v>
      </c>
      <c r="BI38" s="133" t="s">
        <v>28</v>
      </c>
      <c r="BJ38" s="133" t="s">
        <v>28</v>
      </c>
      <c r="BK38" s="133" t="s">
        <v>28</v>
      </c>
      <c r="BL38" s="133" t="s">
        <v>28</v>
      </c>
      <c r="BM38" s="133" t="s">
        <v>28</v>
      </c>
      <c r="BN38" s="133" t="s">
        <v>28</v>
      </c>
      <c r="BO38" s="133" t="s">
        <v>28</v>
      </c>
      <c r="BP38" s="133" t="s">
        <v>28</v>
      </c>
      <c r="BQ38" s="133" t="s">
        <v>28</v>
      </c>
      <c r="BR38" s="133" t="s">
        <v>28</v>
      </c>
      <c r="BS38" s="133" t="s">
        <v>28</v>
      </c>
      <c r="BT38" s="133" t="s">
        <v>28</v>
      </c>
      <c r="BU38" s="133" t="s">
        <v>28</v>
      </c>
      <c r="BV38" s="133" t="s">
        <v>28</v>
      </c>
      <c r="BW38" s="133" t="s">
        <v>28</v>
      </c>
      <c r="BX38" s="133" t="s">
        <v>28</v>
      </c>
      <c r="BY38" s="133" t="s">
        <v>28</v>
      </c>
      <c r="BZ38" s="133" t="s">
        <v>28</v>
      </c>
      <c r="CA38" s="133" t="s">
        <v>28</v>
      </c>
      <c r="CB38" s="133" t="s">
        <v>28</v>
      </c>
      <c r="CC38" s="14" t="s">
        <v>28</v>
      </c>
    </row>
    <row r="39" ht="25.05" customHeight="1" spans="1:81">
      <c r="A39" s="36">
        <v>36</v>
      </c>
      <c r="B39" s="37" t="s">
        <v>22</v>
      </c>
      <c r="C39" s="38" t="s">
        <v>23</v>
      </c>
      <c r="D39" s="14" t="s">
        <v>131</v>
      </c>
      <c r="E39" s="36" t="s">
        <v>132</v>
      </c>
      <c r="F39" s="36" t="s">
        <v>133</v>
      </c>
      <c r="G39" s="36">
        <v>72</v>
      </c>
      <c r="H39" s="40" t="s">
        <v>127</v>
      </c>
      <c r="I39" s="133">
        <v>249</v>
      </c>
      <c r="J39" s="134">
        <v>0</v>
      </c>
      <c r="K39" s="36">
        <v>31</v>
      </c>
      <c r="L39" s="130">
        <v>280</v>
      </c>
      <c r="M39" s="36">
        <v>0</v>
      </c>
      <c r="N39" s="36">
        <v>0</v>
      </c>
      <c r="O39" s="36">
        <v>0</v>
      </c>
      <c r="P39" s="36">
        <v>0</v>
      </c>
      <c r="Q39" s="37">
        <v>0</v>
      </c>
      <c r="R39" s="133"/>
      <c r="S39" s="133"/>
      <c r="T39" s="133" t="s">
        <v>28</v>
      </c>
      <c r="U39" s="133">
        <v>31</v>
      </c>
      <c r="V39" s="133" t="s">
        <v>28</v>
      </c>
      <c r="W39" s="133" t="s">
        <v>28</v>
      </c>
      <c r="X39" s="133" t="s">
        <v>28</v>
      </c>
      <c r="Y39" s="133" t="s">
        <v>28</v>
      </c>
      <c r="Z39" s="133" t="s">
        <v>28</v>
      </c>
      <c r="AA39" s="133" t="s">
        <v>28</v>
      </c>
      <c r="AB39" s="133" t="s">
        <v>28</v>
      </c>
      <c r="AC39" s="133" t="s">
        <v>28</v>
      </c>
      <c r="AD39" s="133" t="s">
        <v>28</v>
      </c>
      <c r="AE39" s="133" t="s">
        <v>28</v>
      </c>
      <c r="AF39" s="133" t="s">
        <v>28</v>
      </c>
      <c r="AG39" s="133" t="s">
        <v>28</v>
      </c>
      <c r="AH39" s="133" t="s">
        <v>28</v>
      </c>
      <c r="AI39" s="133" t="s">
        <v>28</v>
      </c>
      <c r="AJ39" s="133" t="s">
        <v>28</v>
      </c>
      <c r="AK39" s="133" t="s">
        <v>28</v>
      </c>
      <c r="AL39" s="133" t="s">
        <v>28</v>
      </c>
      <c r="AM39" s="133" t="s">
        <v>28</v>
      </c>
      <c r="AN39" s="133" t="s">
        <v>28</v>
      </c>
      <c r="AO39" s="133" t="s">
        <v>28</v>
      </c>
      <c r="AP39" s="133" t="s">
        <v>28</v>
      </c>
      <c r="AQ39" s="133" t="s">
        <v>28</v>
      </c>
      <c r="AR39" s="133" t="s">
        <v>28</v>
      </c>
      <c r="AS39" s="133" t="s">
        <v>28</v>
      </c>
      <c r="AT39" s="133" t="s">
        <v>28</v>
      </c>
      <c r="AU39" s="133" t="s">
        <v>28</v>
      </c>
      <c r="AV39" s="133" t="s">
        <v>28</v>
      </c>
      <c r="AW39" s="133" t="s">
        <v>28</v>
      </c>
      <c r="AX39" s="133" t="s">
        <v>28</v>
      </c>
      <c r="AY39" s="133" t="s">
        <v>28</v>
      </c>
      <c r="AZ39" s="133" t="s">
        <v>28</v>
      </c>
      <c r="BA39" s="133" t="s">
        <v>28</v>
      </c>
      <c r="BB39" s="133" t="s">
        <v>28</v>
      </c>
      <c r="BC39" s="133" t="s">
        <v>28</v>
      </c>
      <c r="BD39" s="133" t="s">
        <v>28</v>
      </c>
      <c r="BE39" s="133">
        <v>280</v>
      </c>
      <c r="BF39" s="133" t="s">
        <v>28</v>
      </c>
      <c r="BG39" s="133" t="s">
        <v>28</v>
      </c>
      <c r="BH39" s="133" t="s">
        <v>28</v>
      </c>
      <c r="BI39" s="133" t="s">
        <v>28</v>
      </c>
      <c r="BJ39" s="133" t="s">
        <v>28</v>
      </c>
      <c r="BK39" s="133" t="s">
        <v>28</v>
      </c>
      <c r="BL39" s="133" t="s">
        <v>28</v>
      </c>
      <c r="BM39" s="133" t="s">
        <v>28</v>
      </c>
      <c r="BN39" s="133" t="s">
        <v>28</v>
      </c>
      <c r="BO39" s="133" t="s">
        <v>28</v>
      </c>
      <c r="BP39" s="133" t="s">
        <v>28</v>
      </c>
      <c r="BQ39" s="133" t="s">
        <v>28</v>
      </c>
      <c r="BR39" s="133" t="s">
        <v>28</v>
      </c>
      <c r="BS39" s="133" t="s">
        <v>28</v>
      </c>
      <c r="BT39" s="133" t="s">
        <v>28</v>
      </c>
      <c r="BU39" s="133" t="s">
        <v>28</v>
      </c>
      <c r="BV39" s="133" t="s">
        <v>28</v>
      </c>
      <c r="BW39" s="133" t="s">
        <v>28</v>
      </c>
      <c r="BX39" s="133" t="s">
        <v>28</v>
      </c>
      <c r="BY39" s="133" t="s">
        <v>28</v>
      </c>
      <c r="BZ39" s="133" t="s">
        <v>28</v>
      </c>
      <c r="CA39" s="133" t="s">
        <v>28</v>
      </c>
      <c r="CB39" s="133" t="s">
        <v>28</v>
      </c>
      <c r="CC39" s="14" t="s">
        <v>28</v>
      </c>
    </row>
    <row r="40" ht="25.05" customHeight="1" spans="1:81">
      <c r="A40" s="36">
        <v>37</v>
      </c>
      <c r="B40" s="37" t="s">
        <v>22</v>
      </c>
      <c r="C40" s="38" t="s">
        <v>23</v>
      </c>
      <c r="D40" s="14" t="s">
        <v>134</v>
      </c>
      <c r="E40" s="36" t="s">
        <v>135</v>
      </c>
      <c r="F40" s="36" t="s">
        <v>136</v>
      </c>
      <c r="G40" s="36">
        <v>45</v>
      </c>
      <c r="H40" s="40" t="s">
        <v>27</v>
      </c>
      <c r="I40" s="133">
        <v>0</v>
      </c>
      <c r="J40" s="134">
        <v>0</v>
      </c>
      <c r="K40" s="36">
        <v>189</v>
      </c>
      <c r="L40" s="130">
        <v>0</v>
      </c>
      <c r="M40" s="36">
        <v>0</v>
      </c>
      <c r="N40" s="36">
        <v>0</v>
      </c>
      <c r="O40" s="36">
        <v>0</v>
      </c>
      <c r="P40" s="36">
        <v>0</v>
      </c>
      <c r="Q40" s="37">
        <v>189</v>
      </c>
      <c r="R40" s="133"/>
      <c r="S40" s="133"/>
      <c r="T40" s="133" t="s">
        <v>28</v>
      </c>
      <c r="U40" s="133">
        <v>45</v>
      </c>
      <c r="V40" s="133" t="s">
        <v>28</v>
      </c>
      <c r="W40" s="133" t="s">
        <v>28</v>
      </c>
      <c r="X40" s="133">
        <v>144</v>
      </c>
      <c r="Y40" s="133" t="s">
        <v>28</v>
      </c>
      <c r="Z40" s="133" t="s">
        <v>28</v>
      </c>
      <c r="AA40" s="133" t="s">
        <v>28</v>
      </c>
      <c r="AB40" s="133" t="s">
        <v>28</v>
      </c>
      <c r="AC40" s="133" t="s">
        <v>28</v>
      </c>
      <c r="AD40" s="133" t="s">
        <v>28</v>
      </c>
      <c r="AE40" s="133" t="s">
        <v>28</v>
      </c>
      <c r="AF40" s="133" t="s">
        <v>28</v>
      </c>
      <c r="AG40" s="133" t="s">
        <v>28</v>
      </c>
      <c r="AH40" s="133" t="s">
        <v>28</v>
      </c>
      <c r="AI40" s="133" t="s">
        <v>28</v>
      </c>
      <c r="AJ40" s="133" t="s">
        <v>28</v>
      </c>
      <c r="AK40" s="133" t="s">
        <v>28</v>
      </c>
      <c r="AL40" s="133" t="s">
        <v>28</v>
      </c>
      <c r="AM40" s="133" t="s">
        <v>28</v>
      </c>
      <c r="AN40" s="133" t="s">
        <v>28</v>
      </c>
      <c r="AO40" s="133" t="s">
        <v>28</v>
      </c>
      <c r="AP40" s="133" t="s">
        <v>28</v>
      </c>
      <c r="AQ40" s="133" t="s">
        <v>28</v>
      </c>
      <c r="AR40" s="133" t="s">
        <v>28</v>
      </c>
      <c r="AS40" s="133" t="s">
        <v>28</v>
      </c>
      <c r="AT40" s="133" t="s">
        <v>28</v>
      </c>
      <c r="AU40" s="133" t="s">
        <v>28</v>
      </c>
      <c r="AV40" s="133" t="s">
        <v>28</v>
      </c>
      <c r="AW40" s="133" t="s">
        <v>28</v>
      </c>
      <c r="AX40" s="133" t="s">
        <v>28</v>
      </c>
      <c r="AY40" s="133" t="s">
        <v>28</v>
      </c>
      <c r="AZ40" s="133" t="s">
        <v>28</v>
      </c>
      <c r="BA40" s="133" t="s">
        <v>28</v>
      </c>
      <c r="BB40" s="133" t="s">
        <v>28</v>
      </c>
      <c r="BC40" s="133" t="s">
        <v>28</v>
      </c>
      <c r="BD40" s="133" t="s">
        <v>28</v>
      </c>
      <c r="BE40" s="133" t="s">
        <v>28</v>
      </c>
      <c r="BF40" s="133" t="s">
        <v>28</v>
      </c>
      <c r="BG40" s="133" t="s">
        <v>28</v>
      </c>
      <c r="BH40" s="133" t="s">
        <v>28</v>
      </c>
      <c r="BI40" s="133" t="s">
        <v>28</v>
      </c>
      <c r="BJ40" s="133" t="s">
        <v>28</v>
      </c>
      <c r="BK40" s="133" t="s">
        <v>28</v>
      </c>
      <c r="BL40" s="133" t="s">
        <v>28</v>
      </c>
      <c r="BM40" s="133" t="s">
        <v>28</v>
      </c>
      <c r="BN40" s="133" t="s">
        <v>28</v>
      </c>
      <c r="BO40" s="133" t="s">
        <v>28</v>
      </c>
      <c r="BP40" s="133" t="s">
        <v>28</v>
      </c>
      <c r="BQ40" s="133" t="s">
        <v>28</v>
      </c>
      <c r="BR40" s="133" t="s">
        <v>28</v>
      </c>
      <c r="BS40" s="133" t="s">
        <v>28</v>
      </c>
      <c r="BT40" s="133" t="s">
        <v>28</v>
      </c>
      <c r="BU40" s="133" t="s">
        <v>28</v>
      </c>
      <c r="BV40" s="133" t="s">
        <v>28</v>
      </c>
      <c r="BW40" s="133" t="s">
        <v>28</v>
      </c>
      <c r="BX40" s="133" t="s">
        <v>28</v>
      </c>
      <c r="BY40" s="133" t="s">
        <v>28</v>
      </c>
      <c r="BZ40" s="133" t="s">
        <v>28</v>
      </c>
      <c r="CA40" s="133" t="s">
        <v>28</v>
      </c>
      <c r="CB40" s="133" t="s">
        <v>28</v>
      </c>
      <c r="CC40" s="14" t="s">
        <v>28</v>
      </c>
    </row>
    <row r="41" ht="25.05" customHeight="1" spans="1:81">
      <c r="A41" s="36">
        <v>38</v>
      </c>
      <c r="B41" s="37" t="s">
        <v>22</v>
      </c>
      <c r="C41" s="38" t="s">
        <v>23</v>
      </c>
      <c r="D41" s="14" t="s">
        <v>137</v>
      </c>
      <c r="E41" s="36" t="s">
        <v>138</v>
      </c>
      <c r="F41" s="36" t="s">
        <v>139</v>
      </c>
      <c r="G41" s="36">
        <v>14</v>
      </c>
      <c r="H41" s="40" t="s">
        <v>27</v>
      </c>
      <c r="I41" s="133">
        <v>0</v>
      </c>
      <c r="J41" s="134">
        <v>0</v>
      </c>
      <c r="K41" s="36">
        <v>14</v>
      </c>
      <c r="L41" s="130">
        <v>14</v>
      </c>
      <c r="M41" s="36">
        <v>0</v>
      </c>
      <c r="N41" s="36">
        <v>0</v>
      </c>
      <c r="O41" s="36">
        <v>0</v>
      </c>
      <c r="P41" s="36">
        <v>0</v>
      </c>
      <c r="Q41" s="37">
        <v>0</v>
      </c>
      <c r="R41" s="133"/>
      <c r="S41" s="133"/>
      <c r="T41" s="133" t="s">
        <v>28</v>
      </c>
      <c r="U41" s="133">
        <v>14</v>
      </c>
      <c r="V41" s="133" t="s">
        <v>28</v>
      </c>
      <c r="W41" s="133" t="s">
        <v>28</v>
      </c>
      <c r="X41" s="133" t="s">
        <v>28</v>
      </c>
      <c r="Y41" s="133" t="s">
        <v>28</v>
      </c>
      <c r="Z41" s="133" t="s">
        <v>28</v>
      </c>
      <c r="AA41" s="133" t="s">
        <v>28</v>
      </c>
      <c r="AB41" s="133" t="s">
        <v>28</v>
      </c>
      <c r="AC41" s="133" t="s">
        <v>28</v>
      </c>
      <c r="AD41" s="133" t="s">
        <v>28</v>
      </c>
      <c r="AE41" s="133" t="s">
        <v>28</v>
      </c>
      <c r="AF41" s="133" t="s">
        <v>28</v>
      </c>
      <c r="AG41" s="133" t="s">
        <v>28</v>
      </c>
      <c r="AH41" s="133" t="s">
        <v>28</v>
      </c>
      <c r="AI41" s="133" t="s">
        <v>28</v>
      </c>
      <c r="AJ41" s="133" t="s">
        <v>28</v>
      </c>
      <c r="AK41" s="133" t="s">
        <v>28</v>
      </c>
      <c r="AL41" s="133" t="s">
        <v>28</v>
      </c>
      <c r="AM41" s="133" t="s">
        <v>28</v>
      </c>
      <c r="AN41" s="133" t="s">
        <v>28</v>
      </c>
      <c r="AO41" s="133" t="s">
        <v>28</v>
      </c>
      <c r="AP41" s="133" t="s">
        <v>28</v>
      </c>
      <c r="AQ41" s="133" t="s">
        <v>28</v>
      </c>
      <c r="AR41" s="133" t="s">
        <v>28</v>
      </c>
      <c r="AS41" s="133" t="s">
        <v>28</v>
      </c>
      <c r="AT41" s="133" t="s">
        <v>28</v>
      </c>
      <c r="AU41" s="133" t="s">
        <v>28</v>
      </c>
      <c r="AV41" s="133" t="s">
        <v>28</v>
      </c>
      <c r="AW41" s="133" t="s">
        <v>28</v>
      </c>
      <c r="AX41" s="133" t="s">
        <v>28</v>
      </c>
      <c r="AY41" s="133" t="s">
        <v>28</v>
      </c>
      <c r="AZ41" s="133" t="s">
        <v>28</v>
      </c>
      <c r="BA41" s="133" t="s">
        <v>28</v>
      </c>
      <c r="BB41" s="133" t="s">
        <v>28</v>
      </c>
      <c r="BC41" s="133" t="s">
        <v>28</v>
      </c>
      <c r="BD41" s="133" t="s">
        <v>28</v>
      </c>
      <c r="BE41" s="133" t="s">
        <v>28</v>
      </c>
      <c r="BF41" s="133" t="s">
        <v>28</v>
      </c>
      <c r="BG41" s="133" t="s">
        <v>28</v>
      </c>
      <c r="BH41" s="133" t="s">
        <v>28</v>
      </c>
      <c r="BI41" s="133" t="s">
        <v>28</v>
      </c>
      <c r="BJ41" s="133">
        <v>14</v>
      </c>
      <c r="BK41" s="133" t="s">
        <v>28</v>
      </c>
      <c r="BL41" s="133" t="s">
        <v>28</v>
      </c>
      <c r="BM41" s="133" t="s">
        <v>28</v>
      </c>
      <c r="BN41" s="133" t="s">
        <v>28</v>
      </c>
      <c r="BO41" s="133" t="s">
        <v>28</v>
      </c>
      <c r="BP41" s="133" t="s">
        <v>28</v>
      </c>
      <c r="BQ41" s="133" t="s">
        <v>28</v>
      </c>
      <c r="BR41" s="133" t="s">
        <v>28</v>
      </c>
      <c r="BS41" s="133" t="s">
        <v>28</v>
      </c>
      <c r="BT41" s="133" t="s">
        <v>28</v>
      </c>
      <c r="BU41" s="133" t="s">
        <v>28</v>
      </c>
      <c r="BV41" s="133" t="s">
        <v>28</v>
      </c>
      <c r="BW41" s="133" t="s">
        <v>28</v>
      </c>
      <c r="BX41" s="133" t="s">
        <v>28</v>
      </c>
      <c r="BY41" s="133" t="s">
        <v>28</v>
      </c>
      <c r="BZ41" s="133" t="s">
        <v>28</v>
      </c>
      <c r="CA41" s="133" t="s">
        <v>28</v>
      </c>
      <c r="CB41" s="133" t="s">
        <v>28</v>
      </c>
      <c r="CC41" s="14" t="s">
        <v>28</v>
      </c>
    </row>
    <row r="42" ht="25.05" customHeight="1" spans="1:81">
      <c r="A42" s="36">
        <v>39</v>
      </c>
      <c r="B42" s="37" t="s">
        <v>22</v>
      </c>
      <c r="C42" s="38" t="s">
        <v>23</v>
      </c>
      <c r="D42" s="14" t="s">
        <v>140</v>
      </c>
      <c r="E42" s="36" t="s">
        <v>141</v>
      </c>
      <c r="F42" s="36" t="s">
        <v>142</v>
      </c>
      <c r="G42" s="36">
        <v>12</v>
      </c>
      <c r="H42" s="40" t="s">
        <v>27</v>
      </c>
      <c r="I42" s="133">
        <v>0</v>
      </c>
      <c r="J42" s="134">
        <v>0</v>
      </c>
      <c r="K42" s="36">
        <v>63</v>
      </c>
      <c r="L42" s="130">
        <v>0</v>
      </c>
      <c r="M42" s="36">
        <v>0</v>
      </c>
      <c r="N42" s="36">
        <v>0</v>
      </c>
      <c r="O42" s="36">
        <v>0</v>
      </c>
      <c r="P42" s="36">
        <v>0</v>
      </c>
      <c r="Q42" s="37">
        <v>63</v>
      </c>
      <c r="R42" s="133"/>
      <c r="S42" s="133"/>
      <c r="T42" s="133" t="s">
        <v>28</v>
      </c>
      <c r="U42" s="133" t="s">
        <v>28</v>
      </c>
      <c r="V42" s="133" t="s">
        <v>28</v>
      </c>
      <c r="W42" s="133" t="s">
        <v>28</v>
      </c>
      <c r="X42" s="133">
        <v>63</v>
      </c>
      <c r="Y42" s="133" t="s">
        <v>28</v>
      </c>
      <c r="Z42" s="133" t="s">
        <v>28</v>
      </c>
      <c r="AA42" s="133" t="s">
        <v>28</v>
      </c>
      <c r="AB42" s="133" t="s">
        <v>28</v>
      </c>
      <c r="AC42" s="133" t="s">
        <v>28</v>
      </c>
      <c r="AD42" s="133" t="s">
        <v>28</v>
      </c>
      <c r="AE42" s="133" t="s">
        <v>28</v>
      </c>
      <c r="AF42" s="133" t="s">
        <v>28</v>
      </c>
      <c r="AG42" s="133" t="s">
        <v>28</v>
      </c>
      <c r="AH42" s="133" t="s">
        <v>28</v>
      </c>
      <c r="AI42" s="133" t="s">
        <v>28</v>
      </c>
      <c r="AJ42" s="133" t="s">
        <v>28</v>
      </c>
      <c r="AK42" s="133" t="s">
        <v>28</v>
      </c>
      <c r="AL42" s="133" t="s">
        <v>28</v>
      </c>
      <c r="AM42" s="133" t="s">
        <v>28</v>
      </c>
      <c r="AN42" s="133" t="s">
        <v>28</v>
      </c>
      <c r="AO42" s="133" t="s">
        <v>28</v>
      </c>
      <c r="AP42" s="133" t="s">
        <v>28</v>
      </c>
      <c r="AQ42" s="133" t="s">
        <v>28</v>
      </c>
      <c r="AR42" s="133" t="s">
        <v>28</v>
      </c>
      <c r="AS42" s="133" t="s">
        <v>28</v>
      </c>
      <c r="AT42" s="133" t="s">
        <v>28</v>
      </c>
      <c r="AU42" s="133" t="s">
        <v>28</v>
      </c>
      <c r="AV42" s="133" t="s">
        <v>28</v>
      </c>
      <c r="AW42" s="133" t="s">
        <v>28</v>
      </c>
      <c r="AX42" s="133" t="s">
        <v>28</v>
      </c>
      <c r="AY42" s="133" t="s">
        <v>28</v>
      </c>
      <c r="AZ42" s="133" t="s">
        <v>28</v>
      </c>
      <c r="BA42" s="133" t="s">
        <v>28</v>
      </c>
      <c r="BB42" s="133" t="s">
        <v>28</v>
      </c>
      <c r="BC42" s="133" t="s">
        <v>28</v>
      </c>
      <c r="BD42" s="133" t="s">
        <v>28</v>
      </c>
      <c r="BE42" s="133" t="s">
        <v>28</v>
      </c>
      <c r="BF42" s="133" t="s">
        <v>28</v>
      </c>
      <c r="BG42" s="133" t="s">
        <v>28</v>
      </c>
      <c r="BH42" s="133" t="s">
        <v>28</v>
      </c>
      <c r="BI42" s="133" t="s">
        <v>28</v>
      </c>
      <c r="BJ42" s="133" t="s">
        <v>28</v>
      </c>
      <c r="BK42" s="133" t="s">
        <v>28</v>
      </c>
      <c r="BL42" s="133" t="s">
        <v>28</v>
      </c>
      <c r="BM42" s="133" t="s">
        <v>28</v>
      </c>
      <c r="BN42" s="133" t="s">
        <v>28</v>
      </c>
      <c r="BO42" s="133" t="s">
        <v>28</v>
      </c>
      <c r="BP42" s="133" t="s">
        <v>28</v>
      </c>
      <c r="BQ42" s="133" t="s">
        <v>28</v>
      </c>
      <c r="BR42" s="133" t="s">
        <v>28</v>
      </c>
      <c r="BS42" s="133" t="s">
        <v>28</v>
      </c>
      <c r="BT42" s="133" t="s">
        <v>28</v>
      </c>
      <c r="BU42" s="133" t="s">
        <v>28</v>
      </c>
      <c r="BV42" s="133" t="s">
        <v>28</v>
      </c>
      <c r="BW42" s="133" t="s">
        <v>28</v>
      </c>
      <c r="BX42" s="133" t="s">
        <v>28</v>
      </c>
      <c r="BY42" s="133" t="s">
        <v>28</v>
      </c>
      <c r="BZ42" s="133" t="s">
        <v>28</v>
      </c>
      <c r="CA42" s="133" t="s">
        <v>28</v>
      </c>
      <c r="CB42" s="133" t="s">
        <v>28</v>
      </c>
      <c r="CC42" s="14" t="s">
        <v>28</v>
      </c>
    </row>
    <row r="43" ht="25.05" customHeight="1" spans="1:81">
      <c r="A43" s="36">
        <v>40</v>
      </c>
      <c r="B43" s="37" t="s">
        <v>22</v>
      </c>
      <c r="C43" s="38" t="s">
        <v>23</v>
      </c>
      <c r="D43" s="14" t="s">
        <v>143</v>
      </c>
      <c r="E43" s="36" t="s">
        <v>144</v>
      </c>
      <c r="F43" s="36" t="s">
        <v>145</v>
      </c>
      <c r="G43" s="36">
        <v>48</v>
      </c>
      <c r="H43" s="40" t="s">
        <v>27</v>
      </c>
      <c r="I43" s="133">
        <v>0</v>
      </c>
      <c r="J43" s="134">
        <v>0</v>
      </c>
      <c r="K43" s="36">
        <v>1200</v>
      </c>
      <c r="L43" s="130">
        <v>1200</v>
      </c>
      <c r="M43" s="36">
        <v>0</v>
      </c>
      <c r="N43" s="36">
        <v>0</v>
      </c>
      <c r="O43" s="36">
        <v>0</v>
      </c>
      <c r="P43" s="36">
        <v>0</v>
      </c>
      <c r="Q43" s="37">
        <v>0</v>
      </c>
      <c r="R43" s="133"/>
      <c r="S43" s="133"/>
      <c r="T43" s="133" t="s">
        <v>28</v>
      </c>
      <c r="U43" s="133" t="s">
        <v>28</v>
      </c>
      <c r="V43" s="133" t="s">
        <v>28</v>
      </c>
      <c r="W43" s="133" t="s">
        <v>28</v>
      </c>
      <c r="X43" s="133" t="s">
        <v>28</v>
      </c>
      <c r="Y43" s="133">
        <v>96</v>
      </c>
      <c r="Z43" s="133">
        <v>144</v>
      </c>
      <c r="AA43" s="133">
        <v>144</v>
      </c>
      <c r="AB43" s="133">
        <v>144</v>
      </c>
      <c r="AC43" s="133">
        <v>240</v>
      </c>
      <c r="AD43" s="133">
        <v>240</v>
      </c>
      <c r="AE43" s="133">
        <v>192</v>
      </c>
      <c r="AF43" s="133" t="s">
        <v>28</v>
      </c>
      <c r="AG43" s="133" t="s">
        <v>28</v>
      </c>
      <c r="AH43" s="133" t="s">
        <v>28</v>
      </c>
      <c r="AI43" s="133" t="s">
        <v>28</v>
      </c>
      <c r="AJ43" s="133" t="s">
        <v>28</v>
      </c>
      <c r="AK43" s="133" t="s">
        <v>28</v>
      </c>
      <c r="AL43" s="133" t="s">
        <v>28</v>
      </c>
      <c r="AM43" s="133" t="s">
        <v>28</v>
      </c>
      <c r="AN43" s="133" t="s">
        <v>28</v>
      </c>
      <c r="AO43" s="133" t="s">
        <v>28</v>
      </c>
      <c r="AP43" s="133" t="s">
        <v>28</v>
      </c>
      <c r="AQ43" s="133" t="s">
        <v>28</v>
      </c>
      <c r="AR43" s="133" t="s">
        <v>28</v>
      </c>
      <c r="AS43" s="133" t="s">
        <v>28</v>
      </c>
      <c r="AT43" s="133" t="s">
        <v>28</v>
      </c>
      <c r="AU43" s="133" t="s">
        <v>28</v>
      </c>
      <c r="AV43" s="133" t="s">
        <v>28</v>
      </c>
      <c r="AW43" s="133" t="s">
        <v>28</v>
      </c>
      <c r="AX43" s="133" t="s">
        <v>28</v>
      </c>
      <c r="AY43" s="133" t="s">
        <v>28</v>
      </c>
      <c r="AZ43" s="133" t="s">
        <v>28</v>
      </c>
      <c r="BA43" s="133" t="s">
        <v>28</v>
      </c>
      <c r="BB43" s="133" t="s">
        <v>28</v>
      </c>
      <c r="BC43" s="133" t="s">
        <v>28</v>
      </c>
      <c r="BD43" s="133">
        <v>96</v>
      </c>
      <c r="BE43" s="133">
        <v>144</v>
      </c>
      <c r="BF43" s="133">
        <v>144</v>
      </c>
      <c r="BG43" s="133">
        <v>144</v>
      </c>
      <c r="BH43" s="133">
        <v>240</v>
      </c>
      <c r="BI43" s="133">
        <v>240</v>
      </c>
      <c r="BJ43" s="133">
        <v>192</v>
      </c>
      <c r="BK43" s="133" t="s">
        <v>28</v>
      </c>
      <c r="BL43" s="133" t="s">
        <v>28</v>
      </c>
      <c r="BM43" s="133" t="s">
        <v>28</v>
      </c>
      <c r="BN43" s="133" t="s">
        <v>28</v>
      </c>
      <c r="BO43" s="133" t="s">
        <v>28</v>
      </c>
      <c r="BP43" s="133" t="s">
        <v>28</v>
      </c>
      <c r="BQ43" s="133" t="s">
        <v>28</v>
      </c>
      <c r="BR43" s="133" t="s">
        <v>28</v>
      </c>
      <c r="BS43" s="133" t="s">
        <v>28</v>
      </c>
      <c r="BT43" s="133" t="s">
        <v>28</v>
      </c>
      <c r="BU43" s="133" t="s">
        <v>28</v>
      </c>
      <c r="BV43" s="133" t="s">
        <v>28</v>
      </c>
      <c r="BW43" s="133" t="s">
        <v>28</v>
      </c>
      <c r="BX43" s="133" t="s">
        <v>28</v>
      </c>
      <c r="BY43" s="133" t="s">
        <v>28</v>
      </c>
      <c r="BZ43" s="133" t="s">
        <v>28</v>
      </c>
      <c r="CA43" s="133" t="s">
        <v>28</v>
      </c>
      <c r="CB43" s="133" t="s">
        <v>28</v>
      </c>
      <c r="CC43" s="14" t="s">
        <v>28</v>
      </c>
    </row>
    <row r="44" ht="25.05" customHeight="1" spans="1:81">
      <c r="A44" s="36">
        <v>41</v>
      </c>
      <c r="B44" s="37" t="s">
        <v>22</v>
      </c>
      <c r="C44" s="38" t="s">
        <v>23</v>
      </c>
      <c r="D44" s="14" t="s">
        <v>146</v>
      </c>
      <c r="E44" s="36" t="s">
        <v>147</v>
      </c>
      <c r="F44" s="36" t="s">
        <v>148</v>
      </c>
      <c r="G44" s="36">
        <v>24</v>
      </c>
      <c r="H44" s="40" t="s">
        <v>27</v>
      </c>
      <c r="I44" s="133">
        <v>0</v>
      </c>
      <c r="J44" s="134">
        <v>0</v>
      </c>
      <c r="K44" s="36">
        <v>1968</v>
      </c>
      <c r="L44" s="130">
        <v>1968</v>
      </c>
      <c r="M44" s="36">
        <v>0</v>
      </c>
      <c r="N44" s="36">
        <v>0</v>
      </c>
      <c r="O44" s="36">
        <v>0</v>
      </c>
      <c r="P44" s="36">
        <v>0</v>
      </c>
      <c r="Q44" s="37">
        <v>0</v>
      </c>
      <c r="R44" s="133"/>
      <c r="S44" s="133"/>
      <c r="T44" s="133" t="s">
        <v>28</v>
      </c>
      <c r="U44" s="133" t="s">
        <v>28</v>
      </c>
      <c r="V44" s="133" t="s">
        <v>28</v>
      </c>
      <c r="W44" s="133" t="s">
        <v>28</v>
      </c>
      <c r="X44" s="133" t="s">
        <v>28</v>
      </c>
      <c r="Y44" s="133">
        <v>168</v>
      </c>
      <c r="Z44" s="133">
        <v>288</v>
      </c>
      <c r="AA44" s="133">
        <v>240</v>
      </c>
      <c r="AB44" s="133">
        <v>216</v>
      </c>
      <c r="AC44" s="133">
        <v>408</v>
      </c>
      <c r="AD44" s="133">
        <v>432</v>
      </c>
      <c r="AE44" s="133">
        <v>216</v>
      </c>
      <c r="AF44" s="133" t="s">
        <v>28</v>
      </c>
      <c r="AG44" s="133" t="s">
        <v>28</v>
      </c>
      <c r="AH44" s="133" t="s">
        <v>28</v>
      </c>
      <c r="AI44" s="133" t="s">
        <v>28</v>
      </c>
      <c r="AJ44" s="133" t="s">
        <v>28</v>
      </c>
      <c r="AK44" s="133" t="s">
        <v>28</v>
      </c>
      <c r="AL44" s="133" t="s">
        <v>28</v>
      </c>
      <c r="AM44" s="133" t="s">
        <v>28</v>
      </c>
      <c r="AN44" s="133" t="s">
        <v>28</v>
      </c>
      <c r="AO44" s="133" t="s">
        <v>28</v>
      </c>
      <c r="AP44" s="133" t="s">
        <v>28</v>
      </c>
      <c r="AQ44" s="133" t="s">
        <v>28</v>
      </c>
      <c r="AR44" s="133" t="s">
        <v>28</v>
      </c>
      <c r="AS44" s="133" t="s">
        <v>28</v>
      </c>
      <c r="AT44" s="133" t="s">
        <v>28</v>
      </c>
      <c r="AU44" s="133" t="s">
        <v>28</v>
      </c>
      <c r="AV44" s="133" t="s">
        <v>28</v>
      </c>
      <c r="AW44" s="133" t="s">
        <v>28</v>
      </c>
      <c r="AX44" s="133" t="s">
        <v>28</v>
      </c>
      <c r="AY44" s="133" t="s">
        <v>28</v>
      </c>
      <c r="AZ44" s="133" t="s">
        <v>28</v>
      </c>
      <c r="BA44" s="133" t="s">
        <v>28</v>
      </c>
      <c r="BB44" s="133" t="s">
        <v>28</v>
      </c>
      <c r="BC44" s="133" t="s">
        <v>28</v>
      </c>
      <c r="BD44" s="133">
        <v>168</v>
      </c>
      <c r="BE44" s="133">
        <v>288</v>
      </c>
      <c r="BF44" s="133">
        <v>240</v>
      </c>
      <c r="BG44" s="133">
        <v>216</v>
      </c>
      <c r="BH44" s="133">
        <v>408</v>
      </c>
      <c r="BI44" s="133">
        <v>432</v>
      </c>
      <c r="BJ44" s="133">
        <v>216</v>
      </c>
      <c r="BK44" s="133" t="s">
        <v>28</v>
      </c>
      <c r="BL44" s="133" t="s">
        <v>28</v>
      </c>
      <c r="BM44" s="133" t="s">
        <v>28</v>
      </c>
      <c r="BN44" s="133" t="s">
        <v>28</v>
      </c>
      <c r="BO44" s="133" t="s">
        <v>28</v>
      </c>
      <c r="BP44" s="133" t="s">
        <v>28</v>
      </c>
      <c r="BQ44" s="133" t="s">
        <v>28</v>
      </c>
      <c r="BR44" s="133" t="s">
        <v>28</v>
      </c>
      <c r="BS44" s="133" t="s">
        <v>28</v>
      </c>
      <c r="BT44" s="133" t="s">
        <v>28</v>
      </c>
      <c r="BU44" s="133" t="s">
        <v>28</v>
      </c>
      <c r="BV44" s="133" t="s">
        <v>28</v>
      </c>
      <c r="BW44" s="133" t="s">
        <v>28</v>
      </c>
      <c r="BX44" s="133" t="s">
        <v>28</v>
      </c>
      <c r="BY44" s="133" t="s">
        <v>28</v>
      </c>
      <c r="BZ44" s="133" t="s">
        <v>28</v>
      </c>
      <c r="CA44" s="133" t="s">
        <v>28</v>
      </c>
      <c r="CB44" s="133" t="s">
        <v>28</v>
      </c>
      <c r="CC44" s="14" t="s">
        <v>28</v>
      </c>
    </row>
    <row r="45" ht="25.05" customHeight="1" spans="1:81">
      <c r="A45" s="36">
        <v>1</v>
      </c>
      <c r="B45" s="37" t="s">
        <v>149</v>
      </c>
      <c r="C45" s="38" t="s">
        <v>150</v>
      </c>
      <c r="D45" s="14"/>
      <c r="E45" s="36" t="s">
        <v>151</v>
      </c>
      <c r="F45" s="36" t="s">
        <v>152</v>
      </c>
      <c r="G45" s="36">
        <v>20</v>
      </c>
      <c r="H45" s="40" t="s">
        <v>27</v>
      </c>
      <c r="I45" s="133">
        <v>4560</v>
      </c>
      <c r="J45" s="134">
        <v>0</v>
      </c>
      <c r="K45" s="36">
        <v>3000</v>
      </c>
      <c r="L45" s="130">
        <v>5260</v>
      </c>
      <c r="M45" s="36">
        <v>0</v>
      </c>
      <c r="N45" s="36">
        <v>0</v>
      </c>
      <c r="O45" s="36">
        <v>0</v>
      </c>
      <c r="P45" s="36">
        <v>0</v>
      </c>
      <c r="Q45" s="37">
        <v>2300</v>
      </c>
      <c r="R45" s="133"/>
      <c r="S45" s="133"/>
      <c r="T45" s="133" t="s">
        <v>28</v>
      </c>
      <c r="U45" s="133" t="s">
        <v>28</v>
      </c>
      <c r="V45" s="133" t="s">
        <v>28</v>
      </c>
      <c r="W45" s="133" t="s">
        <v>28</v>
      </c>
      <c r="X45" s="133" t="s">
        <v>28</v>
      </c>
      <c r="Y45" s="133">
        <v>700</v>
      </c>
      <c r="Z45" s="133" t="s">
        <v>28</v>
      </c>
      <c r="AA45" s="133" t="s">
        <v>28</v>
      </c>
      <c r="AB45" s="133" t="s">
        <v>28</v>
      </c>
      <c r="AC45" s="133" t="s">
        <v>28</v>
      </c>
      <c r="AD45" s="133">
        <v>2300</v>
      </c>
      <c r="AE45" s="133" t="s">
        <v>28</v>
      </c>
      <c r="AF45" s="133" t="s">
        <v>28</v>
      </c>
      <c r="AG45" s="133" t="s">
        <v>28</v>
      </c>
      <c r="AH45" s="133" t="s">
        <v>28</v>
      </c>
      <c r="AI45" s="133" t="s">
        <v>28</v>
      </c>
      <c r="AJ45" s="133" t="s">
        <v>28</v>
      </c>
      <c r="AK45" s="133" t="s">
        <v>28</v>
      </c>
      <c r="AL45" s="133" t="s">
        <v>28</v>
      </c>
      <c r="AM45" s="133" t="s">
        <v>28</v>
      </c>
      <c r="AN45" s="133" t="s">
        <v>28</v>
      </c>
      <c r="AO45" s="133" t="s">
        <v>28</v>
      </c>
      <c r="AP45" s="133" t="s">
        <v>28</v>
      </c>
      <c r="AQ45" s="133" t="s">
        <v>28</v>
      </c>
      <c r="AR45" s="133" t="s">
        <v>28</v>
      </c>
      <c r="AS45" s="133" t="s">
        <v>28</v>
      </c>
      <c r="AT45" s="133" t="s">
        <v>28</v>
      </c>
      <c r="AU45" s="133" t="s">
        <v>28</v>
      </c>
      <c r="AV45" s="133"/>
      <c r="AW45" s="133"/>
      <c r="AX45" s="133"/>
      <c r="AY45" s="133" t="s">
        <v>28</v>
      </c>
      <c r="AZ45" s="133" t="s">
        <v>28</v>
      </c>
      <c r="BA45" s="133">
        <v>1000</v>
      </c>
      <c r="BB45" s="133" t="s">
        <v>28</v>
      </c>
      <c r="BC45" s="133">
        <v>1500</v>
      </c>
      <c r="BD45" s="133" t="s">
        <v>28</v>
      </c>
      <c r="BE45" s="133" t="s">
        <v>28</v>
      </c>
      <c r="BF45" s="133" t="s">
        <v>28</v>
      </c>
      <c r="BG45" s="133">
        <v>2760</v>
      </c>
      <c r="BH45" s="133" t="s">
        <v>28</v>
      </c>
      <c r="BI45" s="133" t="s">
        <v>28</v>
      </c>
      <c r="BJ45" s="133" t="s">
        <v>28</v>
      </c>
      <c r="BK45" s="133" t="s">
        <v>28</v>
      </c>
      <c r="BL45" s="133" t="s">
        <v>28</v>
      </c>
      <c r="BM45" s="133" t="s">
        <v>28</v>
      </c>
      <c r="BN45" s="133" t="s">
        <v>28</v>
      </c>
      <c r="BO45" s="133" t="s">
        <v>28</v>
      </c>
      <c r="BP45" s="133" t="s">
        <v>28</v>
      </c>
      <c r="BQ45" s="133" t="s">
        <v>28</v>
      </c>
      <c r="BR45" s="133" t="s">
        <v>28</v>
      </c>
      <c r="BS45" s="133" t="s">
        <v>28</v>
      </c>
      <c r="BT45" s="133" t="s">
        <v>28</v>
      </c>
      <c r="BU45" s="133" t="s">
        <v>28</v>
      </c>
      <c r="BV45" s="133" t="s">
        <v>28</v>
      </c>
      <c r="BW45" s="133" t="s">
        <v>28</v>
      </c>
      <c r="BX45" s="133" t="s">
        <v>28</v>
      </c>
      <c r="BY45" s="133" t="s">
        <v>28</v>
      </c>
      <c r="BZ45" s="133" t="s">
        <v>28</v>
      </c>
      <c r="CA45" s="133" t="s">
        <v>28</v>
      </c>
      <c r="CB45" s="133" t="s">
        <v>28</v>
      </c>
      <c r="CC45" s="14" t="s">
        <v>28</v>
      </c>
    </row>
    <row r="46" ht="25.05" customHeight="1" spans="1:81">
      <c r="A46" s="36">
        <v>2</v>
      </c>
      <c r="B46" s="37" t="s">
        <v>149</v>
      </c>
      <c r="C46" s="38" t="s">
        <v>150</v>
      </c>
      <c r="D46" s="14"/>
      <c r="E46" s="36" t="s">
        <v>153</v>
      </c>
      <c r="F46" s="36" t="s">
        <v>154</v>
      </c>
      <c r="G46" s="36">
        <v>100</v>
      </c>
      <c r="H46" s="40" t="s">
        <v>27</v>
      </c>
      <c r="I46" s="133">
        <v>1500</v>
      </c>
      <c r="J46" s="134">
        <v>0</v>
      </c>
      <c r="K46" s="36">
        <v>3000</v>
      </c>
      <c r="L46" s="130">
        <v>4500</v>
      </c>
      <c r="M46" s="36">
        <v>0</v>
      </c>
      <c r="N46" s="36">
        <v>0</v>
      </c>
      <c r="O46" s="36">
        <v>0</v>
      </c>
      <c r="P46" s="36">
        <v>0</v>
      </c>
      <c r="Q46" s="37">
        <v>0</v>
      </c>
      <c r="R46" s="133"/>
      <c r="S46" s="133"/>
      <c r="T46" s="133" t="s">
        <v>28</v>
      </c>
      <c r="U46" s="133" t="s">
        <v>28</v>
      </c>
      <c r="V46" s="133" t="s">
        <v>28</v>
      </c>
      <c r="W46" s="133" t="s">
        <v>28</v>
      </c>
      <c r="X46" s="133" t="s">
        <v>28</v>
      </c>
      <c r="Y46" s="133">
        <v>1500</v>
      </c>
      <c r="Z46" s="133" t="s">
        <v>28</v>
      </c>
      <c r="AA46" s="133" t="s">
        <v>28</v>
      </c>
      <c r="AB46" s="133" t="s">
        <v>28</v>
      </c>
      <c r="AC46" s="133" t="s">
        <v>28</v>
      </c>
      <c r="AD46" s="133">
        <v>1500</v>
      </c>
      <c r="AE46" s="133" t="s">
        <v>28</v>
      </c>
      <c r="AF46" s="133" t="s">
        <v>28</v>
      </c>
      <c r="AG46" s="133" t="s">
        <v>28</v>
      </c>
      <c r="AH46" s="133" t="s">
        <v>28</v>
      </c>
      <c r="AI46" s="133" t="s">
        <v>28</v>
      </c>
      <c r="AJ46" s="133" t="s">
        <v>28</v>
      </c>
      <c r="AK46" s="133" t="s">
        <v>28</v>
      </c>
      <c r="AL46" s="133" t="s">
        <v>28</v>
      </c>
      <c r="AM46" s="133" t="s">
        <v>28</v>
      </c>
      <c r="AN46" s="133" t="s">
        <v>28</v>
      </c>
      <c r="AO46" s="133" t="s">
        <v>28</v>
      </c>
      <c r="AP46" s="133" t="s">
        <v>28</v>
      </c>
      <c r="AQ46" s="133" t="s">
        <v>28</v>
      </c>
      <c r="AR46" s="133" t="s">
        <v>28</v>
      </c>
      <c r="AS46" s="133" t="s">
        <v>28</v>
      </c>
      <c r="AT46" s="133" t="s">
        <v>28</v>
      </c>
      <c r="AU46" s="133" t="s">
        <v>28</v>
      </c>
      <c r="AV46" s="133"/>
      <c r="AW46" s="133"/>
      <c r="AX46" s="133"/>
      <c r="AY46" s="133" t="s">
        <v>28</v>
      </c>
      <c r="AZ46" s="133" t="s">
        <v>28</v>
      </c>
      <c r="BA46" s="133" t="s">
        <v>28</v>
      </c>
      <c r="BB46" s="133" t="s">
        <v>28</v>
      </c>
      <c r="BC46" s="133" t="s">
        <v>28</v>
      </c>
      <c r="BD46" s="133">
        <v>1500</v>
      </c>
      <c r="BE46" s="133" t="s">
        <v>28</v>
      </c>
      <c r="BF46" s="133">
        <v>1500</v>
      </c>
      <c r="BG46" s="133" t="s">
        <v>28</v>
      </c>
      <c r="BH46" s="133" t="s">
        <v>28</v>
      </c>
      <c r="BI46" s="133">
        <v>1500</v>
      </c>
      <c r="BJ46" s="133" t="s">
        <v>28</v>
      </c>
      <c r="BK46" s="133" t="s">
        <v>28</v>
      </c>
      <c r="BL46" s="133" t="s">
        <v>28</v>
      </c>
      <c r="BM46" s="133" t="s">
        <v>28</v>
      </c>
      <c r="BN46" s="133" t="s">
        <v>28</v>
      </c>
      <c r="BO46" s="133" t="s">
        <v>28</v>
      </c>
      <c r="BP46" s="133" t="s">
        <v>28</v>
      </c>
      <c r="BQ46" s="133" t="s">
        <v>28</v>
      </c>
      <c r="BR46" s="133" t="s">
        <v>28</v>
      </c>
      <c r="BS46" s="133" t="s">
        <v>28</v>
      </c>
      <c r="BT46" s="133" t="s">
        <v>28</v>
      </c>
      <c r="BU46" s="133" t="s">
        <v>28</v>
      </c>
      <c r="BV46" s="133" t="s">
        <v>28</v>
      </c>
      <c r="BW46" s="133" t="s">
        <v>28</v>
      </c>
      <c r="BX46" s="133" t="s">
        <v>28</v>
      </c>
      <c r="BY46" s="133" t="s">
        <v>28</v>
      </c>
      <c r="BZ46" s="133" t="s">
        <v>28</v>
      </c>
      <c r="CA46" s="133" t="s">
        <v>28</v>
      </c>
      <c r="CB46" s="133" t="s">
        <v>28</v>
      </c>
      <c r="CC46" s="14" t="s">
        <v>28</v>
      </c>
    </row>
    <row r="47" ht="25.05" customHeight="1" spans="1:81">
      <c r="A47" s="36">
        <v>3</v>
      </c>
      <c r="B47" s="37" t="s">
        <v>149</v>
      </c>
      <c r="C47" s="38" t="s">
        <v>150</v>
      </c>
      <c r="D47" s="14"/>
      <c r="E47" s="36" t="s">
        <v>155</v>
      </c>
      <c r="F47" s="36" t="s">
        <v>156</v>
      </c>
      <c r="G47" s="36">
        <v>100</v>
      </c>
      <c r="H47" s="40" t="s">
        <v>27</v>
      </c>
      <c r="I47" s="133">
        <v>1500</v>
      </c>
      <c r="J47" s="134">
        <v>0</v>
      </c>
      <c r="K47" s="36">
        <v>3000</v>
      </c>
      <c r="L47" s="130">
        <v>4500</v>
      </c>
      <c r="M47" s="36">
        <v>0</v>
      </c>
      <c r="N47" s="36">
        <v>0</v>
      </c>
      <c r="O47" s="36">
        <v>0</v>
      </c>
      <c r="P47" s="36">
        <v>0</v>
      </c>
      <c r="Q47" s="37">
        <v>0</v>
      </c>
      <c r="R47" s="133"/>
      <c r="S47" s="133"/>
      <c r="T47" s="133" t="s">
        <v>28</v>
      </c>
      <c r="U47" s="133" t="s">
        <v>28</v>
      </c>
      <c r="V47" s="133" t="s">
        <v>28</v>
      </c>
      <c r="W47" s="133" t="s">
        <v>28</v>
      </c>
      <c r="X47" s="133" t="s">
        <v>28</v>
      </c>
      <c r="Y47" s="133">
        <v>1500</v>
      </c>
      <c r="Z47" s="133" t="s">
        <v>28</v>
      </c>
      <c r="AA47" s="133" t="s">
        <v>28</v>
      </c>
      <c r="AB47" s="133" t="s">
        <v>28</v>
      </c>
      <c r="AC47" s="133" t="s">
        <v>28</v>
      </c>
      <c r="AD47" s="133">
        <v>1500</v>
      </c>
      <c r="AE47" s="133" t="s">
        <v>28</v>
      </c>
      <c r="AF47" s="133" t="s">
        <v>28</v>
      </c>
      <c r="AG47" s="133" t="s">
        <v>28</v>
      </c>
      <c r="AH47" s="133" t="s">
        <v>28</v>
      </c>
      <c r="AI47" s="133" t="s">
        <v>28</v>
      </c>
      <c r="AJ47" s="133" t="s">
        <v>28</v>
      </c>
      <c r="AK47" s="133" t="s">
        <v>28</v>
      </c>
      <c r="AL47" s="133" t="s">
        <v>28</v>
      </c>
      <c r="AM47" s="133" t="s">
        <v>28</v>
      </c>
      <c r="AN47" s="133" t="s">
        <v>28</v>
      </c>
      <c r="AO47" s="133" t="s">
        <v>28</v>
      </c>
      <c r="AP47" s="133" t="s">
        <v>28</v>
      </c>
      <c r="AQ47" s="133" t="s">
        <v>28</v>
      </c>
      <c r="AR47" s="133" t="s">
        <v>28</v>
      </c>
      <c r="AS47" s="133" t="s">
        <v>28</v>
      </c>
      <c r="AT47" s="133" t="s">
        <v>28</v>
      </c>
      <c r="AU47" s="133" t="s">
        <v>28</v>
      </c>
      <c r="AV47" s="133"/>
      <c r="AW47" s="133"/>
      <c r="AX47" s="133"/>
      <c r="AY47" s="133" t="s">
        <v>28</v>
      </c>
      <c r="AZ47" s="133" t="s">
        <v>28</v>
      </c>
      <c r="BA47" s="133" t="s">
        <v>28</v>
      </c>
      <c r="BB47" s="133" t="s">
        <v>28</v>
      </c>
      <c r="BC47" s="133" t="s">
        <v>28</v>
      </c>
      <c r="BD47" s="133" t="s">
        <v>28</v>
      </c>
      <c r="BE47" s="133" t="s">
        <v>28</v>
      </c>
      <c r="BF47" s="133">
        <v>1500</v>
      </c>
      <c r="BG47" s="133" t="s">
        <v>28</v>
      </c>
      <c r="BH47" s="133">
        <v>1500</v>
      </c>
      <c r="BI47" s="133">
        <v>1500</v>
      </c>
      <c r="BJ47" s="133" t="s">
        <v>28</v>
      </c>
      <c r="BK47" s="133" t="s">
        <v>28</v>
      </c>
      <c r="BL47" s="133" t="s">
        <v>28</v>
      </c>
      <c r="BM47" s="133" t="s">
        <v>28</v>
      </c>
      <c r="BN47" s="133" t="s">
        <v>28</v>
      </c>
      <c r="BO47" s="133" t="s">
        <v>28</v>
      </c>
      <c r="BP47" s="133" t="s">
        <v>28</v>
      </c>
      <c r="BQ47" s="133" t="s">
        <v>28</v>
      </c>
      <c r="BR47" s="133" t="s">
        <v>28</v>
      </c>
      <c r="BS47" s="133" t="s">
        <v>28</v>
      </c>
      <c r="BT47" s="133" t="s">
        <v>28</v>
      </c>
      <c r="BU47" s="133" t="s">
        <v>28</v>
      </c>
      <c r="BV47" s="133" t="s">
        <v>28</v>
      </c>
      <c r="BW47" s="133" t="s">
        <v>28</v>
      </c>
      <c r="BX47" s="133" t="s">
        <v>28</v>
      </c>
      <c r="BY47" s="133" t="s">
        <v>28</v>
      </c>
      <c r="BZ47" s="133" t="s">
        <v>28</v>
      </c>
      <c r="CA47" s="133" t="s">
        <v>28</v>
      </c>
      <c r="CB47" s="133" t="s">
        <v>28</v>
      </c>
      <c r="CC47" s="14" t="s">
        <v>28</v>
      </c>
    </row>
    <row r="48" ht="25.05" customHeight="1" spans="1:81">
      <c r="A48" s="36">
        <v>4</v>
      </c>
      <c r="B48" s="37" t="s">
        <v>149</v>
      </c>
      <c r="C48" s="38" t="s">
        <v>150</v>
      </c>
      <c r="D48" s="14"/>
      <c r="E48" s="36" t="s">
        <v>157</v>
      </c>
      <c r="F48" s="36" t="s">
        <v>158</v>
      </c>
      <c r="G48" s="36">
        <v>1500</v>
      </c>
      <c r="H48" s="40" t="s">
        <v>27</v>
      </c>
      <c r="I48" s="133">
        <v>0</v>
      </c>
      <c r="J48" s="134">
        <v>0</v>
      </c>
      <c r="K48" s="36">
        <v>4500</v>
      </c>
      <c r="L48" s="130">
        <v>4500</v>
      </c>
      <c r="M48" s="36">
        <v>0</v>
      </c>
      <c r="N48" s="36">
        <v>0</v>
      </c>
      <c r="O48" s="36">
        <v>0</v>
      </c>
      <c r="P48" s="36">
        <v>0</v>
      </c>
      <c r="Q48" s="37">
        <v>0</v>
      </c>
      <c r="R48" s="133"/>
      <c r="S48" s="133"/>
      <c r="T48" s="133" t="s">
        <v>28</v>
      </c>
      <c r="U48" s="133" t="s">
        <v>28</v>
      </c>
      <c r="V48" s="133" t="s">
        <v>28</v>
      </c>
      <c r="W48" s="133" t="s">
        <v>28</v>
      </c>
      <c r="X48" s="133" t="s">
        <v>28</v>
      </c>
      <c r="Y48" s="133">
        <v>3000</v>
      </c>
      <c r="Z48" s="133" t="s">
        <v>28</v>
      </c>
      <c r="AA48" s="133" t="s">
        <v>28</v>
      </c>
      <c r="AB48" s="133" t="s">
        <v>28</v>
      </c>
      <c r="AC48" s="133" t="s">
        <v>28</v>
      </c>
      <c r="AD48" s="133">
        <v>1500</v>
      </c>
      <c r="AE48" s="133" t="s">
        <v>28</v>
      </c>
      <c r="AF48" s="133" t="s">
        <v>28</v>
      </c>
      <c r="AG48" s="133" t="s">
        <v>28</v>
      </c>
      <c r="AH48" s="133" t="s">
        <v>28</v>
      </c>
      <c r="AI48" s="133" t="s">
        <v>28</v>
      </c>
      <c r="AJ48" s="133" t="s">
        <v>28</v>
      </c>
      <c r="AK48" s="133" t="s">
        <v>28</v>
      </c>
      <c r="AL48" s="133" t="s">
        <v>28</v>
      </c>
      <c r="AM48" s="133" t="s">
        <v>28</v>
      </c>
      <c r="AN48" s="133" t="s">
        <v>28</v>
      </c>
      <c r="AO48" s="133" t="s">
        <v>28</v>
      </c>
      <c r="AP48" s="133" t="s">
        <v>28</v>
      </c>
      <c r="AQ48" s="133" t="s">
        <v>28</v>
      </c>
      <c r="AR48" s="133" t="s">
        <v>28</v>
      </c>
      <c r="AS48" s="133" t="s">
        <v>28</v>
      </c>
      <c r="AT48" s="133" t="s">
        <v>28</v>
      </c>
      <c r="AU48" s="133" t="s">
        <v>28</v>
      </c>
      <c r="AV48" s="133"/>
      <c r="AW48" s="133"/>
      <c r="AX48" s="133"/>
      <c r="AY48" s="133" t="s">
        <v>28</v>
      </c>
      <c r="AZ48" s="133" t="s">
        <v>28</v>
      </c>
      <c r="BA48" s="133" t="s">
        <v>28</v>
      </c>
      <c r="BB48" s="133" t="s">
        <v>28</v>
      </c>
      <c r="BC48" s="133" t="s">
        <v>28</v>
      </c>
      <c r="BD48" s="133">
        <v>3000</v>
      </c>
      <c r="BE48" s="133" t="s">
        <v>28</v>
      </c>
      <c r="BF48" s="133" t="s">
        <v>28</v>
      </c>
      <c r="BG48" s="133" t="s">
        <v>28</v>
      </c>
      <c r="BH48" s="133" t="s">
        <v>28</v>
      </c>
      <c r="BI48" s="133">
        <v>1500</v>
      </c>
      <c r="BJ48" s="133" t="s">
        <v>28</v>
      </c>
      <c r="BK48" s="133" t="s">
        <v>28</v>
      </c>
      <c r="BL48" s="133" t="s">
        <v>28</v>
      </c>
      <c r="BM48" s="133" t="s">
        <v>28</v>
      </c>
      <c r="BN48" s="133" t="s">
        <v>28</v>
      </c>
      <c r="BO48" s="133" t="s">
        <v>28</v>
      </c>
      <c r="BP48" s="133" t="s">
        <v>28</v>
      </c>
      <c r="BQ48" s="133" t="s">
        <v>28</v>
      </c>
      <c r="BR48" s="133" t="s">
        <v>28</v>
      </c>
      <c r="BS48" s="133" t="s">
        <v>28</v>
      </c>
      <c r="BT48" s="133" t="s">
        <v>28</v>
      </c>
      <c r="BU48" s="133" t="s">
        <v>28</v>
      </c>
      <c r="BV48" s="133" t="s">
        <v>28</v>
      </c>
      <c r="BW48" s="133" t="s">
        <v>28</v>
      </c>
      <c r="BX48" s="133" t="s">
        <v>28</v>
      </c>
      <c r="BY48" s="133" t="s">
        <v>28</v>
      </c>
      <c r="BZ48" s="133" t="s">
        <v>28</v>
      </c>
      <c r="CA48" s="133" t="s">
        <v>28</v>
      </c>
      <c r="CB48" s="133" t="s">
        <v>28</v>
      </c>
      <c r="CC48" s="14" t="s">
        <v>28</v>
      </c>
    </row>
    <row r="49" ht="25.05" customHeight="1" spans="1:81">
      <c r="A49" s="36">
        <v>5</v>
      </c>
      <c r="B49" s="37" t="s">
        <v>149</v>
      </c>
      <c r="C49" s="38" t="s">
        <v>150</v>
      </c>
      <c r="D49" s="14"/>
      <c r="E49" s="36" t="s">
        <v>159</v>
      </c>
      <c r="F49" s="36" t="s">
        <v>160</v>
      </c>
      <c r="G49" s="36">
        <v>1500</v>
      </c>
      <c r="H49" s="40" t="s">
        <v>27</v>
      </c>
      <c r="I49" s="133">
        <v>4500</v>
      </c>
      <c r="J49" s="134">
        <v>0</v>
      </c>
      <c r="K49" s="36">
        <v>9000</v>
      </c>
      <c r="L49" s="130">
        <v>13500</v>
      </c>
      <c r="M49" s="36">
        <v>0</v>
      </c>
      <c r="N49" s="36">
        <v>0</v>
      </c>
      <c r="O49" s="36">
        <v>0</v>
      </c>
      <c r="P49" s="36">
        <v>0</v>
      </c>
      <c r="Q49" s="37">
        <v>0</v>
      </c>
      <c r="R49" s="133"/>
      <c r="S49" s="133"/>
      <c r="T49" s="133" t="s">
        <v>28</v>
      </c>
      <c r="U49" s="133" t="s">
        <v>28</v>
      </c>
      <c r="V49" s="133" t="s">
        <v>28</v>
      </c>
      <c r="W49" s="133" t="s">
        <v>28</v>
      </c>
      <c r="X49" s="133" t="s">
        <v>28</v>
      </c>
      <c r="Y49" s="133">
        <v>4500</v>
      </c>
      <c r="Z49" s="133" t="s">
        <v>28</v>
      </c>
      <c r="AA49" s="133" t="s">
        <v>28</v>
      </c>
      <c r="AB49" s="133" t="s">
        <v>28</v>
      </c>
      <c r="AC49" s="133" t="s">
        <v>28</v>
      </c>
      <c r="AD49" s="133">
        <v>4500</v>
      </c>
      <c r="AE49" s="133" t="s">
        <v>28</v>
      </c>
      <c r="AF49" s="133" t="s">
        <v>28</v>
      </c>
      <c r="AG49" s="133" t="s">
        <v>28</v>
      </c>
      <c r="AH49" s="133" t="s">
        <v>28</v>
      </c>
      <c r="AI49" s="133" t="s">
        <v>28</v>
      </c>
      <c r="AJ49" s="133" t="s">
        <v>28</v>
      </c>
      <c r="AK49" s="133" t="s">
        <v>28</v>
      </c>
      <c r="AL49" s="133" t="s">
        <v>28</v>
      </c>
      <c r="AM49" s="133" t="s">
        <v>28</v>
      </c>
      <c r="AN49" s="133" t="s">
        <v>28</v>
      </c>
      <c r="AO49" s="133" t="s">
        <v>28</v>
      </c>
      <c r="AP49" s="133" t="s">
        <v>28</v>
      </c>
      <c r="AQ49" s="133" t="s">
        <v>28</v>
      </c>
      <c r="AR49" s="133" t="s">
        <v>28</v>
      </c>
      <c r="AS49" s="133" t="s">
        <v>28</v>
      </c>
      <c r="AT49" s="133" t="s">
        <v>28</v>
      </c>
      <c r="AU49" s="133" t="s">
        <v>28</v>
      </c>
      <c r="AV49" s="133"/>
      <c r="AW49" s="133"/>
      <c r="AX49" s="133"/>
      <c r="AY49" s="133" t="s">
        <v>28</v>
      </c>
      <c r="AZ49" s="133">
        <v>4500</v>
      </c>
      <c r="BA49" s="133" t="s">
        <v>28</v>
      </c>
      <c r="BB49" s="133" t="s">
        <v>28</v>
      </c>
      <c r="BC49" s="133" t="s">
        <v>28</v>
      </c>
      <c r="BD49" s="133">
        <v>4500</v>
      </c>
      <c r="BE49" s="133" t="s">
        <v>28</v>
      </c>
      <c r="BF49" s="133" t="s">
        <v>28</v>
      </c>
      <c r="BG49" s="133" t="s">
        <v>28</v>
      </c>
      <c r="BH49" s="133" t="s">
        <v>28</v>
      </c>
      <c r="BI49" s="133">
        <v>4500</v>
      </c>
      <c r="BJ49" s="133" t="s">
        <v>28</v>
      </c>
      <c r="BK49" s="133" t="s">
        <v>28</v>
      </c>
      <c r="BL49" s="133" t="s">
        <v>28</v>
      </c>
      <c r="BM49" s="133" t="s">
        <v>28</v>
      </c>
      <c r="BN49" s="133" t="s">
        <v>28</v>
      </c>
      <c r="BO49" s="133" t="s">
        <v>28</v>
      </c>
      <c r="BP49" s="133" t="s">
        <v>28</v>
      </c>
      <c r="BQ49" s="133" t="s">
        <v>28</v>
      </c>
      <c r="BR49" s="133" t="s">
        <v>28</v>
      </c>
      <c r="BS49" s="133" t="s">
        <v>28</v>
      </c>
      <c r="BT49" s="133" t="s">
        <v>28</v>
      </c>
      <c r="BU49" s="133" t="s">
        <v>28</v>
      </c>
      <c r="BV49" s="133" t="s">
        <v>28</v>
      </c>
      <c r="BW49" s="133" t="s">
        <v>28</v>
      </c>
      <c r="BX49" s="133" t="s">
        <v>28</v>
      </c>
      <c r="BY49" s="133" t="s">
        <v>28</v>
      </c>
      <c r="BZ49" s="133" t="s">
        <v>28</v>
      </c>
      <c r="CA49" s="133" t="s">
        <v>28</v>
      </c>
      <c r="CB49" s="133" t="s">
        <v>28</v>
      </c>
      <c r="CC49" s="14" t="s">
        <v>28</v>
      </c>
    </row>
    <row r="50" ht="25.05" customHeight="1" spans="1:81">
      <c r="A50" s="36">
        <v>6</v>
      </c>
      <c r="B50" s="37" t="s">
        <v>149</v>
      </c>
      <c r="C50" s="38" t="s">
        <v>150</v>
      </c>
      <c r="D50" s="14"/>
      <c r="E50" s="36" t="s">
        <v>161</v>
      </c>
      <c r="F50" s="36" t="s">
        <v>162</v>
      </c>
      <c r="G50" s="36">
        <v>30</v>
      </c>
      <c r="H50" s="40" t="s">
        <v>27</v>
      </c>
      <c r="I50" s="133">
        <v>2520</v>
      </c>
      <c r="J50" s="134">
        <v>0</v>
      </c>
      <c r="K50" s="36">
        <v>1500</v>
      </c>
      <c r="L50" s="130">
        <v>4020</v>
      </c>
      <c r="M50" s="36">
        <v>0</v>
      </c>
      <c r="N50" s="36">
        <v>0</v>
      </c>
      <c r="O50" s="36">
        <v>0</v>
      </c>
      <c r="P50" s="36">
        <v>0</v>
      </c>
      <c r="Q50" s="37">
        <v>0</v>
      </c>
      <c r="R50" s="133"/>
      <c r="S50" s="133"/>
      <c r="T50" s="133" t="s">
        <v>28</v>
      </c>
      <c r="U50" s="133" t="s">
        <v>28</v>
      </c>
      <c r="V50" s="133" t="s">
        <v>28</v>
      </c>
      <c r="W50" s="133" t="s">
        <v>28</v>
      </c>
      <c r="X50" s="133" t="s">
        <v>28</v>
      </c>
      <c r="Y50" s="133">
        <v>1500</v>
      </c>
      <c r="Z50" s="133" t="s">
        <v>28</v>
      </c>
      <c r="AA50" s="133" t="s">
        <v>28</v>
      </c>
      <c r="AB50" s="133" t="s">
        <v>28</v>
      </c>
      <c r="AC50" s="133" t="s">
        <v>28</v>
      </c>
      <c r="AD50" s="133" t="s">
        <v>28</v>
      </c>
      <c r="AE50" s="133" t="s">
        <v>28</v>
      </c>
      <c r="AF50" s="133" t="s">
        <v>28</v>
      </c>
      <c r="AG50" s="133" t="s">
        <v>28</v>
      </c>
      <c r="AH50" s="133" t="s">
        <v>28</v>
      </c>
      <c r="AI50" s="133" t="s">
        <v>28</v>
      </c>
      <c r="AJ50" s="133" t="s">
        <v>28</v>
      </c>
      <c r="AK50" s="133" t="s">
        <v>28</v>
      </c>
      <c r="AL50" s="133" t="s">
        <v>28</v>
      </c>
      <c r="AM50" s="133" t="s">
        <v>28</v>
      </c>
      <c r="AN50" s="133" t="s">
        <v>28</v>
      </c>
      <c r="AO50" s="133" t="s">
        <v>28</v>
      </c>
      <c r="AP50" s="133" t="s">
        <v>28</v>
      </c>
      <c r="AQ50" s="133" t="s">
        <v>28</v>
      </c>
      <c r="AR50" s="133" t="s">
        <v>28</v>
      </c>
      <c r="AS50" s="133" t="s">
        <v>28</v>
      </c>
      <c r="AT50" s="133" t="s">
        <v>28</v>
      </c>
      <c r="AU50" s="133" t="s">
        <v>28</v>
      </c>
      <c r="AV50" s="133"/>
      <c r="AW50" s="133"/>
      <c r="AX50" s="133"/>
      <c r="AY50" s="133" t="s">
        <v>28</v>
      </c>
      <c r="AZ50" s="133" t="s">
        <v>28</v>
      </c>
      <c r="BA50" s="133" t="s">
        <v>28</v>
      </c>
      <c r="BB50" s="133" t="s">
        <v>28</v>
      </c>
      <c r="BC50" s="133">
        <v>2520</v>
      </c>
      <c r="BD50" s="133" t="s">
        <v>28</v>
      </c>
      <c r="BE50" s="133" t="s">
        <v>28</v>
      </c>
      <c r="BF50" s="133">
        <v>1500</v>
      </c>
      <c r="BG50" s="133" t="s">
        <v>28</v>
      </c>
      <c r="BH50" s="133" t="s">
        <v>28</v>
      </c>
      <c r="BI50" s="133" t="s">
        <v>28</v>
      </c>
      <c r="BJ50" s="133" t="s">
        <v>28</v>
      </c>
      <c r="BK50" s="133" t="s">
        <v>28</v>
      </c>
      <c r="BL50" s="133" t="s">
        <v>28</v>
      </c>
      <c r="BM50" s="133" t="s">
        <v>28</v>
      </c>
      <c r="BN50" s="133" t="s">
        <v>28</v>
      </c>
      <c r="BO50" s="133" t="s">
        <v>28</v>
      </c>
      <c r="BP50" s="133" t="s">
        <v>28</v>
      </c>
      <c r="BQ50" s="133" t="s">
        <v>28</v>
      </c>
      <c r="BR50" s="133" t="s">
        <v>28</v>
      </c>
      <c r="BS50" s="133" t="s">
        <v>28</v>
      </c>
      <c r="BT50" s="133" t="s">
        <v>28</v>
      </c>
      <c r="BU50" s="133" t="s">
        <v>28</v>
      </c>
      <c r="BV50" s="133" t="s">
        <v>28</v>
      </c>
      <c r="BW50" s="133" t="s">
        <v>28</v>
      </c>
      <c r="BX50" s="133" t="s">
        <v>28</v>
      </c>
      <c r="BY50" s="133" t="s">
        <v>28</v>
      </c>
      <c r="BZ50" s="133" t="s">
        <v>28</v>
      </c>
      <c r="CA50" s="133" t="s">
        <v>28</v>
      </c>
      <c r="CB50" s="133" t="s">
        <v>28</v>
      </c>
      <c r="CC50" s="14" t="s">
        <v>28</v>
      </c>
    </row>
    <row r="51" ht="25.05" customHeight="1" spans="1:81">
      <c r="A51" s="36">
        <v>7</v>
      </c>
      <c r="B51" s="37" t="s">
        <v>149</v>
      </c>
      <c r="C51" s="38" t="s">
        <v>150</v>
      </c>
      <c r="D51" s="14"/>
      <c r="E51" s="36" t="s">
        <v>163</v>
      </c>
      <c r="F51" s="36" t="s">
        <v>164</v>
      </c>
      <c r="G51" s="36">
        <v>50</v>
      </c>
      <c r="H51" s="40" t="s">
        <v>27</v>
      </c>
      <c r="I51" s="133">
        <v>1500</v>
      </c>
      <c r="J51" s="134">
        <v>0</v>
      </c>
      <c r="K51" s="36">
        <v>3000</v>
      </c>
      <c r="L51" s="130">
        <v>4500</v>
      </c>
      <c r="M51" s="36">
        <v>0</v>
      </c>
      <c r="N51" s="36">
        <v>0</v>
      </c>
      <c r="O51" s="36">
        <v>0</v>
      </c>
      <c r="P51" s="36">
        <v>0</v>
      </c>
      <c r="Q51" s="37">
        <v>0</v>
      </c>
      <c r="R51" s="133"/>
      <c r="S51" s="133"/>
      <c r="T51" s="133" t="s">
        <v>28</v>
      </c>
      <c r="U51" s="133" t="s">
        <v>28</v>
      </c>
      <c r="V51" s="133" t="s">
        <v>28</v>
      </c>
      <c r="W51" s="133" t="s">
        <v>28</v>
      </c>
      <c r="X51" s="133" t="s">
        <v>28</v>
      </c>
      <c r="Y51" s="133">
        <v>1500</v>
      </c>
      <c r="Z51" s="133" t="s">
        <v>28</v>
      </c>
      <c r="AA51" s="133" t="s">
        <v>28</v>
      </c>
      <c r="AB51" s="133" t="s">
        <v>28</v>
      </c>
      <c r="AC51" s="133" t="s">
        <v>28</v>
      </c>
      <c r="AD51" s="133">
        <v>1500</v>
      </c>
      <c r="AE51" s="133" t="s">
        <v>28</v>
      </c>
      <c r="AF51" s="133" t="s">
        <v>28</v>
      </c>
      <c r="AG51" s="133" t="s">
        <v>28</v>
      </c>
      <c r="AH51" s="133" t="s">
        <v>28</v>
      </c>
      <c r="AI51" s="133" t="s">
        <v>28</v>
      </c>
      <c r="AJ51" s="133" t="s">
        <v>28</v>
      </c>
      <c r="AK51" s="133" t="s">
        <v>28</v>
      </c>
      <c r="AL51" s="133" t="s">
        <v>28</v>
      </c>
      <c r="AM51" s="133" t="s">
        <v>28</v>
      </c>
      <c r="AN51" s="133" t="s">
        <v>28</v>
      </c>
      <c r="AO51" s="133" t="s">
        <v>28</v>
      </c>
      <c r="AP51" s="133" t="s">
        <v>28</v>
      </c>
      <c r="AQ51" s="133" t="s">
        <v>28</v>
      </c>
      <c r="AR51" s="133" t="s">
        <v>28</v>
      </c>
      <c r="AS51" s="133" t="s">
        <v>28</v>
      </c>
      <c r="AT51" s="133" t="s">
        <v>28</v>
      </c>
      <c r="AU51" s="133" t="s">
        <v>28</v>
      </c>
      <c r="AV51" s="133"/>
      <c r="AW51" s="133"/>
      <c r="AX51" s="133"/>
      <c r="AY51" s="133" t="s">
        <v>28</v>
      </c>
      <c r="AZ51" s="133" t="s">
        <v>28</v>
      </c>
      <c r="BA51" s="133" t="s">
        <v>28</v>
      </c>
      <c r="BB51" s="133" t="s">
        <v>28</v>
      </c>
      <c r="BC51" s="133">
        <v>1500</v>
      </c>
      <c r="BD51" s="133" t="s">
        <v>28</v>
      </c>
      <c r="BE51" s="133" t="s">
        <v>28</v>
      </c>
      <c r="BF51" s="133">
        <v>1500</v>
      </c>
      <c r="BG51" s="133" t="s">
        <v>28</v>
      </c>
      <c r="BH51" s="133" t="s">
        <v>28</v>
      </c>
      <c r="BI51" s="133">
        <v>1500</v>
      </c>
      <c r="BJ51" s="133" t="s">
        <v>28</v>
      </c>
      <c r="BK51" s="133" t="s">
        <v>28</v>
      </c>
      <c r="BL51" s="133" t="s">
        <v>28</v>
      </c>
      <c r="BM51" s="133" t="s">
        <v>28</v>
      </c>
      <c r="BN51" s="133" t="s">
        <v>28</v>
      </c>
      <c r="BO51" s="133" t="s">
        <v>28</v>
      </c>
      <c r="BP51" s="133" t="s">
        <v>28</v>
      </c>
      <c r="BQ51" s="133" t="s">
        <v>28</v>
      </c>
      <c r="BR51" s="133" t="s">
        <v>28</v>
      </c>
      <c r="BS51" s="133" t="s">
        <v>28</v>
      </c>
      <c r="BT51" s="133" t="s">
        <v>28</v>
      </c>
      <c r="BU51" s="133" t="s">
        <v>28</v>
      </c>
      <c r="BV51" s="133" t="s">
        <v>28</v>
      </c>
      <c r="BW51" s="133" t="s">
        <v>28</v>
      </c>
      <c r="BX51" s="133" t="s">
        <v>28</v>
      </c>
      <c r="BY51" s="133" t="s">
        <v>28</v>
      </c>
      <c r="BZ51" s="133" t="s">
        <v>28</v>
      </c>
      <c r="CA51" s="133" t="s">
        <v>28</v>
      </c>
      <c r="CB51" s="133" t="s">
        <v>28</v>
      </c>
      <c r="CC51" s="14" t="s">
        <v>28</v>
      </c>
    </row>
    <row r="52" ht="25.05" customHeight="1" spans="1:81">
      <c r="A52" s="36">
        <v>8</v>
      </c>
      <c r="B52" s="37" t="s">
        <v>149</v>
      </c>
      <c r="C52" s="38" t="s">
        <v>150</v>
      </c>
      <c r="D52" s="14"/>
      <c r="E52" s="36" t="s">
        <v>165</v>
      </c>
      <c r="F52" s="36" t="s">
        <v>166</v>
      </c>
      <c r="G52" s="36">
        <v>70</v>
      </c>
      <c r="H52" s="40" t="s">
        <v>27</v>
      </c>
      <c r="I52" s="133">
        <v>1190</v>
      </c>
      <c r="J52" s="134">
        <v>0</v>
      </c>
      <c r="K52" s="36">
        <v>1400</v>
      </c>
      <c r="L52" s="130">
        <v>0</v>
      </c>
      <c r="M52" s="36">
        <v>0</v>
      </c>
      <c r="N52" s="36">
        <v>0</v>
      </c>
      <c r="O52" s="36">
        <v>0</v>
      </c>
      <c r="P52" s="36">
        <v>0</v>
      </c>
      <c r="Q52" s="37">
        <v>2590</v>
      </c>
      <c r="R52" s="133"/>
      <c r="S52" s="133"/>
      <c r="T52" s="133" t="s">
        <v>28</v>
      </c>
      <c r="U52" s="133" t="s">
        <v>28</v>
      </c>
      <c r="V52" s="133" t="s">
        <v>28</v>
      </c>
      <c r="W52" s="133" t="s">
        <v>28</v>
      </c>
      <c r="X52" s="133" t="s">
        <v>28</v>
      </c>
      <c r="Y52" s="133">
        <v>1400</v>
      </c>
      <c r="Z52" s="133" t="s">
        <v>28</v>
      </c>
      <c r="AA52" s="133" t="s">
        <v>28</v>
      </c>
      <c r="AB52" s="133" t="s">
        <v>28</v>
      </c>
      <c r="AC52" s="133" t="s">
        <v>28</v>
      </c>
      <c r="AD52" s="133" t="s">
        <v>28</v>
      </c>
      <c r="AE52" s="133" t="s">
        <v>28</v>
      </c>
      <c r="AF52" s="133" t="s">
        <v>28</v>
      </c>
      <c r="AG52" s="133" t="s">
        <v>28</v>
      </c>
      <c r="AH52" s="133" t="s">
        <v>28</v>
      </c>
      <c r="AI52" s="133" t="s">
        <v>28</v>
      </c>
      <c r="AJ52" s="133" t="s">
        <v>28</v>
      </c>
      <c r="AK52" s="133" t="s">
        <v>28</v>
      </c>
      <c r="AL52" s="133" t="s">
        <v>28</v>
      </c>
      <c r="AM52" s="133" t="s">
        <v>28</v>
      </c>
      <c r="AN52" s="133" t="s">
        <v>28</v>
      </c>
      <c r="AO52" s="133" t="s">
        <v>28</v>
      </c>
      <c r="AP52" s="133" t="s">
        <v>28</v>
      </c>
      <c r="AQ52" s="133" t="s">
        <v>28</v>
      </c>
      <c r="AR52" s="133" t="s">
        <v>28</v>
      </c>
      <c r="AS52" s="133" t="s">
        <v>28</v>
      </c>
      <c r="AT52" s="133" t="s">
        <v>28</v>
      </c>
      <c r="AU52" s="133" t="s">
        <v>28</v>
      </c>
      <c r="AV52" s="133"/>
      <c r="AW52" s="133"/>
      <c r="AX52" s="133"/>
      <c r="AY52" s="133" t="s">
        <v>28</v>
      </c>
      <c r="AZ52" s="133" t="s">
        <v>28</v>
      </c>
      <c r="BA52" s="133" t="s">
        <v>28</v>
      </c>
      <c r="BB52" s="133" t="s">
        <v>28</v>
      </c>
      <c r="BC52" s="133" t="s">
        <v>28</v>
      </c>
      <c r="BD52" s="133" t="s">
        <v>28</v>
      </c>
      <c r="BE52" s="133" t="s">
        <v>28</v>
      </c>
      <c r="BF52" s="133" t="s">
        <v>28</v>
      </c>
      <c r="BG52" s="133" t="s">
        <v>28</v>
      </c>
      <c r="BH52" s="133" t="s">
        <v>28</v>
      </c>
      <c r="BI52" s="133" t="s">
        <v>28</v>
      </c>
      <c r="BJ52" s="133" t="s">
        <v>28</v>
      </c>
      <c r="BK52" s="133" t="s">
        <v>28</v>
      </c>
      <c r="BL52" s="133" t="s">
        <v>28</v>
      </c>
      <c r="BM52" s="133" t="s">
        <v>28</v>
      </c>
      <c r="BN52" s="133" t="s">
        <v>28</v>
      </c>
      <c r="BO52" s="133" t="s">
        <v>28</v>
      </c>
      <c r="BP52" s="133" t="s">
        <v>28</v>
      </c>
      <c r="BQ52" s="133" t="s">
        <v>28</v>
      </c>
      <c r="BR52" s="133" t="s">
        <v>28</v>
      </c>
      <c r="BS52" s="133" t="s">
        <v>28</v>
      </c>
      <c r="BT52" s="133" t="s">
        <v>28</v>
      </c>
      <c r="BU52" s="133" t="s">
        <v>28</v>
      </c>
      <c r="BV52" s="133" t="s">
        <v>28</v>
      </c>
      <c r="BW52" s="133" t="s">
        <v>28</v>
      </c>
      <c r="BX52" s="133" t="s">
        <v>28</v>
      </c>
      <c r="BY52" s="133" t="s">
        <v>28</v>
      </c>
      <c r="BZ52" s="133" t="s">
        <v>28</v>
      </c>
      <c r="CA52" s="133" t="s">
        <v>28</v>
      </c>
      <c r="CB52" s="133" t="s">
        <v>28</v>
      </c>
      <c r="CC52" s="14" t="s">
        <v>28</v>
      </c>
    </row>
    <row r="53" ht="25.05" customHeight="1" spans="1:81">
      <c r="A53" s="36">
        <v>9</v>
      </c>
      <c r="B53" s="37" t="s">
        <v>149</v>
      </c>
      <c r="C53" s="38" t="s">
        <v>150</v>
      </c>
      <c r="D53" s="14"/>
      <c r="E53" s="36" t="s">
        <v>167</v>
      </c>
      <c r="F53" s="36" t="s">
        <v>168</v>
      </c>
      <c r="G53" s="36">
        <v>15</v>
      </c>
      <c r="H53" s="40" t="s">
        <v>27</v>
      </c>
      <c r="I53" s="133">
        <v>0</v>
      </c>
      <c r="J53" s="134">
        <v>0</v>
      </c>
      <c r="K53" s="36">
        <v>0</v>
      </c>
      <c r="L53" s="130">
        <v>0</v>
      </c>
      <c r="M53" s="36">
        <v>0</v>
      </c>
      <c r="N53" s="36">
        <v>0</v>
      </c>
      <c r="O53" s="36">
        <v>0</v>
      </c>
      <c r="P53" s="36">
        <v>0</v>
      </c>
      <c r="Q53" s="37">
        <v>0</v>
      </c>
      <c r="R53" s="133"/>
      <c r="S53" s="133"/>
      <c r="T53" s="133" t="s">
        <v>28</v>
      </c>
      <c r="U53" s="133" t="s">
        <v>28</v>
      </c>
      <c r="V53" s="133" t="s">
        <v>28</v>
      </c>
      <c r="W53" s="133" t="s">
        <v>28</v>
      </c>
      <c r="X53" s="133" t="s">
        <v>28</v>
      </c>
      <c r="Y53" s="133" t="s">
        <v>28</v>
      </c>
      <c r="Z53" s="133" t="s">
        <v>28</v>
      </c>
      <c r="AA53" s="133" t="s">
        <v>28</v>
      </c>
      <c r="AB53" s="133" t="s">
        <v>28</v>
      </c>
      <c r="AC53" s="133" t="s">
        <v>28</v>
      </c>
      <c r="AD53" s="133" t="s">
        <v>28</v>
      </c>
      <c r="AE53" s="133" t="s">
        <v>28</v>
      </c>
      <c r="AF53" s="133" t="s">
        <v>28</v>
      </c>
      <c r="AG53" s="133" t="s">
        <v>28</v>
      </c>
      <c r="AH53" s="133" t="s">
        <v>28</v>
      </c>
      <c r="AI53" s="133" t="s">
        <v>28</v>
      </c>
      <c r="AJ53" s="133" t="s">
        <v>28</v>
      </c>
      <c r="AK53" s="133" t="s">
        <v>28</v>
      </c>
      <c r="AL53" s="133" t="s">
        <v>28</v>
      </c>
      <c r="AM53" s="133" t="s">
        <v>28</v>
      </c>
      <c r="AN53" s="133" t="s">
        <v>28</v>
      </c>
      <c r="AO53" s="133" t="s">
        <v>28</v>
      </c>
      <c r="AP53" s="133" t="s">
        <v>28</v>
      </c>
      <c r="AQ53" s="133" t="s">
        <v>28</v>
      </c>
      <c r="AR53" s="133" t="s">
        <v>28</v>
      </c>
      <c r="AS53" s="133" t="s">
        <v>28</v>
      </c>
      <c r="AT53" s="133" t="s">
        <v>28</v>
      </c>
      <c r="AU53" s="133" t="s">
        <v>28</v>
      </c>
      <c r="AV53" s="133"/>
      <c r="AW53" s="133"/>
      <c r="AX53" s="133"/>
      <c r="AY53" s="133" t="s">
        <v>28</v>
      </c>
      <c r="AZ53" s="133" t="s">
        <v>28</v>
      </c>
      <c r="BA53" s="133" t="s">
        <v>28</v>
      </c>
      <c r="BB53" s="133" t="s">
        <v>28</v>
      </c>
      <c r="BC53" s="133" t="s">
        <v>28</v>
      </c>
      <c r="BD53" s="133" t="s">
        <v>28</v>
      </c>
      <c r="BE53" s="133" t="s">
        <v>28</v>
      </c>
      <c r="BF53" s="133" t="s">
        <v>28</v>
      </c>
      <c r="BG53" s="133" t="s">
        <v>28</v>
      </c>
      <c r="BH53" s="133" t="s">
        <v>28</v>
      </c>
      <c r="BI53" s="133" t="s">
        <v>28</v>
      </c>
      <c r="BJ53" s="133" t="s">
        <v>28</v>
      </c>
      <c r="BK53" s="133" t="s">
        <v>28</v>
      </c>
      <c r="BL53" s="133" t="s">
        <v>28</v>
      </c>
      <c r="BM53" s="133" t="s">
        <v>28</v>
      </c>
      <c r="BN53" s="133" t="s">
        <v>28</v>
      </c>
      <c r="BO53" s="133" t="s">
        <v>28</v>
      </c>
      <c r="BP53" s="133" t="s">
        <v>28</v>
      </c>
      <c r="BQ53" s="133" t="s">
        <v>28</v>
      </c>
      <c r="BR53" s="133" t="s">
        <v>28</v>
      </c>
      <c r="BS53" s="133" t="s">
        <v>28</v>
      </c>
      <c r="BT53" s="133" t="s">
        <v>28</v>
      </c>
      <c r="BU53" s="133" t="s">
        <v>28</v>
      </c>
      <c r="BV53" s="133" t="s">
        <v>28</v>
      </c>
      <c r="BW53" s="133" t="s">
        <v>28</v>
      </c>
      <c r="BX53" s="133" t="s">
        <v>28</v>
      </c>
      <c r="BY53" s="133" t="s">
        <v>28</v>
      </c>
      <c r="BZ53" s="133" t="s">
        <v>28</v>
      </c>
      <c r="CA53" s="133" t="s">
        <v>28</v>
      </c>
      <c r="CB53" s="133" t="s">
        <v>28</v>
      </c>
      <c r="CC53" s="14" t="s">
        <v>28</v>
      </c>
    </row>
    <row r="54" ht="25.05" customHeight="1" spans="1:81">
      <c r="A54" s="36">
        <v>10</v>
      </c>
      <c r="B54" s="37" t="s">
        <v>149</v>
      </c>
      <c r="C54" s="38" t="s">
        <v>150</v>
      </c>
      <c r="D54" s="14"/>
      <c r="E54" s="36" t="s">
        <v>169</v>
      </c>
      <c r="F54" s="36" t="s">
        <v>170</v>
      </c>
      <c r="G54" s="36">
        <v>20</v>
      </c>
      <c r="H54" s="40" t="s">
        <v>27</v>
      </c>
      <c r="I54" s="133">
        <v>0</v>
      </c>
      <c r="J54" s="134">
        <v>0</v>
      </c>
      <c r="K54" s="36">
        <v>0</v>
      </c>
      <c r="L54" s="130">
        <v>0</v>
      </c>
      <c r="M54" s="36">
        <v>0</v>
      </c>
      <c r="N54" s="36">
        <v>0</v>
      </c>
      <c r="O54" s="36">
        <v>0</v>
      </c>
      <c r="P54" s="36">
        <v>0</v>
      </c>
      <c r="Q54" s="37">
        <v>0</v>
      </c>
      <c r="R54" s="133"/>
      <c r="S54" s="133"/>
      <c r="T54" s="133" t="s">
        <v>28</v>
      </c>
      <c r="U54" s="133" t="s">
        <v>28</v>
      </c>
      <c r="V54" s="133" t="s">
        <v>28</v>
      </c>
      <c r="W54" s="133" t="s">
        <v>28</v>
      </c>
      <c r="X54" s="133" t="s">
        <v>28</v>
      </c>
      <c r="Y54" s="133" t="s">
        <v>28</v>
      </c>
      <c r="Z54" s="133" t="s">
        <v>28</v>
      </c>
      <c r="AA54" s="133" t="s">
        <v>28</v>
      </c>
      <c r="AB54" s="133" t="s">
        <v>28</v>
      </c>
      <c r="AC54" s="133" t="s">
        <v>28</v>
      </c>
      <c r="AD54" s="133" t="s">
        <v>28</v>
      </c>
      <c r="AE54" s="133" t="s">
        <v>28</v>
      </c>
      <c r="AF54" s="133" t="s">
        <v>28</v>
      </c>
      <c r="AG54" s="133" t="s">
        <v>28</v>
      </c>
      <c r="AH54" s="133" t="s">
        <v>28</v>
      </c>
      <c r="AI54" s="133" t="s">
        <v>28</v>
      </c>
      <c r="AJ54" s="133" t="s">
        <v>28</v>
      </c>
      <c r="AK54" s="133" t="s">
        <v>28</v>
      </c>
      <c r="AL54" s="133" t="s">
        <v>28</v>
      </c>
      <c r="AM54" s="133" t="s">
        <v>28</v>
      </c>
      <c r="AN54" s="133" t="s">
        <v>28</v>
      </c>
      <c r="AO54" s="133" t="s">
        <v>28</v>
      </c>
      <c r="AP54" s="133" t="s">
        <v>28</v>
      </c>
      <c r="AQ54" s="133" t="s">
        <v>28</v>
      </c>
      <c r="AR54" s="133" t="s">
        <v>28</v>
      </c>
      <c r="AS54" s="133" t="s">
        <v>28</v>
      </c>
      <c r="AT54" s="133" t="s">
        <v>28</v>
      </c>
      <c r="AU54" s="133" t="s">
        <v>28</v>
      </c>
      <c r="AV54" s="133"/>
      <c r="AW54" s="133"/>
      <c r="AX54" s="133"/>
      <c r="AY54" s="133" t="s">
        <v>28</v>
      </c>
      <c r="AZ54" s="133" t="s">
        <v>28</v>
      </c>
      <c r="BA54" s="133" t="s">
        <v>28</v>
      </c>
      <c r="BB54" s="133" t="s">
        <v>28</v>
      </c>
      <c r="BC54" s="133" t="s">
        <v>28</v>
      </c>
      <c r="BD54" s="133" t="s">
        <v>28</v>
      </c>
      <c r="BE54" s="133" t="s">
        <v>28</v>
      </c>
      <c r="BF54" s="133" t="s">
        <v>28</v>
      </c>
      <c r="BG54" s="133" t="s">
        <v>28</v>
      </c>
      <c r="BH54" s="133" t="s">
        <v>28</v>
      </c>
      <c r="BI54" s="133" t="s">
        <v>28</v>
      </c>
      <c r="BJ54" s="133" t="s">
        <v>28</v>
      </c>
      <c r="BK54" s="133" t="s">
        <v>28</v>
      </c>
      <c r="BL54" s="133" t="s">
        <v>28</v>
      </c>
      <c r="BM54" s="133" t="s">
        <v>28</v>
      </c>
      <c r="BN54" s="133" t="s">
        <v>28</v>
      </c>
      <c r="BO54" s="133" t="s">
        <v>28</v>
      </c>
      <c r="BP54" s="133" t="s">
        <v>28</v>
      </c>
      <c r="BQ54" s="133" t="s">
        <v>28</v>
      </c>
      <c r="BR54" s="133" t="s">
        <v>28</v>
      </c>
      <c r="BS54" s="133" t="s">
        <v>28</v>
      </c>
      <c r="BT54" s="133" t="s">
        <v>28</v>
      </c>
      <c r="BU54" s="133" t="s">
        <v>28</v>
      </c>
      <c r="BV54" s="133" t="s">
        <v>28</v>
      </c>
      <c r="BW54" s="133" t="s">
        <v>28</v>
      </c>
      <c r="BX54" s="133" t="s">
        <v>28</v>
      </c>
      <c r="BY54" s="133" t="s">
        <v>28</v>
      </c>
      <c r="BZ54" s="133" t="s">
        <v>28</v>
      </c>
      <c r="CA54" s="133" t="s">
        <v>28</v>
      </c>
      <c r="CB54" s="133" t="s">
        <v>28</v>
      </c>
      <c r="CC54" s="14" t="s">
        <v>28</v>
      </c>
    </row>
    <row r="55" ht="25.05" customHeight="1" spans="1:81">
      <c r="A55" s="36">
        <v>11</v>
      </c>
      <c r="B55" s="37" t="s">
        <v>149</v>
      </c>
      <c r="C55" s="38" t="s">
        <v>150</v>
      </c>
      <c r="D55" s="14"/>
      <c r="E55" s="36" t="s">
        <v>171</v>
      </c>
      <c r="F55" s="36" t="s">
        <v>172</v>
      </c>
      <c r="G55" s="36">
        <v>50</v>
      </c>
      <c r="H55" s="40" t="s">
        <v>27</v>
      </c>
      <c r="I55" s="133">
        <v>0</v>
      </c>
      <c r="J55" s="134">
        <v>0</v>
      </c>
      <c r="K55" s="36">
        <v>0</v>
      </c>
      <c r="L55" s="130">
        <v>0</v>
      </c>
      <c r="M55" s="36">
        <v>0</v>
      </c>
      <c r="N55" s="36">
        <v>0</v>
      </c>
      <c r="O55" s="36">
        <v>0</v>
      </c>
      <c r="P55" s="36">
        <v>0</v>
      </c>
      <c r="Q55" s="37">
        <v>0</v>
      </c>
      <c r="R55" s="133"/>
      <c r="S55" s="133"/>
      <c r="T55" s="133" t="s">
        <v>28</v>
      </c>
      <c r="U55" s="133" t="s">
        <v>28</v>
      </c>
      <c r="V55" s="133" t="s">
        <v>28</v>
      </c>
      <c r="W55" s="133" t="s">
        <v>28</v>
      </c>
      <c r="X55" s="133" t="s">
        <v>28</v>
      </c>
      <c r="Y55" s="133" t="s">
        <v>28</v>
      </c>
      <c r="Z55" s="133" t="s">
        <v>28</v>
      </c>
      <c r="AA55" s="133" t="s">
        <v>28</v>
      </c>
      <c r="AB55" s="133" t="s">
        <v>28</v>
      </c>
      <c r="AC55" s="133" t="s">
        <v>28</v>
      </c>
      <c r="AD55" s="133" t="s">
        <v>28</v>
      </c>
      <c r="AE55" s="133" t="s">
        <v>28</v>
      </c>
      <c r="AF55" s="133" t="s">
        <v>28</v>
      </c>
      <c r="AG55" s="133" t="s">
        <v>28</v>
      </c>
      <c r="AH55" s="133" t="s">
        <v>28</v>
      </c>
      <c r="AI55" s="133" t="s">
        <v>28</v>
      </c>
      <c r="AJ55" s="133" t="s">
        <v>28</v>
      </c>
      <c r="AK55" s="133" t="s">
        <v>28</v>
      </c>
      <c r="AL55" s="133" t="s">
        <v>28</v>
      </c>
      <c r="AM55" s="133" t="s">
        <v>28</v>
      </c>
      <c r="AN55" s="133" t="s">
        <v>28</v>
      </c>
      <c r="AO55" s="133" t="s">
        <v>28</v>
      </c>
      <c r="AP55" s="133" t="s">
        <v>28</v>
      </c>
      <c r="AQ55" s="133" t="s">
        <v>28</v>
      </c>
      <c r="AR55" s="133" t="s">
        <v>28</v>
      </c>
      <c r="AS55" s="133" t="s">
        <v>28</v>
      </c>
      <c r="AT55" s="133" t="s">
        <v>28</v>
      </c>
      <c r="AU55" s="133" t="s">
        <v>28</v>
      </c>
      <c r="AV55" s="133"/>
      <c r="AW55" s="133"/>
      <c r="AX55" s="133"/>
      <c r="AY55" s="133" t="s">
        <v>28</v>
      </c>
      <c r="AZ55" s="133" t="s">
        <v>28</v>
      </c>
      <c r="BA55" s="133" t="s">
        <v>28</v>
      </c>
      <c r="BB55" s="133" t="s">
        <v>28</v>
      </c>
      <c r="BC55" s="133" t="s">
        <v>28</v>
      </c>
      <c r="BD55" s="133" t="s">
        <v>28</v>
      </c>
      <c r="BE55" s="133" t="s">
        <v>28</v>
      </c>
      <c r="BF55" s="133" t="s">
        <v>28</v>
      </c>
      <c r="BG55" s="133" t="s">
        <v>28</v>
      </c>
      <c r="BH55" s="133" t="s">
        <v>28</v>
      </c>
      <c r="BI55" s="133" t="s">
        <v>28</v>
      </c>
      <c r="BJ55" s="133" t="s">
        <v>28</v>
      </c>
      <c r="BK55" s="133" t="s">
        <v>28</v>
      </c>
      <c r="BL55" s="133" t="s">
        <v>28</v>
      </c>
      <c r="BM55" s="133" t="s">
        <v>28</v>
      </c>
      <c r="BN55" s="133" t="s">
        <v>28</v>
      </c>
      <c r="BO55" s="133" t="s">
        <v>28</v>
      </c>
      <c r="BP55" s="133" t="s">
        <v>28</v>
      </c>
      <c r="BQ55" s="133" t="s">
        <v>28</v>
      </c>
      <c r="BR55" s="133" t="s">
        <v>28</v>
      </c>
      <c r="BS55" s="133" t="s">
        <v>28</v>
      </c>
      <c r="BT55" s="133" t="s">
        <v>28</v>
      </c>
      <c r="BU55" s="133" t="s">
        <v>28</v>
      </c>
      <c r="BV55" s="133" t="s">
        <v>28</v>
      </c>
      <c r="BW55" s="133" t="s">
        <v>28</v>
      </c>
      <c r="BX55" s="133" t="s">
        <v>28</v>
      </c>
      <c r="BY55" s="133" t="s">
        <v>28</v>
      </c>
      <c r="BZ55" s="133" t="s">
        <v>28</v>
      </c>
      <c r="CA55" s="133" t="s">
        <v>28</v>
      </c>
      <c r="CB55" s="133" t="s">
        <v>28</v>
      </c>
      <c r="CC55" s="14" t="s">
        <v>28</v>
      </c>
    </row>
    <row r="56" ht="25.05" customHeight="1" spans="1:81">
      <c r="A56" s="36">
        <v>12</v>
      </c>
      <c r="B56" s="37" t="s">
        <v>149</v>
      </c>
      <c r="C56" s="38" t="s">
        <v>150</v>
      </c>
      <c r="D56" s="14"/>
      <c r="E56" s="36" t="s">
        <v>173</v>
      </c>
      <c r="F56" s="36" t="s">
        <v>174</v>
      </c>
      <c r="G56" s="36">
        <v>48</v>
      </c>
      <c r="H56" s="40" t="s">
        <v>27</v>
      </c>
      <c r="I56" s="133">
        <v>0</v>
      </c>
      <c r="J56" s="134">
        <v>0</v>
      </c>
      <c r="K56" s="36">
        <v>0</v>
      </c>
      <c r="L56" s="130">
        <v>0</v>
      </c>
      <c r="M56" s="36">
        <v>0</v>
      </c>
      <c r="N56" s="36">
        <v>0</v>
      </c>
      <c r="O56" s="36">
        <v>0</v>
      </c>
      <c r="P56" s="36">
        <v>0</v>
      </c>
      <c r="Q56" s="37">
        <v>0</v>
      </c>
      <c r="R56" s="133"/>
      <c r="S56" s="133"/>
      <c r="T56" s="133" t="s">
        <v>28</v>
      </c>
      <c r="U56" s="133" t="s">
        <v>28</v>
      </c>
      <c r="V56" s="133" t="s">
        <v>28</v>
      </c>
      <c r="W56" s="133" t="s">
        <v>28</v>
      </c>
      <c r="X56" s="133" t="s">
        <v>28</v>
      </c>
      <c r="Y56" s="133" t="s">
        <v>28</v>
      </c>
      <c r="Z56" s="133" t="s">
        <v>28</v>
      </c>
      <c r="AA56" s="133" t="s">
        <v>28</v>
      </c>
      <c r="AB56" s="133" t="s">
        <v>28</v>
      </c>
      <c r="AC56" s="133" t="s">
        <v>28</v>
      </c>
      <c r="AD56" s="133" t="s">
        <v>28</v>
      </c>
      <c r="AE56" s="133" t="s">
        <v>28</v>
      </c>
      <c r="AF56" s="133" t="s">
        <v>28</v>
      </c>
      <c r="AG56" s="133" t="s">
        <v>28</v>
      </c>
      <c r="AH56" s="133" t="s">
        <v>28</v>
      </c>
      <c r="AI56" s="133" t="s">
        <v>28</v>
      </c>
      <c r="AJ56" s="133" t="s">
        <v>28</v>
      </c>
      <c r="AK56" s="133" t="s">
        <v>28</v>
      </c>
      <c r="AL56" s="133" t="s">
        <v>28</v>
      </c>
      <c r="AM56" s="133" t="s">
        <v>28</v>
      </c>
      <c r="AN56" s="133" t="s">
        <v>28</v>
      </c>
      <c r="AO56" s="133" t="s">
        <v>28</v>
      </c>
      <c r="AP56" s="133" t="s">
        <v>28</v>
      </c>
      <c r="AQ56" s="133" t="s">
        <v>28</v>
      </c>
      <c r="AR56" s="133" t="s">
        <v>28</v>
      </c>
      <c r="AS56" s="133" t="s">
        <v>28</v>
      </c>
      <c r="AT56" s="133" t="s">
        <v>28</v>
      </c>
      <c r="AU56" s="133" t="s">
        <v>28</v>
      </c>
      <c r="AV56" s="133"/>
      <c r="AW56" s="133"/>
      <c r="AX56" s="133"/>
      <c r="AY56" s="133" t="s">
        <v>28</v>
      </c>
      <c r="AZ56" s="133" t="s">
        <v>28</v>
      </c>
      <c r="BA56" s="133" t="s">
        <v>28</v>
      </c>
      <c r="BB56" s="133" t="s">
        <v>28</v>
      </c>
      <c r="BC56" s="133" t="s">
        <v>28</v>
      </c>
      <c r="BD56" s="133" t="s">
        <v>28</v>
      </c>
      <c r="BE56" s="133" t="s">
        <v>28</v>
      </c>
      <c r="BF56" s="133" t="s">
        <v>28</v>
      </c>
      <c r="BG56" s="133" t="s">
        <v>28</v>
      </c>
      <c r="BH56" s="133" t="s">
        <v>28</v>
      </c>
      <c r="BI56" s="133" t="s">
        <v>28</v>
      </c>
      <c r="BJ56" s="133" t="s">
        <v>28</v>
      </c>
      <c r="BK56" s="133" t="s">
        <v>28</v>
      </c>
      <c r="BL56" s="133" t="s">
        <v>28</v>
      </c>
      <c r="BM56" s="133" t="s">
        <v>28</v>
      </c>
      <c r="BN56" s="133" t="s">
        <v>28</v>
      </c>
      <c r="BO56" s="133" t="s">
        <v>28</v>
      </c>
      <c r="BP56" s="133" t="s">
        <v>28</v>
      </c>
      <c r="BQ56" s="133" t="s">
        <v>28</v>
      </c>
      <c r="BR56" s="133" t="s">
        <v>28</v>
      </c>
      <c r="BS56" s="133" t="s">
        <v>28</v>
      </c>
      <c r="BT56" s="133" t="s">
        <v>28</v>
      </c>
      <c r="BU56" s="133" t="s">
        <v>28</v>
      </c>
      <c r="BV56" s="133" t="s">
        <v>28</v>
      </c>
      <c r="BW56" s="133" t="s">
        <v>28</v>
      </c>
      <c r="BX56" s="133" t="s">
        <v>28</v>
      </c>
      <c r="BY56" s="133" t="s">
        <v>28</v>
      </c>
      <c r="BZ56" s="133" t="s">
        <v>28</v>
      </c>
      <c r="CA56" s="133" t="s">
        <v>28</v>
      </c>
      <c r="CB56" s="133" t="s">
        <v>28</v>
      </c>
      <c r="CC56" s="14" t="s">
        <v>28</v>
      </c>
    </row>
    <row r="57" ht="25.05" customHeight="1" spans="1:81">
      <c r="A57" s="36">
        <v>13</v>
      </c>
      <c r="B57" s="37" t="s">
        <v>149</v>
      </c>
      <c r="C57" s="38" t="s">
        <v>150</v>
      </c>
      <c r="D57" s="14"/>
      <c r="E57" s="36" t="s">
        <v>175</v>
      </c>
      <c r="F57" s="36" t="s">
        <v>176</v>
      </c>
      <c r="G57" s="36">
        <v>70</v>
      </c>
      <c r="H57" s="40" t="s">
        <v>27</v>
      </c>
      <c r="I57" s="133">
        <v>0</v>
      </c>
      <c r="J57" s="134">
        <v>0</v>
      </c>
      <c r="K57" s="36">
        <v>0</v>
      </c>
      <c r="L57" s="130">
        <v>0</v>
      </c>
      <c r="M57" s="36">
        <v>0</v>
      </c>
      <c r="N57" s="36">
        <v>0</v>
      </c>
      <c r="O57" s="36">
        <v>0</v>
      </c>
      <c r="P57" s="36">
        <v>0</v>
      </c>
      <c r="Q57" s="37">
        <v>0</v>
      </c>
      <c r="R57" s="133"/>
      <c r="S57" s="133"/>
      <c r="T57" s="133" t="s">
        <v>28</v>
      </c>
      <c r="U57" s="133" t="s">
        <v>28</v>
      </c>
      <c r="V57" s="133" t="s">
        <v>28</v>
      </c>
      <c r="W57" s="133" t="s">
        <v>28</v>
      </c>
      <c r="X57" s="133" t="s">
        <v>28</v>
      </c>
      <c r="Y57" s="133" t="s">
        <v>28</v>
      </c>
      <c r="Z57" s="133" t="s">
        <v>28</v>
      </c>
      <c r="AA57" s="133" t="s">
        <v>28</v>
      </c>
      <c r="AB57" s="133" t="s">
        <v>28</v>
      </c>
      <c r="AC57" s="133" t="s">
        <v>28</v>
      </c>
      <c r="AD57" s="133" t="s">
        <v>28</v>
      </c>
      <c r="AE57" s="133" t="s">
        <v>28</v>
      </c>
      <c r="AF57" s="133" t="s">
        <v>28</v>
      </c>
      <c r="AG57" s="133" t="s">
        <v>28</v>
      </c>
      <c r="AH57" s="133" t="s">
        <v>28</v>
      </c>
      <c r="AI57" s="133" t="s">
        <v>28</v>
      </c>
      <c r="AJ57" s="133" t="s">
        <v>28</v>
      </c>
      <c r="AK57" s="133" t="s">
        <v>28</v>
      </c>
      <c r="AL57" s="133" t="s">
        <v>28</v>
      </c>
      <c r="AM57" s="133" t="s">
        <v>28</v>
      </c>
      <c r="AN57" s="133" t="s">
        <v>28</v>
      </c>
      <c r="AO57" s="133" t="s">
        <v>28</v>
      </c>
      <c r="AP57" s="133" t="s">
        <v>28</v>
      </c>
      <c r="AQ57" s="133" t="s">
        <v>28</v>
      </c>
      <c r="AR57" s="133" t="s">
        <v>28</v>
      </c>
      <c r="AS57" s="133" t="s">
        <v>28</v>
      </c>
      <c r="AT57" s="133" t="s">
        <v>28</v>
      </c>
      <c r="AU57" s="133" t="s">
        <v>28</v>
      </c>
      <c r="AV57" s="133"/>
      <c r="AW57" s="133"/>
      <c r="AX57" s="133"/>
      <c r="AY57" s="133" t="s">
        <v>28</v>
      </c>
      <c r="AZ57" s="133" t="s">
        <v>28</v>
      </c>
      <c r="BA57" s="133" t="s">
        <v>28</v>
      </c>
      <c r="BB57" s="133" t="s">
        <v>28</v>
      </c>
      <c r="BC57" s="133" t="s">
        <v>28</v>
      </c>
      <c r="BD57" s="133" t="s">
        <v>28</v>
      </c>
      <c r="BE57" s="133" t="s">
        <v>28</v>
      </c>
      <c r="BF57" s="133" t="s">
        <v>28</v>
      </c>
      <c r="BG57" s="133" t="s">
        <v>28</v>
      </c>
      <c r="BH57" s="133" t="s">
        <v>28</v>
      </c>
      <c r="BI57" s="133" t="s">
        <v>28</v>
      </c>
      <c r="BJ57" s="133" t="s">
        <v>28</v>
      </c>
      <c r="BK57" s="133" t="s">
        <v>28</v>
      </c>
      <c r="BL57" s="133" t="s">
        <v>28</v>
      </c>
      <c r="BM57" s="133" t="s">
        <v>28</v>
      </c>
      <c r="BN57" s="133" t="s">
        <v>28</v>
      </c>
      <c r="BO57" s="133" t="s">
        <v>28</v>
      </c>
      <c r="BP57" s="133" t="s">
        <v>28</v>
      </c>
      <c r="BQ57" s="133" t="s">
        <v>28</v>
      </c>
      <c r="BR57" s="133" t="s">
        <v>28</v>
      </c>
      <c r="BS57" s="133" t="s">
        <v>28</v>
      </c>
      <c r="BT57" s="133" t="s">
        <v>28</v>
      </c>
      <c r="BU57" s="133" t="s">
        <v>28</v>
      </c>
      <c r="BV57" s="133" t="s">
        <v>28</v>
      </c>
      <c r="BW57" s="133" t="s">
        <v>28</v>
      </c>
      <c r="BX57" s="133" t="s">
        <v>28</v>
      </c>
      <c r="BY57" s="133" t="s">
        <v>28</v>
      </c>
      <c r="BZ57" s="133" t="s">
        <v>28</v>
      </c>
      <c r="CA57" s="133" t="s">
        <v>28</v>
      </c>
      <c r="CB57" s="133" t="s">
        <v>28</v>
      </c>
      <c r="CC57" s="14" t="s">
        <v>28</v>
      </c>
    </row>
    <row r="58" ht="25.05" customHeight="1" spans="1:81">
      <c r="A58" s="36">
        <v>14</v>
      </c>
      <c r="B58" s="37" t="s">
        <v>149</v>
      </c>
      <c r="C58" s="38" t="s">
        <v>150</v>
      </c>
      <c r="D58" s="14"/>
      <c r="E58" s="36" t="s">
        <v>177</v>
      </c>
      <c r="F58" s="36" t="s">
        <v>178</v>
      </c>
      <c r="G58" s="36">
        <v>12</v>
      </c>
      <c r="H58" s="40" t="s">
        <v>127</v>
      </c>
      <c r="I58" s="133">
        <v>3996</v>
      </c>
      <c r="J58" s="134">
        <v>0</v>
      </c>
      <c r="K58" s="36">
        <v>6000</v>
      </c>
      <c r="L58" s="130">
        <v>9996</v>
      </c>
      <c r="M58" s="36">
        <v>0</v>
      </c>
      <c r="N58" s="36">
        <v>0</v>
      </c>
      <c r="O58" s="36">
        <v>0</v>
      </c>
      <c r="P58" s="36">
        <v>0</v>
      </c>
      <c r="Q58" s="37">
        <v>0</v>
      </c>
      <c r="R58" s="133"/>
      <c r="S58" s="133"/>
      <c r="T58" s="133" t="s">
        <v>28</v>
      </c>
      <c r="U58" s="133">
        <v>900</v>
      </c>
      <c r="V58" s="133" t="s">
        <v>28</v>
      </c>
      <c r="W58" s="133" t="s">
        <v>28</v>
      </c>
      <c r="X58" s="133">
        <v>600</v>
      </c>
      <c r="Y58" s="133">
        <v>600</v>
      </c>
      <c r="Z58" s="133" t="s">
        <v>28</v>
      </c>
      <c r="AA58" s="133">
        <v>3000</v>
      </c>
      <c r="AB58" s="133" t="s">
        <v>28</v>
      </c>
      <c r="AC58" s="133">
        <v>900</v>
      </c>
      <c r="AD58" s="133" t="s">
        <v>28</v>
      </c>
      <c r="AE58" s="133" t="s">
        <v>28</v>
      </c>
      <c r="AF58" s="133" t="s">
        <v>28</v>
      </c>
      <c r="AG58" s="133" t="s">
        <v>28</v>
      </c>
      <c r="AH58" s="133" t="s">
        <v>28</v>
      </c>
      <c r="AI58" s="133" t="s">
        <v>28</v>
      </c>
      <c r="AJ58" s="133" t="s">
        <v>28</v>
      </c>
      <c r="AK58" s="133" t="s">
        <v>28</v>
      </c>
      <c r="AL58" s="133" t="s">
        <v>28</v>
      </c>
      <c r="AM58" s="133" t="s">
        <v>28</v>
      </c>
      <c r="AN58" s="133" t="s">
        <v>28</v>
      </c>
      <c r="AO58" s="133" t="s">
        <v>28</v>
      </c>
      <c r="AP58" s="133" t="s">
        <v>28</v>
      </c>
      <c r="AQ58" s="133" t="s">
        <v>28</v>
      </c>
      <c r="AR58" s="133" t="s">
        <v>28</v>
      </c>
      <c r="AS58" s="133" t="s">
        <v>28</v>
      </c>
      <c r="AT58" s="133" t="s">
        <v>28</v>
      </c>
      <c r="AU58" s="133" t="s">
        <v>28</v>
      </c>
      <c r="AV58" s="133"/>
      <c r="AW58" s="133"/>
      <c r="AX58" s="133"/>
      <c r="AY58" s="133" t="s">
        <v>28</v>
      </c>
      <c r="AZ58" s="133" t="s">
        <v>28</v>
      </c>
      <c r="BA58" s="133" t="s">
        <v>28</v>
      </c>
      <c r="BB58" s="133">
        <v>2076</v>
      </c>
      <c r="BC58" s="133">
        <v>1200</v>
      </c>
      <c r="BD58" s="133" t="s">
        <v>28</v>
      </c>
      <c r="BE58" s="133">
        <v>2040</v>
      </c>
      <c r="BF58" s="133">
        <v>2040</v>
      </c>
      <c r="BG58" s="133">
        <v>900</v>
      </c>
      <c r="BH58" s="133" t="s">
        <v>28</v>
      </c>
      <c r="BI58" s="133">
        <v>1740</v>
      </c>
      <c r="BJ58" s="133" t="s">
        <v>28</v>
      </c>
      <c r="BK58" s="133" t="s">
        <v>28</v>
      </c>
      <c r="BL58" s="133" t="s">
        <v>28</v>
      </c>
      <c r="BM58" s="133" t="s">
        <v>28</v>
      </c>
      <c r="BN58" s="133" t="s">
        <v>28</v>
      </c>
      <c r="BO58" s="133" t="s">
        <v>28</v>
      </c>
      <c r="BP58" s="133" t="s">
        <v>28</v>
      </c>
      <c r="BQ58" s="133" t="s">
        <v>28</v>
      </c>
      <c r="BR58" s="133" t="s">
        <v>28</v>
      </c>
      <c r="BS58" s="133" t="s">
        <v>28</v>
      </c>
      <c r="BT58" s="133" t="s">
        <v>28</v>
      </c>
      <c r="BU58" s="133" t="s">
        <v>28</v>
      </c>
      <c r="BV58" s="133" t="s">
        <v>28</v>
      </c>
      <c r="BW58" s="133" t="s">
        <v>28</v>
      </c>
      <c r="BX58" s="133" t="s">
        <v>28</v>
      </c>
      <c r="BY58" s="133" t="s">
        <v>28</v>
      </c>
      <c r="BZ58" s="133" t="s">
        <v>28</v>
      </c>
      <c r="CA58" s="133" t="s">
        <v>28</v>
      </c>
      <c r="CB58" s="133" t="s">
        <v>28</v>
      </c>
      <c r="CC58" s="14" t="s">
        <v>28</v>
      </c>
    </row>
    <row r="59" ht="25.05" customHeight="1" spans="1:81">
      <c r="A59" s="36">
        <v>15</v>
      </c>
      <c r="B59" s="37" t="s">
        <v>149</v>
      </c>
      <c r="C59" s="38" t="s">
        <v>150</v>
      </c>
      <c r="D59" s="14"/>
      <c r="E59" s="36" t="s">
        <v>179</v>
      </c>
      <c r="F59" s="36" t="s">
        <v>180</v>
      </c>
      <c r="G59" s="36">
        <v>100</v>
      </c>
      <c r="H59" s="40" t="s">
        <v>27</v>
      </c>
      <c r="I59" s="133">
        <v>100</v>
      </c>
      <c r="J59" s="134">
        <v>0</v>
      </c>
      <c r="K59" s="36">
        <v>400</v>
      </c>
      <c r="L59" s="130">
        <v>500</v>
      </c>
      <c r="M59" s="36">
        <v>0</v>
      </c>
      <c r="N59" s="36">
        <v>0</v>
      </c>
      <c r="O59" s="36">
        <v>0</v>
      </c>
      <c r="P59" s="36">
        <v>0</v>
      </c>
      <c r="Q59" s="37">
        <v>0</v>
      </c>
      <c r="R59" s="133"/>
      <c r="S59" s="133"/>
      <c r="T59" s="133" t="s">
        <v>28</v>
      </c>
      <c r="U59" s="133" t="s">
        <v>28</v>
      </c>
      <c r="V59" s="133" t="s">
        <v>28</v>
      </c>
      <c r="W59" s="133" t="s">
        <v>28</v>
      </c>
      <c r="X59" s="133" t="s">
        <v>28</v>
      </c>
      <c r="Y59" s="133">
        <v>400</v>
      </c>
      <c r="Z59" s="133" t="s">
        <v>28</v>
      </c>
      <c r="AA59" s="133" t="s">
        <v>28</v>
      </c>
      <c r="AB59" s="133" t="s">
        <v>28</v>
      </c>
      <c r="AC59" s="133" t="s">
        <v>28</v>
      </c>
      <c r="AD59" s="133" t="s">
        <v>28</v>
      </c>
      <c r="AE59" s="133" t="s">
        <v>28</v>
      </c>
      <c r="AF59" s="133" t="s">
        <v>28</v>
      </c>
      <c r="AG59" s="133" t="s">
        <v>28</v>
      </c>
      <c r="AH59" s="133" t="s">
        <v>28</v>
      </c>
      <c r="AI59" s="133" t="s">
        <v>28</v>
      </c>
      <c r="AJ59" s="133" t="s">
        <v>28</v>
      </c>
      <c r="AK59" s="133" t="s">
        <v>28</v>
      </c>
      <c r="AL59" s="133" t="s">
        <v>28</v>
      </c>
      <c r="AM59" s="133" t="s">
        <v>28</v>
      </c>
      <c r="AN59" s="133" t="s">
        <v>28</v>
      </c>
      <c r="AO59" s="133" t="s">
        <v>28</v>
      </c>
      <c r="AP59" s="133" t="s">
        <v>28</v>
      </c>
      <c r="AQ59" s="133" t="s">
        <v>28</v>
      </c>
      <c r="AR59" s="133" t="s">
        <v>28</v>
      </c>
      <c r="AS59" s="133" t="s">
        <v>28</v>
      </c>
      <c r="AT59" s="133" t="s">
        <v>28</v>
      </c>
      <c r="AU59" s="133" t="s">
        <v>28</v>
      </c>
      <c r="AV59" s="133"/>
      <c r="AW59" s="133"/>
      <c r="AX59" s="133"/>
      <c r="AY59" s="133" t="s">
        <v>28</v>
      </c>
      <c r="AZ59" s="133" t="s">
        <v>28</v>
      </c>
      <c r="BA59" s="133" t="s">
        <v>28</v>
      </c>
      <c r="BB59" s="133" t="s">
        <v>28</v>
      </c>
      <c r="BC59" s="133" t="s">
        <v>28</v>
      </c>
      <c r="BD59" s="133">
        <v>400</v>
      </c>
      <c r="BE59" s="133" t="s">
        <v>28</v>
      </c>
      <c r="BF59" s="133">
        <v>100</v>
      </c>
      <c r="BG59" s="133" t="s">
        <v>28</v>
      </c>
      <c r="BH59" s="133" t="s">
        <v>28</v>
      </c>
      <c r="BI59" s="133" t="s">
        <v>28</v>
      </c>
      <c r="BJ59" s="133" t="s">
        <v>28</v>
      </c>
      <c r="BK59" s="133" t="s">
        <v>28</v>
      </c>
      <c r="BL59" s="133" t="s">
        <v>28</v>
      </c>
      <c r="BM59" s="133" t="s">
        <v>28</v>
      </c>
      <c r="BN59" s="133" t="s">
        <v>28</v>
      </c>
      <c r="BO59" s="133" t="s">
        <v>28</v>
      </c>
      <c r="BP59" s="133" t="s">
        <v>28</v>
      </c>
      <c r="BQ59" s="133" t="s">
        <v>28</v>
      </c>
      <c r="BR59" s="133" t="s">
        <v>28</v>
      </c>
      <c r="BS59" s="133" t="s">
        <v>28</v>
      </c>
      <c r="BT59" s="133" t="s">
        <v>28</v>
      </c>
      <c r="BU59" s="133" t="s">
        <v>28</v>
      </c>
      <c r="BV59" s="133" t="s">
        <v>28</v>
      </c>
      <c r="BW59" s="133" t="s">
        <v>28</v>
      </c>
      <c r="BX59" s="133" t="s">
        <v>28</v>
      </c>
      <c r="BY59" s="133" t="s">
        <v>28</v>
      </c>
      <c r="BZ59" s="133" t="s">
        <v>28</v>
      </c>
      <c r="CA59" s="133" t="s">
        <v>28</v>
      </c>
      <c r="CB59" s="133" t="s">
        <v>28</v>
      </c>
      <c r="CC59" s="14" t="s">
        <v>28</v>
      </c>
    </row>
    <row r="60" ht="25.05" customHeight="1" spans="1:81">
      <c r="A60" s="36">
        <v>16</v>
      </c>
      <c r="B60" s="37" t="s">
        <v>149</v>
      </c>
      <c r="C60" s="38" t="s">
        <v>150</v>
      </c>
      <c r="D60" s="14"/>
      <c r="E60" s="36" t="s">
        <v>181</v>
      </c>
      <c r="F60" s="36" t="s">
        <v>182</v>
      </c>
      <c r="G60" s="36">
        <v>40</v>
      </c>
      <c r="H60" s="40" t="s">
        <v>27</v>
      </c>
      <c r="I60" s="133">
        <v>40</v>
      </c>
      <c r="J60" s="134">
        <v>0</v>
      </c>
      <c r="K60" s="36">
        <v>400</v>
      </c>
      <c r="L60" s="130">
        <v>440</v>
      </c>
      <c r="M60" s="36">
        <v>0</v>
      </c>
      <c r="N60" s="36">
        <v>0</v>
      </c>
      <c r="O60" s="36">
        <v>0</v>
      </c>
      <c r="P60" s="36">
        <v>0</v>
      </c>
      <c r="Q60" s="37">
        <v>0</v>
      </c>
      <c r="R60" s="133"/>
      <c r="S60" s="133"/>
      <c r="T60" s="133" t="s">
        <v>28</v>
      </c>
      <c r="U60" s="133" t="s">
        <v>28</v>
      </c>
      <c r="V60" s="133" t="s">
        <v>28</v>
      </c>
      <c r="W60" s="133" t="s">
        <v>28</v>
      </c>
      <c r="X60" s="133" t="s">
        <v>28</v>
      </c>
      <c r="Y60" s="133">
        <v>400</v>
      </c>
      <c r="Z60" s="133" t="s">
        <v>28</v>
      </c>
      <c r="AA60" s="133" t="s">
        <v>28</v>
      </c>
      <c r="AB60" s="133" t="s">
        <v>28</v>
      </c>
      <c r="AC60" s="133" t="s">
        <v>28</v>
      </c>
      <c r="AD60" s="133" t="s">
        <v>28</v>
      </c>
      <c r="AE60" s="133" t="s">
        <v>28</v>
      </c>
      <c r="AF60" s="133" t="s">
        <v>28</v>
      </c>
      <c r="AG60" s="133" t="s">
        <v>28</v>
      </c>
      <c r="AH60" s="133" t="s">
        <v>28</v>
      </c>
      <c r="AI60" s="133" t="s">
        <v>28</v>
      </c>
      <c r="AJ60" s="133" t="s">
        <v>28</v>
      </c>
      <c r="AK60" s="133" t="s">
        <v>28</v>
      </c>
      <c r="AL60" s="133" t="s">
        <v>28</v>
      </c>
      <c r="AM60" s="133" t="s">
        <v>28</v>
      </c>
      <c r="AN60" s="133" t="s">
        <v>28</v>
      </c>
      <c r="AO60" s="133" t="s">
        <v>28</v>
      </c>
      <c r="AP60" s="133" t="s">
        <v>28</v>
      </c>
      <c r="AQ60" s="133" t="s">
        <v>28</v>
      </c>
      <c r="AR60" s="133" t="s">
        <v>28</v>
      </c>
      <c r="AS60" s="133" t="s">
        <v>28</v>
      </c>
      <c r="AT60" s="133" t="s">
        <v>28</v>
      </c>
      <c r="AU60" s="133" t="s">
        <v>28</v>
      </c>
      <c r="AV60" s="133"/>
      <c r="AW60" s="133"/>
      <c r="AX60" s="133"/>
      <c r="AY60" s="133" t="s">
        <v>28</v>
      </c>
      <c r="AZ60" s="133" t="s">
        <v>28</v>
      </c>
      <c r="BA60" s="133" t="s">
        <v>28</v>
      </c>
      <c r="BB60" s="133" t="s">
        <v>28</v>
      </c>
      <c r="BC60" s="133" t="s">
        <v>28</v>
      </c>
      <c r="BD60" s="133">
        <v>400</v>
      </c>
      <c r="BE60" s="133" t="s">
        <v>28</v>
      </c>
      <c r="BF60" s="133">
        <v>40</v>
      </c>
      <c r="BG60" s="133" t="s">
        <v>28</v>
      </c>
      <c r="BH60" s="133" t="s">
        <v>28</v>
      </c>
      <c r="BI60" s="133" t="s">
        <v>28</v>
      </c>
      <c r="BJ60" s="133" t="s">
        <v>28</v>
      </c>
      <c r="BK60" s="133" t="s">
        <v>28</v>
      </c>
      <c r="BL60" s="133" t="s">
        <v>28</v>
      </c>
      <c r="BM60" s="133" t="s">
        <v>28</v>
      </c>
      <c r="BN60" s="133" t="s">
        <v>28</v>
      </c>
      <c r="BO60" s="133" t="s">
        <v>28</v>
      </c>
      <c r="BP60" s="133" t="s">
        <v>28</v>
      </c>
      <c r="BQ60" s="133" t="s">
        <v>28</v>
      </c>
      <c r="BR60" s="133" t="s">
        <v>28</v>
      </c>
      <c r="BS60" s="133" t="s">
        <v>28</v>
      </c>
      <c r="BT60" s="133" t="s">
        <v>28</v>
      </c>
      <c r="BU60" s="133" t="s">
        <v>28</v>
      </c>
      <c r="BV60" s="133" t="s">
        <v>28</v>
      </c>
      <c r="BW60" s="133" t="s">
        <v>28</v>
      </c>
      <c r="BX60" s="133" t="s">
        <v>28</v>
      </c>
      <c r="BY60" s="133" t="s">
        <v>28</v>
      </c>
      <c r="BZ60" s="133" t="s">
        <v>28</v>
      </c>
      <c r="CA60" s="133" t="s">
        <v>28</v>
      </c>
      <c r="CB60" s="133" t="s">
        <v>28</v>
      </c>
      <c r="CC60" s="14" t="s">
        <v>28</v>
      </c>
    </row>
    <row r="61" ht="25.05" customHeight="1" spans="1:81">
      <c r="A61" s="36">
        <v>17</v>
      </c>
      <c r="B61" s="37" t="s">
        <v>149</v>
      </c>
      <c r="C61" s="38" t="s">
        <v>150</v>
      </c>
      <c r="D61" s="14"/>
      <c r="E61" s="36" t="s">
        <v>183</v>
      </c>
      <c r="F61" s="36" t="s">
        <v>184</v>
      </c>
      <c r="G61" s="36">
        <v>100</v>
      </c>
      <c r="H61" s="40" t="s">
        <v>27</v>
      </c>
      <c r="I61" s="133">
        <v>100</v>
      </c>
      <c r="J61" s="134">
        <v>0</v>
      </c>
      <c r="K61" s="36">
        <v>0</v>
      </c>
      <c r="L61" s="130">
        <v>0</v>
      </c>
      <c r="M61" s="36">
        <v>0</v>
      </c>
      <c r="N61" s="36">
        <v>0</v>
      </c>
      <c r="O61" s="36">
        <v>0</v>
      </c>
      <c r="P61" s="36">
        <v>0</v>
      </c>
      <c r="Q61" s="37">
        <v>100</v>
      </c>
      <c r="R61" s="133"/>
      <c r="S61" s="133"/>
      <c r="T61" s="133" t="s">
        <v>28</v>
      </c>
      <c r="U61" s="133" t="s">
        <v>28</v>
      </c>
      <c r="V61" s="133" t="s">
        <v>28</v>
      </c>
      <c r="W61" s="133" t="s">
        <v>28</v>
      </c>
      <c r="X61" s="133" t="s">
        <v>28</v>
      </c>
      <c r="Y61" s="133" t="s">
        <v>28</v>
      </c>
      <c r="Z61" s="133" t="s">
        <v>28</v>
      </c>
      <c r="AA61" s="133" t="s">
        <v>28</v>
      </c>
      <c r="AB61" s="133" t="s">
        <v>28</v>
      </c>
      <c r="AC61" s="133" t="s">
        <v>28</v>
      </c>
      <c r="AD61" s="133" t="s">
        <v>28</v>
      </c>
      <c r="AE61" s="133" t="s">
        <v>28</v>
      </c>
      <c r="AF61" s="133" t="s">
        <v>28</v>
      </c>
      <c r="AG61" s="133" t="s">
        <v>28</v>
      </c>
      <c r="AH61" s="133" t="s">
        <v>28</v>
      </c>
      <c r="AI61" s="133" t="s">
        <v>28</v>
      </c>
      <c r="AJ61" s="133" t="s">
        <v>28</v>
      </c>
      <c r="AK61" s="133" t="s">
        <v>28</v>
      </c>
      <c r="AL61" s="133" t="s">
        <v>28</v>
      </c>
      <c r="AM61" s="133" t="s">
        <v>28</v>
      </c>
      <c r="AN61" s="133" t="s">
        <v>28</v>
      </c>
      <c r="AO61" s="133" t="s">
        <v>28</v>
      </c>
      <c r="AP61" s="133" t="s">
        <v>28</v>
      </c>
      <c r="AQ61" s="133" t="s">
        <v>28</v>
      </c>
      <c r="AR61" s="133" t="s">
        <v>28</v>
      </c>
      <c r="AS61" s="133" t="s">
        <v>28</v>
      </c>
      <c r="AT61" s="133" t="s">
        <v>28</v>
      </c>
      <c r="AU61" s="133" t="s">
        <v>28</v>
      </c>
      <c r="AV61" s="133"/>
      <c r="AW61" s="133"/>
      <c r="AX61" s="133"/>
      <c r="AY61" s="133" t="s">
        <v>28</v>
      </c>
      <c r="AZ61" s="133" t="s">
        <v>28</v>
      </c>
      <c r="BA61" s="133" t="s">
        <v>28</v>
      </c>
      <c r="BB61" s="133" t="s">
        <v>28</v>
      </c>
      <c r="BC61" s="133" t="s">
        <v>28</v>
      </c>
      <c r="BD61" s="133" t="s">
        <v>28</v>
      </c>
      <c r="BE61" s="133" t="s">
        <v>28</v>
      </c>
      <c r="BF61" s="133" t="s">
        <v>28</v>
      </c>
      <c r="BG61" s="133" t="s">
        <v>28</v>
      </c>
      <c r="BH61" s="133" t="s">
        <v>28</v>
      </c>
      <c r="BI61" s="133" t="s">
        <v>28</v>
      </c>
      <c r="BJ61" s="133" t="s">
        <v>28</v>
      </c>
      <c r="BK61" s="133" t="s">
        <v>28</v>
      </c>
      <c r="BL61" s="133" t="s">
        <v>28</v>
      </c>
      <c r="BM61" s="133" t="s">
        <v>28</v>
      </c>
      <c r="BN61" s="133" t="s">
        <v>28</v>
      </c>
      <c r="BO61" s="133" t="s">
        <v>28</v>
      </c>
      <c r="BP61" s="133" t="s">
        <v>28</v>
      </c>
      <c r="BQ61" s="133" t="s">
        <v>28</v>
      </c>
      <c r="BR61" s="133" t="s">
        <v>28</v>
      </c>
      <c r="BS61" s="133" t="s">
        <v>28</v>
      </c>
      <c r="BT61" s="133" t="s">
        <v>28</v>
      </c>
      <c r="BU61" s="133" t="s">
        <v>28</v>
      </c>
      <c r="BV61" s="133" t="s">
        <v>28</v>
      </c>
      <c r="BW61" s="133" t="s">
        <v>28</v>
      </c>
      <c r="BX61" s="133" t="s">
        <v>28</v>
      </c>
      <c r="BY61" s="133" t="s">
        <v>28</v>
      </c>
      <c r="BZ61" s="133" t="s">
        <v>28</v>
      </c>
      <c r="CA61" s="133" t="s">
        <v>28</v>
      </c>
      <c r="CB61" s="133" t="s">
        <v>28</v>
      </c>
      <c r="CC61" s="14" t="s">
        <v>28</v>
      </c>
    </row>
    <row r="62" ht="25.05" customHeight="1" spans="1:81">
      <c r="A62" s="36">
        <v>18</v>
      </c>
      <c r="B62" s="37" t="s">
        <v>149</v>
      </c>
      <c r="C62" s="38" t="s">
        <v>150</v>
      </c>
      <c r="D62" s="14"/>
      <c r="E62" s="36" t="s">
        <v>185</v>
      </c>
      <c r="F62" s="36" t="s">
        <v>186</v>
      </c>
      <c r="G62" s="36">
        <v>40</v>
      </c>
      <c r="H62" s="40" t="s">
        <v>27</v>
      </c>
      <c r="I62" s="133">
        <v>120</v>
      </c>
      <c r="J62" s="134">
        <v>0</v>
      </c>
      <c r="K62" s="36">
        <v>0</v>
      </c>
      <c r="L62" s="130">
        <v>0</v>
      </c>
      <c r="M62" s="36">
        <v>0</v>
      </c>
      <c r="N62" s="36">
        <v>0</v>
      </c>
      <c r="O62" s="36">
        <v>0</v>
      </c>
      <c r="P62" s="36">
        <v>0</v>
      </c>
      <c r="Q62" s="37">
        <v>120</v>
      </c>
      <c r="R62" s="133"/>
      <c r="S62" s="133"/>
      <c r="T62" s="133" t="s">
        <v>28</v>
      </c>
      <c r="U62" s="133" t="s">
        <v>28</v>
      </c>
      <c r="V62" s="133" t="s">
        <v>28</v>
      </c>
      <c r="W62" s="133" t="s">
        <v>28</v>
      </c>
      <c r="X62" s="133" t="s">
        <v>28</v>
      </c>
      <c r="Y62" s="133" t="s">
        <v>28</v>
      </c>
      <c r="Z62" s="133" t="s">
        <v>28</v>
      </c>
      <c r="AA62" s="133" t="s">
        <v>28</v>
      </c>
      <c r="AB62" s="133" t="s">
        <v>28</v>
      </c>
      <c r="AC62" s="133" t="s">
        <v>28</v>
      </c>
      <c r="AD62" s="133" t="s">
        <v>28</v>
      </c>
      <c r="AE62" s="133" t="s">
        <v>28</v>
      </c>
      <c r="AF62" s="133" t="s">
        <v>28</v>
      </c>
      <c r="AG62" s="133" t="s">
        <v>28</v>
      </c>
      <c r="AH62" s="133" t="s">
        <v>28</v>
      </c>
      <c r="AI62" s="133" t="s">
        <v>28</v>
      </c>
      <c r="AJ62" s="133" t="s">
        <v>28</v>
      </c>
      <c r="AK62" s="133" t="s">
        <v>28</v>
      </c>
      <c r="AL62" s="133" t="s">
        <v>28</v>
      </c>
      <c r="AM62" s="133" t="s">
        <v>28</v>
      </c>
      <c r="AN62" s="133" t="s">
        <v>28</v>
      </c>
      <c r="AO62" s="133" t="s">
        <v>28</v>
      </c>
      <c r="AP62" s="133" t="s">
        <v>28</v>
      </c>
      <c r="AQ62" s="133" t="s">
        <v>28</v>
      </c>
      <c r="AR62" s="133" t="s">
        <v>28</v>
      </c>
      <c r="AS62" s="133" t="s">
        <v>28</v>
      </c>
      <c r="AT62" s="133" t="s">
        <v>28</v>
      </c>
      <c r="AU62" s="133" t="s">
        <v>28</v>
      </c>
      <c r="AV62" s="133"/>
      <c r="AW62" s="133"/>
      <c r="AX62" s="133"/>
      <c r="AY62" s="133" t="s">
        <v>28</v>
      </c>
      <c r="AZ62" s="133" t="s">
        <v>28</v>
      </c>
      <c r="BA62" s="133" t="s">
        <v>28</v>
      </c>
      <c r="BB62" s="133" t="s">
        <v>28</v>
      </c>
      <c r="BC62" s="133" t="s">
        <v>28</v>
      </c>
      <c r="BD62" s="133" t="s">
        <v>28</v>
      </c>
      <c r="BE62" s="133" t="s">
        <v>28</v>
      </c>
      <c r="BF62" s="133" t="s">
        <v>28</v>
      </c>
      <c r="BG62" s="133" t="s">
        <v>28</v>
      </c>
      <c r="BH62" s="133" t="s">
        <v>28</v>
      </c>
      <c r="BI62" s="133" t="s">
        <v>28</v>
      </c>
      <c r="BJ62" s="133" t="s">
        <v>28</v>
      </c>
      <c r="BK62" s="133" t="s">
        <v>28</v>
      </c>
      <c r="BL62" s="133" t="s">
        <v>28</v>
      </c>
      <c r="BM62" s="133" t="s">
        <v>28</v>
      </c>
      <c r="BN62" s="133" t="s">
        <v>28</v>
      </c>
      <c r="BO62" s="133" t="s">
        <v>28</v>
      </c>
      <c r="BP62" s="133" t="s">
        <v>28</v>
      </c>
      <c r="BQ62" s="133" t="s">
        <v>28</v>
      </c>
      <c r="BR62" s="133" t="s">
        <v>28</v>
      </c>
      <c r="BS62" s="133" t="s">
        <v>28</v>
      </c>
      <c r="BT62" s="133" t="s">
        <v>28</v>
      </c>
      <c r="BU62" s="133" t="s">
        <v>28</v>
      </c>
      <c r="BV62" s="133" t="s">
        <v>28</v>
      </c>
      <c r="BW62" s="133" t="s">
        <v>28</v>
      </c>
      <c r="BX62" s="133" t="s">
        <v>28</v>
      </c>
      <c r="BY62" s="133" t="s">
        <v>28</v>
      </c>
      <c r="BZ62" s="133" t="s">
        <v>28</v>
      </c>
      <c r="CA62" s="133" t="s">
        <v>28</v>
      </c>
      <c r="CB62" s="133" t="s">
        <v>28</v>
      </c>
      <c r="CC62" s="14" t="s">
        <v>28</v>
      </c>
    </row>
    <row r="63" s="118" customFormat="1" ht="25.05" customHeight="1" spans="1:81">
      <c r="A63" s="36">
        <v>19</v>
      </c>
      <c r="B63" s="142" t="s">
        <v>149</v>
      </c>
      <c r="C63" s="143" t="s">
        <v>150</v>
      </c>
      <c r="D63" s="95"/>
      <c r="E63" s="135" t="s">
        <v>187</v>
      </c>
      <c r="F63" s="136" t="s">
        <v>188</v>
      </c>
      <c r="G63" s="136">
        <v>1500</v>
      </c>
      <c r="H63" s="95" t="s">
        <v>27</v>
      </c>
      <c r="I63" s="36">
        <v>7500</v>
      </c>
      <c r="J63" s="36">
        <v>0</v>
      </c>
      <c r="K63" s="36">
        <v>4500</v>
      </c>
      <c r="L63" s="130">
        <v>12000</v>
      </c>
      <c r="M63" s="36">
        <v>0</v>
      </c>
      <c r="N63" s="36">
        <v>0</v>
      </c>
      <c r="O63" s="36">
        <v>0</v>
      </c>
      <c r="P63" s="36">
        <v>0</v>
      </c>
      <c r="Q63" s="37">
        <v>0</v>
      </c>
      <c r="R63" s="36"/>
      <c r="S63" s="36"/>
      <c r="T63" s="36" t="s">
        <v>28</v>
      </c>
      <c r="U63" s="36" t="s">
        <v>28</v>
      </c>
      <c r="V63" s="36" t="s">
        <v>28</v>
      </c>
      <c r="W63" s="36" t="s">
        <v>28</v>
      </c>
      <c r="X63" s="36" t="s">
        <v>28</v>
      </c>
      <c r="Y63" s="36">
        <v>4500</v>
      </c>
      <c r="Z63" s="36" t="s">
        <v>28</v>
      </c>
      <c r="AA63" s="36" t="s">
        <v>28</v>
      </c>
      <c r="AB63" s="36" t="s">
        <v>28</v>
      </c>
      <c r="AC63" s="36" t="s">
        <v>28</v>
      </c>
      <c r="AD63" s="36" t="s">
        <v>28</v>
      </c>
      <c r="AE63" s="36" t="s">
        <v>28</v>
      </c>
      <c r="AF63" s="36" t="s">
        <v>28</v>
      </c>
      <c r="AG63" s="36" t="s">
        <v>28</v>
      </c>
      <c r="AH63" s="36" t="s">
        <v>28</v>
      </c>
      <c r="AI63" s="36" t="s">
        <v>28</v>
      </c>
      <c r="AJ63" s="36" t="s">
        <v>28</v>
      </c>
      <c r="AK63" s="36" t="s">
        <v>28</v>
      </c>
      <c r="AL63" s="36" t="s">
        <v>28</v>
      </c>
      <c r="AM63" s="36" t="s">
        <v>28</v>
      </c>
      <c r="AN63" s="36" t="s">
        <v>28</v>
      </c>
      <c r="AO63" s="36" t="s">
        <v>28</v>
      </c>
      <c r="AP63" s="36" t="s">
        <v>28</v>
      </c>
      <c r="AQ63" s="36" t="s">
        <v>28</v>
      </c>
      <c r="AR63" s="36" t="s">
        <v>28</v>
      </c>
      <c r="AS63" s="36" t="s">
        <v>28</v>
      </c>
      <c r="AT63" s="36" t="s">
        <v>28</v>
      </c>
      <c r="AU63" s="36" t="s">
        <v>28</v>
      </c>
      <c r="AV63" s="36"/>
      <c r="AW63" s="36"/>
      <c r="AX63" s="36"/>
      <c r="AY63" s="36" t="s">
        <v>28</v>
      </c>
      <c r="AZ63" s="36">
        <v>7500</v>
      </c>
      <c r="BA63" s="36" t="s">
        <v>28</v>
      </c>
      <c r="BB63" s="36" t="s">
        <v>28</v>
      </c>
      <c r="BC63" s="36" t="s">
        <v>28</v>
      </c>
      <c r="BD63" s="36">
        <v>4500</v>
      </c>
      <c r="BE63" s="36" t="s">
        <v>28</v>
      </c>
      <c r="BF63" s="36" t="s">
        <v>28</v>
      </c>
      <c r="BG63" s="36" t="s">
        <v>28</v>
      </c>
      <c r="BH63" s="36" t="s">
        <v>28</v>
      </c>
      <c r="BI63" s="36" t="s">
        <v>28</v>
      </c>
      <c r="BJ63" s="36" t="s">
        <v>28</v>
      </c>
      <c r="BK63" s="36" t="s">
        <v>28</v>
      </c>
      <c r="BL63" s="36" t="s">
        <v>28</v>
      </c>
      <c r="BM63" s="36" t="s">
        <v>28</v>
      </c>
      <c r="BN63" s="36" t="s">
        <v>28</v>
      </c>
      <c r="BO63" s="36" t="s">
        <v>28</v>
      </c>
      <c r="BP63" s="36" t="s">
        <v>28</v>
      </c>
      <c r="BQ63" s="36" t="s">
        <v>28</v>
      </c>
      <c r="BR63" s="36" t="s">
        <v>28</v>
      </c>
      <c r="BS63" s="36" t="s">
        <v>28</v>
      </c>
      <c r="BT63" s="36" t="s">
        <v>28</v>
      </c>
      <c r="BU63" s="36" t="s">
        <v>28</v>
      </c>
      <c r="BV63" s="36" t="s">
        <v>28</v>
      </c>
      <c r="BW63" s="36" t="s">
        <v>28</v>
      </c>
      <c r="BX63" s="36" t="s">
        <v>28</v>
      </c>
      <c r="BY63" s="36" t="s">
        <v>28</v>
      </c>
      <c r="BZ63" s="36" t="s">
        <v>28</v>
      </c>
      <c r="CA63" s="36" t="s">
        <v>28</v>
      </c>
      <c r="CB63" s="36" t="s">
        <v>28</v>
      </c>
      <c r="CC63" s="36" t="s">
        <v>28</v>
      </c>
    </row>
    <row r="64" s="118" customFormat="1" ht="25.05" customHeight="1" spans="1:81">
      <c r="A64" s="36">
        <v>20</v>
      </c>
      <c r="B64" s="142" t="s">
        <v>149</v>
      </c>
      <c r="C64" s="143" t="s">
        <v>150</v>
      </c>
      <c r="D64" s="95"/>
      <c r="E64" s="135" t="s">
        <v>189</v>
      </c>
      <c r="F64" s="136" t="s">
        <v>190</v>
      </c>
      <c r="G64" s="136">
        <v>40</v>
      </c>
      <c r="H64" s="95" t="s">
        <v>27</v>
      </c>
      <c r="I64" s="36">
        <v>1600</v>
      </c>
      <c r="J64" s="36">
        <v>0</v>
      </c>
      <c r="K64" s="36">
        <v>899</v>
      </c>
      <c r="L64" s="130">
        <v>2499</v>
      </c>
      <c r="M64" s="36">
        <v>0</v>
      </c>
      <c r="N64" s="36">
        <v>0</v>
      </c>
      <c r="O64" s="36">
        <v>0</v>
      </c>
      <c r="P64" s="36">
        <v>0</v>
      </c>
      <c r="Q64" s="137">
        <v>0</v>
      </c>
      <c r="R64" s="36"/>
      <c r="S64" s="36"/>
      <c r="T64" s="36" t="s">
        <v>28</v>
      </c>
      <c r="U64" s="36" t="s">
        <v>28</v>
      </c>
      <c r="V64" s="36" t="s">
        <v>28</v>
      </c>
      <c r="W64" s="36" t="s">
        <v>28</v>
      </c>
      <c r="X64" s="36" t="s">
        <v>28</v>
      </c>
      <c r="Y64" s="36" t="s">
        <v>28</v>
      </c>
      <c r="Z64" s="36" t="s">
        <v>28</v>
      </c>
      <c r="AA64" s="36" t="s">
        <v>28</v>
      </c>
      <c r="AB64" s="36" t="s">
        <v>28</v>
      </c>
      <c r="AC64" s="36">
        <v>899</v>
      </c>
      <c r="AD64" s="36" t="s">
        <v>28</v>
      </c>
      <c r="AE64" s="36" t="s">
        <v>28</v>
      </c>
      <c r="AF64" s="36" t="s">
        <v>28</v>
      </c>
      <c r="AG64" s="36" t="s">
        <v>28</v>
      </c>
      <c r="AH64" s="36" t="s">
        <v>28</v>
      </c>
      <c r="AI64" s="36" t="s">
        <v>28</v>
      </c>
      <c r="AJ64" s="36" t="s">
        <v>28</v>
      </c>
      <c r="AK64" s="36" t="s">
        <v>28</v>
      </c>
      <c r="AL64" s="36" t="s">
        <v>28</v>
      </c>
      <c r="AM64" s="36" t="s">
        <v>28</v>
      </c>
      <c r="AN64" s="36" t="s">
        <v>28</v>
      </c>
      <c r="AO64" s="36" t="s">
        <v>28</v>
      </c>
      <c r="AP64" s="36" t="s">
        <v>28</v>
      </c>
      <c r="AQ64" s="36" t="s">
        <v>28</v>
      </c>
      <c r="AR64" s="36" t="s">
        <v>28</v>
      </c>
      <c r="AS64" s="36" t="s">
        <v>28</v>
      </c>
      <c r="AT64" s="36" t="s">
        <v>28</v>
      </c>
      <c r="AU64" s="36" t="s">
        <v>28</v>
      </c>
      <c r="AV64" s="36"/>
      <c r="AW64" s="36"/>
      <c r="AX64" s="36"/>
      <c r="AY64" s="36" t="s">
        <v>28</v>
      </c>
      <c r="AZ64" s="36" t="s">
        <v>28</v>
      </c>
      <c r="BA64" s="36" t="s">
        <v>28</v>
      </c>
      <c r="BB64" s="36" t="s">
        <v>28</v>
      </c>
      <c r="BC64" s="36" t="s">
        <v>28</v>
      </c>
      <c r="BD64" s="36" t="s">
        <v>28</v>
      </c>
      <c r="BE64" s="36" t="s">
        <v>28</v>
      </c>
      <c r="BF64" s="36">
        <v>1600</v>
      </c>
      <c r="BG64" s="36" t="s">
        <v>28</v>
      </c>
      <c r="BH64" s="36">
        <v>899</v>
      </c>
      <c r="BI64" s="36" t="s">
        <v>28</v>
      </c>
      <c r="BJ64" s="36" t="s">
        <v>28</v>
      </c>
      <c r="BK64" s="36" t="s">
        <v>28</v>
      </c>
      <c r="BL64" s="36" t="s">
        <v>28</v>
      </c>
      <c r="BM64" s="36" t="s">
        <v>28</v>
      </c>
      <c r="BN64" s="36" t="s">
        <v>28</v>
      </c>
      <c r="BO64" s="36" t="s">
        <v>28</v>
      </c>
      <c r="BP64" s="36" t="s">
        <v>28</v>
      </c>
      <c r="BQ64" s="36" t="s">
        <v>28</v>
      </c>
      <c r="BR64" s="36" t="s">
        <v>28</v>
      </c>
      <c r="BS64" s="36" t="s">
        <v>28</v>
      </c>
      <c r="BT64" s="36" t="s">
        <v>28</v>
      </c>
      <c r="BU64" s="36" t="s">
        <v>28</v>
      </c>
      <c r="BV64" s="36" t="s">
        <v>28</v>
      </c>
      <c r="BW64" s="36" t="s">
        <v>28</v>
      </c>
      <c r="BX64" s="36" t="s">
        <v>28</v>
      </c>
      <c r="BY64" s="36" t="s">
        <v>28</v>
      </c>
      <c r="BZ64" s="36" t="s">
        <v>28</v>
      </c>
      <c r="CA64" s="36" t="s">
        <v>28</v>
      </c>
      <c r="CB64" s="36" t="s">
        <v>28</v>
      </c>
      <c r="CC64" s="36" t="s">
        <v>28</v>
      </c>
    </row>
    <row r="65" s="118" customFormat="1" ht="25.05" customHeight="1" spans="1:81">
      <c r="A65" s="36">
        <v>21</v>
      </c>
      <c r="B65" s="142" t="s">
        <v>149</v>
      </c>
      <c r="C65" s="143" t="s">
        <v>150</v>
      </c>
      <c r="D65" s="95"/>
      <c r="E65" s="135" t="s">
        <v>191</v>
      </c>
      <c r="F65" s="136" t="s">
        <v>192</v>
      </c>
      <c r="G65" s="136">
        <v>100</v>
      </c>
      <c r="H65" s="95" t="s">
        <v>27</v>
      </c>
      <c r="I65" s="36">
        <v>1600</v>
      </c>
      <c r="J65" s="36">
        <v>0</v>
      </c>
      <c r="K65" s="36">
        <v>898</v>
      </c>
      <c r="L65" s="36">
        <v>2498</v>
      </c>
      <c r="M65" s="36">
        <v>0</v>
      </c>
      <c r="N65" s="36">
        <v>0</v>
      </c>
      <c r="O65" s="36">
        <v>0</v>
      </c>
      <c r="P65" s="36">
        <v>0</v>
      </c>
      <c r="Q65" s="37">
        <v>0</v>
      </c>
      <c r="R65" s="36"/>
      <c r="S65" s="36"/>
      <c r="T65" s="36" t="s">
        <v>28</v>
      </c>
      <c r="U65" s="36" t="s">
        <v>28</v>
      </c>
      <c r="V65" s="36" t="s">
        <v>28</v>
      </c>
      <c r="W65" s="36" t="s">
        <v>28</v>
      </c>
      <c r="X65" s="36" t="s">
        <v>28</v>
      </c>
      <c r="Y65" s="36" t="s">
        <v>28</v>
      </c>
      <c r="Z65" s="36" t="s">
        <v>28</v>
      </c>
      <c r="AA65" s="36" t="s">
        <v>28</v>
      </c>
      <c r="AB65" s="36" t="s">
        <v>28</v>
      </c>
      <c r="AC65" s="36">
        <v>898</v>
      </c>
      <c r="AD65" s="36" t="s">
        <v>28</v>
      </c>
      <c r="AE65" s="36" t="s">
        <v>28</v>
      </c>
      <c r="AF65" s="36" t="s">
        <v>28</v>
      </c>
      <c r="AG65" s="36" t="s">
        <v>28</v>
      </c>
      <c r="AH65" s="36" t="s">
        <v>28</v>
      </c>
      <c r="AI65" s="36" t="s">
        <v>28</v>
      </c>
      <c r="AJ65" s="36" t="s">
        <v>28</v>
      </c>
      <c r="AK65" s="36" t="s">
        <v>28</v>
      </c>
      <c r="AL65" s="36" t="s">
        <v>28</v>
      </c>
      <c r="AM65" s="36" t="s">
        <v>28</v>
      </c>
      <c r="AN65" s="36" t="s">
        <v>28</v>
      </c>
      <c r="AO65" s="36" t="s">
        <v>28</v>
      </c>
      <c r="AP65" s="36" t="s">
        <v>28</v>
      </c>
      <c r="AQ65" s="36" t="s">
        <v>28</v>
      </c>
      <c r="AR65" s="36" t="s">
        <v>28</v>
      </c>
      <c r="AS65" s="36" t="s">
        <v>28</v>
      </c>
      <c r="AT65" s="36" t="s">
        <v>28</v>
      </c>
      <c r="AU65" s="36" t="s">
        <v>28</v>
      </c>
      <c r="AV65" s="36"/>
      <c r="AW65" s="36"/>
      <c r="AX65" s="36"/>
      <c r="AY65" s="36" t="s">
        <v>28</v>
      </c>
      <c r="AZ65" s="36" t="s">
        <v>28</v>
      </c>
      <c r="BA65" s="36" t="s">
        <v>28</v>
      </c>
      <c r="BB65" s="36" t="s">
        <v>28</v>
      </c>
      <c r="BC65" s="36" t="s">
        <v>28</v>
      </c>
      <c r="BD65" s="36" t="s">
        <v>28</v>
      </c>
      <c r="BE65" s="36" t="s">
        <v>28</v>
      </c>
      <c r="BF65" s="36" t="s">
        <v>28</v>
      </c>
      <c r="BG65" s="36">
        <v>1600</v>
      </c>
      <c r="BH65" s="36">
        <v>898</v>
      </c>
      <c r="BI65" s="36" t="s">
        <v>28</v>
      </c>
      <c r="BJ65" s="36" t="s">
        <v>28</v>
      </c>
      <c r="BK65" s="36" t="s">
        <v>28</v>
      </c>
      <c r="BL65" s="36" t="s">
        <v>28</v>
      </c>
      <c r="BM65" s="36" t="s">
        <v>28</v>
      </c>
      <c r="BN65" s="36" t="s">
        <v>28</v>
      </c>
      <c r="BO65" s="36" t="s">
        <v>28</v>
      </c>
      <c r="BP65" s="36" t="s">
        <v>28</v>
      </c>
      <c r="BQ65" s="36" t="s">
        <v>28</v>
      </c>
      <c r="BR65" s="36" t="s">
        <v>28</v>
      </c>
      <c r="BS65" s="36" t="s">
        <v>28</v>
      </c>
      <c r="BT65" s="36" t="s">
        <v>28</v>
      </c>
      <c r="BU65" s="36" t="s">
        <v>28</v>
      </c>
      <c r="BV65" s="36" t="s">
        <v>28</v>
      </c>
      <c r="BW65" s="36" t="s">
        <v>28</v>
      </c>
      <c r="BX65" s="36" t="s">
        <v>28</v>
      </c>
      <c r="BY65" s="36" t="s">
        <v>28</v>
      </c>
      <c r="BZ65" s="36" t="s">
        <v>28</v>
      </c>
      <c r="CA65" s="36" t="s">
        <v>28</v>
      </c>
      <c r="CB65" s="36" t="s">
        <v>28</v>
      </c>
      <c r="CC65" s="36" t="s">
        <v>28</v>
      </c>
    </row>
    <row r="66" s="118" customFormat="1" ht="25.05" customHeight="1" spans="1:81">
      <c r="A66" s="36">
        <v>22</v>
      </c>
      <c r="B66" s="142" t="s">
        <v>149</v>
      </c>
      <c r="C66" s="143" t="s">
        <v>150</v>
      </c>
      <c r="D66" s="95"/>
      <c r="E66" s="135" t="s">
        <v>193</v>
      </c>
      <c r="F66" s="136" t="s">
        <v>194</v>
      </c>
      <c r="G66" s="136">
        <v>200</v>
      </c>
      <c r="H66" s="95" t="s">
        <v>27</v>
      </c>
      <c r="I66" s="36">
        <v>1000</v>
      </c>
      <c r="J66" s="36">
        <v>0</v>
      </c>
      <c r="K66" s="36">
        <v>1000</v>
      </c>
      <c r="L66" s="36">
        <v>2000</v>
      </c>
      <c r="M66" s="36">
        <v>0</v>
      </c>
      <c r="N66" s="36">
        <v>0</v>
      </c>
      <c r="O66" s="36">
        <v>0</v>
      </c>
      <c r="P66" s="36">
        <v>0</v>
      </c>
      <c r="Q66" s="37">
        <v>0</v>
      </c>
      <c r="R66" s="36"/>
      <c r="S66" s="36"/>
      <c r="T66" s="36" t="s">
        <v>28</v>
      </c>
      <c r="U66" s="36" t="s">
        <v>28</v>
      </c>
      <c r="V66" s="36" t="s">
        <v>28</v>
      </c>
      <c r="W66" s="36" t="s">
        <v>28</v>
      </c>
      <c r="X66" s="36" t="s">
        <v>28</v>
      </c>
      <c r="Y66" s="36" t="s">
        <v>28</v>
      </c>
      <c r="Z66" s="36" t="s">
        <v>28</v>
      </c>
      <c r="AA66" s="36" t="s">
        <v>28</v>
      </c>
      <c r="AB66" s="36" t="s">
        <v>28</v>
      </c>
      <c r="AC66" s="36" t="s">
        <v>28</v>
      </c>
      <c r="AD66" s="36">
        <v>1000</v>
      </c>
      <c r="AE66" s="36" t="s">
        <v>28</v>
      </c>
      <c r="AF66" s="36" t="s">
        <v>28</v>
      </c>
      <c r="AG66" s="36" t="s">
        <v>28</v>
      </c>
      <c r="AH66" s="36" t="s">
        <v>28</v>
      </c>
      <c r="AI66" s="36" t="s">
        <v>28</v>
      </c>
      <c r="AJ66" s="36" t="s">
        <v>28</v>
      </c>
      <c r="AK66" s="36" t="s">
        <v>28</v>
      </c>
      <c r="AL66" s="36" t="s">
        <v>28</v>
      </c>
      <c r="AM66" s="36" t="s">
        <v>28</v>
      </c>
      <c r="AN66" s="36" t="s">
        <v>28</v>
      </c>
      <c r="AO66" s="36" t="s">
        <v>28</v>
      </c>
      <c r="AP66" s="36" t="s">
        <v>28</v>
      </c>
      <c r="AQ66" s="36" t="s">
        <v>28</v>
      </c>
      <c r="AR66" s="36" t="s">
        <v>28</v>
      </c>
      <c r="AS66" s="36" t="s">
        <v>28</v>
      </c>
      <c r="AT66" s="36" t="s">
        <v>28</v>
      </c>
      <c r="AU66" s="36" t="s">
        <v>28</v>
      </c>
      <c r="AV66" s="36"/>
      <c r="AW66" s="36"/>
      <c r="AX66" s="36"/>
      <c r="AY66" s="36" t="s">
        <v>28</v>
      </c>
      <c r="AZ66" s="36" t="s">
        <v>28</v>
      </c>
      <c r="BA66" s="36" t="s">
        <v>28</v>
      </c>
      <c r="BB66" s="36" t="s">
        <v>28</v>
      </c>
      <c r="BC66" s="36" t="s">
        <v>28</v>
      </c>
      <c r="BD66" s="36" t="s">
        <v>28</v>
      </c>
      <c r="BE66" s="36" t="s">
        <v>28</v>
      </c>
      <c r="BF66" s="36" t="s">
        <v>28</v>
      </c>
      <c r="BG66" s="36" t="s">
        <v>28</v>
      </c>
      <c r="BH66" s="36">
        <v>1000</v>
      </c>
      <c r="BI66" s="36">
        <v>1000</v>
      </c>
      <c r="BJ66" s="36" t="s">
        <v>28</v>
      </c>
      <c r="BK66" s="36" t="s">
        <v>28</v>
      </c>
      <c r="BL66" s="36" t="s">
        <v>28</v>
      </c>
      <c r="BM66" s="36" t="s">
        <v>28</v>
      </c>
      <c r="BN66" s="36" t="s">
        <v>28</v>
      </c>
      <c r="BO66" s="36" t="s">
        <v>28</v>
      </c>
      <c r="BP66" s="36" t="s">
        <v>28</v>
      </c>
      <c r="BQ66" s="36" t="s">
        <v>28</v>
      </c>
      <c r="BR66" s="36" t="s">
        <v>28</v>
      </c>
      <c r="BS66" s="36" t="s">
        <v>28</v>
      </c>
      <c r="BT66" s="36" t="s">
        <v>28</v>
      </c>
      <c r="BU66" s="36" t="s">
        <v>28</v>
      </c>
      <c r="BV66" s="36" t="s">
        <v>28</v>
      </c>
      <c r="BW66" s="36" t="s">
        <v>28</v>
      </c>
      <c r="BX66" s="36" t="s">
        <v>28</v>
      </c>
      <c r="BY66" s="36" t="s">
        <v>28</v>
      </c>
      <c r="BZ66" s="36" t="s">
        <v>28</v>
      </c>
      <c r="CA66" s="36" t="s">
        <v>28</v>
      </c>
      <c r="CB66" s="36" t="s">
        <v>28</v>
      </c>
      <c r="CC66" s="36" t="s">
        <v>28</v>
      </c>
    </row>
    <row r="67" ht="25.05" customHeight="1" spans="1:81">
      <c r="A67" s="36">
        <v>23</v>
      </c>
      <c r="B67" s="37" t="s">
        <v>149</v>
      </c>
      <c r="C67" s="38" t="s">
        <v>150</v>
      </c>
      <c r="D67" s="14"/>
      <c r="E67" s="36" t="s">
        <v>195</v>
      </c>
      <c r="F67" s="36" t="s">
        <v>194</v>
      </c>
      <c r="G67" s="36">
        <v>100</v>
      </c>
      <c r="H67" s="40" t="s">
        <v>27</v>
      </c>
      <c r="I67" s="133">
        <v>1000</v>
      </c>
      <c r="J67" s="134">
        <v>0</v>
      </c>
      <c r="K67" s="36">
        <v>1000</v>
      </c>
      <c r="L67" s="130">
        <v>2000</v>
      </c>
      <c r="M67" s="36">
        <v>0</v>
      </c>
      <c r="N67" s="36">
        <v>0</v>
      </c>
      <c r="O67" s="36">
        <v>0</v>
      </c>
      <c r="P67" s="36">
        <v>0</v>
      </c>
      <c r="Q67" s="37">
        <v>0</v>
      </c>
      <c r="R67" s="133"/>
      <c r="S67" s="133"/>
      <c r="T67" s="133" t="s">
        <v>28</v>
      </c>
      <c r="U67" s="133" t="s">
        <v>28</v>
      </c>
      <c r="V67" s="133" t="s">
        <v>28</v>
      </c>
      <c r="W67" s="133" t="s">
        <v>28</v>
      </c>
      <c r="X67" s="133" t="s">
        <v>28</v>
      </c>
      <c r="Y67" s="133" t="s">
        <v>28</v>
      </c>
      <c r="Z67" s="133" t="s">
        <v>28</v>
      </c>
      <c r="AA67" s="133" t="s">
        <v>28</v>
      </c>
      <c r="AB67" s="133" t="s">
        <v>28</v>
      </c>
      <c r="AC67" s="133" t="s">
        <v>28</v>
      </c>
      <c r="AD67" s="133">
        <v>1000</v>
      </c>
      <c r="AE67" s="133" t="s">
        <v>28</v>
      </c>
      <c r="AF67" s="133" t="s">
        <v>28</v>
      </c>
      <c r="AG67" s="133" t="s">
        <v>28</v>
      </c>
      <c r="AH67" s="133" t="s">
        <v>28</v>
      </c>
      <c r="AI67" s="133" t="s">
        <v>28</v>
      </c>
      <c r="AJ67" s="133" t="s">
        <v>28</v>
      </c>
      <c r="AK67" s="133" t="s">
        <v>28</v>
      </c>
      <c r="AL67" s="133" t="s">
        <v>28</v>
      </c>
      <c r="AM67" s="133" t="s">
        <v>28</v>
      </c>
      <c r="AN67" s="133" t="s">
        <v>28</v>
      </c>
      <c r="AO67" s="133" t="s">
        <v>28</v>
      </c>
      <c r="AP67" s="133" t="s">
        <v>28</v>
      </c>
      <c r="AQ67" s="133" t="s">
        <v>28</v>
      </c>
      <c r="AR67" s="133" t="s">
        <v>28</v>
      </c>
      <c r="AS67" s="133" t="s">
        <v>28</v>
      </c>
      <c r="AT67" s="133" t="s">
        <v>28</v>
      </c>
      <c r="AU67" s="133" t="s">
        <v>28</v>
      </c>
      <c r="AV67" s="133"/>
      <c r="AW67" s="133"/>
      <c r="AX67" s="133"/>
      <c r="AY67" s="133" t="s">
        <v>28</v>
      </c>
      <c r="AZ67" s="133" t="s">
        <v>28</v>
      </c>
      <c r="BA67" s="133" t="s">
        <v>28</v>
      </c>
      <c r="BB67" s="133" t="s">
        <v>28</v>
      </c>
      <c r="BC67" s="133" t="s">
        <v>28</v>
      </c>
      <c r="BD67" s="133" t="s">
        <v>28</v>
      </c>
      <c r="BE67" s="133" t="s">
        <v>28</v>
      </c>
      <c r="BF67" s="133" t="s">
        <v>28</v>
      </c>
      <c r="BG67" s="133" t="s">
        <v>28</v>
      </c>
      <c r="BH67" s="133">
        <v>1000</v>
      </c>
      <c r="BI67" s="133">
        <v>1000</v>
      </c>
      <c r="BJ67" s="133" t="s">
        <v>28</v>
      </c>
      <c r="BK67" s="133" t="s">
        <v>28</v>
      </c>
      <c r="BL67" s="133" t="s">
        <v>28</v>
      </c>
      <c r="BM67" s="133" t="s">
        <v>28</v>
      </c>
      <c r="BN67" s="133" t="s">
        <v>28</v>
      </c>
      <c r="BO67" s="133" t="s">
        <v>28</v>
      </c>
      <c r="BP67" s="133" t="s">
        <v>28</v>
      </c>
      <c r="BQ67" s="133" t="s">
        <v>28</v>
      </c>
      <c r="BR67" s="133" t="s">
        <v>28</v>
      </c>
      <c r="BS67" s="133" t="s">
        <v>28</v>
      </c>
      <c r="BT67" s="133" t="s">
        <v>28</v>
      </c>
      <c r="BU67" s="133" t="s">
        <v>28</v>
      </c>
      <c r="BV67" s="133" t="s">
        <v>28</v>
      </c>
      <c r="BW67" s="133" t="s">
        <v>28</v>
      </c>
      <c r="BX67" s="133" t="s">
        <v>28</v>
      </c>
      <c r="BY67" s="133" t="s">
        <v>28</v>
      </c>
      <c r="BZ67" s="133" t="s">
        <v>28</v>
      </c>
      <c r="CA67" s="133" t="s">
        <v>28</v>
      </c>
      <c r="CB67" s="133" t="s">
        <v>28</v>
      </c>
      <c r="CC67" s="14" t="s">
        <v>28</v>
      </c>
    </row>
    <row r="68" s="118" customFormat="1" ht="25.05" customHeight="1" spans="1:81">
      <c r="A68" s="36">
        <v>24</v>
      </c>
      <c r="B68" s="142" t="s">
        <v>149</v>
      </c>
      <c r="C68" s="143" t="s">
        <v>150</v>
      </c>
      <c r="D68" s="95"/>
      <c r="E68" s="135" t="s">
        <v>196</v>
      </c>
      <c r="F68" s="136" t="s">
        <v>194</v>
      </c>
      <c r="G68" s="136">
        <v>100</v>
      </c>
      <c r="H68" s="95" t="s">
        <v>27</v>
      </c>
      <c r="I68" s="36">
        <v>1000</v>
      </c>
      <c r="J68" s="36">
        <v>0</v>
      </c>
      <c r="K68" s="36">
        <v>1000</v>
      </c>
      <c r="L68" s="36">
        <v>2000</v>
      </c>
      <c r="M68" s="36">
        <v>0</v>
      </c>
      <c r="N68" s="36">
        <v>0</v>
      </c>
      <c r="O68" s="36">
        <v>0</v>
      </c>
      <c r="P68" s="36">
        <v>0</v>
      </c>
      <c r="Q68" s="37">
        <v>0</v>
      </c>
      <c r="R68" s="36"/>
      <c r="S68" s="36"/>
      <c r="T68" s="36" t="s">
        <v>28</v>
      </c>
      <c r="U68" s="36" t="s">
        <v>28</v>
      </c>
      <c r="V68" s="36" t="s">
        <v>28</v>
      </c>
      <c r="W68" s="36" t="s">
        <v>28</v>
      </c>
      <c r="X68" s="36" t="s">
        <v>28</v>
      </c>
      <c r="Y68" s="36" t="s">
        <v>28</v>
      </c>
      <c r="Z68" s="36" t="s">
        <v>28</v>
      </c>
      <c r="AA68" s="36" t="s">
        <v>28</v>
      </c>
      <c r="AB68" s="36" t="s">
        <v>28</v>
      </c>
      <c r="AC68" s="36" t="s">
        <v>28</v>
      </c>
      <c r="AD68" s="36">
        <v>1000</v>
      </c>
      <c r="AE68" s="36" t="s">
        <v>28</v>
      </c>
      <c r="AF68" s="36" t="s">
        <v>28</v>
      </c>
      <c r="AG68" s="36" t="s">
        <v>28</v>
      </c>
      <c r="AH68" s="36" t="s">
        <v>28</v>
      </c>
      <c r="AI68" s="36" t="s">
        <v>28</v>
      </c>
      <c r="AJ68" s="36" t="s">
        <v>28</v>
      </c>
      <c r="AK68" s="36" t="s">
        <v>28</v>
      </c>
      <c r="AL68" s="36" t="s">
        <v>28</v>
      </c>
      <c r="AM68" s="36" t="s">
        <v>28</v>
      </c>
      <c r="AN68" s="36" t="s">
        <v>28</v>
      </c>
      <c r="AO68" s="36" t="s">
        <v>28</v>
      </c>
      <c r="AP68" s="36" t="s">
        <v>28</v>
      </c>
      <c r="AQ68" s="36" t="s">
        <v>28</v>
      </c>
      <c r="AR68" s="36" t="s">
        <v>28</v>
      </c>
      <c r="AS68" s="36" t="s">
        <v>28</v>
      </c>
      <c r="AT68" s="36" t="s">
        <v>28</v>
      </c>
      <c r="AU68" s="36" t="s">
        <v>28</v>
      </c>
      <c r="AV68" s="36"/>
      <c r="AW68" s="36"/>
      <c r="AX68" s="36"/>
      <c r="AY68" s="36" t="s">
        <v>28</v>
      </c>
      <c r="AZ68" s="36" t="s">
        <v>28</v>
      </c>
      <c r="BA68" s="36" t="s">
        <v>28</v>
      </c>
      <c r="BB68" s="36" t="s">
        <v>28</v>
      </c>
      <c r="BC68" s="36" t="s">
        <v>28</v>
      </c>
      <c r="BD68" s="36" t="s">
        <v>28</v>
      </c>
      <c r="BE68" s="36" t="s">
        <v>28</v>
      </c>
      <c r="BF68" s="36" t="s">
        <v>28</v>
      </c>
      <c r="BG68" s="36" t="s">
        <v>28</v>
      </c>
      <c r="BH68" s="36" t="s">
        <v>28</v>
      </c>
      <c r="BI68" s="36">
        <v>2000</v>
      </c>
      <c r="BJ68" s="36" t="s">
        <v>28</v>
      </c>
      <c r="BK68" s="36" t="s">
        <v>28</v>
      </c>
      <c r="BL68" s="36" t="s">
        <v>28</v>
      </c>
      <c r="BM68" s="36" t="s">
        <v>28</v>
      </c>
      <c r="BN68" s="36" t="s">
        <v>28</v>
      </c>
      <c r="BO68" s="36" t="s">
        <v>28</v>
      </c>
      <c r="BP68" s="36" t="s">
        <v>28</v>
      </c>
      <c r="BQ68" s="36" t="s">
        <v>28</v>
      </c>
      <c r="BR68" s="36" t="s">
        <v>28</v>
      </c>
      <c r="BS68" s="36" t="s">
        <v>28</v>
      </c>
      <c r="BT68" s="36" t="s">
        <v>28</v>
      </c>
      <c r="BU68" s="36" t="s">
        <v>28</v>
      </c>
      <c r="BV68" s="36" t="s">
        <v>28</v>
      </c>
      <c r="BW68" s="36" t="s">
        <v>28</v>
      </c>
      <c r="BX68" s="36" t="s">
        <v>28</v>
      </c>
      <c r="BY68" s="36" t="s">
        <v>28</v>
      </c>
      <c r="BZ68" s="36" t="s">
        <v>28</v>
      </c>
      <c r="CA68" s="36" t="s">
        <v>28</v>
      </c>
      <c r="CB68" s="36" t="s">
        <v>28</v>
      </c>
      <c r="CC68" s="36" t="s">
        <v>28</v>
      </c>
    </row>
    <row r="69" s="118" customFormat="1" ht="25.05" customHeight="1" spans="1:81">
      <c r="A69" s="36">
        <v>25</v>
      </c>
      <c r="B69" s="142" t="s">
        <v>149</v>
      </c>
      <c r="C69" s="143" t="s">
        <v>150</v>
      </c>
      <c r="D69" s="95"/>
      <c r="E69" s="135" t="s">
        <v>197</v>
      </c>
      <c r="F69" s="136" t="s">
        <v>194</v>
      </c>
      <c r="G69" s="136">
        <v>30</v>
      </c>
      <c r="H69" s="95" t="s">
        <v>27</v>
      </c>
      <c r="I69" s="36">
        <v>0</v>
      </c>
      <c r="J69" s="36">
        <v>0</v>
      </c>
      <c r="K69" s="36">
        <v>2649</v>
      </c>
      <c r="L69" s="36">
        <v>2250</v>
      </c>
      <c r="M69" s="36">
        <v>0</v>
      </c>
      <c r="N69" s="36">
        <v>0</v>
      </c>
      <c r="O69" s="36">
        <v>0</v>
      </c>
      <c r="P69" s="36">
        <v>0</v>
      </c>
      <c r="Q69" s="37">
        <v>399</v>
      </c>
      <c r="R69" s="36"/>
      <c r="S69" s="36"/>
      <c r="T69" s="36" t="s">
        <v>28</v>
      </c>
      <c r="U69" s="36">
        <v>810</v>
      </c>
      <c r="V69" s="36" t="s">
        <v>28</v>
      </c>
      <c r="W69" s="36" t="s">
        <v>28</v>
      </c>
      <c r="X69" s="36">
        <v>510</v>
      </c>
      <c r="Y69" s="36">
        <v>600</v>
      </c>
      <c r="Z69" s="36">
        <v>729</v>
      </c>
      <c r="AA69" s="36" t="s">
        <v>28</v>
      </c>
      <c r="AB69" s="36" t="s">
        <v>28</v>
      </c>
      <c r="AC69" s="36" t="s">
        <v>28</v>
      </c>
      <c r="AD69" s="36" t="s">
        <v>28</v>
      </c>
      <c r="AE69" s="36" t="s">
        <v>28</v>
      </c>
      <c r="AF69" s="36" t="s">
        <v>28</v>
      </c>
      <c r="AG69" s="36" t="s">
        <v>28</v>
      </c>
      <c r="AH69" s="36" t="s">
        <v>28</v>
      </c>
      <c r="AI69" s="36" t="s">
        <v>28</v>
      </c>
      <c r="AJ69" s="36" t="s">
        <v>28</v>
      </c>
      <c r="AK69" s="36" t="s">
        <v>28</v>
      </c>
      <c r="AL69" s="36" t="s">
        <v>28</v>
      </c>
      <c r="AM69" s="36" t="s">
        <v>28</v>
      </c>
      <c r="AN69" s="36" t="s">
        <v>28</v>
      </c>
      <c r="AO69" s="36" t="s">
        <v>28</v>
      </c>
      <c r="AP69" s="36" t="s">
        <v>28</v>
      </c>
      <c r="AQ69" s="36" t="s">
        <v>28</v>
      </c>
      <c r="AR69" s="36" t="s">
        <v>28</v>
      </c>
      <c r="AS69" s="36" t="s">
        <v>28</v>
      </c>
      <c r="AT69" s="36" t="s">
        <v>28</v>
      </c>
      <c r="AU69" s="36" t="s">
        <v>28</v>
      </c>
      <c r="AV69" s="36"/>
      <c r="AW69" s="36"/>
      <c r="AX69" s="36"/>
      <c r="AY69" s="36" t="s">
        <v>28</v>
      </c>
      <c r="AZ69" s="36" t="s">
        <v>28</v>
      </c>
      <c r="BA69" s="36" t="s">
        <v>28</v>
      </c>
      <c r="BB69" s="36" t="s">
        <v>28</v>
      </c>
      <c r="BC69" s="36" t="s">
        <v>28</v>
      </c>
      <c r="BD69" s="36" t="s">
        <v>28</v>
      </c>
      <c r="BE69" s="36" t="s">
        <v>28</v>
      </c>
      <c r="BF69" s="36">
        <v>2250</v>
      </c>
      <c r="BG69" s="36" t="s">
        <v>28</v>
      </c>
      <c r="BH69" s="36" t="s">
        <v>28</v>
      </c>
      <c r="BI69" s="36" t="s">
        <v>28</v>
      </c>
      <c r="BJ69" s="36" t="s">
        <v>28</v>
      </c>
      <c r="BK69" s="36" t="s">
        <v>28</v>
      </c>
      <c r="BL69" s="36" t="s">
        <v>28</v>
      </c>
      <c r="BM69" s="36" t="s">
        <v>28</v>
      </c>
      <c r="BN69" s="36" t="s">
        <v>28</v>
      </c>
      <c r="BO69" s="36" t="s">
        <v>28</v>
      </c>
      <c r="BP69" s="36" t="s">
        <v>28</v>
      </c>
      <c r="BQ69" s="36" t="s">
        <v>28</v>
      </c>
      <c r="BR69" s="36" t="s">
        <v>28</v>
      </c>
      <c r="BS69" s="36" t="s">
        <v>28</v>
      </c>
      <c r="BT69" s="36" t="s">
        <v>28</v>
      </c>
      <c r="BU69" s="36" t="s">
        <v>28</v>
      </c>
      <c r="BV69" s="36" t="s">
        <v>28</v>
      </c>
      <c r="BW69" s="36" t="s">
        <v>28</v>
      </c>
      <c r="BX69" s="36" t="s">
        <v>28</v>
      </c>
      <c r="BY69" s="36" t="s">
        <v>28</v>
      </c>
      <c r="BZ69" s="36" t="s">
        <v>28</v>
      </c>
      <c r="CA69" s="36" t="s">
        <v>28</v>
      </c>
      <c r="CB69" s="36" t="s">
        <v>28</v>
      </c>
      <c r="CC69" s="36" t="s">
        <v>28</v>
      </c>
    </row>
    <row r="70" s="118" customFormat="1" ht="25.05" customHeight="1" spans="1:81">
      <c r="A70" s="36">
        <v>26</v>
      </c>
      <c r="B70" s="142" t="s">
        <v>149</v>
      </c>
      <c r="C70" s="143" t="s">
        <v>150</v>
      </c>
      <c r="D70" s="95"/>
      <c r="E70" s="135" t="s">
        <v>198</v>
      </c>
      <c r="F70" s="136" t="s">
        <v>194</v>
      </c>
      <c r="G70" s="136">
        <v>20</v>
      </c>
      <c r="H70" s="95" t="s">
        <v>27</v>
      </c>
      <c r="I70" s="36">
        <v>0</v>
      </c>
      <c r="J70" s="36">
        <v>0</v>
      </c>
      <c r="K70" s="36">
        <v>2650</v>
      </c>
      <c r="L70" s="36">
        <v>2000</v>
      </c>
      <c r="M70" s="36">
        <v>0</v>
      </c>
      <c r="N70" s="36">
        <v>0</v>
      </c>
      <c r="O70" s="36">
        <v>0</v>
      </c>
      <c r="P70" s="36">
        <v>0</v>
      </c>
      <c r="Q70" s="37">
        <v>650</v>
      </c>
      <c r="R70" s="36"/>
      <c r="S70" s="36"/>
      <c r="T70" s="36" t="s">
        <v>28</v>
      </c>
      <c r="U70" s="36">
        <v>800</v>
      </c>
      <c r="V70" s="36" t="s">
        <v>28</v>
      </c>
      <c r="W70" s="36" t="s">
        <v>28</v>
      </c>
      <c r="X70" s="36">
        <v>500</v>
      </c>
      <c r="Y70" s="36">
        <v>1040</v>
      </c>
      <c r="Z70" s="36">
        <v>310</v>
      </c>
      <c r="AA70" s="36" t="s">
        <v>28</v>
      </c>
      <c r="AB70" s="36" t="s">
        <v>28</v>
      </c>
      <c r="AC70" s="36" t="s">
        <v>28</v>
      </c>
      <c r="AD70" s="36" t="s">
        <v>28</v>
      </c>
      <c r="AE70" s="36" t="s">
        <v>28</v>
      </c>
      <c r="AF70" s="36" t="s">
        <v>28</v>
      </c>
      <c r="AG70" s="36" t="s">
        <v>28</v>
      </c>
      <c r="AH70" s="36" t="s">
        <v>28</v>
      </c>
      <c r="AI70" s="36" t="s">
        <v>28</v>
      </c>
      <c r="AJ70" s="36" t="s">
        <v>28</v>
      </c>
      <c r="AK70" s="36" t="s">
        <v>28</v>
      </c>
      <c r="AL70" s="36" t="s">
        <v>28</v>
      </c>
      <c r="AM70" s="36" t="s">
        <v>28</v>
      </c>
      <c r="AN70" s="36" t="s">
        <v>28</v>
      </c>
      <c r="AO70" s="36" t="s">
        <v>28</v>
      </c>
      <c r="AP70" s="36" t="s">
        <v>28</v>
      </c>
      <c r="AQ70" s="36" t="s">
        <v>28</v>
      </c>
      <c r="AR70" s="36" t="s">
        <v>28</v>
      </c>
      <c r="AS70" s="36" t="s">
        <v>28</v>
      </c>
      <c r="AT70" s="36" t="s">
        <v>28</v>
      </c>
      <c r="AU70" s="36" t="s">
        <v>28</v>
      </c>
      <c r="AV70" s="36"/>
      <c r="AW70" s="36"/>
      <c r="AX70" s="36"/>
      <c r="AY70" s="36" t="s">
        <v>28</v>
      </c>
      <c r="AZ70" s="36" t="s">
        <v>28</v>
      </c>
      <c r="BA70" s="36" t="s">
        <v>28</v>
      </c>
      <c r="BB70" s="36" t="s">
        <v>28</v>
      </c>
      <c r="BC70" s="36" t="s">
        <v>28</v>
      </c>
      <c r="BD70" s="36" t="s">
        <v>28</v>
      </c>
      <c r="BE70" s="36" t="s">
        <v>28</v>
      </c>
      <c r="BF70" s="36">
        <v>2000</v>
      </c>
      <c r="BG70" s="36" t="s">
        <v>28</v>
      </c>
      <c r="BH70" s="36" t="s">
        <v>28</v>
      </c>
      <c r="BI70" s="36" t="s">
        <v>28</v>
      </c>
      <c r="BJ70" s="36" t="s">
        <v>28</v>
      </c>
      <c r="BK70" s="36" t="s">
        <v>28</v>
      </c>
      <c r="BL70" s="36" t="s">
        <v>28</v>
      </c>
      <c r="BM70" s="36" t="s">
        <v>28</v>
      </c>
      <c r="BN70" s="36" t="s">
        <v>28</v>
      </c>
      <c r="BO70" s="36" t="s">
        <v>28</v>
      </c>
      <c r="BP70" s="36" t="s">
        <v>28</v>
      </c>
      <c r="BQ70" s="36" t="s">
        <v>28</v>
      </c>
      <c r="BR70" s="36" t="s">
        <v>28</v>
      </c>
      <c r="BS70" s="36" t="s">
        <v>28</v>
      </c>
      <c r="BT70" s="36" t="s">
        <v>28</v>
      </c>
      <c r="BU70" s="36" t="s">
        <v>28</v>
      </c>
      <c r="BV70" s="36" t="s">
        <v>28</v>
      </c>
      <c r="BW70" s="36" t="s">
        <v>28</v>
      </c>
      <c r="BX70" s="36" t="s">
        <v>28</v>
      </c>
      <c r="BY70" s="36" t="s">
        <v>28</v>
      </c>
      <c r="BZ70" s="36" t="s">
        <v>28</v>
      </c>
      <c r="CA70" s="36" t="s">
        <v>28</v>
      </c>
      <c r="CB70" s="36" t="s">
        <v>28</v>
      </c>
      <c r="CC70" s="36" t="s">
        <v>28</v>
      </c>
    </row>
    <row r="71" s="118" customFormat="1" ht="25.05" customHeight="1" spans="1:81">
      <c r="A71" s="36">
        <v>27</v>
      </c>
      <c r="B71" s="142" t="s">
        <v>149</v>
      </c>
      <c r="C71" s="143" t="s">
        <v>150</v>
      </c>
      <c r="D71" s="95"/>
      <c r="E71" s="135" t="s">
        <v>199</v>
      </c>
      <c r="F71" s="136" t="s">
        <v>194</v>
      </c>
      <c r="G71" s="136">
        <v>55</v>
      </c>
      <c r="H71" s="95" t="s">
        <v>27</v>
      </c>
      <c r="I71" s="36">
        <v>0</v>
      </c>
      <c r="J71" s="36">
        <v>0</v>
      </c>
      <c r="K71" s="36">
        <v>105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7">
        <v>105</v>
      </c>
      <c r="R71" s="36"/>
      <c r="S71" s="36"/>
      <c r="T71" s="36" t="s">
        <v>28</v>
      </c>
      <c r="U71" s="36" t="s">
        <v>28</v>
      </c>
      <c r="V71" s="36" t="s">
        <v>28</v>
      </c>
      <c r="W71" s="36" t="s">
        <v>28</v>
      </c>
      <c r="X71" s="36" t="s">
        <v>28</v>
      </c>
      <c r="Y71" s="36">
        <v>105</v>
      </c>
      <c r="Z71" s="36" t="s">
        <v>28</v>
      </c>
      <c r="AA71" s="36" t="s">
        <v>28</v>
      </c>
      <c r="AB71" s="36" t="s">
        <v>28</v>
      </c>
      <c r="AC71" s="36" t="s">
        <v>28</v>
      </c>
      <c r="AD71" s="36" t="s">
        <v>28</v>
      </c>
      <c r="AE71" s="36" t="s">
        <v>28</v>
      </c>
      <c r="AF71" s="36" t="s">
        <v>28</v>
      </c>
      <c r="AG71" s="36" t="s">
        <v>28</v>
      </c>
      <c r="AH71" s="36" t="s">
        <v>28</v>
      </c>
      <c r="AI71" s="36" t="s">
        <v>28</v>
      </c>
      <c r="AJ71" s="36" t="s">
        <v>28</v>
      </c>
      <c r="AK71" s="36" t="s">
        <v>28</v>
      </c>
      <c r="AL71" s="36" t="s">
        <v>28</v>
      </c>
      <c r="AM71" s="36" t="s">
        <v>28</v>
      </c>
      <c r="AN71" s="36" t="s">
        <v>28</v>
      </c>
      <c r="AO71" s="36" t="s">
        <v>28</v>
      </c>
      <c r="AP71" s="36" t="s">
        <v>28</v>
      </c>
      <c r="AQ71" s="36" t="s">
        <v>28</v>
      </c>
      <c r="AR71" s="36" t="s">
        <v>28</v>
      </c>
      <c r="AS71" s="36" t="s">
        <v>28</v>
      </c>
      <c r="AT71" s="36" t="s">
        <v>28</v>
      </c>
      <c r="AU71" s="36" t="s">
        <v>28</v>
      </c>
      <c r="AV71" s="36"/>
      <c r="AW71" s="36"/>
      <c r="AX71" s="36"/>
      <c r="AY71" s="36" t="s">
        <v>28</v>
      </c>
      <c r="AZ71" s="36" t="s">
        <v>28</v>
      </c>
      <c r="BA71" s="36" t="s">
        <v>28</v>
      </c>
      <c r="BB71" s="36" t="s">
        <v>28</v>
      </c>
      <c r="BC71" s="36" t="s">
        <v>28</v>
      </c>
      <c r="BD71" s="36" t="s">
        <v>28</v>
      </c>
      <c r="BE71" s="36" t="s">
        <v>28</v>
      </c>
      <c r="BF71" s="36" t="s">
        <v>28</v>
      </c>
      <c r="BG71" s="36" t="s">
        <v>28</v>
      </c>
      <c r="BH71" s="36" t="s">
        <v>28</v>
      </c>
      <c r="BI71" s="36" t="s">
        <v>28</v>
      </c>
      <c r="BJ71" s="36" t="s">
        <v>28</v>
      </c>
      <c r="BK71" s="36" t="s">
        <v>28</v>
      </c>
      <c r="BL71" s="36" t="s">
        <v>28</v>
      </c>
      <c r="BM71" s="36" t="s">
        <v>28</v>
      </c>
      <c r="BN71" s="36" t="s">
        <v>28</v>
      </c>
      <c r="BO71" s="36" t="s">
        <v>28</v>
      </c>
      <c r="BP71" s="36" t="s">
        <v>28</v>
      </c>
      <c r="BQ71" s="36" t="s">
        <v>28</v>
      </c>
      <c r="BR71" s="36" t="s">
        <v>28</v>
      </c>
      <c r="BS71" s="36" t="s">
        <v>28</v>
      </c>
      <c r="BT71" s="36" t="s">
        <v>28</v>
      </c>
      <c r="BU71" s="36" t="s">
        <v>28</v>
      </c>
      <c r="BV71" s="36" t="s">
        <v>28</v>
      </c>
      <c r="BW71" s="36" t="s">
        <v>28</v>
      </c>
      <c r="BX71" s="36" t="s">
        <v>28</v>
      </c>
      <c r="BY71" s="36" t="s">
        <v>28</v>
      </c>
      <c r="BZ71" s="36" t="s">
        <v>28</v>
      </c>
      <c r="CA71" s="36" t="s">
        <v>28</v>
      </c>
      <c r="CB71" s="36" t="s">
        <v>28</v>
      </c>
      <c r="CC71" s="36" t="s">
        <v>28</v>
      </c>
    </row>
    <row r="72" s="118" customFormat="1" ht="25.05" customHeight="1" spans="1:81">
      <c r="A72" s="36">
        <v>28</v>
      </c>
      <c r="B72" s="142" t="s">
        <v>149</v>
      </c>
      <c r="C72" s="143" t="s">
        <v>150</v>
      </c>
      <c r="D72" s="95"/>
      <c r="E72" s="135" t="s">
        <v>200</v>
      </c>
      <c r="F72" s="136" t="s">
        <v>194</v>
      </c>
      <c r="G72" s="136">
        <v>55</v>
      </c>
      <c r="H72" s="95" t="s">
        <v>27</v>
      </c>
      <c r="I72" s="36">
        <v>0</v>
      </c>
      <c r="J72" s="36">
        <v>0</v>
      </c>
      <c r="K72" s="36">
        <v>105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7">
        <v>105</v>
      </c>
      <c r="R72" s="36"/>
      <c r="S72" s="36"/>
      <c r="T72" s="36" t="s">
        <v>28</v>
      </c>
      <c r="U72" s="36" t="s">
        <v>28</v>
      </c>
      <c r="V72" s="36" t="s">
        <v>28</v>
      </c>
      <c r="W72" s="36" t="s">
        <v>28</v>
      </c>
      <c r="X72" s="36" t="s">
        <v>28</v>
      </c>
      <c r="Y72" s="36">
        <v>105</v>
      </c>
      <c r="Z72" s="36" t="s">
        <v>28</v>
      </c>
      <c r="AA72" s="36" t="s">
        <v>28</v>
      </c>
      <c r="AB72" s="36" t="s">
        <v>28</v>
      </c>
      <c r="AC72" s="36" t="s">
        <v>28</v>
      </c>
      <c r="AD72" s="36" t="s">
        <v>28</v>
      </c>
      <c r="AE72" s="36" t="s">
        <v>28</v>
      </c>
      <c r="AF72" s="36" t="s">
        <v>28</v>
      </c>
      <c r="AG72" s="36" t="s">
        <v>28</v>
      </c>
      <c r="AH72" s="36" t="s">
        <v>28</v>
      </c>
      <c r="AI72" s="36" t="s">
        <v>28</v>
      </c>
      <c r="AJ72" s="36" t="s">
        <v>28</v>
      </c>
      <c r="AK72" s="36" t="s">
        <v>28</v>
      </c>
      <c r="AL72" s="36" t="s">
        <v>28</v>
      </c>
      <c r="AM72" s="36" t="s">
        <v>28</v>
      </c>
      <c r="AN72" s="36" t="s">
        <v>28</v>
      </c>
      <c r="AO72" s="36" t="s">
        <v>28</v>
      </c>
      <c r="AP72" s="36" t="s">
        <v>28</v>
      </c>
      <c r="AQ72" s="36" t="s">
        <v>28</v>
      </c>
      <c r="AR72" s="36" t="s">
        <v>28</v>
      </c>
      <c r="AS72" s="36" t="s">
        <v>28</v>
      </c>
      <c r="AT72" s="36" t="s">
        <v>28</v>
      </c>
      <c r="AU72" s="36" t="s">
        <v>28</v>
      </c>
      <c r="AV72" s="36"/>
      <c r="AW72" s="36"/>
      <c r="AX72" s="36"/>
      <c r="AY72" s="36" t="s">
        <v>28</v>
      </c>
      <c r="AZ72" s="36" t="s">
        <v>28</v>
      </c>
      <c r="BA72" s="36" t="s">
        <v>28</v>
      </c>
      <c r="BB72" s="36" t="s">
        <v>28</v>
      </c>
      <c r="BC72" s="36" t="s">
        <v>28</v>
      </c>
      <c r="BD72" s="36" t="s">
        <v>28</v>
      </c>
      <c r="BE72" s="36" t="s">
        <v>28</v>
      </c>
      <c r="BF72" s="36" t="s">
        <v>28</v>
      </c>
      <c r="BG72" s="36" t="s">
        <v>28</v>
      </c>
      <c r="BH72" s="36" t="s">
        <v>28</v>
      </c>
      <c r="BI72" s="36" t="s">
        <v>28</v>
      </c>
      <c r="BJ72" s="36" t="s">
        <v>28</v>
      </c>
      <c r="BK72" s="36" t="s">
        <v>28</v>
      </c>
      <c r="BL72" s="36" t="s">
        <v>28</v>
      </c>
      <c r="BM72" s="36" t="s">
        <v>28</v>
      </c>
      <c r="BN72" s="36" t="s">
        <v>28</v>
      </c>
      <c r="BO72" s="36" t="s">
        <v>28</v>
      </c>
      <c r="BP72" s="36" t="s">
        <v>28</v>
      </c>
      <c r="BQ72" s="36" t="s">
        <v>28</v>
      </c>
      <c r="BR72" s="36" t="s">
        <v>28</v>
      </c>
      <c r="BS72" s="36" t="s">
        <v>28</v>
      </c>
      <c r="BT72" s="36" t="s">
        <v>28</v>
      </c>
      <c r="BU72" s="36" t="s">
        <v>28</v>
      </c>
      <c r="BV72" s="36" t="s">
        <v>28</v>
      </c>
      <c r="BW72" s="36" t="s">
        <v>28</v>
      </c>
      <c r="BX72" s="36" t="s">
        <v>28</v>
      </c>
      <c r="BY72" s="36" t="s">
        <v>28</v>
      </c>
      <c r="BZ72" s="36" t="s">
        <v>28</v>
      </c>
      <c r="CA72" s="36" t="s">
        <v>28</v>
      </c>
      <c r="CB72" s="36" t="s">
        <v>28</v>
      </c>
      <c r="CC72" s="36" t="s">
        <v>28</v>
      </c>
    </row>
    <row r="73" s="118" customFormat="1" ht="25.05" customHeight="1" spans="1:81">
      <c r="A73" s="36">
        <v>29</v>
      </c>
      <c r="B73" s="142" t="s">
        <v>149</v>
      </c>
      <c r="C73" s="143" t="s">
        <v>150</v>
      </c>
      <c r="D73" s="95"/>
      <c r="E73" s="135" t="s">
        <v>201</v>
      </c>
      <c r="F73" s="136" t="s">
        <v>194</v>
      </c>
      <c r="G73" s="136">
        <v>55</v>
      </c>
      <c r="H73" s="95" t="s">
        <v>27</v>
      </c>
      <c r="I73" s="36">
        <v>0</v>
      </c>
      <c r="J73" s="36">
        <v>0</v>
      </c>
      <c r="K73" s="36">
        <v>105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7">
        <v>105</v>
      </c>
      <c r="R73" s="36"/>
      <c r="S73" s="36"/>
      <c r="T73" s="36" t="s">
        <v>28</v>
      </c>
      <c r="U73" s="36" t="s">
        <v>28</v>
      </c>
      <c r="V73" s="36" t="s">
        <v>28</v>
      </c>
      <c r="W73" s="36" t="s">
        <v>28</v>
      </c>
      <c r="X73" s="36" t="s">
        <v>28</v>
      </c>
      <c r="Y73" s="36">
        <v>105</v>
      </c>
      <c r="Z73" s="36" t="s">
        <v>28</v>
      </c>
      <c r="AA73" s="36" t="s">
        <v>28</v>
      </c>
      <c r="AB73" s="36" t="s">
        <v>28</v>
      </c>
      <c r="AC73" s="36" t="s">
        <v>28</v>
      </c>
      <c r="AD73" s="36" t="s">
        <v>28</v>
      </c>
      <c r="AE73" s="36" t="s">
        <v>28</v>
      </c>
      <c r="AF73" s="36" t="s">
        <v>28</v>
      </c>
      <c r="AG73" s="36" t="s">
        <v>28</v>
      </c>
      <c r="AH73" s="36" t="s">
        <v>28</v>
      </c>
      <c r="AI73" s="36" t="s">
        <v>28</v>
      </c>
      <c r="AJ73" s="36" t="s">
        <v>28</v>
      </c>
      <c r="AK73" s="36" t="s">
        <v>28</v>
      </c>
      <c r="AL73" s="36" t="s">
        <v>28</v>
      </c>
      <c r="AM73" s="36" t="s">
        <v>28</v>
      </c>
      <c r="AN73" s="36" t="s">
        <v>28</v>
      </c>
      <c r="AO73" s="36" t="s">
        <v>28</v>
      </c>
      <c r="AP73" s="36" t="s">
        <v>28</v>
      </c>
      <c r="AQ73" s="36" t="s">
        <v>28</v>
      </c>
      <c r="AR73" s="36" t="s">
        <v>28</v>
      </c>
      <c r="AS73" s="36" t="s">
        <v>28</v>
      </c>
      <c r="AT73" s="36" t="s">
        <v>28</v>
      </c>
      <c r="AU73" s="36" t="s">
        <v>28</v>
      </c>
      <c r="AV73" s="36"/>
      <c r="AW73" s="36"/>
      <c r="AX73" s="36"/>
      <c r="AY73" s="36" t="s">
        <v>28</v>
      </c>
      <c r="AZ73" s="36" t="s">
        <v>28</v>
      </c>
      <c r="BA73" s="36" t="s">
        <v>28</v>
      </c>
      <c r="BB73" s="36" t="s">
        <v>28</v>
      </c>
      <c r="BC73" s="36" t="s">
        <v>28</v>
      </c>
      <c r="BD73" s="36" t="s">
        <v>28</v>
      </c>
      <c r="BE73" s="36" t="s">
        <v>28</v>
      </c>
      <c r="BF73" s="36" t="s">
        <v>28</v>
      </c>
      <c r="BG73" s="36" t="s">
        <v>28</v>
      </c>
      <c r="BH73" s="36" t="s">
        <v>28</v>
      </c>
      <c r="BI73" s="36" t="s">
        <v>28</v>
      </c>
      <c r="BJ73" s="36" t="s">
        <v>28</v>
      </c>
      <c r="BK73" s="36" t="s">
        <v>28</v>
      </c>
      <c r="BL73" s="36" t="s">
        <v>28</v>
      </c>
      <c r="BM73" s="36" t="s">
        <v>28</v>
      </c>
      <c r="BN73" s="36" t="s">
        <v>28</v>
      </c>
      <c r="BO73" s="36" t="s">
        <v>28</v>
      </c>
      <c r="BP73" s="36" t="s">
        <v>28</v>
      </c>
      <c r="BQ73" s="36" t="s">
        <v>28</v>
      </c>
      <c r="BR73" s="36" t="s">
        <v>28</v>
      </c>
      <c r="BS73" s="36" t="s">
        <v>28</v>
      </c>
      <c r="BT73" s="36" t="s">
        <v>28</v>
      </c>
      <c r="BU73" s="36" t="s">
        <v>28</v>
      </c>
      <c r="BV73" s="36" t="s">
        <v>28</v>
      </c>
      <c r="BW73" s="36" t="s">
        <v>28</v>
      </c>
      <c r="BX73" s="36" t="s">
        <v>28</v>
      </c>
      <c r="BY73" s="36" t="s">
        <v>28</v>
      </c>
      <c r="BZ73" s="36" t="s">
        <v>28</v>
      </c>
      <c r="CA73" s="36" t="s">
        <v>28</v>
      </c>
      <c r="CB73" s="36" t="s">
        <v>28</v>
      </c>
      <c r="CC73" s="36" t="s">
        <v>28</v>
      </c>
    </row>
    <row r="74" s="118" customFormat="1" ht="25.05" customHeight="1" spans="1:81">
      <c r="A74" s="36">
        <v>30</v>
      </c>
      <c r="B74" s="94" t="s">
        <v>149</v>
      </c>
      <c r="C74" s="95" t="s">
        <v>150</v>
      </c>
      <c r="D74" s="95"/>
      <c r="E74" s="135" t="s">
        <v>202</v>
      </c>
      <c r="F74" s="136" t="s">
        <v>194</v>
      </c>
      <c r="G74" s="136">
        <v>21</v>
      </c>
      <c r="H74" s="95" t="s">
        <v>27</v>
      </c>
      <c r="I74" s="36">
        <v>0</v>
      </c>
      <c r="J74" s="36">
        <v>0</v>
      </c>
      <c r="K74" s="36">
        <v>105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7">
        <v>105</v>
      </c>
      <c r="R74" s="36"/>
      <c r="S74" s="36"/>
      <c r="T74" s="36" t="s">
        <v>28</v>
      </c>
      <c r="U74" s="36" t="s">
        <v>28</v>
      </c>
      <c r="V74" s="36" t="s">
        <v>28</v>
      </c>
      <c r="W74" s="36" t="s">
        <v>28</v>
      </c>
      <c r="X74" s="36" t="s">
        <v>28</v>
      </c>
      <c r="Y74" s="36">
        <v>105</v>
      </c>
      <c r="Z74" s="36" t="s">
        <v>28</v>
      </c>
      <c r="AA74" s="36" t="s">
        <v>28</v>
      </c>
      <c r="AB74" s="36" t="s">
        <v>28</v>
      </c>
      <c r="AC74" s="36" t="s">
        <v>28</v>
      </c>
      <c r="AD74" s="36" t="s">
        <v>28</v>
      </c>
      <c r="AE74" s="36" t="s">
        <v>28</v>
      </c>
      <c r="AF74" s="36" t="s">
        <v>28</v>
      </c>
      <c r="AG74" s="36" t="s">
        <v>28</v>
      </c>
      <c r="AH74" s="36" t="s">
        <v>28</v>
      </c>
      <c r="AI74" s="36" t="s">
        <v>28</v>
      </c>
      <c r="AJ74" s="36" t="s">
        <v>28</v>
      </c>
      <c r="AK74" s="36" t="s">
        <v>28</v>
      </c>
      <c r="AL74" s="36" t="s">
        <v>28</v>
      </c>
      <c r="AM74" s="36" t="s">
        <v>28</v>
      </c>
      <c r="AN74" s="36" t="s">
        <v>28</v>
      </c>
      <c r="AO74" s="36" t="s">
        <v>28</v>
      </c>
      <c r="AP74" s="36" t="s">
        <v>28</v>
      </c>
      <c r="AQ74" s="36" t="s">
        <v>28</v>
      </c>
      <c r="AR74" s="36" t="s">
        <v>28</v>
      </c>
      <c r="AS74" s="36" t="s">
        <v>28</v>
      </c>
      <c r="AT74" s="36" t="s">
        <v>28</v>
      </c>
      <c r="AU74" s="36" t="s">
        <v>28</v>
      </c>
      <c r="AV74" s="36"/>
      <c r="AW74" s="36"/>
      <c r="AX74" s="36"/>
      <c r="AY74" s="36" t="s">
        <v>28</v>
      </c>
      <c r="AZ74" s="36" t="s">
        <v>28</v>
      </c>
      <c r="BA74" s="36" t="s">
        <v>28</v>
      </c>
      <c r="BB74" s="36" t="s">
        <v>28</v>
      </c>
      <c r="BC74" s="36" t="s">
        <v>28</v>
      </c>
      <c r="BD74" s="36" t="s">
        <v>28</v>
      </c>
      <c r="BE74" s="36" t="s">
        <v>28</v>
      </c>
      <c r="BF74" s="36" t="s">
        <v>28</v>
      </c>
      <c r="BG74" s="36" t="s">
        <v>28</v>
      </c>
      <c r="BH74" s="36" t="s">
        <v>28</v>
      </c>
      <c r="BI74" s="36" t="s">
        <v>28</v>
      </c>
      <c r="BJ74" s="36" t="s">
        <v>28</v>
      </c>
      <c r="BK74" s="36" t="s">
        <v>28</v>
      </c>
      <c r="BL74" s="36" t="s">
        <v>28</v>
      </c>
      <c r="BM74" s="36" t="s">
        <v>28</v>
      </c>
      <c r="BN74" s="36" t="s">
        <v>28</v>
      </c>
      <c r="BO74" s="36" t="s">
        <v>28</v>
      </c>
      <c r="BP74" s="36" t="s">
        <v>28</v>
      </c>
      <c r="BQ74" s="36" t="s">
        <v>28</v>
      </c>
      <c r="BR74" s="36" t="s">
        <v>28</v>
      </c>
      <c r="BS74" s="36" t="s">
        <v>28</v>
      </c>
      <c r="BT74" s="36" t="s">
        <v>28</v>
      </c>
      <c r="BU74" s="36" t="s">
        <v>28</v>
      </c>
      <c r="BV74" s="36" t="s">
        <v>28</v>
      </c>
      <c r="BW74" s="36" t="s">
        <v>28</v>
      </c>
      <c r="BX74" s="36" t="s">
        <v>28</v>
      </c>
      <c r="BY74" s="36" t="s">
        <v>28</v>
      </c>
      <c r="BZ74" s="36" t="s">
        <v>28</v>
      </c>
      <c r="CA74" s="36" t="s">
        <v>28</v>
      </c>
      <c r="CB74" s="36" t="s">
        <v>28</v>
      </c>
      <c r="CC74" s="36" t="s">
        <v>28</v>
      </c>
    </row>
    <row r="75" s="118" customFormat="1" ht="25.05" customHeight="1" spans="1:81">
      <c r="A75" s="36">
        <v>1</v>
      </c>
      <c r="B75" s="94" t="s">
        <v>203</v>
      </c>
      <c r="C75" s="95" t="s">
        <v>204</v>
      </c>
      <c r="D75" s="95" t="s">
        <v>28</v>
      </c>
      <c r="E75" s="135" t="s">
        <v>205</v>
      </c>
      <c r="F75" s="136" t="s">
        <v>206</v>
      </c>
      <c r="G75" s="136">
        <v>45</v>
      </c>
      <c r="H75" s="95" t="s">
        <v>27</v>
      </c>
      <c r="I75" s="36">
        <v>720</v>
      </c>
      <c r="J75" s="129">
        <v>0</v>
      </c>
      <c r="K75" s="36">
        <v>0</v>
      </c>
      <c r="L75" s="130">
        <v>0</v>
      </c>
      <c r="M75" s="36">
        <v>0</v>
      </c>
      <c r="N75" s="36">
        <v>0</v>
      </c>
      <c r="O75" s="36">
        <v>0</v>
      </c>
      <c r="P75" s="36">
        <v>0</v>
      </c>
      <c r="Q75" s="37">
        <v>720</v>
      </c>
      <c r="R75" s="36"/>
      <c r="S75" s="36">
        <v>1</v>
      </c>
      <c r="T75" s="36" t="s">
        <v>28</v>
      </c>
      <c r="U75" s="36" t="s">
        <v>28</v>
      </c>
      <c r="V75" s="36" t="s">
        <v>28</v>
      </c>
      <c r="W75" s="36" t="s">
        <v>28</v>
      </c>
      <c r="X75" s="36" t="s">
        <v>28</v>
      </c>
      <c r="Y75" s="36" t="s">
        <v>28</v>
      </c>
      <c r="Z75" s="36" t="s">
        <v>28</v>
      </c>
      <c r="AA75" s="36" t="s">
        <v>28</v>
      </c>
      <c r="AB75" s="36" t="s">
        <v>28</v>
      </c>
      <c r="AC75" s="36" t="s">
        <v>28</v>
      </c>
      <c r="AD75" s="36" t="s">
        <v>28</v>
      </c>
      <c r="AE75" s="36" t="s">
        <v>28</v>
      </c>
      <c r="AF75" s="36" t="s">
        <v>28</v>
      </c>
      <c r="AG75" s="36" t="s">
        <v>28</v>
      </c>
      <c r="AH75" s="36" t="s">
        <v>28</v>
      </c>
      <c r="AI75" s="36" t="s">
        <v>28</v>
      </c>
      <c r="AJ75" s="36" t="s">
        <v>28</v>
      </c>
      <c r="AK75" s="36" t="s">
        <v>28</v>
      </c>
      <c r="AL75" s="36" t="s">
        <v>28</v>
      </c>
      <c r="AM75" s="36" t="s">
        <v>28</v>
      </c>
      <c r="AN75" s="36" t="s">
        <v>28</v>
      </c>
      <c r="AO75" s="36" t="s">
        <v>28</v>
      </c>
      <c r="AP75" s="36" t="s">
        <v>28</v>
      </c>
      <c r="AQ75" s="36" t="s">
        <v>28</v>
      </c>
      <c r="AR75" s="36" t="s">
        <v>28</v>
      </c>
      <c r="AS75" s="36" t="s">
        <v>28</v>
      </c>
      <c r="AT75" s="36" t="s">
        <v>28</v>
      </c>
      <c r="AU75" s="36" t="s">
        <v>28</v>
      </c>
      <c r="AV75" s="36" t="s">
        <v>28</v>
      </c>
      <c r="AW75" s="36" t="s">
        <v>28</v>
      </c>
      <c r="AX75" s="36" t="s">
        <v>28</v>
      </c>
      <c r="AY75" s="36" t="s">
        <v>28</v>
      </c>
      <c r="AZ75" s="36" t="s">
        <v>28</v>
      </c>
      <c r="BA75" s="36" t="s">
        <v>28</v>
      </c>
      <c r="BB75" s="36" t="s">
        <v>28</v>
      </c>
      <c r="BC75" s="36" t="s">
        <v>28</v>
      </c>
      <c r="BD75" s="36" t="s">
        <v>28</v>
      </c>
      <c r="BE75" s="36" t="s">
        <v>28</v>
      </c>
      <c r="BF75" s="36" t="s">
        <v>28</v>
      </c>
      <c r="BG75" s="36" t="s">
        <v>28</v>
      </c>
      <c r="BH75" s="36" t="s">
        <v>28</v>
      </c>
      <c r="BI75" s="36" t="s">
        <v>28</v>
      </c>
      <c r="BJ75" s="36" t="s">
        <v>28</v>
      </c>
      <c r="BK75" s="36" t="s">
        <v>28</v>
      </c>
      <c r="BL75" s="36" t="s">
        <v>28</v>
      </c>
      <c r="BM75" s="36" t="s">
        <v>28</v>
      </c>
      <c r="BN75" s="36" t="s">
        <v>28</v>
      </c>
      <c r="BO75" s="36" t="s">
        <v>28</v>
      </c>
      <c r="BP75" s="36" t="s">
        <v>28</v>
      </c>
      <c r="BQ75" s="36" t="s">
        <v>28</v>
      </c>
      <c r="BR75" s="36" t="s">
        <v>28</v>
      </c>
      <c r="BS75" s="36" t="s">
        <v>28</v>
      </c>
      <c r="BT75" s="36" t="s">
        <v>28</v>
      </c>
      <c r="BU75" s="36" t="s">
        <v>28</v>
      </c>
      <c r="BV75" s="36" t="s">
        <v>28</v>
      </c>
      <c r="BW75" s="36" t="s">
        <v>28</v>
      </c>
      <c r="BX75" s="36" t="s">
        <v>28</v>
      </c>
      <c r="BY75" s="36" t="s">
        <v>28</v>
      </c>
      <c r="BZ75" s="36" t="s">
        <v>28</v>
      </c>
      <c r="CA75" s="36" t="s">
        <v>28</v>
      </c>
      <c r="CB75" s="36" t="s">
        <v>28</v>
      </c>
      <c r="CC75" s="36" t="s">
        <v>28</v>
      </c>
    </row>
    <row r="76" s="118" customFormat="1" ht="25.05" customHeight="1" spans="1:81">
      <c r="A76" s="36">
        <v>2</v>
      </c>
      <c r="B76" s="94" t="s">
        <v>203</v>
      </c>
      <c r="C76" s="95" t="s">
        <v>204</v>
      </c>
      <c r="D76" s="95" t="s">
        <v>28</v>
      </c>
      <c r="E76" s="135" t="s">
        <v>207</v>
      </c>
      <c r="F76" s="136" t="s">
        <v>208</v>
      </c>
      <c r="G76" s="136">
        <v>40</v>
      </c>
      <c r="H76" s="95" t="s">
        <v>27</v>
      </c>
      <c r="I76" s="36">
        <v>3200</v>
      </c>
      <c r="J76" s="129">
        <v>0</v>
      </c>
      <c r="K76" s="36">
        <v>6400</v>
      </c>
      <c r="L76" s="130">
        <v>1280</v>
      </c>
      <c r="M76" s="36">
        <v>0</v>
      </c>
      <c r="N76" s="36">
        <v>0</v>
      </c>
      <c r="O76" s="36">
        <v>0</v>
      </c>
      <c r="P76" s="36">
        <v>0</v>
      </c>
      <c r="Q76" s="37">
        <v>8320</v>
      </c>
      <c r="R76" s="36"/>
      <c r="S76" s="36">
        <v>1</v>
      </c>
      <c r="T76" s="36" t="s">
        <v>28</v>
      </c>
      <c r="U76" s="36" t="s">
        <v>28</v>
      </c>
      <c r="V76" s="36" t="s">
        <v>28</v>
      </c>
      <c r="W76" s="36" t="s">
        <v>28</v>
      </c>
      <c r="X76" s="36" t="s">
        <v>28</v>
      </c>
      <c r="Y76" s="36" t="s">
        <v>28</v>
      </c>
      <c r="Z76" s="36">
        <v>6400</v>
      </c>
      <c r="AA76" s="36" t="s">
        <v>28</v>
      </c>
      <c r="AB76" s="36" t="s">
        <v>28</v>
      </c>
      <c r="AC76" s="36" t="s">
        <v>28</v>
      </c>
      <c r="AD76" s="36" t="s">
        <v>28</v>
      </c>
      <c r="AE76" s="36" t="s">
        <v>28</v>
      </c>
      <c r="AF76" s="36" t="s">
        <v>28</v>
      </c>
      <c r="AG76" s="36" t="s">
        <v>28</v>
      </c>
      <c r="AH76" s="36" t="s">
        <v>28</v>
      </c>
      <c r="AI76" s="36" t="s">
        <v>28</v>
      </c>
      <c r="AJ76" s="36" t="s">
        <v>28</v>
      </c>
      <c r="AK76" s="36" t="s">
        <v>28</v>
      </c>
      <c r="AL76" s="36" t="s">
        <v>28</v>
      </c>
      <c r="AM76" s="36" t="s">
        <v>28</v>
      </c>
      <c r="AN76" s="36" t="s">
        <v>28</v>
      </c>
      <c r="AO76" s="36" t="s">
        <v>28</v>
      </c>
      <c r="AP76" s="36" t="s">
        <v>28</v>
      </c>
      <c r="AQ76" s="36" t="s">
        <v>28</v>
      </c>
      <c r="AR76" s="36" t="s">
        <v>28</v>
      </c>
      <c r="AS76" s="36" t="s">
        <v>28</v>
      </c>
      <c r="AT76" s="36" t="s">
        <v>28</v>
      </c>
      <c r="AU76" s="36" t="s">
        <v>28</v>
      </c>
      <c r="AV76" s="36" t="s">
        <v>28</v>
      </c>
      <c r="AW76" s="36" t="s">
        <v>28</v>
      </c>
      <c r="AX76" s="36" t="s">
        <v>28</v>
      </c>
      <c r="AY76" s="36" t="s">
        <v>28</v>
      </c>
      <c r="AZ76" s="36" t="s">
        <v>28</v>
      </c>
      <c r="BA76" s="36" t="s">
        <v>28</v>
      </c>
      <c r="BB76" s="36">
        <v>1280</v>
      </c>
      <c r="BC76" s="36" t="s">
        <v>28</v>
      </c>
      <c r="BD76" s="36" t="s">
        <v>28</v>
      </c>
      <c r="BE76" s="36" t="s">
        <v>28</v>
      </c>
      <c r="BF76" s="36" t="s">
        <v>28</v>
      </c>
      <c r="BG76" s="36" t="s">
        <v>28</v>
      </c>
      <c r="BH76" s="36" t="s">
        <v>28</v>
      </c>
      <c r="BI76" s="36" t="s">
        <v>28</v>
      </c>
      <c r="BJ76" s="36" t="s">
        <v>28</v>
      </c>
      <c r="BK76" s="36" t="s">
        <v>28</v>
      </c>
      <c r="BL76" s="36" t="s">
        <v>28</v>
      </c>
      <c r="BM76" s="36" t="s">
        <v>28</v>
      </c>
      <c r="BN76" s="36" t="s">
        <v>28</v>
      </c>
      <c r="BO76" s="36" t="s">
        <v>28</v>
      </c>
      <c r="BP76" s="36" t="s">
        <v>28</v>
      </c>
      <c r="BQ76" s="36" t="s">
        <v>28</v>
      </c>
      <c r="BR76" s="36" t="s">
        <v>28</v>
      </c>
      <c r="BS76" s="36" t="s">
        <v>28</v>
      </c>
      <c r="BT76" s="36" t="s">
        <v>28</v>
      </c>
      <c r="BU76" s="36" t="s">
        <v>28</v>
      </c>
      <c r="BV76" s="36" t="s">
        <v>28</v>
      </c>
      <c r="BW76" s="36" t="s">
        <v>28</v>
      </c>
      <c r="BX76" s="36" t="s">
        <v>28</v>
      </c>
      <c r="BY76" s="36" t="s">
        <v>28</v>
      </c>
      <c r="BZ76" s="36" t="s">
        <v>28</v>
      </c>
      <c r="CA76" s="36" t="s">
        <v>28</v>
      </c>
      <c r="CB76" s="36" t="s">
        <v>28</v>
      </c>
      <c r="CC76" s="36" t="s">
        <v>28</v>
      </c>
    </row>
    <row r="77" s="118" customFormat="1" ht="25.05" customHeight="1" spans="1:81">
      <c r="A77" s="36">
        <v>1</v>
      </c>
      <c r="B77" s="94" t="s">
        <v>209</v>
      </c>
      <c r="C77" s="95" t="s">
        <v>210</v>
      </c>
      <c r="D77" s="95" t="s">
        <v>28</v>
      </c>
      <c r="E77" s="135" t="s">
        <v>211</v>
      </c>
      <c r="F77" s="136" t="s">
        <v>212</v>
      </c>
      <c r="G77" s="136">
        <v>84</v>
      </c>
      <c r="H77" s="95" t="s">
        <v>27</v>
      </c>
      <c r="I77" s="36">
        <v>3360</v>
      </c>
      <c r="J77" s="129">
        <v>0</v>
      </c>
      <c r="K77" s="36">
        <v>6720</v>
      </c>
      <c r="L77" s="130">
        <v>3360</v>
      </c>
      <c r="M77" s="36">
        <v>0</v>
      </c>
      <c r="N77" s="36">
        <v>0</v>
      </c>
      <c r="O77" s="36">
        <v>0</v>
      </c>
      <c r="P77" s="36">
        <v>0</v>
      </c>
      <c r="Q77" s="37">
        <v>6720</v>
      </c>
      <c r="R77" s="36"/>
      <c r="S77" s="36">
        <v>1</v>
      </c>
      <c r="T77" s="36" t="s">
        <v>28</v>
      </c>
      <c r="U77" s="36" t="s">
        <v>28</v>
      </c>
      <c r="V77" s="36" t="s">
        <v>28</v>
      </c>
      <c r="W77" s="36" t="s">
        <v>28</v>
      </c>
      <c r="X77" s="36">
        <v>3360</v>
      </c>
      <c r="Y77" s="36" t="s">
        <v>28</v>
      </c>
      <c r="Z77" s="36" t="s">
        <v>28</v>
      </c>
      <c r="AA77" s="36">
        <v>3360</v>
      </c>
      <c r="AB77" s="36" t="s">
        <v>28</v>
      </c>
      <c r="AC77" s="36" t="s">
        <v>28</v>
      </c>
      <c r="AD77" s="36" t="s">
        <v>28</v>
      </c>
      <c r="AE77" s="36" t="s">
        <v>28</v>
      </c>
      <c r="AF77" s="36" t="s">
        <v>28</v>
      </c>
      <c r="AG77" s="36" t="s">
        <v>28</v>
      </c>
      <c r="AH77" s="36" t="s">
        <v>28</v>
      </c>
      <c r="AI77" s="36" t="s">
        <v>28</v>
      </c>
      <c r="AJ77" s="36" t="s">
        <v>28</v>
      </c>
      <c r="AK77" s="36" t="s">
        <v>28</v>
      </c>
      <c r="AL77" s="36" t="s">
        <v>28</v>
      </c>
      <c r="AM77" s="36" t="s">
        <v>28</v>
      </c>
      <c r="AN77" s="36" t="s">
        <v>28</v>
      </c>
      <c r="AO77" s="36" t="s">
        <v>28</v>
      </c>
      <c r="AP77" s="36" t="s">
        <v>28</v>
      </c>
      <c r="AQ77" s="36" t="s">
        <v>28</v>
      </c>
      <c r="AR77" s="36" t="s">
        <v>28</v>
      </c>
      <c r="AS77" s="36" t="s">
        <v>28</v>
      </c>
      <c r="AT77" s="36" t="s">
        <v>28</v>
      </c>
      <c r="AU77" s="36" t="s">
        <v>28</v>
      </c>
      <c r="AV77" s="36"/>
      <c r="AW77" s="36"/>
      <c r="AX77" s="36"/>
      <c r="AY77" s="36" t="s">
        <v>28</v>
      </c>
      <c r="AZ77" s="36" t="s">
        <v>28</v>
      </c>
      <c r="BA77" s="36">
        <v>3360</v>
      </c>
      <c r="BB77" s="36" t="s">
        <v>28</v>
      </c>
      <c r="BC77" s="36" t="s">
        <v>28</v>
      </c>
      <c r="BD77" s="36" t="s">
        <v>28</v>
      </c>
      <c r="BE77" s="36" t="s">
        <v>28</v>
      </c>
      <c r="BF77" s="36" t="s">
        <v>28</v>
      </c>
      <c r="BG77" s="36" t="s">
        <v>28</v>
      </c>
      <c r="BH77" s="36" t="s">
        <v>28</v>
      </c>
      <c r="BI77" s="36" t="s">
        <v>28</v>
      </c>
      <c r="BJ77" s="36" t="s">
        <v>28</v>
      </c>
      <c r="BK77" s="36" t="s">
        <v>28</v>
      </c>
      <c r="BL77" s="36" t="s">
        <v>28</v>
      </c>
      <c r="BM77" s="36" t="s">
        <v>28</v>
      </c>
      <c r="BN77" s="36" t="s">
        <v>28</v>
      </c>
      <c r="BO77" s="36" t="s">
        <v>28</v>
      </c>
      <c r="BP77" s="36" t="s">
        <v>28</v>
      </c>
      <c r="BQ77" s="36" t="s">
        <v>28</v>
      </c>
      <c r="BR77" s="36" t="s">
        <v>28</v>
      </c>
      <c r="BS77" s="36" t="s">
        <v>28</v>
      </c>
      <c r="BT77" s="36" t="s">
        <v>28</v>
      </c>
      <c r="BU77" s="36" t="s">
        <v>28</v>
      </c>
      <c r="BV77" s="36" t="s">
        <v>28</v>
      </c>
      <c r="BW77" s="36" t="s">
        <v>28</v>
      </c>
      <c r="BX77" s="36" t="s">
        <v>28</v>
      </c>
      <c r="BY77" s="36" t="s">
        <v>28</v>
      </c>
      <c r="BZ77" s="36" t="s">
        <v>28</v>
      </c>
      <c r="CA77" s="36" t="s">
        <v>28</v>
      </c>
      <c r="CB77" s="36" t="s">
        <v>28</v>
      </c>
      <c r="CC77" s="36" t="s">
        <v>28</v>
      </c>
    </row>
    <row r="78" ht="25.05" customHeight="1" spans="1:81">
      <c r="A78" s="36">
        <v>1</v>
      </c>
      <c r="B78" s="37" t="s">
        <v>213</v>
      </c>
      <c r="C78" s="38" t="s">
        <v>214</v>
      </c>
      <c r="D78" s="14" t="s">
        <v>215</v>
      </c>
      <c r="E78" s="36" t="s">
        <v>216</v>
      </c>
      <c r="F78" s="36" t="s">
        <v>217</v>
      </c>
      <c r="G78" s="36">
        <v>176</v>
      </c>
      <c r="H78" s="40" t="s">
        <v>218</v>
      </c>
      <c r="I78" s="133">
        <v>1054</v>
      </c>
      <c r="J78" s="134">
        <v>0</v>
      </c>
      <c r="K78" s="36">
        <v>2642</v>
      </c>
      <c r="L78" s="130">
        <v>3168</v>
      </c>
      <c r="M78" s="36">
        <v>318</v>
      </c>
      <c r="N78" s="36">
        <v>0</v>
      </c>
      <c r="O78" s="36">
        <v>0</v>
      </c>
      <c r="P78" s="36">
        <v>318</v>
      </c>
      <c r="Q78" s="137">
        <v>528</v>
      </c>
      <c r="R78" s="133"/>
      <c r="S78" s="133">
        <v>1</v>
      </c>
      <c r="T78" s="133" t="s">
        <v>28</v>
      </c>
      <c r="U78" s="133">
        <v>352</v>
      </c>
      <c r="V78" s="133" t="s">
        <v>28</v>
      </c>
      <c r="W78" s="133">
        <v>176</v>
      </c>
      <c r="X78" s="133">
        <v>352</v>
      </c>
      <c r="Y78" s="133">
        <v>178</v>
      </c>
      <c r="Z78" s="133">
        <v>352</v>
      </c>
      <c r="AA78" s="133">
        <v>176</v>
      </c>
      <c r="AB78" s="133">
        <v>352</v>
      </c>
      <c r="AC78" s="133">
        <v>176</v>
      </c>
      <c r="AD78" s="133">
        <v>352</v>
      </c>
      <c r="AE78" s="133">
        <v>176</v>
      </c>
      <c r="AF78" s="133" t="s">
        <v>28</v>
      </c>
      <c r="AG78" s="133" t="s">
        <v>28</v>
      </c>
      <c r="AH78" s="133" t="s">
        <v>28</v>
      </c>
      <c r="AI78" s="133" t="s">
        <v>28</v>
      </c>
      <c r="AJ78" s="133" t="s">
        <v>28</v>
      </c>
      <c r="AK78" s="133" t="s">
        <v>28</v>
      </c>
      <c r="AL78" s="133" t="s">
        <v>28</v>
      </c>
      <c r="AM78" s="133" t="s">
        <v>28</v>
      </c>
      <c r="AN78" s="133" t="s">
        <v>28</v>
      </c>
      <c r="AO78" s="133" t="s">
        <v>28</v>
      </c>
      <c r="AP78" s="133" t="s">
        <v>28</v>
      </c>
      <c r="AQ78" s="133" t="s">
        <v>28</v>
      </c>
      <c r="AR78" s="133" t="s">
        <v>28</v>
      </c>
      <c r="AS78" s="133" t="s">
        <v>28</v>
      </c>
      <c r="AT78" s="133" t="s">
        <v>28</v>
      </c>
      <c r="AU78" s="133" t="s">
        <v>28</v>
      </c>
      <c r="AV78" s="133" t="s">
        <v>28</v>
      </c>
      <c r="AW78" s="133" t="s">
        <v>28</v>
      </c>
      <c r="AX78" s="133" t="s">
        <v>28</v>
      </c>
      <c r="AY78" s="133" t="s">
        <v>28</v>
      </c>
      <c r="AZ78" s="133" t="s">
        <v>28</v>
      </c>
      <c r="BA78" s="133" t="s">
        <v>28</v>
      </c>
      <c r="BB78" s="133" t="s">
        <v>28</v>
      </c>
      <c r="BC78" s="133" t="s">
        <v>28</v>
      </c>
      <c r="BD78" s="133">
        <v>1936</v>
      </c>
      <c r="BE78" s="133" t="s">
        <v>28</v>
      </c>
      <c r="BF78" s="133" t="s">
        <v>28</v>
      </c>
      <c r="BG78" s="133" t="s">
        <v>28</v>
      </c>
      <c r="BH78" s="133" t="s">
        <v>28</v>
      </c>
      <c r="BI78" s="133">
        <v>1232</v>
      </c>
      <c r="BJ78" s="133" t="s">
        <v>28</v>
      </c>
      <c r="BK78" s="133" t="s">
        <v>28</v>
      </c>
      <c r="BL78" s="133" t="s">
        <v>28</v>
      </c>
      <c r="BM78" s="133" t="s">
        <v>28</v>
      </c>
      <c r="BN78" s="133" t="s">
        <v>28</v>
      </c>
      <c r="BO78" s="133" t="s">
        <v>28</v>
      </c>
      <c r="BP78" s="133" t="s">
        <v>28</v>
      </c>
      <c r="BQ78" s="133" t="s">
        <v>28</v>
      </c>
      <c r="BR78" s="133" t="s">
        <v>28</v>
      </c>
      <c r="BS78" s="133" t="s">
        <v>28</v>
      </c>
      <c r="BT78" s="133" t="s">
        <v>28</v>
      </c>
      <c r="BU78" s="133" t="s">
        <v>28</v>
      </c>
      <c r="BV78" s="133" t="s">
        <v>28</v>
      </c>
      <c r="BW78" s="133" t="s">
        <v>28</v>
      </c>
      <c r="BX78" s="133" t="s">
        <v>28</v>
      </c>
      <c r="BY78" s="133" t="s">
        <v>28</v>
      </c>
      <c r="BZ78" s="133" t="s">
        <v>28</v>
      </c>
      <c r="CA78" s="133" t="s">
        <v>28</v>
      </c>
      <c r="CB78" s="133" t="s">
        <v>28</v>
      </c>
      <c r="CC78" s="14" t="s">
        <v>28</v>
      </c>
    </row>
    <row r="79" ht="25.05" customHeight="1" spans="1:81">
      <c r="A79" s="36">
        <v>2</v>
      </c>
      <c r="B79" s="37" t="s">
        <v>213</v>
      </c>
      <c r="C79" s="38" t="s">
        <v>214</v>
      </c>
      <c r="D79" s="14" t="s">
        <v>219</v>
      </c>
      <c r="E79" s="36" t="s">
        <v>220</v>
      </c>
      <c r="F79" s="36" t="s">
        <v>221</v>
      </c>
      <c r="G79" s="36">
        <v>54</v>
      </c>
      <c r="H79" s="40" t="s">
        <v>218</v>
      </c>
      <c r="I79" s="133">
        <v>1680</v>
      </c>
      <c r="J79" s="134">
        <v>108</v>
      </c>
      <c r="K79" s="36">
        <v>6912</v>
      </c>
      <c r="L79" s="130">
        <v>7506</v>
      </c>
      <c r="M79" s="36">
        <v>24</v>
      </c>
      <c r="N79" s="36">
        <v>16</v>
      </c>
      <c r="O79" s="36">
        <v>0</v>
      </c>
      <c r="P79" s="36">
        <v>148</v>
      </c>
      <c r="Q79" s="137">
        <v>1070</v>
      </c>
      <c r="R79" s="133"/>
      <c r="S79" s="133">
        <v>1</v>
      </c>
      <c r="T79" s="133" t="s">
        <v>28</v>
      </c>
      <c r="U79" s="133">
        <v>702</v>
      </c>
      <c r="V79" s="133" t="s">
        <v>28</v>
      </c>
      <c r="W79" s="133">
        <v>756</v>
      </c>
      <c r="X79" s="133">
        <v>702</v>
      </c>
      <c r="Y79" s="133">
        <v>756</v>
      </c>
      <c r="Z79" s="133">
        <v>702</v>
      </c>
      <c r="AA79" s="133">
        <v>756</v>
      </c>
      <c r="AB79" s="133">
        <v>702</v>
      </c>
      <c r="AC79" s="133">
        <v>756</v>
      </c>
      <c r="AD79" s="133">
        <v>324</v>
      </c>
      <c r="AE79" s="133">
        <v>756</v>
      </c>
      <c r="AF79" s="133" t="s">
        <v>28</v>
      </c>
      <c r="AG79" s="133" t="s">
        <v>28</v>
      </c>
      <c r="AH79" s="133" t="s">
        <v>28</v>
      </c>
      <c r="AI79" s="133" t="s">
        <v>28</v>
      </c>
      <c r="AJ79" s="133" t="s">
        <v>28</v>
      </c>
      <c r="AK79" s="133" t="s">
        <v>28</v>
      </c>
      <c r="AL79" s="133" t="s">
        <v>28</v>
      </c>
      <c r="AM79" s="133" t="s">
        <v>28</v>
      </c>
      <c r="AN79" s="133" t="s">
        <v>28</v>
      </c>
      <c r="AO79" s="133" t="s">
        <v>28</v>
      </c>
      <c r="AP79" s="133" t="s">
        <v>28</v>
      </c>
      <c r="AQ79" s="133" t="s">
        <v>28</v>
      </c>
      <c r="AR79" s="133" t="s">
        <v>28</v>
      </c>
      <c r="AS79" s="133" t="s">
        <v>28</v>
      </c>
      <c r="AT79" s="133" t="s">
        <v>28</v>
      </c>
      <c r="AU79" s="133" t="s">
        <v>28</v>
      </c>
      <c r="AV79" s="133" t="s">
        <v>28</v>
      </c>
      <c r="AW79" s="133" t="s">
        <v>28</v>
      </c>
      <c r="AX79" s="133" t="s">
        <v>28</v>
      </c>
      <c r="AY79" s="133" t="s">
        <v>28</v>
      </c>
      <c r="AZ79" s="133" t="s">
        <v>28</v>
      </c>
      <c r="BA79" s="133">
        <v>864</v>
      </c>
      <c r="BB79" s="133">
        <v>1134</v>
      </c>
      <c r="BC79" s="133" t="s">
        <v>28</v>
      </c>
      <c r="BD79" s="133">
        <v>1134</v>
      </c>
      <c r="BE79" s="133">
        <v>1134</v>
      </c>
      <c r="BF79" s="133">
        <v>1026</v>
      </c>
      <c r="BG79" s="133" t="s">
        <v>28</v>
      </c>
      <c r="BH79" s="133" t="s">
        <v>28</v>
      </c>
      <c r="BI79" s="133">
        <v>1080</v>
      </c>
      <c r="BJ79" s="133">
        <v>1134</v>
      </c>
      <c r="BK79" s="133" t="s">
        <v>28</v>
      </c>
      <c r="BL79" s="133" t="s">
        <v>28</v>
      </c>
      <c r="BM79" s="133" t="s">
        <v>28</v>
      </c>
      <c r="BN79" s="133" t="s">
        <v>28</v>
      </c>
      <c r="BO79" s="133" t="s">
        <v>28</v>
      </c>
      <c r="BP79" s="133" t="s">
        <v>28</v>
      </c>
      <c r="BQ79" s="133" t="s">
        <v>28</v>
      </c>
      <c r="BR79" s="133" t="s">
        <v>28</v>
      </c>
      <c r="BS79" s="133" t="s">
        <v>28</v>
      </c>
      <c r="BT79" s="133" t="s">
        <v>28</v>
      </c>
      <c r="BU79" s="133" t="s">
        <v>28</v>
      </c>
      <c r="BV79" s="133" t="s">
        <v>28</v>
      </c>
      <c r="BW79" s="133" t="s">
        <v>28</v>
      </c>
      <c r="BX79" s="133" t="s">
        <v>28</v>
      </c>
      <c r="BY79" s="133" t="s">
        <v>28</v>
      </c>
      <c r="BZ79" s="133" t="s">
        <v>28</v>
      </c>
      <c r="CA79" s="133" t="s">
        <v>28</v>
      </c>
      <c r="CB79" s="133" t="s">
        <v>28</v>
      </c>
      <c r="CC79" s="14" t="s">
        <v>28</v>
      </c>
    </row>
    <row r="80" ht="25.05" customHeight="1" spans="1:81">
      <c r="A80" s="36">
        <v>3</v>
      </c>
      <c r="B80" s="37" t="s">
        <v>213</v>
      </c>
      <c r="C80" s="38" t="s">
        <v>214</v>
      </c>
      <c r="D80" s="14" t="s">
        <v>219</v>
      </c>
      <c r="E80" s="36" t="s">
        <v>222</v>
      </c>
      <c r="F80" s="36" t="s">
        <v>223</v>
      </c>
      <c r="G80" s="36">
        <v>66</v>
      </c>
      <c r="H80" s="40" t="s">
        <v>218</v>
      </c>
      <c r="I80" s="133">
        <v>2026</v>
      </c>
      <c r="J80" s="134">
        <v>0</v>
      </c>
      <c r="K80" s="36">
        <v>6803</v>
      </c>
      <c r="L80" s="130">
        <v>7524</v>
      </c>
      <c r="M80" s="36">
        <v>1154</v>
      </c>
      <c r="N80" s="36">
        <v>0</v>
      </c>
      <c r="O80" s="36">
        <v>5</v>
      </c>
      <c r="P80" s="36">
        <v>1149</v>
      </c>
      <c r="Q80" s="137">
        <v>1305</v>
      </c>
      <c r="R80" s="133"/>
      <c r="S80" s="133">
        <v>1</v>
      </c>
      <c r="T80" s="133" t="s">
        <v>28</v>
      </c>
      <c r="U80" s="133">
        <v>660</v>
      </c>
      <c r="V80" s="133" t="s">
        <v>28</v>
      </c>
      <c r="W80" s="133">
        <v>726</v>
      </c>
      <c r="X80" s="133">
        <v>726</v>
      </c>
      <c r="Y80" s="133">
        <v>726</v>
      </c>
      <c r="Z80" s="133">
        <v>726</v>
      </c>
      <c r="AA80" s="133">
        <v>726</v>
      </c>
      <c r="AB80" s="133">
        <v>726</v>
      </c>
      <c r="AC80" s="133">
        <v>731</v>
      </c>
      <c r="AD80" s="133">
        <v>330</v>
      </c>
      <c r="AE80" s="133">
        <v>726</v>
      </c>
      <c r="AF80" s="133" t="s">
        <v>28</v>
      </c>
      <c r="AG80" s="133" t="s">
        <v>28</v>
      </c>
      <c r="AH80" s="133" t="s">
        <v>28</v>
      </c>
      <c r="AI80" s="133" t="s">
        <v>28</v>
      </c>
      <c r="AJ80" s="133" t="s">
        <v>28</v>
      </c>
      <c r="AK80" s="133" t="s">
        <v>28</v>
      </c>
      <c r="AL80" s="133" t="s">
        <v>28</v>
      </c>
      <c r="AM80" s="133" t="s">
        <v>28</v>
      </c>
      <c r="AN80" s="133" t="s">
        <v>28</v>
      </c>
      <c r="AO80" s="133" t="s">
        <v>28</v>
      </c>
      <c r="AP80" s="133" t="s">
        <v>28</v>
      </c>
      <c r="AQ80" s="133" t="s">
        <v>28</v>
      </c>
      <c r="AR80" s="133" t="s">
        <v>28</v>
      </c>
      <c r="AS80" s="133" t="s">
        <v>28</v>
      </c>
      <c r="AT80" s="133" t="s">
        <v>28</v>
      </c>
      <c r="AU80" s="133" t="s">
        <v>28</v>
      </c>
      <c r="AV80" s="133" t="s">
        <v>28</v>
      </c>
      <c r="AW80" s="133" t="s">
        <v>28</v>
      </c>
      <c r="AX80" s="133" t="s">
        <v>28</v>
      </c>
      <c r="AY80" s="133" t="s">
        <v>28</v>
      </c>
      <c r="AZ80" s="133" t="s">
        <v>28</v>
      </c>
      <c r="BA80" s="133">
        <v>924</v>
      </c>
      <c r="BB80" s="133">
        <v>1056</v>
      </c>
      <c r="BC80" s="133" t="s">
        <v>28</v>
      </c>
      <c r="BD80" s="133">
        <v>1122</v>
      </c>
      <c r="BE80" s="133">
        <v>1122</v>
      </c>
      <c r="BF80" s="133">
        <v>1056</v>
      </c>
      <c r="BG80" s="133" t="s">
        <v>28</v>
      </c>
      <c r="BH80" s="133" t="s">
        <v>28</v>
      </c>
      <c r="BI80" s="133">
        <v>1122</v>
      </c>
      <c r="BJ80" s="133">
        <v>1122</v>
      </c>
      <c r="BK80" s="133" t="s">
        <v>28</v>
      </c>
      <c r="BL80" s="133" t="s">
        <v>28</v>
      </c>
      <c r="BM80" s="133" t="s">
        <v>28</v>
      </c>
      <c r="BN80" s="133" t="s">
        <v>28</v>
      </c>
      <c r="BO80" s="133" t="s">
        <v>28</v>
      </c>
      <c r="BP80" s="133" t="s">
        <v>28</v>
      </c>
      <c r="BQ80" s="133" t="s">
        <v>28</v>
      </c>
      <c r="BR80" s="133" t="s">
        <v>28</v>
      </c>
      <c r="BS80" s="133" t="s">
        <v>28</v>
      </c>
      <c r="BT80" s="133" t="s">
        <v>28</v>
      </c>
      <c r="BU80" s="133" t="s">
        <v>28</v>
      </c>
      <c r="BV80" s="133" t="s">
        <v>28</v>
      </c>
      <c r="BW80" s="133" t="s">
        <v>28</v>
      </c>
      <c r="BX80" s="133" t="s">
        <v>28</v>
      </c>
      <c r="BY80" s="133" t="s">
        <v>28</v>
      </c>
      <c r="BZ80" s="133" t="s">
        <v>28</v>
      </c>
      <c r="CA80" s="133" t="s">
        <v>28</v>
      </c>
      <c r="CB80" s="133" t="s">
        <v>28</v>
      </c>
      <c r="CC80" s="14" t="s">
        <v>28</v>
      </c>
    </row>
    <row r="81" ht="25.05" customHeight="1" spans="1:82">
      <c r="A81" s="36">
        <v>4</v>
      </c>
      <c r="B81" s="37" t="s">
        <v>213</v>
      </c>
      <c r="C81" s="38" t="s">
        <v>214</v>
      </c>
      <c r="D81" s="14" t="s">
        <v>28</v>
      </c>
      <c r="E81" s="36" t="s">
        <v>224</v>
      </c>
      <c r="F81" s="36" t="s">
        <v>225</v>
      </c>
      <c r="G81" s="36">
        <v>66</v>
      </c>
      <c r="H81" s="40" t="s">
        <v>218</v>
      </c>
      <c r="I81" s="133">
        <v>2112</v>
      </c>
      <c r="J81" s="134">
        <v>0</v>
      </c>
      <c r="K81" s="36">
        <v>396</v>
      </c>
      <c r="L81" s="130">
        <v>2508</v>
      </c>
      <c r="M81" s="36">
        <v>0</v>
      </c>
      <c r="N81" s="36">
        <v>0</v>
      </c>
      <c r="O81" s="36">
        <v>0</v>
      </c>
      <c r="P81" s="36">
        <v>0</v>
      </c>
      <c r="Q81" s="37">
        <v>0</v>
      </c>
      <c r="R81" s="133"/>
      <c r="S81" s="133">
        <v>1</v>
      </c>
      <c r="T81" s="133" t="s">
        <v>28</v>
      </c>
      <c r="U81" s="133" t="s">
        <v>28</v>
      </c>
      <c r="V81" s="133" t="s">
        <v>28</v>
      </c>
      <c r="W81" s="133" t="s">
        <v>28</v>
      </c>
      <c r="X81" s="133" t="s">
        <v>28</v>
      </c>
      <c r="Y81" s="133" t="s">
        <v>28</v>
      </c>
      <c r="Z81" s="133" t="s">
        <v>28</v>
      </c>
      <c r="AA81" s="133">
        <v>396</v>
      </c>
      <c r="AB81" s="133" t="s">
        <v>28</v>
      </c>
      <c r="AC81" s="133" t="s">
        <v>28</v>
      </c>
      <c r="AD81" s="133" t="s">
        <v>28</v>
      </c>
      <c r="AE81" s="133" t="s">
        <v>28</v>
      </c>
      <c r="AF81" s="133" t="s">
        <v>28</v>
      </c>
      <c r="AG81" s="133" t="s">
        <v>28</v>
      </c>
      <c r="AH81" s="133" t="s">
        <v>28</v>
      </c>
      <c r="AI81" s="133" t="s">
        <v>28</v>
      </c>
      <c r="AJ81" s="133" t="s">
        <v>28</v>
      </c>
      <c r="AK81" s="133" t="s">
        <v>28</v>
      </c>
      <c r="AL81" s="133" t="s">
        <v>28</v>
      </c>
      <c r="AM81" s="133" t="s">
        <v>28</v>
      </c>
      <c r="AN81" s="133" t="s">
        <v>28</v>
      </c>
      <c r="AO81" s="133" t="s">
        <v>28</v>
      </c>
      <c r="AP81" s="133" t="s">
        <v>28</v>
      </c>
      <c r="AQ81" s="133" t="s">
        <v>28</v>
      </c>
      <c r="AR81" s="133" t="s">
        <v>28</v>
      </c>
      <c r="AS81" s="133" t="s">
        <v>28</v>
      </c>
      <c r="AT81" s="133" t="s">
        <v>28</v>
      </c>
      <c r="AU81" s="133" t="s">
        <v>28</v>
      </c>
      <c r="AV81" s="133" t="s">
        <v>28</v>
      </c>
      <c r="AW81" s="133" t="s">
        <v>28</v>
      </c>
      <c r="AX81" s="133" t="s">
        <v>28</v>
      </c>
      <c r="AY81" s="133" t="s">
        <v>28</v>
      </c>
      <c r="AZ81" s="133" t="s">
        <v>28</v>
      </c>
      <c r="BA81" s="133" t="s">
        <v>28</v>
      </c>
      <c r="BB81" s="133" t="s">
        <v>28</v>
      </c>
      <c r="BC81" s="133">
        <v>1056</v>
      </c>
      <c r="BD81" s="133">
        <v>1056</v>
      </c>
      <c r="BE81" s="133" t="s">
        <v>28</v>
      </c>
      <c r="BF81" s="133">
        <v>396</v>
      </c>
      <c r="BG81" s="133" t="s">
        <v>28</v>
      </c>
      <c r="BH81" s="133" t="s">
        <v>28</v>
      </c>
      <c r="BI81" s="133" t="s">
        <v>28</v>
      </c>
      <c r="BJ81" s="133" t="s">
        <v>28</v>
      </c>
      <c r="BK81" s="133" t="s">
        <v>28</v>
      </c>
      <c r="BL81" s="133" t="s">
        <v>28</v>
      </c>
      <c r="BM81" s="133" t="s">
        <v>28</v>
      </c>
      <c r="BN81" s="133" t="s">
        <v>28</v>
      </c>
      <c r="BO81" s="133" t="s">
        <v>28</v>
      </c>
      <c r="BP81" s="133" t="s">
        <v>28</v>
      </c>
      <c r="BQ81" s="133" t="s">
        <v>28</v>
      </c>
      <c r="BR81" s="133" t="s">
        <v>28</v>
      </c>
      <c r="BS81" s="133" t="s">
        <v>28</v>
      </c>
      <c r="BT81" s="133" t="s">
        <v>28</v>
      </c>
      <c r="BU81" s="133" t="s">
        <v>28</v>
      </c>
      <c r="BV81" s="133" t="s">
        <v>28</v>
      </c>
      <c r="BW81" s="133" t="s">
        <v>28</v>
      </c>
      <c r="BX81" s="133" t="s">
        <v>28</v>
      </c>
      <c r="BY81" s="133" t="s">
        <v>28</v>
      </c>
      <c r="BZ81" s="133" t="s">
        <v>28</v>
      </c>
      <c r="CA81" s="133" t="s">
        <v>28</v>
      </c>
      <c r="CB81" s="133" t="s">
        <v>28</v>
      </c>
      <c r="CC81" s="14" t="s">
        <v>28</v>
      </c>
    </row>
    <row r="82" ht="25.05" customHeight="1" spans="1:82">
      <c r="A82" s="36">
        <v>5</v>
      </c>
      <c r="B82" s="37" t="s">
        <v>213</v>
      </c>
      <c r="C82" s="38" t="s">
        <v>214</v>
      </c>
      <c r="D82" s="14" t="s">
        <v>28</v>
      </c>
      <c r="E82" s="36" t="s">
        <v>226</v>
      </c>
      <c r="F82" s="36" t="s">
        <v>227</v>
      </c>
      <c r="G82" s="36">
        <v>4</v>
      </c>
      <c r="H82" s="40" t="s">
        <v>127</v>
      </c>
      <c r="I82" s="133">
        <v>0</v>
      </c>
      <c r="J82" s="134">
        <v>0</v>
      </c>
      <c r="K82" s="36">
        <v>0</v>
      </c>
      <c r="L82" s="130">
        <v>0</v>
      </c>
      <c r="M82" s="36">
        <v>0</v>
      </c>
      <c r="N82" s="36">
        <v>0</v>
      </c>
      <c r="O82" s="36">
        <v>0</v>
      </c>
      <c r="P82" s="36">
        <v>0</v>
      </c>
      <c r="Q82" s="37">
        <v>0</v>
      </c>
      <c r="R82" s="133"/>
      <c r="S82" s="133">
        <v>1</v>
      </c>
      <c r="T82" s="133" t="s">
        <v>28</v>
      </c>
      <c r="U82" s="133" t="s">
        <v>28</v>
      </c>
      <c r="V82" s="133" t="s">
        <v>28</v>
      </c>
      <c r="W82" s="133" t="s">
        <v>28</v>
      </c>
      <c r="X82" s="133" t="s">
        <v>28</v>
      </c>
      <c r="Y82" s="133" t="s">
        <v>28</v>
      </c>
      <c r="Z82" s="133" t="s">
        <v>28</v>
      </c>
      <c r="AA82" s="133" t="s">
        <v>28</v>
      </c>
      <c r="AB82" s="133" t="s">
        <v>28</v>
      </c>
      <c r="AC82" s="133" t="s">
        <v>28</v>
      </c>
      <c r="AD82" s="133" t="s">
        <v>28</v>
      </c>
      <c r="AE82" s="133" t="s">
        <v>28</v>
      </c>
      <c r="AF82" s="133" t="s">
        <v>28</v>
      </c>
      <c r="AG82" s="133" t="s">
        <v>28</v>
      </c>
      <c r="AH82" s="133" t="s">
        <v>28</v>
      </c>
      <c r="AI82" s="133" t="s">
        <v>28</v>
      </c>
      <c r="AJ82" s="133" t="s">
        <v>28</v>
      </c>
      <c r="AK82" s="133" t="s">
        <v>28</v>
      </c>
      <c r="AL82" s="133" t="s">
        <v>28</v>
      </c>
      <c r="AM82" s="133" t="s">
        <v>28</v>
      </c>
      <c r="AN82" s="133" t="s">
        <v>28</v>
      </c>
      <c r="AO82" s="133" t="s">
        <v>28</v>
      </c>
      <c r="AP82" s="133" t="s">
        <v>28</v>
      </c>
      <c r="AQ82" s="133" t="s">
        <v>28</v>
      </c>
      <c r="AR82" s="133" t="s">
        <v>28</v>
      </c>
      <c r="AS82" s="133" t="s">
        <v>28</v>
      </c>
      <c r="AT82" s="133" t="s">
        <v>28</v>
      </c>
      <c r="AU82" s="133" t="s">
        <v>28</v>
      </c>
      <c r="AV82" s="133" t="s">
        <v>28</v>
      </c>
      <c r="AW82" s="133" t="s">
        <v>28</v>
      </c>
      <c r="AX82" s="133" t="s">
        <v>28</v>
      </c>
      <c r="AY82" s="133" t="s">
        <v>28</v>
      </c>
      <c r="AZ82" s="133" t="s">
        <v>28</v>
      </c>
      <c r="BA82" s="133" t="s">
        <v>28</v>
      </c>
      <c r="BB82" s="133" t="s">
        <v>28</v>
      </c>
      <c r="BC82" s="133" t="s">
        <v>28</v>
      </c>
      <c r="BD82" s="133" t="s">
        <v>28</v>
      </c>
      <c r="BE82" s="133" t="s">
        <v>28</v>
      </c>
      <c r="BF82" s="133" t="s">
        <v>28</v>
      </c>
      <c r="BG82" s="133" t="s">
        <v>28</v>
      </c>
      <c r="BH82" s="133" t="s">
        <v>28</v>
      </c>
      <c r="BI82" s="133" t="s">
        <v>28</v>
      </c>
      <c r="BJ82" s="133" t="s">
        <v>28</v>
      </c>
      <c r="BK82" s="133" t="s">
        <v>28</v>
      </c>
      <c r="BL82" s="133" t="s">
        <v>28</v>
      </c>
      <c r="BM82" s="133" t="s">
        <v>28</v>
      </c>
      <c r="BN82" s="133" t="s">
        <v>28</v>
      </c>
      <c r="BO82" s="133" t="s">
        <v>28</v>
      </c>
      <c r="BP82" s="133" t="s">
        <v>28</v>
      </c>
      <c r="BQ82" s="133" t="s">
        <v>28</v>
      </c>
      <c r="BR82" s="133" t="s">
        <v>28</v>
      </c>
      <c r="BS82" s="133" t="s">
        <v>28</v>
      </c>
      <c r="BT82" s="133" t="s">
        <v>28</v>
      </c>
      <c r="BU82" s="133" t="s">
        <v>28</v>
      </c>
      <c r="BV82" s="133" t="s">
        <v>28</v>
      </c>
      <c r="BW82" s="133" t="s">
        <v>28</v>
      </c>
      <c r="BX82" s="133" t="s">
        <v>28</v>
      </c>
      <c r="BY82" s="133" t="s">
        <v>28</v>
      </c>
      <c r="BZ82" s="133" t="s">
        <v>28</v>
      </c>
      <c r="CA82" s="133" t="s">
        <v>28</v>
      </c>
      <c r="CB82" s="133" t="s">
        <v>28</v>
      </c>
      <c r="CC82" s="14" t="s">
        <v>28</v>
      </c>
    </row>
    <row r="83" ht="25.05" customHeight="1" spans="1:82">
      <c r="A83" s="36">
        <v>1</v>
      </c>
      <c r="B83" s="37" t="s">
        <v>228</v>
      </c>
      <c r="C83" s="38" t="s">
        <v>229</v>
      </c>
      <c r="D83" s="14" t="s">
        <v>28</v>
      </c>
      <c r="E83" s="36" t="s">
        <v>230</v>
      </c>
      <c r="F83" s="36" t="s">
        <v>231</v>
      </c>
      <c r="G83" s="36">
        <v>24</v>
      </c>
      <c r="H83" s="40" t="s">
        <v>218</v>
      </c>
      <c r="I83" s="133">
        <v>2333</v>
      </c>
      <c r="J83" s="134">
        <v>0</v>
      </c>
      <c r="K83" s="36">
        <v>48</v>
      </c>
      <c r="L83" s="130">
        <v>2381</v>
      </c>
      <c r="M83" s="36">
        <v>0</v>
      </c>
      <c r="N83" s="36">
        <v>0</v>
      </c>
      <c r="O83" s="36">
        <v>0</v>
      </c>
      <c r="P83" s="36">
        <v>0</v>
      </c>
      <c r="Q83" s="37">
        <v>0</v>
      </c>
      <c r="R83" s="133"/>
      <c r="S83" s="133">
        <v>1</v>
      </c>
      <c r="T83" s="133" t="s">
        <v>28</v>
      </c>
      <c r="U83" s="133">
        <v>48</v>
      </c>
      <c r="V83" s="133" t="s">
        <v>28</v>
      </c>
      <c r="W83" s="133" t="s">
        <v>28</v>
      </c>
      <c r="X83" s="133" t="s">
        <v>28</v>
      </c>
      <c r="Y83" s="133" t="s">
        <v>28</v>
      </c>
      <c r="Z83" s="133" t="s">
        <v>28</v>
      </c>
      <c r="AA83" s="133" t="s">
        <v>28</v>
      </c>
      <c r="AB83" s="133" t="s">
        <v>28</v>
      </c>
      <c r="AC83" s="133" t="s">
        <v>28</v>
      </c>
      <c r="AD83" s="133" t="s">
        <v>28</v>
      </c>
      <c r="AE83" s="133" t="s">
        <v>28</v>
      </c>
      <c r="AF83" s="133" t="s">
        <v>28</v>
      </c>
      <c r="AG83" s="133" t="s">
        <v>28</v>
      </c>
      <c r="AH83" s="133" t="s">
        <v>28</v>
      </c>
      <c r="AI83" s="133" t="s">
        <v>28</v>
      </c>
      <c r="AJ83" s="133" t="s">
        <v>28</v>
      </c>
      <c r="AK83" s="133" t="s">
        <v>28</v>
      </c>
      <c r="AL83" s="133" t="s">
        <v>28</v>
      </c>
      <c r="AM83" s="133" t="s">
        <v>28</v>
      </c>
      <c r="AN83" s="133" t="s">
        <v>28</v>
      </c>
      <c r="AO83" s="133" t="s">
        <v>28</v>
      </c>
      <c r="AP83" s="133" t="s">
        <v>28</v>
      </c>
      <c r="AQ83" s="133" t="s">
        <v>28</v>
      </c>
      <c r="AR83" s="133" t="s">
        <v>28</v>
      </c>
      <c r="AS83" s="133" t="s">
        <v>28</v>
      </c>
      <c r="AT83" s="133" t="s">
        <v>28</v>
      </c>
      <c r="AU83" s="133" t="s">
        <v>28</v>
      </c>
      <c r="AV83" s="133" t="s">
        <v>28</v>
      </c>
      <c r="AW83" s="133" t="s">
        <v>28</v>
      </c>
      <c r="AX83" s="133" t="s">
        <v>28</v>
      </c>
      <c r="AY83" s="133" t="s">
        <v>28</v>
      </c>
      <c r="AZ83" s="133" t="s">
        <v>28</v>
      </c>
      <c r="BA83" s="133" t="s">
        <v>28</v>
      </c>
      <c r="BB83" s="133" t="s">
        <v>28</v>
      </c>
      <c r="BC83" s="133" t="s">
        <v>28</v>
      </c>
      <c r="BD83" s="133" t="s">
        <v>28</v>
      </c>
      <c r="BE83" s="133" t="s">
        <v>28</v>
      </c>
      <c r="BF83" s="133">
        <v>905</v>
      </c>
      <c r="BG83" s="133">
        <v>912</v>
      </c>
      <c r="BH83" s="133">
        <v>516</v>
      </c>
      <c r="BI83" s="133">
        <v>48</v>
      </c>
      <c r="BJ83" s="133" t="s">
        <v>28</v>
      </c>
      <c r="BK83" s="133" t="s">
        <v>28</v>
      </c>
      <c r="BL83" s="133" t="s">
        <v>28</v>
      </c>
      <c r="BM83" s="133" t="s">
        <v>28</v>
      </c>
      <c r="BN83" s="133" t="s">
        <v>28</v>
      </c>
      <c r="BO83" s="133" t="s">
        <v>28</v>
      </c>
      <c r="BP83" s="133" t="s">
        <v>28</v>
      </c>
      <c r="BQ83" s="133" t="s">
        <v>28</v>
      </c>
      <c r="BR83" s="133" t="s">
        <v>28</v>
      </c>
      <c r="BS83" s="133" t="s">
        <v>28</v>
      </c>
      <c r="BT83" s="133" t="s">
        <v>28</v>
      </c>
      <c r="BU83" s="133" t="s">
        <v>28</v>
      </c>
      <c r="BV83" s="133" t="s">
        <v>28</v>
      </c>
      <c r="BW83" s="133" t="s">
        <v>28</v>
      </c>
      <c r="BX83" s="133" t="s">
        <v>28</v>
      </c>
      <c r="BY83" s="133" t="s">
        <v>28</v>
      </c>
      <c r="BZ83" s="133" t="s">
        <v>28</v>
      </c>
      <c r="CA83" s="133" t="s">
        <v>28</v>
      </c>
      <c r="CB83" s="133" t="s">
        <v>28</v>
      </c>
      <c r="CC83" s="14" t="s">
        <v>28</v>
      </c>
    </row>
    <row r="84" ht="25.05" customHeight="1" spans="1:82">
      <c r="A84" s="36">
        <v>2</v>
      </c>
      <c r="B84" s="37" t="s">
        <v>228</v>
      </c>
      <c r="C84" s="38" t="s">
        <v>229</v>
      </c>
      <c r="D84" s="14" t="s">
        <v>28</v>
      </c>
      <c r="E84" s="36" t="s">
        <v>232</v>
      </c>
      <c r="F84" s="36" t="s">
        <v>233</v>
      </c>
      <c r="G84" s="36">
        <v>48</v>
      </c>
      <c r="H84" s="40" t="s">
        <v>218</v>
      </c>
      <c r="I84" s="133">
        <v>1488</v>
      </c>
      <c r="J84" s="134">
        <v>0</v>
      </c>
      <c r="K84" s="36">
        <v>912</v>
      </c>
      <c r="L84" s="130">
        <v>2400</v>
      </c>
      <c r="M84" s="36">
        <v>0</v>
      </c>
      <c r="N84" s="36">
        <v>0</v>
      </c>
      <c r="O84" s="36">
        <v>0</v>
      </c>
      <c r="P84" s="36">
        <v>0</v>
      </c>
      <c r="Q84" s="37">
        <v>0</v>
      </c>
      <c r="R84" s="133"/>
      <c r="S84" s="133">
        <v>1</v>
      </c>
      <c r="T84" s="133" t="s">
        <v>28</v>
      </c>
      <c r="U84" s="133">
        <v>480</v>
      </c>
      <c r="V84" s="133" t="s">
        <v>28</v>
      </c>
      <c r="W84" s="133" t="s">
        <v>28</v>
      </c>
      <c r="X84" s="133" t="s">
        <v>28</v>
      </c>
      <c r="Y84" s="133" t="s">
        <v>28</v>
      </c>
      <c r="Z84" s="133" t="s">
        <v>28</v>
      </c>
      <c r="AA84" s="133" t="s">
        <v>28</v>
      </c>
      <c r="AB84" s="133">
        <v>432</v>
      </c>
      <c r="AC84" s="133" t="s">
        <v>28</v>
      </c>
      <c r="AD84" s="133" t="s">
        <v>28</v>
      </c>
      <c r="AE84" s="133" t="s">
        <v>28</v>
      </c>
      <c r="AF84" s="133" t="s">
        <v>28</v>
      </c>
      <c r="AG84" s="133" t="s">
        <v>28</v>
      </c>
      <c r="AH84" s="133" t="s">
        <v>28</v>
      </c>
      <c r="AI84" s="133" t="s">
        <v>28</v>
      </c>
      <c r="AJ84" s="133" t="s">
        <v>28</v>
      </c>
      <c r="AK84" s="133" t="s">
        <v>28</v>
      </c>
      <c r="AL84" s="133" t="s">
        <v>28</v>
      </c>
      <c r="AM84" s="133" t="s">
        <v>28</v>
      </c>
      <c r="AN84" s="133" t="s">
        <v>28</v>
      </c>
      <c r="AO84" s="133" t="s">
        <v>28</v>
      </c>
      <c r="AP84" s="133" t="s">
        <v>28</v>
      </c>
      <c r="AQ84" s="133" t="s">
        <v>28</v>
      </c>
      <c r="AR84" s="133" t="s">
        <v>28</v>
      </c>
      <c r="AS84" s="133" t="s">
        <v>28</v>
      </c>
      <c r="AT84" s="133" t="s">
        <v>28</v>
      </c>
      <c r="AU84" s="133" t="s">
        <v>28</v>
      </c>
      <c r="AV84" s="133" t="s">
        <v>28</v>
      </c>
      <c r="AW84" s="133" t="s">
        <v>28</v>
      </c>
      <c r="AX84" s="133" t="s">
        <v>28</v>
      </c>
      <c r="AY84" s="133" t="s">
        <v>28</v>
      </c>
      <c r="AZ84" s="133" t="s">
        <v>28</v>
      </c>
      <c r="BA84" s="133" t="s">
        <v>28</v>
      </c>
      <c r="BB84" s="133" t="s">
        <v>28</v>
      </c>
      <c r="BC84" s="133" t="s">
        <v>28</v>
      </c>
      <c r="BD84" s="133" t="s">
        <v>28</v>
      </c>
      <c r="BE84" s="133" t="s">
        <v>28</v>
      </c>
      <c r="BF84" s="133">
        <v>912</v>
      </c>
      <c r="BG84" s="133">
        <v>912</v>
      </c>
      <c r="BH84" s="133">
        <v>480</v>
      </c>
      <c r="BI84" s="133">
        <v>96</v>
      </c>
      <c r="BJ84" s="133" t="s">
        <v>28</v>
      </c>
      <c r="BK84" s="133" t="s">
        <v>28</v>
      </c>
      <c r="BL84" s="133" t="s">
        <v>28</v>
      </c>
      <c r="BM84" s="133" t="s">
        <v>28</v>
      </c>
      <c r="BN84" s="133" t="s">
        <v>28</v>
      </c>
      <c r="BO84" s="133" t="s">
        <v>28</v>
      </c>
      <c r="BP84" s="133" t="s">
        <v>28</v>
      </c>
      <c r="BQ84" s="133" t="s">
        <v>28</v>
      </c>
      <c r="BR84" s="133" t="s">
        <v>28</v>
      </c>
      <c r="BS84" s="133" t="s">
        <v>28</v>
      </c>
      <c r="BT84" s="133" t="s">
        <v>28</v>
      </c>
      <c r="BU84" s="133" t="s">
        <v>28</v>
      </c>
      <c r="BV84" s="133" t="s">
        <v>28</v>
      </c>
      <c r="BW84" s="133" t="s">
        <v>28</v>
      </c>
      <c r="BX84" s="133" t="s">
        <v>28</v>
      </c>
      <c r="BY84" s="133" t="s">
        <v>28</v>
      </c>
      <c r="BZ84" s="133" t="s">
        <v>28</v>
      </c>
      <c r="CA84" s="133" t="s">
        <v>28</v>
      </c>
      <c r="CB84" s="133" t="s">
        <v>28</v>
      </c>
      <c r="CC84" s="14" t="s">
        <v>28</v>
      </c>
    </row>
    <row r="85" ht="25.05" customHeight="1" spans="1:82">
      <c r="A85" s="36">
        <v>3</v>
      </c>
      <c r="B85" s="37" t="s">
        <v>228</v>
      </c>
      <c r="C85" s="38" t="s">
        <v>229</v>
      </c>
      <c r="D85" s="14"/>
      <c r="E85" s="36" t="s">
        <v>234</v>
      </c>
      <c r="F85" s="36" t="s">
        <v>233</v>
      </c>
      <c r="G85" s="36">
        <v>48</v>
      </c>
      <c r="H85" s="40" t="s">
        <v>218</v>
      </c>
      <c r="I85" s="133">
        <v>0</v>
      </c>
      <c r="J85" s="134">
        <v>0</v>
      </c>
      <c r="K85" s="36">
        <v>0</v>
      </c>
      <c r="L85" s="130">
        <v>0</v>
      </c>
      <c r="M85" s="36">
        <v>0</v>
      </c>
      <c r="N85" s="36">
        <v>0</v>
      </c>
      <c r="O85" s="36">
        <v>0</v>
      </c>
      <c r="P85" s="36">
        <v>0</v>
      </c>
      <c r="Q85" s="37">
        <v>0</v>
      </c>
      <c r="R85" s="133"/>
      <c r="S85" s="133">
        <v>1</v>
      </c>
      <c r="T85" s="133" t="s">
        <v>28</v>
      </c>
      <c r="U85" s="133" t="s">
        <v>28</v>
      </c>
      <c r="V85" s="133" t="s">
        <v>28</v>
      </c>
      <c r="W85" s="133" t="s">
        <v>28</v>
      </c>
      <c r="X85" s="133" t="s">
        <v>28</v>
      </c>
      <c r="Y85" s="133" t="s">
        <v>28</v>
      </c>
      <c r="Z85" s="133" t="s">
        <v>28</v>
      </c>
      <c r="AA85" s="133" t="s">
        <v>28</v>
      </c>
      <c r="AB85" s="133" t="s">
        <v>28</v>
      </c>
      <c r="AC85" s="133" t="s">
        <v>28</v>
      </c>
      <c r="AD85" s="133" t="s">
        <v>28</v>
      </c>
      <c r="AE85" s="133" t="s">
        <v>28</v>
      </c>
      <c r="AF85" s="133" t="s">
        <v>28</v>
      </c>
      <c r="AG85" s="133" t="s">
        <v>28</v>
      </c>
      <c r="AH85" s="133" t="s">
        <v>28</v>
      </c>
      <c r="AI85" s="133" t="s">
        <v>28</v>
      </c>
      <c r="AJ85" s="133" t="s">
        <v>28</v>
      </c>
      <c r="AK85" s="133" t="s">
        <v>28</v>
      </c>
      <c r="AL85" s="133" t="s">
        <v>28</v>
      </c>
      <c r="AM85" s="133" t="s">
        <v>28</v>
      </c>
      <c r="AN85" s="133" t="s">
        <v>28</v>
      </c>
      <c r="AO85" s="133" t="s">
        <v>28</v>
      </c>
      <c r="AP85" s="133" t="s">
        <v>28</v>
      </c>
      <c r="AQ85" s="133" t="s">
        <v>28</v>
      </c>
      <c r="AR85" s="133" t="s">
        <v>28</v>
      </c>
      <c r="AS85" s="133" t="s">
        <v>28</v>
      </c>
      <c r="AT85" s="133" t="s">
        <v>28</v>
      </c>
      <c r="AU85" s="133" t="s">
        <v>28</v>
      </c>
      <c r="AV85" s="133" t="s">
        <v>28</v>
      </c>
      <c r="AW85" s="133" t="s">
        <v>28</v>
      </c>
      <c r="AX85" s="133" t="s">
        <v>28</v>
      </c>
      <c r="AY85" s="133" t="s">
        <v>28</v>
      </c>
      <c r="AZ85" s="133" t="s">
        <v>28</v>
      </c>
      <c r="BA85" s="133" t="s">
        <v>28</v>
      </c>
      <c r="BB85" s="133" t="s">
        <v>28</v>
      </c>
      <c r="BC85" s="133" t="s">
        <v>28</v>
      </c>
      <c r="BD85" s="133" t="s">
        <v>28</v>
      </c>
      <c r="BE85" s="133" t="s">
        <v>28</v>
      </c>
      <c r="BF85" s="133" t="s">
        <v>28</v>
      </c>
      <c r="BG85" s="133" t="s">
        <v>28</v>
      </c>
      <c r="BH85" s="133" t="s">
        <v>28</v>
      </c>
      <c r="BI85" s="133" t="s">
        <v>28</v>
      </c>
      <c r="BJ85" s="133" t="s">
        <v>28</v>
      </c>
      <c r="BK85" s="133" t="s">
        <v>28</v>
      </c>
      <c r="BL85" s="133" t="s">
        <v>28</v>
      </c>
      <c r="BM85" s="133" t="s">
        <v>28</v>
      </c>
      <c r="BN85" s="133" t="s">
        <v>28</v>
      </c>
      <c r="BO85" s="133" t="s">
        <v>28</v>
      </c>
      <c r="BP85" s="133" t="s">
        <v>28</v>
      </c>
      <c r="BQ85" s="133" t="s">
        <v>28</v>
      </c>
      <c r="BR85" s="133" t="s">
        <v>28</v>
      </c>
      <c r="BS85" s="133" t="s">
        <v>28</v>
      </c>
      <c r="BT85" s="133" t="s">
        <v>28</v>
      </c>
      <c r="BU85" s="133" t="s">
        <v>28</v>
      </c>
      <c r="BV85" s="133" t="s">
        <v>28</v>
      </c>
      <c r="BW85" s="133" t="s">
        <v>28</v>
      </c>
      <c r="BX85" s="133" t="s">
        <v>28</v>
      </c>
      <c r="BY85" s="133" t="s">
        <v>28</v>
      </c>
      <c r="BZ85" s="133" t="s">
        <v>28</v>
      </c>
      <c r="CA85" s="133" t="s">
        <v>28</v>
      </c>
      <c r="CB85" s="133" t="s">
        <v>28</v>
      </c>
      <c r="CC85" s="14" t="s">
        <v>28</v>
      </c>
    </row>
    <row r="86" ht="25.05" customHeight="1" spans="1:82">
      <c r="A86" s="36">
        <v>4</v>
      </c>
      <c r="B86" s="37" t="s">
        <v>228</v>
      </c>
      <c r="C86" s="38" t="s">
        <v>229</v>
      </c>
      <c r="D86" s="14" t="s">
        <v>28</v>
      </c>
      <c r="E86" s="36" t="s">
        <v>235</v>
      </c>
      <c r="F86" s="36" t="s">
        <v>231</v>
      </c>
      <c r="G86" s="36">
        <v>24</v>
      </c>
      <c r="H86" s="40" t="s">
        <v>218</v>
      </c>
      <c r="I86" s="133">
        <v>624</v>
      </c>
      <c r="J86" s="134">
        <v>0</v>
      </c>
      <c r="K86" s="36">
        <v>0</v>
      </c>
      <c r="L86" s="130">
        <v>624</v>
      </c>
      <c r="M86" s="36">
        <v>0</v>
      </c>
      <c r="N86" s="36">
        <v>0</v>
      </c>
      <c r="O86" s="36">
        <v>0</v>
      </c>
      <c r="P86" s="36">
        <v>0</v>
      </c>
      <c r="Q86" s="37">
        <v>0</v>
      </c>
      <c r="R86" s="133"/>
      <c r="S86" s="133">
        <v>1</v>
      </c>
      <c r="T86" s="133" t="s">
        <v>28</v>
      </c>
      <c r="U86" s="133" t="s">
        <v>28</v>
      </c>
      <c r="V86" s="133" t="s">
        <v>28</v>
      </c>
      <c r="W86" s="133" t="s">
        <v>28</v>
      </c>
      <c r="X86" s="133" t="s">
        <v>28</v>
      </c>
      <c r="Y86" s="133" t="s">
        <v>28</v>
      </c>
      <c r="Z86" s="133" t="s">
        <v>28</v>
      </c>
      <c r="AA86" s="133" t="s">
        <v>28</v>
      </c>
      <c r="AB86" s="133" t="s">
        <v>28</v>
      </c>
      <c r="AC86" s="133" t="s">
        <v>28</v>
      </c>
      <c r="AD86" s="133" t="s">
        <v>28</v>
      </c>
      <c r="AE86" s="133" t="s">
        <v>28</v>
      </c>
      <c r="AF86" s="133" t="s">
        <v>28</v>
      </c>
      <c r="AG86" s="133" t="s">
        <v>28</v>
      </c>
      <c r="AH86" s="133" t="s">
        <v>28</v>
      </c>
      <c r="AI86" s="133" t="s">
        <v>28</v>
      </c>
      <c r="AJ86" s="133" t="s">
        <v>28</v>
      </c>
      <c r="AK86" s="133" t="s">
        <v>28</v>
      </c>
      <c r="AL86" s="133" t="s">
        <v>28</v>
      </c>
      <c r="AM86" s="133" t="s">
        <v>28</v>
      </c>
      <c r="AN86" s="133" t="s">
        <v>28</v>
      </c>
      <c r="AO86" s="133" t="s">
        <v>28</v>
      </c>
      <c r="AP86" s="133" t="s">
        <v>28</v>
      </c>
      <c r="AQ86" s="133" t="s">
        <v>28</v>
      </c>
      <c r="AR86" s="133" t="s">
        <v>28</v>
      </c>
      <c r="AS86" s="133" t="s">
        <v>28</v>
      </c>
      <c r="AT86" s="133" t="s">
        <v>28</v>
      </c>
      <c r="AU86" s="133" t="s">
        <v>28</v>
      </c>
      <c r="AV86" s="133" t="s">
        <v>28</v>
      </c>
      <c r="AW86" s="133" t="s">
        <v>28</v>
      </c>
      <c r="AX86" s="133" t="s">
        <v>28</v>
      </c>
      <c r="AY86" s="133" t="s">
        <v>28</v>
      </c>
      <c r="AZ86" s="133">
        <v>624</v>
      </c>
      <c r="BA86" s="133" t="s">
        <v>28</v>
      </c>
      <c r="BB86" s="133" t="s">
        <v>28</v>
      </c>
      <c r="BC86" s="133" t="s">
        <v>28</v>
      </c>
      <c r="BD86" s="133" t="s">
        <v>28</v>
      </c>
      <c r="BE86" s="133" t="s">
        <v>28</v>
      </c>
      <c r="BF86" s="133" t="s">
        <v>28</v>
      </c>
      <c r="BG86" s="133" t="s">
        <v>28</v>
      </c>
      <c r="BH86" s="133" t="s">
        <v>28</v>
      </c>
      <c r="BI86" s="133" t="s">
        <v>28</v>
      </c>
      <c r="BJ86" s="133" t="s">
        <v>28</v>
      </c>
      <c r="BK86" s="133" t="s">
        <v>28</v>
      </c>
      <c r="BL86" s="133" t="s">
        <v>28</v>
      </c>
      <c r="BM86" s="133" t="s">
        <v>28</v>
      </c>
      <c r="BN86" s="133" t="s">
        <v>28</v>
      </c>
      <c r="BO86" s="133" t="s">
        <v>28</v>
      </c>
      <c r="BP86" s="133" t="s">
        <v>28</v>
      </c>
      <c r="BQ86" s="133" t="s">
        <v>28</v>
      </c>
      <c r="BR86" s="133" t="s">
        <v>28</v>
      </c>
      <c r="BS86" s="133" t="s">
        <v>28</v>
      </c>
      <c r="BT86" s="133" t="s">
        <v>28</v>
      </c>
      <c r="BU86" s="133" t="s">
        <v>28</v>
      </c>
      <c r="BV86" s="133" t="s">
        <v>28</v>
      </c>
      <c r="BW86" s="133" t="s">
        <v>28</v>
      </c>
      <c r="BX86" s="133" t="s">
        <v>28</v>
      </c>
      <c r="BY86" s="133" t="s">
        <v>28</v>
      </c>
      <c r="BZ86" s="133" t="s">
        <v>28</v>
      </c>
      <c r="CA86" s="133" t="s">
        <v>28</v>
      </c>
      <c r="CB86" s="133" t="s">
        <v>28</v>
      </c>
      <c r="CC86" s="14" t="s">
        <v>28</v>
      </c>
    </row>
    <row r="87" ht="25.05" customHeight="1" spans="1:82">
      <c r="A87" s="133">
        <v>5</v>
      </c>
      <c r="B87" s="37" t="s">
        <v>228</v>
      </c>
      <c r="C87" s="38" t="s">
        <v>229</v>
      </c>
      <c r="D87" s="14" t="s">
        <v>28</v>
      </c>
      <c r="E87" s="36" t="s">
        <v>236</v>
      </c>
      <c r="F87" s="36" t="s">
        <v>231</v>
      </c>
      <c r="G87" s="36">
        <v>24</v>
      </c>
      <c r="H87" s="40" t="s">
        <v>218</v>
      </c>
      <c r="I87" s="133">
        <v>2976</v>
      </c>
      <c r="J87" s="134">
        <v>0</v>
      </c>
      <c r="K87" s="36">
        <v>1776</v>
      </c>
      <c r="L87" s="130">
        <v>3048</v>
      </c>
      <c r="M87" s="36">
        <v>0</v>
      </c>
      <c r="N87" s="36">
        <v>0</v>
      </c>
      <c r="O87" s="36">
        <v>0</v>
      </c>
      <c r="P87" s="36">
        <v>0</v>
      </c>
      <c r="Q87" s="37">
        <v>1704</v>
      </c>
      <c r="R87" s="133"/>
      <c r="S87" s="133">
        <v>1</v>
      </c>
      <c r="T87" s="133" t="s">
        <v>28</v>
      </c>
      <c r="U87" s="133">
        <v>1248</v>
      </c>
      <c r="V87" s="133" t="s">
        <v>28</v>
      </c>
      <c r="W87" s="133" t="s">
        <v>28</v>
      </c>
      <c r="X87" s="133" t="s">
        <v>28</v>
      </c>
      <c r="Y87" s="133" t="s">
        <v>28</v>
      </c>
      <c r="Z87" s="133" t="s">
        <v>28</v>
      </c>
      <c r="AA87" s="133" t="s">
        <v>28</v>
      </c>
      <c r="AB87" s="133">
        <v>528</v>
      </c>
      <c r="AC87" s="133" t="s">
        <v>28</v>
      </c>
      <c r="AD87" s="133" t="s">
        <v>28</v>
      </c>
      <c r="AE87" s="133" t="s">
        <v>28</v>
      </c>
      <c r="AF87" s="133" t="s">
        <v>28</v>
      </c>
      <c r="AG87" s="133" t="s">
        <v>28</v>
      </c>
      <c r="AH87" s="133" t="s">
        <v>28</v>
      </c>
      <c r="AI87" s="133" t="s">
        <v>28</v>
      </c>
      <c r="AJ87" s="133" t="s">
        <v>28</v>
      </c>
      <c r="AK87" s="133" t="s">
        <v>28</v>
      </c>
      <c r="AL87" s="133" t="s">
        <v>28</v>
      </c>
      <c r="AM87" s="133" t="s">
        <v>28</v>
      </c>
      <c r="AN87" s="133" t="s">
        <v>28</v>
      </c>
      <c r="AO87" s="133" t="s">
        <v>28</v>
      </c>
      <c r="AP87" s="133" t="s">
        <v>28</v>
      </c>
      <c r="AQ87" s="133" t="s">
        <v>28</v>
      </c>
      <c r="AR87" s="133" t="s">
        <v>28</v>
      </c>
      <c r="AS87" s="133" t="s">
        <v>28</v>
      </c>
      <c r="AT87" s="133" t="s">
        <v>28</v>
      </c>
      <c r="AU87" s="133" t="s">
        <v>28</v>
      </c>
      <c r="AV87" s="133" t="s">
        <v>28</v>
      </c>
      <c r="AW87" s="133" t="s">
        <v>28</v>
      </c>
      <c r="AX87" s="133" t="s">
        <v>28</v>
      </c>
      <c r="AY87" s="133" t="s">
        <v>28</v>
      </c>
      <c r="AZ87" s="133" t="s">
        <v>28</v>
      </c>
      <c r="BA87" s="133" t="s">
        <v>28</v>
      </c>
      <c r="BB87" s="133" t="s">
        <v>28</v>
      </c>
      <c r="BC87" s="133">
        <v>912</v>
      </c>
      <c r="BD87" s="133">
        <v>720</v>
      </c>
      <c r="BE87" s="133">
        <v>696</v>
      </c>
      <c r="BF87" s="133" t="s">
        <v>28</v>
      </c>
      <c r="BG87" s="133" t="s">
        <v>28</v>
      </c>
      <c r="BH87" s="133" t="s">
        <v>28</v>
      </c>
      <c r="BI87" s="133" t="s">
        <v>28</v>
      </c>
      <c r="BJ87" s="133">
        <v>720</v>
      </c>
      <c r="BK87" s="133" t="s">
        <v>28</v>
      </c>
      <c r="BL87" s="133" t="s">
        <v>28</v>
      </c>
      <c r="BM87" s="133" t="s">
        <v>28</v>
      </c>
      <c r="BN87" s="133" t="s">
        <v>28</v>
      </c>
      <c r="BO87" s="133" t="s">
        <v>28</v>
      </c>
      <c r="BP87" s="133" t="s">
        <v>28</v>
      </c>
      <c r="BQ87" s="133" t="s">
        <v>28</v>
      </c>
      <c r="BR87" s="133" t="s">
        <v>28</v>
      </c>
      <c r="BS87" s="133" t="s">
        <v>28</v>
      </c>
      <c r="BT87" s="133" t="s">
        <v>28</v>
      </c>
      <c r="BU87" s="133" t="s">
        <v>28</v>
      </c>
      <c r="BV87" s="133" t="s">
        <v>28</v>
      </c>
      <c r="BW87" s="133" t="s">
        <v>28</v>
      </c>
      <c r="BX87" s="133" t="s">
        <v>28</v>
      </c>
      <c r="BY87" s="133" t="s">
        <v>28</v>
      </c>
      <c r="BZ87" s="133" t="s">
        <v>28</v>
      </c>
      <c r="CA87" s="133" t="s">
        <v>28</v>
      </c>
      <c r="CB87" s="133" t="s">
        <v>28</v>
      </c>
      <c r="CC87" s="14" t="s">
        <v>28</v>
      </c>
    </row>
    <row r="88" ht="25.05" customHeight="1" spans="1:82">
      <c r="A88" s="133">
        <v>6</v>
      </c>
      <c r="B88" s="37" t="s">
        <v>228</v>
      </c>
      <c r="C88" s="38" t="s">
        <v>229</v>
      </c>
      <c r="D88" s="14" t="s">
        <v>28</v>
      </c>
      <c r="E88" s="36" t="s">
        <v>237</v>
      </c>
      <c r="F88" s="36" t="s">
        <v>233</v>
      </c>
      <c r="G88" s="36">
        <v>48</v>
      </c>
      <c r="H88" s="40" t="s">
        <v>218</v>
      </c>
      <c r="I88" s="133">
        <v>2327</v>
      </c>
      <c r="J88" s="134">
        <v>240</v>
      </c>
      <c r="K88" s="36">
        <v>1152</v>
      </c>
      <c r="L88" s="130">
        <v>2779</v>
      </c>
      <c r="M88" s="36">
        <v>0</v>
      </c>
      <c r="N88" s="36">
        <v>0</v>
      </c>
      <c r="O88" s="36">
        <v>0</v>
      </c>
      <c r="P88" s="36">
        <v>240</v>
      </c>
      <c r="Q88" s="37">
        <v>700</v>
      </c>
      <c r="R88" s="133"/>
      <c r="S88" s="133">
        <v>1</v>
      </c>
      <c r="T88" s="133" t="s">
        <v>28</v>
      </c>
      <c r="U88" s="133" t="s">
        <v>28</v>
      </c>
      <c r="V88" s="133" t="s">
        <v>28</v>
      </c>
      <c r="W88" s="133" t="s">
        <v>28</v>
      </c>
      <c r="X88" s="133" t="s">
        <v>28</v>
      </c>
      <c r="Y88" s="133" t="s">
        <v>28</v>
      </c>
      <c r="Z88" s="133" t="s">
        <v>28</v>
      </c>
      <c r="AA88" s="133" t="s">
        <v>28</v>
      </c>
      <c r="AB88" s="133" t="s">
        <v>28</v>
      </c>
      <c r="AC88" s="133">
        <v>1152</v>
      </c>
      <c r="AD88" s="133" t="s">
        <v>28</v>
      </c>
      <c r="AE88" s="133" t="s">
        <v>28</v>
      </c>
      <c r="AF88" s="133" t="s">
        <v>28</v>
      </c>
      <c r="AG88" s="133" t="s">
        <v>28</v>
      </c>
      <c r="AH88" s="133" t="s">
        <v>28</v>
      </c>
      <c r="AI88" s="133" t="s">
        <v>28</v>
      </c>
      <c r="AJ88" s="133" t="s">
        <v>28</v>
      </c>
      <c r="AK88" s="133" t="s">
        <v>28</v>
      </c>
      <c r="AL88" s="133" t="s">
        <v>28</v>
      </c>
      <c r="AM88" s="133" t="s">
        <v>28</v>
      </c>
      <c r="AN88" s="133" t="s">
        <v>28</v>
      </c>
      <c r="AO88" s="133" t="s">
        <v>28</v>
      </c>
      <c r="AP88" s="133" t="s">
        <v>28</v>
      </c>
      <c r="AQ88" s="133" t="s">
        <v>28</v>
      </c>
      <c r="AR88" s="133" t="s">
        <v>28</v>
      </c>
      <c r="AS88" s="133" t="s">
        <v>28</v>
      </c>
      <c r="AT88" s="133" t="s">
        <v>28</v>
      </c>
      <c r="AU88" s="133" t="s">
        <v>28</v>
      </c>
      <c r="AV88" s="133" t="s">
        <v>28</v>
      </c>
      <c r="AW88" s="133" t="s">
        <v>28</v>
      </c>
      <c r="AX88" s="133" t="s">
        <v>28</v>
      </c>
      <c r="AY88" s="133" t="s">
        <v>28</v>
      </c>
      <c r="AZ88" s="133" t="s">
        <v>28</v>
      </c>
      <c r="BA88" s="133" t="s">
        <v>28</v>
      </c>
      <c r="BB88" s="133" t="s">
        <v>28</v>
      </c>
      <c r="BC88" s="133">
        <v>912</v>
      </c>
      <c r="BD88" s="133">
        <v>737</v>
      </c>
      <c r="BE88" s="133">
        <v>410</v>
      </c>
      <c r="BF88" s="133" t="s">
        <v>28</v>
      </c>
      <c r="BG88" s="133" t="s">
        <v>28</v>
      </c>
      <c r="BH88" s="133" t="s">
        <v>28</v>
      </c>
      <c r="BI88" s="133" t="s">
        <v>28</v>
      </c>
      <c r="BJ88" s="133">
        <v>720</v>
      </c>
      <c r="BK88" s="133" t="s">
        <v>28</v>
      </c>
      <c r="BL88" s="133" t="s">
        <v>28</v>
      </c>
      <c r="BM88" s="133" t="s">
        <v>28</v>
      </c>
      <c r="BN88" s="133" t="s">
        <v>28</v>
      </c>
      <c r="BO88" s="133" t="s">
        <v>28</v>
      </c>
      <c r="BP88" s="133" t="s">
        <v>28</v>
      </c>
      <c r="BQ88" s="133" t="s">
        <v>28</v>
      </c>
      <c r="BR88" s="133" t="s">
        <v>28</v>
      </c>
      <c r="BS88" s="133" t="s">
        <v>28</v>
      </c>
      <c r="BT88" s="133" t="s">
        <v>28</v>
      </c>
      <c r="BU88" s="133" t="s">
        <v>28</v>
      </c>
      <c r="BV88" s="133" t="s">
        <v>28</v>
      </c>
      <c r="BW88" s="133" t="s">
        <v>28</v>
      </c>
      <c r="BX88" s="133" t="s">
        <v>28</v>
      </c>
      <c r="BY88" s="133" t="s">
        <v>28</v>
      </c>
      <c r="BZ88" s="133" t="s">
        <v>28</v>
      </c>
      <c r="CA88" s="133" t="s">
        <v>28</v>
      </c>
      <c r="CB88" s="133" t="s">
        <v>28</v>
      </c>
      <c r="CC88" s="14" t="s">
        <v>28</v>
      </c>
    </row>
    <row r="89" s="118" customFormat="1" ht="25.05" customHeight="1" spans="1:82">
      <c r="A89" s="36">
        <v>1</v>
      </c>
      <c r="B89" s="94" t="s">
        <v>238</v>
      </c>
      <c r="C89" s="95" t="s">
        <v>239</v>
      </c>
      <c r="D89" s="95" t="s">
        <v>240</v>
      </c>
      <c r="E89" s="95" t="s">
        <v>241</v>
      </c>
      <c r="F89" s="135" t="s">
        <v>242</v>
      </c>
      <c r="G89" s="136">
        <v>8</v>
      </c>
      <c r="H89" s="136" t="s">
        <v>243</v>
      </c>
      <c r="I89" s="95">
        <v>2992</v>
      </c>
      <c r="J89" s="36">
        <v>152</v>
      </c>
      <c r="K89" s="36">
        <v>2640</v>
      </c>
      <c r="L89" s="36">
        <v>1248</v>
      </c>
      <c r="M89" s="36">
        <v>0</v>
      </c>
      <c r="N89" s="36">
        <v>0</v>
      </c>
      <c r="O89" s="36">
        <v>0</v>
      </c>
      <c r="P89" s="36">
        <v>152</v>
      </c>
      <c r="Q89" s="37">
        <v>4384</v>
      </c>
      <c r="R89" s="37"/>
      <c r="S89" s="36">
        <v>1</v>
      </c>
      <c r="T89" s="36" t="s">
        <v>28</v>
      </c>
      <c r="U89" s="36" t="s">
        <v>28</v>
      </c>
      <c r="V89" s="36" t="s">
        <v>28</v>
      </c>
      <c r="W89" s="36" t="s">
        <v>28</v>
      </c>
      <c r="X89" s="36" t="s">
        <v>28</v>
      </c>
      <c r="Y89" s="36">
        <v>1920</v>
      </c>
      <c r="Z89" s="36" t="s">
        <v>28</v>
      </c>
      <c r="AA89" s="36" t="s">
        <v>28</v>
      </c>
      <c r="AB89" s="36" t="s">
        <v>28</v>
      </c>
      <c r="AC89" s="36" t="s">
        <v>28</v>
      </c>
      <c r="AD89" s="36" t="s">
        <v>28</v>
      </c>
      <c r="AE89" s="36">
        <v>720</v>
      </c>
      <c r="AF89" s="36" t="s">
        <v>28</v>
      </c>
      <c r="AG89" s="36" t="s">
        <v>28</v>
      </c>
      <c r="AH89" s="36" t="s">
        <v>28</v>
      </c>
      <c r="AI89" s="36" t="s">
        <v>28</v>
      </c>
      <c r="AJ89" s="36" t="s">
        <v>28</v>
      </c>
      <c r="AK89" s="36" t="s">
        <v>28</v>
      </c>
      <c r="AL89" s="36" t="s">
        <v>28</v>
      </c>
      <c r="AM89" s="36" t="s">
        <v>28</v>
      </c>
      <c r="AN89" s="36" t="s">
        <v>28</v>
      </c>
      <c r="AO89" s="36" t="s">
        <v>28</v>
      </c>
      <c r="AP89" s="36" t="s">
        <v>28</v>
      </c>
      <c r="AQ89" s="36" t="s">
        <v>28</v>
      </c>
      <c r="AR89" s="36" t="s">
        <v>28</v>
      </c>
      <c r="AS89" s="36" t="s">
        <v>28</v>
      </c>
      <c r="AT89" s="36" t="s">
        <v>28</v>
      </c>
      <c r="AU89" s="36" t="s">
        <v>28</v>
      </c>
      <c r="AV89" s="36" t="s">
        <v>28</v>
      </c>
      <c r="AW89" s="36" t="s">
        <v>28</v>
      </c>
      <c r="AX89" s="36" t="s">
        <v>28</v>
      </c>
      <c r="AY89" s="36" t="s">
        <v>28</v>
      </c>
      <c r="AZ89" s="36" t="s">
        <v>28</v>
      </c>
      <c r="BA89" s="36" t="s">
        <v>28</v>
      </c>
      <c r="BB89" s="36" t="s">
        <v>28</v>
      </c>
      <c r="BC89" s="36" t="s">
        <v>28</v>
      </c>
      <c r="BD89" s="36" t="s">
        <v>28</v>
      </c>
      <c r="BE89" s="36" t="s">
        <v>28</v>
      </c>
      <c r="BF89" s="36" t="s">
        <v>28</v>
      </c>
      <c r="BG89" s="36">
        <v>1248</v>
      </c>
      <c r="BH89" s="36" t="s">
        <v>28</v>
      </c>
      <c r="BI89" s="36" t="s">
        <v>28</v>
      </c>
      <c r="BJ89" s="36" t="s">
        <v>28</v>
      </c>
      <c r="BK89" s="36" t="s">
        <v>28</v>
      </c>
      <c r="BL89" s="36" t="s">
        <v>28</v>
      </c>
      <c r="BM89" s="36" t="s">
        <v>28</v>
      </c>
      <c r="BN89" s="36" t="s">
        <v>28</v>
      </c>
      <c r="BO89" s="36" t="s">
        <v>28</v>
      </c>
      <c r="BP89" s="36" t="s">
        <v>28</v>
      </c>
      <c r="BQ89" s="36" t="s">
        <v>28</v>
      </c>
      <c r="BR89" s="36" t="s">
        <v>28</v>
      </c>
      <c r="BS89" s="36" t="s">
        <v>28</v>
      </c>
      <c r="BT89" s="36" t="s">
        <v>28</v>
      </c>
      <c r="BU89" s="36" t="s">
        <v>28</v>
      </c>
      <c r="BV89" s="36" t="s">
        <v>28</v>
      </c>
      <c r="BW89" s="36" t="s">
        <v>28</v>
      </c>
      <c r="BX89" s="36" t="s">
        <v>28</v>
      </c>
      <c r="BY89" s="36" t="s">
        <v>28</v>
      </c>
      <c r="BZ89" s="36" t="s">
        <v>28</v>
      </c>
      <c r="CA89" s="36" t="s">
        <v>28</v>
      </c>
      <c r="CB89" s="36" t="s">
        <v>28</v>
      </c>
      <c r="CC89" s="36" t="s">
        <v>28</v>
      </c>
      <c r="CD89" s="36"/>
    </row>
    <row r="90" s="118" customFormat="1" ht="25.05" customHeight="1" spans="1:82">
      <c r="A90" s="36">
        <v>2</v>
      </c>
      <c r="B90" s="94" t="s">
        <v>238</v>
      </c>
      <c r="C90" s="95" t="s">
        <v>239</v>
      </c>
      <c r="D90" s="95" t="s">
        <v>244</v>
      </c>
      <c r="E90" s="95" t="s">
        <v>245</v>
      </c>
      <c r="F90" s="135" t="s">
        <v>246</v>
      </c>
      <c r="G90" s="136">
        <v>8</v>
      </c>
      <c r="H90" s="136" t="s">
        <v>243</v>
      </c>
      <c r="I90" s="95">
        <v>1344</v>
      </c>
      <c r="J90" s="36">
        <v>0</v>
      </c>
      <c r="K90" s="36">
        <v>2976</v>
      </c>
      <c r="L90" s="36">
        <v>2880</v>
      </c>
      <c r="M90" s="36">
        <v>0</v>
      </c>
      <c r="N90" s="36">
        <v>0</v>
      </c>
      <c r="O90" s="36">
        <v>0</v>
      </c>
      <c r="P90" s="36">
        <v>0</v>
      </c>
      <c r="Q90" s="37">
        <v>1440</v>
      </c>
      <c r="R90" s="37"/>
      <c r="S90" s="36">
        <v>1</v>
      </c>
      <c r="T90" s="36" t="s">
        <v>28</v>
      </c>
      <c r="U90" s="36" t="s">
        <v>28</v>
      </c>
      <c r="V90" s="36" t="s">
        <v>28</v>
      </c>
      <c r="W90" s="36" t="s">
        <v>28</v>
      </c>
      <c r="X90" s="36" t="s">
        <v>28</v>
      </c>
      <c r="Y90" s="36">
        <v>1536</v>
      </c>
      <c r="Z90" s="36" t="s">
        <v>28</v>
      </c>
      <c r="AA90" s="36" t="s">
        <v>28</v>
      </c>
      <c r="AB90" s="36" t="s">
        <v>28</v>
      </c>
      <c r="AC90" s="36" t="s">
        <v>28</v>
      </c>
      <c r="AD90" s="36" t="s">
        <v>28</v>
      </c>
      <c r="AE90" s="36">
        <v>1440</v>
      </c>
      <c r="AF90" s="36" t="s">
        <v>28</v>
      </c>
      <c r="AG90" s="36" t="s">
        <v>28</v>
      </c>
      <c r="AH90" s="36" t="s">
        <v>28</v>
      </c>
      <c r="AI90" s="36" t="s">
        <v>28</v>
      </c>
      <c r="AJ90" s="36" t="s">
        <v>28</v>
      </c>
      <c r="AK90" s="36" t="s">
        <v>28</v>
      </c>
      <c r="AL90" s="36" t="s">
        <v>28</v>
      </c>
      <c r="AM90" s="36" t="s">
        <v>28</v>
      </c>
      <c r="AN90" s="36" t="s">
        <v>28</v>
      </c>
      <c r="AO90" s="36" t="s">
        <v>28</v>
      </c>
      <c r="AP90" s="36" t="s">
        <v>28</v>
      </c>
      <c r="AQ90" s="36" t="s">
        <v>28</v>
      </c>
      <c r="AR90" s="36" t="s">
        <v>28</v>
      </c>
      <c r="AS90" s="36" t="s">
        <v>28</v>
      </c>
      <c r="AT90" s="36" t="s">
        <v>28</v>
      </c>
      <c r="AU90" s="36" t="s">
        <v>28</v>
      </c>
      <c r="AV90" s="36" t="s">
        <v>28</v>
      </c>
      <c r="AW90" s="36" t="s">
        <v>28</v>
      </c>
      <c r="AX90" s="36" t="s">
        <v>28</v>
      </c>
      <c r="AY90" s="36" t="s">
        <v>28</v>
      </c>
      <c r="AZ90" s="36" t="s">
        <v>28</v>
      </c>
      <c r="BA90" s="36" t="s">
        <v>28</v>
      </c>
      <c r="BB90" s="36" t="s">
        <v>28</v>
      </c>
      <c r="BC90" s="36" t="s">
        <v>28</v>
      </c>
      <c r="BD90" s="36" t="s">
        <v>28</v>
      </c>
      <c r="BE90" s="36" t="s">
        <v>28</v>
      </c>
      <c r="BF90" s="36">
        <v>1824</v>
      </c>
      <c r="BG90" s="36" t="s">
        <v>28</v>
      </c>
      <c r="BH90" s="36" t="s">
        <v>28</v>
      </c>
      <c r="BI90" s="36">
        <v>1056</v>
      </c>
      <c r="BJ90" s="36" t="s">
        <v>28</v>
      </c>
      <c r="BK90" s="36" t="s">
        <v>28</v>
      </c>
      <c r="BL90" s="36" t="s">
        <v>28</v>
      </c>
      <c r="BM90" s="36" t="s">
        <v>28</v>
      </c>
      <c r="BN90" s="36" t="s">
        <v>28</v>
      </c>
      <c r="BO90" s="36" t="s">
        <v>28</v>
      </c>
      <c r="BP90" s="36" t="s">
        <v>28</v>
      </c>
      <c r="BQ90" s="36" t="s">
        <v>28</v>
      </c>
      <c r="BR90" s="36" t="s">
        <v>28</v>
      </c>
      <c r="BS90" s="36" t="s">
        <v>28</v>
      </c>
      <c r="BT90" s="36" t="s">
        <v>28</v>
      </c>
      <c r="BU90" s="36" t="s">
        <v>28</v>
      </c>
      <c r="BV90" s="36" t="s">
        <v>28</v>
      </c>
      <c r="BW90" s="36" t="s">
        <v>28</v>
      </c>
      <c r="BX90" s="36" t="s">
        <v>28</v>
      </c>
      <c r="BY90" s="36" t="s">
        <v>28</v>
      </c>
      <c r="BZ90" s="36" t="s">
        <v>28</v>
      </c>
      <c r="CA90" s="36" t="s">
        <v>28</v>
      </c>
      <c r="CB90" s="36" t="s">
        <v>28</v>
      </c>
      <c r="CC90" s="36" t="s">
        <v>28</v>
      </c>
      <c r="CD90" s="36"/>
    </row>
    <row r="91" s="118" customFormat="1" ht="22.8" customHeight="1" spans="1:82">
      <c r="A91" s="36">
        <v>1</v>
      </c>
      <c r="B91" s="144" t="s">
        <v>247</v>
      </c>
      <c r="C91" s="38" t="s">
        <v>248</v>
      </c>
      <c r="D91" s="38" t="s">
        <v>28</v>
      </c>
      <c r="E91" s="38" t="s">
        <v>249</v>
      </c>
      <c r="F91" s="138" t="s">
        <v>250</v>
      </c>
      <c r="G91" s="84">
        <v>45</v>
      </c>
      <c r="H91" s="38" t="s">
        <v>218</v>
      </c>
      <c r="I91" s="36">
        <v>0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7">
        <v>0</v>
      </c>
      <c r="R91" s="36"/>
      <c r="S91" s="36"/>
      <c r="T91" s="36"/>
      <c r="U91" s="36" t="s">
        <v>28</v>
      </c>
      <c r="V91" s="36" t="s">
        <v>28</v>
      </c>
      <c r="W91" s="36" t="s">
        <v>28</v>
      </c>
      <c r="X91" s="36" t="s">
        <v>28</v>
      </c>
      <c r="Y91" s="36" t="s">
        <v>28</v>
      </c>
      <c r="Z91" s="36" t="s">
        <v>28</v>
      </c>
      <c r="AA91" s="36" t="s">
        <v>28</v>
      </c>
      <c r="AB91" s="36" t="s">
        <v>28</v>
      </c>
      <c r="AC91" s="36" t="s">
        <v>28</v>
      </c>
      <c r="AD91" s="36" t="s">
        <v>28</v>
      </c>
      <c r="AE91" s="36" t="s">
        <v>28</v>
      </c>
      <c r="AF91" s="36" t="s">
        <v>28</v>
      </c>
      <c r="AG91" s="36" t="s">
        <v>28</v>
      </c>
      <c r="AH91" s="36" t="s">
        <v>28</v>
      </c>
      <c r="AI91" s="36" t="s">
        <v>28</v>
      </c>
      <c r="AJ91" s="36" t="s">
        <v>28</v>
      </c>
      <c r="AK91" s="36" t="s">
        <v>28</v>
      </c>
      <c r="AL91" s="36" t="s">
        <v>28</v>
      </c>
      <c r="AM91" s="36" t="s">
        <v>28</v>
      </c>
      <c r="AN91" s="36" t="s">
        <v>28</v>
      </c>
      <c r="AO91" s="36" t="s">
        <v>28</v>
      </c>
      <c r="AP91" s="36" t="s">
        <v>28</v>
      </c>
      <c r="AQ91" s="36" t="s">
        <v>28</v>
      </c>
      <c r="AR91" s="36" t="s">
        <v>28</v>
      </c>
      <c r="AS91" s="36" t="s">
        <v>28</v>
      </c>
      <c r="AT91" s="36" t="s">
        <v>28</v>
      </c>
      <c r="AU91" s="36" t="s">
        <v>28</v>
      </c>
      <c r="AV91" s="36"/>
      <c r="AW91" s="36"/>
      <c r="AX91" s="36"/>
      <c r="AY91" s="36" t="s">
        <v>28</v>
      </c>
      <c r="AZ91" s="36" t="s">
        <v>28</v>
      </c>
      <c r="BA91" s="36" t="s">
        <v>28</v>
      </c>
      <c r="BB91" s="36" t="s">
        <v>28</v>
      </c>
      <c r="BC91" s="36" t="s">
        <v>28</v>
      </c>
      <c r="BD91" s="36" t="s">
        <v>28</v>
      </c>
      <c r="BE91" s="36" t="s">
        <v>28</v>
      </c>
      <c r="BF91" s="36" t="s">
        <v>28</v>
      </c>
      <c r="BG91" s="36" t="s">
        <v>28</v>
      </c>
      <c r="BH91" s="36" t="s">
        <v>28</v>
      </c>
      <c r="BI91" s="36" t="s">
        <v>28</v>
      </c>
      <c r="BJ91" s="36" t="s">
        <v>28</v>
      </c>
      <c r="BK91" s="36" t="s">
        <v>28</v>
      </c>
      <c r="BL91" s="36" t="s">
        <v>28</v>
      </c>
      <c r="BM91" s="36" t="s">
        <v>28</v>
      </c>
      <c r="BN91" s="36" t="s">
        <v>28</v>
      </c>
      <c r="BO91" s="36" t="s">
        <v>28</v>
      </c>
      <c r="BP91" s="36" t="s">
        <v>28</v>
      </c>
      <c r="BQ91" s="36" t="s">
        <v>28</v>
      </c>
      <c r="BR91" s="36" t="s">
        <v>28</v>
      </c>
      <c r="BS91" s="36" t="s">
        <v>28</v>
      </c>
      <c r="BT91" s="36" t="s">
        <v>28</v>
      </c>
      <c r="BU91" s="36" t="s">
        <v>28</v>
      </c>
      <c r="BV91" s="36" t="s">
        <v>28</v>
      </c>
      <c r="BW91" s="36" t="s">
        <v>28</v>
      </c>
      <c r="BX91" s="36" t="s">
        <v>28</v>
      </c>
      <c r="BY91" s="36" t="s">
        <v>28</v>
      </c>
      <c r="BZ91" s="36" t="s">
        <v>28</v>
      </c>
      <c r="CA91" s="36" t="s">
        <v>28</v>
      </c>
      <c r="CB91" s="36" t="s">
        <v>28</v>
      </c>
      <c r="CC91" s="36" t="s">
        <v>28</v>
      </c>
    </row>
    <row r="92" s="118" customFormat="1" ht="22.8" customHeight="1" spans="1:82">
      <c r="A92" s="36">
        <v>2</v>
      </c>
      <c r="B92" s="144" t="s">
        <v>247</v>
      </c>
      <c r="C92" s="38" t="s">
        <v>248</v>
      </c>
      <c r="D92" s="38" t="s">
        <v>28</v>
      </c>
      <c r="E92" s="38" t="s">
        <v>251</v>
      </c>
      <c r="F92" s="138" t="s">
        <v>252</v>
      </c>
      <c r="G92" s="84">
        <v>45</v>
      </c>
      <c r="H92" s="38" t="s">
        <v>218</v>
      </c>
      <c r="I92" s="36">
        <v>3757</v>
      </c>
      <c r="J92" s="36">
        <v>0</v>
      </c>
      <c r="K92" s="36">
        <v>4455</v>
      </c>
      <c r="L92" s="36">
        <v>4500</v>
      </c>
      <c r="M92" s="36">
        <v>63</v>
      </c>
      <c r="N92" s="36">
        <v>52</v>
      </c>
      <c r="O92" s="36">
        <v>115</v>
      </c>
      <c r="P92" s="36">
        <v>0</v>
      </c>
      <c r="Q92" s="37">
        <v>3660</v>
      </c>
      <c r="R92" s="36"/>
      <c r="S92" s="36"/>
      <c r="T92" s="36"/>
      <c r="U92" s="36" t="s">
        <v>28</v>
      </c>
      <c r="V92" s="36" t="s">
        <v>28</v>
      </c>
      <c r="W92" s="36">
        <v>1260</v>
      </c>
      <c r="X92" s="36" t="s">
        <v>28</v>
      </c>
      <c r="Y92" s="36">
        <v>945</v>
      </c>
      <c r="Z92" s="36" t="s">
        <v>28</v>
      </c>
      <c r="AA92" s="36">
        <v>990</v>
      </c>
      <c r="AB92" s="36" t="s">
        <v>28</v>
      </c>
      <c r="AC92" s="36" t="s">
        <v>28</v>
      </c>
      <c r="AD92" s="36" t="s">
        <v>28</v>
      </c>
      <c r="AE92" s="36">
        <v>1260</v>
      </c>
      <c r="AF92" s="36" t="s">
        <v>28</v>
      </c>
      <c r="AG92" s="36" t="s">
        <v>28</v>
      </c>
      <c r="AH92" s="36" t="s">
        <v>28</v>
      </c>
      <c r="AI92" s="36" t="s">
        <v>28</v>
      </c>
      <c r="AJ92" s="36" t="s">
        <v>28</v>
      </c>
      <c r="AK92" s="36" t="s">
        <v>28</v>
      </c>
      <c r="AL92" s="36" t="s">
        <v>28</v>
      </c>
      <c r="AM92" s="36" t="s">
        <v>28</v>
      </c>
      <c r="AN92" s="36" t="s">
        <v>28</v>
      </c>
      <c r="AO92" s="36" t="s">
        <v>28</v>
      </c>
      <c r="AP92" s="36" t="s">
        <v>28</v>
      </c>
      <c r="AQ92" s="36" t="s">
        <v>28</v>
      </c>
      <c r="AR92" s="36" t="s">
        <v>28</v>
      </c>
      <c r="AS92" s="36" t="s">
        <v>28</v>
      </c>
      <c r="AT92" s="36" t="s">
        <v>28</v>
      </c>
      <c r="AU92" s="36" t="s">
        <v>28</v>
      </c>
      <c r="AV92" s="36"/>
      <c r="AW92" s="36"/>
      <c r="AX92" s="36"/>
      <c r="AY92" s="36" t="s">
        <v>28</v>
      </c>
      <c r="AZ92" s="36" t="s">
        <v>28</v>
      </c>
      <c r="BA92" s="36" t="s">
        <v>28</v>
      </c>
      <c r="BB92" s="36">
        <v>1215</v>
      </c>
      <c r="BC92" s="36">
        <v>1215</v>
      </c>
      <c r="BD92" s="36">
        <v>1035</v>
      </c>
      <c r="BE92" s="36">
        <v>1035</v>
      </c>
      <c r="BF92" s="36" t="s">
        <v>28</v>
      </c>
      <c r="BG92" s="36" t="s">
        <v>28</v>
      </c>
      <c r="BH92" s="36" t="s">
        <v>28</v>
      </c>
      <c r="BI92" s="36" t="s">
        <v>28</v>
      </c>
      <c r="BJ92" s="36" t="s">
        <v>28</v>
      </c>
      <c r="BK92" s="36" t="s">
        <v>28</v>
      </c>
      <c r="BL92" s="36" t="s">
        <v>28</v>
      </c>
      <c r="BM92" s="36" t="s">
        <v>28</v>
      </c>
      <c r="BN92" s="36" t="s">
        <v>28</v>
      </c>
      <c r="BO92" s="36" t="s">
        <v>28</v>
      </c>
      <c r="BP92" s="36" t="s">
        <v>28</v>
      </c>
      <c r="BQ92" s="36" t="s">
        <v>28</v>
      </c>
      <c r="BR92" s="36" t="s">
        <v>28</v>
      </c>
      <c r="BS92" s="36" t="s">
        <v>28</v>
      </c>
      <c r="BT92" s="36" t="s">
        <v>28</v>
      </c>
      <c r="BU92" s="36" t="s">
        <v>28</v>
      </c>
      <c r="BV92" s="36" t="s">
        <v>28</v>
      </c>
      <c r="BW92" s="36" t="s">
        <v>28</v>
      </c>
      <c r="BX92" s="36" t="s">
        <v>28</v>
      </c>
      <c r="BY92" s="36" t="s">
        <v>28</v>
      </c>
      <c r="BZ92" s="36" t="s">
        <v>28</v>
      </c>
      <c r="CA92" s="36" t="s">
        <v>28</v>
      </c>
      <c r="CB92" s="36" t="s">
        <v>28</v>
      </c>
      <c r="CC92" s="36" t="s">
        <v>28</v>
      </c>
    </row>
    <row r="93" s="118" customFormat="1" ht="22.5" customHeight="1" spans="1:82">
      <c r="A93" s="36">
        <v>3</v>
      </c>
      <c r="B93" s="144" t="s">
        <v>247</v>
      </c>
      <c r="C93" s="38" t="s">
        <v>248</v>
      </c>
      <c r="D93" s="38" t="s">
        <v>28</v>
      </c>
      <c r="E93" s="38" t="s">
        <v>253</v>
      </c>
      <c r="F93" s="139" t="s">
        <v>254</v>
      </c>
      <c r="G93" s="36">
        <v>45</v>
      </c>
      <c r="H93" s="40" t="s">
        <v>218</v>
      </c>
      <c r="I93" s="36">
        <v>0</v>
      </c>
      <c r="J93" s="36">
        <v>0</v>
      </c>
      <c r="K93" s="36">
        <v>0</v>
      </c>
      <c r="L93" s="36">
        <v>0</v>
      </c>
      <c r="M93" s="36">
        <v>182</v>
      </c>
      <c r="N93" s="36">
        <v>0</v>
      </c>
      <c r="O93" s="36">
        <v>182</v>
      </c>
      <c r="P93" s="36">
        <v>0</v>
      </c>
      <c r="Q93" s="37">
        <v>0</v>
      </c>
      <c r="R93" s="36"/>
      <c r="S93" s="36"/>
      <c r="T93" s="36"/>
      <c r="U93" s="36" t="s">
        <v>28</v>
      </c>
      <c r="V93" s="36" t="s">
        <v>28</v>
      </c>
      <c r="W93" s="36" t="s">
        <v>28</v>
      </c>
      <c r="X93" s="36" t="s">
        <v>28</v>
      </c>
      <c r="Y93" s="36" t="s">
        <v>28</v>
      </c>
      <c r="Z93" s="36" t="s">
        <v>28</v>
      </c>
      <c r="AA93" s="36" t="s">
        <v>28</v>
      </c>
      <c r="AB93" s="36" t="s">
        <v>28</v>
      </c>
      <c r="AC93" s="36" t="s">
        <v>28</v>
      </c>
      <c r="AD93" s="36" t="s">
        <v>28</v>
      </c>
      <c r="AE93" s="36" t="s">
        <v>28</v>
      </c>
      <c r="AF93" s="36" t="s">
        <v>28</v>
      </c>
      <c r="AG93" s="36" t="s">
        <v>28</v>
      </c>
      <c r="AH93" s="36" t="s">
        <v>28</v>
      </c>
      <c r="AI93" s="36" t="s">
        <v>28</v>
      </c>
      <c r="AJ93" s="36" t="s">
        <v>28</v>
      </c>
      <c r="AK93" s="36" t="s">
        <v>28</v>
      </c>
      <c r="AL93" s="36" t="s">
        <v>28</v>
      </c>
      <c r="AM93" s="36" t="s">
        <v>28</v>
      </c>
      <c r="AN93" s="36" t="s">
        <v>28</v>
      </c>
      <c r="AO93" s="36" t="s">
        <v>28</v>
      </c>
      <c r="AP93" s="36" t="s">
        <v>28</v>
      </c>
      <c r="AQ93" s="36" t="s">
        <v>28</v>
      </c>
      <c r="AR93" s="36" t="s">
        <v>28</v>
      </c>
      <c r="AS93" s="36" t="s">
        <v>28</v>
      </c>
      <c r="AT93" s="36" t="s">
        <v>28</v>
      </c>
      <c r="AU93" s="36" t="s">
        <v>28</v>
      </c>
      <c r="AV93" s="36"/>
      <c r="AW93" s="36"/>
      <c r="AX93" s="36"/>
      <c r="AY93" s="36" t="s">
        <v>28</v>
      </c>
      <c r="AZ93" s="36" t="s">
        <v>28</v>
      </c>
      <c r="BA93" s="36" t="s">
        <v>28</v>
      </c>
      <c r="BB93" s="36" t="s">
        <v>28</v>
      </c>
      <c r="BC93" s="36" t="s">
        <v>28</v>
      </c>
      <c r="BD93" s="36" t="s">
        <v>28</v>
      </c>
      <c r="BE93" s="36" t="s">
        <v>28</v>
      </c>
      <c r="BF93" s="36" t="s">
        <v>28</v>
      </c>
      <c r="BG93" s="36" t="s">
        <v>28</v>
      </c>
      <c r="BH93" s="36" t="s">
        <v>28</v>
      </c>
      <c r="BI93" s="36" t="s">
        <v>28</v>
      </c>
      <c r="BJ93" s="36" t="s">
        <v>28</v>
      </c>
      <c r="BK93" s="36" t="s">
        <v>28</v>
      </c>
      <c r="BL93" s="36" t="s">
        <v>28</v>
      </c>
      <c r="BM93" s="36" t="s">
        <v>28</v>
      </c>
      <c r="BN93" s="36" t="s">
        <v>28</v>
      </c>
      <c r="BO93" s="36" t="s">
        <v>28</v>
      </c>
      <c r="BP93" s="36" t="s">
        <v>28</v>
      </c>
      <c r="BQ93" s="36" t="s">
        <v>28</v>
      </c>
      <c r="BR93" s="36" t="s">
        <v>28</v>
      </c>
      <c r="BS93" s="36" t="s">
        <v>28</v>
      </c>
      <c r="BT93" s="36" t="s">
        <v>28</v>
      </c>
      <c r="BU93" s="36" t="s">
        <v>28</v>
      </c>
      <c r="BV93" s="36" t="s">
        <v>28</v>
      </c>
      <c r="BW93" s="36" t="s">
        <v>28</v>
      </c>
      <c r="BX93" s="36" t="s">
        <v>28</v>
      </c>
      <c r="BY93" s="36" t="s">
        <v>28</v>
      </c>
      <c r="BZ93" s="36" t="s">
        <v>28</v>
      </c>
      <c r="CA93" s="36" t="s">
        <v>28</v>
      </c>
      <c r="CB93" s="36" t="s">
        <v>28</v>
      </c>
      <c r="CC93" s="36" t="s">
        <v>28</v>
      </c>
    </row>
    <row r="94" ht="25.05" customHeight="1" spans="1:82">
      <c r="A94" s="133">
        <v>1</v>
      </c>
      <c r="B94" s="37" t="s">
        <v>255</v>
      </c>
      <c r="C94" s="38" t="s">
        <v>256</v>
      </c>
      <c r="D94" s="14" t="s">
        <v>28</v>
      </c>
      <c r="E94" s="36" t="s">
        <v>257</v>
      </c>
      <c r="F94" s="36" t="s">
        <v>258</v>
      </c>
      <c r="G94" s="36" t="s">
        <v>259</v>
      </c>
      <c r="H94" s="40" t="s">
        <v>260</v>
      </c>
      <c r="I94" s="133">
        <v>59250</v>
      </c>
      <c r="J94" s="134">
        <v>0</v>
      </c>
      <c r="K94" s="36">
        <v>31500</v>
      </c>
      <c r="L94" s="130">
        <v>27000</v>
      </c>
      <c r="M94" s="36">
        <v>0</v>
      </c>
      <c r="N94" s="36">
        <v>0</v>
      </c>
      <c r="O94" s="36">
        <v>0</v>
      </c>
      <c r="P94" s="36">
        <v>0</v>
      </c>
      <c r="Q94" s="37">
        <v>63750</v>
      </c>
      <c r="R94" s="133"/>
      <c r="S94" s="133"/>
      <c r="T94" s="133" t="s">
        <v>28</v>
      </c>
      <c r="U94" s="133" t="s">
        <v>28</v>
      </c>
      <c r="V94" s="133" t="s">
        <v>28</v>
      </c>
      <c r="W94" s="133" t="s">
        <v>28</v>
      </c>
      <c r="X94" s="133" t="s">
        <v>28</v>
      </c>
      <c r="Y94" s="133" t="s">
        <v>28</v>
      </c>
      <c r="Z94" s="133" t="s">
        <v>28</v>
      </c>
      <c r="AA94" s="133" t="s">
        <v>28</v>
      </c>
      <c r="AB94" s="133" t="s">
        <v>28</v>
      </c>
      <c r="AC94" s="133" t="s">
        <v>28</v>
      </c>
      <c r="AD94" s="133">
        <v>31500</v>
      </c>
      <c r="AE94" s="133" t="s">
        <v>28</v>
      </c>
      <c r="AF94" s="133" t="s">
        <v>28</v>
      </c>
      <c r="AG94" s="133" t="s">
        <v>28</v>
      </c>
      <c r="AH94" s="133" t="s">
        <v>28</v>
      </c>
      <c r="AI94" s="133" t="s">
        <v>28</v>
      </c>
      <c r="AJ94" s="133" t="s">
        <v>28</v>
      </c>
      <c r="AK94" s="133" t="s">
        <v>28</v>
      </c>
      <c r="AL94" s="133" t="s">
        <v>28</v>
      </c>
      <c r="AM94" s="133" t="s">
        <v>28</v>
      </c>
      <c r="AN94" s="133" t="s">
        <v>28</v>
      </c>
      <c r="AO94" s="133" t="s">
        <v>28</v>
      </c>
      <c r="AP94" s="133" t="s">
        <v>28</v>
      </c>
      <c r="AQ94" s="133" t="s">
        <v>28</v>
      </c>
      <c r="AR94" s="133" t="s">
        <v>28</v>
      </c>
      <c r="AS94" s="133" t="s">
        <v>28</v>
      </c>
      <c r="AT94" s="133" t="s">
        <v>28</v>
      </c>
      <c r="AU94" s="133" t="s">
        <v>28</v>
      </c>
      <c r="AV94" s="133" t="s">
        <v>28</v>
      </c>
      <c r="AW94" s="133" t="s">
        <v>28</v>
      </c>
      <c r="AX94" s="133" t="s">
        <v>28</v>
      </c>
      <c r="AY94" s="133" t="s">
        <v>28</v>
      </c>
      <c r="AZ94" s="133" t="s">
        <v>28</v>
      </c>
      <c r="BA94" s="133" t="s">
        <v>28</v>
      </c>
      <c r="BB94" s="133" t="s">
        <v>28</v>
      </c>
      <c r="BC94" s="133">
        <v>13500</v>
      </c>
      <c r="BD94" s="133" t="s">
        <v>28</v>
      </c>
      <c r="BE94" s="133" t="s">
        <v>28</v>
      </c>
      <c r="BF94" s="133" t="s">
        <v>28</v>
      </c>
      <c r="BG94" s="133">
        <v>4500</v>
      </c>
      <c r="BH94" s="133" t="s">
        <v>28</v>
      </c>
      <c r="BI94" s="133">
        <v>9000</v>
      </c>
      <c r="BJ94" s="133" t="s">
        <v>28</v>
      </c>
      <c r="BK94" s="133" t="s">
        <v>28</v>
      </c>
      <c r="BL94" s="133" t="s">
        <v>28</v>
      </c>
      <c r="BM94" s="133" t="s">
        <v>28</v>
      </c>
      <c r="BN94" s="133" t="s">
        <v>28</v>
      </c>
      <c r="BO94" s="133" t="s">
        <v>28</v>
      </c>
      <c r="BP94" s="133" t="s">
        <v>28</v>
      </c>
      <c r="BQ94" s="133" t="s">
        <v>28</v>
      </c>
      <c r="BR94" s="133" t="s">
        <v>28</v>
      </c>
      <c r="BS94" s="133" t="s">
        <v>28</v>
      </c>
      <c r="BT94" s="133" t="s">
        <v>28</v>
      </c>
      <c r="BU94" s="133" t="s">
        <v>28</v>
      </c>
      <c r="BV94" s="133" t="s">
        <v>28</v>
      </c>
      <c r="BW94" s="133" t="s">
        <v>28</v>
      </c>
      <c r="BX94" s="133" t="s">
        <v>28</v>
      </c>
      <c r="BY94" s="133" t="s">
        <v>28</v>
      </c>
      <c r="BZ94" s="133" t="s">
        <v>28</v>
      </c>
      <c r="CA94" s="133" t="s">
        <v>28</v>
      </c>
      <c r="CB94" s="133" t="s">
        <v>28</v>
      </c>
      <c r="CC94" s="14" t="s">
        <v>28</v>
      </c>
    </row>
    <row r="95" ht="25.05" customHeight="1" spans="1:82">
      <c r="A95" s="133">
        <v>2</v>
      </c>
      <c r="B95" s="37" t="s">
        <v>255</v>
      </c>
      <c r="C95" s="38" t="s">
        <v>256</v>
      </c>
      <c r="D95" s="14" t="s">
        <v>28</v>
      </c>
      <c r="E95" s="36" t="s">
        <v>261</v>
      </c>
      <c r="F95" s="36" t="s">
        <v>262</v>
      </c>
      <c r="G95" s="36" t="s">
        <v>259</v>
      </c>
      <c r="H95" s="40" t="s">
        <v>260</v>
      </c>
      <c r="I95" s="133">
        <v>59775</v>
      </c>
      <c r="J95" s="134">
        <v>0</v>
      </c>
      <c r="K95" s="36">
        <v>20000</v>
      </c>
      <c r="L95" s="130">
        <v>30000</v>
      </c>
      <c r="M95" s="36">
        <v>0</v>
      </c>
      <c r="N95" s="36">
        <v>0</v>
      </c>
      <c r="O95" s="36">
        <v>0</v>
      </c>
      <c r="P95" s="36">
        <v>0</v>
      </c>
      <c r="Q95" s="37">
        <v>49775</v>
      </c>
      <c r="R95" s="133"/>
      <c r="S95" s="133"/>
      <c r="T95" s="133" t="s">
        <v>28</v>
      </c>
      <c r="U95" s="133" t="s">
        <v>28</v>
      </c>
      <c r="V95" s="133" t="s">
        <v>28</v>
      </c>
      <c r="W95" s="133" t="s">
        <v>28</v>
      </c>
      <c r="X95" s="133" t="s">
        <v>28</v>
      </c>
      <c r="Y95" s="133" t="s">
        <v>28</v>
      </c>
      <c r="Z95" s="133" t="s">
        <v>28</v>
      </c>
      <c r="AA95" s="133" t="s">
        <v>28</v>
      </c>
      <c r="AB95" s="133">
        <v>20000</v>
      </c>
      <c r="AC95" s="133" t="s">
        <v>28</v>
      </c>
      <c r="AD95" s="133" t="s">
        <v>28</v>
      </c>
      <c r="AE95" s="133" t="s">
        <v>28</v>
      </c>
      <c r="AF95" s="133" t="s">
        <v>28</v>
      </c>
      <c r="AG95" s="133" t="s">
        <v>28</v>
      </c>
      <c r="AH95" s="133" t="s">
        <v>28</v>
      </c>
      <c r="AI95" s="133" t="s">
        <v>28</v>
      </c>
      <c r="AJ95" s="133" t="s">
        <v>28</v>
      </c>
      <c r="AK95" s="133" t="s">
        <v>28</v>
      </c>
      <c r="AL95" s="133" t="s">
        <v>28</v>
      </c>
      <c r="AM95" s="133" t="s">
        <v>28</v>
      </c>
      <c r="AN95" s="133" t="s">
        <v>28</v>
      </c>
      <c r="AO95" s="133" t="s">
        <v>28</v>
      </c>
      <c r="AP95" s="133" t="s">
        <v>28</v>
      </c>
      <c r="AQ95" s="133" t="s">
        <v>28</v>
      </c>
      <c r="AR95" s="133" t="s">
        <v>28</v>
      </c>
      <c r="AS95" s="133" t="s">
        <v>28</v>
      </c>
      <c r="AT95" s="133" t="s">
        <v>28</v>
      </c>
      <c r="AU95" s="133" t="s">
        <v>28</v>
      </c>
      <c r="AV95" s="133" t="s">
        <v>28</v>
      </c>
      <c r="AW95" s="133" t="s">
        <v>28</v>
      </c>
      <c r="AX95" s="133" t="s">
        <v>28</v>
      </c>
      <c r="AY95" s="133" t="s">
        <v>28</v>
      </c>
      <c r="AZ95" s="133" t="s">
        <v>28</v>
      </c>
      <c r="BA95" s="133" t="s">
        <v>28</v>
      </c>
      <c r="BB95" s="133" t="s">
        <v>28</v>
      </c>
      <c r="BC95" s="133">
        <v>15000</v>
      </c>
      <c r="BD95" s="133" t="s">
        <v>28</v>
      </c>
      <c r="BE95" s="133" t="s">
        <v>28</v>
      </c>
      <c r="BF95" s="133" t="s">
        <v>28</v>
      </c>
      <c r="BG95" s="133">
        <v>5000</v>
      </c>
      <c r="BH95" s="133" t="s">
        <v>28</v>
      </c>
      <c r="BI95" s="133">
        <v>10000</v>
      </c>
      <c r="BJ95" s="133" t="s">
        <v>28</v>
      </c>
      <c r="BK95" s="133" t="s">
        <v>28</v>
      </c>
      <c r="BL95" s="133" t="s">
        <v>28</v>
      </c>
      <c r="BM95" s="133" t="s">
        <v>28</v>
      </c>
      <c r="BN95" s="133" t="s">
        <v>28</v>
      </c>
      <c r="BO95" s="133" t="s">
        <v>28</v>
      </c>
      <c r="BP95" s="133" t="s">
        <v>28</v>
      </c>
      <c r="BQ95" s="133" t="s">
        <v>28</v>
      </c>
      <c r="BR95" s="133" t="s">
        <v>28</v>
      </c>
      <c r="BS95" s="133" t="s">
        <v>28</v>
      </c>
      <c r="BT95" s="133" t="s">
        <v>28</v>
      </c>
      <c r="BU95" s="133" t="s">
        <v>28</v>
      </c>
      <c r="BV95" s="133" t="s">
        <v>28</v>
      </c>
      <c r="BW95" s="133" t="s">
        <v>28</v>
      </c>
      <c r="BX95" s="133" t="s">
        <v>28</v>
      </c>
      <c r="BY95" s="133" t="s">
        <v>28</v>
      </c>
      <c r="BZ95" s="133" t="s">
        <v>28</v>
      </c>
      <c r="CA95" s="133" t="s">
        <v>28</v>
      </c>
      <c r="CB95" s="133" t="s">
        <v>28</v>
      </c>
      <c r="CC95" s="14" t="s">
        <v>28</v>
      </c>
    </row>
    <row r="96" ht="25.05" customHeight="1" spans="1:82">
      <c r="A96" s="133">
        <v>1</v>
      </c>
      <c r="B96" s="37" t="s">
        <v>263</v>
      </c>
      <c r="C96" s="38" t="s">
        <v>264</v>
      </c>
      <c r="D96" s="14" t="s">
        <v>28</v>
      </c>
      <c r="E96" s="36" t="s">
        <v>265</v>
      </c>
      <c r="F96" s="36" t="s">
        <v>266</v>
      </c>
      <c r="G96" s="36">
        <v>156</v>
      </c>
      <c r="H96" s="40" t="s">
        <v>218</v>
      </c>
      <c r="I96" s="133">
        <v>0</v>
      </c>
      <c r="J96" s="134">
        <v>0</v>
      </c>
      <c r="K96" s="133">
        <v>0</v>
      </c>
      <c r="L96" s="140">
        <v>0</v>
      </c>
      <c r="M96" s="36">
        <v>0</v>
      </c>
      <c r="N96" s="36">
        <v>0</v>
      </c>
      <c r="O96" s="36">
        <v>0</v>
      </c>
      <c r="P96" s="36">
        <v>0</v>
      </c>
      <c r="Q96" s="37">
        <v>0</v>
      </c>
      <c r="R96" s="133"/>
      <c r="S96" s="133"/>
      <c r="T96" s="133" t="s">
        <v>28</v>
      </c>
      <c r="U96" s="133" t="s">
        <v>28</v>
      </c>
      <c r="V96" s="133" t="s">
        <v>28</v>
      </c>
      <c r="W96" s="133" t="s">
        <v>28</v>
      </c>
      <c r="X96" s="133" t="s">
        <v>28</v>
      </c>
      <c r="Y96" s="133" t="s">
        <v>28</v>
      </c>
      <c r="Z96" s="133" t="s">
        <v>28</v>
      </c>
      <c r="AA96" s="133" t="s">
        <v>28</v>
      </c>
      <c r="AB96" s="133" t="s">
        <v>28</v>
      </c>
      <c r="AC96" s="133" t="s">
        <v>28</v>
      </c>
      <c r="AD96" s="133" t="s">
        <v>28</v>
      </c>
      <c r="AE96" s="133" t="s">
        <v>28</v>
      </c>
      <c r="AF96" s="133" t="s">
        <v>28</v>
      </c>
      <c r="AG96" s="133" t="s">
        <v>28</v>
      </c>
      <c r="AH96" s="133" t="s">
        <v>28</v>
      </c>
      <c r="AI96" s="133" t="s">
        <v>28</v>
      </c>
      <c r="AJ96" s="133" t="s">
        <v>28</v>
      </c>
      <c r="AK96" s="133" t="s">
        <v>28</v>
      </c>
      <c r="AL96" s="133" t="s">
        <v>28</v>
      </c>
      <c r="AM96" s="133" t="s">
        <v>28</v>
      </c>
      <c r="AN96" s="133" t="s">
        <v>28</v>
      </c>
      <c r="AO96" s="133" t="s">
        <v>28</v>
      </c>
      <c r="AP96" s="133" t="s">
        <v>28</v>
      </c>
      <c r="AQ96" s="133" t="s">
        <v>28</v>
      </c>
      <c r="AR96" s="133" t="s">
        <v>28</v>
      </c>
      <c r="AS96" s="133" t="s">
        <v>28</v>
      </c>
      <c r="AT96" s="133" t="s">
        <v>28</v>
      </c>
      <c r="AU96" s="133" t="s">
        <v>28</v>
      </c>
      <c r="AV96" s="133" t="s">
        <v>28</v>
      </c>
      <c r="AW96" s="133" t="s">
        <v>28</v>
      </c>
      <c r="AX96" s="133" t="s">
        <v>28</v>
      </c>
      <c r="AY96" s="133" t="s">
        <v>28</v>
      </c>
      <c r="AZ96" s="133" t="s">
        <v>28</v>
      </c>
      <c r="BA96" s="133" t="s">
        <v>28</v>
      </c>
      <c r="BB96" s="133" t="s">
        <v>28</v>
      </c>
      <c r="BC96" s="133" t="s">
        <v>28</v>
      </c>
      <c r="BD96" s="133" t="s">
        <v>28</v>
      </c>
      <c r="BE96" s="133" t="s">
        <v>28</v>
      </c>
      <c r="BF96" s="133" t="s">
        <v>28</v>
      </c>
      <c r="BG96" s="133" t="s">
        <v>28</v>
      </c>
      <c r="BH96" s="133" t="s">
        <v>28</v>
      </c>
      <c r="BI96" s="133" t="s">
        <v>28</v>
      </c>
      <c r="BJ96" s="133" t="s">
        <v>28</v>
      </c>
      <c r="BK96" s="133" t="s">
        <v>28</v>
      </c>
      <c r="BL96" s="133" t="s">
        <v>28</v>
      </c>
      <c r="BM96" s="133" t="s">
        <v>28</v>
      </c>
      <c r="BN96" s="133" t="s">
        <v>28</v>
      </c>
      <c r="BO96" s="133" t="s">
        <v>28</v>
      </c>
      <c r="BP96" s="133" t="s">
        <v>28</v>
      </c>
      <c r="BQ96" s="133" t="s">
        <v>28</v>
      </c>
      <c r="BR96" s="133" t="s">
        <v>28</v>
      </c>
      <c r="BS96" s="133" t="s">
        <v>28</v>
      </c>
      <c r="BT96" s="133" t="s">
        <v>28</v>
      </c>
      <c r="BU96" s="133" t="s">
        <v>28</v>
      </c>
      <c r="BV96" s="133" t="s">
        <v>28</v>
      </c>
      <c r="BW96" s="133" t="s">
        <v>28</v>
      </c>
      <c r="BX96" s="133" t="s">
        <v>28</v>
      </c>
      <c r="BY96" s="133" t="s">
        <v>28</v>
      </c>
      <c r="BZ96" s="133" t="s">
        <v>28</v>
      </c>
      <c r="CA96" s="133" t="s">
        <v>28</v>
      </c>
      <c r="CB96" s="133" t="s">
        <v>28</v>
      </c>
      <c r="CC96" s="14" t="s">
        <v>28</v>
      </c>
    </row>
    <row r="97" s="118" customFormat="1" ht="25.05" customHeight="1" spans="1:81">
      <c r="A97" s="36">
        <v>1</v>
      </c>
      <c r="B97" s="37" t="s">
        <v>267</v>
      </c>
      <c r="C97" s="38" t="s">
        <v>268</v>
      </c>
      <c r="D97" s="38" t="s">
        <v>28</v>
      </c>
      <c r="E97" s="145" t="s">
        <v>269</v>
      </c>
      <c r="F97" s="141" t="s">
        <v>270</v>
      </c>
      <c r="G97" s="36">
        <v>12</v>
      </c>
      <c r="H97" s="40" t="s">
        <v>27</v>
      </c>
      <c r="I97" s="36">
        <v>1008</v>
      </c>
      <c r="J97" s="36">
        <v>0</v>
      </c>
      <c r="K97" s="36">
        <v>6768</v>
      </c>
      <c r="L97" s="36">
        <v>4896</v>
      </c>
      <c r="M97" s="36">
        <v>0</v>
      </c>
      <c r="N97" s="36">
        <v>0</v>
      </c>
      <c r="O97" s="36">
        <v>0</v>
      </c>
      <c r="P97" s="36">
        <v>0</v>
      </c>
      <c r="Q97" s="37">
        <v>2880</v>
      </c>
      <c r="R97" s="36"/>
      <c r="S97" s="36"/>
      <c r="T97" s="36" t="s">
        <v>28</v>
      </c>
      <c r="U97" s="36" t="s">
        <v>28</v>
      </c>
      <c r="V97" s="36" t="s">
        <v>28</v>
      </c>
      <c r="W97" s="36">
        <v>1152</v>
      </c>
      <c r="X97" s="36" t="s">
        <v>28</v>
      </c>
      <c r="Y97" s="36">
        <v>432</v>
      </c>
      <c r="Z97" s="36" t="s">
        <v>28</v>
      </c>
      <c r="AA97" s="36">
        <v>1728</v>
      </c>
      <c r="AB97" s="36" t="s">
        <v>28</v>
      </c>
      <c r="AC97" s="36">
        <v>1728</v>
      </c>
      <c r="AD97" s="36" t="s">
        <v>28</v>
      </c>
      <c r="AE97" s="36">
        <v>1728</v>
      </c>
      <c r="AF97" s="36" t="s">
        <v>28</v>
      </c>
      <c r="AG97" s="36" t="s">
        <v>28</v>
      </c>
      <c r="AH97" s="36" t="s">
        <v>28</v>
      </c>
      <c r="AI97" s="36" t="s">
        <v>28</v>
      </c>
      <c r="AJ97" s="36" t="s">
        <v>28</v>
      </c>
      <c r="AK97" s="36" t="s">
        <v>28</v>
      </c>
      <c r="AL97" s="36" t="s">
        <v>28</v>
      </c>
      <c r="AM97" s="36" t="s">
        <v>28</v>
      </c>
      <c r="AN97" s="36" t="s">
        <v>28</v>
      </c>
      <c r="AO97" s="36" t="s">
        <v>28</v>
      </c>
      <c r="AP97" s="36" t="s">
        <v>28</v>
      </c>
      <c r="AQ97" s="36" t="s">
        <v>28</v>
      </c>
      <c r="AR97" s="36" t="s">
        <v>28</v>
      </c>
      <c r="AS97" s="36" t="s">
        <v>28</v>
      </c>
      <c r="AT97" s="36" t="s">
        <v>28</v>
      </c>
      <c r="AU97" s="36" t="s">
        <v>28</v>
      </c>
      <c r="AV97" s="36" t="s">
        <v>28</v>
      </c>
      <c r="AW97" s="36" t="s">
        <v>28</v>
      </c>
      <c r="AX97" s="36" t="s">
        <v>28</v>
      </c>
      <c r="AY97" s="36" t="s">
        <v>28</v>
      </c>
      <c r="AZ97" s="36" t="s">
        <v>28</v>
      </c>
      <c r="BA97" s="36">
        <v>576</v>
      </c>
      <c r="BB97" s="36" t="s">
        <v>28</v>
      </c>
      <c r="BC97" s="36" t="s">
        <v>28</v>
      </c>
      <c r="BD97" s="36">
        <v>864</v>
      </c>
      <c r="BE97" s="36">
        <v>1152</v>
      </c>
      <c r="BF97" s="36">
        <v>576</v>
      </c>
      <c r="BG97" s="36">
        <v>864</v>
      </c>
      <c r="BH97" s="36">
        <v>864</v>
      </c>
      <c r="BI97" s="36" t="s">
        <v>28</v>
      </c>
      <c r="BJ97" s="36" t="s">
        <v>28</v>
      </c>
      <c r="BK97" s="36" t="s">
        <v>28</v>
      </c>
      <c r="BL97" s="36" t="s">
        <v>28</v>
      </c>
      <c r="BM97" s="36" t="s">
        <v>28</v>
      </c>
      <c r="BN97" s="36" t="s">
        <v>28</v>
      </c>
      <c r="BO97" s="36" t="s">
        <v>28</v>
      </c>
      <c r="BP97" s="36" t="s">
        <v>28</v>
      </c>
      <c r="BQ97" s="36" t="s">
        <v>28</v>
      </c>
      <c r="BR97" s="36" t="s">
        <v>28</v>
      </c>
      <c r="BS97" s="36" t="s">
        <v>28</v>
      </c>
      <c r="BT97" s="36" t="s">
        <v>28</v>
      </c>
      <c r="BU97" s="36" t="s">
        <v>28</v>
      </c>
      <c r="BV97" s="36" t="s">
        <v>28</v>
      </c>
      <c r="BW97" s="36" t="s">
        <v>28</v>
      </c>
      <c r="BX97" s="36" t="s">
        <v>28</v>
      </c>
      <c r="BY97" s="36" t="s">
        <v>28</v>
      </c>
      <c r="BZ97" s="36" t="s">
        <v>28</v>
      </c>
      <c r="CA97" s="36" t="s">
        <v>28</v>
      </c>
      <c r="CB97" s="36" t="s">
        <v>28</v>
      </c>
      <c r="CC97" s="36" t="s">
        <v>28</v>
      </c>
    </row>
    <row r="98" s="118" customFormat="1" ht="25.05" customHeight="1" spans="1:81">
      <c r="A98" s="36">
        <v>2</v>
      </c>
      <c r="B98" s="37" t="s">
        <v>267</v>
      </c>
      <c r="C98" s="38" t="s">
        <v>268</v>
      </c>
      <c r="D98" s="38" t="s">
        <v>28</v>
      </c>
      <c r="E98" s="145" t="s">
        <v>271</v>
      </c>
      <c r="F98" s="141" t="s">
        <v>272</v>
      </c>
      <c r="G98" s="36">
        <v>12</v>
      </c>
      <c r="H98" s="40" t="s">
        <v>27</v>
      </c>
      <c r="I98" s="36">
        <v>1296</v>
      </c>
      <c r="J98" s="36">
        <v>0</v>
      </c>
      <c r="K98" s="36">
        <v>6614</v>
      </c>
      <c r="L98" s="36">
        <v>4742</v>
      </c>
      <c r="M98" s="36">
        <v>0</v>
      </c>
      <c r="N98" s="36">
        <v>0</v>
      </c>
      <c r="O98" s="36">
        <v>0</v>
      </c>
      <c r="P98" s="36">
        <v>0</v>
      </c>
      <c r="Q98" s="37">
        <v>3168</v>
      </c>
      <c r="R98" s="36"/>
      <c r="S98" s="36"/>
      <c r="T98" s="36" t="s">
        <v>28</v>
      </c>
      <c r="U98" s="36" t="s">
        <v>28</v>
      </c>
      <c r="V98" s="36" t="s">
        <v>28</v>
      </c>
      <c r="W98" s="36">
        <v>1142</v>
      </c>
      <c r="X98" s="36" t="s">
        <v>28</v>
      </c>
      <c r="Y98" s="36">
        <v>288</v>
      </c>
      <c r="Z98" s="36" t="s">
        <v>28</v>
      </c>
      <c r="AA98" s="36">
        <v>1728</v>
      </c>
      <c r="AB98" s="36" t="s">
        <v>28</v>
      </c>
      <c r="AC98" s="36">
        <v>1728</v>
      </c>
      <c r="AD98" s="36" t="s">
        <v>28</v>
      </c>
      <c r="AE98" s="36">
        <v>1728</v>
      </c>
      <c r="AF98" s="36" t="s">
        <v>28</v>
      </c>
      <c r="AG98" s="36" t="s">
        <v>28</v>
      </c>
      <c r="AH98" s="36" t="s">
        <v>28</v>
      </c>
      <c r="AI98" s="36" t="s">
        <v>28</v>
      </c>
      <c r="AJ98" s="36" t="s">
        <v>28</v>
      </c>
      <c r="AK98" s="36" t="s">
        <v>28</v>
      </c>
      <c r="AL98" s="36" t="s">
        <v>28</v>
      </c>
      <c r="AM98" s="36" t="s">
        <v>28</v>
      </c>
      <c r="AN98" s="36" t="s">
        <v>28</v>
      </c>
      <c r="AO98" s="36" t="s">
        <v>28</v>
      </c>
      <c r="AP98" s="36" t="s">
        <v>28</v>
      </c>
      <c r="AQ98" s="36" t="s">
        <v>28</v>
      </c>
      <c r="AR98" s="36" t="s">
        <v>28</v>
      </c>
      <c r="AS98" s="36" t="s">
        <v>28</v>
      </c>
      <c r="AT98" s="36" t="s">
        <v>28</v>
      </c>
      <c r="AU98" s="36" t="s">
        <v>28</v>
      </c>
      <c r="AV98" s="36" t="s">
        <v>28</v>
      </c>
      <c r="AW98" s="36" t="s">
        <v>28</v>
      </c>
      <c r="AX98" s="36" t="s">
        <v>28</v>
      </c>
      <c r="AY98" s="36" t="s">
        <v>28</v>
      </c>
      <c r="AZ98" s="36" t="s">
        <v>28</v>
      </c>
      <c r="BA98" s="36" t="s">
        <v>28</v>
      </c>
      <c r="BB98" s="36" t="s">
        <v>28</v>
      </c>
      <c r="BC98" s="36" t="s">
        <v>28</v>
      </c>
      <c r="BD98" s="36">
        <v>864</v>
      </c>
      <c r="BE98" s="36">
        <v>1862</v>
      </c>
      <c r="BF98" s="36">
        <v>288</v>
      </c>
      <c r="BG98" s="36">
        <v>864</v>
      </c>
      <c r="BH98" s="36">
        <v>864</v>
      </c>
      <c r="BI98" s="36" t="s">
        <v>28</v>
      </c>
      <c r="BJ98" s="36" t="s">
        <v>28</v>
      </c>
      <c r="BK98" s="36" t="s">
        <v>28</v>
      </c>
      <c r="BL98" s="36" t="s">
        <v>28</v>
      </c>
      <c r="BM98" s="36" t="s">
        <v>28</v>
      </c>
      <c r="BN98" s="36" t="s">
        <v>28</v>
      </c>
      <c r="BO98" s="36" t="s">
        <v>28</v>
      </c>
      <c r="BP98" s="36" t="s">
        <v>28</v>
      </c>
      <c r="BQ98" s="36" t="s">
        <v>28</v>
      </c>
      <c r="BR98" s="36" t="s">
        <v>28</v>
      </c>
      <c r="BS98" s="36" t="s">
        <v>28</v>
      </c>
      <c r="BT98" s="36" t="s">
        <v>28</v>
      </c>
      <c r="BU98" s="36" t="s">
        <v>28</v>
      </c>
      <c r="BV98" s="36" t="s">
        <v>28</v>
      </c>
      <c r="BW98" s="36" t="s">
        <v>28</v>
      </c>
      <c r="BX98" s="36" t="s">
        <v>28</v>
      </c>
      <c r="BY98" s="36" t="s">
        <v>28</v>
      </c>
      <c r="BZ98" s="36" t="s">
        <v>28</v>
      </c>
      <c r="CA98" s="36" t="s">
        <v>28</v>
      </c>
      <c r="CB98" s="36" t="s">
        <v>28</v>
      </c>
      <c r="CC98" s="36" t="s">
        <v>28</v>
      </c>
    </row>
    <row r="99" s="118" customFormat="1" ht="25.05" customHeight="1" spans="1:81">
      <c r="A99" s="36">
        <v>3</v>
      </c>
      <c r="B99" s="37" t="s">
        <v>267</v>
      </c>
      <c r="C99" s="38" t="s">
        <v>268</v>
      </c>
      <c r="D99" s="38"/>
      <c r="E99" s="39" t="s">
        <v>273</v>
      </c>
      <c r="F99" s="141" t="s">
        <v>274</v>
      </c>
      <c r="G99" s="36">
        <v>240</v>
      </c>
      <c r="H99" s="40" t="s">
        <v>127</v>
      </c>
      <c r="I99" s="36">
        <v>6316</v>
      </c>
      <c r="J99" s="36">
        <v>0</v>
      </c>
      <c r="K99" s="36">
        <v>0</v>
      </c>
      <c r="L99" s="36">
        <v>0</v>
      </c>
      <c r="M99" s="36">
        <v>0</v>
      </c>
      <c r="N99" s="36">
        <v>0</v>
      </c>
      <c r="O99" s="36">
        <v>0</v>
      </c>
      <c r="P99" s="36">
        <v>0</v>
      </c>
      <c r="Q99" s="37">
        <v>6316</v>
      </c>
      <c r="R99" s="36"/>
      <c r="S99" s="36"/>
      <c r="T99" s="36" t="s">
        <v>28</v>
      </c>
      <c r="U99" s="36" t="s">
        <v>28</v>
      </c>
      <c r="V99" s="36" t="s">
        <v>28</v>
      </c>
      <c r="W99" s="36" t="s">
        <v>28</v>
      </c>
      <c r="X99" s="36" t="s">
        <v>28</v>
      </c>
      <c r="Y99" s="36" t="s">
        <v>28</v>
      </c>
      <c r="Z99" s="36" t="s">
        <v>28</v>
      </c>
      <c r="AA99" s="36" t="s">
        <v>28</v>
      </c>
      <c r="AB99" s="36" t="s">
        <v>28</v>
      </c>
      <c r="AC99" s="36" t="s">
        <v>28</v>
      </c>
      <c r="AD99" s="36" t="s">
        <v>28</v>
      </c>
      <c r="AE99" s="36" t="s">
        <v>28</v>
      </c>
      <c r="AF99" s="36" t="s">
        <v>28</v>
      </c>
      <c r="AG99" s="36" t="s">
        <v>28</v>
      </c>
      <c r="AH99" s="36" t="s">
        <v>28</v>
      </c>
      <c r="AI99" s="36" t="s">
        <v>28</v>
      </c>
      <c r="AJ99" s="36" t="s">
        <v>28</v>
      </c>
      <c r="AK99" s="36" t="s">
        <v>28</v>
      </c>
      <c r="AL99" s="36" t="s">
        <v>28</v>
      </c>
      <c r="AM99" s="36" t="s">
        <v>28</v>
      </c>
      <c r="AN99" s="36" t="s">
        <v>28</v>
      </c>
      <c r="AO99" s="36" t="s">
        <v>28</v>
      </c>
      <c r="AP99" s="36" t="s">
        <v>28</v>
      </c>
      <c r="AQ99" s="36" t="s">
        <v>28</v>
      </c>
      <c r="AR99" s="36" t="s">
        <v>28</v>
      </c>
      <c r="AS99" s="36" t="s">
        <v>28</v>
      </c>
      <c r="AT99" s="36" t="s">
        <v>28</v>
      </c>
      <c r="AU99" s="36" t="s">
        <v>28</v>
      </c>
      <c r="AV99" s="36" t="s">
        <v>28</v>
      </c>
      <c r="AW99" s="36" t="s">
        <v>28</v>
      </c>
      <c r="AX99" s="36" t="s">
        <v>28</v>
      </c>
      <c r="AY99" s="36" t="s">
        <v>28</v>
      </c>
      <c r="AZ99" s="36" t="s">
        <v>28</v>
      </c>
      <c r="BA99" s="36" t="s">
        <v>28</v>
      </c>
      <c r="BB99" s="36" t="s">
        <v>28</v>
      </c>
      <c r="BC99" s="36" t="s">
        <v>28</v>
      </c>
      <c r="BD99" s="36" t="s">
        <v>28</v>
      </c>
      <c r="BE99" s="36" t="s">
        <v>28</v>
      </c>
      <c r="BF99" s="36" t="s">
        <v>28</v>
      </c>
      <c r="BG99" s="36" t="s">
        <v>28</v>
      </c>
      <c r="BH99" s="36" t="s">
        <v>28</v>
      </c>
      <c r="BI99" s="36" t="s">
        <v>28</v>
      </c>
      <c r="BJ99" s="36" t="s">
        <v>28</v>
      </c>
      <c r="BK99" s="36" t="s">
        <v>28</v>
      </c>
      <c r="BL99" s="36" t="s">
        <v>28</v>
      </c>
      <c r="BM99" s="36" t="s">
        <v>28</v>
      </c>
      <c r="BN99" s="36" t="s">
        <v>28</v>
      </c>
      <c r="BO99" s="36" t="s">
        <v>28</v>
      </c>
      <c r="BP99" s="36" t="s">
        <v>28</v>
      </c>
      <c r="BQ99" s="36" t="s">
        <v>28</v>
      </c>
      <c r="BR99" s="36" t="s">
        <v>28</v>
      </c>
      <c r="BS99" s="36" t="s">
        <v>28</v>
      </c>
      <c r="BT99" s="36" t="s">
        <v>28</v>
      </c>
      <c r="BU99" s="36" t="s">
        <v>28</v>
      </c>
      <c r="BV99" s="36" t="s">
        <v>28</v>
      </c>
      <c r="BW99" s="36" t="s">
        <v>28</v>
      </c>
      <c r="BX99" s="36" t="s">
        <v>28</v>
      </c>
      <c r="BY99" s="36" t="s">
        <v>28</v>
      </c>
      <c r="BZ99" s="36" t="s">
        <v>28</v>
      </c>
      <c r="CA99" s="36" t="s">
        <v>28</v>
      </c>
      <c r="CB99" s="36" t="s">
        <v>28</v>
      </c>
      <c r="CC99" s="36" t="s">
        <v>28</v>
      </c>
    </row>
    <row r="100" s="118" customFormat="1" ht="26.4" customHeight="1" spans="1:81">
      <c r="A100" s="36">
        <v>4</v>
      </c>
      <c r="B100" s="37" t="s">
        <v>267</v>
      </c>
      <c r="C100" s="38" t="s">
        <v>268</v>
      </c>
      <c r="D100" s="36"/>
      <c r="E100" s="39" t="s">
        <v>275</v>
      </c>
      <c r="F100" s="141" t="s">
        <v>276</v>
      </c>
      <c r="G100" s="36">
        <v>300</v>
      </c>
      <c r="H100" s="40" t="s">
        <v>127</v>
      </c>
      <c r="I100" s="36">
        <v>6434</v>
      </c>
      <c r="J100" s="36">
        <v>0</v>
      </c>
      <c r="K100" s="36">
        <v>0</v>
      </c>
      <c r="L100" s="36">
        <v>0</v>
      </c>
      <c r="M100" s="36">
        <v>0</v>
      </c>
      <c r="N100" s="36">
        <v>0</v>
      </c>
      <c r="O100" s="36">
        <v>0</v>
      </c>
      <c r="P100" s="36">
        <v>0</v>
      </c>
      <c r="Q100" s="37">
        <v>6434</v>
      </c>
      <c r="R100" s="36"/>
      <c r="S100" s="36"/>
      <c r="T100" s="36" t="s">
        <v>28</v>
      </c>
      <c r="U100" s="36" t="s">
        <v>28</v>
      </c>
      <c r="V100" s="36" t="s">
        <v>28</v>
      </c>
      <c r="W100" s="36" t="s">
        <v>28</v>
      </c>
      <c r="X100" s="36" t="s">
        <v>28</v>
      </c>
      <c r="Y100" s="36" t="s">
        <v>28</v>
      </c>
      <c r="Z100" s="36" t="s">
        <v>28</v>
      </c>
      <c r="AA100" s="36" t="s">
        <v>28</v>
      </c>
      <c r="AB100" s="36" t="s">
        <v>28</v>
      </c>
      <c r="AC100" s="36" t="s">
        <v>28</v>
      </c>
      <c r="AD100" s="36" t="s">
        <v>28</v>
      </c>
      <c r="AE100" s="36" t="s">
        <v>28</v>
      </c>
      <c r="AF100" s="36" t="s">
        <v>28</v>
      </c>
      <c r="AG100" s="36" t="s">
        <v>28</v>
      </c>
      <c r="AH100" s="36" t="s">
        <v>28</v>
      </c>
      <c r="AI100" s="36" t="s">
        <v>28</v>
      </c>
      <c r="AJ100" s="36" t="s">
        <v>28</v>
      </c>
      <c r="AK100" s="36" t="s">
        <v>28</v>
      </c>
      <c r="AL100" s="36" t="s">
        <v>28</v>
      </c>
      <c r="AM100" s="36" t="s">
        <v>28</v>
      </c>
      <c r="AN100" s="36" t="s">
        <v>28</v>
      </c>
      <c r="AO100" s="36" t="s">
        <v>28</v>
      </c>
      <c r="AP100" s="36" t="s">
        <v>28</v>
      </c>
      <c r="AQ100" s="36" t="s">
        <v>28</v>
      </c>
      <c r="AR100" s="36" t="s">
        <v>28</v>
      </c>
      <c r="AS100" s="36" t="s">
        <v>28</v>
      </c>
      <c r="AT100" s="36" t="s">
        <v>28</v>
      </c>
      <c r="AU100" s="36" t="s">
        <v>28</v>
      </c>
      <c r="AV100" s="36" t="s">
        <v>28</v>
      </c>
      <c r="AW100" s="36" t="s">
        <v>28</v>
      </c>
      <c r="AX100" s="36" t="s">
        <v>28</v>
      </c>
      <c r="AY100" s="36" t="s">
        <v>28</v>
      </c>
      <c r="AZ100" s="36" t="s">
        <v>28</v>
      </c>
      <c r="BA100" s="36" t="s">
        <v>28</v>
      </c>
      <c r="BB100" s="36" t="s">
        <v>28</v>
      </c>
      <c r="BC100" s="36" t="s">
        <v>28</v>
      </c>
      <c r="BD100" s="36" t="s">
        <v>28</v>
      </c>
      <c r="BE100" s="36" t="s">
        <v>28</v>
      </c>
      <c r="BF100" s="36" t="s">
        <v>28</v>
      </c>
      <c r="BG100" s="36" t="s">
        <v>28</v>
      </c>
      <c r="BH100" s="36" t="s">
        <v>28</v>
      </c>
      <c r="BI100" s="36" t="s">
        <v>28</v>
      </c>
      <c r="BJ100" s="36" t="s">
        <v>28</v>
      </c>
      <c r="BK100" s="36" t="s">
        <v>28</v>
      </c>
      <c r="BL100" s="36" t="s">
        <v>28</v>
      </c>
      <c r="BM100" s="36" t="s">
        <v>28</v>
      </c>
      <c r="BN100" s="36" t="s">
        <v>28</v>
      </c>
      <c r="BO100" s="36" t="s">
        <v>28</v>
      </c>
      <c r="BP100" s="36" t="s">
        <v>28</v>
      </c>
      <c r="BQ100" s="36" t="s">
        <v>28</v>
      </c>
      <c r="BR100" s="36" t="s">
        <v>28</v>
      </c>
      <c r="BS100" s="36" t="s">
        <v>28</v>
      </c>
      <c r="BT100" s="36" t="s">
        <v>28</v>
      </c>
      <c r="BU100" s="36" t="s">
        <v>28</v>
      </c>
      <c r="BV100" s="36" t="s">
        <v>28</v>
      </c>
      <c r="BW100" s="36" t="s">
        <v>28</v>
      </c>
      <c r="BX100" s="36" t="s">
        <v>28</v>
      </c>
      <c r="BY100" s="36" t="s">
        <v>28</v>
      </c>
      <c r="BZ100" s="36" t="s">
        <v>28</v>
      </c>
      <c r="CA100" s="36" t="s">
        <v>28</v>
      </c>
      <c r="CB100" s="36" t="s">
        <v>28</v>
      </c>
      <c r="CC100" s="36" t="s">
        <v>28</v>
      </c>
    </row>
    <row r="101" ht="25.05" customHeight="1" spans="1:81">
      <c r="A101" s="133">
        <v>1</v>
      </c>
      <c r="B101" s="37" t="s">
        <v>277</v>
      </c>
      <c r="C101" s="38" t="s">
        <v>278</v>
      </c>
      <c r="D101" s="14" t="s">
        <v>28</v>
      </c>
      <c r="E101" s="36" t="s">
        <v>279</v>
      </c>
      <c r="F101" s="36" t="s">
        <v>280</v>
      </c>
      <c r="G101" s="36">
        <v>12</v>
      </c>
      <c r="H101" s="40" t="s">
        <v>27</v>
      </c>
      <c r="I101" s="133">
        <v>0</v>
      </c>
      <c r="J101" s="134">
        <v>0</v>
      </c>
      <c r="K101" s="133">
        <v>9000</v>
      </c>
      <c r="L101" s="140">
        <v>4800</v>
      </c>
      <c r="M101" s="36">
        <v>0</v>
      </c>
      <c r="N101" s="36">
        <v>0</v>
      </c>
      <c r="O101" s="36">
        <v>0</v>
      </c>
      <c r="P101" s="36">
        <v>0</v>
      </c>
      <c r="Q101" s="37">
        <v>4200</v>
      </c>
      <c r="R101" s="133"/>
      <c r="S101" s="133"/>
      <c r="T101" s="133" t="s">
        <v>28</v>
      </c>
      <c r="U101" s="133" t="s">
        <v>28</v>
      </c>
      <c r="V101" s="133" t="s">
        <v>28</v>
      </c>
      <c r="W101" s="133">
        <v>4500</v>
      </c>
      <c r="X101" s="133" t="s">
        <v>28</v>
      </c>
      <c r="Y101" s="133">
        <v>900</v>
      </c>
      <c r="Z101" s="133">
        <v>900</v>
      </c>
      <c r="AA101" s="133" t="s">
        <v>28</v>
      </c>
      <c r="AB101" s="133" t="s">
        <v>28</v>
      </c>
      <c r="AC101" s="133">
        <v>900</v>
      </c>
      <c r="AD101" s="133">
        <v>900</v>
      </c>
      <c r="AE101" s="133">
        <v>900</v>
      </c>
      <c r="AF101" s="133" t="s">
        <v>28</v>
      </c>
      <c r="AG101" s="133" t="s">
        <v>28</v>
      </c>
      <c r="AH101" s="133" t="s">
        <v>28</v>
      </c>
      <c r="AI101" s="133" t="s">
        <v>28</v>
      </c>
      <c r="AJ101" s="133" t="s">
        <v>28</v>
      </c>
      <c r="AK101" s="133" t="s">
        <v>28</v>
      </c>
      <c r="AL101" s="133" t="s">
        <v>28</v>
      </c>
      <c r="AM101" s="133" t="s">
        <v>28</v>
      </c>
      <c r="AN101" s="133" t="s">
        <v>28</v>
      </c>
      <c r="AO101" s="133" t="s">
        <v>28</v>
      </c>
      <c r="AP101" s="133" t="s">
        <v>28</v>
      </c>
      <c r="AQ101" s="133" t="s">
        <v>28</v>
      </c>
      <c r="AR101" s="133" t="s">
        <v>28</v>
      </c>
      <c r="AS101" s="133" t="s">
        <v>28</v>
      </c>
      <c r="AT101" s="133" t="s">
        <v>28</v>
      </c>
      <c r="AU101" s="133" t="s">
        <v>28</v>
      </c>
      <c r="AV101" s="133" t="s">
        <v>28</v>
      </c>
      <c r="AW101" s="133" t="s">
        <v>28</v>
      </c>
      <c r="AX101" s="133" t="s">
        <v>28</v>
      </c>
      <c r="AY101" s="133" t="s">
        <v>28</v>
      </c>
      <c r="AZ101" s="133" t="s">
        <v>28</v>
      </c>
      <c r="BA101" s="133" t="s">
        <v>28</v>
      </c>
      <c r="BB101" s="133" t="s">
        <v>28</v>
      </c>
      <c r="BC101" s="133" t="s">
        <v>28</v>
      </c>
      <c r="BD101" s="133" t="s">
        <v>28</v>
      </c>
      <c r="BE101" s="133" t="s">
        <v>28</v>
      </c>
      <c r="BF101" s="133">
        <v>1200</v>
      </c>
      <c r="BG101" s="133">
        <v>1200</v>
      </c>
      <c r="BH101" s="133">
        <v>1200</v>
      </c>
      <c r="BI101" s="133" t="s">
        <v>28</v>
      </c>
      <c r="BJ101" s="133">
        <v>1200</v>
      </c>
      <c r="BK101" s="133" t="s">
        <v>28</v>
      </c>
      <c r="BL101" s="133" t="s">
        <v>28</v>
      </c>
      <c r="BM101" s="133" t="s">
        <v>28</v>
      </c>
      <c r="BN101" s="133" t="s">
        <v>28</v>
      </c>
      <c r="BO101" s="133" t="s">
        <v>28</v>
      </c>
      <c r="BP101" s="133" t="s">
        <v>28</v>
      </c>
      <c r="BQ101" s="133" t="s">
        <v>28</v>
      </c>
      <c r="BR101" s="133" t="s">
        <v>28</v>
      </c>
      <c r="BS101" s="133" t="s">
        <v>28</v>
      </c>
      <c r="BT101" s="133" t="s">
        <v>28</v>
      </c>
      <c r="BU101" s="133" t="s">
        <v>28</v>
      </c>
      <c r="BV101" s="133" t="s">
        <v>28</v>
      </c>
      <c r="BW101" s="133" t="s">
        <v>28</v>
      </c>
      <c r="BX101" s="133" t="s">
        <v>28</v>
      </c>
      <c r="BY101" s="133" t="s">
        <v>28</v>
      </c>
      <c r="BZ101" s="133" t="s">
        <v>28</v>
      </c>
      <c r="CA101" s="133" t="s">
        <v>28</v>
      </c>
      <c r="CB101" s="133" t="s">
        <v>28</v>
      </c>
      <c r="CC101" s="14" t="s">
        <v>28</v>
      </c>
    </row>
    <row r="102" ht="25.05" customHeight="1" spans="1:81">
      <c r="A102" s="133">
        <v>1</v>
      </c>
      <c r="B102" s="37" t="s">
        <v>281</v>
      </c>
      <c r="C102" s="38" t="s">
        <v>282</v>
      </c>
      <c r="D102" s="14" t="s">
        <v>28</v>
      </c>
      <c r="E102" s="36" t="s">
        <v>283</v>
      </c>
      <c r="F102" s="36" t="s">
        <v>284</v>
      </c>
      <c r="G102" s="36">
        <v>125</v>
      </c>
      <c r="H102" s="40" t="s">
        <v>218</v>
      </c>
      <c r="I102" s="133">
        <v>4000</v>
      </c>
      <c r="J102" s="134">
        <v>0</v>
      </c>
      <c r="K102" s="133">
        <v>10250</v>
      </c>
      <c r="L102" s="140">
        <v>8250</v>
      </c>
      <c r="M102" s="36">
        <v>109</v>
      </c>
      <c r="N102" s="36">
        <v>0</v>
      </c>
      <c r="O102" s="36">
        <v>109</v>
      </c>
      <c r="P102" s="36">
        <v>0</v>
      </c>
      <c r="Q102" s="37">
        <v>6000</v>
      </c>
      <c r="R102" s="133"/>
      <c r="S102" s="133"/>
      <c r="T102" s="133" t="s">
        <v>28</v>
      </c>
      <c r="U102" s="133" t="s">
        <v>28</v>
      </c>
      <c r="V102" s="133" t="s">
        <v>28</v>
      </c>
      <c r="W102" s="133" t="s">
        <v>28</v>
      </c>
      <c r="X102" s="133" t="s">
        <v>28</v>
      </c>
      <c r="Y102" s="133" t="s">
        <v>28</v>
      </c>
      <c r="Z102" s="133" t="s">
        <v>28</v>
      </c>
      <c r="AA102" s="133" t="s">
        <v>28</v>
      </c>
      <c r="AB102" s="133" t="s">
        <v>28</v>
      </c>
      <c r="AC102" s="133" t="s">
        <v>28</v>
      </c>
      <c r="AD102" s="133" t="s">
        <v>28</v>
      </c>
      <c r="AE102" s="133" t="s">
        <v>28</v>
      </c>
      <c r="AF102" s="133" t="s">
        <v>28</v>
      </c>
      <c r="AG102" s="133" t="s">
        <v>28</v>
      </c>
      <c r="AH102" s="133" t="s">
        <v>28</v>
      </c>
      <c r="AI102" s="133" t="s">
        <v>28</v>
      </c>
      <c r="AJ102" s="133" t="s">
        <v>28</v>
      </c>
      <c r="AK102" s="133" t="s">
        <v>28</v>
      </c>
      <c r="AL102" s="133" t="s">
        <v>28</v>
      </c>
      <c r="AM102" s="133" t="s">
        <v>28</v>
      </c>
      <c r="AN102" s="133" t="s">
        <v>28</v>
      </c>
      <c r="AO102" s="133" t="s">
        <v>28</v>
      </c>
      <c r="AP102" s="133" t="s">
        <v>28</v>
      </c>
      <c r="AQ102" s="133" t="s">
        <v>28</v>
      </c>
      <c r="AR102" s="133" t="s">
        <v>28</v>
      </c>
      <c r="AS102" s="133" t="s">
        <v>28</v>
      </c>
      <c r="AT102" s="133" t="s">
        <v>28</v>
      </c>
      <c r="AU102" s="133" t="s">
        <v>28</v>
      </c>
      <c r="AV102" s="133" t="s">
        <v>28</v>
      </c>
      <c r="AW102" s="133" t="s">
        <v>28</v>
      </c>
      <c r="AX102" s="133" t="s">
        <v>28</v>
      </c>
      <c r="AY102" s="133" t="s">
        <v>28</v>
      </c>
      <c r="AZ102" s="133" t="s">
        <v>28</v>
      </c>
      <c r="BA102" s="133" t="s">
        <v>28</v>
      </c>
      <c r="BB102" s="133" t="s">
        <v>28</v>
      </c>
      <c r="BC102" s="133" t="s">
        <v>28</v>
      </c>
      <c r="BD102" s="133" t="s">
        <v>28</v>
      </c>
      <c r="BE102" s="133" t="s">
        <v>28</v>
      </c>
      <c r="BF102" s="133" t="s">
        <v>28</v>
      </c>
      <c r="BG102" s="133" t="s">
        <v>28</v>
      </c>
      <c r="BH102" s="133" t="s">
        <v>28</v>
      </c>
      <c r="BI102" s="133" t="s">
        <v>28</v>
      </c>
      <c r="BJ102" s="133" t="s">
        <v>28</v>
      </c>
      <c r="BK102" s="133" t="s">
        <v>28</v>
      </c>
      <c r="BL102" s="133" t="s">
        <v>28</v>
      </c>
      <c r="BM102" s="133" t="s">
        <v>28</v>
      </c>
      <c r="BN102" s="133" t="s">
        <v>28</v>
      </c>
      <c r="BO102" s="133" t="s">
        <v>28</v>
      </c>
      <c r="BP102" s="133" t="s">
        <v>28</v>
      </c>
      <c r="BQ102" s="133" t="s">
        <v>28</v>
      </c>
      <c r="BR102" s="133" t="s">
        <v>28</v>
      </c>
      <c r="BS102" s="133" t="s">
        <v>28</v>
      </c>
      <c r="BT102" s="133" t="s">
        <v>28</v>
      </c>
      <c r="BU102" s="133" t="s">
        <v>28</v>
      </c>
      <c r="BV102" s="133" t="s">
        <v>28</v>
      </c>
      <c r="BW102" s="133" t="s">
        <v>28</v>
      </c>
      <c r="BX102" s="133" t="s">
        <v>28</v>
      </c>
      <c r="BY102" s="133" t="s">
        <v>28</v>
      </c>
      <c r="BZ102" s="133" t="s">
        <v>28</v>
      </c>
      <c r="CA102" s="133" t="s">
        <v>28</v>
      </c>
      <c r="CB102" s="133" t="s">
        <v>28</v>
      </c>
      <c r="CC102" s="14" t="s">
        <v>28</v>
      </c>
    </row>
    <row r="103" ht="25.05" customHeight="1" spans="1:81">
      <c r="A103" s="133">
        <v>2</v>
      </c>
      <c r="B103" s="37" t="s">
        <v>281</v>
      </c>
      <c r="C103" s="38" t="s">
        <v>282</v>
      </c>
      <c r="D103" s="14" t="s">
        <v>28</v>
      </c>
      <c r="E103" s="36" t="s">
        <v>285</v>
      </c>
      <c r="F103" s="36" t="s">
        <v>286</v>
      </c>
      <c r="G103" s="36">
        <v>6</v>
      </c>
      <c r="H103" s="40" t="s">
        <v>218</v>
      </c>
      <c r="I103" s="133">
        <v>0</v>
      </c>
      <c r="J103" s="134">
        <v>70</v>
      </c>
      <c r="K103" s="133">
        <v>70</v>
      </c>
      <c r="L103" s="140">
        <v>70</v>
      </c>
      <c r="M103" s="36">
        <v>0</v>
      </c>
      <c r="N103" s="36">
        <v>0</v>
      </c>
      <c r="O103" s="36">
        <v>70</v>
      </c>
      <c r="P103" s="36">
        <v>0</v>
      </c>
      <c r="Q103" s="37">
        <v>0</v>
      </c>
      <c r="R103" s="133"/>
      <c r="S103" s="133"/>
      <c r="T103" s="133" t="s">
        <v>28</v>
      </c>
      <c r="U103" s="133" t="s">
        <v>28</v>
      </c>
      <c r="V103" s="133" t="s">
        <v>28</v>
      </c>
      <c r="W103" s="133" t="s">
        <v>28</v>
      </c>
      <c r="X103" s="133" t="s">
        <v>28</v>
      </c>
      <c r="Y103" s="133" t="s">
        <v>28</v>
      </c>
      <c r="Z103" s="133" t="s">
        <v>28</v>
      </c>
      <c r="AA103" s="133" t="s">
        <v>28</v>
      </c>
      <c r="AB103" s="133" t="s">
        <v>28</v>
      </c>
      <c r="AC103" s="133" t="s">
        <v>28</v>
      </c>
      <c r="AD103" s="133" t="s">
        <v>28</v>
      </c>
      <c r="AE103" s="133" t="s">
        <v>28</v>
      </c>
      <c r="AF103" s="133" t="s">
        <v>28</v>
      </c>
      <c r="AG103" s="133" t="s">
        <v>28</v>
      </c>
      <c r="AH103" s="133" t="s">
        <v>28</v>
      </c>
      <c r="AI103" s="133" t="s">
        <v>28</v>
      </c>
      <c r="AJ103" s="133" t="s">
        <v>28</v>
      </c>
      <c r="AK103" s="133" t="s">
        <v>28</v>
      </c>
      <c r="AL103" s="133" t="s">
        <v>28</v>
      </c>
      <c r="AM103" s="133" t="s">
        <v>28</v>
      </c>
      <c r="AN103" s="133" t="s">
        <v>28</v>
      </c>
      <c r="AO103" s="133" t="s">
        <v>28</v>
      </c>
      <c r="AP103" s="133" t="s">
        <v>28</v>
      </c>
      <c r="AQ103" s="133" t="s">
        <v>28</v>
      </c>
      <c r="AR103" s="133" t="s">
        <v>28</v>
      </c>
      <c r="AS103" s="133" t="s">
        <v>28</v>
      </c>
      <c r="AT103" s="133" t="s">
        <v>28</v>
      </c>
      <c r="AU103" s="133" t="s">
        <v>28</v>
      </c>
      <c r="AV103" s="133" t="s">
        <v>28</v>
      </c>
      <c r="AW103" s="133" t="s">
        <v>28</v>
      </c>
      <c r="AX103" s="133" t="s">
        <v>28</v>
      </c>
      <c r="AY103" s="133" t="s">
        <v>28</v>
      </c>
      <c r="AZ103" s="133" t="s">
        <v>28</v>
      </c>
      <c r="BA103" s="133" t="s">
        <v>28</v>
      </c>
      <c r="BB103" s="133" t="s">
        <v>28</v>
      </c>
      <c r="BC103" s="133" t="s">
        <v>28</v>
      </c>
      <c r="BD103" s="133" t="s">
        <v>28</v>
      </c>
      <c r="BE103" s="133" t="s">
        <v>28</v>
      </c>
      <c r="BF103" s="133" t="s">
        <v>28</v>
      </c>
      <c r="BG103" s="133" t="s">
        <v>28</v>
      </c>
      <c r="BH103" s="133" t="s">
        <v>28</v>
      </c>
      <c r="BI103" s="133" t="s">
        <v>28</v>
      </c>
      <c r="BJ103" s="133" t="s">
        <v>28</v>
      </c>
      <c r="BK103" s="133" t="s">
        <v>28</v>
      </c>
      <c r="BL103" s="133" t="s">
        <v>28</v>
      </c>
      <c r="BM103" s="133" t="s">
        <v>28</v>
      </c>
      <c r="BN103" s="133" t="s">
        <v>28</v>
      </c>
      <c r="BO103" s="133" t="s">
        <v>28</v>
      </c>
      <c r="BP103" s="133" t="s">
        <v>28</v>
      </c>
      <c r="BQ103" s="133" t="s">
        <v>28</v>
      </c>
      <c r="BR103" s="133" t="s">
        <v>28</v>
      </c>
      <c r="BS103" s="133" t="s">
        <v>28</v>
      </c>
      <c r="BT103" s="133" t="s">
        <v>28</v>
      </c>
      <c r="BU103" s="133" t="s">
        <v>28</v>
      </c>
      <c r="BV103" s="133" t="s">
        <v>28</v>
      </c>
      <c r="BW103" s="133" t="s">
        <v>28</v>
      </c>
      <c r="BX103" s="133" t="s">
        <v>28</v>
      </c>
      <c r="BY103" s="133" t="s">
        <v>28</v>
      </c>
      <c r="BZ103" s="133" t="s">
        <v>28</v>
      </c>
      <c r="CA103" s="133" t="s">
        <v>28</v>
      </c>
      <c r="CB103" s="133" t="s">
        <v>28</v>
      </c>
      <c r="CC103" s="14" t="s">
        <v>28</v>
      </c>
    </row>
    <row r="104" ht="25.05" customHeight="1" spans="1:81">
      <c r="A104" s="133">
        <v>1</v>
      </c>
      <c r="B104" s="37" t="s">
        <v>287</v>
      </c>
      <c r="C104" s="38" t="s">
        <v>288</v>
      </c>
      <c r="D104" s="14" t="s">
        <v>28</v>
      </c>
      <c r="E104" s="36" t="s">
        <v>265</v>
      </c>
      <c r="F104" s="36" t="s">
        <v>289</v>
      </c>
      <c r="G104" s="36">
        <v>156</v>
      </c>
      <c r="H104" s="40" t="s">
        <v>218</v>
      </c>
      <c r="I104" s="133">
        <v>0</v>
      </c>
      <c r="J104" s="134">
        <v>0</v>
      </c>
      <c r="K104" s="133">
        <v>4680</v>
      </c>
      <c r="L104" s="140">
        <v>1560</v>
      </c>
      <c r="M104" s="36">
        <v>0</v>
      </c>
      <c r="N104" s="36">
        <v>0</v>
      </c>
      <c r="O104" s="36">
        <v>0</v>
      </c>
      <c r="P104" s="36">
        <v>0</v>
      </c>
      <c r="Q104" s="37">
        <v>3120</v>
      </c>
      <c r="R104" s="133"/>
      <c r="S104" s="133"/>
      <c r="T104" s="133" t="s">
        <v>28</v>
      </c>
      <c r="U104" s="133">
        <v>1560</v>
      </c>
      <c r="V104" s="133" t="s">
        <v>28</v>
      </c>
      <c r="W104" s="133" t="s">
        <v>28</v>
      </c>
      <c r="X104" s="133">
        <v>1560</v>
      </c>
      <c r="Y104" s="133" t="s">
        <v>28</v>
      </c>
      <c r="Z104" s="133" t="s">
        <v>28</v>
      </c>
      <c r="AA104" s="133" t="s">
        <v>28</v>
      </c>
      <c r="AB104" s="133" t="s">
        <v>28</v>
      </c>
      <c r="AC104" s="133">
        <v>1560</v>
      </c>
      <c r="AD104" s="133" t="s">
        <v>28</v>
      </c>
      <c r="AE104" s="133" t="s">
        <v>28</v>
      </c>
      <c r="AF104" s="133" t="s">
        <v>28</v>
      </c>
      <c r="AG104" s="133" t="s">
        <v>28</v>
      </c>
      <c r="AH104" s="133" t="s">
        <v>28</v>
      </c>
      <c r="AI104" s="133" t="s">
        <v>28</v>
      </c>
      <c r="AJ104" s="133" t="s">
        <v>28</v>
      </c>
      <c r="AK104" s="133" t="s">
        <v>28</v>
      </c>
      <c r="AL104" s="133" t="s">
        <v>28</v>
      </c>
      <c r="AM104" s="133" t="s">
        <v>28</v>
      </c>
      <c r="AN104" s="133" t="s">
        <v>28</v>
      </c>
      <c r="AO104" s="133" t="s">
        <v>28</v>
      </c>
      <c r="AP104" s="133" t="s">
        <v>28</v>
      </c>
      <c r="AQ104" s="133" t="s">
        <v>28</v>
      </c>
      <c r="AR104" s="133" t="s">
        <v>28</v>
      </c>
      <c r="AS104" s="133" t="s">
        <v>28</v>
      </c>
      <c r="AT104" s="133" t="s">
        <v>28</v>
      </c>
      <c r="AU104" s="133" t="s">
        <v>28</v>
      </c>
      <c r="AV104" s="133" t="s">
        <v>28</v>
      </c>
      <c r="AW104" s="133" t="s">
        <v>28</v>
      </c>
      <c r="AX104" s="133" t="s">
        <v>28</v>
      </c>
      <c r="AY104" s="133" t="s">
        <v>28</v>
      </c>
      <c r="AZ104" s="133" t="s">
        <v>28</v>
      </c>
      <c r="BA104" s="133" t="s">
        <v>28</v>
      </c>
      <c r="BB104" s="133">
        <v>1560</v>
      </c>
      <c r="BC104" s="133" t="s">
        <v>28</v>
      </c>
      <c r="BD104" s="133" t="s">
        <v>28</v>
      </c>
      <c r="BE104" s="133" t="s">
        <v>28</v>
      </c>
      <c r="BF104" s="133" t="s">
        <v>28</v>
      </c>
      <c r="BG104" s="133" t="s">
        <v>28</v>
      </c>
      <c r="BH104" s="133" t="s">
        <v>28</v>
      </c>
      <c r="BI104" s="133" t="s">
        <v>28</v>
      </c>
      <c r="BJ104" s="133" t="s">
        <v>28</v>
      </c>
      <c r="BK104" s="133" t="s">
        <v>28</v>
      </c>
      <c r="BL104" s="133" t="s">
        <v>28</v>
      </c>
      <c r="BM104" s="133" t="s">
        <v>28</v>
      </c>
      <c r="BN104" s="133" t="s">
        <v>28</v>
      </c>
      <c r="BO104" s="133" t="s">
        <v>28</v>
      </c>
      <c r="BP104" s="133" t="s">
        <v>28</v>
      </c>
      <c r="BQ104" s="133" t="s">
        <v>28</v>
      </c>
      <c r="BR104" s="133" t="s">
        <v>28</v>
      </c>
      <c r="BS104" s="133" t="s">
        <v>28</v>
      </c>
      <c r="BT104" s="133" t="s">
        <v>28</v>
      </c>
      <c r="BU104" s="133" t="s">
        <v>28</v>
      </c>
      <c r="BV104" s="133" t="s">
        <v>28</v>
      </c>
      <c r="BW104" s="133" t="s">
        <v>28</v>
      </c>
      <c r="BX104" s="133" t="s">
        <v>28</v>
      </c>
      <c r="BY104" s="133" t="s">
        <v>28</v>
      </c>
      <c r="BZ104" s="133" t="s">
        <v>28</v>
      </c>
      <c r="CA104" s="133" t="s">
        <v>28</v>
      </c>
      <c r="CB104" s="133" t="s">
        <v>28</v>
      </c>
      <c r="CC104" s="14" t="s">
        <v>28</v>
      </c>
    </row>
    <row r="105" ht="25.05" customHeight="1" spans="1:81">
      <c r="A105" s="133">
        <v>1</v>
      </c>
      <c r="B105" s="37" t="s">
        <v>290</v>
      </c>
      <c r="C105" s="38" t="s">
        <v>291</v>
      </c>
      <c r="D105" s="14" t="s">
        <v>28</v>
      </c>
      <c r="E105" s="36" t="s">
        <v>292</v>
      </c>
      <c r="F105" s="36" t="s">
        <v>293</v>
      </c>
      <c r="G105" s="36">
        <v>567</v>
      </c>
      <c r="H105" s="40" t="s">
        <v>218</v>
      </c>
      <c r="I105" s="133">
        <v>0</v>
      </c>
      <c r="J105" s="134">
        <v>0</v>
      </c>
      <c r="K105" s="133">
        <v>1134</v>
      </c>
      <c r="L105" s="140">
        <v>1134</v>
      </c>
      <c r="M105" s="36">
        <v>0</v>
      </c>
      <c r="N105" s="36">
        <v>0</v>
      </c>
      <c r="O105" s="36">
        <v>0</v>
      </c>
      <c r="P105" s="36">
        <v>0</v>
      </c>
      <c r="Q105" s="37">
        <v>0</v>
      </c>
      <c r="R105" s="133"/>
      <c r="S105" s="133">
        <v>1</v>
      </c>
      <c r="T105" s="133" t="s">
        <v>28</v>
      </c>
      <c r="U105" s="133" t="s">
        <v>28</v>
      </c>
      <c r="V105" s="133" t="s">
        <v>28</v>
      </c>
      <c r="W105" s="133" t="s">
        <v>28</v>
      </c>
      <c r="X105" s="133">
        <v>1134</v>
      </c>
      <c r="Y105" s="133" t="s">
        <v>28</v>
      </c>
      <c r="Z105" s="133" t="s">
        <v>28</v>
      </c>
      <c r="AA105" s="133" t="s">
        <v>28</v>
      </c>
      <c r="AB105" s="133" t="s">
        <v>28</v>
      </c>
      <c r="AC105" s="133" t="s">
        <v>28</v>
      </c>
      <c r="AD105" s="133" t="s">
        <v>28</v>
      </c>
      <c r="AE105" s="133" t="s">
        <v>28</v>
      </c>
      <c r="AF105" s="133" t="s">
        <v>28</v>
      </c>
      <c r="AG105" s="133" t="s">
        <v>28</v>
      </c>
      <c r="AH105" s="133" t="s">
        <v>28</v>
      </c>
      <c r="AI105" s="133" t="s">
        <v>28</v>
      </c>
      <c r="AJ105" s="133" t="s">
        <v>28</v>
      </c>
      <c r="AK105" s="133" t="s">
        <v>28</v>
      </c>
      <c r="AL105" s="133" t="s">
        <v>28</v>
      </c>
      <c r="AM105" s="133" t="s">
        <v>28</v>
      </c>
      <c r="AN105" s="133" t="s">
        <v>28</v>
      </c>
      <c r="AO105" s="133" t="s">
        <v>28</v>
      </c>
      <c r="AP105" s="133" t="s">
        <v>28</v>
      </c>
      <c r="AQ105" s="133" t="s">
        <v>28</v>
      </c>
      <c r="AR105" s="133" t="s">
        <v>28</v>
      </c>
      <c r="AS105" s="133" t="s">
        <v>28</v>
      </c>
      <c r="AT105" s="133" t="s">
        <v>28</v>
      </c>
      <c r="AU105" s="133" t="s">
        <v>28</v>
      </c>
      <c r="AV105" s="133"/>
      <c r="AW105" s="133"/>
      <c r="AX105" s="133"/>
      <c r="AY105" s="133" t="s">
        <v>28</v>
      </c>
      <c r="AZ105" s="133" t="s">
        <v>28</v>
      </c>
      <c r="BA105" s="133" t="s">
        <v>28</v>
      </c>
      <c r="BB105" s="133" t="s">
        <v>28</v>
      </c>
      <c r="BC105" s="133" t="s">
        <v>28</v>
      </c>
      <c r="BD105" s="133" t="s">
        <v>28</v>
      </c>
      <c r="BE105" s="133">
        <v>1134</v>
      </c>
      <c r="BF105" s="133" t="s">
        <v>28</v>
      </c>
      <c r="BG105" s="133" t="s">
        <v>28</v>
      </c>
      <c r="BH105" s="133" t="s">
        <v>28</v>
      </c>
      <c r="BI105" s="133" t="s">
        <v>28</v>
      </c>
      <c r="BJ105" s="133" t="s">
        <v>28</v>
      </c>
      <c r="BK105" s="133" t="s">
        <v>28</v>
      </c>
      <c r="BL105" s="133" t="s">
        <v>28</v>
      </c>
      <c r="BM105" s="133" t="s">
        <v>28</v>
      </c>
      <c r="BN105" s="133" t="s">
        <v>28</v>
      </c>
      <c r="BO105" s="133" t="s">
        <v>28</v>
      </c>
      <c r="BP105" s="133" t="s">
        <v>28</v>
      </c>
      <c r="BQ105" s="133" t="s">
        <v>28</v>
      </c>
      <c r="BR105" s="133" t="s">
        <v>28</v>
      </c>
      <c r="BS105" s="133" t="s">
        <v>28</v>
      </c>
      <c r="BT105" s="133" t="s">
        <v>28</v>
      </c>
      <c r="BU105" s="133" t="s">
        <v>28</v>
      </c>
      <c r="BV105" s="133" t="s">
        <v>28</v>
      </c>
      <c r="BW105" s="133" t="s">
        <v>28</v>
      </c>
      <c r="BX105" s="133" t="s">
        <v>28</v>
      </c>
      <c r="BY105" s="133" t="s">
        <v>28</v>
      </c>
      <c r="BZ105" s="133" t="s">
        <v>28</v>
      </c>
      <c r="CA105" s="133" t="s">
        <v>28</v>
      </c>
      <c r="CB105" s="133" t="s">
        <v>28</v>
      </c>
      <c r="CC105" s="14" t="s">
        <v>28</v>
      </c>
    </row>
    <row r="106" ht="25.05" customHeight="1" spans="1:81">
      <c r="A106" s="133">
        <v>2</v>
      </c>
      <c r="B106" s="37" t="s">
        <v>290</v>
      </c>
      <c r="C106" s="38" t="s">
        <v>291</v>
      </c>
      <c r="D106" s="14" t="s">
        <v>28</v>
      </c>
      <c r="E106" s="36" t="s">
        <v>294</v>
      </c>
      <c r="F106" s="36" t="s">
        <v>295</v>
      </c>
      <c r="G106" s="36">
        <v>180</v>
      </c>
      <c r="H106" s="40" t="s">
        <v>218</v>
      </c>
      <c r="I106" s="133">
        <v>0</v>
      </c>
      <c r="J106" s="134">
        <v>0</v>
      </c>
      <c r="K106" s="133">
        <v>1259</v>
      </c>
      <c r="L106" s="140">
        <v>720</v>
      </c>
      <c r="M106" s="36">
        <v>0</v>
      </c>
      <c r="N106" s="36">
        <v>0</v>
      </c>
      <c r="O106" s="36">
        <v>0</v>
      </c>
      <c r="P106" s="36">
        <v>0</v>
      </c>
      <c r="Q106" s="37">
        <v>539</v>
      </c>
      <c r="R106" s="133"/>
      <c r="S106" s="133">
        <v>1</v>
      </c>
      <c r="T106" s="133" t="s">
        <v>28</v>
      </c>
      <c r="U106" s="133" t="s">
        <v>28</v>
      </c>
      <c r="V106" s="133" t="s">
        <v>28</v>
      </c>
      <c r="W106" s="133" t="s">
        <v>28</v>
      </c>
      <c r="X106" s="133" t="s">
        <v>28</v>
      </c>
      <c r="Y106" s="133" t="s">
        <v>28</v>
      </c>
      <c r="Z106" s="133" t="s">
        <v>28</v>
      </c>
      <c r="AA106" s="133" t="s">
        <v>28</v>
      </c>
      <c r="AB106" s="133" t="s">
        <v>28</v>
      </c>
      <c r="AC106" s="133">
        <v>1259</v>
      </c>
      <c r="AD106" s="133" t="s">
        <v>28</v>
      </c>
      <c r="AE106" s="133" t="s">
        <v>28</v>
      </c>
      <c r="AF106" s="133" t="s">
        <v>28</v>
      </c>
      <c r="AG106" s="133" t="s">
        <v>28</v>
      </c>
      <c r="AH106" s="133" t="s">
        <v>28</v>
      </c>
      <c r="AI106" s="133" t="s">
        <v>28</v>
      </c>
      <c r="AJ106" s="133" t="s">
        <v>28</v>
      </c>
      <c r="AK106" s="133" t="s">
        <v>28</v>
      </c>
      <c r="AL106" s="133" t="s">
        <v>28</v>
      </c>
      <c r="AM106" s="133" t="s">
        <v>28</v>
      </c>
      <c r="AN106" s="133" t="s">
        <v>28</v>
      </c>
      <c r="AO106" s="133" t="s">
        <v>28</v>
      </c>
      <c r="AP106" s="133" t="s">
        <v>28</v>
      </c>
      <c r="AQ106" s="133" t="s">
        <v>28</v>
      </c>
      <c r="AR106" s="133" t="s">
        <v>28</v>
      </c>
      <c r="AS106" s="133" t="s">
        <v>28</v>
      </c>
      <c r="AT106" s="133" t="s">
        <v>28</v>
      </c>
      <c r="AU106" s="133" t="s">
        <v>28</v>
      </c>
      <c r="AV106" s="133"/>
      <c r="AW106" s="133"/>
      <c r="AX106" s="133"/>
      <c r="AY106" s="133" t="s">
        <v>28</v>
      </c>
      <c r="AZ106" s="133" t="s">
        <v>28</v>
      </c>
      <c r="BA106" s="133" t="s">
        <v>28</v>
      </c>
      <c r="BB106" s="133" t="s">
        <v>28</v>
      </c>
      <c r="BC106" s="133" t="s">
        <v>28</v>
      </c>
      <c r="BD106" s="133" t="s">
        <v>28</v>
      </c>
      <c r="BE106" s="133" t="s">
        <v>28</v>
      </c>
      <c r="BF106" s="133" t="s">
        <v>28</v>
      </c>
      <c r="BG106" s="133" t="s">
        <v>28</v>
      </c>
      <c r="BH106" s="133" t="s">
        <v>28</v>
      </c>
      <c r="BI106" s="133">
        <v>720</v>
      </c>
      <c r="BJ106" s="133" t="s">
        <v>28</v>
      </c>
      <c r="BK106" s="133" t="s">
        <v>28</v>
      </c>
      <c r="BL106" s="133" t="s">
        <v>28</v>
      </c>
      <c r="BM106" s="133" t="s">
        <v>28</v>
      </c>
      <c r="BN106" s="133" t="s">
        <v>28</v>
      </c>
      <c r="BO106" s="133" t="s">
        <v>28</v>
      </c>
      <c r="BP106" s="133" t="s">
        <v>28</v>
      </c>
      <c r="BQ106" s="133" t="s">
        <v>28</v>
      </c>
      <c r="BR106" s="133" t="s">
        <v>28</v>
      </c>
      <c r="BS106" s="133" t="s">
        <v>28</v>
      </c>
      <c r="BT106" s="133" t="s">
        <v>28</v>
      </c>
      <c r="BU106" s="133" t="s">
        <v>28</v>
      </c>
      <c r="BV106" s="133" t="s">
        <v>28</v>
      </c>
      <c r="BW106" s="133" t="s">
        <v>28</v>
      </c>
      <c r="BX106" s="133" t="s">
        <v>28</v>
      </c>
      <c r="BY106" s="133" t="s">
        <v>28</v>
      </c>
      <c r="BZ106" s="133" t="s">
        <v>28</v>
      </c>
      <c r="CA106" s="133" t="s">
        <v>28</v>
      </c>
      <c r="CB106" s="133" t="s">
        <v>28</v>
      </c>
      <c r="CC106" s="14" t="s">
        <v>28</v>
      </c>
    </row>
    <row r="107" ht="25.05" customHeight="1" spans="1:81">
      <c r="A107" s="133"/>
      <c r="B107" s="37"/>
      <c r="C107" s="38"/>
      <c r="D107" s="14"/>
      <c r="E107" s="36"/>
      <c r="F107" s="36"/>
      <c r="G107" s="36"/>
      <c r="H107" s="40"/>
      <c r="I107" s="133"/>
      <c r="J107" s="134"/>
      <c r="K107" s="133"/>
      <c r="L107" s="140"/>
      <c r="M107" s="36"/>
      <c r="N107" s="36"/>
      <c r="O107" s="36"/>
      <c r="P107" s="36"/>
      <c r="Q107" s="37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  <c r="AY107" s="133"/>
      <c r="AZ107" s="133"/>
      <c r="BA107" s="133"/>
      <c r="BB107" s="133"/>
      <c r="BC107" s="133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3"/>
      <c r="BY107" s="133"/>
      <c r="BZ107" s="133"/>
      <c r="CA107" s="133"/>
      <c r="CB107" s="133"/>
      <c r="CC107" s="14"/>
    </row>
    <row r="108" ht="25.05" customHeight="1" spans="1:81">
      <c r="A108" s="133"/>
      <c r="B108" s="37"/>
      <c r="C108" s="38"/>
      <c r="D108" s="14"/>
      <c r="E108" s="36"/>
      <c r="F108" s="36"/>
      <c r="G108" s="36"/>
      <c r="H108" s="40"/>
      <c r="I108" s="133"/>
      <c r="J108" s="134"/>
      <c r="K108" s="133"/>
      <c r="L108" s="140"/>
      <c r="M108" s="36"/>
      <c r="N108" s="36"/>
      <c r="O108" s="36"/>
      <c r="P108" s="36"/>
      <c r="Q108" s="37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C108" s="133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3"/>
      <c r="BY108" s="133"/>
      <c r="BZ108" s="133"/>
      <c r="CA108" s="133"/>
      <c r="CB108" s="133"/>
      <c r="CC108" s="14"/>
    </row>
    <row r="109" ht="25.05" customHeight="1" spans="1:81">
      <c r="A109" s="133"/>
      <c r="B109" s="37"/>
      <c r="C109" s="38"/>
      <c r="D109" s="14"/>
      <c r="E109" s="36"/>
      <c r="F109" s="36"/>
      <c r="G109" s="36"/>
      <c r="H109" s="40"/>
      <c r="I109" s="133"/>
      <c r="J109" s="134"/>
      <c r="K109" s="133"/>
      <c r="L109" s="140"/>
      <c r="M109" s="36"/>
      <c r="N109" s="36"/>
      <c r="O109" s="36"/>
      <c r="P109" s="36"/>
      <c r="Q109" s="37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C109" s="133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3"/>
      <c r="BY109" s="133"/>
      <c r="BZ109" s="133"/>
      <c r="CA109" s="133"/>
      <c r="CB109" s="133"/>
      <c r="CC109" s="14"/>
    </row>
    <row r="110" ht="25.05" customHeight="1" spans="1:81">
      <c r="A110" s="133"/>
      <c r="B110" s="37"/>
      <c r="C110" s="38"/>
      <c r="D110" s="14"/>
      <c r="E110" s="36"/>
      <c r="F110" s="36"/>
      <c r="G110" s="36"/>
      <c r="H110" s="40"/>
      <c r="I110" s="133"/>
      <c r="J110" s="134"/>
      <c r="K110" s="133"/>
      <c r="L110" s="140"/>
      <c r="M110" s="36"/>
      <c r="N110" s="36"/>
      <c r="O110" s="36"/>
      <c r="P110" s="36"/>
      <c r="Q110" s="37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  <c r="AY110" s="133"/>
      <c r="AZ110" s="133"/>
      <c r="BA110" s="133"/>
      <c r="BB110" s="133"/>
      <c r="BC110" s="133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3"/>
      <c r="BY110" s="133"/>
      <c r="BZ110" s="133"/>
      <c r="CA110" s="133"/>
      <c r="CB110" s="133"/>
      <c r="CC110" s="14"/>
    </row>
    <row r="111" ht="25.05" customHeight="1" spans="1:81">
      <c r="A111" s="133"/>
      <c r="B111" s="37"/>
      <c r="C111" s="38"/>
      <c r="D111" s="14"/>
      <c r="E111" s="36"/>
      <c r="F111" s="36"/>
      <c r="G111" s="36"/>
      <c r="H111" s="40"/>
      <c r="I111" s="133"/>
      <c r="J111" s="134"/>
      <c r="K111" s="133"/>
      <c r="L111" s="140"/>
      <c r="M111" s="36"/>
      <c r="N111" s="36"/>
      <c r="O111" s="36"/>
      <c r="P111" s="36"/>
      <c r="Q111" s="37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  <c r="AY111" s="133"/>
      <c r="AZ111" s="133"/>
      <c r="BA111" s="133"/>
      <c r="BB111" s="133"/>
      <c r="BC111" s="133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3"/>
      <c r="BY111" s="133"/>
      <c r="BZ111" s="133"/>
      <c r="CA111" s="133"/>
      <c r="CB111" s="133"/>
      <c r="CC111" s="14"/>
    </row>
    <row r="112" ht="25.05" customHeight="1" spans="1:81">
      <c r="A112" s="133"/>
      <c r="B112" s="37"/>
      <c r="C112" s="38"/>
      <c r="D112" s="14"/>
      <c r="E112" s="36"/>
      <c r="F112" s="36"/>
      <c r="G112" s="36"/>
      <c r="H112" s="40"/>
      <c r="I112" s="133"/>
      <c r="J112" s="134"/>
      <c r="K112" s="133"/>
      <c r="L112" s="140"/>
      <c r="M112" s="36"/>
      <c r="N112" s="36"/>
      <c r="O112" s="36"/>
      <c r="P112" s="36"/>
      <c r="Q112" s="37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/>
      <c r="BC112" s="133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3"/>
      <c r="BY112" s="133"/>
      <c r="BZ112" s="133"/>
      <c r="CA112" s="133"/>
      <c r="CB112" s="133"/>
      <c r="CC112" s="14"/>
    </row>
    <row r="113" ht="25.05" customHeight="1" spans="1:81">
      <c r="A113" s="133"/>
      <c r="B113" s="37"/>
      <c r="C113" s="38"/>
      <c r="D113" s="14"/>
      <c r="E113" s="36"/>
      <c r="F113" s="36"/>
      <c r="G113" s="36"/>
      <c r="H113" s="40"/>
      <c r="I113" s="133"/>
      <c r="J113" s="134"/>
      <c r="K113" s="133"/>
      <c r="L113" s="140"/>
      <c r="M113" s="36"/>
      <c r="N113" s="36"/>
      <c r="O113" s="36"/>
      <c r="P113" s="36"/>
      <c r="Q113" s="37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  <c r="AY113" s="133"/>
      <c r="AZ113" s="133"/>
      <c r="BA113" s="133"/>
      <c r="BB113" s="133"/>
      <c r="BC113" s="133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3"/>
      <c r="BY113" s="133"/>
      <c r="BZ113" s="133"/>
      <c r="CA113" s="133"/>
      <c r="CB113" s="133"/>
      <c r="CC113" s="14"/>
    </row>
    <row r="114" ht="25.05" customHeight="1" spans="1:81">
      <c r="A114" s="133"/>
      <c r="B114" s="37"/>
      <c r="C114" s="38"/>
      <c r="D114" s="14"/>
      <c r="E114" s="36"/>
      <c r="F114" s="36"/>
      <c r="G114" s="36"/>
      <c r="H114" s="40"/>
      <c r="I114" s="133"/>
      <c r="J114" s="134"/>
      <c r="K114" s="133"/>
      <c r="L114" s="140"/>
      <c r="M114" s="36"/>
      <c r="N114" s="36"/>
      <c r="O114" s="36"/>
      <c r="P114" s="36"/>
      <c r="Q114" s="37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3"/>
      <c r="BC114" s="133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3"/>
      <c r="BY114" s="133"/>
      <c r="BZ114" s="133"/>
      <c r="CA114" s="133"/>
      <c r="CB114" s="133"/>
      <c r="CC114" s="14"/>
    </row>
    <row r="115" ht="25.05" customHeight="1" spans="1:81">
      <c r="A115" s="133"/>
      <c r="B115" s="37"/>
      <c r="C115" s="38"/>
      <c r="D115" s="14"/>
      <c r="E115" s="36"/>
      <c r="F115" s="36"/>
      <c r="G115" s="36"/>
      <c r="H115" s="40"/>
      <c r="I115" s="133"/>
      <c r="J115" s="134"/>
      <c r="K115" s="133"/>
      <c r="L115" s="140"/>
      <c r="M115" s="36"/>
      <c r="N115" s="36"/>
      <c r="O115" s="36"/>
      <c r="P115" s="36"/>
      <c r="Q115" s="37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3"/>
      <c r="BY115" s="133"/>
      <c r="BZ115" s="133"/>
      <c r="CA115" s="133"/>
      <c r="CB115" s="133"/>
      <c r="CC115" s="14"/>
    </row>
    <row r="116" ht="25.05" customHeight="1" spans="1:81">
      <c r="A116" s="133"/>
      <c r="B116" s="37"/>
      <c r="C116" s="38"/>
      <c r="D116" s="14"/>
      <c r="E116" s="36"/>
      <c r="F116" s="36"/>
      <c r="G116" s="36"/>
      <c r="H116" s="40"/>
      <c r="I116" s="133"/>
      <c r="J116" s="134"/>
      <c r="K116" s="133"/>
      <c r="L116" s="140"/>
      <c r="M116" s="36"/>
      <c r="N116" s="36"/>
      <c r="O116" s="36"/>
      <c r="P116" s="36"/>
      <c r="Q116" s="37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C116" s="133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3"/>
      <c r="BY116" s="133"/>
      <c r="BZ116" s="133"/>
      <c r="CA116" s="133"/>
      <c r="CB116" s="133"/>
      <c r="CC116" s="14"/>
    </row>
    <row r="117" ht="25.05" customHeight="1" spans="1:81">
      <c r="A117" s="133"/>
      <c r="B117" s="37"/>
      <c r="C117" s="38"/>
      <c r="D117" s="14"/>
      <c r="E117" s="36"/>
      <c r="F117" s="36"/>
      <c r="G117" s="36"/>
      <c r="H117" s="40"/>
      <c r="I117" s="133"/>
      <c r="J117" s="134"/>
      <c r="K117" s="133"/>
      <c r="L117" s="140"/>
      <c r="M117" s="36"/>
      <c r="N117" s="36"/>
      <c r="O117" s="36"/>
      <c r="P117" s="36"/>
      <c r="Q117" s="37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33"/>
      <c r="BG117" s="133"/>
      <c r="BH117" s="133"/>
      <c r="BI117" s="133"/>
      <c r="BJ117" s="133"/>
      <c r="BK117" s="133"/>
      <c r="BL117" s="133"/>
      <c r="BM117" s="133"/>
      <c r="BN117" s="133"/>
      <c r="BO117" s="133"/>
      <c r="BP117" s="133"/>
      <c r="BQ117" s="133"/>
      <c r="BR117" s="133"/>
      <c r="BS117" s="133"/>
      <c r="BT117" s="133"/>
      <c r="BU117" s="133"/>
      <c r="BV117" s="133"/>
      <c r="BW117" s="133"/>
      <c r="BX117" s="133"/>
      <c r="BY117" s="133"/>
      <c r="BZ117" s="133"/>
      <c r="CA117" s="133"/>
      <c r="CB117" s="133"/>
      <c r="CC117" s="14"/>
    </row>
    <row r="118" ht="25.05" customHeight="1" spans="1:81">
      <c r="A118" s="133"/>
      <c r="B118" s="37"/>
      <c r="C118" s="38"/>
      <c r="D118" s="14"/>
      <c r="E118" s="36"/>
      <c r="F118" s="36"/>
      <c r="G118" s="36"/>
      <c r="H118" s="40"/>
      <c r="I118" s="133"/>
      <c r="J118" s="134"/>
      <c r="K118" s="133"/>
      <c r="L118" s="140"/>
      <c r="M118" s="36"/>
      <c r="N118" s="36"/>
      <c r="O118" s="36"/>
      <c r="P118" s="36"/>
      <c r="Q118" s="37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3"/>
      <c r="BP118" s="133"/>
      <c r="BQ118" s="133"/>
      <c r="BR118" s="133"/>
      <c r="BS118" s="133"/>
      <c r="BT118" s="133"/>
      <c r="BU118" s="133"/>
      <c r="BV118" s="133"/>
      <c r="BW118" s="133"/>
      <c r="BX118" s="133"/>
      <c r="BY118" s="133"/>
      <c r="BZ118" s="133"/>
      <c r="CA118" s="133"/>
      <c r="CB118" s="133"/>
      <c r="CC118" s="14"/>
    </row>
    <row r="119" ht="25.05" customHeight="1" spans="1:81">
      <c r="A119" s="133"/>
      <c r="B119" s="37"/>
      <c r="C119" s="38"/>
      <c r="D119" s="14"/>
      <c r="E119" s="36"/>
      <c r="F119" s="36"/>
      <c r="G119" s="36"/>
      <c r="H119" s="40"/>
      <c r="I119" s="133"/>
      <c r="J119" s="134"/>
      <c r="K119" s="133"/>
      <c r="L119" s="140"/>
      <c r="M119" s="36"/>
      <c r="N119" s="36"/>
      <c r="O119" s="36"/>
      <c r="P119" s="36"/>
      <c r="Q119" s="37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/>
      <c r="BJ119" s="133"/>
      <c r="BK119" s="133"/>
      <c r="BL119" s="133"/>
      <c r="BM119" s="133"/>
      <c r="BN119" s="133"/>
      <c r="BO119" s="133"/>
      <c r="BP119" s="133"/>
      <c r="BQ119" s="133"/>
      <c r="BR119" s="133"/>
      <c r="BS119" s="133"/>
      <c r="BT119" s="133"/>
      <c r="BU119" s="133"/>
      <c r="BV119" s="133"/>
      <c r="BW119" s="133"/>
      <c r="BX119" s="133"/>
      <c r="BY119" s="133"/>
      <c r="BZ119" s="133"/>
      <c r="CA119" s="133"/>
      <c r="CB119" s="133"/>
      <c r="CC119" s="14"/>
    </row>
    <row r="120" ht="25.05" customHeight="1" spans="1:81">
      <c r="A120" s="133"/>
      <c r="B120" s="37"/>
      <c r="C120" s="38"/>
      <c r="D120" s="14"/>
      <c r="E120" s="36"/>
      <c r="F120" s="36"/>
      <c r="G120" s="36"/>
      <c r="H120" s="40"/>
      <c r="I120" s="133"/>
      <c r="J120" s="134"/>
      <c r="K120" s="133"/>
      <c r="L120" s="140"/>
      <c r="M120" s="36"/>
      <c r="N120" s="36"/>
      <c r="O120" s="36"/>
      <c r="P120" s="36"/>
      <c r="Q120" s="37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33"/>
      <c r="BG120" s="133"/>
      <c r="BH120" s="133"/>
      <c r="BI120" s="133"/>
      <c r="BJ120" s="133"/>
      <c r="BK120" s="133"/>
      <c r="BL120" s="133"/>
      <c r="BM120" s="133"/>
      <c r="BN120" s="133"/>
      <c r="BO120" s="133"/>
      <c r="BP120" s="133"/>
      <c r="BQ120" s="133"/>
      <c r="BR120" s="133"/>
      <c r="BS120" s="133"/>
      <c r="BT120" s="133"/>
      <c r="BU120" s="133"/>
      <c r="BV120" s="133"/>
      <c r="BW120" s="133"/>
      <c r="BX120" s="133"/>
      <c r="BY120" s="133"/>
      <c r="BZ120" s="133"/>
      <c r="CA120" s="133"/>
      <c r="CB120" s="133"/>
      <c r="CC120" s="14"/>
    </row>
    <row r="121" ht="25.05" customHeight="1" spans="1:81">
      <c r="A121" s="133"/>
      <c r="B121" s="37"/>
      <c r="C121" s="38"/>
      <c r="D121" s="14"/>
      <c r="E121" s="36"/>
      <c r="F121" s="36"/>
      <c r="G121" s="36"/>
      <c r="H121" s="40"/>
      <c r="I121" s="133"/>
      <c r="J121" s="134"/>
      <c r="K121" s="133"/>
      <c r="L121" s="140"/>
      <c r="M121" s="36"/>
      <c r="N121" s="36"/>
      <c r="O121" s="36"/>
      <c r="P121" s="36"/>
      <c r="Q121" s="37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133"/>
      <c r="BG121" s="133"/>
      <c r="BH121" s="133"/>
      <c r="BI121" s="133"/>
      <c r="BJ121" s="133"/>
      <c r="BK121" s="133"/>
      <c r="BL121" s="133"/>
      <c r="BM121" s="133"/>
      <c r="BN121" s="133"/>
      <c r="BO121" s="133"/>
      <c r="BP121" s="133"/>
      <c r="BQ121" s="133"/>
      <c r="BR121" s="133"/>
      <c r="BS121" s="133"/>
      <c r="BT121" s="133"/>
      <c r="BU121" s="133"/>
      <c r="BV121" s="133"/>
      <c r="BW121" s="133"/>
      <c r="BX121" s="133"/>
      <c r="BY121" s="133"/>
      <c r="BZ121" s="133"/>
      <c r="CA121" s="133"/>
      <c r="CB121" s="133"/>
      <c r="CC121" s="14"/>
    </row>
    <row r="122" ht="25.05" customHeight="1" spans="1:81">
      <c r="A122" s="133"/>
      <c r="B122" s="37"/>
      <c r="C122" s="38"/>
      <c r="D122" s="14"/>
      <c r="E122" s="36"/>
      <c r="F122" s="36"/>
      <c r="G122" s="36"/>
      <c r="H122" s="40"/>
      <c r="I122" s="133"/>
      <c r="J122" s="134"/>
      <c r="K122" s="133"/>
      <c r="L122" s="140"/>
      <c r="M122" s="36"/>
      <c r="N122" s="36"/>
      <c r="O122" s="36"/>
      <c r="P122" s="36"/>
      <c r="Q122" s="37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  <c r="AY122" s="133"/>
      <c r="AZ122" s="133"/>
      <c r="BA122" s="133"/>
      <c r="BB122" s="133"/>
      <c r="BC122" s="133"/>
      <c r="BD122" s="133"/>
      <c r="BE122" s="133"/>
      <c r="BF122" s="133"/>
      <c r="BG122" s="133"/>
      <c r="BH122" s="133"/>
      <c r="BI122" s="133"/>
      <c r="BJ122" s="133"/>
      <c r="BK122" s="133"/>
      <c r="BL122" s="133"/>
      <c r="BM122" s="133"/>
      <c r="BN122" s="133"/>
      <c r="BO122" s="133"/>
      <c r="BP122" s="133"/>
      <c r="BQ122" s="133"/>
      <c r="BR122" s="133"/>
      <c r="BS122" s="133"/>
      <c r="BT122" s="133"/>
      <c r="BU122" s="133"/>
      <c r="BV122" s="133"/>
      <c r="BW122" s="133"/>
      <c r="BX122" s="133"/>
      <c r="BY122" s="133"/>
      <c r="BZ122" s="133"/>
      <c r="CA122" s="133"/>
      <c r="CB122" s="133"/>
      <c r="CC122" s="14"/>
    </row>
    <row r="123" ht="25.05" customHeight="1" spans="1:81">
      <c r="A123" s="133"/>
      <c r="B123" s="37"/>
      <c r="C123" s="38"/>
      <c r="D123" s="14"/>
      <c r="E123" s="36"/>
      <c r="F123" s="36"/>
      <c r="G123" s="36"/>
      <c r="H123" s="40"/>
      <c r="I123" s="133"/>
      <c r="J123" s="134"/>
      <c r="K123" s="133"/>
      <c r="L123" s="140"/>
      <c r="M123" s="36"/>
      <c r="N123" s="36"/>
      <c r="O123" s="36"/>
      <c r="P123" s="36"/>
      <c r="Q123" s="37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C123" s="133"/>
      <c r="BD123" s="133"/>
      <c r="BE123" s="133"/>
      <c r="BF123" s="133"/>
      <c r="BG123" s="133"/>
      <c r="BH123" s="133"/>
      <c r="BI123" s="133"/>
      <c r="BJ123" s="133"/>
      <c r="BK123" s="133"/>
      <c r="BL123" s="133"/>
      <c r="BM123" s="133"/>
      <c r="BN123" s="133"/>
      <c r="BO123" s="133"/>
      <c r="BP123" s="133"/>
      <c r="BQ123" s="133"/>
      <c r="BR123" s="133"/>
      <c r="BS123" s="133"/>
      <c r="BT123" s="133"/>
      <c r="BU123" s="133"/>
      <c r="BV123" s="133"/>
      <c r="BW123" s="133"/>
      <c r="BX123" s="133"/>
      <c r="BY123" s="133"/>
      <c r="BZ123" s="133"/>
      <c r="CA123" s="133"/>
      <c r="CB123" s="133"/>
      <c r="CC123" s="14"/>
    </row>
    <row r="124" ht="25.05" customHeight="1" spans="1:81">
      <c r="A124" s="133"/>
      <c r="B124" s="37"/>
      <c r="C124" s="38"/>
      <c r="D124" s="14"/>
      <c r="E124" s="36"/>
      <c r="F124" s="36"/>
      <c r="G124" s="36"/>
      <c r="H124" s="40"/>
      <c r="I124" s="133"/>
      <c r="J124" s="134"/>
      <c r="K124" s="133"/>
      <c r="L124" s="140"/>
      <c r="M124" s="36"/>
      <c r="N124" s="36"/>
      <c r="O124" s="36"/>
      <c r="P124" s="36"/>
      <c r="Q124" s="37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  <c r="AY124" s="133"/>
      <c r="AZ124" s="133"/>
      <c r="BA124" s="133"/>
      <c r="BB124" s="133"/>
      <c r="BC124" s="133"/>
      <c r="BD124" s="133"/>
      <c r="BE124" s="133"/>
      <c r="BF124" s="133"/>
      <c r="BG124" s="133"/>
      <c r="BH124" s="133"/>
      <c r="BI124" s="133"/>
      <c r="BJ124" s="133"/>
      <c r="BK124" s="133"/>
      <c r="BL124" s="133"/>
      <c r="BM124" s="133"/>
      <c r="BN124" s="133"/>
      <c r="BO124" s="133"/>
      <c r="BP124" s="133"/>
      <c r="BQ124" s="133"/>
      <c r="BR124" s="133"/>
      <c r="BS124" s="133"/>
      <c r="BT124" s="133"/>
      <c r="BU124" s="133"/>
      <c r="BV124" s="133"/>
      <c r="BW124" s="133"/>
      <c r="BX124" s="133"/>
      <c r="BY124" s="133"/>
      <c r="BZ124" s="133"/>
      <c r="CA124" s="133"/>
      <c r="CB124" s="133"/>
      <c r="CC124" s="14"/>
    </row>
    <row r="125" ht="25.05" customHeight="1" spans="1:81">
      <c r="A125" s="133"/>
      <c r="B125" s="37"/>
      <c r="C125" s="38"/>
      <c r="D125" s="14"/>
      <c r="E125" s="36"/>
      <c r="F125" s="36"/>
      <c r="G125" s="36"/>
      <c r="H125" s="40"/>
      <c r="I125" s="133"/>
      <c r="J125" s="134"/>
      <c r="K125" s="133"/>
      <c r="L125" s="140"/>
      <c r="M125" s="36"/>
      <c r="N125" s="36"/>
      <c r="O125" s="36"/>
      <c r="P125" s="36"/>
      <c r="Q125" s="37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33"/>
      <c r="BF125" s="133"/>
      <c r="BG125" s="133"/>
      <c r="BH125" s="133"/>
      <c r="BI125" s="133"/>
      <c r="BJ125" s="133"/>
      <c r="BK125" s="133"/>
      <c r="BL125" s="133"/>
      <c r="BM125" s="133"/>
      <c r="BN125" s="133"/>
      <c r="BO125" s="133"/>
      <c r="BP125" s="133"/>
      <c r="BQ125" s="133"/>
      <c r="BR125" s="133"/>
      <c r="BS125" s="133"/>
      <c r="BT125" s="133"/>
      <c r="BU125" s="133"/>
      <c r="BV125" s="133"/>
      <c r="BW125" s="133"/>
      <c r="BX125" s="133"/>
      <c r="BY125" s="133"/>
      <c r="BZ125" s="133"/>
      <c r="CA125" s="133"/>
      <c r="CB125" s="133"/>
      <c r="CC125" s="14"/>
    </row>
    <row r="126" ht="25.05" customHeight="1" spans="1:81">
      <c r="A126" s="133"/>
      <c r="B126" s="37"/>
      <c r="C126" s="38"/>
      <c r="D126" s="14"/>
      <c r="E126" s="36"/>
      <c r="F126" s="36"/>
      <c r="G126" s="36"/>
      <c r="H126" s="40"/>
      <c r="I126" s="133"/>
      <c r="J126" s="134"/>
      <c r="K126" s="133"/>
      <c r="L126" s="140"/>
      <c r="M126" s="36"/>
      <c r="N126" s="36"/>
      <c r="O126" s="36"/>
      <c r="P126" s="36"/>
      <c r="Q126" s="37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C126" s="133"/>
      <c r="BD126" s="133"/>
      <c r="BE126" s="133"/>
      <c r="BF126" s="133"/>
      <c r="BG126" s="133"/>
      <c r="BH126" s="133"/>
      <c r="BI126" s="133"/>
      <c r="BJ126" s="133"/>
      <c r="BK126" s="133"/>
      <c r="BL126" s="133"/>
      <c r="BM126" s="133"/>
      <c r="BN126" s="133"/>
      <c r="BO126" s="133"/>
      <c r="BP126" s="133"/>
      <c r="BQ126" s="133"/>
      <c r="BR126" s="133"/>
      <c r="BS126" s="133"/>
      <c r="BT126" s="133"/>
      <c r="BU126" s="133"/>
      <c r="BV126" s="133"/>
      <c r="BW126" s="133"/>
      <c r="BX126" s="133"/>
      <c r="BY126" s="133"/>
      <c r="BZ126" s="133"/>
      <c r="CA126" s="133"/>
      <c r="CB126" s="133"/>
      <c r="CC126" s="14"/>
    </row>
    <row r="127" ht="25.05" customHeight="1" spans="1:81">
      <c r="A127" s="133"/>
      <c r="B127" s="37"/>
      <c r="C127" s="38"/>
      <c r="D127" s="14"/>
      <c r="E127" s="36"/>
      <c r="F127" s="36"/>
      <c r="G127" s="36"/>
      <c r="H127" s="40"/>
      <c r="I127" s="133"/>
      <c r="J127" s="134"/>
      <c r="K127" s="133"/>
      <c r="L127" s="140"/>
      <c r="M127" s="36"/>
      <c r="N127" s="36"/>
      <c r="O127" s="36"/>
      <c r="P127" s="36"/>
      <c r="Q127" s="37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  <c r="AY127" s="133"/>
      <c r="AZ127" s="133"/>
      <c r="BA127" s="133"/>
      <c r="BB127" s="133"/>
      <c r="BC127" s="133"/>
      <c r="BD127" s="133"/>
      <c r="BE127" s="133"/>
      <c r="BF127" s="133"/>
      <c r="BG127" s="133"/>
      <c r="BH127" s="133"/>
      <c r="BI127" s="133"/>
      <c r="BJ127" s="133"/>
      <c r="BK127" s="133"/>
      <c r="BL127" s="133"/>
      <c r="BM127" s="133"/>
      <c r="BN127" s="133"/>
      <c r="BO127" s="133"/>
      <c r="BP127" s="133"/>
      <c r="BQ127" s="133"/>
      <c r="BR127" s="133"/>
      <c r="BS127" s="133"/>
      <c r="BT127" s="133"/>
      <c r="BU127" s="133"/>
      <c r="BV127" s="133"/>
      <c r="BW127" s="133"/>
      <c r="BX127" s="133"/>
      <c r="BY127" s="133"/>
      <c r="BZ127" s="133"/>
      <c r="CA127" s="133"/>
      <c r="CB127" s="133"/>
      <c r="CC127" s="14"/>
    </row>
    <row r="128" ht="25.05" customHeight="1" spans="1:81">
      <c r="A128" s="133"/>
      <c r="B128" s="37"/>
      <c r="C128" s="38"/>
      <c r="D128" s="14"/>
      <c r="E128" s="36"/>
      <c r="F128" s="36"/>
      <c r="G128" s="36"/>
      <c r="H128" s="40"/>
      <c r="I128" s="133"/>
      <c r="J128" s="134"/>
      <c r="K128" s="133"/>
      <c r="L128" s="140"/>
      <c r="M128" s="36"/>
      <c r="N128" s="36"/>
      <c r="O128" s="36"/>
      <c r="P128" s="36"/>
      <c r="Q128" s="37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33"/>
      <c r="BG128" s="133"/>
      <c r="BH128" s="133"/>
      <c r="BI128" s="133"/>
      <c r="BJ128" s="133"/>
      <c r="BK128" s="133"/>
      <c r="BL128" s="133"/>
      <c r="BM128" s="133"/>
      <c r="BN128" s="133"/>
      <c r="BO128" s="133"/>
      <c r="BP128" s="133"/>
      <c r="BQ128" s="133"/>
      <c r="BR128" s="133"/>
      <c r="BS128" s="133"/>
      <c r="BT128" s="133"/>
      <c r="BU128" s="133"/>
      <c r="BV128" s="133"/>
      <c r="BW128" s="133"/>
      <c r="BX128" s="133"/>
      <c r="BY128" s="133"/>
      <c r="BZ128" s="133"/>
      <c r="CA128" s="133"/>
      <c r="CB128" s="133"/>
      <c r="CC128" s="14"/>
    </row>
    <row r="129" ht="25.05" customHeight="1" spans="1:81">
      <c r="A129" s="133"/>
      <c r="B129" s="37"/>
      <c r="C129" s="38"/>
      <c r="D129" s="14"/>
      <c r="E129" s="36"/>
      <c r="F129" s="36"/>
      <c r="G129" s="36"/>
      <c r="H129" s="40"/>
      <c r="I129" s="133"/>
      <c r="J129" s="134"/>
      <c r="K129" s="133"/>
      <c r="L129" s="140"/>
      <c r="M129" s="36"/>
      <c r="N129" s="36"/>
      <c r="O129" s="36"/>
      <c r="P129" s="36"/>
      <c r="Q129" s="37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C129" s="133"/>
      <c r="BD129" s="133"/>
      <c r="BE129" s="133"/>
      <c r="BF129" s="133"/>
      <c r="BG129" s="133"/>
      <c r="BH129" s="133"/>
      <c r="BI129" s="133"/>
      <c r="BJ129" s="133"/>
      <c r="BK129" s="133"/>
      <c r="BL129" s="133"/>
      <c r="BM129" s="133"/>
      <c r="BN129" s="133"/>
      <c r="BO129" s="133"/>
      <c r="BP129" s="133"/>
      <c r="BQ129" s="133"/>
      <c r="BR129" s="133"/>
      <c r="BS129" s="133"/>
      <c r="BT129" s="133"/>
      <c r="BU129" s="133"/>
      <c r="BV129" s="133"/>
      <c r="BW129" s="133"/>
      <c r="BX129" s="133"/>
      <c r="BY129" s="133"/>
      <c r="BZ129" s="133"/>
      <c r="CA129" s="133"/>
      <c r="CB129" s="133"/>
      <c r="CC129" s="14"/>
    </row>
    <row r="130" ht="25.05" customHeight="1" spans="1:81">
      <c r="A130" s="133"/>
      <c r="B130" s="37"/>
      <c r="C130" s="38"/>
      <c r="D130" s="14"/>
      <c r="E130" s="36"/>
      <c r="F130" s="36"/>
      <c r="G130" s="36"/>
      <c r="H130" s="40"/>
      <c r="I130" s="133"/>
      <c r="J130" s="134"/>
      <c r="K130" s="133"/>
      <c r="L130" s="140"/>
      <c r="M130" s="36"/>
      <c r="N130" s="36"/>
      <c r="O130" s="36"/>
      <c r="P130" s="36"/>
      <c r="Q130" s="37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  <c r="AY130" s="133"/>
      <c r="AZ130" s="133"/>
      <c r="BA130" s="133"/>
      <c r="BB130" s="133"/>
      <c r="BC130" s="133"/>
      <c r="BD130" s="133"/>
      <c r="BE130" s="133"/>
      <c r="BF130" s="133"/>
      <c r="BG130" s="133"/>
      <c r="BH130" s="133"/>
      <c r="BI130" s="133"/>
      <c r="BJ130" s="133"/>
      <c r="BK130" s="133"/>
      <c r="BL130" s="133"/>
      <c r="BM130" s="133"/>
      <c r="BN130" s="133"/>
      <c r="BO130" s="133"/>
      <c r="BP130" s="133"/>
      <c r="BQ130" s="133"/>
      <c r="BR130" s="133"/>
      <c r="BS130" s="133"/>
      <c r="BT130" s="133"/>
      <c r="BU130" s="133"/>
      <c r="BV130" s="133"/>
      <c r="BW130" s="133"/>
      <c r="BX130" s="133"/>
      <c r="BY130" s="133"/>
      <c r="BZ130" s="133"/>
      <c r="CA130" s="133"/>
      <c r="CB130" s="133"/>
      <c r="CC130" s="14"/>
    </row>
    <row r="131" ht="25.05" customHeight="1" spans="1:81">
      <c r="A131" s="133"/>
      <c r="B131" s="37"/>
      <c r="C131" s="38"/>
      <c r="D131" s="14"/>
      <c r="E131" s="36"/>
      <c r="F131" s="36"/>
      <c r="G131" s="36"/>
      <c r="H131" s="40"/>
      <c r="I131" s="133"/>
      <c r="J131" s="134"/>
      <c r="K131" s="133"/>
      <c r="L131" s="140"/>
      <c r="M131" s="36"/>
      <c r="N131" s="36"/>
      <c r="O131" s="36"/>
      <c r="P131" s="36"/>
      <c r="Q131" s="37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C131" s="133"/>
      <c r="BD131" s="133"/>
      <c r="BE131" s="133"/>
      <c r="BF131" s="133"/>
      <c r="BG131" s="133"/>
      <c r="BH131" s="133"/>
      <c r="BI131" s="133"/>
      <c r="BJ131" s="133"/>
      <c r="BK131" s="133"/>
      <c r="BL131" s="133"/>
      <c r="BM131" s="133"/>
      <c r="BN131" s="133"/>
      <c r="BO131" s="133"/>
      <c r="BP131" s="133"/>
      <c r="BQ131" s="133"/>
      <c r="BR131" s="133"/>
      <c r="BS131" s="133"/>
      <c r="BT131" s="133"/>
      <c r="BU131" s="133"/>
      <c r="BV131" s="133"/>
      <c r="BW131" s="133"/>
      <c r="BX131" s="133"/>
      <c r="BY131" s="133"/>
      <c r="BZ131" s="133"/>
      <c r="CA131" s="133"/>
      <c r="CB131" s="133"/>
      <c r="CC131" s="14"/>
    </row>
    <row r="132" ht="25.05" customHeight="1" spans="1:81">
      <c r="A132" s="133"/>
      <c r="B132" s="37"/>
      <c r="C132" s="38"/>
      <c r="D132" s="14"/>
      <c r="E132" s="36"/>
      <c r="F132" s="36"/>
      <c r="G132" s="36"/>
      <c r="H132" s="40"/>
      <c r="I132" s="133"/>
      <c r="J132" s="134"/>
      <c r="K132" s="133"/>
      <c r="L132" s="140"/>
      <c r="M132" s="36"/>
      <c r="N132" s="36"/>
      <c r="O132" s="36"/>
      <c r="P132" s="36"/>
      <c r="Q132" s="37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  <c r="AY132" s="133"/>
      <c r="AZ132" s="133"/>
      <c r="BA132" s="133"/>
      <c r="BB132" s="133"/>
      <c r="BC132" s="133"/>
      <c r="BD132" s="133"/>
      <c r="BE132" s="133"/>
      <c r="BF132" s="133"/>
      <c r="BG132" s="133"/>
      <c r="BH132" s="133"/>
      <c r="BI132" s="133"/>
      <c r="BJ132" s="133"/>
      <c r="BK132" s="133"/>
      <c r="BL132" s="133"/>
      <c r="BM132" s="133"/>
      <c r="BN132" s="133"/>
      <c r="BO132" s="133"/>
      <c r="BP132" s="133"/>
      <c r="BQ132" s="133"/>
      <c r="BR132" s="133"/>
      <c r="BS132" s="133"/>
      <c r="BT132" s="133"/>
      <c r="BU132" s="133"/>
      <c r="BV132" s="133"/>
      <c r="BW132" s="133"/>
      <c r="BX132" s="133"/>
      <c r="BY132" s="133"/>
      <c r="BZ132" s="133"/>
      <c r="CA132" s="133"/>
      <c r="CB132" s="133"/>
      <c r="CC132" s="14"/>
    </row>
    <row r="133" ht="25.05" customHeight="1" spans="1:81">
      <c r="A133" s="133"/>
      <c r="B133" s="37"/>
      <c r="C133" s="38"/>
      <c r="D133" s="14"/>
      <c r="E133" s="36"/>
      <c r="F133" s="36"/>
      <c r="G133" s="36"/>
      <c r="H133" s="40"/>
      <c r="I133" s="133"/>
      <c r="J133" s="134"/>
      <c r="K133" s="133"/>
      <c r="L133" s="140"/>
      <c r="M133" s="36"/>
      <c r="N133" s="36"/>
      <c r="O133" s="36"/>
      <c r="P133" s="36"/>
      <c r="Q133" s="37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  <c r="AY133" s="133"/>
      <c r="AZ133" s="133"/>
      <c r="BA133" s="133"/>
      <c r="BB133" s="133"/>
      <c r="BC133" s="133"/>
      <c r="BD133" s="133"/>
      <c r="BE133" s="133"/>
      <c r="BF133" s="133"/>
      <c r="BG133" s="133"/>
      <c r="BH133" s="133"/>
      <c r="BI133" s="133"/>
      <c r="BJ133" s="133"/>
      <c r="BK133" s="133"/>
      <c r="BL133" s="133"/>
      <c r="BM133" s="133"/>
      <c r="BN133" s="133"/>
      <c r="BO133" s="133"/>
      <c r="BP133" s="133"/>
      <c r="BQ133" s="133"/>
      <c r="BR133" s="133"/>
      <c r="BS133" s="133"/>
      <c r="BT133" s="133"/>
      <c r="BU133" s="133"/>
      <c r="BV133" s="133"/>
      <c r="BW133" s="133"/>
      <c r="BX133" s="133"/>
      <c r="BY133" s="133"/>
      <c r="BZ133" s="133"/>
      <c r="CA133" s="133"/>
      <c r="CB133" s="133"/>
      <c r="CC133" s="14"/>
    </row>
    <row r="134" ht="25.05" customHeight="1" spans="1:81">
      <c r="A134" s="133"/>
      <c r="B134" s="37"/>
      <c r="C134" s="38"/>
      <c r="D134" s="14"/>
      <c r="E134" s="36"/>
      <c r="F134" s="36"/>
      <c r="G134" s="36"/>
      <c r="H134" s="40"/>
      <c r="I134" s="133"/>
      <c r="J134" s="134"/>
      <c r="K134" s="133"/>
      <c r="L134" s="140"/>
      <c r="M134" s="36"/>
      <c r="N134" s="36"/>
      <c r="O134" s="36"/>
      <c r="P134" s="36"/>
      <c r="Q134" s="37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  <c r="AY134" s="133"/>
      <c r="AZ134" s="133"/>
      <c r="BA134" s="133"/>
      <c r="BB134" s="133"/>
      <c r="BC134" s="133"/>
      <c r="BD134" s="133"/>
      <c r="BE134" s="133"/>
      <c r="BF134" s="133"/>
      <c r="BG134" s="133"/>
      <c r="BH134" s="133"/>
      <c r="BI134" s="133"/>
      <c r="BJ134" s="133"/>
      <c r="BK134" s="133"/>
      <c r="BL134" s="133"/>
      <c r="BM134" s="133"/>
      <c r="BN134" s="133"/>
      <c r="BO134" s="133"/>
      <c r="BP134" s="133"/>
      <c r="BQ134" s="133"/>
      <c r="BR134" s="133"/>
      <c r="BS134" s="133"/>
      <c r="BT134" s="133"/>
      <c r="BU134" s="133"/>
      <c r="BV134" s="133"/>
      <c r="BW134" s="133"/>
      <c r="BX134" s="133"/>
      <c r="BY134" s="133"/>
      <c r="BZ134" s="133"/>
      <c r="CA134" s="133"/>
      <c r="CB134" s="133"/>
      <c r="CC134" s="14"/>
    </row>
    <row r="135" ht="25.05" customHeight="1" spans="1:81">
      <c r="A135" s="133"/>
      <c r="B135" s="37"/>
      <c r="C135" s="38"/>
      <c r="D135" s="14"/>
      <c r="E135" s="36"/>
      <c r="F135" s="36"/>
      <c r="G135" s="36"/>
      <c r="H135" s="40"/>
      <c r="I135" s="133"/>
      <c r="J135" s="134"/>
      <c r="K135" s="133"/>
      <c r="L135" s="140"/>
      <c r="M135" s="36"/>
      <c r="N135" s="36"/>
      <c r="O135" s="36"/>
      <c r="P135" s="36"/>
      <c r="Q135" s="37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C135" s="133"/>
      <c r="BD135" s="133"/>
      <c r="BE135" s="133"/>
      <c r="BF135" s="133"/>
      <c r="BG135" s="133"/>
      <c r="BH135" s="133"/>
      <c r="BI135" s="133"/>
      <c r="BJ135" s="133"/>
      <c r="BK135" s="133"/>
      <c r="BL135" s="133"/>
      <c r="BM135" s="133"/>
      <c r="BN135" s="133"/>
      <c r="BO135" s="133"/>
      <c r="BP135" s="133"/>
      <c r="BQ135" s="133"/>
      <c r="BR135" s="133"/>
      <c r="BS135" s="133"/>
      <c r="BT135" s="133"/>
      <c r="BU135" s="133"/>
      <c r="BV135" s="133"/>
      <c r="BW135" s="133"/>
      <c r="BX135" s="133"/>
      <c r="BY135" s="133"/>
      <c r="BZ135" s="133"/>
      <c r="CA135" s="133"/>
      <c r="CB135" s="133"/>
      <c r="CC135" s="14"/>
    </row>
    <row r="136" ht="25.05" customHeight="1" spans="1:81">
      <c r="A136" s="133"/>
      <c r="B136" s="37"/>
      <c r="C136" s="38"/>
      <c r="D136" s="14"/>
      <c r="E136" s="36"/>
      <c r="F136" s="36"/>
      <c r="G136" s="36"/>
      <c r="H136" s="40"/>
      <c r="I136" s="133"/>
      <c r="J136" s="134"/>
      <c r="K136" s="133"/>
      <c r="L136" s="140"/>
      <c r="M136" s="36"/>
      <c r="N136" s="36"/>
      <c r="O136" s="36"/>
      <c r="P136" s="36"/>
      <c r="Q136" s="37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  <c r="AY136" s="133"/>
      <c r="AZ136" s="133"/>
      <c r="BA136" s="133"/>
      <c r="BB136" s="133"/>
      <c r="BC136" s="133"/>
      <c r="BD136" s="133"/>
      <c r="BE136" s="133"/>
      <c r="BF136" s="133"/>
      <c r="BG136" s="133"/>
      <c r="BH136" s="133"/>
      <c r="BI136" s="133"/>
      <c r="BJ136" s="133"/>
      <c r="BK136" s="133"/>
      <c r="BL136" s="133"/>
      <c r="BM136" s="133"/>
      <c r="BN136" s="133"/>
      <c r="BO136" s="133"/>
      <c r="BP136" s="133"/>
      <c r="BQ136" s="133"/>
      <c r="BR136" s="133"/>
      <c r="BS136" s="133"/>
      <c r="BT136" s="133"/>
      <c r="BU136" s="133"/>
      <c r="BV136" s="133"/>
      <c r="BW136" s="133"/>
      <c r="BX136" s="133"/>
      <c r="BY136" s="133"/>
      <c r="BZ136" s="133"/>
      <c r="CA136" s="133"/>
      <c r="CB136" s="133"/>
      <c r="CC136" s="14"/>
    </row>
    <row r="137" ht="25.05" customHeight="1" spans="1:81">
      <c r="A137" s="133"/>
      <c r="B137" s="37"/>
      <c r="C137" s="38"/>
      <c r="D137" s="14"/>
      <c r="E137" s="36"/>
      <c r="F137" s="36"/>
      <c r="G137" s="36"/>
      <c r="H137" s="40"/>
      <c r="I137" s="133"/>
      <c r="J137" s="134"/>
      <c r="K137" s="133"/>
      <c r="L137" s="140"/>
      <c r="M137" s="36"/>
      <c r="N137" s="36"/>
      <c r="O137" s="36"/>
      <c r="P137" s="36"/>
      <c r="Q137" s="37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33"/>
      <c r="BG137" s="133"/>
      <c r="BH137" s="133"/>
      <c r="BI137" s="133"/>
      <c r="BJ137" s="133"/>
      <c r="BK137" s="133"/>
      <c r="BL137" s="133"/>
      <c r="BM137" s="133"/>
      <c r="BN137" s="133"/>
      <c r="BO137" s="133"/>
      <c r="BP137" s="133"/>
      <c r="BQ137" s="133"/>
      <c r="BR137" s="133"/>
      <c r="BS137" s="133"/>
      <c r="BT137" s="133"/>
      <c r="BU137" s="133"/>
      <c r="BV137" s="133"/>
      <c r="BW137" s="133"/>
      <c r="BX137" s="133"/>
      <c r="BY137" s="133"/>
      <c r="BZ137" s="133"/>
      <c r="CA137" s="133"/>
      <c r="CB137" s="133"/>
      <c r="CC137" s="14"/>
    </row>
    <row r="138" ht="25.05" customHeight="1" spans="1:81">
      <c r="A138" s="133"/>
      <c r="B138" s="37"/>
      <c r="C138" s="38"/>
      <c r="D138" s="14"/>
      <c r="E138" s="36"/>
      <c r="F138" s="36"/>
      <c r="G138" s="36"/>
      <c r="H138" s="40"/>
      <c r="I138" s="133"/>
      <c r="J138" s="134"/>
      <c r="K138" s="133"/>
      <c r="L138" s="140"/>
      <c r="M138" s="36"/>
      <c r="N138" s="36"/>
      <c r="O138" s="36"/>
      <c r="P138" s="36"/>
      <c r="Q138" s="37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/>
      <c r="BF138" s="133"/>
      <c r="BG138" s="133"/>
      <c r="BH138" s="133"/>
      <c r="BI138" s="133"/>
      <c r="BJ138" s="133"/>
      <c r="BK138" s="133"/>
      <c r="BL138" s="133"/>
      <c r="BM138" s="133"/>
      <c r="BN138" s="133"/>
      <c r="BO138" s="133"/>
      <c r="BP138" s="133"/>
      <c r="BQ138" s="133"/>
      <c r="BR138" s="133"/>
      <c r="BS138" s="133"/>
      <c r="BT138" s="133"/>
      <c r="BU138" s="133"/>
      <c r="BV138" s="133"/>
      <c r="BW138" s="133"/>
      <c r="BX138" s="133"/>
      <c r="BY138" s="133"/>
      <c r="BZ138" s="133"/>
      <c r="CA138" s="133"/>
      <c r="CB138" s="133"/>
      <c r="CC138" s="14"/>
    </row>
    <row r="139" ht="25.05" customHeight="1" spans="1:81">
      <c r="A139" s="133"/>
      <c r="B139" s="37"/>
      <c r="C139" s="38"/>
      <c r="D139" s="14"/>
      <c r="E139" s="36"/>
      <c r="F139" s="36"/>
      <c r="G139" s="36"/>
      <c r="H139" s="40"/>
      <c r="I139" s="133"/>
      <c r="J139" s="134"/>
      <c r="K139" s="133"/>
      <c r="L139" s="140"/>
      <c r="M139" s="36"/>
      <c r="N139" s="36"/>
      <c r="O139" s="36"/>
      <c r="P139" s="36"/>
      <c r="Q139" s="37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C139" s="133"/>
      <c r="BD139" s="133"/>
      <c r="BE139" s="133"/>
      <c r="BF139" s="133"/>
      <c r="BG139" s="133"/>
      <c r="BH139" s="133"/>
      <c r="BI139" s="133"/>
      <c r="BJ139" s="133"/>
      <c r="BK139" s="133"/>
      <c r="BL139" s="133"/>
      <c r="BM139" s="133"/>
      <c r="BN139" s="133"/>
      <c r="BO139" s="133"/>
      <c r="BP139" s="133"/>
      <c r="BQ139" s="133"/>
      <c r="BR139" s="133"/>
      <c r="BS139" s="133"/>
      <c r="BT139" s="133"/>
      <c r="BU139" s="133"/>
      <c r="BV139" s="133"/>
      <c r="BW139" s="133"/>
      <c r="BX139" s="133"/>
      <c r="BY139" s="133"/>
      <c r="BZ139" s="133"/>
      <c r="CA139" s="133"/>
      <c r="CB139" s="133"/>
      <c r="CC139" s="14"/>
    </row>
    <row r="140" ht="25.05" customHeight="1" spans="1:81">
      <c r="A140" s="133"/>
      <c r="B140" s="37"/>
      <c r="C140" s="38"/>
      <c r="D140" s="14"/>
      <c r="E140" s="36"/>
      <c r="F140" s="36"/>
      <c r="G140" s="36"/>
      <c r="H140" s="40"/>
      <c r="I140" s="133"/>
      <c r="J140" s="134"/>
      <c r="K140" s="133"/>
      <c r="L140" s="140"/>
      <c r="M140" s="36"/>
      <c r="N140" s="36"/>
      <c r="O140" s="36"/>
      <c r="P140" s="36"/>
      <c r="Q140" s="37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  <c r="AY140" s="133"/>
      <c r="AZ140" s="133"/>
      <c r="BA140" s="133"/>
      <c r="BB140" s="133"/>
      <c r="BC140" s="133"/>
      <c r="BD140" s="133"/>
      <c r="BE140" s="133"/>
      <c r="BF140" s="133"/>
      <c r="BG140" s="133"/>
      <c r="BH140" s="133"/>
      <c r="BI140" s="133"/>
      <c r="BJ140" s="133"/>
      <c r="BK140" s="133"/>
      <c r="BL140" s="133"/>
      <c r="BM140" s="133"/>
      <c r="BN140" s="133"/>
      <c r="BO140" s="133"/>
      <c r="BP140" s="133"/>
      <c r="BQ140" s="133"/>
      <c r="BR140" s="133"/>
      <c r="BS140" s="133"/>
      <c r="BT140" s="133"/>
      <c r="BU140" s="133"/>
      <c r="BV140" s="133"/>
      <c r="BW140" s="133"/>
      <c r="BX140" s="133"/>
      <c r="BY140" s="133"/>
      <c r="BZ140" s="133"/>
      <c r="CA140" s="133"/>
      <c r="CB140" s="133"/>
      <c r="CC140" s="14"/>
    </row>
    <row r="141" ht="25.05" customHeight="1" spans="1:81">
      <c r="A141" s="133"/>
      <c r="B141" s="37"/>
      <c r="C141" s="38"/>
      <c r="D141" s="14"/>
      <c r="E141" s="36"/>
      <c r="F141" s="36"/>
      <c r="G141" s="36"/>
      <c r="H141" s="40"/>
      <c r="I141" s="133"/>
      <c r="J141" s="134"/>
      <c r="K141" s="133"/>
      <c r="L141" s="140"/>
      <c r="M141" s="36"/>
      <c r="N141" s="36"/>
      <c r="O141" s="36"/>
      <c r="P141" s="36"/>
      <c r="Q141" s="37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C141" s="133"/>
      <c r="BD141" s="133"/>
      <c r="BE141" s="133"/>
      <c r="BF141" s="133"/>
      <c r="BG141" s="133"/>
      <c r="BH141" s="133"/>
      <c r="BI141" s="133"/>
      <c r="BJ141" s="133"/>
      <c r="BK141" s="133"/>
      <c r="BL141" s="133"/>
      <c r="BM141" s="133"/>
      <c r="BN141" s="133"/>
      <c r="BO141" s="133"/>
      <c r="BP141" s="133"/>
      <c r="BQ141" s="133"/>
      <c r="BR141" s="133"/>
      <c r="BS141" s="133"/>
      <c r="BT141" s="133"/>
      <c r="BU141" s="133"/>
      <c r="BV141" s="133"/>
      <c r="BW141" s="133"/>
      <c r="BX141" s="133"/>
      <c r="BY141" s="133"/>
      <c r="BZ141" s="133"/>
      <c r="CA141" s="133"/>
      <c r="CB141" s="133"/>
      <c r="CC141" s="14"/>
    </row>
    <row r="142" ht="25.05" customHeight="1" spans="1:81">
      <c r="A142" s="133"/>
      <c r="B142" s="37"/>
      <c r="C142" s="38"/>
      <c r="D142" s="14"/>
      <c r="E142" s="36"/>
      <c r="F142" s="36"/>
      <c r="G142" s="36"/>
      <c r="H142" s="40"/>
      <c r="I142" s="133"/>
      <c r="J142" s="134"/>
      <c r="K142" s="133"/>
      <c r="L142" s="140"/>
      <c r="M142" s="36"/>
      <c r="N142" s="36"/>
      <c r="O142" s="36"/>
      <c r="P142" s="36"/>
      <c r="Q142" s="37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A142" s="133"/>
      <c r="BB142" s="133"/>
      <c r="BC142" s="133"/>
      <c r="BD142" s="133"/>
      <c r="BE142" s="133"/>
      <c r="BF142" s="133"/>
      <c r="BG142" s="133"/>
      <c r="BH142" s="133"/>
      <c r="BI142" s="133"/>
      <c r="BJ142" s="133"/>
      <c r="BK142" s="133"/>
      <c r="BL142" s="133"/>
      <c r="BM142" s="133"/>
      <c r="BN142" s="133"/>
      <c r="BO142" s="133"/>
      <c r="BP142" s="133"/>
      <c r="BQ142" s="133"/>
      <c r="BR142" s="133"/>
      <c r="BS142" s="133"/>
      <c r="BT142" s="133"/>
      <c r="BU142" s="133"/>
      <c r="BV142" s="133"/>
      <c r="BW142" s="133"/>
      <c r="BX142" s="133"/>
      <c r="BY142" s="133"/>
      <c r="BZ142" s="133"/>
      <c r="CA142" s="133"/>
      <c r="CB142" s="133"/>
      <c r="CC142" s="14"/>
    </row>
    <row r="143" ht="25.05" customHeight="1" spans="1:81">
      <c r="A143" s="133"/>
      <c r="B143" s="37"/>
      <c r="C143" s="38"/>
      <c r="D143" s="14"/>
      <c r="E143" s="36"/>
      <c r="F143" s="36"/>
      <c r="G143" s="36"/>
      <c r="H143" s="40"/>
      <c r="I143" s="133"/>
      <c r="J143" s="134"/>
      <c r="K143" s="133"/>
      <c r="L143" s="140"/>
      <c r="M143" s="36"/>
      <c r="N143" s="36"/>
      <c r="O143" s="36"/>
      <c r="P143" s="36"/>
      <c r="Q143" s="37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C143" s="133"/>
      <c r="BD143" s="133"/>
      <c r="BE143" s="133"/>
      <c r="BF143" s="133"/>
      <c r="BG143" s="133"/>
      <c r="BH143" s="133"/>
      <c r="BI143" s="133"/>
      <c r="BJ143" s="133"/>
      <c r="BK143" s="133"/>
      <c r="BL143" s="133"/>
      <c r="BM143" s="133"/>
      <c r="BN143" s="133"/>
      <c r="BO143" s="133"/>
      <c r="BP143" s="133"/>
      <c r="BQ143" s="133"/>
      <c r="BR143" s="133"/>
      <c r="BS143" s="133"/>
      <c r="BT143" s="133"/>
      <c r="BU143" s="133"/>
      <c r="BV143" s="133"/>
      <c r="BW143" s="133"/>
      <c r="BX143" s="133"/>
      <c r="BY143" s="133"/>
      <c r="BZ143" s="133"/>
      <c r="CA143" s="133"/>
      <c r="CB143" s="133"/>
      <c r="CC143" s="14"/>
    </row>
    <row r="144" ht="25.05" customHeight="1" spans="1:81">
      <c r="A144" s="133"/>
      <c r="B144" s="37"/>
      <c r="C144" s="38"/>
      <c r="D144" s="14"/>
      <c r="E144" s="36"/>
      <c r="F144" s="36"/>
      <c r="G144" s="36"/>
      <c r="H144" s="40"/>
      <c r="I144" s="133"/>
      <c r="J144" s="134"/>
      <c r="K144" s="133"/>
      <c r="L144" s="140"/>
      <c r="M144" s="36"/>
      <c r="N144" s="36"/>
      <c r="O144" s="36"/>
      <c r="P144" s="36"/>
      <c r="Q144" s="37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C144" s="133"/>
      <c r="BD144" s="133"/>
      <c r="BE144" s="133"/>
      <c r="BF144" s="133"/>
      <c r="BG144" s="133"/>
      <c r="BH144" s="133"/>
      <c r="BI144" s="133"/>
      <c r="BJ144" s="133"/>
      <c r="BK144" s="133"/>
      <c r="BL144" s="133"/>
      <c r="BM144" s="133"/>
      <c r="BN144" s="133"/>
      <c r="BO144" s="133"/>
      <c r="BP144" s="133"/>
      <c r="BQ144" s="133"/>
      <c r="BR144" s="133"/>
      <c r="BS144" s="133"/>
      <c r="BT144" s="133"/>
      <c r="BU144" s="133"/>
      <c r="BV144" s="133"/>
      <c r="BW144" s="133"/>
      <c r="BX144" s="133"/>
      <c r="BY144" s="133"/>
      <c r="BZ144" s="133"/>
      <c r="CA144" s="133"/>
      <c r="CB144" s="133"/>
      <c r="CC144" s="14"/>
    </row>
    <row r="145" ht="25.05" customHeight="1" spans="1:81">
      <c r="A145" s="133"/>
      <c r="B145" s="37"/>
      <c r="C145" s="38"/>
      <c r="D145" s="14"/>
      <c r="E145" s="36"/>
      <c r="F145" s="36"/>
      <c r="G145" s="36"/>
      <c r="H145" s="40"/>
      <c r="I145" s="133"/>
      <c r="J145" s="134"/>
      <c r="K145" s="133"/>
      <c r="L145" s="140"/>
      <c r="M145" s="36"/>
      <c r="N145" s="36"/>
      <c r="O145" s="36"/>
      <c r="P145" s="36"/>
      <c r="Q145" s="37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C145" s="133"/>
      <c r="BD145" s="133"/>
      <c r="BE145" s="133"/>
      <c r="BF145" s="133"/>
      <c r="BG145" s="133"/>
      <c r="BH145" s="133"/>
      <c r="BI145" s="133"/>
      <c r="BJ145" s="133"/>
      <c r="BK145" s="133"/>
      <c r="BL145" s="133"/>
      <c r="BM145" s="133"/>
      <c r="BN145" s="133"/>
      <c r="BO145" s="133"/>
      <c r="BP145" s="133"/>
      <c r="BQ145" s="133"/>
      <c r="BR145" s="133"/>
      <c r="BS145" s="133"/>
      <c r="BT145" s="133"/>
      <c r="BU145" s="133"/>
      <c r="BV145" s="133"/>
      <c r="BW145" s="133"/>
      <c r="BX145" s="133"/>
      <c r="BY145" s="133"/>
      <c r="BZ145" s="133"/>
      <c r="CA145" s="133"/>
      <c r="CB145" s="133"/>
      <c r="CC145" s="14"/>
    </row>
    <row r="146" ht="25.05" customHeight="1" spans="1:81">
      <c r="A146" s="133"/>
      <c r="B146" s="37"/>
      <c r="C146" s="38"/>
      <c r="D146" s="14"/>
      <c r="E146" s="36"/>
      <c r="F146" s="36"/>
      <c r="G146" s="36"/>
      <c r="H146" s="40"/>
      <c r="I146" s="133"/>
      <c r="J146" s="134"/>
      <c r="K146" s="133"/>
      <c r="L146" s="140"/>
      <c r="M146" s="36"/>
      <c r="N146" s="36"/>
      <c r="O146" s="36"/>
      <c r="P146" s="36"/>
      <c r="Q146" s="37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C146" s="133"/>
      <c r="BD146" s="133"/>
      <c r="BE146" s="133"/>
      <c r="BF146" s="133"/>
      <c r="BG146" s="133"/>
      <c r="BH146" s="133"/>
      <c r="BI146" s="133"/>
      <c r="BJ146" s="133"/>
      <c r="BK146" s="133"/>
      <c r="BL146" s="133"/>
      <c r="BM146" s="133"/>
      <c r="BN146" s="133"/>
      <c r="BO146" s="133"/>
      <c r="BP146" s="133"/>
      <c r="BQ146" s="133"/>
      <c r="BR146" s="133"/>
      <c r="BS146" s="133"/>
      <c r="BT146" s="133"/>
      <c r="BU146" s="133"/>
      <c r="BV146" s="133"/>
      <c r="BW146" s="133"/>
      <c r="BX146" s="133"/>
      <c r="BY146" s="133"/>
      <c r="BZ146" s="133"/>
      <c r="CA146" s="133"/>
      <c r="CB146" s="133"/>
      <c r="CC146" s="14"/>
    </row>
    <row r="147" ht="25.05" customHeight="1" spans="1:81">
      <c r="A147" s="133"/>
      <c r="B147" s="37"/>
      <c r="C147" s="38"/>
      <c r="D147" s="14"/>
      <c r="E147" s="36"/>
      <c r="F147" s="36"/>
      <c r="G147" s="36"/>
      <c r="H147" s="40"/>
      <c r="I147" s="133"/>
      <c r="J147" s="134"/>
      <c r="K147" s="133"/>
      <c r="L147" s="140"/>
      <c r="M147" s="36"/>
      <c r="N147" s="36"/>
      <c r="O147" s="36"/>
      <c r="P147" s="36"/>
      <c r="Q147" s="37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  <c r="AY147" s="133"/>
      <c r="AZ147" s="133"/>
      <c r="BA147" s="133"/>
      <c r="BB147" s="133"/>
      <c r="BC147" s="133"/>
      <c r="BD147" s="133"/>
      <c r="BE147" s="133"/>
      <c r="BF147" s="133"/>
      <c r="BG147" s="133"/>
      <c r="BH147" s="133"/>
      <c r="BI147" s="133"/>
      <c r="BJ147" s="133"/>
      <c r="BK147" s="133"/>
      <c r="BL147" s="133"/>
      <c r="BM147" s="133"/>
      <c r="BN147" s="133"/>
      <c r="BO147" s="133"/>
      <c r="BP147" s="133"/>
      <c r="BQ147" s="133"/>
      <c r="BR147" s="133"/>
      <c r="BS147" s="133"/>
      <c r="BT147" s="133"/>
      <c r="BU147" s="133"/>
      <c r="BV147" s="133"/>
      <c r="BW147" s="133"/>
      <c r="BX147" s="133"/>
      <c r="BY147" s="133"/>
      <c r="BZ147" s="133"/>
      <c r="CA147" s="133"/>
      <c r="CB147" s="133"/>
      <c r="CC147" s="14"/>
    </row>
    <row r="148" ht="25.05" customHeight="1" spans="1:81">
      <c r="A148" s="133"/>
      <c r="B148" s="37"/>
      <c r="C148" s="38"/>
      <c r="D148" s="14"/>
      <c r="E148" s="36"/>
      <c r="F148" s="36"/>
      <c r="G148" s="36"/>
      <c r="H148" s="40"/>
      <c r="I148" s="133"/>
      <c r="J148" s="134"/>
      <c r="K148" s="133"/>
      <c r="L148" s="140"/>
      <c r="M148" s="36"/>
      <c r="N148" s="36"/>
      <c r="O148" s="36"/>
      <c r="P148" s="36"/>
      <c r="Q148" s="37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  <c r="BC148" s="133"/>
      <c r="BD148" s="133"/>
      <c r="BE148" s="133"/>
      <c r="BF148" s="133"/>
      <c r="BG148" s="133"/>
      <c r="BH148" s="133"/>
      <c r="BI148" s="133"/>
      <c r="BJ148" s="133"/>
      <c r="BK148" s="133"/>
      <c r="BL148" s="133"/>
      <c r="BM148" s="133"/>
      <c r="BN148" s="133"/>
      <c r="BO148" s="133"/>
      <c r="BP148" s="133"/>
      <c r="BQ148" s="133"/>
      <c r="BR148" s="133"/>
      <c r="BS148" s="133"/>
      <c r="BT148" s="133"/>
      <c r="BU148" s="133"/>
      <c r="BV148" s="133"/>
      <c r="BW148" s="133"/>
      <c r="BX148" s="133"/>
      <c r="BY148" s="133"/>
      <c r="BZ148" s="133"/>
      <c r="CA148" s="133"/>
      <c r="CB148" s="133"/>
      <c r="CC148" s="14"/>
    </row>
    <row r="149" ht="25.05" customHeight="1" spans="1:81">
      <c r="A149" s="133"/>
      <c r="B149" s="37"/>
      <c r="C149" s="38"/>
      <c r="D149" s="14"/>
      <c r="E149" s="36"/>
      <c r="F149" s="36"/>
      <c r="G149" s="36"/>
      <c r="H149" s="40"/>
      <c r="I149" s="133"/>
      <c r="J149" s="134"/>
      <c r="K149" s="133"/>
      <c r="L149" s="140"/>
      <c r="M149" s="36"/>
      <c r="N149" s="36"/>
      <c r="O149" s="36"/>
      <c r="P149" s="36"/>
      <c r="Q149" s="37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  <c r="BC149" s="133"/>
      <c r="BD149" s="133"/>
      <c r="BE149" s="133"/>
      <c r="BF149" s="133"/>
      <c r="BG149" s="133"/>
      <c r="BH149" s="133"/>
      <c r="BI149" s="133"/>
      <c r="BJ149" s="133"/>
      <c r="BK149" s="133"/>
      <c r="BL149" s="133"/>
      <c r="BM149" s="133"/>
      <c r="BN149" s="133"/>
      <c r="BO149" s="133"/>
      <c r="BP149" s="133"/>
      <c r="BQ149" s="133"/>
      <c r="BR149" s="133"/>
      <c r="BS149" s="133"/>
      <c r="BT149" s="133"/>
      <c r="BU149" s="133"/>
      <c r="BV149" s="133"/>
      <c r="BW149" s="133"/>
      <c r="BX149" s="133"/>
      <c r="BY149" s="133"/>
      <c r="BZ149" s="133"/>
      <c r="CA149" s="133"/>
      <c r="CB149" s="133"/>
      <c r="CC149" s="14"/>
    </row>
    <row r="150" ht="25.05" customHeight="1" spans="1:81">
      <c r="A150" s="133"/>
      <c r="B150" s="37"/>
      <c r="C150" s="38"/>
      <c r="D150" s="14"/>
      <c r="E150" s="36"/>
      <c r="F150" s="36"/>
      <c r="G150" s="36"/>
      <c r="H150" s="40"/>
      <c r="I150" s="133"/>
      <c r="J150" s="134"/>
      <c r="K150" s="133"/>
      <c r="L150" s="140"/>
      <c r="M150" s="36"/>
      <c r="N150" s="36"/>
      <c r="O150" s="36"/>
      <c r="P150" s="36"/>
      <c r="Q150" s="37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  <c r="BC150" s="133"/>
      <c r="BD150" s="133"/>
      <c r="BE150" s="133"/>
      <c r="BF150" s="133"/>
      <c r="BG150" s="133"/>
      <c r="BH150" s="133"/>
      <c r="BI150" s="133"/>
      <c r="BJ150" s="133"/>
      <c r="BK150" s="133"/>
      <c r="BL150" s="133"/>
      <c r="BM150" s="133"/>
      <c r="BN150" s="133"/>
      <c r="BO150" s="133"/>
      <c r="BP150" s="133"/>
      <c r="BQ150" s="133"/>
      <c r="BR150" s="133"/>
      <c r="BS150" s="133"/>
      <c r="BT150" s="133"/>
      <c r="BU150" s="133"/>
      <c r="BV150" s="133"/>
      <c r="BW150" s="133"/>
      <c r="BX150" s="133"/>
      <c r="BY150" s="133"/>
      <c r="BZ150" s="133"/>
      <c r="CA150" s="133"/>
      <c r="CB150" s="133"/>
      <c r="CC150" s="14"/>
    </row>
    <row r="151" ht="25.05" customHeight="1" spans="1:81">
      <c r="A151" s="133"/>
      <c r="B151" s="37"/>
      <c r="C151" s="38"/>
      <c r="D151" s="14"/>
      <c r="E151" s="36"/>
      <c r="F151" s="36"/>
      <c r="G151" s="36"/>
      <c r="H151" s="40"/>
      <c r="I151" s="133"/>
      <c r="J151" s="134"/>
      <c r="K151" s="133"/>
      <c r="L151" s="140"/>
      <c r="M151" s="36"/>
      <c r="N151" s="36"/>
      <c r="O151" s="36"/>
      <c r="P151" s="36"/>
      <c r="Q151" s="37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  <c r="BR151" s="133"/>
      <c r="BS151" s="133"/>
      <c r="BT151" s="133"/>
      <c r="BU151" s="133"/>
      <c r="BV151" s="133"/>
      <c r="BW151" s="133"/>
      <c r="BX151" s="133"/>
      <c r="BY151" s="133"/>
      <c r="BZ151" s="133"/>
      <c r="CA151" s="133"/>
      <c r="CB151" s="133"/>
      <c r="CC151" s="14"/>
    </row>
    <row r="152" ht="25.05" customHeight="1" spans="1:81">
      <c r="A152" s="133"/>
      <c r="B152" s="37"/>
      <c r="C152" s="38"/>
      <c r="D152" s="14"/>
      <c r="E152" s="36"/>
      <c r="F152" s="36"/>
      <c r="G152" s="36"/>
      <c r="H152" s="40"/>
      <c r="I152" s="133"/>
      <c r="J152" s="134"/>
      <c r="K152" s="133"/>
      <c r="L152" s="140"/>
      <c r="M152" s="36"/>
      <c r="N152" s="36"/>
      <c r="O152" s="36"/>
      <c r="P152" s="36"/>
      <c r="Q152" s="37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  <c r="BR152" s="133"/>
      <c r="BS152" s="133"/>
      <c r="BT152" s="133"/>
      <c r="BU152" s="133"/>
      <c r="BV152" s="133"/>
      <c r="BW152" s="133"/>
      <c r="BX152" s="133"/>
      <c r="BY152" s="133"/>
      <c r="BZ152" s="133"/>
      <c r="CA152" s="133"/>
      <c r="CB152" s="133"/>
      <c r="CC152" s="14"/>
    </row>
    <row r="153" ht="25.05" customHeight="1" spans="1:81">
      <c r="A153" s="133"/>
      <c r="B153" s="37"/>
      <c r="C153" s="38"/>
      <c r="D153" s="14"/>
      <c r="E153" s="36"/>
      <c r="F153" s="36"/>
      <c r="G153" s="36"/>
      <c r="H153" s="40"/>
      <c r="I153" s="133"/>
      <c r="J153" s="134"/>
      <c r="K153" s="133"/>
      <c r="L153" s="140"/>
      <c r="M153" s="36"/>
      <c r="N153" s="36"/>
      <c r="O153" s="36"/>
      <c r="P153" s="36"/>
      <c r="Q153" s="37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  <c r="BR153" s="133"/>
      <c r="BS153" s="133"/>
      <c r="BT153" s="133"/>
      <c r="BU153" s="133"/>
      <c r="BV153" s="133"/>
      <c r="BW153" s="133"/>
      <c r="BX153" s="133"/>
      <c r="BY153" s="133"/>
      <c r="BZ153" s="133"/>
      <c r="CA153" s="133"/>
      <c r="CB153" s="133"/>
      <c r="CC153" s="14"/>
    </row>
    <row r="154" ht="25.05" customHeight="1" spans="1:81">
      <c r="A154" s="133"/>
      <c r="B154" s="37"/>
      <c r="C154" s="38"/>
      <c r="D154" s="14"/>
      <c r="E154" s="36"/>
      <c r="F154" s="36"/>
      <c r="G154" s="36"/>
      <c r="H154" s="40"/>
      <c r="I154" s="133"/>
      <c r="J154" s="134"/>
      <c r="K154" s="133"/>
      <c r="L154" s="140"/>
      <c r="M154" s="36"/>
      <c r="N154" s="36"/>
      <c r="O154" s="36"/>
      <c r="P154" s="36"/>
      <c r="Q154" s="37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  <c r="BR154" s="133"/>
      <c r="BS154" s="133"/>
      <c r="BT154" s="133"/>
      <c r="BU154" s="133"/>
      <c r="BV154" s="133"/>
      <c r="BW154" s="133"/>
      <c r="BX154" s="133"/>
      <c r="BY154" s="133"/>
      <c r="BZ154" s="133"/>
      <c r="CA154" s="133"/>
      <c r="CB154" s="133"/>
      <c r="CC154" s="14"/>
    </row>
    <row r="155" ht="25.05" customHeight="1" spans="1:81">
      <c r="A155" s="133"/>
      <c r="B155" s="37"/>
      <c r="C155" s="38"/>
      <c r="D155" s="14"/>
      <c r="E155" s="36"/>
      <c r="F155" s="36"/>
      <c r="G155" s="36"/>
      <c r="H155" s="40"/>
      <c r="I155" s="133"/>
      <c r="J155" s="134"/>
      <c r="K155" s="133"/>
      <c r="L155" s="140"/>
      <c r="M155" s="36"/>
      <c r="N155" s="36"/>
      <c r="O155" s="36"/>
      <c r="P155" s="36"/>
      <c r="Q155" s="37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  <c r="BR155" s="133"/>
      <c r="BS155" s="133"/>
      <c r="BT155" s="133"/>
      <c r="BU155" s="133"/>
      <c r="BV155" s="133"/>
      <c r="BW155" s="133"/>
      <c r="BX155" s="133"/>
      <c r="BY155" s="133"/>
      <c r="BZ155" s="133"/>
      <c r="CA155" s="133"/>
      <c r="CB155" s="133"/>
      <c r="CC155" s="14"/>
    </row>
    <row r="156" ht="25.05" customHeight="1" spans="1:81">
      <c r="A156" s="133"/>
      <c r="B156" s="37"/>
      <c r="C156" s="38"/>
      <c r="D156" s="14"/>
      <c r="E156" s="36"/>
      <c r="F156" s="36"/>
      <c r="G156" s="36"/>
      <c r="H156" s="40"/>
      <c r="I156" s="133"/>
      <c r="J156" s="134"/>
      <c r="K156" s="133"/>
      <c r="L156" s="140"/>
      <c r="M156" s="36"/>
      <c r="N156" s="36"/>
      <c r="O156" s="36"/>
      <c r="P156" s="36"/>
      <c r="Q156" s="37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  <c r="BC156" s="133"/>
      <c r="BD156" s="133"/>
      <c r="BE156" s="133"/>
      <c r="BF156" s="133"/>
      <c r="BG156" s="133"/>
      <c r="BH156" s="133"/>
      <c r="BI156" s="133"/>
      <c r="BJ156" s="133"/>
      <c r="BK156" s="133"/>
      <c r="BL156" s="133"/>
      <c r="BM156" s="133"/>
      <c r="BN156" s="133"/>
      <c r="BO156" s="133"/>
      <c r="BP156" s="133"/>
      <c r="BQ156" s="133"/>
      <c r="BR156" s="133"/>
      <c r="BS156" s="133"/>
      <c r="BT156" s="133"/>
      <c r="BU156" s="133"/>
      <c r="BV156" s="133"/>
      <c r="BW156" s="133"/>
      <c r="BX156" s="133"/>
      <c r="BY156" s="133"/>
      <c r="BZ156" s="133"/>
      <c r="CA156" s="133"/>
      <c r="CB156" s="133"/>
      <c r="CC156" s="14"/>
    </row>
    <row r="157" ht="25.05" customHeight="1" spans="1:81">
      <c r="A157" s="133"/>
      <c r="B157" s="37"/>
      <c r="C157" s="38"/>
      <c r="D157" s="14"/>
      <c r="E157" s="36"/>
      <c r="F157" s="36"/>
      <c r="G157" s="36"/>
      <c r="H157" s="40"/>
      <c r="I157" s="133"/>
      <c r="J157" s="134"/>
      <c r="K157" s="133"/>
      <c r="L157" s="140"/>
      <c r="M157" s="36"/>
      <c r="N157" s="36"/>
      <c r="O157" s="36"/>
      <c r="P157" s="36"/>
      <c r="Q157" s="37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C157" s="133"/>
      <c r="BD157" s="133"/>
      <c r="BE157" s="133"/>
      <c r="BF157" s="133"/>
      <c r="BG157" s="133"/>
      <c r="BH157" s="133"/>
      <c r="BI157" s="133"/>
      <c r="BJ157" s="133"/>
      <c r="BK157" s="133"/>
      <c r="BL157" s="133"/>
      <c r="BM157" s="133"/>
      <c r="BN157" s="133"/>
      <c r="BO157" s="133"/>
      <c r="BP157" s="133"/>
      <c r="BQ157" s="133"/>
      <c r="BR157" s="133"/>
      <c r="BS157" s="133"/>
      <c r="BT157" s="133"/>
      <c r="BU157" s="133"/>
      <c r="BV157" s="133"/>
      <c r="BW157" s="133"/>
      <c r="BX157" s="133"/>
      <c r="BY157" s="133"/>
      <c r="BZ157" s="133"/>
      <c r="CA157" s="133"/>
      <c r="CB157" s="133"/>
      <c r="CC157" s="14"/>
    </row>
    <row r="158" ht="25.05" customHeight="1" spans="1:81">
      <c r="A158" s="133"/>
      <c r="B158" s="37"/>
      <c r="C158" s="38"/>
      <c r="D158" s="14"/>
      <c r="E158" s="36"/>
      <c r="F158" s="36"/>
      <c r="G158" s="36"/>
      <c r="H158" s="40"/>
      <c r="I158" s="133"/>
      <c r="J158" s="134"/>
      <c r="K158" s="133"/>
      <c r="L158" s="140"/>
      <c r="M158" s="36"/>
      <c r="N158" s="36"/>
      <c r="O158" s="36"/>
      <c r="P158" s="36"/>
      <c r="Q158" s="37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33"/>
      <c r="BG158" s="133"/>
      <c r="BH158" s="133"/>
      <c r="BI158" s="133"/>
      <c r="BJ158" s="133"/>
      <c r="BK158" s="133"/>
      <c r="BL158" s="133"/>
      <c r="BM158" s="133"/>
      <c r="BN158" s="133"/>
      <c r="BO158" s="133"/>
      <c r="BP158" s="133"/>
      <c r="BQ158" s="133"/>
      <c r="BR158" s="133"/>
      <c r="BS158" s="133"/>
      <c r="BT158" s="133"/>
      <c r="BU158" s="133"/>
      <c r="BV158" s="133"/>
      <c r="BW158" s="133"/>
      <c r="BX158" s="133"/>
      <c r="BY158" s="133"/>
      <c r="BZ158" s="133"/>
      <c r="CA158" s="133"/>
      <c r="CB158" s="133"/>
      <c r="CC158" s="14"/>
    </row>
    <row r="159" ht="25.05" customHeight="1" spans="1:81">
      <c r="A159" s="133"/>
      <c r="B159" s="37"/>
      <c r="C159" s="38"/>
      <c r="D159" s="14"/>
      <c r="E159" s="36"/>
      <c r="F159" s="36"/>
      <c r="G159" s="36"/>
      <c r="H159" s="40"/>
      <c r="I159" s="133"/>
      <c r="J159" s="134"/>
      <c r="K159" s="133"/>
      <c r="L159" s="140"/>
      <c r="M159" s="36"/>
      <c r="N159" s="36"/>
      <c r="O159" s="36"/>
      <c r="P159" s="36"/>
      <c r="Q159" s="37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  <c r="BC159" s="133"/>
      <c r="BD159" s="133"/>
      <c r="BE159" s="133"/>
      <c r="BF159" s="133"/>
      <c r="BG159" s="133"/>
      <c r="BH159" s="133"/>
      <c r="BI159" s="133"/>
      <c r="BJ159" s="133"/>
      <c r="BK159" s="133"/>
      <c r="BL159" s="133"/>
      <c r="BM159" s="133"/>
      <c r="BN159" s="133"/>
      <c r="BO159" s="133"/>
      <c r="BP159" s="133"/>
      <c r="BQ159" s="133"/>
      <c r="BR159" s="133"/>
      <c r="BS159" s="133"/>
      <c r="BT159" s="133"/>
      <c r="BU159" s="133"/>
      <c r="BV159" s="133"/>
      <c r="BW159" s="133"/>
      <c r="BX159" s="133"/>
      <c r="BY159" s="133"/>
      <c r="BZ159" s="133"/>
      <c r="CA159" s="133"/>
      <c r="CB159" s="133"/>
      <c r="CC159" s="14"/>
    </row>
    <row r="160" ht="25.05" customHeight="1" spans="1:81">
      <c r="A160" s="133"/>
      <c r="B160" s="37"/>
      <c r="C160" s="38"/>
      <c r="D160" s="14"/>
      <c r="E160" s="36"/>
      <c r="F160" s="36"/>
      <c r="G160" s="36"/>
      <c r="H160" s="40"/>
      <c r="I160" s="133"/>
      <c r="J160" s="134"/>
      <c r="K160" s="133"/>
      <c r="L160" s="140"/>
      <c r="M160" s="36"/>
      <c r="N160" s="36"/>
      <c r="O160" s="36"/>
      <c r="P160" s="36"/>
      <c r="Q160" s="37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33"/>
      <c r="BG160" s="133"/>
      <c r="BH160" s="133"/>
      <c r="BI160" s="133"/>
      <c r="BJ160" s="133"/>
      <c r="BK160" s="133"/>
      <c r="BL160" s="133"/>
      <c r="BM160" s="133"/>
      <c r="BN160" s="133"/>
      <c r="BO160" s="133"/>
      <c r="BP160" s="133"/>
      <c r="BQ160" s="133"/>
      <c r="BR160" s="133"/>
      <c r="BS160" s="133"/>
      <c r="BT160" s="133"/>
      <c r="BU160" s="133"/>
      <c r="BV160" s="133"/>
      <c r="BW160" s="133"/>
      <c r="BX160" s="133"/>
      <c r="BY160" s="133"/>
      <c r="BZ160" s="133"/>
      <c r="CA160" s="133"/>
      <c r="CB160" s="133"/>
      <c r="CC160" s="14"/>
    </row>
    <row r="161" ht="25.05" customHeight="1" spans="1:81">
      <c r="A161" s="133"/>
      <c r="B161" s="37"/>
      <c r="C161" s="38"/>
      <c r="D161" s="14"/>
      <c r="E161" s="36"/>
      <c r="F161" s="36"/>
      <c r="G161" s="36"/>
      <c r="H161" s="40"/>
      <c r="I161" s="133"/>
      <c r="J161" s="134"/>
      <c r="K161" s="133"/>
      <c r="L161" s="140"/>
      <c r="M161" s="36"/>
      <c r="N161" s="36"/>
      <c r="O161" s="36"/>
      <c r="P161" s="36"/>
      <c r="Q161" s="37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33"/>
      <c r="BE161" s="133"/>
      <c r="BF161" s="133"/>
      <c r="BG161" s="133"/>
      <c r="BH161" s="133"/>
      <c r="BI161" s="133"/>
      <c r="BJ161" s="133"/>
      <c r="BK161" s="133"/>
      <c r="BL161" s="133"/>
      <c r="BM161" s="133"/>
      <c r="BN161" s="133"/>
      <c r="BO161" s="133"/>
      <c r="BP161" s="133"/>
      <c r="BQ161" s="133"/>
      <c r="BR161" s="133"/>
      <c r="BS161" s="133"/>
      <c r="BT161" s="133"/>
      <c r="BU161" s="133"/>
      <c r="BV161" s="133"/>
      <c r="BW161" s="133"/>
      <c r="BX161" s="133"/>
      <c r="BY161" s="133"/>
      <c r="BZ161" s="133"/>
      <c r="CA161" s="133"/>
      <c r="CB161" s="133"/>
      <c r="CC161" s="14"/>
    </row>
    <row r="162" ht="25.05" customHeight="1" spans="1:81">
      <c r="A162" s="133"/>
      <c r="B162" s="37"/>
      <c r="C162" s="38"/>
      <c r="D162" s="14"/>
      <c r="E162" s="36"/>
      <c r="F162" s="36"/>
      <c r="G162" s="36"/>
      <c r="H162" s="40"/>
      <c r="I162" s="133"/>
      <c r="J162" s="134"/>
      <c r="K162" s="133"/>
      <c r="L162" s="140"/>
      <c r="M162" s="36"/>
      <c r="N162" s="36"/>
      <c r="O162" s="36"/>
      <c r="P162" s="36"/>
      <c r="Q162" s="37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  <c r="BK162" s="133"/>
      <c r="BL162" s="133"/>
      <c r="BM162" s="133"/>
      <c r="BN162" s="133"/>
      <c r="BO162" s="133"/>
      <c r="BP162" s="133"/>
      <c r="BQ162" s="133"/>
      <c r="BR162" s="133"/>
      <c r="BS162" s="133"/>
      <c r="BT162" s="133"/>
      <c r="BU162" s="133"/>
      <c r="BV162" s="133"/>
      <c r="BW162" s="133"/>
      <c r="BX162" s="133"/>
      <c r="BY162" s="133"/>
      <c r="BZ162" s="133"/>
      <c r="CA162" s="133"/>
      <c r="CB162" s="133"/>
      <c r="CC162" s="14"/>
    </row>
    <row r="163" ht="25.05" customHeight="1" spans="1:81">
      <c r="A163" s="133"/>
      <c r="B163" s="37"/>
      <c r="C163" s="38"/>
      <c r="D163" s="14"/>
      <c r="E163" s="36"/>
      <c r="F163" s="36"/>
      <c r="G163" s="36"/>
      <c r="H163" s="40"/>
      <c r="I163" s="133"/>
      <c r="J163" s="134"/>
      <c r="K163" s="133"/>
      <c r="L163" s="140"/>
      <c r="M163" s="36"/>
      <c r="N163" s="36"/>
      <c r="O163" s="36"/>
      <c r="P163" s="36"/>
      <c r="Q163" s="37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33"/>
      <c r="BG163" s="133"/>
      <c r="BH163" s="133"/>
      <c r="BI163" s="133"/>
      <c r="BJ163" s="133"/>
      <c r="BK163" s="133"/>
      <c r="BL163" s="133"/>
      <c r="BM163" s="133"/>
      <c r="BN163" s="133"/>
      <c r="BO163" s="133"/>
      <c r="BP163" s="133"/>
      <c r="BQ163" s="133"/>
      <c r="BR163" s="133"/>
      <c r="BS163" s="133"/>
      <c r="BT163" s="133"/>
      <c r="BU163" s="133"/>
      <c r="BV163" s="133"/>
      <c r="BW163" s="133"/>
      <c r="BX163" s="133"/>
      <c r="BY163" s="133"/>
      <c r="BZ163" s="133"/>
      <c r="CA163" s="133"/>
      <c r="CB163" s="133"/>
      <c r="CC163" s="14"/>
    </row>
    <row r="164" ht="25.05" customHeight="1" spans="1:81">
      <c r="A164" s="133"/>
      <c r="B164" s="37"/>
      <c r="C164" s="38"/>
      <c r="D164" s="14"/>
      <c r="E164" s="36"/>
      <c r="F164" s="36"/>
      <c r="G164" s="36"/>
      <c r="H164" s="40"/>
      <c r="I164" s="133"/>
      <c r="J164" s="134"/>
      <c r="K164" s="133"/>
      <c r="L164" s="140"/>
      <c r="M164" s="36"/>
      <c r="N164" s="36"/>
      <c r="O164" s="36"/>
      <c r="P164" s="36"/>
      <c r="Q164" s="37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  <c r="BC164" s="133"/>
      <c r="BD164" s="133"/>
      <c r="BE164" s="133"/>
      <c r="BF164" s="133"/>
      <c r="BG164" s="133"/>
      <c r="BH164" s="133"/>
      <c r="BI164" s="133"/>
      <c r="BJ164" s="133"/>
      <c r="BK164" s="133"/>
      <c r="BL164" s="133"/>
      <c r="BM164" s="133"/>
      <c r="BN164" s="133"/>
      <c r="BO164" s="133"/>
      <c r="BP164" s="133"/>
      <c r="BQ164" s="133"/>
      <c r="BR164" s="133"/>
      <c r="BS164" s="133"/>
      <c r="BT164" s="133"/>
      <c r="BU164" s="133"/>
      <c r="BV164" s="133"/>
      <c r="BW164" s="133"/>
      <c r="BX164" s="133"/>
      <c r="BY164" s="133"/>
      <c r="BZ164" s="133"/>
      <c r="CA164" s="133"/>
      <c r="CB164" s="133"/>
      <c r="CC164" s="14"/>
    </row>
    <row r="165" ht="25.05" customHeight="1" spans="1:81">
      <c r="A165" s="133"/>
      <c r="B165" s="37"/>
      <c r="C165" s="38"/>
      <c r="D165" s="14"/>
      <c r="E165" s="36"/>
      <c r="F165" s="36"/>
      <c r="G165" s="36"/>
      <c r="H165" s="40"/>
      <c r="I165" s="133"/>
      <c r="J165" s="134"/>
      <c r="K165" s="133"/>
      <c r="L165" s="140"/>
      <c r="M165" s="36"/>
      <c r="N165" s="36"/>
      <c r="O165" s="36"/>
      <c r="P165" s="36"/>
      <c r="Q165" s="37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C165" s="133"/>
      <c r="BD165" s="133"/>
      <c r="BE165" s="133"/>
      <c r="BF165" s="133"/>
      <c r="BG165" s="133"/>
      <c r="BH165" s="133"/>
      <c r="BI165" s="133"/>
      <c r="BJ165" s="133"/>
      <c r="BK165" s="133"/>
      <c r="BL165" s="133"/>
      <c r="BM165" s="133"/>
      <c r="BN165" s="133"/>
      <c r="BO165" s="133"/>
      <c r="BP165" s="133"/>
      <c r="BQ165" s="133"/>
      <c r="BR165" s="133"/>
      <c r="BS165" s="133"/>
      <c r="BT165" s="133"/>
      <c r="BU165" s="133"/>
      <c r="BV165" s="133"/>
      <c r="BW165" s="133"/>
      <c r="BX165" s="133"/>
      <c r="BY165" s="133"/>
      <c r="BZ165" s="133"/>
      <c r="CA165" s="133"/>
      <c r="CB165" s="133"/>
      <c r="CC165" s="14"/>
    </row>
    <row r="166" ht="25.05" customHeight="1" spans="1:81">
      <c r="A166" s="133"/>
      <c r="B166" s="37"/>
      <c r="C166" s="38"/>
      <c r="D166" s="14"/>
      <c r="E166" s="36"/>
      <c r="F166" s="36"/>
      <c r="G166" s="36"/>
      <c r="H166" s="40"/>
      <c r="I166" s="133"/>
      <c r="J166" s="134"/>
      <c r="K166" s="133"/>
      <c r="L166" s="140"/>
      <c r="M166" s="36"/>
      <c r="N166" s="36"/>
      <c r="O166" s="36"/>
      <c r="P166" s="36"/>
      <c r="Q166" s="37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/>
      <c r="BD166" s="133"/>
      <c r="BE166" s="133"/>
      <c r="BF166" s="133"/>
      <c r="BG166" s="133"/>
      <c r="BH166" s="133"/>
      <c r="BI166" s="133"/>
      <c r="BJ166" s="133"/>
      <c r="BK166" s="133"/>
      <c r="BL166" s="133"/>
      <c r="BM166" s="133"/>
      <c r="BN166" s="133"/>
      <c r="BO166" s="133"/>
      <c r="BP166" s="133"/>
      <c r="BQ166" s="133"/>
      <c r="BR166" s="133"/>
      <c r="BS166" s="133"/>
      <c r="BT166" s="133"/>
      <c r="BU166" s="133"/>
      <c r="BV166" s="133"/>
      <c r="BW166" s="133"/>
      <c r="BX166" s="133"/>
      <c r="BY166" s="133"/>
      <c r="BZ166" s="133"/>
      <c r="CA166" s="133"/>
      <c r="CB166" s="133"/>
      <c r="CC166" s="14"/>
    </row>
    <row r="167" ht="25.05" customHeight="1" spans="1:81">
      <c r="A167" s="133"/>
      <c r="B167" s="37"/>
      <c r="C167" s="38"/>
      <c r="D167" s="14"/>
      <c r="E167" s="36"/>
      <c r="F167" s="36"/>
      <c r="G167" s="36"/>
      <c r="H167" s="40"/>
      <c r="I167" s="133"/>
      <c r="J167" s="134"/>
      <c r="K167" s="133"/>
      <c r="L167" s="140"/>
      <c r="M167" s="36"/>
      <c r="N167" s="36"/>
      <c r="O167" s="36"/>
      <c r="P167" s="36"/>
      <c r="Q167" s="37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/>
      <c r="BO167" s="133"/>
      <c r="BP167" s="133"/>
      <c r="BQ167" s="133"/>
      <c r="BR167" s="133"/>
      <c r="BS167" s="133"/>
      <c r="BT167" s="133"/>
      <c r="BU167" s="133"/>
      <c r="BV167" s="133"/>
      <c r="BW167" s="133"/>
      <c r="BX167" s="133"/>
      <c r="BY167" s="133"/>
      <c r="BZ167" s="133"/>
      <c r="CA167" s="133"/>
      <c r="CB167" s="133"/>
      <c r="CC167" s="14"/>
    </row>
    <row r="168" ht="25.05" customHeight="1" spans="1:81">
      <c r="A168" s="133"/>
      <c r="B168" s="37"/>
      <c r="C168" s="38"/>
      <c r="D168" s="14"/>
      <c r="E168" s="36"/>
      <c r="F168" s="36"/>
      <c r="G168" s="36"/>
      <c r="H168" s="40"/>
      <c r="I168" s="133"/>
      <c r="J168" s="134"/>
      <c r="K168" s="133"/>
      <c r="L168" s="140"/>
      <c r="M168" s="36"/>
      <c r="N168" s="36"/>
      <c r="O168" s="36"/>
      <c r="P168" s="36"/>
      <c r="Q168" s="37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/>
      <c r="BO168" s="133"/>
      <c r="BP168" s="133"/>
      <c r="BQ168" s="133"/>
      <c r="BR168" s="133"/>
      <c r="BS168" s="133"/>
      <c r="BT168" s="133"/>
      <c r="BU168" s="133"/>
      <c r="BV168" s="133"/>
      <c r="BW168" s="133"/>
      <c r="BX168" s="133"/>
      <c r="BY168" s="133"/>
      <c r="BZ168" s="133"/>
      <c r="CA168" s="133"/>
      <c r="CB168" s="133"/>
      <c r="CC168" s="14"/>
    </row>
    <row r="169" ht="25.05" customHeight="1" spans="1:81">
      <c r="A169" s="133"/>
      <c r="B169" s="37"/>
      <c r="C169" s="38"/>
      <c r="D169" s="14"/>
      <c r="E169" s="36"/>
      <c r="F169" s="36"/>
      <c r="G169" s="36"/>
      <c r="H169" s="40"/>
      <c r="I169" s="133"/>
      <c r="J169" s="134"/>
      <c r="K169" s="133"/>
      <c r="L169" s="140"/>
      <c r="M169" s="36"/>
      <c r="N169" s="36"/>
      <c r="O169" s="36"/>
      <c r="P169" s="36"/>
      <c r="Q169" s="37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  <c r="BU169" s="133"/>
      <c r="BV169" s="133"/>
      <c r="BW169" s="133"/>
      <c r="BX169" s="133"/>
      <c r="BY169" s="133"/>
      <c r="BZ169" s="133"/>
      <c r="CA169" s="133"/>
      <c r="CB169" s="133"/>
      <c r="CC169" s="14"/>
    </row>
    <row r="170" ht="25.05" customHeight="1" spans="1:81">
      <c r="A170" s="133"/>
      <c r="B170" s="37"/>
      <c r="C170" s="38"/>
      <c r="D170" s="14"/>
      <c r="E170" s="36"/>
      <c r="F170" s="36"/>
      <c r="G170" s="36"/>
      <c r="H170" s="40"/>
      <c r="I170" s="133"/>
      <c r="J170" s="134"/>
      <c r="K170" s="133"/>
      <c r="L170" s="140"/>
      <c r="M170" s="36"/>
      <c r="N170" s="36"/>
      <c r="O170" s="36"/>
      <c r="P170" s="36"/>
      <c r="Q170" s="37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C170" s="133"/>
      <c r="BD170" s="133"/>
      <c r="BE170" s="133"/>
      <c r="BF170" s="133"/>
      <c r="BG170" s="133"/>
      <c r="BH170" s="133"/>
      <c r="BI170" s="133"/>
      <c r="BJ170" s="133"/>
      <c r="BK170" s="133"/>
      <c r="BL170" s="133"/>
      <c r="BM170" s="133"/>
      <c r="BN170" s="133"/>
      <c r="BO170" s="133"/>
      <c r="BP170" s="133"/>
      <c r="BQ170" s="133"/>
      <c r="BR170" s="133"/>
      <c r="BS170" s="133"/>
      <c r="BT170" s="133"/>
      <c r="BU170" s="133"/>
      <c r="BV170" s="133"/>
      <c r="BW170" s="133"/>
      <c r="BX170" s="133"/>
      <c r="BY170" s="133"/>
      <c r="BZ170" s="133"/>
      <c r="CA170" s="133"/>
      <c r="CB170" s="133"/>
      <c r="CC170" s="14"/>
    </row>
    <row r="171" ht="25.05" customHeight="1" spans="1:81">
      <c r="A171" s="133"/>
      <c r="B171" s="37"/>
      <c r="C171" s="38"/>
      <c r="D171" s="14"/>
      <c r="E171" s="36"/>
      <c r="F171" s="36"/>
      <c r="G171" s="36"/>
      <c r="H171" s="40"/>
      <c r="I171" s="133"/>
      <c r="J171" s="134"/>
      <c r="K171" s="133"/>
      <c r="L171" s="140"/>
      <c r="M171" s="36"/>
      <c r="N171" s="36"/>
      <c r="O171" s="36"/>
      <c r="P171" s="36"/>
      <c r="Q171" s="37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33"/>
      <c r="BG171" s="133"/>
      <c r="BH171" s="133"/>
      <c r="BI171" s="133"/>
      <c r="BJ171" s="133"/>
      <c r="BK171" s="133"/>
      <c r="BL171" s="133"/>
      <c r="BM171" s="133"/>
      <c r="BN171" s="133"/>
      <c r="BO171" s="133"/>
      <c r="BP171" s="133"/>
      <c r="BQ171" s="133"/>
      <c r="BR171" s="133"/>
      <c r="BS171" s="133"/>
      <c r="BT171" s="133"/>
      <c r="BU171" s="133"/>
      <c r="BV171" s="133"/>
      <c r="BW171" s="133"/>
      <c r="BX171" s="133"/>
      <c r="BY171" s="133"/>
      <c r="BZ171" s="133"/>
      <c r="CA171" s="133"/>
      <c r="CB171" s="133"/>
      <c r="CC171" s="14"/>
    </row>
    <row r="172" ht="25.05" customHeight="1" spans="1:81">
      <c r="A172" s="133"/>
      <c r="B172" s="37"/>
      <c r="C172" s="38"/>
      <c r="D172" s="14"/>
      <c r="E172" s="36"/>
      <c r="F172" s="36"/>
      <c r="G172" s="36"/>
      <c r="H172" s="40"/>
      <c r="I172" s="133"/>
      <c r="J172" s="134"/>
      <c r="K172" s="133"/>
      <c r="L172" s="140"/>
      <c r="M172" s="36"/>
      <c r="N172" s="36"/>
      <c r="O172" s="36"/>
      <c r="P172" s="36"/>
      <c r="Q172" s="37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3"/>
      <c r="BT172" s="133"/>
      <c r="BU172" s="133"/>
      <c r="BV172" s="133"/>
      <c r="BW172" s="133"/>
      <c r="BX172" s="133"/>
      <c r="BY172" s="133"/>
      <c r="BZ172" s="133"/>
      <c r="CA172" s="133"/>
      <c r="CB172" s="133"/>
      <c r="CC172" s="14"/>
    </row>
    <row r="173" ht="25.05" customHeight="1" spans="1:81">
      <c r="A173" s="133"/>
      <c r="B173" s="37"/>
      <c r="C173" s="38"/>
      <c r="D173" s="14"/>
      <c r="E173" s="36"/>
      <c r="F173" s="36"/>
      <c r="G173" s="36"/>
      <c r="H173" s="40"/>
      <c r="I173" s="133"/>
      <c r="J173" s="134"/>
      <c r="K173" s="133"/>
      <c r="L173" s="140"/>
      <c r="M173" s="36"/>
      <c r="N173" s="36"/>
      <c r="O173" s="36"/>
      <c r="P173" s="36"/>
      <c r="Q173" s="37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C173" s="133"/>
      <c r="BD173" s="133"/>
      <c r="BE173" s="133"/>
      <c r="BF173" s="133"/>
      <c r="BG173" s="133"/>
      <c r="BH173" s="133"/>
      <c r="BI173" s="133"/>
      <c r="BJ173" s="133"/>
      <c r="BK173" s="133"/>
      <c r="BL173" s="133"/>
      <c r="BM173" s="133"/>
      <c r="BN173" s="133"/>
      <c r="BO173" s="133"/>
      <c r="BP173" s="133"/>
      <c r="BQ173" s="133"/>
      <c r="BR173" s="133"/>
      <c r="BS173" s="133"/>
      <c r="BT173" s="133"/>
      <c r="BU173" s="133"/>
      <c r="BV173" s="133"/>
      <c r="BW173" s="133"/>
      <c r="BX173" s="133"/>
      <c r="BY173" s="133"/>
      <c r="BZ173" s="133"/>
      <c r="CA173" s="133"/>
      <c r="CB173" s="133"/>
      <c r="CC173" s="14"/>
    </row>
    <row r="174" ht="25.05" customHeight="1" spans="1:81">
      <c r="A174" s="133"/>
      <c r="B174" s="37"/>
      <c r="C174" s="38"/>
      <c r="D174" s="14"/>
      <c r="E174" s="36"/>
      <c r="F174" s="36"/>
      <c r="G174" s="36"/>
      <c r="H174" s="40"/>
      <c r="I174" s="133"/>
      <c r="J174" s="134"/>
      <c r="K174" s="133"/>
      <c r="L174" s="140"/>
      <c r="M174" s="36"/>
      <c r="N174" s="36"/>
      <c r="O174" s="36"/>
      <c r="P174" s="36"/>
      <c r="Q174" s="37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O174" s="133"/>
      <c r="BP174" s="133"/>
      <c r="BQ174" s="133"/>
      <c r="BR174" s="133"/>
      <c r="BS174" s="133"/>
      <c r="BT174" s="133"/>
      <c r="BU174" s="133"/>
      <c r="BV174" s="133"/>
      <c r="BW174" s="133"/>
      <c r="BX174" s="133"/>
      <c r="BY174" s="133"/>
      <c r="BZ174" s="133"/>
      <c r="CA174" s="133"/>
      <c r="CB174" s="133"/>
      <c r="CC174" s="14"/>
    </row>
    <row r="175" ht="25.05" customHeight="1" spans="1:81">
      <c r="A175" s="133"/>
      <c r="B175" s="37"/>
      <c r="C175" s="38"/>
      <c r="D175" s="14"/>
      <c r="E175" s="36"/>
      <c r="F175" s="36"/>
      <c r="G175" s="36"/>
      <c r="H175" s="40"/>
      <c r="I175" s="133"/>
      <c r="J175" s="134"/>
      <c r="K175" s="133"/>
      <c r="L175" s="140"/>
      <c r="M175" s="36"/>
      <c r="N175" s="36"/>
      <c r="O175" s="36"/>
      <c r="P175" s="36"/>
      <c r="Q175" s="37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  <c r="BR175" s="133"/>
      <c r="BS175" s="133"/>
      <c r="BT175" s="133"/>
      <c r="BU175" s="133"/>
      <c r="BV175" s="133"/>
      <c r="BW175" s="133"/>
      <c r="BX175" s="133"/>
      <c r="BY175" s="133"/>
      <c r="BZ175" s="133"/>
      <c r="CA175" s="133"/>
      <c r="CB175" s="133"/>
      <c r="CC175" s="14"/>
    </row>
    <row r="176" ht="25.05" customHeight="1" spans="1:81">
      <c r="A176" s="133"/>
      <c r="B176" s="37"/>
      <c r="C176" s="38"/>
      <c r="D176" s="14"/>
      <c r="E176" s="36"/>
      <c r="F176" s="36"/>
      <c r="G176" s="36"/>
      <c r="H176" s="40"/>
      <c r="I176" s="133"/>
      <c r="J176" s="134"/>
      <c r="K176" s="133"/>
      <c r="L176" s="140"/>
      <c r="M176" s="36"/>
      <c r="N176" s="36"/>
      <c r="O176" s="36"/>
      <c r="P176" s="36"/>
      <c r="Q176" s="37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/>
      <c r="BO176" s="133"/>
      <c r="BP176" s="133"/>
      <c r="BQ176" s="133"/>
      <c r="BR176" s="133"/>
      <c r="BS176" s="133"/>
      <c r="BT176" s="133"/>
      <c r="BU176" s="133"/>
      <c r="BV176" s="133"/>
      <c r="BW176" s="133"/>
      <c r="BX176" s="133"/>
      <c r="BY176" s="133"/>
      <c r="BZ176" s="133"/>
      <c r="CA176" s="133"/>
      <c r="CB176" s="133"/>
      <c r="CC176" s="14"/>
    </row>
    <row r="177" ht="25.05" customHeight="1" spans="1:81">
      <c r="A177" s="133"/>
      <c r="B177" s="37"/>
      <c r="C177" s="38"/>
      <c r="D177" s="14"/>
      <c r="E177" s="36"/>
      <c r="F177" s="36"/>
      <c r="G177" s="36"/>
      <c r="H177" s="40"/>
      <c r="I177" s="133"/>
      <c r="J177" s="134"/>
      <c r="K177" s="133"/>
      <c r="L177" s="140"/>
      <c r="M177" s="36"/>
      <c r="N177" s="36"/>
      <c r="O177" s="36"/>
      <c r="P177" s="36"/>
      <c r="Q177" s="37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/>
      <c r="BO177" s="133"/>
      <c r="BP177" s="133"/>
      <c r="BQ177" s="133"/>
      <c r="BR177" s="133"/>
      <c r="BS177" s="133"/>
      <c r="BT177" s="133"/>
      <c r="BU177" s="133"/>
      <c r="BV177" s="133"/>
      <c r="BW177" s="133"/>
      <c r="BX177" s="133"/>
      <c r="BY177" s="133"/>
      <c r="BZ177" s="133"/>
      <c r="CA177" s="133"/>
      <c r="CB177" s="133"/>
      <c r="CC177" s="14"/>
    </row>
    <row r="178" ht="25.05" customHeight="1" spans="1:81">
      <c r="A178" s="133"/>
      <c r="B178" s="37"/>
      <c r="C178" s="38"/>
      <c r="D178" s="14"/>
      <c r="E178" s="36"/>
      <c r="F178" s="36"/>
      <c r="G178" s="36"/>
      <c r="H178" s="40"/>
      <c r="I178" s="133"/>
      <c r="J178" s="134"/>
      <c r="K178" s="133"/>
      <c r="L178" s="140"/>
      <c r="M178" s="36"/>
      <c r="N178" s="36"/>
      <c r="O178" s="36"/>
      <c r="P178" s="36"/>
      <c r="Q178" s="37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  <c r="BR178" s="133"/>
      <c r="BS178" s="133"/>
      <c r="BT178" s="133"/>
      <c r="BU178" s="133"/>
      <c r="BV178" s="133"/>
      <c r="BW178" s="133"/>
      <c r="BX178" s="133"/>
      <c r="BY178" s="133"/>
      <c r="BZ178" s="133"/>
      <c r="CA178" s="133"/>
      <c r="CB178" s="133"/>
      <c r="CC178" s="14"/>
    </row>
    <row r="179" ht="25.05" customHeight="1" spans="1:81">
      <c r="A179" s="133"/>
      <c r="B179" s="37"/>
      <c r="C179" s="38"/>
      <c r="D179" s="14"/>
      <c r="E179" s="36"/>
      <c r="F179" s="36"/>
      <c r="G179" s="36"/>
      <c r="H179" s="40"/>
      <c r="I179" s="133"/>
      <c r="J179" s="134"/>
      <c r="K179" s="133"/>
      <c r="L179" s="140"/>
      <c r="M179" s="36"/>
      <c r="N179" s="36"/>
      <c r="O179" s="36"/>
      <c r="P179" s="36"/>
      <c r="Q179" s="37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  <c r="CC179" s="14"/>
    </row>
    <row r="180" ht="25.05" customHeight="1" spans="1:81">
      <c r="A180" s="133"/>
      <c r="B180" s="37"/>
      <c r="C180" s="38"/>
      <c r="D180" s="14"/>
      <c r="E180" s="36"/>
      <c r="F180" s="36"/>
      <c r="G180" s="36"/>
      <c r="H180" s="40"/>
      <c r="I180" s="133"/>
      <c r="J180" s="134"/>
      <c r="K180" s="133"/>
      <c r="L180" s="140"/>
      <c r="M180" s="36"/>
      <c r="N180" s="36"/>
      <c r="O180" s="36"/>
      <c r="P180" s="36"/>
      <c r="Q180" s="37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3"/>
      <c r="BP180" s="133"/>
      <c r="BQ180" s="133"/>
      <c r="BR180" s="133"/>
      <c r="BS180" s="133"/>
      <c r="BT180" s="133"/>
      <c r="BU180" s="133"/>
      <c r="BV180" s="133"/>
      <c r="BW180" s="133"/>
      <c r="BX180" s="133"/>
      <c r="BY180" s="133"/>
      <c r="BZ180" s="133"/>
      <c r="CA180" s="133"/>
      <c r="CB180" s="133"/>
      <c r="CC180" s="14"/>
    </row>
    <row r="181" ht="25.05" customHeight="1" spans="1:81">
      <c r="A181" s="133"/>
      <c r="B181" s="37"/>
      <c r="C181" s="38"/>
      <c r="D181" s="14"/>
      <c r="E181" s="36"/>
      <c r="F181" s="36"/>
      <c r="G181" s="36"/>
      <c r="H181" s="40"/>
      <c r="I181" s="133"/>
      <c r="J181" s="134"/>
      <c r="K181" s="133"/>
      <c r="L181" s="140"/>
      <c r="M181" s="36"/>
      <c r="N181" s="36"/>
      <c r="O181" s="36"/>
      <c r="P181" s="36"/>
      <c r="Q181" s="37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  <c r="BR181" s="133"/>
      <c r="BS181" s="133"/>
      <c r="BT181" s="133"/>
      <c r="BU181" s="133"/>
      <c r="BV181" s="133"/>
      <c r="BW181" s="133"/>
      <c r="BX181" s="133"/>
      <c r="BY181" s="133"/>
      <c r="BZ181" s="133"/>
      <c r="CA181" s="133"/>
      <c r="CB181" s="133"/>
      <c r="CC181" s="14"/>
    </row>
    <row r="182" ht="25.05" customHeight="1" spans="1:81">
      <c r="A182" s="133"/>
      <c r="B182" s="37"/>
      <c r="C182" s="38"/>
      <c r="D182" s="14"/>
      <c r="E182" s="36"/>
      <c r="F182" s="36"/>
      <c r="G182" s="36"/>
      <c r="H182" s="40"/>
      <c r="I182" s="133"/>
      <c r="J182" s="134"/>
      <c r="K182" s="133"/>
      <c r="L182" s="140"/>
      <c r="M182" s="36"/>
      <c r="N182" s="36"/>
      <c r="O182" s="36"/>
      <c r="P182" s="36"/>
      <c r="Q182" s="37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  <c r="BR182" s="133"/>
      <c r="BS182" s="133"/>
      <c r="BT182" s="133"/>
      <c r="BU182" s="133"/>
      <c r="BV182" s="133"/>
      <c r="BW182" s="133"/>
      <c r="BX182" s="133"/>
      <c r="BY182" s="133"/>
      <c r="BZ182" s="133"/>
      <c r="CA182" s="133"/>
      <c r="CB182" s="133"/>
      <c r="CC182" s="14"/>
    </row>
    <row r="183" ht="25.05" customHeight="1" spans="1:81">
      <c r="A183" s="133"/>
      <c r="B183" s="37"/>
      <c r="C183" s="38"/>
      <c r="D183" s="14"/>
      <c r="E183" s="36"/>
      <c r="F183" s="36"/>
      <c r="G183" s="36"/>
      <c r="H183" s="40"/>
      <c r="I183" s="133"/>
      <c r="J183" s="134"/>
      <c r="K183" s="133"/>
      <c r="L183" s="140"/>
      <c r="M183" s="36"/>
      <c r="N183" s="36"/>
      <c r="O183" s="36"/>
      <c r="P183" s="36"/>
      <c r="Q183" s="37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133"/>
      <c r="BR183" s="133"/>
      <c r="BS183" s="133"/>
      <c r="BT183" s="133"/>
      <c r="BU183" s="133"/>
      <c r="BV183" s="133"/>
      <c r="BW183" s="133"/>
      <c r="BX183" s="133"/>
      <c r="BY183" s="133"/>
      <c r="BZ183" s="133"/>
      <c r="CA183" s="133"/>
      <c r="CB183" s="133"/>
      <c r="CC183" s="14"/>
    </row>
    <row r="184" ht="25.05" customHeight="1" spans="1:81">
      <c r="A184" s="133"/>
      <c r="B184" s="37"/>
      <c r="C184" s="38"/>
      <c r="D184" s="14"/>
      <c r="E184" s="36"/>
      <c r="F184" s="36"/>
      <c r="G184" s="36"/>
      <c r="H184" s="40"/>
      <c r="I184" s="133"/>
      <c r="J184" s="134"/>
      <c r="K184" s="133"/>
      <c r="L184" s="140"/>
      <c r="M184" s="36"/>
      <c r="N184" s="36"/>
      <c r="O184" s="36"/>
      <c r="P184" s="36"/>
      <c r="Q184" s="37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33"/>
      <c r="BG184" s="133"/>
      <c r="BH184" s="133"/>
      <c r="BI184" s="133"/>
      <c r="BJ184" s="133"/>
      <c r="BK184" s="133"/>
      <c r="BL184" s="133"/>
      <c r="BM184" s="133"/>
      <c r="BN184" s="133"/>
      <c r="BO184" s="133"/>
      <c r="BP184" s="133"/>
      <c r="BQ184" s="133"/>
      <c r="BR184" s="133"/>
      <c r="BS184" s="133"/>
      <c r="BT184" s="133"/>
      <c r="BU184" s="133"/>
      <c r="BV184" s="133"/>
      <c r="BW184" s="133"/>
      <c r="BX184" s="133"/>
      <c r="BY184" s="133"/>
      <c r="BZ184" s="133"/>
      <c r="CA184" s="133"/>
      <c r="CB184" s="133"/>
      <c r="CC184" s="14"/>
    </row>
    <row r="185" ht="25.05" customHeight="1" spans="1:81">
      <c r="A185" s="133"/>
      <c r="B185" s="37"/>
      <c r="C185" s="38"/>
      <c r="D185" s="14"/>
      <c r="E185" s="36"/>
      <c r="F185" s="36"/>
      <c r="G185" s="36"/>
      <c r="H185" s="40"/>
      <c r="I185" s="133"/>
      <c r="J185" s="134"/>
      <c r="K185" s="133"/>
      <c r="L185" s="140"/>
      <c r="M185" s="36"/>
      <c r="N185" s="36"/>
      <c r="O185" s="36"/>
      <c r="P185" s="36"/>
      <c r="Q185" s="37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33"/>
      <c r="BG185" s="133"/>
      <c r="BH185" s="133"/>
      <c r="BI185" s="133"/>
      <c r="BJ185" s="133"/>
      <c r="BK185" s="133"/>
      <c r="BL185" s="133"/>
      <c r="BM185" s="133"/>
      <c r="BN185" s="133"/>
      <c r="BO185" s="133"/>
      <c r="BP185" s="133"/>
      <c r="BQ185" s="133"/>
      <c r="BR185" s="133"/>
      <c r="BS185" s="133"/>
      <c r="BT185" s="133"/>
      <c r="BU185" s="133"/>
      <c r="BV185" s="133"/>
      <c r="BW185" s="133"/>
      <c r="BX185" s="133"/>
      <c r="BY185" s="133"/>
      <c r="BZ185" s="133"/>
      <c r="CA185" s="133"/>
      <c r="CB185" s="133"/>
      <c r="CC185" s="14"/>
    </row>
    <row r="186" ht="25.05" customHeight="1" spans="1:81">
      <c r="A186" s="133"/>
      <c r="B186" s="37"/>
      <c r="C186" s="38"/>
      <c r="D186" s="14"/>
      <c r="E186" s="36"/>
      <c r="F186" s="36"/>
      <c r="G186" s="36"/>
      <c r="H186" s="40"/>
      <c r="I186" s="133"/>
      <c r="J186" s="134"/>
      <c r="K186" s="133"/>
      <c r="L186" s="140"/>
      <c r="M186" s="36"/>
      <c r="N186" s="36"/>
      <c r="O186" s="36"/>
      <c r="P186" s="36"/>
      <c r="Q186" s="37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33"/>
      <c r="BG186" s="133"/>
      <c r="BH186" s="133"/>
      <c r="BI186" s="133"/>
      <c r="BJ186" s="133"/>
      <c r="BK186" s="133"/>
      <c r="BL186" s="133"/>
      <c r="BM186" s="133"/>
      <c r="BN186" s="133"/>
      <c r="BO186" s="133"/>
      <c r="BP186" s="133"/>
      <c r="BQ186" s="133"/>
      <c r="BR186" s="133"/>
      <c r="BS186" s="133"/>
      <c r="BT186" s="133"/>
      <c r="BU186" s="133"/>
      <c r="BV186" s="133"/>
      <c r="BW186" s="133"/>
      <c r="BX186" s="133"/>
      <c r="BY186" s="133"/>
      <c r="BZ186" s="133"/>
      <c r="CA186" s="133"/>
      <c r="CB186" s="133"/>
      <c r="CC186" s="14"/>
    </row>
    <row r="187" ht="25.05" customHeight="1" spans="1:81">
      <c r="A187" s="133"/>
      <c r="B187" s="37"/>
      <c r="C187" s="38"/>
      <c r="D187" s="14"/>
      <c r="E187" s="36"/>
      <c r="F187" s="36"/>
      <c r="G187" s="36"/>
      <c r="H187" s="40"/>
      <c r="I187" s="133"/>
      <c r="J187" s="134"/>
      <c r="K187" s="133"/>
      <c r="L187" s="140"/>
      <c r="M187" s="36"/>
      <c r="N187" s="36"/>
      <c r="O187" s="36"/>
      <c r="P187" s="36"/>
      <c r="Q187" s="37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/>
      <c r="BJ187" s="133"/>
      <c r="BK187" s="133"/>
      <c r="BL187" s="133"/>
      <c r="BM187" s="133"/>
      <c r="BN187" s="133"/>
      <c r="BO187" s="133"/>
      <c r="BP187" s="133"/>
      <c r="BQ187" s="133"/>
      <c r="BR187" s="133"/>
      <c r="BS187" s="133"/>
      <c r="BT187" s="133"/>
      <c r="BU187" s="133"/>
      <c r="BV187" s="133"/>
      <c r="BW187" s="133"/>
      <c r="BX187" s="133"/>
      <c r="BY187" s="133"/>
      <c r="BZ187" s="133"/>
      <c r="CA187" s="133"/>
      <c r="CB187" s="133"/>
      <c r="CC187" s="14"/>
    </row>
    <row r="188" ht="25.05" customHeight="1" spans="1:81">
      <c r="A188" s="133"/>
      <c r="B188" s="37"/>
      <c r="C188" s="38"/>
      <c r="D188" s="14"/>
      <c r="E188" s="36"/>
      <c r="F188" s="36"/>
      <c r="G188" s="36"/>
      <c r="H188" s="40"/>
      <c r="I188" s="133"/>
      <c r="J188" s="134"/>
      <c r="K188" s="133"/>
      <c r="L188" s="140"/>
      <c r="M188" s="36"/>
      <c r="N188" s="36"/>
      <c r="O188" s="36"/>
      <c r="P188" s="36"/>
      <c r="Q188" s="37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  <c r="BR188" s="133"/>
      <c r="BS188" s="133"/>
      <c r="BT188" s="133"/>
      <c r="BU188" s="133"/>
      <c r="BV188" s="133"/>
      <c r="BW188" s="133"/>
      <c r="BX188" s="133"/>
      <c r="BY188" s="133"/>
      <c r="BZ188" s="133"/>
      <c r="CA188" s="133"/>
      <c r="CB188" s="133"/>
      <c r="CC188" s="14"/>
    </row>
    <row r="189" ht="25.05" customHeight="1" spans="1:81">
      <c r="A189" s="133"/>
      <c r="B189" s="37"/>
      <c r="C189" s="38"/>
      <c r="D189" s="14"/>
      <c r="E189" s="36"/>
      <c r="F189" s="36"/>
      <c r="G189" s="36"/>
      <c r="H189" s="40"/>
      <c r="I189" s="133"/>
      <c r="J189" s="134"/>
      <c r="K189" s="133"/>
      <c r="L189" s="140"/>
      <c r="M189" s="36"/>
      <c r="N189" s="36"/>
      <c r="O189" s="36"/>
      <c r="P189" s="36"/>
      <c r="Q189" s="37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/>
      <c r="BG189" s="133"/>
      <c r="BH189" s="133"/>
      <c r="BI189" s="133"/>
      <c r="BJ189" s="133"/>
      <c r="BK189" s="133"/>
      <c r="BL189" s="133"/>
      <c r="BM189" s="133"/>
      <c r="BN189" s="133"/>
      <c r="BO189" s="133"/>
      <c r="BP189" s="133"/>
      <c r="BQ189" s="133"/>
      <c r="BR189" s="133"/>
      <c r="BS189" s="133"/>
      <c r="BT189" s="133"/>
      <c r="BU189" s="133"/>
      <c r="BV189" s="133"/>
      <c r="BW189" s="133"/>
      <c r="BX189" s="133"/>
      <c r="BY189" s="133"/>
      <c r="BZ189" s="133"/>
      <c r="CA189" s="133"/>
      <c r="CB189" s="133"/>
      <c r="CC189" s="14"/>
    </row>
    <row r="190" ht="25.05" customHeight="1" spans="1:81">
      <c r="A190" s="133"/>
      <c r="B190" s="37"/>
      <c r="C190" s="38"/>
      <c r="D190" s="14"/>
      <c r="E190" s="36"/>
      <c r="F190" s="36"/>
      <c r="G190" s="36"/>
      <c r="H190" s="40"/>
      <c r="I190" s="133"/>
      <c r="J190" s="134"/>
      <c r="K190" s="133"/>
      <c r="L190" s="140"/>
      <c r="M190" s="36"/>
      <c r="N190" s="36"/>
      <c r="O190" s="36"/>
      <c r="P190" s="36"/>
      <c r="Q190" s="37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/>
      <c r="BA190" s="133"/>
      <c r="BB190" s="133"/>
      <c r="BC190" s="133"/>
      <c r="BD190" s="133"/>
      <c r="BE190" s="133"/>
      <c r="BF190" s="133"/>
      <c r="BG190" s="133"/>
      <c r="BH190" s="133"/>
      <c r="BI190" s="133"/>
      <c r="BJ190" s="133"/>
      <c r="BK190" s="133"/>
      <c r="BL190" s="133"/>
      <c r="BM190" s="133"/>
      <c r="BN190" s="133"/>
      <c r="BO190" s="133"/>
      <c r="BP190" s="133"/>
      <c r="BQ190" s="133"/>
      <c r="BR190" s="133"/>
      <c r="BS190" s="133"/>
      <c r="BT190" s="133"/>
      <c r="BU190" s="133"/>
      <c r="BV190" s="133"/>
      <c r="BW190" s="133"/>
      <c r="BX190" s="133"/>
      <c r="BY190" s="133"/>
      <c r="BZ190" s="133"/>
      <c r="CA190" s="133"/>
      <c r="CB190" s="133"/>
      <c r="CC190" s="14"/>
    </row>
    <row r="191" ht="25.05" customHeight="1" spans="1:81">
      <c r="A191" s="133"/>
      <c r="B191" s="37"/>
      <c r="C191" s="38"/>
      <c r="D191" s="14"/>
      <c r="E191" s="36"/>
      <c r="F191" s="36"/>
      <c r="G191" s="36"/>
      <c r="H191" s="40"/>
      <c r="I191" s="133"/>
      <c r="J191" s="134"/>
      <c r="K191" s="133"/>
      <c r="L191" s="140"/>
      <c r="M191" s="36"/>
      <c r="N191" s="36"/>
      <c r="O191" s="36"/>
      <c r="P191" s="36"/>
      <c r="Q191" s="37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/>
      <c r="BQ191" s="133"/>
      <c r="BR191" s="133"/>
      <c r="BS191" s="133"/>
      <c r="BT191" s="133"/>
      <c r="BU191" s="133"/>
      <c r="BV191" s="133"/>
      <c r="BW191" s="133"/>
      <c r="BX191" s="133"/>
      <c r="BY191" s="133"/>
      <c r="BZ191" s="133"/>
      <c r="CA191" s="133"/>
      <c r="CB191" s="133"/>
      <c r="CC191" s="14"/>
    </row>
    <row r="192" ht="25.05" customHeight="1" spans="1:81">
      <c r="A192" s="133"/>
      <c r="B192" s="37"/>
      <c r="C192" s="38"/>
      <c r="D192" s="14"/>
      <c r="E192" s="36"/>
      <c r="F192" s="36"/>
      <c r="G192" s="36"/>
      <c r="H192" s="40"/>
      <c r="I192" s="133"/>
      <c r="J192" s="134"/>
      <c r="K192" s="133"/>
      <c r="L192" s="140"/>
      <c r="M192" s="36"/>
      <c r="N192" s="36"/>
      <c r="O192" s="36"/>
      <c r="P192" s="36"/>
      <c r="Q192" s="37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F192" s="133"/>
      <c r="BG192" s="133"/>
      <c r="BH192" s="133"/>
      <c r="BI192" s="133"/>
      <c r="BJ192" s="133"/>
      <c r="BK192" s="133"/>
      <c r="BL192" s="133"/>
      <c r="BM192" s="133"/>
      <c r="BN192" s="133"/>
      <c r="BO192" s="133"/>
      <c r="BP192" s="133"/>
      <c r="BQ192" s="133"/>
      <c r="BR192" s="133"/>
      <c r="BS192" s="133"/>
      <c r="BT192" s="133"/>
      <c r="BU192" s="133"/>
      <c r="BV192" s="133"/>
      <c r="BW192" s="133"/>
      <c r="BX192" s="133"/>
      <c r="BY192" s="133"/>
      <c r="BZ192" s="133"/>
      <c r="CA192" s="133"/>
      <c r="CB192" s="133"/>
      <c r="CC192" s="14"/>
    </row>
    <row r="193" ht="25.05" customHeight="1" spans="1:81">
      <c r="A193" s="133"/>
      <c r="B193" s="37"/>
      <c r="C193" s="38"/>
      <c r="D193" s="14"/>
      <c r="E193" s="36"/>
      <c r="F193" s="36"/>
      <c r="G193" s="36"/>
      <c r="H193" s="40"/>
      <c r="I193" s="133"/>
      <c r="J193" s="134"/>
      <c r="K193" s="133"/>
      <c r="L193" s="140"/>
      <c r="M193" s="36"/>
      <c r="N193" s="36"/>
      <c r="O193" s="36"/>
      <c r="P193" s="36"/>
      <c r="Q193" s="37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4"/>
    </row>
    <row r="194" ht="25.05" customHeight="1" spans="1:81">
      <c r="A194" s="133"/>
      <c r="B194" s="37"/>
      <c r="C194" s="38"/>
      <c r="D194" s="14"/>
      <c r="E194" s="36"/>
      <c r="F194" s="36"/>
      <c r="G194" s="36"/>
      <c r="H194" s="40"/>
      <c r="I194" s="133"/>
      <c r="J194" s="134"/>
      <c r="K194" s="133"/>
      <c r="L194" s="140"/>
      <c r="M194" s="36"/>
      <c r="N194" s="36"/>
      <c r="O194" s="36"/>
      <c r="P194" s="36"/>
      <c r="Q194" s="37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F194" s="133"/>
      <c r="BG194" s="133"/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  <c r="CC194" s="14"/>
    </row>
    <row r="195" ht="25.05" customHeight="1" spans="1:81">
      <c r="A195" s="133"/>
      <c r="B195" s="37"/>
      <c r="C195" s="38"/>
      <c r="D195" s="14"/>
      <c r="E195" s="36"/>
      <c r="F195" s="36"/>
      <c r="G195" s="36"/>
      <c r="H195" s="40"/>
      <c r="I195" s="133"/>
      <c r="J195" s="134"/>
      <c r="K195" s="133"/>
      <c r="L195" s="140"/>
      <c r="M195" s="36"/>
      <c r="N195" s="36"/>
      <c r="O195" s="36"/>
      <c r="P195" s="36"/>
      <c r="Q195" s="37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33"/>
      <c r="BG195" s="133"/>
      <c r="BH195" s="133"/>
      <c r="BI195" s="133"/>
      <c r="BJ195" s="133"/>
      <c r="BK195" s="133"/>
      <c r="BL195" s="133"/>
      <c r="BM195" s="133"/>
      <c r="BN195" s="133"/>
      <c r="BO195" s="133"/>
      <c r="BP195" s="133"/>
      <c r="BQ195" s="133"/>
      <c r="BR195" s="133"/>
      <c r="BS195" s="133"/>
      <c r="BT195" s="133"/>
      <c r="BU195" s="133"/>
      <c r="BV195" s="133"/>
      <c r="BW195" s="133"/>
      <c r="BX195" s="133"/>
      <c r="BY195" s="133"/>
      <c r="BZ195" s="133"/>
      <c r="CA195" s="133"/>
      <c r="CB195" s="133"/>
      <c r="CC195" s="14"/>
    </row>
    <row r="196" ht="25.05" customHeight="1" spans="1:81">
      <c r="A196" s="133"/>
      <c r="B196" s="37"/>
      <c r="C196" s="38"/>
      <c r="D196" s="14"/>
      <c r="E196" s="36"/>
      <c r="F196" s="36"/>
      <c r="G196" s="36"/>
      <c r="H196" s="40"/>
      <c r="I196" s="133"/>
      <c r="J196" s="134"/>
      <c r="K196" s="133"/>
      <c r="L196" s="140"/>
      <c r="M196" s="36"/>
      <c r="N196" s="36"/>
      <c r="O196" s="36"/>
      <c r="P196" s="36"/>
      <c r="Q196" s="37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133"/>
      <c r="BR196" s="133"/>
      <c r="BS196" s="133"/>
      <c r="BT196" s="133"/>
      <c r="BU196" s="133"/>
      <c r="BV196" s="133"/>
      <c r="BW196" s="133"/>
      <c r="BX196" s="133"/>
      <c r="BY196" s="133"/>
      <c r="BZ196" s="133"/>
      <c r="CA196" s="133"/>
      <c r="CB196" s="133"/>
      <c r="CC196" s="14"/>
    </row>
    <row r="197" ht="25.05" customHeight="1" spans="1:81">
      <c r="A197" s="133"/>
      <c r="B197" s="37"/>
      <c r="C197" s="38"/>
      <c r="D197" s="14"/>
      <c r="E197" s="36"/>
      <c r="F197" s="36"/>
      <c r="G197" s="36"/>
      <c r="H197" s="40"/>
      <c r="I197" s="133"/>
      <c r="J197" s="134"/>
      <c r="K197" s="133"/>
      <c r="L197" s="140"/>
      <c r="M197" s="36"/>
      <c r="N197" s="36"/>
      <c r="O197" s="36"/>
      <c r="P197" s="36"/>
      <c r="Q197" s="37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133"/>
      <c r="BI197" s="133"/>
      <c r="BJ197" s="133"/>
      <c r="BK197" s="133"/>
      <c r="BL197" s="133"/>
      <c r="BM197" s="133"/>
      <c r="BN197" s="133"/>
      <c r="BO197" s="133"/>
      <c r="BP197" s="133"/>
      <c r="BQ197" s="133"/>
      <c r="BR197" s="133"/>
      <c r="BS197" s="133"/>
      <c r="BT197" s="133"/>
      <c r="BU197" s="133"/>
      <c r="BV197" s="133"/>
      <c r="BW197" s="133"/>
      <c r="BX197" s="133"/>
      <c r="BY197" s="133"/>
      <c r="BZ197" s="133"/>
      <c r="CA197" s="133"/>
      <c r="CB197" s="133"/>
      <c r="CC197" s="14"/>
    </row>
    <row r="198" ht="25.05" customHeight="1" spans="1:81">
      <c r="A198" s="133"/>
      <c r="B198" s="37"/>
      <c r="C198" s="38"/>
      <c r="D198" s="14"/>
      <c r="E198" s="36"/>
      <c r="F198" s="36"/>
      <c r="G198" s="36"/>
      <c r="H198" s="40"/>
      <c r="I198" s="133"/>
      <c r="J198" s="134"/>
      <c r="K198" s="133"/>
      <c r="L198" s="140"/>
      <c r="M198" s="36"/>
      <c r="N198" s="36"/>
      <c r="O198" s="36"/>
      <c r="P198" s="36"/>
      <c r="Q198" s="37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133"/>
      <c r="BI198" s="133"/>
      <c r="BJ198" s="133"/>
      <c r="BK198" s="133"/>
      <c r="BL198" s="133"/>
      <c r="BM198" s="133"/>
      <c r="BN198" s="133"/>
      <c r="BO198" s="133"/>
      <c r="BP198" s="133"/>
      <c r="BQ198" s="133"/>
      <c r="BR198" s="133"/>
      <c r="BS198" s="133"/>
      <c r="BT198" s="133"/>
      <c r="BU198" s="133"/>
      <c r="BV198" s="133"/>
      <c r="BW198" s="133"/>
      <c r="BX198" s="133"/>
      <c r="BY198" s="133"/>
      <c r="BZ198" s="133"/>
      <c r="CA198" s="133"/>
      <c r="CB198" s="133"/>
      <c r="CC198" s="14"/>
    </row>
    <row r="199" ht="25.05" customHeight="1" spans="1:81">
      <c r="A199" s="133"/>
      <c r="B199" s="37"/>
      <c r="C199" s="38"/>
      <c r="D199" s="14"/>
      <c r="E199" s="36"/>
      <c r="F199" s="36"/>
      <c r="G199" s="36"/>
      <c r="H199" s="40"/>
      <c r="I199" s="133"/>
      <c r="J199" s="134"/>
      <c r="K199" s="133"/>
      <c r="L199" s="140"/>
      <c r="M199" s="36"/>
      <c r="N199" s="36"/>
      <c r="O199" s="36"/>
      <c r="P199" s="36"/>
      <c r="Q199" s="37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3"/>
      <c r="BP199" s="133"/>
      <c r="BQ199" s="133"/>
      <c r="BR199" s="133"/>
      <c r="BS199" s="133"/>
      <c r="BT199" s="133"/>
      <c r="BU199" s="133"/>
      <c r="BV199" s="133"/>
      <c r="BW199" s="133"/>
      <c r="BX199" s="133"/>
      <c r="BY199" s="133"/>
      <c r="BZ199" s="133"/>
      <c r="CA199" s="133"/>
      <c r="CB199" s="133"/>
      <c r="CC199" s="14"/>
    </row>
    <row r="200" ht="25.05" customHeight="1" spans="1:81">
      <c r="A200" s="133"/>
      <c r="B200" s="37"/>
      <c r="C200" s="38"/>
      <c r="D200" s="14"/>
      <c r="E200" s="36"/>
      <c r="F200" s="36"/>
      <c r="G200" s="36"/>
      <c r="H200" s="40"/>
      <c r="I200" s="133"/>
      <c r="J200" s="134"/>
      <c r="K200" s="133"/>
      <c r="L200" s="140"/>
      <c r="M200" s="36"/>
      <c r="N200" s="36"/>
      <c r="O200" s="36"/>
      <c r="P200" s="36"/>
      <c r="Q200" s="37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3"/>
      <c r="BZ200" s="133"/>
      <c r="CA200" s="133"/>
      <c r="CB200" s="133"/>
      <c r="CC200" s="14"/>
    </row>
    <row r="201" ht="25.05" customHeight="1" spans="1:81">
      <c r="A201" s="133"/>
      <c r="B201" s="37"/>
      <c r="C201" s="38"/>
      <c r="D201" s="14"/>
      <c r="E201" s="36"/>
      <c r="F201" s="36"/>
      <c r="G201" s="36"/>
      <c r="H201" s="40"/>
      <c r="I201" s="133"/>
      <c r="J201" s="134"/>
      <c r="K201" s="133"/>
      <c r="L201" s="140"/>
      <c r="M201" s="36"/>
      <c r="N201" s="36"/>
      <c r="O201" s="36"/>
      <c r="P201" s="36"/>
      <c r="Q201" s="37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33"/>
      <c r="BZ201" s="133"/>
      <c r="CA201" s="133"/>
      <c r="CB201" s="133"/>
      <c r="CC201" s="14"/>
    </row>
    <row r="202" ht="25.05" customHeight="1" spans="1:81">
      <c r="A202" s="133"/>
      <c r="B202" s="37"/>
      <c r="C202" s="38"/>
      <c r="D202" s="14"/>
      <c r="E202" s="36"/>
      <c r="F202" s="36"/>
      <c r="G202" s="36"/>
      <c r="H202" s="40"/>
      <c r="I202" s="133"/>
      <c r="J202" s="134"/>
      <c r="K202" s="133"/>
      <c r="L202" s="140"/>
      <c r="M202" s="36"/>
      <c r="N202" s="36"/>
      <c r="O202" s="36"/>
      <c r="P202" s="36"/>
      <c r="Q202" s="37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33"/>
      <c r="BZ202" s="133"/>
      <c r="CA202" s="133"/>
      <c r="CB202" s="133"/>
      <c r="CC202" s="14"/>
    </row>
    <row r="203" ht="25.05" customHeight="1" spans="1:81">
      <c r="A203" s="133"/>
      <c r="B203" s="37"/>
      <c r="C203" s="38"/>
      <c r="D203" s="14"/>
      <c r="E203" s="36"/>
      <c r="F203" s="36"/>
      <c r="G203" s="36"/>
      <c r="H203" s="40"/>
      <c r="I203" s="133"/>
      <c r="J203" s="134"/>
      <c r="K203" s="133"/>
      <c r="L203" s="140"/>
      <c r="M203" s="36"/>
      <c r="N203" s="36"/>
      <c r="O203" s="36"/>
      <c r="P203" s="36"/>
      <c r="Q203" s="37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133"/>
      <c r="BR203" s="133"/>
      <c r="BS203" s="133"/>
      <c r="BT203" s="133"/>
      <c r="BU203" s="133"/>
      <c r="BV203" s="133"/>
      <c r="BW203" s="133"/>
      <c r="BX203" s="133"/>
      <c r="BY203" s="133"/>
      <c r="BZ203" s="133"/>
      <c r="CA203" s="133"/>
      <c r="CB203" s="133"/>
      <c r="CC203" s="14"/>
    </row>
    <row r="204" ht="25.05" customHeight="1" spans="1:81">
      <c r="A204" s="133"/>
      <c r="B204" s="37"/>
      <c r="C204" s="38"/>
      <c r="D204" s="14"/>
      <c r="E204" s="36"/>
      <c r="F204" s="36"/>
      <c r="G204" s="36"/>
      <c r="H204" s="40"/>
      <c r="I204" s="133"/>
      <c r="J204" s="134"/>
      <c r="K204" s="133"/>
      <c r="L204" s="140"/>
      <c r="M204" s="36"/>
      <c r="N204" s="36"/>
      <c r="O204" s="36"/>
      <c r="P204" s="36"/>
      <c r="Q204" s="37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33"/>
      <c r="BG204" s="133"/>
      <c r="BH204" s="133"/>
      <c r="BI204" s="133"/>
      <c r="BJ204" s="133"/>
      <c r="BK204" s="133"/>
      <c r="BL204" s="133"/>
      <c r="BM204" s="133"/>
      <c r="BN204" s="133"/>
      <c r="BO204" s="133"/>
      <c r="BP204" s="133"/>
      <c r="BQ204" s="133"/>
      <c r="BR204" s="133"/>
      <c r="BS204" s="133"/>
      <c r="BT204" s="133"/>
      <c r="BU204" s="133"/>
      <c r="BV204" s="133"/>
      <c r="BW204" s="133"/>
      <c r="BX204" s="133"/>
      <c r="BY204" s="133"/>
      <c r="BZ204" s="133"/>
      <c r="CA204" s="133"/>
      <c r="CB204" s="133"/>
      <c r="CC204" s="14"/>
    </row>
    <row r="205" ht="25.05" customHeight="1" spans="1:81">
      <c r="A205" s="133"/>
      <c r="B205" s="37"/>
      <c r="C205" s="38"/>
      <c r="D205" s="14"/>
      <c r="E205" s="36"/>
      <c r="F205" s="36"/>
      <c r="G205" s="36"/>
      <c r="H205" s="40"/>
      <c r="I205" s="133"/>
      <c r="J205" s="134"/>
      <c r="K205" s="133"/>
      <c r="L205" s="140"/>
      <c r="M205" s="36"/>
      <c r="N205" s="36"/>
      <c r="O205" s="36"/>
      <c r="P205" s="36"/>
      <c r="Q205" s="37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  <c r="BX205" s="133"/>
      <c r="BY205" s="133"/>
      <c r="BZ205" s="133"/>
      <c r="CA205" s="133"/>
      <c r="CB205" s="133"/>
      <c r="CC205" s="14"/>
    </row>
    <row r="206" ht="25.05" customHeight="1" spans="1:81">
      <c r="A206" s="133"/>
      <c r="B206" s="37"/>
      <c r="C206" s="38"/>
      <c r="D206" s="14"/>
      <c r="E206" s="36"/>
      <c r="F206" s="36"/>
      <c r="G206" s="36"/>
      <c r="H206" s="40"/>
      <c r="I206" s="133"/>
      <c r="J206" s="134"/>
      <c r="K206" s="133"/>
      <c r="L206" s="140"/>
      <c r="M206" s="36"/>
      <c r="N206" s="36"/>
      <c r="O206" s="36"/>
      <c r="P206" s="36"/>
      <c r="Q206" s="37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133"/>
      <c r="BI206" s="133"/>
      <c r="BJ206" s="133"/>
      <c r="BK206" s="133"/>
      <c r="BL206" s="133"/>
      <c r="BM206" s="133"/>
      <c r="BN206" s="133"/>
      <c r="BO206" s="133"/>
      <c r="BP206" s="133"/>
      <c r="BQ206" s="133"/>
      <c r="BR206" s="133"/>
      <c r="BS206" s="133"/>
      <c r="BT206" s="133"/>
      <c r="BU206" s="133"/>
      <c r="BV206" s="133"/>
      <c r="BW206" s="133"/>
      <c r="BX206" s="133"/>
      <c r="BY206" s="133"/>
      <c r="BZ206" s="133"/>
      <c r="CA206" s="133"/>
      <c r="CB206" s="133"/>
      <c r="CC206" s="14"/>
    </row>
    <row r="207" ht="25.05" customHeight="1" spans="1:81">
      <c r="A207" s="133"/>
      <c r="B207" s="37"/>
      <c r="C207" s="38"/>
      <c r="D207" s="14"/>
      <c r="E207" s="36"/>
      <c r="F207" s="36"/>
      <c r="G207" s="36"/>
      <c r="H207" s="40"/>
      <c r="I207" s="133"/>
      <c r="J207" s="134"/>
      <c r="K207" s="133"/>
      <c r="L207" s="140"/>
      <c r="M207" s="36"/>
      <c r="N207" s="36"/>
      <c r="O207" s="36"/>
      <c r="P207" s="36"/>
      <c r="Q207" s="37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133"/>
      <c r="BI207" s="133"/>
      <c r="BJ207" s="133"/>
      <c r="BK207" s="133"/>
      <c r="BL207" s="133"/>
      <c r="BM207" s="133"/>
      <c r="BN207" s="133"/>
      <c r="BO207" s="133"/>
      <c r="BP207" s="133"/>
      <c r="BQ207" s="133"/>
      <c r="BR207" s="133"/>
      <c r="BS207" s="133"/>
      <c r="BT207" s="133"/>
      <c r="BU207" s="133"/>
      <c r="BV207" s="133"/>
      <c r="BW207" s="133"/>
      <c r="BX207" s="133"/>
      <c r="BY207" s="133"/>
      <c r="BZ207" s="133"/>
      <c r="CA207" s="133"/>
      <c r="CB207" s="133"/>
      <c r="CC207" s="14"/>
    </row>
    <row r="208" ht="25.05" customHeight="1" spans="1:81">
      <c r="A208" s="133"/>
      <c r="B208" s="37"/>
      <c r="C208" s="38"/>
      <c r="D208" s="14"/>
      <c r="E208" s="36"/>
      <c r="F208" s="36"/>
      <c r="G208" s="36"/>
      <c r="H208" s="40"/>
      <c r="I208" s="133"/>
      <c r="J208" s="134"/>
      <c r="K208" s="133"/>
      <c r="L208" s="140"/>
      <c r="M208" s="36"/>
      <c r="N208" s="36"/>
      <c r="O208" s="36"/>
      <c r="P208" s="36"/>
      <c r="Q208" s="37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133"/>
      <c r="BR208" s="133"/>
      <c r="BS208" s="133"/>
      <c r="BT208" s="133"/>
      <c r="BU208" s="133"/>
      <c r="BV208" s="133"/>
      <c r="BW208" s="133"/>
      <c r="BX208" s="133"/>
      <c r="BY208" s="133"/>
      <c r="BZ208" s="133"/>
      <c r="CA208" s="133"/>
      <c r="CB208" s="133"/>
      <c r="CC208" s="14"/>
    </row>
    <row r="209" ht="25.05" customHeight="1" spans="1:81">
      <c r="A209" s="133"/>
      <c r="B209" s="37"/>
      <c r="C209" s="38"/>
      <c r="D209" s="14"/>
      <c r="E209" s="36"/>
      <c r="F209" s="36"/>
      <c r="G209" s="36"/>
      <c r="H209" s="40"/>
      <c r="I209" s="133"/>
      <c r="J209" s="134"/>
      <c r="K209" s="133"/>
      <c r="L209" s="140"/>
      <c r="M209" s="36"/>
      <c r="N209" s="36"/>
      <c r="O209" s="36"/>
      <c r="P209" s="36"/>
      <c r="Q209" s="37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  <c r="BX209" s="133"/>
      <c r="BY209" s="133"/>
      <c r="BZ209" s="133"/>
      <c r="CA209" s="133"/>
      <c r="CB209" s="133"/>
      <c r="CC209" s="14"/>
    </row>
    <row r="210" ht="25.05" customHeight="1" spans="1:81">
      <c r="A210" s="133"/>
      <c r="B210" s="37"/>
      <c r="C210" s="38"/>
      <c r="D210" s="14"/>
      <c r="E210" s="36"/>
      <c r="F210" s="36"/>
      <c r="G210" s="36"/>
      <c r="H210" s="40"/>
      <c r="I210" s="133"/>
      <c r="J210" s="134"/>
      <c r="K210" s="133"/>
      <c r="L210" s="140"/>
      <c r="M210" s="36"/>
      <c r="N210" s="36"/>
      <c r="O210" s="36"/>
      <c r="P210" s="36"/>
      <c r="Q210" s="37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133"/>
      <c r="BI210" s="133"/>
      <c r="BJ210" s="133"/>
      <c r="BK210" s="133"/>
      <c r="BL210" s="133"/>
      <c r="BM210" s="133"/>
      <c r="BN210" s="133"/>
      <c r="BO210" s="133"/>
      <c r="BP210" s="133"/>
      <c r="BQ210" s="133"/>
      <c r="BR210" s="133"/>
      <c r="BS210" s="133"/>
      <c r="BT210" s="133"/>
      <c r="BU210" s="133"/>
      <c r="BV210" s="133"/>
      <c r="BW210" s="133"/>
      <c r="BX210" s="133"/>
      <c r="BY210" s="133"/>
      <c r="BZ210" s="133"/>
      <c r="CA210" s="133"/>
      <c r="CB210" s="133"/>
      <c r="CC210" s="14"/>
    </row>
    <row r="211" ht="25.05" customHeight="1" spans="1:81">
      <c r="A211" s="133"/>
      <c r="B211" s="37"/>
      <c r="C211" s="38"/>
      <c r="D211" s="14"/>
      <c r="E211" s="36"/>
      <c r="F211" s="36"/>
      <c r="G211" s="36"/>
      <c r="H211" s="40"/>
      <c r="I211" s="133"/>
      <c r="J211" s="134"/>
      <c r="K211" s="133"/>
      <c r="L211" s="140"/>
      <c r="M211" s="36"/>
      <c r="N211" s="36"/>
      <c r="O211" s="36"/>
      <c r="P211" s="36"/>
      <c r="Q211" s="37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  <c r="BX211" s="133"/>
      <c r="BY211" s="133"/>
      <c r="BZ211" s="133"/>
      <c r="CA211" s="133"/>
      <c r="CB211" s="133"/>
      <c r="CC211" s="14"/>
    </row>
    <row r="212" ht="25.05" customHeight="1" spans="1:81">
      <c r="A212" s="133"/>
      <c r="B212" s="37"/>
      <c r="C212" s="38"/>
      <c r="D212" s="14"/>
      <c r="E212" s="36"/>
      <c r="F212" s="36"/>
      <c r="G212" s="36"/>
      <c r="H212" s="40"/>
      <c r="I212" s="133"/>
      <c r="J212" s="134"/>
      <c r="K212" s="133"/>
      <c r="L212" s="140"/>
      <c r="M212" s="36"/>
      <c r="N212" s="36"/>
      <c r="O212" s="36"/>
      <c r="P212" s="36"/>
      <c r="Q212" s="37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  <c r="BX212" s="133"/>
      <c r="BY212" s="133"/>
      <c r="BZ212" s="133"/>
      <c r="CA212" s="133"/>
      <c r="CB212" s="133"/>
      <c r="CC212" s="14"/>
    </row>
    <row r="213" ht="25.05" customHeight="1" spans="1:81">
      <c r="A213" s="133"/>
      <c r="B213" s="37"/>
      <c r="C213" s="38"/>
      <c r="D213" s="14"/>
      <c r="E213" s="36"/>
      <c r="F213" s="36"/>
      <c r="G213" s="36"/>
      <c r="H213" s="40"/>
      <c r="I213" s="133"/>
      <c r="J213" s="134"/>
      <c r="K213" s="133"/>
      <c r="L213" s="140"/>
      <c r="M213" s="36"/>
      <c r="N213" s="36"/>
      <c r="O213" s="36"/>
      <c r="P213" s="36"/>
      <c r="Q213" s="37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  <c r="BX213" s="133"/>
      <c r="BY213" s="133"/>
      <c r="BZ213" s="133"/>
      <c r="CA213" s="133"/>
      <c r="CB213" s="133"/>
      <c r="CC213" s="14"/>
    </row>
    <row r="214" ht="25.05" customHeight="1" spans="1:81">
      <c r="A214" s="133"/>
      <c r="B214" s="37"/>
      <c r="C214" s="38"/>
      <c r="D214" s="14"/>
      <c r="E214" s="36"/>
      <c r="F214" s="36"/>
      <c r="G214" s="36"/>
      <c r="H214" s="40"/>
      <c r="I214" s="133"/>
      <c r="J214" s="134"/>
      <c r="K214" s="133"/>
      <c r="L214" s="140"/>
      <c r="M214" s="36"/>
      <c r="N214" s="36"/>
      <c r="O214" s="36"/>
      <c r="P214" s="36"/>
      <c r="Q214" s="37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  <c r="BX214" s="133"/>
      <c r="BY214" s="133"/>
      <c r="BZ214" s="133"/>
      <c r="CA214" s="133"/>
      <c r="CB214" s="133"/>
      <c r="CC214" s="14"/>
    </row>
    <row r="215" ht="25.05" customHeight="1" spans="1:81">
      <c r="A215" s="133"/>
      <c r="B215" s="37"/>
      <c r="C215" s="38"/>
      <c r="D215" s="14"/>
      <c r="E215" s="36"/>
      <c r="F215" s="36"/>
      <c r="G215" s="36"/>
      <c r="H215" s="40"/>
      <c r="I215" s="133"/>
      <c r="J215" s="134"/>
      <c r="K215" s="133"/>
      <c r="L215" s="140"/>
      <c r="M215" s="36"/>
      <c r="N215" s="36"/>
      <c r="O215" s="36"/>
      <c r="P215" s="36"/>
      <c r="Q215" s="37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4"/>
    </row>
    <row r="216" ht="25.05" customHeight="1" spans="1:81">
      <c r="A216" s="133"/>
      <c r="B216" s="37"/>
      <c r="C216" s="38"/>
      <c r="D216" s="14"/>
      <c r="E216" s="36"/>
      <c r="F216" s="36"/>
      <c r="G216" s="36"/>
      <c r="H216" s="40"/>
      <c r="I216" s="133"/>
      <c r="J216" s="134"/>
      <c r="K216" s="133"/>
      <c r="L216" s="140"/>
      <c r="M216" s="36"/>
      <c r="N216" s="36"/>
      <c r="O216" s="36"/>
      <c r="P216" s="36"/>
      <c r="Q216" s="37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4"/>
    </row>
    <row r="217" ht="25.05" customHeight="1" spans="1:81">
      <c r="A217" s="133"/>
      <c r="B217" s="37"/>
      <c r="C217" s="38"/>
      <c r="D217" s="14"/>
      <c r="E217" s="36"/>
      <c r="F217" s="36"/>
      <c r="G217" s="36"/>
      <c r="H217" s="40"/>
      <c r="I217" s="133"/>
      <c r="J217" s="134"/>
      <c r="K217" s="133"/>
      <c r="L217" s="140"/>
      <c r="M217" s="36"/>
      <c r="N217" s="36"/>
      <c r="O217" s="36"/>
      <c r="P217" s="36"/>
      <c r="Q217" s="37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4"/>
    </row>
    <row r="218" ht="25.05" customHeight="1" spans="1:81">
      <c r="A218" s="133"/>
      <c r="B218" s="37"/>
      <c r="C218" s="38"/>
      <c r="D218" s="14"/>
      <c r="E218" s="36"/>
      <c r="F218" s="36"/>
      <c r="G218" s="36"/>
      <c r="H218" s="40"/>
      <c r="I218" s="133"/>
      <c r="J218" s="134"/>
      <c r="K218" s="133"/>
      <c r="L218" s="140"/>
      <c r="M218" s="36"/>
      <c r="N218" s="36"/>
      <c r="O218" s="36"/>
      <c r="P218" s="36"/>
      <c r="Q218" s="37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4"/>
    </row>
    <row r="219" ht="25.05" customHeight="1" spans="1:81">
      <c r="A219" s="133"/>
      <c r="B219" s="37"/>
      <c r="C219" s="38"/>
      <c r="D219" s="14"/>
      <c r="E219" s="36"/>
      <c r="F219" s="36"/>
      <c r="G219" s="36"/>
      <c r="H219" s="40"/>
      <c r="I219" s="133"/>
      <c r="J219" s="134"/>
      <c r="K219" s="133"/>
      <c r="L219" s="140"/>
      <c r="M219" s="36"/>
      <c r="N219" s="36"/>
      <c r="O219" s="36"/>
      <c r="P219" s="36"/>
      <c r="Q219" s="37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4"/>
    </row>
    <row r="220" ht="25.05" customHeight="1" spans="1:81">
      <c r="A220" s="133"/>
      <c r="B220" s="37"/>
      <c r="C220" s="38"/>
      <c r="D220" s="14"/>
      <c r="E220" s="36"/>
      <c r="F220" s="36"/>
      <c r="G220" s="36"/>
      <c r="H220" s="40"/>
      <c r="I220" s="133"/>
      <c r="J220" s="134"/>
      <c r="K220" s="133"/>
      <c r="L220" s="140"/>
      <c r="M220" s="36"/>
      <c r="N220" s="36"/>
      <c r="O220" s="36"/>
      <c r="P220" s="36"/>
      <c r="Q220" s="37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4"/>
    </row>
    <row r="221" ht="25.05" customHeight="1" spans="1:81">
      <c r="A221" s="133"/>
      <c r="B221" s="37"/>
      <c r="C221" s="38"/>
      <c r="D221" s="14"/>
      <c r="E221" s="36"/>
      <c r="F221" s="36"/>
      <c r="G221" s="36"/>
      <c r="H221" s="40"/>
      <c r="I221" s="133"/>
      <c r="J221" s="134"/>
      <c r="K221" s="133"/>
      <c r="L221" s="140"/>
      <c r="M221" s="36"/>
      <c r="N221" s="36"/>
      <c r="O221" s="36"/>
      <c r="P221" s="36"/>
      <c r="Q221" s="37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4"/>
    </row>
    <row r="222" ht="25.05" customHeight="1" spans="1:81">
      <c r="A222" s="133"/>
      <c r="B222" s="37"/>
      <c r="C222" s="38"/>
      <c r="D222" s="14"/>
      <c r="E222" s="36"/>
      <c r="F222" s="36"/>
      <c r="G222" s="36"/>
      <c r="H222" s="40"/>
      <c r="I222" s="133"/>
      <c r="J222" s="134"/>
      <c r="K222" s="133"/>
      <c r="L222" s="140"/>
      <c r="M222" s="36"/>
      <c r="N222" s="36"/>
      <c r="O222" s="36"/>
      <c r="P222" s="36"/>
      <c r="Q222" s="37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/>
      <c r="BK222" s="133"/>
      <c r="BL222" s="133"/>
      <c r="BM222" s="133"/>
      <c r="BN222" s="133"/>
      <c r="BO222" s="133"/>
      <c r="BP222" s="133"/>
      <c r="BQ222" s="133"/>
      <c r="BR222" s="133"/>
      <c r="BS222" s="133"/>
      <c r="BT222" s="133"/>
      <c r="BU222" s="133"/>
      <c r="BV222" s="133"/>
      <c r="BW222" s="133"/>
      <c r="BX222" s="133"/>
      <c r="BY222" s="133"/>
      <c r="BZ222" s="133"/>
      <c r="CA222" s="133"/>
      <c r="CB222" s="133"/>
      <c r="CC222" s="14"/>
    </row>
    <row r="223" ht="25.05" customHeight="1" spans="1:81">
      <c r="A223" s="133"/>
      <c r="B223" s="37"/>
      <c r="C223" s="38"/>
      <c r="D223" s="14"/>
      <c r="E223" s="36"/>
      <c r="F223" s="36"/>
      <c r="G223" s="36"/>
      <c r="H223" s="40"/>
      <c r="I223" s="133"/>
      <c r="J223" s="134"/>
      <c r="K223" s="133"/>
      <c r="L223" s="140"/>
      <c r="M223" s="36"/>
      <c r="N223" s="36"/>
      <c r="O223" s="36"/>
      <c r="P223" s="36"/>
      <c r="Q223" s="37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/>
      <c r="BO223" s="133"/>
      <c r="BP223" s="133"/>
      <c r="BQ223" s="133"/>
      <c r="BR223" s="133"/>
      <c r="BS223" s="133"/>
      <c r="BT223" s="133"/>
      <c r="BU223" s="133"/>
      <c r="BV223" s="133"/>
      <c r="BW223" s="133"/>
      <c r="BX223" s="133"/>
      <c r="BY223" s="133"/>
      <c r="BZ223" s="133"/>
      <c r="CA223" s="133"/>
      <c r="CB223" s="133"/>
      <c r="CC223" s="14"/>
    </row>
    <row r="224" ht="25.05" customHeight="1" spans="1:81">
      <c r="A224" s="133"/>
      <c r="B224" s="37"/>
      <c r="C224" s="38"/>
      <c r="D224" s="14"/>
      <c r="E224" s="36"/>
      <c r="F224" s="36"/>
      <c r="G224" s="36"/>
      <c r="H224" s="40"/>
      <c r="I224" s="133"/>
      <c r="J224" s="134"/>
      <c r="K224" s="133"/>
      <c r="L224" s="140"/>
      <c r="M224" s="36"/>
      <c r="N224" s="36"/>
      <c r="O224" s="36"/>
      <c r="P224" s="36"/>
      <c r="Q224" s="37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  <c r="BX224" s="133"/>
      <c r="BY224" s="133"/>
      <c r="BZ224" s="133"/>
      <c r="CA224" s="133"/>
      <c r="CB224" s="133"/>
      <c r="CC224" s="14"/>
    </row>
    <row r="225" ht="25.05" customHeight="1" spans="1:81">
      <c r="A225" s="133"/>
      <c r="B225" s="37"/>
      <c r="C225" s="38"/>
      <c r="D225" s="14"/>
      <c r="E225" s="36"/>
      <c r="F225" s="36"/>
      <c r="G225" s="36"/>
      <c r="H225" s="40"/>
      <c r="I225" s="133"/>
      <c r="J225" s="134"/>
      <c r="K225" s="133"/>
      <c r="L225" s="140"/>
      <c r="M225" s="36"/>
      <c r="N225" s="36"/>
      <c r="O225" s="36"/>
      <c r="P225" s="36"/>
      <c r="Q225" s="37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  <c r="BX225" s="133"/>
      <c r="BY225" s="133"/>
      <c r="BZ225" s="133"/>
      <c r="CA225" s="133"/>
      <c r="CB225" s="133"/>
      <c r="CC225" s="14"/>
    </row>
    <row r="226" ht="25.05" customHeight="1" spans="1:81">
      <c r="A226" s="133"/>
      <c r="B226" s="37"/>
      <c r="C226" s="38"/>
      <c r="D226" s="14"/>
      <c r="E226" s="36"/>
      <c r="F226" s="36"/>
      <c r="G226" s="36"/>
      <c r="H226" s="40"/>
      <c r="I226" s="133"/>
      <c r="J226" s="134"/>
      <c r="K226" s="133"/>
      <c r="L226" s="140"/>
      <c r="M226" s="36"/>
      <c r="N226" s="36"/>
      <c r="O226" s="36"/>
      <c r="P226" s="36"/>
      <c r="Q226" s="37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  <c r="BX226" s="133"/>
      <c r="BY226" s="133"/>
      <c r="BZ226" s="133"/>
      <c r="CA226" s="133"/>
      <c r="CB226" s="133"/>
      <c r="CC226" s="14"/>
    </row>
    <row r="227" ht="25.05" customHeight="1" spans="1:81">
      <c r="A227" s="133"/>
      <c r="B227" s="37"/>
      <c r="C227" s="38"/>
      <c r="D227" s="14"/>
      <c r="E227" s="36"/>
      <c r="F227" s="36"/>
      <c r="G227" s="36"/>
      <c r="H227" s="40"/>
      <c r="I227" s="133"/>
      <c r="J227" s="134"/>
      <c r="K227" s="133"/>
      <c r="L227" s="140"/>
      <c r="M227" s="36"/>
      <c r="N227" s="36"/>
      <c r="O227" s="36"/>
      <c r="P227" s="36"/>
      <c r="Q227" s="37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33"/>
      <c r="BG227" s="133"/>
      <c r="BH227" s="133"/>
      <c r="BI227" s="133"/>
      <c r="BJ227" s="133"/>
      <c r="BK227" s="133"/>
      <c r="BL227" s="133"/>
      <c r="BM227" s="133"/>
      <c r="BN227" s="133"/>
      <c r="BO227" s="133"/>
      <c r="BP227" s="133"/>
      <c r="BQ227" s="133"/>
      <c r="BR227" s="133"/>
      <c r="BS227" s="133"/>
      <c r="BT227" s="133"/>
      <c r="BU227" s="133"/>
      <c r="BV227" s="133"/>
      <c r="BW227" s="133"/>
      <c r="BX227" s="133"/>
      <c r="BY227" s="133"/>
      <c r="BZ227" s="133"/>
      <c r="CA227" s="133"/>
      <c r="CB227" s="133"/>
      <c r="CC227" s="14"/>
    </row>
    <row r="228" ht="25.05" customHeight="1" spans="1:81">
      <c r="A228" s="133"/>
      <c r="B228" s="37"/>
      <c r="C228" s="38"/>
      <c r="D228" s="14"/>
      <c r="E228" s="36"/>
      <c r="F228" s="36"/>
      <c r="G228" s="36"/>
      <c r="H228" s="40"/>
      <c r="I228" s="133"/>
      <c r="J228" s="134"/>
      <c r="K228" s="133"/>
      <c r="L228" s="140"/>
      <c r="M228" s="36"/>
      <c r="N228" s="36"/>
      <c r="O228" s="36"/>
      <c r="P228" s="36"/>
      <c r="Q228" s="37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/>
      <c r="BF228" s="133"/>
      <c r="BG228" s="133"/>
      <c r="BH228" s="133"/>
      <c r="BI228" s="133"/>
      <c r="BJ228" s="133"/>
      <c r="BK228" s="133"/>
      <c r="BL228" s="133"/>
      <c r="BM228" s="133"/>
      <c r="BN228" s="133"/>
      <c r="BO228" s="133"/>
      <c r="BP228" s="133"/>
      <c r="BQ228" s="133"/>
      <c r="BR228" s="133"/>
      <c r="BS228" s="133"/>
      <c r="BT228" s="133"/>
      <c r="BU228" s="133"/>
      <c r="BV228" s="133"/>
      <c r="BW228" s="133"/>
      <c r="BX228" s="133"/>
      <c r="BY228" s="133"/>
      <c r="BZ228" s="133"/>
      <c r="CA228" s="133"/>
      <c r="CB228" s="133"/>
      <c r="CC228" s="14"/>
    </row>
    <row r="229" ht="25.05" customHeight="1" spans="1:81">
      <c r="A229" s="133"/>
      <c r="B229" s="37"/>
      <c r="C229" s="38"/>
      <c r="D229" s="14"/>
      <c r="E229" s="36"/>
      <c r="F229" s="36"/>
      <c r="G229" s="36"/>
      <c r="H229" s="40"/>
      <c r="I229" s="133"/>
      <c r="J229" s="134"/>
      <c r="K229" s="133"/>
      <c r="L229" s="140"/>
      <c r="M229" s="36"/>
      <c r="N229" s="36"/>
      <c r="O229" s="36"/>
      <c r="P229" s="36"/>
      <c r="Q229" s="37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33"/>
      <c r="BG229" s="133"/>
      <c r="BH229" s="133"/>
      <c r="BI229" s="133"/>
      <c r="BJ229" s="133"/>
      <c r="BK229" s="133"/>
      <c r="BL229" s="133"/>
      <c r="BM229" s="133"/>
      <c r="BN229" s="133"/>
      <c r="BO229" s="133"/>
      <c r="BP229" s="133"/>
      <c r="BQ229" s="133"/>
      <c r="BR229" s="133"/>
      <c r="BS229" s="133"/>
      <c r="BT229" s="133"/>
      <c r="BU229" s="133"/>
      <c r="BV229" s="133"/>
      <c r="BW229" s="133"/>
      <c r="BX229" s="133"/>
      <c r="BY229" s="133"/>
      <c r="BZ229" s="133"/>
      <c r="CA229" s="133"/>
      <c r="CB229" s="133"/>
      <c r="CC229" s="14"/>
    </row>
    <row r="230" ht="25.05" customHeight="1" spans="1:81">
      <c r="A230" s="133"/>
      <c r="B230" s="37"/>
      <c r="C230" s="38"/>
      <c r="D230" s="14"/>
      <c r="E230" s="36"/>
      <c r="F230" s="36"/>
      <c r="G230" s="36"/>
      <c r="H230" s="40"/>
      <c r="I230" s="133"/>
      <c r="J230" s="134"/>
      <c r="K230" s="133"/>
      <c r="L230" s="140"/>
      <c r="M230" s="36"/>
      <c r="N230" s="36"/>
      <c r="O230" s="36"/>
      <c r="P230" s="36"/>
      <c r="Q230" s="37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33"/>
      <c r="BG230" s="133"/>
      <c r="BH230" s="133"/>
      <c r="BI230" s="133"/>
      <c r="BJ230" s="133"/>
      <c r="BK230" s="133"/>
      <c r="BL230" s="133"/>
      <c r="BM230" s="133"/>
      <c r="BN230" s="133"/>
      <c r="BO230" s="133"/>
      <c r="BP230" s="133"/>
      <c r="BQ230" s="133"/>
      <c r="BR230" s="133"/>
      <c r="BS230" s="133"/>
      <c r="BT230" s="133"/>
      <c r="BU230" s="133"/>
      <c r="BV230" s="133"/>
      <c r="BW230" s="133"/>
      <c r="BX230" s="133"/>
      <c r="BY230" s="133"/>
      <c r="BZ230" s="133"/>
      <c r="CA230" s="133"/>
      <c r="CB230" s="133"/>
      <c r="CC230" s="14"/>
    </row>
    <row r="231" ht="25.05" customHeight="1" spans="1:81">
      <c r="A231" s="133"/>
      <c r="B231" s="37"/>
      <c r="C231" s="38"/>
      <c r="D231" s="14"/>
      <c r="E231" s="36"/>
      <c r="F231" s="36"/>
      <c r="G231" s="36"/>
      <c r="H231" s="40"/>
      <c r="I231" s="133"/>
      <c r="J231" s="134"/>
      <c r="K231" s="133"/>
      <c r="L231" s="140"/>
      <c r="M231" s="36"/>
      <c r="N231" s="36"/>
      <c r="O231" s="36"/>
      <c r="P231" s="36"/>
      <c r="Q231" s="37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33"/>
      <c r="BG231" s="133"/>
      <c r="BH231" s="133"/>
      <c r="BI231" s="133"/>
      <c r="BJ231" s="133"/>
      <c r="BK231" s="133"/>
      <c r="BL231" s="133"/>
      <c r="BM231" s="133"/>
      <c r="BN231" s="133"/>
      <c r="BO231" s="133"/>
      <c r="BP231" s="133"/>
      <c r="BQ231" s="133"/>
      <c r="BR231" s="133"/>
      <c r="BS231" s="133"/>
      <c r="BT231" s="133"/>
      <c r="BU231" s="133"/>
      <c r="BV231" s="133"/>
      <c r="BW231" s="133"/>
      <c r="BX231" s="133"/>
      <c r="BY231" s="133"/>
      <c r="BZ231" s="133"/>
      <c r="CA231" s="133"/>
      <c r="CB231" s="133"/>
      <c r="CC231" s="14"/>
    </row>
    <row r="232" ht="25.05" customHeight="1" spans="1:81">
      <c r="A232" s="133"/>
      <c r="B232" s="37"/>
      <c r="C232" s="38"/>
      <c r="D232" s="14"/>
      <c r="E232" s="36"/>
      <c r="F232" s="36"/>
      <c r="G232" s="36"/>
      <c r="H232" s="40"/>
      <c r="I232" s="133"/>
      <c r="J232" s="134"/>
      <c r="K232" s="133"/>
      <c r="L232" s="140"/>
      <c r="M232" s="36"/>
      <c r="N232" s="36"/>
      <c r="O232" s="36"/>
      <c r="P232" s="36"/>
      <c r="Q232" s="37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33"/>
      <c r="BG232" s="133"/>
      <c r="BH232" s="133"/>
      <c r="BI232" s="133"/>
      <c r="BJ232" s="133"/>
      <c r="BK232" s="133"/>
      <c r="BL232" s="133"/>
      <c r="BM232" s="133"/>
      <c r="BN232" s="133"/>
      <c r="BO232" s="133"/>
      <c r="BP232" s="133"/>
      <c r="BQ232" s="133"/>
      <c r="BR232" s="133"/>
      <c r="BS232" s="133"/>
      <c r="BT232" s="133"/>
      <c r="BU232" s="133"/>
      <c r="BV232" s="133"/>
      <c r="BW232" s="133"/>
      <c r="BX232" s="133"/>
      <c r="BY232" s="133"/>
      <c r="BZ232" s="133"/>
      <c r="CA232" s="133"/>
      <c r="CB232" s="133"/>
      <c r="CC232" s="14"/>
    </row>
    <row r="233" ht="25.05" customHeight="1" spans="1:81">
      <c r="A233" s="133"/>
      <c r="B233" s="37"/>
      <c r="C233" s="38"/>
      <c r="D233" s="14"/>
      <c r="E233" s="36"/>
      <c r="F233" s="36"/>
      <c r="G233" s="36"/>
      <c r="H233" s="40"/>
      <c r="I233" s="133"/>
      <c r="J233" s="134"/>
      <c r="K233" s="133"/>
      <c r="L233" s="140"/>
      <c r="M233" s="36"/>
      <c r="N233" s="36"/>
      <c r="O233" s="36"/>
      <c r="P233" s="36"/>
      <c r="Q233" s="37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/>
      <c r="BF233" s="133"/>
      <c r="BG233" s="133"/>
      <c r="BH233" s="133"/>
      <c r="BI233" s="133"/>
      <c r="BJ233" s="133"/>
      <c r="BK233" s="133"/>
      <c r="BL233" s="133"/>
      <c r="BM233" s="133"/>
      <c r="BN233" s="133"/>
      <c r="BO233" s="133"/>
      <c r="BP233" s="133"/>
      <c r="BQ233" s="133"/>
      <c r="BR233" s="133"/>
      <c r="BS233" s="133"/>
      <c r="BT233" s="133"/>
      <c r="BU233" s="133"/>
      <c r="BV233" s="133"/>
      <c r="BW233" s="133"/>
      <c r="BX233" s="133"/>
      <c r="BY233" s="133"/>
      <c r="BZ233" s="133"/>
      <c r="CA233" s="133"/>
      <c r="CB233" s="133"/>
      <c r="CC233" s="14"/>
    </row>
    <row r="234" ht="25.05" customHeight="1" spans="1:81">
      <c r="A234" s="133"/>
      <c r="B234" s="37"/>
      <c r="C234" s="38"/>
      <c r="D234" s="14"/>
      <c r="E234" s="36"/>
      <c r="F234" s="36"/>
      <c r="G234" s="36"/>
      <c r="H234" s="40"/>
      <c r="I234" s="133"/>
      <c r="J234" s="134"/>
      <c r="K234" s="133"/>
      <c r="L234" s="140"/>
      <c r="M234" s="36"/>
      <c r="N234" s="36"/>
      <c r="O234" s="36"/>
      <c r="P234" s="36"/>
      <c r="Q234" s="37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/>
      <c r="BF234" s="133"/>
      <c r="BG234" s="133"/>
      <c r="BH234" s="133"/>
      <c r="BI234" s="133"/>
      <c r="BJ234" s="133"/>
      <c r="BK234" s="133"/>
      <c r="BL234" s="133"/>
      <c r="BM234" s="133"/>
      <c r="BN234" s="133"/>
      <c r="BO234" s="133"/>
      <c r="BP234" s="133"/>
      <c r="BQ234" s="133"/>
      <c r="BR234" s="133"/>
      <c r="BS234" s="133"/>
      <c r="BT234" s="133"/>
      <c r="BU234" s="133"/>
      <c r="BV234" s="133"/>
      <c r="BW234" s="133"/>
      <c r="BX234" s="133"/>
      <c r="BY234" s="133"/>
      <c r="BZ234" s="133"/>
      <c r="CA234" s="133"/>
      <c r="CB234" s="133"/>
      <c r="CC234" s="14"/>
    </row>
    <row r="235" ht="25.05" customHeight="1" spans="1:81">
      <c r="A235" s="133"/>
      <c r="B235" s="37"/>
      <c r="C235" s="38"/>
      <c r="D235" s="14"/>
      <c r="E235" s="36"/>
      <c r="F235" s="36"/>
      <c r="G235" s="36"/>
      <c r="H235" s="40"/>
      <c r="I235" s="133"/>
      <c r="J235" s="134"/>
      <c r="K235" s="133"/>
      <c r="L235" s="140"/>
      <c r="M235" s="36"/>
      <c r="N235" s="36"/>
      <c r="O235" s="36"/>
      <c r="P235" s="36"/>
      <c r="Q235" s="37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  <c r="AY235" s="133"/>
      <c r="AZ235" s="133"/>
      <c r="BA235" s="133"/>
      <c r="BB235" s="133"/>
      <c r="BC235" s="133"/>
      <c r="BD235" s="133"/>
      <c r="BE235" s="133"/>
      <c r="BF235" s="133"/>
      <c r="BG235" s="133"/>
      <c r="BH235" s="133"/>
      <c r="BI235" s="133"/>
      <c r="BJ235" s="133"/>
      <c r="BK235" s="133"/>
      <c r="BL235" s="133"/>
      <c r="BM235" s="133"/>
      <c r="BN235" s="133"/>
      <c r="BO235" s="133"/>
      <c r="BP235" s="133"/>
      <c r="BQ235" s="133"/>
      <c r="BR235" s="133"/>
      <c r="BS235" s="133"/>
      <c r="BT235" s="133"/>
      <c r="BU235" s="133"/>
      <c r="BV235" s="133"/>
      <c r="BW235" s="133"/>
      <c r="BX235" s="133"/>
      <c r="BY235" s="133"/>
      <c r="BZ235" s="133"/>
      <c r="CA235" s="133"/>
      <c r="CB235" s="133"/>
      <c r="CC235" s="14"/>
    </row>
    <row r="236" ht="25.05" customHeight="1" spans="1:81">
      <c r="A236" s="133"/>
      <c r="B236" s="37"/>
      <c r="C236" s="38"/>
      <c r="D236" s="14"/>
      <c r="E236" s="36"/>
      <c r="F236" s="36"/>
      <c r="G236" s="36"/>
      <c r="H236" s="40"/>
      <c r="I236" s="133"/>
      <c r="J236" s="134"/>
      <c r="K236" s="133"/>
      <c r="L236" s="140"/>
      <c r="M236" s="36"/>
      <c r="N236" s="36"/>
      <c r="O236" s="36"/>
      <c r="P236" s="36"/>
      <c r="Q236" s="37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/>
      <c r="BF236" s="133"/>
      <c r="BG236" s="133"/>
      <c r="BH236" s="133"/>
      <c r="BI236" s="133"/>
      <c r="BJ236" s="133"/>
      <c r="BK236" s="133"/>
      <c r="BL236" s="133"/>
      <c r="BM236" s="133"/>
      <c r="BN236" s="133"/>
      <c r="BO236" s="133"/>
      <c r="BP236" s="133"/>
      <c r="BQ236" s="133"/>
      <c r="BR236" s="133"/>
      <c r="BS236" s="133"/>
      <c r="BT236" s="133"/>
      <c r="BU236" s="133"/>
      <c r="BV236" s="133"/>
      <c r="BW236" s="133"/>
      <c r="BX236" s="133"/>
      <c r="BY236" s="133"/>
      <c r="BZ236" s="133"/>
      <c r="CA236" s="133"/>
      <c r="CB236" s="133"/>
      <c r="CC236" s="14"/>
    </row>
    <row r="237" ht="25.05" customHeight="1" spans="1:81">
      <c r="A237" s="133"/>
      <c r="B237" s="37"/>
      <c r="C237" s="38"/>
      <c r="D237" s="14"/>
      <c r="E237" s="36"/>
      <c r="F237" s="36"/>
      <c r="G237" s="36"/>
      <c r="H237" s="40"/>
      <c r="I237" s="133"/>
      <c r="J237" s="134"/>
      <c r="K237" s="133"/>
      <c r="L237" s="140"/>
      <c r="M237" s="36"/>
      <c r="N237" s="36"/>
      <c r="O237" s="36"/>
      <c r="P237" s="36"/>
      <c r="Q237" s="37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33"/>
      <c r="BG237" s="133"/>
      <c r="BH237" s="133"/>
      <c r="BI237" s="133"/>
      <c r="BJ237" s="133"/>
      <c r="BK237" s="133"/>
      <c r="BL237" s="133"/>
      <c r="BM237" s="133"/>
      <c r="BN237" s="133"/>
      <c r="BO237" s="133"/>
      <c r="BP237" s="133"/>
      <c r="BQ237" s="133"/>
      <c r="BR237" s="133"/>
      <c r="BS237" s="133"/>
      <c r="BT237" s="133"/>
      <c r="BU237" s="133"/>
      <c r="BV237" s="133"/>
      <c r="BW237" s="133"/>
      <c r="BX237" s="133"/>
      <c r="BY237" s="133"/>
      <c r="BZ237" s="133"/>
      <c r="CA237" s="133"/>
      <c r="CB237" s="133"/>
      <c r="CC237" s="14"/>
    </row>
    <row r="238" ht="25.05" customHeight="1" spans="1:81">
      <c r="A238" s="133"/>
      <c r="B238" s="37"/>
      <c r="C238" s="38"/>
      <c r="D238" s="14"/>
      <c r="E238" s="36"/>
      <c r="F238" s="36"/>
      <c r="G238" s="36"/>
      <c r="H238" s="40"/>
      <c r="I238" s="133"/>
      <c r="J238" s="134"/>
      <c r="K238" s="133"/>
      <c r="L238" s="140"/>
      <c r="M238" s="36"/>
      <c r="N238" s="36"/>
      <c r="O238" s="36"/>
      <c r="P238" s="36"/>
      <c r="Q238" s="37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33"/>
      <c r="BG238" s="133"/>
      <c r="BH238" s="133"/>
      <c r="BI238" s="133"/>
      <c r="BJ238" s="133"/>
      <c r="BK238" s="133"/>
      <c r="BL238" s="133"/>
      <c r="BM238" s="133"/>
      <c r="BN238" s="133"/>
      <c r="BO238" s="133"/>
      <c r="BP238" s="133"/>
      <c r="BQ238" s="133"/>
      <c r="BR238" s="133"/>
      <c r="BS238" s="133"/>
      <c r="BT238" s="133"/>
      <c r="BU238" s="133"/>
      <c r="BV238" s="133"/>
      <c r="BW238" s="133"/>
      <c r="BX238" s="133"/>
      <c r="BY238" s="133"/>
      <c r="BZ238" s="133"/>
      <c r="CA238" s="133"/>
      <c r="CB238" s="133"/>
      <c r="CC238" s="14"/>
    </row>
    <row r="239" ht="25.05" customHeight="1" spans="1:81">
      <c r="A239" s="133"/>
      <c r="B239" s="37"/>
      <c r="C239" s="38"/>
      <c r="D239" s="14"/>
      <c r="E239" s="36"/>
      <c r="F239" s="36"/>
      <c r="G239" s="36"/>
      <c r="H239" s="40"/>
      <c r="I239" s="133"/>
      <c r="J239" s="134"/>
      <c r="K239" s="133"/>
      <c r="L239" s="140"/>
      <c r="M239" s="36"/>
      <c r="N239" s="36"/>
      <c r="O239" s="36"/>
      <c r="P239" s="36"/>
      <c r="Q239" s="37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33"/>
      <c r="BG239" s="133"/>
      <c r="BH239" s="133"/>
      <c r="BI239" s="133"/>
      <c r="BJ239" s="133"/>
      <c r="BK239" s="133"/>
      <c r="BL239" s="133"/>
      <c r="BM239" s="133"/>
      <c r="BN239" s="133"/>
      <c r="BO239" s="133"/>
      <c r="BP239" s="133"/>
      <c r="BQ239" s="133"/>
      <c r="BR239" s="133"/>
      <c r="BS239" s="133"/>
      <c r="BT239" s="133"/>
      <c r="BU239" s="133"/>
      <c r="BV239" s="133"/>
      <c r="BW239" s="133"/>
      <c r="BX239" s="133"/>
      <c r="BY239" s="133"/>
      <c r="BZ239" s="133"/>
      <c r="CA239" s="133"/>
      <c r="CB239" s="133"/>
      <c r="CC239" s="14"/>
    </row>
    <row r="240" ht="25.05" customHeight="1" spans="1:81">
      <c r="A240" s="133"/>
      <c r="B240" s="37"/>
      <c r="C240" s="38"/>
      <c r="D240" s="14"/>
      <c r="E240" s="36"/>
      <c r="F240" s="36"/>
      <c r="G240" s="36"/>
      <c r="H240" s="40"/>
      <c r="I240" s="133"/>
      <c r="J240" s="134"/>
      <c r="K240" s="133"/>
      <c r="L240" s="140"/>
      <c r="M240" s="36"/>
      <c r="N240" s="36"/>
      <c r="O240" s="36"/>
      <c r="P240" s="36"/>
      <c r="Q240" s="37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33"/>
      <c r="BG240" s="133"/>
      <c r="BH240" s="133"/>
      <c r="BI240" s="133"/>
      <c r="BJ240" s="133"/>
      <c r="BK240" s="133"/>
      <c r="BL240" s="133"/>
      <c r="BM240" s="133"/>
      <c r="BN240" s="133"/>
      <c r="BO240" s="133"/>
      <c r="BP240" s="133"/>
      <c r="BQ240" s="133"/>
      <c r="BR240" s="133"/>
      <c r="BS240" s="133"/>
      <c r="BT240" s="133"/>
      <c r="BU240" s="133"/>
      <c r="BV240" s="133"/>
      <c r="BW240" s="133"/>
      <c r="BX240" s="133"/>
      <c r="BY240" s="133"/>
      <c r="BZ240" s="133"/>
      <c r="CA240" s="133"/>
      <c r="CB240" s="133"/>
      <c r="CC240" s="14"/>
    </row>
    <row r="241" ht="25.05" customHeight="1" spans="1:81">
      <c r="A241" s="133"/>
      <c r="B241" s="37"/>
      <c r="C241" s="38"/>
      <c r="D241" s="14"/>
      <c r="E241" s="36"/>
      <c r="F241" s="36"/>
      <c r="G241" s="36"/>
      <c r="H241" s="40"/>
      <c r="I241" s="133"/>
      <c r="J241" s="134"/>
      <c r="K241" s="133"/>
      <c r="L241" s="140"/>
      <c r="M241" s="36"/>
      <c r="N241" s="36"/>
      <c r="O241" s="36"/>
      <c r="P241" s="36"/>
      <c r="Q241" s="37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33"/>
      <c r="BG241" s="133"/>
      <c r="BH241" s="133"/>
      <c r="BI241" s="133"/>
      <c r="BJ241" s="133"/>
      <c r="BK241" s="133"/>
      <c r="BL241" s="133"/>
      <c r="BM241" s="133"/>
      <c r="BN241" s="133"/>
      <c r="BO241" s="133"/>
      <c r="BP241" s="133"/>
      <c r="BQ241" s="133"/>
      <c r="BR241" s="133"/>
      <c r="BS241" s="133"/>
      <c r="BT241" s="133"/>
      <c r="BU241" s="133"/>
      <c r="BV241" s="133"/>
      <c r="BW241" s="133"/>
      <c r="BX241" s="133"/>
      <c r="BY241" s="133"/>
      <c r="BZ241" s="133"/>
      <c r="CA241" s="133"/>
      <c r="CB241" s="133"/>
      <c r="CC241" s="14"/>
    </row>
    <row r="242" ht="25.05" customHeight="1" spans="1:81">
      <c r="A242" s="133"/>
      <c r="B242" s="37"/>
      <c r="C242" s="38"/>
      <c r="D242" s="14"/>
      <c r="E242" s="36"/>
      <c r="F242" s="36"/>
      <c r="G242" s="36"/>
      <c r="H242" s="40"/>
      <c r="I242" s="133"/>
      <c r="J242" s="134"/>
      <c r="K242" s="133"/>
      <c r="L242" s="140"/>
      <c r="M242" s="36"/>
      <c r="N242" s="36"/>
      <c r="O242" s="36"/>
      <c r="P242" s="36"/>
      <c r="Q242" s="37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33"/>
      <c r="BG242" s="133"/>
      <c r="BH242" s="133"/>
      <c r="BI242" s="133"/>
      <c r="BJ242" s="133"/>
      <c r="BK242" s="133"/>
      <c r="BL242" s="133"/>
      <c r="BM242" s="133"/>
      <c r="BN242" s="133"/>
      <c r="BO242" s="133"/>
      <c r="BP242" s="133"/>
      <c r="BQ242" s="133"/>
      <c r="BR242" s="133"/>
      <c r="BS242" s="133"/>
      <c r="BT242" s="133"/>
      <c r="BU242" s="133"/>
      <c r="BV242" s="133"/>
      <c r="BW242" s="133"/>
      <c r="BX242" s="133"/>
      <c r="BY242" s="133"/>
      <c r="BZ242" s="133"/>
      <c r="CA242" s="133"/>
      <c r="CB242" s="133"/>
      <c r="CC242" s="14"/>
    </row>
    <row r="243" ht="25.05" customHeight="1" spans="1:81">
      <c r="A243" s="133"/>
      <c r="B243" s="37"/>
      <c r="C243" s="38"/>
      <c r="D243" s="14"/>
      <c r="E243" s="36"/>
      <c r="F243" s="36"/>
      <c r="G243" s="36"/>
      <c r="H243" s="40"/>
      <c r="I243" s="133"/>
      <c r="J243" s="134"/>
      <c r="K243" s="133"/>
      <c r="L243" s="140"/>
      <c r="M243" s="36"/>
      <c r="N243" s="36"/>
      <c r="O243" s="36"/>
      <c r="P243" s="36"/>
      <c r="Q243" s="37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33"/>
      <c r="BG243" s="133"/>
      <c r="BH243" s="133"/>
      <c r="BI243" s="133"/>
      <c r="BJ243" s="133"/>
      <c r="BK243" s="133"/>
      <c r="BL243" s="133"/>
      <c r="BM243" s="133"/>
      <c r="BN243" s="133"/>
      <c r="BO243" s="133"/>
      <c r="BP243" s="133"/>
      <c r="BQ243" s="133"/>
      <c r="BR243" s="133"/>
      <c r="BS243" s="133"/>
      <c r="BT243" s="133"/>
      <c r="BU243" s="133"/>
      <c r="BV243" s="133"/>
      <c r="BW243" s="133"/>
      <c r="BX243" s="133"/>
      <c r="BY243" s="133"/>
      <c r="BZ243" s="133"/>
      <c r="CA243" s="133"/>
      <c r="CB243" s="133"/>
      <c r="CC243" s="14"/>
    </row>
    <row r="244" ht="25.05" customHeight="1" spans="1:81">
      <c r="A244" s="133"/>
      <c r="B244" s="37"/>
      <c r="C244" s="38"/>
      <c r="D244" s="14"/>
      <c r="E244" s="36"/>
      <c r="F244" s="36"/>
      <c r="G244" s="36"/>
      <c r="H244" s="40"/>
      <c r="I244" s="133"/>
      <c r="J244" s="134"/>
      <c r="K244" s="133"/>
      <c r="L244" s="140"/>
      <c r="M244" s="36"/>
      <c r="N244" s="36"/>
      <c r="O244" s="36"/>
      <c r="P244" s="36"/>
      <c r="Q244" s="37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33"/>
      <c r="BG244" s="133"/>
      <c r="BH244" s="133"/>
      <c r="BI244" s="133"/>
      <c r="BJ244" s="133"/>
      <c r="BK244" s="133"/>
      <c r="BL244" s="133"/>
      <c r="BM244" s="133"/>
      <c r="BN244" s="133"/>
      <c r="BO244" s="133"/>
      <c r="BP244" s="133"/>
      <c r="BQ244" s="133"/>
      <c r="BR244" s="133"/>
      <c r="BS244" s="133"/>
      <c r="BT244" s="133"/>
      <c r="BU244" s="133"/>
      <c r="BV244" s="133"/>
      <c r="BW244" s="133"/>
      <c r="BX244" s="133"/>
      <c r="BY244" s="133"/>
      <c r="BZ244" s="133"/>
      <c r="CA244" s="133"/>
      <c r="CB244" s="133"/>
      <c r="CC244" s="14"/>
    </row>
    <row r="245" ht="25.05" customHeight="1" spans="1:81">
      <c r="A245" s="133"/>
      <c r="B245" s="37"/>
      <c r="C245" s="38"/>
      <c r="D245" s="14"/>
      <c r="E245" s="36"/>
      <c r="F245" s="36"/>
      <c r="G245" s="36"/>
      <c r="H245" s="40"/>
      <c r="I245" s="133"/>
      <c r="J245" s="134"/>
      <c r="K245" s="133"/>
      <c r="L245" s="140"/>
      <c r="M245" s="36"/>
      <c r="N245" s="36"/>
      <c r="O245" s="36"/>
      <c r="P245" s="36"/>
      <c r="Q245" s="37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33"/>
      <c r="BG245" s="133"/>
      <c r="BH245" s="133"/>
      <c r="BI245" s="133"/>
      <c r="BJ245" s="133"/>
      <c r="BK245" s="133"/>
      <c r="BL245" s="133"/>
      <c r="BM245" s="133"/>
      <c r="BN245" s="133"/>
      <c r="BO245" s="133"/>
      <c r="BP245" s="133"/>
      <c r="BQ245" s="133"/>
      <c r="BR245" s="133"/>
      <c r="BS245" s="133"/>
      <c r="BT245" s="133"/>
      <c r="BU245" s="133"/>
      <c r="BV245" s="133"/>
      <c r="BW245" s="133"/>
      <c r="BX245" s="133"/>
      <c r="BY245" s="133"/>
      <c r="BZ245" s="133"/>
      <c r="CA245" s="133"/>
      <c r="CB245" s="133"/>
      <c r="CC245" s="14"/>
    </row>
    <row r="246" ht="25.05" customHeight="1" spans="1:81">
      <c r="A246" s="133"/>
      <c r="B246" s="37"/>
      <c r="C246" s="38"/>
      <c r="D246" s="14"/>
      <c r="E246" s="36"/>
      <c r="F246" s="36"/>
      <c r="G246" s="36"/>
      <c r="H246" s="40"/>
      <c r="I246" s="133"/>
      <c r="J246" s="134"/>
      <c r="K246" s="133"/>
      <c r="L246" s="140"/>
      <c r="M246" s="36"/>
      <c r="N246" s="36"/>
      <c r="O246" s="36"/>
      <c r="P246" s="36"/>
      <c r="Q246" s="37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/>
      <c r="BF246" s="133"/>
      <c r="BG246" s="133"/>
      <c r="BH246" s="133"/>
      <c r="BI246" s="133"/>
      <c r="BJ246" s="133"/>
      <c r="BK246" s="133"/>
      <c r="BL246" s="133"/>
      <c r="BM246" s="133"/>
      <c r="BN246" s="133"/>
      <c r="BO246" s="133"/>
      <c r="BP246" s="133"/>
      <c r="BQ246" s="133"/>
      <c r="BR246" s="133"/>
      <c r="BS246" s="133"/>
      <c r="BT246" s="133"/>
      <c r="BU246" s="133"/>
      <c r="BV246" s="133"/>
      <c r="BW246" s="133"/>
      <c r="BX246" s="133"/>
      <c r="BY246" s="133"/>
      <c r="BZ246" s="133"/>
      <c r="CA246" s="133"/>
      <c r="CB246" s="133"/>
      <c r="CC246" s="14"/>
    </row>
    <row r="247" ht="25.05" customHeight="1" spans="1:81">
      <c r="A247" s="133"/>
      <c r="B247" s="37"/>
      <c r="C247" s="38"/>
      <c r="D247" s="14"/>
      <c r="E247" s="36"/>
      <c r="F247" s="36"/>
      <c r="G247" s="36"/>
      <c r="H247" s="40"/>
      <c r="I247" s="133"/>
      <c r="J247" s="134"/>
      <c r="K247" s="133"/>
      <c r="L247" s="140"/>
      <c r="M247" s="36"/>
      <c r="N247" s="36"/>
      <c r="O247" s="36"/>
      <c r="P247" s="36"/>
      <c r="Q247" s="37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/>
      <c r="BF247" s="133"/>
      <c r="BG247" s="133"/>
      <c r="BH247" s="133"/>
      <c r="BI247" s="133"/>
      <c r="BJ247" s="133"/>
      <c r="BK247" s="133"/>
      <c r="BL247" s="133"/>
      <c r="BM247" s="133"/>
      <c r="BN247" s="133"/>
      <c r="BO247" s="133"/>
      <c r="BP247" s="133"/>
      <c r="BQ247" s="133"/>
      <c r="BR247" s="133"/>
      <c r="BS247" s="133"/>
      <c r="BT247" s="133"/>
      <c r="BU247" s="133"/>
      <c r="BV247" s="133"/>
      <c r="BW247" s="133"/>
      <c r="BX247" s="133"/>
      <c r="BY247" s="133"/>
      <c r="BZ247" s="133"/>
      <c r="CA247" s="133"/>
      <c r="CB247" s="133"/>
      <c r="CC247" s="14"/>
    </row>
    <row r="248" ht="25.05" customHeight="1" spans="1:81">
      <c r="A248" s="133"/>
      <c r="B248" s="37"/>
      <c r="C248" s="38"/>
      <c r="D248" s="14"/>
      <c r="E248" s="36"/>
      <c r="F248" s="36"/>
      <c r="G248" s="36"/>
      <c r="H248" s="40"/>
      <c r="I248" s="133"/>
      <c r="J248" s="134"/>
      <c r="K248" s="133"/>
      <c r="L248" s="140"/>
      <c r="M248" s="36"/>
      <c r="N248" s="36"/>
      <c r="O248" s="36"/>
      <c r="P248" s="36"/>
      <c r="Q248" s="37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33"/>
      <c r="BG248" s="133"/>
      <c r="BH248" s="133"/>
      <c r="BI248" s="133"/>
      <c r="BJ248" s="133"/>
      <c r="BK248" s="133"/>
      <c r="BL248" s="133"/>
      <c r="BM248" s="133"/>
      <c r="BN248" s="133"/>
      <c r="BO248" s="133"/>
      <c r="BP248" s="133"/>
      <c r="BQ248" s="133"/>
      <c r="BR248" s="133"/>
      <c r="BS248" s="133"/>
      <c r="BT248" s="133"/>
      <c r="BU248" s="133"/>
      <c r="BV248" s="133"/>
      <c r="BW248" s="133"/>
      <c r="BX248" s="133"/>
      <c r="BY248" s="133"/>
      <c r="BZ248" s="133"/>
      <c r="CA248" s="133"/>
      <c r="CB248" s="133"/>
      <c r="CC248" s="14"/>
    </row>
    <row r="249" ht="25.05" customHeight="1" spans="1:81">
      <c r="A249" s="133"/>
      <c r="B249" s="37"/>
      <c r="C249" s="38"/>
      <c r="D249" s="14"/>
      <c r="E249" s="36"/>
      <c r="F249" s="36"/>
      <c r="G249" s="36"/>
      <c r="H249" s="40"/>
      <c r="I249" s="133"/>
      <c r="J249" s="134"/>
      <c r="K249" s="133"/>
      <c r="L249" s="140"/>
      <c r="M249" s="36"/>
      <c r="N249" s="36"/>
      <c r="O249" s="36"/>
      <c r="P249" s="36"/>
      <c r="Q249" s="37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33"/>
      <c r="BG249" s="133"/>
      <c r="BH249" s="133"/>
      <c r="BI249" s="133"/>
      <c r="BJ249" s="133"/>
      <c r="BK249" s="133"/>
      <c r="BL249" s="133"/>
      <c r="BM249" s="133"/>
      <c r="BN249" s="133"/>
      <c r="BO249" s="133"/>
      <c r="BP249" s="133"/>
      <c r="BQ249" s="133"/>
      <c r="BR249" s="133"/>
      <c r="BS249" s="133"/>
      <c r="BT249" s="133"/>
      <c r="BU249" s="133"/>
      <c r="BV249" s="133"/>
      <c r="BW249" s="133"/>
      <c r="BX249" s="133"/>
      <c r="BY249" s="133"/>
      <c r="BZ249" s="133"/>
      <c r="CA249" s="133"/>
      <c r="CB249" s="133"/>
      <c r="CC249" s="14"/>
    </row>
    <row r="250" ht="25.05" customHeight="1" spans="1:81">
      <c r="A250" s="133"/>
      <c r="B250" s="37"/>
      <c r="C250" s="38"/>
      <c r="D250" s="14"/>
      <c r="E250" s="36"/>
      <c r="F250" s="36"/>
      <c r="G250" s="36"/>
      <c r="H250" s="40"/>
      <c r="I250" s="133"/>
      <c r="J250" s="134"/>
      <c r="K250" s="133"/>
      <c r="L250" s="140"/>
      <c r="M250" s="36"/>
      <c r="N250" s="36"/>
      <c r="O250" s="36"/>
      <c r="P250" s="36"/>
      <c r="Q250" s="37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33"/>
      <c r="BG250" s="133"/>
      <c r="BH250" s="133"/>
      <c r="BI250" s="133"/>
      <c r="BJ250" s="133"/>
      <c r="BK250" s="133"/>
      <c r="BL250" s="133"/>
      <c r="BM250" s="133"/>
      <c r="BN250" s="133"/>
      <c r="BO250" s="133"/>
      <c r="BP250" s="133"/>
      <c r="BQ250" s="133"/>
      <c r="BR250" s="133"/>
      <c r="BS250" s="133"/>
      <c r="BT250" s="133"/>
      <c r="BU250" s="133"/>
      <c r="BV250" s="133"/>
      <c r="BW250" s="133"/>
      <c r="BX250" s="133"/>
      <c r="BY250" s="133"/>
      <c r="BZ250" s="133"/>
      <c r="CA250" s="133"/>
      <c r="CB250" s="133"/>
      <c r="CC250" s="14"/>
    </row>
    <row r="251" ht="25.05" customHeight="1" spans="1:81">
      <c r="A251" s="133"/>
      <c r="B251" s="37"/>
      <c r="C251" s="38"/>
      <c r="D251" s="14"/>
      <c r="E251" s="36"/>
      <c r="F251" s="36"/>
      <c r="G251" s="36"/>
      <c r="H251" s="40"/>
      <c r="I251" s="133"/>
      <c r="J251" s="134"/>
      <c r="K251" s="133"/>
      <c r="L251" s="140"/>
      <c r="M251" s="36"/>
      <c r="N251" s="36"/>
      <c r="O251" s="36"/>
      <c r="P251" s="36"/>
      <c r="Q251" s="37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33"/>
      <c r="BG251" s="133"/>
      <c r="BH251" s="133"/>
      <c r="BI251" s="133"/>
      <c r="BJ251" s="133"/>
      <c r="BK251" s="133"/>
      <c r="BL251" s="133"/>
      <c r="BM251" s="133"/>
      <c r="BN251" s="133"/>
      <c r="BO251" s="133"/>
      <c r="BP251" s="133"/>
      <c r="BQ251" s="133"/>
      <c r="BR251" s="133"/>
      <c r="BS251" s="133"/>
      <c r="BT251" s="133"/>
      <c r="BU251" s="133"/>
      <c r="BV251" s="133"/>
      <c r="BW251" s="133"/>
      <c r="BX251" s="133"/>
      <c r="BY251" s="133"/>
      <c r="BZ251" s="133"/>
      <c r="CA251" s="133"/>
      <c r="CB251" s="133"/>
      <c r="CC251" s="14"/>
    </row>
    <row r="252" ht="25.05" customHeight="1" spans="1:81">
      <c r="A252" s="133"/>
      <c r="B252" s="37"/>
      <c r="C252" s="38"/>
      <c r="D252" s="14"/>
      <c r="E252" s="36"/>
      <c r="F252" s="36"/>
      <c r="G252" s="36"/>
      <c r="H252" s="40"/>
      <c r="I252" s="133"/>
      <c r="J252" s="134"/>
      <c r="K252" s="133"/>
      <c r="L252" s="140"/>
      <c r="M252" s="36"/>
      <c r="N252" s="36"/>
      <c r="O252" s="36"/>
      <c r="P252" s="36"/>
      <c r="Q252" s="37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/>
      <c r="BF252" s="133"/>
      <c r="BG252" s="133"/>
      <c r="BH252" s="133"/>
      <c r="BI252" s="133"/>
      <c r="BJ252" s="133"/>
      <c r="BK252" s="133"/>
      <c r="BL252" s="133"/>
      <c r="BM252" s="133"/>
      <c r="BN252" s="133"/>
      <c r="BO252" s="133"/>
      <c r="BP252" s="133"/>
      <c r="BQ252" s="133"/>
      <c r="BR252" s="133"/>
      <c r="BS252" s="133"/>
      <c r="BT252" s="133"/>
      <c r="BU252" s="133"/>
      <c r="BV252" s="133"/>
      <c r="BW252" s="133"/>
      <c r="BX252" s="133"/>
      <c r="BY252" s="133"/>
      <c r="BZ252" s="133"/>
      <c r="CA252" s="133"/>
      <c r="CB252" s="133"/>
      <c r="CC252" s="14"/>
    </row>
    <row r="253" ht="25.05" customHeight="1" spans="1:81">
      <c r="A253" s="133"/>
      <c r="B253" s="37"/>
      <c r="C253" s="38"/>
      <c r="D253" s="14"/>
      <c r="E253" s="36"/>
      <c r="F253" s="36"/>
      <c r="G253" s="36"/>
      <c r="H253" s="40"/>
      <c r="I253" s="133"/>
      <c r="J253" s="134"/>
      <c r="K253" s="133"/>
      <c r="L253" s="140"/>
      <c r="M253" s="36"/>
      <c r="N253" s="36"/>
      <c r="O253" s="36"/>
      <c r="P253" s="36"/>
      <c r="Q253" s="37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/>
      <c r="BF253" s="133"/>
      <c r="BG253" s="133"/>
      <c r="BH253" s="133"/>
      <c r="BI253" s="133"/>
      <c r="BJ253" s="133"/>
      <c r="BK253" s="133"/>
      <c r="BL253" s="133"/>
      <c r="BM253" s="133"/>
      <c r="BN253" s="133"/>
      <c r="BO253" s="133"/>
      <c r="BP253" s="133"/>
      <c r="BQ253" s="133"/>
      <c r="BR253" s="133"/>
      <c r="BS253" s="133"/>
      <c r="BT253" s="133"/>
      <c r="BU253" s="133"/>
      <c r="BV253" s="133"/>
      <c r="BW253" s="133"/>
      <c r="BX253" s="133"/>
      <c r="BY253" s="133"/>
      <c r="BZ253" s="133"/>
      <c r="CA253" s="133"/>
      <c r="CB253" s="133"/>
      <c r="CC253" s="14"/>
    </row>
    <row r="254" ht="25.05" customHeight="1" spans="1:81">
      <c r="A254" s="133"/>
      <c r="B254" s="37"/>
      <c r="C254" s="38"/>
      <c r="D254" s="14"/>
      <c r="E254" s="36"/>
      <c r="F254" s="36"/>
      <c r="G254" s="36"/>
      <c r="H254" s="40"/>
      <c r="I254" s="133"/>
      <c r="J254" s="134"/>
      <c r="K254" s="133"/>
      <c r="L254" s="140"/>
      <c r="M254" s="36"/>
      <c r="N254" s="36"/>
      <c r="O254" s="36"/>
      <c r="P254" s="36"/>
      <c r="Q254" s="37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33"/>
      <c r="BG254" s="133"/>
      <c r="BH254" s="133"/>
      <c r="BI254" s="133"/>
      <c r="BJ254" s="133"/>
      <c r="BK254" s="133"/>
      <c r="BL254" s="133"/>
      <c r="BM254" s="133"/>
      <c r="BN254" s="133"/>
      <c r="BO254" s="133"/>
      <c r="BP254" s="133"/>
      <c r="BQ254" s="133"/>
      <c r="BR254" s="133"/>
      <c r="BS254" s="133"/>
      <c r="BT254" s="133"/>
      <c r="BU254" s="133"/>
      <c r="BV254" s="133"/>
      <c r="BW254" s="133"/>
      <c r="BX254" s="133"/>
      <c r="BY254" s="133"/>
      <c r="BZ254" s="133"/>
      <c r="CA254" s="133"/>
      <c r="CB254" s="133"/>
      <c r="CC254" s="14"/>
    </row>
    <row r="255" ht="25.05" customHeight="1" spans="1:81">
      <c r="A255" s="133"/>
      <c r="B255" s="37"/>
      <c r="C255" s="38"/>
      <c r="D255" s="14"/>
      <c r="E255" s="36"/>
      <c r="F255" s="36"/>
      <c r="G255" s="36"/>
      <c r="H255" s="40"/>
      <c r="I255" s="133"/>
      <c r="J255" s="134"/>
      <c r="K255" s="133"/>
      <c r="L255" s="140"/>
      <c r="M255" s="36"/>
      <c r="N255" s="36"/>
      <c r="O255" s="36"/>
      <c r="P255" s="36"/>
      <c r="Q255" s="37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33"/>
      <c r="BG255" s="133"/>
      <c r="BH255" s="133"/>
      <c r="BI255" s="133"/>
      <c r="BJ255" s="133"/>
      <c r="BK255" s="133"/>
      <c r="BL255" s="133"/>
      <c r="BM255" s="133"/>
      <c r="BN255" s="133"/>
      <c r="BO255" s="133"/>
      <c r="BP255" s="133"/>
      <c r="BQ255" s="133"/>
      <c r="BR255" s="133"/>
      <c r="BS255" s="133"/>
      <c r="BT255" s="133"/>
      <c r="BU255" s="133"/>
      <c r="BV255" s="133"/>
      <c r="BW255" s="133"/>
      <c r="BX255" s="133"/>
      <c r="BY255" s="133"/>
      <c r="BZ255" s="133"/>
      <c r="CA255" s="133"/>
      <c r="CB255" s="133"/>
      <c r="CC255" s="14"/>
    </row>
    <row r="256" ht="25.05" customHeight="1" spans="1:81">
      <c r="A256" s="133"/>
      <c r="B256" s="37"/>
      <c r="C256" s="38"/>
      <c r="D256" s="14"/>
      <c r="E256" s="36"/>
      <c r="F256" s="36"/>
      <c r="G256" s="36"/>
      <c r="H256" s="40"/>
      <c r="I256" s="133"/>
      <c r="J256" s="134"/>
      <c r="K256" s="133"/>
      <c r="L256" s="140"/>
      <c r="M256" s="36"/>
      <c r="N256" s="36"/>
      <c r="O256" s="36"/>
      <c r="P256" s="36"/>
      <c r="Q256" s="37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33"/>
      <c r="BG256" s="133"/>
      <c r="BH256" s="133"/>
      <c r="BI256" s="133"/>
      <c r="BJ256" s="133"/>
      <c r="BK256" s="133"/>
      <c r="BL256" s="133"/>
      <c r="BM256" s="133"/>
      <c r="BN256" s="133"/>
      <c r="BO256" s="133"/>
      <c r="BP256" s="133"/>
      <c r="BQ256" s="133"/>
      <c r="BR256" s="133"/>
      <c r="BS256" s="133"/>
      <c r="BT256" s="133"/>
      <c r="BU256" s="133"/>
      <c r="BV256" s="133"/>
      <c r="BW256" s="133"/>
      <c r="BX256" s="133"/>
      <c r="BY256" s="133"/>
      <c r="BZ256" s="133"/>
      <c r="CA256" s="133"/>
      <c r="CB256" s="133"/>
      <c r="CC256" s="14"/>
    </row>
    <row r="257" ht="25.05" customHeight="1" spans="1:81">
      <c r="A257" s="133"/>
      <c r="B257" s="37"/>
      <c r="C257" s="38"/>
      <c r="D257" s="14"/>
      <c r="E257" s="36"/>
      <c r="F257" s="36"/>
      <c r="G257" s="36"/>
      <c r="H257" s="40"/>
      <c r="I257" s="133"/>
      <c r="J257" s="134"/>
      <c r="K257" s="133"/>
      <c r="L257" s="140"/>
      <c r="M257" s="36"/>
      <c r="N257" s="36"/>
      <c r="O257" s="36"/>
      <c r="P257" s="36"/>
      <c r="Q257" s="37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/>
      <c r="BF257" s="133"/>
      <c r="BG257" s="133"/>
      <c r="BH257" s="133"/>
      <c r="BI257" s="133"/>
      <c r="BJ257" s="133"/>
      <c r="BK257" s="133"/>
      <c r="BL257" s="133"/>
      <c r="BM257" s="133"/>
      <c r="BN257" s="133"/>
      <c r="BO257" s="133"/>
      <c r="BP257" s="133"/>
      <c r="BQ257" s="133"/>
      <c r="BR257" s="133"/>
      <c r="BS257" s="133"/>
      <c r="BT257" s="133"/>
      <c r="BU257" s="133"/>
      <c r="BV257" s="133"/>
      <c r="BW257" s="133"/>
      <c r="BX257" s="133"/>
      <c r="BY257" s="133"/>
      <c r="BZ257" s="133"/>
      <c r="CA257" s="133"/>
      <c r="CB257" s="133"/>
      <c r="CC257" s="14"/>
    </row>
    <row r="258" ht="25.05" customHeight="1" spans="1:81">
      <c r="A258" s="133"/>
      <c r="B258" s="37"/>
      <c r="C258" s="38"/>
      <c r="D258" s="14"/>
      <c r="E258" s="36"/>
      <c r="F258" s="36"/>
      <c r="G258" s="36"/>
      <c r="H258" s="40"/>
      <c r="I258" s="133"/>
      <c r="J258" s="134"/>
      <c r="K258" s="133"/>
      <c r="L258" s="140"/>
      <c r="M258" s="36"/>
      <c r="N258" s="36"/>
      <c r="O258" s="36"/>
      <c r="P258" s="36"/>
      <c r="Q258" s="37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33"/>
      <c r="BG258" s="133"/>
      <c r="BH258" s="133"/>
      <c r="BI258" s="133"/>
      <c r="BJ258" s="133"/>
      <c r="BK258" s="133"/>
      <c r="BL258" s="133"/>
      <c r="BM258" s="133"/>
      <c r="BN258" s="133"/>
      <c r="BO258" s="133"/>
      <c r="BP258" s="133"/>
      <c r="BQ258" s="133"/>
      <c r="BR258" s="133"/>
      <c r="BS258" s="133"/>
      <c r="BT258" s="133"/>
      <c r="BU258" s="133"/>
      <c r="BV258" s="133"/>
      <c r="BW258" s="133"/>
      <c r="BX258" s="133"/>
      <c r="BY258" s="133"/>
      <c r="BZ258" s="133"/>
      <c r="CA258" s="133"/>
      <c r="CB258" s="133"/>
      <c r="CC258" s="14"/>
    </row>
    <row r="259" ht="25.05" customHeight="1" spans="1:81">
      <c r="A259" s="133"/>
      <c r="B259" s="37"/>
      <c r="C259" s="38"/>
      <c r="D259" s="14"/>
      <c r="E259" s="36"/>
      <c r="F259" s="36"/>
      <c r="G259" s="36"/>
      <c r="H259" s="40"/>
      <c r="I259" s="133"/>
      <c r="J259" s="134"/>
      <c r="K259" s="133"/>
      <c r="L259" s="140"/>
      <c r="M259" s="36"/>
      <c r="N259" s="36"/>
      <c r="O259" s="36"/>
      <c r="P259" s="36"/>
      <c r="Q259" s="37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33"/>
      <c r="BG259" s="133"/>
      <c r="BH259" s="133"/>
      <c r="BI259" s="133"/>
      <c r="BJ259" s="133"/>
      <c r="BK259" s="133"/>
      <c r="BL259" s="133"/>
      <c r="BM259" s="133"/>
      <c r="BN259" s="133"/>
      <c r="BO259" s="133"/>
      <c r="BP259" s="133"/>
      <c r="BQ259" s="133"/>
      <c r="BR259" s="133"/>
      <c r="BS259" s="133"/>
      <c r="BT259" s="133"/>
      <c r="BU259" s="133"/>
      <c r="BV259" s="133"/>
      <c r="BW259" s="133"/>
      <c r="BX259" s="133"/>
      <c r="BY259" s="133"/>
      <c r="BZ259" s="133"/>
      <c r="CA259" s="133"/>
      <c r="CB259" s="133"/>
      <c r="CC259" s="14"/>
    </row>
    <row r="260" ht="25.05" customHeight="1" spans="1:81">
      <c r="A260" s="133"/>
      <c r="B260" s="37"/>
      <c r="C260" s="38"/>
      <c r="D260" s="14"/>
      <c r="E260" s="36"/>
      <c r="F260" s="36"/>
      <c r="G260" s="36"/>
      <c r="H260" s="40"/>
      <c r="I260" s="133"/>
      <c r="J260" s="134"/>
      <c r="K260" s="133"/>
      <c r="L260" s="140"/>
      <c r="M260" s="36"/>
      <c r="N260" s="36"/>
      <c r="O260" s="36"/>
      <c r="P260" s="36"/>
      <c r="Q260" s="37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  <c r="AY260" s="133"/>
      <c r="AZ260" s="133"/>
      <c r="BA260" s="133"/>
      <c r="BB260" s="133"/>
      <c r="BC260" s="133"/>
      <c r="BD260" s="133"/>
      <c r="BE260" s="133"/>
      <c r="BF260" s="133"/>
      <c r="BG260" s="133"/>
      <c r="BH260" s="133"/>
      <c r="BI260" s="133"/>
      <c r="BJ260" s="133"/>
      <c r="BK260" s="133"/>
      <c r="BL260" s="133"/>
      <c r="BM260" s="133"/>
      <c r="BN260" s="133"/>
      <c r="BO260" s="133"/>
      <c r="BP260" s="133"/>
      <c r="BQ260" s="133"/>
      <c r="BR260" s="133"/>
      <c r="BS260" s="133"/>
      <c r="BT260" s="133"/>
      <c r="BU260" s="133"/>
      <c r="BV260" s="133"/>
      <c r="BW260" s="133"/>
      <c r="BX260" s="133"/>
      <c r="BY260" s="133"/>
      <c r="BZ260" s="133"/>
      <c r="CA260" s="133"/>
      <c r="CB260" s="133"/>
      <c r="CC260" s="14"/>
    </row>
    <row r="261" ht="25.05" customHeight="1" spans="1:81">
      <c r="A261" s="133"/>
      <c r="B261" s="37"/>
      <c r="C261" s="38"/>
      <c r="D261" s="14"/>
      <c r="E261" s="36"/>
      <c r="F261" s="36"/>
      <c r="G261" s="36"/>
      <c r="H261" s="40"/>
      <c r="I261" s="133"/>
      <c r="J261" s="134"/>
      <c r="K261" s="133"/>
      <c r="L261" s="140"/>
      <c r="M261" s="36"/>
      <c r="N261" s="36"/>
      <c r="O261" s="36"/>
      <c r="P261" s="36"/>
      <c r="Q261" s="37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33"/>
      <c r="BF261" s="133"/>
      <c r="BG261" s="133"/>
      <c r="BH261" s="133"/>
      <c r="BI261" s="133"/>
      <c r="BJ261" s="133"/>
      <c r="BK261" s="133"/>
      <c r="BL261" s="133"/>
      <c r="BM261" s="133"/>
      <c r="BN261" s="133"/>
      <c r="BO261" s="133"/>
      <c r="BP261" s="133"/>
      <c r="BQ261" s="133"/>
      <c r="BR261" s="133"/>
      <c r="BS261" s="133"/>
      <c r="BT261" s="133"/>
      <c r="BU261" s="133"/>
      <c r="BV261" s="133"/>
      <c r="BW261" s="133"/>
      <c r="BX261" s="133"/>
      <c r="BY261" s="133"/>
      <c r="BZ261" s="133"/>
      <c r="CA261" s="133"/>
      <c r="CB261" s="133"/>
      <c r="CC261" s="14"/>
    </row>
    <row r="262" ht="25.05" customHeight="1" spans="1:81">
      <c r="A262" s="133"/>
      <c r="B262" s="37"/>
      <c r="C262" s="38"/>
      <c r="D262" s="14"/>
      <c r="E262" s="36"/>
      <c r="F262" s="36"/>
      <c r="G262" s="36"/>
      <c r="H262" s="40"/>
      <c r="I262" s="133"/>
      <c r="J262" s="134"/>
      <c r="K262" s="133"/>
      <c r="L262" s="140"/>
      <c r="M262" s="36"/>
      <c r="N262" s="36"/>
      <c r="O262" s="36"/>
      <c r="P262" s="36"/>
      <c r="Q262" s="37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/>
      <c r="BF262" s="133"/>
      <c r="BG262" s="133"/>
      <c r="BH262" s="133"/>
      <c r="BI262" s="133"/>
      <c r="BJ262" s="133"/>
      <c r="BK262" s="133"/>
      <c r="BL262" s="133"/>
      <c r="BM262" s="133"/>
      <c r="BN262" s="133"/>
      <c r="BO262" s="133"/>
      <c r="BP262" s="133"/>
      <c r="BQ262" s="133"/>
      <c r="BR262" s="133"/>
      <c r="BS262" s="133"/>
      <c r="BT262" s="133"/>
      <c r="BU262" s="133"/>
      <c r="BV262" s="133"/>
      <c r="BW262" s="133"/>
      <c r="BX262" s="133"/>
      <c r="BY262" s="133"/>
      <c r="BZ262" s="133"/>
      <c r="CA262" s="133"/>
      <c r="CB262" s="133"/>
      <c r="CC262" s="14"/>
    </row>
    <row r="263" ht="25.05" customHeight="1" spans="1:81">
      <c r="A263" s="133"/>
      <c r="B263" s="37"/>
      <c r="C263" s="38"/>
      <c r="D263" s="14"/>
      <c r="E263" s="36"/>
      <c r="F263" s="36"/>
      <c r="G263" s="36"/>
      <c r="H263" s="40"/>
      <c r="I263" s="133"/>
      <c r="J263" s="134"/>
      <c r="K263" s="133"/>
      <c r="L263" s="140"/>
      <c r="M263" s="36"/>
      <c r="N263" s="36"/>
      <c r="O263" s="36"/>
      <c r="P263" s="36"/>
      <c r="Q263" s="37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33"/>
      <c r="BG263" s="133"/>
      <c r="BH263" s="133"/>
      <c r="BI263" s="133"/>
      <c r="BJ263" s="133"/>
      <c r="BK263" s="133"/>
      <c r="BL263" s="133"/>
      <c r="BM263" s="133"/>
      <c r="BN263" s="133"/>
      <c r="BO263" s="133"/>
      <c r="BP263" s="133"/>
      <c r="BQ263" s="133"/>
      <c r="BR263" s="133"/>
      <c r="BS263" s="133"/>
      <c r="BT263" s="133"/>
      <c r="BU263" s="133"/>
      <c r="BV263" s="133"/>
      <c r="BW263" s="133"/>
      <c r="BX263" s="133"/>
      <c r="BY263" s="133"/>
      <c r="BZ263" s="133"/>
      <c r="CA263" s="133"/>
      <c r="CB263" s="133"/>
      <c r="CC263" s="14"/>
    </row>
    <row r="264" ht="25.05" customHeight="1" spans="1:81">
      <c r="A264" s="133"/>
      <c r="B264" s="37"/>
      <c r="C264" s="38"/>
      <c r="D264" s="14"/>
      <c r="E264" s="36"/>
      <c r="F264" s="36"/>
      <c r="G264" s="36"/>
      <c r="H264" s="40"/>
      <c r="I264" s="133"/>
      <c r="J264" s="134"/>
      <c r="K264" s="133"/>
      <c r="L264" s="140"/>
      <c r="M264" s="36"/>
      <c r="N264" s="36"/>
      <c r="O264" s="36"/>
      <c r="P264" s="36"/>
      <c r="Q264" s="37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/>
      <c r="BF264" s="133"/>
      <c r="BG264" s="133"/>
      <c r="BH264" s="133"/>
      <c r="BI264" s="133"/>
      <c r="BJ264" s="133"/>
      <c r="BK264" s="133"/>
      <c r="BL264" s="133"/>
      <c r="BM264" s="133"/>
      <c r="BN264" s="133"/>
      <c r="BO264" s="133"/>
      <c r="BP264" s="133"/>
      <c r="BQ264" s="133"/>
      <c r="BR264" s="133"/>
      <c r="BS264" s="133"/>
      <c r="BT264" s="133"/>
      <c r="BU264" s="133"/>
      <c r="BV264" s="133"/>
      <c r="BW264" s="133"/>
      <c r="BX264" s="133"/>
      <c r="BY264" s="133"/>
      <c r="BZ264" s="133"/>
      <c r="CA264" s="133"/>
      <c r="CB264" s="133"/>
      <c r="CC264" s="14"/>
    </row>
    <row r="265" ht="25.05" customHeight="1" spans="1:81">
      <c r="A265" s="133"/>
      <c r="B265" s="37"/>
      <c r="C265" s="38"/>
      <c r="D265" s="14"/>
      <c r="E265" s="36"/>
      <c r="F265" s="36"/>
      <c r="G265" s="36"/>
      <c r="H265" s="40"/>
      <c r="I265" s="133"/>
      <c r="J265" s="134"/>
      <c r="K265" s="133"/>
      <c r="L265" s="140"/>
      <c r="M265" s="36"/>
      <c r="N265" s="36"/>
      <c r="O265" s="36"/>
      <c r="P265" s="36"/>
      <c r="Q265" s="37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/>
      <c r="BF265" s="133"/>
      <c r="BG265" s="133"/>
      <c r="BH265" s="133"/>
      <c r="BI265" s="133"/>
      <c r="BJ265" s="133"/>
      <c r="BK265" s="133"/>
      <c r="BL265" s="133"/>
      <c r="BM265" s="133"/>
      <c r="BN265" s="133"/>
      <c r="BO265" s="133"/>
      <c r="BP265" s="133"/>
      <c r="BQ265" s="133"/>
      <c r="BR265" s="133"/>
      <c r="BS265" s="133"/>
      <c r="BT265" s="133"/>
      <c r="BU265" s="133"/>
      <c r="BV265" s="133"/>
      <c r="BW265" s="133"/>
      <c r="BX265" s="133"/>
      <c r="BY265" s="133"/>
      <c r="BZ265" s="133"/>
      <c r="CA265" s="133"/>
      <c r="CB265" s="133"/>
      <c r="CC265" s="14"/>
    </row>
    <row r="266" ht="25.05" customHeight="1" spans="1:81">
      <c r="A266" s="133"/>
      <c r="B266" s="37"/>
      <c r="C266" s="38"/>
      <c r="D266" s="14"/>
      <c r="E266" s="36"/>
      <c r="F266" s="36"/>
      <c r="G266" s="36"/>
      <c r="H266" s="40"/>
      <c r="I266" s="133"/>
      <c r="J266" s="134"/>
      <c r="K266" s="133"/>
      <c r="L266" s="140"/>
      <c r="M266" s="36"/>
      <c r="N266" s="36"/>
      <c r="O266" s="36"/>
      <c r="P266" s="36"/>
      <c r="Q266" s="37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33"/>
      <c r="BG266" s="133"/>
      <c r="BH266" s="133"/>
      <c r="BI266" s="133"/>
      <c r="BJ266" s="133"/>
      <c r="BK266" s="133"/>
      <c r="BL266" s="133"/>
      <c r="BM266" s="133"/>
      <c r="BN266" s="133"/>
      <c r="BO266" s="133"/>
      <c r="BP266" s="133"/>
      <c r="BQ266" s="133"/>
      <c r="BR266" s="133"/>
      <c r="BS266" s="133"/>
      <c r="BT266" s="133"/>
      <c r="BU266" s="133"/>
      <c r="BV266" s="133"/>
      <c r="BW266" s="133"/>
      <c r="BX266" s="133"/>
      <c r="BY266" s="133"/>
      <c r="BZ266" s="133"/>
      <c r="CA266" s="133"/>
      <c r="CB266" s="133"/>
      <c r="CC266" s="14"/>
    </row>
    <row r="267" ht="25.05" customHeight="1" spans="1:81">
      <c r="A267" s="133"/>
      <c r="B267" s="37"/>
      <c r="C267" s="38"/>
      <c r="D267" s="14"/>
      <c r="E267" s="36"/>
      <c r="F267" s="36"/>
      <c r="G267" s="36"/>
      <c r="H267" s="40"/>
      <c r="I267" s="133"/>
      <c r="J267" s="134"/>
      <c r="K267" s="133"/>
      <c r="L267" s="140"/>
      <c r="M267" s="36"/>
      <c r="N267" s="36"/>
      <c r="O267" s="36"/>
      <c r="P267" s="36"/>
      <c r="Q267" s="37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33"/>
      <c r="BG267" s="133"/>
      <c r="BH267" s="133"/>
      <c r="BI267" s="133"/>
      <c r="BJ267" s="133"/>
      <c r="BK267" s="133"/>
      <c r="BL267" s="133"/>
      <c r="BM267" s="133"/>
      <c r="BN267" s="133"/>
      <c r="BO267" s="133"/>
      <c r="BP267" s="133"/>
      <c r="BQ267" s="133"/>
      <c r="BR267" s="133"/>
      <c r="BS267" s="133"/>
      <c r="BT267" s="133"/>
      <c r="BU267" s="133"/>
      <c r="BV267" s="133"/>
      <c r="BW267" s="133"/>
      <c r="BX267" s="133"/>
      <c r="BY267" s="133"/>
      <c r="BZ267" s="133"/>
      <c r="CA267" s="133"/>
      <c r="CB267" s="133"/>
      <c r="CC267" s="14"/>
    </row>
    <row r="268" ht="25.05" customHeight="1" spans="1:81">
      <c r="A268" s="133"/>
      <c r="B268" s="37"/>
      <c r="C268" s="38"/>
      <c r="D268" s="14"/>
      <c r="E268" s="36"/>
      <c r="F268" s="36"/>
      <c r="G268" s="36"/>
      <c r="H268" s="40"/>
      <c r="I268" s="133"/>
      <c r="J268" s="134"/>
      <c r="K268" s="133"/>
      <c r="L268" s="140"/>
      <c r="M268" s="36"/>
      <c r="N268" s="36"/>
      <c r="O268" s="36"/>
      <c r="P268" s="36"/>
      <c r="Q268" s="37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33"/>
      <c r="BG268" s="133"/>
      <c r="BH268" s="133"/>
      <c r="BI268" s="133"/>
      <c r="BJ268" s="133"/>
      <c r="BK268" s="133"/>
      <c r="BL268" s="133"/>
      <c r="BM268" s="133"/>
      <c r="BN268" s="133"/>
      <c r="BO268" s="133"/>
      <c r="BP268" s="133"/>
      <c r="BQ268" s="133"/>
      <c r="BR268" s="133"/>
      <c r="BS268" s="133"/>
      <c r="BT268" s="133"/>
      <c r="BU268" s="133"/>
      <c r="BV268" s="133"/>
      <c r="BW268" s="133"/>
      <c r="BX268" s="133"/>
      <c r="BY268" s="133"/>
      <c r="BZ268" s="133"/>
      <c r="CA268" s="133"/>
      <c r="CB268" s="133"/>
      <c r="CC268" s="14"/>
    </row>
    <row r="269" ht="25.05" customHeight="1" spans="1:81">
      <c r="A269" s="133"/>
      <c r="B269" s="37"/>
      <c r="C269" s="38"/>
      <c r="D269" s="14"/>
      <c r="E269" s="36"/>
      <c r="F269" s="36"/>
      <c r="G269" s="36"/>
      <c r="H269" s="40"/>
      <c r="I269" s="133"/>
      <c r="J269" s="134"/>
      <c r="K269" s="133"/>
      <c r="L269" s="140"/>
      <c r="M269" s="36"/>
      <c r="N269" s="36"/>
      <c r="O269" s="36"/>
      <c r="P269" s="36"/>
      <c r="Q269" s="37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/>
      <c r="BF269" s="133"/>
      <c r="BG269" s="133"/>
      <c r="BH269" s="133"/>
      <c r="BI269" s="133"/>
      <c r="BJ269" s="133"/>
      <c r="BK269" s="133"/>
      <c r="BL269" s="133"/>
      <c r="BM269" s="133"/>
      <c r="BN269" s="133"/>
      <c r="BO269" s="133"/>
      <c r="BP269" s="133"/>
      <c r="BQ269" s="133"/>
      <c r="BR269" s="133"/>
      <c r="BS269" s="133"/>
      <c r="BT269" s="133"/>
      <c r="BU269" s="133"/>
      <c r="BV269" s="133"/>
      <c r="BW269" s="133"/>
      <c r="BX269" s="133"/>
      <c r="BY269" s="133"/>
      <c r="BZ269" s="133"/>
      <c r="CA269" s="133"/>
      <c r="CB269" s="133"/>
      <c r="CC269" s="14"/>
    </row>
    <row r="270" ht="25.05" customHeight="1" spans="1:81">
      <c r="A270" s="133"/>
      <c r="B270" s="37"/>
      <c r="C270" s="38"/>
      <c r="D270" s="14"/>
      <c r="E270" s="36"/>
      <c r="F270" s="36"/>
      <c r="G270" s="36"/>
      <c r="H270" s="40"/>
      <c r="I270" s="133"/>
      <c r="J270" s="134"/>
      <c r="K270" s="133"/>
      <c r="L270" s="140"/>
      <c r="M270" s="36"/>
      <c r="N270" s="36"/>
      <c r="O270" s="36"/>
      <c r="P270" s="36"/>
      <c r="Q270" s="37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33"/>
      <c r="BG270" s="133"/>
      <c r="BH270" s="133"/>
      <c r="BI270" s="133"/>
      <c r="BJ270" s="133"/>
      <c r="BK270" s="133"/>
      <c r="BL270" s="133"/>
      <c r="BM270" s="133"/>
      <c r="BN270" s="133"/>
      <c r="BO270" s="133"/>
      <c r="BP270" s="133"/>
      <c r="BQ270" s="133"/>
      <c r="BR270" s="133"/>
      <c r="BS270" s="133"/>
      <c r="BT270" s="133"/>
      <c r="BU270" s="133"/>
      <c r="BV270" s="133"/>
      <c r="BW270" s="133"/>
      <c r="BX270" s="133"/>
      <c r="BY270" s="133"/>
      <c r="BZ270" s="133"/>
      <c r="CA270" s="133"/>
      <c r="CB270" s="133"/>
      <c r="CC270" s="14"/>
    </row>
    <row r="271" ht="25.05" customHeight="1" spans="1:81">
      <c r="A271" s="133"/>
      <c r="B271" s="37"/>
      <c r="C271" s="38"/>
      <c r="D271" s="14"/>
      <c r="E271" s="36"/>
      <c r="F271" s="36"/>
      <c r="G271" s="36"/>
      <c r="H271" s="40"/>
      <c r="I271" s="133"/>
      <c r="J271" s="134"/>
      <c r="K271" s="133"/>
      <c r="L271" s="140"/>
      <c r="M271" s="36"/>
      <c r="N271" s="36"/>
      <c r="O271" s="36"/>
      <c r="P271" s="36"/>
      <c r="Q271" s="37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  <c r="BU271" s="133"/>
      <c r="BV271" s="133"/>
      <c r="BW271" s="133"/>
      <c r="BX271" s="133"/>
      <c r="BY271" s="133"/>
      <c r="BZ271" s="133"/>
      <c r="CA271" s="133"/>
      <c r="CB271" s="133"/>
      <c r="CC271" s="14"/>
    </row>
    <row r="272" ht="25.05" customHeight="1" spans="1:81">
      <c r="A272" s="133"/>
      <c r="B272" s="37"/>
      <c r="C272" s="38"/>
      <c r="D272" s="14"/>
      <c r="E272" s="36"/>
      <c r="F272" s="36"/>
      <c r="G272" s="36"/>
      <c r="H272" s="40"/>
      <c r="I272" s="133"/>
      <c r="J272" s="134"/>
      <c r="K272" s="133"/>
      <c r="L272" s="140"/>
      <c r="M272" s="36"/>
      <c r="N272" s="36"/>
      <c r="O272" s="36"/>
      <c r="P272" s="36"/>
      <c r="Q272" s="37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33"/>
      <c r="BG272" s="133"/>
      <c r="BH272" s="133"/>
      <c r="BI272" s="133"/>
      <c r="BJ272" s="133"/>
      <c r="BK272" s="133"/>
      <c r="BL272" s="133"/>
      <c r="BM272" s="133"/>
      <c r="BN272" s="133"/>
      <c r="BO272" s="133"/>
      <c r="BP272" s="133"/>
      <c r="BQ272" s="133"/>
      <c r="BR272" s="133"/>
      <c r="BS272" s="133"/>
      <c r="BT272" s="133"/>
      <c r="BU272" s="133"/>
      <c r="BV272" s="133"/>
      <c r="BW272" s="133"/>
      <c r="BX272" s="133"/>
      <c r="BY272" s="133"/>
      <c r="BZ272" s="133"/>
      <c r="CA272" s="133"/>
      <c r="CB272" s="133"/>
      <c r="CC272" s="14"/>
    </row>
    <row r="273" ht="25.05" customHeight="1" spans="1:81">
      <c r="A273" s="133"/>
      <c r="B273" s="37"/>
      <c r="C273" s="38"/>
      <c r="D273" s="14"/>
      <c r="E273" s="36"/>
      <c r="F273" s="36"/>
      <c r="G273" s="36"/>
      <c r="H273" s="40"/>
      <c r="I273" s="133"/>
      <c r="J273" s="134"/>
      <c r="K273" s="133"/>
      <c r="L273" s="140"/>
      <c r="M273" s="36"/>
      <c r="N273" s="36"/>
      <c r="O273" s="36"/>
      <c r="P273" s="36"/>
      <c r="Q273" s="37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  <c r="AY273" s="133"/>
      <c r="AZ273" s="133"/>
      <c r="BA273" s="133"/>
      <c r="BB273" s="133"/>
      <c r="BC273" s="133"/>
      <c r="BD273" s="133"/>
      <c r="BE273" s="133"/>
      <c r="BF273" s="133"/>
      <c r="BG273" s="133"/>
      <c r="BH273" s="133"/>
      <c r="BI273" s="133"/>
      <c r="BJ273" s="133"/>
      <c r="BK273" s="133"/>
      <c r="BL273" s="133"/>
      <c r="BM273" s="133"/>
      <c r="BN273" s="133"/>
      <c r="BO273" s="133"/>
      <c r="BP273" s="133"/>
      <c r="BQ273" s="133"/>
      <c r="BR273" s="133"/>
      <c r="BS273" s="133"/>
      <c r="BT273" s="133"/>
      <c r="BU273" s="133"/>
      <c r="BV273" s="133"/>
      <c r="BW273" s="133"/>
      <c r="BX273" s="133"/>
      <c r="BY273" s="133"/>
      <c r="BZ273" s="133"/>
      <c r="CA273" s="133"/>
      <c r="CB273" s="133"/>
      <c r="CC273" s="14"/>
    </row>
    <row r="274" ht="25.05" customHeight="1" spans="1:81">
      <c r="A274" s="133"/>
      <c r="B274" s="37"/>
      <c r="C274" s="38"/>
      <c r="D274" s="14"/>
      <c r="E274" s="36"/>
      <c r="F274" s="36"/>
      <c r="G274" s="36"/>
      <c r="H274" s="40"/>
      <c r="I274" s="133"/>
      <c r="J274" s="134"/>
      <c r="K274" s="133"/>
      <c r="L274" s="140"/>
      <c r="M274" s="36"/>
      <c r="N274" s="36"/>
      <c r="O274" s="36"/>
      <c r="P274" s="36"/>
      <c r="Q274" s="37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  <c r="BX274" s="133"/>
      <c r="BY274" s="133"/>
      <c r="BZ274" s="133"/>
      <c r="CA274" s="133"/>
      <c r="CB274" s="133"/>
      <c r="CC274" s="14"/>
    </row>
    <row r="275" ht="25.05" customHeight="1" spans="1:81">
      <c r="A275" s="133"/>
      <c r="B275" s="37"/>
      <c r="C275" s="38"/>
      <c r="D275" s="14"/>
      <c r="E275" s="36"/>
      <c r="F275" s="36"/>
      <c r="G275" s="36"/>
      <c r="H275" s="40"/>
      <c r="I275" s="133"/>
      <c r="J275" s="134"/>
      <c r="K275" s="133"/>
      <c r="L275" s="140"/>
      <c r="M275" s="36"/>
      <c r="N275" s="36"/>
      <c r="O275" s="36"/>
      <c r="P275" s="36"/>
      <c r="Q275" s="37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  <c r="BX275" s="133"/>
      <c r="BY275" s="133"/>
      <c r="BZ275" s="133"/>
      <c r="CA275" s="133"/>
      <c r="CB275" s="133"/>
      <c r="CC275" s="14"/>
    </row>
    <row r="276" ht="25.05" customHeight="1" spans="1:81">
      <c r="A276" s="133"/>
      <c r="B276" s="37"/>
      <c r="C276" s="38"/>
      <c r="D276" s="14"/>
      <c r="E276" s="36"/>
      <c r="F276" s="36"/>
      <c r="G276" s="36"/>
      <c r="H276" s="40"/>
      <c r="I276" s="133"/>
      <c r="J276" s="134"/>
      <c r="K276" s="133"/>
      <c r="L276" s="140"/>
      <c r="M276" s="36"/>
      <c r="N276" s="36"/>
      <c r="O276" s="36"/>
      <c r="P276" s="36"/>
      <c r="Q276" s="37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  <c r="BX276" s="133"/>
      <c r="BY276" s="133"/>
      <c r="BZ276" s="133"/>
      <c r="CA276" s="133"/>
      <c r="CB276" s="133"/>
      <c r="CC276" s="14"/>
    </row>
    <row r="277" ht="25.05" customHeight="1" spans="1:81">
      <c r="A277" s="133"/>
      <c r="B277" s="37"/>
      <c r="C277" s="38"/>
      <c r="D277" s="14"/>
      <c r="E277" s="36"/>
      <c r="F277" s="36"/>
      <c r="G277" s="36"/>
      <c r="H277" s="40"/>
      <c r="I277" s="133"/>
      <c r="J277" s="134"/>
      <c r="K277" s="133"/>
      <c r="L277" s="140"/>
      <c r="M277" s="36"/>
      <c r="N277" s="36"/>
      <c r="O277" s="36"/>
      <c r="P277" s="36"/>
      <c r="Q277" s="37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33"/>
      <c r="BG277" s="133"/>
      <c r="BH277" s="133"/>
      <c r="BI277" s="133"/>
      <c r="BJ277" s="133"/>
      <c r="BK277" s="133"/>
      <c r="BL277" s="133"/>
      <c r="BM277" s="133"/>
      <c r="BN277" s="133"/>
      <c r="BO277" s="133"/>
      <c r="BP277" s="133"/>
      <c r="BQ277" s="133"/>
      <c r="BR277" s="133"/>
      <c r="BS277" s="133"/>
      <c r="BT277" s="133"/>
      <c r="BU277" s="133"/>
      <c r="BV277" s="133"/>
      <c r="BW277" s="133"/>
      <c r="BX277" s="133"/>
      <c r="BY277" s="133"/>
      <c r="BZ277" s="133"/>
      <c r="CA277" s="133"/>
      <c r="CB277" s="133"/>
      <c r="CC277" s="14"/>
    </row>
    <row r="278" ht="25.05" customHeight="1" spans="1:81">
      <c r="A278" s="133"/>
      <c r="B278" s="37"/>
      <c r="C278" s="38"/>
      <c r="D278" s="14"/>
      <c r="E278" s="36"/>
      <c r="F278" s="36"/>
      <c r="G278" s="36"/>
      <c r="H278" s="40"/>
      <c r="I278" s="133"/>
      <c r="J278" s="134"/>
      <c r="K278" s="133"/>
      <c r="L278" s="140"/>
      <c r="M278" s="36"/>
      <c r="N278" s="36"/>
      <c r="O278" s="36"/>
      <c r="P278" s="36"/>
      <c r="Q278" s="37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33"/>
      <c r="BG278" s="133"/>
      <c r="BH278" s="133"/>
      <c r="BI278" s="133"/>
      <c r="BJ278" s="133"/>
      <c r="BK278" s="133"/>
      <c r="BL278" s="133"/>
      <c r="BM278" s="133"/>
      <c r="BN278" s="133"/>
      <c r="BO278" s="133"/>
      <c r="BP278" s="133"/>
      <c r="BQ278" s="133"/>
      <c r="BR278" s="133"/>
      <c r="BS278" s="133"/>
      <c r="BT278" s="133"/>
      <c r="BU278" s="133"/>
      <c r="BV278" s="133"/>
      <c r="BW278" s="133"/>
      <c r="BX278" s="133"/>
      <c r="BY278" s="133"/>
      <c r="BZ278" s="133"/>
      <c r="CA278" s="133"/>
      <c r="CB278" s="133"/>
      <c r="CC278" s="14"/>
    </row>
    <row r="279" ht="25.05" customHeight="1" spans="1:81">
      <c r="A279" s="133"/>
      <c r="B279" s="37"/>
      <c r="C279" s="38"/>
      <c r="D279" s="14"/>
      <c r="E279" s="36"/>
      <c r="F279" s="36"/>
      <c r="G279" s="36"/>
      <c r="H279" s="40"/>
      <c r="I279" s="133"/>
      <c r="J279" s="134"/>
      <c r="K279" s="133"/>
      <c r="L279" s="140"/>
      <c r="M279" s="36"/>
      <c r="N279" s="36"/>
      <c r="O279" s="36"/>
      <c r="P279" s="36"/>
      <c r="Q279" s="37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133"/>
      <c r="BI279" s="133"/>
      <c r="BJ279" s="133"/>
      <c r="BK279" s="133"/>
      <c r="BL279" s="133"/>
      <c r="BM279" s="133"/>
      <c r="BN279" s="133"/>
      <c r="BO279" s="133"/>
      <c r="BP279" s="133"/>
      <c r="BQ279" s="133"/>
      <c r="BR279" s="133"/>
      <c r="BS279" s="133"/>
      <c r="BT279" s="133"/>
      <c r="BU279" s="133"/>
      <c r="BV279" s="133"/>
      <c r="BW279" s="133"/>
      <c r="BX279" s="133"/>
      <c r="BY279" s="133"/>
      <c r="BZ279" s="133"/>
      <c r="CA279" s="133"/>
      <c r="CB279" s="133"/>
      <c r="CC279" s="14"/>
    </row>
    <row r="280" ht="25.05" customHeight="1" spans="1:81">
      <c r="A280" s="133"/>
      <c r="B280" s="37"/>
      <c r="C280" s="38"/>
      <c r="D280" s="14"/>
      <c r="E280" s="36"/>
      <c r="F280" s="36"/>
      <c r="G280" s="36"/>
      <c r="H280" s="40"/>
      <c r="I280" s="133"/>
      <c r="J280" s="134"/>
      <c r="K280" s="133"/>
      <c r="L280" s="140"/>
      <c r="M280" s="36"/>
      <c r="N280" s="36"/>
      <c r="O280" s="36"/>
      <c r="P280" s="36"/>
      <c r="Q280" s="37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  <c r="BQ280" s="133"/>
      <c r="BR280" s="133"/>
      <c r="BS280" s="133"/>
      <c r="BT280" s="133"/>
      <c r="BU280" s="133"/>
      <c r="BV280" s="133"/>
      <c r="BW280" s="133"/>
      <c r="BX280" s="133"/>
      <c r="BY280" s="133"/>
      <c r="BZ280" s="133"/>
      <c r="CA280" s="133"/>
      <c r="CB280" s="133"/>
      <c r="CC280" s="14"/>
    </row>
    <row r="281" ht="25.05" customHeight="1" spans="1:81">
      <c r="A281" s="133"/>
      <c r="B281" s="37"/>
      <c r="C281" s="38"/>
      <c r="D281" s="14"/>
      <c r="E281" s="36"/>
      <c r="F281" s="36"/>
      <c r="G281" s="36"/>
      <c r="H281" s="40"/>
      <c r="I281" s="133"/>
      <c r="J281" s="134"/>
      <c r="K281" s="133"/>
      <c r="L281" s="140"/>
      <c r="M281" s="36"/>
      <c r="N281" s="36"/>
      <c r="O281" s="36"/>
      <c r="P281" s="36"/>
      <c r="Q281" s="37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133"/>
      <c r="BI281" s="133"/>
      <c r="BJ281" s="133"/>
      <c r="BK281" s="133"/>
      <c r="BL281" s="133"/>
      <c r="BM281" s="133"/>
      <c r="BN281" s="133"/>
      <c r="BO281" s="133"/>
      <c r="BP281" s="133"/>
      <c r="BQ281" s="133"/>
      <c r="BR281" s="133"/>
      <c r="BS281" s="133"/>
      <c r="BT281" s="133"/>
      <c r="BU281" s="133"/>
      <c r="BV281" s="133"/>
      <c r="BW281" s="133"/>
      <c r="BX281" s="133"/>
      <c r="BY281" s="133"/>
      <c r="BZ281" s="133"/>
      <c r="CA281" s="133"/>
      <c r="CB281" s="133"/>
      <c r="CC281" s="14"/>
    </row>
    <row r="282" ht="25.05" customHeight="1" spans="1:81">
      <c r="A282" s="133"/>
      <c r="B282" s="37"/>
      <c r="C282" s="38"/>
      <c r="D282" s="14"/>
      <c r="E282" s="36"/>
      <c r="F282" s="36"/>
      <c r="G282" s="36"/>
      <c r="H282" s="40"/>
      <c r="I282" s="133"/>
      <c r="J282" s="134"/>
      <c r="K282" s="133"/>
      <c r="L282" s="140"/>
      <c r="M282" s="36"/>
      <c r="N282" s="36"/>
      <c r="O282" s="36"/>
      <c r="P282" s="36"/>
      <c r="Q282" s="37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33"/>
      <c r="BG282" s="133"/>
      <c r="BH282" s="133"/>
      <c r="BI282" s="133"/>
      <c r="BJ282" s="133"/>
      <c r="BK282" s="133"/>
      <c r="BL282" s="133"/>
      <c r="BM282" s="133"/>
      <c r="BN282" s="133"/>
      <c r="BO282" s="133"/>
      <c r="BP282" s="133"/>
      <c r="BQ282" s="133"/>
      <c r="BR282" s="133"/>
      <c r="BS282" s="133"/>
      <c r="BT282" s="133"/>
      <c r="BU282" s="133"/>
      <c r="BV282" s="133"/>
      <c r="BW282" s="133"/>
      <c r="BX282" s="133"/>
      <c r="BY282" s="133"/>
      <c r="BZ282" s="133"/>
      <c r="CA282" s="133"/>
      <c r="CB282" s="133"/>
      <c r="CC282" s="14"/>
    </row>
    <row r="283" ht="25.05" customHeight="1" spans="1:81">
      <c r="A283" s="133"/>
      <c r="B283" s="37"/>
      <c r="C283" s="38"/>
      <c r="D283" s="14"/>
      <c r="E283" s="36"/>
      <c r="F283" s="36"/>
      <c r="G283" s="36"/>
      <c r="H283" s="40"/>
      <c r="I283" s="133"/>
      <c r="J283" s="134"/>
      <c r="K283" s="133"/>
      <c r="L283" s="140"/>
      <c r="M283" s="36"/>
      <c r="N283" s="36"/>
      <c r="O283" s="36"/>
      <c r="P283" s="36"/>
      <c r="Q283" s="37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33"/>
      <c r="BG283" s="133"/>
      <c r="BH283" s="133"/>
      <c r="BI283" s="133"/>
      <c r="BJ283" s="133"/>
      <c r="BK283" s="133"/>
      <c r="BL283" s="133"/>
      <c r="BM283" s="133"/>
      <c r="BN283" s="133"/>
      <c r="BO283" s="133"/>
      <c r="BP283" s="133"/>
      <c r="BQ283" s="133"/>
      <c r="BR283" s="133"/>
      <c r="BS283" s="133"/>
      <c r="BT283" s="133"/>
      <c r="BU283" s="133"/>
      <c r="BV283" s="133"/>
      <c r="BW283" s="133"/>
      <c r="BX283" s="133"/>
      <c r="BY283" s="133"/>
      <c r="BZ283" s="133"/>
      <c r="CA283" s="133"/>
      <c r="CB283" s="133"/>
      <c r="CC283" s="14"/>
    </row>
    <row r="284" ht="25.05" customHeight="1" spans="1:81">
      <c r="A284" s="133"/>
      <c r="B284" s="37"/>
      <c r="C284" s="38"/>
      <c r="D284" s="14"/>
      <c r="E284" s="36"/>
      <c r="F284" s="36"/>
      <c r="G284" s="36"/>
      <c r="H284" s="40"/>
      <c r="I284" s="133"/>
      <c r="J284" s="134"/>
      <c r="K284" s="133"/>
      <c r="L284" s="140"/>
      <c r="M284" s="36"/>
      <c r="N284" s="36"/>
      <c r="O284" s="36"/>
      <c r="P284" s="36"/>
      <c r="Q284" s="37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3"/>
      <c r="BF284" s="133"/>
      <c r="BG284" s="133"/>
      <c r="BH284" s="133"/>
      <c r="BI284" s="133"/>
      <c r="BJ284" s="133"/>
      <c r="BK284" s="133"/>
      <c r="BL284" s="133"/>
      <c r="BM284" s="133"/>
      <c r="BN284" s="133"/>
      <c r="BO284" s="133"/>
      <c r="BP284" s="133"/>
      <c r="BQ284" s="133"/>
      <c r="BR284" s="133"/>
      <c r="BS284" s="133"/>
      <c r="BT284" s="133"/>
      <c r="BU284" s="133"/>
      <c r="BV284" s="133"/>
      <c r="BW284" s="133"/>
      <c r="BX284" s="133"/>
      <c r="BY284" s="133"/>
      <c r="BZ284" s="133"/>
      <c r="CA284" s="133"/>
      <c r="CB284" s="133"/>
      <c r="CC284" s="14"/>
    </row>
    <row r="285" ht="25.05" customHeight="1" spans="1:81">
      <c r="A285" s="133"/>
      <c r="B285" s="37"/>
      <c r="C285" s="38"/>
      <c r="D285" s="14"/>
      <c r="E285" s="36"/>
      <c r="F285" s="36"/>
      <c r="G285" s="36"/>
      <c r="H285" s="40"/>
      <c r="I285" s="133"/>
      <c r="J285" s="134"/>
      <c r="K285" s="133"/>
      <c r="L285" s="140"/>
      <c r="M285" s="36"/>
      <c r="N285" s="36"/>
      <c r="O285" s="36"/>
      <c r="P285" s="36"/>
      <c r="Q285" s="37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33"/>
      <c r="BG285" s="133"/>
      <c r="BH285" s="133"/>
      <c r="BI285" s="133"/>
      <c r="BJ285" s="133"/>
      <c r="BK285" s="133"/>
      <c r="BL285" s="133"/>
      <c r="BM285" s="133"/>
      <c r="BN285" s="133"/>
      <c r="BO285" s="133"/>
      <c r="BP285" s="133"/>
      <c r="BQ285" s="133"/>
      <c r="BR285" s="133"/>
      <c r="BS285" s="133"/>
      <c r="BT285" s="133"/>
      <c r="BU285" s="133"/>
      <c r="BV285" s="133"/>
      <c r="BW285" s="133"/>
      <c r="BX285" s="133"/>
      <c r="BY285" s="133"/>
      <c r="BZ285" s="133"/>
      <c r="CA285" s="133"/>
      <c r="CB285" s="133"/>
      <c r="CC285" s="14"/>
    </row>
    <row r="286" ht="25.05" customHeight="1" spans="1:81">
      <c r="A286" s="133"/>
      <c r="B286" s="37"/>
      <c r="C286" s="38"/>
      <c r="D286" s="14"/>
      <c r="E286" s="36"/>
      <c r="F286" s="36"/>
      <c r="G286" s="36"/>
      <c r="H286" s="40"/>
      <c r="I286" s="133"/>
      <c r="J286" s="134"/>
      <c r="K286" s="133"/>
      <c r="L286" s="140"/>
      <c r="M286" s="36"/>
      <c r="N286" s="36"/>
      <c r="O286" s="36"/>
      <c r="P286" s="36"/>
      <c r="Q286" s="37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/>
      <c r="BF286" s="133"/>
      <c r="BG286" s="133"/>
      <c r="BH286" s="133"/>
      <c r="BI286" s="133"/>
      <c r="BJ286" s="133"/>
      <c r="BK286" s="133"/>
      <c r="BL286" s="133"/>
      <c r="BM286" s="133"/>
      <c r="BN286" s="133"/>
      <c r="BO286" s="133"/>
      <c r="BP286" s="133"/>
      <c r="BQ286" s="133"/>
      <c r="BR286" s="133"/>
      <c r="BS286" s="133"/>
      <c r="BT286" s="133"/>
      <c r="BU286" s="133"/>
      <c r="BV286" s="133"/>
      <c r="BW286" s="133"/>
      <c r="BX286" s="133"/>
      <c r="BY286" s="133"/>
      <c r="BZ286" s="133"/>
      <c r="CA286" s="133"/>
      <c r="CB286" s="133"/>
      <c r="CC286" s="14"/>
    </row>
    <row r="287" ht="25.05" customHeight="1" spans="1:81">
      <c r="A287" s="133"/>
      <c r="B287" s="37"/>
      <c r="C287" s="38"/>
      <c r="D287" s="14"/>
      <c r="E287" s="36"/>
      <c r="F287" s="36"/>
      <c r="G287" s="36"/>
      <c r="H287" s="40"/>
      <c r="I287" s="133"/>
      <c r="J287" s="134"/>
      <c r="K287" s="133"/>
      <c r="L287" s="140"/>
      <c r="M287" s="36"/>
      <c r="N287" s="36"/>
      <c r="O287" s="36"/>
      <c r="P287" s="36"/>
      <c r="Q287" s="37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33"/>
      <c r="BG287" s="133"/>
      <c r="BH287" s="133"/>
      <c r="BI287" s="133"/>
      <c r="BJ287" s="133"/>
      <c r="BK287" s="133"/>
      <c r="BL287" s="133"/>
      <c r="BM287" s="133"/>
      <c r="BN287" s="133"/>
      <c r="BO287" s="133"/>
      <c r="BP287" s="133"/>
      <c r="BQ287" s="133"/>
      <c r="BR287" s="133"/>
      <c r="BS287" s="133"/>
      <c r="BT287" s="133"/>
      <c r="BU287" s="133"/>
      <c r="BV287" s="133"/>
      <c r="BW287" s="133"/>
      <c r="BX287" s="133"/>
      <c r="BY287" s="133"/>
      <c r="BZ287" s="133"/>
      <c r="CA287" s="133"/>
      <c r="CB287" s="133"/>
      <c r="CC287" s="14"/>
    </row>
    <row r="288" ht="25.05" customHeight="1" spans="1:81">
      <c r="A288" s="133"/>
      <c r="B288" s="37"/>
      <c r="C288" s="38"/>
      <c r="D288" s="14"/>
      <c r="E288" s="36"/>
      <c r="F288" s="36"/>
      <c r="G288" s="36"/>
      <c r="H288" s="40"/>
      <c r="I288" s="133"/>
      <c r="J288" s="134"/>
      <c r="K288" s="133"/>
      <c r="L288" s="140"/>
      <c r="M288" s="36"/>
      <c r="N288" s="36"/>
      <c r="O288" s="36"/>
      <c r="P288" s="36"/>
      <c r="Q288" s="37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33"/>
      <c r="BG288" s="133"/>
      <c r="BH288" s="133"/>
      <c r="BI288" s="133"/>
      <c r="BJ288" s="133"/>
      <c r="BK288" s="133"/>
      <c r="BL288" s="133"/>
      <c r="BM288" s="133"/>
      <c r="BN288" s="133"/>
      <c r="BO288" s="133"/>
      <c r="BP288" s="133"/>
      <c r="BQ288" s="133"/>
      <c r="BR288" s="133"/>
      <c r="BS288" s="133"/>
      <c r="BT288" s="133"/>
      <c r="BU288" s="133"/>
      <c r="BV288" s="133"/>
      <c r="BW288" s="133"/>
      <c r="BX288" s="133"/>
      <c r="BY288" s="133"/>
      <c r="BZ288" s="133"/>
      <c r="CA288" s="133"/>
      <c r="CB288" s="133"/>
      <c r="CC288" s="14"/>
    </row>
    <row r="289" ht="25.05" customHeight="1" spans="1:81">
      <c r="A289" s="133"/>
      <c r="B289" s="37"/>
      <c r="C289" s="38"/>
      <c r="D289" s="14"/>
      <c r="E289" s="36"/>
      <c r="F289" s="36"/>
      <c r="G289" s="36"/>
      <c r="H289" s="40"/>
      <c r="I289" s="133"/>
      <c r="J289" s="134"/>
      <c r="K289" s="133"/>
      <c r="L289" s="140"/>
      <c r="M289" s="36"/>
      <c r="N289" s="36"/>
      <c r="O289" s="36"/>
      <c r="P289" s="36"/>
      <c r="Q289" s="37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33"/>
      <c r="BG289" s="133"/>
      <c r="BH289" s="133"/>
      <c r="BI289" s="133"/>
      <c r="BJ289" s="133"/>
      <c r="BK289" s="133"/>
      <c r="BL289" s="133"/>
      <c r="BM289" s="133"/>
      <c r="BN289" s="133"/>
      <c r="BO289" s="133"/>
      <c r="BP289" s="133"/>
      <c r="BQ289" s="133"/>
      <c r="BR289" s="133"/>
      <c r="BS289" s="133"/>
      <c r="BT289" s="133"/>
      <c r="BU289" s="133"/>
      <c r="BV289" s="133"/>
      <c r="BW289" s="133"/>
      <c r="BX289" s="133"/>
      <c r="BY289" s="133"/>
      <c r="BZ289" s="133"/>
      <c r="CA289" s="133"/>
      <c r="CB289" s="133"/>
      <c r="CC289" s="14"/>
    </row>
    <row r="290" ht="25.05" customHeight="1" spans="1:81">
      <c r="A290" s="133"/>
      <c r="B290" s="37"/>
      <c r="C290" s="38"/>
      <c r="D290" s="14"/>
      <c r="E290" s="36"/>
      <c r="F290" s="36"/>
      <c r="G290" s="36"/>
      <c r="H290" s="40"/>
      <c r="I290" s="133"/>
      <c r="J290" s="134"/>
      <c r="K290" s="133"/>
      <c r="L290" s="140"/>
      <c r="M290" s="36"/>
      <c r="N290" s="36"/>
      <c r="O290" s="36"/>
      <c r="P290" s="36"/>
      <c r="Q290" s="37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/>
      <c r="BF290" s="133"/>
      <c r="BG290" s="133"/>
      <c r="BH290" s="133"/>
      <c r="BI290" s="133"/>
      <c r="BJ290" s="133"/>
      <c r="BK290" s="133"/>
      <c r="BL290" s="133"/>
      <c r="BM290" s="133"/>
      <c r="BN290" s="133"/>
      <c r="BO290" s="133"/>
      <c r="BP290" s="133"/>
      <c r="BQ290" s="133"/>
      <c r="BR290" s="133"/>
      <c r="BS290" s="133"/>
      <c r="BT290" s="133"/>
      <c r="BU290" s="133"/>
      <c r="BV290" s="133"/>
      <c r="BW290" s="133"/>
      <c r="BX290" s="133"/>
      <c r="BY290" s="133"/>
      <c r="BZ290" s="133"/>
      <c r="CA290" s="133"/>
      <c r="CB290" s="133"/>
      <c r="CC290" s="14"/>
    </row>
    <row r="291" ht="25.05" customHeight="1" spans="1:81">
      <c r="A291" s="133"/>
      <c r="B291" s="37"/>
      <c r="C291" s="38"/>
      <c r="D291" s="14"/>
      <c r="E291" s="36"/>
      <c r="F291" s="36"/>
      <c r="G291" s="36"/>
      <c r="H291" s="40"/>
      <c r="I291" s="133"/>
      <c r="J291" s="134"/>
      <c r="K291" s="133"/>
      <c r="L291" s="140"/>
      <c r="M291" s="36"/>
      <c r="N291" s="36"/>
      <c r="O291" s="36"/>
      <c r="P291" s="36"/>
      <c r="Q291" s="37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33"/>
      <c r="BG291" s="133"/>
      <c r="BH291" s="133"/>
      <c r="BI291" s="133"/>
      <c r="BJ291" s="133"/>
      <c r="BK291" s="133"/>
      <c r="BL291" s="133"/>
      <c r="BM291" s="133"/>
      <c r="BN291" s="133"/>
      <c r="BO291" s="133"/>
      <c r="BP291" s="133"/>
      <c r="BQ291" s="133"/>
      <c r="BR291" s="133"/>
      <c r="BS291" s="133"/>
      <c r="BT291" s="133"/>
      <c r="BU291" s="133"/>
      <c r="BV291" s="133"/>
      <c r="BW291" s="133"/>
      <c r="BX291" s="133"/>
      <c r="BY291" s="133"/>
      <c r="BZ291" s="133"/>
      <c r="CA291" s="133"/>
      <c r="CB291" s="133"/>
      <c r="CC291" s="14"/>
    </row>
    <row r="292" ht="25.05" customHeight="1" spans="1:81">
      <c r="A292" s="133"/>
      <c r="B292" s="37"/>
      <c r="C292" s="38"/>
      <c r="D292" s="14"/>
      <c r="E292" s="36"/>
      <c r="F292" s="36"/>
      <c r="G292" s="36"/>
      <c r="H292" s="40"/>
      <c r="I292" s="133"/>
      <c r="J292" s="134"/>
      <c r="K292" s="133"/>
      <c r="L292" s="140"/>
      <c r="M292" s="36"/>
      <c r="N292" s="36"/>
      <c r="O292" s="36"/>
      <c r="P292" s="36"/>
      <c r="Q292" s="37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  <c r="AY292" s="133"/>
      <c r="AZ292" s="133"/>
      <c r="BA292" s="133"/>
      <c r="BB292" s="133"/>
      <c r="BC292" s="133"/>
      <c r="BD292" s="133"/>
      <c r="BE292" s="133"/>
      <c r="BF292" s="133"/>
      <c r="BG292" s="133"/>
      <c r="BH292" s="133"/>
      <c r="BI292" s="133"/>
      <c r="BJ292" s="133"/>
      <c r="BK292" s="133"/>
      <c r="BL292" s="133"/>
      <c r="BM292" s="133"/>
      <c r="BN292" s="133"/>
      <c r="BO292" s="133"/>
      <c r="BP292" s="133"/>
      <c r="BQ292" s="133"/>
      <c r="BR292" s="133"/>
      <c r="BS292" s="133"/>
      <c r="BT292" s="133"/>
      <c r="BU292" s="133"/>
      <c r="BV292" s="133"/>
      <c r="BW292" s="133"/>
      <c r="BX292" s="133"/>
      <c r="BY292" s="133"/>
      <c r="BZ292" s="133"/>
      <c r="CA292" s="133"/>
      <c r="CB292" s="133"/>
      <c r="CC292" s="14"/>
    </row>
    <row r="293" ht="25.05" customHeight="1" spans="1:81">
      <c r="A293" s="133"/>
      <c r="B293" s="37"/>
      <c r="C293" s="38"/>
      <c r="D293" s="14"/>
      <c r="E293" s="36"/>
      <c r="F293" s="36"/>
      <c r="G293" s="36"/>
      <c r="H293" s="40"/>
      <c r="I293" s="133"/>
      <c r="J293" s="134"/>
      <c r="K293" s="133"/>
      <c r="L293" s="140"/>
      <c r="M293" s="36"/>
      <c r="N293" s="36"/>
      <c r="O293" s="36"/>
      <c r="P293" s="36"/>
      <c r="Q293" s="37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  <c r="AY293" s="133"/>
      <c r="AZ293" s="133"/>
      <c r="BA293" s="133"/>
      <c r="BB293" s="133"/>
      <c r="BC293" s="133"/>
      <c r="BD293" s="133"/>
      <c r="BE293" s="133"/>
      <c r="BF293" s="133"/>
      <c r="BG293" s="133"/>
      <c r="BH293" s="133"/>
      <c r="BI293" s="133"/>
      <c r="BJ293" s="133"/>
      <c r="BK293" s="133"/>
      <c r="BL293" s="133"/>
      <c r="BM293" s="133"/>
      <c r="BN293" s="133"/>
      <c r="BO293" s="133"/>
      <c r="BP293" s="133"/>
      <c r="BQ293" s="133"/>
      <c r="BR293" s="133"/>
      <c r="BS293" s="133"/>
      <c r="BT293" s="133"/>
      <c r="BU293" s="133"/>
      <c r="BV293" s="133"/>
      <c r="BW293" s="133"/>
      <c r="BX293" s="133"/>
      <c r="BY293" s="133"/>
      <c r="BZ293" s="133"/>
      <c r="CA293" s="133"/>
      <c r="CB293" s="133"/>
      <c r="CC293" s="14"/>
    </row>
    <row r="294" ht="25.05" customHeight="1" spans="1:81">
      <c r="A294" s="133"/>
      <c r="B294" s="37"/>
      <c r="C294" s="38"/>
      <c r="D294" s="14"/>
      <c r="E294" s="36"/>
      <c r="F294" s="36"/>
      <c r="G294" s="36"/>
      <c r="H294" s="40"/>
      <c r="I294" s="133"/>
      <c r="J294" s="134"/>
      <c r="K294" s="133"/>
      <c r="L294" s="140"/>
      <c r="M294" s="36"/>
      <c r="N294" s="36"/>
      <c r="O294" s="36"/>
      <c r="P294" s="36"/>
      <c r="Q294" s="37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133"/>
      <c r="BG294" s="133"/>
      <c r="BH294" s="133"/>
      <c r="BI294" s="133"/>
      <c r="BJ294" s="133"/>
      <c r="BK294" s="133"/>
      <c r="BL294" s="133"/>
      <c r="BM294" s="133"/>
      <c r="BN294" s="133"/>
      <c r="BO294" s="133"/>
      <c r="BP294" s="133"/>
      <c r="BQ294" s="133"/>
      <c r="BR294" s="133"/>
      <c r="BS294" s="133"/>
      <c r="BT294" s="133"/>
      <c r="BU294" s="133"/>
      <c r="BV294" s="133"/>
      <c r="BW294" s="133"/>
      <c r="BX294" s="133"/>
      <c r="BY294" s="133"/>
      <c r="BZ294" s="133"/>
      <c r="CA294" s="133"/>
      <c r="CB294" s="133"/>
      <c r="CC294" s="14"/>
    </row>
    <row r="295" ht="25.05" customHeight="1" spans="1:81">
      <c r="A295" s="133"/>
      <c r="B295" s="37"/>
      <c r="C295" s="38"/>
      <c r="D295" s="14"/>
      <c r="E295" s="36"/>
      <c r="F295" s="36"/>
      <c r="G295" s="36"/>
      <c r="H295" s="40"/>
      <c r="I295" s="133"/>
      <c r="J295" s="134"/>
      <c r="K295" s="133"/>
      <c r="L295" s="140"/>
      <c r="M295" s="36"/>
      <c r="N295" s="36"/>
      <c r="O295" s="36"/>
      <c r="P295" s="36"/>
      <c r="Q295" s="37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133"/>
      <c r="BG295" s="133"/>
      <c r="BH295" s="133"/>
      <c r="BI295" s="133"/>
      <c r="BJ295" s="133"/>
      <c r="BK295" s="133"/>
      <c r="BL295" s="133"/>
      <c r="BM295" s="133"/>
      <c r="BN295" s="133"/>
      <c r="BO295" s="133"/>
      <c r="BP295" s="133"/>
      <c r="BQ295" s="133"/>
      <c r="BR295" s="133"/>
      <c r="BS295" s="133"/>
      <c r="BT295" s="133"/>
      <c r="BU295" s="133"/>
      <c r="BV295" s="133"/>
      <c r="BW295" s="133"/>
      <c r="BX295" s="133"/>
      <c r="BY295" s="133"/>
      <c r="BZ295" s="133"/>
      <c r="CA295" s="133"/>
      <c r="CB295" s="133"/>
      <c r="CC295" s="14"/>
    </row>
    <row r="296" ht="25.05" customHeight="1" spans="1:81">
      <c r="A296" s="133"/>
      <c r="B296" s="37"/>
      <c r="C296" s="38"/>
      <c r="D296" s="14"/>
      <c r="E296" s="36"/>
      <c r="F296" s="36"/>
      <c r="G296" s="36"/>
      <c r="H296" s="40"/>
      <c r="I296" s="133"/>
      <c r="J296" s="134"/>
      <c r="K296" s="133"/>
      <c r="L296" s="140"/>
      <c r="M296" s="36"/>
      <c r="N296" s="36"/>
      <c r="O296" s="36"/>
      <c r="P296" s="36"/>
      <c r="Q296" s="37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33"/>
      <c r="BG296" s="133"/>
      <c r="BH296" s="133"/>
      <c r="BI296" s="133"/>
      <c r="BJ296" s="133"/>
      <c r="BK296" s="133"/>
      <c r="BL296" s="133"/>
      <c r="BM296" s="133"/>
      <c r="BN296" s="133"/>
      <c r="BO296" s="133"/>
      <c r="BP296" s="133"/>
      <c r="BQ296" s="133"/>
      <c r="BR296" s="133"/>
      <c r="BS296" s="133"/>
      <c r="BT296" s="133"/>
      <c r="BU296" s="133"/>
      <c r="BV296" s="133"/>
      <c r="BW296" s="133"/>
      <c r="BX296" s="133"/>
      <c r="BY296" s="133"/>
      <c r="BZ296" s="133"/>
      <c r="CA296" s="133"/>
      <c r="CB296" s="133"/>
      <c r="CC296" s="14"/>
    </row>
    <row r="297" ht="25.05" customHeight="1" spans="1:81">
      <c r="A297" s="133"/>
      <c r="B297" s="37"/>
      <c r="C297" s="38"/>
      <c r="D297" s="14"/>
      <c r="E297" s="36"/>
      <c r="F297" s="36"/>
      <c r="G297" s="36"/>
      <c r="H297" s="40"/>
      <c r="I297" s="133"/>
      <c r="J297" s="134"/>
      <c r="K297" s="133"/>
      <c r="L297" s="140"/>
      <c r="M297" s="36"/>
      <c r="N297" s="36"/>
      <c r="O297" s="36"/>
      <c r="P297" s="36"/>
      <c r="Q297" s="37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33"/>
      <c r="BG297" s="133"/>
      <c r="BH297" s="133"/>
      <c r="BI297" s="133"/>
      <c r="BJ297" s="133"/>
      <c r="BK297" s="133"/>
      <c r="BL297" s="133"/>
      <c r="BM297" s="133"/>
      <c r="BN297" s="133"/>
      <c r="BO297" s="133"/>
      <c r="BP297" s="133"/>
      <c r="BQ297" s="133"/>
      <c r="BR297" s="133"/>
      <c r="BS297" s="133"/>
      <c r="BT297" s="133"/>
      <c r="BU297" s="133"/>
      <c r="BV297" s="133"/>
      <c r="BW297" s="133"/>
      <c r="BX297" s="133"/>
      <c r="BY297" s="133"/>
      <c r="BZ297" s="133"/>
      <c r="CA297" s="133"/>
      <c r="CB297" s="133"/>
      <c r="CC297" s="14"/>
    </row>
    <row r="298" ht="25.05" customHeight="1" spans="1:81">
      <c r="A298" s="133"/>
      <c r="B298" s="37"/>
      <c r="C298" s="38"/>
      <c r="D298" s="14"/>
      <c r="E298" s="36"/>
      <c r="F298" s="36"/>
      <c r="G298" s="36"/>
      <c r="H298" s="40"/>
      <c r="I298" s="133"/>
      <c r="J298" s="134"/>
      <c r="K298" s="133"/>
      <c r="L298" s="140"/>
      <c r="M298" s="36"/>
      <c r="N298" s="36"/>
      <c r="O298" s="36"/>
      <c r="P298" s="36"/>
      <c r="Q298" s="37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33"/>
      <c r="BG298" s="133"/>
      <c r="BH298" s="133"/>
      <c r="BI298" s="133"/>
      <c r="BJ298" s="133"/>
      <c r="BK298" s="133"/>
      <c r="BL298" s="133"/>
      <c r="BM298" s="133"/>
      <c r="BN298" s="133"/>
      <c r="BO298" s="133"/>
      <c r="BP298" s="133"/>
      <c r="BQ298" s="133"/>
      <c r="BR298" s="133"/>
      <c r="BS298" s="133"/>
      <c r="BT298" s="133"/>
      <c r="BU298" s="133"/>
      <c r="BV298" s="133"/>
      <c r="BW298" s="133"/>
      <c r="BX298" s="133"/>
      <c r="BY298" s="133"/>
      <c r="BZ298" s="133"/>
      <c r="CA298" s="133"/>
      <c r="CB298" s="133"/>
      <c r="CC298" s="14"/>
    </row>
    <row r="299" ht="25.05" customHeight="1" spans="1:81">
      <c r="A299" s="133"/>
      <c r="B299" s="37"/>
      <c r="C299" s="38"/>
      <c r="D299" s="14"/>
      <c r="E299" s="36"/>
      <c r="F299" s="36"/>
      <c r="G299" s="36"/>
      <c r="H299" s="40"/>
      <c r="I299" s="133"/>
      <c r="J299" s="134"/>
      <c r="K299" s="133"/>
      <c r="L299" s="140"/>
      <c r="M299" s="36"/>
      <c r="N299" s="36"/>
      <c r="O299" s="36"/>
      <c r="P299" s="36"/>
      <c r="Q299" s="37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  <c r="AY299" s="133"/>
      <c r="AZ299" s="133"/>
      <c r="BA299" s="133"/>
      <c r="BB299" s="133"/>
      <c r="BC299" s="133"/>
      <c r="BD299" s="133"/>
      <c r="BE299" s="133"/>
      <c r="BF299" s="133"/>
      <c r="BG299" s="133"/>
      <c r="BH299" s="133"/>
      <c r="BI299" s="133"/>
      <c r="BJ299" s="133"/>
      <c r="BK299" s="133"/>
      <c r="BL299" s="133"/>
      <c r="BM299" s="133"/>
      <c r="BN299" s="133"/>
      <c r="BO299" s="133"/>
      <c r="BP299" s="133"/>
      <c r="BQ299" s="133"/>
      <c r="BR299" s="133"/>
      <c r="BS299" s="133"/>
      <c r="BT299" s="133"/>
      <c r="BU299" s="133"/>
      <c r="BV299" s="133"/>
      <c r="BW299" s="133"/>
      <c r="BX299" s="133"/>
      <c r="BY299" s="133"/>
      <c r="BZ299" s="133"/>
      <c r="CA299" s="133"/>
      <c r="CB299" s="133"/>
      <c r="CC299" s="14"/>
    </row>
    <row r="300" ht="25.05" customHeight="1" spans="1:81">
      <c r="A300" s="133"/>
      <c r="B300" s="37"/>
      <c r="C300" s="38"/>
      <c r="D300" s="14"/>
      <c r="E300" s="36"/>
      <c r="F300" s="36"/>
      <c r="G300" s="36"/>
      <c r="H300" s="40"/>
      <c r="I300" s="133"/>
      <c r="J300" s="134"/>
      <c r="K300" s="133"/>
      <c r="L300" s="140"/>
      <c r="M300" s="36"/>
      <c r="N300" s="36"/>
      <c r="O300" s="36"/>
      <c r="P300" s="36"/>
      <c r="Q300" s="37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33"/>
      <c r="BG300" s="133"/>
      <c r="BH300" s="133"/>
      <c r="BI300" s="133"/>
      <c r="BJ300" s="133"/>
      <c r="BK300" s="133"/>
      <c r="BL300" s="133"/>
      <c r="BM300" s="133"/>
      <c r="BN300" s="133"/>
      <c r="BO300" s="133"/>
      <c r="BP300" s="133"/>
      <c r="BQ300" s="133"/>
      <c r="BR300" s="133"/>
      <c r="BS300" s="133"/>
      <c r="BT300" s="133"/>
      <c r="BU300" s="133"/>
      <c r="BV300" s="133"/>
      <c r="BW300" s="133"/>
      <c r="BX300" s="133"/>
      <c r="BY300" s="133"/>
      <c r="BZ300" s="133"/>
      <c r="CA300" s="133"/>
      <c r="CB300" s="133"/>
      <c r="CC300" s="14"/>
    </row>
    <row r="301" ht="25.05" customHeight="1" spans="1:81">
      <c r="A301" s="133"/>
      <c r="B301" s="37"/>
      <c r="C301" s="38"/>
      <c r="D301" s="14"/>
      <c r="E301" s="36"/>
      <c r="F301" s="36"/>
      <c r="G301" s="36"/>
      <c r="H301" s="40"/>
      <c r="I301" s="133"/>
      <c r="J301" s="134"/>
      <c r="K301" s="133"/>
      <c r="L301" s="140"/>
      <c r="M301" s="36"/>
      <c r="N301" s="36"/>
      <c r="O301" s="36"/>
      <c r="P301" s="36"/>
      <c r="Q301" s="37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33"/>
      <c r="BG301" s="133"/>
      <c r="BH301" s="133"/>
      <c r="BI301" s="133"/>
      <c r="BJ301" s="133"/>
      <c r="BK301" s="133"/>
      <c r="BL301" s="133"/>
      <c r="BM301" s="133"/>
      <c r="BN301" s="133"/>
      <c r="BO301" s="133"/>
      <c r="BP301" s="133"/>
      <c r="BQ301" s="133"/>
      <c r="BR301" s="133"/>
      <c r="BS301" s="133"/>
      <c r="BT301" s="133"/>
      <c r="BU301" s="133"/>
      <c r="BV301" s="133"/>
      <c r="BW301" s="133"/>
      <c r="BX301" s="133"/>
      <c r="BY301" s="133"/>
      <c r="BZ301" s="133"/>
      <c r="CA301" s="133"/>
      <c r="CB301" s="133"/>
      <c r="CC301" s="14"/>
    </row>
    <row r="302" ht="25.05" customHeight="1" spans="1:81">
      <c r="A302" s="133"/>
      <c r="B302" s="37"/>
      <c r="C302" s="38"/>
      <c r="D302" s="14"/>
      <c r="E302" s="36"/>
      <c r="F302" s="36"/>
      <c r="G302" s="36"/>
      <c r="H302" s="40"/>
      <c r="I302" s="133"/>
      <c r="J302" s="134"/>
      <c r="K302" s="133"/>
      <c r="L302" s="140"/>
      <c r="M302" s="36"/>
      <c r="N302" s="36"/>
      <c r="O302" s="36"/>
      <c r="P302" s="36"/>
      <c r="Q302" s="37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33"/>
      <c r="BG302" s="133"/>
      <c r="BH302" s="133"/>
      <c r="BI302" s="133"/>
      <c r="BJ302" s="133"/>
      <c r="BK302" s="133"/>
      <c r="BL302" s="133"/>
      <c r="BM302" s="133"/>
      <c r="BN302" s="133"/>
      <c r="BO302" s="133"/>
      <c r="BP302" s="133"/>
      <c r="BQ302" s="133"/>
      <c r="BR302" s="133"/>
      <c r="BS302" s="133"/>
      <c r="BT302" s="133"/>
      <c r="BU302" s="133"/>
      <c r="BV302" s="133"/>
      <c r="BW302" s="133"/>
      <c r="BX302" s="133"/>
      <c r="BY302" s="133"/>
      <c r="BZ302" s="133"/>
      <c r="CA302" s="133"/>
      <c r="CB302" s="133"/>
      <c r="CC302" s="14"/>
    </row>
    <row r="303" ht="25.05" customHeight="1" spans="1:81">
      <c r="A303" s="133"/>
      <c r="B303" s="37"/>
      <c r="C303" s="38"/>
      <c r="D303" s="14"/>
      <c r="E303" s="36"/>
      <c r="F303" s="36"/>
      <c r="G303" s="36"/>
      <c r="H303" s="40"/>
      <c r="I303" s="133"/>
      <c r="J303" s="134"/>
      <c r="K303" s="133"/>
      <c r="L303" s="140"/>
      <c r="M303" s="36"/>
      <c r="N303" s="36"/>
      <c r="O303" s="36"/>
      <c r="P303" s="36"/>
      <c r="Q303" s="37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/>
      <c r="BF303" s="133"/>
      <c r="BG303" s="133"/>
      <c r="BH303" s="133"/>
      <c r="BI303" s="133"/>
      <c r="BJ303" s="133"/>
      <c r="BK303" s="133"/>
      <c r="BL303" s="133"/>
      <c r="BM303" s="133"/>
      <c r="BN303" s="133"/>
      <c r="BO303" s="133"/>
      <c r="BP303" s="133"/>
      <c r="BQ303" s="133"/>
      <c r="BR303" s="133"/>
      <c r="BS303" s="133"/>
      <c r="BT303" s="133"/>
      <c r="BU303" s="133"/>
      <c r="BV303" s="133"/>
      <c r="BW303" s="133"/>
      <c r="BX303" s="133"/>
      <c r="BY303" s="133"/>
      <c r="BZ303" s="133"/>
      <c r="CA303" s="133"/>
      <c r="CB303" s="133"/>
      <c r="CC303" s="14"/>
    </row>
    <row r="304" ht="25.05" customHeight="1" spans="1:81">
      <c r="A304" s="133"/>
      <c r="B304" s="37"/>
      <c r="C304" s="38"/>
      <c r="D304" s="14"/>
      <c r="E304" s="36"/>
      <c r="F304" s="36"/>
      <c r="G304" s="36"/>
      <c r="H304" s="40"/>
      <c r="I304" s="133"/>
      <c r="J304" s="134"/>
      <c r="K304" s="133"/>
      <c r="L304" s="140"/>
      <c r="M304" s="36"/>
      <c r="N304" s="36"/>
      <c r="O304" s="36"/>
      <c r="P304" s="36"/>
      <c r="Q304" s="37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33"/>
      <c r="BG304" s="133"/>
      <c r="BH304" s="133"/>
      <c r="BI304" s="133"/>
      <c r="BJ304" s="133"/>
      <c r="BK304" s="133"/>
      <c r="BL304" s="133"/>
      <c r="BM304" s="133"/>
      <c r="BN304" s="133"/>
      <c r="BO304" s="133"/>
      <c r="BP304" s="133"/>
      <c r="BQ304" s="133"/>
      <c r="BR304" s="133"/>
      <c r="BS304" s="133"/>
      <c r="BT304" s="133"/>
      <c r="BU304" s="133"/>
      <c r="BV304" s="133"/>
      <c r="BW304" s="133"/>
      <c r="BX304" s="133"/>
      <c r="BY304" s="133"/>
      <c r="BZ304" s="133"/>
      <c r="CA304" s="133"/>
      <c r="CB304" s="133"/>
      <c r="CC304" s="14"/>
    </row>
    <row r="305" ht="25.05" customHeight="1" spans="1:81">
      <c r="A305" s="133"/>
      <c r="B305" s="37"/>
      <c r="C305" s="38"/>
      <c r="D305" s="14"/>
      <c r="E305" s="36"/>
      <c r="F305" s="36"/>
      <c r="G305" s="36"/>
      <c r="H305" s="40"/>
      <c r="I305" s="133"/>
      <c r="J305" s="134"/>
      <c r="K305" s="133"/>
      <c r="L305" s="140"/>
      <c r="M305" s="36"/>
      <c r="N305" s="36"/>
      <c r="O305" s="36"/>
      <c r="P305" s="36"/>
      <c r="Q305" s="37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33"/>
      <c r="BG305" s="133"/>
      <c r="BH305" s="133"/>
      <c r="BI305" s="133"/>
      <c r="BJ305" s="133"/>
      <c r="BK305" s="133"/>
      <c r="BL305" s="133"/>
      <c r="BM305" s="133"/>
      <c r="BN305" s="133"/>
      <c r="BO305" s="133"/>
      <c r="BP305" s="133"/>
      <c r="BQ305" s="133"/>
      <c r="BR305" s="133"/>
      <c r="BS305" s="133"/>
      <c r="BT305" s="133"/>
      <c r="BU305" s="133"/>
      <c r="BV305" s="133"/>
      <c r="BW305" s="133"/>
      <c r="BX305" s="133"/>
      <c r="BY305" s="133"/>
      <c r="BZ305" s="133"/>
      <c r="CA305" s="133"/>
      <c r="CB305" s="133"/>
      <c r="CC305" s="14"/>
    </row>
    <row r="306" ht="25.05" customHeight="1" spans="1:81">
      <c r="A306" s="133"/>
      <c r="B306" s="37"/>
      <c r="C306" s="38"/>
      <c r="D306" s="14"/>
      <c r="E306" s="36"/>
      <c r="F306" s="36"/>
      <c r="G306" s="36"/>
      <c r="H306" s="40"/>
      <c r="I306" s="133"/>
      <c r="J306" s="134"/>
      <c r="K306" s="133"/>
      <c r="L306" s="140"/>
      <c r="M306" s="36"/>
      <c r="N306" s="36"/>
      <c r="O306" s="36"/>
      <c r="P306" s="36"/>
      <c r="Q306" s="37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33"/>
      <c r="BG306" s="133"/>
      <c r="BH306" s="133"/>
      <c r="BI306" s="133"/>
      <c r="BJ306" s="133"/>
      <c r="BK306" s="133"/>
      <c r="BL306" s="133"/>
      <c r="BM306" s="133"/>
      <c r="BN306" s="133"/>
      <c r="BO306" s="133"/>
      <c r="BP306" s="133"/>
      <c r="BQ306" s="133"/>
      <c r="BR306" s="133"/>
      <c r="BS306" s="133"/>
      <c r="BT306" s="133"/>
      <c r="BU306" s="133"/>
      <c r="BV306" s="133"/>
      <c r="BW306" s="133"/>
      <c r="BX306" s="133"/>
      <c r="BY306" s="133"/>
      <c r="BZ306" s="133"/>
      <c r="CA306" s="133"/>
      <c r="CB306" s="133"/>
      <c r="CC306" s="14"/>
    </row>
    <row r="307" ht="25.05" customHeight="1" spans="1:81">
      <c r="A307" s="133"/>
      <c r="B307" s="37"/>
      <c r="C307" s="38"/>
      <c r="D307" s="14"/>
      <c r="E307" s="36"/>
      <c r="F307" s="36"/>
      <c r="G307" s="36"/>
      <c r="H307" s="40"/>
      <c r="I307" s="133"/>
      <c r="J307" s="134"/>
      <c r="K307" s="133"/>
      <c r="L307" s="140"/>
      <c r="M307" s="36"/>
      <c r="N307" s="36"/>
      <c r="O307" s="36"/>
      <c r="P307" s="36"/>
      <c r="Q307" s="37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  <c r="AY307" s="133"/>
      <c r="AZ307" s="133"/>
      <c r="BA307" s="133"/>
      <c r="BB307" s="133"/>
      <c r="BC307" s="133"/>
      <c r="BD307" s="133"/>
      <c r="BE307" s="133"/>
      <c r="BF307" s="133"/>
      <c r="BG307" s="133"/>
      <c r="BH307" s="133"/>
      <c r="BI307" s="133"/>
      <c r="BJ307" s="133"/>
      <c r="BK307" s="133"/>
      <c r="BL307" s="133"/>
      <c r="BM307" s="133"/>
      <c r="BN307" s="133"/>
      <c r="BO307" s="133"/>
      <c r="BP307" s="133"/>
      <c r="BQ307" s="133"/>
      <c r="BR307" s="133"/>
      <c r="BS307" s="133"/>
      <c r="BT307" s="133"/>
      <c r="BU307" s="133"/>
      <c r="BV307" s="133"/>
      <c r="BW307" s="133"/>
      <c r="BX307" s="133"/>
      <c r="BY307" s="133"/>
      <c r="BZ307" s="133"/>
      <c r="CA307" s="133"/>
      <c r="CB307" s="133"/>
      <c r="CC307" s="14"/>
    </row>
    <row r="308" ht="25.05" customHeight="1" spans="1:81">
      <c r="A308" s="133"/>
      <c r="B308" s="37"/>
      <c r="C308" s="38"/>
      <c r="D308" s="14"/>
      <c r="E308" s="36"/>
      <c r="F308" s="36"/>
      <c r="G308" s="36"/>
      <c r="H308" s="40"/>
      <c r="I308" s="133"/>
      <c r="J308" s="134"/>
      <c r="K308" s="133"/>
      <c r="L308" s="140"/>
      <c r="M308" s="36"/>
      <c r="N308" s="36"/>
      <c r="O308" s="36"/>
      <c r="P308" s="36"/>
      <c r="Q308" s="37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33"/>
      <c r="BG308" s="133"/>
      <c r="BH308" s="133"/>
      <c r="BI308" s="133"/>
      <c r="BJ308" s="133"/>
      <c r="BK308" s="133"/>
      <c r="BL308" s="133"/>
      <c r="BM308" s="133"/>
      <c r="BN308" s="133"/>
      <c r="BO308" s="133"/>
      <c r="BP308" s="133"/>
      <c r="BQ308" s="133"/>
      <c r="BR308" s="133"/>
      <c r="BS308" s="133"/>
      <c r="BT308" s="133"/>
      <c r="BU308" s="133"/>
      <c r="BV308" s="133"/>
      <c r="BW308" s="133"/>
      <c r="BX308" s="133"/>
      <c r="BY308" s="133"/>
      <c r="BZ308" s="133"/>
      <c r="CA308" s="133"/>
      <c r="CB308" s="133"/>
      <c r="CC308" s="14"/>
    </row>
    <row r="309" ht="25.05" customHeight="1" spans="1:81">
      <c r="A309" s="133"/>
      <c r="B309" s="37"/>
      <c r="C309" s="38"/>
      <c r="D309" s="14"/>
      <c r="E309" s="36"/>
      <c r="F309" s="36"/>
      <c r="G309" s="36"/>
      <c r="H309" s="40"/>
      <c r="I309" s="133"/>
      <c r="J309" s="134"/>
      <c r="K309" s="133"/>
      <c r="L309" s="140"/>
      <c r="M309" s="36"/>
      <c r="N309" s="36"/>
      <c r="O309" s="36"/>
      <c r="P309" s="36"/>
      <c r="Q309" s="37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33"/>
      <c r="BG309" s="133"/>
      <c r="BH309" s="133"/>
      <c r="BI309" s="133"/>
      <c r="BJ309" s="133"/>
      <c r="BK309" s="133"/>
      <c r="BL309" s="133"/>
      <c r="BM309" s="133"/>
      <c r="BN309" s="133"/>
      <c r="BO309" s="133"/>
      <c r="BP309" s="133"/>
      <c r="BQ309" s="133"/>
      <c r="BR309" s="133"/>
      <c r="BS309" s="133"/>
      <c r="BT309" s="133"/>
      <c r="BU309" s="133"/>
      <c r="BV309" s="133"/>
      <c r="BW309" s="133"/>
      <c r="BX309" s="133"/>
      <c r="BY309" s="133"/>
      <c r="BZ309" s="133"/>
      <c r="CA309" s="133"/>
      <c r="CB309" s="133"/>
      <c r="CC309" s="14"/>
    </row>
    <row r="310" ht="25.05" customHeight="1" spans="1:81">
      <c r="A310" s="133"/>
      <c r="B310" s="37"/>
      <c r="C310" s="38"/>
      <c r="D310" s="14"/>
      <c r="E310" s="36"/>
      <c r="F310" s="36"/>
      <c r="G310" s="36"/>
      <c r="H310" s="40"/>
      <c r="I310" s="133"/>
      <c r="J310" s="134"/>
      <c r="K310" s="133"/>
      <c r="L310" s="140"/>
      <c r="M310" s="36"/>
      <c r="N310" s="36"/>
      <c r="O310" s="36"/>
      <c r="P310" s="36"/>
      <c r="Q310" s="37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  <c r="AY310" s="133"/>
      <c r="AZ310" s="133"/>
      <c r="BA310" s="133"/>
      <c r="BB310" s="133"/>
      <c r="BC310" s="133"/>
      <c r="BD310" s="133"/>
      <c r="BE310" s="133"/>
      <c r="BF310" s="133"/>
      <c r="BG310" s="133"/>
      <c r="BH310" s="133"/>
      <c r="BI310" s="133"/>
      <c r="BJ310" s="133"/>
      <c r="BK310" s="133"/>
      <c r="BL310" s="133"/>
      <c r="BM310" s="133"/>
      <c r="BN310" s="133"/>
      <c r="BO310" s="133"/>
      <c r="BP310" s="133"/>
      <c r="BQ310" s="133"/>
      <c r="BR310" s="133"/>
      <c r="BS310" s="133"/>
      <c r="BT310" s="133"/>
      <c r="BU310" s="133"/>
      <c r="BV310" s="133"/>
      <c r="BW310" s="133"/>
      <c r="BX310" s="133"/>
      <c r="BY310" s="133"/>
      <c r="BZ310" s="133"/>
      <c r="CA310" s="133"/>
      <c r="CB310" s="133"/>
      <c r="CC310" s="14"/>
    </row>
    <row r="311" ht="25.05" customHeight="1" spans="1:81">
      <c r="A311" s="133"/>
      <c r="B311" s="37"/>
      <c r="C311" s="38"/>
      <c r="D311" s="14"/>
      <c r="E311" s="36"/>
      <c r="F311" s="36"/>
      <c r="G311" s="36"/>
      <c r="H311" s="40"/>
      <c r="I311" s="133"/>
      <c r="J311" s="134"/>
      <c r="K311" s="133"/>
      <c r="L311" s="140"/>
      <c r="M311" s="36"/>
      <c r="N311" s="36"/>
      <c r="O311" s="36"/>
      <c r="P311" s="36"/>
      <c r="Q311" s="37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33"/>
      <c r="BG311" s="133"/>
      <c r="BH311" s="133"/>
      <c r="BI311" s="133"/>
      <c r="BJ311" s="133"/>
      <c r="BK311" s="133"/>
      <c r="BL311" s="133"/>
      <c r="BM311" s="133"/>
      <c r="BN311" s="133"/>
      <c r="BO311" s="133"/>
      <c r="BP311" s="133"/>
      <c r="BQ311" s="133"/>
      <c r="BR311" s="133"/>
      <c r="BS311" s="133"/>
      <c r="BT311" s="133"/>
      <c r="BU311" s="133"/>
      <c r="BV311" s="133"/>
      <c r="BW311" s="133"/>
      <c r="BX311" s="133"/>
      <c r="BY311" s="133"/>
      <c r="BZ311" s="133"/>
      <c r="CA311" s="133"/>
      <c r="CB311" s="133"/>
      <c r="CC311" s="14"/>
    </row>
    <row r="312" ht="25.05" customHeight="1" spans="1:81">
      <c r="A312" s="133"/>
      <c r="B312" s="37"/>
      <c r="C312" s="38"/>
      <c r="D312" s="14"/>
      <c r="E312" s="36"/>
      <c r="F312" s="36"/>
      <c r="G312" s="36"/>
      <c r="H312" s="40"/>
      <c r="I312" s="133"/>
      <c r="J312" s="134"/>
      <c r="K312" s="133"/>
      <c r="L312" s="140"/>
      <c r="M312" s="36"/>
      <c r="N312" s="36"/>
      <c r="O312" s="36"/>
      <c r="P312" s="36"/>
      <c r="Q312" s="37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33"/>
      <c r="BG312" s="133"/>
      <c r="BH312" s="133"/>
      <c r="BI312" s="133"/>
      <c r="BJ312" s="133"/>
      <c r="BK312" s="133"/>
      <c r="BL312" s="133"/>
      <c r="BM312" s="133"/>
      <c r="BN312" s="133"/>
      <c r="BO312" s="133"/>
      <c r="BP312" s="133"/>
      <c r="BQ312" s="133"/>
      <c r="BR312" s="133"/>
      <c r="BS312" s="133"/>
      <c r="BT312" s="133"/>
      <c r="BU312" s="133"/>
      <c r="BV312" s="133"/>
      <c r="BW312" s="133"/>
      <c r="BX312" s="133"/>
      <c r="BY312" s="133"/>
      <c r="BZ312" s="133"/>
      <c r="CA312" s="133"/>
      <c r="CB312" s="133"/>
      <c r="CC312" s="14"/>
    </row>
    <row r="313" ht="25.05" customHeight="1" spans="1:81">
      <c r="A313" s="133"/>
      <c r="B313" s="37"/>
      <c r="C313" s="38"/>
      <c r="D313" s="14"/>
      <c r="E313" s="36"/>
      <c r="F313" s="36"/>
      <c r="G313" s="36"/>
      <c r="H313" s="40"/>
      <c r="I313" s="133"/>
      <c r="J313" s="134"/>
      <c r="K313" s="133"/>
      <c r="L313" s="140"/>
      <c r="M313" s="36"/>
      <c r="N313" s="36"/>
      <c r="O313" s="36"/>
      <c r="P313" s="36"/>
      <c r="Q313" s="37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  <c r="AY313" s="133"/>
      <c r="AZ313" s="133"/>
      <c r="BA313" s="133"/>
      <c r="BB313" s="133"/>
      <c r="BC313" s="133"/>
      <c r="BD313" s="133"/>
      <c r="BE313" s="133"/>
      <c r="BF313" s="133"/>
      <c r="BG313" s="133"/>
      <c r="BH313" s="133"/>
      <c r="BI313" s="133"/>
      <c r="BJ313" s="133"/>
      <c r="BK313" s="133"/>
      <c r="BL313" s="133"/>
      <c r="BM313" s="133"/>
      <c r="BN313" s="133"/>
      <c r="BO313" s="133"/>
      <c r="BP313" s="133"/>
      <c r="BQ313" s="133"/>
      <c r="BR313" s="133"/>
      <c r="BS313" s="133"/>
      <c r="BT313" s="133"/>
      <c r="BU313" s="133"/>
      <c r="BV313" s="133"/>
      <c r="BW313" s="133"/>
      <c r="BX313" s="133"/>
      <c r="BY313" s="133"/>
      <c r="BZ313" s="133"/>
      <c r="CA313" s="133"/>
      <c r="CB313" s="133"/>
      <c r="CC313" s="14"/>
    </row>
    <row r="314" ht="25.05" customHeight="1" spans="1:81">
      <c r="A314" s="133"/>
      <c r="B314" s="37"/>
      <c r="C314" s="38"/>
      <c r="D314" s="14"/>
      <c r="E314" s="36"/>
      <c r="F314" s="36"/>
      <c r="G314" s="36"/>
      <c r="H314" s="40"/>
      <c r="I314" s="133"/>
      <c r="J314" s="134"/>
      <c r="K314" s="133"/>
      <c r="L314" s="140"/>
      <c r="M314" s="36"/>
      <c r="N314" s="36"/>
      <c r="O314" s="36"/>
      <c r="P314" s="36"/>
      <c r="Q314" s="37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33"/>
      <c r="BG314" s="133"/>
      <c r="BH314" s="133"/>
      <c r="BI314" s="133"/>
      <c r="BJ314" s="133"/>
      <c r="BK314" s="133"/>
      <c r="BL314" s="133"/>
      <c r="BM314" s="133"/>
      <c r="BN314" s="133"/>
      <c r="BO314" s="133"/>
      <c r="BP314" s="133"/>
      <c r="BQ314" s="133"/>
      <c r="BR314" s="133"/>
      <c r="BS314" s="133"/>
      <c r="BT314" s="133"/>
      <c r="BU314" s="133"/>
      <c r="BV314" s="133"/>
      <c r="BW314" s="133"/>
      <c r="BX314" s="133"/>
      <c r="BY314" s="133"/>
      <c r="BZ314" s="133"/>
      <c r="CA314" s="133"/>
      <c r="CB314" s="133"/>
      <c r="CC314" s="14"/>
    </row>
    <row r="315" ht="25.05" customHeight="1" spans="1:81">
      <c r="A315" s="133"/>
      <c r="B315" s="37"/>
      <c r="C315" s="38"/>
      <c r="D315" s="14"/>
      <c r="E315" s="36"/>
      <c r="F315" s="36"/>
      <c r="G315" s="36"/>
      <c r="H315" s="40"/>
      <c r="I315" s="133"/>
      <c r="J315" s="134"/>
      <c r="K315" s="133"/>
      <c r="L315" s="140"/>
      <c r="M315" s="36"/>
      <c r="N315" s="36"/>
      <c r="O315" s="36"/>
      <c r="P315" s="36"/>
      <c r="Q315" s="37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33"/>
      <c r="BG315" s="133"/>
      <c r="BH315" s="133"/>
      <c r="BI315" s="133"/>
      <c r="BJ315" s="133"/>
      <c r="BK315" s="133"/>
      <c r="BL315" s="133"/>
      <c r="BM315" s="133"/>
      <c r="BN315" s="133"/>
      <c r="BO315" s="133"/>
      <c r="BP315" s="133"/>
      <c r="BQ315" s="133"/>
      <c r="BR315" s="133"/>
      <c r="BS315" s="133"/>
      <c r="BT315" s="133"/>
      <c r="BU315" s="133"/>
      <c r="BV315" s="133"/>
      <c r="BW315" s="133"/>
      <c r="BX315" s="133"/>
      <c r="BY315" s="133"/>
      <c r="BZ315" s="133"/>
      <c r="CA315" s="133"/>
      <c r="CB315" s="133"/>
      <c r="CC315" s="14"/>
    </row>
    <row r="316" ht="25.05" customHeight="1" spans="1:81">
      <c r="A316" s="133"/>
      <c r="B316" s="37"/>
      <c r="C316" s="38"/>
      <c r="D316" s="14"/>
      <c r="E316" s="36"/>
      <c r="F316" s="36"/>
      <c r="G316" s="36"/>
      <c r="H316" s="40"/>
      <c r="I316" s="133"/>
      <c r="J316" s="134"/>
      <c r="K316" s="133"/>
      <c r="L316" s="140"/>
      <c r="M316" s="36"/>
      <c r="N316" s="36"/>
      <c r="O316" s="36"/>
      <c r="P316" s="36"/>
      <c r="Q316" s="37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3"/>
      <c r="BF316" s="133"/>
      <c r="BG316" s="133"/>
      <c r="BH316" s="133"/>
      <c r="BI316" s="133"/>
      <c r="BJ316" s="133"/>
      <c r="BK316" s="133"/>
      <c r="BL316" s="133"/>
      <c r="BM316" s="133"/>
      <c r="BN316" s="133"/>
      <c r="BO316" s="133"/>
      <c r="BP316" s="133"/>
      <c r="BQ316" s="133"/>
      <c r="BR316" s="133"/>
      <c r="BS316" s="133"/>
      <c r="BT316" s="133"/>
      <c r="BU316" s="133"/>
      <c r="BV316" s="133"/>
      <c r="BW316" s="133"/>
      <c r="BX316" s="133"/>
      <c r="BY316" s="133"/>
      <c r="BZ316" s="133"/>
      <c r="CA316" s="133"/>
      <c r="CB316" s="133"/>
      <c r="CC316" s="14"/>
    </row>
    <row r="317" ht="25.05" customHeight="1" spans="1:81">
      <c r="A317" s="133"/>
      <c r="B317" s="37"/>
      <c r="C317" s="38"/>
      <c r="D317" s="14"/>
      <c r="E317" s="36"/>
      <c r="F317" s="36"/>
      <c r="G317" s="36"/>
      <c r="H317" s="40"/>
      <c r="I317" s="133"/>
      <c r="J317" s="134"/>
      <c r="K317" s="133"/>
      <c r="L317" s="140"/>
      <c r="M317" s="36"/>
      <c r="N317" s="36"/>
      <c r="O317" s="36"/>
      <c r="P317" s="36"/>
      <c r="Q317" s="37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33"/>
      <c r="BG317" s="133"/>
      <c r="BH317" s="133"/>
      <c r="BI317" s="133"/>
      <c r="BJ317" s="133"/>
      <c r="BK317" s="133"/>
      <c r="BL317" s="133"/>
      <c r="BM317" s="133"/>
      <c r="BN317" s="133"/>
      <c r="BO317" s="133"/>
      <c r="BP317" s="133"/>
      <c r="BQ317" s="133"/>
      <c r="BR317" s="133"/>
      <c r="BS317" s="133"/>
      <c r="BT317" s="133"/>
      <c r="BU317" s="133"/>
      <c r="BV317" s="133"/>
      <c r="BW317" s="133"/>
      <c r="BX317" s="133"/>
      <c r="BY317" s="133"/>
      <c r="BZ317" s="133"/>
      <c r="CA317" s="133"/>
      <c r="CB317" s="133"/>
      <c r="CC317" s="14"/>
    </row>
    <row r="318" ht="25.05" customHeight="1" spans="1:81">
      <c r="A318" s="133"/>
      <c r="B318" s="37"/>
      <c r="C318" s="38"/>
      <c r="D318" s="14"/>
      <c r="E318" s="36"/>
      <c r="F318" s="36"/>
      <c r="G318" s="36"/>
      <c r="H318" s="40"/>
      <c r="I318" s="133"/>
      <c r="J318" s="134"/>
      <c r="K318" s="133"/>
      <c r="L318" s="140"/>
      <c r="M318" s="36"/>
      <c r="N318" s="36"/>
      <c r="O318" s="36"/>
      <c r="P318" s="36"/>
      <c r="Q318" s="37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33"/>
      <c r="BG318" s="133"/>
      <c r="BH318" s="133"/>
      <c r="BI318" s="133"/>
      <c r="BJ318" s="133"/>
      <c r="BK318" s="133"/>
      <c r="BL318" s="133"/>
      <c r="BM318" s="133"/>
      <c r="BN318" s="133"/>
      <c r="BO318" s="133"/>
      <c r="BP318" s="133"/>
      <c r="BQ318" s="133"/>
      <c r="BR318" s="133"/>
      <c r="BS318" s="133"/>
      <c r="BT318" s="133"/>
      <c r="BU318" s="133"/>
      <c r="BV318" s="133"/>
      <c r="BW318" s="133"/>
      <c r="BX318" s="133"/>
      <c r="BY318" s="133"/>
      <c r="BZ318" s="133"/>
      <c r="CA318" s="133"/>
      <c r="CB318" s="133"/>
      <c r="CC318" s="14"/>
    </row>
    <row r="319" ht="25.05" customHeight="1" spans="1:81">
      <c r="A319" s="133"/>
      <c r="B319" s="37"/>
      <c r="C319" s="38"/>
      <c r="D319" s="14"/>
      <c r="E319" s="36"/>
      <c r="F319" s="36"/>
      <c r="G319" s="36"/>
      <c r="H319" s="40"/>
      <c r="I319" s="133"/>
      <c r="J319" s="134"/>
      <c r="K319" s="133"/>
      <c r="L319" s="140"/>
      <c r="M319" s="36"/>
      <c r="N319" s="36"/>
      <c r="O319" s="36"/>
      <c r="P319" s="36"/>
      <c r="Q319" s="37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33"/>
      <c r="BG319" s="133"/>
      <c r="BH319" s="133"/>
      <c r="BI319" s="133"/>
      <c r="BJ319" s="133"/>
      <c r="BK319" s="133"/>
      <c r="BL319" s="133"/>
      <c r="BM319" s="133"/>
      <c r="BN319" s="133"/>
      <c r="BO319" s="133"/>
      <c r="BP319" s="133"/>
      <c r="BQ319" s="133"/>
      <c r="BR319" s="133"/>
      <c r="BS319" s="133"/>
      <c r="BT319" s="133"/>
      <c r="BU319" s="133"/>
      <c r="BV319" s="133"/>
      <c r="BW319" s="133"/>
      <c r="BX319" s="133"/>
      <c r="BY319" s="133"/>
      <c r="BZ319" s="133"/>
      <c r="CA319" s="133"/>
      <c r="CB319" s="133"/>
      <c r="CC319" s="14"/>
    </row>
    <row r="320" ht="25.05" customHeight="1" spans="1:81">
      <c r="A320" s="133"/>
      <c r="B320" s="37"/>
      <c r="C320" s="38"/>
      <c r="D320" s="14"/>
      <c r="E320" s="36"/>
      <c r="F320" s="36"/>
      <c r="G320" s="36"/>
      <c r="H320" s="40"/>
      <c r="I320" s="133"/>
      <c r="J320" s="134"/>
      <c r="K320" s="133"/>
      <c r="L320" s="140"/>
      <c r="M320" s="36"/>
      <c r="N320" s="36"/>
      <c r="O320" s="36"/>
      <c r="P320" s="36"/>
      <c r="Q320" s="37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33"/>
      <c r="BG320" s="133"/>
      <c r="BH320" s="133"/>
      <c r="BI320" s="133"/>
      <c r="BJ320" s="133"/>
      <c r="BK320" s="133"/>
      <c r="BL320" s="133"/>
      <c r="BM320" s="133"/>
      <c r="BN320" s="133"/>
      <c r="BO320" s="133"/>
      <c r="BP320" s="133"/>
      <c r="BQ320" s="133"/>
      <c r="BR320" s="133"/>
      <c r="BS320" s="133"/>
      <c r="BT320" s="133"/>
      <c r="BU320" s="133"/>
      <c r="BV320" s="133"/>
      <c r="BW320" s="133"/>
      <c r="BX320" s="133"/>
      <c r="BY320" s="133"/>
      <c r="BZ320" s="133"/>
      <c r="CA320" s="133"/>
      <c r="CB320" s="133"/>
      <c r="CC320" s="14"/>
    </row>
    <row r="321" ht="25.05" customHeight="1" spans="1:81">
      <c r="A321" s="133"/>
      <c r="B321" s="37"/>
      <c r="C321" s="38"/>
      <c r="D321" s="14"/>
      <c r="E321" s="36"/>
      <c r="F321" s="36"/>
      <c r="G321" s="36"/>
      <c r="H321" s="40"/>
      <c r="I321" s="133"/>
      <c r="J321" s="134"/>
      <c r="K321" s="133"/>
      <c r="L321" s="140"/>
      <c r="M321" s="36"/>
      <c r="N321" s="36"/>
      <c r="O321" s="36"/>
      <c r="P321" s="36"/>
      <c r="Q321" s="37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/>
      <c r="BF321" s="133"/>
      <c r="BG321" s="133"/>
      <c r="BH321" s="133"/>
      <c r="BI321" s="133"/>
      <c r="BJ321" s="133"/>
      <c r="BK321" s="133"/>
      <c r="BL321" s="133"/>
      <c r="BM321" s="133"/>
      <c r="BN321" s="133"/>
      <c r="BO321" s="133"/>
      <c r="BP321" s="133"/>
      <c r="BQ321" s="133"/>
      <c r="BR321" s="133"/>
      <c r="BS321" s="133"/>
      <c r="BT321" s="133"/>
      <c r="BU321" s="133"/>
      <c r="BV321" s="133"/>
      <c r="BW321" s="133"/>
      <c r="BX321" s="133"/>
      <c r="BY321" s="133"/>
      <c r="BZ321" s="133"/>
      <c r="CA321" s="133"/>
      <c r="CB321" s="133"/>
      <c r="CC321" s="14"/>
    </row>
    <row r="322" ht="25.05" customHeight="1" spans="1:81">
      <c r="A322" s="133"/>
      <c r="B322" s="37"/>
      <c r="C322" s="38"/>
      <c r="D322" s="14"/>
      <c r="E322" s="36"/>
      <c r="F322" s="36"/>
      <c r="G322" s="36"/>
      <c r="H322" s="40"/>
      <c r="I322" s="133"/>
      <c r="J322" s="134"/>
      <c r="K322" s="133"/>
      <c r="L322" s="140"/>
      <c r="M322" s="36"/>
      <c r="N322" s="36"/>
      <c r="O322" s="36"/>
      <c r="P322" s="36"/>
      <c r="Q322" s="37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  <c r="AY322" s="133"/>
      <c r="AZ322" s="133"/>
      <c r="BA322" s="133"/>
      <c r="BB322" s="133"/>
      <c r="BC322" s="133"/>
      <c r="BD322" s="133"/>
      <c r="BE322" s="133"/>
      <c r="BF322" s="133"/>
      <c r="BG322" s="133"/>
      <c r="BH322" s="133"/>
      <c r="BI322" s="133"/>
      <c r="BJ322" s="133"/>
      <c r="BK322" s="133"/>
      <c r="BL322" s="133"/>
      <c r="BM322" s="133"/>
      <c r="BN322" s="133"/>
      <c r="BO322" s="133"/>
      <c r="BP322" s="133"/>
      <c r="BQ322" s="133"/>
      <c r="BR322" s="133"/>
      <c r="BS322" s="133"/>
      <c r="BT322" s="133"/>
      <c r="BU322" s="133"/>
      <c r="BV322" s="133"/>
      <c r="BW322" s="133"/>
      <c r="BX322" s="133"/>
      <c r="BY322" s="133"/>
      <c r="BZ322" s="133"/>
      <c r="CA322" s="133"/>
      <c r="CB322" s="133"/>
      <c r="CC322" s="14"/>
    </row>
    <row r="323" ht="25.05" customHeight="1" spans="1:81">
      <c r="A323" s="133"/>
      <c r="B323" s="37"/>
      <c r="C323" s="38"/>
      <c r="D323" s="14"/>
      <c r="E323" s="36"/>
      <c r="F323" s="36"/>
      <c r="G323" s="36"/>
      <c r="H323" s="40"/>
      <c r="I323" s="133"/>
      <c r="J323" s="134"/>
      <c r="K323" s="133"/>
      <c r="L323" s="140"/>
      <c r="M323" s="36"/>
      <c r="N323" s="36"/>
      <c r="O323" s="36"/>
      <c r="P323" s="36"/>
      <c r="Q323" s="37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  <c r="AY323" s="133"/>
      <c r="AZ323" s="133"/>
      <c r="BA323" s="133"/>
      <c r="BB323" s="133"/>
      <c r="BC323" s="133"/>
      <c r="BD323" s="133"/>
      <c r="BE323" s="133"/>
      <c r="BF323" s="133"/>
      <c r="BG323" s="133"/>
      <c r="BH323" s="133"/>
      <c r="BI323" s="133"/>
      <c r="BJ323" s="133"/>
      <c r="BK323" s="133"/>
      <c r="BL323" s="133"/>
      <c r="BM323" s="133"/>
      <c r="BN323" s="133"/>
      <c r="BO323" s="133"/>
      <c r="BP323" s="133"/>
      <c r="BQ323" s="133"/>
      <c r="BR323" s="133"/>
      <c r="BS323" s="133"/>
      <c r="BT323" s="133"/>
      <c r="BU323" s="133"/>
      <c r="BV323" s="133"/>
      <c r="BW323" s="133"/>
      <c r="BX323" s="133"/>
      <c r="BY323" s="133"/>
      <c r="BZ323" s="133"/>
      <c r="CA323" s="133"/>
      <c r="CB323" s="133"/>
      <c r="CC323" s="14"/>
    </row>
    <row r="324" ht="25.05" customHeight="1" spans="1:81">
      <c r="A324" s="133"/>
      <c r="B324" s="37"/>
      <c r="C324" s="38"/>
      <c r="D324" s="14"/>
      <c r="E324" s="36"/>
      <c r="F324" s="36"/>
      <c r="G324" s="36"/>
      <c r="H324" s="40"/>
      <c r="I324" s="133"/>
      <c r="J324" s="134"/>
      <c r="K324" s="133"/>
      <c r="L324" s="140"/>
      <c r="M324" s="36"/>
      <c r="N324" s="36"/>
      <c r="O324" s="36"/>
      <c r="P324" s="36"/>
      <c r="Q324" s="37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33"/>
      <c r="BG324" s="133"/>
      <c r="BH324" s="133"/>
      <c r="BI324" s="133"/>
      <c r="BJ324" s="133"/>
      <c r="BK324" s="133"/>
      <c r="BL324" s="133"/>
      <c r="BM324" s="133"/>
      <c r="BN324" s="133"/>
      <c r="BO324" s="133"/>
      <c r="BP324" s="133"/>
      <c r="BQ324" s="133"/>
      <c r="BR324" s="133"/>
      <c r="BS324" s="133"/>
      <c r="BT324" s="133"/>
      <c r="BU324" s="133"/>
      <c r="BV324" s="133"/>
      <c r="BW324" s="133"/>
      <c r="BX324" s="133"/>
      <c r="BY324" s="133"/>
      <c r="BZ324" s="133"/>
      <c r="CA324" s="133"/>
      <c r="CB324" s="133"/>
      <c r="CC324" s="14"/>
    </row>
    <row r="325" ht="25.05" customHeight="1" spans="1:81">
      <c r="A325" s="133"/>
      <c r="B325" s="37"/>
      <c r="C325" s="38"/>
      <c r="D325" s="14"/>
      <c r="E325" s="36"/>
      <c r="F325" s="36"/>
      <c r="G325" s="36"/>
      <c r="H325" s="40"/>
      <c r="I325" s="133"/>
      <c r="J325" s="134"/>
      <c r="K325" s="133"/>
      <c r="L325" s="140"/>
      <c r="M325" s="36"/>
      <c r="N325" s="36"/>
      <c r="O325" s="36"/>
      <c r="P325" s="36"/>
      <c r="Q325" s="37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33"/>
      <c r="BG325" s="133"/>
      <c r="BH325" s="133"/>
      <c r="BI325" s="133"/>
      <c r="BJ325" s="133"/>
      <c r="BK325" s="133"/>
      <c r="BL325" s="133"/>
      <c r="BM325" s="133"/>
      <c r="BN325" s="133"/>
      <c r="BO325" s="133"/>
      <c r="BP325" s="133"/>
      <c r="BQ325" s="133"/>
      <c r="BR325" s="133"/>
      <c r="BS325" s="133"/>
      <c r="BT325" s="133"/>
      <c r="BU325" s="133"/>
      <c r="BV325" s="133"/>
      <c r="BW325" s="133"/>
      <c r="BX325" s="133"/>
      <c r="BY325" s="133"/>
      <c r="BZ325" s="133"/>
      <c r="CA325" s="133"/>
      <c r="CB325" s="133"/>
      <c r="CC325" s="14"/>
    </row>
    <row r="326" ht="25.05" customHeight="1" spans="1:81">
      <c r="A326" s="133"/>
      <c r="B326" s="37"/>
      <c r="C326" s="38"/>
      <c r="D326" s="14"/>
      <c r="E326" s="36"/>
      <c r="F326" s="36"/>
      <c r="G326" s="36"/>
      <c r="H326" s="40"/>
      <c r="I326" s="133"/>
      <c r="J326" s="134"/>
      <c r="K326" s="133"/>
      <c r="L326" s="140"/>
      <c r="M326" s="36"/>
      <c r="N326" s="36"/>
      <c r="O326" s="36"/>
      <c r="P326" s="36"/>
      <c r="Q326" s="37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33"/>
      <c r="BG326" s="133"/>
      <c r="BH326" s="133"/>
      <c r="BI326" s="133"/>
      <c r="BJ326" s="133"/>
      <c r="BK326" s="133"/>
      <c r="BL326" s="133"/>
      <c r="BM326" s="133"/>
      <c r="BN326" s="133"/>
      <c r="BO326" s="133"/>
      <c r="BP326" s="133"/>
      <c r="BQ326" s="133"/>
      <c r="BR326" s="133"/>
      <c r="BS326" s="133"/>
      <c r="BT326" s="133"/>
      <c r="BU326" s="133"/>
      <c r="BV326" s="133"/>
      <c r="BW326" s="133"/>
      <c r="BX326" s="133"/>
      <c r="BY326" s="133"/>
      <c r="BZ326" s="133"/>
      <c r="CA326" s="133"/>
      <c r="CB326" s="133"/>
      <c r="CC326" s="14"/>
    </row>
    <row r="327" ht="25.05" customHeight="1" spans="1:81">
      <c r="A327" s="133"/>
      <c r="B327" s="37"/>
      <c r="C327" s="38"/>
      <c r="D327" s="14"/>
      <c r="E327" s="36"/>
      <c r="F327" s="36"/>
      <c r="G327" s="36"/>
      <c r="H327" s="40"/>
      <c r="I327" s="133"/>
      <c r="J327" s="134"/>
      <c r="K327" s="133"/>
      <c r="L327" s="140"/>
      <c r="M327" s="36"/>
      <c r="N327" s="36"/>
      <c r="O327" s="36"/>
      <c r="P327" s="36"/>
      <c r="Q327" s="37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33"/>
      <c r="BG327" s="133"/>
      <c r="BH327" s="133"/>
      <c r="BI327" s="133"/>
      <c r="BJ327" s="133"/>
      <c r="BK327" s="133"/>
      <c r="BL327" s="133"/>
      <c r="BM327" s="133"/>
      <c r="BN327" s="133"/>
      <c r="BO327" s="133"/>
      <c r="BP327" s="133"/>
      <c r="BQ327" s="133"/>
      <c r="BR327" s="133"/>
      <c r="BS327" s="133"/>
      <c r="BT327" s="133"/>
      <c r="BU327" s="133"/>
      <c r="BV327" s="133"/>
      <c r="BW327" s="133"/>
      <c r="BX327" s="133"/>
      <c r="BY327" s="133"/>
      <c r="BZ327" s="133"/>
      <c r="CA327" s="133"/>
      <c r="CB327" s="133"/>
      <c r="CC327" s="14"/>
    </row>
    <row r="328" ht="25.05" customHeight="1" spans="1:81">
      <c r="A328" s="133"/>
      <c r="B328" s="37"/>
      <c r="C328" s="38"/>
      <c r="D328" s="14"/>
      <c r="E328" s="36"/>
      <c r="F328" s="36"/>
      <c r="G328" s="36"/>
      <c r="H328" s="40"/>
      <c r="I328" s="133"/>
      <c r="J328" s="134"/>
      <c r="K328" s="133"/>
      <c r="L328" s="140"/>
      <c r="M328" s="36"/>
      <c r="N328" s="36"/>
      <c r="O328" s="36"/>
      <c r="P328" s="36"/>
      <c r="Q328" s="37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  <c r="AY328" s="133"/>
      <c r="AZ328" s="133"/>
      <c r="BA328" s="133"/>
      <c r="BB328" s="133"/>
      <c r="BC328" s="133"/>
      <c r="BD328" s="133"/>
      <c r="BE328" s="133"/>
      <c r="BF328" s="133"/>
      <c r="BG328" s="133"/>
      <c r="BH328" s="133"/>
      <c r="BI328" s="133"/>
      <c r="BJ328" s="133"/>
      <c r="BK328" s="133"/>
      <c r="BL328" s="133"/>
      <c r="BM328" s="133"/>
      <c r="BN328" s="133"/>
      <c r="BO328" s="133"/>
      <c r="BP328" s="133"/>
      <c r="BQ328" s="133"/>
      <c r="BR328" s="133"/>
      <c r="BS328" s="133"/>
      <c r="BT328" s="133"/>
      <c r="BU328" s="133"/>
      <c r="BV328" s="133"/>
      <c r="BW328" s="133"/>
      <c r="BX328" s="133"/>
      <c r="BY328" s="133"/>
      <c r="BZ328" s="133"/>
      <c r="CA328" s="133"/>
      <c r="CB328" s="133"/>
      <c r="CC328" s="14"/>
    </row>
    <row r="329" ht="25.05" customHeight="1" spans="1:81">
      <c r="A329" s="133"/>
      <c r="B329" s="37"/>
      <c r="C329" s="38"/>
      <c r="D329" s="14"/>
      <c r="E329" s="36"/>
      <c r="F329" s="36"/>
      <c r="G329" s="36"/>
      <c r="H329" s="40"/>
      <c r="I329" s="133"/>
      <c r="J329" s="134"/>
      <c r="K329" s="133"/>
      <c r="L329" s="140"/>
      <c r="M329" s="36"/>
      <c r="N329" s="36"/>
      <c r="O329" s="36"/>
      <c r="P329" s="36"/>
      <c r="Q329" s="37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33"/>
      <c r="BG329" s="133"/>
      <c r="BH329" s="133"/>
      <c r="BI329" s="133"/>
      <c r="BJ329" s="133"/>
      <c r="BK329" s="133"/>
      <c r="BL329" s="133"/>
      <c r="BM329" s="133"/>
      <c r="BN329" s="133"/>
      <c r="BO329" s="133"/>
      <c r="BP329" s="133"/>
      <c r="BQ329" s="133"/>
      <c r="BR329" s="133"/>
      <c r="BS329" s="133"/>
      <c r="BT329" s="133"/>
      <c r="BU329" s="133"/>
      <c r="BV329" s="133"/>
      <c r="BW329" s="133"/>
      <c r="BX329" s="133"/>
      <c r="BY329" s="133"/>
      <c r="BZ329" s="133"/>
      <c r="CA329" s="133"/>
      <c r="CB329" s="133"/>
      <c r="CC329" s="14"/>
    </row>
    <row r="330" ht="25.05" customHeight="1" spans="1:81">
      <c r="A330" s="133"/>
      <c r="B330" s="37"/>
      <c r="C330" s="38"/>
      <c r="D330" s="14"/>
      <c r="E330" s="36"/>
      <c r="F330" s="36"/>
      <c r="G330" s="36"/>
      <c r="H330" s="40"/>
      <c r="I330" s="133"/>
      <c r="J330" s="134"/>
      <c r="K330" s="133"/>
      <c r="L330" s="140"/>
      <c r="M330" s="36"/>
      <c r="N330" s="36"/>
      <c r="O330" s="36"/>
      <c r="P330" s="36"/>
      <c r="Q330" s="37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  <c r="AY330" s="133"/>
      <c r="AZ330" s="133"/>
      <c r="BA330" s="133"/>
      <c r="BB330" s="133"/>
      <c r="BC330" s="133"/>
      <c r="BD330" s="133"/>
      <c r="BE330" s="133"/>
      <c r="BF330" s="133"/>
      <c r="BG330" s="133"/>
      <c r="BH330" s="133"/>
      <c r="BI330" s="133"/>
      <c r="BJ330" s="133"/>
      <c r="BK330" s="133"/>
      <c r="BL330" s="133"/>
      <c r="BM330" s="133"/>
      <c r="BN330" s="133"/>
      <c r="BO330" s="133"/>
      <c r="BP330" s="133"/>
      <c r="BQ330" s="133"/>
      <c r="BR330" s="133"/>
      <c r="BS330" s="133"/>
      <c r="BT330" s="133"/>
      <c r="BU330" s="133"/>
      <c r="BV330" s="133"/>
      <c r="BW330" s="133"/>
      <c r="BX330" s="133"/>
      <c r="BY330" s="133"/>
      <c r="BZ330" s="133"/>
      <c r="CA330" s="133"/>
      <c r="CB330" s="133"/>
      <c r="CC330" s="14"/>
    </row>
    <row r="331" ht="25.05" customHeight="1" spans="1:81">
      <c r="A331" s="133"/>
      <c r="B331" s="37"/>
      <c r="C331" s="38"/>
      <c r="D331" s="14"/>
      <c r="E331" s="36"/>
      <c r="F331" s="36"/>
      <c r="G331" s="36"/>
      <c r="H331" s="40"/>
      <c r="I331" s="133"/>
      <c r="J331" s="134"/>
      <c r="K331" s="133"/>
      <c r="L331" s="140"/>
      <c r="M331" s="36"/>
      <c r="N331" s="36"/>
      <c r="O331" s="36"/>
      <c r="P331" s="36"/>
      <c r="Q331" s="37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  <c r="AY331" s="133"/>
      <c r="AZ331" s="133"/>
      <c r="BA331" s="133"/>
      <c r="BB331" s="133"/>
      <c r="BC331" s="133"/>
      <c r="BD331" s="133"/>
      <c r="BE331" s="133"/>
      <c r="BF331" s="133"/>
      <c r="BG331" s="133"/>
      <c r="BH331" s="133"/>
      <c r="BI331" s="133"/>
      <c r="BJ331" s="133"/>
      <c r="BK331" s="133"/>
      <c r="BL331" s="133"/>
      <c r="BM331" s="133"/>
      <c r="BN331" s="133"/>
      <c r="BO331" s="133"/>
      <c r="BP331" s="133"/>
      <c r="BQ331" s="133"/>
      <c r="BR331" s="133"/>
      <c r="BS331" s="133"/>
      <c r="BT331" s="133"/>
      <c r="BU331" s="133"/>
      <c r="BV331" s="133"/>
      <c r="BW331" s="133"/>
      <c r="BX331" s="133"/>
      <c r="BY331" s="133"/>
      <c r="BZ331" s="133"/>
      <c r="CA331" s="133"/>
      <c r="CB331" s="133"/>
      <c r="CC331" s="14"/>
    </row>
    <row r="332" ht="25.05" customHeight="1" spans="1:81">
      <c r="A332" s="133"/>
      <c r="B332" s="37"/>
      <c r="C332" s="38"/>
      <c r="D332" s="14"/>
      <c r="E332" s="36"/>
      <c r="F332" s="36"/>
      <c r="G332" s="36"/>
      <c r="H332" s="40"/>
      <c r="I332" s="133"/>
      <c r="J332" s="134"/>
      <c r="K332" s="133"/>
      <c r="L332" s="140"/>
      <c r="M332" s="36"/>
      <c r="N332" s="36"/>
      <c r="O332" s="36"/>
      <c r="P332" s="36"/>
      <c r="Q332" s="37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  <c r="AY332" s="133"/>
      <c r="AZ332" s="133"/>
      <c r="BA332" s="133"/>
      <c r="BB332" s="133"/>
      <c r="BC332" s="133"/>
      <c r="BD332" s="133"/>
      <c r="BE332" s="133"/>
      <c r="BF332" s="133"/>
      <c r="BG332" s="133"/>
      <c r="BH332" s="133"/>
      <c r="BI332" s="133"/>
      <c r="BJ332" s="133"/>
      <c r="BK332" s="133"/>
      <c r="BL332" s="133"/>
      <c r="BM332" s="133"/>
      <c r="BN332" s="133"/>
      <c r="BO332" s="133"/>
      <c r="BP332" s="133"/>
      <c r="BQ332" s="133"/>
      <c r="BR332" s="133"/>
      <c r="BS332" s="133"/>
      <c r="BT332" s="133"/>
      <c r="BU332" s="133"/>
      <c r="BV332" s="133"/>
      <c r="BW332" s="133"/>
      <c r="BX332" s="133"/>
      <c r="BY332" s="133"/>
      <c r="BZ332" s="133"/>
      <c r="CA332" s="133"/>
      <c r="CB332" s="133"/>
      <c r="CC332" s="14"/>
    </row>
    <row r="333" ht="25.05" customHeight="1" spans="1:81">
      <c r="A333" s="133"/>
      <c r="B333" s="37"/>
      <c r="C333" s="38"/>
      <c r="D333" s="14"/>
      <c r="E333" s="36"/>
      <c r="F333" s="36"/>
      <c r="G333" s="36"/>
      <c r="H333" s="40"/>
      <c r="I333" s="133"/>
      <c r="J333" s="134"/>
      <c r="K333" s="133"/>
      <c r="L333" s="140"/>
      <c r="M333" s="36"/>
      <c r="N333" s="36"/>
      <c r="O333" s="36"/>
      <c r="P333" s="36"/>
      <c r="Q333" s="37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33"/>
      <c r="BG333" s="133"/>
      <c r="BH333" s="133"/>
      <c r="BI333" s="133"/>
      <c r="BJ333" s="133"/>
      <c r="BK333" s="133"/>
      <c r="BL333" s="133"/>
      <c r="BM333" s="133"/>
      <c r="BN333" s="133"/>
      <c r="BO333" s="133"/>
      <c r="BP333" s="133"/>
      <c r="BQ333" s="133"/>
      <c r="BR333" s="133"/>
      <c r="BS333" s="133"/>
      <c r="BT333" s="133"/>
      <c r="BU333" s="133"/>
      <c r="BV333" s="133"/>
      <c r="BW333" s="133"/>
      <c r="BX333" s="133"/>
      <c r="BY333" s="133"/>
      <c r="BZ333" s="133"/>
      <c r="CA333" s="133"/>
      <c r="CB333" s="133"/>
      <c r="CC333" s="14"/>
    </row>
    <row r="334" ht="25.05" customHeight="1" spans="1:81">
      <c r="A334" s="133"/>
      <c r="B334" s="37"/>
      <c r="C334" s="38"/>
      <c r="D334" s="14"/>
      <c r="E334" s="36"/>
      <c r="F334" s="36"/>
      <c r="G334" s="36"/>
      <c r="H334" s="40"/>
      <c r="I334" s="133"/>
      <c r="J334" s="134"/>
      <c r="K334" s="133"/>
      <c r="L334" s="140"/>
      <c r="M334" s="36"/>
      <c r="N334" s="36"/>
      <c r="O334" s="36"/>
      <c r="P334" s="36"/>
      <c r="Q334" s="37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33"/>
      <c r="BG334" s="133"/>
      <c r="BH334" s="133"/>
      <c r="BI334" s="133"/>
      <c r="BJ334" s="133"/>
      <c r="BK334" s="133"/>
      <c r="BL334" s="133"/>
      <c r="BM334" s="133"/>
      <c r="BN334" s="133"/>
      <c r="BO334" s="133"/>
      <c r="BP334" s="133"/>
      <c r="BQ334" s="133"/>
      <c r="BR334" s="133"/>
      <c r="BS334" s="133"/>
      <c r="BT334" s="133"/>
      <c r="BU334" s="133"/>
      <c r="BV334" s="133"/>
      <c r="BW334" s="133"/>
      <c r="BX334" s="133"/>
      <c r="BY334" s="133"/>
      <c r="BZ334" s="133"/>
      <c r="CA334" s="133"/>
      <c r="CB334" s="133"/>
      <c r="CC334" s="14"/>
    </row>
    <row r="335" ht="25.05" customHeight="1" spans="1:81">
      <c r="A335" s="133"/>
      <c r="B335" s="37"/>
      <c r="C335" s="38"/>
      <c r="D335" s="14"/>
      <c r="E335" s="36"/>
      <c r="F335" s="36"/>
      <c r="G335" s="36"/>
      <c r="H335" s="40"/>
      <c r="I335" s="133"/>
      <c r="J335" s="134"/>
      <c r="K335" s="133"/>
      <c r="L335" s="140"/>
      <c r="M335" s="36"/>
      <c r="N335" s="36"/>
      <c r="O335" s="36"/>
      <c r="P335" s="36"/>
      <c r="Q335" s="37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33"/>
      <c r="BG335" s="133"/>
      <c r="BH335" s="133"/>
      <c r="BI335" s="133"/>
      <c r="BJ335" s="133"/>
      <c r="BK335" s="133"/>
      <c r="BL335" s="133"/>
      <c r="BM335" s="133"/>
      <c r="BN335" s="133"/>
      <c r="BO335" s="133"/>
      <c r="BP335" s="133"/>
      <c r="BQ335" s="133"/>
      <c r="BR335" s="133"/>
      <c r="BS335" s="133"/>
      <c r="BT335" s="133"/>
      <c r="BU335" s="133"/>
      <c r="BV335" s="133"/>
      <c r="BW335" s="133"/>
      <c r="BX335" s="133"/>
      <c r="BY335" s="133"/>
      <c r="BZ335" s="133"/>
      <c r="CA335" s="133"/>
      <c r="CB335" s="133"/>
      <c r="CC335" s="14"/>
    </row>
    <row r="336" ht="25.05" customHeight="1" spans="1:81">
      <c r="A336" s="133"/>
      <c r="B336" s="37"/>
      <c r="C336" s="38"/>
      <c r="D336" s="14"/>
      <c r="E336" s="36"/>
      <c r="F336" s="36"/>
      <c r="G336" s="36"/>
      <c r="H336" s="40"/>
      <c r="I336" s="133"/>
      <c r="J336" s="134"/>
      <c r="K336" s="133"/>
      <c r="L336" s="140"/>
      <c r="M336" s="36"/>
      <c r="N336" s="36"/>
      <c r="O336" s="36"/>
      <c r="P336" s="36"/>
      <c r="Q336" s="37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33"/>
      <c r="BG336" s="133"/>
      <c r="BH336" s="133"/>
      <c r="BI336" s="133"/>
      <c r="BJ336" s="133"/>
      <c r="BK336" s="133"/>
      <c r="BL336" s="133"/>
      <c r="BM336" s="133"/>
      <c r="BN336" s="133"/>
      <c r="BO336" s="133"/>
      <c r="BP336" s="133"/>
      <c r="BQ336" s="133"/>
      <c r="BR336" s="133"/>
      <c r="BS336" s="133"/>
      <c r="BT336" s="133"/>
      <c r="BU336" s="133"/>
      <c r="BV336" s="133"/>
      <c r="BW336" s="133"/>
      <c r="BX336" s="133"/>
      <c r="BY336" s="133"/>
      <c r="BZ336" s="133"/>
      <c r="CA336" s="133"/>
      <c r="CB336" s="133"/>
      <c r="CC336" s="14"/>
    </row>
    <row r="337" ht="25.05" customHeight="1" spans="1:81">
      <c r="A337" s="133"/>
      <c r="B337" s="37"/>
      <c r="C337" s="38"/>
      <c r="D337" s="14"/>
      <c r="E337" s="36"/>
      <c r="F337" s="36"/>
      <c r="G337" s="36"/>
      <c r="H337" s="40"/>
      <c r="I337" s="133"/>
      <c r="J337" s="134"/>
      <c r="K337" s="133"/>
      <c r="L337" s="140"/>
      <c r="M337" s="36"/>
      <c r="N337" s="36"/>
      <c r="O337" s="36"/>
      <c r="P337" s="36"/>
      <c r="Q337" s="37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33"/>
      <c r="BG337" s="133"/>
      <c r="BH337" s="133"/>
      <c r="BI337" s="133"/>
      <c r="BJ337" s="133"/>
      <c r="BK337" s="133"/>
      <c r="BL337" s="133"/>
      <c r="BM337" s="133"/>
      <c r="BN337" s="133"/>
      <c r="BO337" s="133"/>
      <c r="BP337" s="133"/>
      <c r="BQ337" s="133"/>
      <c r="BR337" s="133"/>
      <c r="BS337" s="133"/>
      <c r="BT337" s="133"/>
      <c r="BU337" s="133"/>
      <c r="BV337" s="133"/>
      <c r="BW337" s="133"/>
      <c r="BX337" s="133"/>
      <c r="BY337" s="133"/>
      <c r="BZ337" s="133"/>
      <c r="CA337" s="133"/>
      <c r="CB337" s="133"/>
      <c r="CC337" s="14"/>
    </row>
    <row r="338" ht="25.05" customHeight="1" spans="1:81">
      <c r="A338" s="133"/>
      <c r="B338" s="37"/>
      <c r="C338" s="38"/>
      <c r="D338" s="14"/>
      <c r="E338" s="36"/>
      <c r="F338" s="36"/>
      <c r="G338" s="36"/>
      <c r="H338" s="40"/>
      <c r="I338" s="133"/>
      <c r="J338" s="134"/>
      <c r="K338" s="133"/>
      <c r="L338" s="140"/>
      <c r="M338" s="36"/>
      <c r="N338" s="36"/>
      <c r="O338" s="36"/>
      <c r="P338" s="36"/>
      <c r="Q338" s="37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33"/>
      <c r="BG338" s="133"/>
      <c r="BH338" s="133"/>
      <c r="BI338" s="133"/>
      <c r="BJ338" s="133"/>
      <c r="BK338" s="133"/>
      <c r="BL338" s="133"/>
      <c r="BM338" s="133"/>
      <c r="BN338" s="133"/>
      <c r="BO338" s="133"/>
      <c r="BP338" s="133"/>
      <c r="BQ338" s="133"/>
      <c r="BR338" s="133"/>
      <c r="BS338" s="133"/>
      <c r="BT338" s="133"/>
      <c r="BU338" s="133"/>
      <c r="BV338" s="133"/>
      <c r="BW338" s="133"/>
      <c r="BX338" s="133"/>
      <c r="BY338" s="133"/>
      <c r="BZ338" s="133"/>
      <c r="CA338" s="133"/>
      <c r="CB338" s="133"/>
      <c r="CC338" s="14"/>
    </row>
    <row r="339" ht="25.05" customHeight="1" spans="1:81">
      <c r="A339" s="133"/>
      <c r="B339" s="37"/>
      <c r="C339" s="38"/>
      <c r="D339" s="14"/>
      <c r="E339" s="36"/>
      <c r="F339" s="36"/>
      <c r="G339" s="36"/>
      <c r="H339" s="40"/>
      <c r="I339" s="133"/>
      <c r="J339" s="134"/>
      <c r="K339" s="133"/>
      <c r="L339" s="140"/>
      <c r="M339" s="36"/>
      <c r="N339" s="36"/>
      <c r="O339" s="36"/>
      <c r="P339" s="36"/>
      <c r="Q339" s="37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  <c r="AY339" s="133"/>
      <c r="AZ339" s="133"/>
      <c r="BA339" s="133"/>
      <c r="BB339" s="133"/>
      <c r="BC339" s="133"/>
      <c r="BD339" s="133"/>
      <c r="BE339" s="133"/>
      <c r="BF339" s="133"/>
      <c r="BG339" s="133"/>
      <c r="BH339" s="133"/>
      <c r="BI339" s="133"/>
      <c r="BJ339" s="133"/>
      <c r="BK339" s="133"/>
      <c r="BL339" s="133"/>
      <c r="BM339" s="133"/>
      <c r="BN339" s="133"/>
      <c r="BO339" s="133"/>
      <c r="BP339" s="133"/>
      <c r="BQ339" s="133"/>
      <c r="BR339" s="133"/>
      <c r="BS339" s="133"/>
      <c r="BT339" s="133"/>
      <c r="BU339" s="133"/>
      <c r="BV339" s="133"/>
      <c r="BW339" s="133"/>
      <c r="BX339" s="133"/>
      <c r="BY339" s="133"/>
      <c r="BZ339" s="133"/>
      <c r="CA339" s="133"/>
      <c r="CB339" s="133"/>
      <c r="CC339" s="14"/>
    </row>
    <row r="340" ht="25.05" customHeight="1" spans="1:81">
      <c r="A340" s="133"/>
      <c r="B340" s="37"/>
      <c r="C340" s="38"/>
      <c r="D340" s="14"/>
      <c r="E340" s="36"/>
      <c r="F340" s="36"/>
      <c r="G340" s="36"/>
      <c r="H340" s="40"/>
      <c r="I340" s="133"/>
      <c r="J340" s="134"/>
      <c r="K340" s="133"/>
      <c r="L340" s="140"/>
      <c r="M340" s="36"/>
      <c r="N340" s="36"/>
      <c r="O340" s="36"/>
      <c r="P340" s="36"/>
      <c r="Q340" s="37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33"/>
      <c r="BG340" s="133"/>
      <c r="BH340" s="133"/>
      <c r="BI340" s="133"/>
      <c r="BJ340" s="133"/>
      <c r="BK340" s="133"/>
      <c r="BL340" s="133"/>
      <c r="BM340" s="133"/>
      <c r="BN340" s="133"/>
      <c r="BO340" s="133"/>
      <c r="BP340" s="133"/>
      <c r="BQ340" s="133"/>
      <c r="BR340" s="133"/>
      <c r="BS340" s="133"/>
      <c r="BT340" s="133"/>
      <c r="BU340" s="133"/>
      <c r="BV340" s="133"/>
      <c r="BW340" s="133"/>
      <c r="BX340" s="133"/>
      <c r="BY340" s="133"/>
      <c r="BZ340" s="133"/>
      <c r="CA340" s="133"/>
      <c r="CB340" s="133"/>
      <c r="CC340" s="14"/>
    </row>
    <row r="341" ht="25.05" customHeight="1" spans="1:81">
      <c r="A341" s="133"/>
      <c r="B341" s="37"/>
      <c r="C341" s="38"/>
      <c r="D341" s="14"/>
      <c r="E341" s="36"/>
      <c r="F341" s="36"/>
      <c r="G341" s="36"/>
      <c r="H341" s="40"/>
      <c r="I341" s="133"/>
      <c r="J341" s="134"/>
      <c r="K341" s="133"/>
      <c r="L341" s="140"/>
      <c r="M341" s="36"/>
      <c r="N341" s="36"/>
      <c r="O341" s="36"/>
      <c r="P341" s="36"/>
      <c r="Q341" s="37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33"/>
      <c r="BG341" s="133"/>
      <c r="BH341" s="133"/>
      <c r="BI341" s="133"/>
      <c r="BJ341" s="133"/>
      <c r="BK341" s="133"/>
      <c r="BL341" s="133"/>
      <c r="BM341" s="133"/>
      <c r="BN341" s="133"/>
      <c r="BO341" s="133"/>
      <c r="BP341" s="133"/>
      <c r="BQ341" s="133"/>
      <c r="BR341" s="133"/>
      <c r="BS341" s="133"/>
      <c r="BT341" s="133"/>
      <c r="BU341" s="133"/>
      <c r="BV341" s="133"/>
      <c r="BW341" s="133"/>
      <c r="BX341" s="133"/>
      <c r="BY341" s="133"/>
      <c r="BZ341" s="133"/>
      <c r="CA341" s="133"/>
      <c r="CB341" s="133"/>
      <c r="CC341" s="14"/>
    </row>
    <row r="342" ht="25.05" customHeight="1" spans="1:81">
      <c r="A342" s="133"/>
      <c r="B342" s="37"/>
      <c r="C342" s="38"/>
      <c r="D342" s="14"/>
      <c r="E342" s="36"/>
      <c r="F342" s="36"/>
      <c r="G342" s="36"/>
      <c r="H342" s="40"/>
      <c r="I342" s="133"/>
      <c r="J342" s="134"/>
      <c r="K342" s="133"/>
      <c r="L342" s="140"/>
      <c r="M342" s="36"/>
      <c r="N342" s="36"/>
      <c r="O342" s="36"/>
      <c r="P342" s="36"/>
      <c r="Q342" s="37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33"/>
      <c r="BG342" s="133"/>
      <c r="BH342" s="133"/>
      <c r="BI342" s="133"/>
      <c r="BJ342" s="133"/>
      <c r="BK342" s="133"/>
      <c r="BL342" s="133"/>
      <c r="BM342" s="133"/>
      <c r="BN342" s="133"/>
      <c r="BO342" s="133"/>
      <c r="BP342" s="133"/>
      <c r="BQ342" s="133"/>
      <c r="BR342" s="133"/>
      <c r="BS342" s="133"/>
      <c r="BT342" s="133"/>
      <c r="BU342" s="133"/>
      <c r="BV342" s="133"/>
      <c r="BW342" s="133"/>
      <c r="BX342" s="133"/>
      <c r="BY342" s="133"/>
      <c r="BZ342" s="133"/>
      <c r="CA342" s="133"/>
      <c r="CB342" s="133"/>
      <c r="CC342" s="14"/>
    </row>
    <row r="343" ht="25.05" customHeight="1" spans="1:81">
      <c r="A343" s="133"/>
      <c r="B343" s="37"/>
      <c r="C343" s="38"/>
      <c r="D343" s="14"/>
      <c r="E343" s="36"/>
      <c r="F343" s="36"/>
      <c r="G343" s="36"/>
      <c r="H343" s="40"/>
      <c r="I343" s="133"/>
      <c r="J343" s="134"/>
      <c r="K343" s="133"/>
      <c r="L343" s="140"/>
      <c r="M343" s="36"/>
      <c r="N343" s="36"/>
      <c r="O343" s="36"/>
      <c r="P343" s="36"/>
      <c r="Q343" s="37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33"/>
      <c r="BG343" s="133"/>
      <c r="BH343" s="133"/>
      <c r="BI343" s="133"/>
      <c r="BJ343" s="133"/>
      <c r="BK343" s="133"/>
      <c r="BL343" s="133"/>
      <c r="BM343" s="133"/>
      <c r="BN343" s="133"/>
      <c r="BO343" s="133"/>
      <c r="BP343" s="133"/>
      <c r="BQ343" s="133"/>
      <c r="BR343" s="133"/>
      <c r="BS343" s="133"/>
      <c r="BT343" s="133"/>
      <c r="BU343" s="133"/>
      <c r="BV343" s="133"/>
      <c r="BW343" s="133"/>
      <c r="BX343" s="133"/>
      <c r="BY343" s="133"/>
      <c r="BZ343" s="133"/>
      <c r="CA343" s="133"/>
      <c r="CB343" s="133"/>
      <c r="CC343" s="14"/>
    </row>
    <row r="344" ht="25.05" customHeight="1" spans="1:81">
      <c r="A344" s="133"/>
      <c r="B344" s="37"/>
      <c r="C344" s="38"/>
      <c r="D344" s="14"/>
      <c r="E344" s="36"/>
      <c r="F344" s="36"/>
      <c r="G344" s="36"/>
      <c r="H344" s="40"/>
      <c r="I344" s="133"/>
      <c r="J344" s="134"/>
      <c r="K344" s="133"/>
      <c r="L344" s="140"/>
      <c r="M344" s="36"/>
      <c r="N344" s="36"/>
      <c r="O344" s="36"/>
      <c r="P344" s="36"/>
      <c r="Q344" s="37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33"/>
      <c r="BG344" s="133"/>
      <c r="BH344" s="133"/>
      <c r="BI344" s="133"/>
      <c r="BJ344" s="133"/>
      <c r="BK344" s="133"/>
      <c r="BL344" s="133"/>
      <c r="BM344" s="133"/>
      <c r="BN344" s="133"/>
      <c r="BO344" s="133"/>
      <c r="BP344" s="133"/>
      <c r="BQ344" s="133"/>
      <c r="BR344" s="133"/>
      <c r="BS344" s="133"/>
      <c r="BT344" s="133"/>
      <c r="BU344" s="133"/>
      <c r="BV344" s="133"/>
      <c r="BW344" s="133"/>
      <c r="BX344" s="133"/>
      <c r="BY344" s="133"/>
      <c r="BZ344" s="133"/>
      <c r="CA344" s="133"/>
      <c r="CB344" s="133"/>
      <c r="CC344" s="14"/>
    </row>
    <row r="345" ht="25.05" customHeight="1" spans="1:81">
      <c r="A345" s="133"/>
      <c r="B345" s="37"/>
      <c r="C345" s="38"/>
      <c r="D345" s="14"/>
      <c r="E345" s="36"/>
      <c r="F345" s="36"/>
      <c r="G345" s="36"/>
      <c r="H345" s="40"/>
      <c r="I345" s="133"/>
      <c r="J345" s="134"/>
      <c r="K345" s="133"/>
      <c r="L345" s="140"/>
      <c r="M345" s="36"/>
      <c r="N345" s="36"/>
      <c r="O345" s="36"/>
      <c r="P345" s="36"/>
      <c r="Q345" s="37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33"/>
      <c r="BG345" s="133"/>
      <c r="BH345" s="133"/>
      <c r="BI345" s="133"/>
      <c r="BJ345" s="133"/>
      <c r="BK345" s="133"/>
      <c r="BL345" s="133"/>
      <c r="BM345" s="133"/>
      <c r="BN345" s="133"/>
      <c r="BO345" s="133"/>
      <c r="BP345" s="133"/>
      <c r="BQ345" s="133"/>
      <c r="BR345" s="133"/>
      <c r="BS345" s="133"/>
      <c r="BT345" s="133"/>
      <c r="BU345" s="133"/>
      <c r="BV345" s="133"/>
      <c r="BW345" s="133"/>
      <c r="BX345" s="133"/>
      <c r="BY345" s="133"/>
      <c r="BZ345" s="133"/>
      <c r="CA345" s="133"/>
      <c r="CB345" s="133"/>
      <c r="CC345" s="14"/>
    </row>
    <row r="346" ht="25.05" customHeight="1" spans="1:81">
      <c r="A346" s="133"/>
      <c r="B346" s="37"/>
      <c r="C346" s="38"/>
      <c r="D346" s="14"/>
      <c r="E346" s="36"/>
      <c r="F346" s="36"/>
      <c r="G346" s="36"/>
      <c r="H346" s="40"/>
      <c r="I346" s="133"/>
      <c r="J346" s="134"/>
      <c r="K346" s="133"/>
      <c r="L346" s="140"/>
      <c r="M346" s="36"/>
      <c r="N346" s="36"/>
      <c r="O346" s="36"/>
      <c r="P346" s="36"/>
      <c r="Q346" s="37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33"/>
      <c r="BG346" s="133"/>
      <c r="BH346" s="133"/>
      <c r="BI346" s="133"/>
      <c r="BJ346" s="133"/>
      <c r="BK346" s="133"/>
      <c r="BL346" s="133"/>
      <c r="BM346" s="133"/>
      <c r="BN346" s="133"/>
      <c r="BO346" s="133"/>
      <c r="BP346" s="133"/>
      <c r="BQ346" s="133"/>
      <c r="BR346" s="133"/>
      <c r="BS346" s="133"/>
      <c r="BT346" s="133"/>
      <c r="BU346" s="133"/>
      <c r="BV346" s="133"/>
      <c r="BW346" s="133"/>
      <c r="BX346" s="133"/>
      <c r="BY346" s="133"/>
      <c r="BZ346" s="133"/>
      <c r="CA346" s="133"/>
      <c r="CB346" s="133"/>
      <c r="CC346" s="14"/>
    </row>
    <row r="347" ht="25.05" customHeight="1" spans="1:81">
      <c r="A347" s="133"/>
      <c r="B347" s="37"/>
      <c r="C347" s="38"/>
      <c r="D347" s="14"/>
      <c r="E347" s="36"/>
      <c r="F347" s="36"/>
      <c r="G347" s="36"/>
      <c r="H347" s="40"/>
      <c r="I347" s="133"/>
      <c r="J347" s="134"/>
      <c r="K347" s="133"/>
      <c r="L347" s="140"/>
      <c r="M347" s="36"/>
      <c r="N347" s="36"/>
      <c r="O347" s="36"/>
      <c r="P347" s="36"/>
      <c r="Q347" s="37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/>
      <c r="BF347" s="133"/>
      <c r="BG347" s="133"/>
      <c r="BH347" s="133"/>
      <c r="BI347" s="133"/>
      <c r="BJ347" s="133"/>
      <c r="BK347" s="133"/>
      <c r="BL347" s="133"/>
      <c r="BM347" s="133"/>
      <c r="BN347" s="133"/>
      <c r="BO347" s="133"/>
      <c r="BP347" s="133"/>
      <c r="BQ347" s="133"/>
      <c r="BR347" s="133"/>
      <c r="BS347" s="133"/>
      <c r="BT347" s="133"/>
      <c r="BU347" s="133"/>
      <c r="BV347" s="133"/>
      <c r="BW347" s="133"/>
      <c r="BX347" s="133"/>
      <c r="BY347" s="133"/>
      <c r="BZ347" s="133"/>
      <c r="CA347" s="133"/>
      <c r="CB347" s="133"/>
      <c r="CC347" s="14"/>
    </row>
    <row r="348" ht="25.05" customHeight="1" spans="1:81">
      <c r="A348" s="133"/>
      <c r="B348" s="37"/>
      <c r="C348" s="38"/>
      <c r="D348" s="14"/>
      <c r="E348" s="36"/>
      <c r="F348" s="36"/>
      <c r="G348" s="36"/>
      <c r="H348" s="40"/>
      <c r="I348" s="133"/>
      <c r="J348" s="134"/>
      <c r="K348" s="133"/>
      <c r="L348" s="140"/>
      <c r="M348" s="36"/>
      <c r="N348" s="36"/>
      <c r="O348" s="36"/>
      <c r="P348" s="36"/>
      <c r="Q348" s="37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3"/>
      <c r="BF348" s="133"/>
      <c r="BG348" s="133"/>
      <c r="BH348" s="133"/>
      <c r="BI348" s="133"/>
      <c r="BJ348" s="133"/>
      <c r="BK348" s="133"/>
      <c r="BL348" s="133"/>
      <c r="BM348" s="133"/>
      <c r="BN348" s="133"/>
      <c r="BO348" s="133"/>
      <c r="BP348" s="133"/>
      <c r="BQ348" s="133"/>
      <c r="BR348" s="133"/>
      <c r="BS348" s="133"/>
      <c r="BT348" s="133"/>
      <c r="BU348" s="133"/>
      <c r="BV348" s="133"/>
      <c r="BW348" s="133"/>
      <c r="BX348" s="133"/>
      <c r="BY348" s="133"/>
      <c r="BZ348" s="133"/>
      <c r="CA348" s="133"/>
      <c r="CB348" s="133"/>
      <c r="CC348" s="14"/>
    </row>
    <row r="349" ht="25.05" customHeight="1" spans="1:81">
      <c r="A349" s="133"/>
      <c r="B349" s="37"/>
      <c r="C349" s="38"/>
      <c r="D349" s="14"/>
      <c r="E349" s="36"/>
      <c r="F349" s="36"/>
      <c r="G349" s="36"/>
      <c r="H349" s="40"/>
      <c r="I349" s="133"/>
      <c r="J349" s="134"/>
      <c r="K349" s="133"/>
      <c r="L349" s="140"/>
      <c r="M349" s="36"/>
      <c r="N349" s="36"/>
      <c r="O349" s="36"/>
      <c r="P349" s="36"/>
      <c r="Q349" s="37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3"/>
      <c r="BF349" s="133"/>
      <c r="BG349" s="133"/>
      <c r="BH349" s="133"/>
      <c r="BI349" s="133"/>
      <c r="BJ349" s="133"/>
      <c r="BK349" s="133"/>
      <c r="BL349" s="133"/>
      <c r="BM349" s="133"/>
      <c r="BN349" s="133"/>
      <c r="BO349" s="133"/>
      <c r="BP349" s="133"/>
      <c r="BQ349" s="133"/>
      <c r="BR349" s="133"/>
      <c r="BS349" s="133"/>
      <c r="BT349" s="133"/>
      <c r="BU349" s="133"/>
      <c r="BV349" s="133"/>
      <c r="BW349" s="133"/>
      <c r="BX349" s="133"/>
      <c r="BY349" s="133"/>
      <c r="BZ349" s="133"/>
      <c r="CA349" s="133"/>
      <c r="CB349" s="133"/>
      <c r="CC349" s="14"/>
    </row>
    <row r="350" ht="25.05" customHeight="1" spans="1:81">
      <c r="A350" s="133"/>
      <c r="B350" s="37"/>
      <c r="C350" s="38"/>
      <c r="D350" s="14"/>
      <c r="E350" s="36"/>
      <c r="F350" s="36"/>
      <c r="G350" s="36"/>
      <c r="H350" s="40"/>
      <c r="I350" s="133"/>
      <c r="J350" s="134"/>
      <c r="K350" s="133"/>
      <c r="L350" s="140"/>
      <c r="M350" s="36"/>
      <c r="N350" s="36"/>
      <c r="O350" s="36"/>
      <c r="P350" s="36"/>
      <c r="Q350" s="37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33"/>
      <c r="BG350" s="133"/>
      <c r="BH350" s="133"/>
      <c r="BI350" s="133"/>
      <c r="BJ350" s="133"/>
      <c r="BK350" s="133"/>
      <c r="BL350" s="133"/>
      <c r="BM350" s="133"/>
      <c r="BN350" s="133"/>
      <c r="BO350" s="133"/>
      <c r="BP350" s="133"/>
      <c r="BQ350" s="133"/>
      <c r="BR350" s="133"/>
      <c r="BS350" s="133"/>
      <c r="BT350" s="133"/>
      <c r="BU350" s="133"/>
      <c r="BV350" s="133"/>
      <c r="BW350" s="133"/>
      <c r="BX350" s="133"/>
      <c r="BY350" s="133"/>
      <c r="BZ350" s="133"/>
      <c r="CA350" s="133"/>
      <c r="CB350" s="133"/>
      <c r="CC350" s="14"/>
    </row>
    <row r="351" ht="25.05" customHeight="1" spans="1:81">
      <c r="A351" s="133"/>
      <c r="B351" s="37"/>
      <c r="C351" s="38"/>
      <c r="D351" s="14"/>
      <c r="E351" s="36"/>
      <c r="F351" s="36"/>
      <c r="G351" s="36"/>
      <c r="H351" s="40"/>
      <c r="I351" s="133"/>
      <c r="J351" s="134"/>
      <c r="K351" s="133"/>
      <c r="L351" s="140"/>
      <c r="M351" s="36"/>
      <c r="N351" s="36"/>
      <c r="O351" s="36"/>
      <c r="P351" s="36"/>
      <c r="Q351" s="37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33"/>
      <c r="BG351" s="133"/>
      <c r="BH351" s="133"/>
      <c r="BI351" s="133"/>
      <c r="BJ351" s="133"/>
      <c r="BK351" s="133"/>
      <c r="BL351" s="133"/>
      <c r="BM351" s="133"/>
      <c r="BN351" s="133"/>
      <c r="BO351" s="133"/>
      <c r="BP351" s="133"/>
      <c r="BQ351" s="133"/>
      <c r="BR351" s="133"/>
      <c r="BS351" s="133"/>
      <c r="BT351" s="133"/>
      <c r="BU351" s="133"/>
      <c r="BV351" s="133"/>
      <c r="BW351" s="133"/>
      <c r="BX351" s="133"/>
      <c r="BY351" s="133"/>
      <c r="BZ351" s="133"/>
      <c r="CA351" s="133"/>
      <c r="CB351" s="133"/>
      <c r="CC351" s="14"/>
    </row>
    <row r="352" ht="25.05" customHeight="1" spans="1:81">
      <c r="A352" s="133"/>
      <c r="B352" s="37"/>
      <c r="C352" s="38"/>
      <c r="D352" s="14"/>
      <c r="E352" s="36"/>
      <c r="F352" s="36"/>
      <c r="G352" s="36"/>
      <c r="H352" s="40"/>
      <c r="I352" s="133"/>
      <c r="J352" s="134"/>
      <c r="K352" s="133"/>
      <c r="L352" s="140"/>
      <c r="M352" s="36"/>
      <c r="N352" s="36"/>
      <c r="O352" s="36"/>
      <c r="P352" s="36"/>
      <c r="Q352" s="37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33"/>
      <c r="BG352" s="133"/>
      <c r="BH352" s="133"/>
      <c r="BI352" s="133"/>
      <c r="BJ352" s="133"/>
      <c r="BK352" s="133"/>
      <c r="BL352" s="133"/>
      <c r="BM352" s="133"/>
      <c r="BN352" s="133"/>
      <c r="BO352" s="133"/>
      <c r="BP352" s="133"/>
      <c r="BQ352" s="133"/>
      <c r="BR352" s="133"/>
      <c r="BS352" s="133"/>
      <c r="BT352" s="133"/>
      <c r="BU352" s="133"/>
      <c r="BV352" s="133"/>
      <c r="BW352" s="133"/>
      <c r="BX352" s="133"/>
      <c r="BY352" s="133"/>
      <c r="BZ352" s="133"/>
      <c r="CA352" s="133"/>
      <c r="CB352" s="133"/>
      <c r="CC352" s="14"/>
    </row>
    <row r="353" ht="25.05" customHeight="1" spans="1:81">
      <c r="A353" s="133"/>
      <c r="B353" s="37"/>
      <c r="C353" s="38"/>
      <c r="D353" s="14"/>
      <c r="E353" s="36"/>
      <c r="F353" s="36"/>
      <c r="G353" s="36"/>
      <c r="H353" s="40"/>
      <c r="I353" s="133"/>
      <c r="J353" s="134"/>
      <c r="K353" s="133"/>
      <c r="L353" s="140"/>
      <c r="M353" s="36"/>
      <c r="N353" s="36"/>
      <c r="O353" s="36"/>
      <c r="P353" s="36"/>
      <c r="Q353" s="37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33"/>
      <c r="BG353" s="133"/>
      <c r="BH353" s="133"/>
      <c r="BI353" s="133"/>
      <c r="BJ353" s="133"/>
      <c r="BK353" s="133"/>
      <c r="BL353" s="133"/>
      <c r="BM353" s="133"/>
      <c r="BN353" s="133"/>
      <c r="BO353" s="133"/>
      <c r="BP353" s="133"/>
      <c r="BQ353" s="133"/>
      <c r="BR353" s="133"/>
      <c r="BS353" s="133"/>
      <c r="BT353" s="133"/>
      <c r="BU353" s="133"/>
      <c r="BV353" s="133"/>
      <c r="BW353" s="133"/>
      <c r="BX353" s="133"/>
      <c r="BY353" s="133"/>
      <c r="BZ353" s="133"/>
      <c r="CA353" s="133"/>
      <c r="CB353" s="133"/>
      <c r="CC353" s="14"/>
    </row>
    <row r="354" ht="25.05" customHeight="1" spans="1:81">
      <c r="A354" s="133"/>
      <c r="B354" s="37"/>
      <c r="C354" s="38"/>
      <c r="D354" s="14"/>
      <c r="E354" s="36"/>
      <c r="F354" s="36"/>
      <c r="G354" s="36"/>
      <c r="H354" s="40"/>
      <c r="I354" s="133"/>
      <c r="J354" s="134"/>
      <c r="K354" s="133"/>
      <c r="L354" s="140"/>
      <c r="M354" s="36"/>
      <c r="N354" s="36"/>
      <c r="O354" s="36"/>
      <c r="P354" s="36"/>
      <c r="Q354" s="37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33"/>
      <c r="BG354" s="133"/>
      <c r="BH354" s="133"/>
      <c r="BI354" s="133"/>
      <c r="BJ354" s="133"/>
      <c r="BK354" s="133"/>
      <c r="BL354" s="133"/>
      <c r="BM354" s="133"/>
      <c r="BN354" s="133"/>
      <c r="BO354" s="133"/>
      <c r="BP354" s="133"/>
      <c r="BQ354" s="133"/>
      <c r="BR354" s="133"/>
      <c r="BS354" s="133"/>
      <c r="BT354" s="133"/>
      <c r="BU354" s="133"/>
      <c r="BV354" s="133"/>
      <c r="BW354" s="133"/>
      <c r="BX354" s="133"/>
      <c r="BY354" s="133"/>
      <c r="BZ354" s="133"/>
      <c r="CA354" s="133"/>
      <c r="CB354" s="133"/>
      <c r="CC354" s="14"/>
    </row>
    <row r="355" ht="25.05" customHeight="1" spans="1:81">
      <c r="A355" s="133"/>
      <c r="B355" s="37"/>
      <c r="C355" s="38"/>
      <c r="D355" s="14"/>
      <c r="E355" s="36"/>
      <c r="F355" s="36"/>
      <c r="G355" s="36"/>
      <c r="H355" s="40"/>
      <c r="I355" s="133"/>
      <c r="J355" s="134"/>
      <c r="K355" s="133"/>
      <c r="L355" s="140"/>
      <c r="M355" s="36"/>
      <c r="N355" s="36"/>
      <c r="O355" s="36"/>
      <c r="P355" s="36"/>
      <c r="Q355" s="37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  <c r="AY355" s="133"/>
      <c r="AZ355" s="133"/>
      <c r="BA355" s="133"/>
      <c r="BB355" s="133"/>
      <c r="BC355" s="133"/>
      <c r="BD355" s="133"/>
      <c r="BE355" s="133"/>
      <c r="BF355" s="133"/>
      <c r="BG355" s="133"/>
      <c r="BH355" s="133"/>
      <c r="BI355" s="133"/>
      <c r="BJ355" s="133"/>
      <c r="BK355" s="133"/>
      <c r="BL355" s="133"/>
      <c r="BM355" s="133"/>
      <c r="BN355" s="133"/>
      <c r="BO355" s="133"/>
      <c r="BP355" s="133"/>
      <c r="BQ355" s="133"/>
      <c r="BR355" s="133"/>
      <c r="BS355" s="133"/>
      <c r="BT355" s="133"/>
      <c r="BU355" s="133"/>
      <c r="BV355" s="133"/>
      <c r="BW355" s="133"/>
      <c r="BX355" s="133"/>
      <c r="BY355" s="133"/>
      <c r="BZ355" s="133"/>
      <c r="CA355" s="133"/>
      <c r="CB355" s="133"/>
      <c r="CC355" s="14"/>
    </row>
    <row r="356" ht="25.05" customHeight="1" spans="1:81">
      <c r="A356" s="133"/>
      <c r="B356" s="37"/>
      <c r="C356" s="38"/>
      <c r="D356" s="14"/>
      <c r="E356" s="36"/>
      <c r="F356" s="36"/>
      <c r="G356" s="36"/>
      <c r="H356" s="40"/>
      <c r="I356" s="133"/>
      <c r="J356" s="134"/>
      <c r="K356" s="133"/>
      <c r="L356" s="140"/>
      <c r="M356" s="36"/>
      <c r="N356" s="36"/>
      <c r="O356" s="36"/>
      <c r="P356" s="36"/>
      <c r="Q356" s="37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33"/>
      <c r="BG356" s="133"/>
      <c r="BH356" s="133"/>
      <c r="BI356" s="133"/>
      <c r="BJ356" s="133"/>
      <c r="BK356" s="133"/>
      <c r="BL356" s="133"/>
      <c r="BM356" s="133"/>
      <c r="BN356" s="133"/>
      <c r="BO356" s="133"/>
      <c r="BP356" s="133"/>
      <c r="BQ356" s="133"/>
      <c r="BR356" s="133"/>
      <c r="BS356" s="133"/>
      <c r="BT356" s="133"/>
      <c r="BU356" s="133"/>
      <c r="BV356" s="133"/>
      <c r="BW356" s="133"/>
      <c r="BX356" s="133"/>
      <c r="BY356" s="133"/>
      <c r="BZ356" s="133"/>
      <c r="CA356" s="133"/>
      <c r="CB356" s="133"/>
      <c r="CC356" s="14"/>
    </row>
    <row r="357" ht="25.05" customHeight="1" spans="1:81">
      <c r="A357" s="133"/>
      <c r="B357" s="37"/>
      <c r="C357" s="38"/>
      <c r="D357" s="14"/>
      <c r="E357" s="36"/>
      <c r="F357" s="36"/>
      <c r="G357" s="36"/>
      <c r="H357" s="40"/>
      <c r="I357" s="133"/>
      <c r="J357" s="134"/>
      <c r="K357" s="133"/>
      <c r="L357" s="140"/>
      <c r="M357" s="36"/>
      <c r="N357" s="36"/>
      <c r="O357" s="36"/>
      <c r="P357" s="36"/>
      <c r="Q357" s="37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33"/>
      <c r="BG357" s="133"/>
      <c r="BH357" s="133"/>
      <c r="BI357" s="133"/>
      <c r="BJ357" s="133"/>
      <c r="BK357" s="133"/>
      <c r="BL357" s="133"/>
      <c r="BM357" s="133"/>
      <c r="BN357" s="133"/>
      <c r="BO357" s="133"/>
      <c r="BP357" s="133"/>
      <c r="BQ357" s="133"/>
      <c r="BR357" s="133"/>
      <c r="BS357" s="133"/>
      <c r="BT357" s="133"/>
      <c r="BU357" s="133"/>
      <c r="BV357" s="133"/>
      <c r="BW357" s="133"/>
      <c r="BX357" s="133"/>
      <c r="BY357" s="133"/>
      <c r="BZ357" s="133"/>
      <c r="CA357" s="133"/>
      <c r="CB357" s="133"/>
      <c r="CC357" s="14"/>
    </row>
    <row r="358" ht="25.05" customHeight="1" spans="1:81">
      <c r="A358" s="133"/>
      <c r="B358" s="37"/>
      <c r="C358" s="38"/>
      <c r="D358" s="14"/>
      <c r="E358" s="36"/>
      <c r="F358" s="36"/>
      <c r="G358" s="36"/>
      <c r="H358" s="40"/>
      <c r="I358" s="133"/>
      <c r="J358" s="134"/>
      <c r="K358" s="133"/>
      <c r="L358" s="140"/>
      <c r="M358" s="36"/>
      <c r="N358" s="36"/>
      <c r="O358" s="36"/>
      <c r="P358" s="36"/>
      <c r="Q358" s="37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33"/>
      <c r="BG358" s="133"/>
      <c r="BH358" s="133"/>
      <c r="BI358" s="133"/>
      <c r="BJ358" s="133"/>
      <c r="BK358" s="133"/>
      <c r="BL358" s="133"/>
      <c r="BM358" s="133"/>
      <c r="BN358" s="133"/>
      <c r="BO358" s="133"/>
      <c r="BP358" s="133"/>
      <c r="BQ358" s="133"/>
      <c r="BR358" s="133"/>
      <c r="BS358" s="133"/>
      <c r="BT358" s="133"/>
      <c r="BU358" s="133"/>
      <c r="BV358" s="133"/>
      <c r="BW358" s="133"/>
      <c r="BX358" s="133"/>
      <c r="BY358" s="133"/>
      <c r="BZ358" s="133"/>
      <c r="CA358" s="133"/>
      <c r="CB358" s="133"/>
      <c r="CC358" s="14"/>
    </row>
    <row r="359" ht="25.05" customHeight="1" spans="1:81">
      <c r="A359" s="133"/>
      <c r="B359" s="37"/>
      <c r="C359" s="38"/>
      <c r="D359" s="14"/>
      <c r="E359" s="36"/>
      <c r="F359" s="36"/>
      <c r="G359" s="36"/>
      <c r="H359" s="40"/>
      <c r="I359" s="133"/>
      <c r="J359" s="134"/>
      <c r="K359" s="133"/>
      <c r="L359" s="140"/>
      <c r="M359" s="36"/>
      <c r="N359" s="36"/>
      <c r="O359" s="36"/>
      <c r="P359" s="36"/>
      <c r="Q359" s="37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/>
      <c r="BF359" s="133"/>
      <c r="BG359" s="133"/>
      <c r="BH359" s="133"/>
      <c r="BI359" s="133"/>
      <c r="BJ359" s="133"/>
      <c r="BK359" s="133"/>
      <c r="BL359" s="133"/>
      <c r="BM359" s="133"/>
      <c r="BN359" s="133"/>
      <c r="BO359" s="133"/>
      <c r="BP359" s="133"/>
      <c r="BQ359" s="133"/>
      <c r="BR359" s="133"/>
      <c r="BS359" s="133"/>
      <c r="BT359" s="133"/>
      <c r="BU359" s="133"/>
      <c r="BV359" s="133"/>
      <c r="BW359" s="133"/>
      <c r="BX359" s="133"/>
      <c r="BY359" s="133"/>
      <c r="BZ359" s="133"/>
      <c r="CA359" s="133"/>
      <c r="CB359" s="133"/>
      <c r="CC359" s="14"/>
    </row>
    <row r="360" ht="25.05" customHeight="1" spans="1:81">
      <c r="A360" s="133"/>
      <c r="B360" s="37"/>
      <c r="C360" s="38"/>
      <c r="D360" s="14"/>
      <c r="E360" s="36"/>
      <c r="F360" s="36"/>
      <c r="G360" s="36"/>
      <c r="H360" s="40"/>
      <c r="I360" s="133"/>
      <c r="J360" s="134"/>
      <c r="K360" s="133"/>
      <c r="L360" s="140"/>
      <c r="M360" s="36"/>
      <c r="N360" s="36"/>
      <c r="O360" s="36"/>
      <c r="P360" s="36"/>
      <c r="Q360" s="37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33"/>
      <c r="BG360" s="133"/>
      <c r="BH360" s="133"/>
      <c r="BI360" s="133"/>
      <c r="BJ360" s="133"/>
      <c r="BK360" s="133"/>
      <c r="BL360" s="133"/>
      <c r="BM360" s="133"/>
      <c r="BN360" s="133"/>
      <c r="BO360" s="133"/>
      <c r="BP360" s="133"/>
      <c r="BQ360" s="133"/>
      <c r="BR360" s="133"/>
      <c r="BS360" s="133"/>
      <c r="BT360" s="133"/>
      <c r="BU360" s="133"/>
      <c r="BV360" s="133"/>
      <c r="BW360" s="133"/>
      <c r="BX360" s="133"/>
      <c r="BY360" s="133"/>
      <c r="BZ360" s="133"/>
      <c r="CA360" s="133"/>
      <c r="CB360" s="133"/>
      <c r="CC360" s="14"/>
    </row>
    <row r="361" ht="25.05" customHeight="1" spans="1:81">
      <c r="A361" s="133"/>
      <c r="B361" s="37"/>
      <c r="C361" s="38"/>
      <c r="D361" s="14"/>
      <c r="E361" s="36"/>
      <c r="F361" s="36"/>
      <c r="G361" s="36"/>
      <c r="H361" s="40"/>
      <c r="I361" s="133"/>
      <c r="J361" s="134"/>
      <c r="K361" s="133"/>
      <c r="L361" s="140"/>
      <c r="M361" s="36"/>
      <c r="N361" s="36"/>
      <c r="O361" s="36"/>
      <c r="P361" s="36"/>
      <c r="Q361" s="37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33"/>
      <c r="BG361" s="133"/>
      <c r="BH361" s="133"/>
      <c r="BI361" s="133"/>
      <c r="BJ361" s="133"/>
      <c r="BK361" s="133"/>
      <c r="BL361" s="133"/>
      <c r="BM361" s="133"/>
      <c r="BN361" s="133"/>
      <c r="BO361" s="133"/>
      <c r="BP361" s="133"/>
      <c r="BQ361" s="133"/>
      <c r="BR361" s="133"/>
      <c r="BS361" s="133"/>
      <c r="BT361" s="133"/>
      <c r="BU361" s="133"/>
      <c r="BV361" s="133"/>
      <c r="BW361" s="133"/>
      <c r="BX361" s="133"/>
      <c r="BY361" s="133"/>
      <c r="BZ361" s="133"/>
      <c r="CA361" s="133"/>
      <c r="CB361" s="133"/>
      <c r="CC361" s="14"/>
    </row>
    <row r="362" ht="25.05" customHeight="1" spans="1:81">
      <c r="A362" s="133"/>
      <c r="B362" s="37"/>
      <c r="C362" s="38"/>
      <c r="D362" s="14"/>
      <c r="E362" s="36"/>
      <c r="F362" s="36"/>
      <c r="G362" s="36"/>
      <c r="H362" s="40"/>
      <c r="I362" s="133"/>
      <c r="J362" s="134"/>
      <c r="K362" s="133"/>
      <c r="L362" s="140"/>
      <c r="M362" s="36"/>
      <c r="N362" s="36"/>
      <c r="O362" s="36"/>
      <c r="P362" s="36"/>
      <c r="Q362" s="37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  <c r="AY362" s="133"/>
      <c r="AZ362" s="133"/>
      <c r="BA362" s="133"/>
      <c r="BB362" s="133"/>
      <c r="BC362" s="133"/>
      <c r="BD362" s="133"/>
      <c r="BE362" s="133"/>
      <c r="BF362" s="133"/>
      <c r="BG362" s="133"/>
      <c r="BH362" s="133"/>
      <c r="BI362" s="133"/>
      <c r="BJ362" s="133"/>
      <c r="BK362" s="133"/>
      <c r="BL362" s="133"/>
      <c r="BM362" s="133"/>
      <c r="BN362" s="133"/>
      <c r="BO362" s="133"/>
      <c r="BP362" s="133"/>
      <c r="BQ362" s="133"/>
      <c r="BR362" s="133"/>
      <c r="BS362" s="133"/>
      <c r="BT362" s="133"/>
      <c r="BU362" s="133"/>
      <c r="BV362" s="133"/>
      <c r="BW362" s="133"/>
      <c r="BX362" s="133"/>
      <c r="BY362" s="133"/>
      <c r="BZ362" s="133"/>
      <c r="CA362" s="133"/>
      <c r="CB362" s="133"/>
      <c r="CC362" s="14"/>
    </row>
    <row r="363" ht="25.05" customHeight="1" spans="1:81">
      <c r="A363" s="133"/>
      <c r="B363" s="37"/>
      <c r="C363" s="38"/>
      <c r="D363" s="14"/>
      <c r="E363" s="36"/>
      <c r="F363" s="36"/>
      <c r="G363" s="36"/>
      <c r="H363" s="40"/>
      <c r="I363" s="133"/>
      <c r="J363" s="134"/>
      <c r="K363" s="133"/>
      <c r="L363" s="140"/>
      <c r="M363" s="36"/>
      <c r="N363" s="36"/>
      <c r="O363" s="36"/>
      <c r="P363" s="36"/>
      <c r="Q363" s="37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33"/>
      <c r="BG363" s="133"/>
      <c r="BH363" s="133"/>
      <c r="BI363" s="133"/>
      <c r="BJ363" s="133"/>
      <c r="BK363" s="133"/>
      <c r="BL363" s="133"/>
      <c r="BM363" s="133"/>
      <c r="BN363" s="133"/>
      <c r="BO363" s="133"/>
      <c r="BP363" s="133"/>
      <c r="BQ363" s="133"/>
      <c r="BR363" s="133"/>
      <c r="BS363" s="133"/>
      <c r="BT363" s="133"/>
      <c r="BU363" s="133"/>
      <c r="BV363" s="133"/>
      <c r="BW363" s="133"/>
      <c r="BX363" s="133"/>
      <c r="BY363" s="133"/>
      <c r="BZ363" s="133"/>
      <c r="CA363" s="133"/>
      <c r="CB363" s="133"/>
      <c r="CC363" s="14"/>
    </row>
  </sheetData>
  <sheetProtection selectLockedCells="1" selectUnlockedCells="1"/>
  <autoFilter xmlns:etc="http://www.wps.cn/officeDocument/2017/etCustomData" ref="A3:CD106" etc:filterBottomFollowUsedRange="0">
    <extLst/>
  </autoFilter>
  <mergeCells count="22">
    <mergeCell ref="A1:E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E4">
    <cfRule type="duplicateValues" dxfId="0" priority="42"/>
    <cfRule type="duplicateValues" dxfId="0" priority="43"/>
  </conditionalFormatting>
  <conditionalFormatting sqref="F4">
    <cfRule type="duplicateValues" dxfId="0" priority="44"/>
  </conditionalFormatting>
  <conditionalFormatting sqref="E5">
    <cfRule type="duplicateValues" dxfId="0" priority="40"/>
    <cfRule type="duplicateValues" dxfId="0" priority="41"/>
  </conditionalFormatting>
  <conditionalFormatting sqref="E6">
    <cfRule type="duplicateValues" dxfId="0" priority="39"/>
  </conditionalFormatting>
  <conditionalFormatting sqref="E7">
    <cfRule type="duplicateValues" dxfId="0" priority="37"/>
    <cfRule type="duplicateValues" dxfId="0" priority="38"/>
  </conditionalFormatting>
  <conditionalFormatting sqref="E8">
    <cfRule type="duplicateValues" dxfId="0" priority="36"/>
  </conditionalFormatting>
  <conditionalFormatting sqref="E9">
    <cfRule type="duplicateValues" dxfId="0" priority="34"/>
    <cfRule type="duplicateValues" dxfId="0" priority="35"/>
  </conditionalFormatting>
  <conditionalFormatting sqref="Q64">
    <cfRule type="cellIs" dxfId="1" priority="24" operator="lessThanOrEqual">
      <formula>300</formula>
    </cfRule>
    <cfRule type="cellIs" dxfId="2" priority="25" operator="greaterThan">
      <formula>300</formula>
    </cfRule>
  </conditionalFormatting>
  <conditionalFormatting sqref="D99">
    <cfRule type="duplicateValues" dxfId="0" priority="15"/>
  </conditionalFormatting>
  <conditionalFormatting sqref="D4:D6">
    <cfRule type="duplicateValues" dxfId="0" priority="47"/>
  </conditionalFormatting>
  <conditionalFormatting sqref="E97:E100">
    <cfRule type="duplicateValues" dxfId="0" priority="13"/>
  </conditionalFormatting>
  <conditionalFormatting sqref="F97:F100">
    <cfRule type="duplicateValues" dxfId="0" priority="14"/>
  </conditionalFormatting>
  <conditionalFormatting sqref="Q4:Q35">
    <cfRule type="cellIs" dxfId="1" priority="20" operator="lessThanOrEqual">
      <formula>300</formula>
    </cfRule>
    <cfRule type="cellIs" dxfId="2" priority="21" operator="greaterThan">
      <formula>300</formula>
    </cfRule>
  </conditionalFormatting>
  <conditionalFormatting sqref="Q65:Q66">
    <cfRule type="cellIs" dxfId="1" priority="18" operator="lessThanOrEqual">
      <formula>300</formula>
    </cfRule>
    <cfRule type="cellIs" dxfId="2" priority="19" operator="greaterThan">
      <formula>300</formula>
    </cfRule>
  </conditionalFormatting>
  <conditionalFormatting sqref="Q68:Q71">
    <cfRule type="cellIs" dxfId="1" priority="11" operator="lessThanOrEqual">
      <formula>300</formula>
    </cfRule>
    <cfRule type="cellIs" dxfId="2" priority="12" operator="greaterThan">
      <formula>300</formula>
    </cfRule>
  </conditionalFormatting>
  <conditionalFormatting sqref="Q72:Q73">
    <cfRule type="cellIs" dxfId="1" priority="1" operator="lessThanOrEqual">
      <formula>300</formula>
    </cfRule>
    <cfRule type="cellIs" dxfId="2" priority="2" operator="greaterThan">
      <formula>300</formula>
    </cfRule>
  </conditionalFormatting>
  <conditionalFormatting sqref="Q74:Q77">
    <cfRule type="cellIs" dxfId="1" priority="9" operator="lessThanOrEqual">
      <formula>300</formula>
    </cfRule>
    <cfRule type="cellIs" dxfId="2" priority="10" operator="greaterThan">
      <formula>300</formula>
    </cfRule>
  </conditionalFormatting>
  <conditionalFormatting sqref="Q78:Q80">
    <cfRule type="cellIs" dxfId="1" priority="26" operator="lessThanOrEqual">
      <formula>300</formula>
    </cfRule>
    <cfRule type="cellIs" dxfId="2" priority="27" operator="greaterThan">
      <formula>300</formula>
    </cfRule>
  </conditionalFormatting>
  <conditionalFormatting sqref="Q89:Q90">
    <cfRule type="cellIs" dxfId="1" priority="5" operator="lessThanOrEqual">
      <formula>300</formula>
    </cfRule>
    <cfRule type="cellIs" dxfId="2" priority="6" operator="greaterThan">
      <formula>300</formula>
    </cfRule>
  </conditionalFormatting>
  <conditionalFormatting sqref="Q91:Q93">
    <cfRule type="cellIs" dxfId="1" priority="3" operator="lessThanOrEqual">
      <formula>300</formula>
    </cfRule>
    <cfRule type="cellIs" dxfId="2" priority="4" operator="greaterThan">
      <formula>300</formula>
    </cfRule>
  </conditionalFormatting>
  <conditionalFormatting sqref="Q97:Q100">
    <cfRule type="cellIs" dxfId="1" priority="16" operator="lessThanOrEqual">
      <formula>300</formula>
    </cfRule>
    <cfRule type="cellIs" dxfId="2" priority="17" operator="greaterThan">
      <formula>300</formula>
    </cfRule>
  </conditionalFormatting>
  <conditionalFormatting sqref="E2:E3 D2">
    <cfRule type="duplicateValues" dxfId="3" priority="45"/>
  </conditionalFormatting>
  <conditionalFormatting sqref="E101:E363 E67 E10:E62 E78:E88 E94:E96">
    <cfRule type="duplicateValues" dxfId="0" priority="234"/>
    <cfRule type="duplicateValues" dxfId="0" priority="235"/>
  </conditionalFormatting>
  <conditionalFormatting sqref="Q94:Q96 Q36:Q63">
    <cfRule type="cellIs" dxfId="1" priority="28" operator="lessThanOrEqual">
      <formula>300</formula>
    </cfRule>
    <cfRule type="cellIs" dxfId="2" priority="29" operator="greaterThan">
      <formula>300</formula>
    </cfRule>
  </conditionalFormatting>
  <conditionalFormatting sqref="Q67 Q81:Q88 Q101:Q363">
    <cfRule type="cellIs" dxfId="1" priority="193" operator="lessThanOrEqual">
      <formula>300</formula>
    </cfRule>
    <cfRule type="cellIs" dxfId="2" priority="196" operator="greaterThan">
      <formula>300</formula>
    </cfRule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1"/>
  <sheetViews>
    <sheetView showGridLines="0" zoomScale="85" zoomScaleNormal="85" workbookViewId="0">
      <pane ySplit="1" topLeftCell="A342" activePane="bottomLeft" state="frozen"/>
      <selection/>
      <selection pane="bottomLeft" activeCell="G1" sqref="G$1:G$1048576"/>
    </sheetView>
  </sheetViews>
  <sheetFormatPr defaultColWidth="11.3333333333333" defaultRowHeight="19.95" customHeight="1"/>
  <cols>
    <col min="1" max="1" width="13" style="79" customWidth="1"/>
    <col min="2" max="2" width="12.3333333333333" style="85" customWidth="1"/>
    <col min="3" max="3" width="32.8888888888889" style="85" customWidth="1"/>
    <col min="4" max="4" width="46.8888888888889" style="85" customWidth="1"/>
    <col min="5" max="5" width="26.5555555555556" style="85" customWidth="1"/>
    <col min="6" max="6" width="60.1111111111111" style="101" customWidth="1"/>
    <col min="7" max="7" width="11.2222222222222" style="85" customWidth="1"/>
    <col min="8" max="8" width="12.5555555555556" style="102" customWidth="1"/>
    <col min="9" max="9" width="10.4444444444444" style="101" customWidth="1"/>
    <col min="10" max="10" width="23.2222222222222" style="103" customWidth="1"/>
    <col min="11" max="11" width="12.6666666666667" style="104"/>
    <col min="12" max="12" width="14.3333333333333" style="60" customWidth="1"/>
    <col min="13" max="16384" width="11.3333333333333" style="60"/>
  </cols>
  <sheetData>
    <row r="1" s="61" customFormat="1" customHeight="1" spans="1:11">
      <c r="A1" s="105" t="s">
        <v>296</v>
      </c>
      <c r="B1" s="106" t="s">
        <v>297</v>
      </c>
      <c r="C1" s="106" t="s">
        <v>3</v>
      </c>
      <c r="D1" s="106" t="s">
        <v>298</v>
      </c>
      <c r="E1" s="106" t="s">
        <v>299</v>
      </c>
      <c r="F1" s="107" t="s">
        <v>6</v>
      </c>
      <c r="G1" s="106" t="s">
        <v>300</v>
      </c>
      <c r="H1" s="108" t="s">
        <v>301</v>
      </c>
      <c r="I1" s="107" t="s">
        <v>302</v>
      </c>
      <c r="J1" s="109" t="s">
        <v>303</v>
      </c>
      <c r="K1" s="110" t="s">
        <v>304</v>
      </c>
    </row>
    <row r="2" customHeight="1" spans="1:11">
      <c r="A2" s="79">
        <v>46144</v>
      </c>
      <c r="B2" s="85" t="s">
        <v>22</v>
      </c>
      <c r="C2" s="85" t="s">
        <v>23</v>
      </c>
      <c r="D2" s="85" t="s">
        <v>305</v>
      </c>
      <c r="E2" s="85" t="s">
        <v>39</v>
      </c>
      <c r="F2" s="101" t="s">
        <v>40</v>
      </c>
      <c r="G2" s="85">
        <v>468</v>
      </c>
      <c r="H2" s="102" t="s">
        <v>27</v>
      </c>
      <c r="I2" s="101">
        <v>36</v>
      </c>
      <c r="J2" s="103" t="s">
        <v>306</v>
      </c>
      <c r="K2" s="104">
        <v>13</v>
      </c>
    </row>
    <row r="3" customHeight="1" spans="1:11">
      <c r="A3" s="79">
        <v>46144</v>
      </c>
      <c r="B3" s="85" t="s">
        <v>22</v>
      </c>
      <c r="C3" s="85" t="s">
        <v>23</v>
      </c>
      <c r="D3" s="85" t="s">
        <v>307</v>
      </c>
      <c r="E3" s="85" t="s">
        <v>42</v>
      </c>
      <c r="F3" s="101" t="s">
        <v>43</v>
      </c>
      <c r="G3" s="85">
        <v>108</v>
      </c>
      <c r="H3" s="102" t="s">
        <v>27</v>
      </c>
      <c r="I3" s="101">
        <v>36</v>
      </c>
      <c r="J3" s="103" t="s">
        <v>306</v>
      </c>
      <c r="K3" s="104">
        <v>3</v>
      </c>
    </row>
    <row r="4" customHeight="1" spans="1:11">
      <c r="A4" s="79">
        <v>46144</v>
      </c>
      <c r="B4" s="85" t="s">
        <v>22</v>
      </c>
      <c r="C4" s="85" t="s">
        <v>23</v>
      </c>
      <c r="D4" s="85" t="s">
        <v>308</v>
      </c>
      <c r="E4" s="85" t="s">
        <v>30</v>
      </c>
      <c r="F4" s="101" t="s">
        <v>31</v>
      </c>
      <c r="G4" s="85">
        <v>810</v>
      </c>
      <c r="H4" s="102" t="s">
        <v>27</v>
      </c>
      <c r="I4" s="101">
        <v>162</v>
      </c>
      <c r="J4" s="103" t="s">
        <v>306</v>
      </c>
      <c r="K4" s="104">
        <v>5</v>
      </c>
    </row>
    <row r="5" customHeight="1" spans="1:11">
      <c r="A5" s="79">
        <v>46144</v>
      </c>
      <c r="B5" s="85" t="s">
        <v>22</v>
      </c>
      <c r="C5" s="85" t="s">
        <v>23</v>
      </c>
      <c r="D5" s="85" t="s">
        <v>309</v>
      </c>
      <c r="E5" s="85" t="s">
        <v>36</v>
      </c>
      <c r="F5" s="101" t="s">
        <v>37</v>
      </c>
      <c r="G5" s="85">
        <v>612</v>
      </c>
      <c r="H5" s="102" t="s">
        <v>27</v>
      </c>
      <c r="I5" s="101">
        <v>36</v>
      </c>
      <c r="J5" s="103" t="s">
        <v>306</v>
      </c>
      <c r="K5" s="104">
        <v>17</v>
      </c>
    </row>
    <row r="6" customHeight="1" spans="1:11">
      <c r="A6" s="79">
        <v>46144</v>
      </c>
      <c r="B6" s="85" t="s">
        <v>22</v>
      </c>
      <c r="C6" s="85" t="s">
        <v>23</v>
      </c>
      <c r="D6" s="85" t="s">
        <v>310</v>
      </c>
      <c r="E6" s="85" t="s">
        <v>30</v>
      </c>
      <c r="F6" s="101" t="s">
        <v>31</v>
      </c>
      <c r="G6" s="85">
        <v>810</v>
      </c>
      <c r="H6" s="102" t="s">
        <v>27</v>
      </c>
      <c r="I6" s="101">
        <v>162</v>
      </c>
      <c r="J6" s="103" t="s">
        <v>306</v>
      </c>
      <c r="K6" s="104">
        <v>5</v>
      </c>
    </row>
    <row r="7" customHeight="1" spans="1:11">
      <c r="A7" s="79">
        <v>46144</v>
      </c>
      <c r="B7" s="85" t="s">
        <v>22</v>
      </c>
      <c r="C7" s="85" t="s">
        <v>23</v>
      </c>
      <c r="D7" s="85" t="s">
        <v>311</v>
      </c>
      <c r="E7" s="85" t="s">
        <v>33</v>
      </c>
      <c r="F7" s="101" t="s">
        <v>34</v>
      </c>
      <c r="G7" s="85">
        <v>432</v>
      </c>
      <c r="H7" s="102" t="s">
        <v>27</v>
      </c>
      <c r="I7" s="101">
        <v>36</v>
      </c>
      <c r="J7" s="103" t="s">
        <v>306</v>
      </c>
      <c r="K7" s="104">
        <v>12</v>
      </c>
    </row>
    <row r="8" customHeight="1" spans="1:11">
      <c r="A8" s="79">
        <v>46144</v>
      </c>
      <c r="B8" s="85" t="s">
        <v>22</v>
      </c>
      <c r="C8" s="85" t="s">
        <v>23</v>
      </c>
      <c r="D8" s="85" t="s">
        <v>312</v>
      </c>
      <c r="E8" s="85" t="s">
        <v>33</v>
      </c>
      <c r="F8" s="101" t="s">
        <v>34</v>
      </c>
      <c r="G8" s="85">
        <v>540</v>
      </c>
      <c r="H8" s="102" t="s">
        <v>27</v>
      </c>
      <c r="I8" s="101">
        <v>36</v>
      </c>
      <c r="J8" s="103" t="s">
        <v>306</v>
      </c>
      <c r="K8" s="104">
        <v>15</v>
      </c>
    </row>
    <row r="9" customHeight="1" spans="1:11">
      <c r="A9" s="79">
        <v>46144</v>
      </c>
      <c r="B9" s="85" t="s">
        <v>22</v>
      </c>
      <c r="C9" s="85" t="s">
        <v>23</v>
      </c>
      <c r="D9" s="85" t="s">
        <v>313</v>
      </c>
      <c r="E9" s="85" t="s">
        <v>36</v>
      </c>
      <c r="F9" s="101" t="s">
        <v>37</v>
      </c>
      <c r="G9" s="85">
        <v>756</v>
      </c>
      <c r="H9" s="102" t="s">
        <v>27</v>
      </c>
      <c r="I9" s="101">
        <v>36</v>
      </c>
      <c r="J9" s="103" t="s">
        <v>306</v>
      </c>
      <c r="K9" s="104">
        <v>21</v>
      </c>
    </row>
    <row r="10" customHeight="1" spans="1:11">
      <c r="A10" s="79">
        <v>46144</v>
      </c>
      <c r="B10" s="85" t="s">
        <v>22</v>
      </c>
      <c r="C10" s="85" t="s">
        <v>23</v>
      </c>
      <c r="D10" s="85" t="s">
        <v>314</v>
      </c>
      <c r="E10" s="85" t="s">
        <v>33</v>
      </c>
      <c r="F10" s="101" t="s">
        <v>34</v>
      </c>
      <c r="G10" s="85">
        <v>216</v>
      </c>
      <c r="H10" s="102" t="s">
        <v>27</v>
      </c>
      <c r="I10" s="101">
        <v>36</v>
      </c>
      <c r="J10" s="103" t="s">
        <v>306</v>
      </c>
      <c r="K10" s="104">
        <v>6</v>
      </c>
    </row>
    <row r="11" customHeight="1" spans="1:11">
      <c r="A11" s="79">
        <v>46144</v>
      </c>
      <c r="B11" s="85" t="s">
        <v>22</v>
      </c>
      <c r="C11" s="85" t="s">
        <v>23</v>
      </c>
      <c r="D11" s="85" t="s">
        <v>315</v>
      </c>
      <c r="E11" s="85" t="s">
        <v>30</v>
      </c>
      <c r="F11" s="101" t="s">
        <v>31</v>
      </c>
      <c r="G11" s="85">
        <v>810</v>
      </c>
      <c r="H11" s="102" t="s">
        <v>27</v>
      </c>
      <c r="I11" s="101">
        <v>162</v>
      </c>
      <c r="J11" s="103" t="s">
        <v>306</v>
      </c>
      <c r="K11" s="104">
        <v>5</v>
      </c>
    </row>
    <row r="12" customHeight="1" spans="1:11">
      <c r="A12" s="79">
        <v>46144</v>
      </c>
      <c r="B12" s="85" t="s">
        <v>22</v>
      </c>
      <c r="C12" s="85" t="s">
        <v>23</v>
      </c>
      <c r="D12" s="85" t="s">
        <v>316</v>
      </c>
      <c r="E12" s="85" t="s">
        <v>119</v>
      </c>
      <c r="F12" s="101" t="s">
        <v>120</v>
      </c>
      <c r="G12" s="85">
        <v>112</v>
      </c>
      <c r="H12" s="102" t="s">
        <v>27</v>
      </c>
      <c r="I12" s="101">
        <v>16</v>
      </c>
      <c r="J12" s="103" t="s">
        <v>306</v>
      </c>
      <c r="K12" s="104">
        <v>7</v>
      </c>
    </row>
    <row r="13" customHeight="1" spans="1:11">
      <c r="A13" s="79">
        <v>46144</v>
      </c>
      <c r="B13" s="85" t="s">
        <v>22</v>
      </c>
      <c r="C13" s="85" t="s">
        <v>23</v>
      </c>
      <c r="D13" s="85" t="s">
        <v>317</v>
      </c>
      <c r="E13" s="85" t="s">
        <v>36</v>
      </c>
      <c r="F13" s="101" t="s">
        <v>37</v>
      </c>
      <c r="G13" s="85">
        <v>720</v>
      </c>
      <c r="H13" s="102" t="s">
        <v>27</v>
      </c>
      <c r="I13" s="101">
        <v>36</v>
      </c>
      <c r="J13" s="103" t="s">
        <v>306</v>
      </c>
      <c r="K13" s="104">
        <v>20</v>
      </c>
    </row>
    <row r="14" customHeight="1" spans="1:11">
      <c r="A14" s="79">
        <v>46144</v>
      </c>
      <c r="B14" s="85" t="s">
        <v>22</v>
      </c>
      <c r="C14" s="85" t="s">
        <v>23</v>
      </c>
      <c r="D14" s="85" t="s">
        <v>318</v>
      </c>
      <c r="E14" s="85" t="s">
        <v>33</v>
      </c>
      <c r="F14" s="101" t="s">
        <v>34</v>
      </c>
      <c r="G14" s="85">
        <v>360</v>
      </c>
      <c r="H14" s="102" t="s">
        <v>27</v>
      </c>
      <c r="I14" s="101">
        <v>36</v>
      </c>
      <c r="J14" s="103" t="s">
        <v>306</v>
      </c>
      <c r="K14" s="104">
        <v>10</v>
      </c>
    </row>
    <row r="15" customHeight="1" spans="1:11">
      <c r="A15" s="79">
        <v>46144</v>
      </c>
      <c r="B15" s="85" t="s">
        <v>22</v>
      </c>
      <c r="C15" s="85" t="s">
        <v>23</v>
      </c>
      <c r="D15" s="85" t="s">
        <v>319</v>
      </c>
      <c r="E15" s="85" t="s">
        <v>30</v>
      </c>
      <c r="F15" s="101" t="s">
        <v>31</v>
      </c>
      <c r="G15" s="85">
        <v>486</v>
      </c>
      <c r="H15" s="102" t="s">
        <v>27</v>
      </c>
      <c r="I15" s="101">
        <v>162</v>
      </c>
      <c r="J15" s="103" t="s">
        <v>306</v>
      </c>
      <c r="K15" s="104">
        <v>3</v>
      </c>
    </row>
    <row r="16" customHeight="1" spans="1:11">
      <c r="A16" s="79">
        <v>46144</v>
      </c>
      <c r="B16" s="85" t="s">
        <v>22</v>
      </c>
      <c r="C16" s="85" t="s">
        <v>23</v>
      </c>
      <c r="D16" s="85" t="s">
        <v>320</v>
      </c>
      <c r="E16" s="85" t="s">
        <v>51</v>
      </c>
      <c r="F16" s="101" t="s">
        <v>52</v>
      </c>
      <c r="G16" s="85">
        <v>252</v>
      </c>
      <c r="H16" s="102" t="s">
        <v>27</v>
      </c>
      <c r="I16" s="101">
        <v>36</v>
      </c>
      <c r="J16" s="103" t="s">
        <v>306</v>
      </c>
      <c r="K16" s="104">
        <v>7</v>
      </c>
    </row>
    <row r="17" customHeight="1" spans="1:11">
      <c r="A17" s="79">
        <v>46144</v>
      </c>
      <c r="B17" s="85" t="s">
        <v>22</v>
      </c>
      <c r="C17" s="85" t="s">
        <v>23</v>
      </c>
      <c r="D17" s="85" t="s">
        <v>321</v>
      </c>
      <c r="E17" s="85" t="s">
        <v>42</v>
      </c>
      <c r="F17" s="101" t="s">
        <v>43</v>
      </c>
      <c r="G17" s="85">
        <v>36</v>
      </c>
      <c r="H17" s="102" t="s">
        <v>27</v>
      </c>
      <c r="I17" s="101">
        <v>36</v>
      </c>
      <c r="J17" s="103" t="s">
        <v>306</v>
      </c>
      <c r="K17" s="104">
        <v>1</v>
      </c>
    </row>
    <row r="18" customHeight="1" spans="1:11">
      <c r="A18" s="79">
        <v>46144</v>
      </c>
      <c r="B18" s="85" t="s">
        <v>22</v>
      </c>
      <c r="C18" s="85" t="s">
        <v>23</v>
      </c>
      <c r="D18" s="85" t="s">
        <v>322</v>
      </c>
      <c r="E18" s="85" t="s">
        <v>69</v>
      </c>
      <c r="F18" s="101" t="s">
        <v>70</v>
      </c>
      <c r="G18" s="85">
        <v>192</v>
      </c>
      <c r="H18" s="102" t="s">
        <v>27</v>
      </c>
      <c r="I18" s="101">
        <v>24</v>
      </c>
      <c r="J18" s="103" t="s">
        <v>306</v>
      </c>
      <c r="K18" s="104">
        <v>8</v>
      </c>
    </row>
    <row r="19" customHeight="1" spans="1:11">
      <c r="A19" s="79">
        <v>46144</v>
      </c>
      <c r="B19" s="85" t="s">
        <v>22</v>
      </c>
      <c r="C19" s="85" t="s">
        <v>23</v>
      </c>
      <c r="D19" s="85" t="s">
        <v>323</v>
      </c>
      <c r="E19" s="85" t="s">
        <v>60</v>
      </c>
      <c r="F19" s="101" t="s">
        <v>61</v>
      </c>
      <c r="G19" s="85">
        <v>420</v>
      </c>
      <c r="H19" s="102" t="s">
        <v>27</v>
      </c>
      <c r="I19" s="101">
        <v>210</v>
      </c>
      <c r="J19" s="103" t="s">
        <v>306</v>
      </c>
      <c r="K19" s="104">
        <v>2</v>
      </c>
    </row>
    <row r="20" customHeight="1" spans="1:11">
      <c r="A20" s="79">
        <v>46144</v>
      </c>
      <c r="B20" s="85" t="s">
        <v>22</v>
      </c>
      <c r="C20" s="85" t="s">
        <v>23</v>
      </c>
      <c r="D20" s="85" t="s">
        <v>324</v>
      </c>
      <c r="E20" s="85" t="s">
        <v>135</v>
      </c>
      <c r="F20" s="101" t="s">
        <v>136</v>
      </c>
      <c r="G20" s="85">
        <v>45</v>
      </c>
      <c r="H20" s="102" t="s">
        <v>27</v>
      </c>
      <c r="I20" s="101">
        <v>45</v>
      </c>
      <c r="J20" s="103" t="s">
        <v>306</v>
      </c>
      <c r="K20" s="104">
        <v>1</v>
      </c>
    </row>
    <row r="21" customHeight="1" spans="1:11">
      <c r="A21" s="79">
        <v>46144</v>
      </c>
      <c r="B21" s="85" t="s">
        <v>22</v>
      </c>
      <c r="C21" s="85" t="s">
        <v>23</v>
      </c>
      <c r="D21" s="85" t="s">
        <v>325</v>
      </c>
      <c r="E21" s="85" t="s">
        <v>57</v>
      </c>
      <c r="F21" s="101" t="s">
        <v>58</v>
      </c>
      <c r="G21" s="85">
        <v>440</v>
      </c>
      <c r="H21" s="102" t="s">
        <v>27</v>
      </c>
      <c r="I21" s="101">
        <v>20</v>
      </c>
      <c r="J21" s="103" t="s">
        <v>306</v>
      </c>
      <c r="K21" s="104">
        <v>22</v>
      </c>
    </row>
    <row r="22" customHeight="1" spans="1:11">
      <c r="A22" s="79">
        <v>46144</v>
      </c>
      <c r="B22" s="85" t="s">
        <v>22</v>
      </c>
      <c r="C22" s="85" t="s">
        <v>23</v>
      </c>
      <c r="D22" s="85" t="s">
        <v>326</v>
      </c>
      <c r="E22" s="85" t="s">
        <v>63</v>
      </c>
      <c r="F22" s="101" t="s">
        <v>64</v>
      </c>
      <c r="G22" s="85">
        <v>288</v>
      </c>
      <c r="H22" s="102" t="s">
        <v>27</v>
      </c>
      <c r="I22" s="101">
        <v>12</v>
      </c>
      <c r="J22" s="103" t="s">
        <v>306</v>
      </c>
      <c r="K22" s="104">
        <v>24</v>
      </c>
    </row>
    <row r="23" customHeight="1" spans="1:11">
      <c r="A23" s="79">
        <v>46144</v>
      </c>
      <c r="B23" s="85" t="s">
        <v>22</v>
      </c>
      <c r="C23" s="85" t="s">
        <v>23</v>
      </c>
      <c r="D23" s="85" t="s">
        <v>327</v>
      </c>
      <c r="E23" s="85" t="s">
        <v>63</v>
      </c>
      <c r="F23" s="101" t="s">
        <v>64</v>
      </c>
      <c r="G23" s="85">
        <v>636</v>
      </c>
      <c r="H23" s="102" t="s">
        <v>27</v>
      </c>
      <c r="I23" s="101">
        <v>12</v>
      </c>
      <c r="J23" s="103" t="s">
        <v>306</v>
      </c>
      <c r="K23" s="104">
        <v>53</v>
      </c>
    </row>
    <row r="24" customHeight="1" spans="1:11">
      <c r="A24" s="79">
        <v>46144</v>
      </c>
      <c r="B24" s="85" t="s">
        <v>22</v>
      </c>
      <c r="C24" s="85" t="s">
        <v>23</v>
      </c>
      <c r="D24" s="85" t="s">
        <v>328</v>
      </c>
      <c r="E24" s="85" t="s">
        <v>111</v>
      </c>
      <c r="F24" s="101" t="s">
        <v>112</v>
      </c>
      <c r="G24" s="85">
        <v>88</v>
      </c>
      <c r="H24" s="102" t="s">
        <v>27</v>
      </c>
      <c r="I24" s="101">
        <v>8</v>
      </c>
      <c r="J24" s="103" t="s">
        <v>306</v>
      </c>
      <c r="K24" s="104">
        <v>11</v>
      </c>
    </row>
    <row r="25" customHeight="1" spans="1:11">
      <c r="A25" s="79">
        <v>46144</v>
      </c>
      <c r="B25" s="85" t="s">
        <v>22</v>
      </c>
      <c r="C25" s="85" t="s">
        <v>23</v>
      </c>
      <c r="D25" s="85" t="s">
        <v>329</v>
      </c>
      <c r="E25" s="85" t="s">
        <v>84</v>
      </c>
      <c r="F25" s="101" t="s">
        <v>85</v>
      </c>
      <c r="G25" s="85">
        <v>120</v>
      </c>
      <c r="H25" s="102" t="s">
        <v>27</v>
      </c>
      <c r="I25" s="101">
        <v>24</v>
      </c>
      <c r="J25" s="103" t="s">
        <v>306</v>
      </c>
      <c r="K25" s="104">
        <v>5</v>
      </c>
    </row>
    <row r="26" customHeight="1" spans="1:11">
      <c r="A26" s="79">
        <v>46144</v>
      </c>
      <c r="B26" s="85" t="s">
        <v>22</v>
      </c>
      <c r="C26" s="85" t="s">
        <v>23</v>
      </c>
      <c r="D26" s="85" t="s">
        <v>330</v>
      </c>
      <c r="E26" s="85" t="s">
        <v>90</v>
      </c>
      <c r="F26" s="101" t="s">
        <v>91</v>
      </c>
      <c r="G26" s="85">
        <v>432</v>
      </c>
      <c r="H26" s="102" t="s">
        <v>27</v>
      </c>
      <c r="I26" s="101">
        <v>24</v>
      </c>
      <c r="J26" s="103" t="s">
        <v>306</v>
      </c>
      <c r="K26" s="104">
        <v>18</v>
      </c>
    </row>
    <row r="27" customHeight="1" spans="1:11">
      <c r="A27" s="79">
        <v>46144</v>
      </c>
      <c r="B27" s="85" t="s">
        <v>22</v>
      </c>
      <c r="C27" s="85" t="s">
        <v>23</v>
      </c>
      <c r="D27" s="85" t="s">
        <v>331</v>
      </c>
      <c r="E27" s="85" t="s">
        <v>111</v>
      </c>
      <c r="F27" s="101" t="s">
        <v>112</v>
      </c>
      <c r="G27" s="85">
        <v>64</v>
      </c>
      <c r="H27" s="102" t="s">
        <v>27</v>
      </c>
      <c r="I27" s="101">
        <v>8</v>
      </c>
      <c r="J27" s="103" t="s">
        <v>306</v>
      </c>
      <c r="K27" s="104">
        <v>8</v>
      </c>
    </row>
    <row r="28" customHeight="1" spans="1:11">
      <c r="A28" s="79">
        <v>46144</v>
      </c>
      <c r="B28" s="85" t="s">
        <v>22</v>
      </c>
      <c r="C28" s="85" t="s">
        <v>23</v>
      </c>
      <c r="D28" s="85" t="s">
        <v>332</v>
      </c>
      <c r="E28" s="85" t="s">
        <v>87</v>
      </c>
      <c r="F28" s="101" t="s">
        <v>88</v>
      </c>
      <c r="G28" s="85">
        <v>216</v>
      </c>
      <c r="H28" s="102" t="s">
        <v>27</v>
      </c>
      <c r="I28" s="101">
        <v>108</v>
      </c>
      <c r="J28" s="103" t="s">
        <v>306</v>
      </c>
      <c r="K28" s="104">
        <v>2</v>
      </c>
    </row>
    <row r="29" customHeight="1" spans="1:11">
      <c r="A29" s="79">
        <v>46144</v>
      </c>
      <c r="B29" s="85" t="s">
        <v>22</v>
      </c>
      <c r="C29" s="85" t="s">
        <v>23</v>
      </c>
      <c r="D29" s="85" t="s">
        <v>333</v>
      </c>
      <c r="E29" s="85" t="s">
        <v>132</v>
      </c>
      <c r="F29" s="101" t="s">
        <v>133</v>
      </c>
      <c r="G29" s="85">
        <v>31</v>
      </c>
      <c r="H29" s="102" t="s">
        <v>127</v>
      </c>
      <c r="I29" s="101">
        <v>72</v>
      </c>
      <c r="J29" s="103" t="s">
        <v>306</v>
      </c>
      <c r="K29" s="104">
        <v>0.430555555555556</v>
      </c>
    </row>
    <row r="30" customHeight="1" spans="1:11">
      <c r="A30" s="79">
        <v>46144</v>
      </c>
      <c r="B30" s="85" t="s">
        <v>22</v>
      </c>
      <c r="C30" s="85" t="s">
        <v>23</v>
      </c>
      <c r="D30" s="85" t="s">
        <v>334</v>
      </c>
      <c r="E30" s="85" t="s">
        <v>105</v>
      </c>
      <c r="F30" s="101" t="s">
        <v>106</v>
      </c>
      <c r="G30" s="85">
        <v>456</v>
      </c>
      <c r="H30" s="102" t="s">
        <v>27</v>
      </c>
      <c r="I30" s="101">
        <v>12</v>
      </c>
      <c r="J30" s="103" t="s">
        <v>306</v>
      </c>
      <c r="K30" s="104">
        <v>38</v>
      </c>
    </row>
    <row r="31" customHeight="1" spans="1:11">
      <c r="A31" s="79">
        <v>46144</v>
      </c>
      <c r="B31" s="85" t="s">
        <v>22</v>
      </c>
      <c r="C31" s="85" t="s">
        <v>23</v>
      </c>
      <c r="D31" s="85" t="s">
        <v>335</v>
      </c>
      <c r="E31" s="85" t="s">
        <v>30</v>
      </c>
      <c r="F31" s="101" t="s">
        <v>31</v>
      </c>
      <c r="G31" s="85">
        <v>648</v>
      </c>
      <c r="H31" s="102" t="s">
        <v>27</v>
      </c>
      <c r="I31" s="101">
        <v>162</v>
      </c>
      <c r="J31" s="103" t="s">
        <v>306</v>
      </c>
      <c r="K31" s="104">
        <v>4</v>
      </c>
    </row>
    <row r="32" customHeight="1" spans="1:11">
      <c r="A32" s="79">
        <v>46144</v>
      </c>
      <c r="B32" s="85" t="s">
        <v>22</v>
      </c>
      <c r="C32" s="85" t="s">
        <v>23</v>
      </c>
      <c r="D32" s="85" t="s">
        <v>336</v>
      </c>
      <c r="E32" s="85" t="s">
        <v>90</v>
      </c>
      <c r="F32" s="101" t="s">
        <v>91</v>
      </c>
      <c r="G32" s="85">
        <v>288</v>
      </c>
      <c r="H32" s="102" t="s">
        <v>27</v>
      </c>
      <c r="I32" s="101">
        <v>24</v>
      </c>
      <c r="J32" s="103" t="s">
        <v>306</v>
      </c>
      <c r="K32" s="104">
        <v>12</v>
      </c>
    </row>
    <row r="33" customHeight="1" spans="1:11">
      <c r="A33" s="79">
        <v>46144</v>
      </c>
      <c r="B33" s="85" t="s">
        <v>22</v>
      </c>
      <c r="C33" s="85" t="s">
        <v>23</v>
      </c>
      <c r="D33" s="85" t="s">
        <v>337</v>
      </c>
      <c r="E33" s="85" t="s">
        <v>90</v>
      </c>
      <c r="F33" s="101" t="s">
        <v>91</v>
      </c>
      <c r="G33" s="85">
        <v>576</v>
      </c>
      <c r="H33" s="102" t="s">
        <v>27</v>
      </c>
      <c r="I33" s="101">
        <v>24</v>
      </c>
      <c r="J33" s="103" t="s">
        <v>306</v>
      </c>
      <c r="K33" s="104">
        <v>24</v>
      </c>
    </row>
    <row r="34" customHeight="1" spans="1:11">
      <c r="A34" s="79">
        <v>46144</v>
      </c>
      <c r="B34" s="85" t="s">
        <v>22</v>
      </c>
      <c r="C34" s="85" t="s">
        <v>23</v>
      </c>
      <c r="D34" s="85" t="s">
        <v>338</v>
      </c>
      <c r="E34" s="85" t="s">
        <v>111</v>
      </c>
      <c r="F34" s="101" t="s">
        <v>112</v>
      </c>
      <c r="G34" s="85">
        <v>136</v>
      </c>
      <c r="H34" s="102" t="s">
        <v>27</v>
      </c>
      <c r="I34" s="101">
        <v>8</v>
      </c>
      <c r="J34" s="103" t="s">
        <v>306</v>
      </c>
      <c r="K34" s="104">
        <v>17</v>
      </c>
    </row>
    <row r="35" customHeight="1" spans="1:11">
      <c r="A35" s="79">
        <v>46144</v>
      </c>
      <c r="B35" s="85" t="s">
        <v>22</v>
      </c>
      <c r="C35" s="85" t="s">
        <v>23</v>
      </c>
      <c r="D35" s="85" t="s">
        <v>339</v>
      </c>
      <c r="E35" s="85" t="s">
        <v>111</v>
      </c>
      <c r="F35" s="101" t="s">
        <v>112</v>
      </c>
      <c r="G35" s="85">
        <v>688</v>
      </c>
      <c r="H35" s="102" t="s">
        <v>27</v>
      </c>
      <c r="I35" s="101">
        <v>8</v>
      </c>
      <c r="J35" s="103" t="s">
        <v>306</v>
      </c>
      <c r="K35" s="104">
        <v>86</v>
      </c>
    </row>
    <row r="36" customHeight="1" spans="1:11">
      <c r="A36" s="79">
        <v>46144</v>
      </c>
      <c r="B36" s="85" t="s">
        <v>22</v>
      </c>
      <c r="C36" s="85" t="s">
        <v>23</v>
      </c>
      <c r="D36" s="85" t="s">
        <v>340</v>
      </c>
      <c r="E36" s="85" t="s">
        <v>111</v>
      </c>
      <c r="F36" s="101" t="s">
        <v>112</v>
      </c>
      <c r="G36" s="85">
        <v>128</v>
      </c>
      <c r="H36" s="102" t="s">
        <v>27</v>
      </c>
      <c r="I36" s="101">
        <v>8</v>
      </c>
      <c r="J36" s="103" t="s">
        <v>306</v>
      </c>
      <c r="K36" s="104">
        <v>16</v>
      </c>
    </row>
    <row r="37" customHeight="1" spans="1:11">
      <c r="A37" s="79">
        <v>46144</v>
      </c>
      <c r="B37" s="85" t="s">
        <v>22</v>
      </c>
      <c r="C37" s="85" t="s">
        <v>23</v>
      </c>
      <c r="D37" s="85" t="s">
        <v>341</v>
      </c>
      <c r="E37" s="85" t="s">
        <v>63</v>
      </c>
      <c r="F37" s="101" t="s">
        <v>64</v>
      </c>
      <c r="G37" s="85">
        <v>233</v>
      </c>
      <c r="H37" s="102" t="s">
        <v>27</v>
      </c>
      <c r="I37" s="101">
        <v>12</v>
      </c>
      <c r="J37" s="103" t="s">
        <v>306</v>
      </c>
      <c r="K37" s="104">
        <v>19.4166666666667</v>
      </c>
    </row>
    <row r="38" customHeight="1" spans="1:11">
      <c r="A38" s="79">
        <v>46144</v>
      </c>
      <c r="B38" s="85" t="s">
        <v>22</v>
      </c>
      <c r="C38" s="85" t="s">
        <v>23</v>
      </c>
      <c r="D38" s="85" t="s">
        <v>342</v>
      </c>
      <c r="E38" s="85" t="s">
        <v>84</v>
      </c>
      <c r="F38" s="101" t="s">
        <v>85</v>
      </c>
      <c r="G38" s="85">
        <v>408</v>
      </c>
      <c r="H38" s="102" t="s">
        <v>27</v>
      </c>
      <c r="I38" s="101">
        <v>24</v>
      </c>
      <c r="J38" s="103" t="s">
        <v>306</v>
      </c>
      <c r="K38" s="104">
        <v>17</v>
      </c>
    </row>
    <row r="39" customHeight="1" spans="1:11">
      <c r="A39" s="79">
        <v>46144</v>
      </c>
      <c r="B39" s="85" t="s">
        <v>22</v>
      </c>
      <c r="C39" s="85" t="s">
        <v>23</v>
      </c>
      <c r="D39" s="85" t="s">
        <v>343</v>
      </c>
      <c r="E39" s="85" t="s">
        <v>114</v>
      </c>
      <c r="F39" s="101" t="s">
        <v>94</v>
      </c>
      <c r="G39" s="85">
        <v>54</v>
      </c>
      <c r="H39" s="102" t="s">
        <v>27</v>
      </c>
      <c r="I39" s="101">
        <v>54</v>
      </c>
      <c r="J39" s="103" t="s">
        <v>306</v>
      </c>
      <c r="K39" s="104">
        <v>1</v>
      </c>
    </row>
    <row r="40" customHeight="1" spans="1:11">
      <c r="A40" s="79">
        <v>46144</v>
      </c>
      <c r="B40" s="85" t="s">
        <v>22</v>
      </c>
      <c r="C40" s="85" t="s">
        <v>23</v>
      </c>
      <c r="D40" s="85" t="s">
        <v>344</v>
      </c>
      <c r="E40" s="85" t="s">
        <v>72</v>
      </c>
      <c r="F40" s="101" t="s">
        <v>73</v>
      </c>
      <c r="G40" s="85">
        <v>864</v>
      </c>
      <c r="H40" s="102" t="s">
        <v>27</v>
      </c>
      <c r="I40" s="101">
        <v>108</v>
      </c>
      <c r="J40" s="103" t="s">
        <v>306</v>
      </c>
      <c r="K40" s="104">
        <v>8</v>
      </c>
    </row>
    <row r="41" customHeight="1" spans="1:11">
      <c r="A41" s="79">
        <v>46144</v>
      </c>
      <c r="B41" s="85" t="s">
        <v>22</v>
      </c>
      <c r="C41" s="85" t="s">
        <v>23</v>
      </c>
      <c r="D41" s="85" t="s">
        <v>345</v>
      </c>
      <c r="E41" s="85" t="s">
        <v>78</v>
      </c>
      <c r="F41" s="101" t="s">
        <v>79</v>
      </c>
      <c r="G41" s="85">
        <v>576</v>
      </c>
      <c r="H41" s="102" t="s">
        <v>27</v>
      </c>
      <c r="I41" s="101">
        <v>72</v>
      </c>
      <c r="J41" s="103" t="s">
        <v>306</v>
      </c>
      <c r="K41" s="104">
        <v>8</v>
      </c>
    </row>
    <row r="42" customHeight="1" spans="1:11">
      <c r="A42" s="79">
        <v>46144</v>
      </c>
      <c r="B42" s="85" t="s">
        <v>22</v>
      </c>
      <c r="C42" s="85" t="s">
        <v>23</v>
      </c>
      <c r="D42" s="85" t="s">
        <v>346</v>
      </c>
      <c r="E42" s="85" t="s">
        <v>81</v>
      </c>
      <c r="F42" s="101" t="s">
        <v>82</v>
      </c>
      <c r="G42" s="85">
        <v>792</v>
      </c>
      <c r="H42" s="102" t="s">
        <v>27</v>
      </c>
      <c r="I42" s="101">
        <v>72</v>
      </c>
      <c r="J42" s="103" t="s">
        <v>306</v>
      </c>
      <c r="K42" s="104">
        <v>11</v>
      </c>
    </row>
    <row r="43" customHeight="1" spans="1:11">
      <c r="A43" s="79">
        <v>46144</v>
      </c>
      <c r="B43" s="85" t="s">
        <v>22</v>
      </c>
      <c r="C43" s="85" t="s">
        <v>23</v>
      </c>
      <c r="D43" s="85" t="s">
        <v>347</v>
      </c>
      <c r="E43" s="85" t="s">
        <v>69</v>
      </c>
      <c r="F43" s="101" t="s">
        <v>70</v>
      </c>
      <c r="G43" s="85">
        <v>312</v>
      </c>
      <c r="H43" s="102" t="s">
        <v>27</v>
      </c>
      <c r="I43" s="101">
        <v>24</v>
      </c>
      <c r="J43" s="103" t="s">
        <v>306</v>
      </c>
      <c r="K43" s="104">
        <v>13</v>
      </c>
    </row>
    <row r="44" customHeight="1" spans="1:11">
      <c r="A44" s="79">
        <v>46144</v>
      </c>
      <c r="B44" s="85" t="s">
        <v>22</v>
      </c>
      <c r="C44" s="85" t="s">
        <v>23</v>
      </c>
      <c r="D44" s="85" t="s">
        <v>348</v>
      </c>
      <c r="E44" s="85" t="s">
        <v>138</v>
      </c>
      <c r="F44" s="101" t="s">
        <v>139</v>
      </c>
      <c r="G44" s="85">
        <v>14</v>
      </c>
      <c r="H44" s="102">
        <v>0</v>
      </c>
      <c r="I44" s="101">
        <v>0</v>
      </c>
      <c r="J44" s="103" t="s">
        <v>306</v>
      </c>
      <c r="K44" s="104" t="s">
        <v>28</v>
      </c>
    </row>
    <row r="45" customHeight="1" spans="1:11">
      <c r="A45" s="79">
        <v>46144</v>
      </c>
      <c r="B45" s="85" t="s">
        <v>22</v>
      </c>
      <c r="C45" s="85" t="s">
        <v>23</v>
      </c>
      <c r="D45" s="85" t="s">
        <v>349</v>
      </c>
      <c r="E45" s="85" t="s">
        <v>63</v>
      </c>
      <c r="F45" s="101" t="s">
        <v>64</v>
      </c>
      <c r="G45" s="85">
        <v>348</v>
      </c>
      <c r="H45" s="102" t="s">
        <v>27</v>
      </c>
      <c r="I45" s="101">
        <v>12</v>
      </c>
      <c r="J45" s="103" t="s">
        <v>306</v>
      </c>
      <c r="K45" s="104">
        <v>29</v>
      </c>
    </row>
    <row r="46" customHeight="1" spans="1:11">
      <c r="A46" s="79">
        <v>46144</v>
      </c>
      <c r="B46" s="85" t="s">
        <v>22</v>
      </c>
      <c r="C46" s="85" t="s">
        <v>23</v>
      </c>
      <c r="D46" s="85" t="s">
        <v>350</v>
      </c>
      <c r="E46" s="85" t="s">
        <v>63</v>
      </c>
      <c r="F46" s="101" t="s">
        <v>64</v>
      </c>
      <c r="G46" s="85">
        <v>120</v>
      </c>
      <c r="H46" s="102" t="s">
        <v>27</v>
      </c>
      <c r="I46" s="101">
        <v>12</v>
      </c>
      <c r="J46" s="103" t="s">
        <v>306</v>
      </c>
      <c r="K46" s="104">
        <v>10</v>
      </c>
    </row>
    <row r="47" customHeight="1" spans="1:11">
      <c r="A47" s="79">
        <v>46144</v>
      </c>
      <c r="B47" s="85" t="s">
        <v>22</v>
      </c>
      <c r="C47" s="85" t="s">
        <v>23</v>
      </c>
      <c r="D47" s="85" t="s">
        <v>351</v>
      </c>
      <c r="E47" s="85" t="s">
        <v>90</v>
      </c>
      <c r="F47" s="101" t="s">
        <v>91</v>
      </c>
      <c r="G47" s="85">
        <v>144</v>
      </c>
      <c r="H47" s="102" t="s">
        <v>27</v>
      </c>
      <c r="I47" s="101">
        <v>24</v>
      </c>
      <c r="J47" s="103" t="s">
        <v>306</v>
      </c>
      <c r="K47" s="104">
        <v>6</v>
      </c>
    </row>
    <row r="48" customHeight="1" spans="1:11">
      <c r="A48" s="79">
        <v>46144</v>
      </c>
      <c r="B48" s="85" t="s">
        <v>22</v>
      </c>
      <c r="C48" s="85" t="s">
        <v>23</v>
      </c>
      <c r="D48" s="85" t="s">
        <v>352</v>
      </c>
      <c r="E48" s="85" t="s">
        <v>111</v>
      </c>
      <c r="F48" s="101" t="s">
        <v>112</v>
      </c>
      <c r="G48" s="85">
        <v>456</v>
      </c>
      <c r="H48" s="102" t="s">
        <v>27</v>
      </c>
      <c r="I48" s="101">
        <v>8</v>
      </c>
      <c r="J48" s="103" t="s">
        <v>306</v>
      </c>
      <c r="K48" s="104">
        <v>57</v>
      </c>
    </row>
    <row r="49" customHeight="1" spans="1:11">
      <c r="A49" s="79">
        <v>46144</v>
      </c>
      <c r="B49" s="85" t="s">
        <v>213</v>
      </c>
      <c r="C49" s="85" t="s">
        <v>214</v>
      </c>
      <c r="D49" s="85" t="s">
        <v>353</v>
      </c>
      <c r="E49" s="85" t="s">
        <v>220</v>
      </c>
      <c r="F49" s="101" t="s">
        <v>221</v>
      </c>
      <c r="G49" s="85">
        <v>702</v>
      </c>
      <c r="H49" s="102" t="s">
        <v>218</v>
      </c>
      <c r="I49" s="101">
        <v>54</v>
      </c>
      <c r="J49" s="103" t="s">
        <v>306</v>
      </c>
      <c r="K49" s="104">
        <v>13</v>
      </c>
    </row>
    <row r="50" customHeight="1" spans="1:11">
      <c r="A50" s="79">
        <v>46144</v>
      </c>
      <c r="B50" s="85" t="s">
        <v>213</v>
      </c>
      <c r="C50" s="85" t="s">
        <v>214</v>
      </c>
      <c r="D50" s="85" t="s">
        <v>353</v>
      </c>
      <c r="E50" s="85" t="s">
        <v>222</v>
      </c>
      <c r="F50" s="101" t="s">
        <v>223</v>
      </c>
      <c r="G50" s="85">
        <v>660</v>
      </c>
      <c r="H50" s="102" t="s">
        <v>218</v>
      </c>
      <c r="I50" s="101">
        <v>66</v>
      </c>
      <c r="J50" s="103" t="s">
        <v>306</v>
      </c>
      <c r="K50" s="104">
        <v>10</v>
      </c>
    </row>
    <row r="51" customHeight="1" spans="1:11">
      <c r="A51" s="79">
        <v>46144</v>
      </c>
      <c r="B51" s="85" t="s">
        <v>213</v>
      </c>
      <c r="C51" s="85" t="s">
        <v>214</v>
      </c>
      <c r="D51" s="85" t="s">
        <v>353</v>
      </c>
      <c r="E51" s="85" t="s">
        <v>216</v>
      </c>
      <c r="F51" s="101" t="s">
        <v>217</v>
      </c>
      <c r="G51" s="85">
        <v>352</v>
      </c>
      <c r="H51" s="102" t="s">
        <v>218</v>
      </c>
      <c r="I51" s="101">
        <v>176</v>
      </c>
      <c r="J51" s="103" t="s">
        <v>306</v>
      </c>
      <c r="K51" s="104">
        <v>2</v>
      </c>
    </row>
    <row r="52" customHeight="1" spans="1:11">
      <c r="A52" s="79">
        <v>46144</v>
      </c>
      <c r="B52" s="85" t="s">
        <v>228</v>
      </c>
      <c r="C52" s="85" t="s">
        <v>229</v>
      </c>
      <c r="D52" s="85">
        <v>1261039562</v>
      </c>
      <c r="E52" s="85" t="s">
        <v>232</v>
      </c>
      <c r="F52" s="101" t="s">
        <v>233</v>
      </c>
      <c r="G52" s="85">
        <v>480</v>
      </c>
      <c r="H52" s="102" t="s">
        <v>218</v>
      </c>
      <c r="I52" s="101">
        <v>48</v>
      </c>
      <c r="J52" s="103" t="s">
        <v>306</v>
      </c>
      <c r="K52" s="104">
        <v>10</v>
      </c>
    </row>
    <row r="53" customHeight="1" spans="1:11">
      <c r="A53" s="79">
        <v>46144</v>
      </c>
      <c r="B53" s="85" t="s">
        <v>228</v>
      </c>
      <c r="C53" s="85" t="s">
        <v>229</v>
      </c>
      <c r="D53" s="85">
        <v>1261039561</v>
      </c>
      <c r="E53" s="85" t="s">
        <v>230</v>
      </c>
      <c r="F53" s="101" t="s">
        <v>231</v>
      </c>
      <c r="G53" s="85">
        <v>48</v>
      </c>
      <c r="H53" s="102" t="s">
        <v>218</v>
      </c>
      <c r="I53" s="101">
        <v>24</v>
      </c>
      <c r="J53" s="103" t="s">
        <v>306</v>
      </c>
      <c r="K53" s="104">
        <v>2</v>
      </c>
    </row>
    <row r="54" customHeight="1" spans="1:11">
      <c r="A54" s="79">
        <v>46144</v>
      </c>
      <c r="B54" s="85" t="s">
        <v>228</v>
      </c>
      <c r="C54" s="85" t="s">
        <v>229</v>
      </c>
      <c r="D54" s="85">
        <v>1261039563</v>
      </c>
      <c r="E54" s="85" t="s">
        <v>236</v>
      </c>
      <c r="F54" s="101" t="s">
        <v>231</v>
      </c>
      <c r="G54" s="85">
        <v>1248</v>
      </c>
      <c r="H54" s="102" t="s">
        <v>218</v>
      </c>
      <c r="I54" s="101">
        <v>24</v>
      </c>
      <c r="J54" s="103" t="s">
        <v>306</v>
      </c>
      <c r="K54" s="104">
        <v>52</v>
      </c>
    </row>
    <row r="55" customHeight="1" spans="1:11">
      <c r="A55" s="79">
        <v>46144</v>
      </c>
      <c r="B55" s="85" t="s">
        <v>281</v>
      </c>
      <c r="C55" s="85" t="s">
        <v>282</v>
      </c>
      <c r="D55" s="85" t="s">
        <v>354</v>
      </c>
      <c r="E55" s="85" t="s">
        <v>283</v>
      </c>
      <c r="F55" s="101" t="s">
        <v>284</v>
      </c>
      <c r="G55" s="85">
        <v>1250</v>
      </c>
      <c r="H55" s="102" t="s">
        <v>218</v>
      </c>
      <c r="I55" s="101">
        <v>125</v>
      </c>
      <c r="J55" s="103" t="s">
        <v>306</v>
      </c>
      <c r="K55" s="104">
        <v>10</v>
      </c>
    </row>
    <row r="56" customHeight="1" spans="1:11">
      <c r="A56" s="79">
        <v>46144</v>
      </c>
      <c r="B56" s="85" t="s">
        <v>287</v>
      </c>
      <c r="C56" s="85" t="s">
        <v>355</v>
      </c>
      <c r="D56" s="85">
        <v>20260430</v>
      </c>
      <c r="E56" s="85" t="s">
        <v>265</v>
      </c>
      <c r="F56" s="101" t="s">
        <v>289</v>
      </c>
      <c r="G56" s="85">
        <v>1560</v>
      </c>
      <c r="H56" s="102" t="s">
        <v>218</v>
      </c>
      <c r="I56" s="101">
        <v>156</v>
      </c>
      <c r="J56" s="103" t="s">
        <v>306</v>
      </c>
      <c r="K56" s="104">
        <v>10</v>
      </c>
    </row>
    <row r="57" customHeight="1" spans="1:11">
      <c r="A57" s="79">
        <v>46145</v>
      </c>
      <c r="B57" s="85" t="s">
        <v>22</v>
      </c>
      <c r="C57" s="85" t="s">
        <v>23</v>
      </c>
      <c r="D57" s="85" t="s">
        <v>356</v>
      </c>
      <c r="E57" s="85" t="s">
        <v>42</v>
      </c>
      <c r="F57" s="101" t="s">
        <v>43</v>
      </c>
      <c r="G57" s="85">
        <v>684</v>
      </c>
      <c r="H57" s="102" t="s">
        <v>27</v>
      </c>
      <c r="I57" s="101">
        <v>36</v>
      </c>
      <c r="J57" s="103" t="s">
        <v>306</v>
      </c>
      <c r="K57" s="104">
        <v>19</v>
      </c>
    </row>
    <row r="58" customHeight="1" spans="1:11">
      <c r="A58" s="79">
        <v>46145</v>
      </c>
      <c r="B58" s="85" t="s">
        <v>22</v>
      </c>
      <c r="C58" s="85" t="s">
        <v>23</v>
      </c>
      <c r="D58" s="85" t="s">
        <v>357</v>
      </c>
      <c r="E58" s="85" t="s">
        <v>105</v>
      </c>
      <c r="F58" s="101" t="s">
        <v>106</v>
      </c>
      <c r="G58" s="85">
        <v>155</v>
      </c>
      <c r="H58" s="102" t="s">
        <v>27</v>
      </c>
      <c r="I58" s="101">
        <v>12</v>
      </c>
      <c r="J58" s="103" t="s">
        <v>306</v>
      </c>
      <c r="K58" s="104">
        <v>12.9166666666667</v>
      </c>
    </row>
    <row r="59" customHeight="1" spans="1:11">
      <c r="A59" s="79">
        <v>46145</v>
      </c>
      <c r="B59" s="85" t="s">
        <v>22</v>
      </c>
      <c r="C59" s="85" t="s">
        <v>23</v>
      </c>
      <c r="D59" s="85" t="s">
        <v>358</v>
      </c>
      <c r="E59" s="85" t="s">
        <v>119</v>
      </c>
      <c r="F59" s="101" t="s">
        <v>120</v>
      </c>
      <c r="G59" s="85">
        <v>112</v>
      </c>
      <c r="H59" s="102" t="s">
        <v>27</v>
      </c>
      <c r="I59" s="101">
        <v>16</v>
      </c>
      <c r="J59" s="103" t="s">
        <v>306</v>
      </c>
      <c r="K59" s="104">
        <v>7</v>
      </c>
    </row>
    <row r="60" customHeight="1" spans="1:11">
      <c r="A60" s="79">
        <v>46145</v>
      </c>
      <c r="B60" s="85" t="s">
        <v>22</v>
      </c>
      <c r="C60" s="85" t="s">
        <v>23</v>
      </c>
      <c r="D60" s="85" t="s">
        <v>359</v>
      </c>
      <c r="E60" s="85" t="s">
        <v>81</v>
      </c>
      <c r="F60" s="101" t="s">
        <v>82</v>
      </c>
      <c r="G60" s="85">
        <v>288</v>
      </c>
      <c r="H60" s="102" t="s">
        <v>27</v>
      </c>
      <c r="I60" s="101">
        <v>72</v>
      </c>
      <c r="J60" s="103" t="s">
        <v>306</v>
      </c>
      <c r="K60" s="104">
        <v>4</v>
      </c>
    </row>
    <row r="61" customHeight="1" spans="1:11">
      <c r="A61" s="79">
        <v>46145</v>
      </c>
      <c r="B61" s="85" t="s">
        <v>22</v>
      </c>
      <c r="C61" s="85" t="s">
        <v>23</v>
      </c>
      <c r="D61" s="85" t="s">
        <v>360</v>
      </c>
      <c r="E61" s="85" t="s">
        <v>69</v>
      </c>
      <c r="F61" s="101" t="s">
        <v>70</v>
      </c>
      <c r="G61" s="85">
        <v>600</v>
      </c>
      <c r="H61" s="102" t="s">
        <v>27</v>
      </c>
      <c r="I61" s="101">
        <v>24</v>
      </c>
      <c r="J61" s="103" t="s">
        <v>306</v>
      </c>
      <c r="K61" s="104">
        <v>25</v>
      </c>
    </row>
    <row r="62" customHeight="1" spans="1:11">
      <c r="A62" s="79">
        <v>46145</v>
      </c>
      <c r="B62" s="85" t="s">
        <v>22</v>
      </c>
      <c r="C62" s="85" t="s">
        <v>23</v>
      </c>
      <c r="D62" s="85" t="s">
        <v>361</v>
      </c>
      <c r="E62" s="85" t="s">
        <v>57</v>
      </c>
      <c r="F62" s="101" t="s">
        <v>58</v>
      </c>
      <c r="G62" s="85">
        <v>380</v>
      </c>
      <c r="H62" s="102" t="s">
        <v>27</v>
      </c>
      <c r="I62" s="101">
        <v>20</v>
      </c>
      <c r="J62" s="103" t="s">
        <v>306</v>
      </c>
      <c r="K62" s="104">
        <v>19</v>
      </c>
    </row>
    <row r="63" customHeight="1" spans="1:11">
      <c r="A63" s="79">
        <v>46145</v>
      </c>
      <c r="B63" s="85" t="s">
        <v>22</v>
      </c>
      <c r="C63" s="85" t="s">
        <v>23</v>
      </c>
      <c r="D63" s="85" t="s">
        <v>362</v>
      </c>
      <c r="E63" s="85" t="s">
        <v>116</v>
      </c>
      <c r="F63" s="101" t="s">
        <v>117</v>
      </c>
      <c r="G63" s="85">
        <v>132</v>
      </c>
      <c r="H63" s="102" t="s">
        <v>27</v>
      </c>
      <c r="I63" s="101">
        <v>44</v>
      </c>
      <c r="J63" s="103" t="s">
        <v>306</v>
      </c>
      <c r="K63" s="104">
        <v>3</v>
      </c>
    </row>
    <row r="64" customHeight="1" spans="1:11">
      <c r="A64" s="79">
        <v>46145</v>
      </c>
      <c r="B64" s="85" t="s">
        <v>22</v>
      </c>
      <c r="C64" s="85" t="s">
        <v>23</v>
      </c>
      <c r="D64" s="85" t="s">
        <v>363</v>
      </c>
      <c r="E64" s="85" t="s">
        <v>114</v>
      </c>
      <c r="F64" s="101" t="s">
        <v>94</v>
      </c>
      <c r="G64" s="85">
        <v>270</v>
      </c>
      <c r="H64" s="102" t="s">
        <v>27</v>
      </c>
      <c r="I64" s="101">
        <v>54</v>
      </c>
      <c r="J64" s="103" t="s">
        <v>306</v>
      </c>
      <c r="K64" s="104">
        <v>5</v>
      </c>
    </row>
    <row r="65" customHeight="1" spans="1:11">
      <c r="A65" s="79">
        <v>46145</v>
      </c>
      <c r="B65" s="85" t="s">
        <v>22</v>
      </c>
      <c r="C65" s="85" t="s">
        <v>23</v>
      </c>
      <c r="D65" s="85" t="s">
        <v>364</v>
      </c>
      <c r="E65" s="85" t="s">
        <v>36</v>
      </c>
      <c r="F65" s="101" t="s">
        <v>37</v>
      </c>
      <c r="G65" s="85">
        <v>36</v>
      </c>
      <c r="H65" s="102" t="s">
        <v>27</v>
      </c>
      <c r="I65" s="101">
        <v>36</v>
      </c>
      <c r="J65" s="103" t="s">
        <v>306</v>
      </c>
      <c r="K65" s="104">
        <v>1</v>
      </c>
    </row>
    <row r="66" customHeight="1" spans="1:11">
      <c r="A66" s="79">
        <v>46145</v>
      </c>
      <c r="B66" s="85" t="s">
        <v>22</v>
      </c>
      <c r="C66" s="85" t="s">
        <v>23</v>
      </c>
      <c r="D66" s="85" t="s">
        <v>365</v>
      </c>
      <c r="E66" s="85" t="s">
        <v>63</v>
      </c>
      <c r="F66" s="101" t="s">
        <v>64</v>
      </c>
      <c r="G66" s="85">
        <v>552</v>
      </c>
      <c r="H66" s="102" t="s">
        <v>27</v>
      </c>
      <c r="I66" s="101">
        <v>12</v>
      </c>
      <c r="J66" s="103" t="s">
        <v>306</v>
      </c>
      <c r="K66" s="104">
        <v>46</v>
      </c>
    </row>
    <row r="67" customHeight="1" spans="1:11">
      <c r="A67" s="79">
        <v>46145</v>
      </c>
      <c r="B67" s="85" t="s">
        <v>22</v>
      </c>
      <c r="C67" s="85" t="s">
        <v>23</v>
      </c>
      <c r="D67" s="85" t="s">
        <v>366</v>
      </c>
      <c r="E67" s="85" t="s">
        <v>42</v>
      </c>
      <c r="F67" s="101" t="s">
        <v>43</v>
      </c>
      <c r="G67" s="85">
        <v>504</v>
      </c>
      <c r="H67" s="102" t="s">
        <v>27</v>
      </c>
      <c r="I67" s="101">
        <v>36</v>
      </c>
      <c r="J67" s="103" t="s">
        <v>306</v>
      </c>
      <c r="K67" s="104">
        <v>14</v>
      </c>
    </row>
    <row r="68" customHeight="1" spans="1:11">
      <c r="A68" s="79">
        <v>46145</v>
      </c>
      <c r="B68" s="85" t="s">
        <v>22</v>
      </c>
      <c r="C68" s="85" t="s">
        <v>23</v>
      </c>
      <c r="D68" s="85" t="s">
        <v>367</v>
      </c>
      <c r="E68" s="85" t="s">
        <v>119</v>
      </c>
      <c r="F68" s="101" t="s">
        <v>120</v>
      </c>
      <c r="G68" s="85">
        <v>128</v>
      </c>
      <c r="H68" s="102" t="s">
        <v>27</v>
      </c>
      <c r="I68" s="101">
        <v>16</v>
      </c>
      <c r="J68" s="103" t="s">
        <v>306</v>
      </c>
      <c r="K68" s="104">
        <v>8</v>
      </c>
    </row>
    <row r="69" customHeight="1" spans="1:11">
      <c r="A69" s="79">
        <v>46145</v>
      </c>
      <c r="B69" s="85" t="s">
        <v>22</v>
      </c>
      <c r="C69" s="85" t="s">
        <v>23</v>
      </c>
      <c r="D69" s="85" t="s">
        <v>368</v>
      </c>
      <c r="E69" s="85" t="s">
        <v>54</v>
      </c>
      <c r="F69" s="101" t="s">
        <v>55</v>
      </c>
      <c r="G69" s="85">
        <v>960</v>
      </c>
      <c r="H69" s="102" t="s">
        <v>27</v>
      </c>
      <c r="I69" s="101">
        <v>20</v>
      </c>
      <c r="J69" s="103" t="s">
        <v>306</v>
      </c>
      <c r="K69" s="104">
        <v>48</v>
      </c>
    </row>
    <row r="70" customHeight="1" spans="1:11">
      <c r="A70" s="79">
        <v>46145</v>
      </c>
      <c r="B70" s="85" t="s">
        <v>22</v>
      </c>
      <c r="C70" s="85" t="s">
        <v>23</v>
      </c>
      <c r="D70" s="85" t="s">
        <v>369</v>
      </c>
      <c r="E70" s="85" t="s">
        <v>57</v>
      </c>
      <c r="F70" s="101" t="s">
        <v>58</v>
      </c>
      <c r="G70" s="85">
        <v>440</v>
      </c>
      <c r="H70" s="102" t="s">
        <v>27</v>
      </c>
      <c r="I70" s="101">
        <v>20</v>
      </c>
      <c r="J70" s="103" t="s">
        <v>306</v>
      </c>
      <c r="K70" s="104">
        <v>22</v>
      </c>
    </row>
    <row r="71" customHeight="1" spans="1:11">
      <c r="A71" s="79">
        <v>46146</v>
      </c>
      <c r="B71" s="85" t="s">
        <v>22</v>
      </c>
      <c r="C71" s="85" t="s">
        <v>23</v>
      </c>
      <c r="D71" s="85" t="s">
        <v>370</v>
      </c>
      <c r="E71" s="85" t="s">
        <v>57</v>
      </c>
      <c r="F71" s="101" t="s">
        <v>58</v>
      </c>
      <c r="G71" s="85">
        <v>480</v>
      </c>
      <c r="H71" s="102" t="s">
        <v>27</v>
      </c>
      <c r="I71" s="101">
        <v>20</v>
      </c>
      <c r="J71" s="103" t="s">
        <v>306</v>
      </c>
      <c r="K71" s="104">
        <v>24</v>
      </c>
    </row>
    <row r="72" customHeight="1" spans="1:11">
      <c r="A72" s="79">
        <v>46146</v>
      </c>
      <c r="B72" s="85" t="s">
        <v>22</v>
      </c>
      <c r="C72" s="85" t="s">
        <v>23</v>
      </c>
      <c r="D72" s="85" t="s">
        <v>371</v>
      </c>
      <c r="E72" s="85" t="s">
        <v>25</v>
      </c>
      <c r="F72" s="101" t="s">
        <v>26</v>
      </c>
      <c r="G72" s="85">
        <v>486</v>
      </c>
      <c r="H72" s="102" t="s">
        <v>27</v>
      </c>
      <c r="I72" s="101">
        <v>162</v>
      </c>
      <c r="J72" s="103" t="s">
        <v>306</v>
      </c>
      <c r="K72" s="104">
        <v>3</v>
      </c>
    </row>
    <row r="73" customHeight="1" spans="1:11">
      <c r="A73" s="79">
        <v>46146</v>
      </c>
      <c r="B73" s="85" t="s">
        <v>22</v>
      </c>
      <c r="C73" s="85" t="s">
        <v>23</v>
      </c>
      <c r="D73" s="85" t="s">
        <v>372</v>
      </c>
      <c r="E73" s="85" t="s">
        <v>54</v>
      </c>
      <c r="F73" s="101" t="s">
        <v>55</v>
      </c>
      <c r="G73" s="85">
        <v>480</v>
      </c>
      <c r="H73" s="102" t="s">
        <v>27</v>
      </c>
      <c r="I73" s="101">
        <v>20</v>
      </c>
      <c r="J73" s="103" t="s">
        <v>306</v>
      </c>
      <c r="K73" s="104">
        <v>24</v>
      </c>
    </row>
    <row r="74" customHeight="1" spans="1:11">
      <c r="A74" s="79">
        <v>46146</v>
      </c>
      <c r="B74" s="85" t="s">
        <v>22</v>
      </c>
      <c r="C74" s="85" t="s">
        <v>23</v>
      </c>
      <c r="D74" s="85" t="s">
        <v>373</v>
      </c>
      <c r="E74" s="85" t="s">
        <v>54</v>
      </c>
      <c r="F74" s="101" t="s">
        <v>55</v>
      </c>
      <c r="G74" s="85">
        <v>480</v>
      </c>
      <c r="H74" s="102" t="s">
        <v>27</v>
      </c>
      <c r="I74" s="101">
        <v>20</v>
      </c>
      <c r="J74" s="103" t="s">
        <v>306</v>
      </c>
      <c r="K74" s="104">
        <v>24</v>
      </c>
    </row>
    <row r="75" customHeight="1" spans="1:11">
      <c r="A75" s="79">
        <v>46146</v>
      </c>
      <c r="B75" s="85" t="s">
        <v>22</v>
      </c>
      <c r="C75" s="85" t="s">
        <v>23</v>
      </c>
      <c r="D75" s="85" t="s">
        <v>374</v>
      </c>
      <c r="E75" s="85" t="s">
        <v>39</v>
      </c>
      <c r="F75" s="101" t="s">
        <v>40</v>
      </c>
      <c r="G75" s="85">
        <v>36</v>
      </c>
      <c r="H75" s="102" t="s">
        <v>27</v>
      </c>
      <c r="I75" s="101">
        <v>36</v>
      </c>
      <c r="J75" s="103" t="s">
        <v>306</v>
      </c>
      <c r="K75" s="104">
        <v>1</v>
      </c>
    </row>
    <row r="76" customHeight="1" spans="1:11">
      <c r="A76" s="79">
        <v>46146</v>
      </c>
      <c r="B76" s="85" t="s">
        <v>22</v>
      </c>
      <c r="C76" s="85" t="s">
        <v>23</v>
      </c>
      <c r="D76" s="85" t="s">
        <v>375</v>
      </c>
      <c r="E76" s="85" t="s">
        <v>51</v>
      </c>
      <c r="F76" s="101" t="s">
        <v>52</v>
      </c>
      <c r="G76" s="85">
        <v>324</v>
      </c>
      <c r="H76" s="102" t="s">
        <v>27</v>
      </c>
      <c r="I76" s="101">
        <v>36</v>
      </c>
      <c r="J76" s="103" t="s">
        <v>306</v>
      </c>
      <c r="K76" s="104">
        <v>9</v>
      </c>
    </row>
    <row r="77" customHeight="1" spans="1:11">
      <c r="A77" s="79">
        <v>46146</v>
      </c>
      <c r="B77" s="85" t="s">
        <v>22</v>
      </c>
      <c r="C77" s="85" t="s">
        <v>23</v>
      </c>
      <c r="D77" s="85" t="s">
        <v>376</v>
      </c>
      <c r="E77" s="85" t="s">
        <v>42</v>
      </c>
      <c r="F77" s="101" t="s">
        <v>43</v>
      </c>
      <c r="G77" s="85">
        <v>36</v>
      </c>
      <c r="H77" s="102" t="s">
        <v>27</v>
      </c>
      <c r="I77" s="101">
        <v>36</v>
      </c>
      <c r="J77" s="103" t="s">
        <v>306</v>
      </c>
      <c r="K77" s="104">
        <v>1</v>
      </c>
    </row>
    <row r="78" customHeight="1" spans="1:11">
      <c r="A78" s="79">
        <v>46146</v>
      </c>
      <c r="B78" s="85" t="s">
        <v>22</v>
      </c>
      <c r="C78" s="85" t="s">
        <v>23</v>
      </c>
      <c r="D78" s="85" t="s">
        <v>377</v>
      </c>
      <c r="E78" s="85" t="s">
        <v>33</v>
      </c>
      <c r="F78" s="101" t="s">
        <v>34</v>
      </c>
      <c r="G78" s="85">
        <v>144</v>
      </c>
      <c r="H78" s="102" t="s">
        <v>27</v>
      </c>
      <c r="I78" s="101">
        <v>36</v>
      </c>
      <c r="J78" s="103" t="s">
        <v>306</v>
      </c>
      <c r="K78" s="104">
        <v>4</v>
      </c>
    </row>
    <row r="79" customHeight="1" spans="1:11">
      <c r="A79" s="79">
        <v>46146</v>
      </c>
      <c r="B79" s="85" t="s">
        <v>22</v>
      </c>
      <c r="C79" s="85" t="s">
        <v>23</v>
      </c>
      <c r="D79" s="85" t="s">
        <v>378</v>
      </c>
      <c r="E79" s="85" t="s">
        <v>33</v>
      </c>
      <c r="F79" s="101" t="s">
        <v>34</v>
      </c>
      <c r="G79" s="85">
        <v>324</v>
      </c>
      <c r="H79" s="102" t="s">
        <v>27</v>
      </c>
      <c r="I79" s="101">
        <v>36</v>
      </c>
      <c r="J79" s="103" t="s">
        <v>306</v>
      </c>
      <c r="K79" s="104">
        <v>9</v>
      </c>
    </row>
    <row r="80" customHeight="1" spans="1:11">
      <c r="A80" s="79">
        <v>46146</v>
      </c>
      <c r="B80" s="85" t="s">
        <v>22</v>
      </c>
      <c r="C80" s="85" t="s">
        <v>23</v>
      </c>
      <c r="D80" s="85" t="s">
        <v>379</v>
      </c>
      <c r="E80" s="85" t="s">
        <v>81</v>
      </c>
      <c r="F80" s="101" t="s">
        <v>82</v>
      </c>
      <c r="G80" s="85">
        <v>468</v>
      </c>
      <c r="H80" s="102" t="s">
        <v>27</v>
      </c>
      <c r="I80" s="101">
        <v>72</v>
      </c>
      <c r="J80" s="103" t="s">
        <v>306</v>
      </c>
      <c r="K80" s="104">
        <v>6.5</v>
      </c>
    </row>
    <row r="81" customHeight="1" spans="1:11">
      <c r="A81" s="79">
        <v>46146</v>
      </c>
      <c r="B81" s="85" t="s">
        <v>22</v>
      </c>
      <c r="C81" s="85" t="s">
        <v>23</v>
      </c>
      <c r="D81" s="85" t="s">
        <v>380</v>
      </c>
      <c r="E81" s="85" t="s">
        <v>105</v>
      </c>
      <c r="F81" s="101" t="s">
        <v>106</v>
      </c>
      <c r="G81" s="85">
        <v>257</v>
      </c>
      <c r="H81" s="102" t="s">
        <v>27</v>
      </c>
      <c r="I81" s="101">
        <v>12</v>
      </c>
      <c r="J81" s="103" t="s">
        <v>306</v>
      </c>
      <c r="K81" s="104">
        <v>21.4166666666667</v>
      </c>
    </row>
    <row r="82" customHeight="1" spans="1:11">
      <c r="A82" s="79">
        <v>46146</v>
      </c>
      <c r="B82" s="85" t="s">
        <v>22</v>
      </c>
      <c r="C82" s="85" t="s">
        <v>23</v>
      </c>
      <c r="D82" s="85" t="s">
        <v>381</v>
      </c>
      <c r="E82" s="85" t="s">
        <v>69</v>
      </c>
      <c r="F82" s="101" t="s">
        <v>70</v>
      </c>
      <c r="G82" s="85">
        <v>120</v>
      </c>
      <c r="H82" s="102" t="s">
        <v>27</v>
      </c>
      <c r="I82" s="101">
        <v>24</v>
      </c>
      <c r="J82" s="103" t="s">
        <v>306</v>
      </c>
      <c r="K82" s="104">
        <v>5</v>
      </c>
    </row>
    <row r="83" customHeight="1" spans="1:11">
      <c r="A83" s="79">
        <v>46146</v>
      </c>
      <c r="B83" s="85" t="s">
        <v>22</v>
      </c>
      <c r="C83" s="85" t="s">
        <v>23</v>
      </c>
      <c r="D83" s="85" t="s">
        <v>382</v>
      </c>
      <c r="E83" s="85" t="s">
        <v>111</v>
      </c>
      <c r="F83" s="101" t="s">
        <v>112</v>
      </c>
      <c r="G83" s="85">
        <v>248</v>
      </c>
      <c r="H83" s="102" t="s">
        <v>27</v>
      </c>
      <c r="I83" s="101">
        <v>8</v>
      </c>
      <c r="J83" s="103" t="s">
        <v>306</v>
      </c>
      <c r="K83" s="104">
        <v>31</v>
      </c>
    </row>
    <row r="84" customHeight="1" spans="1:11">
      <c r="A84" s="79">
        <v>46146</v>
      </c>
      <c r="B84" s="85" t="s">
        <v>22</v>
      </c>
      <c r="C84" s="85" t="s">
        <v>23</v>
      </c>
      <c r="D84" s="85" t="s">
        <v>383</v>
      </c>
      <c r="E84" s="85" t="s">
        <v>42</v>
      </c>
      <c r="F84" s="101" t="s">
        <v>43</v>
      </c>
      <c r="G84" s="85">
        <v>864</v>
      </c>
      <c r="H84" s="102" t="s">
        <v>27</v>
      </c>
      <c r="I84" s="101">
        <v>36</v>
      </c>
      <c r="J84" s="103" t="s">
        <v>306</v>
      </c>
      <c r="K84" s="104">
        <v>24</v>
      </c>
    </row>
    <row r="85" customHeight="1" spans="1:11">
      <c r="A85" s="79">
        <v>46146</v>
      </c>
      <c r="B85" s="85" t="s">
        <v>22</v>
      </c>
      <c r="C85" s="85" t="s">
        <v>23</v>
      </c>
      <c r="D85" s="85" t="s">
        <v>384</v>
      </c>
      <c r="E85" s="85" t="s">
        <v>42</v>
      </c>
      <c r="F85" s="101" t="s">
        <v>43</v>
      </c>
      <c r="G85" s="85">
        <v>144</v>
      </c>
      <c r="H85" s="102" t="s">
        <v>27</v>
      </c>
      <c r="I85" s="101">
        <v>36</v>
      </c>
      <c r="J85" s="103" t="s">
        <v>306</v>
      </c>
      <c r="K85" s="104">
        <v>4</v>
      </c>
    </row>
    <row r="86" customHeight="1" spans="1:11">
      <c r="A86" s="79">
        <v>46146</v>
      </c>
      <c r="B86" s="85" t="s">
        <v>22</v>
      </c>
      <c r="C86" s="85" t="s">
        <v>23</v>
      </c>
      <c r="D86" s="85" t="s">
        <v>385</v>
      </c>
      <c r="E86" s="85" t="s">
        <v>63</v>
      </c>
      <c r="F86" s="101" t="s">
        <v>64</v>
      </c>
      <c r="G86" s="85">
        <v>288</v>
      </c>
      <c r="H86" s="102" t="s">
        <v>27</v>
      </c>
      <c r="I86" s="101">
        <v>12</v>
      </c>
      <c r="J86" s="103" t="s">
        <v>306</v>
      </c>
      <c r="K86" s="104">
        <v>24</v>
      </c>
    </row>
    <row r="87" customHeight="1" spans="1:11">
      <c r="A87" s="79">
        <v>46146</v>
      </c>
      <c r="B87" s="85" t="s">
        <v>22</v>
      </c>
      <c r="C87" s="85" t="s">
        <v>23</v>
      </c>
      <c r="D87" s="85" t="s">
        <v>386</v>
      </c>
      <c r="E87" s="85" t="s">
        <v>63</v>
      </c>
      <c r="F87" s="101" t="s">
        <v>64</v>
      </c>
      <c r="G87" s="85">
        <v>204</v>
      </c>
      <c r="H87" s="102" t="s">
        <v>27</v>
      </c>
      <c r="I87" s="101">
        <v>12</v>
      </c>
      <c r="J87" s="103" t="s">
        <v>306</v>
      </c>
      <c r="K87" s="104">
        <v>17</v>
      </c>
    </row>
    <row r="88" customHeight="1" spans="1:11">
      <c r="A88" s="79">
        <v>46146</v>
      </c>
      <c r="B88" s="85" t="s">
        <v>22</v>
      </c>
      <c r="C88" s="85" t="s">
        <v>23</v>
      </c>
      <c r="D88" s="85" t="s">
        <v>387</v>
      </c>
      <c r="E88" s="85" t="s">
        <v>90</v>
      </c>
      <c r="F88" s="101" t="s">
        <v>91</v>
      </c>
      <c r="G88" s="85">
        <v>528</v>
      </c>
      <c r="H88" s="102" t="s">
        <v>27</v>
      </c>
      <c r="I88" s="101">
        <v>24</v>
      </c>
      <c r="J88" s="103" t="s">
        <v>306</v>
      </c>
      <c r="K88" s="104">
        <v>22</v>
      </c>
    </row>
    <row r="89" customHeight="1" spans="1:11">
      <c r="A89" s="79">
        <v>46146</v>
      </c>
      <c r="B89" s="85" t="s">
        <v>22</v>
      </c>
      <c r="C89" s="85" t="s">
        <v>23</v>
      </c>
      <c r="D89" s="85" t="s">
        <v>388</v>
      </c>
      <c r="E89" s="85" t="s">
        <v>90</v>
      </c>
      <c r="F89" s="101" t="s">
        <v>91</v>
      </c>
      <c r="G89" s="85">
        <v>720</v>
      </c>
      <c r="H89" s="102" t="s">
        <v>27</v>
      </c>
      <c r="I89" s="101">
        <v>24</v>
      </c>
      <c r="J89" s="103" t="s">
        <v>306</v>
      </c>
      <c r="K89" s="104">
        <v>30</v>
      </c>
    </row>
    <row r="90" customHeight="1" spans="1:11">
      <c r="A90" s="79">
        <v>46146</v>
      </c>
      <c r="B90" s="85" t="s">
        <v>22</v>
      </c>
      <c r="C90" s="85" t="s">
        <v>23</v>
      </c>
      <c r="D90" s="85" t="s">
        <v>389</v>
      </c>
      <c r="E90" s="85" t="s">
        <v>54</v>
      </c>
      <c r="F90" s="101" t="s">
        <v>55</v>
      </c>
      <c r="G90" s="85">
        <v>480</v>
      </c>
      <c r="H90" s="102" t="s">
        <v>27</v>
      </c>
      <c r="I90" s="101">
        <v>20</v>
      </c>
      <c r="J90" s="103" t="s">
        <v>306</v>
      </c>
      <c r="K90" s="104">
        <v>24</v>
      </c>
    </row>
    <row r="91" customHeight="1" spans="1:11">
      <c r="A91" s="79">
        <v>46146</v>
      </c>
      <c r="B91" s="85" t="s">
        <v>22</v>
      </c>
      <c r="C91" s="85" t="s">
        <v>23</v>
      </c>
      <c r="D91" s="85" t="s">
        <v>390</v>
      </c>
      <c r="E91" s="85" t="s">
        <v>54</v>
      </c>
      <c r="F91" s="101" t="s">
        <v>55</v>
      </c>
      <c r="G91" s="85">
        <v>480</v>
      </c>
      <c r="H91" s="102" t="s">
        <v>27</v>
      </c>
      <c r="I91" s="101">
        <v>20</v>
      </c>
      <c r="J91" s="103" t="s">
        <v>306</v>
      </c>
      <c r="K91" s="104">
        <v>24</v>
      </c>
    </row>
    <row r="92" customHeight="1" spans="1:11">
      <c r="A92" s="79">
        <v>46146</v>
      </c>
      <c r="B92" s="85" t="s">
        <v>22</v>
      </c>
      <c r="C92" s="85" t="s">
        <v>23</v>
      </c>
      <c r="D92" s="85" t="s">
        <v>391</v>
      </c>
      <c r="E92" s="85" t="s">
        <v>54</v>
      </c>
      <c r="F92" s="101" t="s">
        <v>55</v>
      </c>
      <c r="G92" s="85">
        <v>960</v>
      </c>
      <c r="H92" s="102" t="s">
        <v>27</v>
      </c>
      <c r="I92" s="101">
        <v>20</v>
      </c>
      <c r="J92" s="103" t="s">
        <v>306</v>
      </c>
      <c r="K92" s="104">
        <v>48</v>
      </c>
    </row>
    <row r="93" customHeight="1" spans="1:11">
      <c r="A93" s="79">
        <v>46146</v>
      </c>
      <c r="B93" s="85" t="s">
        <v>22</v>
      </c>
      <c r="C93" s="85" t="s">
        <v>23</v>
      </c>
      <c r="D93" s="85" t="s">
        <v>392</v>
      </c>
      <c r="E93" s="85" t="s">
        <v>54</v>
      </c>
      <c r="F93" s="101" t="s">
        <v>55</v>
      </c>
      <c r="G93" s="85">
        <v>175</v>
      </c>
      <c r="H93" s="102" t="s">
        <v>27</v>
      </c>
      <c r="I93" s="101">
        <v>20</v>
      </c>
      <c r="J93" s="103" t="s">
        <v>306</v>
      </c>
      <c r="K93" s="104">
        <v>8.75</v>
      </c>
    </row>
    <row r="94" customHeight="1" spans="1:11">
      <c r="A94" s="79">
        <v>46146</v>
      </c>
      <c r="B94" s="85" t="s">
        <v>22</v>
      </c>
      <c r="C94" s="85" t="s">
        <v>23</v>
      </c>
      <c r="D94" s="85" t="s">
        <v>393</v>
      </c>
      <c r="E94" s="85" t="s">
        <v>84</v>
      </c>
      <c r="F94" s="101" t="s">
        <v>85</v>
      </c>
      <c r="G94" s="85">
        <v>336</v>
      </c>
      <c r="H94" s="102" t="s">
        <v>27</v>
      </c>
      <c r="I94" s="101">
        <v>24</v>
      </c>
      <c r="J94" s="103" t="s">
        <v>306</v>
      </c>
      <c r="K94" s="104">
        <v>14</v>
      </c>
    </row>
    <row r="95" customHeight="1" spans="1:11">
      <c r="A95" s="79">
        <v>46146</v>
      </c>
      <c r="B95" s="85" t="s">
        <v>213</v>
      </c>
      <c r="C95" s="85" t="s">
        <v>214</v>
      </c>
      <c r="D95" s="85" t="s">
        <v>394</v>
      </c>
      <c r="E95" s="85" t="s">
        <v>220</v>
      </c>
      <c r="F95" s="101" t="s">
        <v>221</v>
      </c>
      <c r="G95" s="85">
        <v>756</v>
      </c>
      <c r="H95" s="102" t="s">
        <v>218</v>
      </c>
      <c r="I95" s="101">
        <v>54</v>
      </c>
      <c r="J95" s="103" t="s">
        <v>306</v>
      </c>
      <c r="K95" s="104">
        <v>14</v>
      </c>
    </row>
    <row r="96" customHeight="1" spans="1:11">
      <c r="A96" s="79">
        <v>46146</v>
      </c>
      <c r="B96" s="85" t="s">
        <v>213</v>
      </c>
      <c r="C96" s="85" t="s">
        <v>214</v>
      </c>
      <c r="D96" s="85" t="s">
        <v>394</v>
      </c>
      <c r="E96" s="85" t="s">
        <v>222</v>
      </c>
      <c r="F96" s="101" t="s">
        <v>223</v>
      </c>
      <c r="G96" s="85">
        <v>726</v>
      </c>
      <c r="H96" s="102" t="s">
        <v>218</v>
      </c>
      <c r="I96" s="101">
        <v>66</v>
      </c>
      <c r="J96" s="103" t="s">
        <v>306</v>
      </c>
      <c r="K96" s="104">
        <v>11</v>
      </c>
    </row>
    <row r="97" customHeight="1" spans="1:11">
      <c r="A97" s="79">
        <v>46146</v>
      </c>
      <c r="B97" s="85" t="s">
        <v>213</v>
      </c>
      <c r="C97" s="85" t="s">
        <v>214</v>
      </c>
      <c r="D97" s="85" t="s">
        <v>394</v>
      </c>
      <c r="E97" s="85" t="s">
        <v>216</v>
      </c>
      <c r="F97" s="101" t="s">
        <v>217</v>
      </c>
      <c r="G97" s="85">
        <v>176</v>
      </c>
      <c r="H97" s="102" t="s">
        <v>218</v>
      </c>
      <c r="I97" s="101">
        <v>176</v>
      </c>
      <c r="J97" s="103" t="s">
        <v>306</v>
      </c>
      <c r="K97" s="104">
        <v>1</v>
      </c>
    </row>
    <row r="98" customHeight="1" spans="1:11">
      <c r="A98" s="79">
        <v>46146</v>
      </c>
      <c r="B98" s="85" t="s">
        <v>247</v>
      </c>
      <c r="C98" s="85" t="s">
        <v>248</v>
      </c>
      <c r="E98" s="85" t="s">
        <v>251</v>
      </c>
      <c r="F98" s="101" t="s">
        <v>252</v>
      </c>
      <c r="G98" s="85">
        <v>1260</v>
      </c>
      <c r="H98" s="102" t="s">
        <v>218</v>
      </c>
      <c r="I98" s="101">
        <v>45</v>
      </c>
      <c r="J98" s="103">
        <v>28</v>
      </c>
      <c r="K98" s="104" t="s">
        <v>306</v>
      </c>
    </row>
    <row r="99" customHeight="1" spans="1:11">
      <c r="A99" s="79">
        <v>46146</v>
      </c>
      <c r="B99" s="85" t="s">
        <v>267</v>
      </c>
      <c r="C99" s="85" t="s">
        <v>268</v>
      </c>
      <c r="D99" s="85">
        <v>6500002897</v>
      </c>
      <c r="E99" s="85" t="s">
        <v>269</v>
      </c>
      <c r="F99" s="101" t="s">
        <v>270</v>
      </c>
      <c r="G99" s="85">
        <v>1152</v>
      </c>
      <c r="H99" s="102" t="s">
        <v>27</v>
      </c>
      <c r="I99" s="101">
        <v>12</v>
      </c>
    </row>
    <row r="100" customHeight="1" spans="1:11">
      <c r="A100" s="79">
        <v>46146</v>
      </c>
      <c r="B100" s="85" t="s">
        <v>267</v>
      </c>
      <c r="C100" s="85" t="s">
        <v>268</v>
      </c>
      <c r="D100" s="85">
        <v>6500002897</v>
      </c>
      <c r="E100" s="85" t="s">
        <v>271</v>
      </c>
      <c r="F100" s="101" t="s">
        <v>272</v>
      </c>
      <c r="G100" s="85">
        <v>1142</v>
      </c>
      <c r="H100" s="102" t="s">
        <v>27</v>
      </c>
      <c r="I100" s="101">
        <v>12</v>
      </c>
    </row>
    <row r="101" customHeight="1" spans="1:11">
      <c r="A101" s="79">
        <v>46146</v>
      </c>
      <c r="B101" s="85" t="s">
        <v>277</v>
      </c>
      <c r="C101" s="85" t="s">
        <v>278</v>
      </c>
      <c r="D101" s="85" t="s">
        <v>395</v>
      </c>
      <c r="E101" s="85" t="s">
        <v>279</v>
      </c>
      <c r="F101" s="101" t="s">
        <v>280</v>
      </c>
      <c r="G101" s="85">
        <v>3000</v>
      </c>
      <c r="H101" s="102" t="s">
        <v>27</v>
      </c>
      <c r="I101" s="101">
        <v>12</v>
      </c>
    </row>
    <row r="102" customHeight="1" spans="1:11">
      <c r="A102" s="79">
        <v>46146</v>
      </c>
      <c r="B102" s="85" t="s">
        <v>277</v>
      </c>
      <c r="C102" s="85" t="s">
        <v>278</v>
      </c>
      <c r="D102" s="85" t="s">
        <v>396</v>
      </c>
      <c r="E102" s="85" t="s">
        <v>279</v>
      </c>
      <c r="F102" s="101" t="s">
        <v>280</v>
      </c>
      <c r="G102" s="85">
        <v>1500</v>
      </c>
      <c r="H102" s="102" t="s">
        <v>27</v>
      </c>
      <c r="I102" s="101">
        <v>12</v>
      </c>
    </row>
    <row r="103" customHeight="1" spans="1:11">
      <c r="A103" s="79">
        <v>46146</v>
      </c>
      <c r="B103" s="85" t="s">
        <v>281</v>
      </c>
      <c r="C103" s="85" t="s">
        <v>282</v>
      </c>
      <c r="D103" s="85" t="s">
        <v>397</v>
      </c>
      <c r="E103" s="85" t="s">
        <v>283</v>
      </c>
      <c r="F103" s="101" t="s">
        <v>284</v>
      </c>
      <c r="G103" s="85">
        <v>1000</v>
      </c>
      <c r="H103" s="102" t="s">
        <v>218</v>
      </c>
      <c r="I103" s="101">
        <v>125</v>
      </c>
      <c r="J103" s="103" t="s">
        <v>306</v>
      </c>
      <c r="K103" s="104">
        <v>8</v>
      </c>
    </row>
    <row r="104" customHeight="1" spans="1:11">
      <c r="A104" s="79">
        <v>46146</v>
      </c>
      <c r="B104" s="85" t="s">
        <v>281</v>
      </c>
      <c r="C104" s="85" t="s">
        <v>282</v>
      </c>
      <c r="E104" s="85" t="s">
        <v>283</v>
      </c>
      <c r="F104" s="101" t="s">
        <v>284</v>
      </c>
      <c r="G104" s="85">
        <v>1750</v>
      </c>
      <c r="H104" s="102" t="s">
        <v>218</v>
      </c>
      <c r="I104" s="101">
        <v>125</v>
      </c>
      <c r="J104" s="103" t="s">
        <v>306</v>
      </c>
      <c r="K104" s="104">
        <v>14</v>
      </c>
    </row>
    <row r="105" customHeight="1" spans="1:11">
      <c r="A105" s="79">
        <v>46147</v>
      </c>
      <c r="B105" s="85" t="s">
        <v>22</v>
      </c>
      <c r="C105" s="85" t="s">
        <v>23</v>
      </c>
      <c r="D105" s="85" t="s">
        <v>398</v>
      </c>
      <c r="E105" s="85" t="s">
        <v>111</v>
      </c>
      <c r="F105" s="101" t="s">
        <v>112</v>
      </c>
      <c r="G105" s="85">
        <v>168</v>
      </c>
      <c r="H105" s="102" t="s">
        <v>27</v>
      </c>
      <c r="I105" s="101">
        <v>8</v>
      </c>
      <c r="J105" s="103" t="s">
        <v>306</v>
      </c>
      <c r="K105" s="104">
        <v>21</v>
      </c>
    </row>
    <row r="106" customHeight="1" spans="1:11">
      <c r="A106" s="79">
        <v>46147</v>
      </c>
      <c r="B106" s="85" t="s">
        <v>22</v>
      </c>
      <c r="C106" s="85" t="s">
        <v>23</v>
      </c>
      <c r="D106" s="85" t="s">
        <v>399</v>
      </c>
      <c r="E106" s="85" t="s">
        <v>42</v>
      </c>
      <c r="F106" s="101" t="s">
        <v>43</v>
      </c>
      <c r="G106" s="85">
        <v>288</v>
      </c>
      <c r="H106" s="102" t="s">
        <v>27</v>
      </c>
      <c r="I106" s="101">
        <v>36</v>
      </c>
      <c r="J106" s="103" t="s">
        <v>306</v>
      </c>
      <c r="K106" s="104">
        <v>8</v>
      </c>
    </row>
    <row r="107" customHeight="1" spans="1:11">
      <c r="A107" s="79">
        <v>46147</v>
      </c>
      <c r="B107" s="85" t="s">
        <v>22</v>
      </c>
      <c r="C107" s="85" t="s">
        <v>23</v>
      </c>
      <c r="D107" s="85" t="s">
        <v>400</v>
      </c>
      <c r="E107" s="85" t="s">
        <v>36</v>
      </c>
      <c r="F107" s="101" t="s">
        <v>37</v>
      </c>
      <c r="G107" s="85">
        <v>216</v>
      </c>
      <c r="H107" s="102" t="s">
        <v>27</v>
      </c>
      <c r="I107" s="101">
        <v>36</v>
      </c>
      <c r="J107" s="103" t="s">
        <v>306</v>
      </c>
      <c r="K107" s="104">
        <v>6</v>
      </c>
    </row>
    <row r="108" customHeight="1" spans="1:11">
      <c r="A108" s="79">
        <v>46147</v>
      </c>
      <c r="B108" s="85" t="s">
        <v>22</v>
      </c>
      <c r="C108" s="85" t="s">
        <v>23</v>
      </c>
      <c r="D108" s="85" t="s">
        <v>401</v>
      </c>
      <c r="E108" s="85" t="s">
        <v>90</v>
      </c>
      <c r="F108" s="101" t="s">
        <v>91</v>
      </c>
      <c r="G108" s="85">
        <v>408</v>
      </c>
      <c r="H108" s="102" t="s">
        <v>27</v>
      </c>
      <c r="I108" s="101">
        <v>24</v>
      </c>
      <c r="J108" s="103" t="s">
        <v>306</v>
      </c>
      <c r="K108" s="104">
        <v>17</v>
      </c>
    </row>
    <row r="109" customHeight="1" spans="1:11">
      <c r="A109" s="79">
        <v>46147</v>
      </c>
      <c r="B109" s="85" t="s">
        <v>22</v>
      </c>
      <c r="C109" s="85" t="s">
        <v>23</v>
      </c>
      <c r="D109" s="85" t="s">
        <v>402</v>
      </c>
      <c r="E109" s="85" t="s">
        <v>111</v>
      </c>
      <c r="F109" s="101" t="s">
        <v>112</v>
      </c>
      <c r="G109" s="85">
        <v>352</v>
      </c>
      <c r="H109" s="102" t="s">
        <v>27</v>
      </c>
      <c r="I109" s="101">
        <v>8</v>
      </c>
      <c r="J109" s="103" t="s">
        <v>306</v>
      </c>
      <c r="K109" s="104">
        <v>44</v>
      </c>
    </row>
    <row r="110" customHeight="1" spans="1:11">
      <c r="A110" s="79">
        <v>46147</v>
      </c>
      <c r="B110" s="85" t="s">
        <v>22</v>
      </c>
      <c r="C110" s="85" t="s">
        <v>23</v>
      </c>
      <c r="D110" s="85" t="s">
        <v>403</v>
      </c>
      <c r="E110" s="85" t="s">
        <v>105</v>
      </c>
      <c r="F110" s="101" t="s">
        <v>106</v>
      </c>
      <c r="G110" s="85">
        <v>288</v>
      </c>
      <c r="H110" s="102" t="s">
        <v>27</v>
      </c>
      <c r="I110" s="101">
        <v>12</v>
      </c>
      <c r="J110" s="103" t="s">
        <v>306</v>
      </c>
      <c r="K110" s="104">
        <v>24</v>
      </c>
    </row>
    <row r="111" customHeight="1" spans="1:11">
      <c r="A111" s="79">
        <v>46147</v>
      </c>
      <c r="B111" s="85" t="s">
        <v>22</v>
      </c>
      <c r="C111" s="85" t="s">
        <v>23</v>
      </c>
      <c r="D111" s="85" t="s">
        <v>404</v>
      </c>
      <c r="E111" s="85" t="s">
        <v>105</v>
      </c>
      <c r="F111" s="101" t="s">
        <v>106</v>
      </c>
      <c r="G111" s="85">
        <v>312</v>
      </c>
      <c r="H111" s="102" t="s">
        <v>27</v>
      </c>
      <c r="I111" s="101">
        <v>12</v>
      </c>
      <c r="J111" s="103" t="s">
        <v>306</v>
      </c>
      <c r="K111" s="104">
        <v>26</v>
      </c>
    </row>
    <row r="112" customHeight="1" spans="1:11">
      <c r="A112" s="79">
        <v>46147</v>
      </c>
      <c r="B112" s="85" t="s">
        <v>22</v>
      </c>
      <c r="C112" s="85" t="s">
        <v>23</v>
      </c>
      <c r="D112" s="85" t="s">
        <v>405</v>
      </c>
      <c r="E112" s="85" t="s">
        <v>81</v>
      </c>
      <c r="F112" s="101" t="s">
        <v>82</v>
      </c>
      <c r="G112" s="85">
        <v>360</v>
      </c>
      <c r="H112" s="102" t="s">
        <v>27</v>
      </c>
      <c r="I112" s="101">
        <v>72</v>
      </c>
      <c r="J112" s="103" t="s">
        <v>306</v>
      </c>
      <c r="K112" s="104">
        <v>5</v>
      </c>
    </row>
    <row r="113" customHeight="1" spans="1:11">
      <c r="A113" s="79">
        <v>46147</v>
      </c>
      <c r="B113" s="85" t="s">
        <v>22</v>
      </c>
      <c r="C113" s="85" t="s">
        <v>23</v>
      </c>
      <c r="D113" s="85" t="s">
        <v>406</v>
      </c>
      <c r="E113" s="85" t="s">
        <v>114</v>
      </c>
      <c r="F113" s="101" t="s">
        <v>94</v>
      </c>
      <c r="G113" s="85">
        <v>270</v>
      </c>
      <c r="H113" s="102" t="s">
        <v>27</v>
      </c>
      <c r="I113" s="101">
        <v>54</v>
      </c>
      <c r="J113" s="103" t="s">
        <v>306</v>
      </c>
      <c r="K113" s="104">
        <v>5</v>
      </c>
    </row>
    <row r="114" customHeight="1" spans="1:11">
      <c r="A114" s="79">
        <v>46147</v>
      </c>
      <c r="B114" s="85" t="s">
        <v>22</v>
      </c>
      <c r="C114" s="85" t="s">
        <v>23</v>
      </c>
      <c r="D114" s="85" t="s">
        <v>407</v>
      </c>
      <c r="E114" s="85" t="s">
        <v>39</v>
      </c>
      <c r="F114" s="101" t="s">
        <v>40</v>
      </c>
      <c r="G114" s="85">
        <v>504</v>
      </c>
      <c r="H114" s="102" t="s">
        <v>27</v>
      </c>
      <c r="I114" s="101">
        <v>36</v>
      </c>
      <c r="J114" s="103" t="s">
        <v>306</v>
      </c>
      <c r="K114" s="104">
        <v>14</v>
      </c>
    </row>
    <row r="115" customHeight="1" spans="1:11">
      <c r="A115" s="79">
        <v>46147</v>
      </c>
      <c r="B115" s="85" t="s">
        <v>22</v>
      </c>
      <c r="C115" s="85" t="s">
        <v>23</v>
      </c>
      <c r="D115" s="85" t="s">
        <v>408</v>
      </c>
      <c r="E115" s="85" t="s">
        <v>54</v>
      </c>
      <c r="F115" s="101" t="s">
        <v>55</v>
      </c>
      <c r="G115" s="85">
        <v>480</v>
      </c>
      <c r="H115" s="102" t="s">
        <v>27</v>
      </c>
      <c r="I115" s="101">
        <v>20</v>
      </c>
      <c r="J115" s="103" t="s">
        <v>306</v>
      </c>
      <c r="K115" s="104">
        <v>24</v>
      </c>
    </row>
    <row r="116" customHeight="1" spans="1:11">
      <c r="A116" s="79">
        <v>46147</v>
      </c>
      <c r="B116" s="85" t="s">
        <v>22</v>
      </c>
      <c r="C116" s="85" t="s">
        <v>23</v>
      </c>
      <c r="D116" s="85" t="s">
        <v>409</v>
      </c>
      <c r="E116" s="85" t="s">
        <v>54</v>
      </c>
      <c r="F116" s="101" t="s">
        <v>55</v>
      </c>
      <c r="G116" s="85">
        <v>180</v>
      </c>
      <c r="H116" s="102" t="s">
        <v>27</v>
      </c>
      <c r="I116" s="101">
        <v>20</v>
      </c>
      <c r="J116" s="103" t="s">
        <v>306</v>
      </c>
      <c r="K116" s="104">
        <v>9</v>
      </c>
    </row>
    <row r="117" customHeight="1" spans="1:11">
      <c r="A117" s="79">
        <v>46147</v>
      </c>
      <c r="B117" s="85" t="s">
        <v>22</v>
      </c>
      <c r="C117" s="85" t="s">
        <v>23</v>
      </c>
      <c r="D117" s="85" t="s">
        <v>410</v>
      </c>
      <c r="E117" s="85" t="s">
        <v>57</v>
      </c>
      <c r="F117" s="101" t="s">
        <v>58</v>
      </c>
      <c r="G117" s="85">
        <v>480</v>
      </c>
      <c r="H117" s="102" t="s">
        <v>27</v>
      </c>
      <c r="I117" s="101">
        <v>20</v>
      </c>
      <c r="J117" s="103" t="s">
        <v>306</v>
      </c>
      <c r="K117" s="104">
        <v>24</v>
      </c>
    </row>
    <row r="118" customHeight="1" spans="1:11">
      <c r="A118" s="79">
        <v>46147</v>
      </c>
      <c r="B118" s="85" t="s">
        <v>22</v>
      </c>
      <c r="C118" s="85" t="s">
        <v>23</v>
      </c>
      <c r="D118" s="85" t="s">
        <v>411</v>
      </c>
      <c r="E118" s="85" t="s">
        <v>51</v>
      </c>
      <c r="F118" s="101" t="s">
        <v>52</v>
      </c>
      <c r="G118" s="85">
        <v>216</v>
      </c>
      <c r="H118" s="102" t="s">
        <v>27</v>
      </c>
      <c r="I118" s="101">
        <v>36</v>
      </c>
      <c r="J118" s="103" t="s">
        <v>306</v>
      </c>
      <c r="K118" s="104">
        <v>6</v>
      </c>
    </row>
    <row r="119" customHeight="1" spans="1:11">
      <c r="A119" s="79">
        <v>46147</v>
      </c>
      <c r="B119" s="85" t="s">
        <v>22</v>
      </c>
      <c r="C119" s="85" t="s">
        <v>23</v>
      </c>
      <c r="D119" s="85" t="s">
        <v>412</v>
      </c>
      <c r="E119" s="85" t="s">
        <v>135</v>
      </c>
      <c r="F119" s="101" t="s">
        <v>136</v>
      </c>
      <c r="G119" s="85">
        <v>144</v>
      </c>
      <c r="H119" s="102" t="s">
        <v>27</v>
      </c>
      <c r="I119" s="101">
        <v>45</v>
      </c>
      <c r="J119" s="103" t="s">
        <v>306</v>
      </c>
      <c r="K119" s="104">
        <v>3.2</v>
      </c>
    </row>
    <row r="120" customHeight="1" spans="1:11">
      <c r="A120" s="79">
        <v>46147</v>
      </c>
      <c r="B120" s="85" t="s">
        <v>22</v>
      </c>
      <c r="C120" s="85" t="s">
        <v>23</v>
      </c>
      <c r="D120" s="85" t="s">
        <v>413</v>
      </c>
      <c r="E120" s="85" t="s">
        <v>141</v>
      </c>
      <c r="F120" s="101" t="s">
        <v>142</v>
      </c>
      <c r="G120" s="85">
        <v>63</v>
      </c>
      <c r="H120" s="102" t="s">
        <v>27</v>
      </c>
      <c r="I120" s="101">
        <v>0</v>
      </c>
      <c r="J120" s="103" t="s">
        <v>306</v>
      </c>
      <c r="K120" s="104" t="s">
        <v>28</v>
      </c>
    </row>
    <row r="121" customHeight="1" spans="1:11">
      <c r="A121" s="79">
        <v>46147</v>
      </c>
      <c r="B121" s="85" t="s">
        <v>22</v>
      </c>
      <c r="C121" s="85" t="s">
        <v>23</v>
      </c>
      <c r="D121" s="85" t="s">
        <v>414</v>
      </c>
      <c r="E121" s="85" t="s">
        <v>84</v>
      </c>
      <c r="F121" s="101" t="s">
        <v>85</v>
      </c>
      <c r="G121" s="85">
        <v>96</v>
      </c>
      <c r="H121" s="102" t="s">
        <v>27</v>
      </c>
      <c r="I121" s="101">
        <v>24</v>
      </c>
      <c r="J121" s="103" t="s">
        <v>306</v>
      </c>
      <c r="K121" s="104">
        <v>4</v>
      </c>
    </row>
    <row r="122" customHeight="1" spans="1:11">
      <c r="A122" s="79">
        <v>46147</v>
      </c>
      <c r="B122" s="85" t="s">
        <v>22</v>
      </c>
      <c r="C122" s="85" t="s">
        <v>23</v>
      </c>
      <c r="D122" s="85" t="s">
        <v>415</v>
      </c>
      <c r="E122" s="85" t="s">
        <v>69</v>
      </c>
      <c r="F122" s="101" t="s">
        <v>70</v>
      </c>
      <c r="G122" s="85">
        <v>48</v>
      </c>
      <c r="H122" s="102" t="s">
        <v>27</v>
      </c>
      <c r="I122" s="101">
        <v>24</v>
      </c>
      <c r="J122" s="103" t="s">
        <v>306</v>
      </c>
      <c r="K122" s="104">
        <v>2</v>
      </c>
    </row>
    <row r="123" customHeight="1" spans="1:11">
      <c r="A123" s="79">
        <v>46147</v>
      </c>
      <c r="B123" s="85" t="s">
        <v>22</v>
      </c>
      <c r="C123" s="85" t="s">
        <v>23</v>
      </c>
      <c r="D123" s="85" t="s">
        <v>416</v>
      </c>
      <c r="E123" s="85" t="s">
        <v>51</v>
      </c>
      <c r="F123" s="101" t="s">
        <v>52</v>
      </c>
      <c r="G123" s="85">
        <v>504</v>
      </c>
      <c r="H123" s="102" t="s">
        <v>27</v>
      </c>
      <c r="I123" s="101">
        <v>36</v>
      </c>
      <c r="J123" s="103" t="s">
        <v>306</v>
      </c>
      <c r="K123" s="104">
        <v>14</v>
      </c>
    </row>
    <row r="124" customHeight="1" spans="1:11">
      <c r="A124" s="79">
        <v>46147</v>
      </c>
      <c r="B124" s="85" t="s">
        <v>22</v>
      </c>
      <c r="C124" s="85" t="s">
        <v>23</v>
      </c>
      <c r="D124" s="85" t="s">
        <v>417</v>
      </c>
      <c r="E124" s="85" t="s">
        <v>39</v>
      </c>
      <c r="F124" s="101" t="s">
        <v>40</v>
      </c>
      <c r="G124" s="85">
        <v>288</v>
      </c>
      <c r="H124" s="102" t="s">
        <v>27</v>
      </c>
      <c r="I124" s="101">
        <v>36</v>
      </c>
      <c r="J124" s="103" t="s">
        <v>306</v>
      </c>
      <c r="K124" s="104">
        <v>8</v>
      </c>
    </row>
    <row r="125" customHeight="1" spans="1:11">
      <c r="A125" s="79">
        <v>46147</v>
      </c>
      <c r="B125" s="85" t="s">
        <v>22</v>
      </c>
      <c r="C125" s="85" t="s">
        <v>23</v>
      </c>
      <c r="D125" s="85" t="s">
        <v>418</v>
      </c>
      <c r="E125" s="85" t="s">
        <v>63</v>
      </c>
      <c r="F125" s="101" t="s">
        <v>64</v>
      </c>
      <c r="G125" s="85">
        <v>420</v>
      </c>
      <c r="H125" s="102" t="s">
        <v>27</v>
      </c>
      <c r="I125" s="101">
        <v>12</v>
      </c>
      <c r="J125" s="103" t="s">
        <v>306</v>
      </c>
      <c r="K125" s="104">
        <v>35</v>
      </c>
    </row>
    <row r="126" customHeight="1" spans="1:11">
      <c r="A126" s="79">
        <v>46147</v>
      </c>
      <c r="B126" s="85" t="s">
        <v>22</v>
      </c>
      <c r="C126" s="85" t="s">
        <v>23</v>
      </c>
      <c r="D126" s="85" t="s">
        <v>419</v>
      </c>
      <c r="E126" s="85" t="s">
        <v>42</v>
      </c>
      <c r="F126" s="101" t="s">
        <v>43</v>
      </c>
      <c r="G126" s="85">
        <v>72</v>
      </c>
      <c r="H126" s="102" t="s">
        <v>27</v>
      </c>
      <c r="I126" s="101">
        <v>36</v>
      </c>
      <c r="J126" s="103" t="s">
        <v>306</v>
      </c>
      <c r="K126" s="104">
        <v>2</v>
      </c>
    </row>
    <row r="127" customHeight="1" spans="1:11">
      <c r="A127" s="79">
        <v>46147</v>
      </c>
      <c r="B127" s="85" t="s">
        <v>22</v>
      </c>
      <c r="C127" s="85" t="s">
        <v>23</v>
      </c>
      <c r="D127" s="85" t="s">
        <v>420</v>
      </c>
      <c r="E127" s="85" t="s">
        <v>36</v>
      </c>
      <c r="F127" s="101" t="s">
        <v>37</v>
      </c>
      <c r="G127" s="85">
        <v>108</v>
      </c>
      <c r="H127" s="102" t="s">
        <v>27</v>
      </c>
      <c r="I127" s="101">
        <v>36</v>
      </c>
      <c r="J127" s="103" t="s">
        <v>306</v>
      </c>
      <c r="K127" s="104">
        <v>3</v>
      </c>
    </row>
    <row r="128" customHeight="1" spans="1:11">
      <c r="A128" s="79">
        <v>46147</v>
      </c>
      <c r="B128" s="85" t="s">
        <v>209</v>
      </c>
      <c r="C128" s="85" t="s">
        <v>210</v>
      </c>
      <c r="D128" s="85" t="s">
        <v>421</v>
      </c>
      <c r="E128" s="85" t="s">
        <v>211</v>
      </c>
      <c r="F128" s="101" t="s">
        <v>212</v>
      </c>
      <c r="G128" s="85">
        <v>3360</v>
      </c>
      <c r="H128" s="102" t="s">
        <v>27</v>
      </c>
      <c r="I128" s="101">
        <v>84</v>
      </c>
      <c r="J128" s="103" t="s">
        <v>306</v>
      </c>
      <c r="K128" s="104">
        <v>40</v>
      </c>
    </row>
    <row r="129" customHeight="1" spans="1:11">
      <c r="A129" s="79">
        <v>46147</v>
      </c>
      <c r="B129" s="85" t="s">
        <v>213</v>
      </c>
      <c r="C129" s="85" t="s">
        <v>214</v>
      </c>
      <c r="D129" s="85" t="s">
        <v>422</v>
      </c>
      <c r="E129" s="85" t="s">
        <v>220</v>
      </c>
      <c r="F129" s="101" t="s">
        <v>221</v>
      </c>
      <c r="G129" s="85">
        <v>702</v>
      </c>
      <c r="H129" s="102" t="s">
        <v>218</v>
      </c>
      <c r="I129" s="101">
        <v>54</v>
      </c>
      <c r="J129" s="103" t="s">
        <v>306</v>
      </c>
      <c r="K129" s="104">
        <v>13</v>
      </c>
    </row>
    <row r="130" customHeight="1" spans="1:11">
      <c r="A130" s="79">
        <v>46147</v>
      </c>
      <c r="B130" s="85" t="s">
        <v>213</v>
      </c>
      <c r="C130" s="85" t="s">
        <v>214</v>
      </c>
      <c r="D130" s="85" t="s">
        <v>422</v>
      </c>
      <c r="E130" s="85" t="s">
        <v>222</v>
      </c>
      <c r="F130" s="101" t="s">
        <v>223</v>
      </c>
      <c r="G130" s="85">
        <v>726</v>
      </c>
      <c r="H130" s="102" t="s">
        <v>218</v>
      </c>
      <c r="I130" s="101">
        <v>66</v>
      </c>
      <c r="J130" s="103" t="s">
        <v>306</v>
      </c>
      <c r="K130" s="104">
        <v>11</v>
      </c>
    </row>
    <row r="131" customHeight="1" spans="1:11">
      <c r="A131" s="79">
        <v>46147</v>
      </c>
      <c r="B131" s="85" t="s">
        <v>213</v>
      </c>
      <c r="C131" s="85" t="s">
        <v>214</v>
      </c>
      <c r="D131" s="85" t="s">
        <v>422</v>
      </c>
      <c r="E131" s="85" t="s">
        <v>216</v>
      </c>
      <c r="F131" s="101" t="s">
        <v>217</v>
      </c>
      <c r="G131" s="85">
        <v>352</v>
      </c>
      <c r="H131" s="102" t="s">
        <v>218</v>
      </c>
      <c r="I131" s="101">
        <v>176</v>
      </c>
      <c r="J131" s="103" t="s">
        <v>306</v>
      </c>
      <c r="K131" s="104">
        <v>2</v>
      </c>
    </row>
    <row r="132" s="59" customFormat="1" ht="21" customHeight="1" spans="1:11">
      <c r="A132" s="72">
        <v>46147</v>
      </c>
      <c r="B132" s="73" t="s">
        <v>287</v>
      </c>
      <c r="C132" s="74" t="s">
        <v>355</v>
      </c>
      <c r="D132" s="74">
        <v>20260503</v>
      </c>
      <c r="E132" s="75" t="s">
        <v>265</v>
      </c>
      <c r="F132" s="76" t="s">
        <v>289</v>
      </c>
      <c r="G132" s="74">
        <v>1560</v>
      </c>
      <c r="H132" s="77" t="s">
        <v>218</v>
      </c>
      <c r="I132" s="77">
        <v>156</v>
      </c>
      <c r="J132" s="74" t="s">
        <v>306</v>
      </c>
      <c r="K132" s="78">
        <v>10</v>
      </c>
    </row>
    <row r="133" customHeight="1" spans="1:11">
      <c r="A133" s="79">
        <v>46148</v>
      </c>
      <c r="B133" s="85" t="s">
        <v>22</v>
      </c>
      <c r="C133" s="85" t="s">
        <v>23</v>
      </c>
      <c r="D133" s="85" t="s">
        <v>423</v>
      </c>
      <c r="E133" s="85" t="s">
        <v>144</v>
      </c>
      <c r="F133" s="101" t="s">
        <v>145</v>
      </c>
      <c r="G133" s="85">
        <v>96</v>
      </c>
      <c r="H133" s="102" t="s">
        <v>27</v>
      </c>
      <c r="I133" s="101">
        <v>48</v>
      </c>
      <c r="J133" s="103" t="s">
        <v>306</v>
      </c>
      <c r="K133" s="104">
        <v>2</v>
      </c>
    </row>
    <row r="134" customHeight="1" spans="1:11">
      <c r="A134" s="79">
        <v>46148</v>
      </c>
      <c r="B134" s="85" t="s">
        <v>22</v>
      </c>
      <c r="C134" s="85" t="s">
        <v>23</v>
      </c>
      <c r="D134" s="85" t="s">
        <v>423</v>
      </c>
      <c r="E134" s="85" t="s">
        <v>147</v>
      </c>
      <c r="F134" s="101" t="s">
        <v>148</v>
      </c>
      <c r="G134" s="85">
        <v>168</v>
      </c>
      <c r="H134" s="102" t="s">
        <v>27</v>
      </c>
      <c r="I134" s="101">
        <v>24</v>
      </c>
      <c r="J134" s="103" t="s">
        <v>306</v>
      </c>
      <c r="K134" s="104">
        <v>7</v>
      </c>
    </row>
    <row r="135" customHeight="1" spans="1:11">
      <c r="A135" s="79">
        <v>46148</v>
      </c>
      <c r="B135" s="85" t="s">
        <v>22</v>
      </c>
      <c r="C135" s="85" t="s">
        <v>23</v>
      </c>
      <c r="D135" s="85" t="s">
        <v>424</v>
      </c>
      <c r="E135" s="85" t="s">
        <v>69</v>
      </c>
      <c r="F135" s="101" t="s">
        <v>70</v>
      </c>
      <c r="G135" s="85">
        <v>288</v>
      </c>
      <c r="H135" s="102" t="s">
        <v>27</v>
      </c>
      <c r="I135" s="101">
        <v>24</v>
      </c>
      <c r="J135" s="103" t="s">
        <v>306</v>
      </c>
      <c r="K135" s="104">
        <v>12</v>
      </c>
    </row>
    <row r="136" customHeight="1" spans="1:11">
      <c r="A136" s="79">
        <v>46148</v>
      </c>
      <c r="B136" s="85" t="s">
        <v>22</v>
      </c>
      <c r="C136" s="85" t="s">
        <v>23</v>
      </c>
      <c r="D136" s="85" t="s">
        <v>425</v>
      </c>
      <c r="E136" s="85" t="s">
        <v>78</v>
      </c>
      <c r="F136" s="101" t="s">
        <v>79</v>
      </c>
      <c r="G136" s="85">
        <v>648</v>
      </c>
      <c r="H136" s="102" t="s">
        <v>27</v>
      </c>
      <c r="I136" s="101">
        <v>72</v>
      </c>
      <c r="J136" s="103" t="s">
        <v>306</v>
      </c>
      <c r="K136" s="104">
        <v>9</v>
      </c>
    </row>
    <row r="137" customHeight="1" spans="1:11">
      <c r="A137" s="79">
        <v>46148</v>
      </c>
      <c r="B137" s="85" t="s">
        <v>22</v>
      </c>
      <c r="C137" s="85" t="s">
        <v>23</v>
      </c>
      <c r="D137" s="85" t="s">
        <v>426</v>
      </c>
      <c r="E137" s="85" t="s">
        <v>81</v>
      </c>
      <c r="F137" s="101" t="s">
        <v>82</v>
      </c>
      <c r="G137" s="85">
        <v>144</v>
      </c>
      <c r="H137" s="102" t="s">
        <v>27</v>
      </c>
      <c r="I137" s="101">
        <v>72</v>
      </c>
      <c r="J137" s="103" t="s">
        <v>306</v>
      </c>
      <c r="K137" s="104">
        <v>2</v>
      </c>
    </row>
    <row r="138" customHeight="1" spans="1:11">
      <c r="A138" s="79">
        <v>46148</v>
      </c>
      <c r="B138" s="85" t="s">
        <v>22</v>
      </c>
      <c r="C138" s="85" t="s">
        <v>23</v>
      </c>
      <c r="D138" s="85" t="s">
        <v>427</v>
      </c>
      <c r="E138" s="85" t="s">
        <v>114</v>
      </c>
      <c r="F138" s="101" t="s">
        <v>94</v>
      </c>
      <c r="G138" s="85">
        <v>108</v>
      </c>
      <c r="H138" s="102" t="s">
        <v>27</v>
      </c>
      <c r="I138" s="101">
        <v>54</v>
      </c>
      <c r="J138" s="103" t="s">
        <v>306</v>
      </c>
      <c r="K138" s="104">
        <v>2</v>
      </c>
    </row>
    <row r="139" customHeight="1" spans="1:11">
      <c r="A139" s="79">
        <v>46148</v>
      </c>
      <c r="B139" s="85" t="s">
        <v>22</v>
      </c>
      <c r="C139" s="85" t="s">
        <v>23</v>
      </c>
      <c r="D139" s="85" t="s">
        <v>428</v>
      </c>
      <c r="E139" s="85" t="s">
        <v>63</v>
      </c>
      <c r="F139" s="101" t="s">
        <v>64</v>
      </c>
      <c r="G139" s="85">
        <v>156</v>
      </c>
      <c r="H139" s="102" t="s">
        <v>27</v>
      </c>
      <c r="I139" s="101">
        <v>12</v>
      </c>
      <c r="J139" s="103" t="s">
        <v>306</v>
      </c>
      <c r="K139" s="104">
        <v>13</v>
      </c>
    </row>
    <row r="140" customHeight="1" spans="1:11">
      <c r="A140" s="79">
        <v>46148</v>
      </c>
      <c r="B140" s="85" t="s">
        <v>22</v>
      </c>
      <c r="C140" s="85" t="s">
        <v>23</v>
      </c>
      <c r="D140" s="85" t="s">
        <v>429</v>
      </c>
      <c r="E140" s="85" t="s">
        <v>63</v>
      </c>
      <c r="F140" s="101" t="s">
        <v>64</v>
      </c>
      <c r="G140" s="85">
        <v>396</v>
      </c>
      <c r="H140" s="102" t="s">
        <v>27</v>
      </c>
      <c r="I140" s="101">
        <v>12</v>
      </c>
      <c r="J140" s="103" t="s">
        <v>306</v>
      </c>
      <c r="K140" s="104">
        <v>33</v>
      </c>
    </row>
    <row r="141" customHeight="1" spans="1:11">
      <c r="A141" s="79">
        <v>46148</v>
      </c>
      <c r="B141" s="85" t="s">
        <v>22</v>
      </c>
      <c r="C141" s="85" t="s">
        <v>23</v>
      </c>
      <c r="D141" s="85" t="s">
        <v>430</v>
      </c>
      <c r="E141" s="85" t="s">
        <v>54</v>
      </c>
      <c r="F141" s="101" t="s">
        <v>55</v>
      </c>
      <c r="G141" s="85">
        <v>480</v>
      </c>
      <c r="H141" s="102" t="s">
        <v>27</v>
      </c>
      <c r="I141" s="101">
        <v>20</v>
      </c>
      <c r="J141" s="103" t="s">
        <v>306</v>
      </c>
      <c r="K141" s="104">
        <v>24</v>
      </c>
    </row>
    <row r="142" customHeight="1" spans="1:11">
      <c r="A142" s="79">
        <v>46148</v>
      </c>
      <c r="B142" s="85" t="s">
        <v>22</v>
      </c>
      <c r="C142" s="85" t="s">
        <v>23</v>
      </c>
      <c r="D142" s="85" t="s">
        <v>431</v>
      </c>
      <c r="E142" s="85" t="s">
        <v>105</v>
      </c>
      <c r="F142" s="101" t="s">
        <v>106</v>
      </c>
      <c r="G142" s="85">
        <v>192</v>
      </c>
      <c r="H142" s="102" t="s">
        <v>27</v>
      </c>
      <c r="I142" s="101">
        <v>12</v>
      </c>
      <c r="J142" s="103" t="s">
        <v>306</v>
      </c>
      <c r="K142" s="104">
        <v>16</v>
      </c>
    </row>
    <row r="143" customHeight="1" spans="1:11">
      <c r="A143" s="79">
        <v>46148</v>
      </c>
      <c r="B143" s="85" t="s">
        <v>22</v>
      </c>
      <c r="C143" s="85" t="s">
        <v>23</v>
      </c>
      <c r="D143" s="85" t="s">
        <v>432</v>
      </c>
      <c r="E143" s="85" t="s">
        <v>111</v>
      </c>
      <c r="F143" s="101" t="s">
        <v>112</v>
      </c>
      <c r="G143" s="85">
        <v>320</v>
      </c>
      <c r="H143" s="102" t="s">
        <v>27</v>
      </c>
      <c r="I143" s="101">
        <v>8</v>
      </c>
      <c r="J143" s="103" t="s">
        <v>306</v>
      </c>
      <c r="K143" s="104">
        <v>40</v>
      </c>
    </row>
    <row r="144" customHeight="1" spans="1:11">
      <c r="A144" s="79">
        <v>46148</v>
      </c>
      <c r="B144" s="85" t="s">
        <v>22</v>
      </c>
      <c r="C144" s="85" t="s">
        <v>23</v>
      </c>
      <c r="D144" s="85" t="s">
        <v>433</v>
      </c>
      <c r="E144" s="85" t="s">
        <v>30</v>
      </c>
      <c r="F144" s="101" t="s">
        <v>31</v>
      </c>
      <c r="G144" s="85">
        <v>486</v>
      </c>
      <c r="H144" s="102" t="s">
        <v>27</v>
      </c>
      <c r="I144" s="101">
        <v>162</v>
      </c>
      <c r="J144" s="103" t="s">
        <v>306</v>
      </c>
      <c r="K144" s="104">
        <v>3</v>
      </c>
    </row>
    <row r="145" customHeight="1" spans="1:11">
      <c r="A145" s="79">
        <v>46148</v>
      </c>
      <c r="B145" s="85" t="s">
        <v>22</v>
      </c>
      <c r="C145" s="85" t="s">
        <v>23</v>
      </c>
      <c r="D145" s="85" t="s">
        <v>434</v>
      </c>
      <c r="E145" s="85" t="s">
        <v>69</v>
      </c>
      <c r="F145" s="101" t="s">
        <v>70</v>
      </c>
      <c r="G145" s="85">
        <v>96</v>
      </c>
      <c r="H145" s="102" t="s">
        <v>27</v>
      </c>
      <c r="I145" s="101">
        <v>24</v>
      </c>
      <c r="J145" s="103" t="s">
        <v>306</v>
      </c>
      <c r="K145" s="104">
        <v>4</v>
      </c>
    </row>
    <row r="146" customHeight="1" spans="1:11">
      <c r="A146" s="79">
        <v>46148</v>
      </c>
      <c r="B146" s="85" t="s">
        <v>22</v>
      </c>
      <c r="C146" s="85" t="s">
        <v>23</v>
      </c>
      <c r="D146" s="85" t="s">
        <v>435</v>
      </c>
      <c r="E146" s="85" t="s">
        <v>90</v>
      </c>
      <c r="F146" s="101" t="s">
        <v>91</v>
      </c>
      <c r="G146" s="85">
        <v>504</v>
      </c>
      <c r="H146" s="102" t="s">
        <v>27</v>
      </c>
      <c r="I146" s="101">
        <v>24</v>
      </c>
      <c r="J146" s="103" t="s">
        <v>306</v>
      </c>
      <c r="K146" s="104">
        <v>21</v>
      </c>
    </row>
    <row r="147" customHeight="1" spans="1:11">
      <c r="A147" s="79">
        <v>46148</v>
      </c>
      <c r="B147" s="85" t="s">
        <v>22</v>
      </c>
      <c r="C147" s="85" t="s">
        <v>23</v>
      </c>
      <c r="D147" s="85" t="s">
        <v>436</v>
      </c>
      <c r="E147" s="85" t="s">
        <v>39</v>
      </c>
      <c r="F147" s="101" t="s">
        <v>40</v>
      </c>
      <c r="G147" s="85">
        <v>324</v>
      </c>
      <c r="H147" s="102" t="s">
        <v>27</v>
      </c>
      <c r="I147" s="101">
        <v>36</v>
      </c>
      <c r="J147" s="103" t="s">
        <v>306</v>
      </c>
      <c r="K147" s="104">
        <v>9</v>
      </c>
    </row>
    <row r="148" customHeight="1" spans="1:11">
      <c r="A148" s="79">
        <v>46148</v>
      </c>
      <c r="B148" s="85" t="s">
        <v>22</v>
      </c>
      <c r="C148" s="85" t="s">
        <v>23</v>
      </c>
      <c r="D148" s="85" t="s">
        <v>437</v>
      </c>
      <c r="E148" s="85" t="s">
        <v>51</v>
      </c>
      <c r="F148" s="101" t="s">
        <v>52</v>
      </c>
      <c r="G148" s="85">
        <v>468</v>
      </c>
      <c r="H148" s="102" t="s">
        <v>27</v>
      </c>
      <c r="I148" s="101">
        <v>36</v>
      </c>
      <c r="J148" s="103" t="s">
        <v>306</v>
      </c>
      <c r="K148" s="104">
        <v>13</v>
      </c>
    </row>
    <row r="149" customHeight="1" spans="1:11">
      <c r="A149" s="79">
        <v>46148</v>
      </c>
      <c r="B149" s="85" t="s">
        <v>22</v>
      </c>
      <c r="C149" s="85" t="s">
        <v>23</v>
      </c>
      <c r="D149" s="85" t="s">
        <v>438</v>
      </c>
      <c r="E149" s="85" t="s">
        <v>57</v>
      </c>
      <c r="F149" s="101" t="s">
        <v>58</v>
      </c>
      <c r="G149" s="85">
        <v>960</v>
      </c>
      <c r="H149" s="102" t="s">
        <v>27</v>
      </c>
      <c r="I149" s="101">
        <v>20</v>
      </c>
      <c r="J149" s="103" t="s">
        <v>306</v>
      </c>
      <c r="K149" s="104">
        <v>48</v>
      </c>
    </row>
    <row r="150" customHeight="1" spans="1:11">
      <c r="A150" s="79">
        <v>46148</v>
      </c>
      <c r="B150" s="85" t="s">
        <v>22</v>
      </c>
      <c r="C150" s="85" t="s">
        <v>23</v>
      </c>
      <c r="D150" s="85" t="s">
        <v>439</v>
      </c>
      <c r="E150" s="85" t="s">
        <v>30</v>
      </c>
      <c r="F150" s="101" t="s">
        <v>31</v>
      </c>
      <c r="G150" s="85">
        <v>1134</v>
      </c>
      <c r="H150" s="102" t="s">
        <v>27</v>
      </c>
      <c r="I150" s="101">
        <v>162</v>
      </c>
      <c r="J150" s="103" t="s">
        <v>306</v>
      </c>
      <c r="K150" s="104">
        <v>7</v>
      </c>
    </row>
    <row r="151" customHeight="1" spans="1:11">
      <c r="A151" s="79">
        <v>46148</v>
      </c>
      <c r="B151" s="85" t="s">
        <v>22</v>
      </c>
      <c r="C151" s="85" t="s">
        <v>23</v>
      </c>
      <c r="D151" s="85" t="s">
        <v>440</v>
      </c>
      <c r="E151" s="85" t="s">
        <v>39</v>
      </c>
      <c r="F151" s="101" t="s">
        <v>40</v>
      </c>
      <c r="G151" s="85">
        <v>180</v>
      </c>
      <c r="H151" s="102" t="s">
        <v>27</v>
      </c>
      <c r="I151" s="101">
        <v>36</v>
      </c>
      <c r="J151" s="103" t="s">
        <v>306</v>
      </c>
      <c r="K151" s="104">
        <v>5</v>
      </c>
    </row>
    <row r="152" customHeight="1" spans="1:11">
      <c r="A152" s="79">
        <v>46148</v>
      </c>
      <c r="B152" s="85" t="s">
        <v>22</v>
      </c>
      <c r="C152" s="85" t="s">
        <v>23</v>
      </c>
      <c r="D152" s="85" t="s">
        <v>441</v>
      </c>
      <c r="E152" s="85" t="s">
        <v>57</v>
      </c>
      <c r="F152" s="101" t="s">
        <v>58</v>
      </c>
      <c r="G152" s="85">
        <v>200</v>
      </c>
      <c r="H152" s="102" t="s">
        <v>27</v>
      </c>
      <c r="I152" s="101">
        <v>20</v>
      </c>
      <c r="J152" s="103" t="s">
        <v>306</v>
      </c>
      <c r="K152" s="104">
        <v>10</v>
      </c>
    </row>
    <row r="153" customHeight="1" spans="1:11">
      <c r="A153" s="79">
        <v>46148</v>
      </c>
      <c r="B153" s="85" t="s">
        <v>22</v>
      </c>
      <c r="C153" s="85" t="s">
        <v>23</v>
      </c>
      <c r="D153" s="85" t="s">
        <v>442</v>
      </c>
      <c r="E153" s="85" t="s">
        <v>54</v>
      </c>
      <c r="F153" s="101" t="s">
        <v>55</v>
      </c>
      <c r="G153" s="85">
        <v>280</v>
      </c>
      <c r="H153" s="102" t="s">
        <v>27</v>
      </c>
      <c r="I153" s="101">
        <v>20</v>
      </c>
      <c r="J153" s="103" t="s">
        <v>306</v>
      </c>
      <c r="K153" s="104">
        <v>14</v>
      </c>
    </row>
    <row r="154" customHeight="1" spans="1:11">
      <c r="A154" s="79">
        <v>46148</v>
      </c>
      <c r="B154" s="85" t="s">
        <v>213</v>
      </c>
      <c r="C154" s="85" t="s">
        <v>214</v>
      </c>
      <c r="D154" s="85" t="s">
        <v>13</v>
      </c>
      <c r="E154" s="85" t="s">
        <v>216</v>
      </c>
      <c r="F154" s="101" t="s">
        <v>217</v>
      </c>
      <c r="G154" s="85">
        <v>2</v>
      </c>
      <c r="H154" s="102" t="s">
        <v>218</v>
      </c>
      <c r="I154" s="101">
        <v>176</v>
      </c>
      <c r="J154" s="103" t="s">
        <v>306</v>
      </c>
      <c r="K154" s="104">
        <v>0.0113636363636364</v>
      </c>
    </row>
    <row r="155" customHeight="1" spans="1:11">
      <c r="A155" s="79">
        <v>46148</v>
      </c>
      <c r="B155" s="85" t="s">
        <v>213</v>
      </c>
      <c r="C155" s="85" t="s">
        <v>214</v>
      </c>
      <c r="D155" s="85" t="s">
        <v>443</v>
      </c>
      <c r="E155" s="85" t="s">
        <v>220</v>
      </c>
      <c r="F155" s="101" t="s">
        <v>221</v>
      </c>
      <c r="G155" s="85">
        <v>756</v>
      </c>
      <c r="H155" s="102" t="s">
        <v>218</v>
      </c>
      <c r="I155" s="101">
        <v>54</v>
      </c>
      <c r="J155" s="103" t="s">
        <v>306</v>
      </c>
      <c r="K155" s="104">
        <v>14</v>
      </c>
    </row>
    <row r="156" customHeight="1" spans="1:11">
      <c r="A156" s="79">
        <v>46148</v>
      </c>
      <c r="B156" s="85" t="s">
        <v>213</v>
      </c>
      <c r="C156" s="85" t="s">
        <v>214</v>
      </c>
      <c r="D156" s="85" t="s">
        <v>443</v>
      </c>
      <c r="E156" s="85" t="s">
        <v>222</v>
      </c>
      <c r="F156" s="101" t="s">
        <v>223</v>
      </c>
      <c r="G156" s="85">
        <v>726</v>
      </c>
      <c r="H156" s="102" t="s">
        <v>218</v>
      </c>
      <c r="I156" s="101">
        <v>66</v>
      </c>
      <c r="J156" s="103" t="s">
        <v>306</v>
      </c>
      <c r="K156" s="104">
        <v>11</v>
      </c>
    </row>
    <row r="157" customHeight="1" spans="1:11">
      <c r="A157" s="79">
        <v>46148</v>
      </c>
      <c r="B157" s="85" t="s">
        <v>213</v>
      </c>
      <c r="C157" s="85" t="s">
        <v>214</v>
      </c>
      <c r="D157" s="85" t="s">
        <v>443</v>
      </c>
      <c r="E157" s="85" t="s">
        <v>216</v>
      </c>
      <c r="F157" s="101" t="s">
        <v>217</v>
      </c>
      <c r="G157" s="85">
        <v>176</v>
      </c>
      <c r="H157" s="102" t="s">
        <v>218</v>
      </c>
      <c r="I157" s="101">
        <v>176</v>
      </c>
      <c r="J157" s="103" t="s">
        <v>306</v>
      </c>
      <c r="K157" s="104">
        <v>1</v>
      </c>
    </row>
    <row r="158" customHeight="1" spans="1:11">
      <c r="A158" s="79">
        <v>46148</v>
      </c>
      <c r="B158" s="85" t="s">
        <v>238</v>
      </c>
      <c r="C158" s="85" t="s">
        <v>239</v>
      </c>
      <c r="D158" s="85" t="s">
        <v>444</v>
      </c>
      <c r="E158" s="85" t="s">
        <v>241</v>
      </c>
      <c r="F158" s="101" t="s">
        <v>242</v>
      </c>
      <c r="G158" s="85">
        <v>1920</v>
      </c>
      <c r="H158" s="102" t="s">
        <v>243</v>
      </c>
      <c r="I158" s="101">
        <v>8</v>
      </c>
      <c r="J158" s="103" t="s">
        <v>306</v>
      </c>
      <c r="K158" s="104">
        <v>240</v>
      </c>
    </row>
    <row r="159" customHeight="1" spans="1:11">
      <c r="A159" s="79">
        <v>46148</v>
      </c>
      <c r="B159" s="85" t="s">
        <v>238</v>
      </c>
      <c r="C159" s="85" t="s">
        <v>239</v>
      </c>
      <c r="D159" s="85" t="s">
        <v>444</v>
      </c>
      <c r="E159" s="85" t="s">
        <v>245</v>
      </c>
      <c r="F159" s="101" t="s">
        <v>246</v>
      </c>
      <c r="G159" s="85">
        <v>1536</v>
      </c>
      <c r="H159" s="102" t="s">
        <v>243</v>
      </c>
      <c r="I159" s="101">
        <v>8</v>
      </c>
      <c r="J159" s="103" t="s">
        <v>306</v>
      </c>
      <c r="K159" s="104">
        <v>192</v>
      </c>
    </row>
    <row r="160" customHeight="1" spans="1:11">
      <c r="A160" s="79">
        <v>46148</v>
      </c>
      <c r="B160" s="85" t="s">
        <v>247</v>
      </c>
      <c r="C160" s="85" t="s">
        <v>248</v>
      </c>
      <c r="E160" s="85" t="s">
        <v>251</v>
      </c>
      <c r="F160" s="101" t="s">
        <v>252</v>
      </c>
      <c r="G160" s="85">
        <v>945</v>
      </c>
      <c r="H160" s="102" t="s">
        <v>218</v>
      </c>
      <c r="I160" s="101">
        <v>45</v>
      </c>
      <c r="J160" s="103">
        <v>21</v>
      </c>
      <c r="K160" s="104" t="s">
        <v>306</v>
      </c>
    </row>
    <row r="161" customHeight="1" spans="1:11">
      <c r="A161" s="79">
        <v>46148</v>
      </c>
      <c r="B161" s="85" t="s">
        <v>267</v>
      </c>
      <c r="C161" s="85" t="s">
        <v>268</v>
      </c>
      <c r="D161" s="85">
        <v>6500002903</v>
      </c>
      <c r="E161" s="85" t="s">
        <v>269</v>
      </c>
      <c r="F161" s="101" t="s">
        <v>270</v>
      </c>
      <c r="G161" s="85">
        <v>432</v>
      </c>
      <c r="H161" s="102" t="s">
        <v>27</v>
      </c>
      <c r="I161" s="101">
        <v>12</v>
      </c>
      <c r="J161" s="103" t="s">
        <v>306</v>
      </c>
      <c r="K161" s="104">
        <v>36</v>
      </c>
    </row>
    <row r="162" customHeight="1" spans="1:11">
      <c r="A162" s="79">
        <v>46148</v>
      </c>
      <c r="B162" s="85" t="s">
        <v>267</v>
      </c>
      <c r="C162" s="85" t="s">
        <v>268</v>
      </c>
      <c r="D162" s="85">
        <v>6500002903</v>
      </c>
      <c r="E162" s="85" t="s">
        <v>271</v>
      </c>
      <c r="F162" s="101" t="s">
        <v>272</v>
      </c>
      <c r="G162" s="85">
        <v>288</v>
      </c>
      <c r="H162" s="102" t="s">
        <v>27</v>
      </c>
      <c r="I162" s="101">
        <v>12</v>
      </c>
      <c r="J162" s="103" t="s">
        <v>306</v>
      </c>
      <c r="K162" s="104">
        <v>24</v>
      </c>
    </row>
    <row r="163" customHeight="1" spans="1:11">
      <c r="A163" s="79">
        <v>46148</v>
      </c>
      <c r="B163" s="85" t="s">
        <v>277</v>
      </c>
      <c r="C163" s="85" t="s">
        <v>278</v>
      </c>
      <c r="D163" s="85" t="s">
        <v>445</v>
      </c>
      <c r="E163" s="85" t="s">
        <v>279</v>
      </c>
      <c r="F163" s="101" t="s">
        <v>280</v>
      </c>
      <c r="G163" s="85">
        <v>900</v>
      </c>
      <c r="H163" s="102" t="s">
        <v>27</v>
      </c>
      <c r="I163" s="101">
        <v>12</v>
      </c>
      <c r="J163" s="103" t="s">
        <v>306</v>
      </c>
      <c r="K163" s="104">
        <v>75</v>
      </c>
    </row>
    <row r="164" customHeight="1" spans="1:11">
      <c r="A164" s="79">
        <v>46148</v>
      </c>
      <c r="B164" s="85" t="s">
        <v>281</v>
      </c>
      <c r="C164" s="85" t="s">
        <v>282</v>
      </c>
      <c r="D164" s="85" t="s">
        <v>446</v>
      </c>
      <c r="E164" s="85" t="s">
        <v>283</v>
      </c>
      <c r="F164" s="101" t="s">
        <v>284</v>
      </c>
      <c r="G164" s="85">
        <v>1000</v>
      </c>
      <c r="H164" s="102" t="s">
        <v>218</v>
      </c>
      <c r="I164" s="101">
        <v>125</v>
      </c>
      <c r="J164" s="103" t="s">
        <v>306</v>
      </c>
      <c r="K164" s="104">
        <v>8</v>
      </c>
    </row>
    <row r="165" customHeight="1" spans="1:11">
      <c r="A165" s="79" t="s">
        <v>447</v>
      </c>
      <c r="B165" s="85" t="s">
        <v>149</v>
      </c>
      <c r="C165" s="85" t="s">
        <v>150</v>
      </c>
      <c r="E165" s="85" t="s">
        <v>177</v>
      </c>
      <c r="F165" s="101" t="s">
        <v>178</v>
      </c>
      <c r="G165" s="85">
        <v>900</v>
      </c>
      <c r="H165" s="102" t="s">
        <v>127</v>
      </c>
      <c r="I165" s="101">
        <v>12</v>
      </c>
      <c r="J165" s="103" t="s">
        <v>306</v>
      </c>
      <c r="K165" s="104">
        <v>75</v>
      </c>
    </row>
    <row r="166" customHeight="1" spans="1:11">
      <c r="A166" s="79" t="s">
        <v>447</v>
      </c>
      <c r="B166" s="85" t="s">
        <v>149</v>
      </c>
      <c r="C166" s="85" t="s">
        <v>150</v>
      </c>
      <c r="E166" s="85" t="s">
        <v>197</v>
      </c>
      <c r="F166" s="101" t="s">
        <v>194</v>
      </c>
      <c r="G166" s="85">
        <v>810</v>
      </c>
      <c r="H166" s="102" t="s">
        <v>27</v>
      </c>
      <c r="I166" s="101">
        <v>30</v>
      </c>
      <c r="J166" s="103" t="s">
        <v>306</v>
      </c>
      <c r="K166" s="104">
        <v>27</v>
      </c>
    </row>
    <row r="167" customHeight="1" spans="1:11">
      <c r="A167" s="79" t="s">
        <v>447</v>
      </c>
      <c r="B167" s="85" t="s">
        <v>149</v>
      </c>
      <c r="C167" s="85" t="s">
        <v>150</v>
      </c>
      <c r="E167" s="85" t="s">
        <v>198</v>
      </c>
      <c r="F167" s="101" t="s">
        <v>194</v>
      </c>
      <c r="G167" s="85">
        <v>800</v>
      </c>
      <c r="H167" s="102" t="s">
        <v>27</v>
      </c>
      <c r="I167" s="101">
        <v>20</v>
      </c>
      <c r="J167" s="103" t="s">
        <v>306</v>
      </c>
      <c r="K167" s="104">
        <v>40</v>
      </c>
    </row>
    <row r="168" customHeight="1" spans="1:11">
      <c r="A168" s="79" t="s">
        <v>448</v>
      </c>
      <c r="B168" s="85" t="s">
        <v>149</v>
      </c>
      <c r="C168" s="85" t="s">
        <v>150</v>
      </c>
      <c r="E168" s="85" t="s">
        <v>197</v>
      </c>
      <c r="F168" s="101" t="s">
        <v>194</v>
      </c>
      <c r="G168" s="85">
        <v>510</v>
      </c>
      <c r="H168" s="102" t="s">
        <v>27</v>
      </c>
      <c r="I168" s="101">
        <v>30</v>
      </c>
      <c r="J168" s="103" t="s">
        <v>306</v>
      </c>
      <c r="K168" s="104">
        <v>17</v>
      </c>
    </row>
    <row r="169" customHeight="1" spans="1:11">
      <c r="A169" s="79" t="s">
        <v>448</v>
      </c>
      <c r="B169" s="85" t="s">
        <v>149</v>
      </c>
      <c r="C169" s="85" t="s">
        <v>150</v>
      </c>
      <c r="E169" s="85" t="s">
        <v>198</v>
      </c>
      <c r="F169" s="101" t="s">
        <v>194</v>
      </c>
      <c r="G169" s="85">
        <v>500</v>
      </c>
      <c r="H169" s="102" t="s">
        <v>27</v>
      </c>
      <c r="I169" s="101">
        <v>20</v>
      </c>
      <c r="J169" s="103" t="s">
        <v>306</v>
      </c>
      <c r="K169" s="104">
        <v>25</v>
      </c>
    </row>
    <row r="170" customHeight="1" spans="1:11">
      <c r="A170" s="79" t="s">
        <v>448</v>
      </c>
      <c r="B170" s="85" t="s">
        <v>149</v>
      </c>
      <c r="C170" s="85" t="s">
        <v>150</v>
      </c>
      <c r="E170" s="85" t="s">
        <v>177</v>
      </c>
      <c r="F170" s="101" t="s">
        <v>178</v>
      </c>
      <c r="G170" s="85">
        <v>600</v>
      </c>
      <c r="H170" s="102" t="s">
        <v>127</v>
      </c>
      <c r="I170" s="101">
        <v>12</v>
      </c>
      <c r="J170" s="103" t="s">
        <v>306</v>
      </c>
      <c r="K170" s="104">
        <v>50</v>
      </c>
    </row>
    <row r="171" customHeight="1" spans="1:11">
      <c r="A171" s="79" t="s">
        <v>449</v>
      </c>
      <c r="B171" s="85" t="s">
        <v>149</v>
      </c>
      <c r="C171" s="85" t="s">
        <v>150</v>
      </c>
      <c r="E171" s="85" t="s">
        <v>177</v>
      </c>
      <c r="F171" s="101" t="s">
        <v>178</v>
      </c>
      <c r="G171" s="85">
        <v>600</v>
      </c>
      <c r="H171" s="102" t="s">
        <v>127</v>
      </c>
      <c r="I171" s="101">
        <v>12</v>
      </c>
      <c r="J171" s="103" t="s">
        <v>306</v>
      </c>
      <c r="K171" s="104">
        <v>50</v>
      </c>
    </row>
    <row r="172" customHeight="1" spans="1:11">
      <c r="A172" s="79" t="s">
        <v>449</v>
      </c>
      <c r="B172" s="85" t="s">
        <v>149</v>
      </c>
      <c r="C172" s="85" t="s">
        <v>150</v>
      </c>
      <c r="E172" s="85" t="s">
        <v>199</v>
      </c>
      <c r="F172" s="101" t="s">
        <v>194</v>
      </c>
      <c r="G172" s="85">
        <v>55</v>
      </c>
      <c r="H172" s="102" t="s">
        <v>27</v>
      </c>
      <c r="I172" s="101">
        <v>55</v>
      </c>
      <c r="J172" s="103" t="s">
        <v>306</v>
      </c>
      <c r="K172" s="104">
        <v>1</v>
      </c>
    </row>
    <row r="173" customHeight="1" spans="1:11">
      <c r="A173" s="79" t="s">
        <v>449</v>
      </c>
      <c r="B173" s="85" t="s">
        <v>149</v>
      </c>
      <c r="C173" s="85" t="s">
        <v>150</v>
      </c>
      <c r="E173" s="85" t="s">
        <v>200</v>
      </c>
      <c r="F173" s="101" t="s">
        <v>194</v>
      </c>
      <c r="G173" s="85">
        <v>55</v>
      </c>
      <c r="H173" s="102" t="s">
        <v>27</v>
      </c>
      <c r="I173" s="101">
        <v>55</v>
      </c>
      <c r="J173" s="103" t="s">
        <v>306</v>
      </c>
      <c r="K173" s="104">
        <v>1</v>
      </c>
    </row>
    <row r="174" customHeight="1" spans="1:11">
      <c r="A174" s="79" t="s">
        <v>449</v>
      </c>
      <c r="B174" s="85" t="s">
        <v>149</v>
      </c>
      <c r="C174" s="85" t="s">
        <v>150</v>
      </c>
      <c r="E174" s="85" t="s">
        <v>201</v>
      </c>
      <c r="F174" s="101" t="s">
        <v>194</v>
      </c>
      <c r="G174" s="85">
        <v>55</v>
      </c>
      <c r="H174" s="102" t="s">
        <v>27</v>
      </c>
      <c r="I174" s="101">
        <v>55</v>
      </c>
      <c r="J174" s="103" t="s">
        <v>306</v>
      </c>
      <c r="K174" s="104">
        <v>1</v>
      </c>
    </row>
    <row r="175" customHeight="1" spans="1:11">
      <c r="A175" s="79" t="s">
        <v>449</v>
      </c>
      <c r="B175" s="85" t="s">
        <v>149</v>
      </c>
      <c r="C175" s="85" t="s">
        <v>150</v>
      </c>
      <c r="E175" s="85" t="s">
        <v>202</v>
      </c>
      <c r="F175" s="101" t="s">
        <v>194</v>
      </c>
      <c r="G175" s="85">
        <v>105</v>
      </c>
      <c r="H175" s="102" t="s">
        <v>27</v>
      </c>
      <c r="I175" s="101">
        <v>21</v>
      </c>
      <c r="J175" s="103" t="s">
        <v>306</v>
      </c>
      <c r="K175" s="104">
        <v>5</v>
      </c>
    </row>
    <row r="176" customHeight="1" spans="1:11">
      <c r="A176" s="79" t="s">
        <v>449</v>
      </c>
      <c r="B176" s="85" t="s">
        <v>149</v>
      </c>
      <c r="C176" s="85" t="s">
        <v>150</v>
      </c>
      <c r="E176" s="85" t="s">
        <v>199</v>
      </c>
      <c r="F176" s="101" t="s">
        <v>194</v>
      </c>
      <c r="G176" s="85">
        <v>50</v>
      </c>
      <c r="H176" s="102" t="s">
        <v>27</v>
      </c>
      <c r="I176" s="101">
        <v>55</v>
      </c>
      <c r="J176" s="103" t="s">
        <v>306</v>
      </c>
      <c r="K176" s="104">
        <v>0.909090909090909</v>
      </c>
    </row>
    <row r="177" customHeight="1" spans="1:11">
      <c r="A177" s="79" t="s">
        <v>449</v>
      </c>
      <c r="B177" s="85" t="s">
        <v>149</v>
      </c>
      <c r="C177" s="85" t="s">
        <v>150</v>
      </c>
      <c r="E177" s="85" t="s">
        <v>200</v>
      </c>
      <c r="F177" s="101" t="s">
        <v>194</v>
      </c>
      <c r="G177" s="85">
        <v>50</v>
      </c>
      <c r="H177" s="102" t="s">
        <v>27</v>
      </c>
      <c r="I177" s="101">
        <v>55</v>
      </c>
      <c r="J177" s="103" t="s">
        <v>306</v>
      </c>
      <c r="K177" s="104">
        <v>0.909090909090909</v>
      </c>
    </row>
    <row r="178" customHeight="1" spans="1:11">
      <c r="A178" s="79" t="s">
        <v>449</v>
      </c>
      <c r="B178" s="85" t="s">
        <v>149</v>
      </c>
      <c r="C178" s="85" t="s">
        <v>150</v>
      </c>
      <c r="E178" s="85" t="s">
        <v>201</v>
      </c>
      <c r="F178" s="101" t="s">
        <v>194</v>
      </c>
      <c r="G178" s="85">
        <v>50</v>
      </c>
      <c r="H178" s="102" t="s">
        <v>27</v>
      </c>
      <c r="I178" s="101">
        <v>55</v>
      </c>
      <c r="J178" s="103" t="s">
        <v>306</v>
      </c>
      <c r="K178" s="104">
        <v>0.909090909090909</v>
      </c>
    </row>
    <row r="179" customHeight="1" spans="1:11">
      <c r="A179" s="79" t="s">
        <v>449</v>
      </c>
      <c r="B179" s="85" t="s">
        <v>149</v>
      </c>
      <c r="C179" s="85" t="s">
        <v>150</v>
      </c>
      <c r="E179" s="85" t="s">
        <v>161</v>
      </c>
      <c r="F179" s="101" t="s">
        <v>162</v>
      </c>
      <c r="G179" s="85">
        <v>1500</v>
      </c>
      <c r="H179" s="102" t="s">
        <v>27</v>
      </c>
      <c r="I179" s="101">
        <v>30</v>
      </c>
      <c r="J179" s="103" t="s">
        <v>306</v>
      </c>
      <c r="K179" s="104">
        <v>50</v>
      </c>
    </row>
    <row r="180" customHeight="1" spans="1:11">
      <c r="A180" s="79" t="s">
        <v>449</v>
      </c>
      <c r="B180" s="85" t="s">
        <v>149</v>
      </c>
      <c r="C180" s="85" t="s">
        <v>150</v>
      </c>
      <c r="E180" s="85" t="s">
        <v>163</v>
      </c>
      <c r="F180" s="101" t="s">
        <v>164</v>
      </c>
      <c r="G180" s="85">
        <v>1500</v>
      </c>
      <c r="H180" s="102" t="s">
        <v>27</v>
      </c>
      <c r="I180" s="101">
        <v>50</v>
      </c>
      <c r="J180" s="103" t="s">
        <v>306</v>
      </c>
      <c r="K180" s="104">
        <v>30</v>
      </c>
    </row>
    <row r="181" customHeight="1" spans="1:11">
      <c r="A181" s="79" t="s">
        <v>449</v>
      </c>
      <c r="B181" s="85" t="s">
        <v>149</v>
      </c>
      <c r="C181" s="85" t="s">
        <v>150</v>
      </c>
      <c r="E181" s="85" t="s">
        <v>151</v>
      </c>
      <c r="F181" s="101" t="s">
        <v>152</v>
      </c>
      <c r="G181" s="85">
        <v>700</v>
      </c>
      <c r="H181" s="102" t="s">
        <v>27</v>
      </c>
      <c r="I181" s="101">
        <v>20</v>
      </c>
      <c r="J181" s="103" t="s">
        <v>306</v>
      </c>
      <c r="K181" s="104">
        <v>35</v>
      </c>
    </row>
    <row r="182" customHeight="1" spans="1:11">
      <c r="A182" s="79" t="s">
        <v>449</v>
      </c>
      <c r="B182" s="85" t="s">
        <v>149</v>
      </c>
      <c r="C182" s="85" t="s">
        <v>150</v>
      </c>
      <c r="E182" s="85" t="s">
        <v>155</v>
      </c>
      <c r="F182" s="101" t="s">
        <v>156</v>
      </c>
      <c r="G182" s="85">
        <v>1500</v>
      </c>
      <c r="H182" s="102" t="s">
        <v>27</v>
      </c>
      <c r="I182" s="101">
        <v>100</v>
      </c>
      <c r="J182" s="103" t="s">
        <v>306</v>
      </c>
      <c r="K182" s="104">
        <v>15</v>
      </c>
    </row>
    <row r="183" customHeight="1" spans="1:11">
      <c r="A183" s="79" t="s">
        <v>449</v>
      </c>
      <c r="B183" s="85" t="s">
        <v>149</v>
      </c>
      <c r="C183" s="85" t="s">
        <v>150</v>
      </c>
      <c r="E183" s="85" t="s">
        <v>157</v>
      </c>
      <c r="F183" s="101" t="s">
        <v>158</v>
      </c>
      <c r="G183" s="85">
        <v>3000</v>
      </c>
      <c r="H183" s="102" t="s">
        <v>27</v>
      </c>
      <c r="I183" s="101">
        <v>1500</v>
      </c>
      <c r="J183" s="103" t="s">
        <v>306</v>
      </c>
      <c r="K183" s="104">
        <v>2</v>
      </c>
    </row>
    <row r="184" customHeight="1" spans="1:11">
      <c r="A184" s="79" t="s">
        <v>449</v>
      </c>
      <c r="B184" s="85" t="s">
        <v>149</v>
      </c>
      <c r="C184" s="85" t="s">
        <v>150</v>
      </c>
      <c r="E184" s="85" t="s">
        <v>159</v>
      </c>
      <c r="F184" s="101" t="s">
        <v>160</v>
      </c>
      <c r="G184" s="85">
        <v>4500</v>
      </c>
      <c r="H184" s="102" t="s">
        <v>27</v>
      </c>
      <c r="I184" s="101">
        <v>1500</v>
      </c>
      <c r="J184" s="103" t="s">
        <v>306</v>
      </c>
      <c r="K184" s="104">
        <v>3</v>
      </c>
    </row>
    <row r="185" customHeight="1" spans="1:11">
      <c r="A185" s="79" t="s">
        <v>449</v>
      </c>
      <c r="B185" s="85" t="s">
        <v>149</v>
      </c>
      <c r="C185" s="85" t="s">
        <v>150</v>
      </c>
      <c r="E185" s="85" t="s">
        <v>153</v>
      </c>
      <c r="F185" s="101" t="s">
        <v>154</v>
      </c>
      <c r="G185" s="85">
        <v>1500</v>
      </c>
      <c r="H185" s="102" t="s">
        <v>27</v>
      </c>
      <c r="I185" s="101">
        <v>100</v>
      </c>
      <c r="J185" s="103" t="s">
        <v>306</v>
      </c>
      <c r="K185" s="104">
        <v>15</v>
      </c>
    </row>
    <row r="186" customHeight="1" spans="1:11">
      <c r="A186" s="79" t="s">
        <v>449</v>
      </c>
      <c r="B186" s="85" t="s">
        <v>149</v>
      </c>
      <c r="C186" s="85" t="s">
        <v>150</v>
      </c>
      <c r="E186" s="85" t="s">
        <v>165</v>
      </c>
      <c r="F186" s="101" t="s">
        <v>166</v>
      </c>
      <c r="G186" s="85">
        <v>1400</v>
      </c>
      <c r="H186" s="102" t="s">
        <v>27</v>
      </c>
      <c r="I186" s="101">
        <v>70</v>
      </c>
      <c r="J186" s="103" t="s">
        <v>306</v>
      </c>
      <c r="K186" s="104">
        <v>20</v>
      </c>
    </row>
    <row r="187" customHeight="1" spans="1:11">
      <c r="A187" s="79" t="s">
        <v>449</v>
      </c>
      <c r="B187" s="85" t="s">
        <v>149</v>
      </c>
      <c r="C187" s="85" t="s">
        <v>150</v>
      </c>
      <c r="E187" s="85" t="s">
        <v>179</v>
      </c>
      <c r="F187" s="101" t="s">
        <v>180</v>
      </c>
      <c r="G187" s="85">
        <v>400</v>
      </c>
      <c r="H187" s="102" t="s">
        <v>27</v>
      </c>
      <c r="I187" s="101">
        <v>100</v>
      </c>
      <c r="J187" s="103" t="s">
        <v>306</v>
      </c>
      <c r="K187" s="104">
        <v>4</v>
      </c>
    </row>
    <row r="188" customHeight="1" spans="1:11">
      <c r="A188" s="79" t="s">
        <v>449</v>
      </c>
      <c r="B188" s="85" t="s">
        <v>149</v>
      </c>
      <c r="C188" s="85" t="s">
        <v>150</v>
      </c>
      <c r="E188" s="85" t="s">
        <v>181</v>
      </c>
      <c r="F188" s="101" t="s">
        <v>182</v>
      </c>
      <c r="G188" s="85">
        <v>400</v>
      </c>
      <c r="H188" s="102" t="s">
        <v>27</v>
      </c>
      <c r="I188" s="101">
        <v>40</v>
      </c>
      <c r="J188" s="103" t="s">
        <v>306</v>
      </c>
      <c r="K188" s="104">
        <v>10</v>
      </c>
    </row>
    <row r="189" customHeight="1" spans="1:11">
      <c r="A189" s="79" t="s">
        <v>449</v>
      </c>
      <c r="B189" s="85" t="s">
        <v>149</v>
      </c>
      <c r="C189" s="85" t="s">
        <v>150</v>
      </c>
      <c r="E189" s="85" t="s">
        <v>187</v>
      </c>
      <c r="F189" s="101" t="s">
        <v>188</v>
      </c>
      <c r="G189" s="85">
        <v>4500</v>
      </c>
      <c r="H189" s="102" t="s">
        <v>27</v>
      </c>
      <c r="I189" s="101">
        <v>1500</v>
      </c>
      <c r="J189" s="103" t="s">
        <v>306</v>
      </c>
      <c r="K189" s="104">
        <v>3</v>
      </c>
    </row>
    <row r="190" customHeight="1" spans="1:11">
      <c r="A190" s="79" t="s">
        <v>449</v>
      </c>
      <c r="B190" s="85" t="s">
        <v>149</v>
      </c>
      <c r="C190" s="85" t="s">
        <v>150</v>
      </c>
      <c r="E190" s="85" t="s">
        <v>197</v>
      </c>
      <c r="F190" s="101" t="s">
        <v>194</v>
      </c>
      <c r="G190" s="85">
        <v>600</v>
      </c>
      <c r="H190" s="102" t="s">
        <v>27</v>
      </c>
      <c r="I190" s="101">
        <v>30</v>
      </c>
      <c r="J190" s="103" t="s">
        <v>306</v>
      </c>
      <c r="K190" s="104">
        <v>20</v>
      </c>
    </row>
    <row r="191" customHeight="1" spans="1:11">
      <c r="A191" s="79" t="s">
        <v>449</v>
      </c>
      <c r="B191" s="85" t="s">
        <v>149</v>
      </c>
      <c r="C191" s="85" t="s">
        <v>150</v>
      </c>
      <c r="E191" s="85" t="s">
        <v>198</v>
      </c>
      <c r="F191" s="101" t="s">
        <v>194</v>
      </c>
      <c r="G191" s="85">
        <v>1040</v>
      </c>
      <c r="H191" s="102" t="s">
        <v>27</v>
      </c>
      <c r="I191" s="101">
        <v>20</v>
      </c>
      <c r="J191" s="103" t="s">
        <v>306</v>
      </c>
      <c r="K191" s="104">
        <v>52</v>
      </c>
    </row>
    <row r="192" customHeight="1" spans="1:11">
      <c r="A192" s="79">
        <v>46149</v>
      </c>
      <c r="B192" s="85" t="s">
        <v>22</v>
      </c>
      <c r="C192" s="85" t="s">
        <v>23</v>
      </c>
      <c r="D192" s="85" t="s">
        <v>450</v>
      </c>
      <c r="E192" s="85" t="s">
        <v>144</v>
      </c>
      <c r="F192" s="101" t="s">
        <v>145</v>
      </c>
      <c r="G192" s="85">
        <v>144</v>
      </c>
      <c r="H192" s="102" t="s">
        <v>27</v>
      </c>
      <c r="I192" s="101">
        <v>48</v>
      </c>
      <c r="J192" s="103" t="s">
        <v>306</v>
      </c>
      <c r="K192" s="104">
        <v>3</v>
      </c>
    </row>
    <row r="193" customHeight="1" spans="1:11">
      <c r="A193" s="79">
        <v>46149</v>
      </c>
      <c r="B193" s="85" t="s">
        <v>22</v>
      </c>
      <c r="C193" s="85" t="s">
        <v>23</v>
      </c>
      <c r="D193" s="85" t="s">
        <v>451</v>
      </c>
      <c r="E193" s="85" t="s">
        <v>147</v>
      </c>
      <c r="F193" s="101" t="s">
        <v>148</v>
      </c>
      <c r="G193" s="85">
        <v>96</v>
      </c>
      <c r="H193" s="102" t="s">
        <v>27</v>
      </c>
      <c r="I193" s="101">
        <v>24</v>
      </c>
      <c r="J193" s="103" t="s">
        <v>306</v>
      </c>
      <c r="K193" s="104">
        <v>4</v>
      </c>
    </row>
    <row r="194" customHeight="1" spans="1:11">
      <c r="A194" s="79">
        <v>46149</v>
      </c>
      <c r="B194" s="85" t="s">
        <v>22</v>
      </c>
      <c r="C194" s="85" t="s">
        <v>23</v>
      </c>
      <c r="D194" s="85" t="s">
        <v>452</v>
      </c>
      <c r="E194" s="85" t="s">
        <v>66</v>
      </c>
      <c r="F194" s="101" t="s">
        <v>67</v>
      </c>
      <c r="G194" s="85">
        <v>960</v>
      </c>
      <c r="H194" s="102" t="s">
        <v>27</v>
      </c>
      <c r="I194" s="101">
        <v>240</v>
      </c>
      <c r="J194" s="103" t="s">
        <v>306</v>
      </c>
      <c r="K194" s="104">
        <v>4</v>
      </c>
    </row>
    <row r="195" customHeight="1" spans="1:11">
      <c r="A195" s="79">
        <v>46149</v>
      </c>
      <c r="B195" s="85" t="s">
        <v>22</v>
      </c>
      <c r="C195" s="85" t="s">
        <v>23</v>
      </c>
      <c r="D195" s="85" t="s">
        <v>453</v>
      </c>
      <c r="E195" s="85" t="s">
        <v>69</v>
      </c>
      <c r="F195" s="101" t="s">
        <v>70</v>
      </c>
      <c r="G195" s="85">
        <v>288</v>
      </c>
      <c r="H195" s="102" t="s">
        <v>27</v>
      </c>
      <c r="I195" s="101">
        <v>24</v>
      </c>
      <c r="J195" s="103" t="s">
        <v>306</v>
      </c>
      <c r="K195" s="104">
        <v>12</v>
      </c>
    </row>
    <row r="196" customHeight="1" spans="1:11">
      <c r="A196" s="79">
        <v>46149</v>
      </c>
      <c r="B196" s="85" t="s">
        <v>22</v>
      </c>
      <c r="C196" s="85" t="s">
        <v>23</v>
      </c>
      <c r="D196" s="85" t="s">
        <v>454</v>
      </c>
      <c r="E196" s="85" t="s">
        <v>39</v>
      </c>
      <c r="F196" s="101" t="s">
        <v>40</v>
      </c>
      <c r="G196" s="85">
        <v>108</v>
      </c>
      <c r="H196" s="102" t="s">
        <v>27</v>
      </c>
      <c r="I196" s="101">
        <v>36</v>
      </c>
      <c r="J196" s="103" t="s">
        <v>306</v>
      </c>
      <c r="K196" s="104">
        <v>3</v>
      </c>
    </row>
    <row r="197" customHeight="1" spans="1:11">
      <c r="A197" s="79">
        <v>46149</v>
      </c>
      <c r="B197" s="85" t="s">
        <v>22</v>
      </c>
      <c r="C197" s="85" t="s">
        <v>23</v>
      </c>
      <c r="D197" s="85" t="s">
        <v>455</v>
      </c>
      <c r="E197" s="85" t="s">
        <v>25</v>
      </c>
      <c r="F197" s="101" t="s">
        <v>26</v>
      </c>
      <c r="G197" s="85">
        <v>324</v>
      </c>
      <c r="H197" s="102" t="s">
        <v>27</v>
      </c>
      <c r="I197" s="101">
        <v>162</v>
      </c>
      <c r="J197" s="103" t="s">
        <v>306</v>
      </c>
      <c r="K197" s="104">
        <v>2</v>
      </c>
    </row>
    <row r="198" customHeight="1" spans="1:11">
      <c r="A198" s="79">
        <v>46149</v>
      </c>
      <c r="B198" s="85" t="s">
        <v>22</v>
      </c>
      <c r="C198" s="85" t="s">
        <v>23</v>
      </c>
      <c r="D198" s="85" t="s">
        <v>456</v>
      </c>
      <c r="E198" s="85" t="s">
        <v>30</v>
      </c>
      <c r="F198" s="101" t="s">
        <v>31</v>
      </c>
      <c r="G198" s="85">
        <v>324</v>
      </c>
      <c r="H198" s="102" t="s">
        <v>27</v>
      </c>
      <c r="I198" s="101">
        <v>162</v>
      </c>
      <c r="J198" s="103" t="s">
        <v>306</v>
      </c>
      <c r="K198" s="104">
        <v>2</v>
      </c>
    </row>
    <row r="199" customHeight="1" spans="1:11">
      <c r="A199" s="79">
        <v>46149</v>
      </c>
      <c r="B199" s="85" t="s">
        <v>22</v>
      </c>
      <c r="C199" s="85" t="s">
        <v>23</v>
      </c>
      <c r="D199" s="85" t="s">
        <v>457</v>
      </c>
      <c r="E199" s="85" t="s">
        <v>105</v>
      </c>
      <c r="F199" s="101" t="s">
        <v>106</v>
      </c>
      <c r="G199" s="85">
        <v>360</v>
      </c>
      <c r="H199" s="102" t="s">
        <v>27</v>
      </c>
      <c r="I199" s="101">
        <v>12</v>
      </c>
      <c r="J199" s="103" t="s">
        <v>306</v>
      </c>
      <c r="K199" s="104">
        <v>30</v>
      </c>
    </row>
    <row r="200" customHeight="1" spans="1:11">
      <c r="A200" s="79">
        <v>46149</v>
      </c>
      <c r="B200" s="85" t="s">
        <v>22</v>
      </c>
      <c r="C200" s="85" t="s">
        <v>23</v>
      </c>
      <c r="D200" s="85" t="s">
        <v>458</v>
      </c>
      <c r="E200" s="85" t="s">
        <v>111</v>
      </c>
      <c r="F200" s="101" t="s">
        <v>112</v>
      </c>
      <c r="G200" s="85">
        <v>384</v>
      </c>
      <c r="H200" s="102" t="s">
        <v>27</v>
      </c>
      <c r="I200" s="101">
        <v>8</v>
      </c>
      <c r="J200" s="103" t="s">
        <v>306</v>
      </c>
      <c r="K200" s="104">
        <v>48</v>
      </c>
    </row>
    <row r="201" customHeight="1" spans="1:11">
      <c r="A201" s="79">
        <v>46149</v>
      </c>
      <c r="B201" s="85" t="s">
        <v>22</v>
      </c>
      <c r="C201" s="85" t="s">
        <v>23</v>
      </c>
      <c r="D201" s="85" t="s">
        <v>459</v>
      </c>
      <c r="E201" s="85" t="s">
        <v>63</v>
      </c>
      <c r="F201" s="101" t="s">
        <v>64</v>
      </c>
      <c r="G201" s="85">
        <v>540</v>
      </c>
      <c r="H201" s="102" t="s">
        <v>27</v>
      </c>
      <c r="I201" s="101">
        <v>12</v>
      </c>
      <c r="J201" s="103" t="s">
        <v>306</v>
      </c>
      <c r="K201" s="104">
        <v>45</v>
      </c>
    </row>
    <row r="202" customHeight="1" spans="1:11">
      <c r="A202" s="79">
        <v>46149</v>
      </c>
      <c r="B202" s="85" t="s">
        <v>22</v>
      </c>
      <c r="C202" s="85" t="s">
        <v>23</v>
      </c>
      <c r="D202" s="85" t="s">
        <v>460</v>
      </c>
      <c r="E202" s="85" t="s">
        <v>90</v>
      </c>
      <c r="F202" s="101" t="s">
        <v>91</v>
      </c>
      <c r="G202" s="85">
        <v>96</v>
      </c>
      <c r="H202" s="102" t="s">
        <v>27</v>
      </c>
      <c r="I202" s="101">
        <v>24</v>
      </c>
      <c r="J202" s="103" t="s">
        <v>306</v>
      </c>
      <c r="K202" s="104">
        <v>4</v>
      </c>
    </row>
    <row r="203" customHeight="1" spans="1:11">
      <c r="A203" s="79">
        <v>46149</v>
      </c>
      <c r="B203" s="85" t="s">
        <v>22</v>
      </c>
      <c r="C203" s="85" t="s">
        <v>23</v>
      </c>
      <c r="D203" s="85" t="s">
        <v>461</v>
      </c>
      <c r="E203" s="85" t="s">
        <v>78</v>
      </c>
      <c r="F203" s="101" t="s">
        <v>79</v>
      </c>
      <c r="G203" s="85">
        <v>576</v>
      </c>
      <c r="H203" s="102" t="s">
        <v>27</v>
      </c>
      <c r="I203" s="101">
        <v>72</v>
      </c>
      <c r="J203" s="103" t="s">
        <v>306</v>
      </c>
      <c r="K203" s="104">
        <v>8</v>
      </c>
    </row>
    <row r="204" customHeight="1" spans="1:11">
      <c r="A204" s="79">
        <v>46149</v>
      </c>
      <c r="B204" s="85" t="s">
        <v>22</v>
      </c>
      <c r="C204" s="85" t="s">
        <v>23</v>
      </c>
      <c r="D204" s="85" t="s">
        <v>462</v>
      </c>
      <c r="E204" s="85" t="s">
        <v>57</v>
      </c>
      <c r="F204" s="101" t="s">
        <v>58</v>
      </c>
      <c r="G204" s="85">
        <v>480</v>
      </c>
      <c r="H204" s="102" t="s">
        <v>27</v>
      </c>
      <c r="I204" s="101">
        <v>20</v>
      </c>
      <c r="J204" s="103" t="s">
        <v>306</v>
      </c>
      <c r="K204" s="104">
        <v>24</v>
      </c>
    </row>
    <row r="205" customHeight="1" spans="1:11">
      <c r="A205" s="79">
        <v>46149</v>
      </c>
      <c r="B205" s="85" t="s">
        <v>22</v>
      </c>
      <c r="C205" s="85" t="s">
        <v>23</v>
      </c>
      <c r="D205" s="85" t="s">
        <v>463</v>
      </c>
      <c r="E205" s="85" t="s">
        <v>57</v>
      </c>
      <c r="F205" s="101" t="s">
        <v>58</v>
      </c>
      <c r="G205" s="85">
        <v>480</v>
      </c>
      <c r="H205" s="102" t="s">
        <v>27</v>
      </c>
      <c r="I205" s="101">
        <v>20</v>
      </c>
      <c r="J205" s="103" t="s">
        <v>306</v>
      </c>
      <c r="K205" s="104">
        <v>24</v>
      </c>
    </row>
    <row r="206" customHeight="1" spans="1:11">
      <c r="A206" s="79">
        <v>46149</v>
      </c>
      <c r="B206" s="85" t="s">
        <v>22</v>
      </c>
      <c r="C206" s="85" t="s">
        <v>23</v>
      </c>
      <c r="D206" s="85" t="s">
        <v>464</v>
      </c>
      <c r="E206" s="85" t="s">
        <v>51</v>
      </c>
      <c r="F206" s="101" t="s">
        <v>52</v>
      </c>
      <c r="G206" s="85">
        <v>108</v>
      </c>
      <c r="H206" s="102" t="s">
        <v>27</v>
      </c>
      <c r="I206" s="101">
        <v>36</v>
      </c>
      <c r="J206" s="103" t="s">
        <v>306</v>
      </c>
      <c r="K206" s="104">
        <v>3</v>
      </c>
    </row>
    <row r="207" customHeight="1" spans="1:11">
      <c r="A207" s="79">
        <v>46149</v>
      </c>
      <c r="B207" s="85" t="s">
        <v>22</v>
      </c>
      <c r="C207" s="85" t="s">
        <v>23</v>
      </c>
      <c r="D207" s="85" t="s">
        <v>465</v>
      </c>
      <c r="E207" s="85" t="s">
        <v>39</v>
      </c>
      <c r="F207" s="101" t="s">
        <v>40</v>
      </c>
      <c r="G207" s="85">
        <v>36</v>
      </c>
      <c r="H207" s="102" t="s">
        <v>27</v>
      </c>
      <c r="I207" s="101">
        <v>36</v>
      </c>
      <c r="J207" s="103" t="s">
        <v>306</v>
      </c>
      <c r="K207" s="104">
        <v>1</v>
      </c>
    </row>
    <row r="208" customHeight="1" spans="1:11">
      <c r="A208" s="79">
        <v>46149</v>
      </c>
      <c r="B208" s="85" t="s">
        <v>22</v>
      </c>
      <c r="C208" s="85" t="s">
        <v>23</v>
      </c>
      <c r="D208" s="85" t="s">
        <v>466</v>
      </c>
      <c r="E208" s="85" t="s">
        <v>30</v>
      </c>
      <c r="F208" s="101" t="s">
        <v>31</v>
      </c>
      <c r="G208" s="85">
        <v>324</v>
      </c>
      <c r="H208" s="102" t="s">
        <v>27</v>
      </c>
      <c r="I208" s="101">
        <v>162</v>
      </c>
      <c r="J208" s="103" t="s">
        <v>306</v>
      </c>
      <c r="K208" s="104">
        <v>2</v>
      </c>
    </row>
    <row r="209" customHeight="1" spans="1:11">
      <c r="A209" s="79">
        <v>46149</v>
      </c>
      <c r="B209" s="85" t="s">
        <v>22</v>
      </c>
      <c r="C209" s="85" t="s">
        <v>23</v>
      </c>
      <c r="D209" s="85" t="s">
        <v>467</v>
      </c>
      <c r="E209" s="85" t="s">
        <v>105</v>
      </c>
      <c r="F209" s="101" t="s">
        <v>106</v>
      </c>
      <c r="G209" s="85">
        <v>84</v>
      </c>
      <c r="H209" s="102" t="s">
        <v>27</v>
      </c>
      <c r="I209" s="101">
        <v>12</v>
      </c>
      <c r="J209" s="103" t="s">
        <v>306</v>
      </c>
      <c r="K209" s="104">
        <v>7</v>
      </c>
    </row>
    <row r="210" customHeight="1" spans="1:11">
      <c r="A210" s="79">
        <v>46149</v>
      </c>
      <c r="B210" s="85" t="s">
        <v>22</v>
      </c>
      <c r="C210" s="85" t="s">
        <v>23</v>
      </c>
      <c r="D210" s="85" t="s">
        <v>468</v>
      </c>
      <c r="E210" s="85" t="s">
        <v>81</v>
      </c>
      <c r="F210" s="101" t="s">
        <v>82</v>
      </c>
      <c r="G210" s="85">
        <v>648</v>
      </c>
      <c r="H210" s="102" t="s">
        <v>27</v>
      </c>
      <c r="I210" s="101">
        <v>72</v>
      </c>
      <c r="J210" s="103" t="s">
        <v>306</v>
      </c>
      <c r="K210" s="104">
        <v>9</v>
      </c>
    </row>
    <row r="211" customHeight="1" spans="1:11">
      <c r="A211" s="79">
        <v>46149</v>
      </c>
      <c r="B211" s="85" t="s">
        <v>22</v>
      </c>
      <c r="C211" s="85" t="s">
        <v>23</v>
      </c>
      <c r="D211" s="85" t="s">
        <v>469</v>
      </c>
      <c r="E211" s="85" t="s">
        <v>147</v>
      </c>
      <c r="F211" s="101" t="s">
        <v>148</v>
      </c>
      <c r="G211" s="85">
        <v>192</v>
      </c>
      <c r="H211" s="102" t="s">
        <v>27</v>
      </c>
      <c r="I211" s="101">
        <v>24</v>
      </c>
      <c r="J211" s="103" t="s">
        <v>306</v>
      </c>
      <c r="K211" s="104">
        <v>8</v>
      </c>
    </row>
    <row r="212" customHeight="1" spans="1:11">
      <c r="A212" s="79" t="s">
        <v>470</v>
      </c>
      <c r="B212" s="85" t="s">
        <v>149</v>
      </c>
      <c r="C212" s="85" t="s">
        <v>150</v>
      </c>
      <c r="E212" s="85" t="s">
        <v>197</v>
      </c>
      <c r="F212" s="101" t="s">
        <v>194</v>
      </c>
      <c r="G212" s="85">
        <v>729</v>
      </c>
      <c r="H212" s="102" t="s">
        <v>27</v>
      </c>
      <c r="I212" s="101">
        <v>30</v>
      </c>
      <c r="J212" s="103" t="s">
        <v>306</v>
      </c>
      <c r="K212" s="104">
        <v>24.3</v>
      </c>
    </row>
    <row r="213" customHeight="1" spans="1:11">
      <c r="A213" s="79" t="s">
        <v>470</v>
      </c>
      <c r="B213" s="85" t="s">
        <v>149</v>
      </c>
      <c r="C213" s="85" t="s">
        <v>150</v>
      </c>
      <c r="E213" s="85" t="s">
        <v>198</v>
      </c>
      <c r="F213" s="101" t="s">
        <v>194</v>
      </c>
      <c r="G213" s="85">
        <v>310</v>
      </c>
      <c r="H213" s="102" t="s">
        <v>27</v>
      </c>
      <c r="I213" s="101">
        <v>20</v>
      </c>
      <c r="J213" s="103" t="s">
        <v>306</v>
      </c>
      <c r="K213" s="104">
        <v>15.5</v>
      </c>
    </row>
    <row r="214" customHeight="1" spans="1:11">
      <c r="A214" s="79">
        <v>46149</v>
      </c>
      <c r="B214" s="85" t="s">
        <v>203</v>
      </c>
      <c r="C214" s="85" t="s">
        <v>204</v>
      </c>
      <c r="E214" s="85" t="s">
        <v>207</v>
      </c>
      <c r="F214" s="101" t="s">
        <v>208</v>
      </c>
      <c r="G214" s="85">
        <v>6400</v>
      </c>
      <c r="H214" s="102" t="s">
        <v>27</v>
      </c>
      <c r="I214" s="101">
        <v>40</v>
      </c>
      <c r="J214" s="103" t="s">
        <v>306</v>
      </c>
      <c r="K214" s="104">
        <v>160</v>
      </c>
    </row>
    <row r="215" customHeight="1" spans="1:11">
      <c r="A215" s="79">
        <v>46149</v>
      </c>
      <c r="B215" s="85" t="s">
        <v>213</v>
      </c>
      <c r="C215" s="85" t="s">
        <v>214</v>
      </c>
      <c r="D215" s="85" t="s">
        <v>471</v>
      </c>
      <c r="E215" s="85" t="s">
        <v>220</v>
      </c>
      <c r="F215" s="101" t="s">
        <v>221</v>
      </c>
      <c r="G215" s="85">
        <v>702</v>
      </c>
      <c r="H215" s="102" t="s">
        <v>218</v>
      </c>
      <c r="I215" s="101">
        <v>54</v>
      </c>
      <c r="J215" s="103" t="s">
        <v>306</v>
      </c>
      <c r="K215" s="104">
        <v>13</v>
      </c>
    </row>
    <row r="216" customHeight="1" spans="1:11">
      <c r="A216" s="79">
        <v>46149</v>
      </c>
      <c r="B216" s="85" t="s">
        <v>213</v>
      </c>
      <c r="C216" s="85" t="s">
        <v>214</v>
      </c>
      <c r="D216" s="85" t="s">
        <v>471</v>
      </c>
      <c r="E216" s="85" t="s">
        <v>222</v>
      </c>
      <c r="F216" s="101" t="s">
        <v>223</v>
      </c>
      <c r="G216" s="85">
        <v>726</v>
      </c>
      <c r="H216" s="102" t="s">
        <v>218</v>
      </c>
      <c r="I216" s="101">
        <v>66</v>
      </c>
      <c r="J216" s="103" t="s">
        <v>306</v>
      </c>
      <c r="K216" s="104">
        <v>11</v>
      </c>
    </row>
    <row r="217" customHeight="1" spans="1:11">
      <c r="A217" s="79">
        <v>46149</v>
      </c>
      <c r="B217" s="85" t="s">
        <v>213</v>
      </c>
      <c r="C217" s="85" t="s">
        <v>214</v>
      </c>
      <c r="D217" s="85" t="s">
        <v>471</v>
      </c>
      <c r="E217" s="85" t="s">
        <v>216</v>
      </c>
      <c r="F217" s="101" t="s">
        <v>217</v>
      </c>
      <c r="G217" s="85">
        <v>352</v>
      </c>
      <c r="H217" s="102" t="s">
        <v>218</v>
      </c>
      <c r="I217" s="101">
        <v>176</v>
      </c>
      <c r="J217" s="103" t="s">
        <v>306</v>
      </c>
      <c r="K217" s="104">
        <v>2</v>
      </c>
    </row>
    <row r="218" customHeight="1" spans="1:11">
      <c r="A218" s="79">
        <v>46149</v>
      </c>
      <c r="B218" s="85" t="s">
        <v>277</v>
      </c>
      <c r="C218" s="85" t="s">
        <v>278</v>
      </c>
      <c r="D218" s="85" t="s">
        <v>472</v>
      </c>
      <c r="E218" s="85" t="s">
        <v>279</v>
      </c>
      <c r="F218" s="101" t="s">
        <v>280</v>
      </c>
      <c r="G218" s="85">
        <v>900</v>
      </c>
      <c r="H218" s="102" t="s">
        <v>27</v>
      </c>
      <c r="I218" s="101">
        <v>12</v>
      </c>
      <c r="J218" s="103" t="s">
        <v>306</v>
      </c>
      <c r="K218" s="104">
        <v>75</v>
      </c>
    </row>
    <row r="219" customHeight="1" spans="1:11">
      <c r="A219" s="79">
        <v>46147</v>
      </c>
      <c r="B219" s="85" t="s">
        <v>290</v>
      </c>
      <c r="C219" s="85" t="s">
        <v>291</v>
      </c>
      <c r="D219" s="85">
        <v>5689685</v>
      </c>
      <c r="E219" s="85" t="s">
        <v>292</v>
      </c>
      <c r="F219" s="101" t="s">
        <v>293</v>
      </c>
      <c r="G219" s="85">
        <v>1134</v>
      </c>
      <c r="H219" s="102" t="s">
        <v>27</v>
      </c>
      <c r="I219" s="101">
        <v>567</v>
      </c>
      <c r="J219" s="103" t="s">
        <v>13</v>
      </c>
      <c r="K219" s="104">
        <v>2</v>
      </c>
    </row>
    <row r="220" customHeight="1" spans="1:11">
      <c r="A220" s="79">
        <v>46150</v>
      </c>
      <c r="B220" s="85" t="s">
        <v>22</v>
      </c>
      <c r="C220" s="85" t="s">
        <v>23</v>
      </c>
      <c r="D220" s="85" t="s">
        <v>473</v>
      </c>
      <c r="E220" s="85" t="s">
        <v>30</v>
      </c>
      <c r="F220" s="101" t="s">
        <v>31</v>
      </c>
      <c r="G220" s="85">
        <v>799</v>
      </c>
      <c r="H220" s="102" t="s">
        <v>27</v>
      </c>
      <c r="I220" s="101">
        <v>162</v>
      </c>
      <c r="J220" s="103" t="s">
        <v>306</v>
      </c>
      <c r="K220" s="104">
        <v>4.9320987654321</v>
      </c>
    </row>
    <row r="221" customHeight="1" spans="1:11">
      <c r="A221" s="79">
        <v>46150</v>
      </c>
      <c r="B221" s="85" t="s">
        <v>22</v>
      </c>
      <c r="C221" s="85" t="s">
        <v>23</v>
      </c>
      <c r="D221" s="85" t="s">
        <v>474</v>
      </c>
      <c r="E221" s="85" t="s">
        <v>66</v>
      </c>
      <c r="F221" s="101" t="s">
        <v>67</v>
      </c>
      <c r="G221" s="85">
        <v>3480</v>
      </c>
      <c r="H221" s="102" t="s">
        <v>27</v>
      </c>
      <c r="I221" s="101">
        <v>240</v>
      </c>
      <c r="J221" s="103" t="s">
        <v>306</v>
      </c>
      <c r="K221" s="104">
        <v>14.5</v>
      </c>
    </row>
    <row r="222" customHeight="1" spans="1:11">
      <c r="A222" s="79">
        <v>46150</v>
      </c>
      <c r="B222" s="85" t="s">
        <v>22</v>
      </c>
      <c r="C222" s="85" t="s">
        <v>23</v>
      </c>
      <c r="D222" s="85" t="s">
        <v>475</v>
      </c>
      <c r="E222" s="85" t="s">
        <v>111</v>
      </c>
      <c r="F222" s="101" t="s">
        <v>112</v>
      </c>
      <c r="G222" s="85">
        <v>576</v>
      </c>
      <c r="H222" s="102" t="s">
        <v>27</v>
      </c>
      <c r="I222" s="101">
        <v>8</v>
      </c>
      <c r="J222" s="103" t="s">
        <v>306</v>
      </c>
      <c r="K222" s="104">
        <v>72</v>
      </c>
    </row>
    <row r="223" customHeight="1" spans="1:11">
      <c r="A223" s="79">
        <v>46150</v>
      </c>
      <c r="B223" s="85" t="s">
        <v>22</v>
      </c>
      <c r="C223" s="85" t="s">
        <v>23</v>
      </c>
      <c r="D223" s="85" t="s">
        <v>476</v>
      </c>
      <c r="E223" s="85" t="s">
        <v>63</v>
      </c>
      <c r="F223" s="101" t="s">
        <v>64</v>
      </c>
      <c r="G223" s="85">
        <v>456</v>
      </c>
      <c r="H223" s="102" t="s">
        <v>27</v>
      </c>
      <c r="I223" s="101">
        <v>12</v>
      </c>
      <c r="J223" s="103" t="s">
        <v>306</v>
      </c>
      <c r="K223" s="104">
        <v>38</v>
      </c>
    </row>
    <row r="224" customHeight="1" spans="1:11">
      <c r="A224" s="79">
        <v>46150</v>
      </c>
      <c r="B224" s="85" t="s">
        <v>22</v>
      </c>
      <c r="C224" s="85" t="s">
        <v>23</v>
      </c>
      <c r="D224" s="85" t="s">
        <v>477</v>
      </c>
      <c r="E224" s="85" t="s">
        <v>69</v>
      </c>
      <c r="F224" s="101" t="s">
        <v>70</v>
      </c>
      <c r="G224" s="85">
        <v>576</v>
      </c>
      <c r="H224" s="102" t="s">
        <v>27</v>
      </c>
      <c r="I224" s="101">
        <v>24</v>
      </c>
      <c r="J224" s="103" t="s">
        <v>306</v>
      </c>
      <c r="K224" s="104">
        <v>24</v>
      </c>
    </row>
    <row r="225" customHeight="1" spans="1:11">
      <c r="A225" s="79">
        <v>46150</v>
      </c>
      <c r="B225" s="85" t="s">
        <v>22</v>
      </c>
      <c r="C225" s="85" t="s">
        <v>23</v>
      </c>
      <c r="D225" s="85" t="s">
        <v>478</v>
      </c>
      <c r="E225" s="85" t="s">
        <v>69</v>
      </c>
      <c r="F225" s="101" t="s">
        <v>70</v>
      </c>
      <c r="G225" s="85">
        <v>264</v>
      </c>
      <c r="H225" s="102" t="s">
        <v>27</v>
      </c>
      <c r="I225" s="101">
        <v>24</v>
      </c>
      <c r="J225" s="103" t="s">
        <v>306</v>
      </c>
      <c r="K225" s="104">
        <v>11</v>
      </c>
    </row>
    <row r="226" customHeight="1" spans="1:11">
      <c r="A226" s="79">
        <v>46150</v>
      </c>
      <c r="B226" s="85" t="s">
        <v>22</v>
      </c>
      <c r="C226" s="85" t="s">
        <v>23</v>
      </c>
      <c r="D226" s="85" t="s">
        <v>479</v>
      </c>
      <c r="E226" s="85" t="s">
        <v>69</v>
      </c>
      <c r="F226" s="101" t="s">
        <v>70</v>
      </c>
      <c r="G226" s="85">
        <v>624</v>
      </c>
      <c r="H226" s="102" t="s">
        <v>27</v>
      </c>
      <c r="I226" s="101">
        <v>24</v>
      </c>
      <c r="J226" s="103" t="s">
        <v>306</v>
      </c>
      <c r="K226" s="104">
        <v>26</v>
      </c>
    </row>
    <row r="227" customHeight="1" spans="1:11">
      <c r="A227" s="79">
        <v>46150</v>
      </c>
      <c r="B227" s="85" t="s">
        <v>22</v>
      </c>
      <c r="C227" s="85" t="s">
        <v>23</v>
      </c>
      <c r="D227" s="85" t="s">
        <v>480</v>
      </c>
      <c r="E227" s="85" t="s">
        <v>87</v>
      </c>
      <c r="F227" s="101" t="s">
        <v>88</v>
      </c>
      <c r="G227" s="85">
        <v>712</v>
      </c>
      <c r="H227" s="102" t="s">
        <v>27</v>
      </c>
      <c r="I227" s="101">
        <v>108</v>
      </c>
      <c r="J227" s="103" t="s">
        <v>306</v>
      </c>
      <c r="K227" s="104">
        <v>6.59259259259259</v>
      </c>
    </row>
    <row r="228" customHeight="1" spans="1:11">
      <c r="A228" s="79">
        <v>46150</v>
      </c>
      <c r="B228" s="85" t="s">
        <v>22</v>
      </c>
      <c r="C228" s="85" t="s">
        <v>23</v>
      </c>
      <c r="D228" s="85" t="s">
        <v>481</v>
      </c>
      <c r="E228" s="85" t="s">
        <v>105</v>
      </c>
      <c r="F228" s="101" t="s">
        <v>106</v>
      </c>
      <c r="G228" s="85">
        <v>72</v>
      </c>
      <c r="H228" s="102" t="s">
        <v>27</v>
      </c>
      <c r="I228" s="101">
        <v>12</v>
      </c>
      <c r="J228" s="103" t="s">
        <v>306</v>
      </c>
      <c r="K228" s="104">
        <v>6</v>
      </c>
    </row>
    <row r="229" customHeight="1" spans="1:11">
      <c r="A229" s="79">
        <v>46150</v>
      </c>
      <c r="B229" s="85" t="s">
        <v>22</v>
      </c>
      <c r="C229" s="85" t="s">
        <v>23</v>
      </c>
      <c r="D229" s="85" t="s">
        <v>482</v>
      </c>
      <c r="E229" s="85" t="s">
        <v>78</v>
      </c>
      <c r="F229" s="101" t="s">
        <v>79</v>
      </c>
      <c r="G229" s="85">
        <v>360</v>
      </c>
      <c r="H229" s="102" t="s">
        <v>27</v>
      </c>
      <c r="I229" s="101">
        <v>72</v>
      </c>
      <c r="J229" s="103" t="s">
        <v>306</v>
      </c>
      <c r="K229" s="104">
        <v>5</v>
      </c>
    </row>
    <row r="230" customHeight="1" spans="1:11">
      <c r="A230" s="79">
        <v>46150</v>
      </c>
      <c r="B230" s="85" t="s">
        <v>22</v>
      </c>
      <c r="C230" s="85" t="s">
        <v>23</v>
      </c>
      <c r="D230" s="85" t="s">
        <v>483</v>
      </c>
      <c r="E230" s="85" t="s">
        <v>36</v>
      </c>
      <c r="F230" s="101" t="s">
        <v>37</v>
      </c>
      <c r="G230" s="85">
        <v>144</v>
      </c>
      <c r="H230" s="102" t="s">
        <v>27</v>
      </c>
      <c r="I230" s="101">
        <v>36</v>
      </c>
      <c r="J230" s="103" t="s">
        <v>306</v>
      </c>
      <c r="K230" s="104">
        <v>4</v>
      </c>
    </row>
    <row r="231" customHeight="1" spans="1:11">
      <c r="A231" s="79">
        <v>46150</v>
      </c>
      <c r="B231" s="85" t="s">
        <v>22</v>
      </c>
      <c r="C231" s="85" t="s">
        <v>23</v>
      </c>
      <c r="D231" s="85" t="s">
        <v>484</v>
      </c>
      <c r="E231" s="85" t="s">
        <v>105</v>
      </c>
      <c r="F231" s="101" t="s">
        <v>106</v>
      </c>
      <c r="G231" s="85">
        <v>102</v>
      </c>
      <c r="H231" s="102" t="s">
        <v>27</v>
      </c>
      <c r="I231" s="101">
        <v>12</v>
      </c>
      <c r="J231" s="103" t="s">
        <v>306</v>
      </c>
      <c r="K231" s="104">
        <v>8.5</v>
      </c>
    </row>
    <row r="232" customHeight="1" spans="1:11">
      <c r="A232" s="79">
        <v>46150</v>
      </c>
      <c r="B232" s="85" t="s">
        <v>22</v>
      </c>
      <c r="C232" s="85" t="s">
        <v>23</v>
      </c>
      <c r="D232" s="85" t="s">
        <v>485</v>
      </c>
      <c r="E232" s="85" t="s">
        <v>57</v>
      </c>
      <c r="F232" s="101" t="s">
        <v>58</v>
      </c>
      <c r="G232" s="85">
        <v>220</v>
      </c>
      <c r="H232" s="102" t="s">
        <v>27</v>
      </c>
      <c r="I232" s="101">
        <v>20</v>
      </c>
      <c r="J232" s="103" t="s">
        <v>306</v>
      </c>
      <c r="K232" s="104">
        <v>11</v>
      </c>
    </row>
    <row r="233" customHeight="1" spans="1:11">
      <c r="A233" s="79">
        <v>46150</v>
      </c>
      <c r="B233" s="85" t="s">
        <v>22</v>
      </c>
      <c r="C233" s="85" t="s">
        <v>23</v>
      </c>
      <c r="D233" s="85" t="s">
        <v>486</v>
      </c>
      <c r="E233" s="85" t="s">
        <v>51</v>
      </c>
      <c r="F233" s="101" t="s">
        <v>52</v>
      </c>
      <c r="G233" s="85">
        <v>216</v>
      </c>
      <c r="H233" s="102" t="s">
        <v>27</v>
      </c>
      <c r="I233" s="101">
        <v>36</v>
      </c>
      <c r="J233" s="103" t="s">
        <v>306</v>
      </c>
      <c r="K233" s="104">
        <v>6</v>
      </c>
    </row>
    <row r="234" customHeight="1" spans="1:11">
      <c r="A234" s="79">
        <v>46150</v>
      </c>
      <c r="B234" s="85" t="s">
        <v>22</v>
      </c>
      <c r="C234" s="85" t="s">
        <v>23</v>
      </c>
      <c r="D234" s="85" t="s">
        <v>487</v>
      </c>
      <c r="E234" s="85" t="s">
        <v>144</v>
      </c>
      <c r="F234" s="101" t="s">
        <v>145</v>
      </c>
      <c r="G234" s="85">
        <v>144</v>
      </c>
      <c r="H234" s="102" t="s">
        <v>27</v>
      </c>
      <c r="I234" s="101">
        <v>48</v>
      </c>
      <c r="J234" s="103" t="s">
        <v>306</v>
      </c>
      <c r="K234" s="104">
        <v>3</v>
      </c>
    </row>
    <row r="235" customHeight="1" spans="1:11">
      <c r="A235" s="79">
        <v>46150</v>
      </c>
      <c r="B235" s="85" t="s">
        <v>22</v>
      </c>
      <c r="C235" s="85" t="s">
        <v>23</v>
      </c>
      <c r="D235" s="85" t="s">
        <v>488</v>
      </c>
      <c r="E235" s="85" t="s">
        <v>147</v>
      </c>
      <c r="F235" s="101" t="s">
        <v>148</v>
      </c>
      <c r="G235" s="85">
        <v>240</v>
      </c>
      <c r="H235" s="102" t="s">
        <v>27</v>
      </c>
      <c r="I235" s="101">
        <v>24</v>
      </c>
      <c r="J235" s="103" t="s">
        <v>306</v>
      </c>
      <c r="K235" s="104">
        <v>10</v>
      </c>
    </row>
    <row r="236" customHeight="1" spans="1:11">
      <c r="A236" s="79" t="s">
        <v>489</v>
      </c>
      <c r="B236" s="85" t="s">
        <v>149</v>
      </c>
      <c r="C236" s="85" t="s">
        <v>150</v>
      </c>
      <c r="E236" s="85" t="s">
        <v>177</v>
      </c>
      <c r="F236" s="101" t="s">
        <v>178</v>
      </c>
      <c r="G236" s="85">
        <v>3000</v>
      </c>
      <c r="H236" s="102" t="s">
        <v>127</v>
      </c>
      <c r="I236" s="101">
        <v>12</v>
      </c>
      <c r="J236" s="103" t="s">
        <v>306</v>
      </c>
      <c r="K236" s="104">
        <v>250</v>
      </c>
    </row>
    <row r="237" customHeight="1" spans="1:11">
      <c r="A237" s="79">
        <v>46150</v>
      </c>
      <c r="B237" s="85" t="s">
        <v>209</v>
      </c>
      <c r="C237" s="85" t="s">
        <v>210</v>
      </c>
      <c r="D237" s="85" t="s">
        <v>490</v>
      </c>
      <c r="E237" s="85" t="s">
        <v>211</v>
      </c>
      <c r="F237" s="101" t="s">
        <v>212</v>
      </c>
      <c r="G237" s="85">
        <v>3360</v>
      </c>
      <c r="H237" s="102" t="s">
        <v>27</v>
      </c>
      <c r="I237" s="101">
        <v>84</v>
      </c>
      <c r="J237" s="103" t="s">
        <v>306</v>
      </c>
      <c r="K237" s="104">
        <v>40</v>
      </c>
    </row>
    <row r="238" customHeight="1" spans="1:11">
      <c r="A238" s="79">
        <v>46150</v>
      </c>
      <c r="B238" s="85" t="s">
        <v>213</v>
      </c>
      <c r="C238" s="85" t="s">
        <v>214</v>
      </c>
      <c r="D238" s="85" t="s">
        <v>491</v>
      </c>
      <c r="E238" s="85" t="s">
        <v>224</v>
      </c>
      <c r="F238" s="101" t="s">
        <v>225</v>
      </c>
      <c r="G238" s="85">
        <v>396</v>
      </c>
      <c r="H238" s="102" t="s">
        <v>218</v>
      </c>
      <c r="I238" s="101">
        <v>66</v>
      </c>
      <c r="J238" s="103" t="s">
        <v>306</v>
      </c>
      <c r="K238" s="104">
        <v>6</v>
      </c>
    </row>
    <row r="239" customHeight="1" spans="1:11">
      <c r="A239" s="79">
        <v>46150</v>
      </c>
      <c r="B239" s="85" t="s">
        <v>213</v>
      </c>
      <c r="C239" s="85" t="s">
        <v>214</v>
      </c>
      <c r="D239" s="85" t="s">
        <v>491</v>
      </c>
      <c r="E239" s="85" t="s">
        <v>220</v>
      </c>
      <c r="F239" s="101" t="s">
        <v>221</v>
      </c>
      <c r="G239" s="85">
        <v>756</v>
      </c>
      <c r="H239" s="102" t="s">
        <v>218</v>
      </c>
      <c r="I239" s="101">
        <v>54</v>
      </c>
      <c r="J239" s="103" t="s">
        <v>306</v>
      </c>
      <c r="K239" s="104">
        <v>14</v>
      </c>
    </row>
    <row r="240" customHeight="1" spans="1:11">
      <c r="A240" s="79">
        <v>46150</v>
      </c>
      <c r="B240" s="85" t="s">
        <v>213</v>
      </c>
      <c r="C240" s="85" t="s">
        <v>214</v>
      </c>
      <c r="D240" s="85" t="s">
        <v>491</v>
      </c>
      <c r="E240" s="85" t="s">
        <v>222</v>
      </c>
      <c r="F240" s="101" t="s">
        <v>223</v>
      </c>
      <c r="G240" s="85">
        <v>726</v>
      </c>
      <c r="H240" s="102" t="s">
        <v>218</v>
      </c>
      <c r="I240" s="101">
        <v>66</v>
      </c>
      <c r="J240" s="103" t="s">
        <v>306</v>
      </c>
      <c r="K240" s="104">
        <v>11</v>
      </c>
    </row>
    <row r="241" customHeight="1" spans="1:11">
      <c r="A241" s="79">
        <v>46150</v>
      </c>
      <c r="B241" s="85" t="s">
        <v>213</v>
      </c>
      <c r="C241" s="85" t="s">
        <v>214</v>
      </c>
      <c r="D241" s="85" t="s">
        <v>491</v>
      </c>
      <c r="E241" s="85" t="s">
        <v>216</v>
      </c>
      <c r="F241" s="101" t="s">
        <v>217</v>
      </c>
      <c r="G241" s="85">
        <v>176</v>
      </c>
      <c r="H241" s="102" t="s">
        <v>218</v>
      </c>
      <c r="I241" s="101">
        <v>176</v>
      </c>
      <c r="J241" s="103" t="s">
        <v>306</v>
      </c>
      <c r="K241" s="104">
        <v>1</v>
      </c>
    </row>
    <row r="242" customHeight="1" spans="1:11">
      <c r="A242" s="79">
        <v>46150</v>
      </c>
      <c r="B242" s="85" t="s">
        <v>247</v>
      </c>
      <c r="C242" s="85" t="s">
        <v>248</v>
      </c>
      <c r="E242" s="85" t="s">
        <v>251</v>
      </c>
      <c r="F242" s="101" t="s">
        <v>252</v>
      </c>
      <c r="G242" s="85">
        <v>990</v>
      </c>
      <c r="H242" s="102" t="s">
        <v>218</v>
      </c>
      <c r="I242" s="101">
        <v>45</v>
      </c>
      <c r="J242" s="103">
        <v>22</v>
      </c>
      <c r="K242" s="104" t="s">
        <v>306</v>
      </c>
    </row>
    <row r="243" customHeight="1" spans="1:11">
      <c r="A243" s="79">
        <v>46150</v>
      </c>
      <c r="B243" s="85" t="s">
        <v>267</v>
      </c>
      <c r="C243" s="85" t="s">
        <v>268</v>
      </c>
      <c r="D243" s="85">
        <v>6500002937</v>
      </c>
      <c r="E243" s="85" t="s">
        <v>269</v>
      </c>
      <c r="F243" s="101" t="s">
        <v>270</v>
      </c>
      <c r="G243" s="85">
        <v>1728</v>
      </c>
      <c r="H243" s="102" t="s">
        <v>27</v>
      </c>
      <c r="I243" s="101">
        <v>12</v>
      </c>
      <c r="J243" s="103" t="s">
        <v>306</v>
      </c>
      <c r="K243" s="104">
        <v>144</v>
      </c>
    </row>
    <row r="244" customHeight="1" spans="1:11">
      <c r="A244" s="79">
        <v>46150</v>
      </c>
      <c r="B244" s="85" t="s">
        <v>267</v>
      </c>
      <c r="C244" s="85" t="s">
        <v>268</v>
      </c>
      <c r="D244" s="85">
        <v>6500002937</v>
      </c>
      <c r="E244" s="85" t="s">
        <v>271</v>
      </c>
      <c r="F244" s="101" t="s">
        <v>272</v>
      </c>
      <c r="G244" s="85">
        <v>1728</v>
      </c>
      <c r="H244" s="102" t="s">
        <v>27</v>
      </c>
      <c r="I244" s="101">
        <v>12</v>
      </c>
      <c r="J244" s="103" t="s">
        <v>306</v>
      </c>
      <c r="K244" s="104">
        <v>144</v>
      </c>
    </row>
    <row r="245" customHeight="1" spans="1:11">
      <c r="A245" s="79">
        <v>46150</v>
      </c>
      <c r="B245" s="85" t="s">
        <v>281</v>
      </c>
      <c r="C245" s="85" t="s">
        <v>282</v>
      </c>
      <c r="D245" s="85" t="s">
        <v>492</v>
      </c>
      <c r="E245" s="85" t="s">
        <v>283</v>
      </c>
      <c r="F245" s="101" t="s">
        <v>284</v>
      </c>
      <c r="G245" s="85">
        <v>1000</v>
      </c>
      <c r="H245" s="102" t="s">
        <v>218</v>
      </c>
      <c r="I245" s="101">
        <v>125</v>
      </c>
      <c r="J245" s="103" t="s">
        <v>306</v>
      </c>
      <c r="K245" s="104">
        <v>8</v>
      </c>
    </row>
    <row r="246" customHeight="1" spans="1:11">
      <c r="A246" s="79">
        <v>46150</v>
      </c>
      <c r="B246" s="85" t="s">
        <v>281</v>
      </c>
      <c r="C246" s="85" t="s">
        <v>282</v>
      </c>
      <c r="D246" s="85" t="s">
        <v>493</v>
      </c>
      <c r="E246" s="85" t="s">
        <v>283</v>
      </c>
      <c r="F246" s="101" t="s">
        <v>284</v>
      </c>
      <c r="G246" s="85">
        <v>1000</v>
      </c>
      <c r="H246" s="102" t="s">
        <v>218</v>
      </c>
      <c r="I246" s="101">
        <v>125</v>
      </c>
      <c r="J246" s="103" t="s">
        <v>306</v>
      </c>
      <c r="K246" s="104">
        <v>8</v>
      </c>
    </row>
    <row r="247" customHeight="1" spans="1:11">
      <c r="A247" s="79">
        <v>46151</v>
      </c>
      <c r="B247" s="85" t="s">
        <v>22</v>
      </c>
      <c r="C247" s="85" t="s">
        <v>23</v>
      </c>
      <c r="D247" s="85" t="s">
        <v>494</v>
      </c>
      <c r="E247" s="85" t="s">
        <v>144</v>
      </c>
      <c r="F247" s="101" t="s">
        <v>145</v>
      </c>
      <c r="G247" s="85">
        <v>144</v>
      </c>
      <c r="H247" s="102" t="s">
        <v>27</v>
      </c>
      <c r="I247" s="101">
        <v>48</v>
      </c>
      <c r="J247" s="103" t="s">
        <v>306</v>
      </c>
      <c r="K247" s="104">
        <v>3</v>
      </c>
    </row>
    <row r="248" customHeight="1" spans="1:11">
      <c r="A248" s="79">
        <v>46151</v>
      </c>
      <c r="B248" s="85" t="s">
        <v>22</v>
      </c>
      <c r="C248" s="85" t="s">
        <v>23</v>
      </c>
      <c r="D248" s="85" t="s">
        <v>495</v>
      </c>
      <c r="E248" s="85" t="s">
        <v>147</v>
      </c>
      <c r="F248" s="101" t="s">
        <v>148</v>
      </c>
      <c r="G248" s="85">
        <v>216</v>
      </c>
      <c r="H248" s="102" t="s">
        <v>27</v>
      </c>
      <c r="I248" s="101">
        <v>24</v>
      </c>
      <c r="J248" s="103" t="s">
        <v>306</v>
      </c>
      <c r="K248" s="104">
        <v>9</v>
      </c>
    </row>
    <row r="249" customHeight="1" spans="1:11">
      <c r="A249" s="79">
        <v>46151</v>
      </c>
      <c r="B249" s="85" t="s">
        <v>22</v>
      </c>
      <c r="C249" s="85" t="s">
        <v>23</v>
      </c>
      <c r="D249" s="85" t="s">
        <v>496</v>
      </c>
      <c r="E249" s="85" t="s">
        <v>63</v>
      </c>
      <c r="F249" s="101" t="s">
        <v>64</v>
      </c>
      <c r="G249" s="85">
        <v>16</v>
      </c>
      <c r="H249" s="102" t="s">
        <v>27</v>
      </c>
      <c r="I249" s="101">
        <v>12</v>
      </c>
      <c r="J249" s="103" t="s">
        <v>306</v>
      </c>
      <c r="K249" s="104">
        <v>1.33333333333333</v>
      </c>
    </row>
    <row r="250" customHeight="1" spans="1:11">
      <c r="A250" s="79">
        <v>46151</v>
      </c>
      <c r="B250" s="85" t="s">
        <v>22</v>
      </c>
      <c r="C250" s="85" t="s">
        <v>23</v>
      </c>
      <c r="D250" s="85" t="s">
        <v>497</v>
      </c>
      <c r="E250" s="85" t="s">
        <v>30</v>
      </c>
      <c r="F250" s="101" t="s">
        <v>31</v>
      </c>
      <c r="G250" s="85">
        <v>1290</v>
      </c>
      <c r="H250" s="102" t="s">
        <v>27</v>
      </c>
      <c r="I250" s="101">
        <v>162</v>
      </c>
      <c r="J250" s="103" t="s">
        <v>306</v>
      </c>
      <c r="K250" s="104">
        <v>7.96296296296296</v>
      </c>
    </row>
    <row r="251" customHeight="1" spans="1:11">
      <c r="A251" s="79">
        <v>46151</v>
      </c>
      <c r="B251" s="85" t="s">
        <v>22</v>
      </c>
      <c r="C251" s="85" t="s">
        <v>23</v>
      </c>
      <c r="D251" s="85" t="s">
        <v>498</v>
      </c>
      <c r="E251" s="85" t="s">
        <v>42</v>
      </c>
      <c r="F251" s="101" t="s">
        <v>43</v>
      </c>
      <c r="G251" s="85">
        <v>720</v>
      </c>
      <c r="H251" s="102" t="s">
        <v>27</v>
      </c>
      <c r="I251" s="101">
        <v>36</v>
      </c>
      <c r="J251" s="103" t="s">
        <v>306</v>
      </c>
      <c r="K251" s="104">
        <v>20</v>
      </c>
    </row>
    <row r="252" customHeight="1" spans="1:11">
      <c r="A252" s="79">
        <v>46151</v>
      </c>
      <c r="B252" s="85" t="s">
        <v>22</v>
      </c>
      <c r="C252" s="85" t="s">
        <v>23</v>
      </c>
      <c r="D252" s="85" t="s">
        <v>499</v>
      </c>
      <c r="E252" s="85" t="s">
        <v>87</v>
      </c>
      <c r="F252" s="101" t="s">
        <v>88</v>
      </c>
      <c r="G252" s="85">
        <v>2592</v>
      </c>
      <c r="H252" s="102" t="s">
        <v>27</v>
      </c>
      <c r="I252" s="101">
        <v>108</v>
      </c>
      <c r="J252" s="103" t="s">
        <v>306</v>
      </c>
      <c r="K252" s="104">
        <v>24</v>
      </c>
    </row>
    <row r="253" customHeight="1" spans="1:11">
      <c r="A253" s="79">
        <v>46151</v>
      </c>
      <c r="B253" s="85" t="s">
        <v>22</v>
      </c>
      <c r="C253" s="85" t="s">
        <v>23</v>
      </c>
      <c r="D253" s="85" t="s">
        <v>500</v>
      </c>
      <c r="E253" s="85" t="s">
        <v>87</v>
      </c>
      <c r="F253" s="101" t="s">
        <v>88</v>
      </c>
      <c r="G253" s="85">
        <v>432</v>
      </c>
      <c r="H253" s="102" t="s">
        <v>27</v>
      </c>
      <c r="I253" s="101">
        <v>108</v>
      </c>
      <c r="J253" s="103" t="s">
        <v>306</v>
      </c>
      <c r="K253" s="104">
        <v>4</v>
      </c>
    </row>
    <row r="254" customHeight="1" spans="1:11">
      <c r="A254" s="79">
        <v>46151</v>
      </c>
      <c r="B254" s="85" t="s">
        <v>22</v>
      </c>
      <c r="C254" s="85" t="s">
        <v>23</v>
      </c>
      <c r="D254" s="85" t="s">
        <v>501</v>
      </c>
      <c r="E254" s="85" t="s">
        <v>69</v>
      </c>
      <c r="F254" s="101" t="s">
        <v>70</v>
      </c>
      <c r="G254" s="85">
        <v>120</v>
      </c>
      <c r="H254" s="102" t="s">
        <v>27</v>
      </c>
      <c r="I254" s="101">
        <v>24</v>
      </c>
      <c r="J254" s="103" t="s">
        <v>306</v>
      </c>
      <c r="K254" s="104">
        <v>5</v>
      </c>
    </row>
    <row r="255" customHeight="1" spans="1:11">
      <c r="A255" s="79">
        <v>46151</v>
      </c>
      <c r="B255" s="85" t="s">
        <v>22</v>
      </c>
      <c r="C255" s="85" t="s">
        <v>23</v>
      </c>
      <c r="D255" s="85" t="s">
        <v>502</v>
      </c>
      <c r="E255" s="85" t="s">
        <v>25</v>
      </c>
      <c r="F255" s="101" t="s">
        <v>26</v>
      </c>
      <c r="G255" s="85">
        <v>123</v>
      </c>
      <c r="H255" s="102" t="s">
        <v>27</v>
      </c>
      <c r="I255" s="101">
        <v>162</v>
      </c>
      <c r="J255" s="103" t="s">
        <v>306</v>
      </c>
      <c r="K255" s="104">
        <v>0.759259259259259</v>
      </c>
    </row>
    <row r="256" customHeight="1" spans="1:11">
      <c r="A256" s="79">
        <v>46151</v>
      </c>
      <c r="B256" s="85" t="s">
        <v>22</v>
      </c>
      <c r="C256" s="85" t="s">
        <v>23</v>
      </c>
      <c r="D256" s="85" t="s">
        <v>503</v>
      </c>
      <c r="E256" s="85" t="s">
        <v>81</v>
      </c>
      <c r="F256" s="101" t="s">
        <v>82</v>
      </c>
      <c r="G256" s="85">
        <v>492</v>
      </c>
      <c r="H256" s="102" t="s">
        <v>27</v>
      </c>
      <c r="I256" s="101">
        <v>72</v>
      </c>
      <c r="J256" s="103" t="s">
        <v>306</v>
      </c>
      <c r="K256" s="104">
        <v>6.83333333333333</v>
      </c>
    </row>
    <row r="257" customHeight="1" spans="1:11">
      <c r="A257" s="79">
        <v>46151</v>
      </c>
      <c r="B257" s="85" t="s">
        <v>22</v>
      </c>
      <c r="C257" s="85" t="s">
        <v>23</v>
      </c>
      <c r="D257" s="85" t="s">
        <v>504</v>
      </c>
      <c r="E257" s="85" t="s">
        <v>114</v>
      </c>
      <c r="F257" s="101" t="s">
        <v>94</v>
      </c>
      <c r="G257" s="85">
        <v>199</v>
      </c>
      <c r="H257" s="102" t="s">
        <v>27</v>
      </c>
      <c r="I257" s="101">
        <v>54</v>
      </c>
      <c r="J257" s="103" t="s">
        <v>306</v>
      </c>
      <c r="K257" s="104">
        <v>3.68518518518518</v>
      </c>
    </row>
    <row r="258" customHeight="1" spans="1:11">
      <c r="A258" s="79">
        <v>46151</v>
      </c>
      <c r="B258" s="85" t="s">
        <v>22</v>
      </c>
      <c r="C258" s="85" t="s">
        <v>23</v>
      </c>
      <c r="D258" s="85" t="s">
        <v>505</v>
      </c>
      <c r="E258" s="85" t="s">
        <v>111</v>
      </c>
      <c r="F258" s="101" t="s">
        <v>112</v>
      </c>
      <c r="G258" s="85">
        <v>544</v>
      </c>
      <c r="H258" s="102" t="s">
        <v>27</v>
      </c>
      <c r="I258" s="101">
        <v>8</v>
      </c>
      <c r="J258" s="103" t="s">
        <v>306</v>
      </c>
      <c r="K258" s="104">
        <v>68</v>
      </c>
    </row>
    <row r="259" customHeight="1" spans="1:11">
      <c r="A259" s="79">
        <v>46151</v>
      </c>
      <c r="B259" s="85" t="s">
        <v>22</v>
      </c>
      <c r="C259" s="85" t="s">
        <v>23</v>
      </c>
      <c r="D259" s="85" t="s">
        <v>506</v>
      </c>
      <c r="E259" s="85" t="s">
        <v>54</v>
      </c>
      <c r="F259" s="101" t="s">
        <v>55</v>
      </c>
      <c r="G259" s="85">
        <v>380</v>
      </c>
      <c r="H259" s="102" t="s">
        <v>27</v>
      </c>
      <c r="I259" s="101">
        <v>20</v>
      </c>
      <c r="J259" s="103" t="s">
        <v>306</v>
      </c>
      <c r="K259" s="104">
        <v>19</v>
      </c>
    </row>
    <row r="260" customHeight="1" spans="1:11">
      <c r="A260" s="79">
        <v>46151</v>
      </c>
      <c r="B260" s="85" t="s">
        <v>22</v>
      </c>
      <c r="C260" s="85" t="s">
        <v>23</v>
      </c>
      <c r="D260" s="85" t="s">
        <v>507</v>
      </c>
      <c r="E260" s="85" t="s">
        <v>57</v>
      </c>
      <c r="F260" s="101" t="s">
        <v>58</v>
      </c>
      <c r="G260" s="85">
        <v>480</v>
      </c>
      <c r="H260" s="102" t="s">
        <v>27</v>
      </c>
      <c r="I260" s="101">
        <v>20</v>
      </c>
      <c r="J260" s="103" t="s">
        <v>306</v>
      </c>
      <c r="K260" s="104">
        <v>24</v>
      </c>
    </row>
    <row r="261" customHeight="1" spans="1:11">
      <c r="A261" s="79">
        <v>46151</v>
      </c>
      <c r="B261" s="85" t="s">
        <v>22</v>
      </c>
      <c r="C261" s="85" t="s">
        <v>23</v>
      </c>
      <c r="D261" s="85" t="s">
        <v>508</v>
      </c>
      <c r="E261" s="85" t="s">
        <v>78</v>
      </c>
      <c r="F261" s="101" t="s">
        <v>79</v>
      </c>
      <c r="G261" s="85">
        <v>1368</v>
      </c>
      <c r="H261" s="102" t="s">
        <v>27</v>
      </c>
      <c r="I261" s="101">
        <v>72</v>
      </c>
      <c r="J261" s="103" t="s">
        <v>306</v>
      </c>
      <c r="K261" s="104">
        <v>19</v>
      </c>
    </row>
    <row r="262" customHeight="1" spans="1:11">
      <c r="A262" s="79">
        <v>46151</v>
      </c>
      <c r="B262" s="85" t="s">
        <v>22</v>
      </c>
      <c r="C262" s="85" t="s">
        <v>23</v>
      </c>
      <c r="D262" s="85" t="s">
        <v>509</v>
      </c>
      <c r="E262" s="85" t="s">
        <v>42</v>
      </c>
      <c r="F262" s="101" t="s">
        <v>43</v>
      </c>
      <c r="G262" s="85">
        <v>504</v>
      </c>
      <c r="H262" s="102" t="s">
        <v>27</v>
      </c>
      <c r="I262" s="101">
        <v>36</v>
      </c>
      <c r="J262" s="103" t="s">
        <v>306</v>
      </c>
      <c r="K262" s="104">
        <v>14</v>
      </c>
    </row>
    <row r="263" customHeight="1" spans="1:11">
      <c r="A263" s="79">
        <v>46151</v>
      </c>
      <c r="B263" s="85" t="s">
        <v>22</v>
      </c>
      <c r="C263" s="85" t="s">
        <v>23</v>
      </c>
      <c r="D263" s="85" t="s">
        <v>510</v>
      </c>
      <c r="E263" s="85" t="s">
        <v>63</v>
      </c>
      <c r="F263" s="101" t="s">
        <v>64</v>
      </c>
      <c r="G263" s="85">
        <v>264</v>
      </c>
      <c r="H263" s="102" t="s">
        <v>27</v>
      </c>
      <c r="I263" s="101">
        <v>12</v>
      </c>
      <c r="J263" s="103" t="s">
        <v>306</v>
      </c>
      <c r="K263" s="104">
        <v>22</v>
      </c>
    </row>
    <row r="264" customHeight="1" spans="1:11">
      <c r="A264" s="79">
        <v>46151</v>
      </c>
      <c r="B264" s="85" t="s">
        <v>22</v>
      </c>
      <c r="C264" s="85" t="s">
        <v>23</v>
      </c>
      <c r="D264" s="85" t="s">
        <v>511</v>
      </c>
      <c r="E264" s="85" t="s">
        <v>33</v>
      </c>
      <c r="F264" s="101" t="s">
        <v>34</v>
      </c>
      <c r="G264" s="85">
        <v>504</v>
      </c>
      <c r="H264" s="102" t="s">
        <v>27</v>
      </c>
      <c r="I264" s="101">
        <v>36</v>
      </c>
      <c r="J264" s="103" t="s">
        <v>306</v>
      </c>
      <c r="K264" s="104">
        <v>14</v>
      </c>
    </row>
    <row r="265" customHeight="1" spans="1:11">
      <c r="A265" s="79">
        <v>46151</v>
      </c>
      <c r="B265" s="85" t="s">
        <v>22</v>
      </c>
      <c r="C265" s="85" t="s">
        <v>23</v>
      </c>
      <c r="D265" s="85" t="s">
        <v>512</v>
      </c>
      <c r="E265" s="85" t="s">
        <v>36</v>
      </c>
      <c r="F265" s="101" t="s">
        <v>37</v>
      </c>
      <c r="G265" s="85">
        <v>324</v>
      </c>
      <c r="H265" s="102" t="s">
        <v>27</v>
      </c>
      <c r="I265" s="101">
        <v>36</v>
      </c>
      <c r="J265" s="103" t="s">
        <v>306</v>
      </c>
      <c r="K265" s="104">
        <v>9</v>
      </c>
    </row>
    <row r="266" customHeight="1" spans="1:11">
      <c r="A266" s="79">
        <v>46151</v>
      </c>
      <c r="B266" s="85" t="s">
        <v>22</v>
      </c>
      <c r="C266" s="85" t="s">
        <v>23</v>
      </c>
      <c r="D266" s="85" t="s">
        <v>513</v>
      </c>
      <c r="E266" s="85" t="s">
        <v>39</v>
      </c>
      <c r="F266" s="101" t="s">
        <v>40</v>
      </c>
      <c r="G266" s="85">
        <v>72</v>
      </c>
      <c r="H266" s="102" t="s">
        <v>27</v>
      </c>
      <c r="I266" s="101">
        <v>36</v>
      </c>
      <c r="J266" s="103" t="s">
        <v>306</v>
      </c>
      <c r="K266" s="104">
        <v>2</v>
      </c>
    </row>
    <row r="267" customHeight="1" spans="1:11">
      <c r="A267" s="79">
        <v>46151</v>
      </c>
      <c r="B267" s="85" t="s">
        <v>22</v>
      </c>
      <c r="C267" s="85" t="s">
        <v>23</v>
      </c>
      <c r="D267" s="85" t="s">
        <v>514</v>
      </c>
      <c r="E267" s="85" t="s">
        <v>36</v>
      </c>
      <c r="F267" s="101" t="s">
        <v>37</v>
      </c>
      <c r="G267" s="85">
        <v>396</v>
      </c>
      <c r="H267" s="102" t="s">
        <v>27</v>
      </c>
      <c r="I267" s="101">
        <v>36</v>
      </c>
      <c r="J267" s="103" t="s">
        <v>306</v>
      </c>
      <c r="K267" s="104">
        <v>11</v>
      </c>
    </row>
    <row r="268" customHeight="1" spans="1:11">
      <c r="A268" s="79">
        <v>46151</v>
      </c>
      <c r="B268" s="85" t="s">
        <v>22</v>
      </c>
      <c r="C268" s="85" t="s">
        <v>23</v>
      </c>
      <c r="D268" s="85" t="s">
        <v>515</v>
      </c>
      <c r="E268" s="85" t="s">
        <v>51</v>
      </c>
      <c r="F268" s="101" t="s">
        <v>52</v>
      </c>
      <c r="G268" s="85">
        <v>396</v>
      </c>
      <c r="H268" s="102" t="s">
        <v>27</v>
      </c>
      <c r="I268" s="101">
        <v>36</v>
      </c>
      <c r="J268" s="103" t="s">
        <v>306</v>
      </c>
      <c r="K268" s="104">
        <v>11</v>
      </c>
    </row>
    <row r="269" customHeight="1" spans="1:11">
      <c r="A269" s="79">
        <v>46151</v>
      </c>
      <c r="B269" s="85" t="s">
        <v>22</v>
      </c>
      <c r="C269" s="85" t="s">
        <v>23</v>
      </c>
      <c r="D269" s="85" t="s">
        <v>516</v>
      </c>
      <c r="E269" s="85" t="s">
        <v>63</v>
      </c>
      <c r="F269" s="101" t="s">
        <v>64</v>
      </c>
      <c r="G269" s="85">
        <v>156</v>
      </c>
      <c r="H269" s="102" t="s">
        <v>27</v>
      </c>
      <c r="I269" s="101">
        <v>12</v>
      </c>
      <c r="J269" s="103" t="s">
        <v>306</v>
      </c>
      <c r="K269" s="104">
        <v>13</v>
      </c>
    </row>
    <row r="270" customHeight="1" spans="1:11">
      <c r="A270" s="79">
        <v>46151</v>
      </c>
      <c r="B270" s="85" t="s">
        <v>22</v>
      </c>
      <c r="C270" s="85" t="s">
        <v>23</v>
      </c>
      <c r="D270" s="85" t="s">
        <v>517</v>
      </c>
      <c r="E270" s="85" t="s">
        <v>54</v>
      </c>
      <c r="F270" s="101" t="s">
        <v>55</v>
      </c>
      <c r="G270" s="85">
        <v>100</v>
      </c>
      <c r="H270" s="102" t="s">
        <v>27</v>
      </c>
      <c r="I270" s="101">
        <v>20</v>
      </c>
      <c r="J270" s="103" t="s">
        <v>306</v>
      </c>
      <c r="K270" s="104">
        <v>5</v>
      </c>
    </row>
    <row r="271" customHeight="1" spans="1:11">
      <c r="A271" s="79">
        <v>46151</v>
      </c>
      <c r="B271" s="85" t="s">
        <v>22</v>
      </c>
      <c r="C271" s="85" t="s">
        <v>23</v>
      </c>
      <c r="D271" s="85" t="s">
        <v>518</v>
      </c>
      <c r="E271" s="85" t="s">
        <v>57</v>
      </c>
      <c r="F271" s="101" t="s">
        <v>58</v>
      </c>
      <c r="G271" s="85">
        <v>300</v>
      </c>
      <c r="H271" s="102" t="s">
        <v>27</v>
      </c>
      <c r="I271" s="101">
        <v>20</v>
      </c>
      <c r="J271" s="103" t="s">
        <v>306</v>
      </c>
      <c r="K271" s="104">
        <v>15</v>
      </c>
    </row>
    <row r="272" customHeight="1" spans="1:11">
      <c r="A272" s="79">
        <v>46151</v>
      </c>
      <c r="B272" s="85" t="s">
        <v>213</v>
      </c>
      <c r="C272" s="85" t="s">
        <v>214</v>
      </c>
      <c r="D272" s="85" t="s">
        <v>519</v>
      </c>
      <c r="E272" s="85" t="s">
        <v>220</v>
      </c>
      <c r="F272" s="101" t="s">
        <v>221</v>
      </c>
      <c r="G272" s="85">
        <v>702</v>
      </c>
      <c r="H272" s="102" t="s">
        <v>218</v>
      </c>
      <c r="I272" s="101">
        <v>54</v>
      </c>
      <c r="J272" s="103" t="s">
        <v>306</v>
      </c>
      <c r="K272" s="104">
        <v>13</v>
      </c>
    </row>
    <row r="273" customHeight="1" spans="1:11">
      <c r="A273" s="79">
        <v>46151</v>
      </c>
      <c r="B273" s="85" t="s">
        <v>213</v>
      </c>
      <c r="C273" s="85" t="s">
        <v>214</v>
      </c>
      <c r="D273" s="85" t="s">
        <v>519</v>
      </c>
      <c r="E273" s="85" t="s">
        <v>222</v>
      </c>
      <c r="F273" s="101" t="s">
        <v>223</v>
      </c>
      <c r="G273" s="85">
        <v>726</v>
      </c>
      <c r="H273" s="102" t="s">
        <v>218</v>
      </c>
      <c r="I273" s="101">
        <v>66</v>
      </c>
      <c r="J273" s="103" t="s">
        <v>306</v>
      </c>
      <c r="K273" s="104">
        <v>11</v>
      </c>
    </row>
    <row r="274" customHeight="1" spans="1:11">
      <c r="A274" s="79">
        <v>46151</v>
      </c>
      <c r="B274" s="85" t="s">
        <v>213</v>
      </c>
      <c r="C274" s="85" t="s">
        <v>214</v>
      </c>
      <c r="D274" s="85" t="s">
        <v>519</v>
      </c>
      <c r="E274" s="85" t="s">
        <v>216</v>
      </c>
      <c r="F274" s="101" t="s">
        <v>217</v>
      </c>
      <c r="G274" s="85">
        <v>352</v>
      </c>
      <c r="H274" s="102" t="s">
        <v>218</v>
      </c>
      <c r="I274" s="101">
        <v>176</v>
      </c>
      <c r="J274" s="103" t="s">
        <v>306</v>
      </c>
      <c r="K274" s="104">
        <v>2</v>
      </c>
    </row>
    <row r="275" customHeight="1" spans="1:11">
      <c r="A275" s="79">
        <v>46151</v>
      </c>
      <c r="B275" s="85" t="s">
        <v>228</v>
      </c>
      <c r="C275" s="85" t="s">
        <v>229</v>
      </c>
      <c r="D275" s="85">
        <v>1261041779</v>
      </c>
      <c r="E275" s="85" t="s">
        <v>232</v>
      </c>
      <c r="F275" s="101" t="s">
        <v>233</v>
      </c>
      <c r="G275" s="85">
        <v>432</v>
      </c>
      <c r="H275" s="102" t="s">
        <v>218</v>
      </c>
      <c r="I275" s="101">
        <v>48</v>
      </c>
      <c r="J275" s="103" t="s">
        <v>306</v>
      </c>
      <c r="K275" s="104">
        <v>9</v>
      </c>
    </row>
    <row r="276" customHeight="1" spans="1:11">
      <c r="A276" s="79">
        <v>46151</v>
      </c>
      <c r="B276" s="85" t="s">
        <v>228</v>
      </c>
      <c r="C276" s="85" t="s">
        <v>229</v>
      </c>
      <c r="D276" s="85">
        <v>1261041772</v>
      </c>
      <c r="E276" s="85" t="s">
        <v>236</v>
      </c>
      <c r="F276" s="101" t="s">
        <v>231</v>
      </c>
      <c r="G276" s="85">
        <v>528</v>
      </c>
      <c r="H276" s="102" t="s">
        <v>218</v>
      </c>
      <c r="I276" s="101">
        <v>24</v>
      </c>
      <c r="J276" s="103" t="s">
        <v>306</v>
      </c>
      <c r="K276" s="104">
        <v>22</v>
      </c>
    </row>
    <row r="277" customHeight="1" spans="1:11">
      <c r="A277" s="79">
        <v>46151</v>
      </c>
      <c r="B277" s="85" t="s">
        <v>255</v>
      </c>
      <c r="C277" s="85" t="s">
        <v>256</v>
      </c>
      <c r="D277" s="85" t="s">
        <v>520</v>
      </c>
      <c r="E277" s="85" t="s">
        <v>261</v>
      </c>
      <c r="F277" s="101" t="s">
        <v>262</v>
      </c>
      <c r="G277" s="85">
        <v>20000</v>
      </c>
      <c r="H277" s="102" t="s">
        <v>260</v>
      </c>
      <c r="I277" s="101">
        <v>25</v>
      </c>
      <c r="J277" s="103" t="s">
        <v>306</v>
      </c>
      <c r="K277" s="104">
        <v>800</v>
      </c>
    </row>
    <row r="278" customHeight="1" spans="1:11">
      <c r="A278" s="79">
        <v>46151</v>
      </c>
      <c r="B278" s="85" t="s">
        <v>281</v>
      </c>
      <c r="C278" s="85" t="s">
        <v>282</v>
      </c>
      <c r="D278" s="85" t="s">
        <v>521</v>
      </c>
      <c r="E278" s="85" t="s">
        <v>283</v>
      </c>
      <c r="F278" s="101" t="s">
        <v>284</v>
      </c>
      <c r="G278" s="85">
        <v>875</v>
      </c>
      <c r="H278" s="102" t="s">
        <v>218</v>
      </c>
      <c r="I278" s="101">
        <v>125</v>
      </c>
      <c r="J278" s="103" t="s">
        <v>306</v>
      </c>
      <c r="K278" s="104">
        <v>7</v>
      </c>
    </row>
    <row r="279" customHeight="1" spans="1:11">
      <c r="A279" s="79">
        <v>46151</v>
      </c>
      <c r="B279" s="85" t="s">
        <v>281</v>
      </c>
      <c r="C279" s="85" t="s">
        <v>282</v>
      </c>
      <c r="D279" s="85">
        <v>111943</v>
      </c>
      <c r="E279" s="85" t="s">
        <v>285</v>
      </c>
      <c r="F279" s="101" t="s">
        <v>286</v>
      </c>
      <c r="G279" s="85">
        <v>70</v>
      </c>
      <c r="H279" s="102" t="s">
        <v>218</v>
      </c>
      <c r="I279" s="101">
        <v>6</v>
      </c>
      <c r="J279" s="103" t="s">
        <v>306</v>
      </c>
      <c r="K279" s="104">
        <v>11.6666666666667</v>
      </c>
    </row>
    <row r="280" customHeight="1" spans="1:11">
      <c r="A280" s="79">
        <v>46152</v>
      </c>
      <c r="B280" s="85" t="s">
        <v>22</v>
      </c>
      <c r="C280" s="85" t="s">
        <v>23</v>
      </c>
      <c r="D280" s="85" t="s">
        <v>522</v>
      </c>
      <c r="E280" s="85" t="s">
        <v>147</v>
      </c>
      <c r="F280" s="101" t="s">
        <v>148</v>
      </c>
      <c r="G280" s="85">
        <v>408</v>
      </c>
      <c r="H280" s="102" t="s">
        <v>27</v>
      </c>
      <c r="I280" s="101">
        <v>24</v>
      </c>
      <c r="J280" s="103" t="s">
        <v>306</v>
      </c>
      <c r="K280" s="104">
        <v>17</v>
      </c>
    </row>
    <row r="281" customHeight="1" spans="1:11">
      <c r="A281" s="79">
        <v>46152</v>
      </c>
      <c r="B281" s="85" t="s">
        <v>22</v>
      </c>
      <c r="C281" s="85" t="s">
        <v>23</v>
      </c>
      <c r="D281" s="85" t="s">
        <v>523</v>
      </c>
      <c r="E281" s="85" t="s">
        <v>144</v>
      </c>
      <c r="F281" s="101" t="s">
        <v>145</v>
      </c>
      <c r="G281" s="85">
        <v>240</v>
      </c>
      <c r="H281" s="102" t="s">
        <v>27</v>
      </c>
      <c r="I281" s="101">
        <v>48</v>
      </c>
      <c r="J281" s="103" t="s">
        <v>306</v>
      </c>
      <c r="K281" s="104">
        <v>5</v>
      </c>
    </row>
    <row r="282" customHeight="1" spans="1:11">
      <c r="A282" s="79">
        <v>46152</v>
      </c>
      <c r="B282" s="85" t="s">
        <v>22</v>
      </c>
      <c r="C282" s="85" t="s">
        <v>23</v>
      </c>
      <c r="D282" s="85" t="s">
        <v>524</v>
      </c>
      <c r="E282" s="85" t="s">
        <v>69</v>
      </c>
      <c r="F282" s="101" t="s">
        <v>70</v>
      </c>
      <c r="G282" s="85">
        <v>24</v>
      </c>
      <c r="H282" s="102" t="s">
        <v>27</v>
      </c>
      <c r="I282" s="101">
        <v>24</v>
      </c>
      <c r="J282" s="103" t="s">
        <v>306</v>
      </c>
      <c r="K282" s="104">
        <v>1</v>
      </c>
    </row>
    <row r="283" customHeight="1" spans="1:11">
      <c r="A283" s="79">
        <v>46152</v>
      </c>
      <c r="B283" s="85" t="s">
        <v>22</v>
      </c>
      <c r="C283" s="85" t="s">
        <v>23</v>
      </c>
      <c r="D283" s="85" t="s">
        <v>525</v>
      </c>
      <c r="E283" s="85" t="s">
        <v>114</v>
      </c>
      <c r="F283" s="101" t="s">
        <v>94</v>
      </c>
      <c r="G283" s="85">
        <v>324</v>
      </c>
      <c r="H283" s="102" t="s">
        <v>27</v>
      </c>
      <c r="I283" s="101">
        <v>54</v>
      </c>
      <c r="J283" s="103" t="s">
        <v>306</v>
      </c>
      <c r="K283" s="104">
        <v>6</v>
      </c>
    </row>
    <row r="284" customHeight="1" spans="1:11">
      <c r="A284" s="79">
        <v>46152</v>
      </c>
      <c r="B284" s="85" t="s">
        <v>22</v>
      </c>
      <c r="C284" s="85" t="s">
        <v>23</v>
      </c>
      <c r="D284" s="85" t="s">
        <v>526</v>
      </c>
      <c r="E284" s="85" t="s">
        <v>87</v>
      </c>
      <c r="F284" s="101" t="s">
        <v>88</v>
      </c>
      <c r="G284" s="85">
        <v>324</v>
      </c>
      <c r="H284" s="102" t="s">
        <v>27</v>
      </c>
      <c r="I284" s="101">
        <v>108</v>
      </c>
      <c r="J284" s="103" t="s">
        <v>306</v>
      </c>
      <c r="K284" s="104">
        <v>3</v>
      </c>
    </row>
    <row r="285" customHeight="1" spans="1:11">
      <c r="A285" s="79">
        <v>46152</v>
      </c>
      <c r="B285" s="85" t="s">
        <v>22</v>
      </c>
      <c r="C285" s="85" t="s">
        <v>23</v>
      </c>
      <c r="D285" s="85" t="s">
        <v>527</v>
      </c>
      <c r="E285" s="85" t="s">
        <v>81</v>
      </c>
      <c r="F285" s="101" t="s">
        <v>82</v>
      </c>
      <c r="G285" s="85">
        <v>360</v>
      </c>
      <c r="H285" s="102" t="s">
        <v>27</v>
      </c>
      <c r="I285" s="101">
        <v>72</v>
      </c>
      <c r="J285" s="103" t="s">
        <v>306</v>
      </c>
      <c r="K285" s="104">
        <v>5</v>
      </c>
    </row>
    <row r="286" customHeight="1" spans="1:11">
      <c r="A286" s="79">
        <v>46152</v>
      </c>
      <c r="B286" s="85" t="s">
        <v>22</v>
      </c>
      <c r="C286" s="85" t="s">
        <v>23</v>
      </c>
      <c r="D286" s="85" t="s">
        <v>528</v>
      </c>
      <c r="E286" s="85" t="s">
        <v>111</v>
      </c>
      <c r="F286" s="101" t="s">
        <v>112</v>
      </c>
      <c r="G286" s="85">
        <v>464</v>
      </c>
      <c r="H286" s="102" t="s">
        <v>27</v>
      </c>
      <c r="I286" s="101">
        <v>8</v>
      </c>
      <c r="J286" s="103" t="s">
        <v>306</v>
      </c>
      <c r="K286" s="104">
        <v>58</v>
      </c>
    </row>
    <row r="287" customHeight="1" spans="1:11">
      <c r="A287" s="79">
        <v>46152</v>
      </c>
      <c r="B287" s="85" t="s">
        <v>22</v>
      </c>
      <c r="C287" s="85" t="s">
        <v>23</v>
      </c>
      <c r="D287" s="85" t="s">
        <v>529</v>
      </c>
      <c r="E287" s="85" t="s">
        <v>57</v>
      </c>
      <c r="F287" s="101" t="s">
        <v>58</v>
      </c>
      <c r="G287" s="85">
        <v>960</v>
      </c>
      <c r="H287" s="102" t="s">
        <v>27</v>
      </c>
      <c r="I287" s="101">
        <v>20</v>
      </c>
      <c r="J287" s="103" t="s">
        <v>306</v>
      </c>
      <c r="K287" s="104">
        <v>48</v>
      </c>
    </row>
    <row r="288" customHeight="1" spans="1:11">
      <c r="A288" s="79">
        <v>46152</v>
      </c>
      <c r="B288" s="85" t="s">
        <v>22</v>
      </c>
      <c r="C288" s="85" t="s">
        <v>23</v>
      </c>
      <c r="D288" s="85" t="s">
        <v>530</v>
      </c>
      <c r="E288" s="85" t="s">
        <v>30</v>
      </c>
      <c r="F288" s="101" t="s">
        <v>31</v>
      </c>
      <c r="G288" s="85">
        <v>324</v>
      </c>
      <c r="H288" s="102" t="s">
        <v>27</v>
      </c>
      <c r="I288" s="101">
        <v>162</v>
      </c>
      <c r="J288" s="103" t="s">
        <v>306</v>
      </c>
      <c r="K288" s="104">
        <v>2</v>
      </c>
    </row>
    <row r="289" customHeight="1" spans="1:11">
      <c r="A289" s="79">
        <v>46152</v>
      </c>
      <c r="B289" s="85" t="s">
        <v>22</v>
      </c>
      <c r="C289" s="85" t="s">
        <v>23</v>
      </c>
      <c r="D289" s="85" t="s">
        <v>531</v>
      </c>
      <c r="E289" s="85" t="s">
        <v>78</v>
      </c>
      <c r="F289" s="101" t="s">
        <v>79</v>
      </c>
      <c r="G289" s="85">
        <v>72</v>
      </c>
      <c r="H289" s="102" t="s">
        <v>27</v>
      </c>
      <c r="I289" s="101">
        <v>72</v>
      </c>
      <c r="J289" s="103" t="s">
        <v>306</v>
      </c>
      <c r="K289" s="104">
        <v>1</v>
      </c>
    </row>
    <row r="290" customHeight="1" spans="1:11">
      <c r="A290" s="79">
        <v>46152</v>
      </c>
      <c r="B290" s="85" t="s">
        <v>22</v>
      </c>
      <c r="C290" s="85" t="s">
        <v>23</v>
      </c>
      <c r="D290" s="85" t="s">
        <v>532</v>
      </c>
      <c r="E290" s="85" t="s">
        <v>66</v>
      </c>
      <c r="F290" s="101" t="s">
        <v>67</v>
      </c>
      <c r="G290" s="85">
        <v>120</v>
      </c>
      <c r="H290" s="102" t="s">
        <v>27</v>
      </c>
      <c r="I290" s="101">
        <v>240</v>
      </c>
      <c r="J290" s="103" t="s">
        <v>306</v>
      </c>
      <c r="K290" s="104">
        <v>0.5</v>
      </c>
    </row>
    <row r="291" customHeight="1" spans="1:11">
      <c r="A291" s="79">
        <v>46152</v>
      </c>
      <c r="B291" s="85" t="s">
        <v>149</v>
      </c>
      <c r="C291" s="85" t="s">
        <v>150</v>
      </c>
      <c r="E291" s="85" t="s">
        <v>191</v>
      </c>
      <c r="F291" s="101" t="s">
        <v>192</v>
      </c>
      <c r="G291" s="85">
        <v>898</v>
      </c>
      <c r="H291" s="102" t="s">
        <v>27</v>
      </c>
      <c r="I291" s="101">
        <v>100</v>
      </c>
      <c r="J291" s="103" t="s">
        <v>306</v>
      </c>
      <c r="K291" s="104">
        <v>8.98</v>
      </c>
    </row>
    <row r="292" customHeight="1" spans="1:11">
      <c r="A292" s="79">
        <v>46152</v>
      </c>
      <c r="B292" s="85" t="s">
        <v>149</v>
      </c>
      <c r="C292" s="85" t="s">
        <v>150</v>
      </c>
      <c r="E292" s="85" t="s">
        <v>189</v>
      </c>
      <c r="F292" s="101" t="s">
        <v>190</v>
      </c>
      <c r="G292" s="85">
        <v>899</v>
      </c>
      <c r="H292" s="102" t="s">
        <v>27</v>
      </c>
      <c r="I292" s="101">
        <v>40</v>
      </c>
      <c r="J292" s="103" t="s">
        <v>306</v>
      </c>
      <c r="K292" s="104">
        <v>22.475</v>
      </c>
    </row>
    <row r="293" customHeight="1" spans="1:11">
      <c r="A293" s="79">
        <v>46152</v>
      </c>
      <c r="B293" s="85" t="s">
        <v>149</v>
      </c>
      <c r="C293" s="85" t="s">
        <v>150</v>
      </c>
      <c r="E293" s="85" t="s">
        <v>177</v>
      </c>
      <c r="F293" s="101" t="s">
        <v>178</v>
      </c>
      <c r="G293" s="85">
        <v>900</v>
      </c>
      <c r="H293" s="102" t="s">
        <v>127</v>
      </c>
      <c r="I293" s="101">
        <v>12</v>
      </c>
      <c r="J293" s="103" t="s">
        <v>306</v>
      </c>
      <c r="K293" s="104">
        <v>75</v>
      </c>
    </row>
    <row r="294" customHeight="1" spans="1:11">
      <c r="A294" s="79">
        <v>46152</v>
      </c>
      <c r="B294" s="85" t="s">
        <v>213</v>
      </c>
      <c r="C294" s="85" t="s">
        <v>214</v>
      </c>
      <c r="D294" s="85" t="s">
        <v>533</v>
      </c>
      <c r="E294" s="85" t="s">
        <v>222</v>
      </c>
      <c r="F294" s="101" t="s">
        <v>223</v>
      </c>
      <c r="G294" s="85">
        <v>5</v>
      </c>
      <c r="H294" s="102" t="s">
        <v>218</v>
      </c>
      <c r="I294" s="101">
        <v>66</v>
      </c>
      <c r="J294" s="103" t="s">
        <v>306</v>
      </c>
      <c r="K294" s="104">
        <v>0.0757575757575758</v>
      </c>
    </row>
    <row r="295" customHeight="1" spans="1:11">
      <c r="A295" s="79">
        <v>46152</v>
      </c>
      <c r="B295" s="85" t="s">
        <v>213</v>
      </c>
      <c r="C295" s="85" t="s">
        <v>214</v>
      </c>
      <c r="D295" s="85" t="s">
        <v>534</v>
      </c>
      <c r="E295" s="85" t="s">
        <v>220</v>
      </c>
      <c r="F295" s="101" t="s">
        <v>221</v>
      </c>
      <c r="G295" s="85">
        <v>756</v>
      </c>
      <c r="H295" s="102" t="s">
        <v>218</v>
      </c>
      <c r="I295" s="101">
        <v>54</v>
      </c>
      <c r="J295" s="103" t="s">
        <v>306</v>
      </c>
      <c r="K295" s="104">
        <v>14</v>
      </c>
    </row>
    <row r="296" customHeight="1" spans="1:11">
      <c r="A296" s="79">
        <v>46152</v>
      </c>
      <c r="B296" s="85" t="s">
        <v>213</v>
      </c>
      <c r="C296" s="85" t="s">
        <v>214</v>
      </c>
      <c r="D296" s="85" t="s">
        <v>534</v>
      </c>
      <c r="E296" s="85" t="s">
        <v>222</v>
      </c>
      <c r="F296" s="101" t="s">
        <v>223</v>
      </c>
      <c r="G296" s="85">
        <v>726</v>
      </c>
      <c r="H296" s="102" t="s">
        <v>218</v>
      </c>
      <c r="I296" s="101">
        <v>66</v>
      </c>
      <c r="J296" s="103" t="s">
        <v>306</v>
      </c>
      <c r="K296" s="104">
        <v>11</v>
      </c>
    </row>
    <row r="297" customHeight="1" spans="1:11">
      <c r="A297" s="79">
        <v>46152</v>
      </c>
      <c r="B297" s="85" t="s">
        <v>213</v>
      </c>
      <c r="C297" s="85" t="s">
        <v>214</v>
      </c>
      <c r="D297" s="85" t="s">
        <v>534</v>
      </c>
      <c r="E297" s="85" t="s">
        <v>216</v>
      </c>
      <c r="F297" s="101" t="s">
        <v>217</v>
      </c>
      <c r="G297" s="85">
        <v>176</v>
      </c>
      <c r="H297" s="102" t="s">
        <v>218</v>
      </c>
      <c r="I297" s="101">
        <v>176</v>
      </c>
      <c r="J297" s="103" t="s">
        <v>306</v>
      </c>
      <c r="K297" s="104">
        <v>1</v>
      </c>
    </row>
    <row r="298" customHeight="1" spans="1:11">
      <c r="A298" s="79">
        <v>46152</v>
      </c>
      <c r="B298" s="85" t="s">
        <v>267</v>
      </c>
      <c r="C298" s="85" t="s">
        <v>268</v>
      </c>
      <c r="D298" s="85">
        <v>6500002969</v>
      </c>
      <c r="E298" s="85" t="s">
        <v>269</v>
      </c>
      <c r="F298" s="101" t="s">
        <v>270</v>
      </c>
      <c r="G298" s="85">
        <v>1728</v>
      </c>
      <c r="H298" s="102" t="s">
        <v>27</v>
      </c>
      <c r="I298" s="101">
        <v>12</v>
      </c>
      <c r="J298" s="103" t="s">
        <v>306</v>
      </c>
      <c r="K298" s="104">
        <v>144</v>
      </c>
    </row>
    <row r="299" customHeight="1" spans="1:11">
      <c r="A299" s="79">
        <v>46152</v>
      </c>
      <c r="B299" s="85" t="s">
        <v>267</v>
      </c>
      <c r="C299" s="85" t="s">
        <v>268</v>
      </c>
      <c r="D299" s="85">
        <v>6500002969</v>
      </c>
      <c r="E299" s="85" t="s">
        <v>271</v>
      </c>
      <c r="F299" s="101" t="s">
        <v>272</v>
      </c>
      <c r="G299" s="85">
        <v>1728</v>
      </c>
      <c r="H299" s="102" t="s">
        <v>27</v>
      </c>
      <c r="I299" s="101">
        <v>12</v>
      </c>
      <c r="J299" s="103" t="s">
        <v>306</v>
      </c>
      <c r="K299" s="104">
        <v>144</v>
      </c>
    </row>
    <row r="300" customHeight="1" spans="1:11">
      <c r="A300" s="79">
        <v>46152</v>
      </c>
      <c r="B300" s="85" t="s">
        <v>277</v>
      </c>
      <c r="C300" s="85" t="s">
        <v>278</v>
      </c>
      <c r="D300" s="85" t="s">
        <v>535</v>
      </c>
      <c r="E300" s="85" t="s">
        <v>279</v>
      </c>
      <c r="F300" s="101" t="s">
        <v>280</v>
      </c>
      <c r="G300" s="85">
        <v>900</v>
      </c>
      <c r="H300" s="102" t="s">
        <v>27</v>
      </c>
      <c r="I300" s="101">
        <v>12</v>
      </c>
      <c r="J300" s="103" t="s">
        <v>306</v>
      </c>
      <c r="K300" s="104">
        <v>75</v>
      </c>
    </row>
    <row r="301" s="59" customFormat="1" ht="21" customHeight="1" spans="1:11">
      <c r="A301" s="72">
        <v>46152</v>
      </c>
      <c r="B301" s="73" t="s">
        <v>287</v>
      </c>
      <c r="C301" s="74" t="s">
        <v>355</v>
      </c>
      <c r="D301" s="74">
        <v>20260507</v>
      </c>
      <c r="E301" s="75" t="s">
        <v>265</v>
      </c>
      <c r="F301" s="76" t="s">
        <v>289</v>
      </c>
      <c r="G301" s="74">
        <v>1560</v>
      </c>
      <c r="H301" s="77" t="s">
        <v>218</v>
      </c>
      <c r="I301" s="77">
        <v>156</v>
      </c>
      <c r="J301" s="74"/>
      <c r="K301" s="78">
        <v>10</v>
      </c>
    </row>
    <row r="302" customHeight="1" spans="1:11">
      <c r="A302" s="79">
        <v>46152</v>
      </c>
      <c r="B302" s="85" t="s">
        <v>290</v>
      </c>
      <c r="C302" s="85" t="s">
        <v>291</v>
      </c>
      <c r="D302" s="85">
        <v>5689688</v>
      </c>
      <c r="E302" s="85" t="s">
        <v>294</v>
      </c>
      <c r="F302" s="101" t="s">
        <v>295</v>
      </c>
      <c r="G302" s="85">
        <v>539</v>
      </c>
      <c r="H302" s="102" t="s">
        <v>218</v>
      </c>
      <c r="I302" s="101">
        <v>180</v>
      </c>
      <c r="J302" s="103" t="s">
        <v>13</v>
      </c>
      <c r="K302" s="104">
        <v>2.99444444444444</v>
      </c>
    </row>
    <row r="303" customHeight="1" spans="1:11">
      <c r="A303" s="79">
        <v>46152</v>
      </c>
      <c r="B303" s="85" t="s">
        <v>290</v>
      </c>
      <c r="C303" s="85" t="s">
        <v>291</v>
      </c>
      <c r="D303" s="85">
        <v>652378571</v>
      </c>
      <c r="E303" s="85" t="s">
        <v>294</v>
      </c>
      <c r="F303" s="101" t="s">
        <v>295</v>
      </c>
      <c r="G303" s="85">
        <v>720</v>
      </c>
      <c r="H303" s="102" t="s">
        <v>218</v>
      </c>
      <c r="I303" s="101">
        <v>180</v>
      </c>
      <c r="J303" s="103" t="s">
        <v>13</v>
      </c>
      <c r="K303" s="104">
        <v>4</v>
      </c>
    </row>
    <row r="304" customHeight="1" spans="1:11">
      <c r="A304" s="79">
        <v>46152</v>
      </c>
      <c r="B304" s="85" t="s">
        <v>228</v>
      </c>
      <c r="C304" s="85" t="s">
        <v>229</v>
      </c>
      <c r="D304" s="85">
        <v>1261042344</v>
      </c>
      <c r="E304" s="85" t="s">
        <v>237</v>
      </c>
      <c r="F304" s="101" t="s">
        <v>233</v>
      </c>
      <c r="G304" s="85">
        <v>1152</v>
      </c>
      <c r="H304" s="102" t="s">
        <v>218</v>
      </c>
      <c r="I304" s="101">
        <v>48</v>
      </c>
      <c r="J304" s="103" t="s">
        <v>306</v>
      </c>
      <c r="K304" s="104">
        <v>24</v>
      </c>
    </row>
    <row r="305" customHeight="1" spans="1:11">
      <c r="A305" s="79">
        <v>46153</v>
      </c>
      <c r="B305" s="85" t="s">
        <v>22</v>
      </c>
      <c r="C305" s="85" t="s">
        <v>23</v>
      </c>
      <c r="D305" s="85" t="s">
        <v>536</v>
      </c>
      <c r="E305" s="85" t="s">
        <v>147</v>
      </c>
      <c r="F305" s="101" t="s">
        <v>148</v>
      </c>
      <c r="G305" s="85">
        <v>432</v>
      </c>
      <c r="H305" s="102" t="s">
        <v>27</v>
      </c>
      <c r="I305" s="101">
        <v>24</v>
      </c>
      <c r="J305" s="103" t="s">
        <v>306</v>
      </c>
      <c r="K305" s="104">
        <v>18</v>
      </c>
    </row>
    <row r="306" customHeight="1" spans="1:11">
      <c r="A306" s="79">
        <v>46153</v>
      </c>
      <c r="B306" s="85" t="s">
        <v>22</v>
      </c>
      <c r="C306" s="85" t="s">
        <v>23</v>
      </c>
      <c r="D306" s="85" t="s">
        <v>537</v>
      </c>
      <c r="E306" s="85" t="s">
        <v>144</v>
      </c>
      <c r="F306" s="101" t="s">
        <v>145</v>
      </c>
      <c r="G306" s="85">
        <v>240</v>
      </c>
      <c r="H306" s="102" t="s">
        <v>27</v>
      </c>
      <c r="I306" s="101">
        <v>48</v>
      </c>
      <c r="J306" s="103" t="s">
        <v>306</v>
      </c>
      <c r="K306" s="104">
        <v>5</v>
      </c>
    </row>
    <row r="307" customHeight="1" spans="1:11">
      <c r="A307" s="79">
        <v>46153</v>
      </c>
      <c r="B307" s="85" t="s">
        <v>22</v>
      </c>
      <c r="C307" s="85" t="s">
        <v>23</v>
      </c>
      <c r="D307" s="85" t="s">
        <v>538</v>
      </c>
      <c r="E307" s="85" t="s">
        <v>57</v>
      </c>
      <c r="F307" s="101" t="s">
        <v>58</v>
      </c>
      <c r="G307" s="85">
        <v>2</v>
      </c>
      <c r="H307" s="102" t="s">
        <v>27</v>
      </c>
      <c r="I307" s="101">
        <v>20</v>
      </c>
      <c r="J307" s="103" t="s">
        <v>306</v>
      </c>
      <c r="K307" s="104">
        <v>0.1</v>
      </c>
    </row>
    <row r="308" customHeight="1" spans="1:11">
      <c r="A308" s="79">
        <v>46153</v>
      </c>
      <c r="B308" s="85" t="s">
        <v>22</v>
      </c>
      <c r="C308" s="85" t="s">
        <v>23</v>
      </c>
      <c r="D308" s="85" t="s">
        <v>539</v>
      </c>
      <c r="E308" s="85" t="s">
        <v>111</v>
      </c>
      <c r="F308" s="101" t="s">
        <v>112</v>
      </c>
      <c r="G308" s="85">
        <v>160</v>
      </c>
      <c r="H308" s="102" t="s">
        <v>27</v>
      </c>
      <c r="I308" s="101">
        <v>8</v>
      </c>
      <c r="J308" s="103" t="s">
        <v>306</v>
      </c>
      <c r="K308" s="104">
        <v>20</v>
      </c>
    </row>
    <row r="309" customHeight="1" spans="1:11">
      <c r="A309" s="79">
        <v>46153</v>
      </c>
      <c r="B309" s="85" t="s">
        <v>22</v>
      </c>
      <c r="C309" s="85" t="s">
        <v>23</v>
      </c>
      <c r="D309" s="85" t="s">
        <v>540</v>
      </c>
      <c r="E309" s="85" t="s">
        <v>81</v>
      </c>
      <c r="F309" s="101" t="s">
        <v>82</v>
      </c>
      <c r="G309" s="85">
        <v>697</v>
      </c>
      <c r="H309" s="102" t="s">
        <v>27</v>
      </c>
      <c r="I309" s="101">
        <v>72</v>
      </c>
      <c r="J309" s="103" t="s">
        <v>306</v>
      </c>
      <c r="K309" s="104">
        <v>9.68055555555556</v>
      </c>
    </row>
    <row r="310" customHeight="1" spans="1:11">
      <c r="A310" s="79">
        <v>46153</v>
      </c>
      <c r="B310" s="85" t="s">
        <v>22</v>
      </c>
      <c r="C310" s="85" t="s">
        <v>23</v>
      </c>
      <c r="D310" s="85" t="s">
        <v>541</v>
      </c>
      <c r="E310" s="85" t="s">
        <v>66</v>
      </c>
      <c r="F310" s="101" t="s">
        <v>67</v>
      </c>
      <c r="G310" s="85">
        <v>2880</v>
      </c>
      <c r="H310" s="102" t="s">
        <v>27</v>
      </c>
      <c r="I310" s="101">
        <v>240</v>
      </c>
      <c r="J310" s="103" t="s">
        <v>306</v>
      </c>
      <c r="K310" s="104">
        <v>12</v>
      </c>
    </row>
    <row r="311" customHeight="1" spans="1:11">
      <c r="A311" s="79">
        <v>46153</v>
      </c>
      <c r="B311" s="85" t="s">
        <v>22</v>
      </c>
      <c r="C311" s="85" t="s">
        <v>23</v>
      </c>
      <c r="D311" s="85" t="s">
        <v>542</v>
      </c>
      <c r="E311" s="85" t="s">
        <v>114</v>
      </c>
      <c r="F311" s="101" t="s">
        <v>94</v>
      </c>
      <c r="G311" s="85">
        <v>756</v>
      </c>
      <c r="H311" s="102" t="s">
        <v>27</v>
      </c>
      <c r="I311" s="101">
        <v>54</v>
      </c>
      <c r="J311" s="103" t="s">
        <v>306</v>
      </c>
      <c r="K311" s="104">
        <v>14</v>
      </c>
    </row>
    <row r="312" customHeight="1" spans="1:11">
      <c r="A312" s="79">
        <v>46153</v>
      </c>
      <c r="B312" s="85" t="s">
        <v>22</v>
      </c>
      <c r="C312" s="85" t="s">
        <v>23</v>
      </c>
      <c r="D312" s="85" t="s">
        <v>543</v>
      </c>
      <c r="E312" s="85" t="s">
        <v>114</v>
      </c>
      <c r="F312" s="101" t="s">
        <v>94</v>
      </c>
      <c r="G312" s="85">
        <v>594</v>
      </c>
      <c r="H312" s="102" t="s">
        <v>27</v>
      </c>
      <c r="I312" s="101">
        <v>54</v>
      </c>
      <c r="J312" s="103" t="s">
        <v>306</v>
      </c>
      <c r="K312" s="104">
        <v>11</v>
      </c>
    </row>
    <row r="313" customHeight="1" spans="1:11">
      <c r="A313" s="79">
        <v>46153</v>
      </c>
      <c r="B313" s="85" t="s">
        <v>22</v>
      </c>
      <c r="C313" s="85" t="s">
        <v>23</v>
      </c>
      <c r="D313" s="85" t="s">
        <v>544</v>
      </c>
      <c r="E313" s="85" t="s">
        <v>30</v>
      </c>
      <c r="F313" s="101" t="s">
        <v>31</v>
      </c>
      <c r="G313" s="85">
        <v>2106</v>
      </c>
      <c r="H313" s="102" t="s">
        <v>27</v>
      </c>
      <c r="I313" s="101">
        <v>162</v>
      </c>
      <c r="J313" s="103" t="s">
        <v>306</v>
      </c>
      <c r="K313" s="104">
        <v>13</v>
      </c>
    </row>
    <row r="314" customHeight="1" spans="1:11">
      <c r="A314" s="79">
        <v>46153</v>
      </c>
      <c r="B314" s="85" t="s">
        <v>22</v>
      </c>
      <c r="C314" s="85" t="s">
        <v>23</v>
      </c>
      <c r="D314" s="85" t="s">
        <v>545</v>
      </c>
      <c r="E314" s="85" t="s">
        <v>25</v>
      </c>
      <c r="F314" s="101" t="s">
        <v>26</v>
      </c>
      <c r="G314" s="85">
        <v>162</v>
      </c>
      <c r="H314" s="102" t="s">
        <v>27</v>
      </c>
      <c r="I314" s="101">
        <v>162</v>
      </c>
      <c r="J314" s="103" t="s">
        <v>306</v>
      </c>
      <c r="K314" s="104">
        <v>1</v>
      </c>
    </row>
    <row r="315" customHeight="1" spans="1:11">
      <c r="A315" s="79">
        <v>46153</v>
      </c>
      <c r="B315" s="85" t="s">
        <v>22</v>
      </c>
      <c r="C315" s="85" t="s">
        <v>23</v>
      </c>
      <c r="D315" s="85" t="s">
        <v>546</v>
      </c>
      <c r="E315" s="85" t="s">
        <v>57</v>
      </c>
      <c r="F315" s="101" t="s">
        <v>58</v>
      </c>
      <c r="G315" s="85">
        <v>320</v>
      </c>
      <c r="H315" s="102" t="s">
        <v>27</v>
      </c>
      <c r="I315" s="101">
        <v>20</v>
      </c>
      <c r="J315" s="103" t="s">
        <v>306</v>
      </c>
      <c r="K315" s="104">
        <v>16</v>
      </c>
    </row>
    <row r="316" customHeight="1" spans="1:11">
      <c r="A316" s="79">
        <v>46153</v>
      </c>
      <c r="B316" s="85" t="s">
        <v>22</v>
      </c>
      <c r="C316" s="85" t="s">
        <v>23</v>
      </c>
      <c r="D316" s="85" t="s">
        <v>547</v>
      </c>
      <c r="E316" s="85" t="s">
        <v>105</v>
      </c>
      <c r="F316" s="101" t="s">
        <v>106</v>
      </c>
      <c r="G316" s="85">
        <v>156</v>
      </c>
      <c r="H316" s="102" t="s">
        <v>27</v>
      </c>
      <c r="I316" s="101">
        <v>12</v>
      </c>
      <c r="J316" s="103" t="s">
        <v>306</v>
      </c>
      <c r="K316" s="104">
        <v>13</v>
      </c>
    </row>
    <row r="317" customHeight="1" spans="1:11">
      <c r="A317" s="79">
        <v>46153</v>
      </c>
      <c r="B317" s="85" t="s">
        <v>22</v>
      </c>
      <c r="C317" s="85" t="s">
        <v>23</v>
      </c>
      <c r="D317" s="85" t="s">
        <v>548</v>
      </c>
      <c r="E317" s="85" t="s">
        <v>63</v>
      </c>
      <c r="F317" s="101" t="s">
        <v>64</v>
      </c>
      <c r="G317" s="85">
        <v>480</v>
      </c>
      <c r="H317" s="102" t="s">
        <v>27</v>
      </c>
      <c r="I317" s="101">
        <v>12</v>
      </c>
      <c r="J317" s="103" t="s">
        <v>306</v>
      </c>
      <c r="K317" s="104">
        <v>40</v>
      </c>
    </row>
    <row r="318" customHeight="1" spans="1:11">
      <c r="A318" s="79">
        <v>46153</v>
      </c>
      <c r="B318" s="85" t="s">
        <v>22</v>
      </c>
      <c r="C318" s="85" t="s">
        <v>23</v>
      </c>
      <c r="D318" s="85" t="s">
        <v>549</v>
      </c>
      <c r="E318" s="85" t="s">
        <v>63</v>
      </c>
      <c r="F318" s="101" t="s">
        <v>64</v>
      </c>
      <c r="G318" s="85">
        <v>348</v>
      </c>
      <c r="H318" s="102" t="s">
        <v>27</v>
      </c>
      <c r="I318" s="101">
        <v>12</v>
      </c>
      <c r="J318" s="103" t="s">
        <v>306</v>
      </c>
      <c r="K318" s="104">
        <v>29</v>
      </c>
    </row>
    <row r="319" customHeight="1" spans="1:11">
      <c r="A319" s="79">
        <v>46153</v>
      </c>
      <c r="B319" s="85" t="s">
        <v>22</v>
      </c>
      <c r="C319" s="85" t="s">
        <v>23</v>
      </c>
      <c r="D319" s="85" t="s">
        <v>550</v>
      </c>
      <c r="E319" s="85" t="s">
        <v>78</v>
      </c>
      <c r="F319" s="101" t="s">
        <v>79</v>
      </c>
      <c r="G319" s="85">
        <v>39</v>
      </c>
      <c r="H319" s="102" t="s">
        <v>27</v>
      </c>
      <c r="I319" s="101">
        <v>72</v>
      </c>
      <c r="J319" s="103" t="s">
        <v>306</v>
      </c>
      <c r="K319" s="104">
        <v>0.541666666666667</v>
      </c>
    </row>
    <row r="320" customHeight="1" spans="1:11">
      <c r="A320" s="79">
        <v>46153</v>
      </c>
      <c r="B320" s="85" t="s">
        <v>22</v>
      </c>
      <c r="C320" s="85" t="s">
        <v>23</v>
      </c>
      <c r="D320" s="85" t="s">
        <v>551</v>
      </c>
      <c r="E320" s="85" t="s">
        <v>111</v>
      </c>
      <c r="F320" s="101" t="s">
        <v>112</v>
      </c>
      <c r="G320" s="85">
        <v>128</v>
      </c>
      <c r="H320" s="102" t="s">
        <v>27</v>
      </c>
      <c r="I320" s="101">
        <v>8</v>
      </c>
      <c r="J320" s="103" t="s">
        <v>306</v>
      </c>
      <c r="K320" s="104">
        <v>16</v>
      </c>
    </row>
    <row r="321" customHeight="1" spans="1:11">
      <c r="A321" s="79">
        <v>46153</v>
      </c>
      <c r="B321" s="85" t="s">
        <v>149</v>
      </c>
      <c r="C321" s="85" t="s">
        <v>150</v>
      </c>
      <c r="E321" s="85" t="s">
        <v>163</v>
      </c>
      <c r="F321" s="101" t="s">
        <v>164</v>
      </c>
      <c r="G321" s="85">
        <v>1500</v>
      </c>
      <c r="H321" s="102" t="s">
        <v>27</v>
      </c>
      <c r="I321" s="101">
        <v>50</v>
      </c>
      <c r="J321" s="103" t="s">
        <v>306</v>
      </c>
      <c r="K321" s="104">
        <v>30</v>
      </c>
    </row>
    <row r="322" customHeight="1" spans="1:11">
      <c r="A322" s="79">
        <v>46153</v>
      </c>
      <c r="B322" s="85" t="s">
        <v>149</v>
      </c>
      <c r="C322" s="85" t="s">
        <v>150</v>
      </c>
      <c r="E322" s="85" t="s">
        <v>151</v>
      </c>
      <c r="F322" s="101" t="s">
        <v>152</v>
      </c>
      <c r="G322" s="85">
        <v>2300</v>
      </c>
      <c r="H322" s="102" t="s">
        <v>27</v>
      </c>
      <c r="I322" s="101">
        <v>20</v>
      </c>
      <c r="J322" s="103" t="s">
        <v>306</v>
      </c>
      <c r="K322" s="104">
        <v>115</v>
      </c>
    </row>
    <row r="323" customHeight="1" spans="1:11">
      <c r="A323" s="79">
        <v>46153</v>
      </c>
      <c r="B323" s="85" t="s">
        <v>149</v>
      </c>
      <c r="C323" s="85" t="s">
        <v>150</v>
      </c>
      <c r="E323" s="85" t="s">
        <v>155</v>
      </c>
      <c r="F323" s="101" t="s">
        <v>156</v>
      </c>
      <c r="G323" s="85">
        <v>1500</v>
      </c>
      <c r="H323" s="102" t="s">
        <v>27</v>
      </c>
      <c r="I323" s="101">
        <v>100</v>
      </c>
      <c r="J323" s="103" t="s">
        <v>306</v>
      </c>
      <c r="K323" s="104">
        <v>15</v>
      </c>
    </row>
    <row r="324" customHeight="1" spans="1:11">
      <c r="A324" s="79">
        <v>46153</v>
      </c>
      <c r="B324" s="85" t="s">
        <v>149</v>
      </c>
      <c r="C324" s="85" t="s">
        <v>150</v>
      </c>
      <c r="E324" s="85" t="s">
        <v>157</v>
      </c>
      <c r="F324" s="101" t="s">
        <v>158</v>
      </c>
      <c r="G324" s="85">
        <v>1500</v>
      </c>
      <c r="H324" s="102" t="s">
        <v>27</v>
      </c>
      <c r="I324" s="101">
        <v>1500</v>
      </c>
      <c r="J324" s="103" t="s">
        <v>306</v>
      </c>
      <c r="K324" s="104">
        <v>1</v>
      </c>
    </row>
    <row r="325" customHeight="1" spans="1:11">
      <c r="A325" s="79">
        <v>46153</v>
      </c>
      <c r="B325" s="85" t="s">
        <v>149</v>
      </c>
      <c r="C325" s="85" t="s">
        <v>150</v>
      </c>
      <c r="E325" s="85" t="s">
        <v>159</v>
      </c>
      <c r="F325" s="101" t="s">
        <v>160</v>
      </c>
      <c r="G325" s="85">
        <v>4500</v>
      </c>
      <c r="H325" s="102" t="s">
        <v>27</v>
      </c>
      <c r="I325" s="101">
        <v>1500</v>
      </c>
      <c r="J325" s="103" t="s">
        <v>306</v>
      </c>
      <c r="K325" s="104">
        <v>3</v>
      </c>
    </row>
    <row r="326" customHeight="1" spans="1:11">
      <c r="A326" s="79">
        <v>46153</v>
      </c>
      <c r="B326" s="85" t="s">
        <v>149</v>
      </c>
      <c r="C326" s="85" t="s">
        <v>150</v>
      </c>
      <c r="E326" s="85" t="s">
        <v>153</v>
      </c>
      <c r="F326" s="101" t="s">
        <v>154</v>
      </c>
      <c r="G326" s="85">
        <v>1500</v>
      </c>
      <c r="H326" s="102" t="s">
        <v>27</v>
      </c>
      <c r="I326" s="101">
        <v>100</v>
      </c>
      <c r="J326" s="103" t="s">
        <v>306</v>
      </c>
      <c r="K326" s="104">
        <v>15</v>
      </c>
    </row>
    <row r="327" customHeight="1" spans="1:11">
      <c r="A327" s="79">
        <v>46153</v>
      </c>
      <c r="B327" s="85" t="s">
        <v>149</v>
      </c>
      <c r="C327" s="85" t="s">
        <v>150</v>
      </c>
      <c r="E327" s="85" t="s">
        <v>196</v>
      </c>
      <c r="F327" s="101" t="s">
        <v>194</v>
      </c>
      <c r="G327" s="85">
        <v>1000</v>
      </c>
      <c r="H327" s="102" t="s">
        <v>27</v>
      </c>
      <c r="I327" s="101">
        <v>100</v>
      </c>
      <c r="J327" s="103" t="s">
        <v>306</v>
      </c>
      <c r="K327" s="104">
        <v>10</v>
      </c>
    </row>
    <row r="328" customHeight="1" spans="1:11">
      <c r="A328" s="79">
        <v>46153</v>
      </c>
      <c r="B328" s="85" t="s">
        <v>149</v>
      </c>
      <c r="C328" s="85" t="s">
        <v>150</v>
      </c>
      <c r="E328" s="85" t="s">
        <v>193</v>
      </c>
      <c r="F328" s="101" t="s">
        <v>194</v>
      </c>
      <c r="G328" s="85">
        <v>1000</v>
      </c>
      <c r="H328" s="102" t="s">
        <v>27</v>
      </c>
      <c r="I328" s="101">
        <v>200</v>
      </c>
      <c r="J328" s="103" t="s">
        <v>306</v>
      </c>
      <c r="K328" s="104">
        <v>5</v>
      </c>
    </row>
    <row r="329" customHeight="1" spans="1:11">
      <c r="A329" s="79">
        <v>46153</v>
      </c>
      <c r="B329" s="85" t="s">
        <v>149</v>
      </c>
      <c r="C329" s="85" t="s">
        <v>150</v>
      </c>
      <c r="E329" s="85" t="s">
        <v>195</v>
      </c>
      <c r="F329" s="101" t="s">
        <v>194</v>
      </c>
      <c r="G329" s="85">
        <v>1000</v>
      </c>
      <c r="H329" s="102" t="s">
        <v>27</v>
      </c>
      <c r="I329" s="101">
        <v>100</v>
      </c>
      <c r="J329" s="103" t="s">
        <v>306</v>
      </c>
      <c r="K329" s="104">
        <v>10</v>
      </c>
    </row>
    <row r="330" customHeight="1" spans="1:11">
      <c r="A330" s="79">
        <v>46153</v>
      </c>
      <c r="B330" s="85" t="s">
        <v>213</v>
      </c>
      <c r="C330" s="85" t="s">
        <v>214</v>
      </c>
      <c r="D330" s="85" t="s">
        <v>552</v>
      </c>
      <c r="E330" s="85" t="s">
        <v>220</v>
      </c>
      <c r="F330" s="101" t="s">
        <v>221</v>
      </c>
      <c r="G330" s="85">
        <v>324</v>
      </c>
      <c r="H330" s="102" t="s">
        <v>218</v>
      </c>
      <c r="I330" s="101">
        <v>54</v>
      </c>
      <c r="J330" s="103" t="s">
        <v>306</v>
      </c>
      <c r="K330" s="104">
        <v>6</v>
      </c>
    </row>
    <row r="331" customHeight="1" spans="1:11">
      <c r="A331" s="79">
        <v>46153</v>
      </c>
      <c r="B331" s="85" t="s">
        <v>213</v>
      </c>
      <c r="C331" s="85" t="s">
        <v>214</v>
      </c>
      <c r="D331" s="85" t="s">
        <v>552</v>
      </c>
      <c r="E331" s="85" t="s">
        <v>222</v>
      </c>
      <c r="F331" s="101" t="s">
        <v>223</v>
      </c>
      <c r="G331" s="85">
        <v>330</v>
      </c>
      <c r="H331" s="102" t="s">
        <v>218</v>
      </c>
      <c r="I331" s="101">
        <v>66</v>
      </c>
      <c r="J331" s="103" t="s">
        <v>306</v>
      </c>
      <c r="K331" s="104">
        <v>5</v>
      </c>
    </row>
    <row r="332" customHeight="1" spans="1:11">
      <c r="A332" s="79">
        <v>46153</v>
      </c>
      <c r="B332" s="85" t="s">
        <v>213</v>
      </c>
      <c r="C332" s="85" t="s">
        <v>214</v>
      </c>
      <c r="D332" s="85" t="s">
        <v>552</v>
      </c>
      <c r="E332" s="85" t="s">
        <v>216</v>
      </c>
      <c r="F332" s="101" t="s">
        <v>217</v>
      </c>
      <c r="G332" s="85">
        <v>352</v>
      </c>
      <c r="H332" s="102" t="s">
        <v>218</v>
      </c>
      <c r="I332" s="101">
        <v>176</v>
      </c>
      <c r="J332" s="103" t="s">
        <v>306</v>
      </c>
      <c r="K332" s="104">
        <v>2</v>
      </c>
    </row>
    <row r="333" customHeight="1" spans="1:11">
      <c r="A333" s="79">
        <v>46153</v>
      </c>
      <c r="B333" s="85" t="s">
        <v>255</v>
      </c>
      <c r="C333" s="85" t="s">
        <v>256</v>
      </c>
      <c r="D333" s="85" t="s">
        <v>553</v>
      </c>
      <c r="E333" s="85" t="s">
        <v>257</v>
      </c>
      <c r="F333" s="101" t="s">
        <v>258</v>
      </c>
      <c r="G333" s="85">
        <v>31500</v>
      </c>
      <c r="H333" s="102" t="s">
        <v>260</v>
      </c>
      <c r="I333" s="101">
        <v>25</v>
      </c>
      <c r="J333" s="103" t="s">
        <v>306</v>
      </c>
      <c r="K333" s="104">
        <v>1260</v>
      </c>
    </row>
    <row r="334" customHeight="1" spans="1:11">
      <c r="A334" s="79">
        <v>46153</v>
      </c>
      <c r="B334" s="85" t="s">
        <v>277</v>
      </c>
      <c r="C334" s="85" t="s">
        <v>278</v>
      </c>
      <c r="D334" s="85" t="s">
        <v>554</v>
      </c>
      <c r="E334" s="85" t="s">
        <v>279</v>
      </c>
      <c r="F334" s="101" t="s">
        <v>280</v>
      </c>
      <c r="G334" s="85">
        <v>900</v>
      </c>
      <c r="H334" s="102" t="s">
        <v>27</v>
      </c>
      <c r="I334" s="101">
        <v>12</v>
      </c>
      <c r="J334" s="103" t="s">
        <v>306</v>
      </c>
      <c r="K334" s="104">
        <v>75</v>
      </c>
    </row>
    <row r="335" customHeight="1" spans="1:11">
      <c r="A335" s="79">
        <v>46153</v>
      </c>
      <c r="B335" s="85" t="s">
        <v>281</v>
      </c>
      <c r="C335" s="85" t="s">
        <v>282</v>
      </c>
      <c r="D335" s="85" t="s">
        <v>555</v>
      </c>
      <c r="E335" s="85" t="s">
        <v>283</v>
      </c>
      <c r="F335" s="101" t="s">
        <v>284</v>
      </c>
      <c r="G335" s="85">
        <v>1125</v>
      </c>
      <c r="H335" s="102" t="s">
        <v>218</v>
      </c>
      <c r="I335" s="101">
        <v>125</v>
      </c>
      <c r="J335" s="103" t="s">
        <v>306</v>
      </c>
      <c r="K335" s="104">
        <v>9</v>
      </c>
    </row>
    <row r="336" customHeight="1" spans="1:11">
      <c r="A336" s="79">
        <v>46154</v>
      </c>
      <c r="B336" s="85" t="s">
        <v>22</v>
      </c>
      <c r="C336" s="85" t="s">
        <v>23</v>
      </c>
      <c r="D336" s="85" t="s">
        <v>556</v>
      </c>
      <c r="E336" s="85" t="s">
        <v>147</v>
      </c>
      <c r="F336" s="101" t="s">
        <v>148</v>
      </c>
      <c r="G336" s="85">
        <v>216</v>
      </c>
      <c r="H336" s="102" t="s">
        <v>27</v>
      </c>
      <c r="I336" s="101">
        <v>24</v>
      </c>
      <c r="J336" s="103" t="s">
        <v>306</v>
      </c>
      <c r="K336" s="104">
        <v>9</v>
      </c>
    </row>
    <row r="337" customHeight="1" spans="1:11">
      <c r="A337" s="79">
        <v>46154</v>
      </c>
      <c r="B337" s="85" t="s">
        <v>22</v>
      </c>
      <c r="C337" s="85" t="s">
        <v>23</v>
      </c>
      <c r="D337" s="85" t="s">
        <v>557</v>
      </c>
      <c r="E337" s="85" t="s">
        <v>144</v>
      </c>
      <c r="F337" s="101" t="s">
        <v>145</v>
      </c>
      <c r="G337" s="85">
        <v>192</v>
      </c>
      <c r="H337" s="102" t="s">
        <v>27</v>
      </c>
      <c r="I337" s="101">
        <v>48</v>
      </c>
      <c r="J337" s="103" t="s">
        <v>306</v>
      </c>
      <c r="K337" s="104">
        <v>4</v>
      </c>
    </row>
    <row r="338" customHeight="1" spans="1:11">
      <c r="A338" s="79">
        <v>46154</v>
      </c>
      <c r="B338" s="85" t="s">
        <v>22</v>
      </c>
      <c r="C338" s="85" t="s">
        <v>23</v>
      </c>
      <c r="D338" s="85" t="s">
        <v>558</v>
      </c>
      <c r="E338" s="85" t="s">
        <v>63</v>
      </c>
      <c r="F338" s="101" t="s">
        <v>64</v>
      </c>
      <c r="G338" s="85">
        <v>660</v>
      </c>
      <c r="H338" s="102" t="s">
        <v>27</v>
      </c>
      <c r="I338" s="101">
        <v>12</v>
      </c>
      <c r="J338" s="103" t="s">
        <v>306</v>
      </c>
      <c r="K338" s="104">
        <v>55</v>
      </c>
    </row>
    <row r="339" customHeight="1" spans="1:11">
      <c r="A339" s="79">
        <v>46154</v>
      </c>
      <c r="B339" s="85" t="s">
        <v>22</v>
      </c>
      <c r="C339" s="85" t="s">
        <v>23</v>
      </c>
      <c r="D339" s="85" t="s">
        <v>559</v>
      </c>
      <c r="E339" s="85" t="s">
        <v>81</v>
      </c>
      <c r="F339" s="101" t="s">
        <v>82</v>
      </c>
      <c r="G339" s="85">
        <v>432</v>
      </c>
      <c r="H339" s="102" t="s">
        <v>27</v>
      </c>
      <c r="I339" s="101">
        <v>72</v>
      </c>
      <c r="J339" s="103" t="s">
        <v>306</v>
      </c>
      <c r="K339" s="104">
        <v>6</v>
      </c>
    </row>
    <row r="340" customHeight="1" spans="1:11">
      <c r="A340" s="79">
        <v>46154</v>
      </c>
      <c r="B340" s="85" t="s">
        <v>22</v>
      </c>
      <c r="C340" s="85" t="s">
        <v>23</v>
      </c>
      <c r="D340" s="85" t="s">
        <v>560</v>
      </c>
      <c r="E340" s="85" t="s">
        <v>25</v>
      </c>
      <c r="F340" s="101" t="s">
        <v>26</v>
      </c>
      <c r="G340" s="85">
        <v>308</v>
      </c>
      <c r="H340" s="102" t="s">
        <v>27</v>
      </c>
      <c r="I340" s="101">
        <v>162</v>
      </c>
      <c r="J340" s="103" t="s">
        <v>306</v>
      </c>
      <c r="K340" s="104">
        <v>1.90123456790123</v>
      </c>
    </row>
    <row r="341" customHeight="1" spans="1:11">
      <c r="A341" s="79">
        <v>46154</v>
      </c>
      <c r="B341" s="85" t="s">
        <v>22</v>
      </c>
      <c r="C341" s="85" t="s">
        <v>23</v>
      </c>
      <c r="D341" s="85" t="s">
        <v>561</v>
      </c>
      <c r="E341" s="85" t="s">
        <v>111</v>
      </c>
      <c r="F341" s="101" t="s">
        <v>112</v>
      </c>
      <c r="G341" s="85">
        <v>784</v>
      </c>
      <c r="H341" s="102" t="s">
        <v>27</v>
      </c>
      <c r="I341" s="101">
        <v>8</v>
      </c>
      <c r="J341" s="103" t="s">
        <v>306</v>
      </c>
      <c r="K341" s="104">
        <v>98</v>
      </c>
    </row>
    <row r="342" customHeight="1" spans="1:11">
      <c r="A342" s="79">
        <v>46154</v>
      </c>
      <c r="B342" s="85" t="s">
        <v>22</v>
      </c>
      <c r="C342" s="85" t="s">
        <v>23</v>
      </c>
      <c r="D342" s="85" t="s">
        <v>562</v>
      </c>
      <c r="E342" s="85" t="s">
        <v>63</v>
      </c>
      <c r="F342" s="101" t="s">
        <v>64</v>
      </c>
      <c r="G342" s="85">
        <v>552</v>
      </c>
      <c r="H342" s="102" t="s">
        <v>27</v>
      </c>
      <c r="I342" s="101">
        <v>12</v>
      </c>
      <c r="J342" s="103" t="s">
        <v>306</v>
      </c>
      <c r="K342" s="104">
        <v>46</v>
      </c>
    </row>
    <row r="343" customHeight="1" spans="1:11">
      <c r="A343" s="79">
        <v>46154</v>
      </c>
      <c r="B343" s="85" t="s">
        <v>22</v>
      </c>
      <c r="C343" s="85" t="s">
        <v>23</v>
      </c>
      <c r="D343" s="85" t="s">
        <v>563</v>
      </c>
      <c r="E343" s="85" t="s">
        <v>57</v>
      </c>
      <c r="F343" s="101" t="s">
        <v>58</v>
      </c>
      <c r="G343" s="85">
        <v>1600</v>
      </c>
      <c r="H343" s="102" t="s">
        <v>27</v>
      </c>
      <c r="I343" s="101">
        <v>20</v>
      </c>
      <c r="J343" s="103" t="s">
        <v>306</v>
      </c>
      <c r="K343" s="104">
        <v>80</v>
      </c>
    </row>
    <row r="344" customHeight="1" spans="1:11">
      <c r="A344" s="79">
        <v>46154</v>
      </c>
      <c r="B344" s="85" t="s">
        <v>22</v>
      </c>
      <c r="C344" s="85" t="s">
        <v>23</v>
      </c>
      <c r="D344" s="85" t="s">
        <v>564</v>
      </c>
      <c r="E344" s="85" t="s">
        <v>57</v>
      </c>
      <c r="F344" s="101" t="s">
        <v>58</v>
      </c>
      <c r="G344" s="85">
        <v>660</v>
      </c>
      <c r="H344" s="102" t="s">
        <v>27</v>
      </c>
      <c r="I344" s="101">
        <v>20</v>
      </c>
      <c r="J344" s="103" t="s">
        <v>306</v>
      </c>
      <c r="K344" s="104">
        <v>33</v>
      </c>
    </row>
    <row r="345" customHeight="1" spans="1:11">
      <c r="A345" s="79">
        <v>46154</v>
      </c>
      <c r="B345" s="85" t="s">
        <v>22</v>
      </c>
      <c r="C345" s="85" t="s">
        <v>23</v>
      </c>
      <c r="D345" s="85" t="s">
        <v>565</v>
      </c>
      <c r="E345" s="85" t="s">
        <v>114</v>
      </c>
      <c r="F345" s="101" t="s">
        <v>94</v>
      </c>
      <c r="G345" s="85">
        <v>432</v>
      </c>
      <c r="H345" s="102" t="s">
        <v>27</v>
      </c>
      <c r="I345" s="101">
        <v>54</v>
      </c>
      <c r="J345" s="103" t="s">
        <v>306</v>
      </c>
      <c r="K345" s="104">
        <v>8</v>
      </c>
    </row>
    <row r="346" customHeight="1" spans="1:11">
      <c r="A346" s="79">
        <v>46154</v>
      </c>
      <c r="B346" s="85" t="s">
        <v>22</v>
      </c>
      <c r="C346" s="85" t="s">
        <v>23</v>
      </c>
      <c r="D346" s="85" t="s">
        <v>566</v>
      </c>
      <c r="E346" s="85" t="s">
        <v>81</v>
      </c>
      <c r="F346" s="101" t="s">
        <v>82</v>
      </c>
      <c r="G346" s="85">
        <v>864</v>
      </c>
      <c r="H346" s="102" t="s">
        <v>27</v>
      </c>
      <c r="I346" s="101">
        <v>72</v>
      </c>
      <c r="J346" s="103" t="s">
        <v>306</v>
      </c>
      <c r="K346" s="104">
        <v>12</v>
      </c>
    </row>
    <row r="347" customHeight="1" spans="1:11">
      <c r="A347" s="79">
        <v>46154</v>
      </c>
      <c r="B347" s="85" t="s">
        <v>22</v>
      </c>
      <c r="C347" s="85" t="s">
        <v>23</v>
      </c>
      <c r="D347" s="85" t="s">
        <v>567</v>
      </c>
      <c r="E347" s="85" t="s">
        <v>90</v>
      </c>
      <c r="F347" s="101" t="s">
        <v>91</v>
      </c>
      <c r="G347" s="85">
        <v>192</v>
      </c>
      <c r="H347" s="102" t="s">
        <v>27</v>
      </c>
      <c r="I347" s="101">
        <v>24</v>
      </c>
      <c r="J347" s="103" t="s">
        <v>306</v>
      </c>
      <c r="K347" s="104">
        <v>8</v>
      </c>
    </row>
    <row r="348" customHeight="1" spans="1:11">
      <c r="A348" s="79">
        <v>46154</v>
      </c>
      <c r="B348" s="85" t="s">
        <v>22</v>
      </c>
      <c r="C348" s="85" t="s">
        <v>23</v>
      </c>
      <c r="D348" s="85" t="s">
        <v>568</v>
      </c>
      <c r="E348" s="85" t="s">
        <v>30</v>
      </c>
      <c r="F348" s="101" t="s">
        <v>31</v>
      </c>
      <c r="G348" s="85">
        <v>162</v>
      </c>
      <c r="H348" s="102" t="s">
        <v>27</v>
      </c>
      <c r="I348" s="101">
        <v>162</v>
      </c>
      <c r="J348" s="103" t="s">
        <v>306</v>
      </c>
      <c r="K348" s="104">
        <v>1</v>
      </c>
    </row>
    <row r="349" customHeight="1" spans="1:11">
      <c r="A349" s="79">
        <v>46154</v>
      </c>
      <c r="B349" s="85" t="s">
        <v>22</v>
      </c>
      <c r="C349" s="85" t="s">
        <v>23</v>
      </c>
      <c r="D349" s="85" t="s">
        <v>569</v>
      </c>
      <c r="E349" s="85" t="s">
        <v>33</v>
      </c>
      <c r="F349" s="101" t="s">
        <v>34</v>
      </c>
      <c r="G349" s="85">
        <v>144</v>
      </c>
      <c r="H349" s="102" t="s">
        <v>27</v>
      </c>
      <c r="I349" s="101">
        <v>36</v>
      </c>
      <c r="J349" s="103" t="s">
        <v>306</v>
      </c>
      <c r="K349" s="104">
        <v>4</v>
      </c>
    </row>
    <row r="350" customHeight="1" spans="1:11">
      <c r="A350" s="79">
        <v>46154</v>
      </c>
      <c r="B350" s="85" t="s">
        <v>22</v>
      </c>
      <c r="C350" s="85" t="s">
        <v>23</v>
      </c>
      <c r="D350" s="85" t="s">
        <v>570</v>
      </c>
      <c r="E350" s="85" t="s">
        <v>66</v>
      </c>
      <c r="F350" s="101" t="s">
        <v>67</v>
      </c>
      <c r="G350" s="85">
        <v>480</v>
      </c>
      <c r="H350" s="102" t="s">
        <v>27</v>
      </c>
      <c r="I350" s="101">
        <v>240</v>
      </c>
      <c r="J350" s="103" t="s">
        <v>306</v>
      </c>
      <c r="K350" s="104">
        <v>2</v>
      </c>
    </row>
    <row r="351" customHeight="1" spans="1:11">
      <c r="A351" s="79">
        <v>46154</v>
      </c>
      <c r="B351" s="85" t="s">
        <v>22</v>
      </c>
      <c r="C351" s="85" t="s">
        <v>23</v>
      </c>
      <c r="D351" s="85" t="s">
        <v>570</v>
      </c>
      <c r="E351" s="85" t="s">
        <v>78</v>
      </c>
      <c r="F351" s="101" t="s">
        <v>79</v>
      </c>
      <c r="G351" s="85">
        <v>144</v>
      </c>
      <c r="H351" s="102" t="s">
        <v>27</v>
      </c>
      <c r="I351" s="101">
        <v>72</v>
      </c>
      <c r="J351" s="103" t="s">
        <v>306</v>
      </c>
      <c r="K351" s="104">
        <v>2</v>
      </c>
    </row>
    <row r="352" customHeight="1" spans="1:11">
      <c r="A352" s="79">
        <v>46154</v>
      </c>
      <c r="B352" s="85" t="s">
        <v>213</v>
      </c>
      <c r="C352" s="85" t="s">
        <v>214</v>
      </c>
      <c r="D352" s="85" t="s">
        <v>571</v>
      </c>
      <c r="E352" s="85" t="s">
        <v>220</v>
      </c>
      <c r="F352" s="101" t="s">
        <v>221</v>
      </c>
      <c r="G352" s="85">
        <v>756</v>
      </c>
      <c r="H352" s="102" t="s">
        <v>218</v>
      </c>
      <c r="I352" s="101">
        <v>54</v>
      </c>
      <c r="J352" s="103" t="s">
        <v>306</v>
      </c>
      <c r="K352" s="104">
        <v>14</v>
      </c>
    </row>
    <row r="353" customHeight="1" spans="1:11">
      <c r="A353" s="79">
        <v>46154</v>
      </c>
      <c r="B353" s="85" t="s">
        <v>213</v>
      </c>
      <c r="C353" s="85" t="s">
        <v>214</v>
      </c>
      <c r="D353" s="85" t="s">
        <v>571</v>
      </c>
      <c r="E353" s="85" t="s">
        <v>222</v>
      </c>
      <c r="F353" s="101" t="s">
        <v>223</v>
      </c>
      <c r="G353" s="85">
        <v>726</v>
      </c>
      <c r="H353" s="102" t="s">
        <v>218</v>
      </c>
      <c r="I353" s="101">
        <v>66</v>
      </c>
      <c r="J353" s="103" t="s">
        <v>306</v>
      </c>
      <c r="K353" s="104">
        <v>11</v>
      </c>
    </row>
    <row r="354" customHeight="1" spans="1:11">
      <c r="A354" s="79">
        <v>46154</v>
      </c>
      <c r="B354" s="85" t="s">
        <v>213</v>
      </c>
      <c r="C354" s="85" t="s">
        <v>214</v>
      </c>
      <c r="D354" s="85" t="s">
        <v>571</v>
      </c>
      <c r="E354" s="85" t="s">
        <v>216</v>
      </c>
      <c r="F354" s="101" t="s">
        <v>217</v>
      </c>
      <c r="G354" s="85">
        <v>176</v>
      </c>
      <c r="H354" s="102" t="s">
        <v>218</v>
      </c>
      <c r="I354" s="101">
        <v>176</v>
      </c>
      <c r="J354" s="103" t="s">
        <v>306</v>
      </c>
      <c r="K354" s="104">
        <v>1</v>
      </c>
    </row>
    <row r="355" customHeight="1" spans="1:11">
      <c r="A355" s="79">
        <v>46154</v>
      </c>
      <c r="B355" s="85" t="s">
        <v>238</v>
      </c>
      <c r="C355" s="85" t="s">
        <v>239</v>
      </c>
      <c r="D355" s="85" t="s">
        <v>572</v>
      </c>
      <c r="E355" s="85" t="s">
        <v>241</v>
      </c>
      <c r="F355" s="101" t="s">
        <v>242</v>
      </c>
      <c r="G355" s="85">
        <v>720</v>
      </c>
      <c r="H355" s="102" t="s">
        <v>243</v>
      </c>
      <c r="I355" s="101">
        <v>8</v>
      </c>
      <c r="J355" s="103" t="s">
        <v>306</v>
      </c>
      <c r="K355" s="104">
        <v>90</v>
      </c>
    </row>
    <row r="356" customHeight="1" spans="1:11">
      <c r="A356" s="79">
        <v>46154</v>
      </c>
      <c r="B356" s="85" t="s">
        <v>238</v>
      </c>
      <c r="C356" s="85" t="s">
        <v>239</v>
      </c>
      <c r="D356" s="85" t="s">
        <v>572</v>
      </c>
      <c r="E356" s="85" t="s">
        <v>245</v>
      </c>
      <c r="F356" s="101" t="s">
        <v>246</v>
      </c>
      <c r="G356" s="85">
        <v>1440</v>
      </c>
      <c r="H356" s="102" t="s">
        <v>243</v>
      </c>
      <c r="I356" s="101">
        <v>8</v>
      </c>
      <c r="J356" s="103" t="s">
        <v>306</v>
      </c>
      <c r="K356" s="104">
        <v>180</v>
      </c>
    </row>
    <row r="357" customHeight="1" spans="1:11">
      <c r="A357" s="79">
        <v>46154</v>
      </c>
      <c r="B357" s="85" t="s">
        <v>247</v>
      </c>
      <c r="C357" s="85" t="s">
        <v>248</v>
      </c>
      <c r="E357" s="85" t="s">
        <v>251</v>
      </c>
      <c r="F357" s="101" t="s">
        <v>252</v>
      </c>
      <c r="G357" s="85">
        <v>1260</v>
      </c>
      <c r="H357" s="102" t="s">
        <v>218</v>
      </c>
      <c r="I357" s="101">
        <v>45</v>
      </c>
      <c r="J357" s="103">
        <v>28</v>
      </c>
      <c r="K357" s="104" t="s">
        <v>306</v>
      </c>
    </row>
    <row r="358" customHeight="1" spans="1:11">
      <c r="A358" s="79">
        <v>46154</v>
      </c>
      <c r="B358" s="85" t="s">
        <v>267</v>
      </c>
      <c r="C358" s="85" t="s">
        <v>268</v>
      </c>
      <c r="D358" s="85">
        <v>6500002986</v>
      </c>
      <c r="E358" s="85" t="s">
        <v>269</v>
      </c>
      <c r="F358" s="101" t="s">
        <v>270</v>
      </c>
      <c r="G358" s="85">
        <v>1728</v>
      </c>
      <c r="H358" s="102" t="s">
        <v>27</v>
      </c>
      <c r="I358" s="101">
        <v>12</v>
      </c>
      <c r="J358" s="103" t="s">
        <v>306</v>
      </c>
      <c r="K358" s="104">
        <v>144</v>
      </c>
    </row>
    <row r="359" customHeight="1" spans="1:11">
      <c r="A359" s="79">
        <v>46154</v>
      </c>
      <c r="B359" s="85" t="s">
        <v>267</v>
      </c>
      <c r="C359" s="85" t="s">
        <v>268</v>
      </c>
      <c r="D359" s="85">
        <v>6500002986</v>
      </c>
      <c r="E359" s="85" t="s">
        <v>271</v>
      </c>
      <c r="F359" s="101" t="s">
        <v>272</v>
      </c>
      <c r="G359" s="85">
        <v>1728</v>
      </c>
      <c r="H359" s="102" t="s">
        <v>27</v>
      </c>
      <c r="I359" s="101">
        <v>12</v>
      </c>
      <c r="J359" s="103" t="s">
        <v>306</v>
      </c>
      <c r="K359" s="104">
        <v>144</v>
      </c>
    </row>
    <row r="360" customHeight="1" spans="1:11">
      <c r="A360" s="79">
        <v>46154</v>
      </c>
      <c r="B360" s="85" t="s">
        <v>277</v>
      </c>
      <c r="C360" s="85" t="s">
        <v>278</v>
      </c>
      <c r="D360" s="85" t="s">
        <v>573</v>
      </c>
      <c r="E360" s="85" t="s">
        <v>279</v>
      </c>
      <c r="F360" s="101" t="s">
        <v>280</v>
      </c>
      <c r="G360" s="85">
        <v>900</v>
      </c>
      <c r="H360" s="102" t="s">
        <v>27</v>
      </c>
      <c r="I360" s="101">
        <v>12</v>
      </c>
      <c r="J360" s="103" t="s">
        <v>306</v>
      </c>
      <c r="K360" s="104">
        <v>75</v>
      </c>
    </row>
    <row r="361" customHeight="1" spans="1:11">
      <c r="A361" s="79">
        <v>46154</v>
      </c>
      <c r="B361" s="85" t="s">
        <v>281</v>
      </c>
      <c r="C361" s="85" t="s">
        <v>282</v>
      </c>
      <c r="D361" s="85" t="s">
        <v>574</v>
      </c>
      <c r="E361" s="85" t="s">
        <v>283</v>
      </c>
      <c r="F361" s="101" t="s">
        <v>284</v>
      </c>
      <c r="G361" s="85">
        <v>1250</v>
      </c>
      <c r="H361" s="102" t="s">
        <v>218</v>
      </c>
      <c r="I361" s="101">
        <v>125</v>
      </c>
      <c r="J361" s="103" t="s">
        <v>306</v>
      </c>
      <c r="K361" s="104">
        <v>10</v>
      </c>
    </row>
  </sheetData>
  <autoFilter xmlns:etc="http://www.wps.cn/officeDocument/2017/etCustomData" ref="A1:CTV361" etc:filterBottomFollowUsedRange="0">
    <extLst/>
  </autoFilter>
  <sortState ref="A2:L5747">
    <sortCondition ref="A2:A5747"/>
    <sortCondition ref="D2:D5747"/>
  </sortState>
  <dataValidations count="1">
    <dataValidation type="list" allowBlank="1" showInputMessage="1" showErrorMessage="1" sqref="F1:F131 F133:F300 F302:F1048576">
      <formula1>日报!$F:$F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803"/>
  <sheetViews>
    <sheetView showGridLines="0" zoomScale="85" zoomScaleNormal="85" workbookViewId="0">
      <pane ySplit="1" topLeftCell="A234" activePane="bottomLeft" state="frozen"/>
      <selection/>
      <selection pane="bottomLeft" activeCell="G1" sqref="G$1:G$1048576"/>
    </sheetView>
  </sheetViews>
  <sheetFormatPr defaultColWidth="9" defaultRowHeight="21" customHeight="1"/>
  <cols>
    <col min="1" max="1" width="13.7777777777778" style="62" customWidth="1"/>
    <col min="2" max="2" width="10" style="63" customWidth="1"/>
    <col min="3" max="3" width="36.3333333333333" style="64" customWidth="1"/>
    <col min="4" max="4" width="26.2222222222222" style="64" customWidth="1"/>
    <col min="5" max="5" width="22.4444444444444" style="64" customWidth="1"/>
    <col min="6" max="6" width="48.3333333333333" style="65" customWidth="1"/>
    <col min="7" max="7" width="13.3333333333333" style="64" customWidth="1"/>
    <col min="8" max="8" width="12.8888888888889" style="66" customWidth="1"/>
    <col min="9" max="9" width="11.4444444444444" style="67" customWidth="1"/>
    <col min="10" max="10" width="24" style="64" customWidth="1"/>
    <col min="11" max="11" width="14.3333333333333" style="68" customWidth="1"/>
    <col min="12" max="16384" width="9" style="59"/>
  </cols>
  <sheetData>
    <row r="1" s="57" customFormat="1" customHeight="1" spans="1:1020 1030:2040 2050:2570">
      <c r="A1" s="69" t="s">
        <v>575</v>
      </c>
      <c r="B1" s="70" t="s">
        <v>297</v>
      </c>
      <c r="C1" s="70" t="s">
        <v>3</v>
      </c>
      <c r="D1" s="70" t="s">
        <v>576</v>
      </c>
      <c r="E1" s="70" t="s">
        <v>299</v>
      </c>
      <c r="F1" s="70" t="s">
        <v>6</v>
      </c>
      <c r="G1" s="70" t="s">
        <v>577</v>
      </c>
      <c r="H1" s="70" t="s">
        <v>301</v>
      </c>
      <c r="I1" s="70" t="s">
        <v>302</v>
      </c>
      <c r="J1" s="70" t="s">
        <v>303</v>
      </c>
      <c r="K1" s="71" t="s">
        <v>304</v>
      </c>
    </row>
    <row r="2" customHeight="1" spans="1:1020 1030:2040 2050:2570">
      <c r="A2" s="72">
        <v>46144</v>
      </c>
      <c r="B2" s="73" t="s">
        <v>22</v>
      </c>
      <c r="C2" s="74" t="s">
        <v>23</v>
      </c>
      <c r="D2" s="74">
        <v>652328522</v>
      </c>
      <c r="E2" s="75" t="s">
        <v>30</v>
      </c>
      <c r="F2" s="76" t="s">
        <v>31</v>
      </c>
      <c r="G2" s="74">
        <v>2430</v>
      </c>
      <c r="H2" s="77" t="s">
        <v>27</v>
      </c>
      <c r="I2" s="77">
        <v>162</v>
      </c>
      <c r="J2" s="74" t="s">
        <v>306</v>
      </c>
      <c r="K2" s="78">
        <v>15</v>
      </c>
    </row>
    <row r="3" customHeight="1" spans="1:1020 1030:2040 2050:2570">
      <c r="A3" s="72">
        <v>46144</v>
      </c>
      <c r="B3" s="73" t="s">
        <v>22</v>
      </c>
      <c r="C3" s="74" t="s">
        <v>23</v>
      </c>
      <c r="D3" s="74">
        <v>652328830</v>
      </c>
      <c r="E3" s="75" t="s">
        <v>30</v>
      </c>
      <c r="F3" s="76" t="s">
        <v>31</v>
      </c>
      <c r="G3" s="74">
        <v>486</v>
      </c>
      <c r="H3" s="77" t="s">
        <v>27</v>
      </c>
      <c r="I3" s="77">
        <v>162</v>
      </c>
      <c r="J3" s="74" t="s">
        <v>306</v>
      </c>
      <c r="K3" s="78">
        <v>3</v>
      </c>
    </row>
    <row r="4" customHeight="1" spans="1:1020 1030:2040 2050:2570">
      <c r="A4" s="72">
        <v>46144</v>
      </c>
      <c r="B4" s="73" t="s">
        <v>22</v>
      </c>
      <c r="C4" s="74" t="s">
        <v>23</v>
      </c>
      <c r="D4" s="58" t="s">
        <v>578</v>
      </c>
      <c r="E4" s="75" t="s">
        <v>119</v>
      </c>
      <c r="F4" s="76" t="s">
        <v>120</v>
      </c>
      <c r="G4" s="74">
        <v>384</v>
      </c>
      <c r="H4" s="77" t="s">
        <v>28</v>
      </c>
      <c r="I4" s="77" t="s">
        <v>28</v>
      </c>
      <c r="J4" s="74" t="s">
        <v>306</v>
      </c>
      <c r="K4" s="78" t="s">
        <v>28</v>
      </c>
    </row>
    <row r="5" s="58" customFormat="1" customHeight="1" spans="1:1020 1030:2040 2050:2570">
      <c r="A5" s="79">
        <v>46145</v>
      </c>
      <c r="B5" s="80" t="s">
        <v>22</v>
      </c>
      <c r="C5" s="38" t="s">
        <v>23</v>
      </c>
      <c r="D5" s="75">
        <v>652331361</v>
      </c>
      <c r="E5" s="81" t="s">
        <v>54</v>
      </c>
      <c r="F5" s="75" t="str">
        <f>VLOOKUP(E5,[1]基础数据!E:H,2,0)</f>
        <v>LXA12EV10-BSU总成-01</v>
      </c>
      <c r="G5" s="38">
        <v>1640</v>
      </c>
      <c r="H5" s="75" t="str">
        <f>VLOOKUP(E5,[1]基础数据!E:H,4,0)</f>
        <v>料盒</v>
      </c>
      <c r="I5" s="75">
        <f>VLOOKUP(E5,[1]基础数据!E:G,3,0)</f>
        <v>20</v>
      </c>
      <c r="J5" s="75" t="s">
        <v>306</v>
      </c>
      <c r="K5" s="82">
        <f t="shared" ref="K5:K68" si="0">IFERROR(G5/I5,"")</f>
        <v>82</v>
      </c>
      <c r="T5" s="83"/>
      <c r="AD5" s="83"/>
      <c r="AN5" s="83"/>
      <c r="AX5" s="83"/>
      <c r="BH5" s="83"/>
      <c r="BR5" s="83"/>
      <c r="CB5" s="83"/>
      <c r="CL5" s="83"/>
      <c r="CV5" s="83"/>
      <c r="DF5" s="83"/>
      <c r="DP5" s="83"/>
      <c r="DZ5" s="83"/>
      <c r="EJ5" s="83"/>
      <c r="ET5" s="83"/>
      <c r="FD5" s="83"/>
      <c r="FN5" s="83"/>
      <c r="FX5" s="83"/>
      <c r="GH5" s="83"/>
      <c r="GR5" s="83"/>
      <c r="HB5" s="83"/>
      <c r="HL5" s="83"/>
      <c r="HV5" s="83"/>
      <c r="IF5" s="83"/>
      <c r="IP5" s="83"/>
      <c r="IZ5" s="83"/>
      <c r="JJ5" s="83"/>
      <c r="JT5" s="83"/>
      <c r="KD5" s="83"/>
      <c r="KN5" s="83"/>
      <c r="KX5" s="83"/>
      <c r="LH5" s="83"/>
      <c r="LR5" s="83"/>
      <c r="MB5" s="83"/>
      <c r="ML5" s="83"/>
      <c r="MV5" s="83"/>
      <c r="NF5" s="83"/>
      <c r="NP5" s="83"/>
      <c r="NZ5" s="83"/>
      <c r="OJ5" s="83"/>
      <c r="OT5" s="83"/>
      <c r="PD5" s="83"/>
      <c r="PN5" s="83"/>
      <c r="PX5" s="83"/>
      <c r="QH5" s="83"/>
      <c r="QR5" s="83"/>
      <c r="RB5" s="83"/>
      <c r="RL5" s="83"/>
      <c r="RV5" s="83"/>
      <c r="SF5" s="83"/>
      <c r="SP5" s="83"/>
      <c r="SZ5" s="83"/>
      <c r="TJ5" s="83"/>
      <c r="TT5" s="83"/>
      <c r="UD5" s="83"/>
      <c r="UN5" s="83"/>
      <c r="UX5" s="83"/>
      <c r="VH5" s="83"/>
      <c r="VR5" s="83"/>
      <c r="WB5" s="83"/>
      <c r="WL5" s="83"/>
      <c r="WV5" s="83"/>
      <c r="XF5" s="83"/>
      <c r="XP5" s="83"/>
      <c r="XZ5" s="83"/>
      <c r="YJ5" s="83"/>
      <c r="YT5" s="83"/>
      <c r="ZD5" s="83"/>
      <c r="ZN5" s="83"/>
      <c r="ZX5" s="83"/>
      <c r="AAH5" s="83"/>
      <c r="AAR5" s="83"/>
      <c r="ABB5" s="83"/>
      <c r="ABL5" s="83"/>
      <c r="ABV5" s="83"/>
      <c r="ACF5" s="83"/>
      <c r="ACP5" s="83"/>
      <c r="ACZ5" s="83"/>
      <c r="ADJ5" s="83"/>
      <c r="ADT5" s="83"/>
      <c r="AED5" s="83"/>
      <c r="AEN5" s="83"/>
      <c r="AEX5" s="83"/>
      <c r="AFH5" s="83"/>
      <c r="AFR5" s="83"/>
      <c r="AGB5" s="83"/>
      <c r="AGL5" s="83"/>
      <c r="AGV5" s="83"/>
      <c r="AHF5" s="83"/>
      <c r="AHP5" s="83"/>
      <c r="AHZ5" s="83"/>
      <c r="AIJ5" s="83"/>
      <c r="AIT5" s="83"/>
      <c r="AJD5" s="83"/>
      <c r="AJN5" s="83"/>
      <c r="AJX5" s="83"/>
      <c r="AKH5" s="83"/>
      <c r="AKR5" s="83"/>
      <c r="ALB5" s="83"/>
      <c r="ALL5" s="83"/>
      <c r="ALV5" s="83"/>
      <c r="AMF5" s="83"/>
      <c r="AMP5" s="83"/>
      <c r="AMZ5" s="83"/>
      <c r="ANJ5" s="83"/>
      <c r="ANT5" s="83"/>
      <c r="AOD5" s="83"/>
      <c r="AON5" s="83"/>
      <c r="AOX5" s="83"/>
      <c r="APH5" s="83"/>
      <c r="APR5" s="83"/>
      <c r="AQB5" s="83"/>
      <c r="AQL5" s="83"/>
      <c r="AQV5" s="83"/>
      <c r="ARF5" s="83"/>
      <c r="ARP5" s="83"/>
      <c r="ARZ5" s="83"/>
      <c r="ASJ5" s="83"/>
      <c r="AST5" s="83"/>
      <c r="ATD5" s="83"/>
      <c r="ATN5" s="83"/>
      <c r="ATX5" s="83"/>
      <c r="AUH5" s="83"/>
      <c r="AUR5" s="83"/>
      <c r="AVB5" s="83"/>
      <c r="AVL5" s="83"/>
      <c r="AVV5" s="83"/>
      <c r="AWF5" s="83"/>
      <c r="AWP5" s="83"/>
      <c r="AWZ5" s="83"/>
      <c r="AXJ5" s="83"/>
      <c r="AXT5" s="83"/>
      <c r="AYD5" s="83"/>
      <c r="AYN5" s="83"/>
      <c r="AYX5" s="83"/>
      <c r="AZH5" s="83"/>
      <c r="AZR5" s="83"/>
      <c r="BAB5" s="83"/>
      <c r="BAL5" s="83"/>
      <c r="BAV5" s="83"/>
      <c r="BBF5" s="83"/>
      <c r="BBP5" s="83"/>
      <c r="BBZ5" s="83"/>
      <c r="BCJ5" s="83"/>
      <c r="BCT5" s="83"/>
      <c r="BDD5" s="83"/>
      <c r="BDN5" s="83"/>
      <c r="BDX5" s="83"/>
      <c r="BEH5" s="83"/>
      <c r="BER5" s="83"/>
      <c r="BFB5" s="83"/>
      <c r="BFL5" s="83"/>
      <c r="BFV5" s="83"/>
      <c r="BGF5" s="83"/>
      <c r="BGP5" s="83"/>
      <c r="BGZ5" s="83"/>
      <c r="BHJ5" s="83"/>
      <c r="BHT5" s="83"/>
      <c r="BID5" s="83"/>
      <c r="BIN5" s="83"/>
      <c r="BIX5" s="83"/>
      <c r="BJH5" s="83"/>
      <c r="BJR5" s="83"/>
      <c r="BKB5" s="83"/>
      <c r="BKL5" s="83"/>
      <c r="BKV5" s="83"/>
      <c r="BLF5" s="83"/>
      <c r="BLP5" s="83"/>
      <c r="BLZ5" s="83"/>
      <c r="BMJ5" s="83"/>
      <c r="BMT5" s="83"/>
      <c r="BND5" s="83"/>
      <c r="BNN5" s="83"/>
      <c r="BNX5" s="83"/>
      <c r="BOH5" s="83"/>
      <c r="BOR5" s="83"/>
      <c r="BPB5" s="83"/>
      <c r="BPL5" s="83"/>
      <c r="BPV5" s="83"/>
      <c r="BQF5" s="83"/>
      <c r="BQP5" s="83"/>
      <c r="BQZ5" s="83"/>
      <c r="BRJ5" s="83"/>
      <c r="BRT5" s="83"/>
      <c r="BSD5" s="83"/>
      <c r="BSN5" s="83"/>
      <c r="BSX5" s="83"/>
      <c r="BTH5" s="83"/>
      <c r="BTR5" s="83"/>
      <c r="BUB5" s="83"/>
      <c r="BUL5" s="83"/>
      <c r="BUV5" s="83"/>
      <c r="BVF5" s="83"/>
      <c r="BVP5" s="83"/>
      <c r="BVZ5" s="83"/>
      <c r="BWJ5" s="83"/>
      <c r="BWT5" s="83"/>
      <c r="BXD5" s="83"/>
      <c r="BXN5" s="83"/>
      <c r="BXX5" s="83"/>
      <c r="BYH5" s="83"/>
      <c r="BYR5" s="83"/>
      <c r="BZB5" s="83"/>
      <c r="BZL5" s="83"/>
      <c r="BZV5" s="83"/>
      <c r="CAF5" s="83"/>
      <c r="CAP5" s="83"/>
      <c r="CAZ5" s="83"/>
      <c r="CBJ5" s="83"/>
      <c r="CBT5" s="83"/>
      <c r="CCD5" s="83"/>
      <c r="CCN5" s="83"/>
      <c r="CCX5" s="83"/>
      <c r="CDH5" s="83"/>
      <c r="CDR5" s="83"/>
      <c r="CEB5" s="83"/>
      <c r="CEL5" s="83"/>
      <c r="CEV5" s="83"/>
      <c r="CFF5" s="83"/>
      <c r="CFP5" s="83"/>
      <c r="CFZ5" s="83"/>
      <c r="CGJ5" s="83"/>
      <c r="CGT5" s="83"/>
      <c r="CHD5" s="83"/>
      <c r="CHN5" s="83"/>
      <c r="CHX5" s="83"/>
      <c r="CIH5" s="83"/>
      <c r="CIR5" s="83"/>
      <c r="CJB5" s="83"/>
      <c r="CJL5" s="83"/>
      <c r="CJV5" s="83"/>
      <c r="CKF5" s="83"/>
      <c r="CKP5" s="83"/>
      <c r="CKZ5" s="83"/>
      <c r="CLJ5" s="83"/>
      <c r="CLT5" s="83"/>
      <c r="CMD5" s="83"/>
      <c r="CMN5" s="83"/>
      <c r="CMX5" s="83"/>
      <c r="CNH5" s="83"/>
      <c r="CNR5" s="83"/>
      <c r="COB5" s="83"/>
      <c r="COL5" s="83"/>
      <c r="COV5" s="83"/>
      <c r="CPF5" s="83"/>
      <c r="CPP5" s="83"/>
      <c r="CPZ5" s="83"/>
      <c r="CQJ5" s="83"/>
      <c r="CQT5" s="83"/>
      <c r="CRD5" s="83"/>
      <c r="CRN5" s="83"/>
      <c r="CRX5" s="83"/>
      <c r="CSH5" s="83"/>
      <c r="CSR5" s="83"/>
      <c r="CTB5" s="83"/>
      <c r="CTL5" s="83"/>
      <c r="CTV5" s="83"/>
    </row>
    <row r="6" s="58" customFormat="1" customHeight="1" spans="1:1020 1030:2040 2050:2570">
      <c r="A6" s="79">
        <v>46145</v>
      </c>
      <c r="B6" s="80" t="s">
        <v>22</v>
      </c>
      <c r="C6" s="38" t="s">
        <v>23</v>
      </c>
      <c r="D6" s="75">
        <v>652331361</v>
      </c>
      <c r="E6" s="81" t="s">
        <v>57</v>
      </c>
      <c r="F6" s="75" t="str">
        <f>VLOOKUP(E6,[1]基础数据!E:H,2,0)</f>
        <v>LXA12EV10-BSU总成-02</v>
      </c>
      <c r="G6" s="38">
        <v>1280</v>
      </c>
      <c r="H6" s="75" t="str">
        <f>VLOOKUP(E6,[1]基础数据!E:H,4,0)</f>
        <v>料盒</v>
      </c>
      <c r="I6" s="75">
        <f>VLOOKUP(E6,[1]基础数据!E:G,3,0)</f>
        <v>20</v>
      </c>
      <c r="J6" s="75" t="s">
        <v>306</v>
      </c>
      <c r="K6" s="82">
        <f t="shared" si="0"/>
        <v>64</v>
      </c>
      <c r="T6" s="83"/>
      <c r="AD6" s="83"/>
      <c r="AN6" s="83"/>
      <c r="AX6" s="83"/>
      <c r="BH6" s="83"/>
      <c r="BR6" s="83"/>
      <c r="CB6" s="83"/>
      <c r="CL6" s="83"/>
      <c r="CV6" s="83"/>
      <c r="DF6" s="83"/>
      <c r="DP6" s="83"/>
      <c r="DZ6" s="83"/>
      <c r="EJ6" s="83"/>
      <c r="ET6" s="83"/>
      <c r="FD6" s="83"/>
      <c r="FN6" s="83"/>
      <c r="FX6" s="83"/>
      <c r="GH6" s="83"/>
      <c r="GR6" s="83"/>
      <c r="HB6" s="83"/>
      <c r="HL6" s="83"/>
      <c r="HV6" s="83"/>
      <c r="IF6" s="83"/>
      <c r="IP6" s="83"/>
      <c r="IZ6" s="83"/>
      <c r="JJ6" s="83"/>
      <c r="JT6" s="83"/>
      <c r="KD6" s="83"/>
      <c r="KN6" s="83"/>
      <c r="KX6" s="83"/>
      <c r="LH6" s="83"/>
      <c r="LR6" s="83"/>
      <c r="MB6" s="83"/>
      <c r="ML6" s="83"/>
      <c r="MV6" s="83"/>
      <c r="NF6" s="83"/>
      <c r="NP6" s="83"/>
      <c r="NZ6" s="83"/>
      <c r="OJ6" s="83"/>
      <c r="OT6" s="83"/>
      <c r="PD6" s="83"/>
      <c r="PN6" s="83"/>
      <c r="PX6" s="83"/>
      <c r="QH6" s="83"/>
      <c r="QR6" s="83"/>
      <c r="RB6" s="83"/>
      <c r="RL6" s="83"/>
      <c r="RV6" s="83"/>
      <c r="SF6" s="83"/>
      <c r="SP6" s="83"/>
      <c r="SZ6" s="83"/>
      <c r="TJ6" s="83"/>
      <c r="TT6" s="83"/>
      <c r="UD6" s="83"/>
      <c r="UN6" s="83"/>
      <c r="UX6" s="83"/>
      <c r="VH6" s="83"/>
      <c r="VR6" s="83"/>
      <c r="WB6" s="83"/>
      <c r="WL6" s="83"/>
      <c r="WV6" s="83"/>
      <c r="XF6" s="83"/>
      <c r="XP6" s="83"/>
      <c r="XZ6" s="83"/>
      <c r="YJ6" s="83"/>
      <c r="YT6" s="83"/>
      <c r="ZD6" s="83"/>
      <c r="ZN6" s="83"/>
      <c r="ZX6" s="83"/>
      <c r="AAH6" s="83"/>
      <c r="AAR6" s="83"/>
      <c r="ABB6" s="83"/>
      <c r="ABL6" s="83"/>
      <c r="ABV6" s="83"/>
      <c r="ACF6" s="83"/>
      <c r="ACP6" s="83"/>
      <c r="ACZ6" s="83"/>
      <c r="ADJ6" s="83"/>
      <c r="ADT6" s="83"/>
      <c r="AED6" s="83"/>
      <c r="AEN6" s="83"/>
      <c r="AEX6" s="83"/>
      <c r="AFH6" s="83"/>
      <c r="AFR6" s="83"/>
      <c r="AGB6" s="83"/>
      <c r="AGL6" s="83"/>
      <c r="AGV6" s="83"/>
      <c r="AHF6" s="83"/>
      <c r="AHP6" s="83"/>
      <c r="AHZ6" s="83"/>
      <c r="AIJ6" s="83"/>
      <c r="AIT6" s="83"/>
      <c r="AJD6" s="83"/>
      <c r="AJN6" s="83"/>
      <c r="AJX6" s="83"/>
      <c r="AKH6" s="83"/>
      <c r="AKR6" s="83"/>
      <c r="ALB6" s="83"/>
      <c r="ALL6" s="83"/>
      <c r="ALV6" s="83"/>
      <c r="AMF6" s="83"/>
      <c r="AMP6" s="83"/>
      <c r="AMZ6" s="83"/>
      <c r="ANJ6" s="83"/>
      <c r="ANT6" s="83"/>
      <c r="AOD6" s="83"/>
      <c r="AON6" s="83"/>
      <c r="AOX6" s="83"/>
      <c r="APH6" s="83"/>
      <c r="APR6" s="83"/>
      <c r="AQB6" s="83"/>
      <c r="AQL6" s="83"/>
      <c r="AQV6" s="83"/>
      <c r="ARF6" s="83"/>
      <c r="ARP6" s="83"/>
      <c r="ARZ6" s="83"/>
      <c r="ASJ6" s="83"/>
      <c r="AST6" s="83"/>
      <c r="ATD6" s="83"/>
      <c r="ATN6" s="83"/>
      <c r="ATX6" s="83"/>
      <c r="AUH6" s="83"/>
      <c r="AUR6" s="83"/>
      <c r="AVB6" s="83"/>
      <c r="AVL6" s="83"/>
      <c r="AVV6" s="83"/>
      <c r="AWF6" s="83"/>
      <c r="AWP6" s="83"/>
      <c r="AWZ6" s="83"/>
      <c r="AXJ6" s="83"/>
      <c r="AXT6" s="83"/>
      <c r="AYD6" s="83"/>
      <c r="AYN6" s="83"/>
      <c r="AYX6" s="83"/>
      <c r="AZH6" s="83"/>
      <c r="AZR6" s="83"/>
      <c r="BAB6" s="83"/>
      <c r="BAL6" s="83"/>
      <c r="BAV6" s="83"/>
      <c r="BBF6" s="83"/>
      <c r="BBP6" s="83"/>
      <c r="BBZ6" s="83"/>
      <c r="BCJ6" s="83"/>
      <c r="BCT6" s="83"/>
      <c r="BDD6" s="83"/>
      <c r="BDN6" s="83"/>
      <c r="BDX6" s="83"/>
      <c r="BEH6" s="83"/>
      <c r="BER6" s="83"/>
      <c r="BFB6" s="83"/>
      <c r="BFL6" s="83"/>
      <c r="BFV6" s="83"/>
      <c r="BGF6" s="83"/>
      <c r="BGP6" s="83"/>
      <c r="BGZ6" s="83"/>
      <c r="BHJ6" s="83"/>
      <c r="BHT6" s="83"/>
      <c r="BID6" s="83"/>
      <c r="BIN6" s="83"/>
      <c r="BIX6" s="83"/>
      <c r="BJH6" s="83"/>
      <c r="BJR6" s="83"/>
      <c r="BKB6" s="83"/>
      <c r="BKL6" s="83"/>
      <c r="BKV6" s="83"/>
      <c r="BLF6" s="83"/>
      <c r="BLP6" s="83"/>
      <c r="BLZ6" s="83"/>
      <c r="BMJ6" s="83"/>
      <c r="BMT6" s="83"/>
      <c r="BND6" s="83"/>
      <c r="BNN6" s="83"/>
      <c r="BNX6" s="83"/>
      <c r="BOH6" s="83"/>
      <c r="BOR6" s="83"/>
      <c r="BPB6" s="83"/>
      <c r="BPL6" s="83"/>
      <c r="BPV6" s="83"/>
      <c r="BQF6" s="83"/>
      <c r="BQP6" s="83"/>
      <c r="BQZ6" s="83"/>
      <c r="BRJ6" s="83"/>
      <c r="BRT6" s="83"/>
      <c r="BSD6" s="83"/>
      <c r="BSN6" s="83"/>
      <c r="BSX6" s="83"/>
      <c r="BTH6" s="83"/>
      <c r="BTR6" s="83"/>
      <c r="BUB6" s="83"/>
      <c r="BUL6" s="83"/>
      <c r="BUV6" s="83"/>
      <c r="BVF6" s="83"/>
      <c r="BVP6" s="83"/>
      <c r="BVZ6" s="83"/>
      <c r="BWJ6" s="83"/>
      <c r="BWT6" s="83"/>
      <c r="BXD6" s="83"/>
      <c r="BXN6" s="83"/>
      <c r="BXX6" s="83"/>
      <c r="BYH6" s="83"/>
      <c r="BYR6" s="83"/>
      <c r="BZB6" s="83"/>
      <c r="BZL6" s="83"/>
      <c r="BZV6" s="83"/>
      <c r="CAF6" s="83"/>
      <c r="CAP6" s="83"/>
      <c r="CAZ6" s="83"/>
      <c r="CBJ6" s="83"/>
      <c r="CBT6" s="83"/>
      <c r="CCD6" s="83"/>
      <c r="CCN6" s="83"/>
      <c r="CCX6" s="83"/>
      <c r="CDH6" s="83"/>
      <c r="CDR6" s="83"/>
      <c r="CEB6" s="83"/>
      <c r="CEL6" s="83"/>
      <c r="CEV6" s="83"/>
      <c r="CFF6" s="83"/>
      <c r="CFP6" s="83"/>
      <c r="CFZ6" s="83"/>
      <c r="CGJ6" s="83"/>
      <c r="CGT6" s="83"/>
      <c r="CHD6" s="83"/>
      <c r="CHN6" s="83"/>
      <c r="CHX6" s="83"/>
      <c r="CIH6" s="83"/>
      <c r="CIR6" s="83"/>
      <c r="CJB6" s="83"/>
      <c r="CJL6" s="83"/>
      <c r="CJV6" s="83"/>
      <c r="CKF6" s="83"/>
      <c r="CKP6" s="83"/>
      <c r="CKZ6" s="83"/>
      <c r="CLJ6" s="83"/>
      <c r="CLT6" s="83"/>
      <c r="CMD6" s="83"/>
      <c r="CMN6" s="83"/>
      <c r="CMX6" s="83"/>
      <c r="CNH6" s="83"/>
      <c r="CNR6" s="83"/>
      <c r="COB6" s="83"/>
      <c r="COL6" s="83"/>
      <c r="COV6" s="83"/>
      <c r="CPF6" s="83"/>
      <c r="CPP6" s="83"/>
      <c r="CPZ6" s="83"/>
      <c r="CQJ6" s="83"/>
      <c r="CQT6" s="83"/>
      <c r="CRD6" s="83"/>
      <c r="CRN6" s="83"/>
      <c r="CRX6" s="83"/>
      <c r="CSH6" s="83"/>
      <c r="CSR6" s="83"/>
      <c r="CTB6" s="83"/>
      <c r="CTL6" s="83"/>
      <c r="CTV6" s="83"/>
    </row>
    <row r="7" s="58" customFormat="1" customHeight="1" spans="1:1020 1030:2040 2050:2570">
      <c r="A7" s="79">
        <v>46145</v>
      </c>
      <c r="B7" s="80" t="s">
        <v>22</v>
      </c>
      <c r="C7" s="38" t="s">
        <v>23</v>
      </c>
      <c r="D7" s="75">
        <v>652331497</v>
      </c>
      <c r="E7" s="38" t="s">
        <v>54</v>
      </c>
      <c r="F7" s="75" t="str">
        <f>VLOOKUP(E7,[1]基础数据!E:H,2,0)</f>
        <v>LXA12EV10-BSU总成-01</v>
      </c>
      <c r="G7" s="38">
        <v>280</v>
      </c>
      <c r="H7" s="75" t="str">
        <f>VLOOKUP(E7,[1]基础数据!E:H,4,0)</f>
        <v>料盒</v>
      </c>
      <c r="I7" s="75">
        <f>VLOOKUP(E7,[1]基础数据!E:G,3,0)</f>
        <v>20</v>
      </c>
      <c r="J7" s="75" t="s">
        <v>306</v>
      </c>
      <c r="K7" s="82">
        <f t="shared" si="0"/>
        <v>14</v>
      </c>
      <c r="T7" s="83"/>
      <c r="AD7" s="83"/>
      <c r="AN7" s="83"/>
      <c r="AX7" s="83"/>
      <c r="BH7" s="83"/>
      <c r="BR7" s="83"/>
      <c r="CB7" s="83"/>
      <c r="CL7" s="83"/>
      <c r="CV7" s="83"/>
      <c r="DF7" s="83"/>
      <c r="DP7" s="83"/>
      <c r="DZ7" s="83"/>
      <c r="EJ7" s="83"/>
      <c r="ET7" s="83"/>
      <c r="FD7" s="83"/>
      <c r="FN7" s="83"/>
      <c r="FX7" s="83"/>
      <c r="GH7" s="83"/>
      <c r="GR7" s="83"/>
      <c r="HB7" s="83"/>
      <c r="HL7" s="83"/>
      <c r="HV7" s="83"/>
      <c r="IF7" s="83"/>
      <c r="IP7" s="83"/>
      <c r="IZ7" s="83"/>
      <c r="JJ7" s="83"/>
      <c r="JT7" s="83"/>
      <c r="KD7" s="83"/>
      <c r="KN7" s="83"/>
      <c r="KX7" s="83"/>
      <c r="LH7" s="83"/>
      <c r="LR7" s="83"/>
      <c r="MB7" s="83"/>
      <c r="ML7" s="83"/>
      <c r="MV7" s="83"/>
      <c r="NF7" s="83"/>
      <c r="NP7" s="83"/>
      <c r="NZ7" s="83"/>
      <c r="OJ7" s="83"/>
      <c r="OT7" s="83"/>
      <c r="PD7" s="83"/>
      <c r="PN7" s="83"/>
      <c r="PX7" s="83"/>
      <c r="QH7" s="83"/>
      <c r="QR7" s="83"/>
      <c r="RB7" s="83"/>
      <c r="RL7" s="83"/>
      <c r="RV7" s="83"/>
      <c r="SF7" s="83"/>
      <c r="SP7" s="83"/>
      <c r="SZ7" s="83"/>
      <c r="TJ7" s="83"/>
      <c r="TT7" s="83"/>
      <c r="UD7" s="83"/>
      <c r="UN7" s="83"/>
      <c r="UX7" s="83"/>
      <c r="VH7" s="83"/>
      <c r="VR7" s="83"/>
      <c r="WB7" s="83"/>
      <c r="WL7" s="83"/>
      <c r="WV7" s="83"/>
      <c r="XF7" s="83"/>
      <c r="XP7" s="83"/>
      <c r="XZ7" s="83"/>
      <c r="YJ7" s="83"/>
      <c r="YT7" s="83"/>
      <c r="ZD7" s="83"/>
      <c r="ZN7" s="83"/>
      <c r="ZX7" s="83"/>
      <c r="AAH7" s="83"/>
      <c r="AAR7" s="83"/>
      <c r="ABB7" s="83"/>
      <c r="ABL7" s="83"/>
      <c r="ABV7" s="83"/>
      <c r="ACF7" s="83"/>
      <c r="ACP7" s="83"/>
      <c r="ACZ7" s="83"/>
      <c r="ADJ7" s="83"/>
      <c r="ADT7" s="83"/>
      <c r="AED7" s="83"/>
      <c r="AEN7" s="83"/>
      <c r="AEX7" s="83"/>
      <c r="AFH7" s="83"/>
      <c r="AFR7" s="83"/>
      <c r="AGB7" s="83"/>
      <c r="AGL7" s="83"/>
      <c r="AGV7" s="83"/>
      <c r="AHF7" s="83"/>
      <c r="AHP7" s="83"/>
      <c r="AHZ7" s="83"/>
      <c r="AIJ7" s="83"/>
      <c r="AIT7" s="83"/>
      <c r="AJD7" s="83"/>
      <c r="AJN7" s="83"/>
      <c r="AJX7" s="83"/>
      <c r="AKH7" s="83"/>
      <c r="AKR7" s="83"/>
      <c r="ALB7" s="83"/>
      <c r="ALL7" s="83"/>
      <c r="ALV7" s="83"/>
      <c r="AMF7" s="83"/>
      <c r="AMP7" s="83"/>
      <c r="AMZ7" s="83"/>
      <c r="ANJ7" s="83"/>
      <c r="ANT7" s="83"/>
      <c r="AOD7" s="83"/>
      <c r="AON7" s="83"/>
      <c r="AOX7" s="83"/>
      <c r="APH7" s="83"/>
      <c r="APR7" s="83"/>
      <c r="AQB7" s="83"/>
      <c r="AQL7" s="83"/>
      <c r="AQV7" s="83"/>
      <c r="ARF7" s="83"/>
      <c r="ARP7" s="83"/>
      <c r="ARZ7" s="83"/>
      <c r="ASJ7" s="83"/>
      <c r="AST7" s="83"/>
      <c r="ATD7" s="83"/>
      <c r="ATN7" s="83"/>
      <c r="ATX7" s="83"/>
      <c r="AUH7" s="83"/>
      <c r="AUR7" s="83"/>
      <c r="AVB7" s="83"/>
      <c r="AVL7" s="83"/>
      <c r="AVV7" s="83"/>
      <c r="AWF7" s="83"/>
      <c r="AWP7" s="83"/>
      <c r="AWZ7" s="83"/>
      <c r="AXJ7" s="83"/>
      <c r="AXT7" s="83"/>
      <c r="AYD7" s="83"/>
      <c r="AYN7" s="83"/>
      <c r="AYX7" s="83"/>
      <c r="AZH7" s="83"/>
      <c r="AZR7" s="83"/>
      <c r="BAB7" s="83"/>
      <c r="BAL7" s="83"/>
      <c r="BAV7" s="83"/>
      <c r="BBF7" s="83"/>
      <c r="BBP7" s="83"/>
      <c r="BBZ7" s="83"/>
      <c r="BCJ7" s="83"/>
      <c r="BCT7" s="83"/>
      <c r="BDD7" s="83"/>
      <c r="BDN7" s="83"/>
      <c r="BDX7" s="83"/>
      <c r="BEH7" s="83"/>
      <c r="BER7" s="83"/>
      <c r="BFB7" s="83"/>
      <c r="BFL7" s="83"/>
      <c r="BFV7" s="83"/>
      <c r="BGF7" s="83"/>
      <c r="BGP7" s="83"/>
      <c r="BGZ7" s="83"/>
      <c r="BHJ7" s="83"/>
      <c r="BHT7" s="83"/>
      <c r="BID7" s="83"/>
      <c r="BIN7" s="83"/>
      <c r="BIX7" s="83"/>
      <c r="BJH7" s="83"/>
      <c r="BJR7" s="83"/>
      <c r="BKB7" s="83"/>
      <c r="BKL7" s="83"/>
      <c r="BKV7" s="83"/>
      <c r="BLF7" s="83"/>
      <c r="BLP7" s="83"/>
      <c r="BLZ7" s="83"/>
      <c r="BMJ7" s="83"/>
      <c r="BMT7" s="83"/>
      <c r="BND7" s="83"/>
      <c r="BNN7" s="83"/>
      <c r="BNX7" s="83"/>
      <c r="BOH7" s="83"/>
      <c r="BOR7" s="83"/>
      <c r="BPB7" s="83"/>
      <c r="BPL7" s="83"/>
      <c r="BPV7" s="83"/>
      <c r="BQF7" s="83"/>
      <c r="BQP7" s="83"/>
      <c r="BQZ7" s="83"/>
      <c r="BRJ7" s="83"/>
      <c r="BRT7" s="83"/>
      <c r="BSD7" s="83"/>
      <c r="BSN7" s="83"/>
      <c r="BSX7" s="83"/>
      <c r="BTH7" s="83"/>
      <c r="BTR7" s="83"/>
      <c r="BUB7" s="83"/>
      <c r="BUL7" s="83"/>
      <c r="BUV7" s="83"/>
      <c r="BVF7" s="83"/>
      <c r="BVP7" s="83"/>
      <c r="BVZ7" s="83"/>
      <c r="BWJ7" s="83"/>
      <c r="BWT7" s="83"/>
      <c r="BXD7" s="83"/>
      <c r="BXN7" s="83"/>
      <c r="BXX7" s="83"/>
      <c r="BYH7" s="83"/>
      <c r="BYR7" s="83"/>
      <c r="BZB7" s="83"/>
      <c r="BZL7" s="83"/>
      <c r="BZV7" s="83"/>
      <c r="CAF7" s="83"/>
      <c r="CAP7" s="83"/>
      <c r="CAZ7" s="83"/>
      <c r="CBJ7" s="83"/>
      <c r="CBT7" s="83"/>
      <c r="CCD7" s="83"/>
      <c r="CCN7" s="83"/>
      <c r="CCX7" s="83"/>
      <c r="CDH7" s="83"/>
      <c r="CDR7" s="83"/>
      <c r="CEB7" s="83"/>
      <c r="CEL7" s="83"/>
      <c r="CEV7" s="83"/>
      <c r="CFF7" s="83"/>
      <c r="CFP7" s="83"/>
      <c r="CFZ7" s="83"/>
      <c r="CGJ7" s="83"/>
      <c r="CGT7" s="83"/>
      <c r="CHD7" s="83"/>
      <c r="CHN7" s="83"/>
      <c r="CHX7" s="83"/>
      <c r="CIH7" s="83"/>
      <c r="CIR7" s="83"/>
      <c r="CJB7" s="83"/>
      <c r="CJL7" s="83"/>
      <c r="CJV7" s="83"/>
      <c r="CKF7" s="83"/>
      <c r="CKP7" s="83"/>
      <c r="CKZ7" s="83"/>
      <c r="CLJ7" s="83"/>
      <c r="CLT7" s="83"/>
      <c r="CMD7" s="83"/>
      <c r="CMN7" s="83"/>
      <c r="CMX7" s="83"/>
      <c r="CNH7" s="83"/>
      <c r="CNR7" s="83"/>
      <c r="COB7" s="83"/>
      <c r="COL7" s="83"/>
      <c r="COV7" s="83"/>
      <c r="CPF7" s="83"/>
      <c r="CPP7" s="83"/>
      <c r="CPZ7" s="83"/>
      <c r="CQJ7" s="83"/>
      <c r="CQT7" s="83"/>
      <c r="CRD7" s="83"/>
      <c r="CRN7" s="83"/>
      <c r="CRX7" s="83"/>
      <c r="CSH7" s="83"/>
      <c r="CSR7" s="83"/>
      <c r="CTB7" s="83"/>
      <c r="CTL7" s="83"/>
      <c r="CTV7" s="83"/>
    </row>
    <row r="8" s="58" customFormat="1" customHeight="1" spans="1:1020 1030:2040 2050:2570">
      <c r="A8" s="79">
        <v>46145</v>
      </c>
      <c r="B8" s="80" t="s">
        <v>22</v>
      </c>
      <c r="C8" s="38" t="s">
        <v>23</v>
      </c>
      <c r="D8" s="75">
        <v>652332150</v>
      </c>
      <c r="E8" s="38" t="s">
        <v>30</v>
      </c>
      <c r="F8" s="75" t="str">
        <f>VLOOKUP(E8,[1]基础数据!E:H,2,0)</f>
        <v>LP_SHUNT010-AA_A12EV_V1_三防漆双面925_007</v>
      </c>
      <c r="G8" s="38">
        <v>648</v>
      </c>
      <c r="H8" s="75" t="str">
        <f>VLOOKUP(E8,[1]基础数据!E:H,4,0)</f>
        <v>料盒</v>
      </c>
      <c r="I8" s="75">
        <f>VLOOKUP(E8,[1]基础数据!E:G,3,0)</f>
        <v>162</v>
      </c>
      <c r="J8" s="75" t="s">
        <v>306</v>
      </c>
      <c r="K8" s="82">
        <f t="shared" si="0"/>
        <v>4</v>
      </c>
      <c r="T8" s="83"/>
      <c r="AD8" s="83"/>
      <c r="AN8" s="83"/>
      <c r="AX8" s="83"/>
      <c r="BH8" s="83"/>
      <c r="BR8" s="83"/>
      <c r="CB8" s="83"/>
      <c r="CL8" s="83"/>
      <c r="CV8" s="83"/>
      <c r="DF8" s="83"/>
      <c r="DP8" s="83"/>
      <c r="DZ8" s="83"/>
      <c r="EJ8" s="83"/>
      <c r="ET8" s="83"/>
      <c r="FD8" s="83"/>
      <c r="FN8" s="83"/>
      <c r="FX8" s="83"/>
      <c r="GH8" s="83"/>
      <c r="GR8" s="83"/>
      <c r="HB8" s="83"/>
      <c r="HL8" s="83"/>
      <c r="HV8" s="83"/>
      <c r="IF8" s="83"/>
      <c r="IP8" s="83"/>
      <c r="IZ8" s="83"/>
      <c r="JJ8" s="83"/>
      <c r="JT8" s="83"/>
      <c r="KD8" s="83"/>
      <c r="KN8" s="83"/>
      <c r="KX8" s="83"/>
      <c r="LH8" s="83"/>
      <c r="LR8" s="83"/>
      <c r="MB8" s="83"/>
      <c r="ML8" s="83"/>
      <c r="MV8" s="83"/>
      <c r="NF8" s="83"/>
      <c r="NP8" s="83"/>
      <c r="NZ8" s="83"/>
      <c r="OJ8" s="83"/>
      <c r="OT8" s="83"/>
      <c r="PD8" s="83"/>
      <c r="PN8" s="83"/>
      <c r="PX8" s="83"/>
      <c r="QH8" s="83"/>
      <c r="QR8" s="83"/>
      <c r="RB8" s="83"/>
      <c r="RL8" s="83"/>
      <c r="RV8" s="83"/>
      <c r="SF8" s="83"/>
      <c r="SP8" s="83"/>
      <c r="SZ8" s="83"/>
      <c r="TJ8" s="83"/>
      <c r="TT8" s="83"/>
      <c r="UD8" s="83"/>
      <c r="UN8" s="83"/>
      <c r="UX8" s="83"/>
      <c r="VH8" s="83"/>
      <c r="VR8" s="83"/>
      <c r="WB8" s="83"/>
      <c r="WL8" s="83"/>
      <c r="WV8" s="83"/>
      <c r="XF8" s="83"/>
      <c r="XP8" s="83"/>
      <c r="XZ8" s="83"/>
      <c r="YJ8" s="83"/>
      <c r="YT8" s="83"/>
      <c r="ZD8" s="83"/>
      <c r="ZN8" s="83"/>
      <c r="ZX8" s="83"/>
      <c r="AAH8" s="83"/>
      <c r="AAR8" s="83"/>
      <c r="ABB8" s="83"/>
      <c r="ABL8" s="83"/>
      <c r="ABV8" s="83"/>
      <c r="ACF8" s="83"/>
      <c r="ACP8" s="83"/>
      <c r="ACZ8" s="83"/>
      <c r="ADJ8" s="83"/>
      <c r="ADT8" s="83"/>
      <c r="AED8" s="83"/>
      <c r="AEN8" s="83"/>
      <c r="AEX8" s="83"/>
      <c r="AFH8" s="83"/>
      <c r="AFR8" s="83"/>
      <c r="AGB8" s="83"/>
      <c r="AGL8" s="83"/>
      <c r="AGV8" s="83"/>
      <c r="AHF8" s="83"/>
      <c r="AHP8" s="83"/>
      <c r="AHZ8" s="83"/>
      <c r="AIJ8" s="83"/>
      <c r="AIT8" s="83"/>
      <c r="AJD8" s="83"/>
      <c r="AJN8" s="83"/>
      <c r="AJX8" s="83"/>
      <c r="AKH8" s="83"/>
      <c r="AKR8" s="83"/>
      <c r="ALB8" s="83"/>
      <c r="ALL8" s="83"/>
      <c r="ALV8" s="83"/>
      <c r="AMF8" s="83"/>
      <c r="AMP8" s="83"/>
      <c r="AMZ8" s="83"/>
      <c r="ANJ8" s="83"/>
      <c r="ANT8" s="83"/>
      <c r="AOD8" s="83"/>
      <c r="AON8" s="83"/>
      <c r="AOX8" s="83"/>
      <c r="APH8" s="83"/>
      <c r="APR8" s="83"/>
      <c r="AQB8" s="83"/>
      <c r="AQL8" s="83"/>
      <c r="AQV8" s="83"/>
      <c r="ARF8" s="83"/>
      <c r="ARP8" s="83"/>
      <c r="ARZ8" s="83"/>
      <c r="ASJ8" s="83"/>
      <c r="AST8" s="83"/>
      <c r="ATD8" s="83"/>
      <c r="ATN8" s="83"/>
      <c r="ATX8" s="83"/>
      <c r="AUH8" s="83"/>
      <c r="AUR8" s="83"/>
      <c r="AVB8" s="83"/>
      <c r="AVL8" s="83"/>
      <c r="AVV8" s="83"/>
      <c r="AWF8" s="83"/>
      <c r="AWP8" s="83"/>
      <c r="AWZ8" s="83"/>
      <c r="AXJ8" s="83"/>
      <c r="AXT8" s="83"/>
      <c r="AYD8" s="83"/>
      <c r="AYN8" s="83"/>
      <c r="AYX8" s="83"/>
      <c r="AZH8" s="83"/>
      <c r="AZR8" s="83"/>
      <c r="BAB8" s="83"/>
      <c r="BAL8" s="83"/>
      <c r="BAV8" s="83"/>
      <c r="BBF8" s="83"/>
      <c r="BBP8" s="83"/>
      <c r="BBZ8" s="83"/>
      <c r="BCJ8" s="83"/>
      <c r="BCT8" s="83"/>
      <c r="BDD8" s="83"/>
      <c r="BDN8" s="83"/>
      <c r="BDX8" s="83"/>
      <c r="BEH8" s="83"/>
      <c r="BER8" s="83"/>
      <c r="BFB8" s="83"/>
      <c r="BFL8" s="83"/>
      <c r="BFV8" s="83"/>
      <c r="BGF8" s="83"/>
      <c r="BGP8" s="83"/>
      <c r="BGZ8" s="83"/>
      <c r="BHJ8" s="83"/>
      <c r="BHT8" s="83"/>
      <c r="BID8" s="83"/>
      <c r="BIN8" s="83"/>
      <c r="BIX8" s="83"/>
      <c r="BJH8" s="83"/>
      <c r="BJR8" s="83"/>
      <c r="BKB8" s="83"/>
      <c r="BKL8" s="83"/>
      <c r="BKV8" s="83"/>
      <c r="BLF8" s="83"/>
      <c r="BLP8" s="83"/>
      <c r="BLZ8" s="83"/>
      <c r="BMJ8" s="83"/>
      <c r="BMT8" s="83"/>
      <c r="BND8" s="83"/>
      <c r="BNN8" s="83"/>
      <c r="BNX8" s="83"/>
      <c r="BOH8" s="83"/>
      <c r="BOR8" s="83"/>
      <c r="BPB8" s="83"/>
      <c r="BPL8" s="83"/>
      <c r="BPV8" s="83"/>
      <c r="BQF8" s="83"/>
      <c r="BQP8" s="83"/>
      <c r="BQZ8" s="83"/>
      <c r="BRJ8" s="83"/>
      <c r="BRT8" s="83"/>
      <c r="BSD8" s="83"/>
      <c r="BSN8" s="83"/>
      <c r="BSX8" s="83"/>
      <c r="BTH8" s="83"/>
      <c r="BTR8" s="83"/>
      <c r="BUB8" s="83"/>
      <c r="BUL8" s="83"/>
      <c r="BUV8" s="83"/>
      <c r="BVF8" s="83"/>
      <c r="BVP8" s="83"/>
      <c r="BVZ8" s="83"/>
      <c r="BWJ8" s="83"/>
      <c r="BWT8" s="83"/>
      <c r="BXD8" s="83"/>
      <c r="BXN8" s="83"/>
      <c r="BXX8" s="83"/>
      <c r="BYH8" s="83"/>
      <c r="BYR8" s="83"/>
      <c r="BZB8" s="83"/>
      <c r="BZL8" s="83"/>
      <c r="BZV8" s="83"/>
      <c r="CAF8" s="83"/>
      <c r="CAP8" s="83"/>
      <c r="CAZ8" s="83"/>
      <c r="CBJ8" s="83"/>
      <c r="CBT8" s="83"/>
      <c r="CCD8" s="83"/>
      <c r="CCN8" s="83"/>
      <c r="CCX8" s="83"/>
      <c r="CDH8" s="83"/>
      <c r="CDR8" s="83"/>
      <c r="CEB8" s="83"/>
      <c r="CEL8" s="83"/>
      <c r="CEV8" s="83"/>
      <c r="CFF8" s="83"/>
      <c r="CFP8" s="83"/>
      <c r="CFZ8" s="83"/>
      <c r="CGJ8" s="83"/>
      <c r="CGT8" s="83"/>
      <c r="CHD8" s="83"/>
      <c r="CHN8" s="83"/>
      <c r="CHX8" s="83"/>
      <c r="CIH8" s="83"/>
      <c r="CIR8" s="83"/>
      <c r="CJB8" s="83"/>
      <c r="CJL8" s="83"/>
      <c r="CJV8" s="83"/>
      <c r="CKF8" s="83"/>
      <c r="CKP8" s="83"/>
      <c r="CKZ8" s="83"/>
      <c r="CLJ8" s="83"/>
      <c r="CLT8" s="83"/>
      <c r="CMD8" s="83"/>
      <c r="CMN8" s="83"/>
      <c r="CMX8" s="83"/>
      <c r="CNH8" s="83"/>
      <c r="CNR8" s="83"/>
      <c r="COB8" s="83"/>
      <c r="COL8" s="83"/>
      <c r="COV8" s="83"/>
      <c r="CPF8" s="83"/>
      <c r="CPP8" s="83"/>
      <c r="CPZ8" s="83"/>
      <c r="CQJ8" s="83"/>
      <c r="CQT8" s="83"/>
      <c r="CRD8" s="83"/>
      <c r="CRN8" s="83"/>
      <c r="CRX8" s="83"/>
      <c r="CSH8" s="83"/>
      <c r="CSR8" s="83"/>
      <c r="CTB8" s="83"/>
      <c r="CTL8" s="83"/>
      <c r="CTV8" s="83"/>
    </row>
    <row r="9" s="58" customFormat="1" customHeight="1" spans="1:1020 1030:2040 2050:2570">
      <c r="A9" s="79">
        <v>46145</v>
      </c>
      <c r="B9" s="80" t="s">
        <v>22</v>
      </c>
      <c r="C9" s="38" t="s">
        <v>23</v>
      </c>
      <c r="D9" s="75">
        <v>652332150</v>
      </c>
      <c r="E9" s="38" t="s">
        <v>119</v>
      </c>
      <c r="F9" s="75" t="str">
        <f>VLOOKUP(E9,[1]基础数据!E:H,2,0)</f>
        <v>LXT05EV20-BSU总成-04</v>
      </c>
      <c r="G9" s="38">
        <v>240</v>
      </c>
      <c r="H9" s="75" t="str">
        <f>VLOOKUP(E9,[1]基础数据!E:H,4,0)</f>
        <v>料盒</v>
      </c>
      <c r="I9" s="75">
        <f>VLOOKUP(E9,[1]基础数据!E:G,3,0)</f>
        <v>16</v>
      </c>
      <c r="J9" s="75" t="s">
        <v>306</v>
      </c>
      <c r="K9" s="82">
        <f t="shared" si="0"/>
        <v>15</v>
      </c>
      <c r="T9" s="83"/>
      <c r="AD9" s="83"/>
      <c r="AN9" s="83"/>
      <c r="AX9" s="83"/>
      <c r="BH9" s="83"/>
      <c r="BR9" s="83"/>
      <c r="CB9" s="83"/>
      <c r="CL9" s="83"/>
      <c r="CV9" s="83"/>
      <c r="DF9" s="83"/>
      <c r="DP9" s="83"/>
      <c r="DZ9" s="83"/>
      <c r="EJ9" s="83"/>
      <c r="ET9" s="83"/>
      <c r="FD9" s="83"/>
      <c r="FN9" s="83"/>
      <c r="FX9" s="83"/>
      <c r="GH9" s="83"/>
      <c r="GR9" s="83"/>
      <c r="HB9" s="83"/>
      <c r="HL9" s="83"/>
      <c r="HV9" s="83"/>
      <c r="IF9" s="83"/>
      <c r="IP9" s="83"/>
      <c r="IZ9" s="83"/>
      <c r="JJ9" s="83"/>
      <c r="JT9" s="83"/>
      <c r="KD9" s="83"/>
      <c r="KN9" s="83"/>
      <c r="KX9" s="83"/>
      <c r="LH9" s="83"/>
      <c r="LR9" s="83"/>
      <c r="MB9" s="83"/>
      <c r="ML9" s="83"/>
      <c r="MV9" s="83"/>
      <c r="NF9" s="83"/>
      <c r="NP9" s="83"/>
      <c r="NZ9" s="83"/>
      <c r="OJ9" s="83"/>
      <c r="OT9" s="83"/>
      <c r="PD9" s="83"/>
      <c r="PN9" s="83"/>
      <c r="PX9" s="83"/>
      <c r="QH9" s="83"/>
      <c r="QR9" s="83"/>
      <c r="RB9" s="83"/>
      <c r="RL9" s="83"/>
      <c r="RV9" s="83"/>
      <c r="SF9" s="83"/>
      <c r="SP9" s="83"/>
      <c r="SZ9" s="83"/>
      <c r="TJ9" s="83"/>
      <c r="TT9" s="83"/>
      <c r="UD9" s="83"/>
      <c r="UN9" s="83"/>
      <c r="UX9" s="83"/>
      <c r="VH9" s="83"/>
      <c r="VR9" s="83"/>
      <c r="WB9" s="83"/>
      <c r="WL9" s="83"/>
      <c r="WV9" s="83"/>
      <c r="XF9" s="83"/>
      <c r="XP9" s="83"/>
      <c r="XZ9" s="83"/>
      <c r="YJ9" s="83"/>
      <c r="YT9" s="83"/>
      <c r="ZD9" s="83"/>
      <c r="ZN9" s="83"/>
      <c r="ZX9" s="83"/>
      <c r="AAH9" s="83"/>
      <c r="AAR9" s="83"/>
      <c r="ABB9" s="83"/>
      <c r="ABL9" s="83"/>
      <c r="ABV9" s="83"/>
      <c r="ACF9" s="83"/>
      <c r="ACP9" s="83"/>
      <c r="ACZ9" s="83"/>
      <c r="ADJ9" s="83"/>
      <c r="ADT9" s="83"/>
      <c r="AED9" s="83"/>
      <c r="AEN9" s="83"/>
      <c r="AEX9" s="83"/>
      <c r="AFH9" s="83"/>
      <c r="AFR9" s="83"/>
      <c r="AGB9" s="83"/>
      <c r="AGL9" s="83"/>
      <c r="AGV9" s="83"/>
      <c r="AHF9" s="83"/>
      <c r="AHP9" s="83"/>
      <c r="AHZ9" s="83"/>
      <c r="AIJ9" s="83"/>
      <c r="AIT9" s="83"/>
      <c r="AJD9" s="83"/>
      <c r="AJN9" s="83"/>
      <c r="AJX9" s="83"/>
      <c r="AKH9" s="83"/>
      <c r="AKR9" s="83"/>
      <c r="ALB9" s="83"/>
      <c r="ALL9" s="83"/>
      <c r="ALV9" s="83"/>
      <c r="AMF9" s="83"/>
      <c r="AMP9" s="83"/>
      <c r="AMZ9" s="83"/>
      <c r="ANJ9" s="83"/>
      <c r="ANT9" s="83"/>
      <c r="AOD9" s="83"/>
      <c r="AON9" s="83"/>
      <c r="AOX9" s="83"/>
      <c r="APH9" s="83"/>
      <c r="APR9" s="83"/>
      <c r="AQB9" s="83"/>
      <c r="AQL9" s="83"/>
      <c r="AQV9" s="83"/>
      <c r="ARF9" s="83"/>
      <c r="ARP9" s="83"/>
      <c r="ARZ9" s="83"/>
      <c r="ASJ9" s="83"/>
      <c r="AST9" s="83"/>
      <c r="ATD9" s="83"/>
      <c r="ATN9" s="83"/>
      <c r="ATX9" s="83"/>
      <c r="AUH9" s="83"/>
      <c r="AUR9" s="83"/>
      <c r="AVB9" s="83"/>
      <c r="AVL9" s="83"/>
      <c r="AVV9" s="83"/>
      <c r="AWF9" s="83"/>
      <c r="AWP9" s="83"/>
      <c r="AWZ9" s="83"/>
      <c r="AXJ9" s="83"/>
      <c r="AXT9" s="83"/>
      <c r="AYD9" s="83"/>
      <c r="AYN9" s="83"/>
      <c r="AYX9" s="83"/>
      <c r="AZH9" s="83"/>
      <c r="AZR9" s="83"/>
      <c r="BAB9" s="83"/>
      <c r="BAL9" s="83"/>
      <c r="BAV9" s="83"/>
      <c r="BBF9" s="83"/>
      <c r="BBP9" s="83"/>
      <c r="BBZ9" s="83"/>
      <c r="BCJ9" s="83"/>
      <c r="BCT9" s="83"/>
      <c r="BDD9" s="83"/>
      <c r="BDN9" s="83"/>
      <c r="BDX9" s="83"/>
      <c r="BEH9" s="83"/>
      <c r="BER9" s="83"/>
      <c r="BFB9" s="83"/>
      <c r="BFL9" s="83"/>
      <c r="BFV9" s="83"/>
      <c r="BGF9" s="83"/>
      <c r="BGP9" s="83"/>
      <c r="BGZ9" s="83"/>
      <c r="BHJ9" s="83"/>
      <c r="BHT9" s="83"/>
      <c r="BID9" s="83"/>
      <c r="BIN9" s="83"/>
      <c r="BIX9" s="83"/>
      <c r="BJH9" s="83"/>
      <c r="BJR9" s="83"/>
      <c r="BKB9" s="83"/>
      <c r="BKL9" s="83"/>
      <c r="BKV9" s="83"/>
      <c r="BLF9" s="83"/>
      <c r="BLP9" s="83"/>
      <c r="BLZ9" s="83"/>
      <c r="BMJ9" s="83"/>
      <c r="BMT9" s="83"/>
      <c r="BND9" s="83"/>
      <c r="BNN9" s="83"/>
      <c r="BNX9" s="83"/>
      <c r="BOH9" s="83"/>
      <c r="BOR9" s="83"/>
      <c r="BPB9" s="83"/>
      <c r="BPL9" s="83"/>
      <c r="BPV9" s="83"/>
      <c r="BQF9" s="83"/>
      <c r="BQP9" s="83"/>
      <c r="BQZ9" s="83"/>
      <c r="BRJ9" s="83"/>
      <c r="BRT9" s="83"/>
      <c r="BSD9" s="83"/>
      <c r="BSN9" s="83"/>
      <c r="BSX9" s="83"/>
      <c r="BTH9" s="83"/>
      <c r="BTR9" s="83"/>
      <c r="BUB9" s="83"/>
      <c r="BUL9" s="83"/>
      <c r="BUV9" s="83"/>
      <c r="BVF9" s="83"/>
      <c r="BVP9" s="83"/>
      <c r="BVZ9" s="83"/>
      <c r="BWJ9" s="83"/>
      <c r="BWT9" s="83"/>
      <c r="BXD9" s="83"/>
      <c r="BXN9" s="83"/>
      <c r="BXX9" s="83"/>
      <c r="BYH9" s="83"/>
      <c r="BYR9" s="83"/>
      <c r="BZB9" s="83"/>
      <c r="BZL9" s="83"/>
      <c r="BZV9" s="83"/>
      <c r="CAF9" s="83"/>
      <c r="CAP9" s="83"/>
      <c r="CAZ9" s="83"/>
      <c r="CBJ9" s="83"/>
      <c r="CBT9" s="83"/>
      <c r="CCD9" s="83"/>
      <c r="CCN9" s="83"/>
      <c r="CCX9" s="83"/>
      <c r="CDH9" s="83"/>
      <c r="CDR9" s="83"/>
      <c r="CEB9" s="83"/>
      <c r="CEL9" s="83"/>
      <c r="CEV9" s="83"/>
      <c r="CFF9" s="83"/>
      <c r="CFP9" s="83"/>
      <c r="CFZ9" s="83"/>
      <c r="CGJ9" s="83"/>
      <c r="CGT9" s="83"/>
      <c r="CHD9" s="83"/>
      <c r="CHN9" s="83"/>
      <c r="CHX9" s="83"/>
      <c r="CIH9" s="83"/>
      <c r="CIR9" s="83"/>
      <c r="CJB9" s="83"/>
      <c r="CJL9" s="83"/>
      <c r="CJV9" s="83"/>
      <c r="CKF9" s="83"/>
      <c r="CKP9" s="83"/>
      <c r="CKZ9" s="83"/>
      <c r="CLJ9" s="83"/>
      <c r="CLT9" s="83"/>
      <c r="CMD9" s="83"/>
      <c r="CMN9" s="83"/>
      <c r="CMX9" s="83"/>
      <c r="CNH9" s="83"/>
      <c r="CNR9" s="83"/>
      <c r="COB9" s="83"/>
      <c r="COL9" s="83"/>
      <c r="COV9" s="83"/>
      <c r="CPF9" s="83"/>
      <c r="CPP9" s="83"/>
      <c r="CPZ9" s="83"/>
      <c r="CQJ9" s="83"/>
      <c r="CQT9" s="83"/>
      <c r="CRD9" s="83"/>
      <c r="CRN9" s="83"/>
      <c r="CRX9" s="83"/>
      <c r="CSH9" s="83"/>
      <c r="CSR9" s="83"/>
      <c r="CTB9" s="83"/>
      <c r="CTL9" s="83"/>
      <c r="CTV9" s="83"/>
    </row>
    <row r="10" s="58" customFormat="1" customHeight="1" spans="1:1020 1030:2040 2050:2570">
      <c r="A10" s="79">
        <v>46145</v>
      </c>
      <c r="B10" s="80" t="s">
        <v>22</v>
      </c>
      <c r="C10" s="38" t="s">
        <v>23</v>
      </c>
      <c r="D10" s="75">
        <v>652332229</v>
      </c>
      <c r="E10" s="84" t="s">
        <v>51</v>
      </c>
      <c r="F10" s="75" t="str">
        <f>VLOOKUP(E10,[1]基础数据!E:H,2,0)</f>
        <v>LP-BSU051-AA_V100_TI_32A1_HW_三防漆双面916_019</v>
      </c>
      <c r="G10" s="38">
        <v>576</v>
      </c>
      <c r="H10" s="75" t="str">
        <f>VLOOKUP(E10,[1]基础数据!E:H,4,0)</f>
        <v>料盒</v>
      </c>
      <c r="I10" s="75">
        <f>VLOOKUP(E10,[1]基础数据!E:G,3,0)</f>
        <v>36</v>
      </c>
      <c r="J10" s="75" t="s">
        <v>306</v>
      </c>
      <c r="K10" s="82">
        <f t="shared" si="0"/>
        <v>16</v>
      </c>
      <c r="T10" s="83"/>
      <c r="AD10" s="83"/>
      <c r="AN10" s="83"/>
      <c r="AX10" s="83"/>
      <c r="BH10" s="83"/>
      <c r="BR10" s="83"/>
      <c r="CB10" s="83"/>
      <c r="CL10" s="83"/>
      <c r="CV10" s="83"/>
      <c r="DF10" s="83"/>
      <c r="DP10" s="83"/>
      <c r="DZ10" s="83"/>
      <c r="EJ10" s="83"/>
      <c r="ET10" s="83"/>
      <c r="FD10" s="83"/>
      <c r="FN10" s="83"/>
      <c r="FX10" s="83"/>
      <c r="GH10" s="83"/>
      <c r="GR10" s="83"/>
      <c r="HB10" s="83"/>
      <c r="HL10" s="83"/>
      <c r="HV10" s="83"/>
      <c r="IF10" s="83"/>
      <c r="IP10" s="83"/>
      <c r="IZ10" s="83"/>
      <c r="JJ10" s="83"/>
      <c r="JT10" s="83"/>
      <c r="KD10" s="83"/>
      <c r="KN10" s="83"/>
      <c r="KX10" s="83"/>
      <c r="LH10" s="83"/>
      <c r="LR10" s="83"/>
      <c r="MB10" s="83"/>
      <c r="ML10" s="83"/>
      <c r="MV10" s="83"/>
      <c r="NF10" s="83"/>
      <c r="NP10" s="83"/>
      <c r="NZ10" s="83"/>
      <c r="OJ10" s="83"/>
      <c r="OT10" s="83"/>
      <c r="PD10" s="83"/>
      <c r="PN10" s="83"/>
      <c r="PX10" s="83"/>
      <c r="QH10" s="83"/>
      <c r="QR10" s="83"/>
      <c r="RB10" s="83"/>
      <c r="RL10" s="83"/>
      <c r="RV10" s="83"/>
      <c r="SF10" s="83"/>
      <c r="SP10" s="83"/>
      <c r="SZ10" s="83"/>
      <c r="TJ10" s="83"/>
      <c r="TT10" s="83"/>
      <c r="UD10" s="83"/>
      <c r="UN10" s="83"/>
      <c r="UX10" s="83"/>
      <c r="VH10" s="83"/>
      <c r="VR10" s="83"/>
      <c r="WB10" s="83"/>
      <c r="WL10" s="83"/>
      <c r="WV10" s="83"/>
      <c r="XF10" s="83"/>
      <c r="XP10" s="83"/>
      <c r="XZ10" s="83"/>
      <c r="YJ10" s="83"/>
      <c r="YT10" s="83"/>
      <c r="ZD10" s="83"/>
      <c r="ZN10" s="83"/>
      <c r="ZX10" s="83"/>
      <c r="AAH10" s="83"/>
      <c r="AAR10" s="83"/>
      <c r="ABB10" s="83"/>
      <c r="ABL10" s="83"/>
      <c r="ABV10" s="83"/>
      <c r="ACF10" s="83"/>
      <c r="ACP10" s="83"/>
      <c r="ACZ10" s="83"/>
      <c r="ADJ10" s="83"/>
      <c r="ADT10" s="83"/>
      <c r="AED10" s="83"/>
      <c r="AEN10" s="83"/>
      <c r="AEX10" s="83"/>
      <c r="AFH10" s="83"/>
      <c r="AFR10" s="83"/>
      <c r="AGB10" s="83"/>
      <c r="AGL10" s="83"/>
      <c r="AGV10" s="83"/>
      <c r="AHF10" s="83"/>
      <c r="AHP10" s="83"/>
      <c r="AHZ10" s="83"/>
      <c r="AIJ10" s="83"/>
      <c r="AIT10" s="83"/>
      <c r="AJD10" s="83"/>
      <c r="AJN10" s="83"/>
      <c r="AJX10" s="83"/>
      <c r="AKH10" s="83"/>
      <c r="AKR10" s="83"/>
      <c r="ALB10" s="83"/>
      <c r="ALL10" s="83"/>
      <c r="ALV10" s="83"/>
      <c r="AMF10" s="83"/>
      <c r="AMP10" s="83"/>
      <c r="AMZ10" s="83"/>
      <c r="ANJ10" s="83"/>
      <c r="ANT10" s="83"/>
      <c r="AOD10" s="83"/>
      <c r="AON10" s="83"/>
      <c r="AOX10" s="83"/>
      <c r="APH10" s="83"/>
      <c r="APR10" s="83"/>
      <c r="AQB10" s="83"/>
      <c r="AQL10" s="83"/>
      <c r="AQV10" s="83"/>
      <c r="ARF10" s="83"/>
      <c r="ARP10" s="83"/>
      <c r="ARZ10" s="83"/>
      <c r="ASJ10" s="83"/>
      <c r="AST10" s="83"/>
      <c r="ATD10" s="83"/>
      <c r="ATN10" s="83"/>
      <c r="ATX10" s="83"/>
      <c r="AUH10" s="83"/>
      <c r="AUR10" s="83"/>
      <c r="AVB10" s="83"/>
      <c r="AVL10" s="83"/>
      <c r="AVV10" s="83"/>
      <c r="AWF10" s="83"/>
      <c r="AWP10" s="83"/>
      <c r="AWZ10" s="83"/>
      <c r="AXJ10" s="83"/>
      <c r="AXT10" s="83"/>
      <c r="AYD10" s="83"/>
      <c r="AYN10" s="83"/>
      <c r="AYX10" s="83"/>
      <c r="AZH10" s="83"/>
      <c r="AZR10" s="83"/>
      <c r="BAB10" s="83"/>
      <c r="BAL10" s="83"/>
      <c r="BAV10" s="83"/>
      <c r="BBF10" s="83"/>
      <c r="BBP10" s="83"/>
      <c r="BBZ10" s="83"/>
      <c r="BCJ10" s="83"/>
      <c r="BCT10" s="83"/>
      <c r="BDD10" s="83"/>
      <c r="BDN10" s="83"/>
      <c r="BDX10" s="83"/>
      <c r="BEH10" s="83"/>
      <c r="BER10" s="83"/>
      <c r="BFB10" s="83"/>
      <c r="BFL10" s="83"/>
      <c r="BFV10" s="83"/>
      <c r="BGF10" s="83"/>
      <c r="BGP10" s="83"/>
      <c r="BGZ10" s="83"/>
      <c r="BHJ10" s="83"/>
      <c r="BHT10" s="83"/>
      <c r="BID10" s="83"/>
      <c r="BIN10" s="83"/>
      <c r="BIX10" s="83"/>
      <c r="BJH10" s="83"/>
      <c r="BJR10" s="83"/>
      <c r="BKB10" s="83"/>
      <c r="BKL10" s="83"/>
      <c r="BKV10" s="83"/>
      <c r="BLF10" s="83"/>
      <c r="BLP10" s="83"/>
      <c r="BLZ10" s="83"/>
      <c r="BMJ10" s="83"/>
      <c r="BMT10" s="83"/>
      <c r="BND10" s="83"/>
      <c r="BNN10" s="83"/>
      <c r="BNX10" s="83"/>
      <c r="BOH10" s="83"/>
      <c r="BOR10" s="83"/>
      <c r="BPB10" s="83"/>
      <c r="BPL10" s="83"/>
      <c r="BPV10" s="83"/>
      <c r="BQF10" s="83"/>
      <c r="BQP10" s="83"/>
      <c r="BQZ10" s="83"/>
      <c r="BRJ10" s="83"/>
      <c r="BRT10" s="83"/>
      <c r="BSD10" s="83"/>
      <c r="BSN10" s="83"/>
      <c r="BSX10" s="83"/>
      <c r="BTH10" s="83"/>
      <c r="BTR10" s="83"/>
      <c r="BUB10" s="83"/>
      <c r="BUL10" s="83"/>
      <c r="BUV10" s="83"/>
      <c r="BVF10" s="83"/>
      <c r="BVP10" s="83"/>
      <c r="BVZ10" s="83"/>
      <c r="BWJ10" s="83"/>
      <c r="BWT10" s="83"/>
      <c r="BXD10" s="83"/>
      <c r="BXN10" s="83"/>
      <c r="BXX10" s="83"/>
      <c r="BYH10" s="83"/>
      <c r="BYR10" s="83"/>
      <c r="BZB10" s="83"/>
      <c r="BZL10" s="83"/>
      <c r="BZV10" s="83"/>
      <c r="CAF10" s="83"/>
      <c r="CAP10" s="83"/>
      <c r="CAZ10" s="83"/>
      <c r="CBJ10" s="83"/>
      <c r="CBT10" s="83"/>
      <c r="CCD10" s="83"/>
      <c r="CCN10" s="83"/>
      <c r="CCX10" s="83"/>
      <c r="CDH10" s="83"/>
      <c r="CDR10" s="83"/>
      <c r="CEB10" s="83"/>
      <c r="CEL10" s="83"/>
      <c r="CEV10" s="83"/>
      <c r="CFF10" s="83"/>
      <c r="CFP10" s="83"/>
      <c r="CFZ10" s="83"/>
      <c r="CGJ10" s="83"/>
      <c r="CGT10" s="83"/>
      <c r="CHD10" s="83"/>
      <c r="CHN10" s="83"/>
      <c r="CHX10" s="83"/>
      <c r="CIH10" s="83"/>
      <c r="CIR10" s="83"/>
      <c r="CJB10" s="83"/>
      <c r="CJL10" s="83"/>
      <c r="CJV10" s="83"/>
      <c r="CKF10" s="83"/>
      <c r="CKP10" s="83"/>
      <c r="CKZ10" s="83"/>
      <c r="CLJ10" s="83"/>
      <c r="CLT10" s="83"/>
      <c r="CMD10" s="83"/>
      <c r="CMN10" s="83"/>
      <c r="CMX10" s="83"/>
      <c r="CNH10" s="83"/>
      <c r="CNR10" s="83"/>
      <c r="COB10" s="83"/>
      <c r="COL10" s="83"/>
      <c r="COV10" s="83"/>
      <c r="CPF10" s="83"/>
      <c r="CPP10" s="83"/>
      <c r="CPZ10" s="83"/>
      <c r="CQJ10" s="83"/>
      <c r="CQT10" s="83"/>
      <c r="CRD10" s="83"/>
      <c r="CRN10" s="83"/>
      <c r="CRX10" s="83"/>
      <c r="CSH10" s="83"/>
      <c r="CSR10" s="83"/>
      <c r="CTB10" s="83"/>
      <c r="CTL10" s="83"/>
      <c r="CTV10" s="83"/>
    </row>
    <row r="11" s="58" customFormat="1" customHeight="1" spans="1:1020 1030:2040 2050:2570">
      <c r="A11" s="79">
        <v>46145</v>
      </c>
      <c r="B11" s="80" t="s">
        <v>22</v>
      </c>
      <c r="C11" s="38" t="s">
        <v>23</v>
      </c>
      <c r="D11" s="75">
        <v>652332229</v>
      </c>
      <c r="E11" s="38" t="s">
        <v>33</v>
      </c>
      <c r="F11" s="75" t="str">
        <f>VLOOKUP(E11,[1]基础数据!E:H,2,0)</f>
        <v>LP-BSU053-AA_V100_TI_32A2_BTW三防漆双面922_0截</v>
      </c>
      <c r="G11" s="75">
        <v>576</v>
      </c>
      <c r="H11" s="75" t="str">
        <f>VLOOKUP(E11,[1]基础数据!E:H,4,0)</f>
        <v>料盒</v>
      </c>
      <c r="I11" s="75">
        <f>VLOOKUP(E11,[1]基础数据!E:G,3,0)</f>
        <v>36</v>
      </c>
      <c r="J11" s="75" t="s">
        <v>306</v>
      </c>
      <c r="K11" s="82">
        <f t="shared" si="0"/>
        <v>16</v>
      </c>
      <c r="T11" s="83"/>
      <c r="AD11" s="83"/>
      <c r="AN11" s="83"/>
      <c r="AX11" s="83"/>
      <c r="BH11" s="83"/>
      <c r="BR11" s="83"/>
      <c r="CB11" s="83"/>
      <c r="CL11" s="83"/>
      <c r="CV11" s="83"/>
      <c r="DF11" s="83"/>
      <c r="DP11" s="83"/>
      <c r="DZ11" s="83"/>
      <c r="EJ11" s="83"/>
      <c r="ET11" s="83"/>
      <c r="FD11" s="83"/>
      <c r="FN11" s="83"/>
      <c r="FX11" s="83"/>
      <c r="GH11" s="83"/>
      <c r="GR11" s="83"/>
      <c r="HB11" s="83"/>
      <c r="HL11" s="83"/>
      <c r="HV11" s="83"/>
      <c r="IF11" s="83"/>
      <c r="IP11" s="83"/>
      <c r="IZ11" s="83"/>
      <c r="JJ11" s="83"/>
      <c r="JT11" s="83"/>
      <c r="KD11" s="83"/>
      <c r="KN11" s="83"/>
      <c r="KX11" s="83"/>
      <c r="LH11" s="83"/>
      <c r="LR11" s="83"/>
      <c r="MB11" s="83"/>
      <c r="ML11" s="83"/>
      <c r="MV11" s="83"/>
      <c r="NF11" s="83"/>
      <c r="NP11" s="83"/>
      <c r="NZ11" s="83"/>
      <c r="OJ11" s="83"/>
      <c r="OT11" s="83"/>
      <c r="PD11" s="83"/>
      <c r="PN11" s="83"/>
      <c r="PX11" s="83"/>
      <c r="QH11" s="83"/>
      <c r="QR11" s="83"/>
      <c r="RB11" s="83"/>
      <c r="RL11" s="83"/>
      <c r="RV11" s="83"/>
      <c r="SF11" s="83"/>
      <c r="SP11" s="83"/>
      <c r="SZ11" s="83"/>
      <c r="TJ11" s="83"/>
      <c r="TT11" s="83"/>
      <c r="UD11" s="83"/>
      <c r="UN11" s="83"/>
      <c r="UX11" s="83"/>
      <c r="VH11" s="83"/>
      <c r="VR11" s="83"/>
      <c r="WB11" s="83"/>
      <c r="WL11" s="83"/>
      <c r="WV11" s="83"/>
      <c r="XF11" s="83"/>
      <c r="XP11" s="83"/>
      <c r="XZ11" s="83"/>
      <c r="YJ11" s="83"/>
      <c r="YT11" s="83"/>
      <c r="ZD11" s="83"/>
      <c r="ZN11" s="83"/>
      <c r="ZX11" s="83"/>
      <c r="AAH11" s="83"/>
      <c r="AAR11" s="83"/>
      <c r="ABB11" s="83"/>
      <c r="ABL11" s="83"/>
      <c r="ABV11" s="83"/>
      <c r="ACF11" s="83"/>
      <c r="ACP11" s="83"/>
      <c r="ACZ11" s="83"/>
      <c r="ADJ11" s="83"/>
      <c r="ADT11" s="83"/>
      <c r="AED11" s="83"/>
      <c r="AEN11" s="83"/>
      <c r="AEX11" s="83"/>
      <c r="AFH11" s="83"/>
      <c r="AFR11" s="83"/>
      <c r="AGB11" s="83"/>
      <c r="AGL11" s="83"/>
      <c r="AGV11" s="83"/>
      <c r="AHF11" s="83"/>
      <c r="AHP11" s="83"/>
      <c r="AHZ11" s="83"/>
      <c r="AIJ11" s="83"/>
      <c r="AIT11" s="83"/>
      <c r="AJD11" s="83"/>
      <c r="AJN11" s="83"/>
      <c r="AJX11" s="83"/>
      <c r="AKH11" s="83"/>
      <c r="AKR11" s="83"/>
      <c r="ALB11" s="83"/>
      <c r="ALL11" s="83"/>
      <c r="ALV11" s="83"/>
      <c r="AMF11" s="83"/>
      <c r="AMP11" s="83"/>
      <c r="AMZ11" s="83"/>
      <c r="ANJ11" s="83"/>
      <c r="ANT11" s="83"/>
      <c r="AOD11" s="83"/>
      <c r="AON11" s="83"/>
      <c r="AOX11" s="83"/>
      <c r="APH11" s="83"/>
      <c r="APR11" s="83"/>
      <c r="AQB11" s="83"/>
      <c r="AQL11" s="83"/>
      <c r="AQV11" s="83"/>
      <c r="ARF11" s="83"/>
      <c r="ARP11" s="83"/>
      <c r="ARZ11" s="83"/>
      <c r="ASJ11" s="83"/>
      <c r="AST11" s="83"/>
      <c r="ATD11" s="83"/>
      <c r="ATN11" s="83"/>
      <c r="ATX11" s="83"/>
      <c r="AUH11" s="83"/>
      <c r="AUR11" s="83"/>
      <c r="AVB11" s="83"/>
      <c r="AVL11" s="83"/>
      <c r="AVV11" s="83"/>
      <c r="AWF11" s="83"/>
      <c r="AWP11" s="83"/>
      <c r="AWZ11" s="83"/>
      <c r="AXJ11" s="83"/>
      <c r="AXT11" s="83"/>
      <c r="AYD11" s="83"/>
      <c r="AYN11" s="83"/>
      <c r="AYX11" s="83"/>
      <c r="AZH11" s="83"/>
      <c r="AZR11" s="83"/>
      <c r="BAB11" s="83"/>
      <c r="BAL11" s="83"/>
      <c r="BAV11" s="83"/>
      <c r="BBF11" s="83"/>
      <c r="BBP11" s="83"/>
      <c r="BBZ11" s="83"/>
      <c r="BCJ11" s="83"/>
      <c r="BCT11" s="83"/>
      <c r="BDD11" s="83"/>
      <c r="BDN11" s="83"/>
      <c r="BDX11" s="83"/>
      <c r="BEH11" s="83"/>
      <c r="BER11" s="83"/>
      <c r="BFB11" s="83"/>
      <c r="BFL11" s="83"/>
      <c r="BFV11" s="83"/>
      <c r="BGF11" s="83"/>
      <c r="BGP11" s="83"/>
      <c r="BGZ11" s="83"/>
      <c r="BHJ11" s="83"/>
      <c r="BHT11" s="83"/>
      <c r="BID11" s="83"/>
      <c r="BIN11" s="83"/>
      <c r="BIX11" s="83"/>
      <c r="BJH11" s="83"/>
      <c r="BJR11" s="83"/>
      <c r="BKB11" s="83"/>
      <c r="BKL11" s="83"/>
      <c r="BKV11" s="83"/>
      <c r="BLF11" s="83"/>
      <c r="BLP11" s="83"/>
      <c r="BLZ11" s="83"/>
      <c r="BMJ11" s="83"/>
      <c r="BMT11" s="83"/>
      <c r="BND11" s="83"/>
      <c r="BNN11" s="83"/>
      <c r="BNX11" s="83"/>
      <c r="BOH11" s="83"/>
      <c r="BOR11" s="83"/>
      <c r="BPB11" s="83"/>
      <c r="BPL11" s="83"/>
      <c r="BPV11" s="83"/>
      <c r="BQF11" s="83"/>
      <c r="BQP11" s="83"/>
      <c r="BQZ11" s="83"/>
      <c r="BRJ11" s="83"/>
      <c r="BRT11" s="83"/>
      <c r="BSD11" s="83"/>
      <c r="BSN11" s="83"/>
      <c r="BSX11" s="83"/>
      <c r="BTH11" s="83"/>
      <c r="BTR11" s="83"/>
      <c r="BUB11" s="83"/>
      <c r="BUL11" s="83"/>
      <c r="BUV11" s="83"/>
      <c r="BVF11" s="83"/>
      <c r="BVP11" s="83"/>
      <c r="BVZ11" s="83"/>
      <c r="BWJ11" s="83"/>
      <c r="BWT11" s="83"/>
      <c r="BXD11" s="83"/>
      <c r="BXN11" s="83"/>
      <c r="BXX11" s="83"/>
      <c r="BYH11" s="83"/>
      <c r="BYR11" s="83"/>
      <c r="BZB11" s="83"/>
      <c r="BZL11" s="83"/>
      <c r="BZV11" s="83"/>
      <c r="CAF11" s="83"/>
      <c r="CAP11" s="83"/>
      <c r="CAZ11" s="83"/>
      <c r="CBJ11" s="83"/>
      <c r="CBT11" s="83"/>
      <c r="CCD11" s="83"/>
      <c r="CCN11" s="83"/>
      <c r="CCX11" s="83"/>
      <c r="CDH11" s="83"/>
      <c r="CDR11" s="83"/>
      <c r="CEB11" s="83"/>
      <c r="CEL11" s="83"/>
      <c r="CEV11" s="83"/>
      <c r="CFF11" s="83"/>
      <c r="CFP11" s="83"/>
      <c r="CFZ11" s="83"/>
      <c r="CGJ11" s="83"/>
      <c r="CGT11" s="83"/>
      <c r="CHD11" s="83"/>
      <c r="CHN11" s="83"/>
      <c r="CHX11" s="83"/>
      <c r="CIH11" s="83"/>
      <c r="CIR11" s="83"/>
      <c r="CJB11" s="83"/>
      <c r="CJL11" s="83"/>
      <c r="CJV11" s="83"/>
      <c r="CKF11" s="83"/>
      <c r="CKP11" s="83"/>
      <c r="CKZ11" s="83"/>
      <c r="CLJ11" s="83"/>
      <c r="CLT11" s="83"/>
      <c r="CMD11" s="83"/>
      <c r="CMN11" s="83"/>
      <c r="CMX11" s="83"/>
      <c r="CNH11" s="83"/>
      <c r="CNR11" s="83"/>
      <c r="COB11" s="83"/>
      <c r="COL11" s="83"/>
      <c r="COV11" s="83"/>
      <c r="CPF11" s="83"/>
      <c r="CPP11" s="83"/>
      <c r="CPZ11" s="83"/>
      <c r="CQJ11" s="83"/>
      <c r="CQT11" s="83"/>
      <c r="CRD11" s="83"/>
      <c r="CRN11" s="83"/>
      <c r="CRX11" s="83"/>
      <c r="CSH11" s="83"/>
      <c r="CSR11" s="83"/>
      <c r="CTB11" s="83"/>
      <c r="CTL11" s="83"/>
      <c r="CTV11" s="83"/>
    </row>
    <row r="12" s="58" customFormat="1" customHeight="1" spans="1:1020 1030:2040 2050:2570">
      <c r="A12" s="79">
        <v>46146</v>
      </c>
      <c r="B12" s="80" t="s">
        <v>22</v>
      </c>
      <c r="C12" s="38" t="s">
        <v>23</v>
      </c>
      <c r="D12" s="75">
        <v>652337948</v>
      </c>
      <c r="E12" s="38" t="s">
        <v>111</v>
      </c>
      <c r="F12" s="75" t="str">
        <f>VLOOKUP(E12,[2]基础数据!E:H,2,0)</f>
        <v>LS-CCUM001-AA-V1.06 三防漆双面 908_067</v>
      </c>
      <c r="G12" s="38">
        <v>720</v>
      </c>
      <c r="H12" s="75" t="str">
        <f>VLOOKUP(E12,[2]基础数据!E:H,4,0)</f>
        <v>料盒</v>
      </c>
      <c r="I12" s="75">
        <f>VLOOKUP(E12,[2]基础数据!E:G,3,0)</f>
        <v>8</v>
      </c>
      <c r="J12" s="75" t="s">
        <v>306</v>
      </c>
      <c r="K12" s="82">
        <f t="shared" si="0"/>
        <v>90</v>
      </c>
      <c r="T12" s="83"/>
      <c r="AD12" s="83"/>
      <c r="AN12" s="83"/>
      <c r="AX12" s="83"/>
      <c r="BH12" s="83"/>
      <c r="BR12" s="83"/>
      <c r="CB12" s="83"/>
      <c r="CL12" s="83"/>
      <c r="CV12" s="83"/>
      <c r="DF12" s="83"/>
      <c r="DP12" s="83"/>
      <c r="DZ12" s="83"/>
      <c r="EJ12" s="83"/>
      <c r="ET12" s="83"/>
      <c r="FD12" s="83"/>
      <c r="FN12" s="83"/>
      <c r="FX12" s="83"/>
      <c r="GH12" s="83"/>
      <c r="GR12" s="83"/>
      <c r="HB12" s="83"/>
      <c r="HL12" s="83"/>
      <c r="HV12" s="83"/>
      <c r="IF12" s="83"/>
      <c r="IP12" s="83"/>
      <c r="IZ12" s="83"/>
      <c r="JJ12" s="83"/>
      <c r="JT12" s="83"/>
      <c r="KD12" s="83"/>
      <c r="KN12" s="83"/>
      <c r="KX12" s="83"/>
      <c r="LH12" s="83"/>
      <c r="LR12" s="83"/>
      <c r="MB12" s="83"/>
      <c r="ML12" s="83"/>
      <c r="MV12" s="83"/>
      <c r="NF12" s="83"/>
      <c r="NP12" s="83"/>
      <c r="NZ12" s="83"/>
      <c r="OJ12" s="83"/>
      <c r="OT12" s="83"/>
      <c r="PD12" s="83"/>
      <c r="PN12" s="83"/>
      <c r="PX12" s="83"/>
      <c r="QH12" s="83"/>
      <c r="QR12" s="83"/>
      <c r="RB12" s="83"/>
      <c r="RL12" s="83"/>
      <c r="RV12" s="83"/>
      <c r="SF12" s="83"/>
      <c r="SP12" s="83"/>
      <c r="SZ12" s="83"/>
      <c r="TJ12" s="83"/>
      <c r="TT12" s="83"/>
      <c r="UD12" s="83"/>
      <c r="UN12" s="83"/>
      <c r="UX12" s="83"/>
      <c r="VH12" s="83"/>
      <c r="VR12" s="83"/>
      <c r="WB12" s="83"/>
      <c r="WL12" s="83"/>
      <c r="WV12" s="83"/>
      <c r="XF12" s="83"/>
      <c r="XP12" s="83"/>
      <c r="XZ12" s="83"/>
      <c r="YJ12" s="83"/>
      <c r="YT12" s="83"/>
      <c r="ZD12" s="83"/>
      <c r="ZN12" s="83"/>
      <c r="ZX12" s="83"/>
      <c r="AAH12" s="83"/>
      <c r="AAR12" s="83"/>
      <c r="ABB12" s="83"/>
      <c r="ABL12" s="83"/>
      <c r="ABV12" s="83"/>
      <c r="ACF12" s="83"/>
      <c r="ACP12" s="83"/>
      <c r="ACZ12" s="83"/>
      <c r="ADJ12" s="83"/>
      <c r="ADT12" s="83"/>
      <c r="AED12" s="83"/>
      <c r="AEN12" s="83"/>
      <c r="AEX12" s="83"/>
      <c r="AFH12" s="83"/>
      <c r="AFR12" s="83"/>
      <c r="AGB12" s="83"/>
      <c r="AGL12" s="83"/>
      <c r="AGV12" s="83"/>
      <c r="AHF12" s="83"/>
      <c r="AHP12" s="83"/>
      <c r="AHZ12" s="83"/>
      <c r="AIJ12" s="83"/>
      <c r="AIT12" s="83"/>
      <c r="AJD12" s="83"/>
      <c r="AJN12" s="83"/>
      <c r="AJX12" s="83"/>
      <c r="AKH12" s="83"/>
      <c r="AKR12" s="83"/>
      <c r="ALB12" s="83"/>
      <c r="ALL12" s="83"/>
      <c r="ALV12" s="83"/>
      <c r="AMF12" s="83"/>
      <c r="AMP12" s="83"/>
      <c r="AMZ12" s="83"/>
      <c r="ANJ12" s="83"/>
      <c r="ANT12" s="83"/>
      <c r="AOD12" s="83"/>
      <c r="AON12" s="83"/>
      <c r="AOX12" s="83"/>
      <c r="APH12" s="83"/>
      <c r="APR12" s="83"/>
      <c r="AQB12" s="83"/>
      <c r="AQL12" s="83"/>
      <c r="AQV12" s="83"/>
      <c r="ARF12" s="83"/>
      <c r="ARP12" s="83"/>
      <c r="ARZ12" s="83"/>
      <c r="ASJ12" s="83"/>
      <c r="AST12" s="83"/>
      <c r="ATD12" s="83"/>
      <c r="ATN12" s="83"/>
      <c r="ATX12" s="83"/>
      <c r="AUH12" s="83"/>
      <c r="AUR12" s="83"/>
      <c r="AVB12" s="83"/>
      <c r="AVL12" s="83"/>
      <c r="AVV12" s="83"/>
      <c r="AWF12" s="83"/>
      <c r="AWP12" s="83"/>
      <c r="AWZ12" s="83"/>
      <c r="AXJ12" s="83"/>
      <c r="AXT12" s="83"/>
      <c r="AYD12" s="83"/>
      <c r="AYN12" s="83"/>
      <c r="AYX12" s="83"/>
      <c r="AZH12" s="83"/>
      <c r="AZR12" s="83"/>
      <c r="BAB12" s="83"/>
      <c r="BAL12" s="83"/>
      <c r="BAV12" s="83"/>
      <c r="BBF12" s="83"/>
      <c r="BBP12" s="83"/>
      <c r="BBZ12" s="83"/>
      <c r="BCJ12" s="83"/>
      <c r="BCT12" s="83"/>
      <c r="BDD12" s="83"/>
      <c r="BDN12" s="83"/>
      <c r="BDX12" s="83"/>
      <c r="BEH12" s="83"/>
      <c r="BER12" s="83"/>
      <c r="BFB12" s="83"/>
      <c r="BFL12" s="83"/>
      <c r="BFV12" s="83"/>
      <c r="BGF12" s="83"/>
      <c r="BGP12" s="83"/>
      <c r="BGZ12" s="83"/>
      <c r="BHJ12" s="83"/>
      <c r="BHT12" s="83"/>
      <c r="BID12" s="83"/>
      <c r="BIN12" s="83"/>
      <c r="BIX12" s="83"/>
      <c r="BJH12" s="83"/>
      <c r="BJR12" s="83"/>
      <c r="BKB12" s="83"/>
      <c r="BKL12" s="83"/>
      <c r="BKV12" s="83"/>
      <c r="BLF12" s="83"/>
      <c r="BLP12" s="83"/>
      <c r="BLZ12" s="83"/>
      <c r="BMJ12" s="83"/>
      <c r="BMT12" s="83"/>
      <c r="BND12" s="83"/>
      <c r="BNN12" s="83"/>
      <c r="BNX12" s="83"/>
      <c r="BOH12" s="83"/>
      <c r="BOR12" s="83"/>
      <c r="BPB12" s="83"/>
      <c r="BPL12" s="83"/>
      <c r="BPV12" s="83"/>
      <c r="BQF12" s="83"/>
      <c r="BQP12" s="83"/>
      <c r="BQZ12" s="83"/>
      <c r="BRJ12" s="83"/>
      <c r="BRT12" s="83"/>
      <c r="BSD12" s="83"/>
      <c r="BSN12" s="83"/>
      <c r="BSX12" s="83"/>
      <c r="BTH12" s="83"/>
      <c r="BTR12" s="83"/>
      <c r="BUB12" s="83"/>
      <c r="BUL12" s="83"/>
      <c r="BUV12" s="83"/>
      <c r="BVF12" s="83"/>
      <c r="BVP12" s="83"/>
      <c r="BVZ12" s="83"/>
      <c r="BWJ12" s="83"/>
      <c r="BWT12" s="83"/>
      <c r="BXD12" s="83"/>
      <c r="BXN12" s="83"/>
      <c r="BXX12" s="83"/>
      <c r="BYH12" s="83"/>
      <c r="BYR12" s="83"/>
      <c r="BZB12" s="83"/>
      <c r="BZL12" s="83"/>
      <c r="BZV12" s="83"/>
      <c r="CAF12" s="83"/>
      <c r="CAP12" s="83"/>
      <c r="CAZ12" s="83"/>
      <c r="CBJ12" s="83"/>
      <c r="CBT12" s="83"/>
      <c r="CCD12" s="83"/>
      <c r="CCN12" s="83"/>
      <c r="CCX12" s="83"/>
      <c r="CDH12" s="83"/>
      <c r="CDR12" s="83"/>
      <c r="CEB12" s="83"/>
      <c r="CEL12" s="83"/>
      <c r="CEV12" s="83"/>
      <c r="CFF12" s="83"/>
      <c r="CFP12" s="83"/>
      <c r="CFZ12" s="83"/>
      <c r="CGJ12" s="83"/>
      <c r="CGT12" s="83"/>
      <c r="CHD12" s="83"/>
      <c r="CHN12" s="83"/>
      <c r="CHX12" s="83"/>
      <c r="CIH12" s="83"/>
      <c r="CIR12" s="83"/>
      <c r="CJB12" s="83"/>
      <c r="CJL12" s="83"/>
      <c r="CJV12" s="83"/>
      <c r="CKF12" s="83"/>
      <c r="CKP12" s="83"/>
      <c r="CKZ12" s="83"/>
      <c r="CLJ12" s="83"/>
      <c r="CLT12" s="83"/>
      <c r="CMD12" s="83"/>
      <c r="CMN12" s="83"/>
      <c r="CMX12" s="83"/>
      <c r="CNH12" s="83"/>
      <c r="CNR12" s="83"/>
      <c r="COB12" s="83"/>
      <c r="COL12" s="83"/>
      <c r="COV12" s="83"/>
      <c r="CPF12" s="83"/>
      <c r="CPP12" s="83"/>
      <c r="CPZ12" s="83"/>
      <c r="CQJ12" s="83"/>
      <c r="CQT12" s="83"/>
      <c r="CRD12" s="83"/>
      <c r="CRN12" s="83"/>
      <c r="CRX12" s="83"/>
      <c r="CSH12" s="83"/>
      <c r="CSR12" s="83"/>
      <c r="CTB12" s="83"/>
      <c r="CTL12" s="83"/>
      <c r="CTV12" s="83"/>
    </row>
    <row r="13" s="58" customFormat="1" customHeight="1" spans="1:1020 1030:2040 2050:2570">
      <c r="A13" s="79">
        <v>46146</v>
      </c>
      <c r="B13" s="80" t="s">
        <v>22</v>
      </c>
      <c r="C13" s="38" t="s">
        <v>23</v>
      </c>
      <c r="D13" s="75">
        <v>652337948</v>
      </c>
      <c r="E13" s="38" t="s">
        <v>81</v>
      </c>
      <c r="F13" s="75" t="str">
        <f>VLOOKUP(E13,[2]基础数据!E:H,2,0)</f>
        <v>LS-CCUG001-AB-V1.02 三防漆单面 924_028</v>
      </c>
      <c r="G13" s="38">
        <v>936</v>
      </c>
      <c r="H13" s="75" t="str">
        <f>VLOOKUP(E13,[2]基础数据!E:H,4,0)</f>
        <v>料盒</v>
      </c>
      <c r="I13" s="75">
        <f>VLOOKUP(E13,[2]基础数据!E:G,3,0)</f>
        <v>72</v>
      </c>
      <c r="J13" s="75" t="s">
        <v>306</v>
      </c>
      <c r="K13" s="82">
        <f t="shared" si="0"/>
        <v>13</v>
      </c>
      <c r="T13" s="83"/>
      <c r="AD13" s="83"/>
      <c r="AN13" s="83"/>
      <c r="AX13" s="83"/>
      <c r="BH13" s="83"/>
      <c r="BR13" s="83"/>
      <c r="CB13" s="83"/>
      <c r="CL13" s="83"/>
      <c r="CV13" s="83"/>
      <c r="DF13" s="83"/>
      <c r="DP13" s="83"/>
      <c r="DZ13" s="83"/>
      <c r="EJ13" s="83"/>
      <c r="ET13" s="83"/>
      <c r="FD13" s="83"/>
      <c r="FN13" s="83"/>
      <c r="FX13" s="83"/>
      <c r="GH13" s="83"/>
      <c r="GR13" s="83"/>
      <c r="HB13" s="83"/>
      <c r="HL13" s="83"/>
      <c r="HV13" s="83"/>
      <c r="IF13" s="83"/>
      <c r="IP13" s="83"/>
      <c r="IZ13" s="83"/>
      <c r="JJ13" s="83"/>
      <c r="JT13" s="83"/>
      <c r="KD13" s="83"/>
      <c r="KN13" s="83"/>
      <c r="KX13" s="83"/>
      <c r="LH13" s="83"/>
      <c r="LR13" s="83"/>
      <c r="MB13" s="83"/>
      <c r="ML13" s="83"/>
      <c r="MV13" s="83"/>
      <c r="NF13" s="83"/>
      <c r="NP13" s="83"/>
      <c r="NZ13" s="83"/>
      <c r="OJ13" s="83"/>
      <c r="OT13" s="83"/>
      <c r="PD13" s="83"/>
      <c r="PN13" s="83"/>
      <c r="PX13" s="83"/>
      <c r="QH13" s="83"/>
      <c r="QR13" s="83"/>
      <c r="RB13" s="83"/>
      <c r="RL13" s="83"/>
      <c r="RV13" s="83"/>
      <c r="SF13" s="83"/>
      <c r="SP13" s="83"/>
      <c r="SZ13" s="83"/>
      <c r="TJ13" s="83"/>
      <c r="TT13" s="83"/>
      <c r="UD13" s="83"/>
      <c r="UN13" s="83"/>
      <c r="UX13" s="83"/>
      <c r="VH13" s="83"/>
      <c r="VR13" s="83"/>
      <c r="WB13" s="83"/>
      <c r="WL13" s="83"/>
      <c r="WV13" s="83"/>
      <c r="XF13" s="83"/>
      <c r="XP13" s="83"/>
      <c r="XZ13" s="83"/>
      <c r="YJ13" s="83"/>
      <c r="YT13" s="83"/>
      <c r="ZD13" s="83"/>
      <c r="ZN13" s="83"/>
      <c r="ZX13" s="83"/>
      <c r="AAH13" s="83"/>
      <c r="AAR13" s="83"/>
      <c r="ABB13" s="83"/>
      <c r="ABL13" s="83"/>
      <c r="ABV13" s="83"/>
      <c r="ACF13" s="83"/>
      <c r="ACP13" s="83"/>
      <c r="ACZ13" s="83"/>
      <c r="ADJ13" s="83"/>
      <c r="ADT13" s="83"/>
      <c r="AED13" s="83"/>
      <c r="AEN13" s="83"/>
      <c r="AEX13" s="83"/>
      <c r="AFH13" s="83"/>
      <c r="AFR13" s="83"/>
      <c r="AGB13" s="83"/>
      <c r="AGL13" s="83"/>
      <c r="AGV13" s="83"/>
      <c r="AHF13" s="83"/>
      <c r="AHP13" s="83"/>
      <c r="AHZ13" s="83"/>
      <c r="AIJ13" s="83"/>
      <c r="AIT13" s="83"/>
      <c r="AJD13" s="83"/>
      <c r="AJN13" s="83"/>
      <c r="AJX13" s="83"/>
      <c r="AKH13" s="83"/>
      <c r="AKR13" s="83"/>
      <c r="ALB13" s="83"/>
      <c r="ALL13" s="83"/>
      <c r="ALV13" s="83"/>
      <c r="AMF13" s="83"/>
      <c r="AMP13" s="83"/>
      <c r="AMZ13" s="83"/>
      <c r="ANJ13" s="83"/>
      <c r="ANT13" s="83"/>
      <c r="AOD13" s="83"/>
      <c r="AON13" s="83"/>
      <c r="AOX13" s="83"/>
      <c r="APH13" s="83"/>
      <c r="APR13" s="83"/>
      <c r="AQB13" s="83"/>
      <c r="AQL13" s="83"/>
      <c r="AQV13" s="83"/>
      <c r="ARF13" s="83"/>
      <c r="ARP13" s="83"/>
      <c r="ARZ13" s="83"/>
      <c r="ASJ13" s="83"/>
      <c r="AST13" s="83"/>
      <c r="ATD13" s="83"/>
      <c r="ATN13" s="83"/>
      <c r="ATX13" s="83"/>
      <c r="AUH13" s="83"/>
      <c r="AUR13" s="83"/>
      <c r="AVB13" s="83"/>
      <c r="AVL13" s="83"/>
      <c r="AVV13" s="83"/>
      <c r="AWF13" s="83"/>
      <c r="AWP13" s="83"/>
      <c r="AWZ13" s="83"/>
      <c r="AXJ13" s="83"/>
      <c r="AXT13" s="83"/>
      <c r="AYD13" s="83"/>
      <c r="AYN13" s="83"/>
      <c r="AYX13" s="83"/>
      <c r="AZH13" s="83"/>
      <c r="AZR13" s="83"/>
      <c r="BAB13" s="83"/>
      <c r="BAL13" s="83"/>
      <c r="BAV13" s="83"/>
      <c r="BBF13" s="83"/>
      <c r="BBP13" s="83"/>
      <c r="BBZ13" s="83"/>
      <c r="BCJ13" s="83"/>
      <c r="BCT13" s="83"/>
      <c r="BDD13" s="83"/>
      <c r="BDN13" s="83"/>
      <c r="BDX13" s="83"/>
      <c r="BEH13" s="83"/>
      <c r="BER13" s="83"/>
      <c r="BFB13" s="83"/>
      <c r="BFL13" s="83"/>
      <c r="BFV13" s="83"/>
      <c r="BGF13" s="83"/>
      <c r="BGP13" s="83"/>
      <c r="BGZ13" s="83"/>
      <c r="BHJ13" s="83"/>
      <c r="BHT13" s="83"/>
      <c r="BID13" s="83"/>
      <c r="BIN13" s="83"/>
      <c r="BIX13" s="83"/>
      <c r="BJH13" s="83"/>
      <c r="BJR13" s="83"/>
      <c r="BKB13" s="83"/>
      <c r="BKL13" s="83"/>
      <c r="BKV13" s="83"/>
      <c r="BLF13" s="83"/>
      <c r="BLP13" s="83"/>
      <c r="BLZ13" s="83"/>
      <c r="BMJ13" s="83"/>
      <c r="BMT13" s="83"/>
      <c r="BND13" s="83"/>
      <c r="BNN13" s="83"/>
      <c r="BNX13" s="83"/>
      <c r="BOH13" s="83"/>
      <c r="BOR13" s="83"/>
      <c r="BPB13" s="83"/>
      <c r="BPL13" s="83"/>
      <c r="BPV13" s="83"/>
      <c r="BQF13" s="83"/>
      <c r="BQP13" s="83"/>
      <c r="BQZ13" s="83"/>
      <c r="BRJ13" s="83"/>
      <c r="BRT13" s="83"/>
      <c r="BSD13" s="83"/>
      <c r="BSN13" s="83"/>
      <c r="BSX13" s="83"/>
      <c r="BTH13" s="83"/>
      <c r="BTR13" s="83"/>
      <c r="BUB13" s="83"/>
      <c r="BUL13" s="83"/>
      <c r="BUV13" s="83"/>
      <c r="BVF13" s="83"/>
      <c r="BVP13" s="83"/>
      <c r="BVZ13" s="83"/>
      <c r="BWJ13" s="83"/>
      <c r="BWT13" s="83"/>
      <c r="BXD13" s="83"/>
      <c r="BXN13" s="83"/>
      <c r="BXX13" s="83"/>
      <c r="BYH13" s="83"/>
      <c r="BYR13" s="83"/>
      <c r="BZB13" s="83"/>
      <c r="BZL13" s="83"/>
      <c r="BZV13" s="83"/>
      <c r="CAF13" s="83"/>
      <c r="CAP13" s="83"/>
      <c r="CAZ13" s="83"/>
      <c r="CBJ13" s="83"/>
      <c r="CBT13" s="83"/>
      <c r="CCD13" s="83"/>
      <c r="CCN13" s="83"/>
      <c r="CCX13" s="83"/>
      <c r="CDH13" s="83"/>
      <c r="CDR13" s="83"/>
      <c r="CEB13" s="83"/>
      <c r="CEL13" s="83"/>
      <c r="CEV13" s="83"/>
      <c r="CFF13" s="83"/>
      <c r="CFP13" s="83"/>
      <c r="CFZ13" s="83"/>
      <c r="CGJ13" s="83"/>
      <c r="CGT13" s="83"/>
      <c r="CHD13" s="83"/>
      <c r="CHN13" s="83"/>
      <c r="CHX13" s="83"/>
      <c r="CIH13" s="83"/>
      <c r="CIR13" s="83"/>
      <c r="CJB13" s="83"/>
      <c r="CJL13" s="83"/>
      <c r="CJV13" s="83"/>
      <c r="CKF13" s="83"/>
      <c r="CKP13" s="83"/>
      <c r="CKZ13" s="83"/>
      <c r="CLJ13" s="83"/>
      <c r="CLT13" s="83"/>
      <c r="CMD13" s="83"/>
      <c r="CMN13" s="83"/>
      <c r="CMX13" s="83"/>
      <c r="CNH13" s="83"/>
      <c r="CNR13" s="83"/>
      <c r="COB13" s="83"/>
      <c r="COL13" s="83"/>
      <c r="COV13" s="83"/>
      <c r="CPF13" s="83"/>
      <c r="CPP13" s="83"/>
      <c r="CPZ13" s="83"/>
      <c r="CQJ13" s="83"/>
      <c r="CQT13" s="83"/>
      <c r="CRD13" s="83"/>
      <c r="CRN13" s="83"/>
      <c r="CRX13" s="83"/>
      <c r="CSH13" s="83"/>
      <c r="CSR13" s="83"/>
      <c r="CTB13" s="83"/>
      <c r="CTL13" s="83"/>
      <c r="CTV13" s="83"/>
    </row>
    <row r="14" s="58" customFormat="1" customHeight="1" spans="1:1020 1030:2040 2050:2570">
      <c r="A14" s="79">
        <v>46146</v>
      </c>
      <c r="B14" s="80" t="s">
        <v>22</v>
      </c>
      <c r="C14" s="38" t="s">
        <v>23</v>
      </c>
      <c r="D14" s="75">
        <v>652337948</v>
      </c>
      <c r="E14" s="38" t="s">
        <v>90</v>
      </c>
      <c r="F14" s="75" t="str">
        <f>VLOOKUP(E14,[2]基础数据!E:H,2,0)</f>
        <v>LS-CCUB001-AA-DM2-V1.03 三防漆单面 931_007</v>
      </c>
      <c r="G14" s="38">
        <v>480</v>
      </c>
      <c r="H14" s="75" t="str">
        <f>VLOOKUP(E14,[2]基础数据!E:H,4,0)</f>
        <v>料盒</v>
      </c>
      <c r="I14" s="75">
        <f>VLOOKUP(E14,[2]基础数据!E:G,3,0)</f>
        <v>24</v>
      </c>
      <c r="J14" s="75" t="s">
        <v>306</v>
      </c>
      <c r="K14" s="82">
        <f t="shared" si="0"/>
        <v>20</v>
      </c>
      <c r="T14" s="83"/>
      <c r="AD14" s="83"/>
      <c r="AN14" s="83"/>
      <c r="AX14" s="83"/>
      <c r="BH14" s="83"/>
      <c r="BR14" s="83"/>
      <c r="CB14" s="83"/>
      <c r="CL14" s="83"/>
      <c r="CV14" s="83"/>
      <c r="DF14" s="83"/>
      <c r="DP14" s="83"/>
      <c r="DZ14" s="83"/>
      <c r="EJ14" s="83"/>
      <c r="ET14" s="83"/>
      <c r="FD14" s="83"/>
      <c r="FN14" s="83"/>
      <c r="FX14" s="83"/>
      <c r="GH14" s="83"/>
      <c r="GR14" s="83"/>
      <c r="HB14" s="83"/>
      <c r="HL14" s="83"/>
      <c r="HV14" s="83"/>
      <c r="IF14" s="83"/>
      <c r="IP14" s="83"/>
      <c r="IZ14" s="83"/>
      <c r="JJ14" s="83"/>
      <c r="JT14" s="83"/>
      <c r="KD14" s="83"/>
      <c r="KN14" s="83"/>
      <c r="KX14" s="83"/>
      <c r="LH14" s="83"/>
      <c r="LR14" s="83"/>
      <c r="MB14" s="83"/>
      <c r="ML14" s="83"/>
      <c r="MV14" s="83"/>
      <c r="NF14" s="83"/>
      <c r="NP14" s="83"/>
      <c r="NZ14" s="83"/>
      <c r="OJ14" s="83"/>
      <c r="OT14" s="83"/>
      <c r="PD14" s="83"/>
      <c r="PN14" s="83"/>
      <c r="PX14" s="83"/>
      <c r="QH14" s="83"/>
      <c r="QR14" s="83"/>
      <c r="RB14" s="83"/>
      <c r="RL14" s="83"/>
      <c r="RV14" s="83"/>
      <c r="SF14" s="83"/>
      <c r="SP14" s="83"/>
      <c r="SZ14" s="83"/>
      <c r="TJ14" s="83"/>
      <c r="TT14" s="83"/>
      <c r="UD14" s="83"/>
      <c r="UN14" s="83"/>
      <c r="UX14" s="83"/>
      <c r="VH14" s="83"/>
      <c r="VR14" s="83"/>
      <c r="WB14" s="83"/>
      <c r="WL14" s="83"/>
      <c r="WV14" s="83"/>
      <c r="XF14" s="83"/>
      <c r="XP14" s="83"/>
      <c r="XZ14" s="83"/>
      <c r="YJ14" s="83"/>
      <c r="YT14" s="83"/>
      <c r="ZD14" s="83"/>
      <c r="ZN14" s="83"/>
      <c r="ZX14" s="83"/>
      <c r="AAH14" s="83"/>
      <c r="AAR14" s="83"/>
      <c r="ABB14" s="83"/>
      <c r="ABL14" s="83"/>
      <c r="ABV14" s="83"/>
      <c r="ACF14" s="83"/>
      <c r="ACP14" s="83"/>
      <c r="ACZ14" s="83"/>
      <c r="ADJ14" s="83"/>
      <c r="ADT14" s="83"/>
      <c r="AED14" s="83"/>
      <c r="AEN14" s="83"/>
      <c r="AEX14" s="83"/>
      <c r="AFH14" s="83"/>
      <c r="AFR14" s="83"/>
      <c r="AGB14" s="83"/>
      <c r="AGL14" s="83"/>
      <c r="AGV14" s="83"/>
      <c r="AHF14" s="83"/>
      <c r="AHP14" s="83"/>
      <c r="AHZ14" s="83"/>
      <c r="AIJ14" s="83"/>
      <c r="AIT14" s="83"/>
      <c r="AJD14" s="83"/>
      <c r="AJN14" s="83"/>
      <c r="AJX14" s="83"/>
      <c r="AKH14" s="83"/>
      <c r="AKR14" s="83"/>
      <c r="ALB14" s="83"/>
      <c r="ALL14" s="83"/>
      <c r="ALV14" s="83"/>
      <c r="AMF14" s="83"/>
      <c r="AMP14" s="83"/>
      <c r="AMZ14" s="83"/>
      <c r="ANJ14" s="83"/>
      <c r="ANT14" s="83"/>
      <c r="AOD14" s="83"/>
      <c r="AON14" s="83"/>
      <c r="AOX14" s="83"/>
      <c r="APH14" s="83"/>
      <c r="APR14" s="83"/>
      <c r="AQB14" s="83"/>
      <c r="AQL14" s="83"/>
      <c r="AQV14" s="83"/>
      <c r="ARF14" s="83"/>
      <c r="ARP14" s="83"/>
      <c r="ARZ14" s="83"/>
      <c r="ASJ14" s="83"/>
      <c r="AST14" s="83"/>
      <c r="ATD14" s="83"/>
      <c r="ATN14" s="83"/>
      <c r="ATX14" s="83"/>
      <c r="AUH14" s="83"/>
      <c r="AUR14" s="83"/>
      <c r="AVB14" s="83"/>
      <c r="AVL14" s="83"/>
      <c r="AVV14" s="83"/>
      <c r="AWF14" s="83"/>
      <c r="AWP14" s="83"/>
      <c r="AWZ14" s="83"/>
      <c r="AXJ14" s="83"/>
      <c r="AXT14" s="83"/>
      <c r="AYD14" s="83"/>
      <c r="AYN14" s="83"/>
      <c r="AYX14" s="83"/>
      <c r="AZH14" s="83"/>
      <c r="AZR14" s="83"/>
      <c r="BAB14" s="83"/>
      <c r="BAL14" s="83"/>
      <c r="BAV14" s="83"/>
      <c r="BBF14" s="83"/>
      <c r="BBP14" s="83"/>
      <c r="BBZ14" s="83"/>
      <c r="BCJ14" s="83"/>
      <c r="BCT14" s="83"/>
      <c r="BDD14" s="83"/>
      <c r="BDN14" s="83"/>
      <c r="BDX14" s="83"/>
      <c r="BEH14" s="83"/>
      <c r="BER14" s="83"/>
      <c r="BFB14" s="83"/>
      <c r="BFL14" s="83"/>
      <c r="BFV14" s="83"/>
      <c r="BGF14" s="83"/>
      <c r="BGP14" s="83"/>
      <c r="BGZ14" s="83"/>
      <c r="BHJ14" s="83"/>
      <c r="BHT14" s="83"/>
      <c r="BID14" s="83"/>
      <c r="BIN14" s="83"/>
      <c r="BIX14" s="83"/>
      <c r="BJH14" s="83"/>
      <c r="BJR14" s="83"/>
      <c r="BKB14" s="83"/>
      <c r="BKL14" s="83"/>
      <c r="BKV14" s="83"/>
      <c r="BLF14" s="83"/>
      <c r="BLP14" s="83"/>
      <c r="BLZ14" s="83"/>
      <c r="BMJ14" s="83"/>
      <c r="BMT14" s="83"/>
      <c r="BND14" s="83"/>
      <c r="BNN14" s="83"/>
      <c r="BNX14" s="83"/>
      <c r="BOH14" s="83"/>
      <c r="BOR14" s="83"/>
      <c r="BPB14" s="83"/>
      <c r="BPL14" s="83"/>
      <c r="BPV14" s="83"/>
      <c r="BQF14" s="83"/>
      <c r="BQP14" s="83"/>
      <c r="BQZ14" s="83"/>
      <c r="BRJ14" s="83"/>
      <c r="BRT14" s="83"/>
      <c r="BSD14" s="83"/>
      <c r="BSN14" s="83"/>
      <c r="BSX14" s="83"/>
      <c r="BTH14" s="83"/>
      <c r="BTR14" s="83"/>
      <c r="BUB14" s="83"/>
      <c r="BUL14" s="83"/>
      <c r="BUV14" s="83"/>
      <c r="BVF14" s="83"/>
      <c r="BVP14" s="83"/>
      <c r="BVZ14" s="83"/>
      <c r="BWJ14" s="83"/>
      <c r="BWT14" s="83"/>
      <c r="BXD14" s="83"/>
      <c r="BXN14" s="83"/>
      <c r="BXX14" s="83"/>
      <c r="BYH14" s="83"/>
      <c r="BYR14" s="83"/>
      <c r="BZB14" s="83"/>
      <c r="BZL14" s="83"/>
      <c r="BZV14" s="83"/>
      <c r="CAF14" s="83"/>
      <c r="CAP14" s="83"/>
      <c r="CAZ14" s="83"/>
      <c r="CBJ14" s="83"/>
      <c r="CBT14" s="83"/>
      <c r="CCD14" s="83"/>
      <c r="CCN14" s="83"/>
      <c r="CCX14" s="83"/>
      <c r="CDH14" s="83"/>
      <c r="CDR14" s="83"/>
      <c r="CEB14" s="83"/>
      <c r="CEL14" s="83"/>
      <c r="CEV14" s="83"/>
      <c r="CFF14" s="83"/>
      <c r="CFP14" s="83"/>
      <c r="CFZ14" s="83"/>
      <c r="CGJ14" s="83"/>
      <c r="CGT14" s="83"/>
      <c r="CHD14" s="83"/>
      <c r="CHN14" s="83"/>
      <c r="CHX14" s="83"/>
      <c r="CIH14" s="83"/>
      <c r="CIR14" s="83"/>
      <c r="CJB14" s="83"/>
      <c r="CJL14" s="83"/>
      <c r="CJV14" s="83"/>
      <c r="CKF14" s="83"/>
      <c r="CKP14" s="83"/>
      <c r="CKZ14" s="83"/>
      <c r="CLJ14" s="83"/>
      <c r="CLT14" s="83"/>
      <c r="CMD14" s="83"/>
      <c r="CMN14" s="83"/>
      <c r="CMX14" s="83"/>
      <c r="CNH14" s="83"/>
      <c r="CNR14" s="83"/>
      <c r="COB14" s="83"/>
      <c r="COL14" s="83"/>
      <c r="COV14" s="83"/>
      <c r="CPF14" s="83"/>
      <c r="CPP14" s="83"/>
      <c r="CPZ14" s="83"/>
      <c r="CQJ14" s="83"/>
      <c r="CQT14" s="83"/>
      <c r="CRD14" s="83"/>
      <c r="CRN14" s="83"/>
      <c r="CRX14" s="83"/>
      <c r="CSH14" s="83"/>
      <c r="CSR14" s="83"/>
      <c r="CTB14" s="83"/>
      <c r="CTL14" s="83"/>
      <c r="CTV14" s="83"/>
    </row>
    <row r="15" s="58" customFormat="1" customHeight="1" spans="1:1020 1030:2040 2050:2570">
      <c r="A15" s="79">
        <v>46146</v>
      </c>
      <c r="B15" s="80" t="s">
        <v>22</v>
      </c>
      <c r="C15" s="38" t="s">
        <v>23</v>
      </c>
      <c r="D15" s="75">
        <v>652337948</v>
      </c>
      <c r="E15" s="38" t="s">
        <v>87</v>
      </c>
      <c r="F15" s="75" t="str">
        <f>VLOOKUP(E15,[2]基础数据!E:H,2,0)</f>
        <v>LS-CCUC001-AA-DM2-V1.03 三防漆双面 930_010</v>
      </c>
      <c r="G15" s="38">
        <v>216</v>
      </c>
      <c r="H15" s="75" t="str">
        <f>VLOOKUP(E15,[2]基础数据!E:H,4,0)</f>
        <v>料盒</v>
      </c>
      <c r="I15" s="75">
        <f>VLOOKUP(E15,[2]基础数据!E:G,3,0)</f>
        <v>108</v>
      </c>
      <c r="J15" s="75" t="s">
        <v>306</v>
      </c>
      <c r="K15" s="82">
        <f t="shared" si="0"/>
        <v>2</v>
      </c>
      <c r="T15" s="83"/>
      <c r="AD15" s="83"/>
      <c r="AN15" s="83"/>
      <c r="AX15" s="83"/>
      <c r="BH15" s="83"/>
      <c r="BR15" s="83"/>
      <c r="CB15" s="83"/>
      <c r="CL15" s="83"/>
      <c r="CV15" s="83"/>
      <c r="DF15" s="83"/>
      <c r="DP15" s="83"/>
      <c r="DZ15" s="83"/>
      <c r="EJ15" s="83"/>
      <c r="ET15" s="83"/>
      <c r="FD15" s="83"/>
      <c r="FN15" s="83"/>
      <c r="FX15" s="83"/>
      <c r="GH15" s="83"/>
      <c r="GR15" s="83"/>
      <c r="HB15" s="83"/>
      <c r="HL15" s="83"/>
      <c r="HV15" s="83"/>
      <c r="IF15" s="83"/>
      <c r="IP15" s="83"/>
      <c r="IZ15" s="83"/>
      <c r="JJ15" s="83"/>
      <c r="JT15" s="83"/>
      <c r="KD15" s="83"/>
      <c r="KN15" s="83"/>
      <c r="KX15" s="83"/>
      <c r="LH15" s="83"/>
      <c r="LR15" s="83"/>
      <c r="MB15" s="83"/>
      <c r="ML15" s="83"/>
      <c r="MV15" s="83"/>
      <c r="NF15" s="83"/>
      <c r="NP15" s="83"/>
      <c r="NZ15" s="83"/>
      <c r="OJ15" s="83"/>
      <c r="OT15" s="83"/>
      <c r="PD15" s="83"/>
      <c r="PN15" s="83"/>
      <c r="PX15" s="83"/>
      <c r="QH15" s="83"/>
      <c r="QR15" s="83"/>
      <c r="RB15" s="83"/>
      <c r="RL15" s="83"/>
      <c r="RV15" s="83"/>
      <c r="SF15" s="83"/>
      <c r="SP15" s="83"/>
      <c r="SZ15" s="83"/>
      <c r="TJ15" s="83"/>
      <c r="TT15" s="83"/>
      <c r="UD15" s="83"/>
      <c r="UN15" s="83"/>
      <c r="UX15" s="83"/>
      <c r="VH15" s="83"/>
      <c r="VR15" s="83"/>
      <c r="WB15" s="83"/>
      <c r="WL15" s="83"/>
      <c r="WV15" s="83"/>
      <c r="XF15" s="83"/>
      <c r="XP15" s="83"/>
      <c r="XZ15" s="83"/>
      <c r="YJ15" s="83"/>
      <c r="YT15" s="83"/>
      <c r="ZD15" s="83"/>
      <c r="ZN15" s="83"/>
      <c r="ZX15" s="83"/>
      <c r="AAH15" s="83"/>
      <c r="AAR15" s="83"/>
      <c r="ABB15" s="83"/>
      <c r="ABL15" s="83"/>
      <c r="ABV15" s="83"/>
      <c r="ACF15" s="83"/>
      <c r="ACP15" s="83"/>
      <c r="ACZ15" s="83"/>
      <c r="ADJ15" s="83"/>
      <c r="ADT15" s="83"/>
      <c r="AED15" s="83"/>
      <c r="AEN15" s="83"/>
      <c r="AEX15" s="83"/>
      <c r="AFH15" s="83"/>
      <c r="AFR15" s="83"/>
      <c r="AGB15" s="83"/>
      <c r="AGL15" s="83"/>
      <c r="AGV15" s="83"/>
      <c r="AHF15" s="83"/>
      <c r="AHP15" s="83"/>
      <c r="AHZ15" s="83"/>
      <c r="AIJ15" s="83"/>
      <c r="AIT15" s="83"/>
      <c r="AJD15" s="83"/>
      <c r="AJN15" s="83"/>
      <c r="AJX15" s="83"/>
      <c r="AKH15" s="83"/>
      <c r="AKR15" s="83"/>
      <c r="ALB15" s="83"/>
      <c r="ALL15" s="83"/>
      <c r="ALV15" s="83"/>
      <c r="AMF15" s="83"/>
      <c r="AMP15" s="83"/>
      <c r="AMZ15" s="83"/>
      <c r="ANJ15" s="83"/>
      <c r="ANT15" s="83"/>
      <c r="AOD15" s="83"/>
      <c r="AON15" s="83"/>
      <c r="AOX15" s="83"/>
      <c r="APH15" s="83"/>
      <c r="APR15" s="83"/>
      <c r="AQB15" s="83"/>
      <c r="AQL15" s="83"/>
      <c r="AQV15" s="83"/>
      <c r="ARF15" s="83"/>
      <c r="ARP15" s="83"/>
      <c r="ARZ15" s="83"/>
      <c r="ASJ15" s="83"/>
      <c r="AST15" s="83"/>
      <c r="ATD15" s="83"/>
      <c r="ATN15" s="83"/>
      <c r="ATX15" s="83"/>
      <c r="AUH15" s="83"/>
      <c r="AUR15" s="83"/>
      <c r="AVB15" s="83"/>
      <c r="AVL15" s="83"/>
      <c r="AVV15" s="83"/>
      <c r="AWF15" s="83"/>
      <c r="AWP15" s="83"/>
      <c r="AWZ15" s="83"/>
      <c r="AXJ15" s="83"/>
      <c r="AXT15" s="83"/>
      <c r="AYD15" s="83"/>
      <c r="AYN15" s="83"/>
      <c r="AYX15" s="83"/>
      <c r="AZH15" s="83"/>
      <c r="AZR15" s="83"/>
      <c r="BAB15" s="83"/>
      <c r="BAL15" s="83"/>
      <c r="BAV15" s="83"/>
      <c r="BBF15" s="83"/>
      <c r="BBP15" s="83"/>
      <c r="BBZ15" s="83"/>
      <c r="BCJ15" s="83"/>
      <c r="BCT15" s="83"/>
      <c r="BDD15" s="83"/>
      <c r="BDN15" s="83"/>
      <c r="BDX15" s="83"/>
      <c r="BEH15" s="83"/>
      <c r="BER15" s="83"/>
      <c r="BFB15" s="83"/>
      <c r="BFL15" s="83"/>
      <c r="BFV15" s="83"/>
      <c r="BGF15" s="83"/>
      <c r="BGP15" s="83"/>
      <c r="BGZ15" s="83"/>
      <c r="BHJ15" s="83"/>
      <c r="BHT15" s="83"/>
      <c r="BID15" s="83"/>
      <c r="BIN15" s="83"/>
      <c r="BIX15" s="83"/>
      <c r="BJH15" s="83"/>
      <c r="BJR15" s="83"/>
      <c r="BKB15" s="83"/>
      <c r="BKL15" s="83"/>
      <c r="BKV15" s="83"/>
      <c r="BLF15" s="83"/>
      <c r="BLP15" s="83"/>
      <c r="BLZ15" s="83"/>
      <c r="BMJ15" s="83"/>
      <c r="BMT15" s="83"/>
      <c r="BND15" s="83"/>
      <c r="BNN15" s="83"/>
      <c r="BNX15" s="83"/>
      <c r="BOH15" s="83"/>
      <c r="BOR15" s="83"/>
      <c r="BPB15" s="83"/>
      <c r="BPL15" s="83"/>
      <c r="BPV15" s="83"/>
      <c r="BQF15" s="83"/>
      <c r="BQP15" s="83"/>
      <c r="BQZ15" s="83"/>
      <c r="BRJ15" s="83"/>
      <c r="BRT15" s="83"/>
      <c r="BSD15" s="83"/>
      <c r="BSN15" s="83"/>
      <c r="BSX15" s="83"/>
      <c r="BTH15" s="83"/>
      <c r="BTR15" s="83"/>
      <c r="BUB15" s="83"/>
      <c r="BUL15" s="83"/>
      <c r="BUV15" s="83"/>
      <c r="BVF15" s="83"/>
      <c r="BVP15" s="83"/>
      <c r="BVZ15" s="83"/>
      <c r="BWJ15" s="83"/>
      <c r="BWT15" s="83"/>
      <c r="BXD15" s="83"/>
      <c r="BXN15" s="83"/>
      <c r="BXX15" s="83"/>
      <c r="BYH15" s="83"/>
      <c r="BYR15" s="83"/>
      <c r="BZB15" s="83"/>
      <c r="BZL15" s="83"/>
      <c r="BZV15" s="83"/>
      <c r="CAF15" s="83"/>
      <c r="CAP15" s="83"/>
      <c r="CAZ15" s="83"/>
      <c r="CBJ15" s="83"/>
      <c r="CBT15" s="83"/>
      <c r="CCD15" s="83"/>
      <c r="CCN15" s="83"/>
      <c r="CCX15" s="83"/>
      <c r="CDH15" s="83"/>
      <c r="CDR15" s="83"/>
      <c r="CEB15" s="83"/>
      <c r="CEL15" s="83"/>
      <c r="CEV15" s="83"/>
      <c r="CFF15" s="83"/>
      <c r="CFP15" s="83"/>
      <c r="CFZ15" s="83"/>
      <c r="CGJ15" s="83"/>
      <c r="CGT15" s="83"/>
      <c r="CHD15" s="83"/>
      <c r="CHN15" s="83"/>
      <c r="CHX15" s="83"/>
      <c r="CIH15" s="83"/>
      <c r="CIR15" s="83"/>
      <c r="CJB15" s="83"/>
      <c r="CJL15" s="83"/>
      <c r="CJV15" s="83"/>
      <c r="CKF15" s="83"/>
      <c r="CKP15" s="83"/>
      <c r="CKZ15" s="83"/>
      <c r="CLJ15" s="83"/>
      <c r="CLT15" s="83"/>
      <c r="CMD15" s="83"/>
      <c r="CMN15" s="83"/>
      <c r="CMX15" s="83"/>
      <c r="CNH15" s="83"/>
      <c r="CNR15" s="83"/>
      <c r="COB15" s="83"/>
      <c r="COL15" s="83"/>
      <c r="COV15" s="83"/>
      <c r="CPF15" s="83"/>
      <c r="CPP15" s="83"/>
      <c r="CPZ15" s="83"/>
      <c r="CQJ15" s="83"/>
      <c r="CQT15" s="83"/>
      <c r="CRD15" s="83"/>
      <c r="CRN15" s="83"/>
      <c r="CRX15" s="83"/>
      <c r="CSH15" s="83"/>
      <c r="CSR15" s="83"/>
      <c r="CTB15" s="83"/>
      <c r="CTL15" s="83"/>
      <c r="CTV15" s="83"/>
    </row>
    <row r="16" s="58" customFormat="1" customHeight="1" spans="1:1020 1030:2040 2050:2570">
      <c r="A16" s="79">
        <v>46146</v>
      </c>
      <c r="B16" s="80" t="s">
        <v>22</v>
      </c>
      <c r="C16" s="38" t="s">
        <v>23</v>
      </c>
      <c r="D16" s="75">
        <v>652337948</v>
      </c>
      <c r="E16" s="38" t="s">
        <v>78</v>
      </c>
      <c r="F16" s="75" t="str">
        <f>VLOOKUP(E16,[2]基础数据!E:H,2,0)</f>
        <v>LS-CCUG001-AA-V1.03 三防漆单面 926_014</v>
      </c>
      <c r="G16" s="38">
        <v>720</v>
      </c>
      <c r="H16" s="75" t="str">
        <f>VLOOKUP(E16,[2]基础数据!E:H,4,0)</f>
        <v>料盒</v>
      </c>
      <c r="I16" s="75">
        <f>VLOOKUP(E16,[2]基础数据!E:G,3,0)</f>
        <v>72</v>
      </c>
      <c r="J16" s="75" t="s">
        <v>306</v>
      </c>
      <c r="K16" s="82">
        <f t="shared" si="0"/>
        <v>10</v>
      </c>
      <c r="T16" s="83"/>
      <c r="AD16" s="83"/>
      <c r="AN16" s="83"/>
      <c r="AX16" s="83"/>
      <c r="BH16" s="83"/>
      <c r="BR16" s="83"/>
      <c r="CB16" s="83"/>
      <c r="CL16" s="83"/>
      <c r="CV16" s="83"/>
      <c r="DF16" s="83"/>
      <c r="DP16" s="83"/>
      <c r="DZ16" s="83"/>
      <c r="EJ16" s="83"/>
      <c r="ET16" s="83"/>
      <c r="FD16" s="83"/>
      <c r="FN16" s="83"/>
      <c r="FX16" s="83"/>
      <c r="GH16" s="83"/>
      <c r="GR16" s="83"/>
      <c r="HB16" s="83"/>
      <c r="HL16" s="83"/>
      <c r="HV16" s="83"/>
      <c r="IF16" s="83"/>
      <c r="IP16" s="83"/>
      <c r="IZ16" s="83"/>
      <c r="JJ16" s="83"/>
      <c r="JT16" s="83"/>
      <c r="KD16" s="83"/>
      <c r="KN16" s="83"/>
      <c r="KX16" s="83"/>
      <c r="LH16" s="83"/>
      <c r="LR16" s="83"/>
      <c r="MB16" s="83"/>
      <c r="ML16" s="83"/>
      <c r="MV16" s="83"/>
      <c r="NF16" s="83"/>
      <c r="NP16" s="83"/>
      <c r="NZ16" s="83"/>
      <c r="OJ16" s="83"/>
      <c r="OT16" s="83"/>
      <c r="PD16" s="83"/>
      <c r="PN16" s="83"/>
      <c r="PX16" s="83"/>
      <c r="QH16" s="83"/>
      <c r="QR16" s="83"/>
      <c r="RB16" s="83"/>
      <c r="RL16" s="83"/>
      <c r="RV16" s="83"/>
      <c r="SF16" s="83"/>
      <c r="SP16" s="83"/>
      <c r="SZ16" s="83"/>
      <c r="TJ16" s="83"/>
      <c r="TT16" s="83"/>
      <c r="UD16" s="83"/>
      <c r="UN16" s="83"/>
      <c r="UX16" s="83"/>
      <c r="VH16" s="83"/>
      <c r="VR16" s="83"/>
      <c r="WB16" s="83"/>
      <c r="WL16" s="83"/>
      <c r="WV16" s="83"/>
      <c r="XF16" s="83"/>
      <c r="XP16" s="83"/>
      <c r="XZ16" s="83"/>
      <c r="YJ16" s="83"/>
      <c r="YT16" s="83"/>
      <c r="ZD16" s="83"/>
      <c r="ZN16" s="83"/>
      <c r="ZX16" s="83"/>
      <c r="AAH16" s="83"/>
      <c r="AAR16" s="83"/>
      <c r="ABB16" s="83"/>
      <c r="ABL16" s="83"/>
      <c r="ABV16" s="83"/>
      <c r="ACF16" s="83"/>
      <c r="ACP16" s="83"/>
      <c r="ACZ16" s="83"/>
      <c r="ADJ16" s="83"/>
      <c r="ADT16" s="83"/>
      <c r="AED16" s="83"/>
      <c r="AEN16" s="83"/>
      <c r="AEX16" s="83"/>
      <c r="AFH16" s="83"/>
      <c r="AFR16" s="83"/>
      <c r="AGB16" s="83"/>
      <c r="AGL16" s="83"/>
      <c r="AGV16" s="83"/>
      <c r="AHF16" s="83"/>
      <c r="AHP16" s="83"/>
      <c r="AHZ16" s="83"/>
      <c r="AIJ16" s="83"/>
      <c r="AIT16" s="83"/>
      <c r="AJD16" s="83"/>
      <c r="AJN16" s="83"/>
      <c r="AJX16" s="83"/>
      <c r="AKH16" s="83"/>
      <c r="AKR16" s="83"/>
      <c r="ALB16" s="83"/>
      <c r="ALL16" s="83"/>
      <c r="ALV16" s="83"/>
      <c r="AMF16" s="83"/>
      <c r="AMP16" s="83"/>
      <c r="AMZ16" s="83"/>
      <c r="ANJ16" s="83"/>
      <c r="ANT16" s="83"/>
      <c r="AOD16" s="83"/>
      <c r="AON16" s="83"/>
      <c r="AOX16" s="83"/>
      <c r="APH16" s="83"/>
      <c r="APR16" s="83"/>
      <c r="AQB16" s="83"/>
      <c r="AQL16" s="83"/>
      <c r="AQV16" s="83"/>
      <c r="ARF16" s="83"/>
      <c r="ARP16" s="83"/>
      <c r="ARZ16" s="83"/>
      <c r="ASJ16" s="83"/>
      <c r="AST16" s="83"/>
      <c r="ATD16" s="83"/>
      <c r="ATN16" s="83"/>
      <c r="ATX16" s="83"/>
      <c r="AUH16" s="83"/>
      <c r="AUR16" s="83"/>
      <c r="AVB16" s="83"/>
      <c r="AVL16" s="83"/>
      <c r="AVV16" s="83"/>
      <c r="AWF16" s="83"/>
      <c r="AWP16" s="83"/>
      <c r="AWZ16" s="83"/>
      <c r="AXJ16" s="83"/>
      <c r="AXT16" s="83"/>
      <c r="AYD16" s="83"/>
      <c r="AYN16" s="83"/>
      <c r="AYX16" s="83"/>
      <c r="AZH16" s="83"/>
      <c r="AZR16" s="83"/>
      <c r="BAB16" s="83"/>
      <c r="BAL16" s="83"/>
      <c r="BAV16" s="83"/>
      <c r="BBF16" s="83"/>
      <c r="BBP16" s="83"/>
      <c r="BBZ16" s="83"/>
      <c r="BCJ16" s="83"/>
      <c r="BCT16" s="83"/>
      <c r="BDD16" s="83"/>
      <c r="BDN16" s="83"/>
      <c r="BDX16" s="83"/>
      <c r="BEH16" s="83"/>
      <c r="BER16" s="83"/>
      <c r="BFB16" s="83"/>
      <c r="BFL16" s="83"/>
      <c r="BFV16" s="83"/>
      <c r="BGF16" s="83"/>
      <c r="BGP16" s="83"/>
      <c r="BGZ16" s="83"/>
      <c r="BHJ16" s="83"/>
      <c r="BHT16" s="83"/>
      <c r="BID16" s="83"/>
      <c r="BIN16" s="83"/>
      <c r="BIX16" s="83"/>
      <c r="BJH16" s="83"/>
      <c r="BJR16" s="83"/>
      <c r="BKB16" s="83"/>
      <c r="BKL16" s="83"/>
      <c r="BKV16" s="83"/>
      <c r="BLF16" s="83"/>
      <c r="BLP16" s="83"/>
      <c r="BLZ16" s="83"/>
      <c r="BMJ16" s="83"/>
      <c r="BMT16" s="83"/>
      <c r="BND16" s="83"/>
      <c r="BNN16" s="83"/>
      <c r="BNX16" s="83"/>
      <c r="BOH16" s="83"/>
      <c r="BOR16" s="83"/>
      <c r="BPB16" s="83"/>
      <c r="BPL16" s="83"/>
      <c r="BPV16" s="83"/>
      <c r="BQF16" s="83"/>
      <c r="BQP16" s="83"/>
      <c r="BQZ16" s="83"/>
      <c r="BRJ16" s="83"/>
      <c r="BRT16" s="83"/>
      <c r="BSD16" s="83"/>
      <c r="BSN16" s="83"/>
      <c r="BSX16" s="83"/>
      <c r="BTH16" s="83"/>
      <c r="BTR16" s="83"/>
      <c r="BUB16" s="83"/>
      <c r="BUL16" s="83"/>
      <c r="BUV16" s="83"/>
      <c r="BVF16" s="83"/>
      <c r="BVP16" s="83"/>
      <c r="BVZ16" s="83"/>
      <c r="BWJ16" s="83"/>
      <c r="BWT16" s="83"/>
      <c r="BXD16" s="83"/>
      <c r="BXN16" s="83"/>
      <c r="BXX16" s="83"/>
      <c r="BYH16" s="83"/>
      <c r="BYR16" s="83"/>
      <c r="BZB16" s="83"/>
      <c r="BZL16" s="83"/>
      <c r="BZV16" s="83"/>
      <c r="CAF16" s="83"/>
      <c r="CAP16" s="83"/>
      <c r="CAZ16" s="83"/>
      <c r="CBJ16" s="83"/>
      <c r="CBT16" s="83"/>
      <c r="CCD16" s="83"/>
      <c r="CCN16" s="83"/>
      <c r="CCX16" s="83"/>
      <c r="CDH16" s="83"/>
      <c r="CDR16" s="83"/>
      <c r="CEB16" s="83"/>
      <c r="CEL16" s="83"/>
      <c r="CEV16" s="83"/>
      <c r="CFF16" s="83"/>
      <c r="CFP16" s="83"/>
      <c r="CFZ16" s="83"/>
      <c r="CGJ16" s="83"/>
      <c r="CGT16" s="83"/>
      <c r="CHD16" s="83"/>
      <c r="CHN16" s="83"/>
      <c r="CHX16" s="83"/>
      <c r="CIH16" s="83"/>
      <c r="CIR16" s="83"/>
      <c r="CJB16" s="83"/>
      <c r="CJL16" s="83"/>
      <c r="CJV16" s="83"/>
      <c r="CKF16" s="83"/>
      <c r="CKP16" s="83"/>
      <c r="CKZ16" s="83"/>
      <c r="CLJ16" s="83"/>
      <c r="CLT16" s="83"/>
      <c r="CMD16" s="83"/>
      <c r="CMN16" s="83"/>
      <c r="CMX16" s="83"/>
      <c r="CNH16" s="83"/>
      <c r="CNR16" s="83"/>
      <c r="COB16" s="83"/>
      <c r="COL16" s="83"/>
      <c r="COV16" s="83"/>
      <c r="CPF16" s="83"/>
      <c r="CPP16" s="83"/>
      <c r="CPZ16" s="83"/>
      <c r="CQJ16" s="83"/>
      <c r="CQT16" s="83"/>
      <c r="CRD16" s="83"/>
      <c r="CRN16" s="83"/>
      <c r="CRX16" s="83"/>
      <c r="CSH16" s="83"/>
      <c r="CSR16" s="83"/>
      <c r="CTB16" s="83"/>
      <c r="CTL16" s="83"/>
      <c r="CTV16" s="83"/>
    </row>
    <row r="17" s="58" customFormat="1" customHeight="1" spans="1:1020 1030:2040 2050:2570">
      <c r="A17" s="79">
        <v>46146</v>
      </c>
      <c r="B17" s="80" t="s">
        <v>22</v>
      </c>
      <c r="C17" s="38" t="s">
        <v>23</v>
      </c>
      <c r="D17" s="75">
        <v>652337948</v>
      </c>
      <c r="E17" s="38" t="s">
        <v>114</v>
      </c>
      <c r="F17" s="75" t="str">
        <f>VLOOKUP(E17,[2]基础数据!E:H,2,0)</f>
        <v>LS-CCUB001-AB-V1.04 三防漆双面 904_219</v>
      </c>
      <c r="G17" s="38">
        <v>540</v>
      </c>
      <c r="H17" s="75" t="str">
        <f>VLOOKUP(E17,[2]基础数据!E:H,4,0)</f>
        <v>料盒</v>
      </c>
      <c r="I17" s="75">
        <f>VLOOKUP(E17,[2]基础数据!E:G,3,0)</f>
        <v>54</v>
      </c>
      <c r="J17" s="75" t="s">
        <v>306</v>
      </c>
      <c r="K17" s="82">
        <f t="shared" si="0"/>
        <v>10</v>
      </c>
      <c r="T17" s="83"/>
      <c r="AD17" s="83"/>
      <c r="AN17" s="83"/>
      <c r="AX17" s="83"/>
      <c r="BH17" s="83"/>
      <c r="BR17" s="83"/>
      <c r="CB17" s="83"/>
      <c r="CL17" s="83"/>
      <c r="CV17" s="83"/>
      <c r="DF17" s="83"/>
      <c r="DP17" s="83"/>
      <c r="DZ17" s="83"/>
      <c r="EJ17" s="83"/>
      <c r="ET17" s="83"/>
      <c r="FD17" s="83"/>
      <c r="FN17" s="83"/>
      <c r="FX17" s="83"/>
      <c r="GH17" s="83"/>
      <c r="GR17" s="83"/>
      <c r="HB17" s="83"/>
      <c r="HL17" s="83"/>
      <c r="HV17" s="83"/>
      <c r="IF17" s="83"/>
      <c r="IP17" s="83"/>
      <c r="IZ17" s="83"/>
      <c r="JJ17" s="83"/>
      <c r="JT17" s="83"/>
      <c r="KD17" s="83"/>
      <c r="KN17" s="83"/>
      <c r="KX17" s="83"/>
      <c r="LH17" s="83"/>
      <c r="LR17" s="83"/>
      <c r="MB17" s="83"/>
      <c r="ML17" s="83"/>
      <c r="MV17" s="83"/>
      <c r="NF17" s="83"/>
      <c r="NP17" s="83"/>
      <c r="NZ17" s="83"/>
      <c r="OJ17" s="83"/>
      <c r="OT17" s="83"/>
      <c r="PD17" s="83"/>
      <c r="PN17" s="83"/>
      <c r="PX17" s="83"/>
      <c r="QH17" s="83"/>
      <c r="QR17" s="83"/>
      <c r="RB17" s="83"/>
      <c r="RL17" s="83"/>
      <c r="RV17" s="83"/>
      <c r="SF17" s="83"/>
      <c r="SP17" s="83"/>
      <c r="SZ17" s="83"/>
      <c r="TJ17" s="83"/>
      <c r="TT17" s="83"/>
      <c r="UD17" s="83"/>
      <c r="UN17" s="83"/>
      <c r="UX17" s="83"/>
      <c r="VH17" s="83"/>
      <c r="VR17" s="83"/>
      <c r="WB17" s="83"/>
      <c r="WL17" s="83"/>
      <c r="WV17" s="83"/>
      <c r="XF17" s="83"/>
      <c r="XP17" s="83"/>
      <c r="XZ17" s="83"/>
      <c r="YJ17" s="83"/>
      <c r="YT17" s="83"/>
      <c r="ZD17" s="83"/>
      <c r="ZN17" s="83"/>
      <c r="ZX17" s="83"/>
      <c r="AAH17" s="83"/>
      <c r="AAR17" s="83"/>
      <c r="ABB17" s="83"/>
      <c r="ABL17" s="83"/>
      <c r="ABV17" s="83"/>
      <c r="ACF17" s="83"/>
      <c r="ACP17" s="83"/>
      <c r="ACZ17" s="83"/>
      <c r="ADJ17" s="83"/>
      <c r="ADT17" s="83"/>
      <c r="AED17" s="83"/>
      <c r="AEN17" s="83"/>
      <c r="AEX17" s="83"/>
      <c r="AFH17" s="83"/>
      <c r="AFR17" s="83"/>
      <c r="AGB17" s="83"/>
      <c r="AGL17" s="83"/>
      <c r="AGV17" s="83"/>
      <c r="AHF17" s="83"/>
      <c r="AHP17" s="83"/>
      <c r="AHZ17" s="83"/>
      <c r="AIJ17" s="83"/>
      <c r="AIT17" s="83"/>
      <c r="AJD17" s="83"/>
      <c r="AJN17" s="83"/>
      <c r="AJX17" s="83"/>
      <c r="AKH17" s="83"/>
      <c r="AKR17" s="83"/>
      <c r="ALB17" s="83"/>
      <c r="ALL17" s="83"/>
      <c r="ALV17" s="83"/>
      <c r="AMF17" s="83"/>
      <c r="AMP17" s="83"/>
      <c r="AMZ17" s="83"/>
      <c r="ANJ17" s="83"/>
      <c r="ANT17" s="83"/>
      <c r="AOD17" s="83"/>
      <c r="AON17" s="83"/>
      <c r="AOX17" s="83"/>
      <c r="APH17" s="83"/>
      <c r="APR17" s="83"/>
      <c r="AQB17" s="83"/>
      <c r="AQL17" s="83"/>
      <c r="AQV17" s="83"/>
      <c r="ARF17" s="83"/>
      <c r="ARP17" s="83"/>
      <c r="ARZ17" s="83"/>
      <c r="ASJ17" s="83"/>
      <c r="AST17" s="83"/>
      <c r="ATD17" s="83"/>
      <c r="ATN17" s="83"/>
      <c r="ATX17" s="83"/>
      <c r="AUH17" s="83"/>
      <c r="AUR17" s="83"/>
      <c r="AVB17" s="83"/>
      <c r="AVL17" s="83"/>
      <c r="AVV17" s="83"/>
      <c r="AWF17" s="83"/>
      <c r="AWP17" s="83"/>
      <c r="AWZ17" s="83"/>
      <c r="AXJ17" s="83"/>
      <c r="AXT17" s="83"/>
      <c r="AYD17" s="83"/>
      <c r="AYN17" s="83"/>
      <c r="AYX17" s="83"/>
      <c r="AZH17" s="83"/>
      <c r="AZR17" s="83"/>
      <c r="BAB17" s="83"/>
      <c r="BAL17" s="83"/>
      <c r="BAV17" s="83"/>
      <c r="BBF17" s="83"/>
      <c r="BBP17" s="83"/>
      <c r="BBZ17" s="83"/>
      <c r="BCJ17" s="83"/>
      <c r="BCT17" s="83"/>
      <c r="BDD17" s="83"/>
      <c r="BDN17" s="83"/>
      <c r="BDX17" s="83"/>
      <c r="BEH17" s="83"/>
      <c r="BER17" s="83"/>
      <c r="BFB17" s="83"/>
      <c r="BFL17" s="83"/>
      <c r="BFV17" s="83"/>
      <c r="BGF17" s="83"/>
      <c r="BGP17" s="83"/>
      <c r="BGZ17" s="83"/>
      <c r="BHJ17" s="83"/>
      <c r="BHT17" s="83"/>
      <c r="BID17" s="83"/>
      <c r="BIN17" s="83"/>
      <c r="BIX17" s="83"/>
      <c r="BJH17" s="83"/>
      <c r="BJR17" s="83"/>
      <c r="BKB17" s="83"/>
      <c r="BKL17" s="83"/>
      <c r="BKV17" s="83"/>
      <c r="BLF17" s="83"/>
      <c r="BLP17" s="83"/>
      <c r="BLZ17" s="83"/>
      <c r="BMJ17" s="83"/>
      <c r="BMT17" s="83"/>
      <c r="BND17" s="83"/>
      <c r="BNN17" s="83"/>
      <c r="BNX17" s="83"/>
      <c r="BOH17" s="83"/>
      <c r="BOR17" s="83"/>
      <c r="BPB17" s="83"/>
      <c r="BPL17" s="83"/>
      <c r="BPV17" s="83"/>
      <c r="BQF17" s="83"/>
      <c r="BQP17" s="83"/>
      <c r="BQZ17" s="83"/>
      <c r="BRJ17" s="83"/>
      <c r="BRT17" s="83"/>
      <c r="BSD17" s="83"/>
      <c r="BSN17" s="83"/>
      <c r="BSX17" s="83"/>
      <c r="BTH17" s="83"/>
      <c r="BTR17" s="83"/>
      <c r="BUB17" s="83"/>
      <c r="BUL17" s="83"/>
      <c r="BUV17" s="83"/>
      <c r="BVF17" s="83"/>
      <c r="BVP17" s="83"/>
      <c r="BVZ17" s="83"/>
      <c r="BWJ17" s="83"/>
      <c r="BWT17" s="83"/>
      <c r="BXD17" s="83"/>
      <c r="BXN17" s="83"/>
      <c r="BXX17" s="83"/>
      <c r="BYH17" s="83"/>
      <c r="BYR17" s="83"/>
      <c r="BZB17" s="83"/>
      <c r="BZL17" s="83"/>
      <c r="BZV17" s="83"/>
      <c r="CAF17" s="83"/>
      <c r="CAP17" s="83"/>
      <c r="CAZ17" s="83"/>
      <c r="CBJ17" s="83"/>
      <c r="CBT17" s="83"/>
      <c r="CCD17" s="83"/>
      <c r="CCN17" s="83"/>
      <c r="CCX17" s="83"/>
      <c r="CDH17" s="83"/>
      <c r="CDR17" s="83"/>
      <c r="CEB17" s="83"/>
      <c r="CEL17" s="83"/>
      <c r="CEV17" s="83"/>
      <c r="CFF17" s="83"/>
      <c r="CFP17" s="83"/>
      <c r="CFZ17" s="83"/>
      <c r="CGJ17" s="83"/>
      <c r="CGT17" s="83"/>
      <c r="CHD17" s="83"/>
      <c r="CHN17" s="83"/>
      <c r="CHX17" s="83"/>
      <c r="CIH17" s="83"/>
      <c r="CIR17" s="83"/>
      <c r="CJB17" s="83"/>
      <c r="CJL17" s="83"/>
      <c r="CJV17" s="83"/>
      <c r="CKF17" s="83"/>
      <c r="CKP17" s="83"/>
      <c r="CKZ17" s="83"/>
      <c r="CLJ17" s="83"/>
      <c r="CLT17" s="83"/>
      <c r="CMD17" s="83"/>
      <c r="CMN17" s="83"/>
      <c r="CMX17" s="83"/>
      <c r="CNH17" s="83"/>
      <c r="CNR17" s="83"/>
      <c r="COB17" s="83"/>
      <c r="COL17" s="83"/>
      <c r="COV17" s="83"/>
      <c r="CPF17" s="83"/>
      <c r="CPP17" s="83"/>
      <c r="CPZ17" s="83"/>
      <c r="CQJ17" s="83"/>
      <c r="CQT17" s="83"/>
      <c r="CRD17" s="83"/>
      <c r="CRN17" s="83"/>
      <c r="CRX17" s="83"/>
      <c r="CSH17" s="83"/>
      <c r="CSR17" s="83"/>
      <c r="CTB17" s="83"/>
      <c r="CTL17" s="83"/>
      <c r="CTV17" s="83"/>
    </row>
    <row r="18" s="58" customFormat="1" customHeight="1" spans="1:1020 1030:2040 2050:2570">
      <c r="A18" s="79">
        <v>46146</v>
      </c>
      <c r="B18" s="80" t="s">
        <v>22</v>
      </c>
      <c r="C18" s="38" t="s">
        <v>23</v>
      </c>
      <c r="D18" s="75">
        <v>652337948</v>
      </c>
      <c r="E18" s="38" t="s">
        <v>66</v>
      </c>
      <c r="F18" s="75" t="str">
        <f>VLOOKUP(E18,[2]基础数据!E:H,2,0)</f>
        <v>LS-CCUB001-AC-V1.02 三防漆双面 926_018</v>
      </c>
      <c r="G18" s="38">
        <v>480</v>
      </c>
      <c r="H18" s="75" t="str">
        <f>VLOOKUP(E18,[2]基础数据!E:H,4,0)</f>
        <v>料盒</v>
      </c>
      <c r="I18" s="75">
        <f>VLOOKUP(E18,[2]基础数据!E:G,3,0)</f>
        <v>240</v>
      </c>
      <c r="J18" s="75" t="s">
        <v>306</v>
      </c>
      <c r="K18" s="82">
        <f t="shared" si="0"/>
        <v>2</v>
      </c>
      <c r="T18" s="83"/>
      <c r="AD18" s="83"/>
      <c r="AN18" s="83"/>
      <c r="AX18" s="83"/>
      <c r="BH18" s="83"/>
      <c r="BR18" s="83"/>
      <c r="CB18" s="83"/>
      <c r="CL18" s="83"/>
      <c r="CV18" s="83"/>
      <c r="DF18" s="83"/>
      <c r="DP18" s="83"/>
      <c r="DZ18" s="83"/>
      <c r="EJ18" s="83"/>
      <c r="ET18" s="83"/>
      <c r="FD18" s="83"/>
      <c r="FN18" s="83"/>
      <c r="FX18" s="83"/>
      <c r="GH18" s="83"/>
      <c r="GR18" s="83"/>
      <c r="HB18" s="83"/>
      <c r="HL18" s="83"/>
      <c r="HV18" s="83"/>
      <c r="IF18" s="83"/>
      <c r="IP18" s="83"/>
      <c r="IZ18" s="83"/>
      <c r="JJ18" s="83"/>
      <c r="JT18" s="83"/>
      <c r="KD18" s="83"/>
      <c r="KN18" s="83"/>
      <c r="KX18" s="83"/>
      <c r="LH18" s="83"/>
      <c r="LR18" s="83"/>
      <c r="MB18" s="83"/>
      <c r="ML18" s="83"/>
      <c r="MV18" s="83"/>
      <c r="NF18" s="83"/>
      <c r="NP18" s="83"/>
      <c r="NZ18" s="83"/>
      <c r="OJ18" s="83"/>
      <c r="OT18" s="83"/>
      <c r="PD18" s="83"/>
      <c r="PN18" s="83"/>
      <c r="PX18" s="83"/>
      <c r="QH18" s="83"/>
      <c r="QR18" s="83"/>
      <c r="RB18" s="83"/>
      <c r="RL18" s="83"/>
      <c r="RV18" s="83"/>
      <c r="SF18" s="83"/>
      <c r="SP18" s="83"/>
      <c r="SZ18" s="83"/>
      <c r="TJ18" s="83"/>
      <c r="TT18" s="83"/>
      <c r="UD18" s="83"/>
      <c r="UN18" s="83"/>
      <c r="UX18" s="83"/>
      <c r="VH18" s="83"/>
      <c r="VR18" s="83"/>
      <c r="WB18" s="83"/>
      <c r="WL18" s="83"/>
      <c r="WV18" s="83"/>
      <c r="XF18" s="83"/>
      <c r="XP18" s="83"/>
      <c r="XZ18" s="83"/>
      <c r="YJ18" s="83"/>
      <c r="YT18" s="83"/>
      <c r="ZD18" s="83"/>
      <c r="ZN18" s="83"/>
      <c r="ZX18" s="83"/>
      <c r="AAH18" s="83"/>
      <c r="AAR18" s="83"/>
      <c r="ABB18" s="83"/>
      <c r="ABL18" s="83"/>
      <c r="ABV18" s="83"/>
      <c r="ACF18" s="83"/>
      <c r="ACP18" s="83"/>
      <c r="ACZ18" s="83"/>
      <c r="ADJ18" s="83"/>
      <c r="ADT18" s="83"/>
      <c r="AED18" s="83"/>
      <c r="AEN18" s="83"/>
      <c r="AEX18" s="83"/>
      <c r="AFH18" s="83"/>
      <c r="AFR18" s="83"/>
      <c r="AGB18" s="83"/>
      <c r="AGL18" s="83"/>
      <c r="AGV18" s="83"/>
      <c r="AHF18" s="83"/>
      <c r="AHP18" s="83"/>
      <c r="AHZ18" s="83"/>
      <c r="AIJ18" s="83"/>
      <c r="AIT18" s="83"/>
      <c r="AJD18" s="83"/>
      <c r="AJN18" s="83"/>
      <c r="AJX18" s="83"/>
      <c r="AKH18" s="83"/>
      <c r="AKR18" s="83"/>
      <c r="ALB18" s="83"/>
      <c r="ALL18" s="83"/>
      <c r="ALV18" s="83"/>
      <c r="AMF18" s="83"/>
      <c r="AMP18" s="83"/>
      <c r="AMZ18" s="83"/>
      <c r="ANJ18" s="83"/>
      <c r="ANT18" s="83"/>
      <c r="AOD18" s="83"/>
      <c r="AON18" s="83"/>
      <c r="AOX18" s="83"/>
      <c r="APH18" s="83"/>
      <c r="APR18" s="83"/>
      <c r="AQB18" s="83"/>
      <c r="AQL18" s="83"/>
      <c r="AQV18" s="83"/>
      <c r="ARF18" s="83"/>
      <c r="ARP18" s="83"/>
      <c r="ARZ18" s="83"/>
      <c r="ASJ18" s="83"/>
      <c r="AST18" s="83"/>
      <c r="ATD18" s="83"/>
      <c r="ATN18" s="83"/>
      <c r="ATX18" s="83"/>
      <c r="AUH18" s="83"/>
      <c r="AUR18" s="83"/>
      <c r="AVB18" s="83"/>
      <c r="AVL18" s="83"/>
      <c r="AVV18" s="83"/>
      <c r="AWF18" s="83"/>
      <c r="AWP18" s="83"/>
      <c r="AWZ18" s="83"/>
      <c r="AXJ18" s="83"/>
      <c r="AXT18" s="83"/>
      <c r="AYD18" s="83"/>
      <c r="AYN18" s="83"/>
      <c r="AYX18" s="83"/>
      <c r="AZH18" s="83"/>
      <c r="AZR18" s="83"/>
      <c r="BAB18" s="83"/>
      <c r="BAL18" s="83"/>
      <c r="BAV18" s="83"/>
      <c r="BBF18" s="83"/>
      <c r="BBP18" s="83"/>
      <c r="BBZ18" s="83"/>
      <c r="BCJ18" s="83"/>
      <c r="BCT18" s="83"/>
      <c r="BDD18" s="83"/>
      <c r="BDN18" s="83"/>
      <c r="BDX18" s="83"/>
      <c r="BEH18" s="83"/>
      <c r="BER18" s="83"/>
      <c r="BFB18" s="83"/>
      <c r="BFL18" s="83"/>
      <c r="BFV18" s="83"/>
      <c r="BGF18" s="83"/>
      <c r="BGP18" s="83"/>
      <c r="BGZ18" s="83"/>
      <c r="BHJ18" s="83"/>
      <c r="BHT18" s="83"/>
      <c r="BID18" s="83"/>
      <c r="BIN18" s="83"/>
      <c r="BIX18" s="83"/>
      <c r="BJH18" s="83"/>
      <c r="BJR18" s="83"/>
      <c r="BKB18" s="83"/>
      <c r="BKL18" s="83"/>
      <c r="BKV18" s="83"/>
      <c r="BLF18" s="83"/>
      <c r="BLP18" s="83"/>
      <c r="BLZ18" s="83"/>
      <c r="BMJ18" s="83"/>
      <c r="BMT18" s="83"/>
      <c r="BND18" s="83"/>
      <c r="BNN18" s="83"/>
      <c r="BNX18" s="83"/>
      <c r="BOH18" s="83"/>
      <c r="BOR18" s="83"/>
      <c r="BPB18" s="83"/>
      <c r="BPL18" s="83"/>
      <c r="BPV18" s="83"/>
      <c r="BQF18" s="83"/>
      <c r="BQP18" s="83"/>
      <c r="BQZ18" s="83"/>
      <c r="BRJ18" s="83"/>
      <c r="BRT18" s="83"/>
      <c r="BSD18" s="83"/>
      <c r="BSN18" s="83"/>
      <c r="BSX18" s="83"/>
      <c r="BTH18" s="83"/>
      <c r="BTR18" s="83"/>
      <c r="BUB18" s="83"/>
      <c r="BUL18" s="83"/>
      <c r="BUV18" s="83"/>
      <c r="BVF18" s="83"/>
      <c r="BVP18" s="83"/>
      <c r="BVZ18" s="83"/>
      <c r="BWJ18" s="83"/>
      <c r="BWT18" s="83"/>
      <c r="BXD18" s="83"/>
      <c r="BXN18" s="83"/>
      <c r="BXX18" s="83"/>
      <c r="BYH18" s="83"/>
      <c r="BYR18" s="83"/>
      <c r="BZB18" s="83"/>
      <c r="BZL18" s="83"/>
      <c r="BZV18" s="83"/>
      <c r="CAF18" s="83"/>
      <c r="CAP18" s="83"/>
      <c r="CAZ18" s="83"/>
      <c r="CBJ18" s="83"/>
      <c r="CBT18" s="83"/>
      <c r="CCD18" s="83"/>
      <c r="CCN18" s="83"/>
      <c r="CCX18" s="83"/>
      <c r="CDH18" s="83"/>
      <c r="CDR18" s="83"/>
      <c r="CEB18" s="83"/>
      <c r="CEL18" s="83"/>
      <c r="CEV18" s="83"/>
      <c r="CFF18" s="83"/>
      <c r="CFP18" s="83"/>
      <c r="CFZ18" s="83"/>
      <c r="CGJ18" s="83"/>
      <c r="CGT18" s="83"/>
      <c r="CHD18" s="83"/>
      <c r="CHN18" s="83"/>
      <c r="CHX18" s="83"/>
      <c r="CIH18" s="83"/>
      <c r="CIR18" s="83"/>
      <c r="CJB18" s="83"/>
      <c r="CJL18" s="83"/>
      <c r="CJV18" s="83"/>
      <c r="CKF18" s="83"/>
      <c r="CKP18" s="83"/>
      <c r="CKZ18" s="83"/>
      <c r="CLJ18" s="83"/>
      <c r="CLT18" s="83"/>
      <c r="CMD18" s="83"/>
      <c r="CMN18" s="83"/>
      <c r="CMX18" s="83"/>
      <c r="CNH18" s="83"/>
      <c r="CNR18" s="83"/>
      <c r="COB18" s="83"/>
      <c r="COL18" s="83"/>
      <c r="COV18" s="83"/>
      <c r="CPF18" s="83"/>
      <c r="CPP18" s="83"/>
      <c r="CPZ18" s="83"/>
      <c r="CQJ18" s="83"/>
      <c r="CQT18" s="83"/>
      <c r="CRD18" s="83"/>
      <c r="CRN18" s="83"/>
      <c r="CRX18" s="83"/>
      <c r="CSH18" s="83"/>
      <c r="CSR18" s="83"/>
      <c r="CTB18" s="83"/>
      <c r="CTL18" s="83"/>
      <c r="CTV18" s="83"/>
    </row>
    <row r="19" s="58" customFormat="1" customHeight="1" spans="1:1020 1030:2040 2050:2570">
      <c r="A19" s="79">
        <v>46146</v>
      </c>
      <c r="B19" s="80" t="s">
        <v>22</v>
      </c>
      <c r="C19" s="38" t="s">
        <v>23</v>
      </c>
      <c r="D19" s="75">
        <v>652338990</v>
      </c>
      <c r="E19" s="38" t="s">
        <v>42</v>
      </c>
      <c r="F19" s="75" t="str">
        <f>VLOOKUP(E19,[2]基础数据!E:H,2,0)</f>
        <v>LP-BSU051-AA_V100_TI_31A三防漆双面916_019</v>
      </c>
      <c r="G19" s="38">
        <v>2016</v>
      </c>
      <c r="H19" s="75" t="str">
        <f>VLOOKUP(E19,[2]基础数据!E:H,4,0)</f>
        <v>料盒</v>
      </c>
      <c r="I19" s="75">
        <f>VLOOKUP(E19,[2]基础数据!E:G,3,0)</f>
        <v>36</v>
      </c>
      <c r="J19" s="75" t="s">
        <v>306</v>
      </c>
      <c r="K19" s="82">
        <f t="shared" si="0"/>
        <v>56</v>
      </c>
      <c r="T19" s="83"/>
      <c r="AD19" s="83"/>
      <c r="AN19" s="83"/>
      <c r="AX19" s="83"/>
      <c r="BH19" s="83"/>
      <c r="BR19" s="83"/>
      <c r="CB19" s="83"/>
      <c r="CL19" s="83"/>
      <c r="CV19" s="83"/>
      <c r="DF19" s="83"/>
      <c r="DP19" s="83"/>
      <c r="DZ19" s="83"/>
      <c r="EJ19" s="83"/>
      <c r="ET19" s="83"/>
      <c r="FD19" s="83"/>
      <c r="FN19" s="83"/>
      <c r="FX19" s="83"/>
      <c r="GH19" s="83"/>
      <c r="GR19" s="83"/>
      <c r="HB19" s="83"/>
      <c r="HL19" s="83"/>
      <c r="HV19" s="83"/>
      <c r="IF19" s="83"/>
      <c r="IP19" s="83"/>
      <c r="IZ19" s="83"/>
      <c r="JJ19" s="83"/>
      <c r="JT19" s="83"/>
      <c r="KD19" s="83"/>
      <c r="KN19" s="83"/>
      <c r="KX19" s="83"/>
      <c r="LH19" s="83"/>
      <c r="LR19" s="83"/>
      <c r="MB19" s="83"/>
      <c r="ML19" s="83"/>
      <c r="MV19" s="83"/>
      <c r="NF19" s="83"/>
      <c r="NP19" s="83"/>
      <c r="NZ19" s="83"/>
      <c r="OJ19" s="83"/>
      <c r="OT19" s="83"/>
      <c r="PD19" s="83"/>
      <c r="PN19" s="83"/>
      <c r="PX19" s="83"/>
      <c r="QH19" s="83"/>
      <c r="QR19" s="83"/>
      <c r="RB19" s="83"/>
      <c r="RL19" s="83"/>
      <c r="RV19" s="83"/>
      <c r="SF19" s="83"/>
      <c r="SP19" s="83"/>
      <c r="SZ19" s="83"/>
      <c r="TJ19" s="83"/>
      <c r="TT19" s="83"/>
      <c r="UD19" s="83"/>
      <c r="UN19" s="83"/>
      <c r="UX19" s="83"/>
      <c r="VH19" s="83"/>
      <c r="VR19" s="83"/>
      <c r="WB19" s="83"/>
      <c r="WL19" s="83"/>
      <c r="WV19" s="83"/>
      <c r="XF19" s="83"/>
      <c r="XP19" s="83"/>
      <c r="XZ19" s="83"/>
      <c r="YJ19" s="83"/>
      <c r="YT19" s="83"/>
      <c r="ZD19" s="83"/>
      <c r="ZN19" s="83"/>
      <c r="ZX19" s="83"/>
      <c r="AAH19" s="83"/>
      <c r="AAR19" s="83"/>
      <c r="ABB19" s="83"/>
      <c r="ABL19" s="83"/>
      <c r="ABV19" s="83"/>
      <c r="ACF19" s="83"/>
      <c r="ACP19" s="83"/>
      <c r="ACZ19" s="83"/>
      <c r="ADJ19" s="83"/>
      <c r="ADT19" s="83"/>
      <c r="AED19" s="83"/>
      <c r="AEN19" s="83"/>
      <c r="AEX19" s="83"/>
      <c r="AFH19" s="83"/>
      <c r="AFR19" s="83"/>
      <c r="AGB19" s="83"/>
      <c r="AGL19" s="83"/>
      <c r="AGV19" s="83"/>
      <c r="AHF19" s="83"/>
      <c r="AHP19" s="83"/>
      <c r="AHZ19" s="83"/>
      <c r="AIJ19" s="83"/>
      <c r="AIT19" s="83"/>
      <c r="AJD19" s="83"/>
      <c r="AJN19" s="83"/>
      <c r="AJX19" s="83"/>
      <c r="AKH19" s="83"/>
      <c r="AKR19" s="83"/>
      <c r="ALB19" s="83"/>
      <c r="ALL19" s="83"/>
      <c r="ALV19" s="83"/>
      <c r="AMF19" s="83"/>
      <c r="AMP19" s="83"/>
      <c r="AMZ19" s="83"/>
      <c r="ANJ19" s="83"/>
      <c r="ANT19" s="83"/>
      <c r="AOD19" s="83"/>
      <c r="AON19" s="83"/>
      <c r="AOX19" s="83"/>
      <c r="APH19" s="83"/>
      <c r="APR19" s="83"/>
      <c r="AQB19" s="83"/>
      <c r="AQL19" s="83"/>
      <c r="AQV19" s="83"/>
      <c r="ARF19" s="83"/>
      <c r="ARP19" s="83"/>
      <c r="ARZ19" s="83"/>
      <c r="ASJ19" s="83"/>
      <c r="AST19" s="83"/>
      <c r="ATD19" s="83"/>
      <c r="ATN19" s="83"/>
      <c r="ATX19" s="83"/>
      <c r="AUH19" s="83"/>
      <c r="AUR19" s="83"/>
      <c r="AVB19" s="83"/>
      <c r="AVL19" s="83"/>
      <c r="AVV19" s="83"/>
      <c r="AWF19" s="83"/>
      <c r="AWP19" s="83"/>
      <c r="AWZ19" s="83"/>
      <c r="AXJ19" s="83"/>
      <c r="AXT19" s="83"/>
      <c r="AYD19" s="83"/>
      <c r="AYN19" s="83"/>
      <c r="AYX19" s="83"/>
      <c r="AZH19" s="83"/>
      <c r="AZR19" s="83"/>
      <c r="BAB19" s="83"/>
      <c r="BAL19" s="83"/>
      <c r="BAV19" s="83"/>
      <c r="BBF19" s="83"/>
      <c r="BBP19" s="83"/>
      <c r="BBZ19" s="83"/>
      <c r="BCJ19" s="83"/>
      <c r="BCT19" s="83"/>
      <c r="BDD19" s="83"/>
      <c r="BDN19" s="83"/>
      <c r="BDX19" s="83"/>
      <c r="BEH19" s="83"/>
      <c r="BER19" s="83"/>
      <c r="BFB19" s="83"/>
      <c r="BFL19" s="83"/>
      <c r="BFV19" s="83"/>
      <c r="BGF19" s="83"/>
      <c r="BGP19" s="83"/>
      <c r="BGZ19" s="83"/>
      <c r="BHJ19" s="83"/>
      <c r="BHT19" s="83"/>
      <c r="BID19" s="83"/>
      <c r="BIN19" s="83"/>
      <c r="BIX19" s="83"/>
      <c r="BJH19" s="83"/>
      <c r="BJR19" s="83"/>
      <c r="BKB19" s="83"/>
      <c r="BKL19" s="83"/>
      <c r="BKV19" s="83"/>
      <c r="BLF19" s="83"/>
      <c r="BLP19" s="83"/>
      <c r="BLZ19" s="83"/>
      <c r="BMJ19" s="83"/>
      <c r="BMT19" s="83"/>
      <c r="BND19" s="83"/>
      <c r="BNN19" s="83"/>
      <c r="BNX19" s="83"/>
      <c r="BOH19" s="83"/>
      <c r="BOR19" s="83"/>
      <c r="BPB19" s="83"/>
      <c r="BPL19" s="83"/>
      <c r="BPV19" s="83"/>
      <c r="BQF19" s="83"/>
      <c r="BQP19" s="83"/>
      <c r="BQZ19" s="83"/>
      <c r="BRJ19" s="83"/>
      <c r="BRT19" s="83"/>
      <c r="BSD19" s="83"/>
      <c r="BSN19" s="83"/>
      <c r="BSX19" s="83"/>
      <c r="BTH19" s="83"/>
      <c r="BTR19" s="83"/>
      <c r="BUB19" s="83"/>
      <c r="BUL19" s="83"/>
      <c r="BUV19" s="83"/>
      <c r="BVF19" s="83"/>
      <c r="BVP19" s="83"/>
      <c r="BVZ19" s="83"/>
      <c r="BWJ19" s="83"/>
      <c r="BWT19" s="83"/>
      <c r="BXD19" s="83"/>
      <c r="BXN19" s="83"/>
      <c r="BXX19" s="83"/>
      <c r="BYH19" s="83"/>
      <c r="BYR19" s="83"/>
      <c r="BZB19" s="83"/>
      <c r="BZL19" s="83"/>
      <c r="BZV19" s="83"/>
      <c r="CAF19" s="83"/>
      <c r="CAP19" s="83"/>
      <c r="CAZ19" s="83"/>
      <c r="CBJ19" s="83"/>
      <c r="CBT19" s="83"/>
      <c r="CCD19" s="83"/>
      <c r="CCN19" s="83"/>
      <c r="CCX19" s="83"/>
      <c r="CDH19" s="83"/>
      <c r="CDR19" s="83"/>
      <c r="CEB19" s="83"/>
      <c r="CEL19" s="83"/>
      <c r="CEV19" s="83"/>
      <c r="CFF19" s="83"/>
      <c r="CFP19" s="83"/>
      <c r="CFZ19" s="83"/>
      <c r="CGJ19" s="83"/>
      <c r="CGT19" s="83"/>
      <c r="CHD19" s="83"/>
      <c r="CHN19" s="83"/>
      <c r="CHX19" s="83"/>
      <c r="CIH19" s="83"/>
      <c r="CIR19" s="83"/>
      <c r="CJB19" s="83"/>
      <c r="CJL19" s="83"/>
      <c r="CJV19" s="83"/>
      <c r="CKF19" s="83"/>
      <c r="CKP19" s="83"/>
      <c r="CKZ19" s="83"/>
      <c r="CLJ19" s="83"/>
      <c r="CLT19" s="83"/>
      <c r="CMD19" s="83"/>
      <c r="CMN19" s="83"/>
      <c r="CMX19" s="83"/>
      <c r="CNH19" s="83"/>
      <c r="CNR19" s="83"/>
      <c r="COB19" s="83"/>
      <c r="COL19" s="83"/>
      <c r="COV19" s="83"/>
      <c r="CPF19" s="83"/>
      <c r="CPP19" s="83"/>
      <c r="CPZ19" s="83"/>
      <c r="CQJ19" s="83"/>
      <c r="CQT19" s="83"/>
      <c r="CRD19" s="83"/>
      <c r="CRN19" s="83"/>
      <c r="CRX19" s="83"/>
      <c r="CSH19" s="83"/>
      <c r="CSR19" s="83"/>
      <c r="CTB19" s="83"/>
      <c r="CTL19" s="83"/>
      <c r="CTV19" s="83"/>
    </row>
    <row r="20" s="58" customFormat="1" customHeight="1" spans="1:1020 1030:2040 2050:2570">
      <c r="A20" s="79">
        <v>46147</v>
      </c>
      <c r="B20" s="80" t="s">
        <v>22</v>
      </c>
      <c r="C20" s="38" t="s">
        <v>23</v>
      </c>
      <c r="D20" s="75">
        <v>652344163</v>
      </c>
      <c r="E20" s="38" t="s">
        <v>81</v>
      </c>
      <c r="F20" s="75" t="str">
        <f>VLOOKUP(E20,[3]基础数据!E:H,2,0)</f>
        <v>LS-CCUG001-AB-V1.02 三防漆单面 924_028</v>
      </c>
      <c r="G20" s="38">
        <v>612</v>
      </c>
      <c r="H20" s="75" t="str">
        <f>VLOOKUP(E20,[3]基础数据!E:H,4,0)</f>
        <v>料盒</v>
      </c>
      <c r="I20" s="75">
        <f>VLOOKUP(E20,[3]基础数据!E:G,3,0)</f>
        <v>72</v>
      </c>
      <c r="J20" s="75" t="s">
        <v>306</v>
      </c>
      <c r="K20" s="82">
        <f t="shared" si="0"/>
        <v>8.5</v>
      </c>
      <c r="T20" s="83"/>
      <c r="AD20" s="83"/>
      <c r="AN20" s="83"/>
      <c r="AX20" s="83"/>
      <c r="BH20" s="83"/>
      <c r="BR20" s="83"/>
      <c r="CB20" s="83"/>
      <c r="CL20" s="83"/>
      <c r="CV20" s="83"/>
      <c r="DF20" s="83"/>
      <c r="DP20" s="83"/>
      <c r="DZ20" s="83"/>
      <c r="EJ20" s="83"/>
      <c r="ET20" s="83"/>
      <c r="FD20" s="83"/>
      <c r="FN20" s="83"/>
      <c r="FX20" s="83"/>
      <c r="GH20" s="83"/>
      <c r="GR20" s="83"/>
      <c r="HB20" s="83"/>
      <c r="HL20" s="83"/>
      <c r="HV20" s="83"/>
      <c r="IF20" s="83"/>
      <c r="IP20" s="83"/>
      <c r="IZ20" s="83"/>
      <c r="JJ20" s="83"/>
      <c r="JT20" s="83"/>
      <c r="KD20" s="83"/>
      <c r="KN20" s="83"/>
      <c r="KX20" s="83"/>
      <c r="LH20" s="83"/>
      <c r="LR20" s="83"/>
      <c r="MB20" s="83"/>
      <c r="ML20" s="83"/>
      <c r="MV20" s="83"/>
      <c r="NF20" s="83"/>
      <c r="NP20" s="83"/>
      <c r="NZ20" s="83"/>
      <c r="OJ20" s="83"/>
      <c r="OT20" s="83"/>
      <c r="PD20" s="83"/>
      <c r="PN20" s="83"/>
      <c r="PX20" s="83"/>
      <c r="QH20" s="83"/>
      <c r="QR20" s="83"/>
      <c r="RB20" s="83"/>
      <c r="RL20" s="83"/>
      <c r="RV20" s="83"/>
      <c r="SF20" s="83"/>
      <c r="SP20" s="83"/>
      <c r="SZ20" s="83"/>
      <c r="TJ20" s="83"/>
      <c r="TT20" s="83"/>
      <c r="UD20" s="83"/>
      <c r="UN20" s="83"/>
      <c r="UX20" s="83"/>
      <c r="VH20" s="83"/>
      <c r="VR20" s="83"/>
      <c r="WB20" s="83"/>
      <c r="WL20" s="83"/>
      <c r="WV20" s="83"/>
      <c r="XF20" s="83"/>
      <c r="XP20" s="83"/>
      <c r="XZ20" s="83"/>
      <c r="YJ20" s="83"/>
      <c r="YT20" s="83"/>
      <c r="ZD20" s="83"/>
      <c r="ZN20" s="83"/>
      <c r="ZX20" s="83"/>
      <c r="AAH20" s="83"/>
      <c r="AAR20" s="83"/>
      <c r="ABB20" s="83"/>
      <c r="ABL20" s="83"/>
      <c r="ABV20" s="83"/>
      <c r="ACF20" s="83"/>
      <c r="ACP20" s="83"/>
      <c r="ACZ20" s="83"/>
      <c r="ADJ20" s="83"/>
      <c r="ADT20" s="83"/>
      <c r="AED20" s="83"/>
      <c r="AEN20" s="83"/>
      <c r="AEX20" s="83"/>
      <c r="AFH20" s="83"/>
      <c r="AFR20" s="83"/>
      <c r="AGB20" s="83"/>
      <c r="AGL20" s="83"/>
      <c r="AGV20" s="83"/>
      <c r="AHF20" s="83"/>
      <c r="AHP20" s="83"/>
      <c r="AHZ20" s="83"/>
      <c r="AIJ20" s="83"/>
      <c r="AIT20" s="83"/>
      <c r="AJD20" s="83"/>
      <c r="AJN20" s="83"/>
      <c r="AJX20" s="83"/>
      <c r="AKH20" s="83"/>
      <c r="AKR20" s="83"/>
      <c r="ALB20" s="83"/>
      <c r="ALL20" s="83"/>
      <c r="ALV20" s="83"/>
      <c r="AMF20" s="83"/>
      <c r="AMP20" s="83"/>
      <c r="AMZ20" s="83"/>
      <c r="ANJ20" s="83"/>
      <c r="ANT20" s="83"/>
      <c r="AOD20" s="83"/>
      <c r="AON20" s="83"/>
      <c r="AOX20" s="83"/>
      <c r="APH20" s="83"/>
      <c r="APR20" s="83"/>
      <c r="AQB20" s="83"/>
      <c r="AQL20" s="83"/>
      <c r="AQV20" s="83"/>
      <c r="ARF20" s="83"/>
      <c r="ARP20" s="83"/>
      <c r="ARZ20" s="83"/>
      <c r="ASJ20" s="83"/>
      <c r="AST20" s="83"/>
      <c r="ATD20" s="83"/>
      <c r="ATN20" s="83"/>
      <c r="ATX20" s="83"/>
      <c r="AUH20" s="83"/>
      <c r="AUR20" s="83"/>
      <c r="AVB20" s="83"/>
      <c r="AVL20" s="83"/>
      <c r="AVV20" s="83"/>
      <c r="AWF20" s="83"/>
      <c r="AWP20" s="83"/>
      <c r="AWZ20" s="83"/>
      <c r="AXJ20" s="83"/>
      <c r="AXT20" s="83"/>
      <c r="AYD20" s="83"/>
      <c r="AYN20" s="83"/>
      <c r="AYX20" s="83"/>
      <c r="AZH20" s="83"/>
      <c r="AZR20" s="83"/>
      <c r="BAB20" s="83"/>
      <c r="BAL20" s="83"/>
      <c r="BAV20" s="83"/>
      <c r="BBF20" s="83"/>
      <c r="BBP20" s="83"/>
      <c r="BBZ20" s="83"/>
      <c r="BCJ20" s="83"/>
      <c r="BCT20" s="83"/>
      <c r="BDD20" s="83"/>
      <c r="BDN20" s="83"/>
      <c r="BDX20" s="83"/>
      <c r="BEH20" s="83"/>
      <c r="BER20" s="83"/>
      <c r="BFB20" s="83"/>
      <c r="BFL20" s="83"/>
      <c r="BFV20" s="83"/>
      <c r="BGF20" s="83"/>
      <c r="BGP20" s="83"/>
      <c r="BGZ20" s="83"/>
      <c r="BHJ20" s="83"/>
      <c r="BHT20" s="83"/>
      <c r="BID20" s="83"/>
      <c r="BIN20" s="83"/>
      <c r="BIX20" s="83"/>
      <c r="BJH20" s="83"/>
      <c r="BJR20" s="83"/>
      <c r="BKB20" s="83"/>
      <c r="BKL20" s="83"/>
      <c r="BKV20" s="83"/>
      <c r="BLF20" s="83"/>
      <c r="BLP20" s="83"/>
      <c r="BLZ20" s="83"/>
      <c r="BMJ20" s="83"/>
      <c r="BMT20" s="83"/>
      <c r="BND20" s="83"/>
      <c r="BNN20" s="83"/>
      <c r="BNX20" s="83"/>
      <c r="BOH20" s="83"/>
      <c r="BOR20" s="83"/>
      <c r="BPB20" s="83"/>
      <c r="BPL20" s="83"/>
      <c r="BPV20" s="83"/>
      <c r="BQF20" s="83"/>
      <c r="BQP20" s="83"/>
      <c r="BQZ20" s="83"/>
      <c r="BRJ20" s="83"/>
      <c r="BRT20" s="83"/>
      <c r="BSD20" s="83"/>
      <c r="BSN20" s="83"/>
      <c r="BSX20" s="83"/>
      <c r="BTH20" s="83"/>
      <c r="BTR20" s="83"/>
      <c r="BUB20" s="83"/>
      <c r="BUL20" s="83"/>
      <c r="BUV20" s="83"/>
      <c r="BVF20" s="83"/>
      <c r="BVP20" s="83"/>
      <c r="BVZ20" s="83"/>
      <c r="BWJ20" s="83"/>
      <c r="BWT20" s="83"/>
      <c r="BXD20" s="83"/>
      <c r="BXN20" s="83"/>
      <c r="BXX20" s="83"/>
      <c r="BYH20" s="83"/>
      <c r="BYR20" s="83"/>
      <c r="BZB20" s="83"/>
      <c r="BZL20" s="83"/>
      <c r="BZV20" s="83"/>
      <c r="CAF20" s="83"/>
      <c r="CAP20" s="83"/>
      <c r="CAZ20" s="83"/>
      <c r="CBJ20" s="83"/>
      <c r="CBT20" s="83"/>
      <c r="CCD20" s="83"/>
      <c r="CCN20" s="83"/>
      <c r="CCX20" s="83"/>
      <c r="CDH20" s="83"/>
      <c r="CDR20" s="83"/>
      <c r="CEB20" s="83"/>
      <c r="CEL20" s="83"/>
      <c r="CEV20" s="83"/>
      <c r="CFF20" s="83"/>
      <c r="CFP20" s="83"/>
      <c r="CFZ20" s="83"/>
      <c r="CGJ20" s="83"/>
      <c r="CGT20" s="83"/>
      <c r="CHD20" s="83"/>
      <c r="CHN20" s="83"/>
      <c r="CHX20" s="83"/>
      <c r="CIH20" s="83"/>
      <c r="CIR20" s="83"/>
      <c r="CJB20" s="83"/>
      <c r="CJL20" s="83"/>
      <c r="CJV20" s="83"/>
      <c r="CKF20" s="83"/>
      <c r="CKP20" s="83"/>
      <c r="CKZ20" s="83"/>
      <c r="CLJ20" s="83"/>
      <c r="CLT20" s="83"/>
      <c r="CMD20" s="83"/>
      <c r="CMN20" s="83"/>
      <c r="CMX20" s="83"/>
      <c r="CNH20" s="83"/>
      <c r="CNR20" s="83"/>
      <c r="COB20" s="83"/>
      <c r="COL20" s="83"/>
      <c r="COV20" s="83"/>
      <c r="CPF20" s="83"/>
      <c r="CPP20" s="83"/>
      <c r="CPZ20" s="83"/>
      <c r="CQJ20" s="83"/>
      <c r="CQT20" s="83"/>
      <c r="CRD20" s="83"/>
      <c r="CRN20" s="83"/>
      <c r="CRX20" s="83"/>
      <c r="CSH20" s="83"/>
      <c r="CSR20" s="83"/>
      <c r="CTB20" s="83"/>
      <c r="CTL20" s="83"/>
      <c r="CTV20" s="83"/>
    </row>
    <row r="21" s="58" customFormat="1" customHeight="1" spans="1:1020 1030:2040 2050:2570">
      <c r="A21" s="79">
        <v>46147</v>
      </c>
      <c r="B21" s="80" t="s">
        <v>22</v>
      </c>
      <c r="C21" s="38" t="s">
        <v>23</v>
      </c>
      <c r="D21" s="75">
        <v>652344163</v>
      </c>
      <c r="E21" s="38" t="s">
        <v>66</v>
      </c>
      <c r="F21" s="75" t="str">
        <f>VLOOKUP(E21,[3]基础数据!E:H,2,0)</f>
        <v>LS-CCUB001-AC-V1.02 三防漆双面 926_018</v>
      </c>
      <c r="G21" s="38">
        <v>720</v>
      </c>
      <c r="H21" s="75" t="str">
        <f>VLOOKUP(E21,[3]基础数据!E:H,4,0)</f>
        <v>料盒</v>
      </c>
      <c r="I21" s="75">
        <f>VLOOKUP(E21,[3]基础数据!E:G,3,0)</f>
        <v>240</v>
      </c>
      <c r="J21" s="75" t="s">
        <v>306</v>
      </c>
      <c r="K21" s="82">
        <f t="shared" si="0"/>
        <v>3</v>
      </c>
      <c r="T21" s="83"/>
      <c r="AD21" s="83"/>
      <c r="AN21" s="83"/>
      <c r="AX21" s="83"/>
      <c r="BH21" s="83"/>
      <c r="BR21" s="83"/>
      <c r="CB21" s="83"/>
      <c r="CL21" s="83"/>
      <c r="CV21" s="83"/>
      <c r="DF21" s="83"/>
      <c r="DP21" s="83"/>
      <c r="DZ21" s="83"/>
      <c r="EJ21" s="83"/>
      <c r="ET21" s="83"/>
      <c r="FD21" s="83"/>
      <c r="FN21" s="83"/>
      <c r="FX21" s="83"/>
      <c r="GH21" s="83"/>
      <c r="GR21" s="83"/>
      <c r="HB21" s="83"/>
      <c r="HL21" s="83"/>
      <c r="HV21" s="83"/>
      <c r="IF21" s="83"/>
      <c r="IP21" s="83"/>
      <c r="IZ21" s="83"/>
      <c r="JJ21" s="83"/>
      <c r="JT21" s="83"/>
      <c r="KD21" s="83"/>
      <c r="KN21" s="83"/>
      <c r="KX21" s="83"/>
      <c r="LH21" s="83"/>
      <c r="LR21" s="83"/>
      <c r="MB21" s="83"/>
      <c r="ML21" s="83"/>
      <c r="MV21" s="83"/>
      <c r="NF21" s="83"/>
      <c r="NP21" s="83"/>
      <c r="NZ21" s="83"/>
      <c r="OJ21" s="83"/>
      <c r="OT21" s="83"/>
      <c r="PD21" s="83"/>
      <c r="PN21" s="83"/>
      <c r="PX21" s="83"/>
      <c r="QH21" s="83"/>
      <c r="QR21" s="83"/>
      <c r="RB21" s="83"/>
      <c r="RL21" s="83"/>
      <c r="RV21" s="83"/>
      <c r="SF21" s="83"/>
      <c r="SP21" s="83"/>
      <c r="SZ21" s="83"/>
      <c r="TJ21" s="83"/>
      <c r="TT21" s="83"/>
      <c r="UD21" s="83"/>
      <c r="UN21" s="83"/>
      <c r="UX21" s="83"/>
      <c r="VH21" s="83"/>
      <c r="VR21" s="83"/>
      <c r="WB21" s="83"/>
      <c r="WL21" s="83"/>
      <c r="WV21" s="83"/>
      <c r="XF21" s="83"/>
      <c r="XP21" s="83"/>
      <c r="XZ21" s="83"/>
      <c r="YJ21" s="83"/>
      <c r="YT21" s="83"/>
      <c r="ZD21" s="83"/>
      <c r="ZN21" s="83"/>
      <c r="ZX21" s="83"/>
      <c r="AAH21" s="83"/>
      <c r="AAR21" s="83"/>
      <c r="ABB21" s="83"/>
      <c r="ABL21" s="83"/>
      <c r="ABV21" s="83"/>
      <c r="ACF21" s="83"/>
      <c r="ACP21" s="83"/>
      <c r="ACZ21" s="83"/>
      <c r="ADJ21" s="83"/>
      <c r="ADT21" s="83"/>
      <c r="AED21" s="83"/>
      <c r="AEN21" s="83"/>
      <c r="AEX21" s="83"/>
      <c r="AFH21" s="83"/>
      <c r="AFR21" s="83"/>
      <c r="AGB21" s="83"/>
      <c r="AGL21" s="83"/>
      <c r="AGV21" s="83"/>
      <c r="AHF21" s="83"/>
      <c r="AHP21" s="83"/>
      <c r="AHZ21" s="83"/>
      <c r="AIJ21" s="83"/>
      <c r="AIT21" s="83"/>
      <c r="AJD21" s="83"/>
      <c r="AJN21" s="83"/>
      <c r="AJX21" s="83"/>
      <c r="AKH21" s="83"/>
      <c r="AKR21" s="83"/>
      <c r="ALB21" s="83"/>
      <c r="ALL21" s="83"/>
      <c r="ALV21" s="83"/>
      <c r="AMF21" s="83"/>
      <c r="AMP21" s="83"/>
      <c r="AMZ21" s="83"/>
      <c r="ANJ21" s="83"/>
      <c r="ANT21" s="83"/>
      <c r="AOD21" s="83"/>
      <c r="AON21" s="83"/>
      <c r="AOX21" s="83"/>
      <c r="APH21" s="83"/>
      <c r="APR21" s="83"/>
      <c r="AQB21" s="83"/>
      <c r="AQL21" s="83"/>
      <c r="AQV21" s="83"/>
      <c r="ARF21" s="83"/>
      <c r="ARP21" s="83"/>
      <c r="ARZ21" s="83"/>
      <c r="ASJ21" s="83"/>
      <c r="AST21" s="83"/>
      <c r="ATD21" s="83"/>
      <c r="ATN21" s="83"/>
      <c r="ATX21" s="83"/>
      <c r="AUH21" s="83"/>
      <c r="AUR21" s="83"/>
      <c r="AVB21" s="83"/>
      <c r="AVL21" s="83"/>
      <c r="AVV21" s="83"/>
      <c r="AWF21" s="83"/>
      <c r="AWP21" s="83"/>
      <c r="AWZ21" s="83"/>
      <c r="AXJ21" s="83"/>
      <c r="AXT21" s="83"/>
      <c r="AYD21" s="83"/>
      <c r="AYN21" s="83"/>
      <c r="AYX21" s="83"/>
      <c r="AZH21" s="83"/>
      <c r="AZR21" s="83"/>
      <c r="BAB21" s="83"/>
      <c r="BAL21" s="83"/>
      <c r="BAV21" s="83"/>
      <c r="BBF21" s="83"/>
      <c r="BBP21" s="83"/>
      <c r="BBZ21" s="83"/>
      <c r="BCJ21" s="83"/>
      <c r="BCT21" s="83"/>
      <c r="BDD21" s="83"/>
      <c r="BDN21" s="83"/>
      <c r="BDX21" s="83"/>
      <c r="BEH21" s="83"/>
      <c r="BER21" s="83"/>
      <c r="BFB21" s="83"/>
      <c r="BFL21" s="83"/>
      <c r="BFV21" s="83"/>
      <c r="BGF21" s="83"/>
      <c r="BGP21" s="83"/>
      <c r="BGZ21" s="83"/>
      <c r="BHJ21" s="83"/>
      <c r="BHT21" s="83"/>
      <c r="BID21" s="83"/>
      <c r="BIN21" s="83"/>
      <c r="BIX21" s="83"/>
      <c r="BJH21" s="83"/>
      <c r="BJR21" s="83"/>
      <c r="BKB21" s="83"/>
      <c r="BKL21" s="83"/>
      <c r="BKV21" s="83"/>
      <c r="BLF21" s="83"/>
      <c r="BLP21" s="83"/>
      <c r="BLZ21" s="83"/>
      <c r="BMJ21" s="83"/>
      <c r="BMT21" s="83"/>
      <c r="BND21" s="83"/>
      <c r="BNN21" s="83"/>
      <c r="BNX21" s="83"/>
      <c r="BOH21" s="83"/>
      <c r="BOR21" s="83"/>
      <c r="BPB21" s="83"/>
      <c r="BPL21" s="83"/>
      <c r="BPV21" s="83"/>
      <c r="BQF21" s="83"/>
      <c r="BQP21" s="83"/>
      <c r="BQZ21" s="83"/>
      <c r="BRJ21" s="83"/>
      <c r="BRT21" s="83"/>
      <c r="BSD21" s="83"/>
      <c r="BSN21" s="83"/>
      <c r="BSX21" s="83"/>
      <c r="BTH21" s="83"/>
      <c r="BTR21" s="83"/>
      <c r="BUB21" s="83"/>
      <c r="BUL21" s="83"/>
      <c r="BUV21" s="83"/>
      <c r="BVF21" s="83"/>
      <c r="BVP21" s="83"/>
      <c r="BVZ21" s="83"/>
      <c r="BWJ21" s="83"/>
      <c r="BWT21" s="83"/>
      <c r="BXD21" s="83"/>
      <c r="BXN21" s="83"/>
      <c r="BXX21" s="83"/>
      <c r="BYH21" s="83"/>
      <c r="BYR21" s="83"/>
      <c r="BZB21" s="83"/>
      <c r="BZL21" s="83"/>
      <c r="BZV21" s="83"/>
      <c r="CAF21" s="83"/>
      <c r="CAP21" s="83"/>
      <c r="CAZ21" s="83"/>
      <c r="CBJ21" s="83"/>
      <c r="CBT21" s="83"/>
      <c r="CCD21" s="83"/>
      <c r="CCN21" s="83"/>
      <c r="CCX21" s="83"/>
      <c r="CDH21" s="83"/>
      <c r="CDR21" s="83"/>
      <c r="CEB21" s="83"/>
      <c r="CEL21" s="83"/>
      <c r="CEV21" s="83"/>
      <c r="CFF21" s="83"/>
      <c r="CFP21" s="83"/>
      <c r="CFZ21" s="83"/>
      <c r="CGJ21" s="83"/>
      <c r="CGT21" s="83"/>
      <c r="CHD21" s="83"/>
      <c r="CHN21" s="83"/>
      <c r="CHX21" s="83"/>
      <c r="CIH21" s="83"/>
      <c r="CIR21" s="83"/>
      <c r="CJB21" s="83"/>
      <c r="CJL21" s="83"/>
      <c r="CJV21" s="83"/>
      <c r="CKF21" s="83"/>
      <c r="CKP21" s="83"/>
      <c r="CKZ21" s="83"/>
      <c r="CLJ21" s="83"/>
      <c r="CLT21" s="83"/>
      <c r="CMD21" s="83"/>
      <c r="CMN21" s="83"/>
      <c r="CMX21" s="83"/>
      <c r="CNH21" s="83"/>
      <c r="CNR21" s="83"/>
      <c r="COB21" s="83"/>
      <c r="COL21" s="83"/>
      <c r="COV21" s="83"/>
      <c r="CPF21" s="83"/>
      <c r="CPP21" s="83"/>
      <c r="CPZ21" s="83"/>
      <c r="CQJ21" s="83"/>
      <c r="CQT21" s="83"/>
      <c r="CRD21" s="83"/>
      <c r="CRN21" s="83"/>
      <c r="CRX21" s="83"/>
      <c r="CSH21" s="83"/>
      <c r="CSR21" s="83"/>
      <c r="CTB21" s="83"/>
      <c r="CTL21" s="83"/>
      <c r="CTV21" s="83"/>
    </row>
    <row r="22" s="58" customFormat="1" customHeight="1" spans="1:1020 1030:2040 2050:2570">
      <c r="A22" s="79">
        <v>46147</v>
      </c>
      <c r="B22" s="80" t="s">
        <v>22</v>
      </c>
      <c r="C22" s="38" t="s">
        <v>23</v>
      </c>
      <c r="D22" s="75">
        <v>652344163</v>
      </c>
      <c r="E22" s="38" t="s">
        <v>69</v>
      </c>
      <c r="F22" s="75" t="str">
        <f>VLOOKUP(E22,[3]基础数据!E:H,2,0)</f>
        <v>LS-CCMM024-AA-V1.01_三防漆双面 930_006</v>
      </c>
      <c r="G22" s="38">
        <v>720</v>
      </c>
      <c r="H22" s="75" t="str">
        <f>VLOOKUP(E22,[3]基础数据!E:H,4,0)</f>
        <v>料盒</v>
      </c>
      <c r="I22" s="75">
        <f>VLOOKUP(E22,[3]基础数据!E:G,3,0)</f>
        <v>24</v>
      </c>
      <c r="J22" s="75" t="s">
        <v>306</v>
      </c>
      <c r="K22" s="82">
        <f t="shared" si="0"/>
        <v>30</v>
      </c>
      <c r="T22" s="83"/>
      <c r="AD22" s="83"/>
      <c r="AN22" s="83"/>
      <c r="AX22" s="83"/>
      <c r="BH22" s="83"/>
      <c r="BR22" s="83"/>
      <c r="CB22" s="83"/>
      <c r="CL22" s="83"/>
      <c r="CV22" s="83"/>
      <c r="DF22" s="83"/>
      <c r="DP22" s="83"/>
      <c r="DZ22" s="83"/>
      <c r="EJ22" s="83"/>
      <c r="ET22" s="83"/>
      <c r="FD22" s="83"/>
      <c r="FN22" s="83"/>
      <c r="FX22" s="83"/>
      <c r="GH22" s="83"/>
      <c r="GR22" s="83"/>
      <c r="HB22" s="83"/>
      <c r="HL22" s="83"/>
      <c r="HV22" s="83"/>
      <c r="IF22" s="83"/>
      <c r="IP22" s="83"/>
      <c r="IZ22" s="83"/>
      <c r="JJ22" s="83"/>
      <c r="JT22" s="83"/>
      <c r="KD22" s="83"/>
      <c r="KN22" s="83"/>
      <c r="KX22" s="83"/>
      <c r="LH22" s="83"/>
      <c r="LR22" s="83"/>
      <c r="MB22" s="83"/>
      <c r="ML22" s="83"/>
      <c r="MV22" s="83"/>
      <c r="NF22" s="83"/>
      <c r="NP22" s="83"/>
      <c r="NZ22" s="83"/>
      <c r="OJ22" s="83"/>
      <c r="OT22" s="83"/>
      <c r="PD22" s="83"/>
      <c r="PN22" s="83"/>
      <c r="PX22" s="83"/>
      <c r="QH22" s="83"/>
      <c r="QR22" s="83"/>
      <c r="RB22" s="83"/>
      <c r="RL22" s="83"/>
      <c r="RV22" s="83"/>
      <c r="SF22" s="83"/>
      <c r="SP22" s="83"/>
      <c r="SZ22" s="83"/>
      <c r="TJ22" s="83"/>
      <c r="TT22" s="83"/>
      <c r="UD22" s="83"/>
      <c r="UN22" s="83"/>
      <c r="UX22" s="83"/>
      <c r="VH22" s="83"/>
      <c r="VR22" s="83"/>
      <c r="WB22" s="83"/>
      <c r="WL22" s="83"/>
      <c r="WV22" s="83"/>
      <c r="XF22" s="83"/>
      <c r="XP22" s="83"/>
      <c r="XZ22" s="83"/>
      <c r="YJ22" s="83"/>
      <c r="YT22" s="83"/>
      <c r="ZD22" s="83"/>
      <c r="ZN22" s="83"/>
      <c r="ZX22" s="83"/>
      <c r="AAH22" s="83"/>
      <c r="AAR22" s="83"/>
      <c r="ABB22" s="83"/>
      <c r="ABL22" s="83"/>
      <c r="ABV22" s="83"/>
      <c r="ACF22" s="83"/>
      <c r="ACP22" s="83"/>
      <c r="ACZ22" s="83"/>
      <c r="ADJ22" s="83"/>
      <c r="ADT22" s="83"/>
      <c r="AED22" s="83"/>
      <c r="AEN22" s="83"/>
      <c r="AEX22" s="83"/>
      <c r="AFH22" s="83"/>
      <c r="AFR22" s="83"/>
      <c r="AGB22" s="83"/>
      <c r="AGL22" s="83"/>
      <c r="AGV22" s="83"/>
      <c r="AHF22" s="83"/>
      <c r="AHP22" s="83"/>
      <c r="AHZ22" s="83"/>
      <c r="AIJ22" s="83"/>
      <c r="AIT22" s="83"/>
      <c r="AJD22" s="83"/>
      <c r="AJN22" s="83"/>
      <c r="AJX22" s="83"/>
      <c r="AKH22" s="83"/>
      <c r="AKR22" s="83"/>
      <c r="ALB22" s="83"/>
      <c r="ALL22" s="83"/>
      <c r="ALV22" s="83"/>
      <c r="AMF22" s="83"/>
      <c r="AMP22" s="83"/>
      <c r="AMZ22" s="83"/>
      <c r="ANJ22" s="83"/>
      <c r="ANT22" s="83"/>
      <c r="AOD22" s="83"/>
      <c r="AON22" s="83"/>
      <c r="AOX22" s="83"/>
      <c r="APH22" s="83"/>
      <c r="APR22" s="83"/>
      <c r="AQB22" s="83"/>
      <c r="AQL22" s="83"/>
      <c r="AQV22" s="83"/>
      <c r="ARF22" s="83"/>
      <c r="ARP22" s="83"/>
      <c r="ARZ22" s="83"/>
      <c r="ASJ22" s="83"/>
      <c r="AST22" s="83"/>
      <c r="ATD22" s="83"/>
      <c r="ATN22" s="83"/>
      <c r="ATX22" s="83"/>
      <c r="AUH22" s="83"/>
      <c r="AUR22" s="83"/>
      <c r="AVB22" s="83"/>
      <c r="AVL22" s="83"/>
      <c r="AVV22" s="83"/>
      <c r="AWF22" s="83"/>
      <c r="AWP22" s="83"/>
      <c r="AWZ22" s="83"/>
      <c r="AXJ22" s="83"/>
      <c r="AXT22" s="83"/>
      <c r="AYD22" s="83"/>
      <c r="AYN22" s="83"/>
      <c r="AYX22" s="83"/>
      <c r="AZH22" s="83"/>
      <c r="AZR22" s="83"/>
      <c r="BAB22" s="83"/>
      <c r="BAL22" s="83"/>
      <c r="BAV22" s="83"/>
      <c r="BBF22" s="83"/>
      <c r="BBP22" s="83"/>
      <c r="BBZ22" s="83"/>
      <c r="BCJ22" s="83"/>
      <c r="BCT22" s="83"/>
      <c r="BDD22" s="83"/>
      <c r="BDN22" s="83"/>
      <c r="BDX22" s="83"/>
      <c r="BEH22" s="83"/>
      <c r="BER22" s="83"/>
      <c r="BFB22" s="83"/>
      <c r="BFL22" s="83"/>
      <c r="BFV22" s="83"/>
      <c r="BGF22" s="83"/>
      <c r="BGP22" s="83"/>
      <c r="BGZ22" s="83"/>
      <c r="BHJ22" s="83"/>
      <c r="BHT22" s="83"/>
      <c r="BID22" s="83"/>
      <c r="BIN22" s="83"/>
      <c r="BIX22" s="83"/>
      <c r="BJH22" s="83"/>
      <c r="BJR22" s="83"/>
      <c r="BKB22" s="83"/>
      <c r="BKL22" s="83"/>
      <c r="BKV22" s="83"/>
      <c r="BLF22" s="83"/>
      <c r="BLP22" s="83"/>
      <c r="BLZ22" s="83"/>
      <c r="BMJ22" s="83"/>
      <c r="BMT22" s="83"/>
      <c r="BND22" s="83"/>
      <c r="BNN22" s="83"/>
      <c r="BNX22" s="83"/>
      <c r="BOH22" s="83"/>
      <c r="BOR22" s="83"/>
      <c r="BPB22" s="83"/>
      <c r="BPL22" s="83"/>
      <c r="BPV22" s="83"/>
      <c r="BQF22" s="83"/>
      <c r="BQP22" s="83"/>
      <c r="BQZ22" s="83"/>
      <c r="BRJ22" s="83"/>
      <c r="BRT22" s="83"/>
      <c r="BSD22" s="83"/>
      <c r="BSN22" s="83"/>
      <c r="BSX22" s="83"/>
      <c r="BTH22" s="83"/>
      <c r="BTR22" s="83"/>
      <c r="BUB22" s="83"/>
      <c r="BUL22" s="83"/>
      <c r="BUV22" s="83"/>
      <c r="BVF22" s="83"/>
      <c r="BVP22" s="83"/>
      <c r="BVZ22" s="83"/>
      <c r="BWJ22" s="83"/>
      <c r="BWT22" s="83"/>
      <c r="BXD22" s="83"/>
      <c r="BXN22" s="83"/>
      <c r="BXX22" s="83"/>
      <c r="BYH22" s="83"/>
      <c r="BYR22" s="83"/>
      <c r="BZB22" s="83"/>
      <c r="BZL22" s="83"/>
      <c r="BZV22" s="83"/>
      <c r="CAF22" s="83"/>
      <c r="CAP22" s="83"/>
      <c r="CAZ22" s="83"/>
      <c r="CBJ22" s="83"/>
      <c r="CBT22" s="83"/>
      <c r="CCD22" s="83"/>
      <c r="CCN22" s="83"/>
      <c r="CCX22" s="83"/>
      <c r="CDH22" s="83"/>
      <c r="CDR22" s="83"/>
      <c r="CEB22" s="83"/>
      <c r="CEL22" s="83"/>
      <c r="CEV22" s="83"/>
      <c r="CFF22" s="83"/>
      <c r="CFP22" s="83"/>
      <c r="CFZ22" s="83"/>
      <c r="CGJ22" s="83"/>
      <c r="CGT22" s="83"/>
      <c r="CHD22" s="83"/>
      <c r="CHN22" s="83"/>
      <c r="CHX22" s="83"/>
      <c r="CIH22" s="83"/>
      <c r="CIR22" s="83"/>
      <c r="CJB22" s="83"/>
      <c r="CJL22" s="83"/>
      <c r="CJV22" s="83"/>
      <c r="CKF22" s="83"/>
      <c r="CKP22" s="83"/>
      <c r="CKZ22" s="83"/>
      <c r="CLJ22" s="83"/>
      <c r="CLT22" s="83"/>
      <c r="CMD22" s="83"/>
      <c r="CMN22" s="83"/>
      <c r="CMX22" s="83"/>
      <c r="CNH22" s="83"/>
      <c r="CNR22" s="83"/>
      <c r="COB22" s="83"/>
      <c r="COL22" s="83"/>
      <c r="COV22" s="83"/>
      <c r="CPF22" s="83"/>
      <c r="CPP22" s="83"/>
      <c r="CPZ22" s="83"/>
      <c r="CQJ22" s="83"/>
      <c r="CQT22" s="83"/>
      <c r="CRD22" s="83"/>
      <c r="CRN22" s="83"/>
      <c r="CRX22" s="83"/>
      <c r="CSH22" s="83"/>
      <c r="CSR22" s="83"/>
      <c r="CTB22" s="83"/>
      <c r="CTL22" s="83"/>
      <c r="CTV22" s="83"/>
    </row>
    <row r="23" s="58" customFormat="1" customHeight="1" spans="1:1020 1030:2040 2050:2570">
      <c r="A23" s="79">
        <v>46147</v>
      </c>
      <c r="B23" s="80" t="s">
        <v>22</v>
      </c>
      <c r="C23" s="38" t="s">
        <v>23</v>
      </c>
      <c r="D23" s="75">
        <v>652344163</v>
      </c>
      <c r="E23" s="38" t="s">
        <v>60</v>
      </c>
      <c r="F23" s="75" t="str">
        <f>VLOOKUP(E23,[3]基础数据!E:H,2,0)</f>
        <v>LS-MCUP006-AA-V1.10三防漆双面904.158</v>
      </c>
      <c r="G23" s="38">
        <v>2100</v>
      </c>
      <c r="H23" s="75" t="str">
        <f>VLOOKUP(E23,[3]基础数据!E:H,4,0)</f>
        <v>料盒</v>
      </c>
      <c r="I23" s="75">
        <f>VLOOKUP(E23,[3]基础数据!E:G,3,0)</f>
        <v>210</v>
      </c>
      <c r="J23" s="75" t="s">
        <v>306</v>
      </c>
      <c r="K23" s="82">
        <f t="shared" si="0"/>
        <v>10</v>
      </c>
      <c r="T23" s="83"/>
      <c r="AD23" s="83"/>
      <c r="AN23" s="83"/>
      <c r="AX23" s="83"/>
      <c r="BH23" s="83"/>
      <c r="BR23" s="83"/>
      <c r="CB23" s="83"/>
      <c r="CL23" s="83"/>
      <c r="CV23" s="83"/>
      <c r="DF23" s="83"/>
      <c r="DP23" s="83"/>
      <c r="DZ23" s="83"/>
      <c r="EJ23" s="83"/>
      <c r="ET23" s="83"/>
      <c r="FD23" s="83"/>
      <c r="FN23" s="83"/>
      <c r="FX23" s="83"/>
      <c r="GH23" s="83"/>
      <c r="GR23" s="83"/>
      <c r="HB23" s="83"/>
      <c r="HL23" s="83"/>
      <c r="HV23" s="83"/>
      <c r="IF23" s="83"/>
      <c r="IP23" s="83"/>
      <c r="IZ23" s="83"/>
      <c r="JJ23" s="83"/>
      <c r="JT23" s="83"/>
      <c r="KD23" s="83"/>
      <c r="KN23" s="83"/>
      <c r="KX23" s="83"/>
      <c r="LH23" s="83"/>
      <c r="LR23" s="83"/>
      <c r="MB23" s="83"/>
      <c r="ML23" s="83"/>
      <c r="MV23" s="83"/>
      <c r="NF23" s="83"/>
      <c r="NP23" s="83"/>
      <c r="NZ23" s="83"/>
      <c r="OJ23" s="83"/>
      <c r="OT23" s="83"/>
      <c r="PD23" s="83"/>
      <c r="PN23" s="83"/>
      <c r="PX23" s="83"/>
      <c r="QH23" s="83"/>
      <c r="QR23" s="83"/>
      <c r="RB23" s="83"/>
      <c r="RL23" s="83"/>
      <c r="RV23" s="83"/>
      <c r="SF23" s="83"/>
      <c r="SP23" s="83"/>
      <c r="SZ23" s="83"/>
      <c r="TJ23" s="83"/>
      <c r="TT23" s="83"/>
      <c r="UD23" s="83"/>
      <c r="UN23" s="83"/>
      <c r="UX23" s="83"/>
      <c r="VH23" s="83"/>
      <c r="VR23" s="83"/>
      <c r="WB23" s="83"/>
      <c r="WL23" s="83"/>
      <c r="WV23" s="83"/>
      <c r="XF23" s="83"/>
      <c r="XP23" s="83"/>
      <c r="XZ23" s="83"/>
      <c r="YJ23" s="83"/>
      <c r="YT23" s="83"/>
      <c r="ZD23" s="83"/>
      <c r="ZN23" s="83"/>
      <c r="ZX23" s="83"/>
      <c r="AAH23" s="83"/>
      <c r="AAR23" s="83"/>
      <c r="ABB23" s="83"/>
      <c r="ABL23" s="83"/>
      <c r="ABV23" s="83"/>
      <c r="ACF23" s="83"/>
      <c r="ACP23" s="83"/>
      <c r="ACZ23" s="83"/>
      <c r="ADJ23" s="83"/>
      <c r="ADT23" s="83"/>
      <c r="AED23" s="83"/>
      <c r="AEN23" s="83"/>
      <c r="AEX23" s="83"/>
      <c r="AFH23" s="83"/>
      <c r="AFR23" s="83"/>
      <c r="AGB23" s="83"/>
      <c r="AGL23" s="83"/>
      <c r="AGV23" s="83"/>
      <c r="AHF23" s="83"/>
      <c r="AHP23" s="83"/>
      <c r="AHZ23" s="83"/>
      <c r="AIJ23" s="83"/>
      <c r="AIT23" s="83"/>
      <c r="AJD23" s="83"/>
      <c r="AJN23" s="83"/>
      <c r="AJX23" s="83"/>
      <c r="AKH23" s="83"/>
      <c r="AKR23" s="83"/>
      <c r="ALB23" s="83"/>
      <c r="ALL23" s="83"/>
      <c r="ALV23" s="83"/>
      <c r="AMF23" s="83"/>
      <c r="AMP23" s="83"/>
      <c r="AMZ23" s="83"/>
      <c r="ANJ23" s="83"/>
      <c r="ANT23" s="83"/>
      <c r="AOD23" s="83"/>
      <c r="AON23" s="83"/>
      <c r="AOX23" s="83"/>
      <c r="APH23" s="83"/>
      <c r="APR23" s="83"/>
      <c r="AQB23" s="83"/>
      <c r="AQL23" s="83"/>
      <c r="AQV23" s="83"/>
      <c r="ARF23" s="83"/>
      <c r="ARP23" s="83"/>
      <c r="ARZ23" s="83"/>
      <c r="ASJ23" s="83"/>
      <c r="AST23" s="83"/>
      <c r="ATD23" s="83"/>
      <c r="ATN23" s="83"/>
      <c r="ATX23" s="83"/>
      <c r="AUH23" s="83"/>
      <c r="AUR23" s="83"/>
      <c r="AVB23" s="83"/>
      <c r="AVL23" s="83"/>
      <c r="AVV23" s="83"/>
      <c r="AWF23" s="83"/>
      <c r="AWP23" s="83"/>
      <c r="AWZ23" s="83"/>
      <c r="AXJ23" s="83"/>
      <c r="AXT23" s="83"/>
      <c r="AYD23" s="83"/>
      <c r="AYN23" s="83"/>
      <c r="AYX23" s="83"/>
      <c r="AZH23" s="83"/>
      <c r="AZR23" s="83"/>
      <c r="BAB23" s="83"/>
      <c r="BAL23" s="83"/>
      <c r="BAV23" s="83"/>
      <c r="BBF23" s="83"/>
      <c r="BBP23" s="83"/>
      <c r="BBZ23" s="83"/>
      <c r="BCJ23" s="83"/>
      <c r="BCT23" s="83"/>
      <c r="BDD23" s="83"/>
      <c r="BDN23" s="83"/>
      <c r="BDX23" s="83"/>
      <c r="BEH23" s="83"/>
      <c r="BER23" s="83"/>
      <c r="BFB23" s="83"/>
      <c r="BFL23" s="83"/>
      <c r="BFV23" s="83"/>
      <c r="BGF23" s="83"/>
      <c r="BGP23" s="83"/>
      <c r="BGZ23" s="83"/>
      <c r="BHJ23" s="83"/>
      <c r="BHT23" s="83"/>
      <c r="BID23" s="83"/>
      <c r="BIN23" s="83"/>
      <c r="BIX23" s="83"/>
      <c r="BJH23" s="83"/>
      <c r="BJR23" s="83"/>
      <c r="BKB23" s="83"/>
      <c r="BKL23" s="83"/>
      <c r="BKV23" s="83"/>
      <c r="BLF23" s="83"/>
      <c r="BLP23" s="83"/>
      <c r="BLZ23" s="83"/>
      <c r="BMJ23" s="83"/>
      <c r="BMT23" s="83"/>
      <c r="BND23" s="83"/>
      <c r="BNN23" s="83"/>
      <c r="BNX23" s="83"/>
      <c r="BOH23" s="83"/>
      <c r="BOR23" s="83"/>
      <c r="BPB23" s="83"/>
      <c r="BPL23" s="83"/>
      <c r="BPV23" s="83"/>
      <c r="BQF23" s="83"/>
      <c r="BQP23" s="83"/>
      <c r="BQZ23" s="83"/>
      <c r="BRJ23" s="83"/>
      <c r="BRT23" s="83"/>
      <c r="BSD23" s="83"/>
      <c r="BSN23" s="83"/>
      <c r="BSX23" s="83"/>
      <c r="BTH23" s="83"/>
      <c r="BTR23" s="83"/>
      <c r="BUB23" s="83"/>
      <c r="BUL23" s="83"/>
      <c r="BUV23" s="83"/>
      <c r="BVF23" s="83"/>
      <c r="BVP23" s="83"/>
      <c r="BVZ23" s="83"/>
      <c r="BWJ23" s="83"/>
      <c r="BWT23" s="83"/>
      <c r="BXD23" s="83"/>
      <c r="BXN23" s="83"/>
      <c r="BXX23" s="83"/>
      <c r="BYH23" s="83"/>
      <c r="BYR23" s="83"/>
      <c r="BZB23" s="83"/>
      <c r="BZL23" s="83"/>
      <c r="BZV23" s="83"/>
      <c r="CAF23" s="83"/>
      <c r="CAP23" s="83"/>
      <c r="CAZ23" s="83"/>
      <c r="CBJ23" s="83"/>
      <c r="CBT23" s="83"/>
      <c r="CCD23" s="83"/>
      <c r="CCN23" s="83"/>
      <c r="CCX23" s="83"/>
      <c r="CDH23" s="83"/>
      <c r="CDR23" s="83"/>
      <c r="CEB23" s="83"/>
      <c r="CEL23" s="83"/>
      <c r="CEV23" s="83"/>
      <c r="CFF23" s="83"/>
      <c r="CFP23" s="83"/>
      <c r="CFZ23" s="83"/>
      <c r="CGJ23" s="83"/>
      <c r="CGT23" s="83"/>
      <c r="CHD23" s="83"/>
      <c r="CHN23" s="83"/>
      <c r="CHX23" s="83"/>
      <c r="CIH23" s="83"/>
      <c r="CIR23" s="83"/>
      <c r="CJB23" s="83"/>
      <c r="CJL23" s="83"/>
      <c r="CJV23" s="83"/>
      <c r="CKF23" s="83"/>
      <c r="CKP23" s="83"/>
      <c r="CKZ23" s="83"/>
      <c r="CLJ23" s="83"/>
      <c r="CLT23" s="83"/>
      <c r="CMD23" s="83"/>
      <c r="CMN23" s="83"/>
      <c r="CMX23" s="83"/>
      <c r="CNH23" s="83"/>
      <c r="CNR23" s="83"/>
      <c r="COB23" s="83"/>
      <c r="COL23" s="83"/>
      <c r="COV23" s="83"/>
      <c r="CPF23" s="83"/>
      <c r="CPP23" s="83"/>
      <c r="CPZ23" s="83"/>
      <c r="CQJ23" s="83"/>
      <c r="CQT23" s="83"/>
      <c r="CRD23" s="83"/>
      <c r="CRN23" s="83"/>
      <c r="CRX23" s="83"/>
      <c r="CSH23" s="83"/>
      <c r="CSR23" s="83"/>
      <c r="CTB23" s="83"/>
      <c r="CTL23" s="83"/>
      <c r="CTV23" s="83"/>
    </row>
    <row r="24" s="58" customFormat="1" customHeight="1" spans="1:1020 1030:2040 2050:2570">
      <c r="A24" s="79">
        <v>46147</v>
      </c>
      <c r="B24" s="80" t="s">
        <v>22</v>
      </c>
      <c r="C24" s="38" t="s">
        <v>23</v>
      </c>
      <c r="D24" s="75">
        <v>652344163</v>
      </c>
      <c r="E24" s="38" t="s">
        <v>111</v>
      </c>
      <c r="F24" s="75" t="str">
        <f>VLOOKUP(E24,[3]基础数据!E:H,2,0)</f>
        <v>LS-CCUM001-AA-V1.06 三防漆双面 908_067</v>
      </c>
      <c r="G24" s="38">
        <v>720</v>
      </c>
      <c r="H24" s="75" t="str">
        <f>VLOOKUP(E24,[3]基础数据!E:H,4,0)</f>
        <v>料盒</v>
      </c>
      <c r="I24" s="75">
        <f>VLOOKUP(E24,[3]基础数据!E:G,3,0)</f>
        <v>8</v>
      </c>
      <c r="J24" s="75" t="s">
        <v>306</v>
      </c>
      <c r="K24" s="82">
        <f t="shared" si="0"/>
        <v>90</v>
      </c>
      <c r="T24" s="83"/>
      <c r="AD24" s="83"/>
      <c r="AN24" s="83"/>
      <c r="AX24" s="83"/>
      <c r="BH24" s="83"/>
      <c r="BR24" s="83"/>
      <c r="CB24" s="83"/>
      <c r="CL24" s="83"/>
      <c r="CV24" s="83"/>
      <c r="DF24" s="83"/>
      <c r="DP24" s="83"/>
      <c r="DZ24" s="83"/>
      <c r="EJ24" s="83"/>
      <c r="ET24" s="83"/>
      <c r="FD24" s="83"/>
      <c r="FN24" s="83"/>
      <c r="FX24" s="83"/>
      <c r="GH24" s="83"/>
      <c r="GR24" s="83"/>
      <c r="HB24" s="83"/>
      <c r="HL24" s="83"/>
      <c r="HV24" s="83"/>
      <c r="IF24" s="83"/>
      <c r="IP24" s="83"/>
      <c r="IZ24" s="83"/>
      <c r="JJ24" s="83"/>
      <c r="JT24" s="83"/>
      <c r="KD24" s="83"/>
      <c r="KN24" s="83"/>
      <c r="KX24" s="83"/>
      <c r="LH24" s="83"/>
      <c r="LR24" s="83"/>
      <c r="MB24" s="83"/>
      <c r="ML24" s="83"/>
      <c r="MV24" s="83"/>
      <c r="NF24" s="83"/>
      <c r="NP24" s="83"/>
      <c r="NZ24" s="83"/>
      <c r="OJ24" s="83"/>
      <c r="OT24" s="83"/>
      <c r="PD24" s="83"/>
      <c r="PN24" s="83"/>
      <c r="PX24" s="83"/>
      <c r="QH24" s="83"/>
      <c r="QR24" s="83"/>
      <c r="RB24" s="83"/>
      <c r="RL24" s="83"/>
      <c r="RV24" s="83"/>
      <c r="SF24" s="83"/>
      <c r="SP24" s="83"/>
      <c r="SZ24" s="83"/>
      <c r="TJ24" s="83"/>
      <c r="TT24" s="83"/>
      <c r="UD24" s="83"/>
      <c r="UN24" s="83"/>
      <c r="UX24" s="83"/>
      <c r="VH24" s="83"/>
      <c r="VR24" s="83"/>
      <c r="WB24" s="83"/>
      <c r="WL24" s="83"/>
      <c r="WV24" s="83"/>
      <c r="XF24" s="83"/>
      <c r="XP24" s="83"/>
      <c r="XZ24" s="83"/>
      <c r="YJ24" s="83"/>
      <c r="YT24" s="83"/>
      <c r="ZD24" s="83"/>
      <c r="ZN24" s="83"/>
      <c r="ZX24" s="83"/>
      <c r="AAH24" s="83"/>
      <c r="AAR24" s="83"/>
      <c r="ABB24" s="83"/>
      <c r="ABL24" s="83"/>
      <c r="ABV24" s="83"/>
      <c r="ACF24" s="83"/>
      <c r="ACP24" s="83"/>
      <c r="ACZ24" s="83"/>
      <c r="ADJ24" s="83"/>
      <c r="ADT24" s="83"/>
      <c r="AED24" s="83"/>
      <c r="AEN24" s="83"/>
      <c r="AEX24" s="83"/>
      <c r="AFH24" s="83"/>
      <c r="AFR24" s="83"/>
      <c r="AGB24" s="83"/>
      <c r="AGL24" s="83"/>
      <c r="AGV24" s="83"/>
      <c r="AHF24" s="83"/>
      <c r="AHP24" s="83"/>
      <c r="AHZ24" s="83"/>
      <c r="AIJ24" s="83"/>
      <c r="AIT24" s="83"/>
      <c r="AJD24" s="83"/>
      <c r="AJN24" s="83"/>
      <c r="AJX24" s="83"/>
      <c r="AKH24" s="83"/>
      <c r="AKR24" s="83"/>
      <c r="ALB24" s="83"/>
      <c r="ALL24" s="83"/>
      <c r="ALV24" s="83"/>
      <c r="AMF24" s="83"/>
      <c r="AMP24" s="83"/>
      <c r="AMZ24" s="83"/>
      <c r="ANJ24" s="83"/>
      <c r="ANT24" s="83"/>
      <c r="AOD24" s="83"/>
      <c r="AON24" s="83"/>
      <c r="AOX24" s="83"/>
      <c r="APH24" s="83"/>
      <c r="APR24" s="83"/>
      <c r="AQB24" s="83"/>
      <c r="AQL24" s="83"/>
      <c r="AQV24" s="83"/>
      <c r="ARF24" s="83"/>
      <c r="ARP24" s="83"/>
      <c r="ARZ24" s="83"/>
      <c r="ASJ24" s="83"/>
      <c r="AST24" s="83"/>
      <c r="ATD24" s="83"/>
      <c r="ATN24" s="83"/>
      <c r="ATX24" s="83"/>
      <c r="AUH24" s="83"/>
      <c r="AUR24" s="83"/>
      <c r="AVB24" s="83"/>
      <c r="AVL24" s="83"/>
      <c r="AVV24" s="83"/>
      <c r="AWF24" s="83"/>
      <c r="AWP24" s="83"/>
      <c r="AWZ24" s="83"/>
      <c r="AXJ24" s="83"/>
      <c r="AXT24" s="83"/>
      <c r="AYD24" s="83"/>
      <c r="AYN24" s="83"/>
      <c r="AYX24" s="83"/>
      <c r="AZH24" s="83"/>
      <c r="AZR24" s="83"/>
      <c r="BAB24" s="83"/>
      <c r="BAL24" s="83"/>
      <c r="BAV24" s="83"/>
      <c r="BBF24" s="83"/>
      <c r="BBP24" s="83"/>
      <c r="BBZ24" s="83"/>
      <c r="BCJ24" s="83"/>
      <c r="BCT24" s="83"/>
      <c r="BDD24" s="83"/>
      <c r="BDN24" s="83"/>
      <c r="BDX24" s="83"/>
      <c r="BEH24" s="83"/>
      <c r="BER24" s="83"/>
      <c r="BFB24" s="83"/>
      <c r="BFL24" s="83"/>
      <c r="BFV24" s="83"/>
      <c r="BGF24" s="83"/>
      <c r="BGP24" s="83"/>
      <c r="BGZ24" s="83"/>
      <c r="BHJ24" s="83"/>
      <c r="BHT24" s="83"/>
      <c r="BID24" s="83"/>
      <c r="BIN24" s="83"/>
      <c r="BIX24" s="83"/>
      <c r="BJH24" s="83"/>
      <c r="BJR24" s="83"/>
      <c r="BKB24" s="83"/>
      <c r="BKL24" s="83"/>
      <c r="BKV24" s="83"/>
      <c r="BLF24" s="83"/>
      <c r="BLP24" s="83"/>
      <c r="BLZ24" s="83"/>
      <c r="BMJ24" s="83"/>
      <c r="BMT24" s="83"/>
      <c r="BND24" s="83"/>
      <c r="BNN24" s="83"/>
      <c r="BNX24" s="83"/>
      <c r="BOH24" s="83"/>
      <c r="BOR24" s="83"/>
      <c r="BPB24" s="83"/>
      <c r="BPL24" s="83"/>
      <c r="BPV24" s="83"/>
      <c r="BQF24" s="83"/>
      <c r="BQP24" s="83"/>
      <c r="BQZ24" s="83"/>
      <c r="BRJ24" s="83"/>
      <c r="BRT24" s="83"/>
      <c r="BSD24" s="83"/>
      <c r="BSN24" s="83"/>
      <c r="BSX24" s="83"/>
      <c r="BTH24" s="83"/>
      <c r="BTR24" s="83"/>
      <c r="BUB24" s="83"/>
      <c r="BUL24" s="83"/>
      <c r="BUV24" s="83"/>
      <c r="BVF24" s="83"/>
      <c r="BVP24" s="83"/>
      <c r="BVZ24" s="83"/>
      <c r="BWJ24" s="83"/>
      <c r="BWT24" s="83"/>
      <c r="BXD24" s="83"/>
      <c r="BXN24" s="83"/>
      <c r="BXX24" s="83"/>
      <c r="BYH24" s="83"/>
      <c r="BYR24" s="83"/>
      <c r="BZB24" s="83"/>
      <c r="BZL24" s="83"/>
      <c r="BZV24" s="83"/>
      <c r="CAF24" s="83"/>
      <c r="CAP24" s="83"/>
      <c r="CAZ24" s="83"/>
      <c r="CBJ24" s="83"/>
      <c r="CBT24" s="83"/>
      <c r="CCD24" s="83"/>
      <c r="CCN24" s="83"/>
      <c r="CCX24" s="83"/>
      <c r="CDH24" s="83"/>
      <c r="CDR24" s="83"/>
      <c r="CEB24" s="83"/>
      <c r="CEL24" s="83"/>
      <c r="CEV24" s="83"/>
      <c r="CFF24" s="83"/>
      <c r="CFP24" s="83"/>
      <c r="CFZ24" s="83"/>
      <c r="CGJ24" s="83"/>
      <c r="CGT24" s="83"/>
      <c r="CHD24" s="83"/>
      <c r="CHN24" s="83"/>
      <c r="CHX24" s="83"/>
      <c r="CIH24" s="83"/>
      <c r="CIR24" s="83"/>
      <c r="CJB24" s="83"/>
      <c r="CJL24" s="83"/>
      <c r="CJV24" s="83"/>
      <c r="CKF24" s="83"/>
      <c r="CKP24" s="83"/>
      <c r="CKZ24" s="83"/>
      <c r="CLJ24" s="83"/>
      <c r="CLT24" s="83"/>
      <c r="CMD24" s="83"/>
      <c r="CMN24" s="83"/>
      <c r="CMX24" s="83"/>
      <c r="CNH24" s="83"/>
      <c r="CNR24" s="83"/>
      <c r="COB24" s="83"/>
      <c r="COL24" s="83"/>
      <c r="COV24" s="83"/>
      <c r="CPF24" s="83"/>
      <c r="CPP24" s="83"/>
      <c r="CPZ24" s="83"/>
      <c r="CQJ24" s="83"/>
      <c r="CQT24" s="83"/>
      <c r="CRD24" s="83"/>
      <c r="CRN24" s="83"/>
      <c r="CRX24" s="83"/>
      <c r="CSH24" s="83"/>
      <c r="CSR24" s="83"/>
      <c r="CTB24" s="83"/>
      <c r="CTL24" s="83"/>
      <c r="CTV24" s="83"/>
    </row>
    <row r="25" s="58" customFormat="1" customHeight="1" spans="1:1020 1030:2040 2050:2570">
      <c r="A25" s="79">
        <v>46147</v>
      </c>
      <c r="B25" s="80" t="s">
        <v>22</v>
      </c>
      <c r="C25" s="38" t="s">
        <v>23</v>
      </c>
      <c r="D25" s="75">
        <v>652344163</v>
      </c>
      <c r="E25" s="38" t="s">
        <v>114</v>
      </c>
      <c r="F25" s="75" t="str">
        <f>VLOOKUP(E25,[3]基础数据!E:H,2,0)</f>
        <v>LS-CCUB001-AB-V1.04 三防漆双面 904_219</v>
      </c>
      <c r="G25" s="38">
        <v>540</v>
      </c>
      <c r="H25" s="75" t="str">
        <f>VLOOKUP(E25,[3]基础数据!E:H,4,0)</f>
        <v>料盒</v>
      </c>
      <c r="I25" s="75">
        <f>VLOOKUP(E25,[3]基础数据!E:G,3,0)</f>
        <v>54</v>
      </c>
      <c r="J25" s="75" t="s">
        <v>306</v>
      </c>
      <c r="K25" s="82">
        <f t="shared" si="0"/>
        <v>10</v>
      </c>
      <c r="T25" s="83"/>
      <c r="AD25" s="83"/>
      <c r="AN25" s="83"/>
      <c r="AX25" s="83"/>
      <c r="BH25" s="83"/>
      <c r="BR25" s="83"/>
      <c r="CB25" s="83"/>
      <c r="CL25" s="83"/>
      <c r="CV25" s="83"/>
      <c r="DF25" s="83"/>
      <c r="DP25" s="83"/>
      <c r="DZ25" s="83"/>
      <c r="EJ25" s="83"/>
      <c r="ET25" s="83"/>
      <c r="FD25" s="83"/>
      <c r="FN25" s="83"/>
      <c r="FX25" s="83"/>
      <c r="GH25" s="83"/>
      <c r="GR25" s="83"/>
      <c r="HB25" s="83"/>
      <c r="HL25" s="83"/>
      <c r="HV25" s="83"/>
      <c r="IF25" s="83"/>
      <c r="IP25" s="83"/>
      <c r="IZ25" s="83"/>
      <c r="JJ25" s="83"/>
      <c r="JT25" s="83"/>
      <c r="KD25" s="83"/>
      <c r="KN25" s="83"/>
      <c r="KX25" s="83"/>
      <c r="LH25" s="83"/>
      <c r="LR25" s="83"/>
      <c r="MB25" s="83"/>
      <c r="ML25" s="83"/>
      <c r="MV25" s="83"/>
      <c r="NF25" s="83"/>
      <c r="NP25" s="83"/>
      <c r="NZ25" s="83"/>
      <c r="OJ25" s="83"/>
      <c r="OT25" s="83"/>
      <c r="PD25" s="83"/>
      <c r="PN25" s="83"/>
      <c r="PX25" s="83"/>
      <c r="QH25" s="83"/>
      <c r="QR25" s="83"/>
      <c r="RB25" s="83"/>
      <c r="RL25" s="83"/>
      <c r="RV25" s="83"/>
      <c r="SF25" s="83"/>
      <c r="SP25" s="83"/>
      <c r="SZ25" s="83"/>
      <c r="TJ25" s="83"/>
      <c r="TT25" s="83"/>
      <c r="UD25" s="83"/>
      <c r="UN25" s="83"/>
      <c r="UX25" s="83"/>
      <c r="VH25" s="83"/>
      <c r="VR25" s="83"/>
      <c r="WB25" s="83"/>
      <c r="WL25" s="83"/>
      <c r="WV25" s="83"/>
      <c r="XF25" s="83"/>
      <c r="XP25" s="83"/>
      <c r="XZ25" s="83"/>
      <c r="YJ25" s="83"/>
      <c r="YT25" s="83"/>
      <c r="ZD25" s="83"/>
      <c r="ZN25" s="83"/>
      <c r="ZX25" s="83"/>
      <c r="AAH25" s="83"/>
      <c r="AAR25" s="83"/>
      <c r="ABB25" s="83"/>
      <c r="ABL25" s="83"/>
      <c r="ABV25" s="83"/>
      <c r="ACF25" s="83"/>
      <c r="ACP25" s="83"/>
      <c r="ACZ25" s="83"/>
      <c r="ADJ25" s="83"/>
      <c r="ADT25" s="83"/>
      <c r="AED25" s="83"/>
      <c r="AEN25" s="83"/>
      <c r="AEX25" s="83"/>
      <c r="AFH25" s="83"/>
      <c r="AFR25" s="83"/>
      <c r="AGB25" s="83"/>
      <c r="AGL25" s="83"/>
      <c r="AGV25" s="83"/>
      <c r="AHF25" s="83"/>
      <c r="AHP25" s="83"/>
      <c r="AHZ25" s="83"/>
      <c r="AIJ25" s="83"/>
      <c r="AIT25" s="83"/>
      <c r="AJD25" s="83"/>
      <c r="AJN25" s="83"/>
      <c r="AJX25" s="83"/>
      <c r="AKH25" s="83"/>
      <c r="AKR25" s="83"/>
      <c r="ALB25" s="83"/>
      <c r="ALL25" s="83"/>
      <c r="ALV25" s="83"/>
      <c r="AMF25" s="83"/>
      <c r="AMP25" s="83"/>
      <c r="AMZ25" s="83"/>
      <c r="ANJ25" s="83"/>
      <c r="ANT25" s="83"/>
      <c r="AOD25" s="83"/>
      <c r="AON25" s="83"/>
      <c r="AOX25" s="83"/>
      <c r="APH25" s="83"/>
      <c r="APR25" s="83"/>
      <c r="AQB25" s="83"/>
      <c r="AQL25" s="83"/>
      <c r="AQV25" s="83"/>
      <c r="ARF25" s="83"/>
      <c r="ARP25" s="83"/>
      <c r="ARZ25" s="83"/>
      <c r="ASJ25" s="83"/>
      <c r="AST25" s="83"/>
      <c r="ATD25" s="83"/>
      <c r="ATN25" s="83"/>
      <c r="ATX25" s="83"/>
      <c r="AUH25" s="83"/>
      <c r="AUR25" s="83"/>
      <c r="AVB25" s="83"/>
      <c r="AVL25" s="83"/>
      <c r="AVV25" s="83"/>
      <c r="AWF25" s="83"/>
      <c r="AWP25" s="83"/>
      <c r="AWZ25" s="83"/>
      <c r="AXJ25" s="83"/>
      <c r="AXT25" s="83"/>
      <c r="AYD25" s="83"/>
      <c r="AYN25" s="83"/>
      <c r="AYX25" s="83"/>
      <c r="AZH25" s="83"/>
      <c r="AZR25" s="83"/>
      <c r="BAB25" s="83"/>
      <c r="BAL25" s="83"/>
      <c r="BAV25" s="83"/>
      <c r="BBF25" s="83"/>
      <c r="BBP25" s="83"/>
      <c r="BBZ25" s="83"/>
      <c r="BCJ25" s="83"/>
      <c r="BCT25" s="83"/>
      <c r="BDD25" s="83"/>
      <c r="BDN25" s="83"/>
      <c r="BDX25" s="83"/>
      <c r="BEH25" s="83"/>
      <c r="BER25" s="83"/>
      <c r="BFB25" s="83"/>
      <c r="BFL25" s="83"/>
      <c r="BFV25" s="83"/>
      <c r="BGF25" s="83"/>
      <c r="BGP25" s="83"/>
      <c r="BGZ25" s="83"/>
      <c r="BHJ25" s="83"/>
      <c r="BHT25" s="83"/>
      <c r="BID25" s="83"/>
      <c r="BIN25" s="83"/>
      <c r="BIX25" s="83"/>
      <c r="BJH25" s="83"/>
      <c r="BJR25" s="83"/>
      <c r="BKB25" s="83"/>
      <c r="BKL25" s="83"/>
      <c r="BKV25" s="83"/>
      <c r="BLF25" s="83"/>
      <c r="BLP25" s="83"/>
      <c r="BLZ25" s="83"/>
      <c r="BMJ25" s="83"/>
      <c r="BMT25" s="83"/>
      <c r="BND25" s="83"/>
      <c r="BNN25" s="83"/>
      <c r="BNX25" s="83"/>
      <c r="BOH25" s="83"/>
      <c r="BOR25" s="83"/>
      <c r="BPB25" s="83"/>
      <c r="BPL25" s="83"/>
      <c r="BPV25" s="83"/>
      <c r="BQF25" s="83"/>
      <c r="BQP25" s="83"/>
      <c r="BQZ25" s="83"/>
      <c r="BRJ25" s="83"/>
      <c r="BRT25" s="83"/>
      <c r="BSD25" s="83"/>
      <c r="BSN25" s="83"/>
      <c r="BSX25" s="83"/>
      <c r="BTH25" s="83"/>
      <c r="BTR25" s="83"/>
      <c r="BUB25" s="83"/>
      <c r="BUL25" s="83"/>
      <c r="BUV25" s="83"/>
      <c r="BVF25" s="83"/>
      <c r="BVP25" s="83"/>
      <c r="BVZ25" s="83"/>
      <c r="BWJ25" s="83"/>
      <c r="BWT25" s="83"/>
      <c r="BXD25" s="83"/>
      <c r="BXN25" s="83"/>
      <c r="BXX25" s="83"/>
      <c r="BYH25" s="83"/>
      <c r="BYR25" s="83"/>
      <c r="BZB25" s="83"/>
      <c r="BZL25" s="83"/>
      <c r="BZV25" s="83"/>
      <c r="CAF25" s="83"/>
      <c r="CAP25" s="83"/>
      <c r="CAZ25" s="83"/>
      <c r="CBJ25" s="83"/>
      <c r="CBT25" s="83"/>
      <c r="CCD25" s="83"/>
      <c r="CCN25" s="83"/>
      <c r="CCX25" s="83"/>
      <c r="CDH25" s="83"/>
      <c r="CDR25" s="83"/>
      <c r="CEB25" s="83"/>
      <c r="CEL25" s="83"/>
      <c r="CEV25" s="83"/>
      <c r="CFF25" s="83"/>
      <c r="CFP25" s="83"/>
      <c r="CFZ25" s="83"/>
      <c r="CGJ25" s="83"/>
      <c r="CGT25" s="83"/>
      <c r="CHD25" s="83"/>
      <c r="CHN25" s="83"/>
      <c r="CHX25" s="83"/>
      <c r="CIH25" s="83"/>
      <c r="CIR25" s="83"/>
      <c r="CJB25" s="83"/>
      <c r="CJL25" s="83"/>
      <c r="CJV25" s="83"/>
      <c r="CKF25" s="83"/>
      <c r="CKP25" s="83"/>
      <c r="CKZ25" s="83"/>
      <c r="CLJ25" s="83"/>
      <c r="CLT25" s="83"/>
      <c r="CMD25" s="83"/>
      <c r="CMN25" s="83"/>
      <c r="CMX25" s="83"/>
      <c r="CNH25" s="83"/>
      <c r="CNR25" s="83"/>
      <c r="COB25" s="83"/>
      <c r="COL25" s="83"/>
      <c r="COV25" s="83"/>
      <c r="CPF25" s="83"/>
      <c r="CPP25" s="83"/>
      <c r="CPZ25" s="83"/>
      <c r="CQJ25" s="83"/>
      <c r="CQT25" s="83"/>
      <c r="CRD25" s="83"/>
      <c r="CRN25" s="83"/>
      <c r="CRX25" s="83"/>
      <c r="CSH25" s="83"/>
      <c r="CSR25" s="83"/>
      <c r="CTB25" s="83"/>
      <c r="CTL25" s="83"/>
      <c r="CTV25" s="83"/>
    </row>
    <row r="26" s="58" customFormat="1" customHeight="1" spans="1:1020 1030:2040 2050:2570">
      <c r="A26" s="79">
        <v>46147</v>
      </c>
      <c r="B26" s="80" t="s">
        <v>22</v>
      </c>
      <c r="C26" s="38" t="s">
        <v>23</v>
      </c>
      <c r="D26" s="75">
        <v>652344163</v>
      </c>
      <c r="E26" s="38" t="s">
        <v>78</v>
      </c>
      <c r="F26" s="75" t="str">
        <f>VLOOKUP(E26,[3]基础数据!E:H,2,0)</f>
        <v>LS-CCUG001-AA-V1.03 三防漆单面 926_014</v>
      </c>
      <c r="G26" s="38">
        <v>71</v>
      </c>
      <c r="H26" s="75" t="str">
        <f>VLOOKUP(E26,[3]基础数据!E:H,4,0)</f>
        <v>料盒</v>
      </c>
      <c r="I26" s="75">
        <f>VLOOKUP(E26,[3]基础数据!E:G,3,0)</f>
        <v>72</v>
      </c>
      <c r="J26" s="75" t="s">
        <v>306</v>
      </c>
      <c r="K26" s="82">
        <f t="shared" si="0"/>
        <v>0.986111111111111</v>
      </c>
      <c r="T26" s="83"/>
      <c r="AD26" s="83"/>
      <c r="AN26" s="83"/>
      <c r="AX26" s="83"/>
      <c r="BH26" s="83"/>
      <c r="BR26" s="83"/>
      <c r="CB26" s="83"/>
      <c r="CL26" s="83"/>
      <c r="CV26" s="83"/>
      <c r="DF26" s="83"/>
      <c r="DP26" s="83"/>
      <c r="DZ26" s="83"/>
      <c r="EJ26" s="83"/>
      <c r="ET26" s="83"/>
      <c r="FD26" s="83"/>
      <c r="FN26" s="83"/>
      <c r="FX26" s="83"/>
      <c r="GH26" s="83"/>
      <c r="GR26" s="83"/>
      <c r="HB26" s="83"/>
      <c r="HL26" s="83"/>
      <c r="HV26" s="83"/>
      <c r="IF26" s="83"/>
      <c r="IP26" s="83"/>
      <c r="IZ26" s="83"/>
      <c r="JJ26" s="83"/>
      <c r="JT26" s="83"/>
      <c r="KD26" s="83"/>
      <c r="KN26" s="83"/>
      <c r="KX26" s="83"/>
      <c r="LH26" s="83"/>
      <c r="LR26" s="83"/>
      <c r="MB26" s="83"/>
      <c r="ML26" s="83"/>
      <c r="MV26" s="83"/>
      <c r="NF26" s="83"/>
      <c r="NP26" s="83"/>
      <c r="NZ26" s="83"/>
      <c r="OJ26" s="83"/>
      <c r="OT26" s="83"/>
      <c r="PD26" s="83"/>
      <c r="PN26" s="83"/>
      <c r="PX26" s="83"/>
      <c r="QH26" s="83"/>
      <c r="QR26" s="83"/>
      <c r="RB26" s="83"/>
      <c r="RL26" s="83"/>
      <c r="RV26" s="83"/>
      <c r="SF26" s="83"/>
      <c r="SP26" s="83"/>
      <c r="SZ26" s="83"/>
      <c r="TJ26" s="83"/>
      <c r="TT26" s="83"/>
      <c r="UD26" s="83"/>
      <c r="UN26" s="83"/>
      <c r="UX26" s="83"/>
      <c r="VH26" s="83"/>
      <c r="VR26" s="83"/>
      <c r="WB26" s="83"/>
      <c r="WL26" s="83"/>
      <c r="WV26" s="83"/>
      <c r="XF26" s="83"/>
      <c r="XP26" s="83"/>
      <c r="XZ26" s="83"/>
      <c r="YJ26" s="83"/>
      <c r="YT26" s="83"/>
      <c r="ZD26" s="83"/>
      <c r="ZN26" s="83"/>
      <c r="ZX26" s="83"/>
      <c r="AAH26" s="83"/>
      <c r="AAR26" s="83"/>
      <c r="ABB26" s="83"/>
      <c r="ABL26" s="83"/>
      <c r="ABV26" s="83"/>
      <c r="ACF26" s="83"/>
      <c r="ACP26" s="83"/>
      <c r="ACZ26" s="83"/>
      <c r="ADJ26" s="83"/>
      <c r="ADT26" s="83"/>
      <c r="AED26" s="83"/>
      <c r="AEN26" s="83"/>
      <c r="AEX26" s="83"/>
      <c r="AFH26" s="83"/>
      <c r="AFR26" s="83"/>
      <c r="AGB26" s="83"/>
      <c r="AGL26" s="83"/>
      <c r="AGV26" s="83"/>
      <c r="AHF26" s="83"/>
      <c r="AHP26" s="83"/>
      <c r="AHZ26" s="83"/>
      <c r="AIJ26" s="83"/>
      <c r="AIT26" s="83"/>
      <c r="AJD26" s="83"/>
      <c r="AJN26" s="83"/>
      <c r="AJX26" s="83"/>
      <c r="AKH26" s="83"/>
      <c r="AKR26" s="83"/>
      <c r="ALB26" s="83"/>
      <c r="ALL26" s="83"/>
      <c r="ALV26" s="83"/>
      <c r="AMF26" s="83"/>
      <c r="AMP26" s="83"/>
      <c r="AMZ26" s="83"/>
      <c r="ANJ26" s="83"/>
      <c r="ANT26" s="83"/>
      <c r="AOD26" s="83"/>
      <c r="AON26" s="83"/>
      <c r="AOX26" s="83"/>
      <c r="APH26" s="83"/>
      <c r="APR26" s="83"/>
      <c r="AQB26" s="83"/>
      <c r="AQL26" s="83"/>
      <c r="AQV26" s="83"/>
      <c r="ARF26" s="83"/>
      <c r="ARP26" s="83"/>
      <c r="ARZ26" s="83"/>
      <c r="ASJ26" s="83"/>
      <c r="AST26" s="83"/>
      <c r="ATD26" s="83"/>
      <c r="ATN26" s="83"/>
      <c r="ATX26" s="83"/>
      <c r="AUH26" s="83"/>
      <c r="AUR26" s="83"/>
      <c r="AVB26" s="83"/>
      <c r="AVL26" s="83"/>
      <c r="AVV26" s="83"/>
      <c r="AWF26" s="83"/>
      <c r="AWP26" s="83"/>
      <c r="AWZ26" s="83"/>
      <c r="AXJ26" s="83"/>
      <c r="AXT26" s="83"/>
      <c r="AYD26" s="83"/>
      <c r="AYN26" s="83"/>
      <c r="AYX26" s="83"/>
      <c r="AZH26" s="83"/>
      <c r="AZR26" s="83"/>
      <c r="BAB26" s="83"/>
      <c r="BAL26" s="83"/>
      <c r="BAV26" s="83"/>
      <c r="BBF26" s="83"/>
      <c r="BBP26" s="83"/>
      <c r="BBZ26" s="83"/>
      <c r="BCJ26" s="83"/>
      <c r="BCT26" s="83"/>
      <c r="BDD26" s="83"/>
      <c r="BDN26" s="83"/>
      <c r="BDX26" s="83"/>
      <c r="BEH26" s="83"/>
      <c r="BER26" s="83"/>
      <c r="BFB26" s="83"/>
      <c r="BFL26" s="83"/>
      <c r="BFV26" s="83"/>
      <c r="BGF26" s="83"/>
      <c r="BGP26" s="83"/>
      <c r="BGZ26" s="83"/>
      <c r="BHJ26" s="83"/>
      <c r="BHT26" s="83"/>
      <c r="BID26" s="83"/>
      <c r="BIN26" s="83"/>
      <c r="BIX26" s="83"/>
      <c r="BJH26" s="83"/>
      <c r="BJR26" s="83"/>
      <c r="BKB26" s="83"/>
      <c r="BKL26" s="83"/>
      <c r="BKV26" s="83"/>
      <c r="BLF26" s="83"/>
      <c r="BLP26" s="83"/>
      <c r="BLZ26" s="83"/>
      <c r="BMJ26" s="83"/>
      <c r="BMT26" s="83"/>
      <c r="BND26" s="83"/>
      <c r="BNN26" s="83"/>
      <c r="BNX26" s="83"/>
      <c r="BOH26" s="83"/>
      <c r="BOR26" s="83"/>
      <c r="BPB26" s="83"/>
      <c r="BPL26" s="83"/>
      <c r="BPV26" s="83"/>
      <c r="BQF26" s="83"/>
      <c r="BQP26" s="83"/>
      <c r="BQZ26" s="83"/>
      <c r="BRJ26" s="83"/>
      <c r="BRT26" s="83"/>
      <c r="BSD26" s="83"/>
      <c r="BSN26" s="83"/>
      <c r="BSX26" s="83"/>
      <c r="BTH26" s="83"/>
      <c r="BTR26" s="83"/>
      <c r="BUB26" s="83"/>
      <c r="BUL26" s="83"/>
      <c r="BUV26" s="83"/>
      <c r="BVF26" s="83"/>
      <c r="BVP26" s="83"/>
      <c r="BVZ26" s="83"/>
      <c r="BWJ26" s="83"/>
      <c r="BWT26" s="83"/>
      <c r="BXD26" s="83"/>
      <c r="BXN26" s="83"/>
      <c r="BXX26" s="83"/>
      <c r="BYH26" s="83"/>
      <c r="BYR26" s="83"/>
      <c r="BZB26" s="83"/>
      <c r="BZL26" s="83"/>
      <c r="BZV26" s="83"/>
      <c r="CAF26" s="83"/>
      <c r="CAP26" s="83"/>
      <c r="CAZ26" s="83"/>
      <c r="CBJ26" s="83"/>
      <c r="CBT26" s="83"/>
      <c r="CCD26" s="83"/>
      <c r="CCN26" s="83"/>
      <c r="CCX26" s="83"/>
      <c r="CDH26" s="83"/>
      <c r="CDR26" s="83"/>
      <c r="CEB26" s="83"/>
      <c r="CEL26" s="83"/>
      <c r="CEV26" s="83"/>
      <c r="CFF26" s="83"/>
      <c r="CFP26" s="83"/>
      <c r="CFZ26" s="83"/>
      <c r="CGJ26" s="83"/>
      <c r="CGT26" s="83"/>
      <c r="CHD26" s="83"/>
      <c r="CHN26" s="83"/>
      <c r="CHX26" s="83"/>
      <c r="CIH26" s="83"/>
      <c r="CIR26" s="83"/>
      <c r="CJB26" s="83"/>
      <c r="CJL26" s="83"/>
      <c r="CJV26" s="83"/>
      <c r="CKF26" s="83"/>
      <c r="CKP26" s="83"/>
      <c r="CKZ26" s="83"/>
      <c r="CLJ26" s="83"/>
      <c r="CLT26" s="83"/>
      <c r="CMD26" s="83"/>
      <c r="CMN26" s="83"/>
      <c r="CMX26" s="83"/>
      <c r="CNH26" s="83"/>
      <c r="CNR26" s="83"/>
      <c r="COB26" s="83"/>
      <c r="COL26" s="83"/>
      <c r="COV26" s="83"/>
      <c r="CPF26" s="83"/>
      <c r="CPP26" s="83"/>
      <c r="CPZ26" s="83"/>
      <c r="CQJ26" s="83"/>
      <c r="CQT26" s="83"/>
      <c r="CRD26" s="83"/>
      <c r="CRN26" s="83"/>
      <c r="CRX26" s="83"/>
      <c r="CSH26" s="83"/>
      <c r="CSR26" s="83"/>
      <c r="CTB26" s="83"/>
      <c r="CTL26" s="83"/>
      <c r="CTV26" s="83"/>
    </row>
    <row r="27" s="58" customFormat="1" customHeight="1" spans="1:1020 1030:2040 2050:2570">
      <c r="A27" s="79">
        <v>46147</v>
      </c>
      <c r="B27" s="80" t="s">
        <v>22</v>
      </c>
      <c r="C27" s="38" t="s">
        <v>23</v>
      </c>
      <c r="D27" s="75">
        <v>652344163</v>
      </c>
      <c r="E27" s="38" t="s">
        <v>78</v>
      </c>
      <c r="F27" s="75" t="str">
        <f>VLOOKUP(E27,[3]基础数据!E:H,2,0)</f>
        <v>LS-CCUG001-AA-V1.03 三防漆单面 926_014</v>
      </c>
      <c r="G27" s="38">
        <v>1293</v>
      </c>
      <c r="H27" s="75" t="str">
        <f>VLOOKUP(E27,[3]基础数据!E:H,4,0)</f>
        <v>料盒</v>
      </c>
      <c r="I27" s="75">
        <f>VLOOKUP(E27,[3]基础数据!E:G,3,0)</f>
        <v>72</v>
      </c>
      <c r="J27" s="75" t="s">
        <v>306</v>
      </c>
      <c r="K27" s="82">
        <f t="shared" si="0"/>
        <v>17.9583333333333</v>
      </c>
      <c r="T27" s="83"/>
      <c r="AD27" s="83"/>
      <c r="AN27" s="83"/>
      <c r="AX27" s="83"/>
      <c r="BH27" s="83"/>
      <c r="BR27" s="83"/>
      <c r="CB27" s="83"/>
      <c r="CL27" s="83"/>
      <c r="CV27" s="83"/>
      <c r="DF27" s="83"/>
      <c r="DP27" s="83"/>
      <c r="DZ27" s="83"/>
      <c r="EJ27" s="83"/>
      <c r="ET27" s="83"/>
      <c r="FD27" s="83"/>
      <c r="FN27" s="83"/>
      <c r="FX27" s="83"/>
      <c r="GH27" s="83"/>
      <c r="GR27" s="83"/>
      <c r="HB27" s="83"/>
      <c r="HL27" s="83"/>
      <c r="HV27" s="83"/>
      <c r="IF27" s="83"/>
      <c r="IP27" s="83"/>
      <c r="IZ27" s="83"/>
      <c r="JJ27" s="83"/>
      <c r="JT27" s="83"/>
      <c r="KD27" s="83"/>
      <c r="KN27" s="83"/>
      <c r="KX27" s="83"/>
      <c r="LH27" s="83"/>
      <c r="LR27" s="83"/>
      <c r="MB27" s="83"/>
      <c r="ML27" s="83"/>
      <c r="MV27" s="83"/>
      <c r="NF27" s="83"/>
      <c r="NP27" s="83"/>
      <c r="NZ27" s="83"/>
      <c r="OJ27" s="83"/>
      <c r="OT27" s="83"/>
      <c r="PD27" s="83"/>
      <c r="PN27" s="83"/>
      <c r="PX27" s="83"/>
      <c r="QH27" s="83"/>
      <c r="QR27" s="83"/>
      <c r="RB27" s="83"/>
      <c r="RL27" s="83"/>
      <c r="RV27" s="83"/>
      <c r="SF27" s="83"/>
      <c r="SP27" s="83"/>
      <c r="SZ27" s="83"/>
      <c r="TJ27" s="83"/>
      <c r="TT27" s="83"/>
      <c r="UD27" s="83"/>
      <c r="UN27" s="83"/>
      <c r="UX27" s="83"/>
      <c r="VH27" s="83"/>
      <c r="VR27" s="83"/>
      <c r="WB27" s="83"/>
      <c r="WL27" s="83"/>
      <c r="WV27" s="83"/>
      <c r="XF27" s="83"/>
      <c r="XP27" s="83"/>
      <c r="XZ27" s="83"/>
      <c r="YJ27" s="83"/>
      <c r="YT27" s="83"/>
      <c r="ZD27" s="83"/>
      <c r="ZN27" s="83"/>
      <c r="ZX27" s="83"/>
      <c r="AAH27" s="83"/>
      <c r="AAR27" s="83"/>
      <c r="ABB27" s="83"/>
      <c r="ABL27" s="83"/>
      <c r="ABV27" s="83"/>
      <c r="ACF27" s="83"/>
      <c r="ACP27" s="83"/>
      <c r="ACZ27" s="83"/>
      <c r="ADJ27" s="83"/>
      <c r="ADT27" s="83"/>
      <c r="AED27" s="83"/>
      <c r="AEN27" s="83"/>
      <c r="AEX27" s="83"/>
      <c r="AFH27" s="83"/>
      <c r="AFR27" s="83"/>
      <c r="AGB27" s="83"/>
      <c r="AGL27" s="83"/>
      <c r="AGV27" s="83"/>
      <c r="AHF27" s="83"/>
      <c r="AHP27" s="83"/>
      <c r="AHZ27" s="83"/>
      <c r="AIJ27" s="83"/>
      <c r="AIT27" s="83"/>
      <c r="AJD27" s="83"/>
      <c r="AJN27" s="83"/>
      <c r="AJX27" s="83"/>
      <c r="AKH27" s="83"/>
      <c r="AKR27" s="83"/>
      <c r="ALB27" s="83"/>
      <c r="ALL27" s="83"/>
      <c r="ALV27" s="83"/>
      <c r="AMF27" s="83"/>
      <c r="AMP27" s="83"/>
      <c r="AMZ27" s="83"/>
      <c r="ANJ27" s="83"/>
      <c r="ANT27" s="83"/>
      <c r="AOD27" s="83"/>
      <c r="AON27" s="83"/>
      <c r="AOX27" s="83"/>
      <c r="APH27" s="83"/>
      <c r="APR27" s="83"/>
      <c r="AQB27" s="83"/>
      <c r="AQL27" s="83"/>
      <c r="AQV27" s="83"/>
      <c r="ARF27" s="83"/>
      <c r="ARP27" s="83"/>
      <c r="ARZ27" s="83"/>
      <c r="ASJ27" s="83"/>
      <c r="AST27" s="83"/>
      <c r="ATD27" s="83"/>
      <c r="ATN27" s="83"/>
      <c r="ATX27" s="83"/>
      <c r="AUH27" s="83"/>
      <c r="AUR27" s="83"/>
      <c r="AVB27" s="83"/>
      <c r="AVL27" s="83"/>
      <c r="AVV27" s="83"/>
      <c r="AWF27" s="83"/>
      <c r="AWP27" s="83"/>
      <c r="AWZ27" s="83"/>
      <c r="AXJ27" s="83"/>
      <c r="AXT27" s="83"/>
      <c r="AYD27" s="83"/>
      <c r="AYN27" s="83"/>
      <c r="AYX27" s="83"/>
      <c r="AZH27" s="83"/>
      <c r="AZR27" s="83"/>
      <c r="BAB27" s="83"/>
      <c r="BAL27" s="83"/>
      <c r="BAV27" s="83"/>
      <c r="BBF27" s="83"/>
      <c r="BBP27" s="83"/>
      <c r="BBZ27" s="83"/>
      <c r="BCJ27" s="83"/>
      <c r="BCT27" s="83"/>
      <c r="BDD27" s="83"/>
      <c r="BDN27" s="83"/>
      <c r="BDX27" s="83"/>
      <c r="BEH27" s="83"/>
      <c r="BER27" s="83"/>
      <c r="BFB27" s="83"/>
      <c r="BFL27" s="83"/>
      <c r="BFV27" s="83"/>
      <c r="BGF27" s="83"/>
      <c r="BGP27" s="83"/>
      <c r="BGZ27" s="83"/>
      <c r="BHJ27" s="83"/>
      <c r="BHT27" s="83"/>
      <c r="BID27" s="83"/>
      <c r="BIN27" s="83"/>
      <c r="BIX27" s="83"/>
      <c r="BJH27" s="83"/>
      <c r="BJR27" s="83"/>
      <c r="BKB27" s="83"/>
      <c r="BKL27" s="83"/>
      <c r="BKV27" s="83"/>
      <c r="BLF27" s="83"/>
      <c r="BLP27" s="83"/>
      <c r="BLZ27" s="83"/>
      <c r="BMJ27" s="83"/>
      <c r="BMT27" s="83"/>
      <c r="BND27" s="83"/>
      <c r="BNN27" s="83"/>
      <c r="BNX27" s="83"/>
      <c r="BOH27" s="83"/>
      <c r="BOR27" s="83"/>
      <c r="BPB27" s="83"/>
      <c r="BPL27" s="83"/>
      <c r="BPV27" s="83"/>
      <c r="BQF27" s="83"/>
      <c r="BQP27" s="83"/>
      <c r="BQZ27" s="83"/>
      <c r="BRJ27" s="83"/>
      <c r="BRT27" s="83"/>
      <c r="BSD27" s="83"/>
      <c r="BSN27" s="83"/>
      <c r="BSX27" s="83"/>
      <c r="BTH27" s="83"/>
      <c r="BTR27" s="83"/>
      <c r="BUB27" s="83"/>
      <c r="BUL27" s="83"/>
      <c r="BUV27" s="83"/>
      <c r="BVF27" s="83"/>
      <c r="BVP27" s="83"/>
      <c r="BVZ27" s="83"/>
      <c r="BWJ27" s="83"/>
      <c r="BWT27" s="83"/>
      <c r="BXD27" s="83"/>
      <c r="BXN27" s="83"/>
      <c r="BXX27" s="83"/>
      <c r="BYH27" s="83"/>
      <c r="BYR27" s="83"/>
      <c r="BZB27" s="83"/>
      <c r="BZL27" s="83"/>
      <c r="BZV27" s="83"/>
      <c r="CAF27" s="83"/>
      <c r="CAP27" s="83"/>
      <c r="CAZ27" s="83"/>
      <c r="CBJ27" s="83"/>
      <c r="CBT27" s="83"/>
      <c r="CCD27" s="83"/>
      <c r="CCN27" s="83"/>
      <c r="CCX27" s="83"/>
      <c r="CDH27" s="83"/>
      <c r="CDR27" s="83"/>
      <c r="CEB27" s="83"/>
      <c r="CEL27" s="83"/>
      <c r="CEV27" s="83"/>
      <c r="CFF27" s="83"/>
      <c r="CFP27" s="83"/>
      <c r="CFZ27" s="83"/>
      <c r="CGJ27" s="83"/>
      <c r="CGT27" s="83"/>
      <c r="CHD27" s="83"/>
      <c r="CHN27" s="83"/>
      <c r="CHX27" s="83"/>
      <c r="CIH27" s="83"/>
      <c r="CIR27" s="83"/>
      <c r="CJB27" s="83"/>
      <c r="CJL27" s="83"/>
      <c r="CJV27" s="83"/>
      <c r="CKF27" s="83"/>
      <c r="CKP27" s="83"/>
      <c r="CKZ27" s="83"/>
      <c r="CLJ27" s="83"/>
      <c r="CLT27" s="83"/>
      <c r="CMD27" s="83"/>
      <c r="CMN27" s="83"/>
      <c r="CMX27" s="83"/>
      <c r="CNH27" s="83"/>
      <c r="CNR27" s="83"/>
      <c r="COB27" s="83"/>
      <c r="COL27" s="83"/>
      <c r="COV27" s="83"/>
      <c r="CPF27" s="83"/>
      <c r="CPP27" s="83"/>
      <c r="CPZ27" s="83"/>
      <c r="CQJ27" s="83"/>
      <c r="CQT27" s="83"/>
      <c r="CRD27" s="83"/>
      <c r="CRN27" s="83"/>
      <c r="CRX27" s="83"/>
      <c r="CSH27" s="83"/>
      <c r="CSR27" s="83"/>
      <c r="CTB27" s="83"/>
      <c r="CTL27" s="83"/>
      <c r="CTV27" s="83"/>
    </row>
    <row r="28" s="58" customFormat="1" customHeight="1" spans="1:1020 1030:2040 2050:2570">
      <c r="A28" s="79">
        <v>46147</v>
      </c>
      <c r="B28" s="80" t="s">
        <v>22</v>
      </c>
      <c r="C28" s="38" t="s">
        <v>23</v>
      </c>
      <c r="D28" s="75">
        <v>652344163</v>
      </c>
      <c r="E28" s="38" t="s">
        <v>78</v>
      </c>
      <c r="F28" s="75" t="str">
        <f>VLOOKUP(E28,[3]基础数据!E:H,2,0)</f>
        <v>LS-CCUG001-AA-V1.03 三防漆单面 926_014</v>
      </c>
      <c r="G28" s="38">
        <v>28</v>
      </c>
      <c r="H28" s="75" t="str">
        <f>VLOOKUP(E28,[3]基础数据!E:H,4,0)</f>
        <v>料盒</v>
      </c>
      <c r="I28" s="75">
        <f>VLOOKUP(E28,[3]基础数据!E:G,3,0)</f>
        <v>72</v>
      </c>
      <c r="J28" s="75" t="s">
        <v>306</v>
      </c>
      <c r="K28" s="82">
        <f t="shared" si="0"/>
        <v>0.388888888888889</v>
      </c>
      <c r="T28" s="83"/>
      <c r="AD28" s="83"/>
      <c r="AN28" s="83"/>
      <c r="AX28" s="83"/>
      <c r="BH28" s="83"/>
      <c r="BR28" s="83"/>
      <c r="CB28" s="83"/>
      <c r="CL28" s="83"/>
      <c r="CV28" s="83"/>
      <c r="DF28" s="83"/>
      <c r="DP28" s="83"/>
      <c r="DZ28" s="83"/>
      <c r="EJ28" s="83"/>
      <c r="ET28" s="83"/>
      <c r="FD28" s="83"/>
      <c r="FN28" s="83"/>
      <c r="FX28" s="83"/>
      <c r="GH28" s="83"/>
      <c r="GR28" s="83"/>
      <c r="HB28" s="83"/>
      <c r="HL28" s="83"/>
      <c r="HV28" s="83"/>
      <c r="IF28" s="83"/>
      <c r="IP28" s="83"/>
      <c r="IZ28" s="83"/>
      <c r="JJ28" s="83"/>
      <c r="JT28" s="83"/>
      <c r="KD28" s="83"/>
      <c r="KN28" s="83"/>
      <c r="KX28" s="83"/>
      <c r="LH28" s="83"/>
      <c r="LR28" s="83"/>
      <c r="MB28" s="83"/>
      <c r="ML28" s="83"/>
      <c r="MV28" s="83"/>
      <c r="NF28" s="83"/>
      <c r="NP28" s="83"/>
      <c r="NZ28" s="83"/>
      <c r="OJ28" s="83"/>
      <c r="OT28" s="83"/>
      <c r="PD28" s="83"/>
      <c r="PN28" s="83"/>
      <c r="PX28" s="83"/>
      <c r="QH28" s="83"/>
      <c r="QR28" s="83"/>
      <c r="RB28" s="83"/>
      <c r="RL28" s="83"/>
      <c r="RV28" s="83"/>
      <c r="SF28" s="83"/>
      <c r="SP28" s="83"/>
      <c r="SZ28" s="83"/>
      <c r="TJ28" s="83"/>
      <c r="TT28" s="83"/>
      <c r="UD28" s="83"/>
      <c r="UN28" s="83"/>
      <c r="UX28" s="83"/>
      <c r="VH28" s="83"/>
      <c r="VR28" s="83"/>
      <c r="WB28" s="83"/>
      <c r="WL28" s="83"/>
      <c r="WV28" s="83"/>
      <c r="XF28" s="83"/>
      <c r="XP28" s="83"/>
      <c r="XZ28" s="83"/>
      <c r="YJ28" s="83"/>
      <c r="YT28" s="83"/>
      <c r="ZD28" s="83"/>
      <c r="ZN28" s="83"/>
      <c r="ZX28" s="83"/>
      <c r="AAH28" s="83"/>
      <c r="AAR28" s="83"/>
      <c r="ABB28" s="83"/>
      <c r="ABL28" s="83"/>
      <c r="ABV28" s="83"/>
      <c r="ACF28" s="83"/>
      <c r="ACP28" s="83"/>
      <c r="ACZ28" s="83"/>
      <c r="ADJ28" s="83"/>
      <c r="ADT28" s="83"/>
      <c r="AED28" s="83"/>
      <c r="AEN28" s="83"/>
      <c r="AEX28" s="83"/>
      <c r="AFH28" s="83"/>
      <c r="AFR28" s="83"/>
      <c r="AGB28" s="83"/>
      <c r="AGL28" s="83"/>
      <c r="AGV28" s="83"/>
      <c r="AHF28" s="83"/>
      <c r="AHP28" s="83"/>
      <c r="AHZ28" s="83"/>
      <c r="AIJ28" s="83"/>
      <c r="AIT28" s="83"/>
      <c r="AJD28" s="83"/>
      <c r="AJN28" s="83"/>
      <c r="AJX28" s="83"/>
      <c r="AKH28" s="83"/>
      <c r="AKR28" s="83"/>
      <c r="ALB28" s="83"/>
      <c r="ALL28" s="83"/>
      <c r="ALV28" s="83"/>
      <c r="AMF28" s="83"/>
      <c r="AMP28" s="83"/>
      <c r="AMZ28" s="83"/>
      <c r="ANJ28" s="83"/>
      <c r="ANT28" s="83"/>
      <c r="AOD28" s="83"/>
      <c r="AON28" s="83"/>
      <c r="AOX28" s="83"/>
      <c r="APH28" s="83"/>
      <c r="APR28" s="83"/>
      <c r="AQB28" s="83"/>
      <c r="AQL28" s="83"/>
      <c r="AQV28" s="83"/>
      <c r="ARF28" s="83"/>
      <c r="ARP28" s="83"/>
      <c r="ARZ28" s="83"/>
      <c r="ASJ28" s="83"/>
      <c r="AST28" s="83"/>
      <c r="ATD28" s="83"/>
      <c r="ATN28" s="83"/>
      <c r="ATX28" s="83"/>
      <c r="AUH28" s="83"/>
      <c r="AUR28" s="83"/>
      <c r="AVB28" s="83"/>
      <c r="AVL28" s="83"/>
      <c r="AVV28" s="83"/>
      <c r="AWF28" s="83"/>
      <c r="AWP28" s="83"/>
      <c r="AWZ28" s="83"/>
      <c r="AXJ28" s="83"/>
      <c r="AXT28" s="83"/>
      <c r="AYD28" s="83"/>
      <c r="AYN28" s="83"/>
      <c r="AYX28" s="83"/>
      <c r="AZH28" s="83"/>
      <c r="AZR28" s="83"/>
      <c r="BAB28" s="83"/>
      <c r="BAL28" s="83"/>
      <c r="BAV28" s="83"/>
      <c r="BBF28" s="83"/>
      <c r="BBP28" s="83"/>
      <c r="BBZ28" s="83"/>
      <c r="BCJ28" s="83"/>
      <c r="BCT28" s="83"/>
      <c r="BDD28" s="83"/>
      <c r="BDN28" s="83"/>
      <c r="BDX28" s="83"/>
      <c r="BEH28" s="83"/>
      <c r="BER28" s="83"/>
      <c r="BFB28" s="83"/>
      <c r="BFL28" s="83"/>
      <c r="BFV28" s="83"/>
      <c r="BGF28" s="83"/>
      <c r="BGP28" s="83"/>
      <c r="BGZ28" s="83"/>
      <c r="BHJ28" s="83"/>
      <c r="BHT28" s="83"/>
      <c r="BID28" s="83"/>
      <c r="BIN28" s="83"/>
      <c r="BIX28" s="83"/>
      <c r="BJH28" s="83"/>
      <c r="BJR28" s="83"/>
      <c r="BKB28" s="83"/>
      <c r="BKL28" s="83"/>
      <c r="BKV28" s="83"/>
      <c r="BLF28" s="83"/>
      <c r="BLP28" s="83"/>
      <c r="BLZ28" s="83"/>
      <c r="BMJ28" s="83"/>
      <c r="BMT28" s="83"/>
      <c r="BND28" s="83"/>
      <c r="BNN28" s="83"/>
      <c r="BNX28" s="83"/>
      <c r="BOH28" s="83"/>
      <c r="BOR28" s="83"/>
      <c r="BPB28" s="83"/>
      <c r="BPL28" s="83"/>
      <c r="BPV28" s="83"/>
      <c r="BQF28" s="83"/>
      <c r="BQP28" s="83"/>
      <c r="BQZ28" s="83"/>
      <c r="BRJ28" s="83"/>
      <c r="BRT28" s="83"/>
      <c r="BSD28" s="83"/>
      <c r="BSN28" s="83"/>
      <c r="BSX28" s="83"/>
      <c r="BTH28" s="83"/>
      <c r="BTR28" s="83"/>
      <c r="BUB28" s="83"/>
      <c r="BUL28" s="83"/>
      <c r="BUV28" s="83"/>
      <c r="BVF28" s="83"/>
      <c r="BVP28" s="83"/>
      <c r="BVZ28" s="83"/>
      <c r="BWJ28" s="83"/>
      <c r="BWT28" s="83"/>
      <c r="BXD28" s="83"/>
      <c r="BXN28" s="83"/>
      <c r="BXX28" s="83"/>
      <c r="BYH28" s="83"/>
      <c r="BYR28" s="83"/>
      <c r="BZB28" s="83"/>
      <c r="BZL28" s="83"/>
      <c r="BZV28" s="83"/>
      <c r="CAF28" s="83"/>
      <c r="CAP28" s="83"/>
      <c r="CAZ28" s="83"/>
      <c r="CBJ28" s="83"/>
      <c r="CBT28" s="83"/>
      <c r="CCD28" s="83"/>
      <c r="CCN28" s="83"/>
      <c r="CCX28" s="83"/>
      <c r="CDH28" s="83"/>
      <c r="CDR28" s="83"/>
      <c r="CEB28" s="83"/>
      <c r="CEL28" s="83"/>
      <c r="CEV28" s="83"/>
      <c r="CFF28" s="83"/>
      <c r="CFP28" s="83"/>
      <c r="CFZ28" s="83"/>
      <c r="CGJ28" s="83"/>
      <c r="CGT28" s="83"/>
      <c r="CHD28" s="83"/>
      <c r="CHN28" s="83"/>
      <c r="CHX28" s="83"/>
      <c r="CIH28" s="83"/>
      <c r="CIR28" s="83"/>
      <c r="CJB28" s="83"/>
      <c r="CJL28" s="83"/>
      <c r="CJV28" s="83"/>
      <c r="CKF28" s="83"/>
      <c r="CKP28" s="83"/>
      <c r="CKZ28" s="83"/>
      <c r="CLJ28" s="83"/>
      <c r="CLT28" s="83"/>
      <c r="CMD28" s="83"/>
      <c r="CMN28" s="83"/>
      <c r="CMX28" s="83"/>
      <c r="CNH28" s="83"/>
      <c r="CNR28" s="83"/>
      <c r="COB28" s="83"/>
      <c r="COL28" s="83"/>
      <c r="COV28" s="83"/>
      <c r="CPF28" s="83"/>
      <c r="CPP28" s="83"/>
      <c r="CPZ28" s="83"/>
      <c r="CQJ28" s="83"/>
      <c r="CQT28" s="83"/>
      <c r="CRD28" s="83"/>
      <c r="CRN28" s="83"/>
      <c r="CRX28" s="83"/>
      <c r="CSH28" s="83"/>
      <c r="CSR28" s="83"/>
      <c r="CTB28" s="83"/>
      <c r="CTL28" s="83"/>
      <c r="CTV28" s="83"/>
    </row>
    <row r="29" s="58" customFormat="1" customHeight="1" spans="1:1020 1030:2040 2050:2570">
      <c r="A29" s="79">
        <v>46147</v>
      </c>
      <c r="B29" s="80" t="s">
        <v>22</v>
      </c>
      <c r="C29" s="38" t="s">
        <v>23</v>
      </c>
      <c r="D29" s="75">
        <v>652335960</v>
      </c>
      <c r="E29" s="38" t="s">
        <v>63</v>
      </c>
      <c r="F29" s="75" t="str">
        <f>VLOOKUP(E29,[3]基础数据!E:H,2,0)</f>
        <v>IGBT组件（A平台国内版NON-FUSA一体板结构PCBA）</v>
      </c>
      <c r="G29" s="38">
        <v>1080</v>
      </c>
      <c r="H29" s="75" t="str">
        <f>VLOOKUP(E29,[3]基础数据!E:H,4,0)</f>
        <v>料盒</v>
      </c>
      <c r="I29" s="75">
        <f>VLOOKUP(E29,[3]基础数据!E:G,3,0)</f>
        <v>12</v>
      </c>
      <c r="J29" s="75" t="s">
        <v>306</v>
      </c>
      <c r="K29" s="82">
        <f t="shared" si="0"/>
        <v>90</v>
      </c>
      <c r="T29" s="83"/>
      <c r="AD29" s="83"/>
      <c r="AN29" s="83"/>
      <c r="AX29" s="83"/>
      <c r="BH29" s="83"/>
      <c r="BR29" s="83"/>
      <c r="CB29" s="83"/>
      <c r="CL29" s="83"/>
      <c r="CV29" s="83"/>
      <c r="DF29" s="83"/>
      <c r="DP29" s="83"/>
      <c r="DZ29" s="83"/>
      <c r="EJ29" s="83"/>
      <c r="ET29" s="83"/>
      <c r="FD29" s="83"/>
      <c r="FN29" s="83"/>
      <c r="FX29" s="83"/>
      <c r="GH29" s="83"/>
      <c r="GR29" s="83"/>
      <c r="HB29" s="83"/>
      <c r="HL29" s="83"/>
      <c r="HV29" s="83"/>
      <c r="IF29" s="83"/>
      <c r="IP29" s="83"/>
      <c r="IZ29" s="83"/>
      <c r="JJ29" s="83"/>
      <c r="JT29" s="83"/>
      <c r="KD29" s="83"/>
      <c r="KN29" s="83"/>
      <c r="KX29" s="83"/>
      <c r="LH29" s="83"/>
      <c r="LR29" s="83"/>
      <c r="MB29" s="83"/>
      <c r="ML29" s="83"/>
      <c r="MV29" s="83"/>
      <c r="NF29" s="83"/>
      <c r="NP29" s="83"/>
      <c r="NZ29" s="83"/>
      <c r="OJ29" s="83"/>
      <c r="OT29" s="83"/>
      <c r="PD29" s="83"/>
      <c r="PN29" s="83"/>
      <c r="PX29" s="83"/>
      <c r="QH29" s="83"/>
      <c r="QR29" s="83"/>
      <c r="RB29" s="83"/>
      <c r="RL29" s="83"/>
      <c r="RV29" s="83"/>
      <c r="SF29" s="83"/>
      <c r="SP29" s="83"/>
      <c r="SZ29" s="83"/>
      <c r="TJ29" s="83"/>
      <c r="TT29" s="83"/>
      <c r="UD29" s="83"/>
      <c r="UN29" s="83"/>
      <c r="UX29" s="83"/>
      <c r="VH29" s="83"/>
      <c r="VR29" s="83"/>
      <c r="WB29" s="83"/>
      <c r="WL29" s="83"/>
      <c r="WV29" s="83"/>
      <c r="XF29" s="83"/>
      <c r="XP29" s="83"/>
      <c r="XZ29" s="83"/>
      <c r="YJ29" s="83"/>
      <c r="YT29" s="83"/>
      <c r="ZD29" s="83"/>
      <c r="ZN29" s="83"/>
      <c r="ZX29" s="83"/>
      <c r="AAH29" s="83"/>
      <c r="AAR29" s="83"/>
      <c r="ABB29" s="83"/>
      <c r="ABL29" s="83"/>
      <c r="ABV29" s="83"/>
      <c r="ACF29" s="83"/>
      <c r="ACP29" s="83"/>
      <c r="ACZ29" s="83"/>
      <c r="ADJ29" s="83"/>
      <c r="ADT29" s="83"/>
      <c r="AED29" s="83"/>
      <c r="AEN29" s="83"/>
      <c r="AEX29" s="83"/>
      <c r="AFH29" s="83"/>
      <c r="AFR29" s="83"/>
      <c r="AGB29" s="83"/>
      <c r="AGL29" s="83"/>
      <c r="AGV29" s="83"/>
      <c r="AHF29" s="83"/>
      <c r="AHP29" s="83"/>
      <c r="AHZ29" s="83"/>
      <c r="AIJ29" s="83"/>
      <c r="AIT29" s="83"/>
      <c r="AJD29" s="83"/>
      <c r="AJN29" s="83"/>
      <c r="AJX29" s="83"/>
      <c r="AKH29" s="83"/>
      <c r="AKR29" s="83"/>
      <c r="ALB29" s="83"/>
      <c r="ALL29" s="83"/>
      <c r="ALV29" s="83"/>
      <c r="AMF29" s="83"/>
      <c r="AMP29" s="83"/>
      <c r="AMZ29" s="83"/>
      <c r="ANJ29" s="83"/>
      <c r="ANT29" s="83"/>
      <c r="AOD29" s="83"/>
      <c r="AON29" s="83"/>
      <c r="AOX29" s="83"/>
      <c r="APH29" s="83"/>
      <c r="APR29" s="83"/>
      <c r="AQB29" s="83"/>
      <c r="AQL29" s="83"/>
      <c r="AQV29" s="83"/>
      <c r="ARF29" s="83"/>
      <c r="ARP29" s="83"/>
      <c r="ARZ29" s="83"/>
      <c r="ASJ29" s="83"/>
      <c r="AST29" s="83"/>
      <c r="ATD29" s="83"/>
      <c r="ATN29" s="83"/>
      <c r="ATX29" s="83"/>
      <c r="AUH29" s="83"/>
      <c r="AUR29" s="83"/>
      <c r="AVB29" s="83"/>
      <c r="AVL29" s="83"/>
      <c r="AVV29" s="83"/>
      <c r="AWF29" s="83"/>
      <c r="AWP29" s="83"/>
      <c r="AWZ29" s="83"/>
      <c r="AXJ29" s="83"/>
      <c r="AXT29" s="83"/>
      <c r="AYD29" s="83"/>
      <c r="AYN29" s="83"/>
      <c r="AYX29" s="83"/>
      <c r="AZH29" s="83"/>
      <c r="AZR29" s="83"/>
      <c r="BAB29" s="83"/>
      <c r="BAL29" s="83"/>
      <c r="BAV29" s="83"/>
      <c r="BBF29" s="83"/>
      <c r="BBP29" s="83"/>
      <c r="BBZ29" s="83"/>
      <c r="BCJ29" s="83"/>
      <c r="BCT29" s="83"/>
      <c r="BDD29" s="83"/>
      <c r="BDN29" s="83"/>
      <c r="BDX29" s="83"/>
      <c r="BEH29" s="83"/>
      <c r="BER29" s="83"/>
      <c r="BFB29" s="83"/>
      <c r="BFL29" s="83"/>
      <c r="BFV29" s="83"/>
      <c r="BGF29" s="83"/>
      <c r="BGP29" s="83"/>
      <c r="BGZ29" s="83"/>
      <c r="BHJ29" s="83"/>
      <c r="BHT29" s="83"/>
      <c r="BID29" s="83"/>
      <c r="BIN29" s="83"/>
      <c r="BIX29" s="83"/>
      <c r="BJH29" s="83"/>
      <c r="BJR29" s="83"/>
      <c r="BKB29" s="83"/>
      <c r="BKL29" s="83"/>
      <c r="BKV29" s="83"/>
      <c r="BLF29" s="83"/>
      <c r="BLP29" s="83"/>
      <c r="BLZ29" s="83"/>
      <c r="BMJ29" s="83"/>
      <c r="BMT29" s="83"/>
      <c r="BND29" s="83"/>
      <c r="BNN29" s="83"/>
      <c r="BNX29" s="83"/>
      <c r="BOH29" s="83"/>
      <c r="BOR29" s="83"/>
      <c r="BPB29" s="83"/>
      <c r="BPL29" s="83"/>
      <c r="BPV29" s="83"/>
      <c r="BQF29" s="83"/>
      <c r="BQP29" s="83"/>
      <c r="BQZ29" s="83"/>
      <c r="BRJ29" s="83"/>
      <c r="BRT29" s="83"/>
      <c r="BSD29" s="83"/>
      <c r="BSN29" s="83"/>
      <c r="BSX29" s="83"/>
      <c r="BTH29" s="83"/>
      <c r="BTR29" s="83"/>
      <c r="BUB29" s="83"/>
      <c r="BUL29" s="83"/>
      <c r="BUV29" s="83"/>
      <c r="BVF29" s="83"/>
      <c r="BVP29" s="83"/>
      <c r="BVZ29" s="83"/>
      <c r="BWJ29" s="83"/>
      <c r="BWT29" s="83"/>
      <c r="BXD29" s="83"/>
      <c r="BXN29" s="83"/>
      <c r="BXX29" s="83"/>
      <c r="BYH29" s="83"/>
      <c r="BYR29" s="83"/>
      <c r="BZB29" s="83"/>
      <c r="BZL29" s="83"/>
      <c r="BZV29" s="83"/>
      <c r="CAF29" s="83"/>
      <c r="CAP29" s="83"/>
      <c r="CAZ29" s="83"/>
      <c r="CBJ29" s="83"/>
      <c r="CBT29" s="83"/>
      <c r="CCD29" s="83"/>
      <c r="CCN29" s="83"/>
      <c r="CCX29" s="83"/>
      <c r="CDH29" s="83"/>
      <c r="CDR29" s="83"/>
      <c r="CEB29" s="83"/>
      <c r="CEL29" s="83"/>
      <c r="CEV29" s="83"/>
      <c r="CFF29" s="83"/>
      <c r="CFP29" s="83"/>
      <c r="CFZ29" s="83"/>
      <c r="CGJ29" s="83"/>
      <c r="CGT29" s="83"/>
      <c r="CHD29" s="83"/>
      <c r="CHN29" s="83"/>
      <c r="CHX29" s="83"/>
      <c r="CIH29" s="83"/>
      <c r="CIR29" s="83"/>
      <c r="CJB29" s="83"/>
      <c r="CJL29" s="83"/>
      <c r="CJV29" s="83"/>
      <c r="CKF29" s="83"/>
      <c r="CKP29" s="83"/>
      <c r="CKZ29" s="83"/>
      <c r="CLJ29" s="83"/>
      <c r="CLT29" s="83"/>
      <c r="CMD29" s="83"/>
      <c r="CMN29" s="83"/>
      <c r="CMX29" s="83"/>
      <c r="CNH29" s="83"/>
      <c r="CNR29" s="83"/>
      <c r="COB29" s="83"/>
      <c r="COL29" s="83"/>
      <c r="COV29" s="83"/>
      <c r="CPF29" s="83"/>
      <c r="CPP29" s="83"/>
      <c r="CPZ29" s="83"/>
      <c r="CQJ29" s="83"/>
      <c r="CQT29" s="83"/>
      <c r="CRD29" s="83"/>
      <c r="CRN29" s="83"/>
      <c r="CRX29" s="83"/>
      <c r="CSH29" s="83"/>
      <c r="CSR29" s="83"/>
      <c r="CTB29" s="83"/>
      <c r="CTL29" s="83"/>
      <c r="CTV29" s="83"/>
    </row>
    <row r="30" s="58" customFormat="1" customHeight="1" spans="1:1020 1030:2040 2050:2570">
      <c r="A30" s="79">
        <v>46147</v>
      </c>
      <c r="B30" s="80" t="s">
        <v>22</v>
      </c>
      <c r="C30" s="38" t="s">
        <v>23</v>
      </c>
      <c r="D30" s="75">
        <v>652341446</v>
      </c>
      <c r="E30" s="38" t="s">
        <v>39</v>
      </c>
      <c r="F30" s="75" t="str">
        <f>VLOOKUP(E30,[3]基础数据!E:H,2,0)</f>
        <v>LP-BSU050-AA_V100_TI_32B2_HW_三防漆双面911_0截</v>
      </c>
      <c r="G30" s="38">
        <v>468</v>
      </c>
      <c r="H30" s="75" t="str">
        <f>VLOOKUP(E30,[3]基础数据!E:H,4,0)</f>
        <v>料盒</v>
      </c>
      <c r="I30" s="75">
        <f>VLOOKUP(E30,[3]基础数据!E:G,3,0)</f>
        <v>36</v>
      </c>
      <c r="J30" s="75" t="s">
        <v>306</v>
      </c>
      <c r="K30" s="82">
        <f t="shared" si="0"/>
        <v>13</v>
      </c>
      <c r="T30" s="83"/>
      <c r="AD30" s="83"/>
      <c r="AN30" s="83"/>
      <c r="AX30" s="83"/>
      <c r="BH30" s="83"/>
      <c r="BR30" s="83"/>
      <c r="CB30" s="83"/>
      <c r="CL30" s="83"/>
      <c r="CV30" s="83"/>
      <c r="DF30" s="83"/>
      <c r="DP30" s="83"/>
      <c r="DZ30" s="83"/>
      <c r="EJ30" s="83"/>
      <c r="ET30" s="83"/>
      <c r="FD30" s="83"/>
      <c r="FN30" s="83"/>
      <c r="FX30" s="83"/>
      <c r="GH30" s="83"/>
      <c r="GR30" s="83"/>
      <c r="HB30" s="83"/>
      <c r="HL30" s="83"/>
      <c r="HV30" s="83"/>
      <c r="IF30" s="83"/>
      <c r="IP30" s="83"/>
      <c r="IZ30" s="83"/>
      <c r="JJ30" s="83"/>
      <c r="JT30" s="83"/>
      <c r="KD30" s="83"/>
      <c r="KN30" s="83"/>
      <c r="KX30" s="83"/>
      <c r="LH30" s="83"/>
      <c r="LR30" s="83"/>
      <c r="MB30" s="83"/>
      <c r="ML30" s="83"/>
      <c r="MV30" s="83"/>
      <c r="NF30" s="83"/>
      <c r="NP30" s="83"/>
      <c r="NZ30" s="83"/>
      <c r="OJ30" s="83"/>
      <c r="OT30" s="83"/>
      <c r="PD30" s="83"/>
      <c r="PN30" s="83"/>
      <c r="PX30" s="83"/>
      <c r="QH30" s="83"/>
      <c r="QR30" s="83"/>
      <c r="RB30" s="83"/>
      <c r="RL30" s="83"/>
      <c r="RV30" s="83"/>
      <c r="SF30" s="83"/>
      <c r="SP30" s="83"/>
      <c r="SZ30" s="83"/>
      <c r="TJ30" s="83"/>
      <c r="TT30" s="83"/>
      <c r="UD30" s="83"/>
      <c r="UN30" s="83"/>
      <c r="UX30" s="83"/>
      <c r="VH30" s="83"/>
      <c r="VR30" s="83"/>
      <c r="WB30" s="83"/>
      <c r="WL30" s="83"/>
      <c r="WV30" s="83"/>
      <c r="XF30" s="83"/>
      <c r="XP30" s="83"/>
      <c r="XZ30" s="83"/>
      <c r="YJ30" s="83"/>
      <c r="YT30" s="83"/>
      <c r="ZD30" s="83"/>
      <c r="ZN30" s="83"/>
      <c r="ZX30" s="83"/>
      <c r="AAH30" s="83"/>
      <c r="AAR30" s="83"/>
      <c r="ABB30" s="83"/>
      <c r="ABL30" s="83"/>
      <c r="ABV30" s="83"/>
      <c r="ACF30" s="83"/>
      <c r="ACP30" s="83"/>
      <c r="ACZ30" s="83"/>
      <c r="ADJ30" s="83"/>
      <c r="ADT30" s="83"/>
      <c r="AED30" s="83"/>
      <c r="AEN30" s="83"/>
      <c r="AEX30" s="83"/>
      <c r="AFH30" s="83"/>
      <c r="AFR30" s="83"/>
      <c r="AGB30" s="83"/>
      <c r="AGL30" s="83"/>
      <c r="AGV30" s="83"/>
      <c r="AHF30" s="83"/>
      <c r="AHP30" s="83"/>
      <c r="AHZ30" s="83"/>
      <c r="AIJ30" s="83"/>
      <c r="AIT30" s="83"/>
      <c r="AJD30" s="83"/>
      <c r="AJN30" s="83"/>
      <c r="AJX30" s="83"/>
      <c r="AKH30" s="83"/>
      <c r="AKR30" s="83"/>
      <c r="ALB30" s="83"/>
      <c r="ALL30" s="83"/>
      <c r="ALV30" s="83"/>
      <c r="AMF30" s="83"/>
      <c r="AMP30" s="83"/>
      <c r="AMZ30" s="83"/>
      <c r="ANJ30" s="83"/>
      <c r="ANT30" s="83"/>
      <c r="AOD30" s="83"/>
      <c r="AON30" s="83"/>
      <c r="AOX30" s="83"/>
      <c r="APH30" s="83"/>
      <c r="APR30" s="83"/>
      <c r="AQB30" s="83"/>
      <c r="AQL30" s="83"/>
      <c r="AQV30" s="83"/>
      <c r="ARF30" s="83"/>
      <c r="ARP30" s="83"/>
      <c r="ARZ30" s="83"/>
      <c r="ASJ30" s="83"/>
      <c r="AST30" s="83"/>
      <c r="ATD30" s="83"/>
      <c r="ATN30" s="83"/>
      <c r="ATX30" s="83"/>
      <c r="AUH30" s="83"/>
      <c r="AUR30" s="83"/>
      <c r="AVB30" s="83"/>
      <c r="AVL30" s="83"/>
      <c r="AVV30" s="83"/>
      <c r="AWF30" s="83"/>
      <c r="AWP30" s="83"/>
      <c r="AWZ30" s="83"/>
      <c r="AXJ30" s="83"/>
      <c r="AXT30" s="83"/>
      <c r="AYD30" s="83"/>
      <c r="AYN30" s="83"/>
      <c r="AYX30" s="83"/>
      <c r="AZH30" s="83"/>
      <c r="AZR30" s="83"/>
      <c r="BAB30" s="83"/>
      <c r="BAL30" s="83"/>
      <c r="BAV30" s="83"/>
      <c r="BBF30" s="83"/>
      <c r="BBP30" s="83"/>
      <c r="BBZ30" s="83"/>
      <c r="BCJ30" s="83"/>
      <c r="BCT30" s="83"/>
      <c r="BDD30" s="83"/>
      <c r="BDN30" s="83"/>
      <c r="BDX30" s="83"/>
      <c r="BEH30" s="83"/>
      <c r="BER30" s="83"/>
      <c r="BFB30" s="83"/>
      <c r="BFL30" s="83"/>
      <c r="BFV30" s="83"/>
      <c r="BGF30" s="83"/>
      <c r="BGP30" s="83"/>
      <c r="BGZ30" s="83"/>
      <c r="BHJ30" s="83"/>
      <c r="BHT30" s="83"/>
      <c r="BID30" s="83"/>
      <c r="BIN30" s="83"/>
      <c r="BIX30" s="83"/>
      <c r="BJH30" s="83"/>
      <c r="BJR30" s="83"/>
      <c r="BKB30" s="83"/>
      <c r="BKL30" s="83"/>
      <c r="BKV30" s="83"/>
      <c r="BLF30" s="83"/>
      <c r="BLP30" s="83"/>
      <c r="BLZ30" s="83"/>
      <c r="BMJ30" s="83"/>
      <c r="BMT30" s="83"/>
      <c r="BND30" s="83"/>
      <c r="BNN30" s="83"/>
      <c r="BNX30" s="83"/>
      <c r="BOH30" s="83"/>
      <c r="BOR30" s="83"/>
      <c r="BPB30" s="83"/>
      <c r="BPL30" s="83"/>
      <c r="BPV30" s="83"/>
      <c r="BQF30" s="83"/>
      <c r="BQP30" s="83"/>
      <c r="BQZ30" s="83"/>
      <c r="BRJ30" s="83"/>
      <c r="BRT30" s="83"/>
      <c r="BSD30" s="83"/>
      <c r="BSN30" s="83"/>
      <c r="BSX30" s="83"/>
      <c r="BTH30" s="83"/>
      <c r="BTR30" s="83"/>
      <c r="BUB30" s="83"/>
      <c r="BUL30" s="83"/>
      <c r="BUV30" s="83"/>
      <c r="BVF30" s="83"/>
      <c r="BVP30" s="83"/>
      <c r="BVZ30" s="83"/>
      <c r="BWJ30" s="83"/>
      <c r="BWT30" s="83"/>
      <c r="BXD30" s="83"/>
      <c r="BXN30" s="83"/>
      <c r="BXX30" s="83"/>
      <c r="BYH30" s="83"/>
      <c r="BYR30" s="83"/>
      <c r="BZB30" s="83"/>
      <c r="BZL30" s="83"/>
      <c r="BZV30" s="83"/>
      <c r="CAF30" s="83"/>
      <c r="CAP30" s="83"/>
      <c r="CAZ30" s="83"/>
      <c r="CBJ30" s="83"/>
      <c r="CBT30" s="83"/>
      <c r="CCD30" s="83"/>
      <c r="CCN30" s="83"/>
      <c r="CCX30" s="83"/>
      <c r="CDH30" s="83"/>
      <c r="CDR30" s="83"/>
      <c r="CEB30" s="83"/>
      <c r="CEL30" s="83"/>
      <c r="CEV30" s="83"/>
      <c r="CFF30" s="83"/>
      <c r="CFP30" s="83"/>
      <c r="CFZ30" s="83"/>
      <c r="CGJ30" s="83"/>
      <c r="CGT30" s="83"/>
      <c r="CHD30" s="83"/>
      <c r="CHN30" s="83"/>
      <c r="CHX30" s="83"/>
      <c r="CIH30" s="83"/>
      <c r="CIR30" s="83"/>
      <c r="CJB30" s="83"/>
      <c r="CJL30" s="83"/>
      <c r="CJV30" s="83"/>
      <c r="CKF30" s="83"/>
      <c r="CKP30" s="83"/>
      <c r="CKZ30" s="83"/>
      <c r="CLJ30" s="83"/>
      <c r="CLT30" s="83"/>
      <c r="CMD30" s="83"/>
      <c r="CMN30" s="83"/>
      <c r="CMX30" s="83"/>
      <c r="CNH30" s="83"/>
      <c r="CNR30" s="83"/>
      <c r="COB30" s="83"/>
      <c r="COL30" s="83"/>
      <c r="COV30" s="83"/>
      <c r="CPF30" s="83"/>
      <c r="CPP30" s="83"/>
      <c r="CPZ30" s="83"/>
      <c r="CQJ30" s="83"/>
      <c r="CQT30" s="83"/>
      <c r="CRD30" s="83"/>
      <c r="CRN30" s="83"/>
      <c r="CRX30" s="83"/>
      <c r="CSH30" s="83"/>
      <c r="CSR30" s="83"/>
      <c r="CTB30" s="83"/>
      <c r="CTL30" s="83"/>
      <c r="CTV30" s="83"/>
    </row>
    <row r="31" s="58" customFormat="1" customHeight="1" spans="1:1020 1030:2040 2050:2570">
      <c r="A31" s="79">
        <v>46147</v>
      </c>
      <c r="B31" s="80" t="s">
        <v>22</v>
      </c>
      <c r="C31" s="38" t="s">
        <v>23</v>
      </c>
      <c r="D31" s="75">
        <v>652345612</v>
      </c>
      <c r="E31" s="38" t="s">
        <v>54</v>
      </c>
      <c r="F31" s="75" t="str">
        <f>VLOOKUP(E31,[3]基础数据!E:H,2,0)</f>
        <v>LXA12EV10-BSU总成-01</v>
      </c>
      <c r="G31" s="38">
        <v>1280</v>
      </c>
      <c r="H31" s="75" t="str">
        <f>VLOOKUP(E31,[3]基础数据!E:H,4,0)</f>
        <v>料盒</v>
      </c>
      <c r="I31" s="75">
        <f>VLOOKUP(E31,[3]基础数据!E:G,3,0)</f>
        <v>20</v>
      </c>
      <c r="J31" s="75" t="s">
        <v>306</v>
      </c>
      <c r="K31" s="82">
        <f t="shared" si="0"/>
        <v>64</v>
      </c>
      <c r="T31" s="83"/>
      <c r="AD31" s="83"/>
      <c r="AN31" s="83"/>
      <c r="AX31" s="83"/>
      <c r="BH31" s="83"/>
      <c r="BR31" s="83"/>
      <c r="CB31" s="83"/>
      <c r="CL31" s="83"/>
      <c r="CV31" s="83"/>
      <c r="DF31" s="83"/>
      <c r="DP31" s="83"/>
      <c r="DZ31" s="83"/>
      <c r="EJ31" s="83"/>
      <c r="ET31" s="83"/>
      <c r="FD31" s="83"/>
      <c r="FN31" s="83"/>
      <c r="FX31" s="83"/>
      <c r="GH31" s="83"/>
      <c r="GR31" s="83"/>
      <c r="HB31" s="83"/>
      <c r="HL31" s="83"/>
      <c r="HV31" s="83"/>
      <c r="IF31" s="83"/>
      <c r="IP31" s="83"/>
      <c r="IZ31" s="83"/>
      <c r="JJ31" s="83"/>
      <c r="JT31" s="83"/>
      <c r="KD31" s="83"/>
      <c r="KN31" s="83"/>
      <c r="KX31" s="83"/>
      <c r="LH31" s="83"/>
      <c r="LR31" s="83"/>
      <c r="MB31" s="83"/>
      <c r="ML31" s="83"/>
      <c r="MV31" s="83"/>
      <c r="NF31" s="83"/>
      <c r="NP31" s="83"/>
      <c r="NZ31" s="83"/>
      <c r="OJ31" s="83"/>
      <c r="OT31" s="83"/>
      <c r="PD31" s="83"/>
      <c r="PN31" s="83"/>
      <c r="PX31" s="83"/>
      <c r="QH31" s="83"/>
      <c r="QR31" s="83"/>
      <c r="RB31" s="83"/>
      <c r="RL31" s="83"/>
      <c r="RV31" s="83"/>
      <c r="SF31" s="83"/>
      <c r="SP31" s="83"/>
      <c r="SZ31" s="83"/>
      <c r="TJ31" s="83"/>
      <c r="TT31" s="83"/>
      <c r="UD31" s="83"/>
      <c r="UN31" s="83"/>
      <c r="UX31" s="83"/>
      <c r="VH31" s="83"/>
      <c r="VR31" s="83"/>
      <c r="WB31" s="83"/>
      <c r="WL31" s="83"/>
      <c r="WV31" s="83"/>
      <c r="XF31" s="83"/>
      <c r="XP31" s="83"/>
      <c r="XZ31" s="83"/>
      <c r="YJ31" s="83"/>
      <c r="YT31" s="83"/>
      <c r="ZD31" s="83"/>
      <c r="ZN31" s="83"/>
      <c r="ZX31" s="83"/>
      <c r="AAH31" s="83"/>
      <c r="AAR31" s="83"/>
      <c r="ABB31" s="83"/>
      <c r="ABL31" s="83"/>
      <c r="ABV31" s="83"/>
      <c r="ACF31" s="83"/>
      <c r="ACP31" s="83"/>
      <c r="ACZ31" s="83"/>
      <c r="ADJ31" s="83"/>
      <c r="ADT31" s="83"/>
      <c r="AED31" s="83"/>
      <c r="AEN31" s="83"/>
      <c r="AEX31" s="83"/>
      <c r="AFH31" s="83"/>
      <c r="AFR31" s="83"/>
      <c r="AGB31" s="83"/>
      <c r="AGL31" s="83"/>
      <c r="AGV31" s="83"/>
      <c r="AHF31" s="83"/>
      <c r="AHP31" s="83"/>
      <c r="AHZ31" s="83"/>
      <c r="AIJ31" s="83"/>
      <c r="AIT31" s="83"/>
      <c r="AJD31" s="83"/>
      <c r="AJN31" s="83"/>
      <c r="AJX31" s="83"/>
      <c r="AKH31" s="83"/>
      <c r="AKR31" s="83"/>
      <c r="ALB31" s="83"/>
      <c r="ALL31" s="83"/>
      <c r="ALV31" s="83"/>
      <c r="AMF31" s="83"/>
      <c r="AMP31" s="83"/>
      <c r="AMZ31" s="83"/>
      <c r="ANJ31" s="83"/>
      <c r="ANT31" s="83"/>
      <c r="AOD31" s="83"/>
      <c r="AON31" s="83"/>
      <c r="AOX31" s="83"/>
      <c r="APH31" s="83"/>
      <c r="APR31" s="83"/>
      <c r="AQB31" s="83"/>
      <c r="AQL31" s="83"/>
      <c r="AQV31" s="83"/>
      <c r="ARF31" s="83"/>
      <c r="ARP31" s="83"/>
      <c r="ARZ31" s="83"/>
      <c r="ASJ31" s="83"/>
      <c r="AST31" s="83"/>
      <c r="ATD31" s="83"/>
      <c r="ATN31" s="83"/>
      <c r="ATX31" s="83"/>
      <c r="AUH31" s="83"/>
      <c r="AUR31" s="83"/>
      <c r="AVB31" s="83"/>
      <c r="AVL31" s="83"/>
      <c r="AVV31" s="83"/>
      <c r="AWF31" s="83"/>
      <c r="AWP31" s="83"/>
      <c r="AWZ31" s="83"/>
      <c r="AXJ31" s="83"/>
      <c r="AXT31" s="83"/>
      <c r="AYD31" s="83"/>
      <c r="AYN31" s="83"/>
      <c r="AYX31" s="83"/>
      <c r="AZH31" s="83"/>
      <c r="AZR31" s="83"/>
      <c r="BAB31" s="83"/>
      <c r="BAL31" s="83"/>
      <c r="BAV31" s="83"/>
      <c r="BBF31" s="83"/>
      <c r="BBP31" s="83"/>
      <c r="BBZ31" s="83"/>
      <c r="BCJ31" s="83"/>
      <c r="BCT31" s="83"/>
      <c r="BDD31" s="83"/>
      <c r="BDN31" s="83"/>
      <c r="BDX31" s="83"/>
      <c r="BEH31" s="83"/>
      <c r="BER31" s="83"/>
      <c r="BFB31" s="83"/>
      <c r="BFL31" s="83"/>
      <c r="BFV31" s="83"/>
      <c r="BGF31" s="83"/>
      <c r="BGP31" s="83"/>
      <c r="BGZ31" s="83"/>
      <c r="BHJ31" s="83"/>
      <c r="BHT31" s="83"/>
      <c r="BID31" s="83"/>
      <c r="BIN31" s="83"/>
      <c r="BIX31" s="83"/>
      <c r="BJH31" s="83"/>
      <c r="BJR31" s="83"/>
      <c r="BKB31" s="83"/>
      <c r="BKL31" s="83"/>
      <c r="BKV31" s="83"/>
      <c r="BLF31" s="83"/>
      <c r="BLP31" s="83"/>
      <c r="BLZ31" s="83"/>
      <c r="BMJ31" s="83"/>
      <c r="BMT31" s="83"/>
      <c r="BND31" s="83"/>
      <c r="BNN31" s="83"/>
      <c r="BNX31" s="83"/>
      <c r="BOH31" s="83"/>
      <c r="BOR31" s="83"/>
      <c r="BPB31" s="83"/>
      <c r="BPL31" s="83"/>
      <c r="BPV31" s="83"/>
      <c r="BQF31" s="83"/>
      <c r="BQP31" s="83"/>
      <c r="BQZ31" s="83"/>
      <c r="BRJ31" s="83"/>
      <c r="BRT31" s="83"/>
      <c r="BSD31" s="83"/>
      <c r="BSN31" s="83"/>
      <c r="BSX31" s="83"/>
      <c r="BTH31" s="83"/>
      <c r="BTR31" s="83"/>
      <c r="BUB31" s="83"/>
      <c r="BUL31" s="83"/>
      <c r="BUV31" s="83"/>
      <c r="BVF31" s="83"/>
      <c r="BVP31" s="83"/>
      <c r="BVZ31" s="83"/>
      <c r="BWJ31" s="83"/>
      <c r="BWT31" s="83"/>
      <c r="BXD31" s="83"/>
      <c r="BXN31" s="83"/>
      <c r="BXX31" s="83"/>
      <c r="BYH31" s="83"/>
      <c r="BYR31" s="83"/>
      <c r="BZB31" s="83"/>
      <c r="BZL31" s="83"/>
      <c r="BZV31" s="83"/>
      <c r="CAF31" s="83"/>
      <c r="CAP31" s="83"/>
      <c r="CAZ31" s="83"/>
      <c r="CBJ31" s="83"/>
      <c r="CBT31" s="83"/>
      <c r="CCD31" s="83"/>
      <c r="CCN31" s="83"/>
      <c r="CCX31" s="83"/>
      <c r="CDH31" s="83"/>
      <c r="CDR31" s="83"/>
      <c r="CEB31" s="83"/>
      <c r="CEL31" s="83"/>
      <c r="CEV31" s="83"/>
      <c r="CFF31" s="83"/>
      <c r="CFP31" s="83"/>
      <c r="CFZ31" s="83"/>
      <c r="CGJ31" s="83"/>
      <c r="CGT31" s="83"/>
      <c r="CHD31" s="83"/>
      <c r="CHN31" s="83"/>
      <c r="CHX31" s="83"/>
      <c r="CIH31" s="83"/>
      <c r="CIR31" s="83"/>
      <c r="CJB31" s="83"/>
      <c r="CJL31" s="83"/>
      <c r="CJV31" s="83"/>
      <c r="CKF31" s="83"/>
      <c r="CKP31" s="83"/>
      <c r="CKZ31" s="83"/>
      <c r="CLJ31" s="83"/>
      <c r="CLT31" s="83"/>
      <c r="CMD31" s="83"/>
      <c r="CMN31" s="83"/>
      <c r="CMX31" s="83"/>
      <c r="CNH31" s="83"/>
      <c r="CNR31" s="83"/>
      <c r="COB31" s="83"/>
      <c r="COL31" s="83"/>
      <c r="COV31" s="83"/>
      <c r="CPF31" s="83"/>
      <c r="CPP31" s="83"/>
      <c r="CPZ31" s="83"/>
      <c r="CQJ31" s="83"/>
      <c r="CQT31" s="83"/>
      <c r="CRD31" s="83"/>
      <c r="CRN31" s="83"/>
      <c r="CRX31" s="83"/>
      <c r="CSH31" s="83"/>
      <c r="CSR31" s="83"/>
      <c r="CTB31" s="83"/>
      <c r="CTL31" s="83"/>
      <c r="CTV31" s="83"/>
    </row>
    <row r="32" s="58" customFormat="1" customHeight="1" spans="1:1020 1030:2040 2050:2570">
      <c r="A32" s="79">
        <v>46147</v>
      </c>
      <c r="B32" s="80" t="s">
        <v>22</v>
      </c>
      <c r="C32" s="38" t="s">
        <v>23</v>
      </c>
      <c r="D32" s="75">
        <v>652345612</v>
      </c>
      <c r="E32" s="38" t="s">
        <v>57</v>
      </c>
      <c r="F32" s="75" t="str">
        <f>VLOOKUP(E32,[3]基础数据!E:H,2,0)</f>
        <v>LXA12EV10-BSU总成-02</v>
      </c>
      <c r="G32" s="38">
        <v>1280</v>
      </c>
      <c r="H32" s="75" t="str">
        <f>VLOOKUP(E32,[3]基础数据!E:H,4,0)</f>
        <v>料盒</v>
      </c>
      <c r="I32" s="75">
        <f>VLOOKUP(E32,[3]基础数据!E:G,3,0)</f>
        <v>20</v>
      </c>
      <c r="J32" s="75" t="s">
        <v>306</v>
      </c>
      <c r="K32" s="82">
        <f t="shared" si="0"/>
        <v>64</v>
      </c>
      <c r="T32" s="83"/>
      <c r="AD32" s="83"/>
      <c r="AN32" s="83"/>
      <c r="AX32" s="83"/>
      <c r="BH32" s="83"/>
      <c r="BR32" s="83"/>
      <c r="CB32" s="83"/>
      <c r="CL32" s="83"/>
      <c r="CV32" s="83"/>
      <c r="DF32" s="83"/>
      <c r="DP32" s="83"/>
      <c r="DZ32" s="83"/>
      <c r="EJ32" s="83"/>
      <c r="ET32" s="83"/>
      <c r="FD32" s="83"/>
      <c r="FN32" s="83"/>
      <c r="FX32" s="83"/>
      <c r="GH32" s="83"/>
      <c r="GR32" s="83"/>
      <c r="HB32" s="83"/>
      <c r="HL32" s="83"/>
      <c r="HV32" s="83"/>
      <c r="IF32" s="83"/>
      <c r="IP32" s="83"/>
      <c r="IZ32" s="83"/>
      <c r="JJ32" s="83"/>
      <c r="JT32" s="83"/>
      <c r="KD32" s="83"/>
      <c r="KN32" s="83"/>
      <c r="KX32" s="83"/>
      <c r="LH32" s="83"/>
      <c r="LR32" s="83"/>
      <c r="MB32" s="83"/>
      <c r="ML32" s="83"/>
      <c r="MV32" s="83"/>
      <c r="NF32" s="83"/>
      <c r="NP32" s="83"/>
      <c r="NZ32" s="83"/>
      <c r="OJ32" s="83"/>
      <c r="OT32" s="83"/>
      <c r="PD32" s="83"/>
      <c r="PN32" s="83"/>
      <c r="PX32" s="83"/>
      <c r="QH32" s="83"/>
      <c r="QR32" s="83"/>
      <c r="RB32" s="83"/>
      <c r="RL32" s="83"/>
      <c r="RV32" s="83"/>
      <c r="SF32" s="83"/>
      <c r="SP32" s="83"/>
      <c r="SZ32" s="83"/>
      <c r="TJ32" s="83"/>
      <c r="TT32" s="83"/>
      <c r="UD32" s="83"/>
      <c r="UN32" s="83"/>
      <c r="UX32" s="83"/>
      <c r="VH32" s="83"/>
      <c r="VR32" s="83"/>
      <c r="WB32" s="83"/>
      <c r="WL32" s="83"/>
      <c r="WV32" s="83"/>
      <c r="XF32" s="83"/>
      <c r="XP32" s="83"/>
      <c r="XZ32" s="83"/>
      <c r="YJ32" s="83"/>
      <c r="YT32" s="83"/>
      <c r="ZD32" s="83"/>
      <c r="ZN32" s="83"/>
      <c r="ZX32" s="83"/>
      <c r="AAH32" s="83"/>
      <c r="AAR32" s="83"/>
      <c r="ABB32" s="83"/>
      <c r="ABL32" s="83"/>
      <c r="ABV32" s="83"/>
      <c r="ACF32" s="83"/>
      <c r="ACP32" s="83"/>
      <c r="ACZ32" s="83"/>
      <c r="ADJ32" s="83"/>
      <c r="ADT32" s="83"/>
      <c r="AED32" s="83"/>
      <c r="AEN32" s="83"/>
      <c r="AEX32" s="83"/>
      <c r="AFH32" s="83"/>
      <c r="AFR32" s="83"/>
      <c r="AGB32" s="83"/>
      <c r="AGL32" s="83"/>
      <c r="AGV32" s="83"/>
      <c r="AHF32" s="83"/>
      <c r="AHP32" s="83"/>
      <c r="AHZ32" s="83"/>
      <c r="AIJ32" s="83"/>
      <c r="AIT32" s="83"/>
      <c r="AJD32" s="83"/>
      <c r="AJN32" s="83"/>
      <c r="AJX32" s="83"/>
      <c r="AKH32" s="83"/>
      <c r="AKR32" s="83"/>
      <c r="ALB32" s="83"/>
      <c r="ALL32" s="83"/>
      <c r="ALV32" s="83"/>
      <c r="AMF32" s="83"/>
      <c r="AMP32" s="83"/>
      <c r="AMZ32" s="83"/>
      <c r="ANJ32" s="83"/>
      <c r="ANT32" s="83"/>
      <c r="AOD32" s="83"/>
      <c r="AON32" s="83"/>
      <c r="AOX32" s="83"/>
      <c r="APH32" s="83"/>
      <c r="APR32" s="83"/>
      <c r="AQB32" s="83"/>
      <c r="AQL32" s="83"/>
      <c r="AQV32" s="83"/>
      <c r="ARF32" s="83"/>
      <c r="ARP32" s="83"/>
      <c r="ARZ32" s="83"/>
      <c r="ASJ32" s="83"/>
      <c r="AST32" s="83"/>
      <c r="ATD32" s="83"/>
      <c r="ATN32" s="83"/>
      <c r="ATX32" s="83"/>
      <c r="AUH32" s="83"/>
      <c r="AUR32" s="83"/>
      <c r="AVB32" s="83"/>
      <c r="AVL32" s="83"/>
      <c r="AVV32" s="83"/>
      <c r="AWF32" s="83"/>
      <c r="AWP32" s="83"/>
      <c r="AWZ32" s="83"/>
      <c r="AXJ32" s="83"/>
      <c r="AXT32" s="83"/>
      <c r="AYD32" s="83"/>
      <c r="AYN32" s="83"/>
      <c r="AYX32" s="83"/>
      <c r="AZH32" s="83"/>
      <c r="AZR32" s="83"/>
      <c r="BAB32" s="83"/>
      <c r="BAL32" s="83"/>
      <c r="BAV32" s="83"/>
      <c r="BBF32" s="83"/>
      <c r="BBP32" s="83"/>
      <c r="BBZ32" s="83"/>
      <c r="BCJ32" s="83"/>
      <c r="BCT32" s="83"/>
      <c r="BDD32" s="83"/>
      <c r="BDN32" s="83"/>
      <c r="BDX32" s="83"/>
      <c r="BEH32" s="83"/>
      <c r="BER32" s="83"/>
      <c r="BFB32" s="83"/>
      <c r="BFL32" s="83"/>
      <c r="BFV32" s="83"/>
      <c r="BGF32" s="83"/>
      <c r="BGP32" s="83"/>
      <c r="BGZ32" s="83"/>
      <c r="BHJ32" s="83"/>
      <c r="BHT32" s="83"/>
      <c r="BID32" s="83"/>
      <c r="BIN32" s="83"/>
      <c r="BIX32" s="83"/>
      <c r="BJH32" s="83"/>
      <c r="BJR32" s="83"/>
      <c r="BKB32" s="83"/>
      <c r="BKL32" s="83"/>
      <c r="BKV32" s="83"/>
      <c r="BLF32" s="83"/>
      <c r="BLP32" s="83"/>
      <c r="BLZ32" s="83"/>
      <c r="BMJ32" s="83"/>
      <c r="BMT32" s="83"/>
      <c r="BND32" s="83"/>
      <c r="BNN32" s="83"/>
      <c r="BNX32" s="83"/>
      <c r="BOH32" s="83"/>
      <c r="BOR32" s="83"/>
      <c r="BPB32" s="83"/>
      <c r="BPL32" s="83"/>
      <c r="BPV32" s="83"/>
      <c r="BQF32" s="83"/>
      <c r="BQP32" s="83"/>
      <c r="BQZ32" s="83"/>
      <c r="BRJ32" s="83"/>
      <c r="BRT32" s="83"/>
      <c r="BSD32" s="83"/>
      <c r="BSN32" s="83"/>
      <c r="BSX32" s="83"/>
      <c r="BTH32" s="83"/>
      <c r="BTR32" s="83"/>
      <c r="BUB32" s="83"/>
      <c r="BUL32" s="83"/>
      <c r="BUV32" s="83"/>
      <c r="BVF32" s="83"/>
      <c r="BVP32" s="83"/>
      <c r="BVZ32" s="83"/>
      <c r="BWJ32" s="83"/>
      <c r="BWT32" s="83"/>
      <c r="BXD32" s="83"/>
      <c r="BXN32" s="83"/>
      <c r="BXX32" s="83"/>
      <c r="BYH32" s="83"/>
      <c r="BYR32" s="83"/>
      <c r="BZB32" s="83"/>
      <c r="BZL32" s="83"/>
      <c r="BZV32" s="83"/>
      <c r="CAF32" s="83"/>
      <c r="CAP32" s="83"/>
      <c r="CAZ32" s="83"/>
      <c r="CBJ32" s="83"/>
      <c r="CBT32" s="83"/>
      <c r="CCD32" s="83"/>
      <c r="CCN32" s="83"/>
      <c r="CCX32" s="83"/>
      <c r="CDH32" s="83"/>
      <c r="CDR32" s="83"/>
      <c r="CEB32" s="83"/>
      <c r="CEL32" s="83"/>
      <c r="CEV32" s="83"/>
      <c r="CFF32" s="83"/>
      <c r="CFP32" s="83"/>
      <c r="CFZ32" s="83"/>
      <c r="CGJ32" s="83"/>
      <c r="CGT32" s="83"/>
      <c r="CHD32" s="83"/>
      <c r="CHN32" s="83"/>
      <c r="CHX32" s="83"/>
      <c r="CIH32" s="83"/>
      <c r="CIR32" s="83"/>
      <c r="CJB32" s="83"/>
      <c r="CJL32" s="83"/>
      <c r="CJV32" s="83"/>
      <c r="CKF32" s="83"/>
      <c r="CKP32" s="83"/>
      <c r="CKZ32" s="83"/>
      <c r="CLJ32" s="83"/>
      <c r="CLT32" s="83"/>
      <c r="CMD32" s="83"/>
      <c r="CMN32" s="83"/>
      <c r="CMX32" s="83"/>
      <c r="CNH32" s="83"/>
      <c r="CNR32" s="83"/>
      <c r="COB32" s="83"/>
      <c r="COL32" s="83"/>
      <c r="COV32" s="83"/>
      <c r="CPF32" s="83"/>
      <c r="CPP32" s="83"/>
      <c r="CPZ32" s="83"/>
      <c r="CQJ32" s="83"/>
      <c r="CQT32" s="83"/>
      <c r="CRD32" s="83"/>
      <c r="CRN32" s="83"/>
      <c r="CRX32" s="83"/>
      <c r="CSH32" s="83"/>
      <c r="CSR32" s="83"/>
      <c r="CTB32" s="83"/>
      <c r="CTL32" s="83"/>
      <c r="CTV32" s="83"/>
    </row>
    <row r="33" s="58" customFormat="1" customHeight="1" spans="1:1020 1030:2040 2050:2570">
      <c r="A33" s="79">
        <v>46147</v>
      </c>
      <c r="B33" s="80" t="s">
        <v>22</v>
      </c>
      <c r="C33" s="38" t="s">
        <v>23</v>
      </c>
      <c r="D33" s="75">
        <v>652345623</v>
      </c>
      <c r="E33" s="38" t="s">
        <v>54</v>
      </c>
      <c r="F33" s="75" t="str">
        <f>VLOOKUP(E33,[3]基础数据!E:H,2,0)</f>
        <v>LXA12EV10-BSU总成-01</v>
      </c>
      <c r="G33" s="38">
        <v>1600</v>
      </c>
      <c r="H33" s="75" t="str">
        <f>VLOOKUP(E33,[3]基础数据!E:H,4,0)</f>
        <v>料盒</v>
      </c>
      <c r="I33" s="75">
        <f>VLOOKUP(E33,[3]基础数据!E:G,3,0)</f>
        <v>20</v>
      </c>
      <c r="J33" s="75" t="s">
        <v>306</v>
      </c>
      <c r="K33" s="82">
        <f t="shared" si="0"/>
        <v>80</v>
      </c>
      <c r="T33" s="83"/>
      <c r="AD33" s="83"/>
      <c r="AN33" s="83"/>
      <c r="AX33" s="83"/>
      <c r="BH33" s="83"/>
      <c r="BR33" s="83"/>
      <c r="CB33" s="83"/>
      <c r="CL33" s="83"/>
      <c r="CV33" s="83"/>
      <c r="DF33" s="83"/>
      <c r="DP33" s="83"/>
      <c r="DZ33" s="83"/>
      <c r="EJ33" s="83"/>
      <c r="ET33" s="83"/>
      <c r="FD33" s="83"/>
      <c r="FN33" s="83"/>
      <c r="FX33" s="83"/>
      <c r="GH33" s="83"/>
      <c r="GR33" s="83"/>
      <c r="HB33" s="83"/>
      <c r="HL33" s="83"/>
      <c r="HV33" s="83"/>
      <c r="IF33" s="83"/>
      <c r="IP33" s="83"/>
      <c r="IZ33" s="83"/>
      <c r="JJ33" s="83"/>
      <c r="JT33" s="83"/>
      <c r="KD33" s="83"/>
      <c r="KN33" s="83"/>
      <c r="KX33" s="83"/>
      <c r="LH33" s="83"/>
      <c r="LR33" s="83"/>
      <c r="MB33" s="83"/>
      <c r="ML33" s="83"/>
      <c r="MV33" s="83"/>
      <c r="NF33" s="83"/>
      <c r="NP33" s="83"/>
      <c r="NZ33" s="83"/>
      <c r="OJ33" s="83"/>
      <c r="OT33" s="83"/>
      <c r="PD33" s="83"/>
      <c r="PN33" s="83"/>
      <c r="PX33" s="83"/>
      <c r="QH33" s="83"/>
      <c r="QR33" s="83"/>
      <c r="RB33" s="83"/>
      <c r="RL33" s="83"/>
      <c r="RV33" s="83"/>
      <c r="SF33" s="83"/>
      <c r="SP33" s="83"/>
      <c r="SZ33" s="83"/>
      <c r="TJ33" s="83"/>
      <c r="TT33" s="83"/>
      <c r="UD33" s="83"/>
      <c r="UN33" s="83"/>
      <c r="UX33" s="83"/>
      <c r="VH33" s="83"/>
      <c r="VR33" s="83"/>
      <c r="WB33" s="83"/>
      <c r="WL33" s="83"/>
      <c r="WV33" s="83"/>
      <c r="XF33" s="83"/>
      <c r="XP33" s="83"/>
      <c r="XZ33" s="83"/>
      <c r="YJ33" s="83"/>
      <c r="YT33" s="83"/>
      <c r="ZD33" s="83"/>
      <c r="ZN33" s="83"/>
      <c r="ZX33" s="83"/>
      <c r="AAH33" s="83"/>
      <c r="AAR33" s="83"/>
      <c r="ABB33" s="83"/>
      <c r="ABL33" s="83"/>
      <c r="ABV33" s="83"/>
      <c r="ACF33" s="83"/>
      <c r="ACP33" s="83"/>
      <c r="ACZ33" s="83"/>
      <c r="ADJ33" s="83"/>
      <c r="ADT33" s="83"/>
      <c r="AED33" s="83"/>
      <c r="AEN33" s="83"/>
      <c r="AEX33" s="83"/>
      <c r="AFH33" s="83"/>
      <c r="AFR33" s="83"/>
      <c r="AGB33" s="83"/>
      <c r="AGL33" s="83"/>
      <c r="AGV33" s="83"/>
      <c r="AHF33" s="83"/>
      <c r="AHP33" s="83"/>
      <c r="AHZ33" s="83"/>
      <c r="AIJ33" s="83"/>
      <c r="AIT33" s="83"/>
      <c r="AJD33" s="83"/>
      <c r="AJN33" s="83"/>
      <c r="AJX33" s="83"/>
      <c r="AKH33" s="83"/>
      <c r="AKR33" s="83"/>
      <c r="ALB33" s="83"/>
      <c r="ALL33" s="83"/>
      <c r="ALV33" s="83"/>
      <c r="AMF33" s="83"/>
      <c r="AMP33" s="83"/>
      <c r="AMZ33" s="83"/>
      <c r="ANJ33" s="83"/>
      <c r="ANT33" s="83"/>
      <c r="AOD33" s="83"/>
      <c r="AON33" s="83"/>
      <c r="AOX33" s="83"/>
      <c r="APH33" s="83"/>
      <c r="APR33" s="83"/>
      <c r="AQB33" s="83"/>
      <c r="AQL33" s="83"/>
      <c r="AQV33" s="83"/>
      <c r="ARF33" s="83"/>
      <c r="ARP33" s="83"/>
      <c r="ARZ33" s="83"/>
      <c r="ASJ33" s="83"/>
      <c r="AST33" s="83"/>
      <c r="ATD33" s="83"/>
      <c r="ATN33" s="83"/>
      <c r="ATX33" s="83"/>
      <c r="AUH33" s="83"/>
      <c r="AUR33" s="83"/>
      <c r="AVB33" s="83"/>
      <c r="AVL33" s="83"/>
      <c r="AVV33" s="83"/>
      <c r="AWF33" s="83"/>
      <c r="AWP33" s="83"/>
      <c r="AWZ33" s="83"/>
      <c r="AXJ33" s="83"/>
      <c r="AXT33" s="83"/>
      <c r="AYD33" s="83"/>
      <c r="AYN33" s="83"/>
      <c r="AYX33" s="83"/>
      <c r="AZH33" s="83"/>
      <c r="AZR33" s="83"/>
      <c r="BAB33" s="83"/>
      <c r="BAL33" s="83"/>
      <c r="BAV33" s="83"/>
      <c r="BBF33" s="83"/>
      <c r="BBP33" s="83"/>
      <c r="BBZ33" s="83"/>
      <c r="BCJ33" s="83"/>
      <c r="BCT33" s="83"/>
      <c r="BDD33" s="83"/>
      <c r="BDN33" s="83"/>
      <c r="BDX33" s="83"/>
      <c r="BEH33" s="83"/>
      <c r="BER33" s="83"/>
      <c r="BFB33" s="83"/>
      <c r="BFL33" s="83"/>
      <c r="BFV33" s="83"/>
      <c r="BGF33" s="83"/>
      <c r="BGP33" s="83"/>
      <c r="BGZ33" s="83"/>
      <c r="BHJ33" s="83"/>
      <c r="BHT33" s="83"/>
      <c r="BID33" s="83"/>
      <c r="BIN33" s="83"/>
      <c r="BIX33" s="83"/>
      <c r="BJH33" s="83"/>
      <c r="BJR33" s="83"/>
      <c r="BKB33" s="83"/>
      <c r="BKL33" s="83"/>
      <c r="BKV33" s="83"/>
      <c r="BLF33" s="83"/>
      <c r="BLP33" s="83"/>
      <c r="BLZ33" s="83"/>
      <c r="BMJ33" s="83"/>
      <c r="BMT33" s="83"/>
      <c r="BND33" s="83"/>
      <c r="BNN33" s="83"/>
      <c r="BNX33" s="83"/>
      <c r="BOH33" s="83"/>
      <c r="BOR33" s="83"/>
      <c r="BPB33" s="83"/>
      <c r="BPL33" s="83"/>
      <c r="BPV33" s="83"/>
      <c r="BQF33" s="83"/>
      <c r="BQP33" s="83"/>
      <c r="BQZ33" s="83"/>
      <c r="BRJ33" s="83"/>
      <c r="BRT33" s="83"/>
      <c r="BSD33" s="83"/>
      <c r="BSN33" s="83"/>
      <c r="BSX33" s="83"/>
      <c r="BTH33" s="83"/>
      <c r="BTR33" s="83"/>
      <c r="BUB33" s="83"/>
      <c r="BUL33" s="83"/>
      <c r="BUV33" s="83"/>
      <c r="BVF33" s="83"/>
      <c r="BVP33" s="83"/>
      <c r="BVZ33" s="83"/>
      <c r="BWJ33" s="83"/>
      <c r="BWT33" s="83"/>
      <c r="BXD33" s="83"/>
      <c r="BXN33" s="83"/>
      <c r="BXX33" s="83"/>
      <c r="BYH33" s="83"/>
      <c r="BYR33" s="83"/>
      <c r="BZB33" s="83"/>
      <c r="BZL33" s="83"/>
      <c r="BZV33" s="83"/>
      <c r="CAF33" s="83"/>
      <c r="CAP33" s="83"/>
      <c r="CAZ33" s="83"/>
      <c r="CBJ33" s="83"/>
      <c r="CBT33" s="83"/>
      <c r="CCD33" s="83"/>
      <c r="CCN33" s="83"/>
      <c r="CCX33" s="83"/>
      <c r="CDH33" s="83"/>
      <c r="CDR33" s="83"/>
      <c r="CEB33" s="83"/>
      <c r="CEL33" s="83"/>
      <c r="CEV33" s="83"/>
      <c r="CFF33" s="83"/>
      <c r="CFP33" s="83"/>
      <c r="CFZ33" s="83"/>
      <c r="CGJ33" s="83"/>
      <c r="CGT33" s="83"/>
      <c r="CHD33" s="83"/>
      <c r="CHN33" s="83"/>
      <c r="CHX33" s="83"/>
      <c r="CIH33" s="83"/>
      <c r="CIR33" s="83"/>
      <c r="CJB33" s="83"/>
      <c r="CJL33" s="83"/>
      <c r="CJV33" s="83"/>
      <c r="CKF33" s="83"/>
      <c r="CKP33" s="83"/>
      <c r="CKZ33" s="83"/>
      <c r="CLJ33" s="83"/>
      <c r="CLT33" s="83"/>
      <c r="CMD33" s="83"/>
      <c r="CMN33" s="83"/>
      <c r="CMX33" s="83"/>
      <c r="CNH33" s="83"/>
      <c r="CNR33" s="83"/>
      <c r="COB33" s="83"/>
      <c r="COL33" s="83"/>
      <c r="COV33" s="83"/>
      <c r="CPF33" s="83"/>
      <c r="CPP33" s="83"/>
      <c r="CPZ33" s="83"/>
      <c r="CQJ33" s="83"/>
      <c r="CQT33" s="83"/>
      <c r="CRD33" s="83"/>
      <c r="CRN33" s="83"/>
      <c r="CRX33" s="83"/>
      <c r="CSH33" s="83"/>
      <c r="CSR33" s="83"/>
      <c r="CTB33" s="83"/>
      <c r="CTL33" s="83"/>
      <c r="CTV33" s="83"/>
    </row>
    <row r="34" s="58" customFormat="1" customHeight="1" spans="1:1020 1030:2040 2050:2570">
      <c r="A34" s="79">
        <v>46147</v>
      </c>
      <c r="B34" s="80" t="s">
        <v>22</v>
      </c>
      <c r="C34" s="38" t="s">
        <v>23</v>
      </c>
      <c r="D34" s="75">
        <v>652345623</v>
      </c>
      <c r="E34" s="38" t="s">
        <v>57</v>
      </c>
      <c r="F34" s="75" t="str">
        <f>VLOOKUP(E34,[3]基础数据!E:H,2,0)</f>
        <v>LXA12EV10-BSU总成-02</v>
      </c>
      <c r="G34" s="38">
        <v>1600</v>
      </c>
      <c r="H34" s="75" t="str">
        <f>VLOOKUP(E34,[3]基础数据!E:H,4,0)</f>
        <v>料盒</v>
      </c>
      <c r="I34" s="75">
        <f>VLOOKUP(E34,[3]基础数据!E:G,3,0)</f>
        <v>20</v>
      </c>
      <c r="J34" s="75" t="s">
        <v>306</v>
      </c>
      <c r="K34" s="82">
        <f t="shared" si="0"/>
        <v>80</v>
      </c>
      <c r="T34" s="83"/>
      <c r="AD34" s="83"/>
      <c r="AN34" s="83"/>
      <c r="AX34" s="83"/>
      <c r="BH34" s="83"/>
      <c r="BR34" s="83"/>
      <c r="CB34" s="83"/>
      <c r="CL34" s="83"/>
      <c r="CV34" s="83"/>
      <c r="DF34" s="83"/>
      <c r="DP34" s="83"/>
      <c r="DZ34" s="83"/>
      <c r="EJ34" s="83"/>
      <c r="ET34" s="83"/>
      <c r="FD34" s="83"/>
      <c r="FN34" s="83"/>
      <c r="FX34" s="83"/>
      <c r="GH34" s="83"/>
      <c r="GR34" s="83"/>
      <c r="HB34" s="83"/>
      <c r="HL34" s="83"/>
      <c r="HV34" s="83"/>
      <c r="IF34" s="83"/>
      <c r="IP34" s="83"/>
      <c r="IZ34" s="83"/>
      <c r="JJ34" s="83"/>
      <c r="JT34" s="83"/>
      <c r="KD34" s="83"/>
      <c r="KN34" s="83"/>
      <c r="KX34" s="83"/>
      <c r="LH34" s="83"/>
      <c r="LR34" s="83"/>
      <c r="MB34" s="83"/>
      <c r="ML34" s="83"/>
      <c r="MV34" s="83"/>
      <c r="NF34" s="83"/>
      <c r="NP34" s="83"/>
      <c r="NZ34" s="83"/>
      <c r="OJ34" s="83"/>
      <c r="OT34" s="83"/>
      <c r="PD34" s="83"/>
      <c r="PN34" s="83"/>
      <c r="PX34" s="83"/>
      <c r="QH34" s="83"/>
      <c r="QR34" s="83"/>
      <c r="RB34" s="83"/>
      <c r="RL34" s="83"/>
      <c r="RV34" s="83"/>
      <c r="SF34" s="83"/>
      <c r="SP34" s="83"/>
      <c r="SZ34" s="83"/>
      <c r="TJ34" s="83"/>
      <c r="TT34" s="83"/>
      <c r="UD34" s="83"/>
      <c r="UN34" s="83"/>
      <c r="UX34" s="83"/>
      <c r="VH34" s="83"/>
      <c r="VR34" s="83"/>
      <c r="WB34" s="83"/>
      <c r="WL34" s="83"/>
      <c r="WV34" s="83"/>
      <c r="XF34" s="83"/>
      <c r="XP34" s="83"/>
      <c r="XZ34" s="83"/>
      <c r="YJ34" s="83"/>
      <c r="YT34" s="83"/>
      <c r="ZD34" s="83"/>
      <c r="ZN34" s="83"/>
      <c r="ZX34" s="83"/>
      <c r="AAH34" s="83"/>
      <c r="AAR34" s="83"/>
      <c r="ABB34" s="83"/>
      <c r="ABL34" s="83"/>
      <c r="ABV34" s="83"/>
      <c r="ACF34" s="83"/>
      <c r="ACP34" s="83"/>
      <c r="ACZ34" s="83"/>
      <c r="ADJ34" s="83"/>
      <c r="ADT34" s="83"/>
      <c r="AED34" s="83"/>
      <c r="AEN34" s="83"/>
      <c r="AEX34" s="83"/>
      <c r="AFH34" s="83"/>
      <c r="AFR34" s="83"/>
      <c r="AGB34" s="83"/>
      <c r="AGL34" s="83"/>
      <c r="AGV34" s="83"/>
      <c r="AHF34" s="83"/>
      <c r="AHP34" s="83"/>
      <c r="AHZ34" s="83"/>
      <c r="AIJ34" s="83"/>
      <c r="AIT34" s="83"/>
      <c r="AJD34" s="83"/>
      <c r="AJN34" s="83"/>
      <c r="AJX34" s="83"/>
      <c r="AKH34" s="83"/>
      <c r="AKR34" s="83"/>
      <c r="ALB34" s="83"/>
      <c r="ALL34" s="83"/>
      <c r="ALV34" s="83"/>
      <c r="AMF34" s="83"/>
      <c r="AMP34" s="83"/>
      <c r="AMZ34" s="83"/>
      <c r="ANJ34" s="83"/>
      <c r="ANT34" s="83"/>
      <c r="AOD34" s="83"/>
      <c r="AON34" s="83"/>
      <c r="AOX34" s="83"/>
      <c r="APH34" s="83"/>
      <c r="APR34" s="83"/>
      <c r="AQB34" s="83"/>
      <c r="AQL34" s="83"/>
      <c r="AQV34" s="83"/>
      <c r="ARF34" s="83"/>
      <c r="ARP34" s="83"/>
      <c r="ARZ34" s="83"/>
      <c r="ASJ34" s="83"/>
      <c r="AST34" s="83"/>
      <c r="ATD34" s="83"/>
      <c r="ATN34" s="83"/>
      <c r="ATX34" s="83"/>
      <c r="AUH34" s="83"/>
      <c r="AUR34" s="83"/>
      <c r="AVB34" s="83"/>
      <c r="AVL34" s="83"/>
      <c r="AVV34" s="83"/>
      <c r="AWF34" s="83"/>
      <c r="AWP34" s="83"/>
      <c r="AWZ34" s="83"/>
      <c r="AXJ34" s="83"/>
      <c r="AXT34" s="83"/>
      <c r="AYD34" s="83"/>
      <c r="AYN34" s="83"/>
      <c r="AYX34" s="83"/>
      <c r="AZH34" s="83"/>
      <c r="AZR34" s="83"/>
      <c r="BAB34" s="83"/>
      <c r="BAL34" s="83"/>
      <c r="BAV34" s="83"/>
      <c r="BBF34" s="83"/>
      <c r="BBP34" s="83"/>
      <c r="BBZ34" s="83"/>
      <c r="BCJ34" s="83"/>
      <c r="BCT34" s="83"/>
      <c r="BDD34" s="83"/>
      <c r="BDN34" s="83"/>
      <c r="BDX34" s="83"/>
      <c r="BEH34" s="83"/>
      <c r="BER34" s="83"/>
      <c r="BFB34" s="83"/>
      <c r="BFL34" s="83"/>
      <c r="BFV34" s="83"/>
      <c r="BGF34" s="83"/>
      <c r="BGP34" s="83"/>
      <c r="BGZ34" s="83"/>
      <c r="BHJ34" s="83"/>
      <c r="BHT34" s="83"/>
      <c r="BID34" s="83"/>
      <c r="BIN34" s="83"/>
      <c r="BIX34" s="83"/>
      <c r="BJH34" s="83"/>
      <c r="BJR34" s="83"/>
      <c r="BKB34" s="83"/>
      <c r="BKL34" s="83"/>
      <c r="BKV34" s="83"/>
      <c r="BLF34" s="83"/>
      <c r="BLP34" s="83"/>
      <c r="BLZ34" s="83"/>
      <c r="BMJ34" s="83"/>
      <c r="BMT34" s="83"/>
      <c r="BND34" s="83"/>
      <c r="BNN34" s="83"/>
      <c r="BNX34" s="83"/>
      <c r="BOH34" s="83"/>
      <c r="BOR34" s="83"/>
      <c r="BPB34" s="83"/>
      <c r="BPL34" s="83"/>
      <c r="BPV34" s="83"/>
      <c r="BQF34" s="83"/>
      <c r="BQP34" s="83"/>
      <c r="BQZ34" s="83"/>
      <c r="BRJ34" s="83"/>
      <c r="BRT34" s="83"/>
      <c r="BSD34" s="83"/>
      <c r="BSN34" s="83"/>
      <c r="BSX34" s="83"/>
      <c r="BTH34" s="83"/>
      <c r="BTR34" s="83"/>
      <c r="BUB34" s="83"/>
      <c r="BUL34" s="83"/>
      <c r="BUV34" s="83"/>
      <c r="BVF34" s="83"/>
      <c r="BVP34" s="83"/>
      <c r="BVZ34" s="83"/>
      <c r="BWJ34" s="83"/>
      <c r="BWT34" s="83"/>
      <c r="BXD34" s="83"/>
      <c r="BXN34" s="83"/>
      <c r="BXX34" s="83"/>
      <c r="BYH34" s="83"/>
      <c r="BYR34" s="83"/>
      <c r="BZB34" s="83"/>
      <c r="BZL34" s="83"/>
      <c r="BZV34" s="83"/>
      <c r="CAF34" s="83"/>
      <c r="CAP34" s="83"/>
      <c r="CAZ34" s="83"/>
      <c r="CBJ34" s="83"/>
      <c r="CBT34" s="83"/>
      <c r="CCD34" s="83"/>
      <c r="CCN34" s="83"/>
      <c r="CCX34" s="83"/>
      <c r="CDH34" s="83"/>
      <c r="CDR34" s="83"/>
      <c r="CEB34" s="83"/>
      <c r="CEL34" s="83"/>
      <c r="CEV34" s="83"/>
      <c r="CFF34" s="83"/>
      <c r="CFP34" s="83"/>
      <c r="CFZ34" s="83"/>
      <c r="CGJ34" s="83"/>
      <c r="CGT34" s="83"/>
      <c r="CHD34" s="83"/>
      <c r="CHN34" s="83"/>
      <c r="CHX34" s="83"/>
      <c r="CIH34" s="83"/>
      <c r="CIR34" s="83"/>
      <c r="CJB34" s="83"/>
      <c r="CJL34" s="83"/>
      <c r="CJV34" s="83"/>
      <c r="CKF34" s="83"/>
      <c r="CKP34" s="83"/>
      <c r="CKZ34" s="83"/>
      <c r="CLJ34" s="83"/>
      <c r="CLT34" s="83"/>
      <c r="CMD34" s="83"/>
      <c r="CMN34" s="83"/>
      <c r="CMX34" s="83"/>
      <c r="CNH34" s="83"/>
      <c r="CNR34" s="83"/>
      <c r="COB34" s="83"/>
      <c r="COL34" s="83"/>
      <c r="COV34" s="83"/>
      <c r="CPF34" s="83"/>
      <c r="CPP34" s="83"/>
      <c r="CPZ34" s="83"/>
      <c r="CQJ34" s="83"/>
      <c r="CQT34" s="83"/>
      <c r="CRD34" s="83"/>
      <c r="CRN34" s="83"/>
      <c r="CRX34" s="83"/>
      <c r="CSH34" s="83"/>
      <c r="CSR34" s="83"/>
      <c r="CTB34" s="83"/>
      <c r="CTL34" s="83"/>
      <c r="CTV34" s="83"/>
    </row>
    <row r="35" s="58" customFormat="1" customHeight="1" spans="1:1020 1030:2040 2050:2570">
      <c r="A35" s="79">
        <v>46148</v>
      </c>
      <c r="B35" s="80" t="s">
        <v>22</v>
      </c>
      <c r="C35" s="38" t="s">
        <v>23</v>
      </c>
      <c r="D35" s="75">
        <v>652350054</v>
      </c>
      <c r="E35" s="38" t="s">
        <v>111</v>
      </c>
      <c r="F35" s="75" t="str">
        <f>VLOOKUP(E35,[4]基础数据!E:H,2,0)</f>
        <v>LS-CCUM001-AA-V1.06 三防漆双面 908_067</v>
      </c>
      <c r="G35" s="38">
        <v>544</v>
      </c>
      <c r="H35" s="75" t="str">
        <f>VLOOKUP(E35,[4]基础数据!E:H,4,0)</f>
        <v>料盒</v>
      </c>
      <c r="I35" s="75">
        <f>VLOOKUP(E35,[4]基础数据!E:G,3,0)</f>
        <v>8</v>
      </c>
      <c r="J35" s="75" t="s">
        <v>306</v>
      </c>
      <c r="K35" s="82">
        <f t="shared" si="0"/>
        <v>68</v>
      </c>
      <c r="T35" s="83"/>
      <c r="AD35" s="83"/>
      <c r="AN35" s="83"/>
      <c r="AX35" s="83"/>
      <c r="BH35" s="83"/>
      <c r="BR35" s="83"/>
      <c r="CB35" s="83"/>
      <c r="CL35" s="83"/>
      <c r="CV35" s="83"/>
      <c r="DF35" s="83"/>
      <c r="DP35" s="83"/>
      <c r="DZ35" s="83"/>
      <c r="EJ35" s="83"/>
      <c r="ET35" s="83"/>
      <c r="FD35" s="83"/>
      <c r="FN35" s="83"/>
      <c r="FX35" s="83"/>
      <c r="GH35" s="83"/>
      <c r="GR35" s="83"/>
      <c r="HB35" s="83"/>
      <c r="HL35" s="83"/>
      <c r="HV35" s="83"/>
      <c r="IF35" s="83"/>
      <c r="IP35" s="83"/>
      <c r="IZ35" s="83"/>
      <c r="JJ35" s="83"/>
      <c r="JT35" s="83"/>
      <c r="KD35" s="83"/>
      <c r="KN35" s="83"/>
      <c r="KX35" s="83"/>
      <c r="LH35" s="83"/>
      <c r="LR35" s="83"/>
      <c r="MB35" s="83"/>
      <c r="ML35" s="83"/>
      <c r="MV35" s="83"/>
      <c r="NF35" s="83"/>
      <c r="NP35" s="83"/>
      <c r="NZ35" s="83"/>
      <c r="OJ35" s="83"/>
      <c r="OT35" s="83"/>
      <c r="PD35" s="83"/>
      <c r="PN35" s="83"/>
      <c r="PX35" s="83"/>
      <c r="QH35" s="83"/>
      <c r="QR35" s="83"/>
      <c r="RB35" s="83"/>
      <c r="RL35" s="83"/>
      <c r="RV35" s="83"/>
      <c r="SF35" s="83"/>
      <c r="SP35" s="83"/>
      <c r="SZ35" s="83"/>
      <c r="TJ35" s="83"/>
      <c r="TT35" s="83"/>
      <c r="UD35" s="83"/>
      <c r="UN35" s="83"/>
      <c r="UX35" s="83"/>
      <c r="VH35" s="83"/>
      <c r="VR35" s="83"/>
      <c r="WB35" s="83"/>
      <c r="WL35" s="83"/>
      <c r="WV35" s="83"/>
      <c r="XF35" s="83"/>
      <c r="XP35" s="83"/>
      <c r="XZ35" s="83"/>
      <c r="YJ35" s="83"/>
      <c r="YT35" s="83"/>
      <c r="ZD35" s="83"/>
      <c r="ZN35" s="83"/>
      <c r="ZX35" s="83"/>
      <c r="AAH35" s="83"/>
      <c r="AAR35" s="83"/>
      <c r="ABB35" s="83"/>
      <c r="ABL35" s="83"/>
      <c r="ABV35" s="83"/>
      <c r="ACF35" s="83"/>
      <c r="ACP35" s="83"/>
      <c r="ACZ35" s="83"/>
      <c r="ADJ35" s="83"/>
      <c r="ADT35" s="83"/>
      <c r="AED35" s="83"/>
      <c r="AEN35" s="83"/>
      <c r="AEX35" s="83"/>
      <c r="AFH35" s="83"/>
      <c r="AFR35" s="83"/>
      <c r="AGB35" s="83"/>
      <c r="AGL35" s="83"/>
      <c r="AGV35" s="83"/>
      <c r="AHF35" s="83"/>
      <c r="AHP35" s="83"/>
      <c r="AHZ35" s="83"/>
      <c r="AIJ35" s="83"/>
      <c r="AIT35" s="83"/>
      <c r="AJD35" s="83"/>
      <c r="AJN35" s="83"/>
      <c r="AJX35" s="83"/>
      <c r="AKH35" s="83"/>
      <c r="AKR35" s="83"/>
      <c r="ALB35" s="83"/>
      <c r="ALL35" s="83"/>
      <c r="ALV35" s="83"/>
      <c r="AMF35" s="83"/>
      <c r="AMP35" s="83"/>
      <c r="AMZ35" s="83"/>
      <c r="ANJ35" s="83"/>
      <c r="ANT35" s="83"/>
      <c r="AOD35" s="83"/>
      <c r="AON35" s="83"/>
      <c r="AOX35" s="83"/>
      <c r="APH35" s="83"/>
      <c r="APR35" s="83"/>
      <c r="AQB35" s="83"/>
      <c r="AQL35" s="83"/>
      <c r="AQV35" s="83"/>
      <c r="ARF35" s="83"/>
      <c r="ARP35" s="83"/>
      <c r="ARZ35" s="83"/>
      <c r="ASJ35" s="83"/>
      <c r="AST35" s="83"/>
      <c r="ATD35" s="83"/>
      <c r="ATN35" s="83"/>
      <c r="ATX35" s="83"/>
      <c r="AUH35" s="83"/>
      <c r="AUR35" s="83"/>
      <c r="AVB35" s="83"/>
      <c r="AVL35" s="83"/>
      <c r="AVV35" s="83"/>
      <c r="AWF35" s="83"/>
      <c r="AWP35" s="83"/>
      <c r="AWZ35" s="83"/>
      <c r="AXJ35" s="83"/>
      <c r="AXT35" s="83"/>
      <c r="AYD35" s="83"/>
      <c r="AYN35" s="83"/>
      <c r="AYX35" s="83"/>
      <c r="AZH35" s="83"/>
      <c r="AZR35" s="83"/>
      <c r="BAB35" s="83"/>
      <c r="BAL35" s="83"/>
      <c r="BAV35" s="83"/>
      <c r="BBF35" s="83"/>
      <c r="BBP35" s="83"/>
      <c r="BBZ35" s="83"/>
      <c r="BCJ35" s="83"/>
      <c r="BCT35" s="83"/>
      <c r="BDD35" s="83"/>
      <c r="BDN35" s="83"/>
      <c r="BDX35" s="83"/>
      <c r="BEH35" s="83"/>
      <c r="BER35" s="83"/>
      <c r="BFB35" s="83"/>
      <c r="BFL35" s="83"/>
      <c r="BFV35" s="83"/>
      <c r="BGF35" s="83"/>
      <c r="BGP35" s="83"/>
      <c r="BGZ35" s="83"/>
      <c r="BHJ35" s="83"/>
      <c r="BHT35" s="83"/>
      <c r="BID35" s="83"/>
      <c r="BIN35" s="83"/>
      <c r="BIX35" s="83"/>
      <c r="BJH35" s="83"/>
      <c r="BJR35" s="83"/>
      <c r="BKB35" s="83"/>
      <c r="BKL35" s="83"/>
      <c r="BKV35" s="83"/>
      <c r="BLF35" s="83"/>
      <c r="BLP35" s="83"/>
      <c r="BLZ35" s="83"/>
      <c r="BMJ35" s="83"/>
      <c r="BMT35" s="83"/>
      <c r="BND35" s="83"/>
      <c r="BNN35" s="83"/>
      <c r="BNX35" s="83"/>
      <c r="BOH35" s="83"/>
      <c r="BOR35" s="83"/>
      <c r="BPB35" s="83"/>
      <c r="BPL35" s="83"/>
      <c r="BPV35" s="83"/>
      <c r="BQF35" s="83"/>
      <c r="BQP35" s="83"/>
      <c r="BQZ35" s="83"/>
      <c r="BRJ35" s="83"/>
      <c r="BRT35" s="83"/>
      <c r="BSD35" s="83"/>
      <c r="BSN35" s="83"/>
      <c r="BSX35" s="83"/>
      <c r="BTH35" s="83"/>
      <c r="BTR35" s="83"/>
      <c r="BUB35" s="83"/>
      <c r="BUL35" s="83"/>
      <c r="BUV35" s="83"/>
      <c r="BVF35" s="83"/>
      <c r="BVP35" s="83"/>
      <c r="BVZ35" s="83"/>
      <c r="BWJ35" s="83"/>
      <c r="BWT35" s="83"/>
      <c r="BXD35" s="83"/>
      <c r="BXN35" s="83"/>
      <c r="BXX35" s="83"/>
      <c r="BYH35" s="83"/>
      <c r="BYR35" s="83"/>
      <c r="BZB35" s="83"/>
      <c r="BZL35" s="83"/>
      <c r="BZV35" s="83"/>
      <c r="CAF35" s="83"/>
      <c r="CAP35" s="83"/>
      <c r="CAZ35" s="83"/>
      <c r="CBJ35" s="83"/>
      <c r="CBT35" s="83"/>
      <c r="CCD35" s="83"/>
      <c r="CCN35" s="83"/>
      <c r="CCX35" s="83"/>
      <c r="CDH35" s="83"/>
      <c r="CDR35" s="83"/>
      <c r="CEB35" s="83"/>
      <c r="CEL35" s="83"/>
      <c r="CEV35" s="83"/>
      <c r="CFF35" s="83"/>
      <c r="CFP35" s="83"/>
      <c r="CFZ35" s="83"/>
      <c r="CGJ35" s="83"/>
      <c r="CGT35" s="83"/>
      <c r="CHD35" s="83"/>
      <c r="CHN35" s="83"/>
      <c r="CHX35" s="83"/>
      <c r="CIH35" s="83"/>
      <c r="CIR35" s="83"/>
      <c r="CJB35" s="83"/>
      <c r="CJL35" s="83"/>
      <c r="CJV35" s="83"/>
      <c r="CKF35" s="83"/>
      <c r="CKP35" s="83"/>
      <c r="CKZ35" s="83"/>
      <c r="CLJ35" s="83"/>
      <c r="CLT35" s="83"/>
      <c r="CMD35" s="83"/>
      <c r="CMN35" s="83"/>
      <c r="CMX35" s="83"/>
      <c r="CNH35" s="83"/>
      <c r="CNR35" s="83"/>
      <c r="COB35" s="83"/>
      <c r="COL35" s="83"/>
      <c r="COV35" s="83"/>
      <c r="CPF35" s="83"/>
      <c r="CPP35" s="83"/>
      <c r="CPZ35" s="83"/>
      <c r="CQJ35" s="83"/>
      <c r="CQT35" s="83"/>
      <c r="CRD35" s="83"/>
      <c r="CRN35" s="83"/>
      <c r="CRX35" s="83"/>
      <c r="CSH35" s="83"/>
      <c r="CSR35" s="83"/>
      <c r="CTB35" s="83"/>
      <c r="CTL35" s="83"/>
      <c r="CTV35" s="83"/>
    </row>
    <row r="36" s="58" customFormat="1" customHeight="1" spans="1:1020 1030:2040 2050:2570">
      <c r="A36" s="79">
        <v>46148</v>
      </c>
      <c r="B36" s="80" t="s">
        <v>22</v>
      </c>
      <c r="C36" s="38" t="s">
        <v>23</v>
      </c>
      <c r="D36" s="75">
        <v>652350054</v>
      </c>
      <c r="E36" s="38" t="s">
        <v>78</v>
      </c>
      <c r="F36" s="75" t="str">
        <f>VLOOKUP(E36,[4]基础数据!E:H,2,0)</f>
        <v>LS-CCUG001-AA-V1.03 三防漆单面 926_014</v>
      </c>
      <c r="G36" s="38">
        <v>144</v>
      </c>
      <c r="H36" s="75" t="str">
        <f>VLOOKUP(E36,[4]基础数据!E:H,4,0)</f>
        <v>料盒</v>
      </c>
      <c r="I36" s="75">
        <f>VLOOKUP(E36,[4]基础数据!E:G,3,0)</f>
        <v>72</v>
      </c>
      <c r="J36" s="75" t="s">
        <v>306</v>
      </c>
      <c r="K36" s="82">
        <f t="shared" si="0"/>
        <v>2</v>
      </c>
      <c r="T36" s="83"/>
      <c r="AD36" s="83"/>
      <c r="AN36" s="83"/>
      <c r="AX36" s="83"/>
      <c r="BH36" s="83"/>
      <c r="BR36" s="83"/>
      <c r="CB36" s="83"/>
      <c r="CL36" s="83"/>
      <c r="CV36" s="83"/>
      <c r="DF36" s="83"/>
      <c r="DP36" s="83"/>
      <c r="DZ36" s="83"/>
      <c r="EJ36" s="83"/>
      <c r="ET36" s="83"/>
      <c r="FD36" s="83"/>
      <c r="FN36" s="83"/>
      <c r="FX36" s="83"/>
      <c r="GH36" s="83"/>
      <c r="GR36" s="83"/>
      <c r="HB36" s="83"/>
      <c r="HL36" s="83"/>
      <c r="HV36" s="83"/>
      <c r="IF36" s="83"/>
      <c r="IP36" s="83"/>
      <c r="IZ36" s="83"/>
      <c r="JJ36" s="83"/>
      <c r="JT36" s="83"/>
      <c r="KD36" s="83"/>
      <c r="KN36" s="83"/>
      <c r="KX36" s="83"/>
      <c r="LH36" s="83"/>
      <c r="LR36" s="83"/>
      <c r="MB36" s="83"/>
      <c r="ML36" s="83"/>
      <c r="MV36" s="83"/>
      <c r="NF36" s="83"/>
      <c r="NP36" s="83"/>
      <c r="NZ36" s="83"/>
      <c r="OJ36" s="83"/>
      <c r="OT36" s="83"/>
      <c r="PD36" s="83"/>
      <c r="PN36" s="83"/>
      <c r="PX36" s="83"/>
      <c r="QH36" s="83"/>
      <c r="QR36" s="83"/>
      <c r="RB36" s="83"/>
      <c r="RL36" s="83"/>
      <c r="RV36" s="83"/>
      <c r="SF36" s="83"/>
      <c r="SP36" s="83"/>
      <c r="SZ36" s="83"/>
      <c r="TJ36" s="83"/>
      <c r="TT36" s="83"/>
      <c r="UD36" s="83"/>
      <c r="UN36" s="83"/>
      <c r="UX36" s="83"/>
      <c r="VH36" s="83"/>
      <c r="VR36" s="83"/>
      <c r="WB36" s="83"/>
      <c r="WL36" s="83"/>
      <c r="WV36" s="83"/>
      <c r="XF36" s="83"/>
      <c r="XP36" s="83"/>
      <c r="XZ36" s="83"/>
      <c r="YJ36" s="83"/>
      <c r="YT36" s="83"/>
      <c r="ZD36" s="83"/>
      <c r="ZN36" s="83"/>
      <c r="ZX36" s="83"/>
      <c r="AAH36" s="83"/>
      <c r="AAR36" s="83"/>
      <c r="ABB36" s="83"/>
      <c r="ABL36" s="83"/>
      <c r="ABV36" s="83"/>
      <c r="ACF36" s="83"/>
      <c r="ACP36" s="83"/>
      <c r="ACZ36" s="83"/>
      <c r="ADJ36" s="83"/>
      <c r="ADT36" s="83"/>
      <c r="AED36" s="83"/>
      <c r="AEN36" s="83"/>
      <c r="AEX36" s="83"/>
      <c r="AFH36" s="83"/>
      <c r="AFR36" s="83"/>
      <c r="AGB36" s="83"/>
      <c r="AGL36" s="83"/>
      <c r="AGV36" s="83"/>
      <c r="AHF36" s="83"/>
      <c r="AHP36" s="83"/>
      <c r="AHZ36" s="83"/>
      <c r="AIJ36" s="83"/>
      <c r="AIT36" s="83"/>
      <c r="AJD36" s="83"/>
      <c r="AJN36" s="83"/>
      <c r="AJX36" s="83"/>
      <c r="AKH36" s="83"/>
      <c r="AKR36" s="83"/>
      <c r="ALB36" s="83"/>
      <c r="ALL36" s="83"/>
      <c r="ALV36" s="83"/>
      <c r="AMF36" s="83"/>
      <c r="AMP36" s="83"/>
      <c r="AMZ36" s="83"/>
      <c r="ANJ36" s="83"/>
      <c r="ANT36" s="83"/>
      <c r="AOD36" s="83"/>
      <c r="AON36" s="83"/>
      <c r="AOX36" s="83"/>
      <c r="APH36" s="83"/>
      <c r="APR36" s="83"/>
      <c r="AQB36" s="83"/>
      <c r="AQL36" s="83"/>
      <c r="AQV36" s="83"/>
      <c r="ARF36" s="83"/>
      <c r="ARP36" s="83"/>
      <c r="ARZ36" s="83"/>
      <c r="ASJ36" s="83"/>
      <c r="AST36" s="83"/>
      <c r="ATD36" s="83"/>
      <c r="ATN36" s="83"/>
      <c r="ATX36" s="83"/>
      <c r="AUH36" s="83"/>
      <c r="AUR36" s="83"/>
      <c r="AVB36" s="83"/>
      <c r="AVL36" s="83"/>
      <c r="AVV36" s="83"/>
      <c r="AWF36" s="83"/>
      <c r="AWP36" s="83"/>
      <c r="AWZ36" s="83"/>
      <c r="AXJ36" s="83"/>
      <c r="AXT36" s="83"/>
      <c r="AYD36" s="83"/>
      <c r="AYN36" s="83"/>
      <c r="AYX36" s="83"/>
      <c r="AZH36" s="83"/>
      <c r="AZR36" s="83"/>
      <c r="BAB36" s="83"/>
      <c r="BAL36" s="83"/>
      <c r="BAV36" s="83"/>
      <c r="BBF36" s="83"/>
      <c r="BBP36" s="83"/>
      <c r="BBZ36" s="83"/>
      <c r="BCJ36" s="83"/>
      <c r="BCT36" s="83"/>
      <c r="BDD36" s="83"/>
      <c r="BDN36" s="83"/>
      <c r="BDX36" s="83"/>
      <c r="BEH36" s="83"/>
      <c r="BER36" s="83"/>
      <c r="BFB36" s="83"/>
      <c r="BFL36" s="83"/>
      <c r="BFV36" s="83"/>
      <c r="BGF36" s="83"/>
      <c r="BGP36" s="83"/>
      <c r="BGZ36" s="83"/>
      <c r="BHJ36" s="83"/>
      <c r="BHT36" s="83"/>
      <c r="BID36" s="83"/>
      <c r="BIN36" s="83"/>
      <c r="BIX36" s="83"/>
      <c r="BJH36" s="83"/>
      <c r="BJR36" s="83"/>
      <c r="BKB36" s="83"/>
      <c r="BKL36" s="83"/>
      <c r="BKV36" s="83"/>
      <c r="BLF36" s="83"/>
      <c r="BLP36" s="83"/>
      <c r="BLZ36" s="83"/>
      <c r="BMJ36" s="83"/>
      <c r="BMT36" s="83"/>
      <c r="BND36" s="83"/>
      <c r="BNN36" s="83"/>
      <c r="BNX36" s="83"/>
      <c r="BOH36" s="83"/>
      <c r="BOR36" s="83"/>
      <c r="BPB36" s="83"/>
      <c r="BPL36" s="83"/>
      <c r="BPV36" s="83"/>
      <c r="BQF36" s="83"/>
      <c r="BQP36" s="83"/>
      <c r="BQZ36" s="83"/>
      <c r="BRJ36" s="83"/>
      <c r="BRT36" s="83"/>
      <c r="BSD36" s="83"/>
      <c r="BSN36" s="83"/>
      <c r="BSX36" s="83"/>
      <c r="BTH36" s="83"/>
      <c r="BTR36" s="83"/>
      <c r="BUB36" s="83"/>
      <c r="BUL36" s="83"/>
      <c r="BUV36" s="83"/>
      <c r="BVF36" s="83"/>
      <c r="BVP36" s="83"/>
      <c r="BVZ36" s="83"/>
      <c r="BWJ36" s="83"/>
      <c r="BWT36" s="83"/>
      <c r="BXD36" s="83"/>
      <c r="BXN36" s="83"/>
      <c r="BXX36" s="83"/>
      <c r="BYH36" s="83"/>
      <c r="BYR36" s="83"/>
      <c r="BZB36" s="83"/>
      <c r="BZL36" s="83"/>
      <c r="BZV36" s="83"/>
      <c r="CAF36" s="83"/>
      <c r="CAP36" s="83"/>
      <c r="CAZ36" s="83"/>
      <c r="CBJ36" s="83"/>
      <c r="CBT36" s="83"/>
      <c r="CCD36" s="83"/>
      <c r="CCN36" s="83"/>
      <c r="CCX36" s="83"/>
      <c r="CDH36" s="83"/>
      <c r="CDR36" s="83"/>
      <c r="CEB36" s="83"/>
      <c r="CEL36" s="83"/>
      <c r="CEV36" s="83"/>
      <c r="CFF36" s="83"/>
      <c r="CFP36" s="83"/>
      <c r="CFZ36" s="83"/>
      <c r="CGJ36" s="83"/>
      <c r="CGT36" s="83"/>
      <c r="CHD36" s="83"/>
      <c r="CHN36" s="83"/>
      <c r="CHX36" s="83"/>
      <c r="CIH36" s="83"/>
      <c r="CIR36" s="83"/>
      <c r="CJB36" s="83"/>
      <c r="CJL36" s="83"/>
      <c r="CJV36" s="83"/>
      <c r="CKF36" s="83"/>
      <c r="CKP36" s="83"/>
      <c r="CKZ36" s="83"/>
      <c r="CLJ36" s="83"/>
      <c r="CLT36" s="83"/>
      <c r="CMD36" s="83"/>
      <c r="CMN36" s="83"/>
      <c r="CMX36" s="83"/>
      <c r="CNH36" s="83"/>
      <c r="CNR36" s="83"/>
      <c r="COB36" s="83"/>
      <c r="COL36" s="83"/>
      <c r="COV36" s="83"/>
      <c r="CPF36" s="83"/>
      <c r="CPP36" s="83"/>
      <c r="CPZ36" s="83"/>
      <c r="CQJ36" s="83"/>
      <c r="CQT36" s="83"/>
      <c r="CRD36" s="83"/>
      <c r="CRN36" s="83"/>
      <c r="CRX36" s="83"/>
      <c r="CSH36" s="83"/>
      <c r="CSR36" s="83"/>
      <c r="CTB36" s="83"/>
      <c r="CTL36" s="83"/>
      <c r="CTV36" s="83"/>
    </row>
    <row r="37" s="58" customFormat="1" customHeight="1" spans="1:1020 1030:2040 2050:2570">
      <c r="A37" s="79">
        <v>46148</v>
      </c>
      <c r="B37" s="80" t="s">
        <v>22</v>
      </c>
      <c r="C37" s="38" t="s">
        <v>23</v>
      </c>
      <c r="D37" s="75">
        <v>652350054</v>
      </c>
      <c r="E37" s="38" t="s">
        <v>69</v>
      </c>
      <c r="F37" s="75" t="str">
        <f>VLOOKUP(E37,[4]基础数据!E:H,2,0)</f>
        <v>LS-CCMM024-AA-V1.01_三防漆双面 930_006</v>
      </c>
      <c r="G37" s="38">
        <v>549</v>
      </c>
      <c r="H37" s="75" t="str">
        <f>VLOOKUP(E37,[4]基础数据!E:H,4,0)</f>
        <v>料盒</v>
      </c>
      <c r="I37" s="75">
        <f>VLOOKUP(E37,[4]基础数据!E:G,3,0)</f>
        <v>24</v>
      </c>
      <c r="J37" s="75" t="s">
        <v>306</v>
      </c>
      <c r="K37" s="82">
        <f t="shared" si="0"/>
        <v>22.875</v>
      </c>
      <c r="T37" s="83"/>
      <c r="AD37" s="83"/>
      <c r="AN37" s="83"/>
      <c r="AX37" s="83"/>
      <c r="BH37" s="83"/>
      <c r="BR37" s="83"/>
      <c r="CB37" s="83"/>
      <c r="CL37" s="83"/>
      <c r="CV37" s="83"/>
      <c r="DF37" s="83"/>
      <c r="DP37" s="83"/>
      <c r="DZ37" s="83"/>
      <c r="EJ37" s="83"/>
      <c r="ET37" s="83"/>
      <c r="FD37" s="83"/>
      <c r="FN37" s="83"/>
      <c r="FX37" s="83"/>
      <c r="GH37" s="83"/>
      <c r="GR37" s="83"/>
      <c r="HB37" s="83"/>
      <c r="HL37" s="83"/>
      <c r="HV37" s="83"/>
      <c r="IF37" s="83"/>
      <c r="IP37" s="83"/>
      <c r="IZ37" s="83"/>
      <c r="JJ37" s="83"/>
      <c r="JT37" s="83"/>
      <c r="KD37" s="83"/>
      <c r="KN37" s="83"/>
      <c r="KX37" s="83"/>
      <c r="LH37" s="83"/>
      <c r="LR37" s="83"/>
      <c r="MB37" s="83"/>
      <c r="ML37" s="83"/>
      <c r="MV37" s="83"/>
      <c r="NF37" s="83"/>
      <c r="NP37" s="83"/>
      <c r="NZ37" s="83"/>
      <c r="OJ37" s="83"/>
      <c r="OT37" s="83"/>
      <c r="PD37" s="83"/>
      <c r="PN37" s="83"/>
      <c r="PX37" s="83"/>
      <c r="QH37" s="83"/>
      <c r="QR37" s="83"/>
      <c r="RB37" s="83"/>
      <c r="RL37" s="83"/>
      <c r="RV37" s="83"/>
      <c r="SF37" s="83"/>
      <c r="SP37" s="83"/>
      <c r="SZ37" s="83"/>
      <c r="TJ37" s="83"/>
      <c r="TT37" s="83"/>
      <c r="UD37" s="83"/>
      <c r="UN37" s="83"/>
      <c r="UX37" s="83"/>
      <c r="VH37" s="83"/>
      <c r="VR37" s="83"/>
      <c r="WB37" s="83"/>
      <c r="WL37" s="83"/>
      <c r="WV37" s="83"/>
      <c r="XF37" s="83"/>
      <c r="XP37" s="83"/>
      <c r="XZ37" s="83"/>
      <c r="YJ37" s="83"/>
      <c r="YT37" s="83"/>
      <c r="ZD37" s="83"/>
      <c r="ZN37" s="83"/>
      <c r="ZX37" s="83"/>
      <c r="AAH37" s="83"/>
      <c r="AAR37" s="83"/>
      <c r="ABB37" s="83"/>
      <c r="ABL37" s="83"/>
      <c r="ABV37" s="83"/>
      <c r="ACF37" s="83"/>
      <c r="ACP37" s="83"/>
      <c r="ACZ37" s="83"/>
      <c r="ADJ37" s="83"/>
      <c r="ADT37" s="83"/>
      <c r="AED37" s="83"/>
      <c r="AEN37" s="83"/>
      <c r="AEX37" s="83"/>
      <c r="AFH37" s="83"/>
      <c r="AFR37" s="83"/>
      <c r="AGB37" s="83"/>
      <c r="AGL37" s="83"/>
      <c r="AGV37" s="83"/>
      <c r="AHF37" s="83"/>
      <c r="AHP37" s="83"/>
      <c r="AHZ37" s="83"/>
      <c r="AIJ37" s="83"/>
      <c r="AIT37" s="83"/>
      <c r="AJD37" s="83"/>
      <c r="AJN37" s="83"/>
      <c r="AJX37" s="83"/>
      <c r="AKH37" s="83"/>
      <c r="AKR37" s="83"/>
      <c r="ALB37" s="83"/>
      <c r="ALL37" s="83"/>
      <c r="ALV37" s="83"/>
      <c r="AMF37" s="83"/>
      <c r="AMP37" s="83"/>
      <c r="AMZ37" s="83"/>
      <c r="ANJ37" s="83"/>
      <c r="ANT37" s="83"/>
      <c r="AOD37" s="83"/>
      <c r="AON37" s="83"/>
      <c r="AOX37" s="83"/>
      <c r="APH37" s="83"/>
      <c r="APR37" s="83"/>
      <c r="AQB37" s="83"/>
      <c r="AQL37" s="83"/>
      <c r="AQV37" s="83"/>
      <c r="ARF37" s="83"/>
      <c r="ARP37" s="83"/>
      <c r="ARZ37" s="83"/>
      <c r="ASJ37" s="83"/>
      <c r="AST37" s="83"/>
      <c r="ATD37" s="83"/>
      <c r="ATN37" s="83"/>
      <c r="ATX37" s="83"/>
      <c r="AUH37" s="83"/>
      <c r="AUR37" s="83"/>
      <c r="AVB37" s="83"/>
      <c r="AVL37" s="83"/>
      <c r="AVV37" s="83"/>
      <c r="AWF37" s="83"/>
      <c r="AWP37" s="83"/>
      <c r="AWZ37" s="83"/>
      <c r="AXJ37" s="83"/>
      <c r="AXT37" s="83"/>
      <c r="AYD37" s="83"/>
      <c r="AYN37" s="83"/>
      <c r="AYX37" s="83"/>
      <c r="AZH37" s="83"/>
      <c r="AZR37" s="83"/>
      <c r="BAB37" s="83"/>
      <c r="BAL37" s="83"/>
      <c r="BAV37" s="83"/>
      <c r="BBF37" s="83"/>
      <c r="BBP37" s="83"/>
      <c r="BBZ37" s="83"/>
      <c r="BCJ37" s="83"/>
      <c r="BCT37" s="83"/>
      <c r="BDD37" s="83"/>
      <c r="BDN37" s="83"/>
      <c r="BDX37" s="83"/>
      <c r="BEH37" s="83"/>
      <c r="BER37" s="83"/>
      <c r="BFB37" s="83"/>
      <c r="BFL37" s="83"/>
      <c r="BFV37" s="83"/>
      <c r="BGF37" s="83"/>
      <c r="BGP37" s="83"/>
      <c r="BGZ37" s="83"/>
      <c r="BHJ37" s="83"/>
      <c r="BHT37" s="83"/>
      <c r="BID37" s="83"/>
      <c r="BIN37" s="83"/>
      <c r="BIX37" s="83"/>
      <c r="BJH37" s="83"/>
      <c r="BJR37" s="83"/>
      <c r="BKB37" s="83"/>
      <c r="BKL37" s="83"/>
      <c r="BKV37" s="83"/>
      <c r="BLF37" s="83"/>
      <c r="BLP37" s="83"/>
      <c r="BLZ37" s="83"/>
      <c r="BMJ37" s="83"/>
      <c r="BMT37" s="83"/>
      <c r="BND37" s="83"/>
      <c r="BNN37" s="83"/>
      <c r="BNX37" s="83"/>
      <c r="BOH37" s="83"/>
      <c r="BOR37" s="83"/>
      <c r="BPB37" s="83"/>
      <c r="BPL37" s="83"/>
      <c r="BPV37" s="83"/>
      <c r="BQF37" s="83"/>
      <c r="BQP37" s="83"/>
      <c r="BQZ37" s="83"/>
      <c r="BRJ37" s="83"/>
      <c r="BRT37" s="83"/>
      <c r="BSD37" s="83"/>
      <c r="BSN37" s="83"/>
      <c r="BSX37" s="83"/>
      <c r="BTH37" s="83"/>
      <c r="BTR37" s="83"/>
      <c r="BUB37" s="83"/>
      <c r="BUL37" s="83"/>
      <c r="BUV37" s="83"/>
      <c r="BVF37" s="83"/>
      <c r="BVP37" s="83"/>
      <c r="BVZ37" s="83"/>
      <c r="BWJ37" s="83"/>
      <c r="BWT37" s="83"/>
      <c r="BXD37" s="83"/>
      <c r="BXN37" s="83"/>
      <c r="BXX37" s="83"/>
      <c r="BYH37" s="83"/>
      <c r="BYR37" s="83"/>
      <c r="BZB37" s="83"/>
      <c r="BZL37" s="83"/>
      <c r="BZV37" s="83"/>
      <c r="CAF37" s="83"/>
      <c r="CAP37" s="83"/>
      <c r="CAZ37" s="83"/>
      <c r="CBJ37" s="83"/>
      <c r="CBT37" s="83"/>
      <c r="CCD37" s="83"/>
      <c r="CCN37" s="83"/>
      <c r="CCX37" s="83"/>
      <c r="CDH37" s="83"/>
      <c r="CDR37" s="83"/>
      <c r="CEB37" s="83"/>
      <c r="CEL37" s="83"/>
      <c r="CEV37" s="83"/>
      <c r="CFF37" s="83"/>
      <c r="CFP37" s="83"/>
      <c r="CFZ37" s="83"/>
      <c r="CGJ37" s="83"/>
      <c r="CGT37" s="83"/>
      <c r="CHD37" s="83"/>
      <c r="CHN37" s="83"/>
      <c r="CHX37" s="83"/>
      <c r="CIH37" s="83"/>
      <c r="CIR37" s="83"/>
      <c r="CJB37" s="83"/>
      <c r="CJL37" s="83"/>
      <c r="CJV37" s="83"/>
      <c r="CKF37" s="83"/>
      <c r="CKP37" s="83"/>
      <c r="CKZ37" s="83"/>
      <c r="CLJ37" s="83"/>
      <c r="CLT37" s="83"/>
      <c r="CMD37" s="83"/>
      <c r="CMN37" s="83"/>
      <c r="CMX37" s="83"/>
      <c r="CNH37" s="83"/>
      <c r="CNR37" s="83"/>
      <c r="COB37" s="83"/>
      <c r="COL37" s="83"/>
      <c r="COV37" s="83"/>
      <c r="CPF37" s="83"/>
      <c r="CPP37" s="83"/>
      <c r="CPZ37" s="83"/>
      <c r="CQJ37" s="83"/>
      <c r="CQT37" s="83"/>
      <c r="CRD37" s="83"/>
      <c r="CRN37" s="83"/>
      <c r="CRX37" s="83"/>
      <c r="CSH37" s="83"/>
      <c r="CSR37" s="83"/>
      <c r="CTB37" s="83"/>
      <c r="CTL37" s="83"/>
      <c r="CTV37" s="83"/>
    </row>
    <row r="38" s="58" customFormat="1" customHeight="1" spans="1:1020 1030:2040 2050:2570">
      <c r="A38" s="79">
        <v>46148</v>
      </c>
      <c r="B38" s="80" t="s">
        <v>22</v>
      </c>
      <c r="C38" s="38" t="s">
        <v>23</v>
      </c>
      <c r="D38" s="75">
        <v>652350054</v>
      </c>
      <c r="E38" s="38" t="s">
        <v>90</v>
      </c>
      <c r="F38" s="75" t="str">
        <f>VLOOKUP(E38,[4]基础数据!E:H,2,0)</f>
        <v>LS-CCUB001-AA-DM2-V1.03 三防漆单面 931_007</v>
      </c>
      <c r="G38" s="38">
        <v>480</v>
      </c>
      <c r="H38" s="75" t="str">
        <f>VLOOKUP(E38,[4]基础数据!E:H,4,0)</f>
        <v>料盒</v>
      </c>
      <c r="I38" s="75">
        <f>VLOOKUP(E38,[4]基础数据!E:G,3,0)</f>
        <v>24</v>
      </c>
      <c r="J38" s="75" t="s">
        <v>306</v>
      </c>
      <c r="K38" s="82">
        <f t="shared" si="0"/>
        <v>20</v>
      </c>
      <c r="T38" s="83"/>
      <c r="AD38" s="83"/>
      <c r="AN38" s="83"/>
      <c r="AX38" s="83"/>
      <c r="BH38" s="83"/>
      <c r="BR38" s="83"/>
      <c r="CB38" s="83"/>
      <c r="CL38" s="83"/>
      <c r="CV38" s="83"/>
      <c r="DF38" s="83"/>
      <c r="DP38" s="83"/>
      <c r="DZ38" s="83"/>
      <c r="EJ38" s="83"/>
      <c r="ET38" s="83"/>
      <c r="FD38" s="83"/>
      <c r="FN38" s="83"/>
      <c r="FX38" s="83"/>
      <c r="GH38" s="83"/>
      <c r="GR38" s="83"/>
      <c r="HB38" s="83"/>
      <c r="HL38" s="83"/>
      <c r="HV38" s="83"/>
      <c r="IF38" s="83"/>
      <c r="IP38" s="83"/>
      <c r="IZ38" s="83"/>
      <c r="JJ38" s="83"/>
      <c r="JT38" s="83"/>
      <c r="KD38" s="83"/>
      <c r="KN38" s="83"/>
      <c r="KX38" s="83"/>
      <c r="LH38" s="83"/>
      <c r="LR38" s="83"/>
      <c r="MB38" s="83"/>
      <c r="ML38" s="83"/>
      <c r="MV38" s="83"/>
      <c r="NF38" s="83"/>
      <c r="NP38" s="83"/>
      <c r="NZ38" s="83"/>
      <c r="OJ38" s="83"/>
      <c r="OT38" s="83"/>
      <c r="PD38" s="83"/>
      <c r="PN38" s="83"/>
      <c r="PX38" s="83"/>
      <c r="QH38" s="83"/>
      <c r="QR38" s="83"/>
      <c r="RB38" s="83"/>
      <c r="RL38" s="83"/>
      <c r="RV38" s="83"/>
      <c r="SF38" s="83"/>
      <c r="SP38" s="83"/>
      <c r="SZ38" s="83"/>
      <c r="TJ38" s="83"/>
      <c r="TT38" s="83"/>
      <c r="UD38" s="83"/>
      <c r="UN38" s="83"/>
      <c r="UX38" s="83"/>
      <c r="VH38" s="83"/>
      <c r="VR38" s="83"/>
      <c r="WB38" s="83"/>
      <c r="WL38" s="83"/>
      <c r="WV38" s="83"/>
      <c r="XF38" s="83"/>
      <c r="XP38" s="83"/>
      <c r="XZ38" s="83"/>
      <c r="YJ38" s="83"/>
      <c r="YT38" s="83"/>
      <c r="ZD38" s="83"/>
      <c r="ZN38" s="83"/>
      <c r="ZX38" s="83"/>
      <c r="AAH38" s="83"/>
      <c r="AAR38" s="83"/>
      <c r="ABB38" s="83"/>
      <c r="ABL38" s="83"/>
      <c r="ABV38" s="83"/>
      <c r="ACF38" s="83"/>
      <c r="ACP38" s="83"/>
      <c r="ACZ38" s="83"/>
      <c r="ADJ38" s="83"/>
      <c r="ADT38" s="83"/>
      <c r="AED38" s="83"/>
      <c r="AEN38" s="83"/>
      <c r="AEX38" s="83"/>
      <c r="AFH38" s="83"/>
      <c r="AFR38" s="83"/>
      <c r="AGB38" s="83"/>
      <c r="AGL38" s="83"/>
      <c r="AGV38" s="83"/>
      <c r="AHF38" s="83"/>
      <c r="AHP38" s="83"/>
      <c r="AHZ38" s="83"/>
      <c r="AIJ38" s="83"/>
      <c r="AIT38" s="83"/>
      <c r="AJD38" s="83"/>
      <c r="AJN38" s="83"/>
      <c r="AJX38" s="83"/>
      <c r="AKH38" s="83"/>
      <c r="AKR38" s="83"/>
      <c r="ALB38" s="83"/>
      <c r="ALL38" s="83"/>
      <c r="ALV38" s="83"/>
      <c r="AMF38" s="83"/>
      <c r="AMP38" s="83"/>
      <c r="AMZ38" s="83"/>
      <c r="ANJ38" s="83"/>
      <c r="ANT38" s="83"/>
      <c r="AOD38" s="83"/>
      <c r="AON38" s="83"/>
      <c r="AOX38" s="83"/>
      <c r="APH38" s="83"/>
      <c r="APR38" s="83"/>
      <c r="AQB38" s="83"/>
      <c r="AQL38" s="83"/>
      <c r="AQV38" s="83"/>
      <c r="ARF38" s="83"/>
      <c r="ARP38" s="83"/>
      <c r="ARZ38" s="83"/>
      <c r="ASJ38" s="83"/>
      <c r="AST38" s="83"/>
      <c r="ATD38" s="83"/>
      <c r="ATN38" s="83"/>
      <c r="ATX38" s="83"/>
      <c r="AUH38" s="83"/>
      <c r="AUR38" s="83"/>
      <c r="AVB38" s="83"/>
      <c r="AVL38" s="83"/>
      <c r="AVV38" s="83"/>
      <c r="AWF38" s="83"/>
      <c r="AWP38" s="83"/>
      <c r="AWZ38" s="83"/>
      <c r="AXJ38" s="83"/>
      <c r="AXT38" s="83"/>
      <c r="AYD38" s="83"/>
      <c r="AYN38" s="83"/>
      <c r="AYX38" s="83"/>
      <c r="AZH38" s="83"/>
      <c r="AZR38" s="83"/>
      <c r="BAB38" s="83"/>
      <c r="BAL38" s="83"/>
      <c r="BAV38" s="83"/>
      <c r="BBF38" s="83"/>
      <c r="BBP38" s="83"/>
      <c r="BBZ38" s="83"/>
      <c r="BCJ38" s="83"/>
      <c r="BCT38" s="83"/>
      <c r="BDD38" s="83"/>
      <c r="BDN38" s="83"/>
      <c r="BDX38" s="83"/>
      <c r="BEH38" s="83"/>
      <c r="BER38" s="83"/>
      <c r="BFB38" s="83"/>
      <c r="BFL38" s="83"/>
      <c r="BFV38" s="83"/>
      <c r="BGF38" s="83"/>
      <c r="BGP38" s="83"/>
      <c r="BGZ38" s="83"/>
      <c r="BHJ38" s="83"/>
      <c r="BHT38" s="83"/>
      <c r="BID38" s="83"/>
      <c r="BIN38" s="83"/>
      <c r="BIX38" s="83"/>
      <c r="BJH38" s="83"/>
      <c r="BJR38" s="83"/>
      <c r="BKB38" s="83"/>
      <c r="BKL38" s="83"/>
      <c r="BKV38" s="83"/>
      <c r="BLF38" s="83"/>
      <c r="BLP38" s="83"/>
      <c r="BLZ38" s="83"/>
      <c r="BMJ38" s="83"/>
      <c r="BMT38" s="83"/>
      <c r="BND38" s="83"/>
      <c r="BNN38" s="83"/>
      <c r="BNX38" s="83"/>
      <c r="BOH38" s="83"/>
      <c r="BOR38" s="83"/>
      <c r="BPB38" s="83"/>
      <c r="BPL38" s="83"/>
      <c r="BPV38" s="83"/>
      <c r="BQF38" s="83"/>
      <c r="BQP38" s="83"/>
      <c r="BQZ38" s="83"/>
      <c r="BRJ38" s="83"/>
      <c r="BRT38" s="83"/>
      <c r="BSD38" s="83"/>
      <c r="BSN38" s="83"/>
      <c r="BSX38" s="83"/>
      <c r="BTH38" s="83"/>
      <c r="BTR38" s="83"/>
      <c r="BUB38" s="83"/>
      <c r="BUL38" s="83"/>
      <c r="BUV38" s="83"/>
      <c r="BVF38" s="83"/>
      <c r="BVP38" s="83"/>
      <c r="BVZ38" s="83"/>
      <c r="BWJ38" s="83"/>
      <c r="BWT38" s="83"/>
      <c r="BXD38" s="83"/>
      <c r="BXN38" s="83"/>
      <c r="BXX38" s="83"/>
      <c r="BYH38" s="83"/>
      <c r="BYR38" s="83"/>
      <c r="BZB38" s="83"/>
      <c r="BZL38" s="83"/>
      <c r="BZV38" s="83"/>
      <c r="CAF38" s="83"/>
      <c r="CAP38" s="83"/>
      <c r="CAZ38" s="83"/>
      <c r="CBJ38" s="83"/>
      <c r="CBT38" s="83"/>
      <c r="CCD38" s="83"/>
      <c r="CCN38" s="83"/>
      <c r="CCX38" s="83"/>
      <c r="CDH38" s="83"/>
      <c r="CDR38" s="83"/>
      <c r="CEB38" s="83"/>
      <c r="CEL38" s="83"/>
      <c r="CEV38" s="83"/>
      <c r="CFF38" s="83"/>
      <c r="CFP38" s="83"/>
      <c r="CFZ38" s="83"/>
      <c r="CGJ38" s="83"/>
      <c r="CGT38" s="83"/>
      <c r="CHD38" s="83"/>
      <c r="CHN38" s="83"/>
      <c r="CHX38" s="83"/>
      <c r="CIH38" s="83"/>
      <c r="CIR38" s="83"/>
      <c r="CJB38" s="83"/>
      <c r="CJL38" s="83"/>
      <c r="CJV38" s="83"/>
      <c r="CKF38" s="83"/>
      <c r="CKP38" s="83"/>
      <c r="CKZ38" s="83"/>
      <c r="CLJ38" s="83"/>
      <c r="CLT38" s="83"/>
      <c r="CMD38" s="83"/>
      <c r="CMN38" s="83"/>
      <c r="CMX38" s="83"/>
      <c r="CNH38" s="83"/>
      <c r="CNR38" s="83"/>
      <c r="COB38" s="83"/>
      <c r="COL38" s="83"/>
      <c r="COV38" s="83"/>
      <c r="CPF38" s="83"/>
      <c r="CPP38" s="83"/>
      <c r="CPZ38" s="83"/>
      <c r="CQJ38" s="83"/>
      <c r="CQT38" s="83"/>
      <c r="CRD38" s="83"/>
      <c r="CRN38" s="83"/>
      <c r="CRX38" s="83"/>
      <c r="CSH38" s="83"/>
      <c r="CSR38" s="83"/>
      <c r="CTB38" s="83"/>
      <c r="CTL38" s="83"/>
      <c r="CTV38" s="83"/>
    </row>
    <row r="39" s="58" customFormat="1" customHeight="1" spans="1:1020 1030:2040 2050:2570">
      <c r="A39" s="79">
        <v>46148</v>
      </c>
      <c r="B39" s="80" t="s">
        <v>22</v>
      </c>
      <c r="C39" s="38" t="s">
        <v>23</v>
      </c>
      <c r="D39" s="75">
        <v>652350054</v>
      </c>
      <c r="E39" s="38" t="s">
        <v>66</v>
      </c>
      <c r="F39" s="75" t="str">
        <f>VLOOKUP(E39,[4]基础数据!E:H,2,0)</f>
        <v>LS-CCUB001-AC-V1.02 三防漆双面 926_018</v>
      </c>
      <c r="G39" s="38">
        <v>717</v>
      </c>
      <c r="H39" s="75" t="str">
        <f>VLOOKUP(E39,[4]基础数据!E:H,4,0)</f>
        <v>料盒</v>
      </c>
      <c r="I39" s="75">
        <f>VLOOKUP(E39,[4]基础数据!E:G,3,0)</f>
        <v>240</v>
      </c>
      <c r="J39" s="75" t="s">
        <v>306</v>
      </c>
      <c r="K39" s="82">
        <f t="shared" si="0"/>
        <v>2.9875</v>
      </c>
      <c r="T39" s="83"/>
      <c r="AD39" s="83"/>
      <c r="AN39" s="83"/>
      <c r="AX39" s="83"/>
      <c r="BH39" s="83"/>
      <c r="BR39" s="83"/>
      <c r="CB39" s="83"/>
      <c r="CL39" s="83"/>
      <c r="CV39" s="83"/>
      <c r="DF39" s="83"/>
      <c r="DP39" s="83"/>
      <c r="DZ39" s="83"/>
      <c r="EJ39" s="83"/>
      <c r="ET39" s="83"/>
      <c r="FD39" s="83"/>
      <c r="FN39" s="83"/>
      <c r="FX39" s="83"/>
      <c r="GH39" s="83"/>
      <c r="GR39" s="83"/>
      <c r="HB39" s="83"/>
      <c r="HL39" s="83"/>
      <c r="HV39" s="83"/>
      <c r="IF39" s="83"/>
      <c r="IP39" s="83"/>
      <c r="IZ39" s="83"/>
      <c r="JJ39" s="83"/>
      <c r="JT39" s="83"/>
      <c r="KD39" s="83"/>
      <c r="KN39" s="83"/>
      <c r="KX39" s="83"/>
      <c r="LH39" s="83"/>
      <c r="LR39" s="83"/>
      <c r="MB39" s="83"/>
      <c r="ML39" s="83"/>
      <c r="MV39" s="83"/>
      <c r="NF39" s="83"/>
      <c r="NP39" s="83"/>
      <c r="NZ39" s="83"/>
      <c r="OJ39" s="83"/>
      <c r="OT39" s="83"/>
      <c r="PD39" s="83"/>
      <c r="PN39" s="83"/>
      <c r="PX39" s="83"/>
      <c r="QH39" s="83"/>
      <c r="QR39" s="83"/>
      <c r="RB39" s="83"/>
      <c r="RL39" s="83"/>
      <c r="RV39" s="83"/>
      <c r="SF39" s="83"/>
      <c r="SP39" s="83"/>
      <c r="SZ39" s="83"/>
      <c r="TJ39" s="83"/>
      <c r="TT39" s="83"/>
      <c r="UD39" s="83"/>
      <c r="UN39" s="83"/>
      <c r="UX39" s="83"/>
      <c r="VH39" s="83"/>
      <c r="VR39" s="83"/>
      <c r="WB39" s="83"/>
      <c r="WL39" s="83"/>
      <c r="WV39" s="83"/>
      <c r="XF39" s="83"/>
      <c r="XP39" s="83"/>
      <c r="XZ39" s="83"/>
      <c r="YJ39" s="83"/>
      <c r="YT39" s="83"/>
      <c r="ZD39" s="83"/>
      <c r="ZN39" s="83"/>
      <c r="ZX39" s="83"/>
      <c r="AAH39" s="83"/>
      <c r="AAR39" s="83"/>
      <c r="ABB39" s="83"/>
      <c r="ABL39" s="83"/>
      <c r="ABV39" s="83"/>
      <c r="ACF39" s="83"/>
      <c r="ACP39" s="83"/>
      <c r="ACZ39" s="83"/>
      <c r="ADJ39" s="83"/>
      <c r="ADT39" s="83"/>
      <c r="AED39" s="83"/>
      <c r="AEN39" s="83"/>
      <c r="AEX39" s="83"/>
      <c r="AFH39" s="83"/>
      <c r="AFR39" s="83"/>
      <c r="AGB39" s="83"/>
      <c r="AGL39" s="83"/>
      <c r="AGV39" s="83"/>
      <c r="AHF39" s="83"/>
      <c r="AHP39" s="83"/>
      <c r="AHZ39" s="83"/>
      <c r="AIJ39" s="83"/>
      <c r="AIT39" s="83"/>
      <c r="AJD39" s="83"/>
      <c r="AJN39" s="83"/>
      <c r="AJX39" s="83"/>
      <c r="AKH39" s="83"/>
      <c r="AKR39" s="83"/>
      <c r="ALB39" s="83"/>
      <c r="ALL39" s="83"/>
      <c r="ALV39" s="83"/>
      <c r="AMF39" s="83"/>
      <c r="AMP39" s="83"/>
      <c r="AMZ39" s="83"/>
      <c r="ANJ39" s="83"/>
      <c r="ANT39" s="83"/>
      <c r="AOD39" s="83"/>
      <c r="AON39" s="83"/>
      <c r="AOX39" s="83"/>
      <c r="APH39" s="83"/>
      <c r="APR39" s="83"/>
      <c r="AQB39" s="83"/>
      <c r="AQL39" s="83"/>
      <c r="AQV39" s="83"/>
      <c r="ARF39" s="83"/>
      <c r="ARP39" s="83"/>
      <c r="ARZ39" s="83"/>
      <c r="ASJ39" s="83"/>
      <c r="AST39" s="83"/>
      <c r="ATD39" s="83"/>
      <c r="ATN39" s="83"/>
      <c r="ATX39" s="83"/>
      <c r="AUH39" s="83"/>
      <c r="AUR39" s="83"/>
      <c r="AVB39" s="83"/>
      <c r="AVL39" s="83"/>
      <c r="AVV39" s="83"/>
      <c r="AWF39" s="83"/>
      <c r="AWP39" s="83"/>
      <c r="AWZ39" s="83"/>
      <c r="AXJ39" s="83"/>
      <c r="AXT39" s="83"/>
      <c r="AYD39" s="83"/>
      <c r="AYN39" s="83"/>
      <c r="AYX39" s="83"/>
      <c r="AZH39" s="83"/>
      <c r="AZR39" s="83"/>
      <c r="BAB39" s="83"/>
      <c r="BAL39" s="83"/>
      <c r="BAV39" s="83"/>
      <c r="BBF39" s="83"/>
      <c r="BBP39" s="83"/>
      <c r="BBZ39" s="83"/>
      <c r="BCJ39" s="83"/>
      <c r="BCT39" s="83"/>
      <c r="BDD39" s="83"/>
      <c r="BDN39" s="83"/>
      <c r="BDX39" s="83"/>
      <c r="BEH39" s="83"/>
      <c r="BER39" s="83"/>
      <c r="BFB39" s="83"/>
      <c r="BFL39" s="83"/>
      <c r="BFV39" s="83"/>
      <c r="BGF39" s="83"/>
      <c r="BGP39" s="83"/>
      <c r="BGZ39" s="83"/>
      <c r="BHJ39" s="83"/>
      <c r="BHT39" s="83"/>
      <c r="BID39" s="83"/>
      <c r="BIN39" s="83"/>
      <c r="BIX39" s="83"/>
      <c r="BJH39" s="83"/>
      <c r="BJR39" s="83"/>
      <c r="BKB39" s="83"/>
      <c r="BKL39" s="83"/>
      <c r="BKV39" s="83"/>
      <c r="BLF39" s="83"/>
      <c r="BLP39" s="83"/>
      <c r="BLZ39" s="83"/>
      <c r="BMJ39" s="83"/>
      <c r="BMT39" s="83"/>
      <c r="BND39" s="83"/>
      <c r="BNN39" s="83"/>
      <c r="BNX39" s="83"/>
      <c r="BOH39" s="83"/>
      <c r="BOR39" s="83"/>
      <c r="BPB39" s="83"/>
      <c r="BPL39" s="83"/>
      <c r="BPV39" s="83"/>
      <c r="BQF39" s="83"/>
      <c r="BQP39" s="83"/>
      <c r="BQZ39" s="83"/>
      <c r="BRJ39" s="83"/>
      <c r="BRT39" s="83"/>
      <c r="BSD39" s="83"/>
      <c r="BSN39" s="83"/>
      <c r="BSX39" s="83"/>
      <c r="BTH39" s="83"/>
      <c r="BTR39" s="83"/>
      <c r="BUB39" s="83"/>
      <c r="BUL39" s="83"/>
      <c r="BUV39" s="83"/>
      <c r="BVF39" s="83"/>
      <c r="BVP39" s="83"/>
      <c r="BVZ39" s="83"/>
      <c r="BWJ39" s="83"/>
      <c r="BWT39" s="83"/>
      <c r="BXD39" s="83"/>
      <c r="BXN39" s="83"/>
      <c r="BXX39" s="83"/>
      <c r="BYH39" s="83"/>
      <c r="BYR39" s="83"/>
      <c r="BZB39" s="83"/>
      <c r="BZL39" s="83"/>
      <c r="BZV39" s="83"/>
      <c r="CAF39" s="83"/>
      <c r="CAP39" s="83"/>
      <c r="CAZ39" s="83"/>
      <c r="CBJ39" s="83"/>
      <c r="CBT39" s="83"/>
      <c r="CCD39" s="83"/>
      <c r="CCN39" s="83"/>
      <c r="CCX39" s="83"/>
      <c r="CDH39" s="83"/>
      <c r="CDR39" s="83"/>
      <c r="CEB39" s="83"/>
      <c r="CEL39" s="83"/>
      <c r="CEV39" s="83"/>
      <c r="CFF39" s="83"/>
      <c r="CFP39" s="83"/>
      <c r="CFZ39" s="83"/>
      <c r="CGJ39" s="83"/>
      <c r="CGT39" s="83"/>
      <c r="CHD39" s="83"/>
      <c r="CHN39" s="83"/>
      <c r="CHX39" s="83"/>
      <c r="CIH39" s="83"/>
      <c r="CIR39" s="83"/>
      <c r="CJB39" s="83"/>
      <c r="CJL39" s="83"/>
      <c r="CJV39" s="83"/>
      <c r="CKF39" s="83"/>
      <c r="CKP39" s="83"/>
      <c r="CKZ39" s="83"/>
      <c r="CLJ39" s="83"/>
      <c r="CLT39" s="83"/>
      <c r="CMD39" s="83"/>
      <c r="CMN39" s="83"/>
      <c r="CMX39" s="83"/>
      <c r="CNH39" s="83"/>
      <c r="CNR39" s="83"/>
      <c r="COB39" s="83"/>
      <c r="COL39" s="83"/>
      <c r="COV39" s="83"/>
      <c r="CPF39" s="83"/>
      <c r="CPP39" s="83"/>
      <c r="CPZ39" s="83"/>
      <c r="CQJ39" s="83"/>
      <c r="CQT39" s="83"/>
      <c r="CRD39" s="83"/>
      <c r="CRN39" s="83"/>
      <c r="CRX39" s="83"/>
      <c r="CSH39" s="83"/>
      <c r="CSR39" s="83"/>
      <c r="CTB39" s="83"/>
      <c r="CTL39" s="83"/>
      <c r="CTV39" s="83"/>
    </row>
    <row r="40" s="58" customFormat="1" customHeight="1" spans="1:1020 1030:2040 2050:2570">
      <c r="A40" s="79">
        <v>46148</v>
      </c>
      <c r="B40" s="80" t="s">
        <v>22</v>
      </c>
      <c r="C40" s="38" t="s">
        <v>23</v>
      </c>
      <c r="D40" s="75">
        <v>652350054</v>
      </c>
      <c r="E40" s="38" t="s">
        <v>66</v>
      </c>
      <c r="F40" s="75" t="str">
        <f>VLOOKUP(E40,[4]基础数据!E:H,2,0)</f>
        <v>LS-CCUB001-AC-V1.02 三防漆双面 926_018</v>
      </c>
      <c r="G40" s="38">
        <v>170</v>
      </c>
      <c r="H40" s="75" t="str">
        <f>VLOOKUP(E40,[4]基础数据!E:H,4,0)</f>
        <v>料盒</v>
      </c>
      <c r="I40" s="75">
        <f>VLOOKUP(E40,[4]基础数据!E:G,3,0)</f>
        <v>240</v>
      </c>
      <c r="J40" s="75" t="s">
        <v>306</v>
      </c>
      <c r="K40" s="82">
        <f t="shared" si="0"/>
        <v>0.708333333333333</v>
      </c>
      <c r="T40" s="83"/>
      <c r="AD40" s="83"/>
      <c r="AN40" s="83"/>
      <c r="AX40" s="83"/>
      <c r="BH40" s="83"/>
      <c r="BR40" s="83"/>
      <c r="CB40" s="83"/>
      <c r="CL40" s="83"/>
      <c r="CV40" s="83"/>
      <c r="DF40" s="83"/>
      <c r="DP40" s="83"/>
      <c r="DZ40" s="83"/>
      <c r="EJ40" s="83"/>
      <c r="ET40" s="83"/>
      <c r="FD40" s="83"/>
      <c r="FN40" s="83"/>
      <c r="FX40" s="83"/>
      <c r="GH40" s="83"/>
      <c r="GR40" s="83"/>
      <c r="HB40" s="83"/>
      <c r="HL40" s="83"/>
      <c r="HV40" s="83"/>
      <c r="IF40" s="83"/>
      <c r="IP40" s="83"/>
      <c r="IZ40" s="83"/>
      <c r="JJ40" s="83"/>
      <c r="JT40" s="83"/>
      <c r="KD40" s="83"/>
      <c r="KN40" s="83"/>
      <c r="KX40" s="83"/>
      <c r="LH40" s="83"/>
      <c r="LR40" s="83"/>
      <c r="MB40" s="83"/>
      <c r="ML40" s="83"/>
      <c r="MV40" s="83"/>
      <c r="NF40" s="83"/>
      <c r="NP40" s="83"/>
      <c r="NZ40" s="83"/>
      <c r="OJ40" s="83"/>
      <c r="OT40" s="83"/>
      <c r="PD40" s="83"/>
      <c r="PN40" s="83"/>
      <c r="PX40" s="83"/>
      <c r="QH40" s="83"/>
      <c r="QR40" s="83"/>
      <c r="RB40" s="83"/>
      <c r="RL40" s="83"/>
      <c r="RV40" s="83"/>
      <c r="SF40" s="83"/>
      <c r="SP40" s="83"/>
      <c r="SZ40" s="83"/>
      <c r="TJ40" s="83"/>
      <c r="TT40" s="83"/>
      <c r="UD40" s="83"/>
      <c r="UN40" s="83"/>
      <c r="UX40" s="83"/>
      <c r="VH40" s="83"/>
      <c r="VR40" s="83"/>
      <c r="WB40" s="83"/>
      <c r="WL40" s="83"/>
      <c r="WV40" s="83"/>
      <c r="XF40" s="83"/>
      <c r="XP40" s="83"/>
      <c r="XZ40" s="83"/>
      <c r="YJ40" s="83"/>
      <c r="YT40" s="83"/>
      <c r="ZD40" s="83"/>
      <c r="ZN40" s="83"/>
      <c r="ZX40" s="83"/>
      <c r="AAH40" s="83"/>
      <c r="AAR40" s="83"/>
      <c r="ABB40" s="83"/>
      <c r="ABL40" s="83"/>
      <c r="ABV40" s="83"/>
      <c r="ACF40" s="83"/>
      <c r="ACP40" s="83"/>
      <c r="ACZ40" s="83"/>
      <c r="ADJ40" s="83"/>
      <c r="ADT40" s="83"/>
      <c r="AED40" s="83"/>
      <c r="AEN40" s="83"/>
      <c r="AEX40" s="83"/>
      <c r="AFH40" s="83"/>
      <c r="AFR40" s="83"/>
      <c r="AGB40" s="83"/>
      <c r="AGL40" s="83"/>
      <c r="AGV40" s="83"/>
      <c r="AHF40" s="83"/>
      <c r="AHP40" s="83"/>
      <c r="AHZ40" s="83"/>
      <c r="AIJ40" s="83"/>
      <c r="AIT40" s="83"/>
      <c r="AJD40" s="83"/>
      <c r="AJN40" s="83"/>
      <c r="AJX40" s="83"/>
      <c r="AKH40" s="83"/>
      <c r="AKR40" s="83"/>
      <c r="ALB40" s="83"/>
      <c r="ALL40" s="83"/>
      <c r="ALV40" s="83"/>
      <c r="AMF40" s="83"/>
      <c r="AMP40" s="83"/>
      <c r="AMZ40" s="83"/>
      <c r="ANJ40" s="83"/>
      <c r="ANT40" s="83"/>
      <c r="AOD40" s="83"/>
      <c r="AON40" s="83"/>
      <c r="AOX40" s="83"/>
      <c r="APH40" s="83"/>
      <c r="APR40" s="83"/>
      <c r="AQB40" s="83"/>
      <c r="AQL40" s="83"/>
      <c r="AQV40" s="83"/>
      <c r="ARF40" s="83"/>
      <c r="ARP40" s="83"/>
      <c r="ARZ40" s="83"/>
      <c r="ASJ40" s="83"/>
      <c r="AST40" s="83"/>
      <c r="ATD40" s="83"/>
      <c r="ATN40" s="83"/>
      <c r="ATX40" s="83"/>
      <c r="AUH40" s="83"/>
      <c r="AUR40" s="83"/>
      <c r="AVB40" s="83"/>
      <c r="AVL40" s="83"/>
      <c r="AVV40" s="83"/>
      <c r="AWF40" s="83"/>
      <c r="AWP40" s="83"/>
      <c r="AWZ40" s="83"/>
      <c r="AXJ40" s="83"/>
      <c r="AXT40" s="83"/>
      <c r="AYD40" s="83"/>
      <c r="AYN40" s="83"/>
      <c r="AYX40" s="83"/>
      <c r="AZH40" s="83"/>
      <c r="AZR40" s="83"/>
      <c r="BAB40" s="83"/>
      <c r="BAL40" s="83"/>
      <c r="BAV40" s="83"/>
      <c r="BBF40" s="83"/>
      <c r="BBP40" s="83"/>
      <c r="BBZ40" s="83"/>
      <c r="BCJ40" s="83"/>
      <c r="BCT40" s="83"/>
      <c r="BDD40" s="83"/>
      <c r="BDN40" s="83"/>
      <c r="BDX40" s="83"/>
      <c r="BEH40" s="83"/>
      <c r="BER40" s="83"/>
      <c r="BFB40" s="83"/>
      <c r="BFL40" s="83"/>
      <c r="BFV40" s="83"/>
      <c r="BGF40" s="83"/>
      <c r="BGP40" s="83"/>
      <c r="BGZ40" s="83"/>
      <c r="BHJ40" s="83"/>
      <c r="BHT40" s="83"/>
      <c r="BID40" s="83"/>
      <c r="BIN40" s="83"/>
      <c r="BIX40" s="83"/>
      <c r="BJH40" s="83"/>
      <c r="BJR40" s="83"/>
      <c r="BKB40" s="83"/>
      <c r="BKL40" s="83"/>
      <c r="BKV40" s="83"/>
      <c r="BLF40" s="83"/>
      <c r="BLP40" s="83"/>
      <c r="BLZ40" s="83"/>
      <c r="BMJ40" s="83"/>
      <c r="BMT40" s="83"/>
      <c r="BND40" s="83"/>
      <c r="BNN40" s="83"/>
      <c r="BNX40" s="83"/>
      <c r="BOH40" s="83"/>
      <c r="BOR40" s="83"/>
      <c r="BPB40" s="83"/>
      <c r="BPL40" s="83"/>
      <c r="BPV40" s="83"/>
      <c r="BQF40" s="83"/>
      <c r="BQP40" s="83"/>
      <c r="BQZ40" s="83"/>
      <c r="BRJ40" s="83"/>
      <c r="BRT40" s="83"/>
      <c r="BSD40" s="83"/>
      <c r="BSN40" s="83"/>
      <c r="BSX40" s="83"/>
      <c r="BTH40" s="83"/>
      <c r="BTR40" s="83"/>
      <c r="BUB40" s="83"/>
      <c r="BUL40" s="83"/>
      <c r="BUV40" s="83"/>
      <c r="BVF40" s="83"/>
      <c r="BVP40" s="83"/>
      <c r="BVZ40" s="83"/>
      <c r="BWJ40" s="83"/>
      <c r="BWT40" s="83"/>
      <c r="BXD40" s="83"/>
      <c r="BXN40" s="83"/>
      <c r="BXX40" s="83"/>
      <c r="BYH40" s="83"/>
      <c r="BYR40" s="83"/>
      <c r="BZB40" s="83"/>
      <c r="BZL40" s="83"/>
      <c r="BZV40" s="83"/>
      <c r="CAF40" s="83"/>
      <c r="CAP40" s="83"/>
      <c r="CAZ40" s="83"/>
      <c r="CBJ40" s="83"/>
      <c r="CBT40" s="83"/>
      <c r="CCD40" s="83"/>
      <c r="CCN40" s="83"/>
      <c r="CCX40" s="83"/>
      <c r="CDH40" s="83"/>
      <c r="CDR40" s="83"/>
      <c r="CEB40" s="83"/>
      <c r="CEL40" s="83"/>
      <c r="CEV40" s="83"/>
      <c r="CFF40" s="83"/>
      <c r="CFP40" s="83"/>
      <c r="CFZ40" s="83"/>
      <c r="CGJ40" s="83"/>
      <c r="CGT40" s="83"/>
      <c r="CHD40" s="83"/>
      <c r="CHN40" s="83"/>
      <c r="CHX40" s="83"/>
      <c r="CIH40" s="83"/>
      <c r="CIR40" s="83"/>
      <c r="CJB40" s="83"/>
      <c r="CJL40" s="83"/>
      <c r="CJV40" s="83"/>
      <c r="CKF40" s="83"/>
      <c r="CKP40" s="83"/>
      <c r="CKZ40" s="83"/>
      <c r="CLJ40" s="83"/>
      <c r="CLT40" s="83"/>
      <c r="CMD40" s="83"/>
      <c r="CMN40" s="83"/>
      <c r="CMX40" s="83"/>
      <c r="CNH40" s="83"/>
      <c r="CNR40" s="83"/>
      <c r="COB40" s="83"/>
      <c r="COL40" s="83"/>
      <c r="COV40" s="83"/>
      <c r="CPF40" s="83"/>
      <c r="CPP40" s="83"/>
      <c r="CPZ40" s="83"/>
      <c r="CQJ40" s="83"/>
      <c r="CQT40" s="83"/>
      <c r="CRD40" s="83"/>
      <c r="CRN40" s="83"/>
      <c r="CRX40" s="83"/>
      <c r="CSH40" s="83"/>
      <c r="CSR40" s="83"/>
      <c r="CTB40" s="83"/>
      <c r="CTL40" s="83"/>
      <c r="CTV40" s="83"/>
    </row>
    <row r="41" s="58" customFormat="1" customHeight="1" spans="1:1020 1030:2040 2050:2570">
      <c r="A41" s="79">
        <v>46148</v>
      </c>
      <c r="B41" s="80" t="s">
        <v>22</v>
      </c>
      <c r="C41" s="38" t="s">
        <v>23</v>
      </c>
      <c r="D41" s="75">
        <v>652350054</v>
      </c>
      <c r="E41" s="38" t="s">
        <v>66</v>
      </c>
      <c r="F41" s="75" t="str">
        <f>VLOOKUP(E41,[4]基础数据!E:H,2,0)</f>
        <v>LS-CCUB001-AC-V1.02 三防漆双面 926_018</v>
      </c>
      <c r="G41" s="38">
        <v>80</v>
      </c>
      <c r="H41" s="75" t="str">
        <f>VLOOKUP(E41,[4]基础数据!E:H,4,0)</f>
        <v>料盒</v>
      </c>
      <c r="I41" s="75">
        <f>VLOOKUP(E41,[4]基础数据!E:G,3,0)</f>
        <v>240</v>
      </c>
      <c r="J41" s="75" t="s">
        <v>306</v>
      </c>
      <c r="K41" s="82">
        <f t="shared" si="0"/>
        <v>0.333333333333333</v>
      </c>
      <c r="T41" s="83"/>
      <c r="AD41" s="83"/>
      <c r="AN41" s="83"/>
      <c r="AX41" s="83"/>
      <c r="BH41" s="83"/>
      <c r="BR41" s="83"/>
      <c r="CB41" s="83"/>
      <c r="CL41" s="83"/>
      <c r="CV41" s="83"/>
      <c r="DF41" s="83"/>
      <c r="DP41" s="83"/>
      <c r="DZ41" s="83"/>
      <c r="EJ41" s="83"/>
      <c r="ET41" s="83"/>
      <c r="FD41" s="83"/>
      <c r="FN41" s="83"/>
      <c r="FX41" s="83"/>
      <c r="GH41" s="83"/>
      <c r="GR41" s="83"/>
      <c r="HB41" s="83"/>
      <c r="HL41" s="83"/>
      <c r="HV41" s="83"/>
      <c r="IF41" s="83"/>
      <c r="IP41" s="83"/>
      <c r="IZ41" s="83"/>
      <c r="JJ41" s="83"/>
      <c r="JT41" s="83"/>
      <c r="KD41" s="83"/>
      <c r="KN41" s="83"/>
      <c r="KX41" s="83"/>
      <c r="LH41" s="83"/>
      <c r="LR41" s="83"/>
      <c r="MB41" s="83"/>
      <c r="ML41" s="83"/>
      <c r="MV41" s="83"/>
      <c r="NF41" s="83"/>
      <c r="NP41" s="83"/>
      <c r="NZ41" s="83"/>
      <c r="OJ41" s="83"/>
      <c r="OT41" s="83"/>
      <c r="PD41" s="83"/>
      <c r="PN41" s="83"/>
      <c r="PX41" s="83"/>
      <c r="QH41" s="83"/>
      <c r="QR41" s="83"/>
      <c r="RB41" s="83"/>
      <c r="RL41" s="83"/>
      <c r="RV41" s="83"/>
      <c r="SF41" s="83"/>
      <c r="SP41" s="83"/>
      <c r="SZ41" s="83"/>
      <c r="TJ41" s="83"/>
      <c r="TT41" s="83"/>
      <c r="UD41" s="83"/>
      <c r="UN41" s="83"/>
      <c r="UX41" s="83"/>
      <c r="VH41" s="83"/>
      <c r="VR41" s="83"/>
      <c r="WB41" s="83"/>
      <c r="WL41" s="83"/>
      <c r="WV41" s="83"/>
      <c r="XF41" s="83"/>
      <c r="XP41" s="83"/>
      <c r="XZ41" s="83"/>
      <c r="YJ41" s="83"/>
      <c r="YT41" s="83"/>
      <c r="ZD41" s="83"/>
      <c r="ZN41" s="83"/>
      <c r="ZX41" s="83"/>
      <c r="AAH41" s="83"/>
      <c r="AAR41" s="83"/>
      <c r="ABB41" s="83"/>
      <c r="ABL41" s="83"/>
      <c r="ABV41" s="83"/>
      <c r="ACF41" s="83"/>
      <c r="ACP41" s="83"/>
      <c r="ACZ41" s="83"/>
      <c r="ADJ41" s="83"/>
      <c r="ADT41" s="83"/>
      <c r="AED41" s="83"/>
      <c r="AEN41" s="83"/>
      <c r="AEX41" s="83"/>
      <c r="AFH41" s="83"/>
      <c r="AFR41" s="83"/>
      <c r="AGB41" s="83"/>
      <c r="AGL41" s="83"/>
      <c r="AGV41" s="83"/>
      <c r="AHF41" s="83"/>
      <c r="AHP41" s="83"/>
      <c r="AHZ41" s="83"/>
      <c r="AIJ41" s="83"/>
      <c r="AIT41" s="83"/>
      <c r="AJD41" s="83"/>
      <c r="AJN41" s="83"/>
      <c r="AJX41" s="83"/>
      <c r="AKH41" s="83"/>
      <c r="AKR41" s="83"/>
      <c r="ALB41" s="83"/>
      <c r="ALL41" s="83"/>
      <c r="ALV41" s="83"/>
      <c r="AMF41" s="83"/>
      <c r="AMP41" s="83"/>
      <c r="AMZ41" s="83"/>
      <c r="ANJ41" s="83"/>
      <c r="ANT41" s="83"/>
      <c r="AOD41" s="83"/>
      <c r="AON41" s="83"/>
      <c r="AOX41" s="83"/>
      <c r="APH41" s="83"/>
      <c r="APR41" s="83"/>
      <c r="AQB41" s="83"/>
      <c r="AQL41" s="83"/>
      <c r="AQV41" s="83"/>
      <c r="ARF41" s="83"/>
      <c r="ARP41" s="83"/>
      <c r="ARZ41" s="83"/>
      <c r="ASJ41" s="83"/>
      <c r="AST41" s="83"/>
      <c r="ATD41" s="83"/>
      <c r="ATN41" s="83"/>
      <c r="ATX41" s="83"/>
      <c r="AUH41" s="83"/>
      <c r="AUR41" s="83"/>
      <c r="AVB41" s="83"/>
      <c r="AVL41" s="83"/>
      <c r="AVV41" s="83"/>
      <c r="AWF41" s="83"/>
      <c r="AWP41" s="83"/>
      <c r="AWZ41" s="83"/>
      <c r="AXJ41" s="83"/>
      <c r="AXT41" s="83"/>
      <c r="AYD41" s="83"/>
      <c r="AYN41" s="83"/>
      <c r="AYX41" s="83"/>
      <c r="AZH41" s="83"/>
      <c r="AZR41" s="83"/>
      <c r="BAB41" s="83"/>
      <c r="BAL41" s="83"/>
      <c r="BAV41" s="83"/>
      <c r="BBF41" s="83"/>
      <c r="BBP41" s="83"/>
      <c r="BBZ41" s="83"/>
      <c r="BCJ41" s="83"/>
      <c r="BCT41" s="83"/>
      <c r="BDD41" s="83"/>
      <c r="BDN41" s="83"/>
      <c r="BDX41" s="83"/>
      <c r="BEH41" s="83"/>
      <c r="BER41" s="83"/>
      <c r="BFB41" s="83"/>
      <c r="BFL41" s="83"/>
      <c r="BFV41" s="83"/>
      <c r="BGF41" s="83"/>
      <c r="BGP41" s="83"/>
      <c r="BGZ41" s="83"/>
      <c r="BHJ41" s="83"/>
      <c r="BHT41" s="83"/>
      <c r="BID41" s="83"/>
      <c r="BIN41" s="83"/>
      <c r="BIX41" s="83"/>
      <c r="BJH41" s="83"/>
      <c r="BJR41" s="83"/>
      <c r="BKB41" s="83"/>
      <c r="BKL41" s="83"/>
      <c r="BKV41" s="83"/>
      <c r="BLF41" s="83"/>
      <c r="BLP41" s="83"/>
      <c r="BLZ41" s="83"/>
      <c r="BMJ41" s="83"/>
      <c r="BMT41" s="83"/>
      <c r="BND41" s="83"/>
      <c r="BNN41" s="83"/>
      <c r="BNX41" s="83"/>
      <c r="BOH41" s="83"/>
      <c r="BOR41" s="83"/>
      <c r="BPB41" s="83"/>
      <c r="BPL41" s="83"/>
      <c r="BPV41" s="83"/>
      <c r="BQF41" s="83"/>
      <c r="BQP41" s="83"/>
      <c r="BQZ41" s="83"/>
      <c r="BRJ41" s="83"/>
      <c r="BRT41" s="83"/>
      <c r="BSD41" s="83"/>
      <c r="BSN41" s="83"/>
      <c r="BSX41" s="83"/>
      <c r="BTH41" s="83"/>
      <c r="BTR41" s="83"/>
      <c r="BUB41" s="83"/>
      <c r="BUL41" s="83"/>
      <c r="BUV41" s="83"/>
      <c r="BVF41" s="83"/>
      <c r="BVP41" s="83"/>
      <c r="BVZ41" s="83"/>
      <c r="BWJ41" s="83"/>
      <c r="BWT41" s="83"/>
      <c r="BXD41" s="83"/>
      <c r="BXN41" s="83"/>
      <c r="BXX41" s="83"/>
      <c r="BYH41" s="83"/>
      <c r="BYR41" s="83"/>
      <c r="BZB41" s="83"/>
      <c r="BZL41" s="83"/>
      <c r="BZV41" s="83"/>
      <c r="CAF41" s="83"/>
      <c r="CAP41" s="83"/>
      <c r="CAZ41" s="83"/>
      <c r="CBJ41" s="83"/>
      <c r="CBT41" s="83"/>
      <c r="CCD41" s="83"/>
      <c r="CCN41" s="83"/>
      <c r="CCX41" s="83"/>
      <c r="CDH41" s="83"/>
      <c r="CDR41" s="83"/>
      <c r="CEB41" s="83"/>
      <c r="CEL41" s="83"/>
      <c r="CEV41" s="83"/>
      <c r="CFF41" s="83"/>
      <c r="CFP41" s="83"/>
      <c r="CFZ41" s="83"/>
      <c r="CGJ41" s="83"/>
      <c r="CGT41" s="83"/>
      <c r="CHD41" s="83"/>
      <c r="CHN41" s="83"/>
      <c r="CHX41" s="83"/>
      <c r="CIH41" s="83"/>
      <c r="CIR41" s="83"/>
      <c r="CJB41" s="83"/>
      <c r="CJL41" s="83"/>
      <c r="CJV41" s="83"/>
      <c r="CKF41" s="83"/>
      <c r="CKP41" s="83"/>
      <c r="CKZ41" s="83"/>
      <c r="CLJ41" s="83"/>
      <c r="CLT41" s="83"/>
      <c r="CMD41" s="83"/>
      <c r="CMN41" s="83"/>
      <c r="CMX41" s="83"/>
      <c r="CNH41" s="83"/>
      <c r="CNR41" s="83"/>
      <c r="COB41" s="83"/>
      <c r="COL41" s="83"/>
      <c r="COV41" s="83"/>
      <c r="CPF41" s="83"/>
      <c r="CPP41" s="83"/>
      <c r="CPZ41" s="83"/>
      <c r="CQJ41" s="83"/>
      <c r="CQT41" s="83"/>
      <c r="CRD41" s="83"/>
      <c r="CRN41" s="83"/>
      <c r="CRX41" s="83"/>
      <c r="CSH41" s="83"/>
      <c r="CSR41" s="83"/>
      <c r="CTB41" s="83"/>
      <c r="CTL41" s="83"/>
      <c r="CTV41" s="83"/>
    </row>
    <row r="42" s="58" customFormat="1" customHeight="1" spans="1:1020 1030:2040 2050:2570">
      <c r="A42" s="79">
        <v>46148</v>
      </c>
      <c r="B42" s="80" t="s">
        <v>22</v>
      </c>
      <c r="C42" s="38" t="s">
        <v>23</v>
      </c>
      <c r="D42" s="75">
        <v>652350054</v>
      </c>
      <c r="E42" s="38" t="s">
        <v>66</v>
      </c>
      <c r="F42" s="75" t="str">
        <f>VLOOKUP(E42,[4]基础数据!E:H,2,0)</f>
        <v>LS-CCUB001-AC-V1.02 三防漆双面 926_018</v>
      </c>
      <c r="G42" s="38">
        <v>39</v>
      </c>
      <c r="H42" s="75" t="str">
        <f>VLOOKUP(E42,[4]基础数据!E:H,4,0)</f>
        <v>料盒</v>
      </c>
      <c r="I42" s="75">
        <f>VLOOKUP(E42,[4]基础数据!E:G,3,0)</f>
        <v>240</v>
      </c>
      <c r="J42" s="75" t="s">
        <v>306</v>
      </c>
      <c r="K42" s="82">
        <f t="shared" si="0"/>
        <v>0.1625</v>
      </c>
      <c r="T42" s="83"/>
      <c r="AD42" s="83"/>
      <c r="AN42" s="83"/>
      <c r="AX42" s="83"/>
      <c r="BH42" s="83"/>
      <c r="BR42" s="83"/>
      <c r="CB42" s="83"/>
      <c r="CL42" s="83"/>
      <c r="CV42" s="83"/>
      <c r="DF42" s="83"/>
      <c r="DP42" s="83"/>
      <c r="DZ42" s="83"/>
      <c r="EJ42" s="83"/>
      <c r="ET42" s="83"/>
      <c r="FD42" s="83"/>
      <c r="FN42" s="83"/>
      <c r="FX42" s="83"/>
      <c r="GH42" s="83"/>
      <c r="GR42" s="83"/>
      <c r="HB42" s="83"/>
      <c r="HL42" s="83"/>
      <c r="HV42" s="83"/>
      <c r="IF42" s="83"/>
      <c r="IP42" s="83"/>
      <c r="IZ42" s="83"/>
      <c r="JJ42" s="83"/>
      <c r="JT42" s="83"/>
      <c r="KD42" s="83"/>
      <c r="KN42" s="83"/>
      <c r="KX42" s="83"/>
      <c r="LH42" s="83"/>
      <c r="LR42" s="83"/>
      <c r="MB42" s="83"/>
      <c r="ML42" s="83"/>
      <c r="MV42" s="83"/>
      <c r="NF42" s="83"/>
      <c r="NP42" s="83"/>
      <c r="NZ42" s="83"/>
      <c r="OJ42" s="83"/>
      <c r="OT42" s="83"/>
      <c r="PD42" s="83"/>
      <c r="PN42" s="83"/>
      <c r="PX42" s="83"/>
      <c r="QH42" s="83"/>
      <c r="QR42" s="83"/>
      <c r="RB42" s="83"/>
      <c r="RL42" s="83"/>
      <c r="RV42" s="83"/>
      <c r="SF42" s="83"/>
      <c r="SP42" s="83"/>
      <c r="SZ42" s="83"/>
      <c r="TJ42" s="83"/>
      <c r="TT42" s="83"/>
      <c r="UD42" s="83"/>
      <c r="UN42" s="83"/>
      <c r="UX42" s="83"/>
      <c r="VH42" s="83"/>
      <c r="VR42" s="83"/>
      <c r="WB42" s="83"/>
      <c r="WL42" s="83"/>
      <c r="WV42" s="83"/>
      <c r="XF42" s="83"/>
      <c r="XP42" s="83"/>
      <c r="XZ42" s="83"/>
      <c r="YJ42" s="83"/>
      <c r="YT42" s="83"/>
      <c r="ZD42" s="83"/>
      <c r="ZN42" s="83"/>
      <c r="ZX42" s="83"/>
      <c r="AAH42" s="83"/>
      <c r="AAR42" s="83"/>
      <c r="ABB42" s="83"/>
      <c r="ABL42" s="83"/>
      <c r="ABV42" s="83"/>
      <c r="ACF42" s="83"/>
      <c r="ACP42" s="83"/>
      <c r="ACZ42" s="83"/>
      <c r="ADJ42" s="83"/>
      <c r="ADT42" s="83"/>
      <c r="AED42" s="83"/>
      <c r="AEN42" s="83"/>
      <c r="AEX42" s="83"/>
      <c r="AFH42" s="83"/>
      <c r="AFR42" s="83"/>
      <c r="AGB42" s="83"/>
      <c r="AGL42" s="83"/>
      <c r="AGV42" s="83"/>
      <c r="AHF42" s="83"/>
      <c r="AHP42" s="83"/>
      <c r="AHZ42" s="83"/>
      <c r="AIJ42" s="83"/>
      <c r="AIT42" s="83"/>
      <c r="AJD42" s="83"/>
      <c r="AJN42" s="83"/>
      <c r="AJX42" s="83"/>
      <c r="AKH42" s="83"/>
      <c r="AKR42" s="83"/>
      <c r="ALB42" s="83"/>
      <c r="ALL42" s="83"/>
      <c r="ALV42" s="83"/>
      <c r="AMF42" s="83"/>
      <c r="AMP42" s="83"/>
      <c r="AMZ42" s="83"/>
      <c r="ANJ42" s="83"/>
      <c r="ANT42" s="83"/>
      <c r="AOD42" s="83"/>
      <c r="AON42" s="83"/>
      <c r="AOX42" s="83"/>
      <c r="APH42" s="83"/>
      <c r="APR42" s="83"/>
      <c r="AQB42" s="83"/>
      <c r="AQL42" s="83"/>
      <c r="AQV42" s="83"/>
      <c r="ARF42" s="83"/>
      <c r="ARP42" s="83"/>
      <c r="ARZ42" s="83"/>
      <c r="ASJ42" s="83"/>
      <c r="AST42" s="83"/>
      <c r="ATD42" s="83"/>
      <c r="ATN42" s="83"/>
      <c r="ATX42" s="83"/>
      <c r="AUH42" s="83"/>
      <c r="AUR42" s="83"/>
      <c r="AVB42" s="83"/>
      <c r="AVL42" s="83"/>
      <c r="AVV42" s="83"/>
      <c r="AWF42" s="83"/>
      <c r="AWP42" s="83"/>
      <c r="AWZ42" s="83"/>
      <c r="AXJ42" s="83"/>
      <c r="AXT42" s="83"/>
      <c r="AYD42" s="83"/>
      <c r="AYN42" s="83"/>
      <c r="AYX42" s="83"/>
      <c r="AZH42" s="83"/>
      <c r="AZR42" s="83"/>
      <c r="BAB42" s="83"/>
      <c r="BAL42" s="83"/>
      <c r="BAV42" s="83"/>
      <c r="BBF42" s="83"/>
      <c r="BBP42" s="83"/>
      <c r="BBZ42" s="83"/>
      <c r="BCJ42" s="83"/>
      <c r="BCT42" s="83"/>
      <c r="BDD42" s="83"/>
      <c r="BDN42" s="83"/>
      <c r="BDX42" s="83"/>
      <c r="BEH42" s="83"/>
      <c r="BER42" s="83"/>
      <c r="BFB42" s="83"/>
      <c r="BFL42" s="83"/>
      <c r="BFV42" s="83"/>
      <c r="BGF42" s="83"/>
      <c r="BGP42" s="83"/>
      <c r="BGZ42" s="83"/>
      <c r="BHJ42" s="83"/>
      <c r="BHT42" s="83"/>
      <c r="BID42" s="83"/>
      <c r="BIN42" s="83"/>
      <c r="BIX42" s="83"/>
      <c r="BJH42" s="83"/>
      <c r="BJR42" s="83"/>
      <c r="BKB42" s="83"/>
      <c r="BKL42" s="83"/>
      <c r="BKV42" s="83"/>
      <c r="BLF42" s="83"/>
      <c r="BLP42" s="83"/>
      <c r="BLZ42" s="83"/>
      <c r="BMJ42" s="83"/>
      <c r="BMT42" s="83"/>
      <c r="BND42" s="83"/>
      <c r="BNN42" s="83"/>
      <c r="BNX42" s="83"/>
      <c r="BOH42" s="83"/>
      <c r="BOR42" s="83"/>
      <c r="BPB42" s="83"/>
      <c r="BPL42" s="83"/>
      <c r="BPV42" s="83"/>
      <c r="BQF42" s="83"/>
      <c r="BQP42" s="83"/>
      <c r="BQZ42" s="83"/>
      <c r="BRJ42" s="83"/>
      <c r="BRT42" s="83"/>
      <c r="BSD42" s="83"/>
      <c r="BSN42" s="83"/>
      <c r="BSX42" s="83"/>
      <c r="BTH42" s="83"/>
      <c r="BTR42" s="83"/>
      <c r="BUB42" s="83"/>
      <c r="BUL42" s="83"/>
      <c r="BUV42" s="83"/>
      <c r="BVF42" s="83"/>
      <c r="BVP42" s="83"/>
      <c r="BVZ42" s="83"/>
      <c r="BWJ42" s="83"/>
      <c r="BWT42" s="83"/>
      <c r="BXD42" s="83"/>
      <c r="BXN42" s="83"/>
      <c r="BXX42" s="83"/>
      <c r="BYH42" s="83"/>
      <c r="BYR42" s="83"/>
      <c r="BZB42" s="83"/>
      <c r="BZL42" s="83"/>
      <c r="BZV42" s="83"/>
      <c r="CAF42" s="83"/>
      <c r="CAP42" s="83"/>
      <c r="CAZ42" s="83"/>
      <c r="CBJ42" s="83"/>
      <c r="CBT42" s="83"/>
      <c r="CCD42" s="83"/>
      <c r="CCN42" s="83"/>
      <c r="CCX42" s="83"/>
      <c r="CDH42" s="83"/>
      <c r="CDR42" s="83"/>
      <c r="CEB42" s="83"/>
      <c r="CEL42" s="83"/>
      <c r="CEV42" s="83"/>
      <c r="CFF42" s="83"/>
      <c r="CFP42" s="83"/>
      <c r="CFZ42" s="83"/>
      <c r="CGJ42" s="83"/>
      <c r="CGT42" s="83"/>
      <c r="CHD42" s="83"/>
      <c r="CHN42" s="83"/>
      <c r="CHX42" s="83"/>
      <c r="CIH42" s="83"/>
      <c r="CIR42" s="83"/>
      <c r="CJB42" s="83"/>
      <c r="CJL42" s="83"/>
      <c r="CJV42" s="83"/>
      <c r="CKF42" s="83"/>
      <c r="CKP42" s="83"/>
      <c r="CKZ42" s="83"/>
      <c r="CLJ42" s="83"/>
      <c r="CLT42" s="83"/>
      <c r="CMD42" s="83"/>
      <c r="CMN42" s="83"/>
      <c r="CMX42" s="83"/>
      <c r="CNH42" s="83"/>
      <c r="CNR42" s="83"/>
      <c r="COB42" s="83"/>
      <c r="COL42" s="83"/>
      <c r="COV42" s="83"/>
      <c r="CPF42" s="83"/>
      <c r="CPP42" s="83"/>
      <c r="CPZ42" s="83"/>
      <c r="CQJ42" s="83"/>
      <c r="CQT42" s="83"/>
      <c r="CRD42" s="83"/>
      <c r="CRN42" s="83"/>
      <c r="CRX42" s="83"/>
      <c r="CSH42" s="83"/>
      <c r="CSR42" s="83"/>
      <c r="CTB42" s="83"/>
      <c r="CTL42" s="83"/>
      <c r="CTV42" s="83"/>
    </row>
    <row r="43" s="58" customFormat="1" customHeight="1" spans="1:1020 1030:2040 2050:2570">
      <c r="A43" s="79">
        <v>46148</v>
      </c>
      <c r="B43" s="80" t="s">
        <v>22</v>
      </c>
      <c r="C43" s="38" t="s">
        <v>23</v>
      </c>
      <c r="D43" s="75">
        <v>652350054</v>
      </c>
      <c r="E43" s="38" t="s">
        <v>114</v>
      </c>
      <c r="F43" s="75" t="str">
        <f>VLOOKUP(E43,[4]基础数据!E:H,2,0)</f>
        <v>LS-CCUB001-AB-V1.04 三防漆双面 904_219</v>
      </c>
      <c r="G43" s="38">
        <v>648</v>
      </c>
      <c r="H43" s="75" t="str">
        <f>VLOOKUP(E43,[4]基础数据!E:H,4,0)</f>
        <v>料盒</v>
      </c>
      <c r="I43" s="75">
        <f>VLOOKUP(E43,[4]基础数据!E:G,3,0)</f>
        <v>54</v>
      </c>
      <c r="J43" s="75" t="s">
        <v>306</v>
      </c>
      <c r="K43" s="82">
        <f t="shared" si="0"/>
        <v>12</v>
      </c>
      <c r="T43" s="83"/>
      <c r="AD43" s="83"/>
      <c r="AN43" s="83"/>
      <c r="AX43" s="83"/>
      <c r="BH43" s="83"/>
      <c r="BR43" s="83"/>
      <c r="CB43" s="83"/>
      <c r="CL43" s="83"/>
      <c r="CV43" s="83"/>
      <c r="DF43" s="83"/>
      <c r="DP43" s="83"/>
      <c r="DZ43" s="83"/>
      <c r="EJ43" s="83"/>
      <c r="ET43" s="83"/>
      <c r="FD43" s="83"/>
      <c r="FN43" s="83"/>
      <c r="FX43" s="83"/>
      <c r="GH43" s="83"/>
      <c r="GR43" s="83"/>
      <c r="HB43" s="83"/>
      <c r="HL43" s="83"/>
      <c r="HV43" s="83"/>
      <c r="IF43" s="83"/>
      <c r="IP43" s="83"/>
      <c r="IZ43" s="83"/>
      <c r="JJ43" s="83"/>
      <c r="JT43" s="83"/>
      <c r="KD43" s="83"/>
      <c r="KN43" s="83"/>
      <c r="KX43" s="83"/>
      <c r="LH43" s="83"/>
      <c r="LR43" s="83"/>
      <c r="MB43" s="83"/>
      <c r="ML43" s="83"/>
      <c r="MV43" s="83"/>
      <c r="NF43" s="83"/>
      <c r="NP43" s="83"/>
      <c r="NZ43" s="83"/>
      <c r="OJ43" s="83"/>
      <c r="OT43" s="83"/>
      <c r="PD43" s="83"/>
      <c r="PN43" s="83"/>
      <c r="PX43" s="83"/>
      <c r="QH43" s="83"/>
      <c r="QR43" s="83"/>
      <c r="RB43" s="83"/>
      <c r="RL43" s="83"/>
      <c r="RV43" s="83"/>
      <c r="SF43" s="83"/>
      <c r="SP43" s="83"/>
      <c r="SZ43" s="83"/>
      <c r="TJ43" s="83"/>
      <c r="TT43" s="83"/>
      <c r="UD43" s="83"/>
      <c r="UN43" s="83"/>
      <c r="UX43" s="83"/>
      <c r="VH43" s="83"/>
      <c r="VR43" s="83"/>
      <c r="WB43" s="83"/>
      <c r="WL43" s="83"/>
      <c r="WV43" s="83"/>
      <c r="XF43" s="83"/>
      <c r="XP43" s="83"/>
      <c r="XZ43" s="83"/>
      <c r="YJ43" s="83"/>
      <c r="YT43" s="83"/>
      <c r="ZD43" s="83"/>
      <c r="ZN43" s="83"/>
      <c r="ZX43" s="83"/>
      <c r="AAH43" s="83"/>
      <c r="AAR43" s="83"/>
      <c r="ABB43" s="83"/>
      <c r="ABL43" s="83"/>
      <c r="ABV43" s="83"/>
      <c r="ACF43" s="83"/>
      <c r="ACP43" s="83"/>
      <c r="ACZ43" s="83"/>
      <c r="ADJ43" s="83"/>
      <c r="ADT43" s="83"/>
      <c r="AED43" s="83"/>
      <c r="AEN43" s="83"/>
      <c r="AEX43" s="83"/>
      <c r="AFH43" s="83"/>
      <c r="AFR43" s="83"/>
      <c r="AGB43" s="83"/>
      <c r="AGL43" s="83"/>
      <c r="AGV43" s="83"/>
      <c r="AHF43" s="83"/>
      <c r="AHP43" s="83"/>
      <c r="AHZ43" s="83"/>
      <c r="AIJ43" s="83"/>
      <c r="AIT43" s="83"/>
      <c r="AJD43" s="83"/>
      <c r="AJN43" s="83"/>
      <c r="AJX43" s="83"/>
      <c r="AKH43" s="83"/>
      <c r="AKR43" s="83"/>
      <c r="ALB43" s="83"/>
      <c r="ALL43" s="83"/>
      <c r="ALV43" s="83"/>
      <c r="AMF43" s="83"/>
      <c r="AMP43" s="83"/>
      <c r="AMZ43" s="83"/>
      <c r="ANJ43" s="83"/>
      <c r="ANT43" s="83"/>
      <c r="AOD43" s="83"/>
      <c r="AON43" s="83"/>
      <c r="AOX43" s="83"/>
      <c r="APH43" s="83"/>
      <c r="APR43" s="83"/>
      <c r="AQB43" s="83"/>
      <c r="AQL43" s="83"/>
      <c r="AQV43" s="83"/>
      <c r="ARF43" s="83"/>
      <c r="ARP43" s="83"/>
      <c r="ARZ43" s="83"/>
      <c r="ASJ43" s="83"/>
      <c r="AST43" s="83"/>
      <c r="ATD43" s="83"/>
      <c r="ATN43" s="83"/>
      <c r="ATX43" s="83"/>
      <c r="AUH43" s="83"/>
      <c r="AUR43" s="83"/>
      <c r="AVB43" s="83"/>
      <c r="AVL43" s="83"/>
      <c r="AVV43" s="83"/>
      <c r="AWF43" s="83"/>
      <c r="AWP43" s="83"/>
      <c r="AWZ43" s="83"/>
      <c r="AXJ43" s="83"/>
      <c r="AXT43" s="83"/>
      <c r="AYD43" s="83"/>
      <c r="AYN43" s="83"/>
      <c r="AYX43" s="83"/>
      <c r="AZH43" s="83"/>
      <c r="AZR43" s="83"/>
      <c r="BAB43" s="83"/>
      <c r="BAL43" s="83"/>
      <c r="BAV43" s="83"/>
      <c r="BBF43" s="83"/>
      <c r="BBP43" s="83"/>
      <c r="BBZ43" s="83"/>
      <c r="BCJ43" s="83"/>
      <c r="BCT43" s="83"/>
      <c r="BDD43" s="83"/>
      <c r="BDN43" s="83"/>
      <c r="BDX43" s="83"/>
      <c r="BEH43" s="83"/>
      <c r="BER43" s="83"/>
      <c r="BFB43" s="83"/>
      <c r="BFL43" s="83"/>
      <c r="BFV43" s="83"/>
      <c r="BGF43" s="83"/>
      <c r="BGP43" s="83"/>
      <c r="BGZ43" s="83"/>
      <c r="BHJ43" s="83"/>
      <c r="BHT43" s="83"/>
      <c r="BID43" s="83"/>
      <c r="BIN43" s="83"/>
      <c r="BIX43" s="83"/>
      <c r="BJH43" s="83"/>
      <c r="BJR43" s="83"/>
      <c r="BKB43" s="83"/>
      <c r="BKL43" s="83"/>
      <c r="BKV43" s="83"/>
      <c r="BLF43" s="83"/>
      <c r="BLP43" s="83"/>
      <c r="BLZ43" s="83"/>
      <c r="BMJ43" s="83"/>
      <c r="BMT43" s="83"/>
      <c r="BND43" s="83"/>
      <c r="BNN43" s="83"/>
      <c r="BNX43" s="83"/>
      <c r="BOH43" s="83"/>
      <c r="BOR43" s="83"/>
      <c r="BPB43" s="83"/>
      <c r="BPL43" s="83"/>
      <c r="BPV43" s="83"/>
      <c r="BQF43" s="83"/>
      <c r="BQP43" s="83"/>
      <c r="BQZ43" s="83"/>
      <c r="BRJ43" s="83"/>
      <c r="BRT43" s="83"/>
      <c r="BSD43" s="83"/>
      <c r="BSN43" s="83"/>
      <c r="BSX43" s="83"/>
      <c r="BTH43" s="83"/>
      <c r="BTR43" s="83"/>
      <c r="BUB43" s="83"/>
      <c r="BUL43" s="83"/>
      <c r="BUV43" s="83"/>
      <c r="BVF43" s="83"/>
      <c r="BVP43" s="83"/>
      <c r="BVZ43" s="83"/>
      <c r="BWJ43" s="83"/>
      <c r="BWT43" s="83"/>
      <c r="BXD43" s="83"/>
      <c r="BXN43" s="83"/>
      <c r="BXX43" s="83"/>
      <c r="BYH43" s="83"/>
      <c r="BYR43" s="83"/>
      <c r="BZB43" s="83"/>
      <c r="BZL43" s="83"/>
      <c r="BZV43" s="83"/>
      <c r="CAF43" s="83"/>
      <c r="CAP43" s="83"/>
      <c r="CAZ43" s="83"/>
      <c r="CBJ43" s="83"/>
      <c r="CBT43" s="83"/>
      <c r="CCD43" s="83"/>
      <c r="CCN43" s="83"/>
      <c r="CCX43" s="83"/>
      <c r="CDH43" s="83"/>
      <c r="CDR43" s="83"/>
      <c r="CEB43" s="83"/>
      <c r="CEL43" s="83"/>
      <c r="CEV43" s="83"/>
      <c r="CFF43" s="83"/>
      <c r="CFP43" s="83"/>
      <c r="CFZ43" s="83"/>
      <c r="CGJ43" s="83"/>
      <c r="CGT43" s="83"/>
      <c r="CHD43" s="83"/>
      <c r="CHN43" s="83"/>
      <c r="CHX43" s="83"/>
      <c r="CIH43" s="83"/>
      <c r="CIR43" s="83"/>
      <c r="CJB43" s="83"/>
      <c r="CJL43" s="83"/>
      <c r="CJV43" s="83"/>
      <c r="CKF43" s="83"/>
      <c r="CKP43" s="83"/>
      <c r="CKZ43" s="83"/>
      <c r="CLJ43" s="83"/>
      <c r="CLT43" s="83"/>
      <c r="CMD43" s="83"/>
      <c r="CMN43" s="83"/>
      <c r="CMX43" s="83"/>
      <c r="CNH43" s="83"/>
      <c r="CNR43" s="83"/>
      <c r="COB43" s="83"/>
      <c r="COL43" s="83"/>
      <c r="COV43" s="83"/>
      <c r="CPF43" s="83"/>
      <c r="CPP43" s="83"/>
      <c r="CPZ43" s="83"/>
      <c r="CQJ43" s="83"/>
      <c r="CQT43" s="83"/>
      <c r="CRD43" s="83"/>
      <c r="CRN43" s="83"/>
      <c r="CRX43" s="83"/>
      <c r="CSH43" s="83"/>
      <c r="CSR43" s="83"/>
      <c r="CTB43" s="83"/>
      <c r="CTL43" s="83"/>
      <c r="CTV43" s="83"/>
    </row>
    <row r="44" s="58" customFormat="1" customHeight="1" spans="1:1020 1030:2040 2050:2570">
      <c r="A44" s="79">
        <v>46148</v>
      </c>
      <c r="B44" s="80" t="s">
        <v>22</v>
      </c>
      <c r="C44" s="38" t="s">
        <v>23</v>
      </c>
      <c r="D44" s="75">
        <v>652350054</v>
      </c>
      <c r="E44" s="38" t="s">
        <v>60</v>
      </c>
      <c r="F44" s="75" t="str">
        <f>VLOOKUP(E44,[4]基础数据!E:H,2,0)</f>
        <v>LS-MCUP006-AA-V1.10三防漆双面904.158</v>
      </c>
      <c r="G44" s="38">
        <v>2100</v>
      </c>
      <c r="H44" s="75" t="str">
        <f>VLOOKUP(E44,[4]基础数据!E:H,4,0)</f>
        <v>料盒</v>
      </c>
      <c r="I44" s="75">
        <f>VLOOKUP(E44,[4]基础数据!E:G,3,0)</f>
        <v>210</v>
      </c>
      <c r="J44" s="75" t="s">
        <v>306</v>
      </c>
      <c r="K44" s="82">
        <f t="shared" si="0"/>
        <v>10</v>
      </c>
      <c r="T44" s="83"/>
      <c r="AD44" s="83"/>
      <c r="AN44" s="83"/>
      <c r="AX44" s="83"/>
      <c r="BH44" s="83"/>
      <c r="BR44" s="83"/>
      <c r="CB44" s="83"/>
      <c r="CL44" s="83"/>
      <c r="CV44" s="83"/>
      <c r="DF44" s="83"/>
      <c r="DP44" s="83"/>
      <c r="DZ44" s="83"/>
      <c r="EJ44" s="83"/>
      <c r="ET44" s="83"/>
      <c r="FD44" s="83"/>
      <c r="FN44" s="83"/>
      <c r="FX44" s="83"/>
      <c r="GH44" s="83"/>
      <c r="GR44" s="83"/>
      <c r="HB44" s="83"/>
      <c r="HL44" s="83"/>
      <c r="HV44" s="83"/>
      <c r="IF44" s="83"/>
      <c r="IP44" s="83"/>
      <c r="IZ44" s="83"/>
      <c r="JJ44" s="83"/>
      <c r="JT44" s="83"/>
      <c r="KD44" s="83"/>
      <c r="KN44" s="83"/>
      <c r="KX44" s="83"/>
      <c r="LH44" s="83"/>
      <c r="LR44" s="83"/>
      <c r="MB44" s="83"/>
      <c r="ML44" s="83"/>
      <c r="MV44" s="83"/>
      <c r="NF44" s="83"/>
      <c r="NP44" s="83"/>
      <c r="NZ44" s="83"/>
      <c r="OJ44" s="83"/>
      <c r="OT44" s="83"/>
      <c r="PD44" s="83"/>
      <c r="PN44" s="83"/>
      <c r="PX44" s="83"/>
      <c r="QH44" s="83"/>
      <c r="QR44" s="83"/>
      <c r="RB44" s="83"/>
      <c r="RL44" s="83"/>
      <c r="RV44" s="83"/>
      <c r="SF44" s="83"/>
      <c r="SP44" s="83"/>
      <c r="SZ44" s="83"/>
      <c r="TJ44" s="83"/>
      <c r="TT44" s="83"/>
      <c r="UD44" s="83"/>
      <c r="UN44" s="83"/>
      <c r="UX44" s="83"/>
      <c r="VH44" s="83"/>
      <c r="VR44" s="83"/>
      <c r="WB44" s="83"/>
      <c r="WL44" s="83"/>
      <c r="WV44" s="83"/>
      <c r="XF44" s="83"/>
      <c r="XP44" s="83"/>
      <c r="XZ44" s="83"/>
      <c r="YJ44" s="83"/>
      <c r="YT44" s="83"/>
      <c r="ZD44" s="83"/>
      <c r="ZN44" s="83"/>
      <c r="ZX44" s="83"/>
      <c r="AAH44" s="83"/>
      <c r="AAR44" s="83"/>
      <c r="ABB44" s="83"/>
      <c r="ABL44" s="83"/>
      <c r="ABV44" s="83"/>
      <c r="ACF44" s="83"/>
      <c r="ACP44" s="83"/>
      <c r="ACZ44" s="83"/>
      <c r="ADJ44" s="83"/>
      <c r="ADT44" s="83"/>
      <c r="AED44" s="83"/>
      <c r="AEN44" s="83"/>
      <c r="AEX44" s="83"/>
      <c r="AFH44" s="83"/>
      <c r="AFR44" s="83"/>
      <c r="AGB44" s="83"/>
      <c r="AGL44" s="83"/>
      <c r="AGV44" s="83"/>
      <c r="AHF44" s="83"/>
      <c r="AHP44" s="83"/>
      <c r="AHZ44" s="83"/>
      <c r="AIJ44" s="83"/>
      <c r="AIT44" s="83"/>
      <c r="AJD44" s="83"/>
      <c r="AJN44" s="83"/>
      <c r="AJX44" s="83"/>
      <c r="AKH44" s="83"/>
      <c r="AKR44" s="83"/>
      <c r="ALB44" s="83"/>
      <c r="ALL44" s="83"/>
      <c r="ALV44" s="83"/>
      <c r="AMF44" s="83"/>
      <c r="AMP44" s="83"/>
      <c r="AMZ44" s="83"/>
      <c r="ANJ44" s="83"/>
      <c r="ANT44" s="83"/>
      <c r="AOD44" s="83"/>
      <c r="AON44" s="83"/>
      <c r="AOX44" s="83"/>
      <c r="APH44" s="83"/>
      <c r="APR44" s="83"/>
      <c r="AQB44" s="83"/>
      <c r="AQL44" s="83"/>
      <c r="AQV44" s="83"/>
      <c r="ARF44" s="83"/>
      <c r="ARP44" s="83"/>
      <c r="ARZ44" s="83"/>
      <c r="ASJ44" s="83"/>
      <c r="AST44" s="83"/>
      <c r="ATD44" s="83"/>
      <c r="ATN44" s="83"/>
      <c r="ATX44" s="83"/>
      <c r="AUH44" s="83"/>
      <c r="AUR44" s="83"/>
      <c r="AVB44" s="83"/>
      <c r="AVL44" s="83"/>
      <c r="AVV44" s="83"/>
      <c r="AWF44" s="83"/>
      <c r="AWP44" s="83"/>
      <c r="AWZ44" s="83"/>
      <c r="AXJ44" s="83"/>
      <c r="AXT44" s="83"/>
      <c r="AYD44" s="83"/>
      <c r="AYN44" s="83"/>
      <c r="AYX44" s="83"/>
      <c r="AZH44" s="83"/>
      <c r="AZR44" s="83"/>
      <c r="BAB44" s="83"/>
      <c r="BAL44" s="83"/>
      <c r="BAV44" s="83"/>
      <c r="BBF44" s="83"/>
      <c r="BBP44" s="83"/>
      <c r="BBZ44" s="83"/>
      <c r="BCJ44" s="83"/>
      <c r="BCT44" s="83"/>
      <c r="BDD44" s="83"/>
      <c r="BDN44" s="83"/>
      <c r="BDX44" s="83"/>
      <c r="BEH44" s="83"/>
      <c r="BER44" s="83"/>
      <c r="BFB44" s="83"/>
      <c r="BFL44" s="83"/>
      <c r="BFV44" s="83"/>
      <c r="BGF44" s="83"/>
      <c r="BGP44" s="83"/>
      <c r="BGZ44" s="83"/>
      <c r="BHJ44" s="83"/>
      <c r="BHT44" s="83"/>
      <c r="BID44" s="83"/>
      <c r="BIN44" s="83"/>
      <c r="BIX44" s="83"/>
      <c r="BJH44" s="83"/>
      <c r="BJR44" s="83"/>
      <c r="BKB44" s="83"/>
      <c r="BKL44" s="83"/>
      <c r="BKV44" s="83"/>
      <c r="BLF44" s="83"/>
      <c r="BLP44" s="83"/>
      <c r="BLZ44" s="83"/>
      <c r="BMJ44" s="83"/>
      <c r="BMT44" s="83"/>
      <c r="BND44" s="83"/>
      <c r="BNN44" s="83"/>
      <c r="BNX44" s="83"/>
      <c r="BOH44" s="83"/>
      <c r="BOR44" s="83"/>
      <c r="BPB44" s="83"/>
      <c r="BPL44" s="83"/>
      <c r="BPV44" s="83"/>
      <c r="BQF44" s="83"/>
      <c r="BQP44" s="83"/>
      <c r="BQZ44" s="83"/>
      <c r="BRJ44" s="83"/>
      <c r="BRT44" s="83"/>
      <c r="BSD44" s="83"/>
      <c r="BSN44" s="83"/>
      <c r="BSX44" s="83"/>
      <c r="BTH44" s="83"/>
      <c r="BTR44" s="83"/>
      <c r="BUB44" s="83"/>
      <c r="BUL44" s="83"/>
      <c r="BUV44" s="83"/>
      <c r="BVF44" s="83"/>
      <c r="BVP44" s="83"/>
      <c r="BVZ44" s="83"/>
      <c r="BWJ44" s="83"/>
      <c r="BWT44" s="83"/>
      <c r="BXD44" s="83"/>
      <c r="BXN44" s="83"/>
      <c r="BXX44" s="83"/>
      <c r="BYH44" s="83"/>
      <c r="BYR44" s="83"/>
      <c r="BZB44" s="83"/>
      <c r="BZL44" s="83"/>
      <c r="BZV44" s="83"/>
      <c r="CAF44" s="83"/>
      <c r="CAP44" s="83"/>
      <c r="CAZ44" s="83"/>
      <c r="CBJ44" s="83"/>
      <c r="CBT44" s="83"/>
      <c r="CCD44" s="83"/>
      <c r="CCN44" s="83"/>
      <c r="CCX44" s="83"/>
      <c r="CDH44" s="83"/>
      <c r="CDR44" s="83"/>
      <c r="CEB44" s="83"/>
      <c r="CEL44" s="83"/>
      <c r="CEV44" s="83"/>
      <c r="CFF44" s="83"/>
      <c r="CFP44" s="83"/>
      <c r="CFZ44" s="83"/>
      <c r="CGJ44" s="83"/>
      <c r="CGT44" s="83"/>
      <c r="CHD44" s="83"/>
      <c r="CHN44" s="83"/>
      <c r="CHX44" s="83"/>
      <c r="CIH44" s="83"/>
      <c r="CIR44" s="83"/>
      <c r="CJB44" s="83"/>
      <c r="CJL44" s="83"/>
      <c r="CJV44" s="83"/>
      <c r="CKF44" s="83"/>
      <c r="CKP44" s="83"/>
      <c r="CKZ44" s="83"/>
      <c r="CLJ44" s="83"/>
      <c r="CLT44" s="83"/>
      <c r="CMD44" s="83"/>
      <c r="CMN44" s="83"/>
      <c r="CMX44" s="83"/>
      <c r="CNH44" s="83"/>
      <c r="CNR44" s="83"/>
      <c r="COB44" s="83"/>
      <c r="COL44" s="83"/>
      <c r="COV44" s="83"/>
      <c r="CPF44" s="83"/>
      <c r="CPP44" s="83"/>
      <c r="CPZ44" s="83"/>
      <c r="CQJ44" s="83"/>
      <c r="CQT44" s="83"/>
      <c r="CRD44" s="83"/>
      <c r="CRN44" s="83"/>
      <c r="CRX44" s="83"/>
      <c r="CSH44" s="83"/>
      <c r="CSR44" s="83"/>
      <c r="CTB44" s="83"/>
      <c r="CTL44" s="83"/>
      <c r="CTV44" s="83"/>
    </row>
    <row r="45" s="58" customFormat="1" customHeight="1" spans="1:1020 1030:2040 2050:2570">
      <c r="A45" s="79">
        <v>46148</v>
      </c>
      <c r="B45" s="80" t="s">
        <v>22</v>
      </c>
      <c r="C45" s="38" t="s">
        <v>23</v>
      </c>
      <c r="D45" s="75">
        <v>652348824</v>
      </c>
      <c r="E45" s="75" t="s">
        <v>63</v>
      </c>
      <c r="F45" s="75" t="str">
        <f>VLOOKUP(E45,[4]基础数据!E:H,2,0)</f>
        <v>IGBT组件（A平台国内版NON-FUSA一体板结构PCBA）</v>
      </c>
      <c r="G45" s="75">
        <v>1080</v>
      </c>
      <c r="H45" s="75" t="str">
        <f>VLOOKUP(E45,[4]基础数据!E:H,4,0)</f>
        <v>料盒</v>
      </c>
      <c r="I45" s="75">
        <f>VLOOKUP(E45,[4]基础数据!E:G,3,0)</f>
        <v>12</v>
      </c>
      <c r="J45" s="75" t="s">
        <v>306</v>
      </c>
      <c r="K45" s="82">
        <f t="shared" si="0"/>
        <v>90</v>
      </c>
      <c r="T45" s="83"/>
      <c r="AD45" s="83"/>
      <c r="AN45" s="83"/>
      <c r="AX45" s="83"/>
      <c r="BH45" s="83"/>
      <c r="BR45" s="83"/>
      <c r="CB45" s="83"/>
      <c r="CL45" s="83"/>
      <c r="CV45" s="83"/>
      <c r="DF45" s="83"/>
      <c r="DP45" s="83"/>
      <c r="DZ45" s="83"/>
      <c r="EJ45" s="83"/>
      <c r="ET45" s="83"/>
      <c r="FD45" s="83"/>
      <c r="FN45" s="83"/>
      <c r="FX45" s="83"/>
      <c r="GH45" s="83"/>
      <c r="GR45" s="83"/>
      <c r="HB45" s="83"/>
      <c r="HL45" s="83"/>
      <c r="HV45" s="83"/>
      <c r="IF45" s="83"/>
      <c r="IP45" s="83"/>
      <c r="IZ45" s="83"/>
      <c r="JJ45" s="83"/>
      <c r="JT45" s="83"/>
      <c r="KD45" s="83"/>
      <c r="KN45" s="83"/>
      <c r="KX45" s="83"/>
      <c r="LH45" s="83"/>
      <c r="LR45" s="83"/>
      <c r="MB45" s="83"/>
      <c r="ML45" s="83"/>
      <c r="MV45" s="83"/>
      <c r="NF45" s="83"/>
      <c r="NP45" s="83"/>
      <c r="NZ45" s="83"/>
      <c r="OJ45" s="83"/>
      <c r="OT45" s="83"/>
      <c r="PD45" s="83"/>
      <c r="PN45" s="83"/>
      <c r="PX45" s="83"/>
      <c r="QH45" s="83"/>
      <c r="QR45" s="83"/>
      <c r="RB45" s="83"/>
      <c r="RL45" s="83"/>
      <c r="RV45" s="83"/>
      <c r="SF45" s="83"/>
      <c r="SP45" s="83"/>
      <c r="SZ45" s="83"/>
      <c r="TJ45" s="83"/>
      <c r="TT45" s="83"/>
      <c r="UD45" s="83"/>
      <c r="UN45" s="83"/>
      <c r="UX45" s="83"/>
      <c r="VH45" s="83"/>
      <c r="VR45" s="83"/>
      <c r="WB45" s="83"/>
      <c r="WL45" s="83"/>
      <c r="WV45" s="83"/>
      <c r="XF45" s="83"/>
      <c r="XP45" s="83"/>
      <c r="XZ45" s="83"/>
      <c r="YJ45" s="83"/>
      <c r="YT45" s="83"/>
      <c r="ZD45" s="83"/>
      <c r="ZN45" s="83"/>
      <c r="ZX45" s="83"/>
      <c r="AAH45" s="83"/>
      <c r="AAR45" s="83"/>
      <c r="ABB45" s="83"/>
      <c r="ABL45" s="83"/>
      <c r="ABV45" s="83"/>
      <c r="ACF45" s="83"/>
      <c r="ACP45" s="83"/>
      <c r="ACZ45" s="83"/>
      <c r="ADJ45" s="83"/>
      <c r="ADT45" s="83"/>
      <c r="AED45" s="83"/>
      <c r="AEN45" s="83"/>
      <c r="AEX45" s="83"/>
      <c r="AFH45" s="83"/>
      <c r="AFR45" s="83"/>
      <c r="AGB45" s="83"/>
      <c r="AGL45" s="83"/>
      <c r="AGV45" s="83"/>
      <c r="AHF45" s="83"/>
      <c r="AHP45" s="83"/>
      <c r="AHZ45" s="83"/>
      <c r="AIJ45" s="83"/>
      <c r="AIT45" s="83"/>
      <c r="AJD45" s="83"/>
      <c r="AJN45" s="83"/>
      <c r="AJX45" s="83"/>
      <c r="AKH45" s="83"/>
      <c r="AKR45" s="83"/>
      <c r="ALB45" s="83"/>
      <c r="ALL45" s="83"/>
      <c r="ALV45" s="83"/>
      <c r="AMF45" s="83"/>
      <c r="AMP45" s="83"/>
      <c r="AMZ45" s="83"/>
      <c r="ANJ45" s="83"/>
      <c r="ANT45" s="83"/>
      <c r="AOD45" s="83"/>
      <c r="AON45" s="83"/>
      <c r="AOX45" s="83"/>
      <c r="APH45" s="83"/>
      <c r="APR45" s="83"/>
      <c r="AQB45" s="83"/>
      <c r="AQL45" s="83"/>
      <c r="AQV45" s="83"/>
      <c r="ARF45" s="83"/>
      <c r="ARP45" s="83"/>
      <c r="ARZ45" s="83"/>
      <c r="ASJ45" s="83"/>
      <c r="AST45" s="83"/>
      <c r="ATD45" s="83"/>
      <c r="ATN45" s="83"/>
      <c r="ATX45" s="83"/>
      <c r="AUH45" s="83"/>
      <c r="AUR45" s="83"/>
      <c r="AVB45" s="83"/>
      <c r="AVL45" s="83"/>
      <c r="AVV45" s="83"/>
      <c r="AWF45" s="83"/>
      <c r="AWP45" s="83"/>
      <c r="AWZ45" s="83"/>
      <c r="AXJ45" s="83"/>
      <c r="AXT45" s="83"/>
      <c r="AYD45" s="83"/>
      <c r="AYN45" s="83"/>
      <c r="AYX45" s="83"/>
      <c r="AZH45" s="83"/>
      <c r="AZR45" s="83"/>
      <c r="BAB45" s="83"/>
      <c r="BAL45" s="83"/>
      <c r="BAV45" s="83"/>
      <c r="BBF45" s="83"/>
      <c r="BBP45" s="83"/>
      <c r="BBZ45" s="83"/>
      <c r="BCJ45" s="83"/>
      <c r="BCT45" s="83"/>
      <c r="BDD45" s="83"/>
      <c r="BDN45" s="83"/>
      <c r="BDX45" s="83"/>
      <c r="BEH45" s="83"/>
      <c r="BER45" s="83"/>
      <c r="BFB45" s="83"/>
      <c r="BFL45" s="83"/>
      <c r="BFV45" s="83"/>
      <c r="BGF45" s="83"/>
      <c r="BGP45" s="83"/>
      <c r="BGZ45" s="83"/>
      <c r="BHJ45" s="83"/>
      <c r="BHT45" s="83"/>
      <c r="BID45" s="83"/>
      <c r="BIN45" s="83"/>
      <c r="BIX45" s="83"/>
      <c r="BJH45" s="83"/>
      <c r="BJR45" s="83"/>
      <c r="BKB45" s="83"/>
      <c r="BKL45" s="83"/>
      <c r="BKV45" s="83"/>
      <c r="BLF45" s="83"/>
      <c r="BLP45" s="83"/>
      <c r="BLZ45" s="83"/>
      <c r="BMJ45" s="83"/>
      <c r="BMT45" s="83"/>
      <c r="BND45" s="83"/>
      <c r="BNN45" s="83"/>
      <c r="BNX45" s="83"/>
      <c r="BOH45" s="83"/>
      <c r="BOR45" s="83"/>
      <c r="BPB45" s="83"/>
      <c r="BPL45" s="83"/>
      <c r="BPV45" s="83"/>
      <c r="BQF45" s="83"/>
      <c r="BQP45" s="83"/>
      <c r="BQZ45" s="83"/>
      <c r="BRJ45" s="83"/>
      <c r="BRT45" s="83"/>
      <c r="BSD45" s="83"/>
      <c r="BSN45" s="83"/>
      <c r="BSX45" s="83"/>
      <c r="BTH45" s="83"/>
      <c r="BTR45" s="83"/>
      <c r="BUB45" s="83"/>
      <c r="BUL45" s="83"/>
      <c r="BUV45" s="83"/>
      <c r="BVF45" s="83"/>
      <c r="BVP45" s="83"/>
      <c r="BVZ45" s="83"/>
      <c r="BWJ45" s="83"/>
      <c r="BWT45" s="83"/>
      <c r="BXD45" s="83"/>
      <c r="BXN45" s="83"/>
      <c r="BXX45" s="83"/>
      <c r="BYH45" s="83"/>
      <c r="BYR45" s="83"/>
      <c r="BZB45" s="83"/>
      <c r="BZL45" s="83"/>
      <c r="BZV45" s="83"/>
      <c r="CAF45" s="83"/>
      <c r="CAP45" s="83"/>
      <c r="CAZ45" s="83"/>
      <c r="CBJ45" s="83"/>
      <c r="CBT45" s="83"/>
      <c r="CCD45" s="83"/>
      <c r="CCN45" s="83"/>
      <c r="CCX45" s="83"/>
      <c r="CDH45" s="83"/>
      <c r="CDR45" s="83"/>
      <c r="CEB45" s="83"/>
      <c r="CEL45" s="83"/>
      <c r="CEV45" s="83"/>
      <c r="CFF45" s="83"/>
      <c r="CFP45" s="83"/>
      <c r="CFZ45" s="83"/>
      <c r="CGJ45" s="83"/>
      <c r="CGT45" s="83"/>
      <c r="CHD45" s="83"/>
      <c r="CHN45" s="83"/>
      <c r="CHX45" s="83"/>
      <c r="CIH45" s="83"/>
      <c r="CIR45" s="83"/>
      <c r="CJB45" s="83"/>
      <c r="CJL45" s="83"/>
      <c r="CJV45" s="83"/>
      <c r="CKF45" s="83"/>
      <c r="CKP45" s="83"/>
      <c r="CKZ45" s="83"/>
      <c r="CLJ45" s="83"/>
      <c r="CLT45" s="83"/>
      <c r="CMD45" s="83"/>
      <c r="CMN45" s="83"/>
      <c r="CMX45" s="83"/>
      <c r="CNH45" s="83"/>
      <c r="CNR45" s="83"/>
      <c r="COB45" s="83"/>
      <c r="COL45" s="83"/>
      <c r="COV45" s="83"/>
      <c r="CPF45" s="83"/>
      <c r="CPP45" s="83"/>
      <c r="CPZ45" s="83"/>
      <c r="CQJ45" s="83"/>
      <c r="CQT45" s="83"/>
      <c r="CRD45" s="83"/>
      <c r="CRN45" s="83"/>
      <c r="CRX45" s="83"/>
      <c r="CSH45" s="83"/>
      <c r="CSR45" s="83"/>
      <c r="CTB45" s="83"/>
      <c r="CTL45" s="83"/>
      <c r="CTV45" s="83"/>
    </row>
    <row r="46" s="58" customFormat="1" customHeight="1" spans="1:1020 1030:2040 2050:2570">
      <c r="A46" s="79">
        <v>46148</v>
      </c>
      <c r="B46" s="80" t="s">
        <v>22</v>
      </c>
      <c r="C46" s="38" t="s">
        <v>23</v>
      </c>
      <c r="D46" s="75">
        <v>652350746</v>
      </c>
      <c r="E46" s="84" t="s">
        <v>144</v>
      </c>
      <c r="F46" s="75" t="str">
        <f>VLOOKUP(E46,[4]基础数据!E:H,2,0)</f>
        <v>LP-BSU070-AA_T1616_A_24S_V1_凡申40_三防漆双面9截</v>
      </c>
      <c r="G46" s="75">
        <v>96</v>
      </c>
      <c r="H46" s="75" t="str">
        <f>VLOOKUP(E46,[4]基础数据!E:H,4,0)</f>
        <v>料盒</v>
      </c>
      <c r="I46" s="75">
        <f>VLOOKUP(E46,[4]基础数据!E:G,3,0)</f>
        <v>48</v>
      </c>
      <c r="J46" s="75" t="s">
        <v>306</v>
      </c>
      <c r="K46" s="82">
        <f t="shared" si="0"/>
        <v>2</v>
      </c>
      <c r="T46" s="83"/>
      <c r="AD46" s="83"/>
      <c r="AN46" s="83"/>
      <c r="AX46" s="83"/>
      <c r="BH46" s="83"/>
      <c r="BR46" s="83"/>
      <c r="CB46" s="83"/>
      <c r="CL46" s="83"/>
      <c r="CV46" s="83"/>
      <c r="DF46" s="83"/>
      <c r="DP46" s="83"/>
      <c r="DZ46" s="83"/>
      <c r="EJ46" s="83"/>
      <c r="ET46" s="83"/>
      <c r="FD46" s="83"/>
      <c r="FN46" s="83"/>
      <c r="FX46" s="83"/>
      <c r="GH46" s="83"/>
      <c r="GR46" s="83"/>
      <c r="HB46" s="83"/>
      <c r="HL46" s="83"/>
      <c r="HV46" s="83"/>
      <c r="IF46" s="83"/>
      <c r="IP46" s="83"/>
      <c r="IZ46" s="83"/>
      <c r="JJ46" s="83"/>
      <c r="JT46" s="83"/>
      <c r="KD46" s="83"/>
      <c r="KN46" s="83"/>
      <c r="KX46" s="83"/>
      <c r="LH46" s="83"/>
      <c r="LR46" s="83"/>
      <c r="MB46" s="83"/>
      <c r="ML46" s="83"/>
      <c r="MV46" s="83"/>
      <c r="NF46" s="83"/>
      <c r="NP46" s="83"/>
      <c r="NZ46" s="83"/>
      <c r="OJ46" s="83"/>
      <c r="OT46" s="83"/>
      <c r="PD46" s="83"/>
      <c r="PN46" s="83"/>
      <c r="PX46" s="83"/>
      <c r="QH46" s="83"/>
      <c r="QR46" s="83"/>
      <c r="RB46" s="83"/>
      <c r="RL46" s="83"/>
      <c r="RV46" s="83"/>
      <c r="SF46" s="83"/>
      <c r="SP46" s="83"/>
      <c r="SZ46" s="83"/>
      <c r="TJ46" s="83"/>
      <c r="TT46" s="83"/>
      <c r="UD46" s="83"/>
      <c r="UN46" s="83"/>
      <c r="UX46" s="83"/>
      <c r="VH46" s="83"/>
      <c r="VR46" s="83"/>
      <c r="WB46" s="83"/>
      <c r="WL46" s="83"/>
      <c r="WV46" s="83"/>
      <c r="XF46" s="83"/>
      <c r="XP46" s="83"/>
      <c r="XZ46" s="83"/>
      <c r="YJ46" s="83"/>
      <c r="YT46" s="83"/>
      <c r="ZD46" s="83"/>
      <c r="ZN46" s="83"/>
      <c r="ZX46" s="83"/>
      <c r="AAH46" s="83"/>
      <c r="AAR46" s="83"/>
      <c r="ABB46" s="83"/>
      <c r="ABL46" s="83"/>
      <c r="ABV46" s="83"/>
      <c r="ACF46" s="83"/>
      <c r="ACP46" s="83"/>
      <c r="ACZ46" s="83"/>
      <c r="ADJ46" s="83"/>
      <c r="ADT46" s="83"/>
      <c r="AED46" s="83"/>
      <c r="AEN46" s="83"/>
      <c r="AEX46" s="83"/>
      <c r="AFH46" s="83"/>
      <c r="AFR46" s="83"/>
      <c r="AGB46" s="83"/>
      <c r="AGL46" s="83"/>
      <c r="AGV46" s="83"/>
      <c r="AHF46" s="83"/>
      <c r="AHP46" s="83"/>
      <c r="AHZ46" s="83"/>
      <c r="AIJ46" s="83"/>
      <c r="AIT46" s="83"/>
      <c r="AJD46" s="83"/>
      <c r="AJN46" s="83"/>
      <c r="AJX46" s="83"/>
      <c r="AKH46" s="83"/>
      <c r="AKR46" s="83"/>
      <c r="ALB46" s="83"/>
      <c r="ALL46" s="83"/>
      <c r="ALV46" s="83"/>
      <c r="AMF46" s="83"/>
      <c r="AMP46" s="83"/>
      <c r="AMZ46" s="83"/>
      <c r="ANJ46" s="83"/>
      <c r="ANT46" s="83"/>
      <c r="AOD46" s="83"/>
      <c r="AON46" s="83"/>
      <c r="AOX46" s="83"/>
      <c r="APH46" s="83"/>
      <c r="APR46" s="83"/>
      <c r="AQB46" s="83"/>
      <c r="AQL46" s="83"/>
      <c r="AQV46" s="83"/>
      <c r="ARF46" s="83"/>
      <c r="ARP46" s="83"/>
      <c r="ARZ46" s="83"/>
      <c r="ASJ46" s="83"/>
      <c r="AST46" s="83"/>
      <c r="ATD46" s="83"/>
      <c r="ATN46" s="83"/>
      <c r="ATX46" s="83"/>
      <c r="AUH46" s="83"/>
      <c r="AUR46" s="83"/>
      <c r="AVB46" s="83"/>
      <c r="AVL46" s="83"/>
      <c r="AVV46" s="83"/>
      <c r="AWF46" s="83"/>
      <c r="AWP46" s="83"/>
      <c r="AWZ46" s="83"/>
      <c r="AXJ46" s="83"/>
      <c r="AXT46" s="83"/>
      <c r="AYD46" s="83"/>
      <c r="AYN46" s="83"/>
      <c r="AYX46" s="83"/>
      <c r="AZH46" s="83"/>
      <c r="AZR46" s="83"/>
      <c r="BAB46" s="83"/>
      <c r="BAL46" s="83"/>
      <c r="BAV46" s="83"/>
      <c r="BBF46" s="83"/>
      <c r="BBP46" s="83"/>
      <c r="BBZ46" s="83"/>
      <c r="BCJ46" s="83"/>
      <c r="BCT46" s="83"/>
      <c r="BDD46" s="83"/>
      <c r="BDN46" s="83"/>
      <c r="BDX46" s="83"/>
      <c r="BEH46" s="83"/>
      <c r="BER46" s="83"/>
      <c r="BFB46" s="83"/>
      <c r="BFL46" s="83"/>
      <c r="BFV46" s="83"/>
      <c r="BGF46" s="83"/>
      <c r="BGP46" s="83"/>
      <c r="BGZ46" s="83"/>
      <c r="BHJ46" s="83"/>
      <c r="BHT46" s="83"/>
      <c r="BID46" s="83"/>
      <c r="BIN46" s="83"/>
      <c r="BIX46" s="83"/>
      <c r="BJH46" s="83"/>
      <c r="BJR46" s="83"/>
      <c r="BKB46" s="83"/>
      <c r="BKL46" s="83"/>
      <c r="BKV46" s="83"/>
      <c r="BLF46" s="83"/>
      <c r="BLP46" s="83"/>
      <c r="BLZ46" s="83"/>
      <c r="BMJ46" s="83"/>
      <c r="BMT46" s="83"/>
      <c r="BND46" s="83"/>
      <c r="BNN46" s="83"/>
      <c r="BNX46" s="83"/>
      <c r="BOH46" s="83"/>
      <c r="BOR46" s="83"/>
      <c r="BPB46" s="83"/>
      <c r="BPL46" s="83"/>
      <c r="BPV46" s="83"/>
      <c r="BQF46" s="83"/>
      <c r="BQP46" s="83"/>
      <c r="BQZ46" s="83"/>
      <c r="BRJ46" s="83"/>
      <c r="BRT46" s="83"/>
      <c r="BSD46" s="83"/>
      <c r="BSN46" s="83"/>
      <c r="BSX46" s="83"/>
      <c r="BTH46" s="83"/>
      <c r="BTR46" s="83"/>
      <c r="BUB46" s="83"/>
      <c r="BUL46" s="83"/>
      <c r="BUV46" s="83"/>
      <c r="BVF46" s="83"/>
      <c r="BVP46" s="83"/>
      <c r="BVZ46" s="83"/>
      <c r="BWJ46" s="83"/>
      <c r="BWT46" s="83"/>
      <c r="BXD46" s="83"/>
      <c r="BXN46" s="83"/>
      <c r="BXX46" s="83"/>
      <c r="BYH46" s="83"/>
      <c r="BYR46" s="83"/>
      <c r="BZB46" s="83"/>
      <c r="BZL46" s="83"/>
      <c r="BZV46" s="83"/>
      <c r="CAF46" s="83"/>
      <c r="CAP46" s="83"/>
      <c r="CAZ46" s="83"/>
      <c r="CBJ46" s="83"/>
      <c r="CBT46" s="83"/>
      <c r="CCD46" s="83"/>
      <c r="CCN46" s="83"/>
      <c r="CCX46" s="83"/>
      <c r="CDH46" s="83"/>
      <c r="CDR46" s="83"/>
      <c r="CEB46" s="83"/>
      <c r="CEL46" s="83"/>
      <c r="CEV46" s="83"/>
      <c r="CFF46" s="83"/>
      <c r="CFP46" s="83"/>
      <c r="CFZ46" s="83"/>
      <c r="CGJ46" s="83"/>
      <c r="CGT46" s="83"/>
      <c r="CHD46" s="83"/>
      <c r="CHN46" s="83"/>
      <c r="CHX46" s="83"/>
      <c r="CIH46" s="83"/>
      <c r="CIR46" s="83"/>
      <c r="CJB46" s="83"/>
      <c r="CJL46" s="83"/>
      <c r="CJV46" s="83"/>
      <c r="CKF46" s="83"/>
      <c r="CKP46" s="83"/>
      <c r="CKZ46" s="83"/>
      <c r="CLJ46" s="83"/>
      <c r="CLT46" s="83"/>
      <c r="CMD46" s="83"/>
      <c r="CMN46" s="83"/>
      <c r="CMX46" s="83"/>
      <c r="CNH46" s="83"/>
      <c r="CNR46" s="83"/>
      <c r="COB46" s="83"/>
      <c r="COL46" s="83"/>
      <c r="COV46" s="83"/>
      <c r="CPF46" s="83"/>
      <c r="CPP46" s="83"/>
      <c r="CPZ46" s="83"/>
      <c r="CQJ46" s="83"/>
      <c r="CQT46" s="83"/>
      <c r="CRD46" s="83"/>
      <c r="CRN46" s="83"/>
      <c r="CRX46" s="83"/>
      <c r="CSH46" s="83"/>
      <c r="CSR46" s="83"/>
      <c r="CTB46" s="83"/>
      <c r="CTL46" s="83"/>
      <c r="CTV46" s="83"/>
    </row>
    <row r="47" s="58" customFormat="1" customHeight="1" spans="1:1020 1030:2040 2050:2570">
      <c r="A47" s="79">
        <v>46148</v>
      </c>
      <c r="B47" s="80" t="s">
        <v>22</v>
      </c>
      <c r="C47" s="38" t="s">
        <v>23</v>
      </c>
      <c r="D47" s="75">
        <v>652350746</v>
      </c>
      <c r="E47" s="84" t="s">
        <v>147</v>
      </c>
      <c r="F47" s="75" t="str">
        <f>VLOOKUP(E47,[4]基础数据!E:H,2,0)</f>
        <v>LP-BSU070-AA_T1616_46S_V1_凡申40_三防漆双面925截</v>
      </c>
      <c r="G47" s="75">
        <v>168</v>
      </c>
      <c r="H47" s="75" t="str">
        <f>VLOOKUP(E47,[4]基础数据!E:H,4,0)</f>
        <v>料盒</v>
      </c>
      <c r="I47" s="75">
        <f>VLOOKUP(E47,[4]基础数据!E:G,3,0)</f>
        <v>24</v>
      </c>
      <c r="J47" s="75" t="s">
        <v>306</v>
      </c>
      <c r="K47" s="82">
        <f t="shared" si="0"/>
        <v>7</v>
      </c>
      <c r="T47" s="83"/>
      <c r="AD47" s="83"/>
      <c r="AN47" s="83"/>
      <c r="AX47" s="83"/>
      <c r="BH47" s="83"/>
      <c r="BR47" s="83"/>
      <c r="CB47" s="83"/>
      <c r="CL47" s="83"/>
      <c r="CV47" s="83"/>
      <c r="DF47" s="83"/>
      <c r="DP47" s="83"/>
      <c r="DZ47" s="83"/>
      <c r="EJ47" s="83"/>
      <c r="ET47" s="83"/>
      <c r="FD47" s="83"/>
      <c r="FN47" s="83"/>
      <c r="FX47" s="83"/>
      <c r="GH47" s="83"/>
      <c r="GR47" s="83"/>
      <c r="HB47" s="83"/>
      <c r="HL47" s="83"/>
      <c r="HV47" s="83"/>
      <c r="IF47" s="83"/>
      <c r="IP47" s="83"/>
      <c r="IZ47" s="83"/>
      <c r="JJ47" s="83"/>
      <c r="JT47" s="83"/>
      <c r="KD47" s="83"/>
      <c r="KN47" s="83"/>
      <c r="KX47" s="83"/>
      <c r="LH47" s="83"/>
      <c r="LR47" s="83"/>
      <c r="MB47" s="83"/>
      <c r="ML47" s="83"/>
      <c r="MV47" s="83"/>
      <c r="NF47" s="83"/>
      <c r="NP47" s="83"/>
      <c r="NZ47" s="83"/>
      <c r="OJ47" s="83"/>
      <c r="OT47" s="83"/>
      <c r="PD47" s="83"/>
      <c r="PN47" s="83"/>
      <c r="PX47" s="83"/>
      <c r="QH47" s="83"/>
      <c r="QR47" s="83"/>
      <c r="RB47" s="83"/>
      <c r="RL47" s="83"/>
      <c r="RV47" s="83"/>
      <c r="SF47" s="83"/>
      <c r="SP47" s="83"/>
      <c r="SZ47" s="83"/>
      <c r="TJ47" s="83"/>
      <c r="TT47" s="83"/>
      <c r="UD47" s="83"/>
      <c r="UN47" s="83"/>
      <c r="UX47" s="83"/>
      <c r="VH47" s="83"/>
      <c r="VR47" s="83"/>
      <c r="WB47" s="83"/>
      <c r="WL47" s="83"/>
      <c r="WV47" s="83"/>
      <c r="XF47" s="83"/>
      <c r="XP47" s="83"/>
      <c r="XZ47" s="83"/>
      <c r="YJ47" s="83"/>
      <c r="YT47" s="83"/>
      <c r="ZD47" s="83"/>
      <c r="ZN47" s="83"/>
      <c r="ZX47" s="83"/>
      <c r="AAH47" s="83"/>
      <c r="AAR47" s="83"/>
      <c r="ABB47" s="83"/>
      <c r="ABL47" s="83"/>
      <c r="ABV47" s="83"/>
      <c r="ACF47" s="83"/>
      <c r="ACP47" s="83"/>
      <c r="ACZ47" s="83"/>
      <c r="ADJ47" s="83"/>
      <c r="ADT47" s="83"/>
      <c r="AED47" s="83"/>
      <c r="AEN47" s="83"/>
      <c r="AEX47" s="83"/>
      <c r="AFH47" s="83"/>
      <c r="AFR47" s="83"/>
      <c r="AGB47" s="83"/>
      <c r="AGL47" s="83"/>
      <c r="AGV47" s="83"/>
      <c r="AHF47" s="83"/>
      <c r="AHP47" s="83"/>
      <c r="AHZ47" s="83"/>
      <c r="AIJ47" s="83"/>
      <c r="AIT47" s="83"/>
      <c r="AJD47" s="83"/>
      <c r="AJN47" s="83"/>
      <c r="AJX47" s="83"/>
      <c r="AKH47" s="83"/>
      <c r="AKR47" s="83"/>
      <c r="ALB47" s="83"/>
      <c r="ALL47" s="83"/>
      <c r="ALV47" s="83"/>
      <c r="AMF47" s="83"/>
      <c r="AMP47" s="83"/>
      <c r="AMZ47" s="83"/>
      <c r="ANJ47" s="83"/>
      <c r="ANT47" s="83"/>
      <c r="AOD47" s="83"/>
      <c r="AON47" s="83"/>
      <c r="AOX47" s="83"/>
      <c r="APH47" s="83"/>
      <c r="APR47" s="83"/>
      <c r="AQB47" s="83"/>
      <c r="AQL47" s="83"/>
      <c r="AQV47" s="83"/>
      <c r="ARF47" s="83"/>
      <c r="ARP47" s="83"/>
      <c r="ARZ47" s="83"/>
      <c r="ASJ47" s="83"/>
      <c r="AST47" s="83"/>
      <c r="ATD47" s="83"/>
      <c r="ATN47" s="83"/>
      <c r="ATX47" s="83"/>
      <c r="AUH47" s="83"/>
      <c r="AUR47" s="83"/>
      <c r="AVB47" s="83"/>
      <c r="AVL47" s="83"/>
      <c r="AVV47" s="83"/>
      <c r="AWF47" s="83"/>
      <c r="AWP47" s="83"/>
      <c r="AWZ47" s="83"/>
      <c r="AXJ47" s="83"/>
      <c r="AXT47" s="83"/>
      <c r="AYD47" s="83"/>
      <c r="AYN47" s="83"/>
      <c r="AYX47" s="83"/>
      <c r="AZH47" s="83"/>
      <c r="AZR47" s="83"/>
      <c r="BAB47" s="83"/>
      <c r="BAL47" s="83"/>
      <c r="BAV47" s="83"/>
      <c r="BBF47" s="83"/>
      <c r="BBP47" s="83"/>
      <c r="BBZ47" s="83"/>
      <c r="BCJ47" s="83"/>
      <c r="BCT47" s="83"/>
      <c r="BDD47" s="83"/>
      <c r="BDN47" s="83"/>
      <c r="BDX47" s="83"/>
      <c r="BEH47" s="83"/>
      <c r="BER47" s="83"/>
      <c r="BFB47" s="83"/>
      <c r="BFL47" s="83"/>
      <c r="BFV47" s="83"/>
      <c r="BGF47" s="83"/>
      <c r="BGP47" s="83"/>
      <c r="BGZ47" s="83"/>
      <c r="BHJ47" s="83"/>
      <c r="BHT47" s="83"/>
      <c r="BID47" s="83"/>
      <c r="BIN47" s="83"/>
      <c r="BIX47" s="83"/>
      <c r="BJH47" s="83"/>
      <c r="BJR47" s="83"/>
      <c r="BKB47" s="83"/>
      <c r="BKL47" s="83"/>
      <c r="BKV47" s="83"/>
      <c r="BLF47" s="83"/>
      <c r="BLP47" s="83"/>
      <c r="BLZ47" s="83"/>
      <c r="BMJ47" s="83"/>
      <c r="BMT47" s="83"/>
      <c r="BND47" s="83"/>
      <c r="BNN47" s="83"/>
      <c r="BNX47" s="83"/>
      <c r="BOH47" s="83"/>
      <c r="BOR47" s="83"/>
      <c r="BPB47" s="83"/>
      <c r="BPL47" s="83"/>
      <c r="BPV47" s="83"/>
      <c r="BQF47" s="83"/>
      <c r="BQP47" s="83"/>
      <c r="BQZ47" s="83"/>
      <c r="BRJ47" s="83"/>
      <c r="BRT47" s="83"/>
      <c r="BSD47" s="83"/>
      <c r="BSN47" s="83"/>
      <c r="BSX47" s="83"/>
      <c r="BTH47" s="83"/>
      <c r="BTR47" s="83"/>
      <c r="BUB47" s="83"/>
      <c r="BUL47" s="83"/>
      <c r="BUV47" s="83"/>
      <c r="BVF47" s="83"/>
      <c r="BVP47" s="83"/>
      <c r="BVZ47" s="83"/>
      <c r="BWJ47" s="83"/>
      <c r="BWT47" s="83"/>
      <c r="BXD47" s="83"/>
      <c r="BXN47" s="83"/>
      <c r="BXX47" s="83"/>
      <c r="BYH47" s="83"/>
      <c r="BYR47" s="83"/>
      <c r="BZB47" s="83"/>
      <c r="BZL47" s="83"/>
      <c r="BZV47" s="83"/>
      <c r="CAF47" s="83"/>
      <c r="CAP47" s="83"/>
      <c r="CAZ47" s="83"/>
      <c r="CBJ47" s="83"/>
      <c r="CBT47" s="83"/>
      <c r="CCD47" s="83"/>
      <c r="CCN47" s="83"/>
      <c r="CCX47" s="83"/>
      <c r="CDH47" s="83"/>
      <c r="CDR47" s="83"/>
      <c r="CEB47" s="83"/>
      <c r="CEL47" s="83"/>
      <c r="CEV47" s="83"/>
      <c r="CFF47" s="83"/>
      <c r="CFP47" s="83"/>
      <c r="CFZ47" s="83"/>
      <c r="CGJ47" s="83"/>
      <c r="CGT47" s="83"/>
      <c r="CHD47" s="83"/>
      <c r="CHN47" s="83"/>
      <c r="CHX47" s="83"/>
      <c r="CIH47" s="83"/>
      <c r="CIR47" s="83"/>
      <c r="CJB47" s="83"/>
      <c r="CJL47" s="83"/>
      <c r="CJV47" s="83"/>
      <c r="CKF47" s="83"/>
      <c r="CKP47" s="83"/>
      <c r="CKZ47" s="83"/>
      <c r="CLJ47" s="83"/>
      <c r="CLT47" s="83"/>
      <c r="CMD47" s="83"/>
      <c r="CMN47" s="83"/>
      <c r="CMX47" s="83"/>
      <c r="CNH47" s="83"/>
      <c r="CNR47" s="83"/>
      <c r="COB47" s="83"/>
      <c r="COL47" s="83"/>
      <c r="COV47" s="83"/>
      <c r="CPF47" s="83"/>
      <c r="CPP47" s="83"/>
      <c r="CPZ47" s="83"/>
      <c r="CQJ47" s="83"/>
      <c r="CQT47" s="83"/>
      <c r="CRD47" s="83"/>
      <c r="CRN47" s="83"/>
      <c r="CRX47" s="83"/>
      <c r="CSH47" s="83"/>
      <c r="CSR47" s="83"/>
      <c r="CTB47" s="83"/>
      <c r="CTL47" s="83"/>
      <c r="CTV47" s="83"/>
    </row>
    <row r="48" s="58" customFormat="1" customHeight="1" spans="1:1020 1030:2040 2050:2570">
      <c r="A48" s="79">
        <v>46148</v>
      </c>
      <c r="B48" s="80" t="s">
        <v>22</v>
      </c>
      <c r="C48" s="38" t="s">
        <v>23</v>
      </c>
      <c r="D48" s="75">
        <v>652350894</v>
      </c>
      <c r="E48" s="84" t="s">
        <v>105</v>
      </c>
      <c r="F48" s="75" t="str">
        <f>VLOOKUP(E48,[4]基础数据!E:H,2,0)</f>
        <v>LS-MCUM017-BB-V2.30 三防漆双面 926_008（A平台海外截</v>
      </c>
      <c r="G48" s="75">
        <v>856</v>
      </c>
      <c r="H48" s="75" t="str">
        <f>VLOOKUP(E48,[4]基础数据!E:H,4,0)</f>
        <v>料盒</v>
      </c>
      <c r="I48" s="75">
        <f>VLOOKUP(E48,[4]基础数据!E:G,3,0)</f>
        <v>12</v>
      </c>
      <c r="J48" s="75" t="s">
        <v>306</v>
      </c>
      <c r="K48" s="82">
        <f t="shared" si="0"/>
        <v>71.3333333333333</v>
      </c>
      <c r="T48" s="83"/>
      <c r="AD48" s="83"/>
      <c r="AN48" s="83"/>
      <c r="AX48" s="83"/>
      <c r="BH48" s="83"/>
      <c r="BR48" s="83"/>
      <c r="CB48" s="83"/>
      <c r="CL48" s="83"/>
      <c r="CV48" s="83"/>
      <c r="DF48" s="83"/>
      <c r="DP48" s="83"/>
      <c r="DZ48" s="83"/>
      <c r="EJ48" s="83"/>
      <c r="ET48" s="83"/>
      <c r="FD48" s="83"/>
      <c r="FN48" s="83"/>
      <c r="FX48" s="83"/>
      <c r="GH48" s="83"/>
      <c r="GR48" s="83"/>
      <c r="HB48" s="83"/>
      <c r="HL48" s="83"/>
      <c r="HV48" s="83"/>
      <c r="IF48" s="83"/>
      <c r="IP48" s="83"/>
      <c r="IZ48" s="83"/>
      <c r="JJ48" s="83"/>
      <c r="JT48" s="83"/>
      <c r="KD48" s="83"/>
      <c r="KN48" s="83"/>
      <c r="KX48" s="83"/>
      <c r="LH48" s="83"/>
      <c r="LR48" s="83"/>
      <c r="MB48" s="83"/>
      <c r="ML48" s="83"/>
      <c r="MV48" s="83"/>
      <c r="NF48" s="83"/>
      <c r="NP48" s="83"/>
      <c r="NZ48" s="83"/>
      <c r="OJ48" s="83"/>
      <c r="OT48" s="83"/>
      <c r="PD48" s="83"/>
      <c r="PN48" s="83"/>
      <c r="PX48" s="83"/>
      <c r="QH48" s="83"/>
      <c r="QR48" s="83"/>
      <c r="RB48" s="83"/>
      <c r="RL48" s="83"/>
      <c r="RV48" s="83"/>
      <c r="SF48" s="83"/>
      <c r="SP48" s="83"/>
      <c r="SZ48" s="83"/>
      <c r="TJ48" s="83"/>
      <c r="TT48" s="83"/>
      <c r="UD48" s="83"/>
      <c r="UN48" s="83"/>
      <c r="UX48" s="83"/>
      <c r="VH48" s="83"/>
      <c r="VR48" s="83"/>
      <c r="WB48" s="83"/>
      <c r="WL48" s="83"/>
      <c r="WV48" s="83"/>
      <c r="XF48" s="83"/>
      <c r="XP48" s="83"/>
      <c r="XZ48" s="83"/>
      <c r="YJ48" s="83"/>
      <c r="YT48" s="83"/>
      <c r="ZD48" s="83"/>
      <c r="ZN48" s="83"/>
      <c r="ZX48" s="83"/>
      <c r="AAH48" s="83"/>
      <c r="AAR48" s="83"/>
      <c r="ABB48" s="83"/>
      <c r="ABL48" s="83"/>
      <c r="ABV48" s="83"/>
      <c r="ACF48" s="83"/>
      <c r="ACP48" s="83"/>
      <c r="ACZ48" s="83"/>
      <c r="ADJ48" s="83"/>
      <c r="ADT48" s="83"/>
      <c r="AED48" s="83"/>
      <c r="AEN48" s="83"/>
      <c r="AEX48" s="83"/>
      <c r="AFH48" s="83"/>
      <c r="AFR48" s="83"/>
      <c r="AGB48" s="83"/>
      <c r="AGL48" s="83"/>
      <c r="AGV48" s="83"/>
      <c r="AHF48" s="83"/>
      <c r="AHP48" s="83"/>
      <c r="AHZ48" s="83"/>
      <c r="AIJ48" s="83"/>
      <c r="AIT48" s="83"/>
      <c r="AJD48" s="83"/>
      <c r="AJN48" s="83"/>
      <c r="AJX48" s="83"/>
      <c r="AKH48" s="83"/>
      <c r="AKR48" s="83"/>
      <c r="ALB48" s="83"/>
      <c r="ALL48" s="83"/>
      <c r="ALV48" s="83"/>
      <c r="AMF48" s="83"/>
      <c r="AMP48" s="83"/>
      <c r="AMZ48" s="83"/>
      <c r="ANJ48" s="83"/>
      <c r="ANT48" s="83"/>
      <c r="AOD48" s="83"/>
      <c r="AON48" s="83"/>
      <c r="AOX48" s="83"/>
      <c r="APH48" s="83"/>
      <c r="APR48" s="83"/>
      <c r="AQB48" s="83"/>
      <c r="AQL48" s="83"/>
      <c r="AQV48" s="83"/>
      <c r="ARF48" s="83"/>
      <c r="ARP48" s="83"/>
      <c r="ARZ48" s="83"/>
      <c r="ASJ48" s="83"/>
      <c r="AST48" s="83"/>
      <c r="ATD48" s="83"/>
      <c r="ATN48" s="83"/>
      <c r="ATX48" s="83"/>
      <c r="AUH48" s="83"/>
      <c r="AUR48" s="83"/>
      <c r="AVB48" s="83"/>
      <c r="AVL48" s="83"/>
      <c r="AVV48" s="83"/>
      <c r="AWF48" s="83"/>
      <c r="AWP48" s="83"/>
      <c r="AWZ48" s="83"/>
      <c r="AXJ48" s="83"/>
      <c r="AXT48" s="83"/>
      <c r="AYD48" s="83"/>
      <c r="AYN48" s="83"/>
      <c r="AYX48" s="83"/>
      <c r="AZH48" s="83"/>
      <c r="AZR48" s="83"/>
      <c r="BAB48" s="83"/>
      <c r="BAL48" s="83"/>
      <c r="BAV48" s="83"/>
      <c r="BBF48" s="83"/>
      <c r="BBP48" s="83"/>
      <c r="BBZ48" s="83"/>
      <c r="BCJ48" s="83"/>
      <c r="BCT48" s="83"/>
      <c r="BDD48" s="83"/>
      <c r="BDN48" s="83"/>
      <c r="BDX48" s="83"/>
      <c r="BEH48" s="83"/>
      <c r="BER48" s="83"/>
      <c r="BFB48" s="83"/>
      <c r="BFL48" s="83"/>
      <c r="BFV48" s="83"/>
      <c r="BGF48" s="83"/>
      <c r="BGP48" s="83"/>
      <c r="BGZ48" s="83"/>
      <c r="BHJ48" s="83"/>
      <c r="BHT48" s="83"/>
      <c r="BID48" s="83"/>
      <c r="BIN48" s="83"/>
      <c r="BIX48" s="83"/>
      <c r="BJH48" s="83"/>
      <c r="BJR48" s="83"/>
      <c r="BKB48" s="83"/>
      <c r="BKL48" s="83"/>
      <c r="BKV48" s="83"/>
      <c r="BLF48" s="83"/>
      <c r="BLP48" s="83"/>
      <c r="BLZ48" s="83"/>
      <c r="BMJ48" s="83"/>
      <c r="BMT48" s="83"/>
      <c r="BND48" s="83"/>
      <c r="BNN48" s="83"/>
      <c r="BNX48" s="83"/>
      <c r="BOH48" s="83"/>
      <c r="BOR48" s="83"/>
      <c r="BPB48" s="83"/>
      <c r="BPL48" s="83"/>
      <c r="BPV48" s="83"/>
      <c r="BQF48" s="83"/>
      <c r="BQP48" s="83"/>
      <c r="BQZ48" s="83"/>
      <c r="BRJ48" s="83"/>
      <c r="BRT48" s="83"/>
      <c r="BSD48" s="83"/>
      <c r="BSN48" s="83"/>
      <c r="BSX48" s="83"/>
      <c r="BTH48" s="83"/>
      <c r="BTR48" s="83"/>
      <c r="BUB48" s="83"/>
      <c r="BUL48" s="83"/>
      <c r="BUV48" s="83"/>
      <c r="BVF48" s="83"/>
      <c r="BVP48" s="83"/>
      <c r="BVZ48" s="83"/>
      <c r="BWJ48" s="83"/>
      <c r="BWT48" s="83"/>
      <c r="BXD48" s="83"/>
      <c r="BXN48" s="83"/>
      <c r="BXX48" s="83"/>
      <c r="BYH48" s="83"/>
      <c r="BYR48" s="83"/>
      <c r="BZB48" s="83"/>
      <c r="BZL48" s="83"/>
      <c r="BZV48" s="83"/>
      <c r="CAF48" s="83"/>
      <c r="CAP48" s="83"/>
      <c r="CAZ48" s="83"/>
      <c r="CBJ48" s="83"/>
      <c r="CBT48" s="83"/>
      <c r="CCD48" s="83"/>
      <c r="CCN48" s="83"/>
      <c r="CCX48" s="83"/>
      <c r="CDH48" s="83"/>
      <c r="CDR48" s="83"/>
      <c r="CEB48" s="83"/>
      <c r="CEL48" s="83"/>
      <c r="CEV48" s="83"/>
      <c r="CFF48" s="83"/>
      <c r="CFP48" s="83"/>
      <c r="CFZ48" s="83"/>
      <c r="CGJ48" s="83"/>
      <c r="CGT48" s="83"/>
      <c r="CHD48" s="83"/>
      <c r="CHN48" s="83"/>
      <c r="CHX48" s="83"/>
      <c r="CIH48" s="83"/>
      <c r="CIR48" s="83"/>
      <c r="CJB48" s="83"/>
      <c r="CJL48" s="83"/>
      <c r="CJV48" s="83"/>
      <c r="CKF48" s="83"/>
      <c r="CKP48" s="83"/>
      <c r="CKZ48" s="83"/>
      <c r="CLJ48" s="83"/>
      <c r="CLT48" s="83"/>
      <c r="CMD48" s="83"/>
      <c r="CMN48" s="83"/>
      <c r="CMX48" s="83"/>
      <c r="CNH48" s="83"/>
      <c r="CNR48" s="83"/>
      <c r="COB48" s="83"/>
      <c r="COL48" s="83"/>
      <c r="COV48" s="83"/>
      <c r="CPF48" s="83"/>
      <c r="CPP48" s="83"/>
      <c r="CPZ48" s="83"/>
      <c r="CQJ48" s="83"/>
      <c r="CQT48" s="83"/>
      <c r="CRD48" s="83"/>
      <c r="CRN48" s="83"/>
      <c r="CRX48" s="83"/>
      <c r="CSH48" s="83"/>
      <c r="CSR48" s="83"/>
      <c r="CTB48" s="83"/>
      <c r="CTL48" s="83"/>
      <c r="CTV48" s="83"/>
    </row>
    <row r="49" s="58" customFormat="1" customHeight="1" spans="1:1020 1030:2040 2050:2570">
      <c r="A49" s="79">
        <v>46148</v>
      </c>
      <c r="B49" s="80" t="s">
        <v>22</v>
      </c>
      <c r="C49" s="38" t="s">
        <v>23</v>
      </c>
      <c r="D49" s="75">
        <v>652351859</v>
      </c>
      <c r="E49" s="75" t="s">
        <v>30</v>
      </c>
      <c r="F49" s="75" t="str">
        <f>VLOOKUP(E49,[4]基础数据!E:H,2,0)</f>
        <v>LP_SHUNT010-AA_A12EV_V1_三防漆双面925_007</v>
      </c>
      <c r="G49" s="75">
        <v>486</v>
      </c>
      <c r="H49" s="75" t="str">
        <f>VLOOKUP(E49,[4]基础数据!E:H,4,0)</f>
        <v>料盒</v>
      </c>
      <c r="I49" s="75">
        <f>VLOOKUP(E49,[4]基础数据!E:G,3,0)</f>
        <v>162</v>
      </c>
      <c r="J49" s="75" t="s">
        <v>306</v>
      </c>
      <c r="K49" s="82">
        <f t="shared" si="0"/>
        <v>3</v>
      </c>
      <c r="T49" s="83"/>
      <c r="AD49" s="83"/>
      <c r="AN49" s="83"/>
      <c r="AX49" s="83"/>
      <c r="BH49" s="83"/>
      <c r="BR49" s="83"/>
      <c r="CB49" s="83"/>
      <c r="CL49" s="83"/>
      <c r="CV49" s="83"/>
      <c r="DF49" s="83"/>
      <c r="DP49" s="83"/>
      <c r="DZ49" s="83"/>
      <c r="EJ49" s="83"/>
      <c r="ET49" s="83"/>
      <c r="FD49" s="83"/>
      <c r="FN49" s="83"/>
      <c r="FX49" s="83"/>
      <c r="GH49" s="83"/>
      <c r="GR49" s="83"/>
      <c r="HB49" s="83"/>
      <c r="HL49" s="83"/>
      <c r="HV49" s="83"/>
      <c r="IF49" s="83"/>
      <c r="IP49" s="83"/>
      <c r="IZ49" s="83"/>
      <c r="JJ49" s="83"/>
      <c r="JT49" s="83"/>
      <c r="KD49" s="83"/>
      <c r="KN49" s="83"/>
      <c r="KX49" s="83"/>
      <c r="LH49" s="83"/>
      <c r="LR49" s="83"/>
      <c r="MB49" s="83"/>
      <c r="ML49" s="83"/>
      <c r="MV49" s="83"/>
      <c r="NF49" s="83"/>
      <c r="NP49" s="83"/>
      <c r="NZ49" s="83"/>
      <c r="OJ49" s="83"/>
      <c r="OT49" s="83"/>
      <c r="PD49" s="83"/>
      <c r="PN49" s="83"/>
      <c r="PX49" s="83"/>
      <c r="QH49" s="83"/>
      <c r="QR49" s="83"/>
      <c r="RB49" s="83"/>
      <c r="RL49" s="83"/>
      <c r="RV49" s="83"/>
      <c r="SF49" s="83"/>
      <c r="SP49" s="83"/>
      <c r="SZ49" s="83"/>
      <c r="TJ49" s="83"/>
      <c r="TT49" s="83"/>
      <c r="UD49" s="83"/>
      <c r="UN49" s="83"/>
      <c r="UX49" s="83"/>
      <c r="VH49" s="83"/>
      <c r="VR49" s="83"/>
      <c r="WB49" s="83"/>
      <c r="WL49" s="83"/>
      <c r="WV49" s="83"/>
      <c r="XF49" s="83"/>
      <c r="XP49" s="83"/>
      <c r="XZ49" s="83"/>
      <c r="YJ49" s="83"/>
      <c r="YT49" s="83"/>
      <c r="ZD49" s="83"/>
      <c r="ZN49" s="83"/>
      <c r="ZX49" s="83"/>
      <c r="AAH49" s="83"/>
      <c r="AAR49" s="83"/>
      <c r="ABB49" s="83"/>
      <c r="ABL49" s="83"/>
      <c r="ABV49" s="83"/>
      <c r="ACF49" s="83"/>
      <c r="ACP49" s="83"/>
      <c r="ACZ49" s="83"/>
      <c r="ADJ49" s="83"/>
      <c r="ADT49" s="83"/>
      <c r="AED49" s="83"/>
      <c r="AEN49" s="83"/>
      <c r="AEX49" s="83"/>
      <c r="AFH49" s="83"/>
      <c r="AFR49" s="83"/>
      <c r="AGB49" s="83"/>
      <c r="AGL49" s="83"/>
      <c r="AGV49" s="83"/>
      <c r="AHF49" s="83"/>
      <c r="AHP49" s="83"/>
      <c r="AHZ49" s="83"/>
      <c r="AIJ49" s="83"/>
      <c r="AIT49" s="83"/>
      <c r="AJD49" s="83"/>
      <c r="AJN49" s="83"/>
      <c r="AJX49" s="83"/>
      <c r="AKH49" s="83"/>
      <c r="AKR49" s="83"/>
      <c r="ALB49" s="83"/>
      <c r="ALL49" s="83"/>
      <c r="ALV49" s="83"/>
      <c r="AMF49" s="83"/>
      <c r="AMP49" s="83"/>
      <c r="AMZ49" s="83"/>
      <c r="ANJ49" s="83"/>
      <c r="ANT49" s="83"/>
      <c r="AOD49" s="83"/>
      <c r="AON49" s="83"/>
      <c r="AOX49" s="83"/>
      <c r="APH49" s="83"/>
      <c r="APR49" s="83"/>
      <c r="AQB49" s="83"/>
      <c r="AQL49" s="83"/>
      <c r="AQV49" s="83"/>
      <c r="ARF49" s="83"/>
      <c r="ARP49" s="83"/>
      <c r="ARZ49" s="83"/>
      <c r="ASJ49" s="83"/>
      <c r="AST49" s="83"/>
      <c r="ATD49" s="83"/>
      <c r="ATN49" s="83"/>
      <c r="ATX49" s="83"/>
      <c r="AUH49" s="83"/>
      <c r="AUR49" s="83"/>
      <c r="AVB49" s="83"/>
      <c r="AVL49" s="83"/>
      <c r="AVV49" s="83"/>
      <c r="AWF49" s="83"/>
      <c r="AWP49" s="83"/>
      <c r="AWZ49" s="83"/>
      <c r="AXJ49" s="83"/>
      <c r="AXT49" s="83"/>
      <c r="AYD49" s="83"/>
      <c r="AYN49" s="83"/>
      <c r="AYX49" s="83"/>
      <c r="AZH49" s="83"/>
      <c r="AZR49" s="83"/>
      <c r="BAB49" s="83"/>
      <c r="BAL49" s="83"/>
      <c r="BAV49" s="83"/>
      <c r="BBF49" s="83"/>
      <c r="BBP49" s="83"/>
      <c r="BBZ49" s="83"/>
      <c r="BCJ49" s="83"/>
      <c r="BCT49" s="83"/>
      <c r="BDD49" s="83"/>
      <c r="BDN49" s="83"/>
      <c r="BDX49" s="83"/>
      <c r="BEH49" s="83"/>
      <c r="BER49" s="83"/>
      <c r="BFB49" s="83"/>
      <c r="BFL49" s="83"/>
      <c r="BFV49" s="83"/>
      <c r="BGF49" s="83"/>
      <c r="BGP49" s="83"/>
      <c r="BGZ49" s="83"/>
      <c r="BHJ49" s="83"/>
      <c r="BHT49" s="83"/>
      <c r="BID49" s="83"/>
      <c r="BIN49" s="83"/>
      <c r="BIX49" s="83"/>
      <c r="BJH49" s="83"/>
      <c r="BJR49" s="83"/>
      <c r="BKB49" s="83"/>
      <c r="BKL49" s="83"/>
      <c r="BKV49" s="83"/>
      <c r="BLF49" s="83"/>
      <c r="BLP49" s="83"/>
      <c r="BLZ49" s="83"/>
      <c r="BMJ49" s="83"/>
      <c r="BMT49" s="83"/>
      <c r="BND49" s="83"/>
      <c r="BNN49" s="83"/>
      <c r="BNX49" s="83"/>
      <c r="BOH49" s="83"/>
      <c r="BOR49" s="83"/>
      <c r="BPB49" s="83"/>
      <c r="BPL49" s="83"/>
      <c r="BPV49" s="83"/>
      <c r="BQF49" s="83"/>
      <c r="BQP49" s="83"/>
      <c r="BQZ49" s="83"/>
      <c r="BRJ49" s="83"/>
      <c r="BRT49" s="83"/>
      <c r="BSD49" s="83"/>
      <c r="BSN49" s="83"/>
      <c r="BSX49" s="83"/>
      <c r="BTH49" s="83"/>
      <c r="BTR49" s="83"/>
      <c r="BUB49" s="83"/>
      <c r="BUL49" s="83"/>
      <c r="BUV49" s="83"/>
      <c r="BVF49" s="83"/>
      <c r="BVP49" s="83"/>
      <c r="BVZ49" s="83"/>
      <c r="BWJ49" s="83"/>
      <c r="BWT49" s="83"/>
      <c r="BXD49" s="83"/>
      <c r="BXN49" s="83"/>
      <c r="BXX49" s="83"/>
      <c r="BYH49" s="83"/>
      <c r="BYR49" s="83"/>
      <c r="BZB49" s="83"/>
      <c r="BZL49" s="83"/>
      <c r="BZV49" s="83"/>
      <c r="CAF49" s="83"/>
      <c r="CAP49" s="83"/>
      <c r="CAZ49" s="83"/>
      <c r="CBJ49" s="83"/>
      <c r="CBT49" s="83"/>
      <c r="CCD49" s="83"/>
      <c r="CCN49" s="83"/>
      <c r="CCX49" s="83"/>
      <c r="CDH49" s="83"/>
      <c r="CDR49" s="83"/>
      <c r="CEB49" s="83"/>
      <c r="CEL49" s="83"/>
      <c r="CEV49" s="83"/>
      <c r="CFF49" s="83"/>
      <c r="CFP49" s="83"/>
      <c r="CFZ49" s="83"/>
      <c r="CGJ49" s="83"/>
      <c r="CGT49" s="83"/>
      <c r="CHD49" s="83"/>
      <c r="CHN49" s="83"/>
      <c r="CHX49" s="83"/>
      <c r="CIH49" s="83"/>
      <c r="CIR49" s="83"/>
      <c r="CJB49" s="83"/>
      <c r="CJL49" s="83"/>
      <c r="CJV49" s="83"/>
      <c r="CKF49" s="83"/>
      <c r="CKP49" s="83"/>
      <c r="CKZ49" s="83"/>
      <c r="CLJ49" s="83"/>
      <c r="CLT49" s="83"/>
      <c r="CMD49" s="83"/>
      <c r="CMN49" s="83"/>
      <c r="CMX49" s="83"/>
      <c r="CNH49" s="83"/>
      <c r="CNR49" s="83"/>
      <c r="COB49" s="83"/>
      <c r="COL49" s="83"/>
      <c r="COV49" s="83"/>
      <c r="CPF49" s="83"/>
      <c r="CPP49" s="83"/>
      <c r="CPZ49" s="83"/>
      <c r="CQJ49" s="83"/>
      <c r="CQT49" s="83"/>
      <c r="CRD49" s="83"/>
      <c r="CRN49" s="83"/>
      <c r="CRX49" s="83"/>
      <c r="CSH49" s="83"/>
      <c r="CSR49" s="83"/>
      <c r="CTB49" s="83"/>
      <c r="CTL49" s="83"/>
      <c r="CTV49" s="83"/>
    </row>
    <row r="50" s="58" customFormat="1" customHeight="1" spans="1:1020 1030:2040 2050:2570">
      <c r="A50" s="79">
        <v>46148</v>
      </c>
      <c r="B50" s="80" t="s">
        <v>22</v>
      </c>
      <c r="C50" s="38" t="s">
        <v>23</v>
      </c>
      <c r="D50" s="75">
        <v>652351859</v>
      </c>
      <c r="E50" s="75" t="s">
        <v>54</v>
      </c>
      <c r="F50" s="75" t="str">
        <f>VLOOKUP(E50,[4]基础数据!E:H,2,0)</f>
        <v>LXA12EV10-BSU总成-01</v>
      </c>
      <c r="G50" s="75">
        <v>606</v>
      </c>
      <c r="H50" s="75" t="str">
        <f>VLOOKUP(E50,[4]基础数据!E:H,4,0)</f>
        <v>料盒</v>
      </c>
      <c r="I50" s="75">
        <f>VLOOKUP(E50,[4]基础数据!E:G,3,0)</f>
        <v>20</v>
      </c>
      <c r="J50" s="75" t="s">
        <v>306</v>
      </c>
      <c r="K50" s="82">
        <f t="shared" si="0"/>
        <v>30.3</v>
      </c>
      <c r="T50" s="83"/>
      <c r="AD50" s="83"/>
      <c r="AN50" s="83"/>
      <c r="AX50" s="83"/>
      <c r="BH50" s="83"/>
      <c r="BR50" s="83"/>
      <c r="CB50" s="83"/>
      <c r="CL50" s="83"/>
      <c r="CV50" s="83"/>
      <c r="DF50" s="83"/>
      <c r="DP50" s="83"/>
      <c r="DZ50" s="83"/>
      <c r="EJ50" s="83"/>
      <c r="ET50" s="83"/>
      <c r="FD50" s="83"/>
      <c r="FN50" s="83"/>
      <c r="FX50" s="83"/>
      <c r="GH50" s="83"/>
      <c r="GR50" s="83"/>
      <c r="HB50" s="83"/>
      <c r="HL50" s="83"/>
      <c r="HV50" s="83"/>
      <c r="IF50" s="83"/>
      <c r="IP50" s="83"/>
      <c r="IZ50" s="83"/>
      <c r="JJ50" s="83"/>
      <c r="JT50" s="83"/>
      <c r="KD50" s="83"/>
      <c r="KN50" s="83"/>
      <c r="KX50" s="83"/>
      <c r="LH50" s="83"/>
      <c r="LR50" s="83"/>
      <c r="MB50" s="83"/>
      <c r="ML50" s="83"/>
      <c r="MV50" s="83"/>
      <c r="NF50" s="83"/>
      <c r="NP50" s="83"/>
      <c r="NZ50" s="83"/>
      <c r="OJ50" s="83"/>
      <c r="OT50" s="83"/>
      <c r="PD50" s="83"/>
      <c r="PN50" s="83"/>
      <c r="PX50" s="83"/>
      <c r="QH50" s="83"/>
      <c r="QR50" s="83"/>
      <c r="RB50" s="83"/>
      <c r="RL50" s="83"/>
      <c r="RV50" s="83"/>
      <c r="SF50" s="83"/>
      <c r="SP50" s="83"/>
      <c r="SZ50" s="83"/>
      <c r="TJ50" s="83"/>
      <c r="TT50" s="83"/>
      <c r="UD50" s="83"/>
      <c r="UN50" s="83"/>
      <c r="UX50" s="83"/>
      <c r="VH50" s="83"/>
      <c r="VR50" s="83"/>
      <c r="WB50" s="83"/>
      <c r="WL50" s="83"/>
      <c r="WV50" s="83"/>
      <c r="XF50" s="83"/>
      <c r="XP50" s="83"/>
      <c r="XZ50" s="83"/>
      <c r="YJ50" s="83"/>
      <c r="YT50" s="83"/>
      <c r="ZD50" s="83"/>
      <c r="ZN50" s="83"/>
      <c r="ZX50" s="83"/>
      <c r="AAH50" s="83"/>
      <c r="AAR50" s="83"/>
      <c r="ABB50" s="83"/>
      <c r="ABL50" s="83"/>
      <c r="ABV50" s="83"/>
      <c r="ACF50" s="83"/>
      <c r="ACP50" s="83"/>
      <c r="ACZ50" s="83"/>
      <c r="ADJ50" s="83"/>
      <c r="ADT50" s="83"/>
      <c r="AED50" s="83"/>
      <c r="AEN50" s="83"/>
      <c r="AEX50" s="83"/>
      <c r="AFH50" s="83"/>
      <c r="AFR50" s="83"/>
      <c r="AGB50" s="83"/>
      <c r="AGL50" s="83"/>
      <c r="AGV50" s="83"/>
      <c r="AHF50" s="83"/>
      <c r="AHP50" s="83"/>
      <c r="AHZ50" s="83"/>
      <c r="AIJ50" s="83"/>
      <c r="AIT50" s="83"/>
      <c r="AJD50" s="83"/>
      <c r="AJN50" s="83"/>
      <c r="AJX50" s="83"/>
      <c r="AKH50" s="83"/>
      <c r="AKR50" s="83"/>
      <c r="ALB50" s="83"/>
      <c r="ALL50" s="83"/>
      <c r="ALV50" s="83"/>
      <c r="AMF50" s="83"/>
      <c r="AMP50" s="83"/>
      <c r="AMZ50" s="83"/>
      <c r="ANJ50" s="83"/>
      <c r="ANT50" s="83"/>
      <c r="AOD50" s="83"/>
      <c r="AON50" s="83"/>
      <c r="AOX50" s="83"/>
      <c r="APH50" s="83"/>
      <c r="APR50" s="83"/>
      <c r="AQB50" s="83"/>
      <c r="AQL50" s="83"/>
      <c r="AQV50" s="83"/>
      <c r="ARF50" s="83"/>
      <c r="ARP50" s="83"/>
      <c r="ARZ50" s="83"/>
      <c r="ASJ50" s="83"/>
      <c r="AST50" s="83"/>
      <c r="ATD50" s="83"/>
      <c r="ATN50" s="83"/>
      <c r="ATX50" s="83"/>
      <c r="AUH50" s="83"/>
      <c r="AUR50" s="83"/>
      <c r="AVB50" s="83"/>
      <c r="AVL50" s="83"/>
      <c r="AVV50" s="83"/>
      <c r="AWF50" s="83"/>
      <c r="AWP50" s="83"/>
      <c r="AWZ50" s="83"/>
      <c r="AXJ50" s="83"/>
      <c r="AXT50" s="83"/>
      <c r="AYD50" s="83"/>
      <c r="AYN50" s="83"/>
      <c r="AYX50" s="83"/>
      <c r="AZH50" s="83"/>
      <c r="AZR50" s="83"/>
      <c r="BAB50" s="83"/>
      <c r="BAL50" s="83"/>
      <c r="BAV50" s="83"/>
      <c r="BBF50" s="83"/>
      <c r="BBP50" s="83"/>
      <c r="BBZ50" s="83"/>
      <c r="BCJ50" s="83"/>
      <c r="BCT50" s="83"/>
      <c r="BDD50" s="83"/>
      <c r="BDN50" s="83"/>
      <c r="BDX50" s="83"/>
      <c r="BEH50" s="83"/>
      <c r="BER50" s="83"/>
      <c r="BFB50" s="83"/>
      <c r="BFL50" s="83"/>
      <c r="BFV50" s="83"/>
      <c r="BGF50" s="83"/>
      <c r="BGP50" s="83"/>
      <c r="BGZ50" s="83"/>
      <c r="BHJ50" s="83"/>
      <c r="BHT50" s="83"/>
      <c r="BID50" s="83"/>
      <c r="BIN50" s="83"/>
      <c r="BIX50" s="83"/>
      <c r="BJH50" s="83"/>
      <c r="BJR50" s="83"/>
      <c r="BKB50" s="83"/>
      <c r="BKL50" s="83"/>
      <c r="BKV50" s="83"/>
      <c r="BLF50" s="83"/>
      <c r="BLP50" s="83"/>
      <c r="BLZ50" s="83"/>
      <c r="BMJ50" s="83"/>
      <c r="BMT50" s="83"/>
      <c r="BND50" s="83"/>
      <c r="BNN50" s="83"/>
      <c r="BNX50" s="83"/>
      <c r="BOH50" s="83"/>
      <c r="BOR50" s="83"/>
      <c r="BPB50" s="83"/>
      <c r="BPL50" s="83"/>
      <c r="BPV50" s="83"/>
      <c r="BQF50" s="83"/>
      <c r="BQP50" s="83"/>
      <c r="BQZ50" s="83"/>
      <c r="BRJ50" s="83"/>
      <c r="BRT50" s="83"/>
      <c r="BSD50" s="83"/>
      <c r="BSN50" s="83"/>
      <c r="BSX50" s="83"/>
      <c r="BTH50" s="83"/>
      <c r="BTR50" s="83"/>
      <c r="BUB50" s="83"/>
      <c r="BUL50" s="83"/>
      <c r="BUV50" s="83"/>
      <c r="BVF50" s="83"/>
      <c r="BVP50" s="83"/>
      <c r="BVZ50" s="83"/>
      <c r="BWJ50" s="83"/>
      <c r="BWT50" s="83"/>
      <c r="BXD50" s="83"/>
      <c r="BXN50" s="83"/>
      <c r="BXX50" s="83"/>
      <c r="BYH50" s="83"/>
      <c r="BYR50" s="83"/>
      <c r="BZB50" s="83"/>
      <c r="BZL50" s="83"/>
      <c r="BZV50" s="83"/>
      <c r="CAF50" s="83"/>
      <c r="CAP50" s="83"/>
      <c r="CAZ50" s="83"/>
      <c r="CBJ50" s="83"/>
      <c r="CBT50" s="83"/>
      <c r="CCD50" s="83"/>
      <c r="CCN50" s="83"/>
      <c r="CCX50" s="83"/>
      <c r="CDH50" s="83"/>
      <c r="CDR50" s="83"/>
      <c r="CEB50" s="83"/>
      <c r="CEL50" s="83"/>
      <c r="CEV50" s="83"/>
      <c r="CFF50" s="83"/>
      <c r="CFP50" s="83"/>
      <c r="CFZ50" s="83"/>
      <c r="CGJ50" s="83"/>
      <c r="CGT50" s="83"/>
      <c r="CHD50" s="83"/>
      <c r="CHN50" s="83"/>
      <c r="CHX50" s="83"/>
      <c r="CIH50" s="83"/>
      <c r="CIR50" s="83"/>
      <c r="CJB50" s="83"/>
      <c r="CJL50" s="83"/>
      <c r="CJV50" s="83"/>
      <c r="CKF50" s="83"/>
      <c r="CKP50" s="83"/>
      <c r="CKZ50" s="83"/>
      <c r="CLJ50" s="83"/>
      <c r="CLT50" s="83"/>
      <c r="CMD50" s="83"/>
      <c r="CMN50" s="83"/>
      <c r="CMX50" s="83"/>
      <c r="CNH50" s="83"/>
      <c r="CNR50" s="83"/>
      <c r="COB50" s="83"/>
      <c r="COL50" s="83"/>
      <c r="COV50" s="83"/>
      <c r="CPF50" s="83"/>
      <c r="CPP50" s="83"/>
      <c r="CPZ50" s="83"/>
      <c r="CQJ50" s="83"/>
      <c r="CQT50" s="83"/>
      <c r="CRD50" s="83"/>
      <c r="CRN50" s="83"/>
      <c r="CRX50" s="83"/>
      <c r="CSH50" s="83"/>
      <c r="CSR50" s="83"/>
      <c r="CTB50" s="83"/>
      <c r="CTL50" s="83"/>
      <c r="CTV50" s="83"/>
    </row>
    <row r="51" s="58" customFormat="1" customHeight="1" spans="1:1020 1030:2040 2050:2570">
      <c r="A51" s="79">
        <v>46148</v>
      </c>
      <c r="B51" s="80" t="s">
        <v>22</v>
      </c>
      <c r="C51" s="38" t="s">
        <v>23</v>
      </c>
      <c r="D51" s="75">
        <v>652351859</v>
      </c>
      <c r="E51" s="75" t="s">
        <v>57</v>
      </c>
      <c r="F51" s="75" t="str">
        <f>VLOOKUP(E51,[4]基础数据!E:H,2,0)</f>
        <v>LXA12EV10-BSU总成-02</v>
      </c>
      <c r="G51" s="75">
        <v>926</v>
      </c>
      <c r="H51" s="75" t="str">
        <f>VLOOKUP(E51,[4]基础数据!E:H,4,0)</f>
        <v>料盒</v>
      </c>
      <c r="I51" s="75">
        <f>VLOOKUP(E51,[4]基础数据!E:G,3,0)</f>
        <v>20</v>
      </c>
      <c r="J51" s="75" t="s">
        <v>306</v>
      </c>
      <c r="K51" s="82">
        <f t="shared" si="0"/>
        <v>46.3</v>
      </c>
      <c r="T51" s="83"/>
      <c r="AD51" s="83"/>
      <c r="AN51" s="83"/>
      <c r="AX51" s="83"/>
      <c r="BH51" s="83"/>
      <c r="BR51" s="83"/>
      <c r="CB51" s="83"/>
      <c r="CL51" s="83"/>
      <c r="CV51" s="83"/>
      <c r="DF51" s="83"/>
      <c r="DP51" s="83"/>
      <c r="DZ51" s="83"/>
      <c r="EJ51" s="83"/>
      <c r="ET51" s="83"/>
      <c r="FD51" s="83"/>
      <c r="FN51" s="83"/>
      <c r="FX51" s="83"/>
      <c r="GH51" s="83"/>
      <c r="GR51" s="83"/>
      <c r="HB51" s="83"/>
      <c r="HL51" s="83"/>
      <c r="HV51" s="83"/>
      <c r="IF51" s="83"/>
      <c r="IP51" s="83"/>
      <c r="IZ51" s="83"/>
      <c r="JJ51" s="83"/>
      <c r="JT51" s="83"/>
      <c r="KD51" s="83"/>
      <c r="KN51" s="83"/>
      <c r="KX51" s="83"/>
      <c r="LH51" s="83"/>
      <c r="LR51" s="83"/>
      <c r="MB51" s="83"/>
      <c r="ML51" s="83"/>
      <c r="MV51" s="83"/>
      <c r="NF51" s="83"/>
      <c r="NP51" s="83"/>
      <c r="NZ51" s="83"/>
      <c r="OJ51" s="83"/>
      <c r="OT51" s="83"/>
      <c r="PD51" s="83"/>
      <c r="PN51" s="83"/>
      <c r="PX51" s="83"/>
      <c r="QH51" s="83"/>
      <c r="QR51" s="83"/>
      <c r="RB51" s="83"/>
      <c r="RL51" s="83"/>
      <c r="RV51" s="83"/>
      <c r="SF51" s="83"/>
      <c r="SP51" s="83"/>
      <c r="SZ51" s="83"/>
      <c r="TJ51" s="83"/>
      <c r="TT51" s="83"/>
      <c r="UD51" s="83"/>
      <c r="UN51" s="83"/>
      <c r="UX51" s="83"/>
      <c r="VH51" s="83"/>
      <c r="VR51" s="83"/>
      <c r="WB51" s="83"/>
      <c r="WL51" s="83"/>
      <c r="WV51" s="83"/>
      <c r="XF51" s="83"/>
      <c r="XP51" s="83"/>
      <c r="XZ51" s="83"/>
      <c r="YJ51" s="83"/>
      <c r="YT51" s="83"/>
      <c r="ZD51" s="83"/>
      <c r="ZN51" s="83"/>
      <c r="ZX51" s="83"/>
      <c r="AAH51" s="83"/>
      <c r="AAR51" s="83"/>
      <c r="ABB51" s="83"/>
      <c r="ABL51" s="83"/>
      <c r="ABV51" s="83"/>
      <c r="ACF51" s="83"/>
      <c r="ACP51" s="83"/>
      <c r="ACZ51" s="83"/>
      <c r="ADJ51" s="83"/>
      <c r="ADT51" s="83"/>
      <c r="AED51" s="83"/>
      <c r="AEN51" s="83"/>
      <c r="AEX51" s="83"/>
      <c r="AFH51" s="83"/>
      <c r="AFR51" s="83"/>
      <c r="AGB51" s="83"/>
      <c r="AGL51" s="83"/>
      <c r="AGV51" s="83"/>
      <c r="AHF51" s="83"/>
      <c r="AHP51" s="83"/>
      <c r="AHZ51" s="83"/>
      <c r="AIJ51" s="83"/>
      <c r="AIT51" s="83"/>
      <c r="AJD51" s="83"/>
      <c r="AJN51" s="83"/>
      <c r="AJX51" s="83"/>
      <c r="AKH51" s="83"/>
      <c r="AKR51" s="83"/>
      <c r="ALB51" s="83"/>
      <c r="ALL51" s="83"/>
      <c r="ALV51" s="83"/>
      <c r="AMF51" s="83"/>
      <c r="AMP51" s="83"/>
      <c r="AMZ51" s="83"/>
      <c r="ANJ51" s="83"/>
      <c r="ANT51" s="83"/>
      <c r="AOD51" s="83"/>
      <c r="AON51" s="83"/>
      <c r="AOX51" s="83"/>
      <c r="APH51" s="83"/>
      <c r="APR51" s="83"/>
      <c r="AQB51" s="83"/>
      <c r="AQL51" s="83"/>
      <c r="AQV51" s="83"/>
      <c r="ARF51" s="83"/>
      <c r="ARP51" s="83"/>
      <c r="ARZ51" s="83"/>
      <c r="ASJ51" s="83"/>
      <c r="AST51" s="83"/>
      <c r="ATD51" s="83"/>
      <c r="ATN51" s="83"/>
      <c r="ATX51" s="83"/>
      <c r="AUH51" s="83"/>
      <c r="AUR51" s="83"/>
      <c r="AVB51" s="83"/>
      <c r="AVL51" s="83"/>
      <c r="AVV51" s="83"/>
      <c r="AWF51" s="83"/>
      <c r="AWP51" s="83"/>
      <c r="AWZ51" s="83"/>
      <c r="AXJ51" s="83"/>
      <c r="AXT51" s="83"/>
      <c r="AYD51" s="83"/>
      <c r="AYN51" s="83"/>
      <c r="AYX51" s="83"/>
      <c r="AZH51" s="83"/>
      <c r="AZR51" s="83"/>
      <c r="BAB51" s="83"/>
      <c r="BAL51" s="83"/>
      <c r="BAV51" s="83"/>
      <c r="BBF51" s="83"/>
      <c r="BBP51" s="83"/>
      <c r="BBZ51" s="83"/>
      <c r="BCJ51" s="83"/>
      <c r="BCT51" s="83"/>
      <c r="BDD51" s="83"/>
      <c r="BDN51" s="83"/>
      <c r="BDX51" s="83"/>
      <c r="BEH51" s="83"/>
      <c r="BER51" s="83"/>
      <c r="BFB51" s="83"/>
      <c r="BFL51" s="83"/>
      <c r="BFV51" s="83"/>
      <c r="BGF51" s="83"/>
      <c r="BGP51" s="83"/>
      <c r="BGZ51" s="83"/>
      <c r="BHJ51" s="83"/>
      <c r="BHT51" s="83"/>
      <c r="BID51" s="83"/>
      <c r="BIN51" s="83"/>
      <c r="BIX51" s="83"/>
      <c r="BJH51" s="83"/>
      <c r="BJR51" s="83"/>
      <c r="BKB51" s="83"/>
      <c r="BKL51" s="83"/>
      <c r="BKV51" s="83"/>
      <c r="BLF51" s="83"/>
      <c r="BLP51" s="83"/>
      <c r="BLZ51" s="83"/>
      <c r="BMJ51" s="83"/>
      <c r="BMT51" s="83"/>
      <c r="BND51" s="83"/>
      <c r="BNN51" s="83"/>
      <c r="BNX51" s="83"/>
      <c r="BOH51" s="83"/>
      <c r="BOR51" s="83"/>
      <c r="BPB51" s="83"/>
      <c r="BPL51" s="83"/>
      <c r="BPV51" s="83"/>
      <c r="BQF51" s="83"/>
      <c r="BQP51" s="83"/>
      <c r="BQZ51" s="83"/>
      <c r="BRJ51" s="83"/>
      <c r="BRT51" s="83"/>
      <c r="BSD51" s="83"/>
      <c r="BSN51" s="83"/>
      <c r="BSX51" s="83"/>
      <c r="BTH51" s="83"/>
      <c r="BTR51" s="83"/>
      <c r="BUB51" s="83"/>
      <c r="BUL51" s="83"/>
      <c r="BUV51" s="83"/>
      <c r="BVF51" s="83"/>
      <c r="BVP51" s="83"/>
      <c r="BVZ51" s="83"/>
      <c r="BWJ51" s="83"/>
      <c r="BWT51" s="83"/>
      <c r="BXD51" s="83"/>
      <c r="BXN51" s="83"/>
      <c r="BXX51" s="83"/>
      <c r="BYH51" s="83"/>
      <c r="BYR51" s="83"/>
      <c r="BZB51" s="83"/>
      <c r="BZL51" s="83"/>
      <c r="BZV51" s="83"/>
      <c r="CAF51" s="83"/>
      <c r="CAP51" s="83"/>
      <c r="CAZ51" s="83"/>
      <c r="CBJ51" s="83"/>
      <c r="CBT51" s="83"/>
      <c r="CCD51" s="83"/>
      <c r="CCN51" s="83"/>
      <c r="CCX51" s="83"/>
      <c r="CDH51" s="83"/>
      <c r="CDR51" s="83"/>
      <c r="CEB51" s="83"/>
      <c r="CEL51" s="83"/>
      <c r="CEV51" s="83"/>
      <c r="CFF51" s="83"/>
      <c r="CFP51" s="83"/>
      <c r="CFZ51" s="83"/>
      <c r="CGJ51" s="83"/>
      <c r="CGT51" s="83"/>
      <c r="CHD51" s="83"/>
      <c r="CHN51" s="83"/>
      <c r="CHX51" s="83"/>
      <c r="CIH51" s="83"/>
      <c r="CIR51" s="83"/>
      <c r="CJB51" s="83"/>
      <c r="CJL51" s="83"/>
      <c r="CJV51" s="83"/>
      <c r="CKF51" s="83"/>
      <c r="CKP51" s="83"/>
      <c r="CKZ51" s="83"/>
      <c r="CLJ51" s="83"/>
      <c r="CLT51" s="83"/>
      <c r="CMD51" s="83"/>
      <c r="CMN51" s="83"/>
      <c r="CMX51" s="83"/>
      <c r="CNH51" s="83"/>
      <c r="CNR51" s="83"/>
      <c r="COB51" s="83"/>
      <c r="COL51" s="83"/>
      <c r="COV51" s="83"/>
      <c r="CPF51" s="83"/>
      <c r="CPP51" s="83"/>
      <c r="CPZ51" s="83"/>
      <c r="CQJ51" s="83"/>
      <c r="CQT51" s="83"/>
      <c r="CRD51" s="83"/>
      <c r="CRN51" s="83"/>
      <c r="CRX51" s="83"/>
      <c r="CSH51" s="83"/>
      <c r="CSR51" s="83"/>
      <c r="CTB51" s="83"/>
      <c r="CTL51" s="83"/>
      <c r="CTV51" s="83"/>
    </row>
    <row r="52" s="58" customFormat="1" customHeight="1" spans="1:1020 1030:2040 2050:2570">
      <c r="A52" s="79">
        <v>46149</v>
      </c>
      <c r="B52" s="80" t="s">
        <v>22</v>
      </c>
      <c r="C52" s="38" t="s">
        <v>23</v>
      </c>
      <c r="D52" s="75">
        <v>652358011</v>
      </c>
      <c r="E52" s="84" t="s">
        <v>78</v>
      </c>
      <c r="F52" s="75" t="str">
        <f>VLOOKUP(E52,[5]基础数据!E:H,2,0)</f>
        <v>LS-CCUG001-AA-V1.03 三防漆单面 926_014</v>
      </c>
      <c r="G52" s="75">
        <v>648</v>
      </c>
      <c r="H52" s="75" t="str">
        <f>VLOOKUP(E52,[5]基础数据!E:H,4,0)</f>
        <v>料盒</v>
      </c>
      <c r="I52" s="75">
        <f>VLOOKUP(E52,[5]基础数据!E:G,3,0)</f>
        <v>72</v>
      </c>
      <c r="J52" s="75" t="s">
        <v>306</v>
      </c>
      <c r="K52" s="82">
        <f t="shared" si="0"/>
        <v>9</v>
      </c>
      <c r="T52" s="83"/>
      <c r="AD52" s="83"/>
      <c r="AN52" s="83"/>
      <c r="AX52" s="83"/>
      <c r="BH52" s="83"/>
      <c r="BR52" s="83"/>
      <c r="CB52" s="83"/>
      <c r="CL52" s="83"/>
      <c r="CV52" s="83"/>
      <c r="DF52" s="83"/>
      <c r="DP52" s="83"/>
      <c r="DZ52" s="83"/>
      <c r="EJ52" s="83"/>
      <c r="ET52" s="83"/>
      <c r="FD52" s="83"/>
      <c r="FN52" s="83"/>
      <c r="FX52" s="83"/>
      <c r="GH52" s="83"/>
      <c r="GR52" s="83"/>
      <c r="HB52" s="83"/>
      <c r="HL52" s="83"/>
      <c r="HV52" s="83"/>
      <c r="IF52" s="83"/>
      <c r="IP52" s="83"/>
      <c r="IZ52" s="83"/>
      <c r="JJ52" s="83"/>
      <c r="JT52" s="83"/>
      <c r="KD52" s="83"/>
      <c r="KN52" s="83"/>
      <c r="KX52" s="83"/>
      <c r="LH52" s="83"/>
      <c r="LR52" s="83"/>
      <c r="MB52" s="83"/>
      <c r="ML52" s="83"/>
      <c r="MV52" s="83"/>
      <c r="NF52" s="83"/>
      <c r="NP52" s="83"/>
      <c r="NZ52" s="83"/>
      <c r="OJ52" s="83"/>
      <c r="OT52" s="83"/>
      <c r="PD52" s="83"/>
      <c r="PN52" s="83"/>
      <c r="PX52" s="83"/>
      <c r="QH52" s="83"/>
      <c r="QR52" s="83"/>
      <c r="RB52" s="83"/>
      <c r="RL52" s="83"/>
      <c r="RV52" s="83"/>
      <c r="SF52" s="83"/>
      <c r="SP52" s="83"/>
      <c r="SZ52" s="83"/>
      <c r="TJ52" s="83"/>
      <c r="TT52" s="83"/>
      <c r="UD52" s="83"/>
      <c r="UN52" s="83"/>
      <c r="UX52" s="83"/>
      <c r="VH52" s="83"/>
      <c r="VR52" s="83"/>
      <c r="WB52" s="83"/>
      <c r="WL52" s="83"/>
      <c r="WV52" s="83"/>
      <c r="XF52" s="83"/>
      <c r="XP52" s="83"/>
      <c r="XZ52" s="83"/>
      <c r="YJ52" s="83"/>
      <c r="YT52" s="83"/>
      <c r="ZD52" s="83"/>
      <c r="ZN52" s="83"/>
      <c r="ZX52" s="83"/>
      <c r="AAH52" s="83"/>
      <c r="AAR52" s="83"/>
      <c r="ABB52" s="83"/>
      <c r="ABL52" s="83"/>
      <c r="ABV52" s="83"/>
      <c r="ACF52" s="83"/>
      <c r="ACP52" s="83"/>
      <c r="ACZ52" s="83"/>
      <c r="ADJ52" s="83"/>
      <c r="ADT52" s="83"/>
      <c r="AED52" s="83"/>
      <c r="AEN52" s="83"/>
      <c r="AEX52" s="83"/>
      <c r="AFH52" s="83"/>
      <c r="AFR52" s="83"/>
      <c r="AGB52" s="83"/>
      <c r="AGL52" s="83"/>
      <c r="AGV52" s="83"/>
      <c r="AHF52" s="83"/>
      <c r="AHP52" s="83"/>
      <c r="AHZ52" s="83"/>
      <c r="AIJ52" s="83"/>
      <c r="AIT52" s="83"/>
      <c r="AJD52" s="83"/>
      <c r="AJN52" s="83"/>
      <c r="AJX52" s="83"/>
      <c r="AKH52" s="83"/>
      <c r="AKR52" s="83"/>
      <c r="ALB52" s="83"/>
      <c r="ALL52" s="83"/>
      <c r="ALV52" s="83"/>
      <c r="AMF52" s="83"/>
      <c r="AMP52" s="83"/>
      <c r="AMZ52" s="83"/>
      <c r="ANJ52" s="83"/>
      <c r="ANT52" s="83"/>
      <c r="AOD52" s="83"/>
      <c r="AON52" s="83"/>
      <c r="AOX52" s="83"/>
      <c r="APH52" s="83"/>
      <c r="APR52" s="83"/>
      <c r="AQB52" s="83"/>
      <c r="AQL52" s="83"/>
      <c r="AQV52" s="83"/>
      <c r="ARF52" s="83"/>
      <c r="ARP52" s="83"/>
      <c r="ARZ52" s="83"/>
      <c r="ASJ52" s="83"/>
      <c r="AST52" s="83"/>
      <c r="ATD52" s="83"/>
      <c r="ATN52" s="83"/>
      <c r="ATX52" s="83"/>
      <c r="AUH52" s="83"/>
      <c r="AUR52" s="83"/>
      <c r="AVB52" s="83"/>
      <c r="AVL52" s="83"/>
      <c r="AVV52" s="83"/>
      <c r="AWF52" s="83"/>
      <c r="AWP52" s="83"/>
      <c r="AWZ52" s="83"/>
      <c r="AXJ52" s="83"/>
      <c r="AXT52" s="83"/>
      <c r="AYD52" s="83"/>
      <c r="AYN52" s="83"/>
      <c r="AYX52" s="83"/>
      <c r="AZH52" s="83"/>
      <c r="AZR52" s="83"/>
      <c r="BAB52" s="83"/>
      <c r="BAL52" s="83"/>
      <c r="BAV52" s="83"/>
      <c r="BBF52" s="83"/>
      <c r="BBP52" s="83"/>
      <c r="BBZ52" s="83"/>
      <c r="BCJ52" s="83"/>
      <c r="BCT52" s="83"/>
      <c r="BDD52" s="83"/>
      <c r="BDN52" s="83"/>
      <c r="BDX52" s="83"/>
      <c r="BEH52" s="83"/>
      <c r="BER52" s="83"/>
      <c r="BFB52" s="83"/>
      <c r="BFL52" s="83"/>
      <c r="BFV52" s="83"/>
      <c r="BGF52" s="83"/>
      <c r="BGP52" s="83"/>
      <c r="BGZ52" s="83"/>
      <c r="BHJ52" s="83"/>
      <c r="BHT52" s="83"/>
      <c r="BID52" s="83"/>
      <c r="BIN52" s="83"/>
      <c r="BIX52" s="83"/>
      <c r="BJH52" s="83"/>
      <c r="BJR52" s="83"/>
      <c r="BKB52" s="83"/>
      <c r="BKL52" s="83"/>
      <c r="BKV52" s="83"/>
      <c r="BLF52" s="83"/>
      <c r="BLP52" s="83"/>
      <c r="BLZ52" s="83"/>
      <c r="BMJ52" s="83"/>
      <c r="BMT52" s="83"/>
      <c r="BND52" s="83"/>
      <c r="BNN52" s="83"/>
      <c r="BNX52" s="83"/>
      <c r="BOH52" s="83"/>
      <c r="BOR52" s="83"/>
      <c r="BPB52" s="83"/>
      <c r="BPL52" s="83"/>
      <c r="BPV52" s="83"/>
      <c r="BQF52" s="83"/>
      <c r="BQP52" s="83"/>
      <c r="BQZ52" s="83"/>
      <c r="BRJ52" s="83"/>
      <c r="BRT52" s="83"/>
      <c r="BSD52" s="83"/>
      <c r="BSN52" s="83"/>
      <c r="BSX52" s="83"/>
      <c r="BTH52" s="83"/>
      <c r="BTR52" s="83"/>
      <c r="BUB52" s="83"/>
      <c r="BUL52" s="83"/>
      <c r="BUV52" s="83"/>
      <c r="BVF52" s="83"/>
      <c r="BVP52" s="83"/>
      <c r="BVZ52" s="83"/>
      <c r="BWJ52" s="83"/>
      <c r="BWT52" s="83"/>
      <c r="BXD52" s="83"/>
      <c r="BXN52" s="83"/>
      <c r="BXX52" s="83"/>
      <c r="BYH52" s="83"/>
      <c r="BYR52" s="83"/>
      <c r="BZB52" s="83"/>
      <c r="BZL52" s="83"/>
      <c r="BZV52" s="83"/>
      <c r="CAF52" s="83"/>
      <c r="CAP52" s="83"/>
      <c r="CAZ52" s="83"/>
      <c r="CBJ52" s="83"/>
      <c r="CBT52" s="83"/>
      <c r="CCD52" s="83"/>
      <c r="CCN52" s="83"/>
      <c r="CCX52" s="83"/>
      <c r="CDH52" s="83"/>
      <c r="CDR52" s="83"/>
      <c r="CEB52" s="83"/>
      <c r="CEL52" s="83"/>
      <c r="CEV52" s="83"/>
      <c r="CFF52" s="83"/>
      <c r="CFP52" s="83"/>
      <c r="CFZ52" s="83"/>
      <c r="CGJ52" s="83"/>
      <c r="CGT52" s="83"/>
      <c r="CHD52" s="83"/>
      <c r="CHN52" s="83"/>
      <c r="CHX52" s="83"/>
      <c r="CIH52" s="83"/>
      <c r="CIR52" s="83"/>
      <c r="CJB52" s="83"/>
      <c r="CJL52" s="83"/>
      <c r="CJV52" s="83"/>
      <c r="CKF52" s="83"/>
      <c r="CKP52" s="83"/>
      <c r="CKZ52" s="83"/>
      <c r="CLJ52" s="83"/>
      <c r="CLT52" s="83"/>
      <c r="CMD52" s="83"/>
      <c r="CMN52" s="83"/>
      <c r="CMX52" s="83"/>
      <c r="CNH52" s="83"/>
      <c r="CNR52" s="83"/>
      <c r="COB52" s="83"/>
      <c r="COL52" s="83"/>
      <c r="COV52" s="83"/>
      <c r="CPF52" s="83"/>
      <c r="CPP52" s="83"/>
      <c r="CPZ52" s="83"/>
      <c r="CQJ52" s="83"/>
      <c r="CQT52" s="83"/>
      <c r="CRD52" s="83"/>
      <c r="CRN52" s="83"/>
      <c r="CRX52" s="83"/>
      <c r="CSH52" s="83"/>
      <c r="CSR52" s="83"/>
      <c r="CTB52" s="83"/>
      <c r="CTL52" s="83"/>
      <c r="CTV52" s="83"/>
    </row>
    <row r="53" s="58" customFormat="1" customHeight="1" spans="1:1020 1030:2040 2050:2570">
      <c r="A53" s="79">
        <v>46149</v>
      </c>
      <c r="B53" s="80" t="s">
        <v>22</v>
      </c>
      <c r="C53" s="38" t="s">
        <v>23</v>
      </c>
      <c r="D53" s="75">
        <v>652358011</v>
      </c>
      <c r="E53" s="84" t="s">
        <v>114</v>
      </c>
      <c r="F53" s="75" t="str">
        <f>VLOOKUP(E53,[5]基础数据!E:H,2,0)</f>
        <v>LS-CCUB001-AB-V1.04 三防漆双面 904_219</v>
      </c>
      <c r="G53" s="75">
        <v>378</v>
      </c>
      <c r="H53" s="75" t="str">
        <f>VLOOKUP(E53,[5]基础数据!E:H,4,0)</f>
        <v>料盒</v>
      </c>
      <c r="I53" s="75">
        <f>VLOOKUP(E53,[5]基础数据!E:G,3,0)</f>
        <v>54</v>
      </c>
      <c r="J53" s="75" t="s">
        <v>306</v>
      </c>
      <c r="K53" s="82">
        <f t="shared" si="0"/>
        <v>7</v>
      </c>
      <c r="T53" s="83"/>
      <c r="AD53" s="83"/>
      <c r="AN53" s="83"/>
      <c r="AX53" s="83"/>
      <c r="BH53" s="83"/>
      <c r="BR53" s="83"/>
      <c r="CB53" s="83"/>
      <c r="CL53" s="83"/>
      <c r="CV53" s="83"/>
      <c r="DF53" s="83"/>
      <c r="DP53" s="83"/>
      <c r="DZ53" s="83"/>
      <c r="EJ53" s="83"/>
      <c r="ET53" s="83"/>
      <c r="FD53" s="83"/>
      <c r="FN53" s="83"/>
      <c r="FX53" s="83"/>
      <c r="GH53" s="83"/>
      <c r="GR53" s="83"/>
      <c r="HB53" s="83"/>
      <c r="HL53" s="83"/>
      <c r="HV53" s="83"/>
      <c r="IF53" s="83"/>
      <c r="IP53" s="83"/>
      <c r="IZ53" s="83"/>
      <c r="JJ53" s="83"/>
      <c r="JT53" s="83"/>
      <c r="KD53" s="83"/>
      <c r="KN53" s="83"/>
      <c r="KX53" s="83"/>
      <c r="LH53" s="83"/>
      <c r="LR53" s="83"/>
      <c r="MB53" s="83"/>
      <c r="ML53" s="83"/>
      <c r="MV53" s="83"/>
      <c r="NF53" s="83"/>
      <c r="NP53" s="83"/>
      <c r="NZ53" s="83"/>
      <c r="OJ53" s="83"/>
      <c r="OT53" s="83"/>
      <c r="PD53" s="83"/>
      <c r="PN53" s="83"/>
      <c r="PX53" s="83"/>
      <c r="QH53" s="83"/>
      <c r="QR53" s="83"/>
      <c r="RB53" s="83"/>
      <c r="RL53" s="83"/>
      <c r="RV53" s="83"/>
      <c r="SF53" s="83"/>
      <c r="SP53" s="83"/>
      <c r="SZ53" s="83"/>
      <c r="TJ53" s="83"/>
      <c r="TT53" s="83"/>
      <c r="UD53" s="83"/>
      <c r="UN53" s="83"/>
      <c r="UX53" s="83"/>
      <c r="VH53" s="83"/>
      <c r="VR53" s="83"/>
      <c r="WB53" s="83"/>
      <c r="WL53" s="83"/>
      <c r="WV53" s="83"/>
      <c r="XF53" s="83"/>
      <c r="XP53" s="83"/>
      <c r="XZ53" s="83"/>
      <c r="YJ53" s="83"/>
      <c r="YT53" s="83"/>
      <c r="ZD53" s="83"/>
      <c r="ZN53" s="83"/>
      <c r="ZX53" s="83"/>
      <c r="AAH53" s="83"/>
      <c r="AAR53" s="83"/>
      <c r="ABB53" s="83"/>
      <c r="ABL53" s="83"/>
      <c r="ABV53" s="83"/>
      <c r="ACF53" s="83"/>
      <c r="ACP53" s="83"/>
      <c r="ACZ53" s="83"/>
      <c r="ADJ53" s="83"/>
      <c r="ADT53" s="83"/>
      <c r="AED53" s="83"/>
      <c r="AEN53" s="83"/>
      <c r="AEX53" s="83"/>
      <c r="AFH53" s="83"/>
      <c r="AFR53" s="83"/>
      <c r="AGB53" s="83"/>
      <c r="AGL53" s="83"/>
      <c r="AGV53" s="83"/>
      <c r="AHF53" s="83"/>
      <c r="AHP53" s="83"/>
      <c r="AHZ53" s="83"/>
      <c r="AIJ53" s="83"/>
      <c r="AIT53" s="83"/>
      <c r="AJD53" s="83"/>
      <c r="AJN53" s="83"/>
      <c r="AJX53" s="83"/>
      <c r="AKH53" s="83"/>
      <c r="AKR53" s="83"/>
      <c r="ALB53" s="83"/>
      <c r="ALL53" s="83"/>
      <c r="ALV53" s="83"/>
      <c r="AMF53" s="83"/>
      <c r="AMP53" s="83"/>
      <c r="AMZ53" s="83"/>
      <c r="ANJ53" s="83"/>
      <c r="ANT53" s="83"/>
      <c r="AOD53" s="83"/>
      <c r="AON53" s="83"/>
      <c r="AOX53" s="83"/>
      <c r="APH53" s="83"/>
      <c r="APR53" s="83"/>
      <c r="AQB53" s="83"/>
      <c r="AQL53" s="83"/>
      <c r="AQV53" s="83"/>
      <c r="ARF53" s="83"/>
      <c r="ARP53" s="83"/>
      <c r="ARZ53" s="83"/>
      <c r="ASJ53" s="83"/>
      <c r="AST53" s="83"/>
      <c r="ATD53" s="83"/>
      <c r="ATN53" s="83"/>
      <c r="ATX53" s="83"/>
      <c r="AUH53" s="83"/>
      <c r="AUR53" s="83"/>
      <c r="AVB53" s="83"/>
      <c r="AVL53" s="83"/>
      <c r="AVV53" s="83"/>
      <c r="AWF53" s="83"/>
      <c r="AWP53" s="83"/>
      <c r="AWZ53" s="83"/>
      <c r="AXJ53" s="83"/>
      <c r="AXT53" s="83"/>
      <c r="AYD53" s="83"/>
      <c r="AYN53" s="83"/>
      <c r="AYX53" s="83"/>
      <c r="AZH53" s="83"/>
      <c r="AZR53" s="83"/>
      <c r="BAB53" s="83"/>
      <c r="BAL53" s="83"/>
      <c r="BAV53" s="83"/>
      <c r="BBF53" s="83"/>
      <c r="BBP53" s="83"/>
      <c r="BBZ53" s="83"/>
      <c r="BCJ53" s="83"/>
      <c r="BCT53" s="83"/>
      <c r="BDD53" s="83"/>
      <c r="BDN53" s="83"/>
      <c r="BDX53" s="83"/>
      <c r="BEH53" s="83"/>
      <c r="BER53" s="83"/>
      <c r="BFB53" s="83"/>
      <c r="BFL53" s="83"/>
      <c r="BFV53" s="83"/>
      <c r="BGF53" s="83"/>
      <c r="BGP53" s="83"/>
      <c r="BGZ53" s="83"/>
      <c r="BHJ53" s="83"/>
      <c r="BHT53" s="83"/>
      <c r="BID53" s="83"/>
      <c r="BIN53" s="83"/>
      <c r="BIX53" s="83"/>
      <c r="BJH53" s="83"/>
      <c r="BJR53" s="83"/>
      <c r="BKB53" s="83"/>
      <c r="BKL53" s="83"/>
      <c r="BKV53" s="83"/>
      <c r="BLF53" s="83"/>
      <c r="BLP53" s="83"/>
      <c r="BLZ53" s="83"/>
      <c r="BMJ53" s="83"/>
      <c r="BMT53" s="83"/>
      <c r="BND53" s="83"/>
      <c r="BNN53" s="83"/>
      <c r="BNX53" s="83"/>
      <c r="BOH53" s="83"/>
      <c r="BOR53" s="83"/>
      <c r="BPB53" s="83"/>
      <c r="BPL53" s="83"/>
      <c r="BPV53" s="83"/>
      <c r="BQF53" s="83"/>
      <c r="BQP53" s="83"/>
      <c r="BQZ53" s="83"/>
      <c r="BRJ53" s="83"/>
      <c r="BRT53" s="83"/>
      <c r="BSD53" s="83"/>
      <c r="BSN53" s="83"/>
      <c r="BSX53" s="83"/>
      <c r="BTH53" s="83"/>
      <c r="BTR53" s="83"/>
      <c r="BUB53" s="83"/>
      <c r="BUL53" s="83"/>
      <c r="BUV53" s="83"/>
      <c r="BVF53" s="83"/>
      <c r="BVP53" s="83"/>
      <c r="BVZ53" s="83"/>
      <c r="BWJ53" s="83"/>
      <c r="BWT53" s="83"/>
      <c r="BXD53" s="83"/>
      <c r="BXN53" s="83"/>
      <c r="BXX53" s="83"/>
      <c r="BYH53" s="83"/>
      <c r="BYR53" s="83"/>
      <c r="BZB53" s="83"/>
      <c r="BZL53" s="83"/>
      <c r="BZV53" s="83"/>
      <c r="CAF53" s="83"/>
      <c r="CAP53" s="83"/>
      <c r="CAZ53" s="83"/>
      <c r="CBJ53" s="83"/>
      <c r="CBT53" s="83"/>
      <c r="CCD53" s="83"/>
      <c r="CCN53" s="83"/>
      <c r="CCX53" s="83"/>
      <c r="CDH53" s="83"/>
      <c r="CDR53" s="83"/>
      <c r="CEB53" s="83"/>
      <c r="CEL53" s="83"/>
      <c r="CEV53" s="83"/>
      <c r="CFF53" s="83"/>
      <c r="CFP53" s="83"/>
      <c r="CFZ53" s="83"/>
      <c r="CGJ53" s="83"/>
      <c r="CGT53" s="83"/>
      <c r="CHD53" s="83"/>
      <c r="CHN53" s="83"/>
      <c r="CHX53" s="83"/>
      <c r="CIH53" s="83"/>
      <c r="CIR53" s="83"/>
      <c r="CJB53" s="83"/>
      <c r="CJL53" s="83"/>
      <c r="CJV53" s="83"/>
      <c r="CKF53" s="83"/>
      <c r="CKP53" s="83"/>
      <c r="CKZ53" s="83"/>
      <c r="CLJ53" s="83"/>
      <c r="CLT53" s="83"/>
      <c r="CMD53" s="83"/>
      <c r="CMN53" s="83"/>
      <c r="CMX53" s="83"/>
      <c r="CNH53" s="83"/>
      <c r="CNR53" s="83"/>
      <c r="COB53" s="83"/>
      <c r="COL53" s="83"/>
      <c r="COV53" s="83"/>
      <c r="CPF53" s="83"/>
      <c r="CPP53" s="83"/>
      <c r="CPZ53" s="83"/>
      <c r="CQJ53" s="83"/>
      <c r="CQT53" s="83"/>
      <c r="CRD53" s="83"/>
      <c r="CRN53" s="83"/>
      <c r="CRX53" s="83"/>
      <c r="CSH53" s="83"/>
      <c r="CSR53" s="83"/>
      <c r="CTB53" s="83"/>
      <c r="CTL53" s="83"/>
      <c r="CTV53" s="83"/>
    </row>
    <row r="54" s="58" customFormat="1" customHeight="1" spans="1:1020 1030:2040 2050:2570">
      <c r="A54" s="79">
        <v>46149</v>
      </c>
      <c r="B54" s="80" t="s">
        <v>22</v>
      </c>
      <c r="C54" s="38" t="s">
        <v>23</v>
      </c>
      <c r="D54" s="75">
        <v>652358011</v>
      </c>
      <c r="E54" s="84" t="s">
        <v>81</v>
      </c>
      <c r="F54" s="75" t="str">
        <f>VLOOKUP(E54,[5]基础数据!E:H,2,0)</f>
        <v>LS-CCUG001-AB-V1.02 三防漆单面 924_028</v>
      </c>
      <c r="G54" s="75">
        <v>648</v>
      </c>
      <c r="H54" s="75" t="str">
        <f>VLOOKUP(E54,[5]基础数据!E:H,4,0)</f>
        <v>料盒</v>
      </c>
      <c r="I54" s="75">
        <f>VLOOKUP(E54,[5]基础数据!E:G,3,0)</f>
        <v>72</v>
      </c>
      <c r="J54" s="75" t="s">
        <v>306</v>
      </c>
      <c r="K54" s="82">
        <f t="shared" si="0"/>
        <v>9</v>
      </c>
      <c r="T54" s="83"/>
      <c r="AD54" s="83"/>
      <c r="AN54" s="83"/>
      <c r="AX54" s="83"/>
      <c r="BH54" s="83"/>
      <c r="BR54" s="83"/>
      <c r="CB54" s="83"/>
      <c r="CL54" s="83"/>
      <c r="CV54" s="83"/>
      <c r="DF54" s="83"/>
      <c r="DP54" s="83"/>
      <c r="DZ54" s="83"/>
      <c r="EJ54" s="83"/>
      <c r="ET54" s="83"/>
      <c r="FD54" s="83"/>
      <c r="FN54" s="83"/>
      <c r="FX54" s="83"/>
      <c r="GH54" s="83"/>
      <c r="GR54" s="83"/>
      <c r="HB54" s="83"/>
      <c r="HL54" s="83"/>
      <c r="HV54" s="83"/>
      <c r="IF54" s="83"/>
      <c r="IP54" s="83"/>
      <c r="IZ54" s="83"/>
      <c r="JJ54" s="83"/>
      <c r="JT54" s="83"/>
      <c r="KD54" s="83"/>
      <c r="KN54" s="83"/>
      <c r="KX54" s="83"/>
      <c r="LH54" s="83"/>
      <c r="LR54" s="83"/>
      <c r="MB54" s="83"/>
      <c r="ML54" s="83"/>
      <c r="MV54" s="83"/>
      <c r="NF54" s="83"/>
      <c r="NP54" s="83"/>
      <c r="NZ54" s="83"/>
      <c r="OJ54" s="83"/>
      <c r="OT54" s="83"/>
      <c r="PD54" s="83"/>
      <c r="PN54" s="83"/>
      <c r="PX54" s="83"/>
      <c r="QH54" s="83"/>
      <c r="QR54" s="83"/>
      <c r="RB54" s="83"/>
      <c r="RL54" s="83"/>
      <c r="RV54" s="83"/>
      <c r="SF54" s="83"/>
      <c r="SP54" s="83"/>
      <c r="SZ54" s="83"/>
      <c r="TJ54" s="83"/>
      <c r="TT54" s="83"/>
      <c r="UD54" s="83"/>
      <c r="UN54" s="83"/>
      <c r="UX54" s="83"/>
      <c r="VH54" s="83"/>
      <c r="VR54" s="83"/>
      <c r="WB54" s="83"/>
      <c r="WL54" s="83"/>
      <c r="WV54" s="83"/>
      <c r="XF54" s="83"/>
      <c r="XP54" s="83"/>
      <c r="XZ54" s="83"/>
      <c r="YJ54" s="83"/>
      <c r="YT54" s="83"/>
      <c r="ZD54" s="83"/>
      <c r="ZN54" s="83"/>
      <c r="ZX54" s="83"/>
      <c r="AAH54" s="83"/>
      <c r="AAR54" s="83"/>
      <c r="ABB54" s="83"/>
      <c r="ABL54" s="83"/>
      <c r="ABV54" s="83"/>
      <c r="ACF54" s="83"/>
      <c r="ACP54" s="83"/>
      <c r="ACZ54" s="83"/>
      <c r="ADJ54" s="83"/>
      <c r="ADT54" s="83"/>
      <c r="AED54" s="83"/>
      <c r="AEN54" s="83"/>
      <c r="AEX54" s="83"/>
      <c r="AFH54" s="83"/>
      <c r="AFR54" s="83"/>
      <c r="AGB54" s="83"/>
      <c r="AGL54" s="83"/>
      <c r="AGV54" s="83"/>
      <c r="AHF54" s="83"/>
      <c r="AHP54" s="83"/>
      <c r="AHZ54" s="83"/>
      <c r="AIJ54" s="83"/>
      <c r="AIT54" s="83"/>
      <c r="AJD54" s="83"/>
      <c r="AJN54" s="83"/>
      <c r="AJX54" s="83"/>
      <c r="AKH54" s="83"/>
      <c r="AKR54" s="83"/>
      <c r="ALB54" s="83"/>
      <c r="ALL54" s="83"/>
      <c r="ALV54" s="83"/>
      <c r="AMF54" s="83"/>
      <c r="AMP54" s="83"/>
      <c r="AMZ54" s="83"/>
      <c r="ANJ54" s="83"/>
      <c r="ANT54" s="83"/>
      <c r="AOD54" s="83"/>
      <c r="AON54" s="83"/>
      <c r="AOX54" s="83"/>
      <c r="APH54" s="83"/>
      <c r="APR54" s="83"/>
      <c r="AQB54" s="83"/>
      <c r="AQL54" s="83"/>
      <c r="AQV54" s="83"/>
      <c r="ARF54" s="83"/>
      <c r="ARP54" s="83"/>
      <c r="ARZ54" s="83"/>
      <c r="ASJ54" s="83"/>
      <c r="AST54" s="83"/>
      <c r="ATD54" s="83"/>
      <c r="ATN54" s="83"/>
      <c r="ATX54" s="83"/>
      <c r="AUH54" s="83"/>
      <c r="AUR54" s="83"/>
      <c r="AVB54" s="83"/>
      <c r="AVL54" s="83"/>
      <c r="AVV54" s="83"/>
      <c r="AWF54" s="83"/>
      <c r="AWP54" s="83"/>
      <c r="AWZ54" s="83"/>
      <c r="AXJ54" s="83"/>
      <c r="AXT54" s="83"/>
      <c r="AYD54" s="83"/>
      <c r="AYN54" s="83"/>
      <c r="AYX54" s="83"/>
      <c r="AZH54" s="83"/>
      <c r="AZR54" s="83"/>
      <c r="BAB54" s="83"/>
      <c r="BAL54" s="83"/>
      <c r="BAV54" s="83"/>
      <c r="BBF54" s="83"/>
      <c r="BBP54" s="83"/>
      <c r="BBZ54" s="83"/>
      <c r="BCJ54" s="83"/>
      <c r="BCT54" s="83"/>
      <c r="BDD54" s="83"/>
      <c r="BDN54" s="83"/>
      <c r="BDX54" s="83"/>
      <c r="BEH54" s="83"/>
      <c r="BER54" s="83"/>
      <c r="BFB54" s="83"/>
      <c r="BFL54" s="83"/>
      <c r="BFV54" s="83"/>
      <c r="BGF54" s="83"/>
      <c r="BGP54" s="83"/>
      <c r="BGZ54" s="83"/>
      <c r="BHJ54" s="83"/>
      <c r="BHT54" s="83"/>
      <c r="BID54" s="83"/>
      <c r="BIN54" s="83"/>
      <c r="BIX54" s="83"/>
      <c r="BJH54" s="83"/>
      <c r="BJR54" s="83"/>
      <c r="BKB54" s="83"/>
      <c r="BKL54" s="83"/>
      <c r="BKV54" s="83"/>
      <c r="BLF54" s="83"/>
      <c r="BLP54" s="83"/>
      <c r="BLZ54" s="83"/>
      <c r="BMJ54" s="83"/>
      <c r="BMT54" s="83"/>
      <c r="BND54" s="83"/>
      <c r="BNN54" s="83"/>
      <c r="BNX54" s="83"/>
      <c r="BOH54" s="83"/>
      <c r="BOR54" s="83"/>
      <c r="BPB54" s="83"/>
      <c r="BPL54" s="83"/>
      <c r="BPV54" s="83"/>
      <c r="BQF54" s="83"/>
      <c r="BQP54" s="83"/>
      <c r="BQZ54" s="83"/>
      <c r="BRJ54" s="83"/>
      <c r="BRT54" s="83"/>
      <c r="BSD54" s="83"/>
      <c r="BSN54" s="83"/>
      <c r="BSX54" s="83"/>
      <c r="BTH54" s="83"/>
      <c r="BTR54" s="83"/>
      <c r="BUB54" s="83"/>
      <c r="BUL54" s="83"/>
      <c r="BUV54" s="83"/>
      <c r="BVF54" s="83"/>
      <c r="BVP54" s="83"/>
      <c r="BVZ54" s="83"/>
      <c r="BWJ54" s="83"/>
      <c r="BWT54" s="83"/>
      <c r="BXD54" s="83"/>
      <c r="BXN54" s="83"/>
      <c r="BXX54" s="83"/>
      <c r="BYH54" s="83"/>
      <c r="BYR54" s="83"/>
      <c r="BZB54" s="83"/>
      <c r="BZL54" s="83"/>
      <c r="BZV54" s="83"/>
      <c r="CAF54" s="83"/>
      <c r="CAP54" s="83"/>
      <c r="CAZ54" s="83"/>
      <c r="CBJ54" s="83"/>
      <c r="CBT54" s="83"/>
      <c r="CCD54" s="83"/>
      <c r="CCN54" s="83"/>
      <c r="CCX54" s="83"/>
      <c r="CDH54" s="83"/>
      <c r="CDR54" s="83"/>
      <c r="CEB54" s="83"/>
      <c r="CEL54" s="83"/>
      <c r="CEV54" s="83"/>
      <c r="CFF54" s="83"/>
      <c r="CFP54" s="83"/>
      <c r="CFZ54" s="83"/>
      <c r="CGJ54" s="83"/>
      <c r="CGT54" s="83"/>
      <c r="CHD54" s="83"/>
      <c r="CHN54" s="83"/>
      <c r="CHX54" s="83"/>
      <c r="CIH54" s="83"/>
      <c r="CIR54" s="83"/>
      <c r="CJB54" s="83"/>
      <c r="CJL54" s="83"/>
      <c r="CJV54" s="83"/>
      <c r="CKF54" s="83"/>
      <c r="CKP54" s="83"/>
      <c r="CKZ54" s="83"/>
      <c r="CLJ54" s="83"/>
      <c r="CLT54" s="83"/>
      <c r="CMD54" s="83"/>
      <c r="CMN54" s="83"/>
      <c r="CMX54" s="83"/>
      <c r="CNH54" s="83"/>
      <c r="CNR54" s="83"/>
      <c r="COB54" s="83"/>
      <c r="COL54" s="83"/>
      <c r="COV54" s="83"/>
      <c r="CPF54" s="83"/>
      <c r="CPP54" s="83"/>
      <c r="CPZ54" s="83"/>
      <c r="CQJ54" s="83"/>
      <c r="CQT54" s="83"/>
      <c r="CRD54" s="83"/>
      <c r="CRN54" s="83"/>
      <c r="CRX54" s="83"/>
      <c r="CSH54" s="83"/>
      <c r="CSR54" s="83"/>
      <c r="CTB54" s="83"/>
      <c r="CTL54" s="83"/>
      <c r="CTV54" s="83"/>
    </row>
    <row r="55" s="58" customFormat="1" customHeight="1" spans="1:1020 1030:2040 2050:2570">
      <c r="A55" s="79">
        <v>46149</v>
      </c>
      <c r="B55" s="80" t="s">
        <v>22</v>
      </c>
      <c r="C55" s="38" t="s">
        <v>23</v>
      </c>
      <c r="D55" s="75">
        <v>652358011</v>
      </c>
      <c r="E55" s="84" t="s">
        <v>90</v>
      </c>
      <c r="F55" s="75" t="str">
        <f>VLOOKUP(E55,[5]基础数据!E:H,2,0)</f>
        <v>LS-CCUB001-AA-DM2-V1.03 三防漆单面 931_007</v>
      </c>
      <c r="G55" s="75">
        <v>768</v>
      </c>
      <c r="H55" s="75" t="str">
        <f>VLOOKUP(E55,[5]基础数据!E:H,4,0)</f>
        <v>料盒</v>
      </c>
      <c r="I55" s="75">
        <f>VLOOKUP(E55,[5]基础数据!E:G,3,0)</f>
        <v>24</v>
      </c>
      <c r="J55" s="75" t="s">
        <v>306</v>
      </c>
      <c r="K55" s="82">
        <f t="shared" si="0"/>
        <v>32</v>
      </c>
      <c r="T55" s="83"/>
      <c r="AD55" s="83"/>
      <c r="AN55" s="83"/>
      <c r="AX55" s="83"/>
      <c r="BH55" s="83"/>
      <c r="BR55" s="83"/>
      <c r="CB55" s="83"/>
      <c r="CL55" s="83"/>
      <c r="CV55" s="83"/>
      <c r="DF55" s="83"/>
      <c r="DP55" s="83"/>
      <c r="DZ55" s="83"/>
      <c r="EJ55" s="83"/>
      <c r="ET55" s="83"/>
      <c r="FD55" s="83"/>
      <c r="FN55" s="83"/>
      <c r="FX55" s="83"/>
      <c r="GH55" s="83"/>
      <c r="GR55" s="83"/>
      <c r="HB55" s="83"/>
      <c r="HL55" s="83"/>
      <c r="HV55" s="83"/>
      <c r="IF55" s="83"/>
      <c r="IP55" s="83"/>
      <c r="IZ55" s="83"/>
      <c r="JJ55" s="83"/>
      <c r="JT55" s="83"/>
      <c r="KD55" s="83"/>
      <c r="KN55" s="83"/>
      <c r="KX55" s="83"/>
      <c r="LH55" s="83"/>
      <c r="LR55" s="83"/>
      <c r="MB55" s="83"/>
      <c r="ML55" s="83"/>
      <c r="MV55" s="83"/>
      <c r="NF55" s="83"/>
      <c r="NP55" s="83"/>
      <c r="NZ55" s="83"/>
      <c r="OJ55" s="83"/>
      <c r="OT55" s="83"/>
      <c r="PD55" s="83"/>
      <c r="PN55" s="83"/>
      <c r="PX55" s="83"/>
      <c r="QH55" s="83"/>
      <c r="QR55" s="83"/>
      <c r="RB55" s="83"/>
      <c r="RL55" s="83"/>
      <c r="RV55" s="83"/>
      <c r="SF55" s="83"/>
      <c r="SP55" s="83"/>
      <c r="SZ55" s="83"/>
      <c r="TJ55" s="83"/>
      <c r="TT55" s="83"/>
      <c r="UD55" s="83"/>
      <c r="UN55" s="83"/>
      <c r="UX55" s="83"/>
      <c r="VH55" s="83"/>
      <c r="VR55" s="83"/>
      <c r="WB55" s="83"/>
      <c r="WL55" s="83"/>
      <c r="WV55" s="83"/>
      <c r="XF55" s="83"/>
      <c r="XP55" s="83"/>
      <c r="XZ55" s="83"/>
      <c r="YJ55" s="83"/>
      <c r="YT55" s="83"/>
      <c r="ZD55" s="83"/>
      <c r="ZN55" s="83"/>
      <c r="ZX55" s="83"/>
      <c r="AAH55" s="83"/>
      <c r="AAR55" s="83"/>
      <c r="ABB55" s="83"/>
      <c r="ABL55" s="83"/>
      <c r="ABV55" s="83"/>
      <c r="ACF55" s="83"/>
      <c r="ACP55" s="83"/>
      <c r="ACZ55" s="83"/>
      <c r="ADJ55" s="83"/>
      <c r="ADT55" s="83"/>
      <c r="AED55" s="83"/>
      <c r="AEN55" s="83"/>
      <c r="AEX55" s="83"/>
      <c r="AFH55" s="83"/>
      <c r="AFR55" s="83"/>
      <c r="AGB55" s="83"/>
      <c r="AGL55" s="83"/>
      <c r="AGV55" s="83"/>
      <c r="AHF55" s="83"/>
      <c r="AHP55" s="83"/>
      <c r="AHZ55" s="83"/>
      <c r="AIJ55" s="83"/>
      <c r="AIT55" s="83"/>
      <c r="AJD55" s="83"/>
      <c r="AJN55" s="83"/>
      <c r="AJX55" s="83"/>
      <c r="AKH55" s="83"/>
      <c r="AKR55" s="83"/>
      <c r="ALB55" s="83"/>
      <c r="ALL55" s="83"/>
      <c r="ALV55" s="83"/>
      <c r="AMF55" s="83"/>
      <c r="AMP55" s="83"/>
      <c r="AMZ55" s="83"/>
      <c r="ANJ55" s="83"/>
      <c r="ANT55" s="83"/>
      <c r="AOD55" s="83"/>
      <c r="AON55" s="83"/>
      <c r="AOX55" s="83"/>
      <c r="APH55" s="83"/>
      <c r="APR55" s="83"/>
      <c r="AQB55" s="83"/>
      <c r="AQL55" s="83"/>
      <c r="AQV55" s="83"/>
      <c r="ARF55" s="83"/>
      <c r="ARP55" s="83"/>
      <c r="ARZ55" s="83"/>
      <c r="ASJ55" s="83"/>
      <c r="AST55" s="83"/>
      <c r="ATD55" s="83"/>
      <c r="ATN55" s="83"/>
      <c r="ATX55" s="83"/>
      <c r="AUH55" s="83"/>
      <c r="AUR55" s="83"/>
      <c r="AVB55" s="83"/>
      <c r="AVL55" s="83"/>
      <c r="AVV55" s="83"/>
      <c r="AWF55" s="83"/>
      <c r="AWP55" s="83"/>
      <c r="AWZ55" s="83"/>
      <c r="AXJ55" s="83"/>
      <c r="AXT55" s="83"/>
      <c r="AYD55" s="83"/>
      <c r="AYN55" s="83"/>
      <c r="AYX55" s="83"/>
      <c r="AZH55" s="83"/>
      <c r="AZR55" s="83"/>
      <c r="BAB55" s="83"/>
      <c r="BAL55" s="83"/>
      <c r="BAV55" s="83"/>
      <c r="BBF55" s="83"/>
      <c r="BBP55" s="83"/>
      <c r="BBZ55" s="83"/>
      <c r="BCJ55" s="83"/>
      <c r="BCT55" s="83"/>
      <c r="BDD55" s="83"/>
      <c r="BDN55" s="83"/>
      <c r="BDX55" s="83"/>
      <c r="BEH55" s="83"/>
      <c r="BER55" s="83"/>
      <c r="BFB55" s="83"/>
      <c r="BFL55" s="83"/>
      <c r="BFV55" s="83"/>
      <c r="BGF55" s="83"/>
      <c r="BGP55" s="83"/>
      <c r="BGZ55" s="83"/>
      <c r="BHJ55" s="83"/>
      <c r="BHT55" s="83"/>
      <c r="BID55" s="83"/>
      <c r="BIN55" s="83"/>
      <c r="BIX55" s="83"/>
      <c r="BJH55" s="83"/>
      <c r="BJR55" s="83"/>
      <c r="BKB55" s="83"/>
      <c r="BKL55" s="83"/>
      <c r="BKV55" s="83"/>
      <c r="BLF55" s="83"/>
      <c r="BLP55" s="83"/>
      <c r="BLZ55" s="83"/>
      <c r="BMJ55" s="83"/>
      <c r="BMT55" s="83"/>
      <c r="BND55" s="83"/>
      <c r="BNN55" s="83"/>
      <c r="BNX55" s="83"/>
      <c r="BOH55" s="83"/>
      <c r="BOR55" s="83"/>
      <c r="BPB55" s="83"/>
      <c r="BPL55" s="83"/>
      <c r="BPV55" s="83"/>
      <c r="BQF55" s="83"/>
      <c r="BQP55" s="83"/>
      <c r="BQZ55" s="83"/>
      <c r="BRJ55" s="83"/>
      <c r="BRT55" s="83"/>
      <c r="BSD55" s="83"/>
      <c r="BSN55" s="83"/>
      <c r="BSX55" s="83"/>
      <c r="BTH55" s="83"/>
      <c r="BTR55" s="83"/>
      <c r="BUB55" s="83"/>
      <c r="BUL55" s="83"/>
      <c r="BUV55" s="83"/>
      <c r="BVF55" s="83"/>
      <c r="BVP55" s="83"/>
      <c r="BVZ55" s="83"/>
      <c r="BWJ55" s="83"/>
      <c r="BWT55" s="83"/>
      <c r="BXD55" s="83"/>
      <c r="BXN55" s="83"/>
      <c r="BXX55" s="83"/>
      <c r="BYH55" s="83"/>
      <c r="BYR55" s="83"/>
      <c r="BZB55" s="83"/>
      <c r="BZL55" s="83"/>
      <c r="BZV55" s="83"/>
      <c r="CAF55" s="83"/>
      <c r="CAP55" s="83"/>
      <c r="CAZ55" s="83"/>
      <c r="CBJ55" s="83"/>
      <c r="CBT55" s="83"/>
      <c r="CCD55" s="83"/>
      <c r="CCN55" s="83"/>
      <c r="CCX55" s="83"/>
      <c r="CDH55" s="83"/>
      <c r="CDR55" s="83"/>
      <c r="CEB55" s="83"/>
      <c r="CEL55" s="83"/>
      <c r="CEV55" s="83"/>
      <c r="CFF55" s="83"/>
      <c r="CFP55" s="83"/>
      <c r="CFZ55" s="83"/>
      <c r="CGJ55" s="83"/>
      <c r="CGT55" s="83"/>
      <c r="CHD55" s="83"/>
      <c r="CHN55" s="83"/>
      <c r="CHX55" s="83"/>
      <c r="CIH55" s="83"/>
      <c r="CIR55" s="83"/>
      <c r="CJB55" s="83"/>
      <c r="CJL55" s="83"/>
      <c r="CJV55" s="83"/>
      <c r="CKF55" s="83"/>
      <c r="CKP55" s="83"/>
      <c r="CKZ55" s="83"/>
      <c r="CLJ55" s="83"/>
      <c r="CLT55" s="83"/>
      <c r="CMD55" s="83"/>
      <c r="CMN55" s="83"/>
      <c r="CMX55" s="83"/>
      <c r="CNH55" s="83"/>
      <c r="CNR55" s="83"/>
      <c r="COB55" s="83"/>
      <c r="COL55" s="83"/>
      <c r="COV55" s="83"/>
      <c r="CPF55" s="83"/>
      <c r="CPP55" s="83"/>
      <c r="CPZ55" s="83"/>
      <c r="CQJ55" s="83"/>
      <c r="CQT55" s="83"/>
      <c r="CRD55" s="83"/>
      <c r="CRN55" s="83"/>
      <c r="CRX55" s="83"/>
      <c r="CSH55" s="83"/>
      <c r="CSR55" s="83"/>
      <c r="CTB55" s="83"/>
      <c r="CTL55" s="83"/>
      <c r="CTV55" s="83"/>
    </row>
    <row r="56" s="58" customFormat="1" customHeight="1" spans="1:1020 1030:2040 2050:2570">
      <c r="A56" s="79">
        <v>46149</v>
      </c>
      <c r="B56" s="80" t="s">
        <v>22</v>
      </c>
      <c r="C56" s="38" t="s">
        <v>23</v>
      </c>
      <c r="D56" s="75">
        <v>652357953</v>
      </c>
      <c r="E56" s="84" t="s">
        <v>69</v>
      </c>
      <c r="F56" s="75" t="str">
        <f>VLOOKUP(E56,[5]基础数据!E:H,2,0)</f>
        <v>LS-CCMM024-AA-V1.01_三防漆双面 930_006</v>
      </c>
      <c r="G56" s="75">
        <v>384</v>
      </c>
      <c r="H56" s="75" t="str">
        <f>VLOOKUP(E56,[5]基础数据!E:H,4,0)</f>
        <v>料盒</v>
      </c>
      <c r="I56" s="75">
        <f>VLOOKUP(E56,[5]基础数据!E:G,3,0)</f>
        <v>24</v>
      </c>
      <c r="J56" s="75" t="s">
        <v>306</v>
      </c>
      <c r="K56" s="82">
        <f t="shared" si="0"/>
        <v>16</v>
      </c>
      <c r="T56" s="83"/>
      <c r="AD56" s="83"/>
      <c r="AN56" s="83"/>
      <c r="AX56" s="83"/>
      <c r="BH56" s="83"/>
      <c r="BR56" s="83"/>
      <c r="CB56" s="83"/>
      <c r="CL56" s="83"/>
      <c r="CV56" s="83"/>
      <c r="DF56" s="83"/>
      <c r="DP56" s="83"/>
      <c r="DZ56" s="83"/>
      <c r="EJ56" s="83"/>
      <c r="ET56" s="83"/>
      <c r="FD56" s="83"/>
      <c r="FN56" s="83"/>
      <c r="FX56" s="83"/>
      <c r="GH56" s="83"/>
      <c r="GR56" s="83"/>
      <c r="HB56" s="83"/>
      <c r="HL56" s="83"/>
      <c r="HV56" s="83"/>
      <c r="IF56" s="83"/>
      <c r="IP56" s="83"/>
      <c r="IZ56" s="83"/>
      <c r="JJ56" s="83"/>
      <c r="JT56" s="83"/>
      <c r="KD56" s="83"/>
      <c r="KN56" s="83"/>
      <c r="KX56" s="83"/>
      <c r="LH56" s="83"/>
      <c r="LR56" s="83"/>
      <c r="MB56" s="83"/>
      <c r="ML56" s="83"/>
      <c r="MV56" s="83"/>
      <c r="NF56" s="83"/>
      <c r="NP56" s="83"/>
      <c r="NZ56" s="83"/>
      <c r="OJ56" s="83"/>
      <c r="OT56" s="83"/>
      <c r="PD56" s="83"/>
      <c r="PN56" s="83"/>
      <c r="PX56" s="83"/>
      <c r="QH56" s="83"/>
      <c r="QR56" s="83"/>
      <c r="RB56" s="83"/>
      <c r="RL56" s="83"/>
      <c r="RV56" s="83"/>
      <c r="SF56" s="83"/>
      <c r="SP56" s="83"/>
      <c r="SZ56" s="83"/>
      <c r="TJ56" s="83"/>
      <c r="TT56" s="83"/>
      <c r="UD56" s="83"/>
      <c r="UN56" s="83"/>
      <c r="UX56" s="83"/>
      <c r="VH56" s="83"/>
      <c r="VR56" s="83"/>
      <c r="WB56" s="83"/>
      <c r="WL56" s="83"/>
      <c r="WV56" s="83"/>
      <c r="XF56" s="83"/>
      <c r="XP56" s="83"/>
      <c r="XZ56" s="83"/>
      <c r="YJ56" s="83"/>
      <c r="YT56" s="83"/>
      <c r="ZD56" s="83"/>
      <c r="ZN56" s="83"/>
      <c r="ZX56" s="83"/>
      <c r="AAH56" s="83"/>
      <c r="AAR56" s="83"/>
      <c r="ABB56" s="83"/>
      <c r="ABL56" s="83"/>
      <c r="ABV56" s="83"/>
      <c r="ACF56" s="83"/>
      <c r="ACP56" s="83"/>
      <c r="ACZ56" s="83"/>
      <c r="ADJ56" s="83"/>
      <c r="ADT56" s="83"/>
      <c r="AED56" s="83"/>
      <c r="AEN56" s="83"/>
      <c r="AEX56" s="83"/>
      <c r="AFH56" s="83"/>
      <c r="AFR56" s="83"/>
      <c r="AGB56" s="83"/>
      <c r="AGL56" s="83"/>
      <c r="AGV56" s="83"/>
      <c r="AHF56" s="83"/>
      <c r="AHP56" s="83"/>
      <c r="AHZ56" s="83"/>
      <c r="AIJ56" s="83"/>
      <c r="AIT56" s="83"/>
      <c r="AJD56" s="83"/>
      <c r="AJN56" s="83"/>
      <c r="AJX56" s="83"/>
      <c r="AKH56" s="83"/>
      <c r="AKR56" s="83"/>
      <c r="ALB56" s="83"/>
      <c r="ALL56" s="83"/>
      <c r="ALV56" s="83"/>
      <c r="AMF56" s="83"/>
      <c r="AMP56" s="83"/>
      <c r="AMZ56" s="83"/>
      <c r="ANJ56" s="83"/>
      <c r="ANT56" s="83"/>
      <c r="AOD56" s="83"/>
      <c r="AON56" s="83"/>
      <c r="AOX56" s="83"/>
      <c r="APH56" s="83"/>
      <c r="APR56" s="83"/>
      <c r="AQB56" s="83"/>
      <c r="AQL56" s="83"/>
      <c r="AQV56" s="83"/>
      <c r="ARF56" s="83"/>
      <c r="ARP56" s="83"/>
      <c r="ARZ56" s="83"/>
      <c r="ASJ56" s="83"/>
      <c r="AST56" s="83"/>
      <c r="ATD56" s="83"/>
      <c r="ATN56" s="83"/>
      <c r="ATX56" s="83"/>
      <c r="AUH56" s="83"/>
      <c r="AUR56" s="83"/>
      <c r="AVB56" s="83"/>
      <c r="AVL56" s="83"/>
      <c r="AVV56" s="83"/>
      <c r="AWF56" s="83"/>
      <c r="AWP56" s="83"/>
      <c r="AWZ56" s="83"/>
      <c r="AXJ56" s="83"/>
      <c r="AXT56" s="83"/>
      <c r="AYD56" s="83"/>
      <c r="AYN56" s="83"/>
      <c r="AYX56" s="83"/>
      <c r="AZH56" s="83"/>
      <c r="AZR56" s="83"/>
      <c r="BAB56" s="83"/>
      <c r="BAL56" s="83"/>
      <c r="BAV56" s="83"/>
      <c r="BBF56" s="83"/>
      <c r="BBP56" s="83"/>
      <c r="BBZ56" s="83"/>
      <c r="BCJ56" s="83"/>
      <c r="BCT56" s="83"/>
      <c r="BDD56" s="83"/>
      <c r="BDN56" s="83"/>
      <c r="BDX56" s="83"/>
      <c r="BEH56" s="83"/>
      <c r="BER56" s="83"/>
      <c r="BFB56" s="83"/>
      <c r="BFL56" s="83"/>
      <c r="BFV56" s="83"/>
      <c r="BGF56" s="83"/>
      <c r="BGP56" s="83"/>
      <c r="BGZ56" s="83"/>
      <c r="BHJ56" s="83"/>
      <c r="BHT56" s="83"/>
      <c r="BID56" s="83"/>
      <c r="BIN56" s="83"/>
      <c r="BIX56" s="83"/>
      <c r="BJH56" s="83"/>
      <c r="BJR56" s="83"/>
      <c r="BKB56" s="83"/>
      <c r="BKL56" s="83"/>
      <c r="BKV56" s="83"/>
      <c r="BLF56" s="83"/>
      <c r="BLP56" s="83"/>
      <c r="BLZ56" s="83"/>
      <c r="BMJ56" s="83"/>
      <c r="BMT56" s="83"/>
      <c r="BND56" s="83"/>
      <c r="BNN56" s="83"/>
      <c r="BNX56" s="83"/>
      <c r="BOH56" s="83"/>
      <c r="BOR56" s="83"/>
      <c r="BPB56" s="83"/>
      <c r="BPL56" s="83"/>
      <c r="BPV56" s="83"/>
      <c r="BQF56" s="83"/>
      <c r="BQP56" s="83"/>
      <c r="BQZ56" s="83"/>
      <c r="BRJ56" s="83"/>
      <c r="BRT56" s="83"/>
      <c r="BSD56" s="83"/>
      <c r="BSN56" s="83"/>
      <c r="BSX56" s="83"/>
      <c r="BTH56" s="83"/>
      <c r="BTR56" s="83"/>
      <c r="BUB56" s="83"/>
      <c r="BUL56" s="83"/>
      <c r="BUV56" s="83"/>
      <c r="BVF56" s="83"/>
      <c r="BVP56" s="83"/>
      <c r="BVZ56" s="83"/>
      <c r="BWJ56" s="83"/>
      <c r="BWT56" s="83"/>
      <c r="BXD56" s="83"/>
      <c r="BXN56" s="83"/>
      <c r="BXX56" s="83"/>
      <c r="BYH56" s="83"/>
      <c r="BYR56" s="83"/>
      <c r="BZB56" s="83"/>
      <c r="BZL56" s="83"/>
      <c r="BZV56" s="83"/>
      <c r="CAF56" s="83"/>
      <c r="CAP56" s="83"/>
      <c r="CAZ56" s="83"/>
      <c r="CBJ56" s="83"/>
      <c r="CBT56" s="83"/>
      <c r="CCD56" s="83"/>
      <c r="CCN56" s="83"/>
      <c r="CCX56" s="83"/>
      <c r="CDH56" s="83"/>
      <c r="CDR56" s="83"/>
      <c r="CEB56" s="83"/>
      <c r="CEL56" s="83"/>
      <c r="CEV56" s="83"/>
      <c r="CFF56" s="83"/>
      <c r="CFP56" s="83"/>
      <c r="CFZ56" s="83"/>
      <c r="CGJ56" s="83"/>
      <c r="CGT56" s="83"/>
      <c r="CHD56" s="83"/>
      <c r="CHN56" s="83"/>
      <c r="CHX56" s="83"/>
      <c r="CIH56" s="83"/>
      <c r="CIR56" s="83"/>
      <c r="CJB56" s="83"/>
      <c r="CJL56" s="83"/>
      <c r="CJV56" s="83"/>
      <c r="CKF56" s="83"/>
      <c r="CKP56" s="83"/>
      <c r="CKZ56" s="83"/>
      <c r="CLJ56" s="83"/>
      <c r="CLT56" s="83"/>
      <c r="CMD56" s="83"/>
      <c r="CMN56" s="83"/>
      <c r="CMX56" s="83"/>
      <c r="CNH56" s="83"/>
      <c r="CNR56" s="83"/>
      <c r="COB56" s="83"/>
      <c r="COL56" s="83"/>
      <c r="COV56" s="83"/>
      <c r="CPF56" s="83"/>
      <c r="CPP56" s="83"/>
      <c r="CPZ56" s="83"/>
      <c r="CQJ56" s="83"/>
      <c r="CQT56" s="83"/>
      <c r="CRD56" s="83"/>
      <c r="CRN56" s="83"/>
      <c r="CRX56" s="83"/>
      <c r="CSH56" s="83"/>
      <c r="CSR56" s="83"/>
      <c r="CTB56" s="83"/>
      <c r="CTL56" s="83"/>
      <c r="CTV56" s="83"/>
    </row>
    <row r="57" s="58" customFormat="1" customHeight="1" spans="1:1020 1030:2040 2050:2570">
      <c r="A57" s="79">
        <v>46149</v>
      </c>
      <c r="B57" s="80" t="s">
        <v>22</v>
      </c>
      <c r="C57" s="38" t="s">
        <v>23</v>
      </c>
      <c r="D57" s="75">
        <v>652355076</v>
      </c>
      <c r="E57" s="84" t="s">
        <v>144</v>
      </c>
      <c r="F57" s="75" t="str">
        <f>VLOOKUP(E57,[5]基础数据!E:H,2,0)</f>
        <v>LP-BSU070-AA_T1616_A_24S_V1_凡申40_三防漆双面9截</v>
      </c>
      <c r="G57" s="75">
        <v>144</v>
      </c>
      <c r="H57" s="75" t="str">
        <f>VLOOKUP(E57,[5]基础数据!E:H,4,0)</f>
        <v>料盒</v>
      </c>
      <c r="I57" s="75">
        <f>VLOOKUP(E57,[5]基础数据!E:G,3,0)</f>
        <v>48</v>
      </c>
      <c r="J57" s="75" t="s">
        <v>306</v>
      </c>
      <c r="K57" s="82">
        <f t="shared" si="0"/>
        <v>3</v>
      </c>
      <c r="T57" s="83"/>
      <c r="AD57" s="83"/>
      <c r="AN57" s="83"/>
      <c r="AX57" s="83"/>
      <c r="BH57" s="83"/>
      <c r="BR57" s="83"/>
      <c r="CB57" s="83"/>
      <c r="CL57" s="83"/>
      <c r="CV57" s="83"/>
      <c r="DF57" s="83"/>
      <c r="DP57" s="83"/>
      <c r="DZ57" s="83"/>
      <c r="EJ57" s="83"/>
      <c r="ET57" s="83"/>
      <c r="FD57" s="83"/>
      <c r="FN57" s="83"/>
      <c r="FX57" s="83"/>
      <c r="GH57" s="83"/>
      <c r="GR57" s="83"/>
      <c r="HB57" s="83"/>
      <c r="HL57" s="83"/>
      <c r="HV57" s="83"/>
      <c r="IF57" s="83"/>
      <c r="IP57" s="83"/>
      <c r="IZ57" s="83"/>
      <c r="JJ57" s="83"/>
      <c r="JT57" s="83"/>
      <c r="KD57" s="83"/>
      <c r="KN57" s="83"/>
      <c r="KX57" s="83"/>
      <c r="LH57" s="83"/>
      <c r="LR57" s="83"/>
      <c r="MB57" s="83"/>
      <c r="ML57" s="83"/>
      <c r="MV57" s="83"/>
      <c r="NF57" s="83"/>
      <c r="NP57" s="83"/>
      <c r="NZ57" s="83"/>
      <c r="OJ57" s="83"/>
      <c r="OT57" s="83"/>
      <c r="PD57" s="83"/>
      <c r="PN57" s="83"/>
      <c r="PX57" s="83"/>
      <c r="QH57" s="83"/>
      <c r="QR57" s="83"/>
      <c r="RB57" s="83"/>
      <c r="RL57" s="83"/>
      <c r="RV57" s="83"/>
      <c r="SF57" s="83"/>
      <c r="SP57" s="83"/>
      <c r="SZ57" s="83"/>
      <c r="TJ57" s="83"/>
      <c r="TT57" s="83"/>
      <c r="UD57" s="83"/>
      <c r="UN57" s="83"/>
      <c r="UX57" s="83"/>
      <c r="VH57" s="83"/>
      <c r="VR57" s="83"/>
      <c r="WB57" s="83"/>
      <c r="WL57" s="83"/>
      <c r="WV57" s="83"/>
      <c r="XF57" s="83"/>
      <c r="XP57" s="83"/>
      <c r="XZ57" s="83"/>
      <c r="YJ57" s="83"/>
      <c r="YT57" s="83"/>
      <c r="ZD57" s="83"/>
      <c r="ZN57" s="83"/>
      <c r="ZX57" s="83"/>
      <c r="AAH57" s="83"/>
      <c r="AAR57" s="83"/>
      <c r="ABB57" s="83"/>
      <c r="ABL57" s="83"/>
      <c r="ABV57" s="83"/>
      <c r="ACF57" s="83"/>
      <c r="ACP57" s="83"/>
      <c r="ACZ57" s="83"/>
      <c r="ADJ57" s="83"/>
      <c r="ADT57" s="83"/>
      <c r="AED57" s="83"/>
      <c r="AEN57" s="83"/>
      <c r="AEX57" s="83"/>
      <c r="AFH57" s="83"/>
      <c r="AFR57" s="83"/>
      <c r="AGB57" s="83"/>
      <c r="AGL57" s="83"/>
      <c r="AGV57" s="83"/>
      <c r="AHF57" s="83"/>
      <c r="AHP57" s="83"/>
      <c r="AHZ57" s="83"/>
      <c r="AIJ57" s="83"/>
      <c r="AIT57" s="83"/>
      <c r="AJD57" s="83"/>
      <c r="AJN57" s="83"/>
      <c r="AJX57" s="83"/>
      <c r="AKH57" s="83"/>
      <c r="AKR57" s="83"/>
      <c r="ALB57" s="83"/>
      <c r="ALL57" s="83"/>
      <c r="ALV57" s="83"/>
      <c r="AMF57" s="83"/>
      <c r="AMP57" s="83"/>
      <c r="AMZ57" s="83"/>
      <c r="ANJ57" s="83"/>
      <c r="ANT57" s="83"/>
      <c r="AOD57" s="83"/>
      <c r="AON57" s="83"/>
      <c r="AOX57" s="83"/>
      <c r="APH57" s="83"/>
      <c r="APR57" s="83"/>
      <c r="AQB57" s="83"/>
      <c r="AQL57" s="83"/>
      <c r="AQV57" s="83"/>
      <c r="ARF57" s="83"/>
      <c r="ARP57" s="83"/>
      <c r="ARZ57" s="83"/>
      <c r="ASJ57" s="83"/>
      <c r="AST57" s="83"/>
      <c r="ATD57" s="83"/>
      <c r="ATN57" s="83"/>
      <c r="ATX57" s="83"/>
      <c r="AUH57" s="83"/>
      <c r="AUR57" s="83"/>
      <c r="AVB57" s="83"/>
      <c r="AVL57" s="83"/>
      <c r="AVV57" s="83"/>
      <c r="AWF57" s="83"/>
      <c r="AWP57" s="83"/>
      <c r="AWZ57" s="83"/>
      <c r="AXJ57" s="83"/>
      <c r="AXT57" s="83"/>
      <c r="AYD57" s="83"/>
      <c r="AYN57" s="83"/>
      <c r="AYX57" s="83"/>
      <c r="AZH57" s="83"/>
      <c r="AZR57" s="83"/>
      <c r="BAB57" s="83"/>
      <c r="BAL57" s="83"/>
      <c r="BAV57" s="83"/>
      <c r="BBF57" s="83"/>
      <c r="BBP57" s="83"/>
      <c r="BBZ57" s="83"/>
      <c r="BCJ57" s="83"/>
      <c r="BCT57" s="83"/>
      <c r="BDD57" s="83"/>
      <c r="BDN57" s="83"/>
      <c r="BDX57" s="83"/>
      <c r="BEH57" s="83"/>
      <c r="BER57" s="83"/>
      <c r="BFB57" s="83"/>
      <c r="BFL57" s="83"/>
      <c r="BFV57" s="83"/>
      <c r="BGF57" s="83"/>
      <c r="BGP57" s="83"/>
      <c r="BGZ57" s="83"/>
      <c r="BHJ57" s="83"/>
      <c r="BHT57" s="83"/>
      <c r="BID57" s="83"/>
      <c r="BIN57" s="83"/>
      <c r="BIX57" s="83"/>
      <c r="BJH57" s="83"/>
      <c r="BJR57" s="83"/>
      <c r="BKB57" s="83"/>
      <c r="BKL57" s="83"/>
      <c r="BKV57" s="83"/>
      <c r="BLF57" s="83"/>
      <c r="BLP57" s="83"/>
      <c r="BLZ57" s="83"/>
      <c r="BMJ57" s="83"/>
      <c r="BMT57" s="83"/>
      <c r="BND57" s="83"/>
      <c r="BNN57" s="83"/>
      <c r="BNX57" s="83"/>
      <c r="BOH57" s="83"/>
      <c r="BOR57" s="83"/>
      <c r="BPB57" s="83"/>
      <c r="BPL57" s="83"/>
      <c r="BPV57" s="83"/>
      <c r="BQF57" s="83"/>
      <c r="BQP57" s="83"/>
      <c r="BQZ57" s="83"/>
      <c r="BRJ57" s="83"/>
      <c r="BRT57" s="83"/>
      <c r="BSD57" s="83"/>
      <c r="BSN57" s="83"/>
      <c r="BSX57" s="83"/>
      <c r="BTH57" s="83"/>
      <c r="BTR57" s="83"/>
      <c r="BUB57" s="83"/>
      <c r="BUL57" s="83"/>
      <c r="BUV57" s="83"/>
      <c r="BVF57" s="83"/>
      <c r="BVP57" s="83"/>
      <c r="BVZ57" s="83"/>
      <c r="BWJ57" s="83"/>
      <c r="BWT57" s="83"/>
      <c r="BXD57" s="83"/>
      <c r="BXN57" s="83"/>
      <c r="BXX57" s="83"/>
      <c r="BYH57" s="83"/>
      <c r="BYR57" s="83"/>
      <c r="BZB57" s="83"/>
      <c r="BZL57" s="83"/>
      <c r="BZV57" s="83"/>
      <c r="CAF57" s="83"/>
      <c r="CAP57" s="83"/>
      <c r="CAZ57" s="83"/>
      <c r="CBJ57" s="83"/>
      <c r="CBT57" s="83"/>
      <c r="CCD57" s="83"/>
      <c r="CCN57" s="83"/>
      <c r="CCX57" s="83"/>
      <c r="CDH57" s="83"/>
      <c r="CDR57" s="83"/>
      <c r="CEB57" s="83"/>
      <c r="CEL57" s="83"/>
      <c r="CEV57" s="83"/>
      <c r="CFF57" s="83"/>
      <c r="CFP57" s="83"/>
      <c r="CFZ57" s="83"/>
      <c r="CGJ57" s="83"/>
      <c r="CGT57" s="83"/>
      <c r="CHD57" s="83"/>
      <c r="CHN57" s="83"/>
      <c r="CHX57" s="83"/>
      <c r="CIH57" s="83"/>
      <c r="CIR57" s="83"/>
      <c r="CJB57" s="83"/>
      <c r="CJL57" s="83"/>
      <c r="CJV57" s="83"/>
      <c r="CKF57" s="83"/>
      <c r="CKP57" s="83"/>
      <c r="CKZ57" s="83"/>
      <c r="CLJ57" s="83"/>
      <c r="CLT57" s="83"/>
      <c r="CMD57" s="83"/>
      <c r="CMN57" s="83"/>
      <c r="CMX57" s="83"/>
      <c r="CNH57" s="83"/>
      <c r="CNR57" s="83"/>
      <c r="COB57" s="83"/>
      <c r="COL57" s="83"/>
      <c r="COV57" s="83"/>
      <c r="CPF57" s="83"/>
      <c r="CPP57" s="83"/>
      <c r="CPZ57" s="83"/>
      <c r="CQJ57" s="83"/>
      <c r="CQT57" s="83"/>
      <c r="CRD57" s="83"/>
      <c r="CRN57" s="83"/>
      <c r="CRX57" s="83"/>
      <c r="CSH57" s="83"/>
      <c r="CSR57" s="83"/>
      <c r="CTB57" s="83"/>
      <c r="CTL57" s="83"/>
      <c r="CTV57" s="83"/>
    </row>
    <row r="58" s="58" customFormat="1" customHeight="1" spans="1:1020 1030:2040 2050:2570">
      <c r="A58" s="79">
        <v>46149</v>
      </c>
      <c r="B58" s="80" t="s">
        <v>22</v>
      </c>
      <c r="C58" s="38" t="s">
        <v>23</v>
      </c>
      <c r="D58" s="75">
        <v>652355076</v>
      </c>
      <c r="E58" s="84" t="s">
        <v>147</v>
      </c>
      <c r="F58" s="75" t="str">
        <f>VLOOKUP(E58,[5]基础数据!E:H,2,0)</f>
        <v>LP-BSU070-AA_T1616_46S_V1_凡申40_三防漆双面925截</v>
      </c>
      <c r="G58" s="75">
        <v>96</v>
      </c>
      <c r="H58" s="75" t="str">
        <f>VLOOKUP(E58,[5]基础数据!E:H,4,0)</f>
        <v>料盒</v>
      </c>
      <c r="I58" s="75">
        <f>VLOOKUP(E58,[5]基础数据!E:G,3,0)</f>
        <v>24</v>
      </c>
      <c r="J58" s="75" t="s">
        <v>306</v>
      </c>
      <c r="K58" s="82">
        <f t="shared" si="0"/>
        <v>4</v>
      </c>
      <c r="T58" s="83"/>
      <c r="AD58" s="83"/>
      <c r="AN58" s="83"/>
      <c r="AX58" s="83"/>
      <c r="BH58" s="83"/>
      <c r="BR58" s="83"/>
      <c r="CB58" s="83"/>
      <c r="CL58" s="83"/>
      <c r="CV58" s="83"/>
      <c r="DF58" s="83"/>
      <c r="DP58" s="83"/>
      <c r="DZ58" s="83"/>
      <c r="EJ58" s="83"/>
      <c r="ET58" s="83"/>
      <c r="FD58" s="83"/>
      <c r="FN58" s="83"/>
      <c r="FX58" s="83"/>
      <c r="GH58" s="83"/>
      <c r="GR58" s="83"/>
      <c r="HB58" s="83"/>
      <c r="HL58" s="83"/>
      <c r="HV58" s="83"/>
      <c r="IF58" s="83"/>
      <c r="IP58" s="83"/>
      <c r="IZ58" s="83"/>
      <c r="JJ58" s="83"/>
      <c r="JT58" s="83"/>
      <c r="KD58" s="83"/>
      <c r="KN58" s="83"/>
      <c r="KX58" s="83"/>
      <c r="LH58" s="83"/>
      <c r="LR58" s="83"/>
      <c r="MB58" s="83"/>
      <c r="ML58" s="83"/>
      <c r="MV58" s="83"/>
      <c r="NF58" s="83"/>
      <c r="NP58" s="83"/>
      <c r="NZ58" s="83"/>
      <c r="OJ58" s="83"/>
      <c r="OT58" s="83"/>
      <c r="PD58" s="83"/>
      <c r="PN58" s="83"/>
      <c r="PX58" s="83"/>
      <c r="QH58" s="83"/>
      <c r="QR58" s="83"/>
      <c r="RB58" s="83"/>
      <c r="RL58" s="83"/>
      <c r="RV58" s="83"/>
      <c r="SF58" s="83"/>
      <c r="SP58" s="83"/>
      <c r="SZ58" s="83"/>
      <c r="TJ58" s="83"/>
      <c r="TT58" s="83"/>
      <c r="UD58" s="83"/>
      <c r="UN58" s="83"/>
      <c r="UX58" s="83"/>
      <c r="VH58" s="83"/>
      <c r="VR58" s="83"/>
      <c r="WB58" s="83"/>
      <c r="WL58" s="83"/>
      <c r="WV58" s="83"/>
      <c r="XF58" s="83"/>
      <c r="XP58" s="83"/>
      <c r="XZ58" s="83"/>
      <c r="YJ58" s="83"/>
      <c r="YT58" s="83"/>
      <c r="ZD58" s="83"/>
      <c r="ZN58" s="83"/>
      <c r="ZX58" s="83"/>
      <c r="AAH58" s="83"/>
      <c r="AAR58" s="83"/>
      <c r="ABB58" s="83"/>
      <c r="ABL58" s="83"/>
      <c r="ABV58" s="83"/>
      <c r="ACF58" s="83"/>
      <c r="ACP58" s="83"/>
      <c r="ACZ58" s="83"/>
      <c r="ADJ58" s="83"/>
      <c r="ADT58" s="83"/>
      <c r="AED58" s="83"/>
      <c r="AEN58" s="83"/>
      <c r="AEX58" s="83"/>
      <c r="AFH58" s="83"/>
      <c r="AFR58" s="83"/>
      <c r="AGB58" s="83"/>
      <c r="AGL58" s="83"/>
      <c r="AGV58" s="83"/>
      <c r="AHF58" s="83"/>
      <c r="AHP58" s="83"/>
      <c r="AHZ58" s="83"/>
      <c r="AIJ58" s="83"/>
      <c r="AIT58" s="83"/>
      <c r="AJD58" s="83"/>
      <c r="AJN58" s="83"/>
      <c r="AJX58" s="83"/>
      <c r="AKH58" s="83"/>
      <c r="AKR58" s="83"/>
      <c r="ALB58" s="83"/>
      <c r="ALL58" s="83"/>
      <c r="ALV58" s="83"/>
      <c r="AMF58" s="83"/>
      <c r="AMP58" s="83"/>
      <c r="AMZ58" s="83"/>
      <c r="ANJ58" s="83"/>
      <c r="ANT58" s="83"/>
      <c r="AOD58" s="83"/>
      <c r="AON58" s="83"/>
      <c r="AOX58" s="83"/>
      <c r="APH58" s="83"/>
      <c r="APR58" s="83"/>
      <c r="AQB58" s="83"/>
      <c r="AQL58" s="83"/>
      <c r="AQV58" s="83"/>
      <c r="ARF58" s="83"/>
      <c r="ARP58" s="83"/>
      <c r="ARZ58" s="83"/>
      <c r="ASJ58" s="83"/>
      <c r="AST58" s="83"/>
      <c r="ATD58" s="83"/>
      <c r="ATN58" s="83"/>
      <c r="ATX58" s="83"/>
      <c r="AUH58" s="83"/>
      <c r="AUR58" s="83"/>
      <c r="AVB58" s="83"/>
      <c r="AVL58" s="83"/>
      <c r="AVV58" s="83"/>
      <c r="AWF58" s="83"/>
      <c r="AWP58" s="83"/>
      <c r="AWZ58" s="83"/>
      <c r="AXJ58" s="83"/>
      <c r="AXT58" s="83"/>
      <c r="AYD58" s="83"/>
      <c r="AYN58" s="83"/>
      <c r="AYX58" s="83"/>
      <c r="AZH58" s="83"/>
      <c r="AZR58" s="83"/>
      <c r="BAB58" s="83"/>
      <c r="BAL58" s="83"/>
      <c r="BAV58" s="83"/>
      <c r="BBF58" s="83"/>
      <c r="BBP58" s="83"/>
      <c r="BBZ58" s="83"/>
      <c r="BCJ58" s="83"/>
      <c r="BCT58" s="83"/>
      <c r="BDD58" s="83"/>
      <c r="BDN58" s="83"/>
      <c r="BDX58" s="83"/>
      <c r="BEH58" s="83"/>
      <c r="BER58" s="83"/>
      <c r="BFB58" s="83"/>
      <c r="BFL58" s="83"/>
      <c r="BFV58" s="83"/>
      <c r="BGF58" s="83"/>
      <c r="BGP58" s="83"/>
      <c r="BGZ58" s="83"/>
      <c r="BHJ58" s="83"/>
      <c r="BHT58" s="83"/>
      <c r="BID58" s="83"/>
      <c r="BIN58" s="83"/>
      <c r="BIX58" s="83"/>
      <c r="BJH58" s="83"/>
      <c r="BJR58" s="83"/>
      <c r="BKB58" s="83"/>
      <c r="BKL58" s="83"/>
      <c r="BKV58" s="83"/>
      <c r="BLF58" s="83"/>
      <c r="BLP58" s="83"/>
      <c r="BLZ58" s="83"/>
      <c r="BMJ58" s="83"/>
      <c r="BMT58" s="83"/>
      <c r="BND58" s="83"/>
      <c r="BNN58" s="83"/>
      <c r="BNX58" s="83"/>
      <c r="BOH58" s="83"/>
      <c r="BOR58" s="83"/>
      <c r="BPB58" s="83"/>
      <c r="BPL58" s="83"/>
      <c r="BPV58" s="83"/>
      <c r="BQF58" s="83"/>
      <c r="BQP58" s="83"/>
      <c r="BQZ58" s="83"/>
      <c r="BRJ58" s="83"/>
      <c r="BRT58" s="83"/>
      <c r="BSD58" s="83"/>
      <c r="BSN58" s="83"/>
      <c r="BSX58" s="83"/>
      <c r="BTH58" s="83"/>
      <c r="BTR58" s="83"/>
      <c r="BUB58" s="83"/>
      <c r="BUL58" s="83"/>
      <c r="BUV58" s="83"/>
      <c r="BVF58" s="83"/>
      <c r="BVP58" s="83"/>
      <c r="BVZ58" s="83"/>
      <c r="BWJ58" s="83"/>
      <c r="BWT58" s="83"/>
      <c r="BXD58" s="83"/>
      <c r="BXN58" s="83"/>
      <c r="BXX58" s="83"/>
      <c r="BYH58" s="83"/>
      <c r="BYR58" s="83"/>
      <c r="BZB58" s="83"/>
      <c r="BZL58" s="83"/>
      <c r="BZV58" s="83"/>
      <c r="CAF58" s="83"/>
      <c r="CAP58" s="83"/>
      <c r="CAZ58" s="83"/>
      <c r="CBJ58" s="83"/>
      <c r="CBT58" s="83"/>
      <c r="CCD58" s="83"/>
      <c r="CCN58" s="83"/>
      <c r="CCX58" s="83"/>
      <c r="CDH58" s="83"/>
      <c r="CDR58" s="83"/>
      <c r="CEB58" s="83"/>
      <c r="CEL58" s="83"/>
      <c r="CEV58" s="83"/>
      <c r="CFF58" s="83"/>
      <c r="CFP58" s="83"/>
      <c r="CFZ58" s="83"/>
      <c r="CGJ58" s="83"/>
      <c r="CGT58" s="83"/>
      <c r="CHD58" s="83"/>
      <c r="CHN58" s="83"/>
      <c r="CHX58" s="83"/>
      <c r="CIH58" s="83"/>
      <c r="CIR58" s="83"/>
      <c r="CJB58" s="83"/>
      <c r="CJL58" s="83"/>
      <c r="CJV58" s="83"/>
      <c r="CKF58" s="83"/>
      <c r="CKP58" s="83"/>
      <c r="CKZ58" s="83"/>
      <c r="CLJ58" s="83"/>
      <c r="CLT58" s="83"/>
      <c r="CMD58" s="83"/>
      <c r="CMN58" s="83"/>
      <c r="CMX58" s="83"/>
      <c r="CNH58" s="83"/>
      <c r="CNR58" s="83"/>
      <c r="COB58" s="83"/>
      <c r="COL58" s="83"/>
      <c r="COV58" s="83"/>
      <c r="CPF58" s="83"/>
      <c r="CPP58" s="83"/>
      <c r="CPZ58" s="83"/>
      <c r="CQJ58" s="83"/>
      <c r="CQT58" s="83"/>
      <c r="CRD58" s="83"/>
      <c r="CRN58" s="83"/>
      <c r="CRX58" s="83"/>
      <c r="CSH58" s="83"/>
      <c r="CSR58" s="83"/>
      <c r="CTB58" s="83"/>
      <c r="CTL58" s="83"/>
      <c r="CTV58" s="83"/>
    </row>
    <row r="59" s="58" customFormat="1" customHeight="1" spans="1:1020 1030:2040 2050:2570">
      <c r="A59" s="79">
        <v>46149</v>
      </c>
      <c r="B59" s="80" t="s">
        <v>22</v>
      </c>
      <c r="C59" s="38" t="s">
        <v>23</v>
      </c>
      <c r="D59" s="75">
        <v>652355379</v>
      </c>
      <c r="E59" s="38" t="s">
        <v>36</v>
      </c>
      <c r="F59" s="75" t="str">
        <f>VLOOKUP(E59,[5]基础数据!E:H,2,0)</f>
        <v>LP-BSU054-AA_V100_TI_32B1_BTW三防漆双面923_0截</v>
      </c>
      <c r="G59" s="75">
        <v>432</v>
      </c>
      <c r="H59" s="75" t="str">
        <f>VLOOKUP(E59,[5]基础数据!E:H,4,0)</f>
        <v>料盒</v>
      </c>
      <c r="I59" s="75">
        <f>VLOOKUP(E59,[5]基础数据!E:G,3,0)</f>
        <v>36</v>
      </c>
      <c r="J59" s="75" t="s">
        <v>306</v>
      </c>
      <c r="K59" s="82">
        <f t="shared" si="0"/>
        <v>12</v>
      </c>
      <c r="T59" s="83"/>
      <c r="AD59" s="83"/>
      <c r="AN59" s="83"/>
      <c r="AX59" s="83"/>
      <c r="BH59" s="83"/>
      <c r="BR59" s="83"/>
      <c r="CB59" s="83"/>
      <c r="CL59" s="83"/>
      <c r="CV59" s="83"/>
      <c r="DF59" s="83"/>
      <c r="DP59" s="83"/>
      <c r="DZ59" s="83"/>
      <c r="EJ59" s="83"/>
      <c r="ET59" s="83"/>
      <c r="FD59" s="83"/>
      <c r="FN59" s="83"/>
      <c r="FX59" s="83"/>
      <c r="GH59" s="83"/>
      <c r="GR59" s="83"/>
      <c r="HB59" s="83"/>
      <c r="HL59" s="83"/>
      <c r="HV59" s="83"/>
      <c r="IF59" s="83"/>
      <c r="IP59" s="83"/>
      <c r="IZ59" s="83"/>
      <c r="JJ59" s="83"/>
      <c r="JT59" s="83"/>
      <c r="KD59" s="83"/>
      <c r="KN59" s="83"/>
      <c r="KX59" s="83"/>
      <c r="LH59" s="83"/>
      <c r="LR59" s="83"/>
      <c r="MB59" s="83"/>
      <c r="ML59" s="83"/>
      <c r="MV59" s="83"/>
      <c r="NF59" s="83"/>
      <c r="NP59" s="83"/>
      <c r="NZ59" s="83"/>
      <c r="OJ59" s="83"/>
      <c r="OT59" s="83"/>
      <c r="PD59" s="83"/>
      <c r="PN59" s="83"/>
      <c r="PX59" s="83"/>
      <c r="QH59" s="83"/>
      <c r="QR59" s="83"/>
      <c r="RB59" s="83"/>
      <c r="RL59" s="83"/>
      <c r="RV59" s="83"/>
      <c r="SF59" s="83"/>
      <c r="SP59" s="83"/>
      <c r="SZ59" s="83"/>
      <c r="TJ59" s="83"/>
      <c r="TT59" s="83"/>
      <c r="UD59" s="83"/>
      <c r="UN59" s="83"/>
      <c r="UX59" s="83"/>
      <c r="VH59" s="83"/>
      <c r="VR59" s="83"/>
      <c r="WB59" s="83"/>
      <c r="WL59" s="83"/>
      <c r="WV59" s="83"/>
      <c r="XF59" s="83"/>
      <c r="XP59" s="83"/>
      <c r="XZ59" s="83"/>
      <c r="YJ59" s="83"/>
      <c r="YT59" s="83"/>
      <c r="ZD59" s="83"/>
      <c r="ZN59" s="83"/>
      <c r="ZX59" s="83"/>
      <c r="AAH59" s="83"/>
      <c r="AAR59" s="83"/>
      <c r="ABB59" s="83"/>
      <c r="ABL59" s="83"/>
      <c r="ABV59" s="83"/>
      <c r="ACF59" s="83"/>
      <c r="ACP59" s="83"/>
      <c r="ACZ59" s="83"/>
      <c r="ADJ59" s="83"/>
      <c r="ADT59" s="83"/>
      <c r="AED59" s="83"/>
      <c r="AEN59" s="83"/>
      <c r="AEX59" s="83"/>
      <c r="AFH59" s="83"/>
      <c r="AFR59" s="83"/>
      <c r="AGB59" s="83"/>
      <c r="AGL59" s="83"/>
      <c r="AGV59" s="83"/>
      <c r="AHF59" s="83"/>
      <c r="AHP59" s="83"/>
      <c r="AHZ59" s="83"/>
      <c r="AIJ59" s="83"/>
      <c r="AIT59" s="83"/>
      <c r="AJD59" s="83"/>
      <c r="AJN59" s="83"/>
      <c r="AJX59" s="83"/>
      <c r="AKH59" s="83"/>
      <c r="AKR59" s="83"/>
      <c r="ALB59" s="83"/>
      <c r="ALL59" s="83"/>
      <c r="ALV59" s="83"/>
      <c r="AMF59" s="83"/>
      <c r="AMP59" s="83"/>
      <c r="AMZ59" s="83"/>
      <c r="ANJ59" s="83"/>
      <c r="ANT59" s="83"/>
      <c r="AOD59" s="83"/>
      <c r="AON59" s="83"/>
      <c r="AOX59" s="83"/>
      <c r="APH59" s="83"/>
      <c r="APR59" s="83"/>
      <c r="AQB59" s="83"/>
      <c r="AQL59" s="83"/>
      <c r="AQV59" s="83"/>
      <c r="ARF59" s="83"/>
      <c r="ARP59" s="83"/>
      <c r="ARZ59" s="83"/>
      <c r="ASJ59" s="83"/>
      <c r="AST59" s="83"/>
      <c r="ATD59" s="83"/>
      <c r="ATN59" s="83"/>
      <c r="ATX59" s="83"/>
      <c r="AUH59" s="83"/>
      <c r="AUR59" s="83"/>
      <c r="AVB59" s="83"/>
      <c r="AVL59" s="83"/>
      <c r="AVV59" s="83"/>
      <c r="AWF59" s="83"/>
      <c r="AWP59" s="83"/>
      <c r="AWZ59" s="83"/>
      <c r="AXJ59" s="83"/>
      <c r="AXT59" s="83"/>
      <c r="AYD59" s="83"/>
      <c r="AYN59" s="83"/>
      <c r="AYX59" s="83"/>
      <c r="AZH59" s="83"/>
      <c r="AZR59" s="83"/>
      <c r="BAB59" s="83"/>
      <c r="BAL59" s="83"/>
      <c r="BAV59" s="83"/>
      <c r="BBF59" s="83"/>
      <c r="BBP59" s="83"/>
      <c r="BBZ59" s="83"/>
      <c r="BCJ59" s="83"/>
      <c r="BCT59" s="83"/>
      <c r="BDD59" s="83"/>
      <c r="BDN59" s="83"/>
      <c r="BDX59" s="83"/>
      <c r="BEH59" s="83"/>
      <c r="BER59" s="83"/>
      <c r="BFB59" s="83"/>
      <c r="BFL59" s="83"/>
      <c r="BFV59" s="83"/>
      <c r="BGF59" s="83"/>
      <c r="BGP59" s="83"/>
      <c r="BGZ59" s="83"/>
      <c r="BHJ59" s="83"/>
      <c r="BHT59" s="83"/>
      <c r="BID59" s="83"/>
      <c r="BIN59" s="83"/>
      <c r="BIX59" s="83"/>
      <c r="BJH59" s="83"/>
      <c r="BJR59" s="83"/>
      <c r="BKB59" s="83"/>
      <c r="BKL59" s="83"/>
      <c r="BKV59" s="83"/>
      <c r="BLF59" s="83"/>
      <c r="BLP59" s="83"/>
      <c r="BLZ59" s="83"/>
      <c r="BMJ59" s="83"/>
      <c r="BMT59" s="83"/>
      <c r="BND59" s="83"/>
      <c r="BNN59" s="83"/>
      <c r="BNX59" s="83"/>
      <c r="BOH59" s="83"/>
      <c r="BOR59" s="83"/>
      <c r="BPB59" s="83"/>
      <c r="BPL59" s="83"/>
      <c r="BPV59" s="83"/>
      <c r="BQF59" s="83"/>
      <c r="BQP59" s="83"/>
      <c r="BQZ59" s="83"/>
      <c r="BRJ59" s="83"/>
      <c r="BRT59" s="83"/>
      <c r="BSD59" s="83"/>
      <c r="BSN59" s="83"/>
      <c r="BSX59" s="83"/>
      <c r="BTH59" s="83"/>
      <c r="BTR59" s="83"/>
      <c r="BUB59" s="83"/>
      <c r="BUL59" s="83"/>
      <c r="BUV59" s="83"/>
      <c r="BVF59" s="83"/>
      <c r="BVP59" s="83"/>
      <c r="BVZ59" s="83"/>
      <c r="BWJ59" s="83"/>
      <c r="BWT59" s="83"/>
      <c r="BXD59" s="83"/>
      <c r="BXN59" s="83"/>
      <c r="BXX59" s="83"/>
      <c r="BYH59" s="83"/>
      <c r="BYR59" s="83"/>
      <c r="BZB59" s="83"/>
      <c r="BZL59" s="83"/>
      <c r="BZV59" s="83"/>
      <c r="CAF59" s="83"/>
      <c r="CAP59" s="83"/>
      <c r="CAZ59" s="83"/>
      <c r="CBJ59" s="83"/>
      <c r="CBT59" s="83"/>
      <c r="CCD59" s="83"/>
      <c r="CCN59" s="83"/>
      <c r="CCX59" s="83"/>
      <c r="CDH59" s="83"/>
      <c r="CDR59" s="83"/>
      <c r="CEB59" s="83"/>
      <c r="CEL59" s="83"/>
      <c r="CEV59" s="83"/>
      <c r="CFF59" s="83"/>
      <c r="CFP59" s="83"/>
      <c r="CFZ59" s="83"/>
      <c r="CGJ59" s="83"/>
      <c r="CGT59" s="83"/>
      <c r="CHD59" s="83"/>
      <c r="CHN59" s="83"/>
      <c r="CHX59" s="83"/>
      <c r="CIH59" s="83"/>
      <c r="CIR59" s="83"/>
      <c r="CJB59" s="83"/>
      <c r="CJL59" s="83"/>
      <c r="CJV59" s="83"/>
      <c r="CKF59" s="83"/>
      <c r="CKP59" s="83"/>
      <c r="CKZ59" s="83"/>
      <c r="CLJ59" s="83"/>
      <c r="CLT59" s="83"/>
      <c r="CMD59" s="83"/>
      <c r="CMN59" s="83"/>
      <c r="CMX59" s="83"/>
      <c r="CNH59" s="83"/>
      <c r="CNR59" s="83"/>
      <c r="COB59" s="83"/>
      <c r="COL59" s="83"/>
      <c r="COV59" s="83"/>
      <c r="CPF59" s="83"/>
      <c r="CPP59" s="83"/>
      <c r="CPZ59" s="83"/>
      <c r="CQJ59" s="83"/>
      <c r="CQT59" s="83"/>
      <c r="CRD59" s="83"/>
      <c r="CRN59" s="83"/>
      <c r="CRX59" s="83"/>
      <c r="CSH59" s="83"/>
      <c r="CSR59" s="83"/>
      <c r="CTB59" s="83"/>
      <c r="CTL59" s="83"/>
      <c r="CTV59" s="83"/>
    </row>
    <row r="60" s="58" customFormat="1" customHeight="1" spans="1:1020 1030:2040 2050:2570">
      <c r="A60" s="79">
        <v>46149</v>
      </c>
      <c r="B60" s="80" t="s">
        <v>22</v>
      </c>
      <c r="C60" s="38" t="s">
        <v>23</v>
      </c>
      <c r="D60" s="75">
        <v>652358749</v>
      </c>
      <c r="E60" s="84" t="s">
        <v>63</v>
      </c>
      <c r="F60" s="75" t="str">
        <f>VLOOKUP(E60,[5]基础数据!E:H,2,0)</f>
        <v>IGBT组件（A平台国内版NON-FUSA一体板结构PCBA）</v>
      </c>
      <c r="G60" s="75">
        <v>648</v>
      </c>
      <c r="H60" s="75" t="str">
        <f>VLOOKUP(E60,[5]基础数据!E:H,4,0)</f>
        <v>料盒</v>
      </c>
      <c r="I60" s="75">
        <f>VLOOKUP(E60,[5]基础数据!E:G,3,0)</f>
        <v>12</v>
      </c>
      <c r="J60" s="75" t="s">
        <v>306</v>
      </c>
      <c r="K60" s="82">
        <f t="shared" si="0"/>
        <v>54</v>
      </c>
      <c r="T60" s="83"/>
      <c r="AD60" s="83"/>
      <c r="AN60" s="83"/>
      <c r="AX60" s="83"/>
      <c r="BH60" s="83"/>
      <c r="BR60" s="83"/>
      <c r="CB60" s="83"/>
      <c r="CL60" s="83"/>
      <c r="CV60" s="83"/>
      <c r="DF60" s="83"/>
      <c r="DP60" s="83"/>
      <c r="DZ60" s="83"/>
      <c r="EJ60" s="83"/>
      <c r="ET60" s="83"/>
      <c r="FD60" s="83"/>
      <c r="FN60" s="83"/>
      <c r="FX60" s="83"/>
      <c r="GH60" s="83"/>
      <c r="GR60" s="83"/>
      <c r="HB60" s="83"/>
      <c r="HL60" s="83"/>
      <c r="HV60" s="83"/>
      <c r="IF60" s="83"/>
      <c r="IP60" s="83"/>
      <c r="IZ60" s="83"/>
      <c r="JJ60" s="83"/>
      <c r="JT60" s="83"/>
      <c r="KD60" s="83"/>
      <c r="KN60" s="83"/>
      <c r="KX60" s="83"/>
      <c r="LH60" s="83"/>
      <c r="LR60" s="83"/>
      <c r="MB60" s="83"/>
      <c r="ML60" s="83"/>
      <c r="MV60" s="83"/>
      <c r="NF60" s="83"/>
      <c r="NP60" s="83"/>
      <c r="NZ60" s="83"/>
      <c r="OJ60" s="83"/>
      <c r="OT60" s="83"/>
      <c r="PD60" s="83"/>
      <c r="PN60" s="83"/>
      <c r="PX60" s="83"/>
      <c r="QH60" s="83"/>
      <c r="QR60" s="83"/>
      <c r="RB60" s="83"/>
      <c r="RL60" s="83"/>
      <c r="RV60" s="83"/>
      <c r="SF60" s="83"/>
      <c r="SP60" s="83"/>
      <c r="SZ60" s="83"/>
      <c r="TJ60" s="83"/>
      <c r="TT60" s="83"/>
      <c r="UD60" s="83"/>
      <c r="UN60" s="83"/>
      <c r="UX60" s="83"/>
      <c r="VH60" s="83"/>
      <c r="VR60" s="83"/>
      <c r="WB60" s="83"/>
      <c r="WL60" s="83"/>
      <c r="WV60" s="83"/>
      <c r="XF60" s="83"/>
      <c r="XP60" s="83"/>
      <c r="XZ60" s="83"/>
      <c r="YJ60" s="83"/>
      <c r="YT60" s="83"/>
      <c r="ZD60" s="83"/>
      <c r="ZN60" s="83"/>
      <c r="ZX60" s="83"/>
      <c r="AAH60" s="83"/>
      <c r="AAR60" s="83"/>
      <c r="ABB60" s="83"/>
      <c r="ABL60" s="83"/>
      <c r="ABV60" s="83"/>
      <c r="ACF60" s="83"/>
      <c r="ACP60" s="83"/>
      <c r="ACZ60" s="83"/>
      <c r="ADJ60" s="83"/>
      <c r="ADT60" s="83"/>
      <c r="AED60" s="83"/>
      <c r="AEN60" s="83"/>
      <c r="AEX60" s="83"/>
      <c r="AFH60" s="83"/>
      <c r="AFR60" s="83"/>
      <c r="AGB60" s="83"/>
      <c r="AGL60" s="83"/>
      <c r="AGV60" s="83"/>
      <c r="AHF60" s="83"/>
      <c r="AHP60" s="83"/>
      <c r="AHZ60" s="83"/>
      <c r="AIJ60" s="83"/>
      <c r="AIT60" s="83"/>
      <c r="AJD60" s="83"/>
      <c r="AJN60" s="83"/>
      <c r="AJX60" s="83"/>
      <c r="AKH60" s="83"/>
      <c r="AKR60" s="83"/>
      <c r="ALB60" s="83"/>
      <c r="ALL60" s="83"/>
      <c r="ALV60" s="83"/>
      <c r="AMF60" s="83"/>
      <c r="AMP60" s="83"/>
      <c r="AMZ60" s="83"/>
      <c r="ANJ60" s="83"/>
      <c r="ANT60" s="83"/>
      <c r="AOD60" s="83"/>
      <c r="AON60" s="83"/>
      <c r="AOX60" s="83"/>
      <c r="APH60" s="83"/>
      <c r="APR60" s="83"/>
      <c r="AQB60" s="83"/>
      <c r="AQL60" s="83"/>
      <c r="AQV60" s="83"/>
      <c r="ARF60" s="83"/>
      <c r="ARP60" s="83"/>
      <c r="ARZ60" s="83"/>
      <c r="ASJ60" s="83"/>
      <c r="AST60" s="83"/>
      <c r="ATD60" s="83"/>
      <c r="ATN60" s="83"/>
      <c r="ATX60" s="83"/>
      <c r="AUH60" s="83"/>
      <c r="AUR60" s="83"/>
      <c r="AVB60" s="83"/>
      <c r="AVL60" s="83"/>
      <c r="AVV60" s="83"/>
      <c r="AWF60" s="83"/>
      <c r="AWP60" s="83"/>
      <c r="AWZ60" s="83"/>
      <c r="AXJ60" s="83"/>
      <c r="AXT60" s="83"/>
      <c r="AYD60" s="83"/>
      <c r="AYN60" s="83"/>
      <c r="AYX60" s="83"/>
      <c r="AZH60" s="83"/>
      <c r="AZR60" s="83"/>
      <c r="BAB60" s="83"/>
      <c r="BAL60" s="83"/>
      <c r="BAV60" s="83"/>
      <c r="BBF60" s="83"/>
      <c r="BBP60" s="83"/>
      <c r="BBZ60" s="83"/>
      <c r="BCJ60" s="83"/>
      <c r="BCT60" s="83"/>
      <c r="BDD60" s="83"/>
      <c r="BDN60" s="83"/>
      <c r="BDX60" s="83"/>
      <c r="BEH60" s="83"/>
      <c r="BER60" s="83"/>
      <c r="BFB60" s="83"/>
      <c r="BFL60" s="83"/>
      <c r="BFV60" s="83"/>
      <c r="BGF60" s="83"/>
      <c r="BGP60" s="83"/>
      <c r="BGZ60" s="83"/>
      <c r="BHJ60" s="83"/>
      <c r="BHT60" s="83"/>
      <c r="BID60" s="83"/>
      <c r="BIN60" s="83"/>
      <c r="BIX60" s="83"/>
      <c r="BJH60" s="83"/>
      <c r="BJR60" s="83"/>
      <c r="BKB60" s="83"/>
      <c r="BKL60" s="83"/>
      <c r="BKV60" s="83"/>
      <c r="BLF60" s="83"/>
      <c r="BLP60" s="83"/>
      <c r="BLZ60" s="83"/>
      <c r="BMJ60" s="83"/>
      <c r="BMT60" s="83"/>
      <c r="BND60" s="83"/>
      <c r="BNN60" s="83"/>
      <c r="BNX60" s="83"/>
      <c r="BOH60" s="83"/>
      <c r="BOR60" s="83"/>
      <c r="BPB60" s="83"/>
      <c r="BPL60" s="83"/>
      <c r="BPV60" s="83"/>
      <c r="BQF60" s="83"/>
      <c r="BQP60" s="83"/>
      <c r="BQZ60" s="83"/>
      <c r="BRJ60" s="83"/>
      <c r="BRT60" s="83"/>
      <c r="BSD60" s="83"/>
      <c r="BSN60" s="83"/>
      <c r="BSX60" s="83"/>
      <c r="BTH60" s="83"/>
      <c r="BTR60" s="83"/>
      <c r="BUB60" s="83"/>
      <c r="BUL60" s="83"/>
      <c r="BUV60" s="83"/>
      <c r="BVF60" s="83"/>
      <c r="BVP60" s="83"/>
      <c r="BVZ60" s="83"/>
      <c r="BWJ60" s="83"/>
      <c r="BWT60" s="83"/>
      <c r="BXD60" s="83"/>
      <c r="BXN60" s="83"/>
      <c r="BXX60" s="83"/>
      <c r="BYH60" s="83"/>
      <c r="BYR60" s="83"/>
      <c r="BZB60" s="83"/>
      <c r="BZL60" s="83"/>
      <c r="BZV60" s="83"/>
      <c r="CAF60" s="83"/>
      <c r="CAP60" s="83"/>
      <c r="CAZ60" s="83"/>
      <c r="CBJ60" s="83"/>
      <c r="CBT60" s="83"/>
      <c r="CCD60" s="83"/>
      <c r="CCN60" s="83"/>
      <c r="CCX60" s="83"/>
      <c r="CDH60" s="83"/>
      <c r="CDR60" s="83"/>
      <c r="CEB60" s="83"/>
      <c r="CEL60" s="83"/>
      <c r="CEV60" s="83"/>
      <c r="CFF60" s="83"/>
      <c r="CFP60" s="83"/>
      <c r="CFZ60" s="83"/>
      <c r="CGJ60" s="83"/>
      <c r="CGT60" s="83"/>
      <c r="CHD60" s="83"/>
      <c r="CHN60" s="83"/>
      <c r="CHX60" s="83"/>
      <c r="CIH60" s="83"/>
      <c r="CIR60" s="83"/>
      <c r="CJB60" s="83"/>
      <c r="CJL60" s="83"/>
      <c r="CJV60" s="83"/>
      <c r="CKF60" s="83"/>
      <c r="CKP60" s="83"/>
      <c r="CKZ60" s="83"/>
      <c r="CLJ60" s="83"/>
      <c r="CLT60" s="83"/>
      <c r="CMD60" s="83"/>
      <c r="CMN60" s="83"/>
      <c r="CMX60" s="83"/>
      <c r="CNH60" s="83"/>
      <c r="CNR60" s="83"/>
      <c r="COB60" s="83"/>
      <c r="COL60" s="83"/>
      <c r="COV60" s="83"/>
      <c r="CPF60" s="83"/>
      <c r="CPP60" s="83"/>
      <c r="CPZ60" s="83"/>
      <c r="CQJ60" s="83"/>
      <c r="CQT60" s="83"/>
      <c r="CRD60" s="83"/>
      <c r="CRN60" s="83"/>
      <c r="CRX60" s="83"/>
      <c r="CSH60" s="83"/>
      <c r="CSR60" s="83"/>
      <c r="CTB60" s="83"/>
      <c r="CTL60" s="83"/>
      <c r="CTV60" s="83"/>
    </row>
    <row r="61" s="58" customFormat="1" customHeight="1" spans="1:1020 1030:2040 2050:2570">
      <c r="A61" s="79">
        <v>46149</v>
      </c>
      <c r="B61" s="80" t="s">
        <v>22</v>
      </c>
      <c r="C61" s="38" t="s">
        <v>23</v>
      </c>
      <c r="D61" s="75">
        <v>652358749</v>
      </c>
      <c r="E61" s="84" t="s">
        <v>105</v>
      </c>
      <c r="F61" s="75" t="str">
        <f>VLOOKUP(E61,[5]基础数据!E:H,2,0)</f>
        <v>LS-MCUM017-BB-V2.30 三防漆双面 926_008（A平台海外截</v>
      </c>
      <c r="G61" s="75">
        <v>689</v>
      </c>
      <c r="H61" s="75" t="str">
        <f>VLOOKUP(E61,[5]基础数据!E:H,4,0)</f>
        <v>料盒</v>
      </c>
      <c r="I61" s="75">
        <f>VLOOKUP(E61,[5]基础数据!E:G,3,0)</f>
        <v>12</v>
      </c>
      <c r="J61" s="75" t="s">
        <v>306</v>
      </c>
      <c r="K61" s="82">
        <f t="shared" si="0"/>
        <v>57.4166666666667</v>
      </c>
      <c r="T61" s="83"/>
      <c r="AD61" s="83"/>
      <c r="AN61" s="83"/>
      <c r="AX61" s="83"/>
      <c r="BH61" s="83"/>
      <c r="BR61" s="83"/>
      <c r="CB61" s="83"/>
      <c r="CL61" s="83"/>
      <c r="CV61" s="83"/>
      <c r="DF61" s="83"/>
      <c r="DP61" s="83"/>
      <c r="DZ61" s="83"/>
      <c r="EJ61" s="83"/>
      <c r="ET61" s="83"/>
      <c r="FD61" s="83"/>
      <c r="FN61" s="83"/>
      <c r="FX61" s="83"/>
      <c r="GH61" s="83"/>
      <c r="GR61" s="83"/>
      <c r="HB61" s="83"/>
      <c r="HL61" s="83"/>
      <c r="HV61" s="83"/>
      <c r="IF61" s="83"/>
      <c r="IP61" s="83"/>
      <c r="IZ61" s="83"/>
      <c r="JJ61" s="83"/>
      <c r="JT61" s="83"/>
      <c r="KD61" s="83"/>
      <c r="KN61" s="83"/>
      <c r="KX61" s="83"/>
      <c r="LH61" s="83"/>
      <c r="LR61" s="83"/>
      <c r="MB61" s="83"/>
      <c r="ML61" s="83"/>
      <c r="MV61" s="83"/>
      <c r="NF61" s="83"/>
      <c r="NP61" s="83"/>
      <c r="NZ61" s="83"/>
      <c r="OJ61" s="83"/>
      <c r="OT61" s="83"/>
      <c r="PD61" s="83"/>
      <c r="PN61" s="83"/>
      <c r="PX61" s="83"/>
      <c r="QH61" s="83"/>
      <c r="QR61" s="83"/>
      <c r="RB61" s="83"/>
      <c r="RL61" s="83"/>
      <c r="RV61" s="83"/>
      <c r="SF61" s="83"/>
      <c r="SP61" s="83"/>
      <c r="SZ61" s="83"/>
      <c r="TJ61" s="83"/>
      <c r="TT61" s="83"/>
      <c r="UD61" s="83"/>
      <c r="UN61" s="83"/>
      <c r="UX61" s="83"/>
      <c r="VH61" s="83"/>
      <c r="VR61" s="83"/>
      <c r="WB61" s="83"/>
      <c r="WL61" s="83"/>
      <c r="WV61" s="83"/>
      <c r="XF61" s="83"/>
      <c r="XP61" s="83"/>
      <c r="XZ61" s="83"/>
      <c r="YJ61" s="83"/>
      <c r="YT61" s="83"/>
      <c r="ZD61" s="83"/>
      <c r="ZN61" s="83"/>
      <c r="ZX61" s="83"/>
      <c r="AAH61" s="83"/>
      <c r="AAR61" s="83"/>
      <c r="ABB61" s="83"/>
      <c r="ABL61" s="83"/>
      <c r="ABV61" s="83"/>
      <c r="ACF61" s="83"/>
      <c r="ACP61" s="83"/>
      <c r="ACZ61" s="83"/>
      <c r="ADJ61" s="83"/>
      <c r="ADT61" s="83"/>
      <c r="AED61" s="83"/>
      <c r="AEN61" s="83"/>
      <c r="AEX61" s="83"/>
      <c r="AFH61" s="83"/>
      <c r="AFR61" s="83"/>
      <c r="AGB61" s="83"/>
      <c r="AGL61" s="83"/>
      <c r="AGV61" s="83"/>
      <c r="AHF61" s="83"/>
      <c r="AHP61" s="83"/>
      <c r="AHZ61" s="83"/>
      <c r="AIJ61" s="83"/>
      <c r="AIT61" s="83"/>
      <c r="AJD61" s="83"/>
      <c r="AJN61" s="83"/>
      <c r="AJX61" s="83"/>
      <c r="AKH61" s="83"/>
      <c r="AKR61" s="83"/>
      <c r="ALB61" s="83"/>
      <c r="ALL61" s="83"/>
      <c r="ALV61" s="83"/>
      <c r="AMF61" s="83"/>
      <c r="AMP61" s="83"/>
      <c r="AMZ61" s="83"/>
      <c r="ANJ61" s="83"/>
      <c r="ANT61" s="83"/>
      <c r="AOD61" s="83"/>
      <c r="AON61" s="83"/>
      <c r="AOX61" s="83"/>
      <c r="APH61" s="83"/>
      <c r="APR61" s="83"/>
      <c r="AQB61" s="83"/>
      <c r="AQL61" s="83"/>
      <c r="AQV61" s="83"/>
      <c r="ARF61" s="83"/>
      <c r="ARP61" s="83"/>
      <c r="ARZ61" s="83"/>
      <c r="ASJ61" s="83"/>
      <c r="AST61" s="83"/>
      <c r="ATD61" s="83"/>
      <c r="ATN61" s="83"/>
      <c r="ATX61" s="83"/>
      <c r="AUH61" s="83"/>
      <c r="AUR61" s="83"/>
      <c r="AVB61" s="83"/>
      <c r="AVL61" s="83"/>
      <c r="AVV61" s="83"/>
      <c r="AWF61" s="83"/>
      <c r="AWP61" s="83"/>
      <c r="AWZ61" s="83"/>
      <c r="AXJ61" s="83"/>
      <c r="AXT61" s="83"/>
      <c r="AYD61" s="83"/>
      <c r="AYN61" s="83"/>
      <c r="AYX61" s="83"/>
      <c r="AZH61" s="83"/>
      <c r="AZR61" s="83"/>
      <c r="BAB61" s="83"/>
      <c r="BAL61" s="83"/>
      <c r="BAV61" s="83"/>
      <c r="BBF61" s="83"/>
      <c r="BBP61" s="83"/>
      <c r="BBZ61" s="83"/>
      <c r="BCJ61" s="83"/>
      <c r="BCT61" s="83"/>
      <c r="BDD61" s="83"/>
      <c r="BDN61" s="83"/>
      <c r="BDX61" s="83"/>
      <c r="BEH61" s="83"/>
      <c r="BER61" s="83"/>
      <c r="BFB61" s="83"/>
      <c r="BFL61" s="83"/>
      <c r="BFV61" s="83"/>
      <c r="BGF61" s="83"/>
      <c r="BGP61" s="83"/>
      <c r="BGZ61" s="83"/>
      <c r="BHJ61" s="83"/>
      <c r="BHT61" s="83"/>
      <c r="BID61" s="83"/>
      <c r="BIN61" s="83"/>
      <c r="BIX61" s="83"/>
      <c r="BJH61" s="83"/>
      <c r="BJR61" s="83"/>
      <c r="BKB61" s="83"/>
      <c r="BKL61" s="83"/>
      <c r="BKV61" s="83"/>
      <c r="BLF61" s="83"/>
      <c r="BLP61" s="83"/>
      <c r="BLZ61" s="83"/>
      <c r="BMJ61" s="83"/>
      <c r="BMT61" s="83"/>
      <c r="BND61" s="83"/>
      <c r="BNN61" s="83"/>
      <c r="BNX61" s="83"/>
      <c r="BOH61" s="83"/>
      <c r="BOR61" s="83"/>
      <c r="BPB61" s="83"/>
      <c r="BPL61" s="83"/>
      <c r="BPV61" s="83"/>
      <c r="BQF61" s="83"/>
      <c r="BQP61" s="83"/>
      <c r="BQZ61" s="83"/>
      <c r="BRJ61" s="83"/>
      <c r="BRT61" s="83"/>
      <c r="BSD61" s="83"/>
      <c r="BSN61" s="83"/>
      <c r="BSX61" s="83"/>
      <c r="BTH61" s="83"/>
      <c r="BTR61" s="83"/>
      <c r="BUB61" s="83"/>
      <c r="BUL61" s="83"/>
      <c r="BUV61" s="83"/>
      <c r="BVF61" s="83"/>
      <c r="BVP61" s="83"/>
      <c r="BVZ61" s="83"/>
      <c r="BWJ61" s="83"/>
      <c r="BWT61" s="83"/>
      <c r="BXD61" s="83"/>
      <c r="BXN61" s="83"/>
      <c r="BXX61" s="83"/>
      <c r="BYH61" s="83"/>
      <c r="BYR61" s="83"/>
      <c r="BZB61" s="83"/>
      <c r="BZL61" s="83"/>
      <c r="BZV61" s="83"/>
      <c r="CAF61" s="83"/>
      <c r="CAP61" s="83"/>
      <c r="CAZ61" s="83"/>
      <c r="CBJ61" s="83"/>
      <c r="CBT61" s="83"/>
      <c r="CCD61" s="83"/>
      <c r="CCN61" s="83"/>
      <c r="CCX61" s="83"/>
      <c r="CDH61" s="83"/>
      <c r="CDR61" s="83"/>
      <c r="CEB61" s="83"/>
      <c r="CEL61" s="83"/>
      <c r="CEV61" s="83"/>
      <c r="CFF61" s="83"/>
      <c r="CFP61" s="83"/>
      <c r="CFZ61" s="83"/>
      <c r="CGJ61" s="83"/>
      <c r="CGT61" s="83"/>
      <c r="CHD61" s="83"/>
      <c r="CHN61" s="83"/>
      <c r="CHX61" s="83"/>
      <c r="CIH61" s="83"/>
      <c r="CIR61" s="83"/>
      <c r="CJB61" s="83"/>
      <c r="CJL61" s="83"/>
      <c r="CJV61" s="83"/>
      <c r="CKF61" s="83"/>
      <c r="CKP61" s="83"/>
      <c r="CKZ61" s="83"/>
      <c r="CLJ61" s="83"/>
      <c r="CLT61" s="83"/>
      <c r="CMD61" s="83"/>
      <c r="CMN61" s="83"/>
      <c r="CMX61" s="83"/>
      <c r="CNH61" s="83"/>
      <c r="CNR61" s="83"/>
      <c r="COB61" s="83"/>
      <c r="COL61" s="83"/>
      <c r="COV61" s="83"/>
      <c r="CPF61" s="83"/>
      <c r="CPP61" s="83"/>
      <c r="CPZ61" s="83"/>
      <c r="CQJ61" s="83"/>
      <c r="CQT61" s="83"/>
      <c r="CRD61" s="83"/>
      <c r="CRN61" s="83"/>
      <c r="CRX61" s="83"/>
      <c r="CSH61" s="83"/>
      <c r="CSR61" s="83"/>
      <c r="CTB61" s="83"/>
      <c r="CTL61" s="83"/>
      <c r="CTV61" s="83"/>
    </row>
    <row r="62" s="58" customFormat="1" customHeight="1" spans="1:1020 1030:2040 2050:2570">
      <c r="A62" s="79">
        <v>46149</v>
      </c>
      <c r="B62" s="80" t="s">
        <v>22</v>
      </c>
      <c r="C62" s="38" t="s">
        <v>23</v>
      </c>
      <c r="D62" s="75">
        <v>652358969</v>
      </c>
      <c r="E62" s="84" t="s">
        <v>132</v>
      </c>
      <c r="F62" s="75" t="str">
        <f>VLOOKUP(E62,[5]基础数据!E:H,2,0)</f>
        <v>LP-UAV010-AA-12S_HSD_OZ3717D_V1.20三防漆双截</v>
      </c>
      <c r="G62" s="75">
        <v>280</v>
      </c>
      <c r="H62" s="75" t="str">
        <f>VLOOKUP(E62,[5]基础数据!E:H,4,0)</f>
        <v>纸箱</v>
      </c>
      <c r="I62" s="75">
        <f>VLOOKUP(E62,[5]基础数据!E:G,3,0)</f>
        <v>72</v>
      </c>
      <c r="J62" s="75" t="s">
        <v>306</v>
      </c>
      <c r="K62" s="82">
        <f t="shared" si="0"/>
        <v>3.88888888888889</v>
      </c>
      <c r="T62" s="83"/>
      <c r="AD62" s="83"/>
      <c r="AN62" s="83"/>
      <c r="AX62" s="83"/>
      <c r="BH62" s="83"/>
      <c r="BR62" s="83"/>
      <c r="CB62" s="83"/>
      <c r="CL62" s="83"/>
      <c r="CV62" s="83"/>
      <c r="DF62" s="83"/>
      <c r="DP62" s="83"/>
      <c r="DZ62" s="83"/>
      <c r="EJ62" s="83"/>
      <c r="ET62" s="83"/>
      <c r="FD62" s="83"/>
      <c r="FN62" s="83"/>
      <c r="FX62" s="83"/>
      <c r="GH62" s="83"/>
      <c r="GR62" s="83"/>
      <c r="HB62" s="83"/>
      <c r="HL62" s="83"/>
      <c r="HV62" s="83"/>
      <c r="IF62" s="83"/>
      <c r="IP62" s="83"/>
      <c r="IZ62" s="83"/>
      <c r="JJ62" s="83"/>
      <c r="JT62" s="83"/>
      <c r="KD62" s="83"/>
      <c r="KN62" s="83"/>
      <c r="KX62" s="83"/>
      <c r="LH62" s="83"/>
      <c r="LR62" s="83"/>
      <c r="MB62" s="83"/>
      <c r="ML62" s="83"/>
      <c r="MV62" s="83"/>
      <c r="NF62" s="83"/>
      <c r="NP62" s="83"/>
      <c r="NZ62" s="83"/>
      <c r="OJ62" s="83"/>
      <c r="OT62" s="83"/>
      <c r="PD62" s="83"/>
      <c r="PN62" s="83"/>
      <c r="PX62" s="83"/>
      <c r="QH62" s="83"/>
      <c r="QR62" s="83"/>
      <c r="RB62" s="83"/>
      <c r="RL62" s="83"/>
      <c r="RV62" s="83"/>
      <c r="SF62" s="83"/>
      <c r="SP62" s="83"/>
      <c r="SZ62" s="83"/>
      <c r="TJ62" s="83"/>
      <c r="TT62" s="83"/>
      <c r="UD62" s="83"/>
      <c r="UN62" s="83"/>
      <c r="UX62" s="83"/>
      <c r="VH62" s="83"/>
      <c r="VR62" s="83"/>
      <c r="WB62" s="83"/>
      <c r="WL62" s="83"/>
      <c r="WV62" s="83"/>
      <c r="XF62" s="83"/>
      <c r="XP62" s="83"/>
      <c r="XZ62" s="83"/>
      <c r="YJ62" s="83"/>
      <c r="YT62" s="83"/>
      <c r="ZD62" s="83"/>
      <c r="ZN62" s="83"/>
      <c r="ZX62" s="83"/>
      <c r="AAH62" s="83"/>
      <c r="AAR62" s="83"/>
      <c r="ABB62" s="83"/>
      <c r="ABL62" s="83"/>
      <c r="ABV62" s="83"/>
      <c r="ACF62" s="83"/>
      <c r="ACP62" s="83"/>
      <c r="ACZ62" s="83"/>
      <c r="ADJ62" s="83"/>
      <c r="ADT62" s="83"/>
      <c r="AED62" s="83"/>
      <c r="AEN62" s="83"/>
      <c r="AEX62" s="83"/>
      <c r="AFH62" s="83"/>
      <c r="AFR62" s="83"/>
      <c r="AGB62" s="83"/>
      <c r="AGL62" s="83"/>
      <c r="AGV62" s="83"/>
      <c r="AHF62" s="83"/>
      <c r="AHP62" s="83"/>
      <c r="AHZ62" s="83"/>
      <c r="AIJ62" s="83"/>
      <c r="AIT62" s="83"/>
      <c r="AJD62" s="83"/>
      <c r="AJN62" s="83"/>
      <c r="AJX62" s="83"/>
      <c r="AKH62" s="83"/>
      <c r="AKR62" s="83"/>
      <c r="ALB62" s="83"/>
      <c r="ALL62" s="83"/>
      <c r="ALV62" s="83"/>
      <c r="AMF62" s="83"/>
      <c r="AMP62" s="83"/>
      <c r="AMZ62" s="83"/>
      <c r="ANJ62" s="83"/>
      <c r="ANT62" s="83"/>
      <c r="AOD62" s="83"/>
      <c r="AON62" s="83"/>
      <c r="AOX62" s="83"/>
      <c r="APH62" s="83"/>
      <c r="APR62" s="83"/>
      <c r="AQB62" s="83"/>
      <c r="AQL62" s="83"/>
      <c r="AQV62" s="83"/>
      <c r="ARF62" s="83"/>
      <c r="ARP62" s="83"/>
      <c r="ARZ62" s="83"/>
      <c r="ASJ62" s="83"/>
      <c r="AST62" s="83"/>
      <c r="ATD62" s="83"/>
      <c r="ATN62" s="83"/>
      <c r="ATX62" s="83"/>
      <c r="AUH62" s="83"/>
      <c r="AUR62" s="83"/>
      <c r="AVB62" s="83"/>
      <c r="AVL62" s="83"/>
      <c r="AVV62" s="83"/>
      <c r="AWF62" s="83"/>
      <c r="AWP62" s="83"/>
      <c r="AWZ62" s="83"/>
      <c r="AXJ62" s="83"/>
      <c r="AXT62" s="83"/>
      <c r="AYD62" s="83"/>
      <c r="AYN62" s="83"/>
      <c r="AYX62" s="83"/>
      <c r="AZH62" s="83"/>
      <c r="AZR62" s="83"/>
      <c r="BAB62" s="83"/>
      <c r="BAL62" s="83"/>
      <c r="BAV62" s="83"/>
      <c r="BBF62" s="83"/>
      <c r="BBP62" s="83"/>
      <c r="BBZ62" s="83"/>
      <c r="BCJ62" s="83"/>
      <c r="BCT62" s="83"/>
      <c r="BDD62" s="83"/>
      <c r="BDN62" s="83"/>
      <c r="BDX62" s="83"/>
      <c r="BEH62" s="83"/>
      <c r="BER62" s="83"/>
      <c r="BFB62" s="83"/>
      <c r="BFL62" s="83"/>
      <c r="BFV62" s="83"/>
      <c r="BGF62" s="83"/>
      <c r="BGP62" s="83"/>
      <c r="BGZ62" s="83"/>
      <c r="BHJ62" s="83"/>
      <c r="BHT62" s="83"/>
      <c r="BID62" s="83"/>
      <c r="BIN62" s="83"/>
      <c r="BIX62" s="83"/>
      <c r="BJH62" s="83"/>
      <c r="BJR62" s="83"/>
      <c r="BKB62" s="83"/>
      <c r="BKL62" s="83"/>
      <c r="BKV62" s="83"/>
      <c r="BLF62" s="83"/>
      <c r="BLP62" s="83"/>
      <c r="BLZ62" s="83"/>
      <c r="BMJ62" s="83"/>
      <c r="BMT62" s="83"/>
      <c r="BND62" s="83"/>
      <c r="BNN62" s="83"/>
      <c r="BNX62" s="83"/>
      <c r="BOH62" s="83"/>
      <c r="BOR62" s="83"/>
      <c r="BPB62" s="83"/>
      <c r="BPL62" s="83"/>
      <c r="BPV62" s="83"/>
      <c r="BQF62" s="83"/>
      <c r="BQP62" s="83"/>
      <c r="BQZ62" s="83"/>
      <c r="BRJ62" s="83"/>
      <c r="BRT62" s="83"/>
      <c r="BSD62" s="83"/>
      <c r="BSN62" s="83"/>
      <c r="BSX62" s="83"/>
      <c r="BTH62" s="83"/>
      <c r="BTR62" s="83"/>
      <c r="BUB62" s="83"/>
      <c r="BUL62" s="83"/>
      <c r="BUV62" s="83"/>
      <c r="BVF62" s="83"/>
      <c r="BVP62" s="83"/>
      <c r="BVZ62" s="83"/>
      <c r="BWJ62" s="83"/>
      <c r="BWT62" s="83"/>
      <c r="BXD62" s="83"/>
      <c r="BXN62" s="83"/>
      <c r="BXX62" s="83"/>
      <c r="BYH62" s="83"/>
      <c r="BYR62" s="83"/>
      <c r="BZB62" s="83"/>
      <c r="BZL62" s="83"/>
      <c r="BZV62" s="83"/>
      <c r="CAF62" s="83"/>
      <c r="CAP62" s="83"/>
      <c r="CAZ62" s="83"/>
      <c r="CBJ62" s="83"/>
      <c r="CBT62" s="83"/>
      <c r="CCD62" s="83"/>
      <c r="CCN62" s="83"/>
      <c r="CCX62" s="83"/>
      <c r="CDH62" s="83"/>
      <c r="CDR62" s="83"/>
      <c r="CEB62" s="83"/>
      <c r="CEL62" s="83"/>
      <c r="CEV62" s="83"/>
      <c r="CFF62" s="83"/>
      <c r="CFP62" s="83"/>
      <c r="CFZ62" s="83"/>
      <c r="CGJ62" s="83"/>
      <c r="CGT62" s="83"/>
      <c r="CHD62" s="83"/>
      <c r="CHN62" s="83"/>
      <c r="CHX62" s="83"/>
      <c r="CIH62" s="83"/>
      <c r="CIR62" s="83"/>
      <c r="CJB62" s="83"/>
      <c r="CJL62" s="83"/>
      <c r="CJV62" s="83"/>
      <c r="CKF62" s="83"/>
      <c r="CKP62" s="83"/>
      <c r="CKZ62" s="83"/>
      <c r="CLJ62" s="83"/>
      <c r="CLT62" s="83"/>
      <c r="CMD62" s="83"/>
      <c r="CMN62" s="83"/>
      <c r="CMX62" s="83"/>
      <c r="CNH62" s="83"/>
      <c r="CNR62" s="83"/>
      <c r="COB62" s="83"/>
      <c r="COL62" s="83"/>
      <c r="COV62" s="83"/>
      <c r="CPF62" s="83"/>
      <c r="CPP62" s="83"/>
      <c r="CPZ62" s="83"/>
      <c r="CQJ62" s="83"/>
      <c r="CQT62" s="83"/>
      <c r="CRD62" s="83"/>
      <c r="CRN62" s="83"/>
      <c r="CRX62" s="83"/>
      <c r="CSH62" s="83"/>
      <c r="CSR62" s="83"/>
      <c r="CTB62" s="83"/>
      <c r="CTL62" s="83"/>
      <c r="CTV62" s="83"/>
    </row>
    <row r="63" s="58" customFormat="1" customHeight="1" spans="1:1020 1030:2040 2050:2570">
      <c r="A63" s="79">
        <v>46149</v>
      </c>
      <c r="B63" s="80" t="s">
        <v>22</v>
      </c>
      <c r="C63" s="38" t="s">
        <v>23</v>
      </c>
      <c r="D63" s="75">
        <v>652359019</v>
      </c>
      <c r="E63" s="84" t="s">
        <v>33</v>
      </c>
      <c r="F63" s="75" t="str">
        <f>VLOOKUP(E63,[5]基础数据!E:H,2,0)</f>
        <v>LP-BSU053-AA_V100_TI_32A2_BTW三防漆双面922_0截</v>
      </c>
      <c r="G63" s="75">
        <v>576</v>
      </c>
      <c r="H63" s="75" t="str">
        <f>VLOOKUP(E63,[5]基础数据!E:H,4,0)</f>
        <v>料盒</v>
      </c>
      <c r="I63" s="75">
        <f>VLOOKUP(E63,[5]基础数据!E:G,3,0)</f>
        <v>36</v>
      </c>
      <c r="J63" s="75" t="s">
        <v>306</v>
      </c>
      <c r="K63" s="82">
        <f t="shared" si="0"/>
        <v>16</v>
      </c>
      <c r="T63" s="83"/>
      <c r="AD63" s="83"/>
      <c r="AN63" s="83"/>
      <c r="AX63" s="83"/>
      <c r="BH63" s="83"/>
      <c r="BR63" s="83"/>
      <c r="CB63" s="83"/>
      <c r="CL63" s="83"/>
      <c r="CV63" s="83"/>
      <c r="DF63" s="83"/>
      <c r="DP63" s="83"/>
      <c r="DZ63" s="83"/>
      <c r="EJ63" s="83"/>
      <c r="ET63" s="83"/>
      <c r="FD63" s="83"/>
      <c r="FN63" s="83"/>
      <c r="FX63" s="83"/>
      <c r="GH63" s="83"/>
      <c r="GR63" s="83"/>
      <c r="HB63" s="83"/>
      <c r="HL63" s="83"/>
      <c r="HV63" s="83"/>
      <c r="IF63" s="83"/>
      <c r="IP63" s="83"/>
      <c r="IZ63" s="83"/>
      <c r="JJ63" s="83"/>
      <c r="JT63" s="83"/>
      <c r="KD63" s="83"/>
      <c r="KN63" s="83"/>
      <c r="KX63" s="83"/>
      <c r="LH63" s="83"/>
      <c r="LR63" s="83"/>
      <c r="MB63" s="83"/>
      <c r="ML63" s="83"/>
      <c r="MV63" s="83"/>
      <c r="NF63" s="83"/>
      <c r="NP63" s="83"/>
      <c r="NZ63" s="83"/>
      <c r="OJ63" s="83"/>
      <c r="OT63" s="83"/>
      <c r="PD63" s="83"/>
      <c r="PN63" s="83"/>
      <c r="PX63" s="83"/>
      <c r="QH63" s="83"/>
      <c r="QR63" s="83"/>
      <c r="RB63" s="83"/>
      <c r="RL63" s="83"/>
      <c r="RV63" s="83"/>
      <c r="SF63" s="83"/>
      <c r="SP63" s="83"/>
      <c r="SZ63" s="83"/>
      <c r="TJ63" s="83"/>
      <c r="TT63" s="83"/>
      <c r="UD63" s="83"/>
      <c r="UN63" s="83"/>
      <c r="UX63" s="83"/>
      <c r="VH63" s="83"/>
      <c r="VR63" s="83"/>
      <c r="WB63" s="83"/>
      <c r="WL63" s="83"/>
      <c r="WV63" s="83"/>
      <c r="XF63" s="83"/>
      <c r="XP63" s="83"/>
      <c r="XZ63" s="83"/>
      <c r="YJ63" s="83"/>
      <c r="YT63" s="83"/>
      <c r="ZD63" s="83"/>
      <c r="ZN63" s="83"/>
      <c r="ZX63" s="83"/>
      <c r="AAH63" s="83"/>
      <c r="AAR63" s="83"/>
      <c r="ABB63" s="83"/>
      <c r="ABL63" s="83"/>
      <c r="ABV63" s="83"/>
      <c r="ACF63" s="83"/>
      <c r="ACP63" s="83"/>
      <c r="ACZ63" s="83"/>
      <c r="ADJ63" s="83"/>
      <c r="ADT63" s="83"/>
      <c r="AED63" s="83"/>
      <c r="AEN63" s="83"/>
      <c r="AEX63" s="83"/>
      <c r="AFH63" s="83"/>
      <c r="AFR63" s="83"/>
      <c r="AGB63" s="83"/>
      <c r="AGL63" s="83"/>
      <c r="AGV63" s="83"/>
      <c r="AHF63" s="83"/>
      <c r="AHP63" s="83"/>
      <c r="AHZ63" s="83"/>
      <c r="AIJ63" s="83"/>
      <c r="AIT63" s="83"/>
      <c r="AJD63" s="83"/>
      <c r="AJN63" s="83"/>
      <c r="AJX63" s="83"/>
      <c r="AKH63" s="83"/>
      <c r="AKR63" s="83"/>
      <c r="ALB63" s="83"/>
      <c r="ALL63" s="83"/>
      <c r="ALV63" s="83"/>
      <c r="AMF63" s="83"/>
      <c r="AMP63" s="83"/>
      <c r="AMZ63" s="83"/>
      <c r="ANJ63" s="83"/>
      <c r="ANT63" s="83"/>
      <c r="AOD63" s="83"/>
      <c r="AON63" s="83"/>
      <c r="AOX63" s="83"/>
      <c r="APH63" s="83"/>
      <c r="APR63" s="83"/>
      <c r="AQB63" s="83"/>
      <c r="AQL63" s="83"/>
      <c r="AQV63" s="83"/>
      <c r="ARF63" s="83"/>
      <c r="ARP63" s="83"/>
      <c r="ARZ63" s="83"/>
      <c r="ASJ63" s="83"/>
      <c r="AST63" s="83"/>
      <c r="ATD63" s="83"/>
      <c r="ATN63" s="83"/>
      <c r="ATX63" s="83"/>
      <c r="AUH63" s="83"/>
      <c r="AUR63" s="83"/>
      <c r="AVB63" s="83"/>
      <c r="AVL63" s="83"/>
      <c r="AVV63" s="83"/>
      <c r="AWF63" s="83"/>
      <c r="AWP63" s="83"/>
      <c r="AWZ63" s="83"/>
      <c r="AXJ63" s="83"/>
      <c r="AXT63" s="83"/>
      <c r="AYD63" s="83"/>
      <c r="AYN63" s="83"/>
      <c r="AYX63" s="83"/>
      <c r="AZH63" s="83"/>
      <c r="AZR63" s="83"/>
      <c r="BAB63" s="83"/>
      <c r="BAL63" s="83"/>
      <c r="BAV63" s="83"/>
      <c r="BBF63" s="83"/>
      <c r="BBP63" s="83"/>
      <c r="BBZ63" s="83"/>
      <c r="BCJ63" s="83"/>
      <c r="BCT63" s="83"/>
      <c r="BDD63" s="83"/>
      <c r="BDN63" s="83"/>
      <c r="BDX63" s="83"/>
      <c r="BEH63" s="83"/>
      <c r="BER63" s="83"/>
      <c r="BFB63" s="83"/>
      <c r="BFL63" s="83"/>
      <c r="BFV63" s="83"/>
      <c r="BGF63" s="83"/>
      <c r="BGP63" s="83"/>
      <c r="BGZ63" s="83"/>
      <c r="BHJ63" s="83"/>
      <c r="BHT63" s="83"/>
      <c r="BID63" s="83"/>
      <c r="BIN63" s="83"/>
      <c r="BIX63" s="83"/>
      <c r="BJH63" s="83"/>
      <c r="BJR63" s="83"/>
      <c r="BKB63" s="83"/>
      <c r="BKL63" s="83"/>
      <c r="BKV63" s="83"/>
      <c r="BLF63" s="83"/>
      <c r="BLP63" s="83"/>
      <c r="BLZ63" s="83"/>
      <c r="BMJ63" s="83"/>
      <c r="BMT63" s="83"/>
      <c r="BND63" s="83"/>
      <c r="BNN63" s="83"/>
      <c r="BNX63" s="83"/>
      <c r="BOH63" s="83"/>
      <c r="BOR63" s="83"/>
      <c r="BPB63" s="83"/>
      <c r="BPL63" s="83"/>
      <c r="BPV63" s="83"/>
      <c r="BQF63" s="83"/>
      <c r="BQP63" s="83"/>
      <c r="BQZ63" s="83"/>
      <c r="BRJ63" s="83"/>
      <c r="BRT63" s="83"/>
      <c r="BSD63" s="83"/>
      <c r="BSN63" s="83"/>
      <c r="BSX63" s="83"/>
      <c r="BTH63" s="83"/>
      <c r="BTR63" s="83"/>
      <c r="BUB63" s="83"/>
      <c r="BUL63" s="83"/>
      <c r="BUV63" s="83"/>
      <c r="BVF63" s="83"/>
      <c r="BVP63" s="83"/>
      <c r="BVZ63" s="83"/>
      <c r="BWJ63" s="83"/>
      <c r="BWT63" s="83"/>
      <c r="BXD63" s="83"/>
      <c r="BXN63" s="83"/>
      <c r="BXX63" s="83"/>
      <c r="BYH63" s="83"/>
      <c r="BYR63" s="83"/>
      <c r="BZB63" s="83"/>
      <c r="BZL63" s="83"/>
      <c r="BZV63" s="83"/>
      <c r="CAF63" s="83"/>
      <c r="CAP63" s="83"/>
      <c r="CAZ63" s="83"/>
      <c r="CBJ63" s="83"/>
      <c r="CBT63" s="83"/>
      <c r="CCD63" s="83"/>
      <c r="CCN63" s="83"/>
      <c r="CCX63" s="83"/>
      <c r="CDH63" s="83"/>
      <c r="CDR63" s="83"/>
      <c r="CEB63" s="83"/>
      <c r="CEL63" s="83"/>
      <c r="CEV63" s="83"/>
      <c r="CFF63" s="83"/>
      <c r="CFP63" s="83"/>
      <c r="CFZ63" s="83"/>
      <c r="CGJ63" s="83"/>
      <c r="CGT63" s="83"/>
      <c r="CHD63" s="83"/>
      <c r="CHN63" s="83"/>
      <c r="CHX63" s="83"/>
      <c r="CIH63" s="83"/>
      <c r="CIR63" s="83"/>
      <c r="CJB63" s="83"/>
      <c r="CJL63" s="83"/>
      <c r="CJV63" s="83"/>
      <c r="CKF63" s="83"/>
      <c r="CKP63" s="83"/>
      <c r="CKZ63" s="83"/>
      <c r="CLJ63" s="83"/>
      <c r="CLT63" s="83"/>
      <c r="CMD63" s="83"/>
      <c r="CMN63" s="83"/>
      <c r="CMX63" s="83"/>
      <c r="CNH63" s="83"/>
      <c r="CNR63" s="83"/>
      <c r="COB63" s="83"/>
      <c r="COL63" s="83"/>
      <c r="COV63" s="83"/>
      <c r="CPF63" s="83"/>
      <c r="CPP63" s="83"/>
      <c r="CPZ63" s="83"/>
      <c r="CQJ63" s="83"/>
      <c r="CQT63" s="83"/>
      <c r="CRD63" s="83"/>
      <c r="CRN63" s="83"/>
      <c r="CRX63" s="83"/>
      <c r="CSH63" s="83"/>
      <c r="CSR63" s="83"/>
      <c r="CTB63" s="83"/>
      <c r="CTL63" s="83"/>
      <c r="CTV63" s="83"/>
    </row>
    <row r="64" s="58" customFormat="1" customHeight="1" spans="1:1020 1030:2040 2050:2570">
      <c r="A64" s="79">
        <v>46149</v>
      </c>
      <c r="B64" s="80" t="s">
        <v>22</v>
      </c>
      <c r="C64" s="38" t="s">
        <v>23</v>
      </c>
      <c r="D64" s="75">
        <v>652359019</v>
      </c>
      <c r="E64" s="84" t="s">
        <v>51</v>
      </c>
      <c r="F64" s="75" t="str">
        <f>VLOOKUP(E64,[5]基础数据!E:H,2,0)</f>
        <v>LP-BSU051-AA_V100_TI_32A1_HW_三防漆双面916_019</v>
      </c>
      <c r="G64" s="75">
        <v>576</v>
      </c>
      <c r="H64" s="75" t="str">
        <f>VLOOKUP(E64,[5]基础数据!E:H,4,0)</f>
        <v>料盒</v>
      </c>
      <c r="I64" s="75">
        <f>VLOOKUP(E64,[5]基础数据!E:G,3,0)</f>
        <v>36</v>
      </c>
      <c r="J64" s="75" t="s">
        <v>306</v>
      </c>
      <c r="K64" s="82">
        <f t="shared" si="0"/>
        <v>16</v>
      </c>
      <c r="T64" s="83"/>
      <c r="AD64" s="83"/>
      <c r="AN64" s="83"/>
      <c r="AX64" s="83"/>
      <c r="BH64" s="83"/>
      <c r="BR64" s="83"/>
      <c r="CB64" s="83"/>
      <c r="CL64" s="83"/>
      <c r="CV64" s="83"/>
      <c r="DF64" s="83"/>
      <c r="DP64" s="83"/>
      <c r="DZ64" s="83"/>
      <c r="EJ64" s="83"/>
      <c r="ET64" s="83"/>
      <c r="FD64" s="83"/>
      <c r="FN64" s="83"/>
      <c r="FX64" s="83"/>
      <c r="GH64" s="83"/>
      <c r="GR64" s="83"/>
      <c r="HB64" s="83"/>
      <c r="HL64" s="83"/>
      <c r="HV64" s="83"/>
      <c r="IF64" s="83"/>
      <c r="IP64" s="83"/>
      <c r="IZ64" s="83"/>
      <c r="JJ64" s="83"/>
      <c r="JT64" s="83"/>
      <c r="KD64" s="83"/>
      <c r="KN64" s="83"/>
      <c r="KX64" s="83"/>
      <c r="LH64" s="83"/>
      <c r="LR64" s="83"/>
      <c r="MB64" s="83"/>
      <c r="ML64" s="83"/>
      <c r="MV64" s="83"/>
      <c r="NF64" s="83"/>
      <c r="NP64" s="83"/>
      <c r="NZ64" s="83"/>
      <c r="OJ64" s="83"/>
      <c r="OT64" s="83"/>
      <c r="PD64" s="83"/>
      <c r="PN64" s="83"/>
      <c r="PX64" s="83"/>
      <c r="QH64" s="83"/>
      <c r="QR64" s="83"/>
      <c r="RB64" s="83"/>
      <c r="RL64" s="83"/>
      <c r="RV64" s="83"/>
      <c r="SF64" s="83"/>
      <c r="SP64" s="83"/>
      <c r="SZ64" s="83"/>
      <c r="TJ64" s="83"/>
      <c r="TT64" s="83"/>
      <c r="UD64" s="83"/>
      <c r="UN64" s="83"/>
      <c r="UX64" s="83"/>
      <c r="VH64" s="83"/>
      <c r="VR64" s="83"/>
      <c r="WB64" s="83"/>
      <c r="WL64" s="83"/>
      <c r="WV64" s="83"/>
      <c r="XF64" s="83"/>
      <c r="XP64" s="83"/>
      <c r="XZ64" s="83"/>
      <c r="YJ64" s="83"/>
      <c r="YT64" s="83"/>
      <c r="ZD64" s="83"/>
      <c r="ZN64" s="83"/>
      <c r="ZX64" s="83"/>
      <c r="AAH64" s="83"/>
      <c r="AAR64" s="83"/>
      <c r="ABB64" s="83"/>
      <c r="ABL64" s="83"/>
      <c r="ABV64" s="83"/>
      <c r="ACF64" s="83"/>
      <c r="ACP64" s="83"/>
      <c r="ACZ64" s="83"/>
      <c r="ADJ64" s="83"/>
      <c r="ADT64" s="83"/>
      <c r="AED64" s="83"/>
      <c r="AEN64" s="83"/>
      <c r="AEX64" s="83"/>
      <c r="AFH64" s="83"/>
      <c r="AFR64" s="83"/>
      <c r="AGB64" s="83"/>
      <c r="AGL64" s="83"/>
      <c r="AGV64" s="83"/>
      <c r="AHF64" s="83"/>
      <c r="AHP64" s="83"/>
      <c r="AHZ64" s="83"/>
      <c r="AIJ64" s="83"/>
      <c r="AIT64" s="83"/>
      <c r="AJD64" s="83"/>
      <c r="AJN64" s="83"/>
      <c r="AJX64" s="83"/>
      <c r="AKH64" s="83"/>
      <c r="AKR64" s="83"/>
      <c r="ALB64" s="83"/>
      <c r="ALL64" s="83"/>
      <c r="ALV64" s="83"/>
      <c r="AMF64" s="83"/>
      <c r="AMP64" s="83"/>
      <c r="AMZ64" s="83"/>
      <c r="ANJ64" s="83"/>
      <c r="ANT64" s="83"/>
      <c r="AOD64" s="83"/>
      <c r="AON64" s="83"/>
      <c r="AOX64" s="83"/>
      <c r="APH64" s="83"/>
      <c r="APR64" s="83"/>
      <c r="AQB64" s="83"/>
      <c r="AQL64" s="83"/>
      <c r="AQV64" s="83"/>
      <c r="ARF64" s="83"/>
      <c r="ARP64" s="83"/>
      <c r="ARZ64" s="83"/>
      <c r="ASJ64" s="83"/>
      <c r="AST64" s="83"/>
      <c r="ATD64" s="83"/>
      <c r="ATN64" s="83"/>
      <c r="ATX64" s="83"/>
      <c r="AUH64" s="83"/>
      <c r="AUR64" s="83"/>
      <c r="AVB64" s="83"/>
      <c r="AVL64" s="83"/>
      <c r="AVV64" s="83"/>
      <c r="AWF64" s="83"/>
      <c r="AWP64" s="83"/>
      <c r="AWZ64" s="83"/>
      <c r="AXJ64" s="83"/>
      <c r="AXT64" s="83"/>
      <c r="AYD64" s="83"/>
      <c r="AYN64" s="83"/>
      <c r="AYX64" s="83"/>
      <c r="AZH64" s="83"/>
      <c r="AZR64" s="83"/>
      <c r="BAB64" s="83"/>
      <c r="BAL64" s="83"/>
      <c r="BAV64" s="83"/>
      <c r="BBF64" s="83"/>
      <c r="BBP64" s="83"/>
      <c r="BBZ64" s="83"/>
      <c r="BCJ64" s="83"/>
      <c r="BCT64" s="83"/>
      <c r="BDD64" s="83"/>
      <c r="BDN64" s="83"/>
      <c r="BDX64" s="83"/>
      <c r="BEH64" s="83"/>
      <c r="BER64" s="83"/>
      <c r="BFB64" s="83"/>
      <c r="BFL64" s="83"/>
      <c r="BFV64" s="83"/>
      <c r="BGF64" s="83"/>
      <c r="BGP64" s="83"/>
      <c r="BGZ64" s="83"/>
      <c r="BHJ64" s="83"/>
      <c r="BHT64" s="83"/>
      <c r="BID64" s="83"/>
      <c r="BIN64" s="83"/>
      <c r="BIX64" s="83"/>
      <c r="BJH64" s="83"/>
      <c r="BJR64" s="83"/>
      <c r="BKB64" s="83"/>
      <c r="BKL64" s="83"/>
      <c r="BKV64" s="83"/>
      <c r="BLF64" s="83"/>
      <c r="BLP64" s="83"/>
      <c r="BLZ64" s="83"/>
      <c r="BMJ64" s="83"/>
      <c r="BMT64" s="83"/>
      <c r="BND64" s="83"/>
      <c r="BNN64" s="83"/>
      <c r="BNX64" s="83"/>
      <c r="BOH64" s="83"/>
      <c r="BOR64" s="83"/>
      <c r="BPB64" s="83"/>
      <c r="BPL64" s="83"/>
      <c r="BPV64" s="83"/>
      <c r="BQF64" s="83"/>
      <c r="BQP64" s="83"/>
      <c r="BQZ64" s="83"/>
      <c r="BRJ64" s="83"/>
      <c r="BRT64" s="83"/>
      <c r="BSD64" s="83"/>
      <c r="BSN64" s="83"/>
      <c r="BSX64" s="83"/>
      <c r="BTH64" s="83"/>
      <c r="BTR64" s="83"/>
      <c r="BUB64" s="83"/>
      <c r="BUL64" s="83"/>
      <c r="BUV64" s="83"/>
      <c r="BVF64" s="83"/>
      <c r="BVP64" s="83"/>
      <c r="BVZ64" s="83"/>
      <c r="BWJ64" s="83"/>
      <c r="BWT64" s="83"/>
      <c r="BXD64" s="83"/>
      <c r="BXN64" s="83"/>
      <c r="BXX64" s="83"/>
      <c r="BYH64" s="83"/>
      <c r="BYR64" s="83"/>
      <c r="BZB64" s="83"/>
      <c r="BZL64" s="83"/>
      <c r="BZV64" s="83"/>
      <c r="CAF64" s="83"/>
      <c r="CAP64" s="83"/>
      <c r="CAZ64" s="83"/>
      <c r="CBJ64" s="83"/>
      <c r="CBT64" s="83"/>
      <c r="CCD64" s="83"/>
      <c r="CCN64" s="83"/>
      <c r="CCX64" s="83"/>
      <c r="CDH64" s="83"/>
      <c r="CDR64" s="83"/>
      <c r="CEB64" s="83"/>
      <c r="CEL64" s="83"/>
      <c r="CEV64" s="83"/>
      <c r="CFF64" s="83"/>
      <c r="CFP64" s="83"/>
      <c r="CFZ64" s="83"/>
      <c r="CGJ64" s="83"/>
      <c r="CGT64" s="83"/>
      <c r="CHD64" s="83"/>
      <c r="CHN64" s="83"/>
      <c r="CHX64" s="83"/>
      <c r="CIH64" s="83"/>
      <c r="CIR64" s="83"/>
      <c r="CJB64" s="83"/>
      <c r="CJL64" s="83"/>
      <c r="CJV64" s="83"/>
      <c r="CKF64" s="83"/>
      <c r="CKP64" s="83"/>
      <c r="CKZ64" s="83"/>
      <c r="CLJ64" s="83"/>
      <c r="CLT64" s="83"/>
      <c r="CMD64" s="83"/>
      <c r="CMN64" s="83"/>
      <c r="CMX64" s="83"/>
      <c r="CNH64" s="83"/>
      <c r="CNR64" s="83"/>
      <c r="COB64" s="83"/>
      <c r="COL64" s="83"/>
      <c r="COV64" s="83"/>
      <c r="CPF64" s="83"/>
      <c r="CPP64" s="83"/>
      <c r="CPZ64" s="83"/>
      <c r="CQJ64" s="83"/>
      <c r="CQT64" s="83"/>
      <c r="CRD64" s="83"/>
      <c r="CRN64" s="83"/>
      <c r="CRX64" s="83"/>
      <c r="CSH64" s="83"/>
      <c r="CSR64" s="83"/>
      <c r="CTB64" s="83"/>
      <c r="CTL64" s="83"/>
      <c r="CTV64" s="83"/>
    </row>
    <row r="65" s="58" customFormat="1" customHeight="1" spans="1:1020 1030:2040 2050:2570">
      <c r="A65" s="79">
        <v>46149</v>
      </c>
      <c r="B65" s="80" t="s">
        <v>22</v>
      </c>
      <c r="C65" s="38" t="s">
        <v>23</v>
      </c>
      <c r="D65" s="75">
        <v>652359913</v>
      </c>
      <c r="E65" s="84" t="s">
        <v>30</v>
      </c>
      <c r="F65" s="75" t="str">
        <f>VLOOKUP(E65,[5]基础数据!E:H,2,0)</f>
        <v>LP_SHUNT010-AA_A12EV_V1_三防漆双面925_007</v>
      </c>
      <c r="G65" s="75">
        <v>1782</v>
      </c>
      <c r="H65" s="75" t="str">
        <f>VLOOKUP(E65,[5]基础数据!E:H,4,0)</f>
        <v>料盒</v>
      </c>
      <c r="I65" s="75">
        <f>VLOOKUP(E65,[5]基础数据!E:G,3,0)</f>
        <v>162</v>
      </c>
      <c r="J65" s="75" t="s">
        <v>306</v>
      </c>
      <c r="K65" s="82">
        <f t="shared" si="0"/>
        <v>11</v>
      </c>
      <c r="T65" s="83"/>
      <c r="AD65" s="83"/>
      <c r="AN65" s="83"/>
      <c r="AX65" s="83"/>
      <c r="BH65" s="83"/>
      <c r="BR65" s="83"/>
      <c r="CB65" s="83"/>
      <c r="CL65" s="83"/>
      <c r="CV65" s="83"/>
      <c r="DF65" s="83"/>
      <c r="DP65" s="83"/>
      <c r="DZ65" s="83"/>
      <c r="EJ65" s="83"/>
      <c r="ET65" s="83"/>
      <c r="FD65" s="83"/>
      <c r="FN65" s="83"/>
      <c r="FX65" s="83"/>
      <c r="GH65" s="83"/>
      <c r="GR65" s="83"/>
      <c r="HB65" s="83"/>
      <c r="HL65" s="83"/>
      <c r="HV65" s="83"/>
      <c r="IF65" s="83"/>
      <c r="IP65" s="83"/>
      <c r="IZ65" s="83"/>
      <c r="JJ65" s="83"/>
      <c r="JT65" s="83"/>
      <c r="KD65" s="83"/>
      <c r="KN65" s="83"/>
      <c r="KX65" s="83"/>
      <c r="LH65" s="83"/>
      <c r="LR65" s="83"/>
      <c r="MB65" s="83"/>
      <c r="ML65" s="83"/>
      <c r="MV65" s="83"/>
      <c r="NF65" s="83"/>
      <c r="NP65" s="83"/>
      <c r="NZ65" s="83"/>
      <c r="OJ65" s="83"/>
      <c r="OT65" s="83"/>
      <c r="PD65" s="83"/>
      <c r="PN65" s="83"/>
      <c r="PX65" s="83"/>
      <c r="QH65" s="83"/>
      <c r="QR65" s="83"/>
      <c r="RB65" s="83"/>
      <c r="RL65" s="83"/>
      <c r="RV65" s="83"/>
      <c r="SF65" s="83"/>
      <c r="SP65" s="83"/>
      <c r="SZ65" s="83"/>
      <c r="TJ65" s="83"/>
      <c r="TT65" s="83"/>
      <c r="UD65" s="83"/>
      <c r="UN65" s="83"/>
      <c r="UX65" s="83"/>
      <c r="VH65" s="83"/>
      <c r="VR65" s="83"/>
      <c r="WB65" s="83"/>
      <c r="WL65" s="83"/>
      <c r="WV65" s="83"/>
      <c r="XF65" s="83"/>
      <c r="XP65" s="83"/>
      <c r="XZ65" s="83"/>
      <c r="YJ65" s="83"/>
      <c r="YT65" s="83"/>
      <c r="ZD65" s="83"/>
      <c r="ZN65" s="83"/>
      <c r="ZX65" s="83"/>
      <c r="AAH65" s="83"/>
      <c r="AAR65" s="83"/>
      <c r="ABB65" s="83"/>
      <c r="ABL65" s="83"/>
      <c r="ABV65" s="83"/>
      <c r="ACF65" s="83"/>
      <c r="ACP65" s="83"/>
      <c r="ACZ65" s="83"/>
      <c r="ADJ65" s="83"/>
      <c r="ADT65" s="83"/>
      <c r="AED65" s="83"/>
      <c r="AEN65" s="83"/>
      <c r="AEX65" s="83"/>
      <c r="AFH65" s="83"/>
      <c r="AFR65" s="83"/>
      <c r="AGB65" s="83"/>
      <c r="AGL65" s="83"/>
      <c r="AGV65" s="83"/>
      <c r="AHF65" s="83"/>
      <c r="AHP65" s="83"/>
      <c r="AHZ65" s="83"/>
      <c r="AIJ65" s="83"/>
      <c r="AIT65" s="83"/>
      <c r="AJD65" s="83"/>
      <c r="AJN65" s="83"/>
      <c r="AJX65" s="83"/>
      <c r="AKH65" s="83"/>
      <c r="AKR65" s="83"/>
      <c r="ALB65" s="83"/>
      <c r="ALL65" s="83"/>
      <c r="ALV65" s="83"/>
      <c r="AMF65" s="83"/>
      <c r="AMP65" s="83"/>
      <c r="AMZ65" s="83"/>
      <c r="ANJ65" s="83"/>
      <c r="ANT65" s="83"/>
      <c r="AOD65" s="83"/>
      <c r="AON65" s="83"/>
      <c r="AOX65" s="83"/>
      <c r="APH65" s="83"/>
      <c r="APR65" s="83"/>
      <c r="AQB65" s="83"/>
      <c r="AQL65" s="83"/>
      <c r="AQV65" s="83"/>
      <c r="ARF65" s="83"/>
      <c r="ARP65" s="83"/>
      <c r="ARZ65" s="83"/>
      <c r="ASJ65" s="83"/>
      <c r="AST65" s="83"/>
      <c r="ATD65" s="83"/>
      <c r="ATN65" s="83"/>
      <c r="ATX65" s="83"/>
      <c r="AUH65" s="83"/>
      <c r="AUR65" s="83"/>
      <c r="AVB65" s="83"/>
      <c r="AVL65" s="83"/>
      <c r="AVV65" s="83"/>
      <c r="AWF65" s="83"/>
      <c r="AWP65" s="83"/>
      <c r="AWZ65" s="83"/>
      <c r="AXJ65" s="83"/>
      <c r="AXT65" s="83"/>
      <c r="AYD65" s="83"/>
      <c r="AYN65" s="83"/>
      <c r="AYX65" s="83"/>
      <c r="AZH65" s="83"/>
      <c r="AZR65" s="83"/>
      <c r="BAB65" s="83"/>
      <c r="BAL65" s="83"/>
      <c r="BAV65" s="83"/>
      <c r="BBF65" s="83"/>
      <c r="BBP65" s="83"/>
      <c r="BBZ65" s="83"/>
      <c r="BCJ65" s="83"/>
      <c r="BCT65" s="83"/>
      <c r="BDD65" s="83"/>
      <c r="BDN65" s="83"/>
      <c r="BDX65" s="83"/>
      <c r="BEH65" s="83"/>
      <c r="BER65" s="83"/>
      <c r="BFB65" s="83"/>
      <c r="BFL65" s="83"/>
      <c r="BFV65" s="83"/>
      <c r="BGF65" s="83"/>
      <c r="BGP65" s="83"/>
      <c r="BGZ65" s="83"/>
      <c r="BHJ65" s="83"/>
      <c r="BHT65" s="83"/>
      <c r="BID65" s="83"/>
      <c r="BIN65" s="83"/>
      <c r="BIX65" s="83"/>
      <c r="BJH65" s="83"/>
      <c r="BJR65" s="83"/>
      <c r="BKB65" s="83"/>
      <c r="BKL65" s="83"/>
      <c r="BKV65" s="83"/>
      <c r="BLF65" s="83"/>
      <c r="BLP65" s="83"/>
      <c r="BLZ65" s="83"/>
      <c r="BMJ65" s="83"/>
      <c r="BMT65" s="83"/>
      <c r="BND65" s="83"/>
      <c r="BNN65" s="83"/>
      <c r="BNX65" s="83"/>
      <c r="BOH65" s="83"/>
      <c r="BOR65" s="83"/>
      <c r="BPB65" s="83"/>
      <c r="BPL65" s="83"/>
      <c r="BPV65" s="83"/>
      <c r="BQF65" s="83"/>
      <c r="BQP65" s="83"/>
      <c r="BQZ65" s="83"/>
      <c r="BRJ65" s="83"/>
      <c r="BRT65" s="83"/>
      <c r="BSD65" s="83"/>
      <c r="BSN65" s="83"/>
      <c r="BSX65" s="83"/>
      <c r="BTH65" s="83"/>
      <c r="BTR65" s="83"/>
      <c r="BUB65" s="83"/>
      <c r="BUL65" s="83"/>
      <c r="BUV65" s="83"/>
      <c r="BVF65" s="83"/>
      <c r="BVP65" s="83"/>
      <c r="BVZ65" s="83"/>
      <c r="BWJ65" s="83"/>
      <c r="BWT65" s="83"/>
      <c r="BXD65" s="83"/>
      <c r="BXN65" s="83"/>
      <c r="BXX65" s="83"/>
      <c r="BYH65" s="83"/>
      <c r="BYR65" s="83"/>
      <c r="BZB65" s="83"/>
      <c r="BZL65" s="83"/>
      <c r="BZV65" s="83"/>
      <c r="CAF65" s="83"/>
      <c r="CAP65" s="83"/>
      <c r="CAZ65" s="83"/>
      <c r="CBJ65" s="83"/>
      <c r="CBT65" s="83"/>
      <c r="CCD65" s="83"/>
      <c r="CCN65" s="83"/>
      <c r="CCX65" s="83"/>
      <c r="CDH65" s="83"/>
      <c r="CDR65" s="83"/>
      <c r="CEB65" s="83"/>
      <c r="CEL65" s="83"/>
      <c r="CEV65" s="83"/>
      <c r="CFF65" s="83"/>
      <c r="CFP65" s="83"/>
      <c r="CFZ65" s="83"/>
      <c r="CGJ65" s="83"/>
      <c r="CGT65" s="83"/>
      <c r="CHD65" s="83"/>
      <c r="CHN65" s="83"/>
      <c r="CHX65" s="83"/>
      <c r="CIH65" s="83"/>
      <c r="CIR65" s="83"/>
      <c r="CJB65" s="83"/>
      <c r="CJL65" s="83"/>
      <c r="CJV65" s="83"/>
      <c r="CKF65" s="83"/>
      <c r="CKP65" s="83"/>
      <c r="CKZ65" s="83"/>
      <c r="CLJ65" s="83"/>
      <c r="CLT65" s="83"/>
      <c r="CMD65" s="83"/>
      <c r="CMN65" s="83"/>
      <c r="CMX65" s="83"/>
      <c r="CNH65" s="83"/>
      <c r="CNR65" s="83"/>
      <c r="COB65" s="83"/>
      <c r="COL65" s="83"/>
      <c r="COV65" s="83"/>
      <c r="CPF65" s="83"/>
      <c r="CPP65" s="83"/>
      <c r="CPZ65" s="83"/>
      <c r="CQJ65" s="83"/>
      <c r="CQT65" s="83"/>
      <c r="CRD65" s="83"/>
      <c r="CRN65" s="83"/>
      <c r="CRX65" s="83"/>
      <c r="CSH65" s="83"/>
      <c r="CSR65" s="83"/>
      <c r="CTB65" s="83"/>
      <c r="CTL65" s="83"/>
      <c r="CTV65" s="83"/>
    </row>
    <row r="66" s="58" customFormat="1" customHeight="1" spans="1:1020 1030:2040 2050:2570">
      <c r="A66" s="79">
        <v>46149</v>
      </c>
      <c r="B66" s="80" t="s">
        <v>22</v>
      </c>
      <c r="C66" s="38" t="s">
        <v>23</v>
      </c>
      <c r="D66" s="75">
        <v>652360185</v>
      </c>
      <c r="E66" s="84" t="s">
        <v>147</v>
      </c>
      <c r="F66" s="75" t="str">
        <f>VLOOKUP(E66,[5]基础数据!E:H,2,0)</f>
        <v>LP-BSU070-AA_T1616_46S_V1_凡申40_三防漆双面925截</v>
      </c>
      <c r="G66" s="75">
        <v>192</v>
      </c>
      <c r="H66" s="75" t="str">
        <f>VLOOKUP(E66,[5]基础数据!E:H,4,0)</f>
        <v>料盒</v>
      </c>
      <c r="I66" s="75">
        <f>VLOOKUP(E66,[5]基础数据!E:G,3,0)</f>
        <v>24</v>
      </c>
      <c r="J66" s="75" t="s">
        <v>306</v>
      </c>
      <c r="K66" s="82">
        <f t="shared" si="0"/>
        <v>8</v>
      </c>
      <c r="T66" s="83"/>
      <c r="AD66" s="83"/>
      <c r="AN66" s="83"/>
      <c r="AX66" s="83"/>
      <c r="BH66" s="83"/>
      <c r="BR66" s="83"/>
      <c r="CB66" s="83"/>
      <c r="CL66" s="83"/>
      <c r="CV66" s="83"/>
      <c r="DF66" s="83"/>
      <c r="DP66" s="83"/>
      <c r="DZ66" s="83"/>
      <c r="EJ66" s="83"/>
      <c r="ET66" s="83"/>
      <c r="FD66" s="83"/>
      <c r="FN66" s="83"/>
      <c r="FX66" s="83"/>
      <c r="GH66" s="83"/>
      <c r="GR66" s="83"/>
      <c r="HB66" s="83"/>
      <c r="HL66" s="83"/>
      <c r="HV66" s="83"/>
      <c r="IF66" s="83"/>
      <c r="IP66" s="83"/>
      <c r="IZ66" s="83"/>
      <c r="JJ66" s="83"/>
      <c r="JT66" s="83"/>
      <c r="KD66" s="83"/>
      <c r="KN66" s="83"/>
      <c r="KX66" s="83"/>
      <c r="LH66" s="83"/>
      <c r="LR66" s="83"/>
      <c r="MB66" s="83"/>
      <c r="ML66" s="83"/>
      <c r="MV66" s="83"/>
      <c r="NF66" s="83"/>
      <c r="NP66" s="83"/>
      <c r="NZ66" s="83"/>
      <c r="OJ66" s="83"/>
      <c r="OT66" s="83"/>
      <c r="PD66" s="83"/>
      <c r="PN66" s="83"/>
      <c r="PX66" s="83"/>
      <c r="QH66" s="83"/>
      <c r="QR66" s="83"/>
      <c r="RB66" s="83"/>
      <c r="RL66" s="83"/>
      <c r="RV66" s="83"/>
      <c r="SF66" s="83"/>
      <c r="SP66" s="83"/>
      <c r="SZ66" s="83"/>
      <c r="TJ66" s="83"/>
      <c r="TT66" s="83"/>
      <c r="UD66" s="83"/>
      <c r="UN66" s="83"/>
      <c r="UX66" s="83"/>
      <c r="VH66" s="83"/>
      <c r="VR66" s="83"/>
      <c r="WB66" s="83"/>
      <c r="WL66" s="83"/>
      <c r="WV66" s="83"/>
      <c r="XF66" s="83"/>
      <c r="XP66" s="83"/>
      <c r="XZ66" s="83"/>
      <c r="YJ66" s="83"/>
      <c r="YT66" s="83"/>
      <c r="ZD66" s="83"/>
      <c r="ZN66" s="83"/>
      <c r="ZX66" s="83"/>
      <c r="AAH66" s="83"/>
      <c r="AAR66" s="83"/>
      <c r="ABB66" s="83"/>
      <c r="ABL66" s="83"/>
      <c r="ABV66" s="83"/>
      <c r="ACF66" s="83"/>
      <c r="ACP66" s="83"/>
      <c r="ACZ66" s="83"/>
      <c r="ADJ66" s="83"/>
      <c r="ADT66" s="83"/>
      <c r="AED66" s="83"/>
      <c r="AEN66" s="83"/>
      <c r="AEX66" s="83"/>
      <c r="AFH66" s="83"/>
      <c r="AFR66" s="83"/>
      <c r="AGB66" s="83"/>
      <c r="AGL66" s="83"/>
      <c r="AGV66" s="83"/>
      <c r="AHF66" s="83"/>
      <c r="AHP66" s="83"/>
      <c r="AHZ66" s="83"/>
      <c r="AIJ66" s="83"/>
      <c r="AIT66" s="83"/>
      <c r="AJD66" s="83"/>
      <c r="AJN66" s="83"/>
      <c r="AJX66" s="83"/>
      <c r="AKH66" s="83"/>
      <c r="AKR66" s="83"/>
      <c r="ALB66" s="83"/>
      <c r="ALL66" s="83"/>
      <c r="ALV66" s="83"/>
      <c r="AMF66" s="83"/>
      <c r="AMP66" s="83"/>
      <c r="AMZ66" s="83"/>
      <c r="ANJ66" s="83"/>
      <c r="ANT66" s="83"/>
      <c r="AOD66" s="83"/>
      <c r="AON66" s="83"/>
      <c r="AOX66" s="83"/>
      <c r="APH66" s="83"/>
      <c r="APR66" s="83"/>
      <c r="AQB66" s="83"/>
      <c r="AQL66" s="83"/>
      <c r="AQV66" s="83"/>
      <c r="ARF66" s="83"/>
      <c r="ARP66" s="83"/>
      <c r="ARZ66" s="83"/>
      <c r="ASJ66" s="83"/>
      <c r="AST66" s="83"/>
      <c r="ATD66" s="83"/>
      <c r="ATN66" s="83"/>
      <c r="ATX66" s="83"/>
      <c r="AUH66" s="83"/>
      <c r="AUR66" s="83"/>
      <c r="AVB66" s="83"/>
      <c r="AVL66" s="83"/>
      <c r="AVV66" s="83"/>
      <c r="AWF66" s="83"/>
      <c r="AWP66" s="83"/>
      <c r="AWZ66" s="83"/>
      <c r="AXJ66" s="83"/>
      <c r="AXT66" s="83"/>
      <c r="AYD66" s="83"/>
      <c r="AYN66" s="83"/>
      <c r="AYX66" s="83"/>
      <c r="AZH66" s="83"/>
      <c r="AZR66" s="83"/>
      <c r="BAB66" s="83"/>
      <c r="BAL66" s="83"/>
      <c r="BAV66" s="83"/>
      <c r="BBF66" s="83"/>
      <c r="BBP66" s="83"/>
      <c r="BBZ66" s="83"/>
      <c r="BCJ66" s="83"/>
      <c r="BCT66" s="83"/>
      <c r="BDD66" s="83"/>
      <c r="BDN66" s="83"/>
      <c r="BDX66" s="83"/>
      <c r="BEH66" s="83"/>
      <c r="BER66" s="83"/>
      <c r="BFB66" s="83"/>
      <c r="BFL66" s="83"/>
      <c r="BFV66" s="83"/>
      <c r="BGF66" s="83"/>
      <c r="BGP66" s="83"/>
      <c r="BGZ66" s="83"/>
      <c r="BHJ66" s="83"/>
      <c r="BHT66" s="83"/>
      <c r="BID66" s="83"/>
      <c r="BIN66" s="83"/>
      <c r="BIX66" s="83"/>
      <c r="BJH66" s="83"/>
      <c r="BJR66" s="83"/>
      <c r="BKB66" s="83"/>
      <c r="BKL66" s="83"/>
      <c r="BKV66" s="83"/>
      <c r="BLF66" s="83"/>
      <c r="BLP66" s="83"/>
      <c r="BLZ66" s="83"/>
      <c r="BMJ66" s="83"/>
      <c r="BMT66" s="83"/>
      <c r="BND66" s="83"/>
      <c r="BNN66" s="83"/>
      <c r="BNX66" s="83"/>
      <c r="BOH66" s="83"/>
      <c r="BOR66" s="83"/>
      <c r="BPB66" s="83"/>
      <c r="BPL66" s="83"/>
      <c r="BPV66" s="83"/>
      <c r="BQF66" s="83"/>
      <c r="BQP66" s="83"/>
      <c r="BQZ66" s="83"/>
      <c r="BRJ66" s="83"/>
      <c r="BRT66" s="83"/>
      <c r="BSD66" s="83"/>
      <c r="BSN66" s="83"/>
      <c r="BSX66" s="83"/>
      <c r="BTH66" s="83"/>
      <c r="BTR66" s="83"/>
      <c r="BUB66" s="83"/>
      <c r="BUL66" s="83"/>
      <c r="BUV66" s="83"/>
      <c r="BVF66" s="83"/>
      <c r="BVP66" s="83"/>
      <c r="BVZ66" s="83"/>
      <c r="BWJ66" s="83"/>
      <c r="BWT66" s="83"/>
      <c r="BXD66" s="83"/>
      <c r="BXN66" s="83"/>
      <c r="BXX66" s="83"/>
      <c r="BYH66" s="83"/>
      <c r="BYR66" s="83"/>
      <c r="BZB66" s="83"/>
      <c r="BZL66" s="83"/>
      <c r="BZV66" s="83"/>
      <c r="CAF66" s="83"/>
      <c r="CAP66" s="83"/>
      <c r="CAZ66" s="83"/>
      <c r="CBJ66" s="83"/>
      <c r="CBT66" s="83"/>
      <c r="CCD66" s="83"/>
      <c r="CCN66" s="83"/>
      <c r="CCX66" s="83"/>
      <c r="CDH66" s="83"/>
      <c r="CDR66" s="83"/>
      <c r="CEB66" s="83"/>
      <c r="CEL66" s="83"/>
      <c r="CEV66" s="83"/>
      <c r="CFF66" s="83"/>
      <c r="CFP66" s="83"/>
      <c r="CFZ66" s="83"/>
      <c r="CGJ66" s="83"/>
      <c r="CGT66" s="83"/>
      <c r="CHD66" s="83"/>
      <c r="CHN66" s="83"/>
      <c r="CHX66" s="83"/>
      <c r="CIH66" s="83"/>
      <c r="CIR66" s="83"/>
      <c r="CJB66" s="83"/>
      <c r="CJL66" s="83"/>
      <c r="CJV66" s="83"/>
      <c r="CKF66" s="83"/>
      <c r="CKP66" s="83"/>
      <c r="CKZ66" s="83"/>
      <c r="CLJ66" s="83"/>
      <c r="CLT66" s="83"/>
      <c r="CMD66" s="83"/>
      <c r="CMN66" s="83"/>
      <c r="CMX66" s="83"/>
      <c r="CNH66" s="83"/>
      <c r="CNR66" s="83"/>
      <c r="COB66" s="83"/>
      <c r="COL66" s="83"/>
      <c r="COV66" s="83"/>
      <c r="CPF66" s="83"/>
      <c r="CPP66" s="83"/>
      <c r="CPZ66" s="83"/>
      <c r="CQJ66" s="83"/>
      <c r="CQT66" s="83"/>
      <c r="CRD66" s="83"/>
      <c r="CRN66" s="83"/>
      <c r="CRX66" s="83"/>
      <c r="CSH66" s="83"/>
      <c r="CSR66" s="83"/>
      <c r="CTB66" s="83"/>
      <c r="CTL66" s="83"/>
      <c r="CTV66" s="83"/>
    </row>
    <row r="67" s="58" customFormat="1" customHeight="1" spans="1:1020 1030:2040 2050:2570">
      <c r="A67" s="79">
        <v>46150</v>
      </c>
      <c r="B67" s="80" t="s">
        <v>22</v>
      </c>
      <c r="C67" s="38" t="s">
        <v>23</v>
      </c>
      <c r="D67" s="75">
        <v>652366200</v>
      </c>
      <c r="E67" s="84" t="s">
        <v>144</v>
      </c>
      <c r="F67" s="75" t="str">
        <f>VLOOKUP(E67,[6]基础数据!E:H,2,0)</f>
        <v>LP-BSU070-AA_T1616_A_24S_V1_凡申40_三防漆双面9截</v>
      </c>
      <c r="G67" s="75">
        <v>144</v>
      </c>
      <c r="H67" s="75" t="str">
        <f>VLOOKUP(E67,[6]基础数据!E:H,4,0)</f>
        <v>料盒</v>
      </c>
      <c r="I67" s="75">
        <f>VLOOKUP(E67,[6]基础数据!E:G,3,0)</f>
        <v>48</v>
      </c>
      <c r="J67" s="75" t="s">
        <v>306</v>
      </c>
      <c r="K67" s="82">
        <f t="shared" si="0"/>
        <v>3</v>
      </c>
      <c r="T67" s="83"/>
      <c r="AD67" s="83"/>
      <c r="AN67" s="83"/>
      <c r="AX67" s="83"/>
      <c r="BH67" s="83"/>
      <c r="BR67" s="83"/>
      <c r="CB67" s="83"/>
      <c r="CL67" s="83"/>
      <c r="CV67" s="83"/>
      <c r="DF67" s="83"/>
      <c r="DP67" s="83"/>
      <c r="DZ67" s="83"/>
      <c r="EJ67" s="83"/>
      <c r="ET67" s="83"/>
      <c r="FD67" s="83"/>
      <c r="FN67" s="83"/>
      <c r="FX67" s="83"/>
      <c r="GH67" s="83"/>
      <c r="GR67" s="83"/>
      <c r="HB67" s="83"/>
      <c r="HL67" s="83"/>
      <c r="HV67" s="83"/>
      <c r="IF67" s="83"/>
      <c r="IP67" s="83"/>
      <c r="IZ67" s="83"/>
      <c r="JJ67" s="83"/>
      <c r="JT67" s="83"/>
      <c r="KD67" s="83"/>
      <c r="KN67" s="83"/>
      <c r="KX67" s="83"/>
      <c r="LH67" s="83"/>
      <c r="LR67" s="83"/>
      <c r="MB67" s="83"/>
      <c r="ML67" s="83"/>
      <c r="MV67" s="83"/>
      <c r="NF67" s="83"/>
      <c r="NP67" s="83"/>
      <c r="NZ67" s="83"/>
      <c r="OJ67" s="83"/>
      <c r="OT67" s="83"/>
      <c r="PD67" s="83"/>
      <c r="PN67" s="83"/>
      <c r="PX67" s="83"/>
      <c r="QH67" s="83"/>
      <c r="QR67" s="83"/>
      <c r="RB67" s="83"/>
      <c r="RL67" s="83"/>
      <c r="RV67" s="83"/>
      <c r="SF67" s="83"/>
      <c r="SP67" s="83"/>
      <c r="SZ67" s="83"/>
      <c r="TJ67" s="83"/>
      <c r="TT67" s="83"/>
      <c r="UD67" s="83"/>
      <c r="UN67" s="83"/>
      <c r="UX67" s="83"/>
      <c r="VH67" s="83"/>
      <c r="VR67" s="83"/>
      <c r="WB67" s="83"/>
      <c r="WL67" s="83"/>
      <c r="WV67" s="83"/>
      <c r="XF67" s="83"/>
      <c r="XP67" s="83"/>
      <c r="XZ67" s="83"/>
      <c r="YJ67" s="83"/>
      <c r="YT67" s="83"/>
      <c r="ZD67" s="83"/>
      <c r="ZN67" s="83"/>
      <c r="ZX67" s="83"/>
      <c r="AAH67" s="83"/>
      <c r="AAR67" s="83"/>
      <c r="ABB67" s="83"/>
      <c r="ABL67" s="83"/>
      <c r="ABV67" s="83"/>
      <c r="ACF67" s="83"/>
      <c r="ACP67" s="83"/>
      <c r="ACZ67" s="83"/>
      <c r="ADJ67" s="83"/>
      <c r="ADT67" s="83"/>
      <c r="AED67" s="83"/>
      <c r="AEN67" s="83"/>
      <c r="AEX67" s="83"/>
      <c r="AFH67" s="83"/>
      <c r="AFR67" s="83"/>
      <c r="AGB67" s="83"/>
      <c r="AGL67" s="83"/>
      <c r="AGV67" s="83"/>
      <c r="AHF67" s="83"/>
      <c r="AHP67" s="83"/>
      <c r="AHZ67" s="83"/>
      <c r="AIJ67" s="83"/>
      <c r="AIT67" s="83"/>
      <c r="AJD67" s="83"/>
      <c r="AJN67" s="83"/>
      <c r="AJX67" s="83"/>
      <c r="AKH67" s="83"/>
      <c r="AKR67" s="83"/>
      <c r="ALB67" s="83"/>
      <c r="ALL67" s="83"/>
      <c r="ALV67" s="83"/>
      <c r="AMF67" s="83"/>
      <c r="AMP67" s="83"/>
      <c r="AMZ67" s="83"/>
      <c r="ANJ67" s="83"/>
      <c r="ANT67" s="83"/>
      <c r="AOD67" s="83"/>
      <c r="AON67" s="83"/>
      <c r="AOX67" s="83"/>
      <c r="APH67" s="83"/>
      <c r="APR67" s="83"/>
      <c r="AQB67" s="83"/>
      <c r="AQL67" s="83"/>
      <c r="AQV67" s="83"/>
      <c r="ARF67" s="83"/>
      <c r="ARP67" s="83"/>
      <c r="ARZ67" s="83"/>
      <c r="ASJ67" s="83"/>
      <c r="AST67" s="83"/>
      <c r="ATD67" s="83"/>
      <c r="ATN67" s="83"/>
      <c r="ATX67" s="83"/>
      <c r="AUH67" s="83"/>
      <c r="AUR67" s="83"/>
      <c r="AVB67" s="83"/>
      <c r="AVL67" s="83"/>
      <c r="AVV67" s="83"/>
      <c r="AWF67" s="83"/>
      <c r="AWP67" s="83"/>
      <c r="AWZ67" s="83"/>
      <c r="AXJ67" s="83"/>
      <c r="AXT67" s="83"/>
      <c r="AYD67" s="83"/>
      <c r="AYN67" s="83"/>
      <c r="AYX67" s="83"/>
      <c r="AZH67" s="83"/>
      <c r="AZR67" s="83"/>
      <c r="BAB67" s="83"/>
      <c r="BAL67" s="83"/>
      <c r="BAV67" s="83"/>
      <c r="BBF67" s="83"/>
      <c r="BBP67" s="83"/>
      <c r="BBZ67" s="83"/>
      <c r="BCJ67" s="83"/>
      <c r="BCT67" s="83"/>
      <c r="BDD67" s="83"/>
      <c r="BDN67" s="83"/>
      <c r="BDX67" s="83"/>
      <c r="BEH67" s="83"/>
      <c r="BER67" s="83"/>
      <c r="BFB67" s="83"/>
      <c r="BFL67" s="83"/>
      <c r="BFV67" s="83"/>
      <c r="BGF67" s="83"/>
      <c r="BGP67" s="83"/>
      <c r="BGZ67" s="83"/>
      <c r="BHJ67" s="83"/>
      <c r="BHT67" s="83"/>
      <c r="BID67" s="83"/>
      <c r="BIN67" s="83"/>
      <c r="BIX67" s="83"/>
      <c r="BJH67" s="83"/>
      <c r="BJR67" s="83"/>
      <c r="BKB67" s="83"/>
      <c r="BKL67" s="83"/>
      <c r="BKV67" s="83"/>
      <c r="BLF67" s="83"/>
      <c r="BLP67" s="83"/>
      <c r="BLZ67" s="83"/>
      <c r="BMJ67" s="83"/>
      <c r="BMT67" s="83"/>
      <c r="BND67" s="83"/>
      <c r="BNN67" s="83"/>
      <c r="BNX67" s="83"/>
      <c r="BOH67" s="83"/>
      <c r="BOR67" s="83"/>
      <c r="BPB67" s="83"/>
      <c r="BPL67" s="83"/>
      <c r="BPV67" s="83"/>
      <c r="BQF67" s="83"/>
      <c r="BQP67" s="83"/>
      <c r="BQZ67" s="83"/>
      <c r="BRJ67" s="83"/>
      <c r="BRT67" s="83"/>
      <c r="BSD67" s="83"/>
      <c r="BSN67" s="83"/>
      <c r="BSX67" s="83"/>
      <c r="BTH67" s="83"/>
      <c r="BTR67" s="83"/>
      <c r="BUB67" s="83"/>
      <c r="BUL67" s="83"/>
      <c r="BUV67" s="83"/>
      <c r="BVF67" s="83"/>
      <c r="BVP67" s="83"/>
      <c r="BVZ67" s="83"/>
      <c r="BWJ67" s="83"/>
      <c r="BWT67" s="83"/>
      <c r="BXD67" s="83"/>
      <c r="BXN67" s="83"/>
      <c r="BXX67" s="83"/>
      <c r="BYH67" s="83"/>
      <c r="BYR67" s="83"/>
      <c r="BZB67" s="83"/>
      <c r="BZL67" s="83"/>
      <c r="BZV67" s="83"/>
      <c r="CAF67" s="83"/>
      <c r="CAP67" s="83"/>
      <c r="CAZ67" s="83"/>
      <c r="CBJ67" s="83"/>
      <c r="CBT67" s="83"/>
      <c r="CCD67" s="83"/>
      <c r="CCN67" s="83"/>
      <c r="CCX67" s="83"/>
      <c r="CDH67" s="83"/>
      <c r="CDR67" s="83"/>
      <c r="CEB67" s="83"/>
      <c r="CEL67" s="83"/>
      <c r="CEV67" s="83"/>
      <c r="CFF67" s="83"/>
      <c r="CFP67" s="83"/>
      <c r="CFZ67" s="83"/>
      <c r="CGJ67" s="83"/>
      <c r="CGT67" s="83"/>
      <c r="CHD67" s="83"/>
      <c r="CHN67" s="83"/>
      <c r="CHX67" s="83"/>
      <c r="CIH67" s="83"/>
      <c r="CIR67" s="83"/>
      <c r="CJB67" s="83"/>
      <c r="CJL67" s="83"/>
      <c r="CJV67" s="83"/>
      <c r="CKF67" s="83"/>
      <c r="CKP67" s="83"/>
      <c r="CKZ67" s="83"/>
      <c r="CLJ67" s="83"/>
      <c r="CLT67" s="83"/>
      <c r="CMD67" s="83"/>
      <c r="CMN67" s="83"/>
      <c r="CMX67" s="83"/>
      <c r="CNH67" s="83"/>
      <c r="CNR67" s="83"/>
      <c r="COB67" s="83"/>
      <c r="COL67" s="83"/>
      <c r="COV67" s="83"/>
      <c r="CPF67" s="83"/>
      <c r="CPP67" s="83"/>
      <c r="CPZ67" s="83"/>
      <c r="CQJ67" s="83"/>
      <c r="CQT67" s="83"/>
      <c r="CRD67" s="83"/>
      <c r="CRN67" s="83"/>
      <c r="CRX67" s="83"/>
      <c r="CSH67" s="83"/>
      <c r="CSR67" s="83"/>
      <c r="CTB67" s="83"/>
      <c r="CTL67" s="83"/>
      <c r="CTV67" s="83"/>
    </row>
    <row r="68" s="58" customFormat="1" customHeight="1" spans="1:1020 1030:2040 2050:2570">
      <c r="A68" s="79">
        <v>46150</v>
      </c>
      <c r="B68" s="80" t="s">
        <v>22</v>
      </c>
      <c r="C68" s="38" t="s">
        <v>23</v>
      </c>
      <c r="D68" s="75">
        <v>652366200</v>
      </c>
      <c r="E68" s="84" t="s">
        <v>147</v>
      </c>
      <c r="F68" s="75" t="str">
        <f>VLOOKUP(E68,[6]基础数据!E:H,2,0)</f>
        <v>LP-BSU070-AA_T1616_46S_V1_凡申40_三防漆双面925截</v>
      </c>
      <c r="G68" s="75">
        <v>240</v>
      </c>
      <c r="H68" s="75" t="str">
        <f>VLOOKUP(E68,[6]基础数据!E:H,4,0)</f>
        <v>料盒</v>
      </c>
      <c r="I68" s="75">
        <f>VLOOKUP(E68,[6]基础数据!E:G,3,0)</f>
        <v>24</v>
      </c>
      <c r="J68" s="75" t="s">
        <v>306</v>
      </c>
      <c r="K68" s="82">
        <f t="shared" si="0"/>
        <v>10</v>
      </c>
      <c r="T68" s="83"/>
      <c r="AD68" s="83"/>
      <c r="AN68" s="83"/>
      <c r="AX68" s="83"/>
      <c r="BH68" s="83"/>
      <c r="BR68" s="83"/>
      <c r="CB68" s="83"/>
      <c r="CL68" s="83"/>
      <c r="CV68" s="83"/>
      <c r="DF68" s="83"/>
      <c r="DP68" s="83"/>
      <c r="DZ68" s="83"/>
      <c r="EJ68" s="83"/>
      <c r="ET68" s="83"/>
      <c r="FD68" s="83"/>
      <c r="FN68" s="83"/>
      <c r="FX68" s="83"/>
      <c r="GH68" s="83"/>
      <c r="GR68" s="83"/>
      <c r="HB68" s="83"/>
      <c r="HL68" s="83"/>
      <c r="HV68" s="83"/>
      <c r="IF68" s="83"/>
      <c r="IP68" s="83"/>
      <c r="IZ68" s="83"/>
      <c r="JJ68" s="83"/>
      <c r="JT68" s="83"/>
      <c r="KD68" s="83"/>
      <c r="KN68" s="83"/>
      <c r="KX68" s="83"/>
      <c r="LH68" s="83"/>
      <c r="LR68" s="83"/>
      <c r="MB68" s="83"/>
      <c r="ML68" s="83"/>
      <c r="MV68" s="83"/>
      <c r="NF68" s="83"/>
      <c r="NP68" s="83"/>
      <c r="NZ68" s="83"/>
      <c r="OJ68" s="83"/>
      <c r="OT68" s="83"/>
      <c r="PD68" s="83"/>
      <c r="PN68" s="83"/>
      <c r="PX68" s="83"/>
      <c r="QH68" s="83"/>
      <c r="QR68" s="83"/>
      <c r="RB68" s="83"/>
      <c r="RL68" s="83"/>
      <c r="RV68" s="83"/>
      <c r="SF68" s="83"/>
      <c r="SP68" s="83"/>
      <c r="SZ68" s="83"/>
      <c r="TJ68" s="83"/>
      <c r="TT68" s="83"/>
      <c r="UD68" s="83"/>
      <c r="UN68" s="83"/>
      <c r="UX68" s="83"/>
      <c r="VH68" s="83"/>
      <c r="VR68" s="83"/>
      <c r="WB68" s="83"/>
      <c r="WL68" s="83"/>
      <c r="WV68" s="83"/>
      <c r="XF68" s="83"/>
      <c r="XP68" s="83"/>
      <c r="XZ68" s="83"/>
      <c r="YJ68" s="83"/>
      <c r="YT68" s="83"/>
      <c r="ZD68" s="83"/>
      <c r="ZN68" s="83"/>
      <c r="ZX68" s="83"/>
      <c r="AAH68" s="83"/>
      <c r="AAR68" s="83"/>
      <c r="ABB68" s="83"/>
      <c r="ABL68" s="83"/>
      <c r="ABV68" s="83"/>
      <c r="ACF68" s="83"/>
      <c r="ACP68" s="83"/>
      <c r="ACZ68" s="83"/>
      <c r="ADJ68" s="83"/>
      <c r="ADT68" s="83"/>
      <c r="AED68" s="83"/>
      <c r="AEN68" s="83"/>
      <c r="AEX68" s="83"/>
      <c r="AFH68" s="83"/>
      <c r="AFR68" s="83"/>
      <c r="AGB68" s="83"/>
      <c r="AGL68" s="83"/>
      <c r="AGV68" s="83"/>
      <c r="AHF68" s="83"/>
      <c r="AHP68" s="83"/>
      <c r="AHZ68" s="83"/>
      <c r="AIJ68" s="83"/>
      <c r="AIT68" s="83"/>
      <c r="AJD68" s="83"/>
      <c r="AJN68" s="83"/>
      <c r="AJX68" s="83"/>
      <c r="AKH68" s="83"/>
      <c r="AKR68" s="83"/>
      <c r="ALB68" s="83"/>
      <c r="ALL68" s="83"/>
      <c r="ALV68" s="83"/>
      <c r="AMF68" s="83"/>
      <c r="AMP68" s="83"/>
      <c r="AMZ68" s="83"/>
      <c r="ANJ68" s="83"/>
      <c r="ANT68" s="83"/>
      <c r="AOD68" s="83"/>
      <c r="AON68" s="83"/>
      <c r="AOX68" s="83"/>
      <c r="APH68" s="83"/>
      <c r="APR68" s="83"/>
      <c r="AQB68" s="83"/>
      <c r="AQL68" s="83"/>
      <c r="AQV68" s="83"/>
      <c r="ARF68" s="83"/>
      <c r="ARP68" s="83"/>
      <c r="ARZ68" s="83"/>
      <c r="ASJ68" s="83"/>
      <c r="AST68" s="83"/>
      <c r="ATD68" s="83"/>
      <c r="ATN68" s="83"/>
      <c r="ATX68" s="83"/>
      <c r="AUH68" s="83"/>
      <c r="AUR68" s="83"/>
      <c r="AVB68" s="83"/>
      <c r="AVL68" s="83"/>
      <c r="AVV68" s="83"/>
      <c r="AWF68" s="83"/>
      <c r="AWP68" s="83"/>
      <c r="AWZ68" s="83"/>
      <c r="AXJ68" s="83"/>
      <c r="AXT68" s="83"/>
      <c r="AYD68" s="83"/>
      <c r="AYN68" s="83"/>
      <c r="AYX68" s="83"/>
      <c r="AZH68" s="83"/>
      <c r="AZR68" s="83"/>
      <c r="BAB68" s="83"/>
      <c r="BAL68" s="83"/>
      <c r="BAV68" s="83"/>
      <c r="BBF68" s="83"/>
      <c r="BBP68" s="83"/>
      <c r="BBZ68" s="83"/>
      <c r="BCJ68" s="83"/>
      <c r="BCT68" s="83"/>
      <c r="BDD68" s="83"/>
      <c r="BDN68" s="83"/>
      <c r="BDX68" s="83"/>
      <c r="BEH68" s="83"/>
      <c r="BER68" s="83"/>
      <c r="BFB68" s="83"/>
      <c r="BFL68" s="83"/>
      <c r="BFV68" s="83"/>
      <c r="BGF68" s="83"/>
      <c r="BGP68" s="83"/>
      <c r="BGZ68" s="83"/>
      <c r="BHJ68" s="83"/>
      <c r="BHT68" s="83"/>
      <c r="BID68" s="83"/>
      <c r="BIN68" s="83"/>
      <c r="BIX68" s="83"/>
      <c r="BJH68" s="83"/>
      <c r="BJR68" s="83"/>
      <c r="BKB68" s="83"/>
      <c r="BKL68" s="83"/>
      <c r="BKV68" s="83"/>
      <c r="BLF68" s="83"/>
      <c r="BLP68" s="83"/>
      <c r="BLZ68" s="83"/>
      <c r="BMJ68" s="83"/>
      <c r="BMT68" s="83"/>
      <c r="BND68" s="83"/>
      <c r="BNN68" s="83"/>
      <c r="BNX68" s="83"/>
      <c r="BOH68" s="83"/>
      <c r="BOR68" s="83"/>
      <c r="BPB68" s="83"/>
      <c r="BPL68" s="83"/>
      <c r="BPV68" s="83"/>
      <c r="BQF68" s="83"/>
      <c r="BQP68" s="83"/>
      <c r="BQZ68" s="83"/>
      <c r="BRJ68" s="83"/>
      <c r="BRT68" s="83"/>
      <c r="BSD68" s="83"/>
      <c r="BSN68" s="83"/>
      <c r="BSX68" s="83"/>
      <c r="BTH68" s="83"/>
      <c r="BTR68" s="83"/>
      <c r="BUB68" s="83"/>
      <c r="BUL68" s="83"/>
      <c r="BUV68" s="83"/>
      <c r="BVF68" s="83"/>
      <c r="BVP68" s="83"/>
      <c r="BVZ68" s="83"/>
      <c r="BWJ68" s="83"/>
      <c r="BWT68" s="83"/>
      <c r="BXD68" s="83"/>
      <c r="BXN68" s="83"/>
      <c r="BXX68" s="83"/>
      <c r="BYH68" s="83"/>
      <c r="BYR68" s="83"/>
      <c r="BZB68" s="83"/>
      <c r="BZL68" s="83"/>
      <c r="BZV68" s="83"/>
      <c r="CAF68" s="83"/>
      <c r="CAP68" s="83"/>
      <c r="CAZ68" s="83"/>
      <c r="CBJ68" s="83"/>
      <c r="CBT68" s="83"/>
      <c r="CCD68" s="83"/>
      <c r="CCN68" s="83"/>
      <c r="CCX68" s="83"/>
      <c r="CDH68" s="83"/>
      <c r="CDR68" s="83"/>
      <c r="CEB68" s="83"/>
      <c r="CEL68" s="83"/>
      <c r="CEV68" s="83"/>
      <c r="CFF68" s="83"/>
      <c r="CFP68" s="83"/>
      <c r="CFZ68" s="83"/>
      <c r="CGJ68" s="83"/>
      <c r="CGT68" s="83"/>
      <c r="CHD68" s="83"/>
      <c r="CHN68" s="83"/>
      <c r="CHX68" s="83"/>
      <c r="CIH68" s="83"/>
      <c r="CIR68" s="83"/>
      <c r="CJB68" s="83"/>
      <c r="CJL68" s="83"/>
      <c r="CJV68" s="83"/>
      <c r="CKF68" s="83"/>
      <c r="CKP68" s="83"/>
      <c r="CKZ68" s="83"/>
      <c r="CLJ68" s="83"/>
      <c r="CLT68" s="83"/>
      <c r="CMD68" s="83"/>
      <c r="CMN68" s="83"/>
      <c r="CMX68" s="83"/>
      <c r="CNH68" s="83"/>
      <c r="CNR68" s="83"/>
      <c r="COB68" s="83"/>
      <c r="COL68" s="83"/>
      <c r="COV68" s="83"/>
      <c r="CPF68" s="83"/>
      <c r="CPP68" s="83"/>
      <c r="CPZ68" s="83"/>
      <c r="CQJ68" s="83"/>
      <c r="CQT68" s="83"/>
      <c r="CRD68" s="83"/>
      <c r="CRN68" s="83"/>
      <c r="CRX68" s="83"/>
      <c r="CSH68" s="83"/>
      <c r="CSR68" s="83"/>
      <c r="CTB68" s="83"/>
      <c r="CTL68" s="83"/>
      <c r="CTV68" s="83"/>
    </row>
    <row r="69" s="58" customFormat="1" customHeight="1" spans="1:1020 1030:2040 2050:2570">
      <c r="A69" s="79">
        <v>46150</v>
      </c>
      <c r="B69" s="80" t="s">
        <v>22</v>
      </c>
      <c r="C69" s="38" t="s">
        <v>23</v>
      </c>
      <c r="D69" s="75">
        <v>652365467</v>
      </c>
      <c r="E69" s="84" t="s">
        <v>30</v>
      </c>
      <c r="F69" s="75" t="str">
        <f>VLOOKUP(E69,[6]基础数据!E:H,2,0)</f>
        <v>LP_SHUNT010-AA_A12EV_V1_三防漆双面925_007</v>
      </c>
      <c r="G69" s="75">
        <v>799</v>
      </c>
      <c r="H69" s="75" t="str">
        <f>VLOOKUP(E69,[6]基础数据!E:H,4,0)</f>
        <v>料盒</v>
      </c>
      <c r="I69" s="75">
        <f>VLOOKUP(E69,[6]基础数据!E:G,3,0)</f>
        <v>162</v>
      </c>
      <c r="J69" s="75" t="s">
        <v>306</v>
      </c>
      <c r="K69" s="82">
        <f t="shared" ref="K69:K119" si="1">IFERROR(G69/I69,"")</f>
        <v>4.9320987654321</v>
      </c>
      <c r="T69" s="83"/>
      <c r="AD69" s="83"/>
      <c r="AN69" s="83"/>
      <c r="AX69" s="83"/>
      <c r="BH69" s="83"/>
      <c r="BR69" s="83"/>
      <c r="CB69" s="83"/>
      <c r="CL69" s="83"/>
      <c r="CV69" s="83"/>
      <c r="DF69" s="83"/>
      <c r="DP69" s="83"/>
      <c r="DZ69" s="83"/>
      <c r="EJ69" s="83"/>
      <c r="ET69" s="83"/>
      <c r="FD69" s="83"/>
      <c r="FN69" s="83"/>
      <c r="FX69" s="83"/>
      <c r="GH69" s="83"/>
      <c r="GR69" s="83"/>
      <c r="HB69" s="83"/>
      <c r="HL69" s="83"/>
      <c r="HV69" s="83"/>
      <c r="IF69" s="83"/>
      <c r="IP69" s="83"/>
      <c r="IZ69" s="83"/>
      <c r="JJ69" s="83"/>
      <c r="JT69" s="83"/>
      <c r="KD69" s="83"/>
      <c r="KN69" s="83"/>
      <c r="KX69" s="83"/>
      <c r="LH69" s="83"/>
      <c r="LR69" s="83"/>
      <c r="MB69" s="83"/>
      <c r="ML69" s="83"/>
      <c r="MV69" s="83"/>
      <c r="NF69" s="83"/>
      <c r="NP69" s="83"/>
      <c r="NZ69" s="83"/>
      <c r="OJ69" s="83"/>
      <c r="OT69" s="83"/>
      <c r="PD69" s="83"/>
      <c r="PN69" s="83"/>
      <c r="PX69" s="83"/>
      <c r="QH69" s="83"/>
      <c r="QR69" s="83"/>
      <c r="RB69" s="83"/>
      <c r="RL69" s="83"/>
      <c r="RV69" s="83"/>
      <c r="SF69" s="83"/>
      <c r="SP69" s="83"/>
      <c r="SZ69" s="83"/>
      <c r="TJ69" s="83"/>
      <c r="TT69" s="83"/>
      <c r="UD69" s="83"/>
      <c r="UN69" s="83"/>
      <c r="UX69" s="83"/>
      <c r="VH69" s="83"/>
      <c r="VR69" s="83"/>
      <c r="WB69" s="83"/>
      <c r="WL69" s="83"/>
      <c r="WV69" s="83"/>
      <c r="XF69" s="83"/>
      <c r="XP69" s="83"/>
      <c r="XZ69" s="83"/>
      <c r="YJ69" s="83"/>
      <c r="YT69" s="83"/>
      <c r="ZD69" s="83"/>
      <c r="ZN69" s="83"/>
      <c r="ZX69" s="83"/>
      <c r="AAH69" s="83"/>
      <c r="AAR69" s="83"/>
      <c r="ABB69" s="83"/>
      <c r="ABL69" s="83"/>
      <c r="ABV69" s="83"/>
      <c r="ACF69" s="83"/>
      <c r="ACP69" s="83"/>
      <c r="ACZ69" s="83"/>
      <c r="ADJ69" s="83"/>
      <c r="ADT69" s="83"/>
      <c r="AED69" s="83"/>
      <c r="AEN69" s="83"/>
      <c r="AEX69" s="83"/>
      <c r="AFH69" s="83"/>
      <c r="AFR69" s="83"/>
      <c r="AGB69" s="83"/>
      <c r="AGL69" s="83"/>
      <c r="AGV69" s="83"/>
      <c r="AHF69" s="83"/>
      <c r="AHP69" s="83"/>
      <c r="AHZ69" s="83"/>
      <c r="AIJ69" s="83"/>
      <c r="AIT69" s="83"/>
      <c r="AJD69" s="83"/>
      <c r="AJN69" s="83"/>
      <c r="AJX69" s="83"/>
      <c r="AKH69" s="83"/>
      <c r="AKR69" s="83"/>
      <c r="ALB69" s="83"/>
      <c r="ALL69" s="83"/>
      <c r="ALV69" s="83"/>
      <c r="AMF69" s="83"/>
      <c r="AMP69" s="83"/>
      <c r="AMZ69" s="83"/>
      <c r="ANJ69" s="83"/>
      <c r="ANT69" s="83"/>
      <c r="AOD69" s="83"/>
      <c r="AON69" s="83"/>
      <c r="AOX69" s="83"/>
      <c r="APH69" s="83"/>
      <c r="APR69" s="83"/>
      <c r="AQB69" s="83"/>
      <c r="AQL69" s="83"/>
      <c r="AQV69" s="83"/>
      <c r="ARF69" s="83"/>
      <c r="ARP69" s="83"/>
      <c r="ARZ69" s="83"/>
      <c r="ASJ69" s="83"/>
      <c r="AST69" s="83"/>
      <c r="ATD69" s="83"/>
      <c r="ATN69" s="83"/>
      <c r="ATX69" s="83"/>
      <c r="AUH69" s="83"/>
      <c r="AUR69" s="83"/>
      <c r="AVB69" s="83"/>
      <c r="AVL69" s="83"/>
      <c r="AVV69" s="83"/>
      <c r="AWF69" s="83"/>
      <c r="AWP69" s="83"/>
      <c r="AWZ69" s="83"/>
      <c r="AXJ69" s="83"/>
      <c r="AXT69" s="83"/>
      <c r="AYD69" s="83"/>
      <c r="AYN69" s="83"/>
      <c r="AYX69" s="83"/>
      <c r="AZH69" s="83"/>
      <c r="AZR69" s="83"/>
      <c r="BAB69" s="83"/>
      <c r="BAL69" s="83"/>
      <c r="BAV69" s="83"/>
      <c r="BBF69" s="83"/>
      <c r="BBP69" s="83"/>
      <c r="BBZ69" s="83"/>
      <c r="BCJ69" s="83"/>
      <c r="BCT69" s="83"/>
      <c r="BDD69" s="83"/>
      <c r="BDN69" s="83"/>
      <c r="BDX69" s="83"/>
      <c r="BEH69" s="83"/>
      <c r="BER69" s="83"/>
      <c r="BFB69" s="83"/>
      <c r="BFL69" s="83"/>
      <c r="BFV69" s="83"/>
      <c r="BGF69" s="83"/>
      <c r="BGP69" s="83"/>
      <c r="BGZ69" s="83"/>
      <c r="BHJ69" s="83"/>
      <c r="BHT69" s="83"/>
      <c r="BID69" s="83"/>
      <c r="BIN69" s="83"/>
      <c r="BIX69" s="83"/>
      <c r="BJH69" s="83"/>
      <c r="BJR69" s="83"/>
      <c r="BKB69" s="83"/>
      <c r="BKL69" s="83"/>
      <c r="BKV69" s="83"/>
      <c r="BLF69" s="83"/>
      <c r="BLP69" s="83"/>
      <c r="BLZ69" s="83"/>
      <c r="BMJ69" s="83"/>
      <c r="BMT69" s="83"/>
      <c r="BND69" s="83"/>
      <c r="BNN69" s="83"/>
      <c r="BNX69" s="83"/>
      <c r="BOH69" s="83"/>
      <c r="BOR69" s="83"/>
      <c r="BPB69" s="83"/>
      <c r="BPL69" s="83"/>
      <c r="BPV69" s="83"/>
      <c r="BQF69" s="83"/>
      <c r="BQP69" s="83"/>
      <c r="BQZ69" s="83"/>
      <c r="BRJ69" s="83"/>
      <c r="BRT69" s="83"/>
      <c r="BSD69" s="83"/>
      <c r="BSN69" s="83"/>
      <c r="BSX69" s="83"/>
      <c r="BTH69" s="83"/>
      <c r="BTR69" s="83"/>
      <c r="BUB69" s="83"/>
      <c r="BUL69" s="83"/>
      <c r="BUV69" s="83"/>
      <c r="BVF69" s="83"/>
      <c r="BVP69" s="83"/>
      <c r="BVZ69" s="83"/>
      <c r="BWJ69" s="83"/>
      <c r="BWT69" s="83"/>
      <c r="BXD69" s="83"/>
      <c r="BXN69" s="83"/>
      <c r="BXX69" s="83"/>
      <c r="BYH69" s="83"/>
      <c r="BYR69" s="83"/>
      <c r="BZB69" s="83"/>
      <c r="BZL69" s="83"/>
      <c r="BZV69" s="83"/>
      <c r="CAF69" s="83"/>
      <c r="CAP69" s="83"/>
      <c r="CAZ69" s="83"/>
      <c r="CBJ69" s="83"/>
      <c r="CBT69" s="83"/>
      <c r="CCD69" s="83"/>
      <c r="CCN69" s="83"/>
      <c r="CCX69" s="83"/>
      <c r="CDH69" s="83"/>
      <c r="CDR69" s="83"/>
      <c r="CEB69" s="83"/>
      <c r="CEL69" s="83"/>
      <c r="CEV69" s="83"/>
      <c r="CFF69" s="83"/>
      <c r="CFP69" s="83"/>
      <c r="CFZ69" s="83"/>
      <c r="CGJ69" s="83"/>
      <c r="CGT69" s="83"/>
      <c r="CHD69" s="83"/>
      <c r="CHN69" s="83"/>
      <c r="CHX69" s="83"/>
      <c r="CIH69" s="83"/>
      <c r="CIR69" s="83"/>
      <c r="CJB69" s="83"/>
      <c r="CJL69" s="83"/>
      <c r="CJV69" s="83"/>
      <c r="CKF69" s="83"/>
      <c r="CKP69" s="83"/>
      <c r="CKZ69" s="83"/>
      <c r="CLJ69" s="83"/>
      <c r="CLT69" s="83"/>
      <c r="CMD69" s="83"/>
      <c r="CMN69" s="83"/>
      <c r="CMX69" s="83"/>
      <c r="CNH69" s="83"/>
      <c r="CNR69" s="83"/>
      <c r="COB69" s="83"/>
      <c r="COL69" s="83"/>
      <c r="COV69" s="83"/>
      <c r="CPF69" s="83"/>
      <c r="CPP69" s="83"/>
      <c r="CPZ69" s="83"/>
      <c r="CQJ69" s="83"/>
      <c r="CQT69" s="83"/>
      <c r="CRD69" s="83"/>
      <c r="CRN69" s="83"/>
      <c r="CRX69" s="83"/>
      <c r="CSH69" s="83"/>
      <c r="CSR69" s="83"/>
      <c r="CTB69" s="83"/>
      <c r="CTL69" s="83"/>
      <c r="CTV69" s="83"/>
    </row>
    <row r="70" s="58" customFormat="1" customHeight="1" spans="1:1020 1030:2040 2050:2570">
      <c r="A70" s="79">
        <v>46151</v>
      </c>
      <c r="B70" s="80" t="s">
        <v>22</v>
      </c>
      <c r="C70" s="38" t="s">
        <v>23</v>
      </c>
      <c r="D70" s="75">
        <v>652368860</v>
      </c>
      <c r="E70" s="84" t="s">
        <v>144</v>
      </c>
      <c r="F70" s="75" t="str">
        <f>VLOOKUP(E70,[7]基础数据!E:H,2,0)</f>
        <v>LP-BSU070-AA_T1616_A_24S_V1_凡申40_三防漆双面9截</v>
      </c>
      <c r="G70" s="75">
        <v>144</v>
      </c>
      <c r="H70" s="75" t="str">
        <f>VLOOKUP(E70,[7]基础数据!E:H,4,0)</f>
        <v>料盒</v>
      </c>
      <c r="I70" s="75">
        <f>VLOOKUP(E70,[7]基础数据!E:G,3,0)</f>
        <v>48</v>
      </c>
      <c r="J70" s="75" t="s">
        <v>306</v>
      </c>
      <c r="K70" s="82">
        <f t="shared" si="1"/>
        <v>3</v>
      </c>
      <c r="T70" s="83"/>
      <c r="AD70" s="83"/>
      <c r="AN70" s="83"/>
      <c r="AX70" s="83"/>
      <c r="BH70" s="83"/>
      <c r="BR70" s="83"/>
      <c r="CB70" s="83"/>
      <c r="CL70" s="83"/>
      <c r="CV70" s="83"/>
      <c r="DF70" s="83"/>
      <c r="DP70" s="83"/>
      <c r="DZ70" s="83"/>
      <c r="EJ70" s="83"/>
      <c r="ET70" s="83"/>
      <c r="FD70" s="83"/>
      <c r="FN70" s="83"/>
      <c r="FX70" s="83"/>
      <c r="GH70" s="83"/>
      <c r="GR70" s="83"/>
      <c r="HB70" s="83"/>
      <c r="HL70" s="83"/>
      <c r="HV70" s="83"/>
      <c r="IF70" s="83"/>
      <c r="IP70" s="83"/>
      <c r="IZ70" s="83"/>
      <c r="JJ70" s="83"/>
      <c r="JT70" s="83"/>
      <c r="KD70" s="83"/>
      <c r="KN70" s="83"/>
      <c r="KX70" s="83"/>
      <c r="LH70" s="83"/>
      <c r="LR70" s="83"/>
      <c r="MB70" s="83"/>
      <c r="ML70" s="83"/>
      <c r="MV70" s="83"/>
      <c r="NF70" s="83"/>
      <c r="NP70" s="83"/>
      <c r="NZ70" s="83"/>
      <c r="OJ70" s="83"/>
      <c r="OT70" s="83"/>
      <c r="PD70" s="83"/>
      <c r="PN70" s="83"/>
      <c r="PX70" s="83"/>
      <c r="QH70" s="83"/>
      <c r="QR70" s="83"/>
      <c r="RB70" s="83"/>
      <c r="RL70" s="83"/>
      <c r="RV70" s="83"/>
      <c r="SF70" s="83"/>
      <c r="SP70" s="83"/>
      <c r="SZ70" s="83"/>
      <c r="TJ70" s="83"/>
      <c r="TT70" s="83"/>
      <c r="UD70" s="83"/>
      <c r="UN70" s="83"/>
      <c r="UX70" s="83"/>
      <c r="VH70" s="83"/>
      <c r="VR70" s="83"/>
      <c r="WB70" s="83"/>
      <c r="WL70" s="83"/>
      <c r="WV70" s="83"/>
      <c r="XF70" s="83"/>
      <c r="XP70" s="83"/>
      <c r="XZ70" s="83"/>
      <c r="YJ70" s="83"/>
      <c r="YT70" s="83"/>
      <c r="ZD70" s="83"/>
      <c r="ZN70" s="83"/>
      <c r="ZX70" s="83"/>
      <c r="AAH70" s="83"/>
      <c r="AAR70" s="83"/>
      <c r="ABB70" s="83"/>
      <c r="ABL70" s="83"/>
      <c r="ABV70" s="83"/>
      <c r="ACF70" s="83"/>
      <c r="ACP70" s="83"/>
      <c r="ACZ70" s="83"/>
      <c r="ADJ70" s="83"/>
      <c r="ADT70" s="83"/>
      <c r="AED70" s="83"/>
      <c r="AEN70" s="83"/>
      <c r="AEX70" s="83"/>
      <c r="AFH70" s="83"/>
      <c r="AFR70" s="83"/>
      <c r="AGB70" s="83"/>
      <c r="AGL70" s="83"/>
      <c r="AGV70" s="83"/>
      <c r="AHF70" s="83"/>
      <c r="AHP70" s="83"/>
      <c r="AHZ70" s="83"/>
      <c r="AIJ70" s="83"/>
      <c r="AIT70" s="83"/>
      <c r="AJD70" s="83"/>
      <c r="AJN70" s="83"/>
      <c r="AJX70" s="83"/>
      <c r="AKH70" s="83"/>
      <c r="AKR70" s="83"/>
      <c r="ALB70" s="83"/>
      <c r="ALL70" s="83"/>
      <c r="ALV70" s="83"/>
      <c r="AMF70" s="83"/>
      <c r="AMP70" s="83"/>
      <c r="AMZ70" s="83"/>
      <c r="ANJ70" s="83"/>
      <c r="ANT70" s="83"/>
      <c r="AOD70" s="83"/>
      <c r="AON70" s="83"/>
      <c r="AOX70" s="83"/>
      <c r="APH70" s="83"/>
      <c r="APR70" s="83"/>
      <c r="AQB70" s="83"/>
      <c r="AQL70" s="83"/>
      <c r="AQV70" s="83"/>
      <c r="ARF70" s="83"/>
      <c r="ARP70" s="83"/>
      <c r="ARZ70" s="83"/>
      <c r="ASJ70" s="83"/>
      <c r="AST70" s="83"/>
      <c r="ATD70" s="83"/>
      <c r="ATN70" s="83"/>
      <c r="ATX70" s="83"/>
      <c r="AUH70" s="83"/>
      <c r="AUR70" s="83"/>
      <c r="AVB70" s="83"/>
      <c r="AVL70" s="83"/>
      <c r="AVV70" s="83"/>
      <c r="AWF70" s="83"/>
      <c r="AWP70" s="83"/>
      <c r="AWZ70" s="83"/>
      <c r="AXJ70" s="83"/>
      <c r="AXT70" s="83"/>
      <c r="AYD70" s="83"/>
      <c r="AYN70" s="83"/>
      <c r="AYX70" s="83"/>
      <c r="AZH70" s="83"/>
      <c r="AZR70" s="83"/>
      <c r="BAB70" s="83"/>
      <c r="BAL70" s="83"/>
      <c r="BAV70" s="83"/>
      <c r="BBF70" s="83"/>
      <c r="BBP70" s="83"/>
      <c r="BBZ70" s="83"/>
      <c r="BCJ70" s="83"/>
      <c r="BCT70" s="83"/>
      <c r="BDD70" s="83"/>
      <c r="BDN70" s="83"/>
      <c r="BDX70" s="83"/>
      <c r="BEH70" s="83"/>
      <c r="BER70" s="83"/>
      <c r="BFB70" s="83"/>
      <c r="BFL70" s="83"/>
      <c r="BFV70" s="83"/>
      <c r="BGF70" s="83"/>
      <c r="BGP70" s="83"/>
      <c r="BGZ70" s="83"/>
      <c r="BHJ70" s="83"/>
      <c r="BHT70" s="83"/>
      <c r="BID70" s="83"/>
      <c r="BIN70" s="83"/>
      <c r="BIX70" s="83"/>
      <c r="BJH70" s="83"/>
      <c r="BJR70" s="83"/>
      <c r="BKB70" s="83"/>
      <c r="BKL70" s="83"/>
      <c r="BKV70" s="83"/>
      <c r="BLF70" s="83"/>
      <c r="BLP70" s="83"/>
      <c r="BLZ70" s="83"/>
      <c r="BMJ70" s="83"/>
      <c r="BMT70" s="83"/>
      <c r="BND70" s="83"/>
      <c r="BNN70" s="83"/>
      <c r="BNX70" s="83"/>
      <c r="BOH70" s="83"/>
      <c r="BOR70" s="83"/>
      <c r="BPB70" s="83"/>
      <c r="BPL70" s="83"/>
      <c r="BPV70" s="83"/>
      <c r="BQF70" s="83"/>
      <c r="BQP70" s="83"/>
      <c r="BQZ70" s="83"/>
      <c r="BRJ70" s="83"/>
      <c r="BRT70" s="83"/>
      <c r="BSD70" s="83"/>
      <c r="BSN70" s="83"/>
      <c r="BSX70" s="83"/>
      <c r="BTH70" s="83"/>
      <c r="BTR70" s="83"/>
      <c r="BUB70" s="83"/>
      <c r="BUL70" s="83"/>
      <c r="BUV70" s="83"/>
      <c r="BVF70" s="83"/>
      <c r="BVP70" s="83"/>
      <c r="BVZ70" s="83"/>
      <c r="BWJ70" s="83"/>
      <c r="BWT70" s="83"/>
      <c r="BXD70" s="83"/>
      <c r="BXN70" s="83"/>
      <c r="BXX70" s="83"/>
      <c r="BYH70" s="83"/>
      <c r="BYR70" s="83"/>
      <c r="BZB70" s="83"/>
      <c r="BZL70" s="83"/>
      <c r="BZV70" s="83"/>
      <c r="CAF70" s="83"/>
      <c r="CAP70" s="83"/>
      <c r="CAZ70" s="83"/>
      <c r="CBJ70" s="83"/>
      <c r="CBT70" s="83"/>
      <c r="CCD70" s="83"/>
      <c r="CCN70" s="83"/>
      <c r="CCX70" s="83"/>
      <c r="CDH70" s="83"/>
      <c r="CDR70" s="83"/>
      <c r="CEB70" s="83"/>
      <c r="CEL70" s="83"/>
      <c r="CEV70" s="83"/>
      <c r="CFF70" s="83"/>
      <c r="CFP70" s="83"/>
      <c r="CFZ70" s="83"/>
      <c r="CGJ70" s="83"/>
      <c r="CGT70" s="83"/>
      <c r="CHD70" s="83"/>
      <c r="CHN70" s="83"/>
      <c r="CHX70" s="83"/>
      <c r="CIH70" s="83"/>
      <c r="CIR70" s="83"/>
      <c r="CJB70" s="83"/>
      <c r="CJL70" s="83"/>
      <c r="CJV70" s="83"/>
      <c r="CKF70" s="83"/>
      <c r="CKP70" s="83"/>
      <c r="CKZ70" s="83"/>
      <c r="CLJ70" s="83"/>
      <c r="CLT70" s="83"/>
      <c r="CMD70" s="83"/>
      <c r="CMN70" s="83"/>
      <c r="CMX70" s="83"/>
      <c r="CNH70" s="83"/>
      <c r="CNR70" s="83"/>
      <c r="COB70" s="83"/>
      <c r="COL70" s="83"/>
      <c r="COV70" s="83"/>
      <c r="CPF70" s="83"/>
      <c r="CPP70" s="83"/>
      <c r="CPZ70" s="83"/>
      <c r="CQJ70" s="83"/>
      <c r="CQT70" s="83"/>
      <c r="CRD70" s="83"/>
      <c r="CRN70" s="83"/>
      <c r="CRX70" s="83"/>
      <c r="CSH70" s="83"/>
      <c r="CSR70" s="83"/>
      <c r="CTB70" s="83"/>
      <c r="CTL70" s="83"/>
      <c r="CTV70" s="83"/>
    </row>
    <row r="71" s="58" customFormat="1" customHeight="1" spans="1:1020 1030:2040 2050:2570">
      <c r="A71" s="79">
        <v>46151</v>
      </c>
      <c r="B71" s="80" t="s">
        <v>22</v>
      </c>
      <c r="C71" s="38" t="s">
        <v>23</v>
      </c>
      <c r="D71" s="75">
        <v>652368860</v>
      </c>
      <c r="E71" s="84" t="s">
        <v>147</v>
      </c>
      <c r="F71" s="75" t="str">
        <f>VLOOKUP(E71,[7]基础数据!E:H,2,0)</f>
        <v>LP-BSU070-AA_T1616_46S_V1_凡申40_三防漆双面925截</v>
      </c>
      <c r="G71" s="75">
        <v>216</v>
      </c>
      <c r="H71" s="75" t="str">
        <f>VLOOKUP(E71,[7]基础数据!E:H,4,0)</f>
        <v>料盒</v>
      </c>
      <c r="I71" s="75">
        <f>VLOOKUP(E71,[7]基础数据!E:G,3,0)</f>
        <v>24</v>
      </c>
      <c r="J71" s="75" t="s">
        <v>306</v>
      </c>
      <c r="K71" s="82">
        <f t="shared" si="1"/>
        <v>9</v>
      </c>
      <c r="T71" s="83"/>
      <c r="AD71" s="83"/>
      <c r="AN71" s="83"/>
      <c r="AX71" s="83"/>
      <c r="BH71" s="83"/>
      <c r="BR71" s="83"/>
      <c r="CB71" s="83"/>
      <c r="CL71" s="83"/>
      <c r="CV71" s="83"/>
      <c r="DF71" s="83"/>
      <c r="DP71" s="83"/>
      <c r="DZ71" s="83"/>
      <c r="EJ71" s="83"/>
      <c r="ET71" s="83"/>
      <c r="FD71" s="83"/>
      <c r="FN71" s="83"/>
      <c r="FX71" s="83"/>
      <c r="GH71" s="83"/>
      <c r="GR71" s="83"/>
      <c r="HB71" s="83"/>
      <c r="HL71" s="83"/>
      <c r="HV71" s="83"/>
      <c r="IF71" s="83"/>
      <c r="IP71" s="83"/>
      <c r="IZ71" s="83"/>
      <c r="JJ71" s="83"/>
      <c r="JT71" s="83"/>
      <c r="KD71" s="83"/>
      <c r="KN71" s="83"/>
      <c r="KX71" s="83"/>
      <c r="LH71" s="83"/>
      <c r="LR71" s="83"/>
      <c r="MB71" s="83"/>
      <c r="ML71" s="83"/>
      <c r="MV71" s="83"/>
      <c r="NF71" s="83"/>
      <c r="NP71" s="83"/>
      <c r="NZ71" s="83"/>
      <c r="OJ71" s="83"/>
      <c r="OT71" s="83"/>
      <c r="PD71" s="83"/>
      <c r="PN71" s="83"/>
      <c r="PX71" s="83"/>
      <c r="QH71" s="83"/>
      <c r="QR71" s="83"/>
      <c r="RB71" s="83"/>
      <c r="RL71" s="83"/>
      <c r="RV71" s="83"/>
      <c r="SF71" s="83"/>
      <c r="SP71" s="83"/>
      <c r="SZ71" s="83"/>
      <c r="TJ71" s="83"/>
      <c r="TT71" s="83"/>
      <c r="UD71" s="83"/>
      <c r="UN71" s="83"/>
      <c r="UX71" s="83"/>
      <c r="VH71" s="83"/>
      <c r="VR71" s="83"/>
      <c r="WB71" s="83"/>
      <c r="WL71" s="83"/>
      <c r="WV71" s="83"/>
      <c r="XF71" s="83"/>
      <c r="XP71" s="83"/>
      <c r="XZ71" s="83"/>
      <c r="YJ71" s="83"/>
      <c r="YT71" s="83"/>
      <c r="ZD71" s="83"/>
      <c r="ZN71" s="83"/>
      <c r="ZX71" s="83"/>
      <c r="AAH71" s="83"/>
      <c r="AAR71" s="83"/>
      <c r="ABB71" s="83"/>
      <c r="ABL71" s="83"/>
      <c r="ABV71" s="83"/>
      <c r="ACF71" s="83"/>
      <c r="ACP71" s="83"/>
      <c r="ACZ71" s="83"/>
      <c r="ADJ71" s="83"/>
      <c r="ADT71" s="83"/>
      <c r="AED71" s="83"/>
      <c r="AEN71" s="83"/>
      <c r="AEX71" s="83"/>
      <c r="AFH71" s="83"/>
      <c r="AFR71" s="83"/>
      <c r="AGB71" s="83"/>
      <c r="AGL71" s="83"/>
      <c r="AGV71" s="83"/>
      <c r="AHF71" s="83"/>
      <c r="AHP71" s="83"/>
      <c r="AHZ71" s="83"/>
      <c r="AIJ71" s="83"/>
      <c r="AIT71" s="83"/>
      <c r="AJD71" s="83"/>
      <c r="AJN71" s="83"/>
      <c r="AJX71" s="83"/>
      <c r="AKH71" s="83"/>
      <c r="AKR71" s="83"/>
      <c r="ALB71" s="83"/>
      <c r="ALL71" s="83"/>
      <c r="ALV71" s="83"/>
      <c r="AMF71" s="83"/>
      <c r="AMP71" s="83"/>
      <c r="AMZ71" s="83"/>
      <c r="ANJ71" s="83"/>
      <c r="ANT71" s="83"/>
      <c r="AOD71" s="83"/>
      <c r="AON71" s="83"/>
      <c r="AOX71" s="83"/>
      <c r="APH71" s="83"/>
      <c r="APR71" s="83"/>
      <c r="AQB71" s="83"/>
      <c r="AQL71" s="83"/>
      <c r="AQV71" s="83"/>
      <c r="ARF71" s="83"/>
      <c r="ARP71" s="83"/>
      <c r="ARZ71" s="83"/>
      <c r="ASJ71" s="83"/>
      <c r="AST71" s="83"/>
      <c r="ATD71" s="83"/>
      <c r="ATN71" s="83"/>
      <c r="ATX71" s="83"/>
      <c r="AUH71" s="83"/>
      <c r="AUR71" s="83"/>
      <c r="AVB71" s="83"/>
      <c r="AVL71" s="83"/>
      <c r="AVV71" s="83"/>
      <c r="AWF71" s="83"/>
      <c r="AWP71" s="83"/>
      <c r="AWZ71" s="83"/>
      <c r="AXJ71" s="83"/>
      <c r="AXT71" s="83"/>
      <c r="AYD71" s="83"/>
      <c r="AYN71" s="83"/>
      <c r="AYX71" s="83"/>
      <c r="AZH71" s="83"/>
      <c r="AZR71" s="83"/>
      <c r="BAB71" s="83"/>
      <c r="BAL71" s="83"/>
      <c r="BAV71" s="83"/>
      <c r="BBF71" s="83"/>
      <c r="BBP71" s="83"/>
      <c r="BBZ71" s="83"/>
      <c r="BCJ71" s="83"/>
      <c r="BCT71" s="83"/>
      <c r="BDD71" s="83"/>
      <c r="BDN71" s="83"/>
      <c r="BDX71" s="83"/>
      <c r="BEH71" s="83"/>
      <c r="BER71" s="83"/>
      <c r="BFB71" s="83"/>
      <c r="BFL71" s="83"/>
      <c r="BFV71" s="83"/>
      <c r="BGF71" s="83"/>
      <c r="BGP71" s="83"/>
      <c r="BGZ71" s="83"/>
      <c r="BHJ71" s="83"/>
      <c r="BHT71" s="83"/>
      <c r="BID71" s="83"/>
      <c r="BIN71" s="83"/>
      <c r="BIX71" s="83"/>
      <c r="BJH71" s="83"/>
      <c r="BJR71" s="83"/>
      <c r="BKB71" s="83"/>
      <c r="BKL71" s="83"/>
      <c r="BKV71" s="83"/>
      <c r="BLF71" s="83"/>
      <c r="BLP71" s="83"/>
      <c r="BLZ71" s="83"/>
      <c r="BMJ71" s="83"/>
      <c r="BMT71" s="83"/>
      <c r="BND71" s="83"/>
      <c r="BNN71" s="83"/>
      <c r="BNX71" s="83"/>
      <c r="BOH71" s="83"/>
      <c r="BOR71" s="83"/>
      <c r="BPB71" s="83"/>
      <c r="BPL71" s="83"/>
      <c r="BPV71" s="83"/>
      <c r="BQF71" s="83"/>
      <c r="BQP71" s="83"/>
      <c r="BQZ71" s="83"/>
      <c r="BRJ71" s="83"/>
      <c r="BRT71" s="83"/>
      <c r="BSD71" s="83"/>
      <c r="BSN71" s="83"/>
      <c r="BSX71" s="83"/>
      <c r="BTH71" s="83"/>
      <c r="BTR71" s="83"/>
      <c r="BUB71" s="83"/>
      <c r="BUL71" s="83"/>
      <c r="BUV71" s="83"/>
      <c r="BVF71" s="83"/>
      <c r="BVP71" s="83"/>
      <c r="BVZ71" s="83"/>
      <c r="BWJ71" s="83"/>
      <c r="BWT71" s="83"/>
      <c r="BXD71" s="83"/>
      <c r="BXN71" s="83"/>
      <c r="BXX71" s="83"/>
      <c r="BYH71" s="83"/>
      <c r="BYR71" s="83"/>
      <c r="BZB71" s="83"/>
      <c r="BZL71" s="83"/>
      <c r="BZV71" s="83"/>
      <c r="CAF71" s="83"/>
      <c r="CAP71" s="83"/>
      <c r="CAZ71" s="83"/>
      <c r="CBJ71" s="83"/>
      <c r="CBT71" s="83"/>
      <c r="CCD71" s="83"/>
      <c r="CCN71" s="83"/>
      <c r="CCX71" s="83"/>
      <c r="CDH71" s="83"/>
      <c r="CDR71" s="83"/>
      <c r="CEB71" s="83"/>
      <c r="CEL71" s="83"/>
      <c r="CEV71" s="83"/>
      <c r="CFF71" s="83"/>
      <c r="CFP71" s="83"/>
      <c r="CFZ71" s="83"/>
      <c r="CGJ71" s="83"/>
      <c r="CGT71" s="83"/>
      <c r="CHD71" s="83"/>
      <c r="CHN71" s="83"/>
      <c r="CHX71" s="83"/>
      <c r="CIH71" s="83"/>
      <c r="CIR71" s="83"/>
      <c r="CJB71" s="83"/>
      <c r="CJL71" s="83"/>
      <c r="CJV71" s="83"/>
      <c r="CKF71" s="83"/>
      <c r="CKP71" s="83"/>
      <c r="CKZ71" s="83"/>
      <c r="CLJ71" s="83"/>
      <c r="CLT71" s="83"/>
      <c r="CMD71" s="83"/>
      <c r="CMN71" s="83"/>
      <c r="CMX71" s="83"/>
      <c r="CNH71" s="83"/>
      <c r="CNR71" s="83"/>
      <c r="COB71" s="83"/>
      <c r="COL71" s="83"/>
      <c r="COV71" s="83"/>
      <c r="CPF71" s="83"/>
      <c r="CPP71" s="83"/>
      <c r="CPZ71" s="83"/>
      <c r="CQJ71" s="83"/>
      <c r="CQT71" s="83"/>
      <c r="CRD71" s="83"/>
      <c r="CRN71" s="83"/>
      <c r="CRX71" s="83"/>
      <c r="CSH71" s="83"/>
      <c r="CSR71" s="83"/>
      <c r="CTB71" s="83"/>
      <c r="CTL71" s="83"/>
      <c r="CTV71" s="83"/>
    </row>
    <row r="72" s="58" customFormat="1" customHeight="1" spans="1:1020 1030:2040 2050:2570">
      <c r="A72" s="79">
        <v>46151</v>
      </c>
      <c r="B72" s="80" t="s">
        <v>22</v>
      </c>
      <c r="C72" s="38" t="s">
        <v>23</v>
      </c>
      <c r="D72" s="75">
        <v>652369516</v>
      </c>
      <c r="E72" s="84" t="s">
        <v>25</v>
      </c>
      <c r="F72" s="75" t="str">
        <f>VLOOKUP(E72,[7]基础数据!E:H,2,0)</f>
        <v>LX-SHUNT010-AA_V100_STLA_HY_三防漆双面933_001</v>
      </c>
      <c r="G72" s="75">
        <v>324</v>
      </c>
      <c r="H72" s="75" t="str">
        <f>VLOOKUP(E72,[7]基础数据!E:H,4,0)</f>
        <v>料盒</v>
      </c>
      <c r="I72" s="75">
        <f>VLOOKUP(E72,[7]基础数据!E:G,3,0)</f>
        <v>162</v>
      </c>
      <c r="J72" s="75" t="s">
        <v>306</v>
      </c>
      <c r="K72" s="82">
        <f t="shared" si="1"/>
        <v>2</v>
      </c>
      <c r="T72" s="83"/>
      <c r="AD72" s="83"/>
      <c r="AN72" s="83"/>
      <c r="AX72" s="83"/>
      <c r="BH72" s="83"/>
      <c r="BR72" s="83"/>
      <c r="CB72" s="83"/>
      <c r="CL72" s="83"/>
      <c r="CV72" s="83"/>
      <c r="DF72" s="83"/>
      <c r="DP72" s="83"/>
      <c r="DZ72" s="83"/>
      <c r="EJ72" s="83"/>
      <c r="ET72" s="83"/>
      <c r="FD72" s="83"/>
      <c r="FN72" s="83"/>
      <c r="FX72" s="83"/>
      <c r="GH72" s="83"/>
      <c r="GR72" s="83"/>
      <c r="HB72" s="83"/>
      <c r="HL72" s="83"/>
      <c r="HV72" s="83"/>
      <c r="IF72" s="83"/>
      <c r="IP72" s="83"/>
      <c r="IZ72" s="83"/>
      <c r="JJ72" s="83"/>
      <c r="JT72" s="83"/>
      <c r="KD72" s="83"/>
      <c r="KN72" s="83"/>
      <c r="KX72" s="83"/>
      <c r="LH72" s="83"/>
      <c r="LR72" s="83"/>
      <c r="MB72" s="83"/>
      <c r="ML72" s="83"/>
      <c r="MV72" s="83"/>
      <c r="NF72" s="83"/>
      <c r="NP72" s="83"/>
      <c r="NZ72" s="83"/>
      <c r="OJ72" s="83"/>
      <c r="OT72" s="83"/>
      <c r="PD72" s="83"/>
      <c r="PN72" s="83"/>
      <c r="PX72" s="83"/>
      <c r="QH72" s="83"/>
      <c r="QR72" s="83"/>
      <c r="RB72" s="83"/>
      <c r="RL72" s="83"/>
      <c r="RV72" s="83"/>
      <c r="SF72" s="83"/>
      <c r="SP72" s="83"/>
      <c r="SZ72" s="83"/>
      <c r="TJ72" s="83"/>
      <c r="TT72" s="83"/>
      <c r="UD72" s="83"/>
      <c r="UN72" s="83"/>
      <c r="UX72" s="83"/>
      <c r="VH72" s="83"/>
      <c r="VR72" s="83"/>
      <c r="WB72" s="83"/>
      <c r="WL72" s="83"/>
      <c r="WV72" s="83"/>
      <c r="XF72" s="83"/>
      <c r="XP72" s="83"/>
      <c r="XZ72" s="83"/>
      <c r="YJ72" s="83"/>
      <c r="YT72" s="83"/>
      <c r="ZD72" s="83"/>
      <c r="ZN72" s="83"/>
      <c r="ZX72" s="83"/>
      <c r="AAH72" s="83"/>
      <c r="AAR72" s="83"/>
      <c r="ABB72" s="83"/>
      <c r="ABL72" s="83"/>
      <c r="ABV72" s="83"/>
      <c r="ACF72" s="83"/>
      <c r="ACP72" s="83"/>
      <c r="ACZ72" s="83"/>
      <c r="ADJ72" s="83"/>
      <c r="ADT72" s="83"/>
      <c r="AED72" s="83"/>
      <c r="AEN72" s="83"/>
      <c r="AEX72" s="83"/>
      <c r="AFH72" s="83"/>
      <c r="AFR72" s="83"/>
      <c r="AGB72" s="83"/>
      <c r="AGL72" s="83"/>
      <c r="AGV72" s="83"/>
      <c r="AHF72" s="83"/>
      <c r="AHP72" s="83"/>
      <c r="AHZ72" s="83"/>
      <c r="AIJ72" s="83"/>
      <c r="AIT72" s="83"/>
      <c r="AJD72" s="83"/>
      <c r="AJN72" s="83"/>
      <c r="AJX72" s="83"/>
      <c r="AKH72" s="83"/>
      <c r="AKR72" s="83"/>
      <c r="ALB72" s="83"/>
      <c r="ALL72" s="83"/>
      <c r="ALV72" s="83"/>
      <c r="AMF72" s="83"/>
      <c r="AMP72" s="83"/>
      <c r="AMZ72" s="83"/>
      <c r="ANJ72" s="83"/>
      <c r="ANT72" s="83"/>
      <c r="AOD72" s="83"/>
      <c r="AON72" s="83"/>
      <c r="AOX72" s="83"/>
      <c r="APH72" s="83"/>
      <c r="APR72" s="83"/>
      <c r="AQB72" s="83"/>
      <c r="AQL72" s="83"/>
      <c r="AQV72" s="83"/>
      <c r="ARF72" s="83"/>
      <c r="ARP72" s="83"/>
      <c r="ARZ72" s="83"/>
      <c r="ASJ72" s="83"/>
      <c r="AST72" s="83"/>
      <c r="ATD72" s="83"/>
      <c r="ATN72" s="83"/>
      <c r="ATX72" s="83"/>
      <c r="AUH72" s="83"/>
      <c r="AUR72" s="83"/>
      <c r="AVB72" s="83"/>
      <c r="AVL72" s="83"/>
      <c r="AVV72" s="83"/>
      <c r="AWF72" s="83"/>
      <c r="AWP72" s="83"/>
      <c r="AWZ72" s="83"/>
      <c r="AXJ72" s="83"/>
      <c r="AXT72" s="83"/>
      <c r="AYD72" s="83"/>
      <c r="AYN72" s="83"/>
      <c r="AYX72" s="83"/>
      <c r="AZH72" s="83"/>
      <c r="AZR72" s="83"/>
      <c r="BAB72" s="83"/>
      <c r="BAL72" s="83"/>
      <c r="BAV72" s="83"/>
      <c r="BBF72" s="83"/>
      <c r="BBP72" s="83"/>
      <c r="BBZ72" s="83"/>
      <c r="BCJ72" s="83"/>
      <c r="BCT72" s="83"/>
      <c r="BDD72" s="83"/>
      <c r="BDN72" s="83"/>
      <c r="BDX72" s="83"/>
      <c r="BEH72" s="83"/>
      <c r="BER72" s="83"/>
      <c r="BFB72" s="83"/>
      <c r="BFL72" s="83"/>
      <c r="BFV72" s="83"/>
      <c r="BGF72" s="83"/>
      <c r="BGP72" s="83"/>
      <c r="BGZ72" s="83"/>
      <c r="BHJ72" s="83"/>
      <c r="BHT72" s="83"/>
      <c r="BID72" s="83"/>
      <c r="BIN72" s="83"/>
      <c r="BIX72" s="83"/>
      <c r="BJH72" s="83"/>
      <c r="BJR72" s="83"/>
      <c r="BKB72" s="83"/>
      <c r="BKL72" s="83"/>
      <c r="BKV72" s="83"/>
      <c r="BLF72" s="83"/>
      <c r="BLP72" s="83"/>
      <c r="BLZ72" s="83"/>
      <c r="BMJ72" s="83"/>
      <c r="BMT72" s="83"/>
      <c r="BND72" s="83"/>
      <c r="BNN72" s="83"/>
      <c r="BNX72" s="83"/>
      <c r="BOH72" s="83"/>
      <c r="BOR72" s="83"/>
      <c r="BPB72" s="83"/>
      <c r="BPL72" s="83"/>
      <c r="BPV72" s="83"/>
      <c r="BQF72" s="83"/>
      <c r="BQP72" s="83"/>
      <c r="BQZ72" s="83"/>
      <c r="BRJ72" s="83"/>
      <c r="BRT72" s="83"/>
      <c r="BSD72" s="83"/>
      <c r="BSN72" s="83"/>
      <c r="BSX72" s="83"/>
      <c r="BTH72" s="83"/>
      <c r="BTR72" s="83"/>
      <c r="BUB72" s="83"/>
      <c r="BUL72" s="83"/>
      <c r="BUV72" s="83"/>
      <c r="BVF72" s="83"/>
      <c r="BVP72" s="83"/>
      <c r="BVZ72" s="83"/>
      <c r="BWJ72" s="83"/>
      <c r="BWT72" s="83"/>
      <c r="BXD72" s="83"/>
      <c r="BXN72" s="83"/>
      <c r="BXX72" s="83"/>
      <c r="BYH72" s="83"/>
      <c r="BYR72" s="83"/>
      <c r="BZB72" s="83"/>
      <c r="BZL72" s="83"/>
      <c r="BZV72" s="83"/>
      <c r="CAF72" s="83"/>
      <c r="CAP72" s="83"/>
      <c r="CAZ72" s="83"/>
      <c r="CBJ72" s="83"/>
      <c r="CBT72" s="83"/>
      <c r="CCD72" s="83"/>
      <c r="CCN72" s="83"/>
      <c r="CCX72" s="83"/>
      <c r="CDH72" s="83"/>
      <c r="CDR72" s="83"/>
      <c r="CEB72" s="83"/>
      <c r="CEL72" s="83"/>
      <c r="CEV72" s="83"/>
      <c r="CFF72" s="83"/>
      <c r="CFP72" s="83"/>
      <c r="CFZ72" s="83"/>
      <c r="CGJ72" s="83"/>
      <c r="CGT72" s="83"/>
      <c r="CHD72" s="83"/>
      <c r="CHN72" s="83"/>
      <c r="CHX72" s="83"/>
      <c r="CIH72" s="83"/>
      <c r="CIR72" s="83"/>
      <c r="CJB72" s="83"/>
      <c r="CJL72" s="83"/>
      <c r="CJV72" s="83"/>
      <c r="CKF72" s="83"/>
      <c r="CKP72" s="83"/>
      <c r="CKZ72" s="83"/>
      <c r="CLJ72" s="83"/>
      <c r="CLT72" s="83"/>
      <c r="CMD72" s="83"/>
      <c r="CMN72" s="83"/>
      <c r="CMX72" s="83"/>
      <c r="CNH72" s="83"/>
      <c r="CNR72" s="83"/>
      <c r="COB72" s="83"/>
      <c r="COL72" s="83"/>
      <c r="COV72" s="83"/>
      <c r="CPF72" s="83"/>
      <c r="CPP72" s="83"/>
      <c r="CPZ72" s="83"/>
      <c r="CQJ72" s="83"/>
      <c r="CQT72" s="83"/>
      <c r="CRD72" s="83"/>
      <c r="CRN72" s="83"/>
      <c r="CRX72" s="83"/>
      <c r="CSH72" s="83"/>
      <c r="CSR72" s="83"/>
      <c r="CTB72" s="83"/>
      <c r="CTL72" s="83"/>
      <c r="CTV72" s="83"/>
    </row>
    <row r="73" s="58" customFormat="1" customHeight="1" spans="1:1020 1030:2040 2050:2570">
      <c r="A73" s="79">
        <v>46151</v>
      </c>
      <c r="B73" s="80" t="s">
        <v>22</v>
      </c>
      <c r="C73" s="38" t="s">
        <v>23</v>
      </c>
      <c r="D73" s="75">
        <v>652369567</v>
      </c>
      <c r="E73" s="84" t="s">
        <v>25</v>
      </c>
      <c r="F73" s="75" t="str">
        <f>VLOOKUP(E73,[7]基础数据!E:H,2,0)</f>
        <v>LX-SHUNT010-AA_V100_STLA_HY_三防漆双面933_001</v>
      </c>
      <c r="G73" s="75">
        <v>486</v>
      </c>
      <c r="H73" s="75" t="str">
        <f>VLOOKUP(E73,[7]基础数据!E:H,4,0)</f>
        <v>料盒</v>
      </c>
      <c r="I73" s="75">
        <f>VLOOKUP(E73,[7]基础数据!E:G,3,0)</f>
        <v>162</v>
      </c>
      <c r="J73" s="75" t="s">
        <v>306</v>
      </c>
      <c r="K73" s="82">
        <f t="shared" si="1"/>
        <v>3</v>
      </c>
      <c r="T73" s="83"/>
      <c r="AD73" s="83"/>
      <c r="AN73" s="83"/>
      <c r="AX73" s="83"/>
      <c r="BH73" s="83"/>
      <c r="BR73" s="83"/>
      <c r="CB73" s="83"/>
      <c r="CL73" s="83"/>
      <c r="CV73" s="83"/>
      <c r="DF73" s="83"/>
      <c r="DP73" s="83"/>
      <c r="DZ73" s="83"/>
      <c r="EJ73" s="83"/>
      <c r="ET73" s="83"/>
      <c r="FD73" s="83"/>
      <c r="FN73" s="83"/>
      <c r="FX73" s="83"/>
      <c r="GH73" s="83"/>
      <c r="GR73" s="83"/>
      <c r="HB73" s="83"/>
      <c r="HL73" s="83"/>
      <c r="HV73" s="83"/>
      <c r="IF73" s="83"/>
      <c r="IP73" s="83"/>
      <c r="IZ73" s="83"/>
      <c r="JJ73" s="83"/>
      <c r="JT73" s="83"/>
      <c r="KD73" s="83"/>
      <c r="KN73" s="83"/>
      <c r="KX73" s="83"/>
      <c r="LH73" s="83"/>
      <c r="LR73" s="83"/>
      <c r="MB73" s="83"/>
      <c r="ML73" s="83"/>
      <c r="MV73" s="83"/>
      <c r="NF73" s="83"/>
      <c r="NP73" s="83"/>
      <c r="NZ73" s="83"/>
      <c r="OJ73" s="83"/>
      <c r="OT73" s="83"/>
      <c r="PD73" s="83"/>
      <c r="PN73" s="83"/>
      <c r="PX73" s="83"/>
      <c r="QH73" s="83"/>
      <c r="QR73" s="83"/>
      <c r="RB73" s="83"/>
      <c r="RL73" s="83"/>
      <c r="RV73" s="83"/>
      <c r="SF73" s="83"/>
      <c r="SP73" s="83"/>
      <c r="SZ73" s="83"/>
      <c r="TJ73" s="83"/>
      <c r="TT73" s="83"/>
      <c r="UD73" s="83"/>
      <c r="UN73" s="83"/>
      <c r="UX73" s="83"/>
      <c r="VH73" s="83"/>
      <c r="VR73" s="83"/>
      <c r="WB73" s="83"/>
      <c r="WL73" s="83"/>
      <c r="WV73" s="83"/>
      <c r="XF73" s="83"/>
      <c r="XP73" s="83"/>
      <c r="XZ73" s="83"/>
      <c r="YJ73" s="83"/>
      <c r="YT73" s="83"/>
      <c r="ZD73" s="83"/>
      <c r="ZN73" s="83"/>
      <c r="ZX73" s="83"/>
      <c r="AAH73" s="83"/>
      <c r="AAR73" s="83"/>
      <c r="ABB73" s="83"/>
      <c r="ABL73" s="83"/>
      <c r="ABV73" s="83"/>
      <c r="ACF73" s="83"/>
      <c r="ACP73" s="83"/>
      <c r="ACZ73" s="83"/>
      <c r="ADJ73" s="83"/>
      <c r="ADT73" s="83"/>
      <c r="AED73" s="83"/>
      <c r="AEN73" s="83"/>
      <c r="AEX73" s="83"/>
      <c r="AFH73" s="83"/>
      <c r="AFR73" s="83"/>
      <c r="AGB73" s="83"/>
      <c r="AGL73" s="83"/>
      <c r="AGV73" s="83"/>
      <c r="AHF73" s="83"/>
      <c r="AHP73" s="83"/>
      <c r="AHZ73" s="83"/>
      <c r="AIJ73" s="83"/>
      <c r="AIT73" s="83"/>
      <c r="AJD73" s="83"/>
      <c r="AJN73" s="83"/>
      <c r="AJX73" s="83"/>
      <c r="AKH73" s="83"/>
      <c r="AKR73" s="83"/>
      <c r="ALB73" s="83"/>
      <c r="ALL73" s="83"/>
      <c r="ALV73" s="83"/>
      <c r="AMF73" s="83"/>
      <c r="AMP73" s="83"/>
      <c r="AMZ73" s="83"/>
      <c r="ANJ73" s="83"/>
      <c r="ANT73" s="83"/>
      <c r="AOD73" s="83"/>
      <c r="AON73" s="83"/>
      <c r="AOX73" s="83"/>
      <c r="APH73" s="83"/>
      <c r="APR73" s="83"/>
      <c r="AQB73" s="83"/>
      <c r="AQL73" s="83"/>
      <c r="AQV73" s="83"/>
      <c r="ARF73" s="83"/>
      <c r="ARP73" s="83"/>
      <c r="ARZ73" s="83"/>
      <c r="ASJ73" s="83"/>
      <c r="AST73" s="83"/>
      <c r="ATD73" s="83"/>
      <c r="ATN73" s="83"/>
      <c r="ATX73" s="83"/>
      <c r="AUH73" s="83"/>
      <c r="AUR73" s="83"/>
      <c r="AVB73" s="83"/>
      <c r="AVL73" s="83"/>
      <c r="AVV73" s="83"/>
      <c r="AWF73" s="83"/>
      <c r="AWP73" s="83"/>
      <c r="AWZ73" s="83"/>
      <c r="AXJ73" s="83"/>
      <c r="AXT73" s="83"/>
      <c r="AYD73" s="83"/>
      <c r="AYN73" s="83"/>
      <c r="AYX73" s="83"/>
      <c r="AZH73" s="83"/>
      <c r="AZR73" s="83"/>
      <c r="BAB73" s="83"/>
      <c r="BAL73" s="83"/>
      <c r="BAV73" s="83"/>
      <c r="BBF73" s="83"/>
      <c r="BBP73" s="83"/>
      <c r="BBZ73" s="83"/>
      <c r="BCJ73" s="83"/>
      <c r="BCT73" s="83"/>
      <c r="BDD73" s="83"/>
      <c r="BDN73" s="83"/>
      <c r="BDX73" s="83"/>
      <c r="BEH73" s="83"/>
      <c r="BER73" s="83"/>
      <c r="BFB73" s="83"/>
      <c r="BFL73" s="83"/>
      <c r="BFV73" s="83"/>
      <c r="BGF73" s="83"/>
      <c r="BGP73" s="83"/>
      <c r="BGZ73" s="83"/>
      <c r="BHJ73" s="83"/>
      <c r="BHT73" s="83"/>
      <c r="BID73" s="83"/>
      <c r="BIN73" s="83"/>
      <c r="BIX73" s="83"/>
      <c r="BJH73" s="83"/>
      <c r="BJR73" s="83"/>
      <c r="BKB73" s="83"/>
      <c r="BKL73" s="83"/>
      <c r="BKV73" s="83"/>
      <c r="BLF73" s="83"/>
      <c r="BLP73" s="83"/>
      <c r="BLZ73" s="83"/>
      <c r="BMJ73" s="83"/>
      <c r="BMT73" s="83"/>
      <c r="BND73" s="83"/>
      <c r="BNN73" s="83"/>
      <c r="BNX73" s="83"/>
      <c r="BOH73" s="83"/>
      <c r="BOR73" s="83"/>
      <c r="BPB73" s="83"/>
      <c r="BPL73" s="83"/>
      <c r="BPV73" s="83"/>
      <c r="BQF73" s="83"/>
      <c r="BQP73" s="83"/>
      <c r="BQZ73" s="83"/>
      <c r="BRJ73" s="83"/>
      <c r="BRT73" s="83"/>
      <c r="BSD73" s="83"/>
      <c r="BSN73" s="83"/>
      <c r="BSX73" s="83"/>
      <c r="BTH73" s="83"/>
      <c r="BTR73" s="83"/>
      <c r="BUB73" s="83"/>
      <c r="BUL73" s="83"/>
      <c r="BUV73" s="83"/>
      <c r="BVF73" s="83"/>
      <c r="BVP73" s="83"/>
      <c r="BVZ73" s="83"/>
      <c r="BWJ73" s="83"/>
      <c r="BWT73" s="83"/>
      <c r="BXD73" s="83"/>
      <c r="BXN73" s="83"/>
      <c r="BXX73" s="83"/>
      <c r="BYH73" s="83"/>
      <c r="BYR73" s="83"/>
      <c r="BZB73" s="83"/>
      <c r="BZL73" s="83"/>
      <c r="BZV73" s="83"/>
      <c r="CAF73" s="83"/>
      <c r="CAP73" s="83"/>
      <c r="CAZ73" s="83"/>
      <c r="CBJ73" s="83"/>
      <c r="CBT73" s="83"/>
      <c r="CCD73" s="83"/>
      <c r="CCN73" s="83"/>
      <c r="CCX73" s="83"/>
      <c r="CDH73" s="83"/>
      <c r="CDR73" s="83"/>
      <c r="CEB73" s="83"/>
      <c r="CEL73" s="83"/>
      <c r="CEV73" s="83"/>
      <c r="CFF73" s="83"/>
      <c r="CFP73" s="83"/>
      <c r="CFZ73" s="83"/>
      <c r="CGJ73" s="83"/>
      <c r="CGT73" s="83"/>
      <c r="CHD73" s="83"/>
      <c r="CHN73" s="83"/>
      <c r="CHX73" s="83"/>
      <c r="CIH73" s="83"/>
      <c r="CIR73" s="83"/>
      <c r="CJB73" s="83"/>
      <c r="CJL73" s="83"/>
      <c r="CJV73" s="83"/>
      <c r="CKF73" s="83"/>
      <c r="CKP73" s="83"/>
      <c r="CKZ73" s="83"/>
      <c r="CLJ73" s="83"/>
      <c r="CLT73" s="83"/>
      <c r="CMD73" s="83"/>
      <c r="CMN73" s="83"/>
      <c r="CMX73" s="83"/>
      <c r="CNH73" s="83"/>
      <c r="CNR73" s="83"/>
      <c r="COB73" s="83"/>
      <c r="COL73" s="83"/>
      <c r="COV73" s="83"/>
      <c r="CPF73" s="83"/>
      <c r="CPP73" s="83"/>
      <c r="CPZ73" s="83"/>
      <c r="CQJ73" s="83"/>
      <c r="CQT73" s="83"/>
      <c r="CRD73" s="83"/>
      <c r="CRN73" s="83"/>
      <c r="CRX73" s="83"/>
      <c r="CSH73" s="83"/>
      <c r="CSR73" s="83"/>
      <c r="CTB73" s="83"/>
      <c r="CTL73" s="83"/>
      <c r="CTV73" s="83"/>
    </row>
    <row r="74" s="58" customFormat="1" customHeight="1" spans="1:1020 1030:2040 2050:2570">
      <c r="A74" s="79">
        <v>46151</v>
      </c>
      <c r="B74" s="80" t="s">
        <v>22</v>
      </c>
      <c r="C74" s="38" t="s">
        <v>23</v>
      </c>
      <c r="D74" s="75">
        <v>652370939</v>
      </c>
      <c r="E74" s="84" t="s">
        <v>33</v>
      </c>
      <c r="F74" s="75" t="str">
        <f>VLOOKUP(E74,[7]基础数据!E:H,2,0)</f>
        <v>LP-BSU053-AA_V100_TI_32A2_BTW三防漆双面922_0截</v>
      </c>
      <c r="G74" s="75">
        <v>1620</v>
      </c>
      <c r="H74" s="75" t="str">
        <f>VLOOKUP(E74,[7]基础数据!E:H,4,0)</f>
        <v>料盒</v>
      </c>
      <c r="I74" s="75">
        <f>VLOOKUP(E74,[7]基础数据!E:G,3,0)</f>
        <v>36</v>
      </c>
      <c r="J74" s="75" t="s">
        <v>306</v>
      </c>
      <c r="K74" s="82">
        <f t="shared" si="1"/>
        <v>45</v>
      </c>
      <c r="T74" s="83"/>
      <c r="AD74" s="83"/>
      <c r="AN74" s="83"/>
      <c r="AX74" s="83"/>
      <c r="BH74" s="83"/>
      <c r="BR74" s="83"/>
      <c r="CB74" s="83"/>
      <c r="CL74" s="83"/>
      <c r="CV74" s="83"/>
      <c r="DF74" s="83"/>
      <c r="DP74" s="83"/>
      <c r="DZ74" s="83"/>
      <c r="EJ74" s="83"/>
      <c r="ET74" s="83"/>
      <c r="FD74" s="83"/>
      <c r="FN74" s="83"/>
      <c r="FX74" s="83"/>
      <c r="GH74" s="83"/>
      <c r="GR74" s="83"/>
      <c r="HB74" s="83"/>
      <c r="HL74" s="83"/>
      <c r="HV74" s="83"/>
      <c r="IF74" s="83"/>
      <c r="IP74" s="83"/>
      <c r="IZ74" s="83"/>
      <c r="JJ74" s="83"/>
      <c r="JT74" s="83"/>
      <c r="KD74" s="83"/>
      <c r="KN74" s="83"/>
      <c r="KX74" s="83"/>
      <c r="LH74" s="83"/>
      <c r="LR74" s="83"/>
      <c r="MB74" s="83"/>
      <c r="ML74" s="83"/>
      <c r="MV74" s="83"/>
      <c r="NF74" s="83"/>
      <c r="NP74" s="83"/>
      <c r="NZ74" s="83"/>
      <c r="OJ74" s="83"/>
      <c r="OT74" s="83"/>
      <c r="PD74" s="83"/>
      <c r="PN74" s="83"/>
      <c r="PX74" s="83"/>
      <c r="QH74" s="83"/>
      <c r="QR74" s="83"/>
      <c r="RB74" s="83"/>
      <c r="RL74" s="83"/>
      <c r="RV74" s="83"/>
      <c r="SF74" s="83"/>
      <c r="SP74" s="83"/>
      <c r="SZ74" s="83"/>
      <c r="TJ74" s="83"/>
      <c r="TT74" s="83"/>
      <c r="UD74" s="83"/>
      <c r="UN74" s="83"/>
      <c r="UX74" s="83"/>
      <c r="VH74" s="83"/>
      <c r="VR74" s="83"/>
      <c r="WB74" s="83"/>
      <c r="WL74" s="83"/>
      <c r="WV74" s="83"/>
      <c r="XF74" s="83"/>
      <c r="XP74" s="83"/>
      <c r="XZ74" s="83"/>
      <c r="YJ74" s="83"/>
      <c r="YT74" s="83"/>
      <c r="ZD74" s="83"/>
      <c r="ZN74" s="83"/>
      <c r="ZX74" s="83"/>
      <c r="AAH74" s="83"/>
      <c r="AAR74" s="83"/>
      <c r="ABB74" s="83"/>
      <c r="ABL74" s="83"/>
      <c r="ABV74" s="83"/>
      <c r="ACF74" s="83"/>
      <c r="ACP74" s="83"/>
      <c r="ACZ74" s="83"/>
      <c r="ADJ74" s="83"/>
      <c r="ADT74" s="83"/>
      <c r="AED74" s="83"/>
      <c r="AEN74" s="83"/>
      <c r="AEX74" s="83"/>
      <c r="AFH74" s="83"/>
      <c r="AFR74" s="83"/>
      <c r="AGB74" s="83"/>
      <c r="AGL74" s="83"/>
      <c r="AGV74" s="83"/>
      <c r="AHF74" s="83"/>
      <c r="AHP74" s="83"/>
      <c r="AHZ74" s="83"/>
      <c r="AIJ74" s="83"/>
      <c r="AIT74" s="83"/>
      <c r="AJD74" s="83"/>
      <c r="AJN74" s="83"/>
      <c r="AJX74" s="83"/>
      <c r="AKH74" s="83"/>
      <c r="AKR74" s="83"/>
      <c r="ALB74" s="83"/>
      <c r="ALL74" s="83"/>
      <c r="ALV74" s="83"/>
      <c r="AMF74" s="83"/>
      <c r="AMP74" s="83"/>
      <c r="AMZ74" s="83"/>
      <c r="ANJ74" s="83"/>
      <c r="ANT74" s="83"/>
      <c r="AOD74" s="83"/>
      <c r="AON74" s="83"/>
      <c r="AOX74" s="83"/>
      <c r="APH74" s="83"/>
      <c r="APR74" s="83"/>
      <c r="AQB74" s="83"/>
      <c r="AQL74" s="83"/>
      <c r="AQV74" s="83"/>
      <c r="ARF74" s="83"/>
      <c r="ARP74" s="83"/>
      <c r="ARZ74" s="83"/>
      <c r="ASJ74" s="83"/>
      <c r="AST74" s="83"/>
      <c r="ATD74" s="83"/>
      <c r="ATN74" s="83"/>
      <c r="ATX74" s="83"/>
      <c r="AUH74" s="83"/>
      <c r="AUR74" s="83"/>
      <c r="AVB74" s="83"/>
      <c r="AVL74" s="83"/>
      <c r="AVV74" s="83"/>
      <c r="AWF74" s="83"/>
      <c r="AWP74" s="83"/>
      <c r="AWZ74" s="83"/>
      <c r="AXJ74" s="83"/>
      <c r="AXT74" s="83"/>
      <c r="AYD74" s="83"/>
      <c r="AYN74" s="83"/>
      <c r="AYX74" s="83"/>
      <c r="AZH74" s="83"/>
      <c r="AZR74" s="83"/>
      <c r="BAB74" s="83"/>
      <c r="BAL74" s="83"/>
      <c r="BAV74" s="83"/>
      <c r="BBF74" s="83"/>
      <c r="BBP74" s="83"/>
      <c r="BBZ74" s="83"/>
      <c r="BCJ74" s="83"/>
      <c r="BCT74" s="83"/>
      <c r="BDD74" s="83"/>
      <c r="BDN74" s="83"/>
      <c r="BDX74" s="83"/>
      <c r="BEH74" s="83"/>
      <c r="BER74" s="83"/>
      <c r="BFB74" s="83"/>
      <c r="BFL74" s="83"/>
      <c r="BFV74" s="83"/>
      <c r="BGF74" s="83"/>
      <c r="BGP74" s="83"/>
      <c r="BGZ74" s="83"/>
      <c r="BHJ74" s="83"/>
      <c r="BHT74" s="83"/>
      <c r="BID74" s="83"/>
      <c r="BIN74" s="83"/>
      <c r="BIX74" s="83"/>
      <c r="BJH74" s="83"/>
      <c r="BJR74" s="83"/>
      <c r="BKB74" s="83"/>
      <c r="BKL74" s="83"/>
      <c r="BKV74" s="83"/>
      <c r="BLF74" s="83"/>
      <c r="BLP74" s="83"/>
      <c r="BLZ74" s="83"/>
      <c r="BMJ74" s="83"/>
      <c r="BMT74" s="83"/>
      <c r="BND74" s="83"/>
      <c r="BNN74" s="83"/>
      <c r="BNX74" s="83"/>
      <c r="BOH74" s="83"/>
      <c r="BOR74" s="83"/>
      <c r="BPB74" s="83"/>
      <c r="BPL74" s="83"/>
      <c r="BPV74" s="83"/>
      <c r="BQF74" s="83"/>
      <c r="BQP74" s="83"/>
      <c r="BQZ74" s="83"/>
      <c r="BRJ74" s="83"/>
      <c r="BRT74" s="83"/>
      <c r="BSD74" s="83"/>
      <c r="BSN74" s="83"/>
      <c r="BSX74" s="83"/>
      <c r="BTH74" s="83"/>
      <c r="BTR74" s="83"/>
      <c r="BUB74" s="83"/>
      <c r="BUL74" s="83"/>
      <c r="BUV74" s="83"/>
      <c r="BVF74" s="83"/>
      <c r="BVP74" s="83"/>
      <c r="BVZ74" s="83"/>
      <c r="BWJ74" s="83"/>
      <c r="BWT74" s="83"/>
      <c r="BXD74" s="83"/>
      <c r="BXN74" s="83"/>
      <c r="BXX74" s="83"/>
      <c r="BYH74" s="83"/>
      <c r="BYR74" s="83"/>
      <c r="BZB74" s="83"/>
      <c r="BZL74" s="83"/>
      <c r="BZV74" s="83"/>
      <c r="CAF74" s="83"/>
      <c r="CAP74" s="83"/>
      <c r="CAZ74" s="83"/>
      <c r="CBJ74" s="83"/>
      <c r="CBT74" s="83"/>
      <c r="CCD74" s="83"/>
      <c r="CCN74" s="83"/>
      <c r="CCX74" s="83"/>
      <c r="CDH74" s="83"/>
      <c r="CDR74" s="83"/>
      <c r="CEB74" s="83"/>
      <c r="CEL74" s="83"/>
      <c r="CEV74" s="83"/>
      <c r="CFF74" s="83"/>
      <c r="CFP74" s="83"/>
      <c r="CFZ74" s="83"/>
      <c r="CGJ74" s="83"/>
      <c r="CGT74" s="83"/>
      <c r="CHD74" s="83"/>
      <c r="CHN74" s="83"/>
      <c r="CHX74" s="83"/>
      <c r="CIH74" s="83"/>
      <c r="CIR74" s="83"/>
      <c r="CJB74" s="83"/>
      <c r="CJL74" s="83"/>
      <c r="CJV74" s="83"/>
      <c r="CKF74" s="83"/>
      <c r="CKP74" s="83"/>
      <c r="CKZ74" s="83"/>
      <c r="CLJ74" s="83"/>
      <c r="CLT74" s="83"/>
      <c r="CMD74" s="83"/>
      <c r="CMN74" s="83"/>
      <c r="CMX74" s="83"/>
      <c r="CNH74" s="83"/>
      <c r="CNR74" s="83"/>
      <c r="COB74" s="83"/>
      <c r="COL74" s="83"/>
      <c r="COV74" s="83"/>
      <c r="CPF74" s="83"/>
      <c r="CPP74" s="83"/>
      <c r="CPZ74" s="83"/>
      <c r="CQJ74" s="83"/>
      <c r="CQT74" s="83"/>
      <c r="CRD74" s="83"/>
      <c r="CRN74" s="83"/>
      <c r="CRX74" s="83"/>
      <c r="CSH74" s="83"/>
      <c r="CSR74" s="83"/>
      <c r="CTB74" s="83"/>
      <c r="CTL74" s="83"/>
      <c r="CTV74" s="83"/>
    </row>
    <row r="75" s="58" customFormat="1" customHeight="1" spans="1:1020 1030:2040 2050:2570">
      <c r="A75" s="79">
        <v>46151</v>
      </c>
      <c r="B75" s="80" t="s">
        <v>22</v>
      </c>
      <c r="C75" s="38" t="s">
        <v>23</v>
      </c>
      <c r="D75" s="75">
        <v>652370939</v>
      </c>
      <c r="E75" s="84" t="s">
        <v>39</v>
      </c>
      <c r="F75" s="75" t="str">
        <f>VLOOKUP(E75,[7]基础数据!E:H,2,0)</f>
        <v>LP-BSU050-AA_V100_TI_32B2_HW_三防漆双面911_0截</v>
      </c>
      <c r="G75" s="75">
        <v>1728</v>
      </c>
      <c r="H75" s="75" t="str">
        <f>VLOOKUP(E75,[7]基础数据!E:H,4,0)</f>
        <v>料盒</v>
      </c>
      <c r="I75" s="75">
        <f>VLOOKUP(E75,[7]基础数据!E:G,3,0)</f>
        <v>36</v>
      </c>
      <c r="J75" s="75" t="s">
        <v>306</v>
      </c>
      <c r="K75" s="82">
        <f t="shared" si="1"/>
        <v>48</v>
      </c>
      <c r="T75" s="83"/>
      <c r="AD75" s="83"/>
      <c r="AN75" s="83"/>
      <c r="AX75" s="83"/>
      <c r="BH75" s="83"/>
      <c r="BR75" s="83"/>
      <c r="CB75" s="83"/>
      <c r="CL75" s="83"/>
      <c r="CV75" s="83"/>
      <c r="DF75" s="83"/>
      <c r="DP75" s="83"/>
      <c r="DZ75" s="83"/>
      <c r="EJ75" s="83"/>
      <c r="ET75" s="83"/>
      <c r="FD75" s="83"/>
      <c r="FN75" s="83"/>
      <c r="FX75" s="83"/>
      <c r="GH75" s="83"/>
      <c r="GR75" s="83"/>
      <c r="HB75" s="83"/>
      <c r="HL75" s="83"/>
      <c r="HV75" s="83"/>
      <c r="IF75" s="83"/>
      <c r="IP75" s="83"/>
      <c r="IZ75" s="83"/>
      <c r="JJ75" s="83"/>
      <c r="JT75" s="83"/>
      <c r="KD75" s="83"/>
      <c r="KN75" s="83"/>
      <c r="KX75" s="83"/>
      <c r="LH75" s="83"/>
      <c r="LR75" s="83"/>
      <c r="MB75" s="83"/>
      <c r="ML75" s="83"/>
      <c r="MV75" s="83"/>
      <c r="NF75" s="83"/>
      <c r="NP75" s="83"/>
      <c r="NZ75" s="83"/>
      <c r="OJ75" s="83"/>
      <c r="OT75" s="83"/>
      <c r="PD75" s="83"/>
      <c r="PN75" s="83"/>
      <c r="PX75" s="83"/>
      <c r="QH75" s="83"/>
      <c r="QR75" s="83"/>
      <c r="RB75" s="83"/>
      <c r="RL75" s="83"/>
      <c r="RV75" s="83"/>
      <c r="SF75" s="83"/>
      <c r="SP75" s="83"/>
      <c r="SZ75" s="83"/>
      <c r="TJ75" s="83"/>
      <c r="TT75" s="83"/>
      <c r="UD75" s="83"/>
      <c r="UN75" s="83"/>
      <c r="UX75" s="83"/>
      <c r="VH75" s="83"/>
      <c r="VR75" s="83"/>
      <c r="WB75" s="83"/>
      <c r="WL75" s="83"/>
      <c r="WV75" s="83"/>
      <c r="XF75" s="83"/>
      <c r="XP75" s="83"/>
      <c r="XZ75" s="83"/>
      <c r="YJ75" s="83"/>
      <c r="YT75" s="83"/>
      <c r="ZD75" s="83"/>
      <c r="ZN75" s="83"/>
      <c r="ZX75" s="83"/>
      <c r="AAH75" s="83"/>
      <c r="AAR75" s="83"/>
      <c r="ABB75" s="83"/>
      <c r="ABL75" s="83"/>
      <c r="ABV75" s="83"/>
      <c r="ACF75" s="83"/>
      <c r="ACP75" s="83"/>
      <c r="ACZ75" s="83"/>
      <c r="ADJ75" s="83"/>
      <c r="ADT75" s="83"/>
      <c r="AED75" s="83"/>
      <c r="AEN75" s="83"/>
      <c r="AEX75" s="83"/>
      <c r="AFH75" s="83"/>
      <c r="AFR75" s="83"/>
      <c r="AGB75" s="83"/>
      <c r="AGL75" s="83"/>
      <c r="AGV75" s="83"/>
      <c r="AHF75" s="83"/>
      <c r="AHP75" s="83"/>
      <c r="AHZ75" s="83"/>
      <c r="AIJ75" s="83"/>
      <c r="AIT75" s="83"/>
      <c r="AJD75" s="83"/>
      <c r="AJN75" s="83"/>
      <c r="AJX75" s="83"/>
      <c r="AKH75" s="83"/>
      <c r="AKR75" s="83"/>
      <c r="ALB75" s="83"/>
      <c r="ALL75" s="83"/>
      <c r="ALV75" s="83"/>
      <c r="AMF75" s="83"/>
      <c r="AMP75" s="83"/>
      <c r="AMZ75" s="83"/>
      <c r="ANJ75" s="83"/>
      <c r="ANT75" s="83"/>
      <c r="AOD75" s="83"/>
      <c r="AON75" s="83"/>
      <c r="AOX75" s="83"/>
      <c r="APH75" s="83"/>
      <c r="APR75" s="83"/>
      <c r="AQB75" s="83"/>
      <c r="AQL75" s="83"/>
      <c r="AQV75" s="83"/>
      <c r="ARF75" s="83"/>
      <c r="ARP75" s="83"/>
      <c r="ARZ75" s="83"/>
      <c r="ASJ75" s="83"/>
      <c r="AST75" s="83"/>
      <c r="ATD75" s="83"/>
      <c r="ATN75" s="83"/>
      <c r="ATX75" s="83"/>
      <c r="AUH75" s="83"/>
      <c r="AUR75" s="83"/>
      <c r="AVB75" s="83"/>
      <c r="AVL75" s="83"/>
      <c r="AVV75" s="83"/>
      <c r="AWF75" s="83"/>
      <c r="AWP75" s="83"/>
      <c r="AWZ75" s="83"/>
      <c r="AXJ75" s="83"/>
      <c r="AXT75" s="83"/>
      <c r="AYD75" s="83"/>
      <c r="AYN75" s="83"/>
      <c r="AYX75" s="83"/>
      <c r="AZH75" s="83"/>
      <c r="AZR75" s="83"/>
      <c r="BAB75" s="83"/>
      <c r="BAL75" s="83"/>
      <c r="BAV75" s="83"/>
      <c r="BBF75" s="83"/>
      <c r="BBP75" s="83"/>
      <c r="BBZ75" s="83"/>
      <c r="BCJ75" s="83"/>
      <c r="BCT75" s="83"/>
      <c r="BDD75" s="83"/>
      <c r="BDN75" s="83"/>
      <c r="BDX75" s="83"/>
      <c r="BEH75" s="83"/>
      <c r="BER75" s="83"/>
      <c r="BFB75" s="83"/>
      <c r="BFL75" s="83"/>
      <c r="BFV75" s="83"/>
      <c r="BGF75" s="83"/>
      <c r="BGP75" s="83"/>
      <c r="BGZ75" s="83"/>
      <c r="BHJ75" s="83"/>
      <c r="BHT75" s="83"/>
      <c r="BID75" s="83"/>
      <c r="BIN75" s="83"/>
      <c r="BIX75" s="83"/>
      <c r="BJH75" s="83"/>
      <c r="BJR75" s="83"/>
      <c r="BKB75" s="83"/>
      <c r="BKL75" s="83"/>
      <c r="BKV75" s="83"/>
      <c r="BLF75" s="83"/>
      <c r="BLP75" s="83"/>
      <c r="BLZ75" s="83"/>
      <c r="BMJ75" s="83"/>
      <c r="BMT75" s="83"/>
      <c r="BND75" s="83"/>
      <c r="BNN75" s="83"/>
      <c r="BNX75" s="83"/>
      <c r="BOH75" s="83"/>
      <c r="BOR75" s="83"/>
      <c r="BPB75" s="83"/>
      <c r="BPL75" s="83"/>
      <c r="BPV75" s="83"/>
      <c r="BQF75" s="83"/>
      <c r="BQP75" s="83"/>
      <c r="BQZ75" s="83"/>
      <c r="BRJ75" s="83"/>
      <c r="BRT75" s="83"/>
      <c r="BSD75" s="83"/>
      <c r="BSN75" s="83"/>
      <c r="BSX75" s="83"/>
      <c r="BTH75" s="83"/>
      <c r="BTR75" s="83"/>
      <c r="BUB75" s="83"/>
      <c r="BUL75" s="83"/>
      <c r="BUV75" s="83"/>
      <c r="BVF75" s="83"/>
      <c r="BVP75" s="83"/>
      <c r="BVZ75" s="83"/>
      <c r="BWJ75" s="83"/>
      <c r="BWT75" s="83"/>
      <c r="BXD75" s="83"/>
      <c r="BXN75" s="83"/>
      <c r="BXX75" s="83"/>
      <c r="BYH75" s="83"/>
      <c r="BYR75" s="83"/>
      <c r="BZB75" s="83"/>
      <c r="BZL75" s="83"/>
      <c r="BZV75" s="83"/>
      <c r="CAF75" s="83"/>
      <c r="CAP75" s="83"/>
      <c r="CAZ75" s="83"/>
      <c r="CBJ75" s="83"/>
      <c r="CBT75" s="83"/>
      <c r="CCD75" s="83"/>
      <c r="CCN75" s="83"/>
      <c r="CCX75" s="83"/>
      <c r="CDH75" s="83"/>
      <c r="CDR75" s="83"/>
      <c r="CEB75" s="83"/>
      <c r="CEL75" s="83"/>
      <c r="CEV75" s="83"/>
      <c r="CFF75" s="83"/>
      <c r="CFP75" s="83"/>
      <c r="CFZ75" s="83"/>
      <c r="CGJ75" s="83"/>
      <c r="CGT75" s="83"/>
      <c r="CHD75" s="83"/>
      <c r="CHN75" s="83"/>
      <c r="CHX75" s="83"/>
      <c r="CIH75" s="83"/>
      <c r="CIR75" s="83"/>
      <c r="CJB75" s="83"/>
      <c r="CJL75" s="83"/>
      <c r="CJV75" s="83"/>
      <c r="CKF75" s="83"/>
      <c r="CKP75" s="83"/>
      <c r="CKZ75" s="83"/>
      <c r="CLJ75" s="83"/>
      <c r="CLT75" s="83"/>
      <c r="CMD75" s="83"/>
      <c r="CMN75" s="83"/>
      <c r="CMX75" s="83"/>
      <c r="CNH75" s="83"/>
      <c r="CNR75" s="83"/>
      <c r="COB75" s="83"/>
      <c r="COL75" s="83"/>
      <c r="COV75" s="83"/>
      <c r="CPF75" s="83"/>
      <c r="CPP75" s="83"/>
      <c r="CPZ75" s="83"/>
      <c r="CQJ75" s="83"/>
      <c r="CQT75" s="83"/>
      <c r="CRD75" s="83"/>
      <c r="CRN75" s="83"/>
      <c r="CRX75" s="83"/>
      <c r="CSH75" s="83"/>
      <c r="CSR75" s="83"/>
      <c r="CTB75" s="83"/>
      <c r="CTL75" s="83"/>
      <c r="CTV75" s="83"/>
    </row>
    <row r="76" s="58" customFormat="1" customHeight="1" spans="1:1020 1030:2040 2050:2570">
      <c r="A76" s="79">
        <v>46151</v>
      </c>
      <c r="B76" s="80" t="s">
        <v>22</v>
      </c>
      <c r="C76" s="38" t="s">
        <v>23</v>
      </c>
      <c r="D76" s="75">
        <v>652371013</v>
      </c>
      <c r="E76" s="84" t="s">
        <v>30</v>
      </c>
      <c r="F76" s="75" t="str">
        <f>VLOOKUP(E76,[7]基础数据!E:H,2,0)</f>
        <v>LP_SHUNT010-AA_A12EV_V1_三防漆双面925_007</v>
      </c>
      <c r="G76" s="75">
        <v>1290</v>
      </c>
      <c r="H76" s="75" t="str">
        <f>VLOOKUP(E76,[7]基础数据!E:H,4,0)</f>
        <v>料盒</v>
      </c>
      <c r="I76" s="75">
        <f>VLOOKUP(E76,[7]基础数据!E:G,3,0)</f>
        <v>162</v>
      </c>
      <c r="J76" s="75" t="s">
        <v>306</v>
      </c>
      <c r="K76" s="82">
        <f t="shared" si="1"/>
        <v>7.96296296296296</v>
      </c>
      <c r="T76" s="83"/>
      <c r="AD76" s="83"/>
      <c r="AN76" s="83"/>
      <c r="AX76" s="83"/>
      <c r="BH76" s="83"/>
      <c r="BR76" s="83"/>
      <c r="CB76" s="83"/>
      <c r="CL76" s="83"/>
      <c r="CV76" s="83"/>
      <c r="DF76" s="83"/>
      <c r="DP76" s="83"/>
      <c r="DZ76" s="83"/>
      <c r="EJ76" s="83"/>
      <c r="ET76" s="83"/>
      <c r="FD76" s="83"/>
      <c r="FN76" s="83"/>
      <c r="FX76" s="83"/>
      <c r="GH76" s="83"/>
      <c r="GR76" s="83"/>
      <c r="HB76" s="83"/>
      <c r="HL76" s="83"/>
      <c r="HV76" s="83"/>
      <c r="IF76" s="83"/>
      <c r="IP76" s="83"/>
      <c r="IZ76" s="83"/>
      <c r="JJ76" s="83"/>
      <c r="JT76" s="83"/>
      <c r="KD76" s="83"/>
      <c r="KN76" s="83"/>
      <c r="KX76" s="83"/>
      <c r="LH76" s="83"/>
      <c r="LR76" s="83"/>
      <c r="MB76" s="83"/>
      <c r="ML76" s="83"/>
      <c r="MV76" s="83"/>
      <c r="NF76" s="83"/>
      <c r="NP76" s="83"/>
      <c r="NZ76" s="83"/>
      <c r="OJ76" s="83"/>
      <c r="OT76" s="83"/>
      <c r="PD76" s="83"/>
      <c r="PN76" s="83"/>
      <c r="PX76" s="83"/>
      <c r="QH76" s="83"/>
      <c r="QR76" s="83"/>
      <c r="RB76" s="83"/>
      <c r="RL76" s="83"/>
      <c r="RV76" s="83"/>
      <c r="SF76" s="83"/>
      <c r="SP76" s="83"/>
      <c r="SZ76" s="83"/>
      <c r="TJ76" s="83"/>
      <c r="TT76" s="83"/>
      <c r="UD76" s="83"/>
      <c r="UN76" s="83"/>
      <c r="UX76" s="83"/>
      <c r="VH76" s="83"/>
      <c r="VR76" s="83"/>
      <c r="WB76" s="83"/>
      <c r="WL76" s="83"/>
      <c r="WV76" s="83"/>
      <c r="XF76" s="83"/>
      <c r="XP76" s="83"/>
      <c r="XZ76" s="83"/>
      <c r="YJ76" s="83"/>
      <c r="YT76" s="83"/>
      <c r="ZD76" s="83"/>
      <c r="ZN76" s="83"/>
      <c r="ZX76" s="83"/>
      <c r="AAH76" s="83"/>
      <c r="AAR76" s="83"/>
      <c r="ABB76" s="83"/>
      <c r="ABL76" s="83"/>
      <c r="ABV76" s="83"/>
      <c r="ACF76" s="83"/>
      <c r="ACP76" s="83"/>
      <c r="ACZ76" s="83"/>
      <c r="ADJ76" s="83"/>
      <c r="ADT76" s="83"/>
      <c r="AED76" s="83"/>
      <c r="AEN76" s="83"/>
      <c r="AEX76" s="83"/>
      <c r="AFH76" s="83"/>
      <c r="AFR76" s="83"/>
      <c r="AGB76" s="83"/>
      <c r="AGL76" s="83"/>
      <c r="AGV76" s="83"/>
      <c r="AHF76" s="83"/>
      <c r="AHP76" s="83"/>
      <c r="AHZ76" s="83"/>
      <c r="AIJ76" s="83"/>
      <c r="AIT76" s="83"/>
      <c r="AJD76" s="83"/>
      <c r="AJN76" s="83"/>
      <c r="AJX76" s="83"/>
      <c r="AKH76" s="83"/>
      <c r="AKR76" s="83"/>
      <c r="ALB76" s="83"/>
      <c r="ALL76" s="83"/>
      <c r="ALV76" s="83"/>
      <c r="AMF76" s="83"/>
      <c r="AMP76" s="83"/>
      <c r="AMZ76" s="83"/>
      <c r="ANJ76" s="83"/>
      <c r="ANT76" s="83"/>
      <c r="AOD76" s="83"/>
      <c r="AON76" s="83"/>
      <c r="AOX76" s="83"/>
      <c r="APH76" s="83"/>
      <c r="APR76" s="83"/>
      <c r="AQB76" s="83"/>
      <c r="AQL76" s="83"/>
      <c r="AQV76" s="83"/>
      <c r="ARF76" s="83"/>
      <c r="ARP76" s="83"/>
      <c r="ARZ76" s="83"/>
      <c r="ASJ76" s="83"/>
      <c r="AST76" s="83"/>
      <c r="ATD76" s="83"/>
      <c r="ATN76" s="83"/>
      <c r="ATX76" s="83"/>
      <c r="AUH76" s="83"/>
      <c r="AUR76" s="83"/>
      <c r="AVB76" s="83"/>
      <c r="AVL76" s="83"/>
      <c r="AVV76" s="83"/>
      <c r="AWF76" s="83"/>
      <c r="AWP76" s="83"/>
      <c r="AWZ76" s="83"/>
      <c r="AXJ76" s="83"/>
      <c r="AXT76" s="83"/>
      <c r="AYD76" s="83"/>
      <c r="AYN76" s="83"/>
      <c r="AYX76" s="83"/>
      <c r="AZH76" s="83"/>
      <c r="AZR76" s="83"/>
      <c r="BAB76" s="83"/>
      <c r="BAL76" s="83"/>
      <c r="BAV76" s="83"/>
      <c r="BBF76" s="83"/>
      <c r="BBP76" s="83"/>
      <c r="BBZ76" s="83"/>
      <c r="BCJ76" s="83"/>
      <c r="BCT76" s="83"/>
      <c r="BDD76" s="83"/>
      <c r="BDN76" s="83"/>
      <c r="BDX76" s="83"/>
      <c r="BEH76" s="83"/>
      <c r="BER76" s="83"/>
      <c r="BFB76" s="83"/>
      <c r="BFL76" s="83"/>
      <c r="BFV76" s="83"/>
      <c r="BGF76" s="83"/>
      <c r="BGP76" s="83"/>
      <c r="BGZ76" s="83"/>
      <c r="BHJ76" s="83"/>
      <c r="BHT76" s="83"/>
      <c r="BID76" s="83"/>
      <c r="BIN76" s="83"/>
      <c r="BIX76" s="83"/>
      <c r="BJH76" s="83"/>
      <c r="BJR76" s="83"/>
      <c r="BKB76" s="83"/>
      <c r="BKL76" s="83"/>
      <c r="BKV76" s="83"/>
      <c r="BLF76" s="83"/>
      <c r="BLP76" s="83"/>
      <c r="BLZ76" s="83"/>
      <c r="BMJ76" s="83"/>
      <c r="BMT76" s="83"/>
      <c r="BND76" s="83"/>
      <c r="BNN76" s="83"/>
      <c r="BNX76" s="83"/>
      <c r="BOH76" s="83"/>
      <c r="BOR76" s="83"/>
      <c r="BPB76" s="83"/>
      <c r="BPL76" s="83"/>
      <c r="BPV76" s="83"/>
      <c r="BQF76" s="83"/>
      <c r="BQP76" s="83"/>
      <c r="BQZ76" s="83"/>
      <c r="BRJ76" s="83"/>
      <c r="BRT76" s="83"/>
      <c r="BSD76" s="83"/>
      <c r="BSN76" s="83"/>
      <c r="BSX76" s="83"/>
      <c r="BTH76" s="83"/>
      <c r="BTR76" s="83"/>
      <c r="BUB76" s="83"/>
      <c r="BUL76" s="83"/>
      <c r="BUV76" s="83"/>
      <c r="BVF76" s="83"/>
      <c r="BVP76" s="83"/>
      <c r="BVZ76" s="83"/>
      <c r="BWJ76" s="83"/>
      <c r="BWT76" s="83"/>
      <c r="BXD76" s="83"/>
      <c r="BXN76" s="83"/>
      <c r="BXX76" s="83"/>
      <c r="BYH76" s="83"/>
      <c r="BYR76" s="83"/>
      <c r="BZB76" s="83"/>
      <c r="BZL76" s="83"/>
      <c r="BZV76" s="83"/>
      <c r="CAF76" s="83"/>
      <c r="CAP76" s="83"/>
      <c r="CAZ76" s="83"/>
      <c r="CBJ76" s="83"/>
      <c r="CBT76" s="83"/>
      <c r="CCD76" s="83"/>
      <c r="CCN76" s="83"/>
      <c r="CCX76" s="83"/>
      <c r="CDH76" s="83"/>
      <c r="CDR76" s="83"/>
      <c r="CEB76" s="83"/>
      <c r="CEL76" s="83"/>
      <c r="CEV76" s="83"/>
      <c r="CFF76" s="83"/>
      <c r="CFP76" s="83"/>
      <c r="CFZ76" s="83"/>
      <c r="CGJ76" s="83"/>
      <c r="CGT76" s="83"/>
      <c r="CHD76" s="83"/>
      <c r="CHN76" s="83"/>
      <c r="CHX76" s="83"/>
      <c r="CIH76" s="83"/>
      <c r="CIR76" s="83"/>
      <c r="CJB76" s="83"/>
      <c r="CJL76" s="83"/>
      <c r="CJV76" s="83"/>
      <c r="CKF76" s="83"/>
      <c r="CKP76" s="83"/>
      <c r="CKZ76" s="83"/>
      <c r="CLJ76" s="83"/>
      <c r="CLT76" s="83"/>
      <c r="CMD76" s="83"/>
      <c r="CMN76" s="83"/>
      <c r="CMX76" s="83"/>
      <c r="CNH76" s="83"/>
      <c r="CNR76" s="83"/>
      <c r="COB76" s="83"/>
      <c r="COL76" s="83"/>
      <c r="COV76" s="83"/>
      <c r="CPF76" s="83"/>
      <c r="CPP76" s="83"/>
      <c r="CPZ76" s="83"/>
      <c r="CQJ76" s="83"/>
      <c r="CQT76" s="83"/>
      <c r="CRD76" s="83"/>
      <c r="CRN76" s="83"/>
      <c r="CRX76" s="83"/>
      <c r="CSH76" s="83"/>
      <c r="CSR76" s="83"/>
      <c r="CTB76" s="83"/>
      <c r="CTL76" s="83"/>
      <c r="CTV76" s="83"/>
    </row>
    <row r="77" s="58" customFormat="1" customHeight="1" spans="1:1020 1030:2040 2050:2570">
      <c r="A77" s="79">
        <v>46151</v>
      </c>
      <c r="B77" s="80" t="s">
        <v>22</v>
      </c>
      <c r="C77" s="38" t="s">
        <v>23</v>
      </c>
      <c r="D77" s="75">
        <v>652371583</v>
      </c>
      <c r="E77" s="84" t="s">
        <v>36</v>
      </c>
      <c r="F77" s="75" t="str">
        <f>VLOOKUP(E77,[7]基础数据!E:H,2,0)</f>
        <v>LP-BSU054-AA_V100_TI_32B1_BTW三防漆双面923_0截</v>
      </c>
      <c r="G77" s="75">
        <v>1152</v>
      </c>
      <c r="H77" s="75" t="str">
        <f>VLOOKUP(E77,[7]基础数据!E:H,4,0)</f>
        <v>料盒</v>
      </c>
      <c r="I77" s="75">
        <f>VLOOKUP(E77,[7]基础数据!E:G,3,0)</f>
        <v>36</v>
      </c>
      <c r="J77" s="75" t="s">
        <v>306</v>
      </c>
      <c r="K77" s="82">
        <f t="shared" si="1"/>
        <v>32</v>
      </c>
      <c r="T77" s="83"/>
      <c r="AD77" s="83"/>
      <c r="AN77" s="83"/>
      <c r="AX77" s="83"/>
      <c r="BH77" s="83"/>
      <c r="BR77" s="83"/>
      <c r="CB77" s="83"/>
      <c r="CL77" s="83"/>
      <c r="CV77" s="83"/>
      <c r="DF77" s="83"/>
      <c r="DP77" s="83"/>
      <c r="DZ77" s="83"/>
      <c r="EJ77" s="83"/>
      <c r="ET77" s="83"/>
      <c r="FD77" s="83"/>
      <c r="FN77" s="83"/>
      <c r="FX77" s="83"/>
      <c r="GH77" s="83"/>
      <c r="GR77" s="83"/>
      <c r="HB77" s="83"/>
      <c r="HL77" s="83"/>
      <c r="HV77" s="83"/>
      <c r="IF77" s="83"/>
      <c r="IP77" s="83"/>
      <c r="IZ77" s="83"/>
      <c r="JJ77" s="83"/>
      <c r="JT77" s="83"/>
      <c r="KD77" s="83"/>
      <c r="KN77" s="83"/>
      <c r="KX77" s="83"/>
      <c r="LH77" s="83"/>
      <c r="LR77" s="83"/>
      <c r="MB77" s="83"/>
      <c r="ML77" s="83"/>
      <c r="MV77" s="83"/>
      <c r="NF77" s="83"/>
      <c r="NP77" s="83"/>
      <c r="NZ77" s="83"/>
      <c r="OJ77" s="83"/>
      <c r="OT77" s="83"/>
      <c r="PD77" s="83"/>
      <c r="PN77" s="83"/>
      <c r="PX77" s="83"/>
      <c r="QH77" s="83"/>
      <c r="QR77" s="83"/>
      <c r="RB77" s="83"/>
      <c r="RL77" s="83"/>
      <c r="RV77" s="83"/>
      <c r="SF77" s="83"/>
      <c r="SP77" s="83"/>
      <c r="SZ77" s="83"/>
      <c r="TJ77" s="83"/>
      <c r="TT77" s="83"/>
      <c r="UD77" s="83"/>
      <c r="UN77" s="83"/>
      <c r="UX77" s="83"/>
      <c r="VH77" s="83"/>
      <c r="VR77" s="83"/>
      <c r="WB77" s="83"/>
      <c r="WL77" s="83"/>
      <c r="WV77" s="83"/>
      <c r="XF77" s="83"/>
      <c r="XP77" s="83"/>
      <c r="XZ77" s="83"/>
      <c r="YJ77" s="83"/>
      <c r="YT77" s="83"/>
      <c r="ZD77" s="83"/>
      <c r="ZN77" s="83"/>
      <c r="ZX77" s="83"/>
      <c r="AAH77" s="83"/>
      <c r="AAR77" s="83"/>
      <c r="ABB77" s="83"/>
      <c r="ABL77" s="83"/>
      <c r="ABV77" s="83"/>
      <c r="ACF77" s="83"/>
      <c r="ACP77" s="83"/>
      <c r="ACZ77" s="83"/>
      <c r="ADJ77" s="83"/>
      <c r="ADT77" s="83"/>
      <c r="AED77" s="83"/>
      <c r="AEN77" s="83"/>
      <c r="AEX77" s="83"/>
      <c r="AFH77" s="83"/>
      <c r="AFR77" s="83"/>
      <c r="AGB77" s="83"/>
      <c r="AGL77" s="83"/>
      <c r="AGV77" s="83"/>
      <c r="AHF77" s="83"/>
      <c r="AHP77" s="83"/>
      <c r="AHZ77" s="83"/>
      <c r="AIJ77" s="83"/>
      <c r="AIT77" s="83"/>
      <c r="AJD77" s="83"/>
      <c r="AJN77" s="83"/>
      <c r="AJX77" s="83"/>
      <c r="AKH77" s="83"/>
      <c r="AKR77" s="83"/>
      <c r="ALB77" s="83"/>
      <c r="ALL77" s="83"/>
      <c r="ALV77" s="83"/>
      <c r="AMF77" s="83"/>
      <c r="AMP77" s="83"/>
      <c r="AMZ77" s="83"/>
      <c r="ANJ77" s="83"/>
      <c r="ANT77" s="83"/>
      <c r="AOD77" s="83"/>
      <c r="AON77" s="83"/>
      <c r="AOX77" s="83"/>
      <c r="APH77" s="83"/>
      <c r="APR77" s="83"/>
      <c r="AQB77" s="83"/>
      <c r="AQL77" s="83"/>
      <c r="AQV77" s="83"/>
      <c r="ARF77" s="83"/>
      <c r="ARP77" s="83"/>
      <c r="ARZ77" s="83"/>
      <c r="ASJ77" s="83"/>
      <c r="AST77" s="83"/>
      <c r="ATD77" s="83"/>
      <c r="ATN77" s="83"/>
      <c r="ATX77" s="83"/>
      <c r="AUH77" s="83"/>
      <c r="AUR77" s="83"/>
      <c r="AVB77" s="83"/>
      <c r="AVL77" s="83"/>
      <c r="AVV77" s="83"/>
      <c r="AWF77" s="83"/>
      <c r="AWP77" s="83"/>
      <c r="AWZ77" s="83"/>
      <c r="AXJ77" s="83"/>
      <c r="AXT77" s="83"/>
      <c r="AYD77" s="83"/>
      <c r="AYN77" s="83"/>
      <c r="AYX77" s="83"/>
      <c r="AZH77" s="83"/>
      <c r="AZR77" s="83"/>
      <c r="BAB77" s="83"/>
      <c r="BAL77" s="83"/>
      <c r="BAV77" s="83"/>
      <c r="BBF77" s="83"/>
      <c r="BBP77" s="83"/>
      <c r="BBZ77" s="83"/>
      <c r="BCJ77" s="83"/>
      <c r="BCT77" s="83"/>
      <c r="BDD77" s="83"/>
      <c r="BDN77" s="83"/>
      <c r="BDX77" s="83"/>
      <c r="BEH77" s="83"/>
      <c r="BER77" s="83"/>
      <c r="BFB77" s="83"/>
      <c r="BFL77" s="83"/>
      <c r="BFV77" s="83"/>
      <c r="BGF77" s="83"/>
      <c r="BGP77" s="83"/>
      <c r="BGZ77" s="83"/>
      <c r="BHJ77" s="83"/>
      <c r="BHT77" s="83"/>
      <c r="BID77" s="83"/>
      <c r="BIN77" s="83"/>
      <c r="BIX77" s="83"/>
      <c r="BJH77" s="83"/>
      <c r="BJR77" s="83"/>
      <c r="BKB77" s="83"/>
      <c r="BKL77" s="83"/>
      <c r="BKV77" s="83"/>
      <c r="BLF77" s="83"/>
      <c r="BLP77" s="83"/>
      <c r="BLZ77" s="83"/>
      <c r="BMJ77" s="83"/>
      <c r="BMT77" s="83"/>
      <c r="BND77" s="83"/>
      <c r="BNN77" s="83"/>
      <c r="BNX77" s="83"/>
      <c r="BOH77" s="83"/>
      <c r="BOR77" s="83"/>
      <c r="BPB77" s="83"/>
      <c r="BPL77" s="83"/>
      <c r="BPV77" s="83"/>
      <c r="BQF77" s="83"/>
      <c r="BQP77" s="83"/>
      <c r="BQZ77" s="83"/>
      <c r="BRJ77" s="83"/>
      <c r="BRT77" s="83"/>
      <c r="BSD77" s="83"/>
      <c r="BSN77" s="83"/>
      <c r="BSX77" s="83"/>
      <c r="BTH77" s="83"/>
      <c r="BTR77" s="83"/>
      <c r="BUB77" s="83"/>
      <c r="BUL77" s="83"/>
      <c r="BUV77" s="83"/>
      <c r="BVF77" s="83"/>
      <c r="BVP77" s="83"/>
      <c r="BVZ77" s="83"/>
      <c r="BWJ77" s="83"/>
      <c r="BWT77" s="83"/>
      <c r="BXD77" s="83"/>
      <c r="BXN77" s="83"/>
      <c r="BXX77" s="83"/>
      <c r="BYH77" s="83"/>
      <c r="BYR77" s="83"/>
      <c r="BZB77" s="83"/>
      <c r="BZL77" s="83"/>
      <c r="BZV77" s="83"/>
      <c r="CAF77" s="83"/>
      <c r="CAP77" s="83"/>
      <c r="CAZ77" s="83"/>
      <c r="CBJ77" s="83"/>
      <c r="CBT77" s="83"/>
      <c r="CCD77" s="83"/>
      <c r="CCN77" s="83"/>
      <c r="CCX77" s="83"/>
      <c r="CDH77" s="83"/>
      <c r="CDR77" s="83"/>
      <c r="CEB77" s="83"/>
      <c r="CEL77" s="83"/>
      <c r="CEV77" s="83"/>
      <c r="CFF77" s="83"/>
      <c r="CFP77" s="83"/>
      <c r="CFZ77" s="83"/>
      <c r="CGJ77" s="83"/>
      <c r="CGT77" s="83"/>
      <c r="CHD77" s="83"/>
      <c r="CHN77" s="83"/>
      <c r="CHX77" s="83"/>
      <c r="CIH77" s="83"/>
      <c r="CIR77" s="83"/>
      <c r="CJB77" s="83"/>
      <c r="CJL77" s="83"/>
      <c r="CJV77" s="83"/>
      <c r="CKF77" s="83"/>
      <c r="CKP77" s="83"/>
      <c r="CKZ77" s="83"/>
      <c r="CLJ77" s="83"/>
      <c r="CLT77" s="83"/>
      <c r="CMD77" s="83"/>
      <c r="CMN77" s="83"/>
      <c r="CMX77" s="83"/>
      <c r="CNH77" s="83"/>
      <c r="CNR77" s="83"/>
      <c r="COB77" s="83"/>
      <c r="COL77" s="83"/>
      <c r="COV77" s="83"/>
      <c r="CPF77" s="83"/>
      <c r="CPP77" s="83"/>
      <c r="CPZ77" s="83"/>
      <c r="CQJ77" s="83"/>
      <c r="CQT77" s="83"/>
      <c r="CRD77" s="83"/>
      <c r="CRN77" s="83"/>
      <c r="CRX77" s="83"/>
      <c r="CSH77" s="83"/>
      <c r="CSR77" s="83"/>
      <c r="CTB77" s="83"/>
      <c r="CTL77" s="83"/>
      <c r="CTV77" s="83"/>
    </row>
    <row r="78" s="58" customFormat="1" customHeight="1" spans="1:1020 1030:2040 2050:2570">
      <c r="A78" s="79">
        <v>46151</v>
      </c>
      <c r="B78" s="80" t="s">
        <v>22</v>
      </c>
      <c r="C78" s="38" t="s">
        <v>23</v>
      </c>
      <c r="D78" s="75">
        <v>652372225</v>
      </c>
      <c r="E78" s="84" t="s">
        <v>87</v>
      </c>
      <c r="F78" s="75" t="str">
        <f>VLOOKUP(E78,[7]基础数据!E:H,2,0)</f>
        <v>LS-CCUC001-AA-DM2-V1.03 三防漆双面 930_010</v>
      </c>
      <c r="G78" s="75">
        <v>712</v>
      </c>
      <c r="H78" s="75" t="str">
        <f>VLOOKUP(E78,[7]基础数据!E:H,4,0)</f>
        <v>料盒</v>
      </c>
      <c r="I78" s="75">
        <f>VLOOKUP(E78,[7]基础数据!E:G,3,0)</f>
        <v>108</v>
      </c>
      <c r="J78" s="75" t="s">
        <v>306</v>
      </c>
      <c r="K78" s="82">
        <f t="shared" si="1"/>
        <v>6.59259259259259</v>
      </c>
      <c r="T78" s="83"/>
      <c r="AD78" s="83"/>
      <c r="AN78" s="83"/>
      <c r="AX78" s="83"/>
      <c r="BH78" s="83"/>
      <c r="BR78" s="83"/>
      <c r="CB78" s="83"/>
      <c r="CL78" s="83"/>
      <c r="CV78" s="83"/>
      <c r="DF78" s="83"/>
      <c r="DP78" s="83"/>
      <c r="DZ78" s="83"/>
      <c r="EJ78" s="83"/>
      <c r="ET78" s="83"/>
      <c r="FD78" s="83"/>
      <c r="FN78" s="83"/>
      <c r="FX78" s="83"/>
      <c r="GH78" s="83"/>
      <c r="GR78" s="83"/>
      <c r="HB78" s="83"/>
      <c r="HL78" s="83"/>
      <c r="HV78" s="83"/>
      <c r="IF78" s="83"/>
      <c r="IP78" s="83"/>
      <c r="IZ78" s="83"/>
      <c r="JJ78" s="83"/>
      <c r="JT78" s="83"/>
      <c r="KD78" s="83"/>
      <c r="KN78" s="83"/>
      <c r="KX78" s="83"/>
      <c r="LH78" s="83"/>
      <c r="LR78" s="83"/>
      <c r="MB78" s="83"/>
      <c r="ML78" s="83"/>
      <c r="MV78" s="83"/>
      <c r="NF78" s="83"/>
      <c r="NP78" s="83"/>
      <c r="NZ78" s="83"/>
      <c r="OJ78" s="83"/>
      <c r="OT78" s="83"/>
      <c r="PD78" s="83"/>
      <c r="PN78" s="83"/>
      <c r="PX78" s="83"/>
      <c r="QH78" s="83"/>
      <c r="QR78" s="83"/>
      <c r="RB78" s="83"/>
      <c r="RL78" s="83"/>
      <c r="RV78" s="83"/>
      <c r="SF78" s="83"/>
      <c r="SP78" s="83"/>
      <c r="SZ78" s="83"/>
      <c r="TJ78" s="83"/>
      <c r="TT78" s="83"/>
      <c r="UD78" s="83"/>
      <c r="UN78" s="83"/>
      <c r="UX78" s="83"/>
      <c r="VH78" s="83"/>
      <c r="VR78" s="83"/>
      <c r="WB78" s="83"/>
      <c r="WL78" s="83"/>
      <c r="WV78" s="83"/>
      <c r="XF78" s="83"/>
      <c r="XP78" s="83"/>
      <c r="XZ78" s="83"/>
      <c r="YJ78" s="83"/>
      <c r="YT78" s="83"/>
      <c r="ZD78" s="83"/>
      <c r="ZN78" s="83"/>
      <c r="ZX78" s="83"/>
      <c r="AAH78" s="83"/>
      <c r="AAR78" s="83"/>
      <c r="ABB78" s="83"/>
      <c r="ABL78" s="83"/>
      <c r="ABV78" s="83"/>
      <c r="ACF78" s="83"/>
      <c r="ACP78" s="83"/>
      <c r="ACZ78" s="83"/>
      <c r="ADJ78" s="83"/>
      <c r="ADT78" s="83"/>
      <c r="AED78" s="83"/>
      <c r="AEN78" s="83"/>
      <c r="AEX78" s="83"/>
      <c r="AFH78" s="83"/>
      <c r="AFR78" s="83"/>
      <c r="AGB78" s="83"/>
      <c r="AGL78" s="83"/>
      <c r="AGV78" s="83"/>
      <c r="AHF78" s="83"/>
      <c r="AHP78" s="83"/>
      <c r="AHZ78" s="83"/>
      <c r="AIJ78" s="83"/>
      <c r="AIT78" s="83"/>
      <c r="AJD78" s="83"/>
      <c r="AJN78" s="83"/>
      <c r="AJX78" s="83"/>
      <c r="AKH78" s="83"/>
      <c r="AKR78" s="83"/>
      <c r="ALB78" s="83"/>
      <c r="ALL78" s="83"/>
      <c r="ALV78" s="83"/>
      <c r="AMF78" s="83"/>
      <c r="AMP78" s="83"/>
      <c r="AMZ78" s="83"/>
      <c r="ANJ78" s="83"/>
      <c r="ANT78" s="83"/>
      <c r="AOD78" s="83"/>
      <c r="AON78" s="83"/>
      <c r="AOX78" s="83"/>
      <c r="APH78" s="83"/>
      <c r="APR78" s="83"/>
      <c r="AQB78" s="83"/>
      <c r="AQL78" s="83"/>
      <c r="AQV78" s="83"/>
      <c r="ARF78" s="83"/>
      <c r="ARP78" s="83"/>
      <c r="ARZ78" s="83"/>
      <c r="ASJ78" s="83"/>
      <c r="AST78" s="83"/>
      <c r="ATD78" s="83"/>
      <c r="ATN78" s="83"/>
      <c r="ATX78" s="83"/>
      <c r="AUH78" s="83"/>
      <c r="AUR78" s="83"/>
      <c r="AVB78" s="83"/>
      <c r="AVL78" s="83"/>
      <c r="AVV78" s="83"/>
      <c r="AWF78" s="83"/>
      <c r="AWP78" s="83"/>
      <c r="AWZ78" s="83"/>
      <c r="AXJ78" s="83"/>
      <c r="AXT78" s="83"/>
      <c r="AYD78" s="83"/>
      <c r="AYN78" s="83"/>
      <c r="AYX78" s="83"/>
      <c r="AZH78" s="83"/>
      <c r="AZR78" s="83"/>
      <c r="BAB78" s="83"/>
      <c r="BAL78" s="83"/>
      <c r="BAV78" s="83"/>
      <c r="BBF78" s="83"/>
      <c r="BBP78" s="83"/>
      <c r="BBZ78" s="83"/>
      <c r="BCJ78" s="83"/>
      <c r="BCT78" s="83"/>
      <c r="BDD78" s="83"/>
      <c r="BDN78" s="83"/>
      <c r="BDX78" s="83"/>
      <c r="BEH78" s="83"/>
      <c r="BER78" s="83"/>
      <c r="BFB78" s="83"/>
      <c r="BFL78" s="83"/>
      <c r="BFV78" s="83"/>
      <c r="BGF78" s="83"/>
      <c r="BGP78" s="83"/>
      <c r="BGZ78" s="83"/>
      <c r="BHJ78" s="83"/>
      <c r="BHT78" s="83"/>
      <c r="BID78" s="83"/>
      <c r="BIN78" s="83"/>
      <c r="BIX78" s="83"/>
      <c r="BJH78" s="83"/>
      <c r="BJR78" s="83"/>
      <c r="BKB78" s="83"/>
      <c r="BKL78" s="83"/>
      <c r="BKV78" s="83"/>
      <c r="BLF78" s="83"/>
      <c r="BLP78" s="83"/>
      <c r="BLZ78" s="83"/>
      <c r="BMJ78" s="83"/>
      <c r="BMT78" s="83"/>
      <c r="BND78" s="83"/>
      <c r="BNN78" s="83"/>
      <c r="BNX78" s="83"/>
      <c r="BOH78" s="83"/>
      <c r="BOR78" s="83"/>
      <c r="BPB78" s="83"/>
      <c r="BPL78" s="83"/>
      <c r="BPV78" s="83"/>
      <c r="BQF78" s="83"/>
      <c r="BQP78" s="83"/>
      <c r="BQZ78" s="83"/>
      <c r="BRJ78" s="83"/>
      <c r="BRT78" s="83"/>
      <c r="BSD78" s="83"/>
      <c r="BSN78" s="83"/>
      <c r="BSX78" s="83"/>
      <c r="BTH78" s="83"/>
      <c r="BTR78" s="83"/>
      <c r="BUB78" s="83"/>
      <c r="BUL78" s="83"/>
      <c r="BUV78" s="83"/>
      <c r="BVF78" s="83"/>
      <c r="BVP78" s="83"/>
      <c r="BVZ78" s="83"/>
      <c r="BWJ78" s="83"/>
      <c r="BWT78" s="83"/>
      <c r="BXD78" s="83"/>
      <c r="BXN78" s="83"/>
      <c r="BXX78" s="83"/>
      <c r="BYH78" s="83"/>
      <c r="BYR78" s="83"/>
      <c r="BZB78" s="83"/>
      <c r="BZL78" s="83"/>
      <c r="BZV78" s="83"/>
      <c r="CAF78" s="83"/>
      <c r="CAP78" s="83"/>
      <c r="CAZ78" s="83"/>
      <c r="CBJ78" s="83"/>
      <c r="CBT78" s="83"/>
      <c r="CCD78" s="83"/>
      <c r="CCN78" s="83"/>
      <c r="CCX78" s="83"/>
      <c r="CDH78" s="83"/>
      <c r="CDR78" s="83"/>
      <c r="CEB78" s="83"/>
      <c r="CEL78" s="83"/>
      <c r="CEV78" s="83"/>
      <c r="CFF78" s="83"/>
      <c r="CFP78" s="83"/>
      <c r="CFZ78" s="83"/>
      <c r="CGJ78" s="83"/>
      <c r="CGT78" s="83"/>
      <c r="CHD78" s="83"/>
      <c r="CHN78" s="83"/>
      <c r="CHX78" s="83"/>
      <c r="CIH78" s="83"/>
      <c r="CIR78" s="83"/>
      <c r="CJB78" s="83"/>
      <c r="CJL78" s="83"/>
      <c r="CJV78" s="83"/>
      <c r="CKF78" s="83"/>
      <c r="CKP78" s="83"/>
      <c r="CKZ78" s="83"/>
      <c r="CLJ78" s="83"/>
      <c r="CLT78" s="83"/>
      <c r="CMD78" s="83"/>
      <c r="CMN78" s="83"/>
      <c r="CMX78" s="83"/>
      <c r="CNH78" s="83"/>
      <c r="CNR78" s="83"/>
      <c r="COB78" s="83"/>
      <c r="COL78" s="83"/>
      <c r="COV78" s="83"/>
      <c r="CPF78" s="83"/>
      <c r="CPP78" s="83"/>
      <c r="CPZ78" s="83"/>
      <c r="CQJ78" s="83"/>
      <c r="CQT78" s="83"/>
      <c r="CRD78" s="83"/>
      <c r="CRN78" s="83"/>
      <c r="CRX78" s="83"/>
      <c r="CSH78" s="83"/>
      <c r="CSR78" s="83"/>
      <c r="CTB78" s="83"/>
      <c r="CTL78" s="83"/>
      <c r="CTV78" s="83"/>
    </row>
    <row r="79" s="58" customFormat="1" customHeight="1" spans="1:1020 1030:2040 2050:2570">
      <c r="A79" s="79">
        <v>46151</v>
      </c>
      <c r="B79" s="80" t="s">
        <v>22</v>
      </c>
      <c r="C79" s="38" t="s">
        <v>23</v>
      </c>
      <c r="D79" s="75">
        <v>652372225</v>
      </c>
      <c r="E79" s="84" t="s">
        <v>69</v>
      </c>
      <c r="F79" s="75" t="str">
        <f>VLOOKUP(E79,[7]基础数据!E:H,2,0)</f>
        <v>LS-CCMM024-AA-V1.01_三防漆双面 930_006</v>
      </c>
      <c r="G79" s="75">
        <v>1752</v>
      </c>
      <c r="H79" s="75" t="str">
        <f>VLOOKUP(E79,[7]基础数据!E:H,4,0)</f>
        <v>料盒</v>
      </c>
      <c r="I79" s="75">
        <f>VLOOKUP(E79,[7]基础数据!E:G,3,0)</f>
        <v>24</v>
      </c>
      <c r="J79" s="75" t="s">
        <v>306</v>
      </c>
      <c r="K79" s="82">
        <f t="shared" si="1"/>
        <v>73</v>
      </c>
      <c r="T79" s="83"/>
      <c r="AD79" s="83"/>
      <c r="AN79" s="83"/>
      <c r="AX79" s="83"/>
      <c r="BH79" s="83"/>
      <c r="BR79" s="83"/>
      <c r="CB79" s="83"/>
      <c r="CL79" s="83"/>
      <c r="CV79" s="83"/>
      <c r="DF79" s="83"/>
      <c r="DP79" s="83"/>
      <c r="DZ79" s="83"/>
      <c r="EJ79" s="83"/>
      <c r="ET79" s="83"/>
      <c r="FD79" s="83"/>
      <c r="FN79" s="83"/>
      <c r="FX79" s="83"/>
      <c r="GH79" s="83"/>
      <c r="GR79" s="83"/>
      <c r="HB79" s="83"/>
      <c r="HL79" s="83"/>
      <c r="HV79" s="83"/>
      <c r="IF79" s="83"/>
      <c r="IP79" s="83"/>
      <c r="IZ79" s="83"/>
      <c r="JJ79" s="83"/>
      <c r="JT79" s="83"/>
      <c r="KD79" s="83"/>
      <c r="KN79" s="83"/>
      <c r="KX79" s="83"/>
      <c r="LH79" s="83"/>
      <c r="LR79" s="83"/>
      <c r="MB79" s="83"/>
      <c r="ML79" s="83"/>
      <c r="MV79" s="83"/>
      <c r="NF79" s="83"/>
      <c r="NP79" s="83"/>
      <c r="NZ79" s="83"/>
      <c r="OJ79" s="83"/>
      <c r="OT79" s="83"/>
      <c r="PD79" s="83"/>
      <c r="PN79" s="83"/>
      <c r="PX79" s="83"/>
      <c r="QH79" s="83"/>
      <c r="QR79" s="83"/>
      <c r="RB79" s="83"/>
      <c r="RL79" s="83"/>
      <c r="RV79" s="83"/>
      <c r="SF79" s="83"/>
      <c r="SP79" s="83"/>
      <c r="SZ79" s="83"/>
      <c r="TJ79" s="83"/>
      <c r="TT79" s="83"/>
      <c r="UD79" s="83"/>
      <c r="UN79" s="83"/>
      <c r="UX79" s="83"/>
      <c r="VH79" s="83"/>
      <c r="VR79" s="83"/>
      <c r="WB79" s="83"/>
      <c r="WL79" s="83"/>
      <c r="WV79" s="83"/>
      <c r="XF79" s="83"/>
      <c r="XP79" s="83"/>
      <c r="XZ79" s="83"/>
      <c r="YJ79" s="83"/>
      <c r="YT79" s="83"/>
      <c r="ZD79" s="83"/>
      <c r="ZN79" s="83"/>
      <c r="ZX79" s="83"/>
      <c r="AAH79" s="83"/>
      <c r="AAR79" s="83"/>
      <c r="ABB79" s="83"/>
      <c r="ABL79" s="83"/>
      <c r="ABV79" s="83"/>
      <c r="ACF79" s="83"/>
      <c r="ACP79" s="83"/>
      <c r="ACZ79" s="83"/>
      <c r="ADJ79" s="83"/>
      <c r="ADT79" s="83"/>
      <c r="AED79" s="83"/>
      <c r="AEN79" s="83"/>
      <c r="AEX79" s="83"/>
      <c r="AFH79" s="83"/>
      <c r="AFR79" s="83"/>
      <c r="AGB79" s="83"/>
      <c r="AGL79" s="83"/>
      <c r="AGV79" s="83"/>
      <c r="AHF79" s="83"/>
      <c r="AHP79" s="83"/>
      <c r="AHZ79" s="83"/>
      <c r="AIJ79" s="83"/>
      <c r="AIT79" s="83"/>
      <c r="AJD79" s="83"/>
      <c r="AJN79" s="83"/>
      <c r="AJX79" s="83"/>
      <c r="AKH79" s="83"/>
      <c r="AKR79" s="83"/>
      <c r="ALB79" s="83"/>
      <c r="ALL79" s="83"/>
      <c r="ALV79" s="83"/>
      <c r="AMF79" s="83"/>
      <c r="AMP79" s="83"/>
      <c r="AMZ79" s="83"/>
      <c r="ANJ79" s="83"/>
      <c r="ANT79" s="83"/>
      <c r="AOD79" s="83"/>
      <c r="AON79" s="83"/>
      <c r="AOX79" s="83"/>
      <c r="APH79" s="83"/>
      <c r="APR79" s="83"/>
      <c r="AQB79" s="83"/>
      <c r="AQL79" s="83"/>
      <c r="AQV79" s="83"/>
      <c r="ARF79" s="83"/>
      <c r="ARP79" s="83"/>
      <c r="ARZ79" s="83"/>
      <c r="ASJ79" s="83"/>
      <c r="AST79" s="83"/>
      <c r="ATD79" s="83"/>
      <c r="ATN79" s="83"/>
      <c r="ATX79" s="83"/>
      <c r="AUH79" s="83"/>
      <c r="AUR79" s="83"/>
      <c r="AVB79" s="83"/>
      <c r="AVL79" s="83"/>
      <c r="AVV79" s="83"/>
      <c r="AWF79" s="83"/>
      <c r="AWP79" s="83"/>
      <c r="AWZ79" s="83"/>
      <c r="AXJ79" s="83"/>
      <c r="AXT79" s="83"/>
      <c r="AYD79" s="83"/>
      <c r="AYN79" s="83"/>
      <c r="AYX79" s="83"/>
      <c r="AZH79" s="83"/>
      <c r="AZR79" s="83"/>
      <c r="BAB79" s="83"/>
      <c r="BAL79" s="83"/>
      <c r="BAV79" s="83"/>
      <c r="BBF79" s="83"/>
      <c r="BBP79" s="83"/>
      <c r="BBZ79" s="83"/>
      <c r="BCJ79" s="83"/>
      <c r="BCT79" s="83"/>
      <c r="BDD79" s="83"/>
      <c r="BDN79" s="83"/>
      <c r="BDX79" s="83"/>
      <c r="BEH79" s="83"/>
      <c r="BER79" s="83"/>
      <c r="BFB79" s="83"/>
      <c r="BFL79" s="83"/>
      <c r="BFV79" s="83"/>
      <c r="BGF79" s="83"/>
      <c r="BGP79" s="83"/>
      <c r="BGZ79" s="83"/>
      <c r="BHJ79" s="83"/>
      <c r="BHT79" s="83"/>
      <c r="BID79" s="83"/>
      <c r="BIN79" s="83"/>
      <c r="BIX79" s="83"/>
      <c r="BJH79" s="83"/>
      <c r="BJR79" s="83"/>
      <c r="BKB79" s="83"/>
      <c r="BKL79" s="83"/>
      <c r="BKV79" s="83"/>
      <c r="BLF79" s="83"/>
      <c r="BLP79" s="83"/>
      <c r="BLZ79" s="83"/>
      <c r="BMJ79" s="83"/>
      <c r="BMT79" s="83"/>
      <c r="BND79" s="83"/>
      <c r="BNN79" s="83"/>
      <c r="BNX79" s="83"/>
      <c r="BOH79" s="83"/>
      <c r="BOR79" s="83"/>
      <c r="BPB79" s="83"/>
      <c r="BPL79" s="83"/>
      <c r="BPV79" s="83"/>
      <c r="BQF79" s="83"/>
      <c r="BQP79" s="83"/>
      <c r="BQZ79" s="83"/>
      <c r="BRJ79" s="83"/>
      <c r="BRT79" s="83"/>
      <c r="BSD79" s="83"/>
      <c r="BSN79" s="83"/>
      <c r="BSX79" s="83"/>
      <c r="BTH79" s="83"/>
      <c r="BTR79" s="83"/>
      <c r="BUB79" s="83"/>
      <c r="BUL79" s="83"/>
      <c r="BUV79" s="83"/>
      <c r="BVF79" s="83"/>
      <c r="BVP79" s="83"/>
      <c r="BVZ79" s="83"/>
      <c r="BWJ79" s="83"/>
      <c r="BWT79" s="83"/>
      <c r="BXD79" s="83"/>
      <c r="BXN79" s="83"/>
      <c r="BXX79" s="83"/>
      <c r="BYH79" s="83"/>
      <c r="BYR79" s="83"/>
      <c r="BZB79" s="83"/>
      <c r="BZL79" s="83"/>
      <c r="BZV79" s="83"/>
      <c r="CAF79" s="83"/>
      <c r="CAP79" s="83"/>
      <c r="CAZ79" s="83"/>
      <c r="CBJ79" s="83"/>
      <c r="CBT79" s="83"/>
      <c r="CCD79" s="83"/>
      <c r="CCN79" s="83"/>
      <c r="CCX79" s="83"/>
      <c r="CDH79" s="83"/>
      <c r="CDR79" s="83"/>
      <c r="CEB79" s="83"/>
      <c r="CEL79" s="83"/>
      <c r="CEV79" s="83"/>
      <c r="CFF79" s="83"/>
      <c r="CFP79" s="83"/>
      <c r="CFZ79" s="83"/>
      <c r="CGJ79" s="83"/>
      <c r="CGT79" s="83"/>
      <c r="CHD79" s="83"/>
      <c r="CHN79" s="83"/>
      <c r="CHX79" s="83"/>
      <c r="CIH79" s="83"/>
      <c r="CIR79" s="83"/>
      <c r="CJB79" s="83"/>
      <c r="CJL79" s="83"/>
      <c r="CJV79" s="83"/>
      <c r="CKF79" s="83"/>
      <c r="CKP79" s="83"/>
      <c r="CKZ79" s="83"/>
      <c r="CLJ79" s="83"/>
      <c r="CLT79" s="83"/>
      <c r="CMD79" s="83"/>
      <c r="CMN79" s="83"/>
      <c r="CMX79" s="83"/>
      <c r="CNH79" s="83"/>
      <c r="CNR79" s="83"/>
      <c r="COB79" s="83"/>
      <c r="COL79" s="83"/>
      <c r="COV79" s="83"/>
      <c r="CPF79" s="83"/>
      <c r="CPP79" s="83"/>
      <c r="CPZ79" s="83"/>
      <c r="CQJ79" s="83"/>
      <c r="CQT79" s="83"/>
      <c r="CRD79" s="83"/>
      <c r="CRN79" s="83"/>
      <c r="CRX79" s="83"/>
      <c r="CSH79" s="83"/>
      <c r="CSR79" s="83"/>
      <c r="CTB79" s="83"/>
      <c r="CTL79" s="83"/>
      <c r="CTV79" s="83"/>
    </row>
    <row r="80" s="58" customFormat="1" customHeight="1" spans="1:1020 1030:2040 2050:2570">
      <c r="A80" s="79">
        <v>46151</v>
      </c>
      <c r="B80" s="80" t="s">
        <v>22</v>
      </c>
      <c r="C80" s="38" t="s">
        <v>23</v>
      </c>
      <c r="D80" s="75">
        <v>652373100</v>
      </c>
      <c r="E80" s="84" t="s">
        <v>63</v>
      </c>
      <c r="F80" s="75" t="str">
        <f>VLOOKUP(E80,[7]基础数据!E:H,2,0)</f>
        <v>IGBT组件（A平台国内版NON-FUSA一体板结构PCBA）</v>
      </c>
      <c r="G80" s="75">
        <v>1392</v>
      </c>
      <c r="H80" s="75" t="str">
        <f>VLOOKUP(E80,[7]基础数据!E:H,4,0)</f>
        <v>料盒</v>
      </c>
      <c r="I80" s="75">
        <f>VLOOKUP(E80,[7]基础数据!E:G,3,0)</f>
        <v>12</v>
      </c>
      <c r="J80" s="75" t="s">
        <v>306</v>
      </c>
      <c r="K80" s="82">
        <f t="shared" si="1"/>
        <v>116</v>
      </c>
      <c r="T80" s="83"/>
      <c r="AD80" s="83"/>
      <c r="AN80" s="83"/>
      <c r="AX80" s="83"/>
      <c r="BH80" s="83"/>
      <c r="BR80" s="83"/>
      <c r="CB80" s="83"/>
      <c r="CL80" s="83"/>
      <c r="CV80" s="83"/>
      <c r="DF80" s="83"/>
      <c r="DP80" s="83"/>
      <c r="DZ80" s="83"/>
      <c r="EJ80" s="83"/>
      <c r="ET80" s="83"/>
      <c r="FD80" s="83"/>
      <c r="FN80" s="83"/>
      <c r="FX80" s="83"/>
      <c r="GH80" s="83"/>
      <c r="GR80" s="83"/>
      <c r="HB80" s="83"/>
      <c r="HL80" s="83"/>
      <c r="HV80" s="83"/>
      <c r="IF80" s="83"/>
      <c r="IP80" s="83"/>
      <c r="IZ80" s="83"/>
      <c r="JJ80" s="83"/>
      <c r="JT80" s="83"/>
      <c r="KD80" s="83"/>
      <c r="KN80" s="83"/>
      <c r="KX80" s="83"/>
      <c r="LH80" s="83"/>
      <c r="LR80" s="83"/>
      <c r="MB80" s="83"/>
      <c r="ML80" s="83"/>
      <c r="MV80" s="83"/>
      <c r="NF80" s="83"/>
      <c r="NP80" s="83"/>
      <c r="NZ80" s="83"/>
      <c r="OJ80" s="83"/>
      <c r="OT80" s="83"/>
      <c r="PD80" s="83"/>
      <c r="PN80" s="83"/>
      <c r="PX80" s="83"/>
      <c r="QH80" s="83"/>
      <c r="QR80" s="83"/>
      <c r="RB80" s="83"/>
      <c r="RL80" s="83"/>
      <c r="RV80" s="83"/>
      <c r="SF80" s="83"/>
      <c r="SP80" s="83"/>
      <c r="SZ80" s="83"/>
      <c r="TJ80" s="83"/>
      <c r="TT80" s="83"/>
      <c r="UD80" s="83"/>
      <c r="UN80" s="83"/>
      <c r="UX80" s="83"/>
      <c r="VH80" s="83"/>
      <c r="VR80" s="83"/>
      <c r="WB80" s="83"/>
      <c r="WL80" s="83"/>
      <c r="WV80" s="83"/>
      <c r="XF80" s="83"/>
      <c r="XP80" s="83"/>
      <c r="XZ80" s="83"/>
      <c r="YJ80" s="83"/>
      <c r="YT80" s="83"/>
      <c r="ZD80" s="83"/>
      <c r="ZN80" s="83"/>
      <c r="ZX80" s="83"/>
      <c r="AAH80" s="83"/>
      <c r="AAR80" s="83"/>
      <c r="ABB80" s="83"/>
      <c r="ABL80" s="83"/>
      <c r="ABV80" s="83"/>
      <c r="ACF80" s="83"/>
      <c r="ACP80" s="83"/>
      <c r="ACZ80" s="83"/>
      <c r="ADJ80" s="83"/>
      <c r="ADT80" s="83"/>
      <c r="AED80" s="83"/>
      <c r="AEN80" s="83"/>
      <c r="AEX80" s="83"/>
      <c r="AFH80" s="83"/>
      <c r="AFR80" s="83"/>
      <c r="AGB80" s="83"/>
      <c r="AGL80" s="83"/>
      <c r="AGV80" s="83"/>
      <c r="AHF80" s="83"/>
      <c r="AHP80" s="83"/>
      <c r="AHZ80" s="83"/>
      <c r="AIJ80" s="83"/>
      <c r="AIT80" s="83"/>
      <c r="AJD80" s="83"/>
      <c r="AJN80" s="83"/>
      <c r="AJX80" s="83"/>
      <c r="AKH80" s="83"/>
      <c r="AKR80" s="83"/>
      <c r="ALB80" s="83"/>
      <c r="ALL80" s="83"/>
      <c r="ALV80" s="83"/>
      <c r="AMF80" s="83"/>
      <c r="AMP80" s="83"/>
      <c r="AMZ80" s="83"/>
      <c r="ANJ80" s="83"/>
      <c r="ANT80" s="83"/>
      <c r="AOD80" s="83"/>
      <c r="AON80" s="83"/>
      <c r="AOX80" s="83"/>
      <c r="APH80" s="83"/>
      <c r="APR80" s="83"/>
      <c r="AQB80" s="83"/>
      <c r="AQL80" s="83"/>
      <c r="AQV80" s="83"/>
      <c r="ARF80" s="83"/>
      <c r="ARP80" s="83"/>
      <c r="ARZ80" s="83"/>
      <c r="ASJ80" s="83"/>
      <c r="AST80" s="83"/>
      <c r="ATD80" s="83"/>
      <c r="ATN80" s="83"/>
      <c r="ATX80" s="83"/>
      <c r="AUH80" s="83"/>
      <c r="AUR80" s="83"/>
      <c r="AVB80" s="83"/>
      <c r="AVL80" s="83"/>
      <c r="AVV80" s="83"/>
      <c r="AWF80" s="83"/>
      <c r="AWP80" s="83"/>
      <c r="AWZ80" s="83"/>
      <c r="AXJ80" s="83"/>
      <c r="AXT80" s="83"/>
      <c r="AYD80" s="83"/>
      <c r="AYN80" s="83"/>
      <c r="AYX80" s="83"/>
      <c r="AZH80" s="83"/>
      <c r="AZR80" s="83"/>
      <c r="BAB80" s="83"/>
      <c r="BAL80" s="83"/>
      <c r="BAV80" s="83"/>
      <c r="BBF80" s="83"/>
      <c r="BBP80" s="83"/>
      <c r="BBZ80" s="83"/>
      <c r="BCJ80" s="83"/>
      <c r="BCT80" s="83"/>
      <c r="BDD80" s="83"/>
      <c r="BDN80" s="83"/>
      <c r="BDX80" s="83"/>
      <c r="BEH80" s="83"/>
      <c r="BER80" s="83"/>
      <c r="BFB80" s="83"/>
      <c r="BFL80" s="83"/>
      <c r="BFV80" s="83"/>
      <c r="BGF80" s="83"/>
      <c r="BGP80" s="83"/>
      <c r="BGZ80" s="83"/>
      <c r="BHJ80" s="83"/>
      <c r="BHT80" s="83"/>
      <c r="BID80" s="83"/>
      <c r="BIN80" s="83"/>
      <c r="BIX80" s="83"/>
      <c r="BJH80" s="83"/>
      <c r="BJR80" s="83"/>
      <c r="BKB80" s="83"/>
      <c r="BKL80" s="83"/>
      <c r="BKV80" s="83"/>
      <c r="BLF80" s="83"/>
      <c r="BLP80" s="83"/>
      <c r="BLZ80" s="83"/>
      <c r="BMJ80" s="83"/>
      <c r="BMT80" s="83"/>
      <c r="BND80" s="83"/>
      <c r="BNN80" s="83"/>
      <c r="BNX80" s="83"/>
      <c r="BOH80" s="83"/>
      <c r="BOR80" s="83"/>
      <c r="BPB80" s="83"/>
      <c r="BPL80" s="83"/>
      <c r="BPV80" s="83"/>
      <c r="BQF80" s="83"/>
      <c r="BQP80" s="83"/>
      <c r="BQZ80" s="83"/>
      <c r="BRJ80" s="83"/>
      <c r="BRT80" s="83"/>
      <c r="BSD80" s="83"/>
      <c r="BSN80" s="83"/>
      <c r="BSX80" s="83"/>
      <c r="BTH80" s="83"/>
      <c r="BTR80" s="83"/>
      <c r="BUB80" s="83"/>
      <c r="BUL80" s="83"/>
      <c r="BUV80" s="83"/>
      <c r="BVF80" s="83"/>
      <c r="BVP80" s="83"/>
      <c r="BVZ80" s="83"/>
      <c r="BWJ80" s="83"/>
      <c r="BWT80" s="83"/>
      <c r="BXD80" s="83"/>
      <c r="BXN80" s="83"/>
      <c r="BXX80" s="83"/>
      <c r="BYH80" s="83"/>
      <c r="BYR80" s="83"/>
      <c r="BZB80" s="83"/>
      <c r="BZL80" s="83"/>
      <c r="BZV80" s="83"/>
      <c r="CAF80" s="83"/>
      <c r="CAP80" s="83"/>
      <c r="CAZ80" s="83"/>
      <c r="CBJ80" s="83"/>
      <c r="CBT80" s="83"/>
      <c r="CCD80" s="83"/>
      <c r="CCN80" s="83"/>
      <c r="CCX80" s="83"/>
      <c r="CDH80" s="83"/>
      <c r="CDR80" s="83"/>
      <c r="CEB80" s="83"/>
      <c r="CEL80" s="83"/>
      <c r="CEV80" s="83"/>
      <c r="CFF80" s="83"/>
      <c r="CFP80" s="83"/>
      <c r="CFZ80" s="83"/>
      <c r="CGJ80" s="83"/>
      <c r="CGT80" s="83"/>
      <c r="CHD80" s="83"/>
      <c r="CHN80" s="83"/>
      <c r="CHX80" s="83"/>
      <c r="CIH80" s="83"/>
      <c r="CIR80" s="83"/>
      <c r="CJB80" s="83"/>
      <c r="CJL80" s="83"/>
      <c r="CJV80" s="83"/>
      <c r="CKF80" s="83"/>
      <c r="CKP80" s="83"/>
      <c r="CKZ80" s="83"/>
      <c r="CLJ80" s="83"/>
      <c r="CLT80" s="83"/>
      <c r="CMD80" s="83"/>
      <c r="CMN80" s="83"/>
      <c r="CMX80" s="83"/>
      <c r="CNH80" s="83"/>
      <c r="CNR80" s="83"/>
      <c r="COB80" s="83"/>
      <c r="COL80" s="83"/>
      <c r="COV80" s="83"/>
      <c r="CPF80" s="83"/>
      <c r="CPP80" s="83"/>
      <c r="CPZ80" s="83"/>
      <c r="CQJ80" s="83"/>
      <c r="CQT80" s="83"/>
      <c r="CRD80" s="83"/>
      <c r="CRN80" s="83"/>
      <c r="CRX80" s="83"/>
      <c r="CSH80" s="83"/>
      <c r="CSR80" s="83"/>
      <c r="CTB80" s="83"/>
      <c r="CTL80" s="83"/>
      <c r="CTV80" s="83"/>
    </row>
    <row r="81" s="58" customFormat="1" customHeight="1" spans="1:1020 1030:2040 2050:2570">
      <c r="A81" s="79">
        <v>46151</v>
      </c>
      <c r="B81" s="80" t="s">
        <v>22</v>
      </c>
      <c r="C81" s="38" t="s">
        <v>23</v>
      </c>
      <c r="D81" s="75">
        <v>652373100</v>
      </c>
      <c r="E81" s="84" t="s">
        <v>105</v>
      </c>
      <c r="F81" s="75" t="str">
        <f>VLOOKUP(E81,[7]基础数据!E:H,2,0)</f>
        <v>LS-MCUM017-BB-V2.30 三防漆双面 926_008（A平台海外截</v>
      </c>
      <c r="G81" s="75">
        <v>360</v>
      </c>
      <c r="H81" s="75" t="str">
        <f>VLOOKUP(E81,[7]基础数据!E:H,4,0)</f>
        <v>料盒</v>
      </c>
      <c r="I81" s="75">
        <f>VLOOKUP(E81,[7]基础数据!E:G,3,0)</f>
        <v>12</v>
      </c>
      <c r="J81" s="75" t="s">
        <v>306</v>
      </c>
      <c r="K81" s="82">
        <f t="shared" si="1"/>
        <v>30</v>
      </c>
      <c r="T81" s="83"/>
      <c r="AD81" s="83"/>
      <c r="AN81" s="83"/>
      <c r="AX81" s="83"/>
      <c r="BH81" s="83"/>
      <c r="BR81" s="83"/>
      <c r="CB81" s="83"/>
      <c r="CL81" s="83"/>
      <c r="CV81" s="83"/>
      <c r="DF81" s="83"/>
      <c r="DP81" s="83"/>
      <c r="DZ81" s="83"/>
      <c r="EJ81" s="83"/>
      <c r="ET81" s="83"/>
      <c r="FD81" s="83"/>
      <c r="FN81" s="83"/>
      <c r="FX81" s="83"/>
      <c r="GH81" s="83"/>
      <c r="GR81" s="83"/>
      <c r="HB81" s="83"/>
      <c r="HL81" s="83"/>
      <c r="HV81" s="83"/>
      <c r="IF81" s="83"/>
      <c r="IP81" s="83"/>
      <c r="IZ81" s="83"/>
      <c r="JJ81" s="83"/>
      <c r="JT81" s="83"/>
      <c r="KD81" s="83"/>
      <c r="KN81" s="83"/>
      <c r="KX81" s="83"/>
      <c r="LH81" s="83"/>
      <c r="LR81" s="83"/>
      <c r="MB81" s="83"/>
      <c r="ML81" s="83"/>
      <c r="MV81" s="83"/>
      <c r="NF81" s="83"/>
      <c r="NP81" s="83"/>
      <c r="NZ81" s="83"/>
      <c r="OJ81" s="83"/>
      <c r="OT81" s="83"/>
      <c r="PD81" s="83"/>
      <c r="PN81" s="83"/>
      <c r="PX81" s="83"/>
      <c r="QH81" s="83"/>
      <c r="QR81" s="83"/>
      <c r="RB81" s="83"/>
      <c r="RL81" s="83"/>
      <c r="RV81" s="83"/>
      <c r="SF81" s="83"/>
      <c r="SP81" s="83"/>
      <c r="SZ81" s="83"/>
      <c r="TJ81" s="83"/>
      <c r="TT81" s="83"/>
      <c r="UD81" s="83"/>
      <c r="UN81" s="83"/>
      <c r="UX81" s="83"/>
      <c r="VH81" s="83"/>
      <c r="VR81" s="83"/>
      <c r="WB81" s="83"/>
      <c r="WL81" s="83"/>
      <c r="WV81" s="83"/>
      <c r="XF81" s="83"/>
      <c r="XP81" s="83"/>
      <c r="XZ81" s="83"/>
      <c r="YJ81" s="83"/>
      <c r="YT81" s="83"/>
      <c r="ZD81" s="83"/>
      <c r="ZN81" s="83"/>
      <c r="ZX81" s="83"/>
      <c r="AAH81" s="83"/>
      <c r="AAR81" s="83"/>
      <c r="ABB81" s="83"/>
      <c r="ABL81" s="83"/>
      <c r="ABV81" s="83"/>
      <c r="ACF81" s="83"/>
      <c r="ACP81" s="83"/>
      <c r="ACZ81" s="83"/>
      <c r="ADJ81" s="83"/>
      <c r="ADT81" s="83"/>
      <c r="AED81" s="83"/>
      <c r="AEN81" s="83"/>
      <c r="AEX81" s="83"/>
      <c r="AFH81" s="83"/>
      <c r="AFR81" s="83"/>
      <c r="AGB81" s="83"/>
      <c r="AGL81" s="83"/>
      <c r="AGV81" s="83"/>
      <c r="AHF81" s="83"/>
      <c r="AHP81" s="83"/>
      <c r="AHZ81" s="83"/>
      <c r="AIJ81" s="83"/>
      <c r="AIT81" s="83"/>
      <c r="AJD81" s="83"/>
      <c r="AJN81" s="83"/>
      <c r="AJX81" s="83"/>
      <c r="AKH81" s="83"/>
      <c r="AKR81" s="83"/>
      <c r="ALB81" s="83"/>
      <c r="ALL81" s="83"/>
      <c r="ALV81" s="83"/>
      <c r="AMF81" s="83"/>
      <c r="AMP81" s="83"/>
      <c r="AMZ81" s="83"/>
      <c r="ANJ81" s="83"/>
      <c r="ANT81" s="83"/>
      <c r="AOD81" s="83"/>
      <c r="AON81" s="83"/>
      <c r="AOX81" s="83"/>
      <c r="APH81" s="83"/>
      <c r="APR81" s="83"/>
      <c r="AQB81" s="83"/>
      <c r="AQL81" s="83"/>
      <c r="AQV81" s="83"/>
      <c r="ARF81" s="83"/>
      <c r="ARP81" s="83"/>
      <c r="ARZ81" s="83"/>
      <c r="ASJ81" s="83"/>
      <c r="AST81" s="83"/>
      <c r="ATD81" s="83"/>
      <c r="ATN81" s="83"/>
      <c r="ATX81" s="83"/>
      <c r="AUH81" s="83"/>
      <c r="AUR81" s="83"/>
      <c r="AVB81" s="83"/>
      <c r="AVL81" s="83"/>
      <c r="AVV81" s="83"/>
      <c r="AWF81" s="83"/>
      <c r="AWP81" s="83"/>
      <c r="AWZ81" s="83"/>
      <c r="AXJ81" s="83"/>
      <c r="AXT81" s="83"/>
      <c r="AYD81" s="83"/>
      <c r="AYN81" s="83"/>
      <c r="AYX81" s="83"/>
      <c r="AZH81" s="83"/>
      <c r="AZR81" s="83"/>
      <c r="BAB81" s="83"/>
      <c r="BAL81" s="83"/>
      <c r="BAV81" s="83"/>
      <c r="BBF81" s="83"/>
      <c r="BBP81" s="83"/>
      <c r="BBZ81" s="83"/>
      <c r="BCJ81" s="83"/>
      <c r="BCT81" s="83"/>
      <c r="BDD81" s="83"/>
      <c r="BDN81" s="83"/>
      <c r="BDX81" s="83"/>
      <c r="BEH81" s="83"/>
      <c r="BER81" s="83"/>
      <c r="BFB81" s="83"/>
      <c r="BFL81" s="83"/>
      <c r="BFV81" s="83"/>
      <c r="BGF81" s="83"/>
      <c r="BGP81" s="83"/>
      <c r="BGZ81" s="83"/>
      <c r="BHJ81" s="83"/>
      <c r="BHT81" s="83"/>
      <c r="BID81" s="83"/>
      <c r="BIN81" s="83"/>
      <c r="BIX81" s="83"/>
      <c r="BJH81" s="83"/>
      <c r="BJR81" s="83"/>
      <c r="BKB81" s="83"/>
      <c r="BKL81" s="83"/>
      <c r="BKV81" s="83"/>
      <c r="BLF81" s="83"/>
      <c r="BLP81" s="83"/>
      <c r="BLZ81" s="83"/>
      <c r="BMJ81" s="83"/>
      <c r="BMT81" s="83"/>
      <c r="BND81" s="83"/>
      <c r="BNN81" s="83"/>
      <c r="BNX81" s="83"/>
      <c r="BOH81" s="83"/>
      <c r="BOR81" s="83"/>
      <c r="BPB81" s="83"/>
      <c r="BPL81" s="83"/>
      <c r="BPV81" s="83"/>
      <c r="BQF81" s="83"/>
      <c r="BQP81" s="83"/>
      <c r="BQZ81" s="83"/>
      <c r="BRJ81" s="83"/>
      <c r="BRT81" s="83"/>
      <c r="BSD81" s="83"/>
      <c r="BSN81" s="83"/>
      <c r="BSX81" s="83"/>
      <c r="BTH81" s="83"/>
      <c r="BTR81" s="83"/>
      <c r="BUB81" s="83"/>
      <c r="BUL81" s="83"/>
      <c r="BUV81" s="83"/>
      <c r="BVF81" s="83"/>
      <c r="BVP81" s="83"/>
      <c r="BVZ81" s="83"/>
      <c r="BWJ81" s="83"/>
      <c r="BWT81" s="83"/>
      <c r="BXD81" s="83"/>
      <c r="BXN81" s="83"/>
      <c r="BXX81" s="83"/>
      <c r="BYH81" s="83"/>
      <c r="BYR81" s="83"/>
      <c r="BZB81" s="83"/>
      <c r="BZL81" s="83"/>
      <c r="BZV81" s="83"/>
      <c r="CAF81" s="83"/>
      <c r="CAP81" s="83"/>
      <c r="CAZ81" s="83"/>
      <c r="CBJ81" s="83"/>
      <c r="CBT81" s="83"/>
      <c r="CCD81" s="83"/>
      <c r="CCN81" s="83"/>
      <c r="CCX81" s="83"/>
      <c r="CDH81" s="83"/>
      <c r="CDR81" s="83"/>
      <c r="CEB81" s="83"/>
      <c r="CEL81" s="83"/>
      <c r="CEV81" s="83"/>
      <c r="CFF81" s="83"/>
      <c r="CFP81" s="83"/>
      <c r="CFZ81" s="83"/>
      <c r="CGJ81" s="83"/>
      <c r="CGT81" s="83"/>
      <c r="CHD81" s="83"/>
      <c r="CHN81" s="83"/>
      <c r="CHX81" s="83"/>
      <c r="CIH81" s="83"/>
      <c r="CIR81" s="83"/>
      <c r="CJB81" s="83"/>
      <c r="CJL81" s="83"/>
      <c r="CJV81" s="83"/>
      <c r="CKF81" s="83"/>
      <c r="CKP81" s="83"/>
      <c r="CKZ81" s="83"/>
      <c r="CLJ81" s="83"/>
      <c r="CLT81" s="83"/>
      <c r="CMD81" s="83"/>
      <c r="CMN81" s="83"/>
      <c r="CMX81" s="83"/>
      <c r="CNH81" s="83"/>
      <c r="CNR81" s="83"/>
      <c r="COB81" s="83"/>
      <c r="COL81" s="83"/>
      <c r="COV81" s="83"/>
      <c r="CPF81" s="83"/>
      <c r="CPP81" s="83"/>
      <c r="CPZ81" s="83"/>
      <c r="CQJ81" s="83"/>
      <c r="CQT81" s="83"/>
      <c r="CRD81" s="83"/>
      <c r="CRN81" s="83"/>
      <c r="CRX81" s="83"/>
      <c r="CSH81" s="83"/>
      <c r="CSR81" s="83"/>
      <c r="CTB81" s="83"/>
      <c r="CTL81" s="83"/>
      <c r="CTV81" s="83"/>
    </row>
    <row r="82" s="58" customFormat="1" customHeight="1" spans="1:1020 1030:2040 2050:2570">
      <c r="A82" s="79">
        <v>46151</v>
      </c>
      <c r="B82" s="80" t="s">
        <v>22</v>
      </c>
      <c r="C82" s="38" t="s">
        <v>23</v>
      </c>
      <c r="D82" s="75">
        <v>652373791</v>
      </c>
      <c r="E82" s="84" t="s">
        <v>33</v>
      </c>
      <c r="F82" s="75" t="str">
        <f>VLOOKUP(E82,[7]基础数据!E:H,2,0)</f>
        <v>LP-BSU053-AA_V100_TI_32A2_BTW三防漆双面922_0截</v>
      </c>
      <c r="G82" s="75">
        <v>504</v>
      </c>
      <c r="H82" s="75" t="str">
        <f>VLOOKUP(E82,[7]基础数据!E:H,4,0)</f>
        <v>料盒</v>
      </c>
      <c r="I82" s="75">
        <f>VLOOKUP(E82,[7]基础数据!E:G,3,0)</f>
        <v>36</v>
      </c>
      <c r="J82" s="75" t="s">
        <v>306</v>
      </c>
      <c r="K82" s="82">
        <f t="shared" si="1"/>
        <v>14</v>
      </c>
      <c r="T82" s="83"/>
      <c r="AD82" s="83"/>
      <c r="AN82" s="83"/>
      <c r="AX82" s="83"/>
      <c r="BH82" s="83"/>
      <c r="BR82" s="83"/>
      <c r="CB82" s="83"/>
      <c r="CL82" s="83"/>
      <c r="CV82" s="83"/>
      <c r="DF82" s="83"/>
      <c r="DP82" s="83"/>
      <c r="DZ82" s="83"/>
      <c r="EJ82" s="83"/>
      <c r="ET82" s="83"/>
      <c r="FD82" s="83"/>
      <c r="FN82" s="83"/>
      <c r="FX82" s="83"/>
      <c r="GH82" s="83"/>
      <c r="GR82" s="83"/>
      <c r="HB82" s="83"/>
      <c r="HL82" s="83"/>
      <c r="HV82" s="83"/>
      <c r="IF82" s="83"/>
      <c r="IP82" s="83"/>
      <c r="IZ82" s="83"/>
      <c r="JJ82" s="83"/>
      <c r="JT82" s="83"/>
      <c r="KD82" s="83"/>
      <c r="KN82" s="83"/>
      <c r="KX82" s="83"/>
      <c r="LH82" s="83"/>
      <c r="LR82" s="83"/>
      <c r="MB82" s="83"/>
      <c r="ML82" s="83"/>
      <c r="MV82" s="83"/>
      <c r="NF82" s="83"/>
      <c r="NP82" s="83"/>
      <c r="NZ82" s="83"/>
      <c r="OJ82" s="83"/>
      <c r="OT82" s="83"/>
      <c r="PD82" s="83"/>
      <c r="PN82" s="83"/>
      <c r="PX82" s="83"/>
      <c r="QH82" s="83"/>
      <c r="QR82" s="83"/>
      <c r="RB82" s="83"/>
      <c r="RL82" s="83"/>
      <c r="RV82" s="83"/>
      <c r="SF82" s="83"/>
      <c r="SP82" s="83"/>
      <c r="SZ82" s="83"/>
      <c r="TJ82" s="83"/>
      <c r="TT82" s="83"/>
      <c r="UD82" s="83"/>
      <c r="UN82" s="83"/>
      <c r="UX82" s="83"/>
      <c r="VH82" s="83"/>
      <c r="VR82" s="83"/>
      <c r="WB82" s="83"/>
      <c r="WL82" s="83"/>
      <c r="WV82" s="83"/>
      <c r="XF82" s="83"/>
      <c r="XP82" s="83"/>
      <c r="XZ82" s="83"/>
      <c r="YJ82" s="83"/>
      <c r="YT82" s="83"/>
      <c r="ZD82" s="83"/>
      <c r="ZN82" s="83"/>
      <c r="ZX82" s="83"/>
      <c r="AAH82" s="83"/>
      <c r="AAR82" s="83"/>
      <c r="ABB82" s="83"/>
      <c r="ABL82" s="83"/>
      <c r="ABV82" s="83"/>
      <c r="ACF82" s="83"/>
      <c r="ACP82" s="83"/>
      <c r="ACZ82" s="83"/>
      <c r="ADJ82" s="83"/>
      <c r="ADT82" s="83"/>
      <c r="AED82" s="83"/>
      <c r="AEN82" s="83"/>
      <c r="AEX82" s="83"/>
      <c r="AFH82" s="83"/>
      <c r="AFR82" s="83"/>
      <c r="AGB82" s="83"/>
      <c r="AGL82" s="83"/>
      <c r="AGV82" s="83"/>
      <c r="AHF82" s="83"/>
      <c r="AHP82" s="83"/>
      <c r="AHZ82" s="83"/>
      <c r="AIJ82" s="83"/>
      <c r="AIT82" s="83"/>
      <c r="AJD82" s="83"/>
      <c r="AJN82" s="83"/>
      <c r="AJX82" s="83"/>
      <c r="AKH82" s="83"/>
      <c r="AKR82" s="83"/>
      <c r="ALB82" s="83"/>
      <c r="ALL82" s="83"/>
      <c r="ALV82" s="83"/>
      <c r="AMF82" s="83"/>
      <c r="AMP82" s="83"/>
      <c r="AMZ82" s="83"/>
      <c r="ANJ82" s="83"/>
      <c r="ANT82" s="83"/>
      <c r="AOD82" s="83"/>
      <c r="AON82" s="83"/>
      <c r="AOX82" s="83"/>
      <c r="APH82" s="83"/>
      <c r="APR82" s="83"/>
      <c r="AQB82" s="83"/>
      <c r="AQL82" s="83"/>
      <c r="AQV82" s="83"/>
      <c r="ARF82" s="83"/>
      <c r="ARP82" s="83"/>
      <c r="ARZ82" s="83"/>
      <c r="ASJ82" s="83"/>
      <c r="AST82" s="83"/>
      <c r="ATD82" s="83"/>
      <c r="ATN82" s="83"/>
      <c r="ATX82" s="83"/>
      <c r="AUH82" s="83"/>
      <c r="AUR82" s="83"/>
      <c r="AVB82" s="83"/>
      <c r="AVL82" s="83"/>
      <c r="AVV82" s="83"/>
      <c r="AWF82" s="83"/>
      <c r="AWP82" s="83"/>
      <c r="AWZ82" s="83"/>
      <c r="AXJ82" s="83"/>
      <c r="AXT82" s="83"/>
      <c r="AYD82" s="83"/>
      <c r="AYN82" s="83"/>
      <c r="AYX82" s="83"/>
      <c r="AZH82" s="83"/>
      <c r="AZR82" s="83"/>
      <c r="BAB82" s="83"/>
      <c r="BAL82" s="83"/>
      <c r="BAV82" s="83"/>
      <c r="BBF82" s="83"/>
      <c r="BBP82" s="83"/>
      <c r="BBZ82" s="83"/>
      <c r="BCJ82" s="83"/>
      <c r="BCT82" s="83"/>
      <c r="BDD82" s="83"/>
      <c r="BDN82" s="83"/>
      <c r="BDX82" s="83"/>
      <c r="BEH82" s="83"/>
      <c r="BER82" s="83"/>
      <c r="BFB82" s="83"/>
      <c r="BFL82" s="83"/>
      <c r="BFV82" s="83"/>
      <c r="BGF82" s="83"/>
      <c r="BGP82" s="83"/>
      <c r="BGZ82" s="83"/>
      <c r="BHJ82" s="83"/>
      <c r="BHT82" s="83"/>
      <c r="BID82" s="83"/>
      <c r="BIN82" s="83"/>
      <c r="BIX82" s="83"/>
      <c r="BJH82" s="83"/>
      <c r="BJR82" s="83"/>
      <c r="BKB82" s="83"/>
      <c r="BKL82" s="83"/>
      <c r="BKV82" s="83"/>
      <c r="BLF82" s="83"/>
      <c r="BLP82" s="83"/>
      <c r="BLZ82" s="83"/>
      <c r="BMJ82" s="83"/>
      <c r="BMT82" s="83"/>
      <c r="BND82" s="83"/>
      <c r="BNN82" s="83"/>
      <c r="BNX82" s="83"/>
      <c r="BOH82" s="83"/>
      <c r="BOR82" s="83"/>
      <c r="BPB82" s="83"/>
      <c r="BPL82" s="83"/>
      <c r="BPV82" s="83"/>
      <c r="BQF82" s="83"/>
      <c r="BQP82" s="83"/>
      <c r="BQZ82" s="83"/>
      <c r="BRJ82" s="83"/>
      <c r="BRT82" s="83"/>
      <c r="BSD82" s="83"/>
      <c r="BSN82" s="83"/>
      <c r="BSX82" s="83"/>
      <c r="BTH82" s="83"/>
      <c r="BTR82" s="83"/>
      <c r="BUB82" s="83"/>
      <c r="BUL82" s="83"/>
      <c r="BUV82" s="83"/>
      <c r="BVF82" s="83"/>
      <c r="BVP82" s="83"/>
      <c r="BVZ82" s="83"/>
      <c r="BWJ82" s="83"/>
      <c r="BWT82" s="83"/>
      <c r="BXD82" s="83"/>
      <c r="BXN82" s="83"/>
      <c r="BXX82" s="83"/>
      <c r="BYH82" s="83"/>
      <c r="BYR82" s="83"/>
      <c r="BZB82" s="83"/>
      <c r="BZL82" s="83"/>
      <c r="BZV82" s="83"/>
      <c r="CAF82" s="83"/>
      <c r="CAP82" s="83"/>
      <c r="CAZ82" s="83"/>
      <c r="CBJ82" s="83"/>
      <c r="CBT82" s="83"/>
      <c r="CCD82" s="83"/>
      <c r="CCN82" s="83"/>
      <c r="CCX82" s="83"/>
      <c r="CDH82" s="83"/>
      <c r="CDR82" s="83"/>
      <c r="CEB82" s="83"/>
      <c r="CEL82" s="83"/>
      <c r="CEV82" s="83"/>
      <c r="CFF82" s="83"/>
      <c r="CFP82" s="83"/>
      <c r="CFZ82" s="83"/>
      <c r="CGJ82" s="83"/>
      <c r="CGT82" s="83"/>
      <c r="CHD82" s="83"/>
      <c r="CHN82" s="83"/>
      <c r="CHX82" s="83"/>
      <c r="CIH82" s="83"/>
      <c r="CIR82" s="83"/>
      <c r="CJB82" s="83"/>
      <c r="CJL82" s="83"/>
      <c r="CJV82" s="83"/>
      <c r="CKF82" s="83"/>
      <c r="CKP82" s="83"/>
      <c r="CKZ82" s="83"/>
      <c r="CLJ82" s="83"/>
      <c r="CLT82" s="83"/>
      <c r="CMD82" s="83"/>
      <c r="CMN82" s="83"/>
      <c r="CMX82" s="83"/>
      <c r="CNH82" s="83"/>
      <c r="CNR82" s="83"/>
      <c r="COB82" s="83"/>
      <c r="COL82" s="83"/>
      <c r="COV82" s="83"/>
      <c r="CPF82" s="83"/>
      <c r="CPP82" s="83"/>
      <c r="CPZ82" s="83"/>
      <c r="CQJ82" s="83"/>
      <c r="CQT82" s="83"/>
      <c r="CRD82" s="83"/>
      <c r="CRN82" s="83"/>
      <c r="CRX82" s="83"/>
      <c r="CSH82" s="83"/>
      <c r="CSR82" s="83"/>
      <c r="CTB82" s="83"/>
      <c r="CTL82" s="83"/>
      <c r="CTV82" s="83"/>
    </row>
    <row r="83" s="58" customFormat="1" customHeight="1" spans="1:1020 1030:2040 2050:2570">
      <c r="A83" s="79">
        <v>46151</v>
      </c>
      <c r="B83" s="80" t="s">
        <v>22</v>
      </c>
      <c r="C83" s="38" t="s">
        <v>23</v>
      </c>
      <c r="D83" s="75">
        <v>652374057</v>
      </c>
      <c r="E83" s="84" t="s">
        <v>39</v>
      </c>
      <c r="F83" s="75" t="str">
        <f>VLOOKUP(E83,[7]基础数据!E:H,2,0)</f>
        <v>LP-BSU050-AA_V100_TI_32B2_HW_三防漆双面911_0截</v>
      </c>
      <c r="G83" s="75">
        <v>432</v>
      </c>
      <c r="H83" s="75" t="str">
        <f>VLOOKUP(E83,[7]基础数据!E:H,4,0)</f>
        <v>料盒</v>
      </c>
      <c r="I83" s="75">
        <f>VLOOKUP(E83,[7]基础数据!E:G,3,0)</f>
        <v>36</v>
      </c>
      <c r="J83" s="75" t="s">
        <v>306</v>
      </c>
      <c r="K83" s="82">
        <f t="shared" si="1"/>
        <v>12</v>
      </c>
      <c r="T83" s="83"/>
      <c r="AD83" s="83"/>
      <c r="AN83" s="83"/>
      <c r="AX83" s="83"/>
      <c r="BH83" s="83"/>
      <c r="BR83" s="83"/>
      <c r="CB83" s="83"/>
      <c r="CL83" s="83"/>
      <c r="CV83" s="83"/>
      <c r="DF83" s="83"/>
      <c r="DP83" s="83"/>
      <c r="DZ83" s="83"/>
      <c r="EJ83" s="83"/>
      <c r="ET83" s="83"/>
      <c r="FD83" s="83"/>
      <c r="FN83" s="83"/>
      <c r="FX83" s="83"/>
      <c r="GH83" s="83"/>
      <c r="GR83" s="83"/>
      <c r="HB83" s="83"/>
      <c r="HL83" s="83"/>
      <c r="HV83" s="83"/>
      <c r="IF83" s="83"/>
      <c r="IP83" s="83"/>
      <c r="IZ83" s="83"/>
      <c r="JJ83" s="83"/>
      <c r="JT83" s="83"/>
      <c r="KD83" s="83"/>
      <c r="KN83" s="83"/>
      <c r="KX83" s="83"/>
      <c r="LH83" s="83"/>
      <c r="LR83" s="83"/>
      <c r="MB83" s="83"/>
      <c r="ML83" s="83"/>
      <c r="MV83" s="83"/>
      <c r="NF83" s="83"/>
      <c r="NP83" s="83"/>
      <c r="NZ83" s="83"/>
      <c r="OJ83" s="83"/>
      <c r="OT83" s="83"/>
      <c r="PD83" s="83"/>
      <c r="PN83" s="83"/>
      <c r="PX83" s="83"/>
      <c r="QH83" s="83"/>
      <c r="QR83" s="83"/>
      <c r="RB83" s="83"/>
      <c r="RL83" s="83"/>
      <c r="RV83" s="83"/>
      <c r="SF83" s="83"/>
      <c r="SP83" s="83"/>
      <c r="SZ83" s="83"/>
      <c r="TJ83" s="83"/>
      <c r="TT83" s="83"/>
      <c r="UD83" s="83"/>
      <c r="UN83" s="83"/>
      <c r="UX83" s="83"/>
      <c r="VH83" s="83"/>
      <c r="VR83" s="83"/>
      <c r="WB83" s="83"/>
      <c r="WL83" s="83"/>
      <c r="WV83" s="83"/>
      <c r="XF83" s="83"/>
      <c r="XP83" s="83"/>
      <c r="XZ83" s="83"/>
      <c r="YJ83" s="83"/>
      <c r="YT83" s="83"/>
      <c r="ZD83" s="83"/>
      <c r="ZN83" s="83"/>
      <c r="ZX83" s="83"/>
      <c r="AAH83" s="83"/>
      <c r="AAR83" s="83"/>
      <c r="ABB83" s="83"/>
      <c r="ABL83" s="83"/>
      <c r="ABV83" s="83"/>
      <c r="ACF83" s="83"/>
      <c r="ACP83" s="83"/>
      <c r="ACZ83" s="83"/>
      <c r="ADJ83" s="83"/>
      <c r="ADT83" s="83"/>
      <c r="AED83" s="83"/>
      <c r="AEN83" s="83"/>
      <c r="AEX83" s="83"/>
      <c r="AFH83" s="83"/>
      <c r="AFR83" s="83"/>
      <c r="AGB83" s="83"/>
      <c r="AGL83" s="83"/>
      <c r="AGV83" s="83"/>
      <c r="AHF83" s="83"/>
      <c r="AHP83" s="83"/>
      <c r="AHZ83" s="83"/>
      <c r="AIJ83" s="83"/>
      <c r="AIT83" s="83"/>
      <c r="AJD83" s="83"/>
      <c r="AJN83" s="83"/>
      <c r="AJX83" s="83"/>
      <c r="AKH83" s="83"/>
      <c r="AKR83" s="83"/>
      <c r="ALB83" s="83"/>
      <c r="ALL83" s="83"/>
      <c r="ALV83" s="83"/>
      <c r="AMF83" s="83"/>
      <c r="AMP83" s="83"/>
      <c r="AMZ83" s="83"/>
      <c r="ANJ83" s="83"/>
      <c r="ANT83" s="83"/>
      <c r="AOD83" s="83"/>
      <c r="AON83" s="83"/>
      <c r="AOX83" s="83"/>
      <c r="APH83" s="83"/>
      <c r="APR83" s="83"/>
      <c r="AQB83" s="83"/>
      <c r="AQL83" s="83"/>
      <c r="AQV83" s="83"/>
      <c r="ARF83" s="83"/>
      <c r="ARP83" s="83"/>
      <c r="ARZ83" s="83"/>
      <c r="ASJ83" s="83"/>
      <c r="AST83" s="83"/>
      <c r="ATD83" s="83"/>
      <c r="ATN83" s="83"/>
      <c r="ATX83" s="83"/>
      <c r="AUH83" s="83"/>
      <c r="AUR83" s="83"/>
      <c r="AVB83" s="83"/>
      <c r="AVL83" s="83"/>
      <c r="AVV83" s="83"/>
      <c r="AWF83" s="83"/>
      <c r="AWP83" s="83"/>
      <c r="AWZ83" s="83"/>
      <c r="AXJ83" s="83"/>
      <c r="AXT83" s="83"/>
      <c r="AYD83" s="83"/>
      <c r="AYN83" s="83"/>
      <c r="AYX83" s="83"/>
      <c r="AZH83" s="83"/>
      <c r="AZR83" s="83"/>
      <c r="BAB83" s="83"/>
      <c r="BAL83" s="83"/>
      <c r="BAV83" s="83"/>
      <c r="BBF83" s="83"/>
      <c r="BBP83" s="83"/>
      <c r="BBZ83" s="83"/>
      <c r="BCJ83" s="83"/>
      <c r="BCT83" s="83"/>
      <c r="BDD83" s="83"/>
      <c r="BDN83" s="83"/>
      <c r="BDX83" s="83"/>
      <c r="BEH83" s="83"/>
      <c r="BER83" s="83"/>
      <c r="BFB83" s="83"/>
      <c r="BFL83" s="83"/>
      <c r="BFV83" s="83"/>
      <c r="BGF83" s="83"/>
      <c r="BGP83" s="83"/>
      <c r="BGZ83" s="83"/>
      <c r="BHJ83" s="83"/>
      <c r="BHT83" s="83"/>
      <c r="BID83" s="83"/>
      <c r="BIN83" s="83"/>
      <c r="BIX83" s="83"/>
      <c r="BJH83" s="83"/>
      <c r="BJR83" s="83"/>
      <c r="BKB83" s="83"/>
      <c r="BKL83" s="83"/>
      <c r="BKV83" s="83"/>
      <c r="BLF83" s="83"/>
      <c r="BLP83" s="83"/>
      <c r="BLZ83" s="83"/>
      <c r="BMJ83" s="83"/>
      <c r="BMT83" s="83"/>
      <c r="BND83" s="83"/>
      <c r="BNN83" s="83"/>
      <c r="BNX83" s="83"/>
      <c r="BOH83" s="83"/>
      <c r="BOR83" s="83"/>
      <c r="BPB83" s="83"/>
      <c r="BPL83" s="83"/>
      <c r="BPV83" s="83"/>
      <c r="BQF83" s="83"/>
      <c r="BQP83" s="83"/>
      <c r="BQZ83" s="83"/>
      <c r="BRJ83" s="83"/>
      <c r="BRT83" s="83"/>
      <c r="BSD83" s="83"/>
      <c r="BSN83" s="83"/>
      <c r="BSX83" s="83"/>
      <c r="BTH83" s="83"/>
      <c r="BTR83" s="83"/>
      <c r="BUB83" s="83"/>
      <c r="BUL83" s="83"/>
      <c r="BUV83" s="83"/>
      <c r="BVF83" s="83"/>
      <c r="BVP83" s="83"/>
      <c r="BVZ83" s="83"/>
      <c r="BWJ83" s="83"/>
      <c r="BWT83" s="83"/>
      <c r="BXD83" s="83"/>
      <c r="BXN83" s="83"/>
      <c r="BXX83" s="83"/>
      <c r="BYH83" s="83"/>
      <c r="BYR83" s="83"/>
      <c r="BZB83" s="83"/>
      <c r="BZL83" s="83"/>
      <c r="BZV83" s="83"/>
      <c r="CAF83" s="83"/>
      <c r="CAP83" s="83"/>
      <c r="CAZ83" s="83"/>
      <c r="CBJ83" s="83"/>
      <c r="CBT83" s="83"/>
      <c r="CCD83" s="83"/>
      <c r="CCN83" s="83"/>
      <c r="CCX83" s="83"/>
      <c r="CDH83" s="83"/>
      <c r="CDR83" s="83"/>
      <c r="CEB83" s="83"/>
      <c r="CEL83" s="83"/>
      <c r="CEV83" s="83"/>
      <c r="CFF83" s="83"/>
      <c r="CFP83" s="83"/>
      <c r="CFZ83" s="83"/>
      <c r="CGJ83" s="83"/>
      <c r="CGT83" s="83"/>
      <c r="CHD83" s="83"/>
      <c r="CHN83" s="83"/>
      <c r="CHX83" s="83"/>
      <c r="CIH83" s="83"/>
      <c r="CIR83" s="83"/>
      <c r="CJB83" s="83"/>
      <c r="CJL83" s="83"/>
      <c r="CJV83" s="83"/>
      <c r="CKF83" s="83"/>
      <c r="CKP83" s="83"/>
      <c r="CKZ83" s="83"/>
      <c r="CLJ83" s="83"/>
      <c r="CLT83" s="83"/>
      <c r="CMD83" s="83"/>
      <c r="CMN83" s="83"/>
      <c r="CMX83" s="83"/>
      <c r="CNH83" s="83"/>
      <c r="CNR83" s="83"/>
      <c r="COB83" s="83"/>
      <c r="COL83" s="83"/>
      <c r="COV83" s="83"/>
      <c r="CPF83" s="83"/>
      <c r="CPP83" s="83"/>
      <c r="CPZ83" s="83"/>
      <c r="CQJ83" s="83"/>
      <c r="CQT83" s="83"/>
      <c r="CRD83" s="83"/>
      <c r="CRN83" s="83"/>
      <c r="CRX83" s="83"/>
      <c r="CSH83" s="83"/>
      <c r="CSR83" s="83"/>
      <c r="CTB83" s="83"/>
      <c r="CTL83" s="83"/>
      <c r="CTV83" s="83"/>
    </row>
    <row r="84" s="58" customFormat="1" customHeight="1" spans="1:1020 1030:2040 2050:2570">
      <c r="A84" s="79">
        <v>46151</v>
      </c>
      <c r="B84" s="80" t="s">
        <v>22</v>
      </c>
      <c r="C84" s="38" t="s">
        <v>23</v>
      </c>
      <c r="D84" s="75">
        <v>652373791</v>
      </c>
      <c r="E84" s="84" t="s">
        <v>36</v>
      </c>
      <c r="F84" s="75" t="str">
        <f>VLOOKUP(E84,[7]基础数据!E:H,2,0)</f>
        <v>LP-BSU054-AA_V100_TI_32B1_BTW三防漆双面923_0截</v>
      </c>
      <c r="G84" s="75">
        <v>1728</v>
      </c>
      <c r="H84" s="75" t="str">
        <f>VLOOKUP(E84,[7]基础数据!E:H,4,0)</f>
        <v>料盒</v>
      </c>
      <c r="I84" s="75">
        <f>VLOOKUP(E84,[7]基础数据!E:G,3,0)</f>
        <v>36</v>
      </c>
      <c r="J84" s="75" t="s">
        <v>306</v>
      </c>
      <c r="K84" s="82">
        <f t="shared" si="1"/>
        <v>48</v>
      </c>
      <c r="T84" s="83"/>
      <c r="AD84" s="83"/>
      <c r="AN84" s="83"/>
      <c r="AX84" s="83"/>
      <c r="BH84" s="83"/>
      <c r="BR84" s="83"/>
      <c r="CB84" s="83"/>
      <c r="CL84" s="83"/>
      <c r="CV84" s="83"/>
      <c r="DF84" s="83"/>
      <c r="DP84" s="83"/>
      <c r="DZ84" s="83"/>
      <c r="EJ84" s="83"/>
      <c r="ET84" s="83"/>
      <c r="FD84" s="83"/>
      <c r="FN84" s="83"/>
      <c r="FX84" s="83"/>
      <c r="GH84" s="83"/>
      <c r="GR84" s="83"/>
      <c r="HB84" s="83"/>
      <c r="HL84" s="83"/>
      <c r="HV84" s="83"/>
      <c r="IF84" s="83"/>
      <c r="IP84" s="83"/>
      <c r="IZ84" s="83"/>
      <c r="JJ84" s="83"/>
      <c r="JT84" s="83"/>
      <c r="KD84" s="83"/>
      <c r="KN84" s="83"/>
      <c r="KX84" s="83"/>
      <c r="LH84" s="83"/>
      <c r="LR84" s="83"/>
      <c r="MB84" s="83"/>
      <c r="ML84" s="83"/>
      <c r="MV84" s="83"/>
      <c r="NF84" s="83"/>
      <c r="NP84" s="83"/>
      <c r="NZ84" s="83"/>
      <c r="OJ84" s="83"/>
      <c r="OT84" s="83"/>
      <c r="PD84" s="83"/>
      <c r="PN84" s="83"/>
      <c r="PX84" s="83"/>
      <c r="QH84" s="83"/>
      <c r="QR84" s="83"/>
      <c r="RB84" s="83"/>
      <c r="RL84" s="83"/>
      <c r="RV84" s="83"/>
      <c r="SF84" s="83"/>
      <c r="SP84" s="83"/>
      <c r="SZ84" s="83"/>
      <c r="TJ84" s="83"/>
      <c r="TT84" s="83"/>
      <c r="UD84" s="83"/>
      <c r="UN84" s="83"/>
      <c r="UX84" s="83"/>
      <c r="VH84" s="83"/>
      <c r="VR84" s="83"/>
      <c r="WB84" s="83"/>
      <c r="WL84" s="83"/>
      <c r="WV84" s="83"/>
      <c r="XF84" s="83"/>
      <c r="XP84" s="83"/>
      <c r="XZ84" s="83"/>
      <c r="YJ84" s="83"/>
      <c r="YT84" s="83"/>
      <c r="ZD84" s="83"/>
      <c r="ZN84" s="83"/>
      <c r="ZX84" s="83"/>
      <c r="AAH84" s="83"/>
      <c r="AAR84" s="83"/>
      <c r="ABB84" s="83"/>
      <c r="ABL84" s="83"/>
      <c r="ABV84" s="83"/>
      <c r="ACF84" s="83"/>
      <c r="ACP84" s="83"/>
      <c r="ACZ84" s="83"/>
      <c r="ADJ84" s="83"/>
      <c r="ADT84" s="83"/>
      <c r="AED84" s="83"/>
      <c r="AEN84" s="83"/>
      <c r="AEX84" s="83"/>
      <c r="AFH84" s="83"/>
      <c r="AFR84" s="83"/>
      <c r="AGB84" s="83"/>
      <c r="AGL84" s="83"/>
      <c r="AGV84" s="83"/>
      <c r="AHF84" s="83"/>
      <c r="AHP84" s="83"/>
      <c r="AHZ84" s="83"/>
      <c r="AIJ84" s="83"/>
      <c r="AIT84" s="83"/>
      <c r="AJD84" s="83"/>
      <c r="AJN84" s="83"/>
      <c r="AJX84" s="83"/>
      <c r="AKH84" s="83"/>
      <c r="AKR84" s="83"/>
      <c r="ALB84" s="83"/>
      <c r="ALL84" s="83"/>
      <c r="ALV84" s="83"/>
      <c r="AMF84" s="83"/>
      <c r="AMP84" s="83"/>
      <c r="AMZ84" s="83"/>
      <c r="ANJ84" s="83"/>
      <c r="ANT84" s="83"/>
      <c r="AOD84" s="83"/>
      <c r="AON84" s="83"/>
      <c r="AOX84" s="83"/>
      <c r="APH84" s="83"/>
      <c r="APR84" s="83"/>
      <c r="AQB84" s="83"/>
      <c r="AQL84" s="83"/>
      <c r="AQV84" s="83"/>
      <c r="ARF84" s="83"/>
      <c r="ARP84" s="83"/>
      <c r="ARZ84" s="83"/>
      <c r="ASJ84" s="83"/>
      <c r="AST84" s="83"/>
      <c r="ATD84" s="83"/>
      <c r="ATN84" s="83"/>
      <c r="ATX84" s="83"/>
      <c r="AUH84" s="83"/>
      <c r="AUR84" s="83"/>
      <c r="AVB84" s="83"/>
      <c r="AVL84" s="83"/>
      <c r="AVV84" s="83"/>
      <c r="AWF84" s="83"/>
      <c r="AWP84" s="83"/>
      <c r="AWZ84" s="83"/>
      <c r="AXJ84" s="83"/>
      <c r="AXT84" s="83"/>
      <c r="AYD84" s="83"/>
      <c r="AYN84" s="83"/>
      <c r="AYX84" s="83"/>
      <c r="AZH84" s="83"/>
      <c r="AZR84" s="83"/>
      <c r="BAB84" s="83"/>
      <c r="BAL84" s="83"/>
      <c r="BAV84" s="83"/>
      <c r="BBF84" s="83"/>
      <c r="BBP84" s="83"/>
      <c r="BBZ84" s="83"/>
      <c r="BCJ84" s="83"/>
      <c r="BCT84" s="83"/>
      <c r="BDD84" s="83"/>
      <c r="BDN84" s="83"/>
      <c r="BDX84" s="83"/>
      <c r="BEH84" s="83"/>
      <c r="BER84" s="83"/>
      <c r="BFB84" s="83"/>
      <c r="BFL84" s="83"/>
      <c r="BFV84" s="83"/>
      <c r="BGF84" s="83"/>
      <c r="BGP84" s="83"/>
      <c r="BGZ84" s="83"/>
      <c r="BHJ84" s="83"/>
      <c r="BHT84" s="83"/>
      <c r="BID84" s="83"/>
      <c r="BIN84" s="83"/>
      <c r="BIX84" s="83"/>
      <c r="BJH84" s="83"/>
      <c r="BJR84" s="83"/>
      <c r="BKB84" s="83"/>
      <c r="BKL84" s="83"/>
      <c r="BKV84" s="83"/>
      <c r="BLF84" s="83"/>
      <c r="BLP84" s="83"/>
      <c r="BLZ84" s="83"/>
      <c r="BMJ84" s="83"/>
      <c r="BMT84" s="83"/>
      <c r="BND84" s="83"/>
      <c r="BNN84" s="83"/>
      <c r="BNX84" s="83"/>
      <c r="BOH84" s="83"/>
      <c r="BOR84" s="83"/>
      <c r="BPB84" s="83"/>
      <c r="BPL84" s="83"/>
      <c r="BPV84" s="83"/>
      <c r="BQF84" s="83"/>
      <c r="BQP84" s="83"/>
      <c r="BQZ84" s="83"/>
      <c r="BRJ84" s="83"/>
      <c r="BRT84" s="83"/>
      <c r="BSD84" s="83"/>
      <c r="BSN84" s="83"/>
      <c r="BSX84" s="83"/>
      <c r="BTH84" s="83"/>
      <c r="BTR84" s="83"/>
      <c r="BUB84" s="83"/>
      <c r="BUL84" s="83"/>
      <c r="BUV84" s="83"/>
      <c r="BVF84" s="83"/>
      <c r="BVP84" s="83"/>
      <c r="BVZ84" s="83"/>
      <c r="BWJ84" s="83"/>
      <c r="BWT84" s="83"/>
      <c r="BXD84" s="83"/>
      <c r="BXN84" s="83"/>
      <c r="BXX84" s="83"/>
      <c r="BYH84" s="83"/>
      <c r="BYR84" s="83"/>
      <c r="BZB84" s="83"/>
      <c r="BZL84" s="83"/>
      <c r="BZV84" s="83"/>
      <c r="CAF84" s="83"/>
      <c r="CAP84" s="83"/>
      <c r="CAZ84" s="83"/>
      <c r="CBJ84" s="83"/>
      <c r="CBT84" s="83"/>
      <c r="CCD84" s="83"/>
      <c r="CCN84" s="83"/>
      <c r="CCX84" s="83"/>
      <c r="CDH84" s="83"/>
      <c r="CDR84" s="83"/>
      <c r="CEB84" s="83"/>
      <c r="CEL84" s="83"/>
      <c r="CEV84" s="83"/>
      <c r="CFF84" s="83"/>
      <c r="CFP84" s="83"/>
      <c r="CFZ84" s="83"/>
      <c r="CGJ84" s="83"/>
      <c r="CGT84" s="83"/>
      <c r="CHD84" s="83"/>
      <c r="CHN84" s="83"/>
      <c r="CHX84" s="83"/>
      <c r="CIH84" s="83"/>
      <c r="CIR84" s="83"/>
      <c r="CJB84" s="83"/>
      <c r="CJL84" s="83"/>
      <c r="CJV84" s="83"/>
      <c r="CKF84" s="83"/>
      <c r="CKP84" s="83"/>
      <c r="CKZ84" s="83"/>
      <c r="CLJ84" s="83"/>
      <c r="CLT84" s="83"/>
      <c r="CMD84" s="83"/>
      <c r="CMN84" s="83"/>
      <c r="CMX84" s="83"/>
      <c r="CNH84" s="83"/>
      <c r="CNR84" s="83"/>
      <c r="COB84" s="83"/>
      <c r="COL84" s="83"/>
      <c r="COV84" s="83"/>
      <c r="CPF84" s="83"/>
      <c r="CPP84" s="83"/>
      <c r="CPZ84" s="83"/>
      <c r="CQJ84" s="83"/>
      <c r="CQT84" s="83"/>
      <c r="CRD84" s="83"/>
      <c r="CRN84" s="83"/>
      <c r="CRX84" s="83"/>
      <c r="CSH84" s="83"/>
      <c r="CSR84" s="83"/>
      <c r="CTB84" s="83"/>
      <c r="CTL84" s="83"/>
      <c r="CTV84" s="83"/>
    </row>
    <row r="85" s="58" customFormat="1" customHeight="1" spans="1:1020 1030:2040 2050:2570">
      <c r="A85" s="79">
        <v>46152</v>
      </c>
      <c r="B85" s="80" t="s">
        <v>22</v>
      </c>
      <c r="C85" s="38" t="s">
        <v>23</v>
      </c>
      <c r="D85" s="75">
        <v>652376098</v>
      </c>
      <c r="E85" s="84" t="s">
        <v>147</v>
      </c>
      <c r="F85" s="75" t="str">
        <f>VLOOKUP(E85,[8]基础数据!E:H,2,0)</f>
        <v>LP-BSU070-AA_T1616_46S_V1_凡申40_三防漆双面925截</v>
      </c>
      <c r="G85" s="75">
        <v>408</v>
      </c>
      <c r="H85" s="75" t="str">
        <f>VLOOKUP(E85,[8]基础数据!E:H,4,0)</f>
        <v>料盒</v>
      </c>
      <c r="I85" s="75">
        <f>VLOOKUP(E85,[8]基础数据!E:G,3,0)</f>
        <v>24</v>
      </c>
      <c r="J85" s="75" t="s">
        <v>306</v>
      </c>
      <c r="K85" s="82">
        <f t="shared" si="1"/>
        <v>17</v>
      </c>
      <c r="T85" s="83"/>
      <c r="AD85" s="83"/>
      <c r="AN85" s="83"/>
      <c r="AX85" s="83"/>
      <c r="BH85" s="83"/>
      <c r="BR85" s="83"/>
      <c r="CB85" s="83"/>
      <c r="CL85" s="83"/>
      <c r="CV85" s="83"/>
      <c r="DF85" s="83"/>
      <c r="DP85" s="83"/>
      <c r="DZ85" s="83"/>
      <c r="EJ85" s="83"/>
      <c r="ET85" s="83"/>
      <c r="FD85" s="83"/>
      <c r="FN85" s="83"/>
      <c r="FX85" s="83"/>
      <c r="GH85" s="83"/>
      <c r="GR85" s="83"/>
      <c r="HB85" s="83"/>
      <c r="HL85" s="83"/>
      <c r="HV85" s="83"/>
      <c r="IF85" s="83"/>
      <c r="IP85" s="83"/>
      <c r="IZ85" s="83"/>
      <c r="JJ85" s="83"/>
      <c r="JT85" s="83"/>
      <c r="KD85" s="83"/>
      <c r="KN85" s="83"/>
      <c r="KX85" s="83"/>
      <c r="LH85" s="83"/>
      <c r="LR85" s="83"/>
      <c r="MB85" s="83"/>
      <c r="ML85" s="83"/>
      <c r="MV85" s="83"/>
      <c r="NF85" s="83"/>
      <c r="NP85" s="83"/>
      <c r="NZ85" s="83"/>
      <c r="OJ85" s="83"/>
      <c r="OT85" s="83"/>
      <c r="PD85" s="83"/>
      <c r="PN85" s="83"/>
      <c r="PX85" s="83"/>
      <c r="QH85" s="83"/>
      <c r="QR85" s="83"/>
      <c r="RB85" s="83"/>
      <c r="RL85" s="83"/>
      <c r="RV85" s="83"/>
      <c r="SF85" s="83"/>
      <c r="SP85" s="83"/>
      <c r="SZ85" s="83"/>
      <c r="TJ85" s="83"/>
      <c r="TT85" s="83"/>
      <c r="UD85" s="83"/>
      <c r="UN85" s="83"/>
      <c r="UX85" s="83"/>
      <c r="VH85" s="83"/>
      <c r="VR85" s="83"/>
      <c r="WB85" s="83"/>
      <c r="WL85" s="83"/>
      <c r="WV85" s="83"/>
      <c r="XF85" s="83"/>
      <c r="XP85" s="83"/>
      <c r="XZ85" s="83"/>
      <c r="YJ85" s="83"/>
      <c r="YT85" s="83"/>
      <c r="ZD85" s="83"/>
      <c r="ZN85" s="83"/>
      <c r="ZX85" s="83"/>
      <c r="AAH85" s="83"/>
      <c r="AAR85" s="83"/>
      <c r="ABB85" s="83"/>
      <c r="ABL85" s="83"/>
      <c r="ABV85" s="83"/>
      <c r="ACF85" s="83"/>
      <c r="ACP85" s="83"/>
      <c r="ACZ85" s="83"/>
      <c r="ADJ85" s="83"/>
      <c r="ADT85" s="83"/>
      <c r="AED85" s="83"/>
      <c r="AEN85" s="83"/>
      <c r="AEX85" s="83"/>
      <c r="AFH85" s="83"/>
      <c r="AFR85" s="83"/>
      <c r="AGB85" s="83"/>
      <c r="AGL85" s="83"/>
      <c r="AGV85" s="83"/>
      <c r="AHF85" s="83"/>
      <c r="AHP85" s="83"/>
      <c r="AHZ85" s="83"/>
      <c r="AIJ85" s="83"/>
      <c r="AIT85" s="83"/>
      <c r="AJD85" s="83"/>
      <c r="AJN85" s="83"/>
      <c r="AJX85" s="83"/>
      <c r="AKH85" s="83"/>
      <c r="AKR85" s="83"/>
      <c r="ALB85" s="83"/>
      <c r="ALL85" s="83"/>
      <c r="ALV85" s="83"/>
      <c r="AMF85" s="83"/>
      <c r="AMP85" s="83"/>
      <c r="AMZ85" s="83"/>
      <c r="ANJ85" s="83"/>
      <c r="ANT85" s="83"/>
      <c r="AOD85" s="83"/>
      <c r="AON85" s="83"/>
      <c r="AOX85" s="83"/>
      <c r="APH85" s="83"/>
      <c r="APR85" s="83"/>
      <c r="AQB85" s="83"/>
      <c r="AQL85" s="83"/>
      <c r="AQV85" s="83"/>
      <c r="ARF85" s="83"/>
      <c r="ARP85" s="83"/>
      <c r="ARZ85" s="83"/>
      <c r="ASJ85" s="83"/>
      <c r="AST85" s="83"/>
      <c r="ATD85" s="83"/>
      <c r="ATN85" s="83"/>
      <c r="ATX85" s="83"/>
      <c r="AUH85" s="83"/>
      <c r="AUR85" s="83"/>
      <c r="AVB85" s="83"/>
      <c r="AVL85" s="83"/>
      <c r="AVV85" s="83"/>
      <c r="AWF85" s="83"/>
      <c r="AWP85" s="83"/>
      <c r="AWZ85" s="83"/>
      <c r="AXJ85" s="83"/>
      <c r="AXT85" s="83"/>
      <c r="AYD85" s="83"/>
      <c r="AYN85" s="83"/>
      <c r="AYX85" s="83"/>
      <c r="AZH85" s="83"/>
      <c r="AZR85" s="83"/>
      <c r="BAB85" s="83"/>
      <c r="BAL85" s="83"/>
      <c r="BAV85" s="83"/>
      <c r="BBF85" s="83"/>
      <c r="BBP85" s="83"/>
      <c r="BBZ85" s="83"/>
      <c r="BCJ85" s="83"/>
      <c r="BCT85" s="83"/>
      <c r="BDD85" s="83"/>
      <c r="BDN85" s="83"/>
      <c r="BDX85" s="83"/>
      <c r="BEH85" s="83"/>
      <c r="BER85" s="83"/>
      <c r="BFB85" s="83"/>
      <c r="BFL85" s="83"/>
      <c r="BFV85" s="83"/>
      <c r="BGF85" s="83"/>
      <c r="BGP85" s="83"/>
      <c r="BGZ85" s="83"/>
      <c r="BHJ85" s="83"/>
      <c r="BHT85" s="83"/>
      <c r="BID85" s="83"/>
      <c r="BIN85" s="83"/>
      <c r="BIX85" s="83"/>
      <c r="BJH85" s="83"/>
      <c r="BJR85" s="83"/>
      <c r="BKB85" s="83"/>
      <c r="BKL85" s="83"/>
      <c r="BKV85" s="83"/>
      <c r="BLF85" s="83"/>
      <c r="BLP85" s="83"/>
      <c r="BLZ85" s="83"/>
      <c r="BMJ85" s="83"/>
      <c r="BMT85" s="83"/>
      <c r="BND85" s="83"/>
      <c r="BNN85" s="83"/>
      <c r="BNX85" s="83"/>
      <c r="BOH85" s="83"/>
      <c r="BOR85" s="83"/>
      <c r="BPB85" s="83"/>
      <c r="BPL85" s="83"/>
      <c r="BPV85" s="83"/>
      <c r="BQF85" s="83"/>
      <c r="BQP85" s="83"/>
      <c r="BQZ85" s="83"/>
      <c r="BRJ85" s="83"/>
      <c r="BRT85" s="83"/>
      <c r="BSD85" s="83"/>
      <c r="BSN85" s="83"/>
      <c r="BSX85" s="83"/>
      <c r="BTH85" s="83"/>
      <c r="BTR85" s="83"/>
      <c r="BUB85" s="83"/>
      <c r="BUL85" s="83"/>
      <c r="BUV85" s="83"/>
      <c r="BVF85" s="83"/>
      <c r="BVP85" s="83"/>
      <c r="BVZ85" s="83"/>
      <c r="BWJ85" s="83"/>
      <c r="BWT85" s="83"/>
      <c r="BXD85" s="83"/>
      <c r="BXN85" s="83"/>
      <c r="BXX85" s="83"/>
      <c r="BYH85" s="83"/>
      <c r="BYR85" s="83"/>
      <c r="BZB85" s="83"/>
      <c r="BZL85" s="83"/>
      <c r="BZV85" s="83"/>
      <c r="CAF85" s="83"/>
      <c r="CAP85" s="83"/>
      <c r="CAZ85" s="83"/>
      <c r="CBJ85" s="83"/>
      <c r="CBT85" s="83"/>
      <c r="CCD85" s="83"/>
      <c r="CCN85" s="83"/>
      <c r="CCX85" s="83"/>
      <c r="CDH85" s="83"/>
      <c r="CDR85" s="83"/>
      <c r="CEB85" s="83"/>
      <c r="CEL85" s="83"/>
      <c r="CEV85" s="83"/>
      <c r="CFF85" s="83"/>
      <c r="CFP85" s="83"/>
      <c r="CFZ85" s="83"/>
      <c r="CGJ85" s="83"/>
      <c r="CGT85" s="83"/>
      <c r="CHD85" s="83"/>
      <c r="CHN85" s="83"/>
      <c r="CHX85" s="83"/>
      <c r="CIH85" s="83"/>
      <c r="CIR85" s="83"/>
      <c r="CJB85" s="83"/>
      <c r="CJL85" s="83"/>
      <c r="CJV85" s="83"/>
      <c r="CKF85" s="83"/>
      <c r="CKP85" s="83"/>
      <c r="CKZ85" s="83"/>
      <c r="CLJ85" s="83"/>
      <c r="CLT85" s="83"/>
      <c r="CMD85" s="83"/>
      <c r="CMN85" s="83"/>
      <c r="CMX85" s="83"/>
      <c r="CNH85" s="83"/>
      <c r="CNR85" s="83"/>
      <c r="COB85" s="83"/>
      <c r="COL85" s="83"/>
      <c r="COV85" s="83"/>
      <c r="CPF85" s="83"/>
      <c r="CPP85" s="83"/>
      <c r="CPZ85" s="83"/>
      <c r="CQJ85" s="83"/>
      <c r="CQT85" s="83"/>
      <c r="CRD85" s="83"/>
      <c r="CRN85" s="83"/>
      <c r="CRX85" s="83"/>
      <c r="CSH85" s="83"/>
      <c r="CSR85" s="83"/>
      <c r="CTB85" s="83"/>
      <c r="CTL85" s="83"/>
      <c r="CTV85" s="83"/>
    </row>
    <row r="86" s="58" customFormat="1" customHeight="1" spans="1:1020 1030:2040 2050:2570">
      <c r="A86" s="79">
        <v>46152</v>
      </c>
      <c r="B86" s="80" t="s">
        <v>22</v>
      </c>
      <c r="C86" s="38" t="s">
        <v>23</v>
      </c>
      <c r="D86" s="75">
        <v>652376098</v>
      </c>
      <c r="E86" s="84" t="s">
        <v>144</v>
      </c>
      <c r="F86" s="75" t="str">
        <f>VLOOKUP(E86,[8]基础数据!E:H,2,0)</f>
        <v>LP-BSU070-AA_T1616_A_24S_V1_凡申40_三防漆双面9截</v>
      </c>
      <c r="G86" s="75">
        <v>240</v>
      </c>
      <c r="H86" s="75" t="str">
        <f>VLOOKUP(E86,[8]基础数据!E:H,4,0)</f>
        <v>料盒</v>
      </c>
      <c r="I86" s="75">
        <f>VLOOKUP(E86,[8]基础数据!E:G,3,0)</f>
        <v>48</v>
      </c>
      <c r="J86" s="75" t="s">
        <v>306</v>
      </c>
      <c r="K86" s="82">
        <f t="shared" si="1"/>
        <v>5</v>
      </c>
      <c r="T86" s="83"/>
      <c r="AD86" s="83"/>
      <c r="AN86" s="83"/>
      <c r="AX86" s="83"/>
      <c r="BH86" s="83"/>
      <c r="BR86" s="83"/>
      <c r="CB86" s="83"/>
      <c r="CL86" s="83"/>
      <c r="CV86" s="83"/>
      <c r="DF86" s="83"/>
      <c r="DP86" s="83"/>
      <c r="DZ86" s="83"/>
      <c r="EJ86" s="83"/>
      <c r="ET86" s="83"/>
      <c r="FD86" s="83"/>
      <c r="FN86" s="83"/>
      <c r="FX86" s="83"/>
      <c r="GH86" s="83"/>
      <c r="GR86" s="83"/>
      <c r="HB86" s="83"/>
      <c r="HL86" s="83"/>
      <c r="HV86" s="83"/>
      <c r="IF86" s="83"/>
      <c r="IP86" s="83"/>
      <c r="IZ86" s="83"/>
      <c r="JJ86" s="83"/>
      <c r="JT86" s="83"/>
      <c r="KD86" s="83"/>
      <c r="KN86" s="83"/>
      <c r="KX86" s="83"/>
      <c r="LH86" s="83"/>
      <c r="LR86" s="83"/>
      <c r="MB86" s="83"/>
      <c r="ML86" s="83"/>
      <c r="MV86" s="83"/>
      <c r="NF86" s="83"/>
      <c r="NP86" s="83"/>
      <c r="NZ86" s="83"/>
      <c r="OJ86" s="83"/>
      <c r="OT86" s="83"/>
      <c r="PD86" s="83"/>
      <c r="PN86" s="83"/>
      <c r="PX86" s="83"/>
      <c r="QH86" s="83"/>
      <c r="QR86" s="83"/>
      <c r="RB86" s="83"/>
      <c r="RL86" s="83"/>
      <c r="RV86" s="83"/>
      <c r="SF86" s="83"/>
      <c r="SP86" s="83"/>
      <c r="SZ86" s="83"/>
      <c r="TJ86" s="83"/>
      <c r="TT86" s="83"/>
      <c r="UD86" s="83"/>
      <c r="UN86" s="83"/>
      <c r="UX86" s="83"/>
      <c r="VH86" s="83"/>
      <c r="VR86" s="83"/>
      <c r="WB86" s="83"/>
      <c r="WL86" s="83"/>
      <c r="WV86" s="83"/>
      <c r="XF86" s="83"/>
      <c r="XP86" s="83"/>
      <c r="XZ86" s="83"/>
      <c r="YJ86" s="83"/>
      <c r="YT86" s="83"/>
      <c r="ZD86" s="83"/>
      <c r="ZN86" s="83"/>
      <c r="ZX86" s="83"/>
      <c r="AAH86" s="83"/>
      <c r="AAR86" s="83"/>
      <c r="ABB86" s="83"/>
      <c r="ABL86" s="83"/>
      <c r="ABV86" s="83"/>
      <c r="ACF86" s="83"/>
      <c r="ACP86" s="83"/>
      <c r="ACZ86" s="83"/>
      <c r="ADJ86" s="83"/>
      <c r="ADT86" s="83"/>
      <c r="AED86" s="83"/>
      <c r="AEN86" s="83"/>
      <c r="AEX86" s="83"/>
      <c r="AFH86" s="83"/>
      <c r="AFR86" s="83"/>
      <c r="AGB86" s="83"/>
      <c r="AGL86" s="83"/>
      <c r="AGV86" s="83"/>
      <c r="AHF86" s="83"/>
      <c r="AHP86" s="83"/>
      <c r="AHZ86" s="83"/>
      <c r="AIJ86" s="83"/>
      <c r="AIT86" s="83"/>
      <c r="AJD86" s="83"/>
      <c r="AJN86" s="83"/>
      <c r="AJX86" s="83"/>
      <c r="AKH86" s="83"/>
      <c r="AKR86" s="83"/>
      <c r="ALB86" s="83"/>
      <c r="ALL86" s="83"/>
      <c r="ALV86" s="83"/>
      <c r="AMF86" s="83"/>
      <c r="AMP86" s="83"/>
      <c r="AMZ86" s="83"/>
      <c r="ANJ86" s="83"/>
      <c r="ANT86" s="83"/>
      <c r="AOD86" s="83"/>
      <c r="AON86" s="83"/>
      <c r="AOX86" s="83"/>
      <c r="APH86" s="83"/>
      <c r="APR86" s="83"/>
      <c r="AQB86" s="83"/>
      <c r="AQL86" s="83"/>
      <c r="AQV86" s="83"/>
      <c r="ARF86" s="83"/>
      <c r="ARP86" s="83"/>
      <c r="ARZ86" s="83"/>
      <c r="ASJ86" s="83"/>
      <c r="AST86" s="83"/>
      <c r="ATD86" s="83"/>
      <c r="ATN86" s="83"/>
      <c r="ATX86" s="83"/>
      <c r="AUH86" s="83"/>
      <c r="AUR86" s="83"/>
      <c r="AVB86" s="83"/>
      <c r="AVL86" s="83"/>
      <c r="AVV86" s="83"/>
      <c r="AWF86" s="83"/>
      <c r="AWP86" s="83"/>
      <c r="AWZ86" s="83"/>
      <c r="AXJ86" s="83"/>
      <c r="AXT86" s="83"/>
      <c r="AYD86" s="83"/>
      <c r="AYN86" s="83"/>
      <c r="AYX86" s="83"/>
      <c r="AZH86" s="83"/>
      <c r="AZR86" s="83"/>
      <c r="BAB86" s="83"/>
      <c r="BAL86" s="83"/>
      <c r="BAV86" s="83"/>
      <c r="BBF86" s="83"/>
      <c r="BBP86" s="83"/>
      <c r="BBZ86" s="83"/>
      <c r="BCJ86" s="83"/>
      <c r="BCT86" s="83"/>
      <c r="BDD86" s="83"/>
      <c r="BDN86" s="83"/>
      <c r="BDX86" s="83"/>
      <c r="BEH86" s="83"/>
      <c r="BER86" s="83"/>
      <c r="BFB86" s="83"/>
      <c r="BFL86" s="83"/>
      <c r="BFV86" s="83"/>
      <c r="BGF86" s="83"/>
      <c r="BGP86" s="83"/>
      <c r="BGZ86" s="83"/>
      <c r="BHJ86" s="83"/>
      <c r="BHT86" s="83"/>
      <c r="BID86" s="83"/>
      <c r="BIN86" s="83"/>
      <c r="BIX86" s="83"/>
      <c r="BJH86" s="83"/>
      <c r="BJR86" s="83"/>
      <c r="BKB86" s="83"/>
      <c r="BKL86" s="83"/>
      <c r="BKV86" s="83"/>
      <c r="BLF86" s="83"/>
      <c r="BLP86" s="83"/>
      <c r="BLZ86" s="83"/>
      <c r="BMJ86" s="83"/>
      <c r="BMT86" s="83"/>
      <c r="BND86" s="83"/>
      <c r="BNN86" s="83"/>
      <c r="BNX86" s="83"/>
      <c r="BOH86" s="83"/>
      <c r="BOR86" s="83"/>
      <c r="BPB86" s="83"/>
      <c r="BPL86" s="83"/>
      <c r="BPV86" s="83"/>
      <c r="BQF86" s="83"/>
      <c r="BQP86" s="83"/>
      <c r="BQZ86" s="83"/>
      <c r="BRJ86" s="83"/>
      <c r="BRT86" s="83"/>
      <c r="BSD86" s="83"/>
      <c r="BSN86" s="83"/>
      <c r="BSX86" s="83"/>
      <c r="BTH86" s="83"/>
      <c r="BTR86" s="83"/>
      <c r="BUB86" s="83"/>
      <c r="BUL86" s="83"/>
      <c r="BUV86" s="83"/>
      <c r="BVF86" s="83"/>
      <c r="BVP86" s="83"/>
      <c r="BVZ86" s="83"/>
      <c r="BWJ86" s="83"/>
      <c r="BWT86" s="83"/>
      <c r="BXD86" s="83"/>
      <c r="BXN86" s="83"/>
      <c r="BXX86" s="83"/>
      <c r="BYH86" s="83"/>
      <c r="BYR86" s="83"/>
      <c r="BZB86" s="83"/>
      <c r="BZL86" s="83"/>
      <c r="BZV86" s="83"/>
      <c r="CAF86" s="83"/>
      <c r="CAP86" s="83"/>
      <c r="CAZ86" s="83"/>
      <c r="CBJ86" s="83"/>
      <c r="CBT86" s="83"/>
      <c r="CCD86" s="83"/>
      <c r="CCN86" s="83"/>
      <c r="CCX86" s="83"/>
      <c r="CDH86" s="83"/>
      <c r="CDR86" s="83"/>
      <c r="CEB86" s="83"/>
      <c r="CEL86" s="83"/>
      <c r="CEV86" s="83"/>
      <c r="CFF86" s="83"/>
      <c r="CFP86" s="83"/>
      <c r="CFZ86" s="83"/>
      <c r="CGJ86" s="83"/>
      <c r="CGT86" s="83"/>
      <c r="CHD86" s="83"/>
      <c r="CHN86" s="83"/>
      <c r="CHX86" s="83"/>
      <c r="CIH86" s="83"/>
      <c r="CIR86" s="83"/>
      <c r="CJB86" s="83"/>
      <c r="CJL86" s="83"/>
      <c r="CJV86" s="83"/>
      <c r="CKF86" s="83"/>
      <c r="CKP86" s="83"/>
      <c r="CKZ86" s="83"/>
      <c r="CLJ86" s="83"/>
      <c r="CLT86" s="83"/>
      <c r="CMD86" s="83"/>
      <c r="CMN86" s="83"/>
      <c r="CMX86" s="83"/>
      <c r="CNH86" s="83"/>
      <c r="CNR86" s="83"/>
      <c r="COB86" s="83"/>
      <c r="COL86" s="83"/>
      <c r="COV86" s="83"/>
      <c r="CPF86" s="83"/>
      <c r="CPP86" s="83"/>
      <c r="CPZ86" s="83"/>
      <c r="CQJ86" s="83"/>
      <c r="CQT86" s="83"/>
      <c r="CRD86" s="83"/>
      <c r="CRN86" s="83"/>
      <c r="CRX86" s="83"/>
      <c r="CSH86" s="83"/>
      <c r="CSR86" s="83"/>
      <c r="CTB86" s="83"/>
      <c r="CTL86" s="83"/>
      <c r="CTV86" s="83"/>
    </row>
    <row r="87" s="58" customFormat="1" customHeight="1" spans="1:1020 1030:2040 2050:2570">
      <c r="A87" s="79">
        <v>46152</v>
      </c>
      <c r="B87" s="80" t="s">
        <v>22</v>
      </c>
      <c r="C87" s="38" t="s">
        <v>23</v>
      </c>
      <c r="D87" s="75">
        <v>652376644</v>
      </c>
      <c r="E87" s="84" t="s">
        <v>51</v>
      </c>
      <c r="F87" s="75" t="str">
        <f>VLOOKUP(E87,[8]基础数据!E:H,2,0)</f>
        <v>LP-BSU051-AA_V100_TI_32A1_HW_三防漆双面916_019</v>
      </c>
      <c r="G87" s="75">
        <v>1152</v>
      </c>
      <c r="H87" s="75" t="str">
        <f>VLOOKUP(E87,[8]基础数据!E:H,4,0)</f>
        <v>料盒</v>
      </c>
      <c r="I87" s="75">
        <f>VLOOKUP(E87,[8]基础数据!E:G,3,0)</f>
        <v>36</v>
      </c>
      <c r="J87" s="75" t="s">
        <v>306</v>
      </c>
      <c r="K87" s="82">
        <f t="shared" si="1"/>
        <v>32</v>
      </c>
      <c r="T87" s="83"/>
      <c r="AD87" s="83"/>
      <c r="AN87" s="83"/>
      <c r="AX87" s="83"/>
      <c r="BH87" s="83"/>
      <c r="BR87" s="83"/>
      <c r="CB87" s="83"/>
      <c r="CL87" s="83"/>
      <c r="CV87" s="83"/>
      <c r="DF87" s="83"/>
      <c r="DP87" s="83"/>
      <c r="DZ87" s="83"/>
      <c r="EJ87" s="83"/>
      <c r="ET87" s="83"/>
      <c r="FD87" s="83"/>
      <c r="FN87" s="83"/>
      <c r="FX87" s="83"/>
      <c r="GH87" s="83"/>
      <c r="GR87" s="83"/>
      <c r="HB87" s="83"/>
      <c r="HL87" s="83"/>
      <c r="HV87" s="83"/>
      <c r="IF87" s="83"/>
      <c r="IP87" s="83"/>
      <c r="IZ87" s="83"/>
      <c r="JJ87" s="83"/>
      <c r="JT87" s="83"/>
      <c r="KD87" s="83"/>
      <c r="KN87" s="83"/>
      <c r="KX87" s="83"/>
      <c r="LH87" s="83"/>
      <c r="LR87" s="83"/>
      <c r="MB87" s="83"/>
      <c r="ML87" s="83"/>
      <c r="MV87" s="83"/>
      <c r="NF87" s="83"/>
      <c r="NP87" s="83"/>
      <c r="NZ87" s="83"/>
      <c r="OJ87" s="83"/>
      <c r="OT87" s="83"/>
      <c r="PD87" s="83"/>
      <c r="PN87" s="83"/>
      <c r="PX87" s="83"/>
      <c r="QH87" s="83"/>
      <c r="QR87" s="83"/>
      <c r="RB87" s="83"/>
      <c r="RL87" s="83"/>
      <c r="RV87" s="83"/>
      <c r="SF87" s="83"/>
      <c r="SP87" s="83"/>
      <c r="SZ87" s="83"/>
      <c r="TJ87" s="83"/>
      <c r="TT87" s="83"/>
      <c r="UD87" s="83"/>
      <c r="UN87" s="83"/>
      <c r="UX87" s="83"/>
      <c r="VH87" s="83"/>
      <c r="VR87" s="83"/>
      <c r="WB87" s="83"/>
      <c r="WL87" s="83"/>
      <c r="WV87" s="83"/>
      <c r="XF87" s="83"/>
      <c r="XP87" s="83"/>
      <c r="XZ87" s="83"/>
      <c r="YJ87" s="83"/>
      <c r="YT87" s="83"/>
      <c r="ZD87" s="83"/>
      <c r="ZN87" s="83"/>
      <c r="ZX87" s="83"/>
      <c r="AAH87" s="83"/>
      <c r="AAR87" s="83"/>
      <c r="ABB87" s="83"/>
      <c r="ABL87" s="83"/>
      <c r="ABV87" s="83"/>
      <c r="ACF87" s="83"/>
      <c r="ACP87" s="83"/>
      <c r="ACZ87" s="83"/>
      <c r="ADJ87" s="83"/>
      <c r="ADT87" s="83"/>
      <c r="AED87" s="83"/>
      <c r="AEN87" s="83"/>
      <c r="AEX87" s="83"/>
      <c r="AFH87" s="83"/>
      <c r="AFR87" s="83"/>
      <c r="AGB87" s="83"/>
      <c r="AGL87" s="83"/>
      <c r="AGV87" s="83"/>
      <c r="AHF87" s="83"/>
      <c r="AHP87" s="83"/>
      <c r="AHZ87" s="83"/>
      <c r="AIJ87" s="83"/>
      <c r="AIT87" s="83"/>
      <c r="AJD87" s="83"/>
      <c r="AJN87" s="83"/>
      <c r="AJX87" s="83"/>
      <c r="AKH87" s="83"/>
      <c r="AKR87" s="83"/>
      <c r="ALB87" s="83"/>
      <c r="ALL87" s="83"/>
      <c r="ALV87" s="83"/>
      <c r="AMF87" s="83"/>
      <c r="AMP87" s="83"/>
      <c r="AMZ87" s="83"/>
      <c r="ANJ87" s="83"/>
      <c r="ANT87" s="83"/>
      <c r="AOD87" s="83"/>
      <c r="AON87" s="83"/>
      <c r="AOX87" s="83"/>
      <c r="APH87" s="83"/>
      <c r="APR87" s="83"/>
      <c r="AQB87" s="83"/>
      <c r="AQL87" s="83"/>
      <c r="AQV87" s="83"/>
      <c r="ARF87" s="83"/>
      <c r="ARP87" s="83"/>
      <c r="ARZ87" s="83"/>
      <c r="ASJ87" s="83"/>
      <c r="AST87" s="83"/>
      <c r="ATD87" s="83"/>
      <c r="ATN87" s="83"/>
      <c r="ATX87" s="83"/>
      <c r="AUH87" s="83"/>
      <c r="AUR87" s="83"/>
      <c r="AVB87" s="83"/>
      <c r="AVL87" s="83"/>
      <c r="AVV87" s="83"/>
      <c r="AWF87" s="83"/>
      <c r="AWP87" s="83"/>
      <c r="AWZ87" s="83"/>
      <c r="AXJ87" s="83"/>
      <c r="AXT87" s="83"/>
      <c r="AYD87" s="83"/>
      <c r="AYN87" s="83"/>
      <c r="AYX87" s="83"/>
      <c r="AZH87" s="83"/>
      <c r="AZR87" s="83"/>
      <c r="BAB87" s="83"/>
      <c r="BAL87" s="83"/>
      <c r="BAV87" s="83"/>
      <c r="BBF87" s="83"/>
      <c r="BBP87" s="83"/>
      <c r="BBZ87" s="83"/>
      <c r="BCJ87" s="83"/>
      <c r="BCT87" s="83"/>
      <c r="BDD87" s="83"/>
      <c r="BDN87" s="83"/>
      <c r="BDX87" s="83"/>
      <c r="BEH87" s="83"/>
      <c r="BER87" s="83"/>
      <c r="BFB87" s="83"/>
      <c r="BFL87" s="83"/>
      <c r="BFV87" s="83"/>
      <c r="BGF87" s="83"/>
      <c r="BGP87" s="83"/>
      <c r="BGZ87" s="83"/>
      <c r="BHJ87" s="83"/>
      <c r="BHT87" s="83"/>
      <c r="BID87" s="83"/>
      <c r="BIN87" s="83"/>
      <c r="BIX87" s="83"/>
      <c r="BJH87" s="83"/>
      <c r="BJR87" s="83"/>
      <c r="BKB87" s="83"/>
      <c r="BKL87" s="83"/>
      <c r="BKV87" s="83"/>
      <c r="BLF87" s="83"/>
      <c r="BLP87" s="83"/>
      <c r="BLZ87" s="83"/>
      <c r="BMJ87" s="83"/>
      <c r="BMT87" s="83"/>
      <c r="BND87" s="83"/>
      <c r="BNN87" s="83"/>
      <c r="BNX87" s="83"/>
      <c r="BOH87" s="83"/>
      <c r="BOR87" s="83"/>
      <c r="BPB87" s="83"/>
      <c r="BPL87" s="83"/>
      <c r="BPV87" s="83"/>
      <c r="BQF87" s="83"/>
      <c r="BQP87" s="83"/>
      <c r="BQZ87" s="83"/>
      <c r="BRJ87" s="83"/>
      <c r="BRT87" s="83"/>
      <c r="BSD87" s="83"/>
      <c r="BSN87" s="83"/>
      <c r="BSX87" s="83"/>
      <c r="BTH87" s="83"/>
      <c r="BTR87" s="83"/>
      <c r="BUB87" s="83"/>
      <c r="BUL87" s="83"/>
      <c r="BUV87" s="83"/>
      <c r="BVF87" s="83"/>
      <c r="BVP87" s="83"/>
      <c r="BVZ87" s="83"/>
      <c r="BWJ87" s="83"/>
      <c r="BWT87" s="83"/>
      <c r="BXD87" s="83"/>
      <c r="BXN87" s="83"/>
      <c r="BXX87" s="83"/>
      <c r="BYH87" s="83"/>
      <c r="BYR87" s="83"/>
      <c r="BZB87" s="83"/>
      <c r="BZL87" s="83"/>
      <c r="BZV87" s="83"/>
      <c r="CAF87" s="83"/>
      <c r="CAP87" s="83"/>
      <c r="CAZ87" s="83"/>
      <c r="CBJ87" s="83"/>
      <c r="CBT87" s="83"/>
      <c r="CCD87" s="83"/>
      <c r="CCN87" s="83"/>
      <c r="CCX87" s="83"/>
      <c r="CDH87" s="83"/>
      <c r="CDR87" s="83"/>
      <c r="CEB87" s="83"/>
      <c r="CEL87" s="83"/>
      <c r="CEV87" s="83"/>
      <c r="CFF87" s="83"/>
      <c r="CFP87" s="83"/>
      <c r="CFZ87" s="83"/>
      <c r="CGJ87" s="83"/>
      <c r="CGT87" s="83"/>
      <c r="CHD87" s="83"/>
      <c r="CHN87" s="83"/>
      <c r="CHX87" s="83"/>
      <c r="CIH87" s="83"/>
      <c r="CIR87" s="83"/>
      <c r="CJB87" s="83"/>
      <c r="CJL87" s="83"/>
      <c r="CJV87" s="83"/>
      <c r="CKF87" s="83"/>
      <c r="CKP87" s="83"/>
      <c r="CKZ87" s="83"/>
      <c r="CLJ87" s="83"/>
      <c r="CLT87" s="83"/>
      <c r="CMD87" s="83"/>
      <c r="CMN87" s="83"/>
      <c r="CMX87" s="83"/>
      <c r="CNH87" s="83"/>
      <c r="CNR87" s="83"/>
      <c r="COB87" s="83"/>
      <c r="COL87" s="83"/>
      <c r="COV87" s="83"/>
      <c r="CPF87" s="83"/>
      <c r="CPP87" s="83"/>
      <c r="CPZ87" s="83"/>
      <c r="CQJ87" s="83"/>
      <c r="CQT87" s="83"/>
      <c r="CRD87" s="83"/>
      <c r="CRN87" s="83"/>
      <c r="CRX87" s="83"/>
      <c r="CSH87" s="83"/>
      <c r="CSR87" s="83"/>
      <c r="CTB87" s="83"/>
      <c r="CTL87" s="83"/>
      <c r="CTV87" s="83"/>
    </row>
    <row r="88" s="58" customFormat="1" customHeight="1" spans="1:1020 1030:2040 2050:2570">
      <c r="A88" s="79">
        <v>46152</v>
      </c>
      <c r="B88" s="80" t="s">
        <v>22</v>
      </c>
      <c r="C88" s="38" t="s">
        <v>23</v>
      </c>
      <c r="D88" s="75">
        <v>652377471</v>
      </c>
      <c r="E88" s="84" t="s">
        <v>111</v>
      </c>
      <c r="F88" s="75" t="str">
        <f>VLOOKUP(E88,[8]基础数据!E:H,2,0)</f>
        <v>LS-CCUM001-AA-V1.06 三防漆双面 908_067</v>
      </c>
      <c r="G88" s="75">
        <v>640</v>
      </c>
      <c r="H88" s="75" t="str">
        <f>VLOOKUP(E88,[8]基础数据!E:H,4,0)</f>
        <v>料盒</v>
      </c>
      <c r="I88" s="75">
        <f>VLOOKUP(E88,[8]基础数据!E:G,3,0)</f>
        <v>8</v>
      </c>
      <c r="J88" s="75" t="s">
        <v>306</v>
      </c>
      <c r="K88" s="82">
        <f t="shared" si="1"/>
        <v>80</v>
      </c>
      <c r="T88" s="83"/>
      <c r="AD88" s="83"/>
      <c r="AN88" s="83"/>
      <c r="AX88" s="83"/>
      <c r="BH88" s="83"/>
      <c r="BR88" s="83"/>
      <c r="CB88" s="83"/>
      <c r="CL88" s="83"/>
      <c r="CV88" s="83"/>
      <c r="DF88" s="83"/>
      <c r="DP88" s="83"/>
      <c r="DZ88" s="83"/>
      <c r="EJ88" s="83"/>
      <c r="ET88" s="83"/>
      <c r="FD88" s="83"/>
      <c r="FN88" s="83"/>
      <c r="FX88" s="83"/>
      <c r="GH88" s="83"/>
      <c r="GR88" s="83"/>
      <c r="HB88" s="83"/>
      <c r="HL88" s="83"/>
      <c r="HV88" s="83"/>
      <c r="IF88" s="83"/>
      <c r="IP88" s="83"/>
      <c r="IZ88" s="83"/>
      <c r="JJ88" s="83"/>
      <c r="JT88" s="83"/>
      <c r="KD88" s="83"/>
      <c r="KN88" s="83"/>
      <c r="KX88" s="83"/>
      <c r="LH88" s="83"/>
      <c r="LR88" s="83"/>
      <c r="MB88" s="83"/>
      <c r="ML88" s="83"/>
      <c r="MV88" s="83"/>
      <c r="NF88" s="83"/>
      <c r="NP88" s="83"/>
      <c r="NZ88" s="83"/>
      <c r="OJ88" s="83"/>
      <c r="OT88" s="83"/>
      <c r="PD88" s="83"/>
      <c r="PN88" s="83"/>
      <c r="PX88" s="83"/>
      <c r="QH88" s="83"/>
      <c r="QR88" s="83"/>
      <c r="RB88" s="83"/>
      <c r="RL88" s="83"/>
      <c r="RV88" s="83"/>
      <c r="SF88" s="83"/>
      <c r="SP88" s="83"/>
      <c r="SZ88" s="83"/>
      <c r="TJ88" s="83"/>
      <c r="TT88" s="83"/>
      <c r="UD88" s="83"/>
      <c r="UN88" s="83"/>
      <c r="UX88" s="83"/>
      <c r="VH88" s="83"/>
      <c r="VR88" s="83"/>
      <c r="WB88" s="83"/>
      <c r="WL88" s="83"/>
      <c r="WV88" s="83"/>
      <c r="XF88" s="83"/>
      <c r="XP88" s="83"/>
      <c r="XZ88" s="83"/>
      <c r="YJ88" s="83"/>
      <c r="YT88" s="83"/>
      <c r="ZD88" s="83"/>
      <c r="ZN88" s="83"/>
      <c r="ZX88" s="83"/>
      <c r="AAH88" s="83"/>
      <c r="AAR88" s="83"/>
      <c r="ABB88" s="83"/>
      <c r="ABL88" s="83"/>
      <c r="ABV88" s="83"/>
      <c r="ACF88" s="83"/>
      <c r="ACP88" s="83"/>
      <c r="ACZ88" s="83"/>
      <c r="ADJ88" s="83"/>
      <c r="ADT88" s="83"/>
      <c r="AED88" s="83"/>
      <c r="AEN88" s="83"/>
      <c r="AEX88" s="83"/>
      <c r="AFH88" s="83"/>
      <c r="AFR88" s="83"/>
      <c r="AGB88" s="83"/>
      <c r="AGL88" s="83"/>
      <c r="AGV88" s="83"/>
      <c r="AHF88" s="83"/>
      <c r="AHP88" s="83"/>
      <c r="AHZ88" s="83"/>
      <c r="AIJ88" s="83"/>
      <c r="AIT88" s="83"/>
      <c r="AJD88" s="83"/>
      <c r="AJN88" s="83"/>
      <c r="AJX88" s="83"/>
      <c r="AKH88" s="83"/>
      <c r="AKR88" s="83"/>
      <c r="ALB88" s="83"/>
      <c r="ALL88" s="83"/>
      <c r="ALV88" s="83"/>
      <c r="AMF88" s="83"/>
      <c r="AMP88" s="83"/>
      <c r="AMZ88" s="83"/>
      <c r="ANJ88" s="83"/>
      <c r="ANT88" s="83"/>
      <c r="AOD88" s="83"/>
      <c r="AON88" s="83"/>
      <c r="AOX88" s="83"/>
      <c r="APH88" s="83"/>
      <c r="APR88" s="83"/>
      <c r="AQB88" s="83"/>
      <c r="AQL88" s="83"/>
      <c r="AQV88" s="83"/>
      <c r="ARF88" s="83"/>
      <c r="ARP88" s="83"/>
      <c r="ARZ88" s="83"/>
      <c r="ASJ88" s="83"/>
      <c r="AST88" s="83"/>
      <c r="ATD88" s="83"/>
      <c r="ATN88" s="83"/>
      <c r="ATX88" s="83"/>
      <c r="AUH88" s="83"/>
      <c r="AUR88" s="83"/>
      <c r="AVB88" s="83"/>
      <c r="AVL88" s="83"/>
      <c r="AVV88" s="83"/>
      <c r="AWF88" s="83"/>
      <c r="AWP88" s="83"/>
      <c r="AWZ88" s="83"/>
      <c r="AXJ88" s="83"/>
      <c r="AXT88" s="83"/>
      <c r="AYD88" s="83"/>
      <c r="AYN88" s="83"/>
      <c r="AYX88" s="83"/>
      <c r="AZH88" s="83"/>
      <c r="AZR88" s="83"/>
      <c r="BAB88" s="83"/>
      <c r="BAL88" s="83"/>
      <c r="BAV88" s="83"/>
      <c r="BBF88" s="83"/>
      <c r="BBP88" s="83"/>
      <c r="BBZ88" s="83"/>
      <c r="BCJ88" s="83"/>
      <c r="BCT88" s="83"/>
      <c r="BDD88" s="83"/>
      <c r="BDN88" s="83"/>
      <c r="BDX88" s="83"/>
      <c r="BEH88" s="83"/>
      <c r="BER88" s="83"/>
      <c r="BFB88" s="83"/>
      <c r="BFL88" s="83"/>
      <c r="BFV88" s="83"/>
      <c r="BGF88" s="83"/>
      <c r="BGP88" s="83"/>
      <c r="BGZ88" s="83"/>
      <c r="BHJ88" s="83"/>
      <c r="BHT88" s="83"/>
      <c r="BID88" s="83"/>
      <c r="BIN88" s="83"/>
      <c r="BIX88" s="83"/>
      <c r="BJH88" s="83"/>
      <c r="BJR88" s="83"/>
      <c r="BKB88" s="83"/>
      <c r="BKL88" s="83"/>
      <c r="BKV88" s="83"/>
      <c r="BLF88" s="83"/>
      <c r="BLP88" s="83"/>
      <c r="BLZ88" s="83"/>
      <c r="BMJ88" s="83"/>
      <c r="BMT88" s="83"/>
      <c r="BND88" s="83"/>
      <c r="BNN88" s="83"/>
      <c r="BNX88" s="83"/>
      <c r="BOH88" s="83"/>
      <c r="BOR88" s="83"/>
      <c r="BPB88" s="83"/>
      <c r="BPL88" s="83"/>
      <c r="BPV88" s="83"/>
      <c r="BQF88" s="83"/>
      <c r="BQP88" s="83"/>
      <c r="BQZ88" s="83"/>
      <c r="BRJ88" s="83"/>
      <c r="BRT88" s="83"/>
      <c r="BSD88" s="83"/>
      <c r="BSN88" s="83"/>
      <c r="BSX88" s="83"/>
      <c r="BTH88" s="83"/>
      <c r="BTR88" s="83"/>
      <c r="BUB88" s="83"/>
      <c r="BUL88" s="83"/>
      <c r="BUV88" s="83"/>
      <c r="BVF88" s="83"/>
      <c r="BVP88" s="83"/>
      <c r="BVZ88" s="83"/>
      <c r="BWJ88" s="83"/>
      <c r="BWT88" s="83"/>
      <c r="BXD88" s="83"/>
      <c r="BXN88" s="83"/>
      <c r="BXX88" s="83"/>
      <c r="BYH88" s="83"/>
      <c r="BYR88" s="83"/>
      <c r="BZB88" s="83"/>
      <c r="BZL88" s="83"/>
      <c r="BZV88" s="83"/>
      <c r="CAF88" s="83"/>
      <c r="CAP88" s="83"/>
      <c r="CAZ88" s="83"/>
      <c r="CBJ88" s="83"/>
      <c r="CBT88" s="83"/>
      <c r="CCD88" s="83"/>
      <c r="CCN88" s="83"/>
      <c r="CCX88" s="83"/>
      <c r="CDH88" s="83"/>
      <c r="CDR88" s="83"/>
      <c r="CEB88" s="83"/>
      <c r="CEL88" s="83"/>
      <c r="CEV88" s="83"/>
      <c r="CFF88" s="83"/>
      <c r="CFP88" s="83"/>
      <c r="CFZ88" s="83"/>
      <c r="CGJ88" s="83"/>
      <c r="CGT88" s="83"/>
      <c r="CHD88" s="83"/>
      <c r="CHN88" s="83"/>
      <c r="CHX88" s="83"/>
      <c r="CIH88" s="83"/>
      <c r="CIR88" s="83"/>
      <c r="CJB88" s="83"/>
      <c r="CJL88" s="83"/>
      <c r="CJV88" s="83"/>
      <c r="CKF88" s="83"/>
      <c r="CKP88" s="83"/>
      <c r="CKZ88" s="83"/>
      <c r="CLJ88" s="83"/>
      <c r="CLT88" s="83"/>
      <c r="CMD88" s="83"/>
      <c r="CMN88" s="83"/>
      <c r="CMX88" s="83"/>
      <c r="CNH88" s="83"/>
      <c r="CNR88" s="83"/>
      <c r="COB88" s="83"/>
      <c r="COL88" s="83"/>
      <c r="COV88" s="83"/>
      <c r="CPF88" s="83"/>
      <c r="CPP88" s="83"/>
      <c r="CPZ88" s="83"/>
      <c r="CQJ88" s="83"/>
      <c r="CQT88" s="83"/>
      <c r="CRD88" s="83"/>
      <c r="CRN88" s="83"/>
      <c r="CRX88" s="83"/>
      <c r="CSH88" s="83"/>
      <c r="CSR88" s="83"/>
      <c r="CTB88" s="83"/>
      <c r="CTL88" s="83"/>
      <c r="CTV88" s="83"/>
    </row>
    <row r="89" s="58" customFormat="1" customHeight="1" spans="1:1020 1030:2040 2050:2570">
      <c r="A89" s="79">
        <v>46152</v>
      </c>
      <c r="B89" s="80" t="s">
        <v>22</v>
      </c>
      <c r="C89" s="38" t="s">
        <v>23</v>
      </c>
      <c r="D89" s="75">
        <v>652377471</v>
      </c>
      <c r="E89" s="84" t="s">
        <v>90</v>
      </c>
      <c r="F89" s="75" t="str">
        <f>VLOOKUP(E89,[8]基础数据!E:H,2,0)</f>
        <v>LS-CCUB001-AA-DM2-V1.03 三防漆单面 931_007</v>
      </c>
      <c r="G89" s="75">
        <v>720</v>
      </c>
      <c r="H89" s="75" t="str">
        <f>VLOOKUP(E89,[8]基础数据!E:H,4,0)</f>
        <v>料盒</v>
      </c>
      <c r="I89" s="75">
        <f>VLOOKUP(E89,[8]基础数据!E:G,3,0)</f>
        <v>24</v>
      </c>
      <c r="J89" s="75" t="s">
        <v>306</v>
      </c>
      <c r="K89" s="82">
        <f t="shared" si="1"/>
        <v>30</v>
      </c>
      <c r="T89" s="83"/>
      <c r="AD89" s="83"/>
      <c r="AN89" s="83"/>
      <c r="AX89" s="83"/>
      <c r="BH89" s="83"/>
      <c r="BR89" s="83"/>
      <c r="CB89" s="83"/>
      <c r="CL89" s="83"/>
      <c r="CV89" s="83"/>
      <c r="DF89" s="83"/>
      <c r="DP89" s="83"/>
      <c r="DZ89" s="83"/>
      <c r="EJ89" s="83"/>
      <c r="ET89" s="83"/>
      <c r="FD89" s="83"/>
      <c r="FN89" s="83"/>
      <c r="FX89" s="83"/>
      <c r="GH89" s="83"/>
      <c r="GR89" s="83"/>
      <c r="HB89" s="83"/>
      <c r="HL89" s="83"/>
      <c r="HV89" s="83"/>
      <c r="IF89" s="83"/>
      <c r="IP89" s="83"/>
      <c r="IZ89" s="83"/>
      <c r="JJ89" s="83"/>
      <c r="JT89" s="83"/>
      <c r="KD89" s="83"/>
      <c r="KN89" s="83"/>
      <c r="KX89" s="83"/>
      <c r="LH89" s="83"/>
      <c r="LR89" s="83"/>
      <c r="MB89" s="83"/>
      <c r="ML89" s="83"/>
      <c r="MV89" s="83"/>
      <c r="NF89" s="83"/>
      <c r="NP89" s="83"/>
      <c r="NZ89" s="83"/>
      <c r="OJ89" s="83"/>
      <c r="OT89" s="83"/>
      <c r="PD89" s="83"/>
      <c r="PN89" s="83"/>
      <c r="PX89" s="83"/>
      <c r="QH89" s="83"/>
      <c r="QR89" s="83"/>
      <c r="RB89" s="83"/>
      <c r="RL89" s="83"/>
      <c r="RV89" s="83"/>
      <c r="SF89" s="83"/>
      <c r="SP89" s="83"/>
      <c r="SZ89" s="83"/>
      <c r="TJ89" s="83"/>
      <c r="TT89" s="83"/>
      <c r="UD89" s="83"/>
      <c r="UN89" s="83"/>
      <c r="UX89" s="83"/>
      <c r="VH89" s="83"/>
      <c r="VR89" s="83"/>
      <c r="WB89" s="83"/>
      <c r="WL89" s="83"/>
      <c r="WV89" s="83"/>
      <c r="XF89" s="83"/>
      <c r="XP89" s="83"/>
      <c r="XZ89" s="83"/>
      <c r="YJ89" s="83"/>
      <c r="YT89" s="83"/>
      <c r="ZD89" s="83"/>
      <c r="ZN89" s="83"/>
      <c r="ZX89" s="83"/>
      <c r="AAH89" s="83"/>
      <c r="AAR89" s="83"/>
      <c r="ABB89" s="83"/>
      <c r="ABL89" s="83"/>
      <c r="ABV89" s="83"/>
      <c r="ACF89" s="83"/>
      <c r="ACP89" s="83"/>
      <c r="ACZ89" s="83"/>
      <c r="ADJ89" s="83"/>
      <c r="ADT89" s="83"/>
      <c r="AED89" s="83"/>
      <c r="AEN89" s="83"/>
      <c r="AEX89" s="83"/>
      <c r="AFH89" s="83"/>
      <c r="AFR89" s="83"/>
      <c r="AGB89" s="83"/>
      <c r="AGL89" s="83"/>
      <c r="AGV89" s="83"/>
      <c r="AHF89" s="83"/>
      <c r="AHP89" s="83"/>
      <c r="AHZ89" s="83"/>
      <c r="AIJ89" s="83"/>
      <c r="AIT89" s="83"/>
      <c r="AJD89" s="83"/>
      <c r="AJN89" s="83"/>
      <c r="AJX89" s="83"/>
      <c r="AKH89" s="83"/>
      <c r="AKR89" s="83"/>
      <c r="ALB89" s="83"/>
      <c r="ALL89" s="83"/>
      <c r="ALV89" s="83"/>
      <c r="AMF89" s="83"/>
      <c r="AMP89" s="83"/>
      <c r="AMZ89" s="83"/>
      <c r="ANJ89" s="83"/>
      <c r="ANT89" s="83"/>
      <c r="AOD89" s="83"/>
      <c r="AON89" s="83"/>
      <c r="AOX89" s="83"/>
      <c r="APH89" s="83"/>
      <c r="APR89" s="83"/>
      <c r="AQB89" s="83"/>
      <c r="AQL89" s="83"/>
      <c r="AQV89" s="83"/>
      <c r="ARF89" s="83"/>
      <c r="ARP89" s="83"/>
      <c r="ARZ89" s="83"/>
      <c r="ASJ89" s="83"/>
      <c r="AST89" s="83"/>
      <c r="ATD89" s="83"/>
      <c r="ATN89" s="83"/>
      <c r="ATX89" s="83"/>
      <c r="AUH89" s="83"/>
      <c r="AUR89" s="83"/>
      <c r="AVB89" s="83"/>
      <c r="AVL89" s="83"/>
      <c r="AVV89" s="83"/>
      <c r="AWF89" s="83"/>
      <c r="AWP89" s="83"/>
      <c r="AWZ89" s="83"/>
      <c r="AXJ89" s="83"/>
      <c r="AXT89" s="83"/>
      <c r="AYD89" s="83"/>
      <c r="AYN89" s="83"/>
      <c r="AYX89" s="83"/>
      <c r="AZH89" s="83"/>
      <c r="AZR89" s="83"/>
      <c r="BAB89" s="83"/>
      <c r="BAL89" s="83"/>
      <c r="BAV89" s="83"/>
      <c r="BBF89" s="83"/>
      <c r="BBP89" s="83"/>
      <c r="BBZ89" s="83"/>
      <c r="BCJ89" s="83"/>
      <c r="BCT89" s="83"/>
      <c r="BDD89" s="83"/>
      <c r="BDN89" s="83"/>
      <c r="BDX89" s="83"/>
      <c r="BEH89" s="83"/>
      <c r="BER89" s="83"/>
      <c r="BFB89" s="83"/>
      <c r="BFL89" s="83"/>
      <c r="BFV89" s="83"/>
      <c r="BGF89" s="83"/>
      <c r="BGP89" s="83"/>
      <c r="BGZ89" s="83"/>
      <c r="BHJ89" s="83"/>
      <c r="BHT89" s="83"/>
      <c r="BID89" s="83"/>
      <c r="BIN89" s="83"/>
      <c r="BIX89" s="83"/>
      <c r="BJH89" s="83"/>
      <c r="BJR89" s="83"/>
      <c r="BKB89" s="83"/>
      <c r="BKL89" s="83"/>
      <c r="BKV89" s="83"/>
      <c r="BLF89" s="83"/>
      <c r="BLP89" s="83"/>
      <c r="BLZ89" s="83"/>
      <c r="BMJ89" s="83"/>
      <c r="BMT89" s="83"/>
      <c r="BND89" s="83"/>
      <c r="BNN89" s="83"/>
      <c r="BNX89" s="83"/>
      <c r="BOH89" s="83"/>
      <c r="BOR89" s="83"/>
      <c r="BPB89" s="83"/>
      <c r="BPL89" s="83"/>
      <c r="BPV89" s="83"/>
      <c r="BQF89" s="83"/>
      <c r="BQP89" s="83"/>
      <c r="BQZ89" s="83"/>
      <c r="BRJ89" s="83"/>
      <c r="BRT89" s="83"/>
      <c r="BSD89" s="83"/>
      <c r="BSN89" s="83"/>
      <c r="BSX89" s="83"/>
      <c r="BTH89" s="83"/>
      <c r="BTR89" s="83"/>
      <c r="BUB89" s="83"/>
      <c r="BUL89" s="83"/>
      <c r="BUV89" s="83"/>
      <c r="BVF89" s="83"/>
      <c r="BVP89" s="83"/>
      <c r="BVZ89" s="83"/>
      <c r="BWJ89" s="83"/>
      <c r="BWT89" s="83"/>
      <c r="BXD89" s="83"/>
      <c r="BXN89" s="83"/>
      <c r="BXX89" s="83"/>
      <c r="BYH89" s="83"/>
      <c r="BYR89" s="83"/>
      <c r="BZB89" s="83"/>
      <c r="BZL89" s="83"/>
      <c r="BZV89" s="83"/>
      <c r="CAF89" s="83"/>
      <c r="CAP89" s="83"/>
      <c r="CAZ89" s="83"/>
      <c r="CBJ89" s="83"/>
      <c r="CBT89" s="83"/>
      <c r="CCD89" s="83"/>
      <c r="CCN89" s="83"/>
      <c r="CCX89" s="83"/>
      <c r="CDH89" s="83"/>
      <c r="CDR89" s="83"/>
      <c r="CEB89" s="83"/>
      <c r="CEL89" s="83"/>
      <c r="CEV89" s="83"/>
      <c r="CFF89" s="83"/>
      <c r="CFP89" s="83"/>
      <c r="CFZ89" s="83"/>
      <c r="CGJ89" s="83"/>
      <c r="CGT89" s="83"/>
      <c r="CHD89" s="83"/>
      <c r="CHN89" s="83"/>
      <c r="CHX89" s="83"/>
      <c r="CIH89" s="83"/>
      <c r="CIR89" s="83"/>
      <c r="CJB89" s="83"/>
      <c r="CJL89" s="83"/>
      <c r="CJV89" s="83"/>
      <c r="CKF89" s="83"/>
      <c r="CKP89" s="83"/>
      <c r="CKZ89" s="83"/>
      <c r="CLJ89" s="83"/>
      <c r="CLT89" s="83"/>
      <c r="CMD89" s="83"/>
      <c r="CMN89" s="83"/>
      <c r="CMX89" s="83"/>
      <c r="CNH89" s="83"/>
      <c r="CNR89" s="83"/>
      <c r="COB89" s="83"/>
      <c r="COL89" s="83"/>
      <c r="COV89" s="83"/>
      <c r="CPF89" s="83"/>
      <c r="CPP89" s="83"/>
      <c r="CPZ89" s="83"/>
      <c r="CQJ89" s="83"/>
      <c r="CQT89" s="83"/>
      <c r="CRD89" s="83"/>
      <c r="CRN89" s="83"/>
      <c r="CRX89" s="83"/>
      <c r="CSH89" s="83"/>
      <c r="CSR89" s="83"/>
      <c r="CTB89" s="83"/>
      <c r="CTL89" s="83"/>
      <c r="CTV89" s="83"/>
    </row>
    <row r="90" s="58" customFormat="1" customHeight="1" spans="1:1020 1030:2040 2050:2570">
      <c r="A90" s="79">
        <v>46152</v>
      </c>
      <c r="B90" s="80" t="s">
        <v>22</v>
      </c>
      <c r="C90" s="38" t="s">
        <v>23</v>
      </c>
      <c r="D90" s="75">
        <v>652377471</v>
      </c>
      <c r="E90" s="84" t="s">
        <v>87</v>
      </c>
      <c r="F90" s="75" t="str">
        <f>VLOOKUP(E90,[8]基础数据!E:H,2,0)</f>
        <v>LS-CCUC001-AA-DM2-V1.03 三防漆双面 930_010</v>
      </c>
      <c r="G90" s="75">
        <v>864</v>
      </c>
      <c r="H90" s="75" t="str">
        <f>VLOOKUP(E90,[8]基础数据!E:H,4,0)</f>
        <v>料盒</v>
      </c>
      <c r="I90" s="75">
        <f>VLOOKUP(E90,[8]基础数据!E:G,3,0)</f>
        <v>108</v>
      </c>
      <c r="J90" s="75" t="s">
        <v>306</v>
      </c>
      <c r="K90" s="82">
        <f t="shared" si="1"/>
        <v>8</v>
      </c>
      <c r="T90" s="83"/>
      <c r="AD90" s="83"/>
      <c r="AN90" s="83"/>
      <c r="AX90" s="83"/>
      <c r="BH90" s="83"/>
      <c r="BR90" s="83"/>
      <c r="CB90" s="83"/>
      <c r="CL90" s="83"/>
      <c r="CV90" s="83"/>
      <c r="DF90" s="83"/>
      <c r="DP90" s="83"/>
      <c r="DZ90" s="83"/>
      <c r="EJ90" s="83"/>
      <c r="ET90" s="83"/>
      <c r="FD90" s="83"/>
      <c r="FN90" s="83"/>
      <c r="FX90" s="83"/>
      <c r="GH90" s="83"/>
      <c r="GR90" s="83"/>
      <c r="HB90" s="83"/>
      <c r="HL90" s="83"/>
      <c r="HV90" s="83"/>
      <c r="IF90" s="83"/>
      <c r="IP90" s="83"/>
      <c r="IZ90" s="83"/>
      <c r="JJ90" s="83"/>
      <c r="JT90" s="83"/>
      <c r="KD90" s="83"/>
      <c r="KN90" s="83"/>
      <c r="KX90" s="83"/>
      <c r="LH90" s="83"/>
      <c r="LR90" s="83"/>
      <c r="MB90" s="83"/>
      <c r="ML90" s="83"/>
      <c r="MV90" s="83"/>
      <c r="NF90" s="83"/>
      <c r="NP90" s="83"/>
      <c r="NZ90" s="83"/>
      <c r="OJ90" s="83"/>
      <c r="OT90" s="83"/>
      <c r="PD90" s="83"/>
      <c r="PN90" s="83"/>
      <c r="PX90" s="83"/>
      <c r="QH90" s="83"/>
      <c r="QR90" s="83"/>
      <c r="RB90" s="83"/>
      <c r="RL90" s="83"/>
      <c r="RV90" s="83"/>
      <c r="SF90" s="83"/>
      <c r="SP90" s="83"/>
      <c r="SZ90" s="83"/>
      <c r="TJ90" s="83"/>
      <c r="TT90" s="83"/>
      <c r="UD90" s="83"/>
      <c r="UN90" s="83"/>
      <c r="UX90" s="83"/>
      <c r="VH90" s="83"/>
      <c r="VR90" s="83"/>
      <c r="WB90" s="83"/>
      <c r="WL90" s="83"/>
      <c r="WV90" s="83"/>
      <c r="XF90" s="83"/>
      <c r="XP90" s="83"/>
      <c r="XZ90" s="83"/>
      <c r="YJ90" s="83"/>
      <c r="YT90" s="83"/>
      <c r="ZD90" s="83"/>
      <c r="ZN90" s="83"/>
      <c r="ZX90" s="83"/>
      <c r="AAH90" s="83"/>
      <c r="AAR90" s="83"/>
      <c r="ABB90" s="83"/>
      <c r="ABL90" s="83"/>
      <c r="ABV90" s="83"/>
      <c r="ACF90" s="83"/>
      <c r="ACP90" s="83"/>
      <c r="ACZ90" s="83"/>
      <c r="ADJ90" s="83"/>
      <c r="ADT90" s="83"/>
      <c r="AED90" s="83"/>
      <c r="AEN90" s="83"/>
      <c r="AEX90" s="83"/>
      <c r="AFH90" s="83"/>
      <c r="AFR90" s="83"/>
      <c r="AGB90" s="83"/>
      <c r="AGL90" s="83"/>
      <c r="AGV90" s="83"/>
      <c r="AHF90" s="83"/>
      <c r="AHP90" s="83"/>
      <c r="AHZ90" s="83"/>
      <c r="AIJ90" s="83"/>
      <c r="AIT90" s="83"/>
      <c r="AJD90" s="83"/>
      <c r="AJN90" s="83"/>
      <c r="AJX90" s="83"/>
      <c r="AKH90" s="83"/>
      <c r="AKR90" s="83"/>
      <c r="ALB90" s="83"/>
      <c r="ALL90" s="83"/>
      <c r="ALV90" s="83"/>
      <c r="AMF90" s="83"/>
      <c r="AMP90" s="83"/>
      <c r="AMZ90" s="83"/>
      <c r="ANJ90" s="83"/>
      <c r="ANT90" s="83"/>
      <c r="AOD90" s="83"/>
      <c r="AON90" s="83"/>
      <c r="AOX90" s="83"/>
      <c r="APH90" s="83"/>
      <c r="APR90" s="83"/>
      <c r="AQB90" s="83"/>
      <c r="AQL90" s="83"/>
      <c r="AQV90" s="83"/>
      <c r="ARF90" s="83"/>
      <c r="ARP90" s="83"/>
      <c r="ARZ90" s="83"/>
      <c r="ASJ90" s="83"/>
      <c r="AST90" s="83"/>
      <c r="ATD90" s="83"/>
      <c r="ATN90" s="83"/>
      <c r="ATX90" s="83"/>
      <c r="AUH90" s="83"/>
      <c r="AUR90" s="83"/>
      <c r="AVB90" s="83"/>
      <c r="AVL90" s="83"/>
      <c r="AVV90" s="83"/>
      <c r="AWF90" s="83"/>
      <c r="AWP90" s="83"/>
      <c r="AWZ90" s="83"/>
      <c r="AXJ90" s="83"/>
      <c r="AXT90" s="83"/>
      <c r="AYD90" s="83"/>
      <c r="AYN90" s="83"/>
      <c r="AYX90" s="83"/>
      <c r="AZH90" s="83"/>
      <c r="AZR90" s="83"/>
      <c r="BAB90" s="83"/>
      <c r="BAL90" s="83"/>
      <c r="BAV90" s="83"/>
      <c r="BBF90" s="83"/>
      <c r="BBP90" s="83"/>
      <c r="BBZ90" s="83"/>
      <c r="BCJ90" s="83"/>
      <c r="BCT90" s="83"/>
      <c r="BDD90" s="83"/>
      <c r="BDN90" s="83"/>
      <c r="BDX90" s="83"/>
      <c r="BEH90" s="83"/>
      <c r="BER90" s="83"/>
      <c r="BFB90" s="83"/>
      <c r="BFL90" s="83"/>
      <c r="BFV90" s="83"/>
      <c r="BGF90" s="83"/>
      <c r="BGP90" s="83"/>
      <c r="BGZ90" s="83"/>
      <c r="BHJ90" s="83"/>
      <c r="BHT90" s="83"/>
      <c r="BID90" s="83"/>
      <c r="BIN90" s="83"/>
      <c r="BIX90" s="83"/>
      <c r="BJH90" s="83"/>
      <c r="BJR90" s="83"/>
      <c r="BKB90" s="83"/>
      <c r="BKL90" s="83"/>
      <c r="BKV90" s="83"/>
      <c r="BLF90" s="83"/>
      <c r="BLP90" s="83"/>
      <c r="BLZ90" s="83"/>
      <c r="BMJ90" s="83"/>
      <c r="BMT90" s="83"/>
      <c r="BND90" s="83"/>
      <c r="BNN90" s="83"/>
      <c r="BNX90" s="83"/>
      <c r="BOH90" s="83"/>
      <c r="BOR90" s="83"/>
      <c r="BPB90" s="83"/>
      <c r="BPL90" s="83"/>
      <c r="BPV90" s="83"/>
      <c r="BQF90" s="83"/>
      <c r="BQP90" s="83"/>
      <c r="BQZ90" s="83"/>
      <c r="BRJ90" s="83"/>
      <c r="BRT90" s="83"/>
      <c r="BSD90" s="83"/>
      <c r="BSN90" s="83"/>
      <c r="BSX90" s="83"/>
      <c r="BTH90" s="83"/>
      <c r="BTR90" s="83"/>
      <c r="BUB90" s="83"/>
      <c r="BUL90" s="83"/>
      <c r="BUV90" s="83"/>
      <c r="BVF90" s="83"/>
      <c r="BVP90" s="83"/>
      <c r="BVZ90" s="83"/>
      <c r="BWJ90" s="83"/>
      <c r="BWT90" s="83"/>
      <c r="BXD90" s="83"/>
      <c r="BXN90" s="83"/>
      <c r="BXX90" s="83"/>
      <c r="BYH90" s="83"/>
      <c r="BYR90" s="83"/>
      <c r="BZB90" s="83"/>
      <c r="BZL90" s="83"/>
      <c r="BZV90" s="83"/>
      <c r="CAF90" s="83"/>
      <c r="CAP90" s="83"/>
      <c r="CAZ90" s="83"/>
      <c r="CBJ90" s="83"/>
      <c r="CBT90" s="83"/>
      <c r="CCD90" s="83"/>
      <c r="CCN90" s="83"/>
      <c r="CCX90" s="83"/>
      <c r="CDH90" s="83"/>
      <c r="CDR90" s="83"/>
      <c r="CEB90" s="83"/>
      <c r="CEL90" s="83"/>
      <c r="CEV90" s="83"/>
      <c r="CFF90" s="83"/>
      <c r="CFP90" s="83"/>
      <c r="CFZ90" s="83"/>
      <c r="CGJ90" s="83"/>
      <c r="CGT90" s="83"/>
      <c r="CHD90" s="83"/>
      <c r="CHN90" s="83"/>
      <c r="CHX90" s="83"/>
      <c r="CIH90" s="83"/>
      <c r="CIR90" s="83"/>
      <c r="CJB90" s="83"/>
      <c r="CJL90" s="83"/>
      <c r="CJV90" s="83"/>
      <c r="CKF90" s="83"/>
      <c r="CKP90" s="83"/>
      <c r="CKZ90" s="83"/>
      <c r="CLJ90" s="83"/>
      <c r="CLT90" s="83"/>
      <c r="CMD90" s="83"/>
      <c r="CMN90" s="83"/>
      <c r="CMX90" s="83"/>
      <c r="CNH90" s="83"/>
      <c r="CNR90" s="83"/>
      <c r="COB90" s="83"/>
      <c r="COL90" s="83"/>
      <c r="COV90" s="83"/>
      <c r="CPF90" s="83"/>
      <c r="CPP90" s="83"/>
      <c r="CPZ90" s="83"/>
      <c r="CQJ90" s="83"/>
      <c r="CQT90" s="83"/>
      <c r="CRD90" s="83"/>
      <c r="CRN90" s="83"/>
      <c r="CRX90" s="83"/>
      <c r="CSH90" s="83"/>
      <c r="CSR90" s="83"/>
      <c r="CTB90" s="83"/>
      <c r="CTL90" s="83"/>
      <c r="CTV90" s="83"/>
    </row>
    <row r="91" s="58" customFormat="1" customHeight="1" spans="1:1020 1030:2040 2050:2570">
      <c r="A91" s="79">
        <v>46152</v>
      </c>
      <c r="B91" s="80" t="s">
        <v>22</v>
      </c>
      <c r="C91" s="38" t="s">
        <v>23</v>
      </c>
      <c r="D91" s="75">
        <v>652377804</v>
      </c>
      <c r="E91" s="84" t="s">
        <v>54</v>
      </c>
      <c r="F91" s="75" t="str">
        <f>VLOOKUP(E91,[8]基础数据!E:H,2,0)</f>
        <v>LXA12EV10-BSU总成-01</v>
      </c>
      <c r="G91" s="75">
        <v>1280</v>
      </c>
      <c r="H91" s="75" t="str">
        <f>VLOOKUP(E91,[8]基础数据!E:H,4,0)</f>
        <v>料盒</v>
      </c>
      <c r="I91" s="75">
        <f>VLOOKUP(E91,[8]基础数据!E:G,3,0)</f>
        <v>20</v>
      </c>
      <c r="J91" s="75" t="s">
        <v>306</v>
      </c>
      <c r="K91" s="82">
        <f t="shared" si="1"/>
        <v>64</v>
      </c>
      <c r="T91" s="83"/>
      <c r="AD91" s="83"/>
      <c r="AN91" s="83"/>
      <c r="AX91" s="83"/>
      <c r="BH91" s="83"/>
      <c r="BR91" s="83"/>
      <c r="CB91" s="83"/>
      <c r="CL91" s="83"/>
      <c r="CV91" s="83"/>
      <c r="DF91" s="83"/>
      <c r="DP91" s="83"/>
      <c r="DZ91" s="83"/>
      <c r="EJ91" s="83"/>
      <c r="ET91" s="83"/>
      <c r="FD91" s="83"/>
      <c r="FN91" s="83"/>
      <c r="FX91" s="83"/>
      <c r="GH91" s="83"/>
      <c r="GR91" s="83"/>
      <c r="HB91" s="83"/>
      <c r="HL91" s="83"/>
      <c r="HV91" s="83"/>
      <c r="IF91" s="83"/>
      <c r="IP91" s="83"/>
      <c r="IZ91" s="83"/>
      <c r="JJ91" s="83"/>
      <c r="JT91" s="83"/>
      <c r="KD91" s="83"/>
      <c r="KN91" s="83"/>
      <c r="KX91" s="83"/>
      <c r="LH91" s="83"/>
      <c r="LR91" s="83"/>
      <c r="MB91" s="83"/>
      <c r="ML91" s="83"/>
      <c r="MV91" s="83"/>
      <c r="NF91" s="83"/>
      <c r="NP91" s="83"/>
      <c r="NZ91" s="83"/>
      <c r="OJ91" s="83"/>
      <c r="OT91" s="83"/>
      <c r="PD91" s="83"/>
      <c r="PN91" s="83"/>
      <c r="PX91" s="83"/>
      <c r="QH91" s="83"/>
      <c r="QR91" s="83"/>
      <c r="RB91" s="83"/>
      <c r="RL91" s="83"/>
      <c r="RV91" s="83"/>
      <c r="SF91" s="83"/>
      <c r="SP91" s="83"/>
      <c r="SZ91" s="83"/>
      <c r="TJ91" s="83"/>
      <c r="TT91" s="83"/>
      <c r="UD91" s="83"/>
      <c r="UN91" s="83"/>
      <c r="UX91" s="83"/>
      <c r="VH91" s="83"/>
      <c r="VR91" s="83"/>
      <c r="WB91" s="83"/>
      <c r="WL91" s="83"/>
      <c r="WV91" s="83"/>
      <c r="XF91" s="83"/>
      <c r="XP91" s="83"/>
      <c r="XZ91" s="83"/>
      <c r="YJ91" s="83"/>
      <c r="YT91" s="83"/>
      <c r="ZD91" s="83"/>
      <c r="ZN91" s="83"/>
      <c r="ZX91" s="83"/>
      <c r="AAH91" s="83"/>
      <c r="AAR91" s="83"/>
      <c r="ABB91" s="83"/>
      <c r="ABL91" s="83"/>
      <c r="ABV91" s="83"/>
      <c r="ACF91" s="83"/>
      <c r="ACP91" s="83"/>
      <c r="ACZ91" s="83"/>
      <c r="ADJ91" s="83"/>
      <c r="ADT91" s="83"/>
      <c r="AED91" s="83"/>
      <c r="AEN91" s="83"/>
      <c r="AEX91" s="83"/>
      <c r="AFH91" s="83"/>
      <c r="AFR91" s="83"/>
      <c r="AGB91" s="83"/>
      <c r="AGL91" s="83"/>
      <c r="AGV91" s="83"/>
      <c r="AHF91" s="83"/>
      <c r="AHP91" s="83"/>
      <c r="AHZ91" s="83"/>
      <c r="AIJ91" s="83"/>
      <c r="AIT91" s="83"/>
      <c r="AJD91" s="83"/>
      <c r="AJN91" s="83"/>
      <c r="AJX91" s="83"/>
      <c r="AKH91" s="83"/>
      <c r="AKR91" s="83"/>
      <c r="ALB91" s="83"/>
      <c r="ALL91" s="83"/>
      <c r="ALV91" s="83"/>
      <c r="AMF91" s="83"/>
      <c r="AMP91" s="83"/>
      <c r="AMZ91" s="83"/>
      <c r="ANJ91" s="83"/>
      <c r="ANT91" s="83"/>
      <c r="AOD91" s="83"/>
      <c r="AON91" s="83"/>
      <c r="AOX91" s="83"/>
      <c r="APH91" s="83"/>
      <c r="APR91" s="83"/>
      <c r="AQB91" s="83"/>
      <c r="AQL91" s="83"/>
      <c r="AQV91" s="83"/>
      <c r="ARF91" s="83"/>
      <c r="ARP91" s="83"/>
      <c r="ARZ91" s="83"/>
      <c r="ASJ91" s="83"/>
      <c r="AST91" s="83"/>
      <c r="ATD91" s="83"/>
      <c r="ATN91" s="83"/>
      <c r="ATX91" s="83"/>
      <c r="AUH91" s="83"/>
      <c r="AUR91" s="83"/>
      <c r="AVB91" s="83"/>
      <c r="AVL91" s="83"/>
      <c r="AVV91" s="83"/>
      <c r="AWF91" s="83"/>
      <c r="AWP91" s="83"/>
      <c r="AWZ91" s="83"/>
      <c r="AXJ91" s="83"/>
      <c r="AXT91" s="83"/>
      <c r="AYD91" s="83"/>
      <c r="AYN91" s="83"/>
      <c r="AYX91" s="83"/>
      <c r="AZH91" s="83"/>
      <c r="AZR91" s="83"/>
      <c r="BAB91" s="83"/>
      <c r="BAL91" s="83"/>
      <c r="BAV91" s="83"/>
      <c r="BBF91" s="83"/>
      <c r="BBP91" s="83"/>
      <c r="BBZ91" s="83"/>
      <c r="BCJ91" s="83"/>
      <c r="BCT91" s="83"/>
      <c r="BDD91" s="83"/>
      <c r="BDN91" s="83"/>
      <c r="BDX91" s="83"/>
      <c r="BEH91" s="83"/>
      <c r="BER91" s="83"/>
      <c r="BFB91" s="83"/>
      <c r="BFL91" s="83"/>
      <c r="BFV91" s="83"/>
      <c r="BGF91" s="83"/>
      <c r="BGP91" s="83"/>
      <c r="BGZ91" s="83"/>
      <c r="BHJ91" s="83"/>
      <c r="BHT91" s="83"/>
      <c r="BID91" s="83"/>
      <c r="BIN91" s="83"/>
      <c r="BIX91" s="83"/>
      <c r="BJH91" s="83"/>
      <c r="BJR91" s="83"/>
      <c r="BKB91" s="83"/>
      <c r="BKL91" s="83"/>
      <c r="BKV91" s="83"/>
      <c r="BLF91" s="83"/>
      <c r="BLP91" s="83"/>
      <c r="BLZ91" s="83"/>
      <c r="BMJ91" s="83"/>
      <c r="BMT91" s="83"/>
      <c r="BND91" s="83"/>
      <c r="BNN91" s="83"/>
      <c r="BNX91" s="83"/>
      <c r="BOH91" s="83"/>
      <c r="BOR91" s="83"/>
      <c r="BPB91" s="83"/>
      <c r="BPL91" s="83"/>
      <c r="BPV91" s="83"/>
      <c r="BQF91" s="83"/>
      <c r="BQP91" s="83"/>
      <c r="BQZ91" s="83"/>
      <c r="BRJ91" s="83"/>
      <c r="BRT91" s="83"/>
      <c r="BSD91" s="83"/>
      <c r="BSN91" s="83"/>
      <c r="BSX91" s="83"/>
      <c r="BTH91" s="83"/>
      <c r="BTR91" s="83"/>
      <c r="BUB91" s="83"/>
      <c r="BUL91" s="83"/>
      <c r="BUV91" s="83"/>
      <c r="BVF91" s="83"/>
      <c r="BVP91" s="83"/>
      <c r="BVZ91" s="83"/>
      <c r="BWJ91" s="83"/>
      <c r="BWT91" s="83"/>
      <c r="BXD91" s="83"/>
      <c r="BXN91" s="83"/>
      <c r="BXX91" s="83"/>
      <c r="BYH91" s="83"/>
      <c r="BYR91" s="83"/>
      <c r="BZB91" s="83"/>
      <c r="BZL91" s="83"/>
      <c r="BZV91" s="83"/>
      <c r="CAF91" s="83"/>
      <c r="CAP91" s="83"/>
      <c r="CAZ91" s="83"/>
      <c r="CBJ91" s="83"/>
      <c r="CBT91" s="83"/>
      <c r="CCD91" s="83"/>
      <c r="CCN91" s="83"/>
      <c r="CCX91" s="83"/>
      <c r="CDH91" s="83"/>
      <c r="CDR91" s="83"/>
      <c r="CEB91" s="83"/>
      <c r="CEL91" s="83"/>
      <c r="CEV91" s="83"/>
      <c r="CFF91" s="83"/>
      <c r="CFP91" s="83"/>
      <c r="CFZ91" s="83"/>
      <c r="CGJ91" s="83"/>
      <c r="CGT91" s="83"/>
      <c r="CHD91" s="83"/>
      <c r="CHN91" s="83"/>
      <c r="CHX91" s="83"/>
      <c r="CIH91" s="83"/>
      <c r="CIR91" s="83"/>
      <c r="CJB91" s="83"/>
      <c r="CJL91" s="83"/>
      <c r="CJV91" s="83"/>
      <c r="CKF91" s="83"/>
      <c r="CKP91" s="83"/>
      <c r="CKZ91" s="83"/>
      <c r="CLJ91" s="83"/>
      <c r="CLT91" s="83"/>
      <c r="CMD91" s="83"/>
      <c r="CMN91" s="83"/>
      <c r="CMX91" s="83"/>
      <c r="CNH91" s="83"/>
      <c r="CNR91" s="83"/>
      <c r="COB91" s="83"/>
      <c r="COL91" s="83"/>
      <c r="COV91" s="83"/>
      <c r="CPF91" s="83"/>
      <c r="CPP91" s="83"/>
      <c r="CPZ91" s="83"/>
      <c r="CQJ91" s="83"/>
      <c r="CQT91" s="83"/>
      <c r="CRD91" s="83"/>
      <c r="CRN91" s="83"/>
      <c r="CRX91" s="83"/>
      <c r="CSH91" s="83"/>
      <c r="CSR91" s="83"/>
      <c r="CTB91" s="83"/>
      <c r="CTL91" s="83"/>
      <c r="CTV91" s="83"/>
    </row>
    <row r="92" s="58" customFormat="1" customHeight="1" spans="1:1020 1030:2040 2050:2570">
      <c r="A92" s="79">
        <v>46152</v>
      </c>
      <c r="B92" s="80" t="s">
        <v>22</v>
      </c>
      <c r="C92" s="38" t="s">
        <v>23</v>
      </c>
      <c r="D92" s="75">
        <v>652377804</v>
      </c>
      <c r="E92" s="84" t="s">
        <v>57</v>
      </c>
      <c r="F92" s="75" t="str">
        <f>VLOOKUP(E92,[8]基础数据!E:H,2,0)</f>
        <v>LXA12EV10-BSU总成-02</v>
      </c>
      <c r="G92" s="75">
        <v>1280</v>
      </c>
      <c r="H92" s="75" t="str">
        <f>VLOOKUP(E92,[8]基础数据!E:H,4,0)</f>
        <v>料盒</v>
      </c>
      <c r="I92" s="75">
        <f>VLOOKUP(E92,[8]基础数据!E:G,3,0)</f>
        <v>20</v>
      </c>
      <c r="J92" s="75" t="s">
        <v>306</v>
      </c>
      <c r="K92" s="82">
        <f t="shared" si="1"/>
        <v>64</v>
      </c>
      <c r="T92" s="83"/>
      <c r="AD92" s="83"/>
      <c r="AN92" s="83"/>
      <c r="AX92" s="83"/>
      <c r="BH92" s="83"/>
      <c r="BR92" s="83"/>
      <c r="CB92" s="83"/>
      <c r="CL92" s="83"/>
      <c r="CV92" s="83"/>
      <c r="DF92" s="83"/>
      <c r="DP92" s="83"/>
      <c r="DZ92" s="83"/>
      <c r="EJ92" s="83"/>
      <c r="ET92" s="83"/>
      <c r="FD92" s="83"/>
      <c r="FN92" s="83"/>
      <c r="FX92" s="83"/>
      <c r="GH92" s="83"/>
      <c r="GR92" s="83"/>
      <c r="HB92" s="83"/>
      <c r="HL92" s="83"/>
      <c r="HV92" s="83"/>
      <c r="IF92" s="83"/>
      <c r="IP92" s="83"/>
      <c r="IZ92" s="83"/>
      <c r="JJ92" s="83"/>
      <c r="JT92" s="83"/>
      <c r="KD92" s="83"/>
      <c r="KN92" s="83"/>
      <c r="KX92" s="83"/>
      <c r="LH92" s="83"/>
      <c r="LR92" s="83"/>
      <c r="MB92" s="83"/>
      <c r="ML92" s="83"/>
      <c r="MV92" s="83"/>
      <c r="NF92" s="83"/>
      <c r="NP92" s="83"/>
      <c r="NZ92" s="83"/>
      <c r="OJ92" s="83"/>
      <c r="OT92" s="83"/>
      <c r="PD92" s="83"/>
      <c r="PN92" s="83"/>
      <c r="PX92" s="83"/>
      <c r="QH92" s="83"/>
      <c r="QR92" s="83"/>
      <c r="RB92" s="83"/>
      <c r="RL92" s="83"/>
      <c r="RV92" s="83"/>
      <c r="SF92" s="83"/>
      <c r="SP92" s="83"/>
      <c r="SZ92" s="83"/>
      <c r="TJ92" s="83"/>
      <c r="TT92" s="83"/>
      <c r="UD92" s="83"/>
      <c r="UN92" s="83"/>
      <c r="UX92" s="83"/>
      <c r="VH92" s="83"/>
      <c r="VR92" s="83"/>
      <c r="WB92" s="83"/>
      <c r="WL92" s="83"/>
      <c r="WV92" s="83"/>
      <c r="XF92" s="83"/>
      <c r="XP92" s="83"/>
      <c r="XZ92" s="83"/>
      <c r="YJ92" s="83"/>
      <c r="YT92" s="83"/>
      <c r="ZD92" s="83"/>
      <c r="ZN92" s="83"/>
      <c r="ZX92" s="83"/>
      <c r="AAH92" s="83"/>
      <c r="AAR92" s="83"/>
      <c r="ABB92" s="83"/>
      <c r="ABL92" s="83"/>
      <c r="ABV92" s="83"/>
      <c r="ACF92" s="83"/>
      <c r="ACP92" s="83"/>
      <c r="ACZ92" s="83"/>
      <c r="ADJ92" s="83"/>
      <c r="ADT92" s="83"/>
      <c r="AED92" s="83"/>
      <c r="AEN92" s="83"/>
      <c r="AEX92" s="83"/>
      <c r="AFH92" s="83"/>
      <c r="AFR92" s="83"/>
      <c r="AGB92" s="83"/>
      <c r="AGL92" s="83"/>
      <c r="AGV92" s="83"/>
      <c r="AHF92" s="83"/>
      <c r="AHP92" s="83"/>
      <c r="AHZ92" s="83"/>
      <c r="AIJ92" s="83"/>
      <c r="AIT92" s="83"/>
      <c r="AJD92" s="83"/>
      <c r="AJN92" s="83"/>
      <c r="AJX92" s="83"/>
      <c r="AKH92" s="83"/>
      <c r="AKR92" s="83"/>
      <c r="ALB92" s="83"/>
      <c r="ALL92" s="83"/>
      <c r="ALV92" s="83"/>
      <c r="AMF92" s="83"/>
      <c r="AMP92" s="83"/>
      <c r="AMZ92" s="83"/>
      <c r="ANJ92" s="83"/>
      <c r="ANT92" s="83"/>
      <c r="AOD92" s="83"/>
      <c r="AON92" s="83"/>
      <c r="AOX92" s="83"/>
      <c r="APH92" s="83"/>
      <c r="APR92" s="83"/>
      <c r="AQB92" s="83"/>
      <c r="AQL92" s="83"/>
      <c r="AQV92" s="83"/>
      <c r="ARF92" s="83"/>
      <c r="ARP92" s="83"/>
      <c r="ARZ92" s="83"/>
      <c r="ASJ92" s="83"/>
      <c r="AST92" s="83"/>
      <c r="ATD92" s="83"/>
      <c r="ATN92" s="83"/>
      <c r="ATX92" s="83"/>
      <c r="AUH92" s="83"/>
      <c r="AUR92" s="83"/>
      <c r="AVB92" s="83"/>
      <c r="AVL92" s="83"/>
      <c r="AVV92" s="83"/>
      <c r="AWF92" s="83"/>
      <c r="AWP92" s="83"/>
      <c r="AWZ92" s="83"/>
      <c r="AXJ92" s="83"/>
      <c r="AXT92" s="83"/>
      <c r="AYD92" s="83"/>
      <c r="AYN92" s="83"/>
      <c r="AYX92" s="83"/>
      <c r="AZH92" s="83"/>
      <c r="AZR92" s="83"/>
      <c r="BAB92" s="83"/>
      <c r="BAL92" s="83"/>
      <c r="BAV92" s="83"/>
      <c r="BBF92" s="83"/>
      <c r="BBP92" s="83"/>
      <c r="BBZ92" s="83"/>
      <c r="BCJ92" s="83"/>
      <c r="BCT92" s="83"/>
      <c r="BDD92" s="83"/>
      <c r="BDN92" s="83"/>
      <c r="BDX92" s="83"/>
      <c r="BEH92" s="83"/>
      <c r="BER92" s="83"/>
      <c r="BFB92" s="83"/>
      <c r="BFL92" s="83"/>
      <c r="BFV92" s="83"/>
      <c r="BGF92" s="83"/>
      <c r="BGP92" s="83"/>
      <c r="BGZ92" s="83"/>
      <c r="BHJ92" s="83"/>
      <c r="BHT92" s="83"/>
      <c r="BID92" s="83"/>
      <c r="BIN92" s="83"/>
      <c r="BIX92" s="83"/>
      <c r="BJH92" s="83"/>
      <c r="BJR92" s="83"/>
      <c r="BKB92" s="83"/>
      <c r="BKL92" s="83"/>
      <c r="BKV92" s="83"/>
      <c r="BLF92" s="83"/>
      <c r="BLP92" s="83"/>
      <c r="BLZ92" s="83"/>
      <c r="BMJ92" s="83"/>
      <c r="BMT92" s="83"/>
      <c r="BND92" s="83"/>
      <c r="BNN92" s="83"/>
      <c r="BNX92" s="83"/>
      <c r="BOH92" s="83"/>
      <c r="BOR92" s="83"/>
      <c r="BPB92" s="83"/>
      <c r="BPL92" s="83"/>
      <c r="BPV92" s="83"/>
      <c r="BQF92" s="83"/>
      <c r="BQP92" s="83"/>
      <c r="BQZ92" s="83"/>
      <c r="BRJ92" s="83"/>
      <c r="BRT92" s="83"/>
      <c r="BSD92" s="83"/>
      <c r="BSN92" s="83"/>
      <c r="BSX92" s="83"/>
      <c r="BTH92" s="83"/>
      <c r="BTR92" s="83"/>
      <c r="BUB92" s="83"/>
      <c r="BUL92" s="83"/>
      <c r="BUV92" s="83"/>
      <c r="BVF92" s="83"/>
      <c r="BVP92" s="83"/>
      <c r="BVZ92" s="83"/>
      <c r="BWJ92" s="83"/>
      <c r="BWT92" s="83"/>
      <c r="BXD92" s="83"/>
      <c r="BXN92" s="83"/>
      <c r="BXX92" s="83"/>
      <c r="BYH92" s="83"/>
      <c r="BYR92" s="83"/>
      <c r="BZB92" s="83"/>
      <c r="BZL92" s="83"/>
      <c r="BZV92" s="83"/>
      <c r="CAF92" s="83"/>
      <c r="CAP92" s="83"/>
      <c r="CAZ92" s="83"/>
      <c r="CBJ92" s="83"/>
      <c r="CBT92" s="83"/>
      <c r="CCD92" s="83"/>
      <c r="CCN92" s="83"/>
      <c r="CCX92" s="83"/>
      <c r="CDH92" s="83"/>
      <c r="CDR92" s="83"/>
      <c r="CEB92" s="83"/>
      <c r="CEL92" s="83"/>
      <c r="CEV92" s="83"/>
      <c r="CFF92" s="83"/>
      <c r="CFP92" s="83"/>
      <c r="CFZ92" s="83"/>
      <c r="CGJ92" s="83"/>
      <c r="CGT92" s="83"/>
      <c r="CHD92" s="83"/>
      <c r="CHN92" s="83"/>
      <c r="CHX92" s="83"/>
      <c r="CIH92" s="83"/>
      <c r="CIR92" s="83"/>
      <c r="CJB92" s="83"/>
      <c r="CJL92" s="83"/>
      <c r="CJV92" s="83"/>
      <c r="CKF92" s="83"/>
      <c r="CKP92" s="83"/>
      <c r="CKZ92" s="83"/>
      <c r="CLJ92" s="83"/>
      <c r="CLT92" s="83"/>
      <c r="CMD92" s="83"/>
      <c r="CMN92" s="83"/>
      <c r="CMX92" s="83"/>
      <c r="CNH92" s="83"/>
      <c r="CNR92" s="83"/>
      <c r="COB92" s="83"/>
      <c r="COL92" s="83"/>
      <c r="COV92" s="83"/>
      <c r="CPF92" s="83"/>
      <c r="CPP92" s="83"/>
      <c r="CPZ92" s="83"/>
      <c r="CQJ92" s="83"/>
      <c r="CQT92" s="83"/>
      <c r="CRD92" s="83"/>
      <c r="CRN92" s="83"/>
      <c r="CRX92" s="83"/>
      <c r="CSH92" s="83"/>
      <c r="CSR92" s="83"/>
      <c r="CTB92" s="83"/>
      <c r="CTL92" s="83"/>
      <c r="CTV92" s="83"/>
    </row>
    <row r="93" s="58" customFormat="1" customHeight="1" spans="1:1020 1030:2040 2050:2570">
      <c r="A93" s="79">
        <v>46152</v>
      </c>
      <c r="B93" s="80" t="s">
        <v>22</v>
      </c>
      <c r="C93" s="38" t="s">
        <v>23</v>
      </c>
      <c r="D93" s="75">
        <v>652377804</v>
      </c>
      <c r="E93" s="84" t="s">
        <v>39</v>
      </c>
      <c r="F93" s="75" t="str">
        <f>VLOOKUP(E93,[8]基础数据!E:H,2,0)</f>
        <v>LP-BSU050-AA_V100_TI_32B2_HW_三防漆双面911_0截</v>
      </c>
      <c r="G93" s="75">
        <v>72</v>
      </c>
      <c r="H93" s="75" t="str">
        <f>VLOOKUP(E93,[8]基础数据!E:H,4,0)</f>
        <v>料盒</v>
      </c>
      <c r="I93" s="75">
        <f>VLOOKUP(E93,[8]基础数据!E:G,3,0)</f>
        <v>36</v>
      </c>
      <c r="J93" s="75" t="s">
        <v>306</v>
      </c>
      <c r="K93" s="82">
        <f t="shared" si="1"/>
        <v>2</v>
      </c>
      <c r="T93" s="83"/>
      <c r="AD93" s="83"/>
      <c r="AN93" s="83"/>
      <c r="AX93" s="83"/>
      <c r="BH93" s="83"/>
      <c r="BR93" s="83"/>
      <c r="CB93" s="83"/>
      <c r="CL93" s="83"/>
      <c r="CV93" s="83"/>
      <c r="DF93" s="83"/>
      <c r="DP93" s="83"/>
      <c r="DZ93" s="83"/>
      <c r="EJ93" s="83"/>
      <c r="ET93" s="83"/>
      <c r="FD93" s="83"/>
      <c r="FN93" s="83"/>
      <c r="FX93" s="83"/>
      <c r="GH93" s="83"/>
      <c r="GR93" s="83"/>
      <c r="HB93" s="83"/>
      <c r="HL93" s="83"/>
      <c r="HV93" s="83"/>
      <c r="IF93" s="83"/>
      <c r="IP93" s="83"/>
      <c r="IZ93" s="83"/>
      <c r="JJ93" s="83"/>
      <c r="JT93" s="83"/>
      <c r="KD93" s="83"/>
      <c r="KN93" s="83"/>
      <c r="KX93" s="83"/>
      <c r="LH93" s="83"/>
      <c r="LR93" s="83"/>
      <c r="MB93" s="83"/>
      <c r="ML93" s="83"/>
      <c r="MV93" s="83"/>
      <c r="NF93" s="83"/>
      <c r="NP93" s="83"/>
      <c r="NZ93" s="83"/>
      <c r="OJ93" s="83"/>
      <c r="OT93" s="83"/>
      <c r="PD93" s="83"/>
      <c r="PN93" s="83"/>
      <c r="PX93" s="83"/>
      <c r="QH93" s="83"/>
      <c r="QR93" s="83"/>
      <c r="RB93" s="83"/>
      <c r="RL93" s="83"/>
      <c r="RV93" s="83"/>
      <c r="SF93" s="83"/>
      <c r="SP93" s="83"/>
      <c r="SZ93" s="83"/>
      <c r="TJ93" s="83"/>
      <c r="TT93" s="83"/>
      <c r="UD93" s="83"/>
      <c r="UN93" s="83"/>
      <c r="UX93" s="83"/>
      <c r="VH93" s="83"/>
      <c r="VR93" s="83"/>
      <c r="WB93" s="83"/>
      <c r="WL93" s="83"/>
      <c r="WV93" s="83"/>
      <c r="XF93" s="83"/>
      <c r="XP93" s="83"/>
      <c r="XZ93" s="83"/>
      <c r="YJ93" s="83"/>
      <c r="YT93" s="83"/>
      <c r="ZD93" s="83"/>
      <c r="ZN93" s="83"/>
      <c r="ZX93" s="83"/>
      <c r="AAH93" s="83"/>
      <c r="AAR93" s="83"/>
      <c r="ABB93" s="83"/>
      <c r="ABL93" s="83"/>
      <c r="ABV93" s="83"/>
      <c r="ACF93" s="83"/>
      <c r="ACP93" s="83"/>
      <c r="ACZ93" s="83"/>
      <c r="ADJ93" s="83"/>
      <c r="ADT93" s="83"/>
      <c r="AED93" s="83"/>
      <c r="AEN93" s="83"/>
      <c r="AEX93" s="83"/>
      <c r="AFH93" s="83"/>
      <c r="AFR93" s="83"/>
      <c r="AGB93" s="83"/>
      <c r="AGL93" s="83"/>
      <c r="AGV93" s="83"/>
      <c r="AHF93" s="83"/>
      <c r="AHP93" s="83"/>
      <c r="AHZ93" s="83"/>
      <c r="AIJ93" s="83"/>
      <c r="AIT93" s="83"/>
      <c r="AJD93" s="83"/>
      <c r="AJN93" s="83"/>
      <c r="AJX93" s="83"/>
      <c r="AKH93" s="83"/>
      <c r="AKR93" s="83"/>
      <c r="ALB93" s="83"/>
      <c r="ALL93" s="83"/>
      <c r="ALV93" s="83"/>
      <c r="AMF93" s="83"/>
      <c r="AMP93" s="83"/>
      <c r="AMZ93" s="83"/>
      <c r="ANJ93" s="83"/>
      <c r="ANT93" s="83"/>
      <c r="AOD93" s="83"/>
      <c r="AON93" s="83"/>
      <c r="AOX93" s="83"/>
      <c r="APH93" s="83"/>
      <c r="APR93" s="83"/>
      <c r="AQB93" s="83"/>
      <c r="AQL93" s="83"/>
      <c r="AQV93" s="83"/>
      <c r="ARF93" s="83"/>
      <c r="ARP93" s="83"/>
      <c r="ARZ93" s="83"/>
      <c r="ASJ93" s="83"/>
      <c r="AST93" s="83"/>
      <c r="ATD93" s="83"/>
      <c r="ATN93" s="83"/>
      <c r="ATX93" s="83"/>
      <c r="AUH93" s="83"/>
      <c r="AUR93" s="83"/>
      <c r="AVB93" s="83"/>
      <c r="AVL93" s="83"/>
      <c r="AVV93" s="83"/>
      <c r="AWF93" s="83"/>
      <c r="AWP93" s="83"/>
      <c r="AWZ93" s="83"/>
      <c r="AXJ93" s="83"/>
      <c r="AXT93" s="83"/>
      <c r="AYD93" s="83"/>
      <c r="AYN93" s="83"/>
      <c r="AYX93" s="83"/>
      <c r="AZH93" s="83"/>
      <c r="AZR93" s="83"/>
      <c r="BAB93" s="83"/>
      <c r="BAL93" s="83"/>
      <c r="BAV93" s="83"/>
      <c r="BBF93" s="83"/>
      <c r="BBP93" s="83"/>
      <c r="BBZ93" s="83"/>
      <c r="BCJ93" s="83"/>
      <c r="BCT93" s="83"/>
      <c r="BDD93" s="83"/>
      <c r="BDN93" s="83"/>
      <c r="BDX93" s="83"/>
      <c r="BEH93" s="83"/>
      <c r="BER93" s="83"/>
      <c r="BFB93" s="83"/>
      <c r="BFL93" s="83"/>
      <c r="BFV93" s="83"/>
      <c r="BGF93" s="83"/>
      <c r="BGP93" s="83"/>
      <c r="BGZ93" s="83"/>
      <c r="BHJ93" s="83"/>
      <c r="BHT93" s="83"/>
      <c r="BID93" s="83"/>
      <c r="BIN93" s="83"/>
      <c r="BIX93" s="83"/>
      <c r="BJH93" s="83"/>
      <c r="BJR93" s="83"/>
      <c r="BKB93" s="83"/>
      <c r="BKL93" s="83"/>
      <c r="BKV93" s="83"/>
      <c r="BLF93" s="83"/>
      <c r="BLP93" s="83"/>
      <c r="BLZ93" s="83"/>
      <c r="BMJ93" s="83"/>
      <c r="BMT93" s="83"/>
      <c r="BND93" s="83"/>
      <c r="BNN93" s="83"/>
      <c r="BNX93" s="83"/>
      <c r="BOH93" s="83"/>
      <c r="BOR93" s="83"/>
      <c r="BPB93" s="83"/>
      <c r="BPL93" s="83"/>
      <c r="BPV93" s="83"/>
      <c r="BQF93" s="83"/>
      <c r="BQP93" s="83"/>
      <c r="BQZ93" s="83"/>
      <c r="BRJ93" s="83"/>
      <c r="BRT93" s="83"/>
      <c r="BSD93" s="83"/>
      <c r="BSN93" s="83"/>
      <c r="BSX93" s="83"/>
      <c r="BTH93" s="83"/>
      <c r="BTR93" s="83"/>
      <c r="BUB93" s="83"/>
      <c r="BUL93" s="83"/>
      <c r="BUV93" s="83"/>
      <c r="BVF93" s="83"/>
      <c r="BVP93" s="83"/>
      <c r="BVZ93" s="83"/>
      <c r="BWJ93" s="83"/>
      <c r="BWT93" s="83"/>
      <c r="BXD93" s="83"/>
      <c r="BXN93" s="83"/>
      <c r="BXX93" s="83"/>
      <c r="BYH93" s="83"/>
      <c r="BYR93" s="83"/>
      <c r="BZB93" s="83"/>
      <c r="BZL93" s="83"/>
      <c r="BZV93" s="83"/>
      <c r="CAF93" s="83"/>
      <c r="CAP93" s="83"/>
      <c r="CAZ93" s="83"/>
      <c r="CBJ93" s="83"/>
      <c r="CBT93" s="83"/>
      <c r="CCD93" s="83"/>
      <c r="CCN93" s="83"/>
      <c r="CCX93" s="83"/>
      <c r="CDH93" s="83"/>
      <c r="CDR93" s="83"/>
      <c r="CEB93" s="83"/>
      <c r="CEL93" s="83"/>
      <c r="CEV93" s="83"/>
      <c r="CFF93" s="83"/>
      <c r="CFP93" s="83"/>
      <c r="CFZ93" s="83"/>
      <c r="CGJ93" s="83"/>
      <c r="CGT93" s="83"/>
      <c r="CHD93" s="83"/>
      <c r="CHN93" s="83"/>
      <c r="CHX93" s="83"/>
      <c r="CIH93" s="83"/>
      <c r="CIR93" s="83"/>
      <c r="CJB93" s="83"/>
      <c r="CJL93" s="83"/>
      <c r="CJV93" s="83"/>
      <c r="CKF93" s="83"/>
      <c r="CKP93" s="83"/>
      <c r="CKZ93" s="83"/>
      <c r="CLJ93" s="83"/>
      <c r="CLT93" s="83"/>
      <c r="CMD93" s="83"/>
      <c r="CMN93" s="83"/>
      <c r="CMX93" s="83"/>
      <c r="CNH93" s="83"/>
      <c r="CNR93" s="83"/>
      <c r="COB93" s="83"/>
      <c r="COL93" s="83"/>
      <c r="COV93" s="83"/>
      <c r="CPF93" s="83"/>
      <c r="CPP93" s="83"/>
      <c r="CPZ93" s="83"/>
      <c r="CQJ93" s="83"/>
      <c r="CQT93" s="83"/>
      <c r="CRD93" s="83"/>
      <c r="CRN93" s="83"/>
      <c r="CRX93" s="83"/>
      <c r="CSH93" s="83"/>
      <c r="CSR93" s="83"/>
      <c r="CTB93" s="83"/>
      <c r="CTL93" s="83"/>
      <c r="CTV93" s="83"/>
    </row>
    <row r="94" s="58" customFormat="1" customHeight="1" spans="1:1020 1030:2040 2050:2570">
      <c r="A94" s="79">
        <v>46153</v>
      </c>
      <c r="B94" s="80" t="s">
        <v>22</v>
      </c>
      <c r="C94" s="38" t="s">
        <v>23</v>
      </c>
      <c r="D94" s="75">
        <v>652380566</v>
      </c>
      <c r="E94" s="84" t="s">
        <v>144</v>
      </c>
      <c r="F94" s="75" t="str">
        <f>VLOOKUP(E94,[9]基础数据!E:H,2,0)</f>
        <v>LP-BSU070-AA_T1616_A_24S_V1_凡申40_三防漆双面9截</v>
      </c>
      <c r="G94" s="75">
        <v>240</v>
      </c>
      <c r="H94" s="75" t="str">
        <f>VLOOKUP(E94,[9]基础数据!E:H,4,0)</f>
        <v>料盒</v>
      </c>
      <c r="I94" s="75">
        <f>VLOOKUP(E94,[9]基础数据!E:G,3,0)</f>
        <v>48</v>
      </c>
      <c r="J94" s="75" t="s">
        <v>306</v>
      </c>
      <c r="K94" s="82">
        <f t="shared" si="1"/>
        <v>5</v>
      </c>
      <c r="T94" s="83"/>
      <c r="AD94" s="83"/>
      <c r="AN94" s="83"/>
      <c r="AX94" s="83"/>
      <c r="BH94" s="83"/>
      <c r="BR94" s="83"/>
      <c r="CB94" s="83"/>
      <c r="CL94" s="83"/>
      <c r="CV94" s="83"/>
      <c r="DF94" s="83"/>
      <c r="DP94" s="83"/>
      <c r="DZ94" s="83"/>
      <c r="EJ94" s="83"/>
      <c r="ET94" s="83"/>
      <c r="FD94" s="83"/>
      <c r="FN94" s="83"/>
      <c r="FX94" s="83"/>
      <c r="GH94" s="83"/>
      <c r="GR94" s="83"/>
      <c r="HB94" s="83"/>
      <c r="HL94" s="83"/>
      <c r="HV94" s="83"/>
      <c r="IF94" s="83"/>
      <c r="IP94" s="83"/>
      <c r="IZ94" s="83"/>
      <c r="JJ94" s="83"/>
      <c r="JT94" s="83"/>
      <c r="KD94" s="83"/>
      <c r="KN94" s="83"/>
      <c r="KX94" s="83"/>
      <c r="LH94" s="83"/>
      <c r="LR94" s="83"/>
      <c r="MB94" s="83"/>
      <c r="ML94" s="83"/>
      <c r="MV94" s="83"/>
      <c r="NF94" s="83"/>
      <c r="NP94" s="83"/>
      <c r="NZ94" s="83"/>
      <c r="OJ94" s="83"/>
      <c r="OT94" s="83"/>
      <c r="PD94" s="83"/>
      <c r="PN94" s="83"/>
      <c r="PX94" s="83"/>
      <c r="QH94" s="83"/>
      <c r="QR94" s="83"/>
      <c r="RB94" s="83"/>
      <c r="RL94" s="83"/>
      <c r="RV94" s="83"/>
      <c r="SF94" s="83"/>
      <c r="SP94" s="83"/>
      <c r="SZ94" s="83"/>
      <c r="TJ94" s="83"/>
      <c r="TT94" s="83"/>
      <c r="UD94" s="83"/>
      <c r="UN94" s="83"/>
      <c r="UX94" s="83"/>
      <c r="VH94" s="83"/>
      <c r="VR94" s="83"/>
      <c r="WB94" s="83"/>
      <c r="WL94" s="83"/>
      <c r="WV94" s="83"/>
      <c r="XF94" s="83"/>
      <c r="XP94" s="83"/>
      <c r="XZ94" s="83"/>
      <c r="YJ94" s="83"/>
      <c r="YT94" s="83"/>
      <c r="ZD94" s="83"/>
      <c r="ZN94" s="83"/>
      <c r="ZX94" s="83"/>
      <c r="AAH94" s="83"/>
      <c r="AAR94" s="83"/>
      <c r="ABB94" s="83"/>
      <c r="ABL94" s="83"/>
      <c r="ABV94" s="83"/>
      <c r="ACF94" s="83"/>
      <c r="ACP94" s="83"/>
      <c r="ACZ94" s="83"/>
      <c r="ADJ94" s="83"/>
      <c r="ADT94" s="83"/>
      <c r="AED94" s="83"/>
      <c r="AEN94" s="83"/>
      <c r="AEX94" s="83"/>
      <c r="AFH94" s="83"/>
      <c r="AFR94" s="83"/>
      <c r="AGB94" s="83"/>
      <c r="AGL94" s="83"/>
      <c r="AGV94" s="83"/>
      <c r="AHF94" s="83"/>
      <c r="AHP94" s="83"/>
      <c r="AHZ94" s="83"/>
      <c r="AIJ94" s="83"/>
      <c r="AIT94" s="83"/>
      <c r="AJD94" s="83"/>
      <c r="AJN94" s="83"/>
      <c r="AJX94" s="83"/>
      <c r="AKH94" s="83"/>
      <c r="AKR94" s="83"/>
      <c r="ALB94" s="83"/>
      <c r="ALL94" s="83"/>
      <c r="ALV94" s="83"/>
      <c r="AMF94" s="83"/>
      <c r="AMP94" s="83"/>
      <c r="AMZ94" s="83"/>
      <c r="ANJ94" s="83"/>
      <c r="ANT94" s="83"/>
      <c r="AOD94" s="83"/>
      <c r="AON94" s="83"/>
      <c r="AOX94" s="83"/>
      <c r="APH94" s="83"/>
      <c r="APR94" s="83"/>
      <c r="AQB94" s="83"/>
      <c r="AQL94" s="83"/>
      <c r="AQV94" s="83"/>
      <c r="ARF94" s="83"/>
      <c r="ARP94" s="83"/>
      <c r="ARZ94" s="83"/>
      <c r="ASJ94" s="83"/>
      <c r="AST94" s="83"/>
      <c r="ATD94" s="83"/>
      <c r="ATN94" s="83"/>
      <c r="ATX94" s="83"/>
      <c r="AUH94" s="83"/>
      <c r="AUR94" s="83"/>
      <c r="AVB94" s="83"/>
      <c r="AVL94" s="83"/>
      <c r="AVV94" s="83"/>
      <c r="AWF94" s="83"/>
      <c r="AWP94" s="83"/>
      <c r="AWZ94" s="83"/>
      <c r="AXJ94" s="83"/>
      <c r="AXT94" s="83"/>
      <c r="AYD94" s="83"/>
      <c r="AYN94" s="83"/>
      <c r="AYX94" s="83"/>
      <c r="AZH94" s="83"/>
      <c r="AZR94" s="83"/>
      <c r="BAB94" s="83"/>
      <c r="BAL94" s="83"/>
      <c r="BAV94" s="83"/>
      <c r="BBF94" s="83"/>
      <c r="BBP94" s="83"/>
      <c r="BBZ94" s="83"/>
      <c r="BCJ94" s="83"/>
      <c r="BCT94" s="83"/>
      <c r="BDD94" s="83"/>
      <c r="BDN94" s="83"/>
      <c r="BDX94" s="83"/>
      <c r="BEH94" s="83"/>
      <c r="BER94" s="83"/>
      <c r="BFB94" s="83"/>
      <c r="BFL94" s="83"/>
      <c r="BFV94" s="83"/>
      <c r="BGF94" s="83"/>
      <c r="BGP94" s="83"/>
      <c r="BGZ94" s="83"/>
      <c r="BHJ94" s="83"/>
      <c r="BHT94" s="83"/>
      <c r="BID94" s="83"/>
      <c r="BIN94" s="83"/>
      <c r="BIX94" s="83"/>
      <c r="BJH94" s="83"/>
      <c r="BJR94" s="83"/>
      <c r="BKB94" s="83"/>
      <c r="BKL94" s="83"/>
      <c r="BKV94" s="83"/>
      <c r="BLF94" s="83"/>
      <c r="BLP94" s="83"/>
      <c r="BLZ94" s="83"/>
      <c r="BMJ94" s="83"/>
      <c r="BMT94" s="83"/>
      <c r="BND94" s="83"/>
      <c r="BNN94" s="83"/>
      <c r="BNX94" s="83"/>
      <c r="BOH94" s="83"/>
      <c r="BOR94" s="83"/>
      <c r="BPB94" s="83"/>
      <c r="BPL94" s="83"/>
      <c r="BPV94" s="83"/>
      <c r="BQF94" s="83"/>
      <c r="BQP94" s="83"/>
      <c r="BQZ94" s="83"/>
      <c r="BRJ94" s="83"/>
      <c r="BRT94" s="83"/>
      <c r="BSD94" s="83"/>
      <c r="BSN94" s="83"/>
      <c r="BSX94" s="83"/>
      <c r="BTH94" s="83"/>
      <c r="BTR94" s="83"/>
      <c r="BUB94" s="83"/>
      <c r="BUL94" s="83"/>
      <c r="BUV94" s="83"/>
      <c r="BVF94" s="83"/>
      <c r="BVP94" s="83"/>
      <c r="BVZ94" s="83"/>
      <c r="BWJ94" s="83"/>
      <c r="BWT94" s="83"/>
      <c r="BXD94" s="83"/>
      <c r="BXN94" s="83"/>
      <c r="BXX94" s="83"/>
      <c r="BYH94" s="83"/>
      <c r="BYR94" s="83"/>
      <c r="BZB94" s="83"/>
      <c r="BZL94" s="83"/>
      <c r="BZV94" s="83"/>
      <c r="CAF94" s="83"/>
      <c r="CAP94" s="83"/>
      <c r="CAZ94" s="83"/>
      <c r="CBJ94" s="83"/>
      <c r="CBT94" s="83"/>
      <c r="CCD94" s="83"/>
      <c r="CCN94" s="83"/>
      <c r="CCX94" s="83"/>
      <c r="CDH94" s="83"/>
      <c r="CDR94" s="83"/>
      <c r="CEB94" s="83"/>
      <c r="CEL94" s="83"/>
      <c r="CEV94" s="83"/>
      <c r="CFF94" s="83"/>
      <c r="CFP94" s="83"/>
      <c r="CFZ94" s="83"/>
      <c r="CGJ94" s="83"/>
      <c r="CGT94" s="83"/>
      <c r="CHD94" s="83"/>
      <c r="CHN94" s="83"/>
      <c r="CHX94" s="83"/>
      <c r="CIH94" s="83"/>
      <c r="CIR94" s="83"/>
      <c r="CJB94" s="83"/>
      <c r="CJL94" s="83"/>
      <c r="CJV94" s="83"/>
      <c r="CKF94" s="83"/>
      <c r="CKP94" s="83"/>
      <c r="CKZ94" s="83"/>
      <c r="CLJ94" s="83"/>
      <c r="CLT94" s="83"/>
      <c r="CMD94" s="83"/>
      <c r="CMN94" s="83"/>
      <c r="CMX94" s="83"/>
      <c r="CNH94" s="83"/>
      <c r="CNR94" s="83"/>
      <c r="COB94" s="83"/>
      <c r="COL94" s="83"/>
      <c r="COV94" s="83"/>
      <c r="CPF94" s="83"/>
      <c r="CPP94" s="83"/>
      <c r="CPZ94" s="83"/>
      <c r="CQJ94" s="83"/>
      <c r="CQT94" s="83"/>
      <c r="CRD94" s="83"/>
      <c r="CRN94" s="83"/>
      <c r="CRX94" s="83"/>
      <c r="CSH94" s="83"/>
      <c r="CSR94" s="83"/>
      <c r="CTB94" s="83"/>
      <c r="CTL94" s="83"/>
      <c r="CTV94" s="83"/>
    </row>
    <row r="95" s="58" customFormat="1" customHeight="1" spans="1:1020 1030:2040 2050:2570">
      <c r="A95" s="79">
        <v>46153</v>
      </c>
      <c r="B95" s="80" t="s">
        <v>22</v>
      </c>
      <c r="C95" s="38" t="s">
        <v>23</v>
      </c>
      <c r="D95" s="75">
        <v>652380566</v>
      </c>
      <c r="E95" s="84" t="s">
        <v>147</v>
      </c>
      <c r="F95" s="75" t="str">
        <f>VLOOKUP(E95,[9]基础数据!E:H,2,0)</f>
        <v>LP-BSU070-AA_T1616_46S_V1_凡申40_三防漆双面925截</v>
      </c>
      <c r="G95" s="75">
        <v>432</v>
      </c>
      <c r="H95" s="75" t="str">
        <f>VLOOKUP(E95,[9]基础数据!E:H,4,0)</f>
        <v>料盒</v>
      </c>
      <c r="I95" s="75">
        <f>VLOOKUP(E95,[9]基础数据!E:G,3,0)</f>
        <v>24</v>
      </c>
      <c r="J95" s="75" t="s">
        <v>306</v>
      </c>
      <c r="K95" s="82">
        <f t="shared" si="1"/>
        <v>18</v>
      </c>
      <c r="T95" s="83"/>
      <c r="AD95" s="83"/>
      <c r="AN95" s="83"/>
      <c r="AX95" s="83"/>
      <c r="BH95" s="83"/>
      <c r="BR95" s="83"/>
      <c r="CB95" s="83"/>
      <c r="CL95" s="83"/>
      <c r="CV95" s="83"/>
      <c r="DF95" s="83"/>
      <c r="DP95" s="83"/>
      <c r="DZ95" s="83"/>
      <c r="EJ95" s="83"/>
      <c r="ET95" s="83"/>
      <c r="FD95" s="83"/>
      <c r="FN95" s="83"/>
      <c r="FX95" s="83"/>
      <c r="GH95" s="83"/>
      <c r="GR95" s="83"/>
      <c r="HB95" s="83"/>
      <c r="HL95" s="83"/>
      <c r="HV95" s="83"/>
      <c r="IF95" s="83"/>
      <c r="IP95" s="83"/>
      <c r="IZ95" s="83"/>
      <c r="JJ95" s="83"/>
      <c r="JT95" s="83"/>
      <c r="KD95" s="83"/>
      <c r="KN95" s="83"/>
      <c r="KX95" s="83"/>
      <c r="LH95" s="83"/>
      <c r="LR95" s="83"/>
      <c r="MB95" s="83"/>
      <c r="ML95" s="83"/>
      <c r="MV95" s="83"/>
      <c r="NF95" s="83"/>
      <c r="NP95" s="83"/>
      <c r="NZ95" s="83"/>
      <c r="OJ95" s="83"/>
      <c r="OT95" s="83"/>
      <c r="PD95" s="83"/>
      <c r="PN95" s="83"/>
      <c r="PX95" s="83"/>
      <c r="QH95" s="83"/>
      <c r="QR95" s="83"/>
      <c r="RB95" s="83"/>
      <c r="RL95" s="83"/>
      <c r="RV95" s="83"/>
      <c r="SF95" s="83"/>
      <c r="SP95" s="83"/>
      <c r="SZ95" s="83"/>
      <c r="TJ95" s="83"/>
      <c r="TT95" s="83"/>
      <c r="UD95" s="83"/>
      <c r="UN95" s="83"/>
      <c r="UX95" s="83"/>
      <c r="VH95" s="83"/>
      <c r="VR95" s="83"/>
      <c r="WB95" s="83"/>
      <c r="WL95" s="83"/>
      <c r="WV95" s="83"/>
      <c r="XF95" s="83"/>
      <c r="XP95" s="83"/>
      <c r="XZ95" s="83"/>
      <c r="YJ95" s="83"/>
      <c r="YT95" s="83"/>
      <c r="ZD95" s="83"/>
      <c r="ZN95" s="83"/>
      <c r="ZX95" s="83"/>
      <c r="AAH95" s="83"/>
      <c r="AAR95" s="83"/>
      <c r="ABB95" s="83"/>
      <c r="ABL95" s="83"/>
      <c r="ABV95" s="83"/>
      <c r="ACF95" s="83"/>
      <c r="ACP95" s="83"/>
      <c r="ACZ95" s="83"/>
      <c r="ADJ95" s="83"/>
      <c r="ADT95" s="83"/>
      <c r="AED95" s="83"/>
      <c r="AEN95" s="83"/>
      <c r="AEX95" s="83"/>
      <c r="AFH95" s="83"/>
      <c r="AFR95" s="83"/>
      <c r="AGB95" s="83"/>
      <c r="AGL95" s="83"/>
      <c r="AGV95" s="83"/>
      <c r="AHF95" s="83"/>
      <c r="AHP95" s="83"/>
      <c r="AHZ95" s="83"/>
      <c r="AIJ95" s="83"/>
      <c r="AIT95" s="83"/>
      <c r="AJD95" s="83"/>
      <c r="AJN95" s="83"/>
      <c r="AJX95" s="83"/>
      <c r="AKH95" s="83"/>
      <c r="AKR95" s="83"/>
      <c r="ALB95" s="83"/>
      <c r="ALL95" s="83"/>
      <c r="ALV95" s="83"/>
      <c r="AMF95" s="83"/>
      <c r="AMP95" s="83"/>
      <c r="AMZ95" s="83"/>
      <c r="ANJ95" s="83"/>
      <c r="ANT95" s="83"/>
      <c r="AOD95" s="83"/>
      <c r="AON95" s="83"/>
      <c r="AOX95" s="83"/>
      <c r="APH95" s="83"/>
      <c r="APR95" s="83"/>
      <c r="AQB95" s="83"/>
      <c r="AQL95" s="83"/>
      <c r="AQV95" s="83"/>
      <c r="ARF95" s="83"/>
      <c r="ARP95" s="83"/>
      <c r="ARZ95" s="83"/>
      <c r="ASJ95" s="83"/>
      <c r="AST95" s="83"/>
      <c r="ATD95" s="83"/>
      <c r="ATN95" s="83"/>
      <c r="ATX95" s="83"/>
      <c r="AUH95" s="83"/>
      <c r="AUR95" s="83"/>
      <c r="AVB95" s="83"/>
      <c r="AVL95" s="83"/>
      <c r="AVV95" s="83"/>
      <c r="AWF95" s="83"/>
      <c r="AWP95" s="83"/>
      <c r="AWZ95" s="83"/>
      <c r="AXJ95" s="83"/>
      <c r="AXT95" s="83"/>
      <c r="AYD95" s="83"/>
      <c r="AYN95" s="83"/>
      <c r="AYX95" s="83"/>
      <c r="AZH95" s="83"/>
      <c r="AZR95" s="83"/>
      <c r="BAB95" s="83"/>
      <c r="BAL95" s="83"/>
      <c r="BAV95" s="83"/>
      <c r="BBF95" s="83"/>
      <c r="BBP95" s="83"/>
      <c r="BBZ95" s="83"/>
      <c r="BCJ95" s="83"/>
      <c r="BCT95" s="83"/>
      <c r="BDD95" s="83"/>
      <c r="BDN95" s="83"/>
      <c r="BDX95" s="83"/>
      <c r="BEH95" s="83"/>
      <c r="BER95" s="83"/>
      <c r="BFB95" s="83"/>
      <c r="BFL95" s="83"/>
      <c r="BFV95" s="83"/>
      <c r="BGF95" s="83"/>
      <c r="BGP95" s="83"/>
      <c r="BGZ95" s="83"/>
      <c r="BHJ95" s="83"/>
      <c r="BHT95" s="83"/>
      <c r="BID95" s="83"/>
      <c r="BIN95" s="83"/>
      <c r="BIX95" s="83"/>
      <c r="BJH95" s="83"/>
      <c r="BJR95" s="83"/>
      <c r="BKB95" s="83"/>
      <c r="BKL95" s="83"/>
      <c r="BKV95" s="83"/>
      <c r="BLF95" s="83"/>
      <c r="BLP95" s="83"/>
      <c r="BLZ95" s="83"/>
      <c r="BMJ95" s="83"/>
      <c r="BMT95" s="83"/>
      <c r="BND95" s="83"/>
      <c r="BNN95" s="83"/>
      <c r="BNX95" s="83"/>
      <c r="BOH95" s="83"/>
      <c r="BOR95" s="83"/>
      <c r="BPB95" s="83"/>
      <c r="BPL95" s="83"/>
      <c r="BPV95" s="83"/>
      <c r="BQF95" s="83"/>
      <c r="BQP95" s="83"/>
      <c r="BQZ95" s="83"/>
      <c r="BRJ95" s="83"/>
      <c r="BRT95" s="83"/>
      <c r="BSD95" s="83"/>
      <c r="BSN95" s="83"/>
      <c r="BSX95" s="83"/>
      <c r="BTH95" s="83"/>
      <c r="BTR95" s="83"/>
      <c r="BUB95" s="83"/>
      <c r="BUL95" s="83"/>
      <c r="BUV95" s="83"/>
      <c r="BVF95" s="83"/>
      <c r="BVP95" s="83"/>
      <c r="BVZ95" s="83"/>
      <c r="BWJ95" s="83"/>
      <c r="BWT95" s="83"/>
      <c r="BXD95" s="83"/>
      <c r="BXN95" s="83"/>
      <c r="BXX95" s="83"/>
      <c r="BYH95" s="83"/>
      <c r="BYR95" s="83"/>
      <c r="BZB95" s="83"/>
      <c r="BZL95" s="83"/>
      <c r="BZV95" s="83"/>
      <c r="CAF95" s="83"/>
      <c r="CAP95" s="83"/>
      <c r="CAZ95" s="83"/>
      <c r="CBJ95" s="83"/>
      <c r="CBT95" s="83"/>
      <c r="CCD95" s="83"/>
      <c r="CCN95" s="83"/>
      <c r="CCX95" s="83"/>
      <c r="CDH95" s="83"/>
      <c r="CDR95" s="83"/>
      <c r="CEB95" s="83"/>
      <c r="CEL95" s="83"/>
      <c r="CEV95" s="83"/>
      <c r="CFF95" s="83"/>
      <c r="CFP95" s="83"/>
      <c r="CFZ95" s="83"/>
      <c r="CGJ95" s="83"/>
      <c r="CGT95" s="83"/>
      <c r="CHD95" s="83"/>
      <c r="CHN95" s="83"/>
      <c r="CHX95" s="83"/>
      <c r="CIH95" s="83"/>
      <c r="CIR95" s="83"/>
      <c r="CJB95" s="83"/>
      <c r="CJL95" s="83"/>
      <c r="CJV95" s="83"/>
      <c r="CKF95" s="83"/>
      <c r="CKP95" s="83"/>
      <c r="CKZ95" s="83"/>
      <c r="CLJ95" s="83"/>
      <c r="CLT95" s="83"/>
      <c r="CMD95" s="83"/>
      <c r="CMN95" s="83"/>
      <c r="CMX95" s="83"/>
      <c r="CNH95" s="83"/>
      <c r="CNR95" s="83"/>
      <c r="COB95" s="83"/>
      <c r="COL95" s="83"/>
      <c r="COV95" s="83"/>
      <c r="CPF95" s="83"/>
      <c r="CPP95" s="83"/>
      <c r="CPZ95" s="83"/>
      <c r="CQJ95" s="83"/>
      <c r="CQT95" s="83"/>
      <c r="CRD95" s="83"/>
      <c r="CRN95" s="83"/>
      <c r="CRX95" s="83"/>
      <c r="CSH95" s="83"/>
      <c r="CSR95" s="83"/>
      <c r="CTB95" s="83"/>
      <c r="CTL95" s="83"/>
      <c r="CTV95" s="83"/>
    </row>
    <row r="96" s="58" customFormat="1" customHeight="1" spans="1:1020 1030:2040 2050:2570">
      <c r="A96" s="79">
        <v>46153</v>
      </c>
      <c r="B96" s="80" t="s">
        <v>22</v>
      </c>
      <c r="C96" s="38" t="s">
        <v>23</v>
      </c>
      <c r="D96" s="75">
        <v>652382826</v>
      </c>
      <c r="E96" s="84" t="s">
        <v>111</v>
      </c>
      <c r="F96" s="75" t="str">
        <f>VLOOKUP(E96,[9]基础数据!E:H,2,0)</f>
        <v>LS-CCUM001-AA-V1.06 三防漆双面 908_067</v>
      </c>
      <c r="G96" s="75">
        <v>640</v>
      </c>
      <c r="H96" s="75" t="str">
        <f>VLOOKUP(E96,[9]基础数据!E:H,4,0)</f>
        <v>料盒</v>
      </c>
      <c r="I96" s="75">
        <f>VLOOKUP(E96,[9]基础数据!E:G,3,0)</f>
        <v>8</v>
      </c>
      <c r="J96" s="75" t="s">
        <v>306</v>
      </c>
      <c r="K96" s="82">
        <f t="shared" si="1"/>
        <v>80</v>
      </c>
      <c r="T96" s="83"/>
      <c r="AD96" s="83"/>
      <c r="AN96" s="83"/>
      <c r="AX96" s="83"/>
      <c r="BH96" s="83"/>
      <c r="BR96" s="83"/>
      <c r="CB96" s="83"/>
      <c r="CL96" s="83"/>
      <c r="CV96" s="83"/>
      <c r="DF96" s="83"/>
      <c r="DP96" s="83"/>
      <c r="DZ96" s="83"/>
      <c r="EJ96" s="83"/>
      <c r="ET96" s="83"/>
      <c r="FD96" s="83"/>
      <c r="FN96" s="83"/>
      <c r="FX96" s="83"/>
      <c r="GH96" s="83"/>
      <c r="GR96" s="83"/>
      <c r="HB96" s="83"/>
      <c r="HL96" s="83"/>
      <c r="HV96" s="83"/>
      <c r="IF96" s="83"/>
      <c r="IP96" s="83"/>
      <c r="IZ96" s="83"/>
      <c r="JJ96" s="83"/>
      <c r="JT96" s="83"/>
      <c r="KD96" s="83"/>
      <c r="KN96" s="83"/>
      <c r="KX96" s="83"/>
      <c r="LH96" s="83"/>
      <c r="LR96" s="83"/>
      <c r="MB96" s="83"/>
      <c r="ML96" s="83"/>
      <c r="MV96" s="83"/>
      <c r="NF96" s="83"/>
      <c r="NP96" s="83"/>
      <c r="NZ96" s="83"/>
      <c r="OJ96" s="83"/>
      <c r="OT96" s="83"/>
      <c r="PD96" s="83"/>
      <c r="PN96" s="83"/>
      <c r="PX96" s="83"/>
      <c r="QH96" s="83"/>
      <c r="QR96" s="83"/>
      <c r="RB96" s="83"/>
      <c r="RL96" s="83"/>
      <c r="RV96" s="83"/>
      <c r="SF96" s="83"/>
      <c r="SP96" s="83"/>
      <c r="SZ96" s="83"/>
      <c r="TJ96" s="83"/>
      <c r="TT96" s="83"/>
      <c r="UD96" s="83"/>
      <c r="UN96" s="83"/>
      <c r="UX96" s="83"/>
      <c r="VH96" s="83"/>
      <c r="VR96" s="83"/>
      <c r="WB96" s="83"/>
      <c r="WL96" s="83"/>
      <c r="WV96" s="83"/>
      <c r="XF96" s="83"/>
      <c r="XP96" s="83"/>
      <c r="XZ96" s="83"/>
      <c r="YJ96" s="83"/>
      <c r="YT96" s="83"/>
      <c r="ZD96" s="83"/>
      <c r="ZN96" s="83"/>
      <c r="ZX96" s="83"/>
      <c r="AAH96" s="83"/>
      <c r="AAR96" s="83"/>
      <c r="ABB96" s="83"/>
      <c r="ABL96" s="83"/>
      <c r="ABV96" s="83"/>
      <c r="ACF96" s="83"/>
      <c r="ACP96" s="83"/>
      <c r="ACZ96" s="83"/>
      <c r="ADJ96" s="83"/>
      <c r="ADT96" s="83"/>
      <c r="AED96" s="83"/>
      <c r="AEN96" s="83"/>
      <c r="AEX96" s="83"/>
      <c r="AFH96" s="83"/>
      <c r="AFR96" s="83"/>
      <c r="AGB96" s="83"/>
      <c r="AGL96" s="83"/>
      <c r="AGV96" s="83"/>
      <c r="AHF96" s="83"/>
      <c r="AHP96" s="83"/>
      <c r="AHZ96" s="83"/>
      <c r="AIJ96" s="83"/>
      <c r="AIT96" s="83"/>
      <c r="AJD96" s="83"/>
      <c r="AJN96" s="83"/>
      <c r="AJX96" s="83"/>
      <c r="AKH96" s="83"/>
      <c r="AKR96" s="83"/>
      <c r="ALB96" s="83"/>
      <c r="ALL96" s="83"/>
      <c r="ALV96" s="83"/>
      <c r="AMF96" s="83"/>
      <c r="AMP96" s="83"/>
      <c r="AMZ96" s="83"/>
      <c r="ANJ96" s="83"/>
      <c r="ANT96" s="83"/>
      <c r="AOD96" s="83"/>
      <c r="AON96" s="83"/>
      <c r="AOX96" s="83"/>
      <c r="APH96" s="83"/>
      <c r="APR96" s="83"/>
      <c r="AQB96" s="83"/>
      <c r="AQL96" s="83"/>
      <c r="AQV96" s="83"/>
      <c r="ARF96" s="83"/>
      <c r="ARP96" s="83"/>
      <c r="ARZ96" s="83"/>
      <c r="ASJ96" s="83"/>
      <c r="AST96" s="83"/>
      <c r="ATD96" s="83"/>
      <c r="ATN96" s="83"/>
      <c r="ATX96" s="83"/>
      <c r="AUH96" s="83"/>
      <c r="AUR96" s="83"/>
      <c r="AVB96" s="83"/>
      <c r="AVL96" s="83"/>
      <c r="AVV96" s="83"/>
      <c r="AWF96" s="83"/>
      <c r="AWP96" s="83"/>
      <c r="AWZ96" s="83"/>
      <c r="AXJ96" s="83"/>
      <c r="AXT96" s="83"/>
      <c r="AYD96" s="83"/>
      <c r="AYN96" s="83"/>
      <c r="AYX96" s="83"/>
      <c r="AZH96" s="83"/>
      <c r="AZR96" s="83"/>
      <c r="BAB96" s="83"/>
      <c r="BAL96" s="83"/>
      <c r="BAV96" s="83"/>
      <c r="BBF96" s="83"/>
      <c r="BBP96" s="83"/>
      <c r="BBZ96" s="83"/>
      <c r="BCJ96" s="83"/>
      <c r="BCT96" s="83"/>
      <c r="BDD96" s="83"/>
      <c r="BDN96" s="83"/>
      <c r="BDX96" s="83"/>
      <c r="BEH96" s="83"/>
      <c r="BER96" s="83"/>
      <c r="BFB96" s="83"/>
      <c r="BFL96" s="83"/>
      <c r="BFV96" s="83"/>
      <c r="BGF96" s="83"/>
      <c r="BGP96" s="83"/>
      <c r="BGZ96" s="83"/>
      <c r="BHJ96" s="83"/>
      <c r="BHT96" s="83"/>
      <c r="BID96" s="83"/>
      <c r="BIN96" s="83"/>
      <c r="BIX96" s="83"/>
      <c r="BJH96" s="83"/>
      <c r="BJR96" s="83"/>
      <c r="BKB96" s="83"/>
      <c r="BKL96" s="83"/>
      <c r="BKV96" s="83"/>
      <c r="BLF96" s="83"/>
      <c r="BLP96" s="83"/>
      <c r="BLZ96" s="83"/>
      <c r="BMJ96" s="83"/>
      <c r="BMT96" s="83"/>
      <c r="BND96" s="83"/>
      <c r="BNN96" s="83"/>
      <c r="BNX96" s="83"/>
      <c r="BOH96" s="83"/>
      <c r="BOR96" s="83"/>
      <c r="BPB96" s="83"/>
      <c r="BPL96" s="83"/>
      <c r="BPV96" s="83"/>
      <c r="BQF96" s="83"/>
      <c r="BQP96" s="83"/>
      <c r="BQZ96" s="83"/>
      <c r="BRJ96" s="83"/>
      <c r="BRT96" s="83"/>
      <c r="BSD96" s="83"/>
      <c r="BSN96" s="83"/>
      <c r="BSX96" s="83"/>
      <c r="BTH96" s="83"/>
      <c r="BTR96" s="83"/>
      <c r="BUB96" s="83"/>
      <c r="BUL96" s="83"/>
      <c r="BUV96" s="83"/>
      <c r="BVF96" s="83"/>
      <c r="BVP96" s="83"/>
      <c r="BVZ96" s="83"/>
      <c r="BWJ96" s="83"/>
      <c r="BWT96" s="83"/>
      <c r="BXD96" s="83"/>
      <c r="BXN96" s="83"/>
      <c r="BXX96" s="83"/>
      <c r="BYH96" s="83"/>
      <c r="BYR96" s="83"/>
      <c r="BZB96" s="83"/>
      <c r="BZL96" s="83"/>
      <c r="BZV96" s="83"/>
      <c r="CAF96" s="83"/>
      <c r="CAP96" s="83"/>
      <c r="CAZ96" s="83"/>
      <c r="CBJ96" s="83"/>
      <c r="CBT96" s="83"/>
      <c r="CCD96" s="83"/>
      <c r="CCN96" s="83"/>
      <c r="CCX96" s="83"/>
      <c r="CDH96" s="83"/>
      <c r="CDR96" s="83"/>
      <c r="CEB96" s="83"/>
      <c r="CEL96" s="83"/>
      <c r="CEV96" s="83"/>
      <c r="CFF96" s="83"/>
      <c r="CFP96" s="83"/>
      <c r="CFZ96" s="83"/>
      <c r="CGJ96" s="83"/>
      <c r="CGT96" s="83"/>
      <c r="CHD96" s="83"/>
      <c r="CHN96" s="83"/>
      <c r="CHX96" s="83"/>
      <c r="CIH96" s="83"/>
      <c r="CIR96" s="83"/>
      <c r="CJB96" s="83"/>
      <c r="CJL96" s="83"/>
      <c r="CJV96" s="83"/>
      <c r="CKF96" s="83"/>
      <c r="CKP96" s="83"/>
      <c r="CKZ96" s="83"/>
      <c r="CLJ96" s="83"/>
      <c r="CLT96" s="83"/>
      <c r="CMD96" s="83"/>
      <c r="CMN96" s="83"/>
      <c r="CMX96" s="83"/>
      <c r="CNH96" s="83"/>
      <c r="CNR96" s="83"/>
      <c r="COB96" s="83"/>
      <c r="COL96" s="83"/>
      <c r="COV96" s="83"/>
      <c r="CPF96" s="83"/>
      <c r="CPP96" s="83"/>
      <c r="CPZ96" s="83"/>
      <c r="CQJ96" s="83"/>
      <c r="CQT96" s="83"/>
      <c r="CRD96" s="83"/>
      <c r="CRN96" s="83"/>
      <c r="CRX96" s="83"/>
      <c r="CSH96" s="83"/>
      <c r="CSR96" s="83"/>
      <c r="CTB96" s="83"/>
      <c r="CTL96" s="83"/>
      <c r="CTV96" s="83"/>
    </row>
    <row r="97" s="58" customFormat="1" customHeight="1" spans="1:1020 1030:2040 2050:2570">
      <c r="A97" s="79">
        <v>46153</v>
      </c>
      <c r="B97" s="80" t="s">
        <v>22</v>
      </c>
      <c r="C97" s="38" t="s">
        <v>23</v>
      </c>
      <c r="D97" s="75">
        <v>652382826</v>
      </c>
      <c r="E97" s="84" t="s">
        <v>81</v>
      </c>
      <c r="F97" s="75" t="str">
        <f>VLOOKUP(E97,[9]基础数据!E:H,2,0)</f>
        <v>LS-CCUG001-AB-V1.02 三防漆单面 924_028</v>
      </c>
      <c r="G97" s="75">
        <v>648</v>
      </c>
      <c r="H97" s="75" t="str">
        <f>VLOOKUP(E97,[9]基础数据!E:H,4,0)</f>
        <v>料盒</v>
      </c>
      <c r="I97" s="75">
        <f>VLOOKUP(E97,[9]基础数据!E:G,3,0)</f>
        <v>72</v>
      </c>
      <c r="J97" s="75" t="s">
        <v>306</v>
      </c>
      <c r="K97" s="82">
        <f t="shared" si="1"/>
        <v>9</v>
      </c>
      <c r="T97" s="83"/>
      <c r="AD97" s="83"/>
      <c r="AN97" s="83"/>
      <c r="AX97" s="83"/>
      <c r="BH97" s="83"/>
      <c r="BR97" s="83"/>
      <c r="CB97" s="83"/>
      <c r="CL97" s="83"/>
      <c r="CV97" s="83"/>
      <c r="DF97" s="83"/>
      <c r="DP97" s="83"/>
      <c r="DZ97" s="83"/>
      <c r="EJ97" s="83"/>
      <c r="ET97" s="83"/>
      <c r="FD97" s="83"/>
      <c r="FN97" s="83"/>
      <c r="FX97" s="83"/>
      <c r="GH97" s="83"/>
      <c r="GR97" s="83"/>
      <c r="HB97" s="83"/>
      <c r="HL97" s="83"/>
      <c r="HV97" s="83"/>
      <c r="IF97" s="83"/>
      <c r="IP97" s="83"/>
      <c r="IZ97" s="83"/>
      <c r="JJ97" s="83"/>
      <c r="JT97" s="83"/>
      <c r="KD97" s="83"/>
      <c r="KN97" s="83"/>
      <c r="KX97" s="83"/>
      <c r="LH97" s="83"/>
      <c r="LR97" s="83"/>
      <c r="MB97" s="83"/>
      <c r="ML97" s="83"/>
      <c r="MV97" s="83"/>
      <c r="NF97" s="83"/>
      <c r="NP97" s="83"/>
      <c r="NZ97" s="83"/>
      <c r="OJ97" s="83"/>
      <c r="OT97" s="83"/>
      <c r="PD97" s="83"/>
      <c r="PN97" s="83"/>
      <c r="PX97" s="83"/>
      <c r="QH97" s="83"/>
      <c r="QR97" s="83"/>
      <c r="RB97" s="83"/>
      <c r="RL97" s="83"/>
      <c r="RV97" s="83"/>
      <c r="SF97" s="83"/>
      <c r="SP97" s="83"/>
      <c r="SZ97" s="83"/>
      <c r="TJ97" s="83"/>
      <c r="TT97" s="83"/>
      <c r="UD97" s="83"/>
      <c r="UN97" s="83"/>
      <c r="UX97" s="83"/>
      <c r="VH97" s="83"/>
      <c r="VR97" s="83"/>
      <c r="WB97" s="83"/>
      <c r="WL97" s="83"/>
      <c r="WV97" s="83"/>
      <c r="XF97" s="83"/>
      <c r="XP97" s="83"/>
      <c r="XZ97" s="83"/>
      <c r="YJ97" s="83"/>
      <c r="YT97" s="83"/>
      <c r="ZD97" s="83"/>
      <c r="ZN97" s="83"/>
      <c r="ZX97" s="83"/>
      <c r="AAH97" s="83"/>
      <c r="AAR97" s="83"/>
      <c r="ABB97" s="83"/>
      <c r="ABL97" s="83"/>
      <c r="ABV97" s="83"/>
      <c r="ACF97" s="83"/>
      <c r="ACP97" s="83"/>
      <c r="ACZ97" s="83"/>
      <c r="ADJ97" s="83"/>
      <c r="ADT97" s="83"/>
      <c r="AED97" s="83"/>
      <c r="AEN97" s="83"/>
      <c r="AEX97" s="83"/>
      <c r="AFH97" s="83"/>
      <c r="AFR97" s="83"/>
      <c r="AGB97" s="83"/>
      <c r="AGL97" s="83"/>
      <c r="AGV97" s="83"/>
      <c r="AHF97" s="83"/>
      <c r="AHP97" s="83"/>
      <c r="AHZ97" s="83"/>
      <c r="AIJ97" s="83"/>
      <c r="AIT97" s="83"/>
      <c r="AJD97" s="83"/>
      <c r="AJN97" s="83"/>
      <c r="AJX97" s="83"/>
      <c r="AKH97" s="83"/>
      <c r="AKR97" s="83"/>
      <c r="ALB97" s="83"/>
      <c r="ALL97" s="83"/>
      <c r="ALV97" s="83"/>
      <c r="AMF97" s="83"/>
      <c r="AMP97" s="83"/>
      <c r="AMZ97" s="83"/>
      <c r="ANJ97" s="83"/>
      <c r="ANT97" s="83"/>
      <c r="AOD97" s="83"/>
      <c r="AON97" s="83"/>
      <c r="AOX97" s="83"/>
      <c r="APH97" s="83"/>
      <c r="APR97" s="83"/>
      <c r="AQB97" s="83"/>
      <c r="AQL97" s="83"/>
      <c r="AQV97" s="83"/>
      <c r="ARF97" s="83"/>
      <c r="ARP97" s="83"/>
      <c r="ARZ97" s="83"/>
      <c r="ASJ97" s="83"/>
      <c r="AST97" s="83"/>
      <c r="ATD97" s="83"/>
      <c r="ATN97" s="83"/>
      <c r="ATX97" s="83"/>
      <c r="AUH97" s="83"/>
      <c r="AUR97" s="83"/>
      <c r="AVB97" s="83"/>
      <c r="AVL97" s="83"/>
      <c r="AVV97" s="83"/>
      <c r="AWF97" s="83"/>
      <c r="AWP97" s="83"/>
      <c r="AWZ97" s="83"/>
      <c r="AXJ97" s="83"/>
      <c r="AXT97" s="83"/>
      <c r="AYD97" s="83"/>
      <c r="AYN97" s="83"/>
      <c r="AYX97" s="83"/>
      <c r="AZH97" s="83"/>
      <c r="AZR97" s="83"/>
      <c r="BAB97" s="83"/>
      <c r="BAL97" s="83"/>
      <c r="BAV97" s="83"/>
      <c r="BBF97" s="83"/>
      <c r="BBP97" s="83"/>
      <c r="BBZ97" s="83"/>
      <c r="BCJ97" s="83"/>
      <c r="BCT97" s="83"/>
      <c r="BDD97" s="83"/>
      <c r="BDN97" s="83"/>
      <c r="BDX97" s="83"/>
      <c r="BEH97" s="83"/>
      <c r="BER97" s="83"/>
      <c r="BFB97" s="83"/>
      <c r="BFL97" s="83"/>
      <c r="BFV97" s="83"/>
      <c r="BGF97" s="83"/>
      <c r="BGP97" s="83"/>
      <c r="BGZ97" s="83"/>
      <c r="BHJ97" s="83"/>
      <c r="BHT97" s="83"/>
      <c r="BID97" s="83"/>
      <c r="BIN97" s="83"/>
      <c r="BIX97" s="83"/>
      <c r="BJH97" s="83"/>
      <c r="BJR97" s="83"/>
      <c r="BKB97" s="83"/>
      <c r="BKL97" s="83"/>
      <c r="BKV97" s="83"/>
      <c r="BLF97" s="83"/>
      <c r="BLP97" s="83"/>
      <c r="BLZ97" s="83"/>
      <c r="BMJ97" s="83"/>
      <c r="BMT97" s="83"/>
      <c r="BND97" s="83"/>
      <c r="BNN97" s="83"/>
      <c r="BNX97" s="83"/>
      <c r="BOH97" s="83"/>
      <c r="BOR97" s="83"/>
      <c r="BPB97" s="83"/>
      <c r="BPL97" s="83"/>
      <c r="BPV97" s="83"/>
      <c r="BQF97" s="83"/>
      <c r="BQP97" s="83"/>
      <c r="BQZ97" s="83"/>
      <c r="BRJ97" s="83"/>
      <c r="BRT97" s="83"/>
      <c r="BSD97" s="83"/>
      <c r="BSN97" s="83"/>
      <c r="BSX97" s="83"/>
      <c r="BTH97" s="83"/>
      <c r="BTR97" s="83"/>
      <c r="BUB97" s="83"/>
      <c r="BUL97" s="83"/>
      <c r="BUV97" s="83"/>
      <c r="BVF97" s="83"/>
      <c r="BVP97" s="83"/>
      <c r="BVZ97" s="83"/>
      <c r="BWJ97" s="83"/>
      <c r="BWT97" s="83"/>
      <c r="BXD97" s="83"/>
      <c r="BXN97" s="83"/>
      <c r="BXX97" s="83"/>
      <c r="BYH97" s="83"/>
      <c r="BYR97" s="83"/>
      <c r="BZB97" s="83"/>
      <c r="BZL97" s="83"/>
      <c r="BZV97" s="83"/>
      <c r="CAF97" s="83"/>
      <c r="CAP97" s="83"/>
      <c r="CAZ97" s="83"/>
      <c r="CBJ97" s="83"/>
      <c r="CBT97" s="83"/>
      <c r="CCD97" s="83"/>
      <c r="CCN97" s="83"/>
      <c r="CCX97" s="83"/>
      <c r="CDH97" s="83"/>
      <c r="CDR97" s="83"/>
      <c r="CEB97" s="83"/>
      <c r="CEL97" s="83"/>
      <c r="CEV97" s="83"/>
      <c r="CFF97" s="83"/>
      <c r="CFP97" s="83"/>
      <c r="CFZ97" s="83"/>
      <c r="CGJ97" s="83"/>
      <c r="CGT97" s="83"/>
      <c r="CHD97" s="83"/>
      <c r="CHN97" s="83"/>
      <c r="CHX97" s="83"/>
      <c r="CIH97" s="83"/>
      <c r="CIR97" s="83"/>
      <c r="CJB97" s="83"/>
      <c r="CJL97" s="83"/>
      <c r="CJV97" s="83"/>
      <c r="CKF97" s="83"/>
      <c r="CKP97" s="83"/>
      <c r="CKZ97" s="83"/>
      <c r="CLJ97" s="83"/>
      <c r="CLT97" s="83"/>
      <c r="CMD97" s="83"/>
      <c r="CMN97" s="83"/>
      <c r="CMX97" s="83"/>
      <c r="CNH97" s="83"/>
      <c r="CNR97" s="83"/>
      <c r="COB97" s="83"/>
      <c r="COL97" s="83"/>
      <c r="COV97" s="83"/>
      <c r="CPF97" s="83"/>
      <c r="CPP97" s="83"/>
      <c r="CPZ97" s="83"/>
      <c r="CQJ97" s="83"/>
      <c r="CQT97" s="83"/>
      <c r="CRD97" s="83"/>
      <c r="CRN97" s="83"/>
      <c r="CRX97" s="83"/>
      <c r="CSH97" s="83"/>
      <c r="CSR97" s="83"/>
      <c r="CTB97" s="83"/>
      <c r="CTL97" s="83"/>
      <c r="CTV97" s="83"/>
    </row>
    <row r="98" s="58" customFormat="1" customHeight="1" spans="1:1020 1030:2040 2050:2570">
      <c r="A98" s="79">
        <v>46153</v>
      </c>
      <c r="B98" s="80" t="s">
        <v>22</v>
      </c>
      <c r="C98" s="38" t="s">
        <v>23</v>
      </c>
      <c r="D98" s="75">
        <v>652382826</v>
      </c>
      <c r="E98" s="84" t="s">
        <v>90</v>
      </c>
      <c r="F98" s="75" t="str">
        <f>VLOOKUP(E98,[9]基础数据!E:H,2,0)</f>
        <v>LS-CCUB001-AA-DM2-V1.03 三防漆单面 931_007</v>
      </c>
      <c r="G98" s="75">
        <v>720</v>
      </c>
      <c r="H98" s="75" t="str">
        <f>VLOOKUP(E98,[9]基础数据!E:H,4,0)</f>
        <v>料盒</v>
      </c>
      <c r="I98" s="75">
        <f>VLOOKUP(E98,[9]基础数据!E:G,3,0)</f>
        <v>24</v>
      </c>
      <c r="J98" s="75" t="s">
        <v>306</v>
      </c>
      <c r="K98" s="82">
        <f t="shared" si="1"/>
        <v>30</v>
      </c>
      <c r="T98" s="83"/>
      <c r="AD98" s="83"/>
      <c r="AN98" s="83"/>
      <c r="AX98" s="83"/>
      <c r="BH98" s="83"/>
      <c r="BR98" s="83"/>
      <c r="CB98" s="83"/>
      <c r="CL98" s="83"/>
      <c r="CV98" s="83"/>
      <c r="DF98" s="83"/>
      <c r="DP98" s="83"/>
      <c r="DZ98" s="83"/>
      <c r="EJ98" s="83"/>
      <c r="ET98" s="83"/>
      <c r="FD98" s="83"/>
      <c r="FN98" s="83"/>
      <c r="FX98" s="83"/>
      <c r="GH98" s="83"/>
      <c r="GR98" s="83"/>
      <c r="HB98" s="83"/>
      <c r="HL98" s="83"/>
      <c r="HV98" s="83"/>
      <c r="IF98" s="83"/>
      <c r="IP98" s="83"/>
      <c r="IZ98" s="83"/>
      <c r="JJ98" s="83"/>
      <c r="JT98" s="83"/>
      <c r="KD98" s="83"/>
      <c r="KN98" s="83"/>
      <c r="KX98" s="83"/>
      <c r="LH98" s="83"/>
      <c r="LR98" s="83"/>
      <c r="MB98" s="83"/>
      <c r="ML98" s="83"/>
      <c r="MV98" s="83"/>
      <c r="NF98" s="83"/>
      <c r="NP98" s="83"/>
      <c r="NZ98" s="83"/>
      <c r="OJ98" s="83"/>
      <c r="OT98" s="83"/>
      <c r="PD98" s="83"/>
      <c r="PN98" s="83"/>
      <c r="PX98" s="83"/>
      <c r="QH98" s="83"/>
      <c r="QR98" s="83"/>
      <c r="RB98" s="83"/>
      <c r="RL98" s="83"/>
      <c r="RV98" s="83"/>
      <c r="SF98" s="83"/>
      <c r="SP98" s="83"/>
      <c r="SZ98" s="83"/>
      <c r="TJ98" s="83"/>
      <c r="TT98" s="83"/>
      <c r="UD98" s="83"/>
      <c r="UN98" s="83"/>
      <c r="UX98" s="83"/>
      <c r="VH98" s="83"/>
      <c r="VR98" s="83"/>
      <c r="WB98" s="83"/>
      <c r="WL98" s="83"/>
      <c r="WV98" s="83"/>
      <c r="XF98" s="83"/>
      <c r="XP98" s="83"/>
      <c r="XZ98" s="83"/>
      <c r="YJ98" s="83"/>
      <c r="YT98" s="83"/>
      <c r="ZD98" s="83"/>
      <c r="ZN98" s="83"/>
      <c r="ZX98" s="83"/>
      <c r="AAH98" s="83"/>
      <c r="AAR98" s="83"/>
      <c r="ABB98" s="83"/>
      <c r="ABL98" s="83"/>
      <c r="ABV98" s="83"/>
      <c r="ACF98" s="83"/>
      <c r="ACP98" s="83"/>
      <c r="ACZ98" s="83"/>
      <c r="ADJ98" s="83"/>
      <c r="ADT98" s="83"/>
      <c r="AED98" s="83"/>
      <c r="AEN98" s="83"/>
      <c r="AEX98" s="83"/>
      <c r="AFH98" s="83"/>
      <c r="AFR98" s="83"/>
      <c r="AGB98" s="83"/>
      <c r="AGL98" s="83"/>
      <c r="AGV98" s="83"/>
      <c r="AHF98" s="83"/>
      <c r="AHP98" s="83"/>
      <c r="AHZ98" s="83"/>
      <c r="AIJ98" s="83"/>
      <c r="AIT98" s="83"/>
      <c r="AJD98" s="83"/>
      <c r="AJN98" s="83"/>
      <c r="AJX98" s="83"/>
      <c r="AKH98" s="83"/>
      <c r="AKR98" s="83"/>
      <c r="ALB98" s="83"/>
      <c r="ALL98" s="83"/>
      <c r="ALV98" s="83"/>
      <c r="AMF98" s="83"/>
      <c r="AMP98" s="83"/>
      <c r="AMZ98" s="83"/>
      <c r="ANJ98" s="83"/>
      <c r="ANT98" s="83"/>
      <c r="AOD98" s="83"/>
      <c r="AON98" s="83"/>
      <c r="AOX98" s="83"/>
      <c r="APH98" s="83"/>
      <c r="APR98" s="83"/>
      <c r="AQB98" s="83"/>
      <c r="AQL98" s="83"/>
      <c r="AQV98" s="83"/>
      <c r="ARF98" s="83"/>
      <c r="ARP98" s="83"/>
      <c r="ARZ98" s="83"/>
      <c r="ASJ98" s="83"/>
      <c r="AST98" s="83"/>
      <c r="ATD98" s="83"/>
      <c r="ATN98" s="83"/>
      <c r="ATX98" s="83"/>
      <c r="AUH98" s="83"/>
      <c r="AUR98" s="83"/>
      <c r="AVB98" s="83"/>
      <c r="AVL98" s="83"/>
      <c r="AVV98" s="83"/>
      <c r="AWF98" s="83"/>
      <c r="AWP98" s="83"/>
      <c r="AWZ98" s="83"/>
      <c r="AXJ98" s="83"/>
      <c r="AXT98" s="83"/>
      <c r="AYD98" s="83"/>
      <c r="AYN98" s="83"/>
      <c r="AYX98" s="83"/>
      <c r="AZH98" s="83"/>
      <c r="AZR98" s="83"/>
      <c r="BAB98" s="83"/>
      <c r="BAL98" s="83"/>
      <c r="BAV98" s="83"/>
      <c r="BBF98" s="83"/>
      <c r="BBP98" s="83"/>
      <c r="BBZ98" s="83"/>
      <c r="BCJ98" s="83"/>
      <c r="BCT98" s="83"/>
      <c r="BDD98" s="83"/>
      <c r="BDN98" s="83"/>
      <c r="BDX98" s="83"/>
      <c r="BEH98" s="83"/>
      <c r="BER98" s="83"/>
      <c r="BFB98" s="83"/>
      <c r="BFL98" s="83"/>
      <c r="BFV98" s="83"/>
      <c r="BGF98" s="83"/>
      <c r="BGP98" s="83"/>
      <c r="BGZ98" s="83"/>
      <c r="BHJ98" s="83"/>
      <c r="BHT98" s="83"/>
      <c r="BID98" s="83"/>
      <c r="BIN98" s="83"/>
      <c r="BIX98" s="83"/>
      <c r="BJH98" s="83"/>
      <c r="BJR98" s="83"/>
      <c r="BKB98" s="83"/>
      <c r="BKL98" s="83"/>
      <c r="BKV98" s="83"/>
      <c r="BLF98" s="83"/>
      <c r="BLP98" s="83"/>
      <c r="BLZ98" s="83"/>
      <c r="BMJ98" s="83"/>
      <c r="BMT98" s="83"/>
      <c r="BND98" s="83"/>
      <c r="BNN98" s="83"/>
      <c r="BNX98" s="83"/>
      <c r="BOH98" s="83"/>
      <c r="BOR98" s="83"/>
      <c r="BPB98" s="83"/>
      <c r="BPL98" s="83"/>
      <c r="BPV98" s="83"/>
      <c r="BQF98" s="83"/>
      <c r="BQP98" s="83"/>
      <c r="BQZ98" s="83"/>
      <c r="BRJ98" s="83"/>
      <c r="BRT98" s="83"/>
      <c r="BSD98" s="83"/>
      <c r="BSN98" s="83"/>
      <c r="BSX98" s="83"/>
      <c r="BTH98" s="83"/>
      <c r="BTR98" s="83"/>
      <c r="BUB98" s="83"/>
      <c r="BUL98" s="83"/>
      <c r="BUV98" s="83"/>
      <c r="BVF98" s="83"/>
      <c r="BVP98" s="83"/>
      <c r="BVZ98" s="83"/>
      <c r="BWJ98" s="83"/>
      <c r="BWT98" s="83"/>
      <c r="BXD98" s="83"/>
      <c r="BXN98" s="83"/>
      <c r="BXX98" s="83"/>
      <c r="BYH98" s="83"/>
      <c r="BYR98" s="83"/>
      <c r="BZB98" s="83"/>
      <c r="BZL98" s="83"/>
      <c r="BZV98" s="83"/>
      <c r="CAF98" s="83"/>
      <c r="CAP98" s="83"/>
      <c r="CAZ98" s="83"/>
      <c r="CBJ98" s="83"/>
      <c r="CBT98" s="83"/>
      <c r="CCD98" s="83"/>
      <c r="CCN98" s="83"/>
      <c r="CCX98" s="83"/>
      <c r="CDH98" s="83"/>
      <c r="CDR98" s="83"/>
      <c r="CEB98" s="83"/>
      <c r="CEL98" s="83"/>
      <c r="CEV98" s="83"/>
      <c r="CFF98" s="83"/>
      <c r="CFP98" s="83"/>
      <c r="CFZ98" s="83"/>
      <c r="CGJ98" s="83"/>
      <c r="CGT98" s="83"/>
      <c r="CHD98" s="83"/>
      <c r="CHN98" s="83"/>
      <c r="CHX98" s="83"/>
      <c r="CIH98" s="83"/>
      <c r="CIR98" s="83"/>
      <c r="CJB98" s="83"/>
      <c r="CJL98" s="83"/>
      <c r="CJV98" s="83"/>
      <c r="CKF98" s="83"/>
      <c r="CKP98" s="83"/>
      <c r="CKZ98" s="83"/>
      <c r="CLJ98" s="83"/>
      <c r="CLT98" s="83"/>
      <c r="CMD98" s="83"/>
      <c r="CMN98" s="83"/>
      <c r="CMX98" s="83"/>
      <c r="CNH98" s="83"/>
      <c r="CNR98" s="83"/>
      <c r="COB98" s="83"/>
      <c r="COL98" s="83"/>
      <c r="COV98" s="83"/>
      <c r="CPF98" s="83"/>
      <c r="CPP98" s="83"/>
      <c r="CPZ98" s="83"/>
      <c r="CQJ98" s="83"/>
      <c r="CQT98" s="83"/>
      <c r="CRD98" s="83"/>
      <c r="CRN98" s="83"/>
      <c r="CRX98" s="83"/>
      <c r="CSH98" s="83"/>
      <c r="CSR98" s="83"/>
      <c r="CTB98" s="83"/>
      <c r="CTL98" s="83"/>
      <c r="CTV98" s="83"/>
    </row>
    <row r="99" s="58" customFormat="1" customHeight="1" spans="1:1020 1030:2040 2050:2570">
      <c r="A99" s="79">
        <v>46153</v>
      </c>
      <c r="B99" s="80" t="s">
        <v>22</v>
      </c>
      <c r="C99" s="38" t="s">
        <v>23</v>
      </c>
      <c r="D99" s="75">
        <v>652382826</v>
      </c>
      <c r="E99" s="84" t="s">
        <v>66</v>
      </c>
      <c r="F99" s="75" t="str">
        <f>VLOOKUP(E99,[9]基础数据!E:H,2,0)</f>
        <v>LS-CCUB001-AC-V1.02 三防漆双面 926_018</v>
      </c>
      <c r="G99" s="75">
        <v>893</v>
      </c>
      <c r="H99" s="75" t="str">
        <f>VLOOKUP(E99,[9]基础数据!E:H,4,0)</f>
        <v>料盒</v>
      </c>
      <c r="I99" s="75">
        <f>VLOOKUP(E99,[9]基础数据!E:G,3,0)</f>
        <v>240</v>
      </c>
      <c r="J99" s="75" t="s">
        <v>306</v>
      </c>
      <c r="K99" s="82">
        <f t="shared" si="1"/>
        <v>3.72083333333333</v>
      </c>
      <c r="T99" s="83"/>
      <c r="AD99" s="83"/>
      <c r="AN99" s="83"/>
      <c r="AX99" s="83"/>
      <c r="BH99" s="83"/>
      <c r="BR99" s="83"/>
      <c r="CB99" s="83"/>
      <c r="CL99" s="83"/>
      <c r="CV99" s="83"/>
      <c r="DF99" s="83"/>
      <c r="DP99" s="83"/>
      <c r="DZ99" s="83"/>
      <c r="EJ99" s="83"/>
      <c r="ET99" s="83"/>
      <c r="FD99" s="83"/>
      <c r="FN99" s="83"/>
      <c r="FX99" s="83"/>
      <c r="GH99" s="83"/>
      <c r="GR99" s="83"/>
      <c r="HB99" s="83"/>
      <c r="HL99" s="83"/>
      <c r="HV99" s="83"/>
      <c r="IF99" s="83"/>
      <c r="IP99" s="83"/>
      <c r="IZ99" s="83"/>
      <c r="JJ99" s="83"/>
      <c r="JT99" s="83"/>
      <c r="KD99" s="83"/>
      <c r="KN99" s="83"/>
      <c r="KX99" s="83"/>
      <c r="LH99" s="83"/>
      <c r="LR99" s="83"/>
      <c r="MB99" s="83"/>
      <c r="ML99" s="83"/>
      <c r="MV99" s="83"/>
      <c r="NF99" s="83"/>
      <c r="NP99" s="83"/>
      <c r="NZ99" s="83"/>
      <c r="OJ99" s="83"/>
      <c r="OT99" s="83"/>
      <c r="PD99" s="83"/>
      <c r="PN99" s="83"/>
      <c r="PX99" s="83"/>
      <c r="QH99" s="83"/>
      <c r="QR99" s="83"/>
      <c r="RB99" s="83"/>
      <c r="RL99" s="83"/>
      <c r="RV99" s="83"/>
      <c r="SF99" s="83"/>
      <c r="SP99" s="83"/>
      <c r="SZ99" s="83"/>
      <c r="TJ99" s="83"/>
      <c r="TT99" s="83"/>
      <c r="UD99" s="83"/>
      <c r="UN99" s="83"/>
      <c r="UX99" s="83"/>
      <c r="VH99" s="83"/>
      <c r="VR99" s="83"/>
      <c r="WB99" s="83"/>
      <c r="WL99" s="83"/>
      <c r="WV99" s="83"/>
      <c r="XF99" s="83"/>
      <c r="XP99" s="83"/>
      <c r="XZ99" s="83"/>
      <c r="YJ99" s="83"/>
      <c r="YT99" s="83"/>
      <c r="ZD99" s="83"/>
      <c r="ZN99" s="83"/>
      <c r="ZX99" s="83"/>
      <c r="AAH99" s="83"/>
      <c r="AAR99" s="83"/>
      <c r="ABB99" s="83"/>
      <c r="ABL99" s="83"/>
      <c r="ABV99" s="83"/>
      <c r="ACF99" s="83"/>
      <c r="ACP99" s="83"/>
      <c r="ACZ99" s="83"/>
      <c r="ADJ99" s="83"/>
      <c r="ADT99" s="83"/>
      <c r="AED99" s="83"/>
      <c r="AEN99" s="83"/>
      <c r="AEX99" s="83"/>
      <c r="AFH99" s="83"/>
      <c r="AFR99" s="83"/>
      <c r="AGB99" s="83"/>
      <c r="AGL99" s="83"/>
      <c r="AGV99" s="83"/>
      <c r="AHF99" s="83"/>
      <c r="AHP99" s="83"/>
      <c r="AHZ99" s="83"/>
      <c r="AIJ99" s="83"/>
      <c r="AIT99" s="83"/>
      <c r="AJD99" s="83"/>
      <c r="AJN99" s="83"/>
      <c r="AJX99" s="83"/>
      <c r="AKH99" s="83"/>
      <c r="AKR99" s="83"/>
      <c r="ALB99" s="83"/>
      <c r="ALL99" s="83"/>
      <c r="ALV99" s="83"/>
      <c r="AMF99" s="83"/>
      <c r="AMP99" s="83"/>
      <c r="AMZ99" s="83"/>
      <c r="ANJ99" s="83"/>
      <c r="ANT99" s="83"/>
      <c r="AOD99" s="83"/>
      <c r="AON99" s="83"/>
      <c r="AOX99" s="83"/>
      <c r="APH99" s="83"/>
      <c r="APR99" s="83"/>
      <c r="AQB99" s="83"/>
      <c r="AQL99" s="83"/>
      <c r="AQV99" s="83"/>
      <c r="ARF99" s="83"/>
      <c r="ARP99" s="83"/>
      <c r="ARZ99" s="83"/>
      <c r="ASJ99" s="83"/>
      <c r="AST99" s="83"/>
      <c r="ATD99" s="83"/>
      <c r="ATN99" s="83"/>
      <c r="ATX99" s="83"/>
      <c r="AUH99" s="83"/>
      <c r="AUR99" s="83"/>
      <c r="AVB99" s="83"/>
      <c r="AVL99" s="83"/>
      <c r="AVV99" s="83"/>
      <c r="AWF99" s="83"/>
      <c r="AWP99" s="83"/>
      <c r="AWZ99" s="83"/>
      <c r="AXJ99" s="83"/>
      <c r="AXT99" s="83"/>
      <c r="AYD99" s="83"/>
      <c r="AYN99" s="83"/>
      <c r="AYX99" s="83"/>
      <c r="AZH99" s="83"/>
      <c r="AZR99" s="83"/>
      <c r="BAB99" s="83"/>
      <c r="BAL99" s="83"/>
      <c r="BAV99" s="83"/>
      <c r="BBF99" s="83"/>
      <c r="BBP99" s="83"/>
      <c r="BBZ99" s="83"/>
      <c r="BCJ99" s="83"/>
      <c r="BCT99" s="83"/>
      <c r="BDD99" s="83"/>
      <c r="BDN99" s="83"/>
      <c r="BDX99" s="83"/>
      <c r="BEH99" s="83"/>
      <c r="BER99" s="83"/>
      <c r="BFB99" s="83"/>
      <c r="BFL99" s="83"/>
      <c r="BFV99" s="83"/>
      <c r="BGF99" s="83"/>
      <c r="BGP99" s="83"/>
      <c r="BGZ99" s="83"/>
      <c r="BHJ99" s="83"/>
      <c r="BHT99" s="83"/>
      <c r="BID99" s="83"/>
      <c r="BIN99" s="83"/>
      <c r="BIX99" s="83"/>
      <c r="BJH99" s="83"/>
      <c r="BJR99" s="83"/>
      <c r="BKB99" s="83"/>
      <c r="BKL99" s="83"/>
      <c r="BKV99" s="83"/>
      <c r="BLF99" s="83"/>
      <c r="BLP99" s="83"/>
      <c r="BLZ99" s="83"/>
      <c r="BMJ99" s="83"/>
      <c r="BMT99" s="83"/>
      <c r="BND99" s="83"/>
      <c r="BNN99" s="83"/>
      <c r="BNX99" s="83"/>
      <c r="BOH99" s="83"/>
      <c r="BOR99" s="83"/>
      <c r="BPB99" s="83"/>
      <c r="BPL99" s="83"/>
      <c r="BPV99" s="83"/>
      <c r="BQF99" s="83"/>
      <c r="BQP99" s="83"/>
      <c r="BQZ99" s="83"/>
      <c r="BRJ99" s="83"/>
      <c r="BRT99" s="83"/>
      <c r="BSD99" s="83"/>
      <c r="BSN99" s="83"/>
      <c r="BSX99" s="83"/>
      <c r="BTH99" s="83"/>
      <c r="BTR99" s="83"/>
      <c r="BUB99" s="83"/>
      <c r="BUL99" s="83"/>
      <c r="BUV99" s="83"/>
      <c r="BVF99" s="83"/>
      <c r="BVP99" s="83"/>
      <c r="BVZ99" s="83"/>
      <c r="BWJ99" s="83"/>
      <c r="BWT99" s="83"/>
      <c r="BXD99" s="83"/>
      <c r="BXN99" s="83"/>
      <c r="BXX99" s="83"/>
      <c r="BYH99" s="83"/>
      <c r="BYR99" s="83"/>
      <c r="BZB99" s="83"/>
      <c r="BZL99" s="83"/>
      <c r="BZV99" s="83"/>
      <c r="CAF99" s="83"/>
      <c r="CAP99" s="83"/>
      <c r="CAZ99" s="83"/>
      <c r="CBJ99" s="83"/>
      <c r="CBT99" s="83"/>
      <c r="CCD99" s="83"/>
      <c r="CCN99" s="83"/>
      <c r="CCX99" s="83"/>
      <c r="CDH99" s="83"/>
      <c r="CDR99" s="83"/>
      <c r="CEB99" s="83"/>
      <c r="CEL99" s="83"/>
      <c r="CEV99" s="83"/>
      <c r="CFF99" s="83"/>
      <c r="CFP99" s="83"/>
      <c r="CFZ99" s="83"/>
      <c r="CGJ99" s="83"/>
      <c r="CGT99" s="83"/>
      <c r="CHD99" s="83"/>
      <c r="CHN99" s="83"/>
      <c r="CHX99" s="83"/>
      <c r="CIH99" s="83"/>
      <c r="CIR99" s="83"/>
      <c r="CJB99" s="83"/>
      <c r="CJL99" s="83"/>
      <c r="CJV99" s="83"/>
      <c r="CKF99" s="83"/>
      <c r="CKP99" s="83"/>
      <c r="CKZ99" s="83"/>
      <c r="CLJ99" s="83"/>
      <c r="CLT99" s="83"/>
      <c r="CMD99" s="83"/>
      <c r="CMN99" s="83"/>
      <c r="CMX99" s="83"/>
      <c r="CNH99" s="83"/>
      <c r="CNR99" s="83"/>
      <c r="COB99" s="83"/>
      <c r="COL99" s="83"/>
      <c r="COV99" s="83"/>
      <c r="CPF99" s="83"/>
      <c r="CPP99" s="83"/>
      <c r="CPZ99" s="83"/>
      <c r="CQJ99" s="83"/>
      <c r="CQT99" s="83"/>
      <c r="CRD99" s="83"/>
      <c r="CRN99" s="83"/>
      <c r="CRX99" s="83"/>
      <c r="CSH99" s="83"/>
      <c r="CSR99" s="83"/>
      <c r="CTB99" s="83"/>
      <c r="CTL99" s="83"/>
      <c r="CTV99" s="83"/>
    </row>
    <row r="100" s="58" customFormat="1" customHeight="1" spans="1:1020 1030:2040 2050:2570">
      <c r="A100" s="79">
        <v>46153</v>
      </c>
      <c r="B100" s="80" t="s">
        <v>22</v>
      </c>
      <c r="C100" s="38" t="s">
        <v>23</v>
      </c>
      <c r="D100" s="75">
        <v>652382826</v>
      </c>
      <c r="E100" s="84" t="s">
        <v>87</v>
      </c>
      <c r="F100" s="75" t="str">
        <f>VLOOKUP(E100,[9]基础数据!E:H,2,0)</f>
        <v>LS-CCUC001-AA-DM2-V1.03 三防漆双面 930_010</v>
      </c>
      <c r="G100" s="75">
        <v>648</v>
      </c>
      <c r="H100" s="75" t="str">
        <f>VLOOKUP(E100,[9]基础数据!E:H,4,0)</f>
        <v>料盒</v>
      </c>
      <c r="I100" s="75">
        <f>VLOOKUP(E100,[9]基础数据!E:G,3,0)</f>
        <v>108</v>
      </c>
      <c r="J100" s="75" t="s">
        <v>306</v>
      </c>
      <c r="K100" s="82">
        <f t="shared" si="1"/>
        <v>6</v>
      </c>
      <c r="T100" s="83"/>
      <c r="AD100" s="83"/>
      <c r="AN100" s="83"/>
      <c r="AX100" s="83"/>
      <c r="BH100" s="83"/>
      <c r="BR100" s="83"/>
      <c r="CB100" s="83"/>
      <c r="CL100" s="83"/>
      <c r="CV100" s="83"/>
      <c r="DF100" s="83"/>
      <c r="DP100" s="83"/>
      <c r="DZ100" s="83"/>
      <c r="EJ100" s="83"/>
      <c r="ET100" s="83"/>
      <c r="FD100" s="83"/>
      <c r="FN100" s="83"/>
      <c r="FX100" s="83"/>
      <c r="GH100" s="83"/>
      <c r="GR100" s="83"/>
      <c r="HB100" s="83"/>
      <c r="HL100" s="83"/>
      <c r="HV100" s="83"/>
      <c r="IF100" s="83"/>
      <c r="IP100" s="83"/>
      <c r="IZ100" s="83"/>
      <c r="JJ100" s="83"/>
      <c r="JT100" s="83"/>
      <c r="KD100" s="83"/>
      <c r="KN100" s="83"/>
      <c r="KX100" s="83"/>
      <c r="LH100" s="83"/>
      <c r="LR100" s="83"/>
      <c r="MB100" s="83"/>
      <c r="ML100" s="83"/>
      <c r="MV100" s="83"/>
      <c r="NF100" s="83"/>
      <c r="NP100" s="83"/>
      <c r="NZ100" s="83"/>
      <c r="OJ100" s="83"/>
      <c r="OT100" s="83"/>
      <c r="PD100" s="83"/>
      <c r="PN100" s="83"/>
      <c r="PX100" s="83"/>
      <c r="QH100" s="83"/>
      <c r="QR100" s="83"/>
      <c r="RB100" s="83"/>
      <c r="RL100" s="83"/>
      <c r="RV100" s="83"/>
      <c r="SF100" s="83"/>
      <c r="SP100" s="83"/>
      <c r="SZ100" s="83"/>
      <c r="TJ100" s="83"/>
      <c r="TT100" s="83"/>
      <c r="UD100" s="83"/>
      <c r="UN100" s="83"/>
      <c r="UX100" s="83"/>
      <c r="VH100" s="83"/>
      <c r="VR100" s="83"/>
      <c r="WB100" s="83"/>
      <c r="WL100" s="83"/>
      <c r="WV100" s="83"/>
      <c r="XF100" s="83"/>
      <c r="XP100" s="83"/>
      <c r="XZ100" s="83"/>
      <c r="YJ100" s="83"/>
      <c r="YT100" s="83"/>
      <c r="ZD100" s="83"/>
      <c r="ZN100" s="83"/>
      <c r="ZX100" s="83"/>
      <c r="AAH100" s="83"/>
      <c r="AAR100" s="83"/>
      <c r="ABB100" s="83"/>
      <c r="ABL100" s="83"/>
      <c r="ABV100" s="83"/>
      <c r="ACF100" s="83"/>
      <c r="ACP100" s="83"/>
      <c r="ACZ100" s="83"/>
      <c r="ADJ100" s="83"/>
      <c r="ADT100" s="83"/>
      <c r="AED100" s="83"/>
      <c r="AEN100" s="83"/>
      <c r="AEX100" s="83"/>
      <c r="AFH100" s="83"/>
      <c r="AFR100" s="83"/>
      <c r="AGB100" s="83"/>
      <c r="AGL100" s="83"/>
      <c r="AGV100" s="83"/>
      <c r="AHF100" s="83"/>
      <c r="AHP100" s="83"/>
      <c r="AHZ100" s="83"/>
      <c r="AIJ100" s="83"/>
      <c r="AIT100" s="83"/>
      <c r="AJD100" s="83"/>
      <c r="AJN100" s="83"/>
      <c r="AJX100" s="83"/>
      <c r="AKH100" s="83"/>
      <c r="AKR100" s="83"/>
      <c r="ALB100" s="83"/>
      <c r="ALL100" s="83"/>
      <c r="ALV100" s="83"/>
      <c r="AMF100" s="83"/>
      <c r="AMP100" s="83"/>
      <c r="AMZ100" s="83"/>
      <c r="ANJ100" s="83"/>
      <c r="ANT100" s="83"/>
      <c r="AOD100" s="83"/>
      <c r="AON100" s="83"/>
      <c r="AOX100" s="83"/>
      <c r="APH100" s="83"/>
      <c r="APR100" s="83"/>
      <c r="AQB100" s="83"/>
      <c r="AQL100" s="83"/>
      <c r="AQV100" s="83"/>
      <c r="ARF100" s="83"/>
      <c r="ARP100" s="83"/>
      <c r="ARZ100" s="83"/>
      <c r="ASJ100" s="83"/>
      <c r="AST100" s="83"/>
      <c r="ATD100" s="83"/>
      <c r="ATN100" s="83"/>
      <c r="ATX100" s="83"/>
      <c r="AUH100" s="83"/>
      <c r="AUR100" s="83"/>
      <c r="AVB100" s="83"/>
      <c r="AVL100" s="83"/>
      <c r="AVV100" s="83"/>
      <c r="AWF100" s="83"/>
      <c r="AWP100" s="83"/>
      <c r="AWZ100" s="83"/>
      <c r="AXJ100" s="83"/>
      <c r="AXT100" s="83"/>
      <c r="AYD100" s="83"/>
      <c r="AYN100" s="83"/>
      <c r="AYX100" s="83"/>
      <c r="AZH100" s="83"/>
      <c r="AZR100" s="83"/>
      <c r="BAB100" s="83"/>
      <c r="BAL100" s="83"/>
      <c r="BAV100" s="83"/>
      <c r="BBF100" s="83"/>
      <c r="BBP100" s="83"/>
      <c r="BBZ100" s="83"/>
      <c r="BCJ100" s="83"/>
      <c r="BCT100" s="83"/>
      <c r="BDD100" s="83"/>
      <c r="BDN100" s="83"/>
      <c r="BDX100" s="83"/>
      <c r="BEH100" s="83"/>
      <c r="BER100" s="83"/>
      <c r="BFB100" s="83"/>
      <c r="BFL100" s="83"/>
      <c r="BFV100" s="83"/>
      <c r="BGF100" s="83"/>
      <c r="BGP100" s="83"/>
      <c r="BGZ100" s="83"/>
      <c r="BHJ100" s="83"/>
      <c r="BHT100" s="83"/>
      <c r="BID100" s="83"/>
      <c r="BIN100" s="83"/>
      <c r="BIX100" s="83"/>
      <c r="BJH100" s="83"/>
      <c r="BJR100" s="83"/>
      <c r="BKB100" s="83"/>
      <c r="BKL100" s="83"/>
      <c r="BKV100" s="83"/>
      <c r="BLF100" s="83"/>
      <c r="BLP100" s="83"/>
      <c r="BLZ100" s="83"/>
      <c r="BMJ100" s="83"/>
      <c r="BMT100" s="83"/>
      <c r="BND100" s="83"/>
      <c r="BNN100" s="83"/>
      <c r="BNX100" s="83"/>
      <c r="BOH100" s="83"/>
      <c r="BOR100" s="83"/>
      <c r="BPB100" s="83"/>
      <c r="BPL100" s="83"/>
      <c r="BPV100" s="83"/>
      <c r="BQF100" s="83"/>
      <c r="BQP100" s="83"/>
      <c r="BQZ100" s="83"/>
      <c r="BRJ100" s="83"/>
      <c r="BRT100" s="83"/>
      <c r="BSD100" s="83"/>
      <c r="BSN100" s="83"/>
      <c r="BSX100" s="83"/>
      <c r="BTH100" s="83"/>
      <c r="BTR100" s="83"/>
      <c r="BUB100" s="83"/>
      <c r="BUL100" s="83"/>
      <c r="BUV100" s="83"/>
      <c r="BVF100" s="83"/>
      <c r="BVP100" s="83"/>
      <c r="BVZ100" s="83"/>
      <c r="BWJ100" s="83"/>
      <c r="BWT100" s="83"/>
      <c r="BXD100" s="83"/>
      <c r="BXN100" s="83"/>
      <c r="BXX100" s="83"/>
      <c r="BYH100" s="83"/>
      <c r="BYR100" s="83"/>
      <c r="BZB100" s="83"/>
      <c r="BZL100" s="83"/>
      <c r="BZV100" s="83"/>
      <c r="CAF100" s="83"/>
      <c r="CAP100" s="83"/>
      <c r="CAZ100" s="83"/>
      <c r="CBJ100" s="83"/>
      <c r="CBT100" s="83"/>
      <c r="CCD100" s="83"/>
      <c r="CCN100" s="83"/>
      <c r="CCX100" s="83"/>
      <c r="CDH100" s="83"/>
      <c r="CDR100" s="83"/>
      <c r="CEB100" s="83"/>
      <c r="CEL100" s="83"/>
      <c r="CEV100" s="83"/>
      <c r="CFF100" s="83"/>
      <c r="CFP100" s="83"/>
      <c r="CFZ100" s="83"/>
      <c r="CGJ100" s="83"/>
      <c r="CGT100" s="83"/>
      <c r="CHD100" s="83"/>
      <c r="CHN100" s="83"/>
      <c r="CHX100" s="83"/>
      <c r="CIH100" s="83"/>
      <c r="CIR100" s="83"/>
      <c r="CJB100" s="83"/>
      <c r="CJL100" s="83"/>
      <c r="CJV100" s="83"/>
      <c r="CKF100" s="83"/>
      <c r="CKP100" s="83"/>
      <c r="CKZ100" s="83"/>
      <c r="CLJ100" s="83"/>
      <c r="CLT100" s="83"/>
      <c r="CMD100" s="83"/>
      <c r="CMN100" s="83"/>
      <c r="CMX100" s="83"/>
      <c r="CNH100" s="83"/>
      <c r="CNR100" s="83"/>
      <c r="COB100" s="83"/>
      <c r="COL100" s="83"/>
      <c r="COV100" s="83"/>
      <c r="CPF100" s="83"/>
      <c r="CPP100" s="83"/>
      <c r="CPZ100" s="83"/>
      <c r="CQJ100" s="83"/>
      <c r="CQT100" s="83"/>
      <c r="CRD100" s="83"/>
      <c r="CRN100" s="83"/>
      <c r="CRX100" s="83"/>
      <c r="CSH100" s="83"/>
      <c r="CSR100" s="83"/>
      <c r="CTB100" s="83"/>
      <c r="CTL100" s="83"/>
      <c r="CTV100" s="83"/>
    </row>
    <row r="101" s="58" customFormat="1" customHeight="1" spans="1:1020 1030:2040 2050:2570">
      <c r="A101" s="79">
        <v>46153</v>
      </c>
      <c r="B101" s="80" t="s">
        <v>22</v>
      </c>
      <c r="C101" s="38" t="s">
        <v>23</v>
      </c>
      <c r="D101" s="75">
        <v>652382826</v>
      </c>
      <c r="E101" s="84" t="s">
        <v>114</v>
      </c>
      <c r="F101" s="75" t="str">
        <f>VLOOKUP(E101,[9]基础数据!E:H,2,0)</f>
        <v>LS-CCUB001-AB-V1.04 三防漆双面 904_219</v>
      </c>
      <c r="G101" s="75">
        <v>523</v>
      </c>
      <c r="H101" s="75" t="str">
        <f>VLOOKUP(E101,[9]基础数据!E:H,4,0)</f>
        <v>料盒</v>
      </c>
      <c r="I101" s="75">
        <f>VLOOKUP(E101,[9]基础数据!E:G,3,0)</f>
        <v>54</v>
      </c>
      <c r="J101" s="75" t="s">
        <v>306</v>
      </c>
      <c r="K101" s="82">
        <f t="shared" si="1"/>
        <v>9.68518518518519</v>
      </c>
      <c r="T101" s="83"/>
      <c r="AD101" s="83"/>
      <c r="AN101" s="83"/>
      <c r="AX101" s="83"/>
      <c r="BH101" s="83"/>
      <c r="BR101" s="83"/>
      <c r="CB101" s="83"/>
      <c r="CL101" s="83"/>
      <c r="CV101" s="83"/>
      <c r="DF101" s="83"/>
      <c r="DP101" s="83"/>
      <c r="DZ101" s="83"/>
      <c r="EJ101" s="83"/>
      <c r="ET101" s="83"/>
      <c r="FD101" s="83"/>
      <c r="FN101" s="83"/>
      <c r="FX101" s="83"/>
      <c r="GH101" s="83"/>
      <c r="GR101" s="83"/>
      <c r="HB101" s="83"/>
      <c r="HL101" s="83"/>
      <c r="HV101" s="83"/>
      <c r="IF101" s="83"/>
      <c r="IP101" s="83"/>
      <c r="IZ101" s="83"/>
      <c r="JJ101" s="83"/>
      <c r="JT101" s="83"/>
      <c r="KD101" s="83"/>
      <c r="KN101" s="83"/>
      <c r="KX101" s="83"/>
      <c r="LH101" s="83"/>
      <c r="LR101" s="83"/>
      <c r="MB101" s="83"/>
      <c r="ML101" s="83"/>
      <c r="MV101" s="83"/>
      <c r="NF101" s="83"/>
      <c r="NP101" s="83"/>
      <c r="NZ101" s="83"/>
      <c r="OJ101" s="83"/>
      <c r="OT101" s="83"/>
      <c r="PD101" s="83"/>
      <c r="PN101" s="83"/>
      <c r="PX101" s="83"/>
      <c r="QH101" s="83"/>
      <c r="QR101" s="83"/>
      <c r="RB101" s="83"/>
      <c r="RL101" s="83"/>
      <c r="RV101" s="83"/>
      <c r="SF101" s="83"/>
      <c r="SP101" s="83"/>
      <c r="SZ101" s="83"/>
      <c r="TJ101" s="83"/>
      <c r="TT101" s="83"/>
      <c r="UD101" s="83"/>
      <c r="UN101" s="83"/>
      <c r="UX101" s="83"/>
      <c r="VH101" s="83"/>
      <c r="VR101" s="83"/>
      <c r="WB101" s="83"/>
      <c r="WL101" s="83"/>
      <c r="WV101" s="83"/>
      <c r="XF101" s="83"/>
      <c r="XP101" s="83"/>
      <c r="XZ101" s="83"/>
      <c r="YJ101" s="83"/>
      <c r="YT101" s="83"/>
      <c r="ZD101" s="83"/>
      <c r="ZN101" s="83"/>
      <c r="ZX101" s="83"/>
      <c r="AAH101" s="83"/>
      <c r="AAR101" s="83"/>
      <c r="ABB101" s="83"/>
      <c r="ABL101" s="83"/>
      <c r="ABV101" s="83"/>
      <c r="ACF101" s="83"/>
      <c r="ACP101" s="83"/>
      <c r="ACZ101" s="83"/>
      <c r="ADJ101" s="83"/>
      <c r="ADT101" s="83"/>
      <c r="AED101" s="83"/>
      <c r="AEN101" s="83"/>
      <c r="AEX101" s="83"/>
      <c r="AFH101" s="83"/>
      <c r="AFR101" s="83"/>
      <c r="AGB101" s="83"/>
      <c r="AGL101" s="83"/>
      <c r="AGV101" s="83"/>
      <c r="AHF101" s="83"/>
      <c r="AHP101" s="83"/>
      <c r="AHZ101" s="83"/>
      <c r="AIJ101" s="83"/>
      <c r="AIT101" s="83"/>
      <c r="AJD101" s="83"/>
      <c r="AJN101" s="83"/>
      <c r="AJX101" s="83"/>
      <c r="AKH101" s="83"/>
      <c r="AKR101" s="83"/>
      <c r="ALB101" s="83"/>
      <c r="ALL101" s="83"/>
      <c r="ALV101" s="83"/>
      <c r="AMF101" s="83"/>
      <c r="AMP101" s="83"/>
      <c r="AMZ101" s="83"/>
      <c r="ANJ101" s="83"/>
      <c r="ANT101" s="83"/>
      <c r="AOD101" s="83"/>
      <c r="AON101" s="83"/>
      <c r="AOX101" s="83"/>
      <c r="APH101" s="83"/>
      <c r="APR101" s="83"/>
      <c r="AQB101" s="83"/>
      <c r="AQL101" s="83"/>
      <c r="AQV101" s="83"/>
      <c r="ARF101" s="83"/>
      <c r="ARP101" s="83"/>
      <c r="ARZ101" s="83"/>
      <c r="ASJ101" s="83"/>
      <c r="AST101" s="83"/>
      <c r="ATD101" s="83"/>
      <c r="ATN101" s="83"/>
      <c r="ATX101" s="83"/>
      <c r="AUH101" s="83"/>
      <c r="AUR101" s="83"/>
      <c r="AVB101" s="83"/>
      <c r="AVL101" s="83"/>
      <c r="AVV101" s="83"/>
      <c r="AWF101" s="83"/>
      <c r="AWP101" s="83"/>
      <c r="AWZ101" s="83"/>
      <c r="AXJ101" s="83"/>
      <c r="AXT101" s="83"/>
      <c r="AYD101" s="83"/>
      <c r="AYN101" s="83"/>
      <c r="AYX101" s="83"/>
      <c r="AZH101" s="83"/>
      <c r="AZR101" s="83"/>
      <c r="BAB101" s="83"/>
      <c r="BAL101" s="83"/>
      <c r="BAV101" s="83"/>
      <c r="BBF101" s="83"/>
      <c r="BBP101" s="83"/>
      <c r="BBZ101" s="83"/>
      <c r="BCJ101" s="83"/>
      <c r="BCT101" s="83"/>
      <c r="BDD101" s="83"/>
      <c r="BDN101" s="83"/>
      <c r="BDX101" s="83"/>
      <c r="BEH101" s="83"/>
      <c r="BER101" s="83"/>
      <c r="BFB101" s="83"/>
      <c r="BFL101" s="83"/>
      <c r="BFV101" s="83"/>
      <c r="BGF101" s="83"/>
      <c r="BGP101" s="83"/>
      <c r="BGZ101" s="83"/>
      <c r="BHJ101" s="83"/>
      <c r="BHT101" s="83"/>
      <c r="BID101" s="83"/>
      <c r="BIN101" s="83"/>
      <c r="BIX101" s="83"/>
      <c r="BJH101" s="83"/>
      <c r="BJR101" s="83"/>
      <c r="BKB101" s="83"/>
      <c r="BKL101" s="83"/>
      <c r="BKV101" s="83"/>
      <c r="BLF101" s="83"/>
      <c r="BLP101" s="83"/>
      <c r="BLZ101" s="83"/>
      <c r="BMJ101" s="83"/>
      <c r="BMT101" s="83"/>
      <c r="BND101" s="83"/>
      <c r="BNN101" s="83"/>
      <c r="BNX101" s="83"/>
      <c r="BOH101" s="83"/>
      <c r="BOR101" s="83"/>
      <c r="BPB101" s="83"/>
      <c r="BPL101" s="83"/>
      <c r="BPV101" s="83"/>
      <c r="BQF101" s="83"/>
      <c r="BQP101" s="83"/>
      <c r="BQZ101" s="83"/>
      <c r="BRJ101" s="83"/>
      <c r="BRT101" s="83"/>
      <c r="BSD101" s="83"/>
      <c r="BSN101" s="83"/>
      <c r="BSX101" s="83"/>
      <c r="BTH101" s="83"/>
      <c r="BTR101" s="83"/>
      <c r="BUB101" s="83"/>
      <c r="BUL101" s="83"/>
      <c r="BUV101" s="83"/>
      <c r="BVF101" s="83"/>
      <c r="BVP101" s="83"/>
      <c r="BVZ101" s="83"/>
      <c r="BWJ101" s="83"/>
      <c r="BWT101" s="83"/>
      <c r="BXD101" s="83"/>
      <c r="BXN101" s="83"/>
      <c r="BXX101" s="83"/>
      <c r="BYH101" s="83"/>
      <c r="BYR101" s="83"/>
      <c r="BZB101" s="83"/>
      <c r="BZL101" s="83"/>
      <c r="BZV101" s="83"/>
      <c r="CAF101" s="83"/>
      <c r="CAP101" s="83"/>
      <c r="CAZ101" s="83"/>
      <c r="CBJ101" s="83"/>
      <c r="CBT101" s="83"/>
      <c r="CCD101" s="83"/>
      <c r="CCN101" s="83"/>
      <c r="CCX101" s="83"/>
      <c r="CDH101" s="83"/>
      <c r="CDR101" s="83"/>
      <c r="CEB101" s="83"/>
      <c r="CEL101" s="83"/>
      <c r="CEV101" s="83"/>
      <c r="CFF101" s="83"/>
      <c r="CFP101" s="83"/>
      <c r="CFZ101" s="83"/>
      <c r="CGJ101" s="83"/>
      <c r="CGT101" s="83"/>
      <c r="CHD101" s="83"/>
      <c r="CHN101" s="83"/>
      <c r="CHX101" s="83"/>
      <c r="CIH101" s="83"/>
      <c r="CIR101" s="83"/>
      <c r="CJB101" s="83"/>
      <c r="CJL101" s="83"/>
      <c r="CJV101" s="83"/>
      <c r="CKF101" s="83"/>
      <c r="CKP101" s="83"/>
      <c r="CKZ101" s="83"/>
      <c r="CLJ101" s="83"/>
      <c r="CLT101" s="83"/>
      <c r="CMD101" s="83"/>
      <c r="CMN101" s="83"/>
      <c r="CMX101" s="83"/>
      <c r="CNH101" s="83"/>
      <c r="CNR101" s="83"/>
      <c r="COB101" s="83"/>
      <c r="COL101" s="83"/>
      <c r="COV101" s="83"/>
      <c r="CPF101" s="83"/>
      <c r="CPP101" s="83"/>
      <c r="CPZ101" s="83"/>
      <c r="CQJ101" s="83"/>
      <c r="CQT101" s="83"/>
      <c r="CRD101" s="83"/>
      <c r="CRN101" s="83"/>
      <c r="CRX101" s="83"/>
      <c r="CSH101" s="83"/>
      <c r="CSR101" s="83"/>
      <c r="CTB101" s="83"/>
      <c r="CTL101" s="83"/>
      <c r="CTV101" s="83"/>
    </row>
    <row r="102" s="58" customFormat="1" customHeight="1" spans="1:1020 1030:2040 2050:2570">
      <c r="A102" s="79">
        <v>46153</v>
      </c>
      <c r="B102" s="80" t="s">
        <v>22</v>
      </c>
      <c r="C102" s="38" t="s">
        <v>23</v>
      </c>
      <c r="D102" s="75">
        <v>652382826</v>
      </c>
      <c r="E102" s="84" t="s">
        <v>78</v>
      </c>
      <c r="F102" s="75" t="str">
        <f>VLOOKUP(E102,[9]基础数据!E:H,2,0)</f>
        <v>LS-CCUG001-AA-V1.03 三防漆单面 926_014</v>
      </c>
      <c r="G102" s="75">
        <v>576</v>
      </c>
      <c r="H102" s="75" t="str">
        <f>VLOOKUP(E102,[9]基础数据!E:H,4,0)</f>
        <v>料盒</v>
      </c>
      <c r="I102" s="75">
        <f>VLOOKUP(E102,[9]基础数据!E:G,3,0)</f>
        <v>72</v>
      </c>
      <c r="J102" s="75" t="s">
        <v>306</v>
      </c>
      <c r="K102" s="82">
        <f t="shared" si="1"/>
        <v>8</v>
      </c>
      <c r="T102" s="83"/>
      <c r="AD102" s="83"/>
      <c r="AN102" s="83"/>
      <c r="AX102" s="83"/>
      <c r="BH102" s="83"/>
      <c r="BR102" s="83"/>
      <c r="CB102" s="83"/>
      <c r="CL102" s="83"/>
      <c r="CV102" s="83"/>
      <c r="DF102" s="83"/>
      <c r="DP102" s="83"/>
      <c r="DZ102" s="83"/>
      <c r="EJ102" s="83"/>
      <c r="ET102" s="83"/>
      <c r="FD102" s="83"/>
      <c r="FN102" s="83"/>
      <c r="FX102" s="83"/>
      <c r="GH102" s="83"/>
      <c r="GR102" s="83"/>
      <c r="HB102" s="83"/>
      <c r="HL102" s="83"/>
      <c r="HV102" s="83"/>
      <c r="IF102" s="83"/>
      <c r="IP102" s="83"/>
      <c r="IZ102" s="83"/>
      <c r="JJ102" s="83"/>
      <c r="JT102" s="83"/>
      <c r="KD102" s="83"/>
      <c r="KN102" s="83"/>
      <c r="KX102" s="83"/>
      <c r="LH102" s="83"/>
      <c r="LR102" s="83"/>
      <c r="MB102" s="83"/>
      <c r="ML102" s="83"/>
      <c r="MV102" s="83"/>
      <c r="NF102" s="83"/>
      <c r="NP102" s="83"/>
      <c r="NZ102" s="83"/>
      <c r="OJ102" s="83"/>
      <c r="OT102" s="83"/>
      <c r="PD102" s="83"/>
      <c r="PN102" s="83"/>
      <c r="PX102" s="83"/>
      <c r="QH102" s="83"/>
      <c r="QR102" s="83"/>
      <c r="RB102" s="83"/>
      <c r="RL102" s="83"/>
      <c r="RV102" s="83"/>
      <c r="SF102" s="83"/>
      <c r="SP102" s="83"/>
      <c r="SZ102" s="83"/>
      <c r="TJ102" s="83"/>
      <c r="TT102" s="83"/>
      <c r="UD102" s="83"/>
      <c r="UN102" s="83"/>
      <c r="UX102" s="83"/>
      <c r="VH102" s="83"/>
      <c r="VR102" s="83"/>
      <c r="WB102" s="83"/>
      <c r="WL102" s="83"/>
      <c r="WV102" s="83"/>
      <c r="XF102" s="83"/>
      <c r="XP102" s="83"/>
      <c r="XZ102" s="83"/>
      <c r="YJ102" s="83"/>
      <c r="YT102" s="83"/>
      <c r="ZD102" s="83"/>
      <c r="ZN102" s="83"/>
      <c r="ZX102" s="83"/>
      <c r="AAH102" s="83"/>
      <c r="AAR102" s="83"/>
      <c r="ABB102" s="83"/>
      <c r="ABL102" s="83"/>
      <c r="ABV102" s="83"/>
      <c r="ACF102" s="83"/>
      <c r="ACP102" s="83"/>
      <c r="ACZ102" s="83"/>
      <c r="ADJ102" s="83"/>
      <c r="ADT102" s="83"/>
      <c r="AED102" s="83"/>
      <c r="AEN102" s="83"/>
      <c r="AEX102" s="83"/>
      <c r="AFH102" s="83"/>
      <c r="AFR102" s="83"/>
      <c r="AGB102" s="83"/>
      <c r="AGL102" s="83"/>
      <c r="AGV102" s="83"/>
      <c r="AHF102" s="83"/>
      <c r="AHP102" s="83"/>
      <c r="AHZ102" s="83"/>
      <c r="AIJ102" s="83"/>
      <c r="AIT102" s="83"/>
      <c r="AJD102" s="83"/>
      <c r="AJN102" s="83"/>
      <c r="AJX102" s="83"/>
      <c r="AKH102" s="83"/>
      <c r="AKR102" s="83"/>
      <c r="ALB102" s="83"/>
      <c r="ALL102" s="83"/>
      <c r="ALV102" s="83"/>
      <c r="AMF102" s="83"/>
      <c r="AMP102" s="83"/>
      <c r="AMZ102" s="83"/>
      <c r="ANJ102" s="83"/>
      <c r="ANT102" s="83"/>
      <c r="AOD102" s="83"/>
      <c r="AON102" s="83"/>
      <c r="AOX102" s="83"/>
      <c r="APH102" s="83"/>
      <c r="APR102" s="83"/>
      <c r="AQB102" s="83"/>
      <c r="AQL102" s="83"/>
      <c r="AQV102" s="83"/>
      <c r="ARF102" s="83"/>
      <c r="ARP102" s="83"/>
      <c r="ARZ102" s="83"/>
      <c r="ASJ102" s="83"/>
      <c r="AST102" s="83"/>
      <c r="ATD102" s="83"/>
      <c r="ATN102" s="83"/>
      <c r="ATX102" s="83"/>
      <c r="AUH102" s="83"/>
      <c r="AUR102" s="83"/>
      <c r="AVB102" s="83"/>
      <c r="AVL102" s="83"/>
      <c r="AVV102" s="83"/>
      <c r="AWF102" s="83"/>
      <c r="AWP102" s="83"/>
      <c r="AWZ102" s="83"/>
      <c r="AXJ102" s="83"/>
      <c r="AXT102" s="83"/>
      <c r="AYD102" s="83"/>
      <c r="AYN102" s="83"/>
      <c r="AYX102" s="83"/>
      <c r="AZH102" s="83"/>
      <c r="AZR102" s="83"/>
      <c r="BAB102" s="83"/>
      <c r="BAL102" s="83"/>
      <c r="BAV102" s="83"/>
      <c r="BBF102" s="83"/>
      <c r="BBP102" s="83"/>
      <c r="BBZ102" s="83"/>
      <c r="BCJ102" s="83"/>
      <c r="BCT102" s="83"/>
      <c r="BDD102" s="83"/>
      <c r="BDN102" s="83"/>
      <c r="BDX102" s="83"/>
      <c r="BEH102" s="83"/>
      <c r="BER102" s="83"/>
      <c r="BFB102" s="83"/>
      <c r="BFL102" s="83"/>
      <c r="BFV102" s="83"/>
      <c r="BGF102" s="83"/>
      <c r="BGP102" s="83"/>
      <c r="BGZ102" s="83"/>
      <c r="BHJ102" s="83"/>
      <c r="BHT102" s="83"/>
      <c r="BID102" s="83"/>
      <c r="BIN102" s="83"/>
      <c r="BIX102" s="83"/>
      <c r="BJH102" s="83"/>
      <c r="BJR102" s="83"/>
      <c r="BKB102" s="83"/>
      <c r="BKL102" s="83"/>
      <c r="BKV102" s="83"/>
      <c r="BLF102" s="83"/>
      <c r="BLP102" s="83"/>
      <c r="BLZ102" s="83"/>
      <c r="BMJ102" s="83"/>
      <c r="BMT102" s="83"/>
      <c r="BND102" s="83"/>
      <c r="BNN102" s="83"/>
      <c r="BNX102" s="83"/>
      <c r="BOH102" s="83"/>
      <c r="BOR102" s="83"/>
      <c r="BPB102" s="83"/>
      <c r="BPL102" s="83"/>
      <c r="BPV102" s="83"/>
      <c r="BQF102" s="83"/>
      <c r="BQP102" s="83"/>
      <c r="BQZ102" s="83"/>
      <c r="BRJ102" s="83"/>
      <c r="BRT102" s="83"/>
      <c r="BSD102" s="83"/>
      <c r="BSN102" s="83"/>
      <c r="BSX102" s="83"/>
      <c r="BTH102" s="83"/>
      <c r="BTR102" s="83"/>
      <c r="BUB102" s="83"/>
      <c r="BUL102" s="83"/>
      <c r="BUV102" s="83"/>
      <c r="BVF102" s="83"/>
      <c r="BVP102" s="83"/>
      <c r="BVZ102" s="83"/>
      <c r="BWJ102" s="83"/>
      <c r="BWT102" s="83"/>
      <c r="BXD102" s="83"/>
      <c r="BXN102" s="83"/>
      <c r="BXX102" s="83"/>
      <c r="BYH102" s="83"/>
      <c r="BYR102" s="83"/>
      <c r="BZB102" s="83"/>
      <c r="BZL102" s="83"/>
      <c r="BZV102" s="83"/>
      <c r="CAF102" s="83"/>
      <c r="CAP102" s="83"/>
      <c r="CAZ102" s="83"/>
      <c r="CBJ102" s="83"/>
      <c r="CBT102" s="83"/>
      <c r="CCD102" s="83"/>
      <c r="CCN102" s="83"/>
      <c r="CCX102" s="83"/>
      <c r="CDH102" s="83"/>
      <c r="CDR102" s="83"/>
      <c r="CEB102" s="83"/>
      <c r="CEL102" s="83"/>
      <c r="CEV102" s="83"/>
      <c r="CFF102" s="83"/>
      <c r="CFP102" s="83"/>
      <c r="CFZ102" s="83"/>
      <c r="CGJ102" s="83"/>
      <c r="CGT102" s="83"/>
      <c r="CHD102" s="83"/>
      <c r="CHN102" s="83"/>
      <c r="CHX102" s="83"/>
      <c r="CIH102" s="83"/>
      <c r="CIR102" s="83"/>
      <c r="CJB102" s="83"/>
      <c r="CJL102" s="83"/>
      <c r="CJV102" s="83"/>
      <c r="CKF102" s="83"/>
      <c r="CKP102" s="83"/>
      <c r="CKZ102" s="83"/>
      <c r="CLJ102" s="83"/>
      <c r="CLT102" s="83"/>
      <c r="CMD102" s="83"/>
      <c r="CMN102" s="83"/>
      <c r="CMX102" s="83"/>
      <c r="CNH102" s="83"/>
      <c r="CNR102" s="83"/>
      <c r="COB102" s="83"/>
      <c r="COL102" s="83"/>
      <c r="COV102" s="83"/>
      <c r="CPF102" s="83"/>
      <c r="CPP102" s="83"/>
      <c r="CPZ102" s="83"/>
      <c r="CQJ102" s="83"/>
      <c r="CQT102" s="83"/>
      <c r="CRD102" s="83"/>
      <c r="CRN102" s="83"/>
      <c r="CRX102" s="83"/>
      <c r="CSH102" s="83"/>
      <c r="CSR102" s="83"/>
      <c r="CTB102" s="83"/>
      <c r="CTL102" s="83"/>
      <c r="CTV102" s="83"/>
    </row>
    <row r="103" s="58" customFormat="1" customHeight="1" spans="1:1020 1030:2040 2050:2570">
      <c r="A103" s="79">
        <v>46153</v>
      </c>
      <c r="B103" s="80" t="s">
        <v>22</v>
      </c>
      <c r="C103" s="38" t="s">
        <v>23</v>
      </c>
      <c r="D103" s="75">
        <v>652384562</v>
      </c>
      <c r="E103" s="84" t="s">
        <v>54</v>
      </c>
      <c r="F103" s="75" t="str">
        <f>VLOOKUP(E103,[9]基础数据!E:H,2,0)</f>
        <v>LXA12EV10-BSU总成-01</v>
      </c>
      <c r="G103" s="75">
        <v>960</v>
      </c>
      <c r="H103" s="75" t="str">
        <f>VLOOKUP(E103,[9]基础数据!E:H,4,0)</f>
        <v>料盒</v>
      </c>
      <c r="I103" s="75">
        <f>VLOOKUP(E103,[9]基础数据!E:G,3,0)</f>
        <v>20</v>
      </c>
      <c r="J103" s="75" t="s">
        <v>306</v>
      </c>
      <c r="K103" s="82">
        <f t="shared" si="1"/>
        <v>48</v>
      </c>
      <c r="T103" s="83"/>
      <c r="AD103" s="83"/>
      <c r="AN103" s="83"/>
      <c r="AX103" s="83"/>
      <c r="BH103" s="83"/>
      <c r="BR103" s="83"/>
      <c r="CB103" s="83"/>
      <c r="CL103" s="83"/>
      <c r="CV103" s="83"/>
      <c r="DF103" s="83"/>
      <c r="DP103" s="83"/>
      <c r="DZ103" s="83"/>
      <c r="EJ103" s="83"/>
      <c r="ET103" s="83"/>
      <c r="FD103" s="83"/>
      <c r="FN103" s="83"/>
      <c r="FX103" s="83"/>
      <c r="GH103" s="83"/>
      <c r="GR103" s="83"/>
      <c r="HB103" s="83"/>
      <c r="HL103" s="83"/>
      <c r="HV103" s="83"/>
      <c r="IF103" s="83"/>
      <c r="IP103" s="83"/>
      <c r="IZ103" s="83"/>
      <c r="JJ103" s="83"/>
      <c r="JT103" s="83"/>
      <c r="KD103" s="83"/>
      <c r="KN103" s="83"/>
      <c r="KX103" s="83"/>
      <c r="LH103" s="83"/>
      <c r="LR103" s="83"/>
      <c r="MB103" s="83"/>
      <c r="ML103" s="83"/>
      <c r="MV103" s="83"/>
      <c r="NF103" s="83"/>
      <c r="NP103" s="83"/>
      <c r="NZ103" s="83"/>
      <c r="OJ103" s="83"/>
      <c r="OT103" s="83"/>
      <c r="PD103" s="83"/>
      <c r="PN103" s="83"/>
      <c r="PX103" s="83"/>
      <c r="QH103" s="83"/>
      <c r="QR103" s="83"/>
      <c r="RB103" s="83"/>
      <c r="RL103" s="83"/>
      <c r="RV103" s="83"/>
      <c r="SF103" s="83"/>
      <c r="SP103" s="83"/>
      <c r="SZ103" s="83"/>
      <c r="TJ103" s="83"/>
      <c r="TT103" s="83"/>
      <c r="UD103" s="83"/>
      <c r="UN103" s="83"/>
      <c r="UX103" s="83"/>
      <c r="VH103" s="83"/>
      <c r="VR103" s="83"/>
      <c r="WB103" s="83"/>
      <c r="WL103" s="83"/>
      <c r="WV103" s="83"/>
      <c r="XF103" s="83"/>
      <c r="XP103" s="83"/>
      <c r="XZ103" s="83"/>
      <c r="YJ103" s="83"/>
      <c r="YT103" s="83"/>
      <c r="ZD103" s="83"/>
      <c r="ZN103" s="83"/>
      <c r="ZX103" s="83"/>
      <c r="AAH103" s="83"/>
      <c r="AAR103" s="83"/>
      <c r="ABB103" s="83"/>
      <c r="ABL103" s="83"/>
      <c r="ABV103" s="83"/>
      <c r="ACF103" s="83"/>
      <c r="ACP103" s="83"/>
      <c r="ACZ103" s="83"/>
      <c r="ADJ103" s="83"/>
      <c r="ADT103" s="83"/>
      <c r="AED103" s="83"/>
      <c r="AEN103" s="83"/>
      <c r="AEX103" s="83"/>
      <c r="AFH103" s="83"/>
      <c r="AFR103" s="83"/>
      <c r="AGB103" s="83"/>
      <c r="AGL103" s="83"/>
      <c r="AGV103" s="83"/>
      <c r="AHF103" s="83"/>
      <c r="AHP103" s="83"/>
      <c r="AHZ103" s="83"/>
      <c r="AIJ103" s="83"/>
      <c r="AIT103" s="83"/>
      <c r="AJD103" s="83"/>
      <c r="AJN103" s="83"/>
      <c r="AJX103" s="83"/>
      <c r="AKH103" s="83"/>
      <c r="AKR103" s="83"/>
      <c r="ALB103" s="83"/>
      <c r="ALL103" s="83"/>
      <c r="ALV103" s="83"/>
      <c r="AMF103" s="83"/>
      <c r="AMP103" s="83"/>
      <c r="AMZ103" s="83"/>
      <c r="ANJ103" s="83"/>
      <c r="ANT103" s="83"/>
      <c r="AOD103" s="83"/>
      <c r="AON103" s="83"/>
      <c r="AOX103" s="83"/>
      <c r="APH103" s="83"/>
      <c r="APR103" s="83"/>
      <c r="AQB103" s="83"/>
      <c r="AQL103" s="83"/>
      <c r="AQV103" s="83"/>
      <c r="ARF103" s="83"/>
      <c r="ARP103" s="83"/>
      <c r="ARZ103" s="83"/>
      <c r="ASJ103" s="83"/>
      <c r="AST103" s="83"/>
      <c r="ATD103" s="83"/>
      <c r="ATN103" s="83"/>
      <c r="ATX103" s="83"/>
      <c r="AUH103" s="83"/>
      <c r="AUR103" s="83"/>
      <c r="AVB103" s="83"/>
      <c r="AVL103" s="83"/>
      <c r="AVV103" s="83"/>
      <c r="AWF103" s="83"/>
      <c r="AWP103" s="83"/>
      <c r="AWZ103" s="83"/>
      <c r="AXJ103" s="83"/>
      <c r="AXT103" s="83"/>
      <c r="AYD103" s="83"/>
      <c r="AYN103" s="83"/>
      <c r="AYX103" s="83"/>
      <c r="AZH103" s="83"/>
      <c r="AZR103" s="83"/>
      <c r="BAB103" s="83"/>
      <c r="BAL103" s="83"/>
      <c r="BAV103" s="83"/>
      <c r="BBF103" s="83"/>
      <c r="BBP103" s="83"/>
      <c r="BBZ103" s="83"/>
      <c r="BCJ103" s="83"/>
      <c r="BCT103" s="83"/>
      <c r="BDD103" s="83"/>
      <c r="BDN103" s="83"/>
      <c r="BDX103" s="83"/>
      <c r="BEH103" s="83"/>
      <c r="BER103" s="83"/>
      <c r="BFB103" s="83"/>
      <c r="BFL103" s="83"/>
      <c r="BFV103" s="83"/>
      <c r="BGF103" s="83"/>
      <c r="BGP103" s="83"/>
      <c r="BGZ103" s="83"/>
      <c r="BHJ103" s="83"/>
      <c r="BHT103" s="83"/>
      <c r="BID103" s="83"/>
      <c r="BIN103" s="83"/>
      <c r="BIX103" s="83"/>
      <c r="BJH103" s="83"/>
      <c r="BJR103" s="83"/>
      <c r="BKB103" s="83"/>
      <c r="BKL103" s="83"/>
      <c r="BKV103" s="83"/>
      <c r="BLF103" s="83"/>
      <c r="BLP103" s="83"/>
      <c r="BLZ103" s="83"/>
      <c r="BMJ103" s="83"/>
      <c r="BMT103" s="83"/>
      <c r="BND103" s="83"/>
      <c r="BNN103" s="83"/>
      <c r="BNX103" s="83"/>
      <c r="BOH103" s="83"/>
      <c r="BOR103" s="83"/>
      <c r="BPB103" s="83"/>
      <c r="BPL103" s="83"/>
      <c r="BPV103" s="83"/>
      <c r="BQF103" s="83"/>
      <c r="BQP103" s="83"/>
      <c r="BQZ103" s="83"/>
      <c r="BRJ103" s="83"/>
      <c r="BRT103" s="83"/>
      <c r="BSD103" s="83"/>
      <c r="BSN103" s="83"/>
      <c r="BSX103" s="83"/>
      <c r="BTH103" s="83"/>
      <c r="BTR103" s="83"/>
      <c r="BUB103" s="83"/>
      <c r="BUL103" s="83"/>
      <c r="BUV103" s="83"/>
      <c r="BVF103" s="83"/>
      <c r="BVP103" s="83"/>
      <c r="BVZ103" s="83"/>
      <c r="BWJ103" s="83"/>
      <c r="BWT103" s="83"/>
      <c r="BXD103" s="83"/>
      <c r="BXN103" s="83"/>
      <c r="BXX103" s="83"/>
      <c r="BYH103" s="83"/>
      <c r="BYR103" s="83"/>
      <c r="BZB103" s="83"/>
      <c r="BZL103" s="83"/>
      <c r="BZV103" s="83"/>
      <c r="CAF103" s="83"/>
      <c r="CAP103" s="83"/>
      <c r="CAZ103" s="83"/>
      <c r="CBJ103" s="83"/>
      <c r="CBT103" s="83"/>
      <c r="CCD103" s="83"/>
      <c r="CCN103" s="83"/>
      <c r="CCX103" s="83"/>
      <c r="CDH103" s="83"/>
      <c r="CDR103" s="83"/>
      <c r="CEB103" s="83"/>
      <c r="CEL103" s="83"/>
      <c r="CEV103" s="83"/>
      <c r="CFF103" s="83"/>
      <c r="CFP103" s="83"/>
      <c r="CFZ103" s="83"/>
      <c r="CGJ103" s="83"/>
      <c r="CGT103" s="83"/>
      <c r="CHD103" s="83"/>
      <c r="CHN103" s="83"/>
      <c r="CHX103" s="83"/>
      <c r="CIH103" s="83"/>
      <c r="CIR103" s="83"/>
      <c r="CJB103" s="83"/>
      <c r="CJL103" s="83"/>
      <c r="CJV103" s="83"/>
      <c r="CKF103" s="83"/>
      <c r="CKP103" s="83"/>
      <c r="CKZ103" s="83"/>
      <c r="CLJ103" s="83"/>
      <c r="CLT103" s="83"/>
      <c r="CMD103" s="83"/>
      <c r="CMN103" s="83"/>
      <c r="CMX103" s="83"/>
      <c r="CNH103" s="83"/>
      <c r="CNR103" s="83"/>
      <c r="COB103" s="83"/>
      <c r="COL103" s="83"/>
      <c r="COV103" s="83"/>
      <c r="CPF103" s="83"/>
      <c r="CPP103" s="83"/>
      <c r="CPZ103" s="83"/>
      <c r="CQJ103" s="83"/>
      <c r="CQT103" s="83"/>
      <c r="CRD103" s="83"/>
      <c r="CRN103" s="83"/>
      <c r="CRX103" s="83"/>
      <c r="CSH103" s="83"/>
      <c r="CSR103" s="83"/>
      <c r="CTB103" s="83"/>
      <c r="CTL103" s="83"/>
      <c r="CTV103" s="83"/>
    </row>
    <row r="104" s="58" customFormat="1" customHeight="1" spans="1:1020 1030:2040 2050:2570">
      <c r="A104" s="79">
        <v>46153</v>
      </c>
      <c r="B104" s="80" t="s">
        <v>22</v>
      </c>
      <c r="C104" s="38" t="s">
        <v>23</v>
      </c>
      <c r="D104" s="75">
        <v>652384562</v>
      </c>
      <c r="E104" s="84" t="s">
        <v>57</v>
      </c>
      <c r="F104" s="75" t="str">
        <f>VLOOKUP(E104,[9]基础数据!E:H,2,0)</f>
        <v>LXA12EV10-BSU总成-02</v>
      </c>
      <c r="G104" s="75">
        <v>960</v>
      </c>
      <c r="H104" s="75" t="str">
        <f>VLOOKUP(E104,[9]基础数据!E:H,4,0)</f>
        <v>料盒</v>
      </c>
      <c r="I104" s="75">
        <f>VLOOKUP(E104,[9]基础数据!E:G,3,0)</f>
        <v>20</v>
      </c>
      <c r="J104" s="75" t="s">
        <v>306</v>
      </c>
      <c r="K104" s="82">
        <f t="shared" si="1"/>
        <v>48</v>
      </c>
      <c r="T104" s="83"/>
      <c r="AD104" s="83"/>
      <c r="AN104" s="83"/>
      <c r="AX104" s="83"/>
      <c r="BH104" s="83"/>
      <c r="BR104" s="83"/>
      <c r="CB104" s="83"/>
      <c r="CL104" s="83"/>
      <c r="CV104" s="83"/>
      <c r="DF104" s="83"/>
      <c r="DP104" s="83"/>
      <c r="DZ104" s="83"/>
      <c r="EJ104" s="83"/>
      <c r="ET104" s="83"/>
      <c r="FD104" s="83"/>
      <c r="FN104" s="83"/>
      <c r="FX104" s="83"/>
      <c r="GH104" s="83"/>
      <c r="GR104" s="83"/>
      <c r="HB104" s="83"/>
      <c r="HL104" s="83"/>
      <c r="HV104" s="83"/>
      <c r="IF104" s="83"/>
      <c r="IP104" s="83"/>
      <c r="IZ104" s="83"/>
      <c r="JJ104" s="83"/>
      <c r="JT104" s="83"/>
      <c r="KD104" s="83"/>
      <c r="KN104" s="83"/>
      <c r="KX104" s="83"/>
      <c r="LH104" s="83"/>
      <c r="LR104" s="83"/>
      <c r="MB104" s="83"/>
      <c r="ML104" s="83"/>
      <c r="MV104" s="83"/>
      <c r="NF104" s="83"/>
      <c r="NP104" s="83"/>
      <c r="NZ104" s="83"/>
      <c r="OJ104" s="83"/>
      <c r="OT104" s="83"/>
      <c r="PD104" s="83"/>
      <c r="PN104" s="83"/>
      <c r="PX104" s="83"/>
      <c r="QH104" s="83"/>
      <c r="QR104" s="83"/>
      <c r="RB104" s="83"/>
      <c r="RL104" s="83"/>
      <c r="RV104" s="83"/>
      <c r="SF104" s="83"/>
      <c r="SP104" s="83"/>
      <c r="SZ104" s="83"/>
      <c r="TJ104" s="83"/>
      <c r="TT104" s="83"/>
      <c r="UD104" s="83"/>
      <c r="UN104" s="83"/>
      <c r="UX104" s="83"/>
      <c r="VH104" s="83"/>
      <c r="VR104" s="83"/>
      <c r="WB104" s="83"/>
      <c r="WL104" s="83"/>
      <c r="WV104" s="83"/>
      <c r="XF104" s="83"/>
      <c r="XP104" s="83"/>
      <c r="XZ104" s="83"/>
      <c r="YJ104" s="83"/>
      <c r="YT104" s="83"/>
      <c r="ZD104" s="83"/>
      <c r="ZN104" s="83"/>
      <c r="ZX104" s="83"/>
      <c r="AAH104" s="83"/>
      <c r="AAR104" s="83"/>
      <c r="ABB104" s="83"/>
      <c r="ABL104" s="83"/>
      <c r="ABV104" s="83"/>
      <c r="ACF104" s="83"/>
      <c r="ACP104" s="83"/>
      <c r="ACZ104" s="83"/>
      <c r="ADJ104" s="83"/>
      <c r="ADT104" s="83"/>
      <c r="AED104" s="83"/>
      <c r="AEN104" s="83"/>
      <c r="AEX104" s="83"/>
      <c r="AFH104" s="83"/>
      <c r="AFR104" s="83"/>
      <c r="AGB104" s="83"/>
      <c r="AGL104" s="83"/>
      <c r="AGV104" s="83"/>
      <c r="AHF104" s="83"/>
      <c r="AHP104" s="83"/>
      <c r="AHZ104" s="83"/>
      <c r="AIJ104" s="83"/>
      <c r="AIT104" s="83"/>
      <c r="AJD104" s="83"/>
      <c r="AJN104" s="83"/>
      <c r="AJX104" s="83"/>
      <c r="AKH104" s="83"/>
      <c r="AKR104" s="83"/>
      <c r="ALB104" s="83"/>
      <c r="ALL104" s="83"/>
      <c r="ALV104" s="83"/>
      <c r="AMF104" s="83"/>
      <c r="AMP104" s="83"/>
      <c r="AMZ104" s="83"/>
      <c r="ANJ104" s="83"/>
      <c r="ANT104" s="83"/>
      <c r="AOD104" s="83"/>
      <c r="AON104" s="83"/>
      <c r="AOX104" s="83"/>
      <c r="APH104" s="83"/>
      <c r="APR104" s="83"/>
      <c r="AQB104" s="83"/>
      <c r="AQL104" s="83"/>
      <c r="AQV104" s="83"/>
      <c r="ARF104" s="83"/>
      <c r="ARP104" s="83"/>
      <c r="ARZ104" s="83"/>
      <c r="ASJ104" s="83"/>
      <c r="AST104" s="83"/>
      <c r="ATD104" s="83"/>
      <c r="ATN104" s="83"/>
      <c r="ATX104" s="83"/>
      <c r="AUH104" s="83"/>
      <c r="AUR104" s="83"/>
      <c r="AVB104" s="83"/>
      <c r="AVL104" s="83"/>
      <c r="AVV104" s="83"/>
      <c r="AWF104" s="83"/>
      <c r="AWP104" s="83"/>
      <c r="AWZ104" s="83"/>
      <c r="AXJ104" s="83"/>
      <c r="AXT104" s="83"/>
      <c r="AYD104" s="83"/>
      <c r="AYN104" s="83"/>
      <c r="AYX104" s="83"/>
      <c r="AZH104" s="83"/>
      <c r="AZR104" s="83"/>
      <c r="BAB104" s="83"/>
      <c r="BAL104" s="83"/>
      <c r="BAV104" s="83"/>
      <c r="BBF104" s="83"/>
      <c r="BBP104" s="83"/>
      <c r="BBZ104" s="83"/>
      <c r="BCJ104" s="83"/>
      <c r="BCT104" s="83"/>
      <c r="BDD104" s="83"/>
      <c r="BDN104" s="83"/>
      <c r="BDX104" s="83"/>
      <c r="BEH104" s="83"/>
      <c r="BER104" s="83"/>
      <c r="BFB104" s="83"/>
      <c r="BFL104" s="83"/>
      <c r="BFV104" s="83"/>
      <c r="BGF104" s="83"/>
      <c r="BGP104" s="83"/>
      <c r="BGZ104" s="83"/>
      <c r="BHJ104" s="83"/>
      <c r="BHT104" s="83"/>
      <c r="BID104" s="83"/>
      <c r="BIN104" s="83"/>
      <c r="BIX104" s="83"/>
      <c r="BJH104" s="83"/>
      <c r="BJR104" s="83"/>
      <c r="BKB104" s="83"/>
      <c r="BKL104" s="83"/>
      <c r="BKV104" s="83"/>
      <c r="BLF104" s="83"/>
      <c r="BLP104" s="83"/>
      <c r="BLZ104" s="83"/>
      <c r="BMJ104" s="83"/>
      <c r="BMT104" s="83"/>
      <c r="BND104" s="83"/>
      <c r="BNN104" s="83"/>
      <c r="BNX104" s="83"/>
      <c r="BOH104" s="83"/>
      <c r="BOR104" s="83"/>
      <c r="BPB104" s="83"/>
      <c r="BPL104" s="83"/>
      <c r="BPV104" s="83"/>
      <c r="BQF104" s="83"/>
      <c r="BQP104" s="83"/>
      <c r="BQZ104" s="83"/>
      <c r="BRJ104" s="83"/>
      <c r="BRT104" s="83"/>
      <c r="BSD104" s="83"/>
      <c r="BSN104" s="83"/>
      <c r="BSX104" s="83"/>
      <c r="BTH104" s="83"/>
      <c r="BTR104" s="83"/>
      <c r="BUB104" s="83"/>
      <c r="BUL104" s="83"/>
      <c r="BUV104" s="83"/>
      <c r="BVF104" s="83"/>
      <c r="BVP104" s="83"/>
      <c r="BVZ104" s="83"/>
      <c r="BWJ104" s="83"/>
      <c r="BWT104" s="83"/>
      <c r="BXD104" s="83"/>
      <c r="BXN104" s="83"/>
      <c r="BXX104" s="83"/>
      <c r="BYH104" s="83"/>
      <c r="BYR104" s="83"/>
      <c r="BZB104" s="83"/>
      <c r="BZL104" s="83"/>
      <c r="BZV104" s="83"/>
      <c r="CAF104" s="83"/>
      <c r="CAP104" s="83"/>
      <c r="CAZ104" s="83"/>
      <c r="CBJ104" s="83"/>
      <c r="CBT104" s="83"/>
      <c r="CCD104" s="83"/>
      <c r="CCN104" s="83"/>
      <c r="CCX104" s="83"/>
      <c r="CDH104" s="83"/>
      <c r="CDR104" s="83"/>
      <c r="CEB104" s="83"/>
      <c r="CEL104" s="83"/>
      <c r="CEV104" s="83"/>
      <c r="CFF104" s="83"/>
      <c r="CFP104" s="83"/>
      <c r="CFZ104" s="83"/>
      <c r="CGJ104" s="83"/>
      <c r="CGT104" s="83"/>
      <c r="CHD104" s="83"/>
      <c r="CHN104" s="83"/>
      <c r="CHX104" s="83"/>
      <c r="CIH104" s="83"/>
      <c r="CIR104" s="83"/>
      <c r="CJB104" s="83"/>
      <c r="CJL104" s="83"/>
      <c r="CJV104" s="83"/>
      <c r="CKF104" s="83"/>
      <c r="CKP104" s="83"/>
      <c r="CKZ104" s="83"/>
      <c r="CLJ104" s="83"/>
      <c r="CLT104" s="83"/>
      <c r="CMD104" s="83"/>
      <c r="CMN104" s="83"/>
      <c r="CMX104" s="83"/>
      <c r="CNH104" s="83"/>
      <c r="CNR104" s="83"/>
      <c r="COB104" s="83"/>
      <c r="COL104" s="83"/>
      <c r="COV104" s="83"/>
      <c r="CPF104" s="83"/>
      <c r="CPP104" s="83"/>
      <c r="CPZ104" s="83"/>
      <c r="CQJ104" s="83"/>
      <c r="CQT104" s="83"/>
      <c r="CRD104" s="83"/>
      <c r="CRN104" s="83"/>
      <c r="CRX104" s="83"/>
      <c r="CSH104" s="83"/>
      <c r="CSR104" s="83"/>
      <c r="CTB104" s="83"/>
      <c r="CTL104" s="83"/>
      <c r="CTV104" s="83"/>
    </row>
    <row r="105" s="58" customFormat="1" customHeight="1" spans="1:1020 1030:2040 2050:2570">
      <c r="A105" s="79">
        <v>46153</v>
      </c>
      <c r="B105" s="80" t="s">
        <v>22</v>
      </c>
      <c r="C105" s="38" t="s">
        <v>23</v>
      </c>
      <c r="D105" s="75">
        <v>652381672</v>
      </c>
      <c r="E105" s="84" t="s">
        <v>63</v>
      </c>
      <c r="F105" s="75" t="str">
        <f>VLOOKUP(E105,[9]基础数据!E:H,2,0)</f>
        <v>IGBT组件（A平台国内版NON-FUSA一体板结构PCBA）</v>
      </c>
      <c r="G105" s="75">
        <v>1080</v>
      </c>
      <c r="H105" s="75" t="str">
        <f>VLOOKUP(E105,[9]基础数据!E:H,4,0)</f>
        <v>料盒</v>
      </c>
      <c r="I105" s="75">
        <f>VLOOKUP(E105,[9]基础数据!E:G,3,0)</f>
        <v>12</v>
      </c>
      <c r="J105" s="75" t="s">
        <v>306</v>
      </c>
      <c r="K105" s="82">
        <f t="shared" si="1"/>
        <v>90</v>
      </c>
      <c r="T105" s="83"/>
      <c r="AD105" s="83"/>
      <c r="AN105" s="83"/>
      <c r="AX105" s="83"/>
      <c r="BH105" s="83"/>
      <c r="BR105" s="83"/>
      <c r="CB105" s="83"/>
      <c r="CL105" s="83"/>
      <c r="CV105" s="83"/>
      <c r="DF105" s="83"/>
      <c r="DP105" s="83"/>
      <c r="DZ105" s="83"/>
      <c r="EJ105" s="83"/>
      <c r="ET105" s="83"/>
      <c r="FD105" s="83"/>
      <c r="FN105" s="83"/>
      <c r="FX105" s="83"/>
      <c r="GH105" s="83"/>
      <c r="GR105" s="83"/>
      <c r="HB105" s="83"/>
      <c r="HL105" s="83"/>
      <c r="HV105" s="83"/>
      <c r="IF105" s="83"/>
      <c r="IP105" s="83"/>
      <c r="IZ105" s="83"/>
      <c r="JJ105" s="83"/>
      <c r="JT105" s="83"/>
      <c r="KD105" s="83"/>
      <c r="KN105" s="83"/>
      <c r="KX105" s="83"/>
      <c r="LH105" s="83"/>
      <c r="LR105" s="83"/>
      <c r="MB105" s="83"/>
      <c r="ML105" s="83"/>
      <c r="MV105" s="83"/>
      <c r="NF105" s="83"/>
      <c r="NP105" s="83"/>
      <c r="NZ105" s="83"/>
      <c r="OJ105" s="83"/>
      <c r="OT105" s="83"/>
      <c r="PD105" s="83"/>
      <c r="PN105" s="83"/>
      <c r="PX105" s="83"/>
      <c r="QH105" s="83"/>
      <c r="QR105" s="83"/>
      <c r="RB105" s="83"/>
      <c r="RL105" s="83"/>
      <c r="RV105" s="83"/>
      <c r="SF105" s="83"/>
      <c r="SP105" s="83"/>
      <c r="SZ105" s="83"/>
      <c r="TJ105" s="83"/>
      <c r="TT105" s="83"/>
      <c r="UD105" s="83"/>
      <c r="UN105" s="83"/>
      <c r="UX105" s="83"/>
      <c r="VH105" s="83"/>
      <c r="VR105" s="83"/>
      <c r="WB105" s="83"/>
      <c r="WL105" s="83"/>
      <c r="WV105" s="83"/>
      <c r="XF105" s="83"/>
      <c r="XP105" s="83"/>
      <c r="XZ105" s="83"/>
      <c r="YJ105" s="83"/>
      <c r="YT105" s="83"/>
      <c r="ZD105" s="83"/>
      <c r="ZN105" s="83"/>
      <c r="ZX105" s="83"/>
      <c r="AAH105" s="83"/>
      <c r="AAR105" s="83"/>
      <c r="ABB105" s="83"/>
      <c r="ABL105" s="83"/>
      <c r="ABV105" s="83"/>
      <c r="ACF105" s="83"/>
      <c r="ACP105" s="83"/>
      <c r="ACZ105" s="83"/>
      <c r="ADJ105" s="83"/>
      <c r="ADT105" s="83"/>
      <c r="AED105" s="83"/>
      <c r="AEN105" s="83"/>
      <c r="AEX105" s="83"/>
      <c r="AFH105" s="83"/>
      <c r="AFR105" s="83"/>
      <c r="AGB105" s="83"/>
      <c r="AGL105" s="83"/>
      <c r="AGV105" s="83"/>
      <c r="AHF105" s="83"/>
      <c r="AHP105" s="83"/>
      <c r="AHZ105" s="83"/>
      <c r="AIJ105" s="83"/>
      <c r="AIT105" s="83"/>
      <c r="AJD105" s="83"/>
      <c r="AJN105" s="83"/>
      <c r="AJX105" s="83"/>
      <c r="AKH105" s="83"/>
      <c r="AKR105" s="83"/>
      <c r="ALB105" s="83"/>
      <c r="ALL105" s="83"/>
      <c r="ALV105" s="83"/>
      <c r="AMF105" s="83"/>
      <c r="AMP105" s="83"/>
      <c r="AMZ105" s="83"/>
      <c r="ANJ105" s="83"/>
      <c r="ANT105" s="83"/>
      <c r="AOD105" s="83"/>
      <c r="AON105" s="83"/>
      <c r="AOX105" s="83"/>
      <c r="APH105" s="83"/>
      <c r="APR105" s="83"/>
      <c r="AQB105" s="83"/>
      <c r="AQL105" s="83"/>
      <c r="AQV105" s="83"/>
      <c r="ARF105" s="83"/>
      <c r="ARP105" s="83"/>
      <c r="ARZ105" s="83"/>
      <c r="ASJ105" s="83"/>
      <c r="AST105" s="83"/>
      <c r="ATD105" s="83"/>
      <c r="ATN105" s="83"/>
      <c r="ATX105" s="83"/>
      <c r="AUH105" s="83"/>
      <c r="AUR105" s="83"/>
      <c r="AVB105" s="83"/>
      <c r="AVL105" s="83"/>
      <c r="AVV105" s="83"/>
      <c r="AWF105" s="83"/>
      <c r="AWP105" s="83"/>
      <c r="AWZ105" s="83"/>
      <c r="AXJ105" s="83"/>
      <c r="AXT105" s="83"/>
      <c r="AYD105" s="83"/>
      <c r="AYN105" s="83"/>
      <c r="AYX105" s="83"/>
      <c r="AZH105" s="83"/>
      <c r="AZR105" s="83"/>
      <c r="BAB105" s="83"/>
      <c r="BAL105" s="83"/>
      <c r="BAV105" s="83"/>
      <c r="BBF105" s="83"/>
      <c r="BBP105" s="83"/>
      <c r="BBZ105" s="83"/>
      <c r="BCJ105" s="83"/>
      <c r="BCT105" s="83"/>
      <c r="BDD105" s="83"/>
      <c r="BDN105" s="83"/>
      <c r="BDX105" s="83"/>
      <c r="BEH105" s="83"/>
      <c r="BER105" s="83"/>
      <c r="BFB105" s="83"/>
      <c r="BFL105" s="83"/>
      <c r="BFV105" s="83"/>
      <c r="BGF105" s="83"/>
      <c r="BGP105" s="83"/>
      <c r="BGZ105" s="83"/>
      <c r="BHJ105" s="83"/>
      <c r="BHT105" s="83"/>
      <c r="BID105" s="83"/>
      <c r="BIN105" s="83"/>
      <c r="BIX105" s="83"/>
      <c r="BJH105" s="83"/>
      <c r="BJR105" s="83"/>
      <c r="BKB105" s="83"/>
      <c r="BKL105" s="83"/>
      <c r="BKV105" s="83"/>
      <c r="BLF105" s="83"/>
      <c r="BLP105" s="83"/>
      <c r="BLZ105" s="83"/>
      <c r="BMJ105" s="83"/>
      <c r="BMT105" s="83"/>
      <c r="BND105" s="83"/>
      <c r="BNN105" s="83"/>
      <c r="BNX105" s="83"/>
      <c r="BOH105" s="83"/>
      <c r="BOR105" s="83"/>
      <c r="BPB105" s="83"/>
      <c r="BPL105" s="83"/>
      <c r="BPV105" s="83"/>
      <c r="BQF105" s="83"/>
      <c r="BQP105" s="83"/>
      <c r="BQZ105" s="83"/>
      <c r="BRJ105" s="83"/>
      <c r="BRT105" s="83"/>
      <c r="BSD105" s="83"/>
      <c r="BSN105" s="83"/>
      <c r="BSX105" s="83"/>
      <c r="BTH105" s="83"/>
      <c r="BTR105" s="83"/>
      <c r="BUB105" s="83"/>
      <c r="BUL105" s="83"/>
      <c r="BUV105" s="83"/>
      <c r="BVF105" s="83"/>
      <c r="BVP105" s="83"/>
      <c r="BVZ105" s="83"/>
      <c r="BWJ105" s="83"/>
      <c r="BWT105" s="83"/>
      <c r="BXD105" s="83"/>
      <c r="BXN105" s="83"/>
      <c r="BXX105" s="83"/>
      <c r="BYH105" s="83"/>
      <c r="BYR105" s="83"/>
      <c r="BZB105" s="83"/>
      <c r="BZL105" s="83"/>
      <c r="BZV105" s="83"/>
      <c r="CAF105" s="83"/>
      <c r="CAP105" s="83"/>
      <c r="CAZ105" s="83"/>
      <c r="CBJ105" s="83"/>
      <c r="CBT105" s="83"/>
      <c r="CCD105" s="83"/>
      <c r="CCN105" s="83"/>
      <c r="CCX105" s="83"/>
      <c r="CDH105" s="83"/>
      <c r="CDR105" s="83"/>
      <c r="CEB105" s="83"/>
      <c r="CEL105" s="83"/>
      <c r="CEV105" s="83"/>
      <c r="CFF105" s="83"/>
      <c r="CFP105" s="83"/>
      <c r="CFZ105" s="83"/>
      <c r="CGJ105" s="83"/>
      <c r="CGT105" s="83"/>
      <c r="CHD105" s="83"/>
      <c r="CHN105" s="83"/>
      <c r="CHX105" s="83"/>
      <c r="CIH105" s="83"/>
      <c r="CIR105" s="83"/>
      <c r="CJB105" s="83"/>
      <c r="CJL105" s="83"/>
      <c r="CJV105" s="83"/>
      <c r="CKF105" s="83"/>
      <c r="CKP105" s="83"/>
      <c r="CKZ105" s="83"/>
      <c r="CLJ105" s="83"/>
      <c r="CLT105" s="83"/>
      <c r="CMD105" s="83"/>
      <c r="CMN105" s="83"/>
      <c r="CMX105" s="83"/>
      <c r="CNH105" s="83"/>
      <c r="CNR105" s="83"/>
      <c r="COB105" s="83"/>
      <c r="COL105" s="83"/>
      <c r="COV105" s="83"/>
      <c r="CPF105" s="83"/>
      <c r="CPP105" s="83"/>
      <c r="CPZ105" s="83"/>
      <c r="CQJ105" s="83"/>
      <c r="CQT105" s="83"/>
      <c r="CRD105" s="83"/>
      <c r="CRN105" s="83"/>
      <c r="CRX105" s="83"/>
      <c r="CSH105" s="83"/>
      <c r="CSR105" s="83"/>
      <c r="CTB105" s="83"/>
      <c r="CTL105" s="83"/>
      <c r="CTV105" s="83"/>
    </row>
    <row r="106" s="58" customFormat="1" customHeight="1" spans="1:1020 1030:2040 2050:2570">
      <c r="A106" s="79">
        <v>46154</v>
      </c>
      <c r="B106" s="80" t="s">
        <v>22</v>
      </c>
      <c r="C106" s="38" t="s">
        <v>23</v>
      </c>
      <c r="D106" s="75">
        <v>652387510</v>
      </c>
      <c r="E106" s="85" t="s">
        <v>144</v>
      </c>
      <c r="F106" s="75" t="str">
        <f>VLOOKUP(E106,[69]基础数据!E:H,2,0)</f>
        <v>LP-BSU070-AA_T1616_A_24S_V1_凡申40_三防漆双面9截</v>
      </c>
      <c r="G106" s="75">
        <v>192</v>
      </c>
      <c r="H106" s="75" t="str">
        <f>VLOOKUP(E106,[69]基础数据!E:H,4,0)</f>
        <v>料盒</v>
      </c>
      <c r="I106" s="75">
        <f>VLOOKUP(E106,[69]基础数据!E:G,3,0)</f>
        <v>48</v>
      </c>
      <c r="J106" s="75" t="s">
        <v>306</v>
      </c>
      <c r="K106" s="82">
        <f t="shared" si="1"/>
        <v>4</v>
      </c>
      <c r="T106" s="83"/>
      <c r="AD106" s="83"/>
      <c r="AN106" s="83"/>
      <c r="AX106" s="83"/>
      <c r="BH106" s="83"/>
      <c r="BR106" s="83"/>
      <c r="CB106" s="83"/>
      <c r="CL106" s="83"/>
      <c r="CV106" s="83"/>
      <c r="DF106" s="83"/>
      <c r="DP106" s="83"/>
      <c r="DZ106" s="83"/>
      <c r="EJ106" s="83"/>
      <c r="ET106" s="83"/>
      <c r="FD106" s="83"/>
      <c r="FN106" s="83"/>
      <c r="FX106" s="83"/>
      <c r="GH106" s="83"/>
      <c r="GR106" s="83"/>
      <c r="HB106" s="83"/>
      <c r="HL106" s="83"/>
      <c r="HV106" s="83"/>
      <c r="IF106" s="83"/>
      <c r="IP106" s="83"/>
      <c r="IZ106" s="83"/>
      <c r="JJ106" s="83"/>
      <c r="JT106" s="83"/>
      <c r="KD106" s="83"/>
      <c r="KN106" s="83"/>
      <c r="KX106" s="83"/>
      <c r="LH106" s="83"/>
      <c r="LR106" s="83"/>
      <c r="MB106" s="83"/>
      <c r="ML106" s="83"/>
      <c r="MV106" s="83"/>
      <c r="NF106" s="83"/>
      <c r="NP106" s="83"/>
      <c r="NZ106" s="83"/>
      <c r="OJ106" s="83"/>
      <c r="OT106" s="83"/>
      <c r="PD106" s="83"/>
      <c r="PN106" s="83"/>
      <c r="PX106" s="83"/>
      <c r="QH106" s="83"/>
      <c r="QR106" s="83"/>
      <c r="RB106" s="83"/>
      <c r="RL106" s="83"/>
      <c r="RV106" s="83"/>
      <c r="SF106" s="83"/>
      <c r="SP106" s="83"/>
      <c r="SZ106" s="83"/>
      <c r="TJ106" s="83"/>
      <c r="TT106" s="83"/>
      <c r="UD106" s="83"/>
      <c r="UN106" s="83"/>
      <c r="UX106" s="83"/>
      <c r="VH106" s="83"/>
      <c r="VR106" s="83"/>
      <c r="WB106" s="83"/>
      <c r="WL106" s="83"/>
      <c r="WV106" s="83"/>
      <c r="XF106" s="83"/>
      <c r="XP106" s="83"/>
      <c r="XZ106" s="83"/>
      <c r="YJ106" s="83"/>
      <c r="YT106" s="83"/>
      <c r="ZD106" s="83"/>
      <c r="ZN106" s="83"/>
      <c r="ZX106" s="83"/>
      <c r="AAH106" s="83"/>
      <c r="AAR106" s="83"/>
      <c r="ABB106" s="83"/>
      <c r="ABL106" s="83"/>
      <c r="ABV106" s="83"/>
      <c r="ACF106" s="83"/>
      <c r="ACP106" s="83"/>
      <c r="ACZ106" s="83"/>
      <c r="ADJ106" s="83"/>
      <c r="ADT106" s="83"/>
      <c r="AED106" s="83"/>
      <c r="AEN106" s="83"/>
      <c r="AEX106" s="83"/>
      <c r="AFH106" s="83"/>
      <c r="AFR106" s="83"/>
      <c r="AGB106" s="83"/>
      <c r="AGL106" s="83"/>
      <c r="AGV106" s="83"/>
      <c r="AHF106" s="83"/>
      <c r="AHP106" s="83"/>
      <c r="AHZ106" s="83"/>
      <c r="AIJ106" s="83"/>
      <c r="AIT106" s="83"/>
      <c r="AJD106" s="83"/>
      <c r="AJN106" s="83"/>
      <c r="AJX106" s="83"/>
      <c r="AKH106" s="83"/>
      <c r="AKR106" s="83"/>
      <c r="ALB106" s="83"/>
      <c r="ALL106" s="83"/>
      <c r="ALV106" s="83"/>
      <c r="AMF106" s="83"/>
      <c r="AMP106" s="83"/>
      <c r="AMZ106" s="83"/>
      <c r="ANJ106" s="83"/>
      <c r="ANT106" s="83"/>
      <c r="AOD106" s="83"/>
      <c r="AON106" s="83"/>
      <c r="AOX106" s="83"/>
      <c r="APH106" s="83"/>
      <c r="APR106" s="83"/>
      <c r="AQB106" s="83"/>
      <c r="AQL106" s="83"/>
      <c r="AQV106" s="83"/>
      <c r="ARF106" s="83"/>
      <c r="ARP106" s="83"/>
      <c r="ARZ106" s="83"/>
      <c r="ASJ106" s="83"/>
      <c r="AST106" s="83"/>
      <c r="ATD106" s="83"/>
      <c r="ATN106" s="83"/>
      <c r="ATX106" s="83"/>
      <c r="AUH106" s="83"/>
      <c r="AUR106" s="83"/>
      <c r="AVB106" s="83"/>
      <c r="AVL106" s="83"/>
      <c r="AVV106" s="83"/>
      <c r="AWF106" s="83"/>
      <c r="AWP106" s="83"/>
      <c r="AWZ106" s="83"/>
      <c r="AXJ106" s="83"/>
      <c r="AXT106" s="83"/>
      <c r="AYD106" s="83"/>
      <c r="AYN106" s="83"/>
      <c r="AYX106" s="83"/>
      <c r="AZH106" s="83"/>
      <c r="AZR106" s="83"/>
      <c r="BAB106" s="83"/>
      <c r="BAL106" s="83"/>
      <c r="BAV106" s="83"/>
      <c r="BBF106" s="83"/>
      <c r="BBP106" s="83"/>
      <c r="BBZ106" s="83"/>
      <c r="BCJ106" s="83"/>
      <c r="BCT106" s="83"/>
      <c r="BDD106" s="83"/>
      <c r="BDN106" s="83"/>
      <c r="BDX106" s="83"/>
      <c r="BEH106" s="83"/>
      <c r="BER106" s="83"/>
      <c r="BFB106" s="83"/>
      <c r="BFL106" s="83"/>
      <c r="BFV106" s="83"/>
      <c r="BGF106" s="83"/>
      <c r="BGP106" s="83"/>
      <c r="BGZ106" s="83"/>
      <c r="BHJ106" s="83"/>
      <c r="BHT106" s="83"/>
      <c r="BID106" s="83"/>
      <c r="BIN106" s="83"/>
      <c r="BIX106" s="83"/>
      <c r="BJH106" s="83"/>
      <c r="BJR106" s="83"/>
      <c r="BKB106" s="83"/>
      <c r="BKL106" s="83"/>
      <c r="BKV106" s="83"/>
      <c r="BLF106" s="83"/>
      <c r="BLP106" s="83"/>
      <c r="BLZ106" s="83"/>
      <c r="BMJ106" s="83"/>
      <c r="BMT106" s="83"/>
      <c r="BND106" s="83"/>
      <c r="BNN106" s="83"/>
      <c r="BNX106" s="83"/>
      <c r="BOH106" s="83"/>
      <c r="BOR106" s="83"/>
      <c r="BPB106" s="83"/>
      <c r="BPL106" s="83"/>
      <c r="BPV106" s="83"/>
      <c r="BQF106" s="83"/>
      <c r="BQP106" s="83"/>
      <c r="BQZ106" s="83"/>
      <c r="BRJ106" s="83"/>
      <c r="BRT106" s="83"/>
      <c r="BSD106" s="83"/>
      <c r="BSN106" s="83"/>
      <c r="BSX106" s="83"/>
      <c r="BTH106" s="83"/>
      <c r="BTR106" s="83"/>
      <c r="BUB106" s="83"/>
      <c r="BUL106" s="83"/>
      <c r="BUV106" s="83"/>
      <c r="BVF106" s="83"/>
      <c r="BVP106" s="83"/>
      <c r="BVZ106" s="83"/>
      <c r="BWJ106" s="83"/>
      <c r="BWT106" s="83"/>
      <c r="BXD106" s="83"/>
      <c r="BXN106" s="83"/>
      <c r="BXX106" s="83"/>
      <c r="BYH106" s="83"/>
      <c r="BYR106" s="83"/>
      <c r="BZB106" s="83"/>
      <c r="BZL106" s="83"/>
      <c r="BZV106" s="83"/>
      <c r="CAF106" s="83"/>
      <c r="CAP106" s="83"/>
      <c r="CAZ106" s="83"/>
      <c r="CBJ106" s="83"/>
      <c r="CBT106" s="83"/>
      <c r="CCD106" s="83"/>
      <c r="CCN106" s="83"/>
      <c r="CCX106" s="83"/>
      <c r="CDH106" s="83"/>
      <c r="CDR106" s="83"/>
      <c r="CEB106" s="83"/>
      <c r="CEL106" s="83"/>
      <c r="CEV106" s="83"/>
      <c r="CFF106" s="83"/>
      <c r="CFP106" s="83"/>
      <c r="CFZ106" s="83"/>
      <c r="CGJ106" s="83"/>
      <c r="CGT106" s="83"/>
      <c r="CHD106" s="83"/>
      <c r="CHN106" s="83"/>
      <c r="CHX106" s="83"/>
      <c r="CIH106" s="83"/>
      <c r="CIR106" s="83"/>
      <c r="CJB106" s="83"/>
      <c r="CJL106" s="83"/>
      <c r="CJV106" s="83"/>
      <c r="CKF106" s="83"/>
      <c r="CKP106" s="83"/>
      <c r="CKZ106" s="83"/>
      <c r="CLJ106" s="83"/>
      <c r="CLT106" s="83"/>
      <c r="CMD106" s="83"/>
      <c r="CMN106" s="83"/>
      <c r="CMX106" s="83"/>
      <c r="CNH106" s="83"/>
      <c r="CNR106" s="83"/>
      <c r="COB106" s="83"/>
      <c r="COL106" s="83"/>
      <c r="COV106" s="83"/>
      <c r="CPF106" s="83"/>
      <c r="CPP106" s="83"/>
      <c r="CPZ106" s="83"/>
      <c r="CQJ106" s="83"/>
      <c r="CQT106" s="83"/>
      <c r="CRD106" s="83"/>
      <c r="CRN106" s="83"/>
      <c r="CRX106" s="83"/>
      <c r="CSH106" s="83"/>
      <c r="CSR106" s="83"/>
      <c r="CTB106" s="83"/>
      <c r="CTL106" s="83"/>
      <c r="CTV106" s="83"/>
    </row>
    <row r="107" s="58" customFormat="1" customHeight="1" spans="1:1020 1030:2040 2050:2570">
      <c r="A107" s="79">
        <v>46154</v>
      </c>
      <c r="B107" s="80" t="s">
        <v>22</v>
      </c>
      <c r="C107" s="38" t="s">
        <v>23</v>
      </c>
      <c r="D107" s="75">
        <v>652387510</v>
      </c>
      <c r="E107" s="85" t="s">
        <v>147</v>
      </c>
      <c r="F107" s="75" t="str">
        <f>VLOOKUP(E107,[69]基础数据!E:H,2,0)</f>
        <v>LP-BSU070-AA_T1616_46S_V1_凡申40_三防漆双面925截</v>
      </c>
      <c r="G107" s="75">
        <v>216</v>
      </c>
      <c r="H107" s="75" t="str">
        <f>VLOOKUP(E107,[69]基础数据!E:H,4,0)</f>
        <v>料盒</v>
      </c>
      <c r="I107" s="75">
        <f>VLOOKUP(E107,[69]基础数据!E:G,3,0)</f>
        <v>24</v>
      </c>
      <c r="J107" s="75" t="s">
        <v>306</v>
      </c>
      <c r="K107" s="82">
        <f t="shared" si="1"/>
        <v>9</v>
      </c>
      <c r="T107" s="83"/>
      <c r="AD107" s="83"/>
      <c r="AN107" s="83"/>
      <c r="AX107" s="83"/>
      <c r="BH107" s="83"/>
      <c r="BR107" s="83"/>
      <c r="CB107" s="83"/>
      <c r="CL107" s="83"/>
      <c r="CV107" s="83"/>
      <c r="DF107" s="83"/>
      <c r="DP107" s="83"/>
      <c r="DZ107" s="83"/>
      <c r="EJ107" s="83"/>
      <c r="ET107" s="83"/>
      <c r="FD107" s="83"/>
      <c r="FN107" s="83"/>
      <c r="FX107" s="83"/>
      <c r="GH107" s="83"/>
      <c r="GR107" s="83"/>
      <c r="HB107" s="83"/>
      <c r="HL107" s="83"/>
      <c r="HV107" s="83"/>
      <c r="IF107" s="83"/>
      <c r="IP107" s="83"/>
      <c r="IZ107" s="83"/>
      <c r="JJ107" s="83"/>
      <c r="JT107" s="83"/>
      <c r="KD107" s="83"/>
      <c r="KN107" s="83"/>
      <c r="KX107" s="83"/>
      <c r="LH107" s="83"/>
      <c r="LR107" s="83"/>
      <c r="MB107" s="83"/>
      <c r="ML107" s="83"/>
      <c r="MV107" s="83"/>
      <c r="NF107" s="83"/>
      <c r="NP107" s="83"/>
      <c r="NZ107" s="83"/>
      <c r="OJ107" s="83"/>
      <c r="OT107" s="83"/>
      <c r="PD107" s="83"/>
      <c r="PN107" s="83"/>
      <c r="PX107" s="83"/>
      <c r="QH107" s="83"/>
      <c r="QR107" s="83"/>
      <c r="RB107" s="83"/>
      <c r="RL107" s="83"/>
      <c r="RV107" s="83"/>
      <c r="SF107" s="83"/>
      <c r="SP107" s="83"/>
      <c r="SZ107" s="83"/>
      <c r="TJ107" s="83"/>
      <c r="TT107" s="83"/>
      <c r="UD107" s="83"/>
      <c r="UN107" s="83"/>
      <c r="UX107" s="83"/>
      <c r="VH107" s="83"/>
      <c r="VR107" s="83"/>
      <c r="WB107" s="83"/>
      <c r="WL107" s="83"/>
      <c r="WV107" s="83"/>
      <c r="XF107" s="83"/>
      <c r="XP107" s="83"/>
      <c r="XZ107" s="83"/>
      <c r="YJ107" s="83"/>
      <c r="YT107" s="83"/>
      <c r="ZD107" s="83"/>
      <c r="ZN107" s="83"/>
      <c r="ZX107" s="83"/>
      <c r="AAH107" s="83"/>
      <c r="AAR107" s="83"/>
      <c r="ABB107" s="83"/>
      <c r="ABL107" s="83"/>
      <c r="ABV107" s="83"/>
      <c r="ACF107" s="83"/>
      <c r="ACP107" s="83"/>
      <c r="ACZ107" s="83"/>
      <c r="ADJ107" s="83"/>
      <c r="ADT107" s="83"/>
      <c r="AED107" s="83"/>
      <c r="AEN107" s="83"/>
      <c r="AEX107" s="83"/>
      <c r="AFH107" s="83"/>
      <c r="AFR107" s="83"/>
      <c r="AGB107" s="83"/>
      <c r="AGL107" s="83"/>
      <c r="AGV107" s="83"/>
      <c r="AHF107" s="83"/>
      <c r="AHP107" s="83"/>
      <c r="AHZ107" s="83"/>
      <c r="AIJ107" s="83"/>
      <c r="AIT107" s="83"/>
      <c r="AJD107" s="83"/>
      <c r="AJN107" s="83"/>
      <c r="AJX107" s="83"/>
      <c r="AKH107" s="83"/>
      <c r="AKR107" s="83"/>
      <c r="ALB107" s="83"/>
      <c r="ALL107" s="83"/>
      <c r="ALV107" s="83"/>
      <c r="AMF107" s="83"/>
      <c r="AMP107" s="83"/>
      <c r="AMZ107" s="83"/>
      <c r="ANJ107" s="83"/>
      <c r="ANT107" s="83"/>
      <c r="AOD107" s="83"/>
      <c r="AON107" s="83"/>
      <c r="AOX107" s="83"/>
      <c r="APH107" s="83"/>
      <c r="APR107" s="83"/>
      <c r="AQB107" s="83"/>
      <c r="AQL107" s="83"/>
      <c r="AQV107" s="83"/>
      <c r="ARF107" s="83"/>
      <c r="ARP107" s="83"/>
      <c r="ARZ107" s="83"/>
      <c r="ASJ107" s="83"/>
      <c r="AST107" s="83"/>
      <c r="ATD107" s="83"/>
      <c r="ATN107" s="83"/>
      <c r="ATX107" s="83"/>
      <c r="AUH107" s="83"/>
      <c r="AUR107" s="83"/>
      <c r="AVB107" s="83"/>
      <c r="AVL107" s="83"/>
      <c r="AVV107" s="83"/>
      <c r="AWF107" s="83"/>
      <c r="AWP107" s="83"/>
      <c r="AWZ107" s="83"/>
      <c r="AXJ107" s="83"/>
      <c r="AXT107" s="83"/>
      <c r="AYD107" s="83"/>
      <c r="AYN107" s="83"/>
      <c r="AYX107" s="83"/>
      <c r="AZH107" s="83"/>
      <c r="AZR107" s="83"/>
      <c r="BAB107" s="83"/>
      <c r="BAL107" s="83"/>
      <c r="BAV107" s="83"/>
      <c r="BBF107" s="83"/>
      <c r="BBP107" s="83"/>
      <c r="BBZ107" s="83"/>
      <c r="BCJ107" s="83"/>
      <c r="BCT107" s="83"/>
      <c r="BDD107" s="83"/>
      <c r="BDN107" s="83"/>
      <c r="BDX107" s="83"/>
      <c r="BEH107" s="83"/>
      <c r="BER107" s="83"/>
      <c r="BFB107" s="83"/>
      <c r="BFL107" s="83"/>
      <c r="BFV107" s="83"/>
      <c r="BGF107" s="83"/>
      <c r="BGP107" s="83"/>
      <c r="BGZ107" s="83"/>
      <c r="BHJ107" s="83"/>
      <c r="BHT107" s="83"/>
      <c r="BID107" s="83"/>
      <c r="BIN107" s="83"/>
      <c r="BIX107" s="83"/>
      <c r="BJH107" s="83"/>
      <c r="BJR107" s="83"/>
      <c r="BKB107" s="83"/>
      <c r="BKL107" s="83"/>
      <c r="BKV107" s="83"/>
      <c r="BLF107" s="83"/>
      <c r="BLP107" s="83"/>
      <c r="BLZ107" s="83"/>
      <c r="BMJ107" s="83"/>
      <c r="BMT107" s="83"/>
      <c r="BND107" s="83"/>
      <c r="BNN107" s="83"/>
      <c r="BNX107" s="83"/>
      <c r="BOH107" s="83"/>
      <c r="BOR107" s="83"/>
      <c r="BPB107" s="83"/>
      <c r="BPL107" s="83"/>
      <c r="BPV107" s="83"/>
      <c r="BQF107" s="83"/>
      <c r="BQP107" s="83"/>
      <c r="BQZ107" s="83"/>
      <c r="BRJ107" s="83"/>
      <c r="BRT107" s="83"/>
      <c r="BSD107" s="83"/>
      <c r="BSN107" s="83"/>
      <c r="BSX107" s="83"/>
      <c r="BTH107" s="83"/>
      <c r="BTR107" s="83"/>
      <c r="BUB107" s="83"/>
      <c r="BUL107" s="83"/>
      <c r="BUV107" s="83"/>
      <c r="BVF107" s="83"/>
      <c r="BVP107" s="83"/>
      <c r="BVZ107" s="83"/>
      <c r="BWJ107" s="83"/>
      <c r="BWT107" s="83"/>
      <c r="BXD107" s="83"/>
      <c r="BXN107" s="83"/>
      <c r="BXX107" s="83"/>
      <c r="BYH107" s="83"/>
      <c r="BYR107" s="83"/>
      <c r="BZB107" s="83"/>
      <c r="BZL107" s="83"/>
      <c r="BZV107" s="83"/>
      <c r="CAF107" s="83"/>
      <c r="CAP107" s="83"/>
      <c r="CAZ107" s="83"/>
      <c r="CBJ107" s="83"/>
      <c r="CBT107" s="83"/>
      <c r="CCD107" s="83"/>
      <c r="CCN107" s="83"/>
      <c r="CCX107" s="83"/>
      <c r="CDH107" s="83"/>
      <c r="CDR107" s="83"/>
      <c r="CEB107" s="83"/>
      <c r="CEL107" s="83"/>
      <c r="CEV107" s="83"/>
      <c r="CFF107" s="83"/>
      <c r="CFP107" s="83"/>
      <c r="CFZ107" s="83"/>
      <c r="CGJ107" s="83"/>
      <c r="CGT107" s="83"/>
      <c r="CHD107" s="83"/>
      <c r="CHN107" s="83"/>
      <c r="CHX107" s="83"/>
      <c r="CIH107" s="83"/>
      <c r="CIR107" s="83"/>
      <c r="CJB107" s="83"/>
      <c r="CJL107" s="83"/>
      <c r="CJV107" s="83"/>
      <c r="CKF107" s="83"/>
      <c r="CKP107" s="83"/>
      <c r="CKZ107" s="83"/>
      <c r="CLJ107" s="83"/>
      <c r="CLT107" s="83"/>
      <c r="CMD107" s="83"/>
      <c r="CMN107" s="83"/>
      <c r="CMX107" s="83"/>
      <c r="CNH107" s="83"/>
      <c r="CNR107" s="83"/>
      <c r="COB107" s="83"/>
      <c r="COL107" s="83"/>
      <c r="COV107" s="83"/>
      <c r="CPF107" s="83"/>
      <c r="CPP107" s="83"/>
      <c r="CPZ107" s="83"/>
      <c r="CQJ107" s="83"/>
      <c r="CQT107" s="83"/>
      <c r="CRD107" s="83"/>
      <c r="CRN107" s="83"/>
      <c r="CRX107" s="83"/>
      <c r="CSH107" s="83"/>
      <c r="CSR107" s="83"/>
      <c r="CTB107" s="83"/>
      <c r="CTL107" s="83"/>
      <c r="CTV107" s="83"/>
    </row>
    <row r="108" s="58" customFormat="1" customHeight="1" spans="1:1020 1030:2040 2050:2570">
      <c r="A108" s="79">
        <v>46154</v>
      </c>
      <c r="B108" s="80" t="s">
        <v>22</v>
      </c>
      <c r="C108" s="38" t="s">
        <v>23</v>
      </c>
      <c r="D108" s="75">
        <v>652384798</v>
      </c>
      <c r="E108" s="85" t="s">
        <v>63</v>
      </c>
      <c r="F108" s="75" t="str">
        <f>VLOOKUP(E108,[69]基础数据!E:H,2,0)</f>
        <v>IGBT组件（A平台国内版NON-FUSA一体板结构PCBA）</v>
      </c>
      <c r="G108" s="75">
        <v>1080</v>
      </c>
      <c r="H108" s="75" t="str">
        <f>VLOOKUP(E108,[69]基础数据!E:H,4,0)</f>
        <v>料盒</v>
      </c>
      <c r="I108" s="75">
        <f>VLOOKUP(E108,[69]基础数据!E:G,3,0)</f>
        <v>12</v>
      </c>
      <c r="J108" s="75" t="s">
        <v>306</v>
      </c>
      <c r="K108" s="82">
        <f t="shared" si="1"/>
        <v>90</v>
      </c>
      <c r="T108" s="83"/>
      <c r="AD108" s="83"/>
      <c r="AN108" s="83"/>
      <c r="AX108" s="83"/>
      <c r="BH108" s="83"/>
      <c r="BR108" s="83"/>
      <c r="CB108" s="83"/>
      <c r="CL108" s="83"/>
      <c r="CV108" s="83"/>
      <c r="DF108" s="83"/>
      <c r="DP108" s="83"/>
      <c r="DZ108" s="83"/>
      <c r="EJ108" s="83"/>
      <c r="ET108" s="83"/>
      <c r="FD108" s="83"/>
      <c r="FN108" s="83"/>
      <c r="FX108" s="83"/>
      <c r="GH108" s="83"/>
      <c r="GR108" s="83"/>
      <c r="HB108" s="83"/>
      <c r="HL108" s="83"/>
      <c r="HV108" s="83"/>
      <c r="IF108" s="83"/>
      <c r="IP108" s="83"/>
      <c r="IZ108" s="83"/>
      <c r="JJ108" s="83"/>
      <c r="JT108" s="83"/>
      <c r="KD108" s="83"/>
      <c r="KN108" s="83"/>
      <c r="KX108" s="83"/>
      <c r="LH108" s="83"/>
      <c r="LR108" s="83"/>
      <c r="MB108" s="83"/>
      <c r="ML108" s="83"/>
      <c r="MV108" s="83"/>
      <c r="NF108" s="83"/>
      <c r="NP108" s="83"/>
      <c r="NZ108" s="83"/>
      <c r="OJ108" s="83"/>
      <c r="OT108" s="83"/>
      <c r="PD108" s="83"/>
      <c r="PN108" s="83"/>
      <c r="PX108" s="83"/>
      <c r="QH108" s="83"/>
      <c r="QR108" s="83"/>
      <c r="RB108" s="83"/>
      <c r="RL108" s="83"/>
      <c r="RV108" s="83"/>
      <c r="SF108" s="83"/>
      <c r="SP108" s="83"/>
      <c r="SZ108" s="83"/>
      <c r="TJ108" s="83"/>
      <c r="TT108" s="83"/>
      <c r="UD108" s="83"/>
      <c r="UN108" s="83"/>
      <c r="UX108" s="83"/>
      <c r="VH108" s="83"/>
      <c r="VR108" s="83"/>
      <c r="WB108" s="83"/>
      <c r="WL108" s="83"/>
      <c r="WV108" s="83"/>
      <c r="XF108" s="83"/>
      <c r="XP108" s="83"/>
      <c r="XZ108" s="83"/>
      <c r="YJ108" s="83"/>
      <c r="YT108" s="83"/>
      <c r="ZD108" s="83"/>
      <c r="ZN108" s="83"/>
      <c r="ZX108" s="83"/>
      <c r="AAH108" s="83"/>
      <c r="AAR108" s="83"/>
      <c r="ABB108" s="83"/>
      <c r="ABL108" s="83"/>
      <c r="ABV108" s="83"/>
      <c r="ACF108" s="83"/>
      <c r="ACP108" s="83"/>
      <c r="ACZ108" s="83"/>
      <c r="ADJ108" s="83"/>
      <c r="ADT108" s="83"/>
      <c r="AED108" s="83"/>
      <c r="AEN108" s="83"/>
      <c r="AEX108" s="83"/>
      <c r="AFH108" s="83"/>
      <c r="AFR108" s="83"/>
      <c r="AGB108" s="83"/>
      <c r="AGL108" s="83"/>
      <c r="AGV108" s="83"/>
      <c r="AHF108" s="83"/>
      <c r="AHP108" s="83"/>
      <c r="AHZ108" s="83"/>
      <c r="AIJ108" s="83"/>
      <c r="AIT108" s="83"/>
      <c r="AJD108" s="83"/>
      <c r="AJN108" s="83"/>
      <c r="AJX108" s="83"/>
      <c r="AKH108" s="83"/>
      <c r="AKR108" s="83"/>
      <c r="ALB108" s="83"/>
      <c r="ALL108" s="83"/>
      <c r="ALV108" s="83"/>
      <c r="AMF108" s="83"/>
      <c r="AMP108" s="83"/>
      <c r="AMZ108" s="83"/>
      <c r="ANJ108" s="83"/>
      <c r="ANT108" s="83"/>
      <c r="AOD108" s="83"/>
      <c r="AON108" s="83"/>
      <c r="AOX108" s="83"/>
      <c r="APH108" s="83"/>
      <c r="APR108" s="83"/>
      <c r="AQB108" s="83"/>
      <c r="AQL108" s="83"/>
      <c r="AQV108" s="83"/>
      <c r="ARF108" s="83"/>
      <c r="ARP108" s="83"/>
      <c r="ARZ108" s="83"/>
      <c r="ASJ108" s="83"/>
      <c r="AST108" s="83"/>
      <c r="ATD108" s="83"/>
      <c r="ATN108" s="83"/>
      <c r="ATX108" s="83"/>
      <c r="AUH108" s="83"/>
      <c r="AUR108" s="83"/>
      <c r="AVB108" s="83"/>
      <c r="AVL108" s="83"/>
      <c r="AVV108" s="83"/>
      <c r="AWF108" s="83"/>
      <c r="AWP108" s="83"/>
      <c r="AWZ108" s="83"/>
      <c r="AXJ108" s="83"/>
      <c r="AXT108" s="83"/>
      <c r="AYD108" s="83"/>
      <c r="AYN108" s="83"/>
      <c r="AYX108" s="83"/>
      <c r="AZH108" s="83"/>
      <c r="AZR108" s="83"/>
      <c r="BAB108" s="83"/>
      <c r="BAL108" s="83"/>
      <c r="BAV108" s="83"/>
      <c r="BBF108" s="83"/>
      <c r="BBP108" s="83"/>
      <c r="BBZ108" s="83"/>
      <c r="BCJ108" s="83"/>
      <c r="BCT108" s="83"/>
      <c r="BDD108" s="83"/>
      <c r="BDN108" s="83"/>
      <c r="BDX108" s="83"/>
      <c r="BEH108" s="83"/>
      <c r="BER108" s="83"/>
      <c r="BFB108" s="83"/>
      <c r="BFL108" s="83"/>
      <c r="BFV108" s="83"/>
      <c r="BGF108" s="83"/>
      <c r="BGP108" s="83"/>
      <c r="BGZ108" s="83"/>
      <c r="BHJ108" s="83"/>
      <c r="BHT108" s="83"/>
      <c r="BID108" s="83"/>
      <c r="BIN108" s="83"/>
      <c r="BIX108" s="83"/>
      <c r="BJH108" s="83"/>
      <c r="BJR108" s="83"/>
      <c r="BKB108" s="83"/>
      <c r="BKL108" s="83"/>
      <c r="BKV108" s="83"/>
      <c r="BLF108" s="83"/>
      <c r="BLP108" s="83"/>
      <c r="BLZ108" s="83"/>
      <c r="BMJ108" s="83"/>
      <c r="BMT108" s="83"/>
      <c r="BND108" s="83"/>
      <c r="BNN108" s="83"/>
      <c r="BNX108" s="83"/>
      <c r="BOH108" s="83"/>
      <c r="BOR108" s="83"/>
      <c r="BPB108" s="83"/>
      <c r="BPL108" s="83"/>
      <c r="BPV108" s="83"/>
      <c r="BQF108" s="83"/>
      <c r="BQP108" s="83"/>
      <c r="BQZ108" s="83"/>
      <c r="BRJ108" s="83"/>
      <c r="BRT108" s="83"/>
      <c r="BSD108" s="83"/>
      <c r="BSN108" s="83"/>
      <c r="BSX108" s="83"/>
      <c r="BTH108" s="83"/>
      <c r="BTR108" s="83"/>
      <c r="BUB108" s="83"/>
      <c r="BUL108" s="83"/>
      <c r="BUV108" s="83"/>
      <c r="BVF108" s="83"/>
      <c r="BVP108" s="83"/>
      <c r="BVZ108" s="83"/>
      <c r="BWJ108" s="83"/>
      <c r="BWT108" s="83"/>
      <c r="BXD108" s="83"/>
      <c r="BXN108" s="83"/>
      <c r="BXX108" s="83"/>
      <c r="BYH108" s="83"/>
      <c r="BYR108" s="83"/>
      <c r="BZB108" s="83"/>
      <c r="BZL108" s="83"/>
      <c r="BZV108" s="83"/>
      <c r="CAF108" s="83"/>
      <c r="CAP108" s="83"/>
      <c r="CAZ108" s="83"/>
      <c r="CBJ108" s="83"/>
      <c r="CBT108" s="83"/>
      <c r="CCD108" s="83"/>
      <c r="CCN108" s="83"/>
      <c r="CCX108" s="83"/>
      <c r="CDH108" s="83"/>
      <c r="CDR108" s="83"/>
      <c r="CEB108" s="83"/>
      <c r="CEL108" s="83"/>
      <c r="CEV108" s="83"/>
      <c r="CFF108" s="83"/>
      <c r="CFP108" s="83"/>
      <c r="CFZ108" s="83"/>
      <c r="CGJ108" s="83"/>
      <c r="CGT108" s="83"/>
      <c r="CHD108" s="83"/>
      <c r="CHN108" s="83"/>
      <c r="CHX108" s="83"/>
      <c r="CIH108" s="83"/>
      <c r="CIR108" s="83"/>
      <c r="CJB108" s="83"/>
      <c r="CJL108" s="83"/>
      <c r="CJV108" s="83"/>
      <c r="CKF108" s="83"/>
      <c r="CKP108" s="83"/>
      <c r="CKZ108" s="83"/>
      <c r="CLJ108" s="83"/>
      <c r="CLT108" s="83"/>
      <c r="CMD108" s="83"/>
      <c r="CMN108" s="83"/>
      <c r="CMX108" s="83"/>
      <c r="CNH108" s="83"/>
      <c r="CNR108" s="83"/>
      <c r="COB108" s="83"/>
      <c r="COL108" s="83"/>
      <c r="COV108" s="83"/>
      <c r="CPF108" s="83"/>
      <c r="CPP108" s="83"/>
      <c r="CPZ108" s="83"/>
      <c r="CQJ108" s="83"/>
      <c r="CQT108" s="83"/>
      <c r="CRD108" s="83"/>
      <c r="CRN108" s="83"/>
      <c r="CRX108" s="83"/>
      <c r="CSH108" s="83"/>
      <c r="CSR108" s="83"/>
      <c r="CTB108" s="83"/>
      <c r="CTL108" s="83"/>
      <c r="CTV108" s="83"/>
    </row>
    <row r="109" s="58" customFormat="1" customHeight="1" spans="1:1020 1030:2040 2050:2570">
      <c r="A109" s="79">
        <v>46154</v>
      </c>
      <c r="B109" s="80" t="s">
        <v>22</v>
      </c>
      <c r="C109" s="38" t="s">
        <v>23</v>
      </c>
      <c r="D109" s="75">
        <v>652388080</v>
      </c>
      <c r="E109" s="85" t="s">
        <v>111</v>
      </c>
      <c r="F109" s="75" t="str">
        <f>VLOOKUP(E109,[69]基础数据!E:H,2,0)</f>
        <v>LS-CCUM001-AA-V1.06 三防漆双面 908_067</v>
      </c>
      <c r="G109" s="75">
        <v>640</v>
      </c>
      <c r="H109" s="75" t="str">
        <f>VLOOKUP(E109,[69]基础数据!E:H,4,0)</f>
        <v>料盒</v>
      </c>
      <c r="I109" s="75">
        <f>VLOOKUP(E109,[69]基础数据!E:G,3,0)</f>
        <v>8</v>
      </c>
      <c r="J109" s="75" t="s">
        <v>306</v>
      </c>
      <c r="K109" s="82">
        <f t="shared" si="1"/>
        <v>80</v>
      </c>
      <c r="T109" s="83"/>
      <c r="AD109" s="83"/>
      <c r="AN109" s="83"/>
      <c r="AX109" s="83"/>
      <c r="BH109" s="83"/>
      <c r="BR109" s="83"/>
      <c r="CB109" s="83"/>
      <c r="CL109" s="83"/>
      <c r="CV109" s="83"/>
      <c r="DF109" s="83"/>
      <c r="DP109" s="83"/>
      <c r="DZ109" s="83"/>
      <c r="EJ109" s="83"/>
      <c r="ET109" s="83"/>
      <c r="FD109" s="83"/>
      <c r="FN109" s="83"/>
      <c r="FX109" s="83"/>
      <c r="GH109" s="83"/>
      <c r="GR109" s="83"/>
      <c r="HB109" s="83"/>
      <c r="HL109" s="83"/>
      <c r="HV109" s="83"/>
      <c r="IF109" s="83"/>
      <c r="IP109" s="83"/>
      <c r="IZ109" s="83"/>
      <c r="JJ109" s="83"/>
      <c r="JT109" s="83"/>
      <c r="KD109" s="83"/>
      <c r="KN109" s="83"/>
      <c r="KX109" s="83"/>
      <c r="LH109" s="83"/>
      <c r="LR109" s="83"/>
      <c r="MB109" s="83"/>
      <c r="ML109" s="83"/>
      <c r="MV109" s="83"/>
      <c r="NF109" s="83"/>
      <c r="NP109" s="83"/>
      <c r="NZ109" s="83"/>
      <c r="OJ109" s="83"/>
      <c r="OT109" s="83"/>
      <c r="PD109" s="83"/>
      <c r="PN109" s="83"/>
      <c r="PX109" s="83"/>
      <c r="QH109" s="83"/>
      <c r="QR109" s="83"/>
      <c r="RB109" s="83"/>
      <c r="RL109" s="83"/>
      <c r="RV109" s="83"/>
      <c r="SF109" s="83"/>
      <c r="SP109" s="83"/>
      <c r="SZ109" s="83"/>
      <c r="TJ109" s="83"/>
      <c r="TT109" s="83"/>
      <c r="UD109" s="83"/>
      <c r="UN109" s="83"/>
      <c r="UX109" s="83"/>
      <c r="VH109" s="83"/>
      <c r="VR109" s="83"/>
      <c r="WB109" s="83"/>
      <c r="WL109" s="83"/>
      <c r="WV109" s="83"/>
      <c r="XF109" s="83"/>
      <c r="XP109" s="83"/>
      <c r="XZ109" s="83"/>
      <c r="YJ109" s="83"/>
      <c r="YT109" s="83"/>
      <c r="ZD109" s="83"/>
      <c r="ZN109" s="83"/>
      <c r="ZX109" s="83"/>
      <c r="AAH109" s="83"/>
      <c r="AAR109" s="83"/>
      <c r="ABB109" s="83"/>
      <c r="ABL109" s="83"/>
      <c r="ABV109" s="83"/>
      <c r="ACF109" s="83"/>
      <c r="ACP109" s="83"/>
      <c r="ACZ109" s="83"/>
      <c r="ADJ109" s="83"/>
      <c r="ADT109" s="83"/>
      <c r="AED109" s="83"/>
      <c r="AEN109" s="83"/>
      <c r="AEX109" s="83"/>
      <c r="AFH109" s="83"/>
      <c r="AFR109" s="83"/>
      <c r="AGB109" s="83"/>
      <c r="AGL109" s="83"/>
      <c r="AGV109" s="83"/>
      <c r="AHF109" s="83"/>
      <c r="AHP109" s="83"/>
      <c r="AHZ109" s="83"/>
      <c r="AIJ109" s="83"/>
      <c r="AIT109" s="83"/>
      <c r="AJD109" s="83"/>
      <c r="AJN109" s="83"/>
      <c r="AJX109" s="83"/>
      <c r="AKH109" s="83"/>
      <c r="AKR109" s="83"/>
      <c r="ALB109" s="83"/>
      <c r="ALL109" s="83"/>
      <c r="ALV109" s="83"/>
      <c r="AMF109" s="83"/>
      <c r="AMP109" s="83"/>
      <c r="AMZ109" s="83"/>
      <c r="ANJ109" s="83"/>
      <c r="ANT109" s="83"/>
      <c r="AOD109" s="83"/>
      <c r="AON109" s="83"/>
      <c r="AOX109" s="83"/>
      <c r="APH109" s="83"/>
      <c r="APR109" s="83"/>
      <c r="AQB109" s="83"/>
      <c r="AQL109" s="83"/>
      <c r="AQV109" s="83"/>
      <c r="ARF109" s="83"/>
      <c r="ARP109" s="83"/>
      <c r="ARZ109" s="83"/>
      <c r="ASJ109" s="83"/>
      <c r="AST109" s="83"/>
      <c r="ATD109" s="83"/>
      <c r="ATN109" s="83"/>
      <c r="ATX109" s="83"/>
      <c r="AUH109" s="83"/>
      <c r="AUR109" s="83"/>
      <c r="AVB109" s="83"/>
      <c r="AVL109" s="83"/>
      <c r="AVV109" s="83"/>
      <c r="AWF109" s="83"/>
      <c r="AWP109" s="83"/>
      <c r="AWZ109" s="83"/>
      <c r="AXJ109" s="83"/>
      <c r="AXT109" s="83"/>
      <c r="AYD109" s="83"/>
      <c r="AYN109" s="83"/>
      <c r="AYX109" s="83"/>
      <c r="AZH109" s="83"/>
      <c r="AZR109" s="83"/>
      <c r="BAB109" s="83"/>
      <c r="BAL109" s="83"/>
      <c r="BAV109" s="83"/>
      <c r="BBF109" s="83"/>
      <c r="BBP109" s="83"/>
      <c r="BBZ109" s="83"/>
      <c r="BCJ109" s="83"/>
      <c r="BCT109" s="83"/>
      <c r="BDD109" s="83"/>
      <c r="BDN109" s="83"/>
      <c r="BDX109" s="83"/>
      <c r="BEH109" s="83"/>
      <c r="BER109" s="83"/>
      <c r="BFB109" s="83"/>
      <c r="BFL109" s="83"/>
      <c r="BFV109" s="83"/>
      <c r="BGF109" s="83"/>
      <c r="BGP109" s="83"/>
      <c r="BGZ109" s="83"/>
      <c r="BHJ109" s="83"/>
      <c r="BHT109" s="83"/>
      <c r="BID109" s="83"/>
      <c r="BIN109" s="83"/>
      <c r="BIX109" s="83"/>
      <c r="BJH109" s="83"/>
      <c r="BJR109" s="83"/>
      <c r="BKB109" s="83"/>
      <c r="BKL109" s="83"/>
      <c r="BKV109" s="83"/>
      <c r="BLF109" s="83"/>
      <c r="BLP109" s="83"/>
      <c r="BLZ109" s="83"/>
      <c r="BMJ109" s="83"/>
      <c r="BMT109" s="83"/>
      <c r="BND109" s="83"/>
      <c r="BNN109" s="83"/>
      <c r="BNX109" s="83"/>
      <c r="BOH109" s="83"/>
      <c r="BOR109" s="83"/>
      <c r="BPB109" s="83"/>
      <c r="BPL109" s="83"/>
      <c r="BPV109" s="83"/>
      <c r="BQF109" s="83"/>
      <c r="BQP109" s="83"/>
      <c r="BQZ109" s="83"/>
      <c r="BRJ109" s="83"/>
      <c r="BRT109" s="83"/>
      <c r="BSD109" s="83"/>
      <c r="BSN109" s="83"/>
      <c r="BSX109" s="83"/>
      <c r="BTH109" s="83"/>
      <c r="BTR109" s="83"/>
      <c r="BUB109" s="83"/>
      <c r="BUL109" s="83"/>
      <c r="BUV109" s="83"/>
      <c r="BVF109" s="83"/>
      <c r="BVP109" s="83"/>
      <c r="BVZ109" s="83"/>
      <c r="BWJ109" s="83"/>
      <c r="BWT109" s="83"/>
      <c r="BXD109" s="83"/>
      <c r="BXN109" s="83"/>
      <c r="BXX109" s="83"/>
      <c r="BYH109" s="83"/>
      <c r="BYR109" s="83"/>
      <c r="BZB109" s="83"/>
      <c r="BZL109" s="83"/>
      <c r="BZV109" s="83"/>
      <c r="CAF109" s="83"/>
      <c r="CAP109" s="83"/>
      <c r="CAZ109" s="83"/>
      <c r="CBJ109" s="83"/>
      <c r="CBT109" s="83"/>
      <c r="CCD109" s="83"/>
      <c r="CCN109" s="83"/>
      <c r="CCX109" s="83"/>
      <c r="CDH109" s="83"/>
      <c r="CDR109" s="83"/>
      <c r="CEB109" s="83"/>
      <c r="CEL109" s="83"/>
      <c r="CEV109" s="83"/>
      <c r="CFF109" s="83"/>
      <c r="CFP109" s="83"/>
      <c r="CFZ109" s="83"/>
      <c r="CGJ109" s="83"/>
      <c r="CGT109" s="83"/>
      <c r="CHD109" s="83"/>
      <c r="CHN109" s="83"/>
      <c r="CHX109" s="83"/>
      <c r="CIH109" s="83"/>
      <c r="CIR109" s="83"/>
      <c r="CJB109" s="83"/>
      <c r="CJL109" s="83"/>
      <c r="CJV109" s="83"/>
      <c r="CKF109" s="83"/>
      <c r="CKP109" s="83"/>
      <c r="CKZ109" s="83"/>
      <c r="CLJ109" s="83"/>
      <c r="CLT109" s="83"/>
      <c r="CMD109" s="83"/>
      <c r="CMN109" s="83"/>
      <c r="CMX109" s="83"/>
      <c r="CNH109" s="83"/>
      <c r="CNR109" s="83"/>
      <c r="COB109" s="83"/>
      <c r="COL109" s="83"/>
      <c r="COV109" s="83"/>
      <c r="CPF109" s="83"/>
      <c r="CPP109" s="83"/>
      <c r="CPZ109" s="83"/>
      <c r="CQJ109" s="83"/>
      <c r="CQT109" s="83"/>
      <c r="CRD109" s="83"/>
      <c r="CRN109" s="83"/>
      <c r="CRX109" s="83"/>
      <c r="CSH109" s="83"/>
      <c r="CSR109" s="83"/>
      <c r="CTB109" s="83"/>
      <c r="CTL109" s="83"/>
      <c r="CTV109" s="83"/>
    </row>
    <row r="110" s="58" customFormat="1" customHeight="1" spans="1:1020 1030:2040 2050:2570">
      <c r="A110" s="79">
        <v>46154</v>
      </c>
      <c r="B110" s="80" t="s">
        <v>22</v>
      </c>
      <c r="C110" s="38" t="s">
        <v>23</v>
      </c>
      <c r="D110" s="75">
        <v>652388080</v>
      </c>
      <c r="E110" s="85" t="s">
        <v>78</v>
      </c>
      <c r="F110" s="75" t="str">
        <f>VLOOKUP(E110,[69]基础数据!E:H,2,0)</f>
        <v>LS-CCUG001-AA-V1.03 三防漆单面 926_014</v>
      </c>
      <c r="G110" s="75">
        <v>720</v>
      </c>
      <c r="H110" s="75" t="str">
        <f>VLOOKUP(E110,[69]基础数据!E:H,4,0)</f>
        <v>料盒</v>
      </c>
      <c r="I110" s="75">
        <f>VLOOKUP(E110,[69]基础数据!E:G,3,0)</f>
        <v>72</v>
      </c>
      <c r="J110" s="75" t="s">
        <v>306</v>
      </c>
      <c r="K110" s="82">
        <f t="shared" si="1"/>
        <v>10</v>
      </c>
      <c r="T110" s="83"/>
      <c r="AD110" s="83"/>
      <c r="AN110" s="83"/>
      <c r="AX110" s="83"/>
      <c r="BH110" s="83"/>
      <c r="BR110" s="83"/>
      <c r="CB110" s="83"/>
      <c r="CL110" s="83"/>
      <c r="CV110" s="83"/>
      <c r="DF110" s="83"/>
      <c r="DP110" s="83"/>
      <c r="DZ110" s="83"/>
      <c r="EJ110" s="83"/>
      <c r="ET110" s="83"/>
      <c r="FD110" s="83"/>
      <c r="FN110" s="83"/>
      <c r="FX110" s="83"/>
      <c r="GH110" s="83"/>
      <c r="GR110" s="83"/>
      <c r="HB110" s="83"/>
      <c r="HL110" s="83"/>
      <c r="HV110" s="83"/>
      <c r="IF110" s="83"/>
      <c r="IP110" s="83"/>
      <c r="IZ110" s="83"/>
      <c r="JJ110" s="83"/>
      <c r="JT110" s="83"/>
      <c r="KD110" s="83"/>
      <c r="KN110" s="83"/>
      <c r="KX110" s="83"/>
      <c r="LH110" s="83"/>
      <c r="LR110" s="83"/>
      <c r="MB110" s="83"/>
      <c r="ML110" s="83"/>
      <c r="MV110" s="83"/>
      <c r="NF110" s="83"/>
      <c r="NP110" s="83"/>
      <c r="NZ110" s="83"/>
      <c r="OJ110" s="83"/>
      <c r="OT110" s="83"/>
      <c r="PD110" s="83"/>
      <c r="PN110" s="83"/>
      <c r="PX110" s="83"/>
      <c r="QH110" s="83"/>
      <c r="QR110" s="83"/>
      <c r="RB110" s="83"/>
      <c r="RL110" s="83"/>
      <c r="RV110" s="83"/>
      <c r="SF110" s="83"/>
      <c r="SP110" s="83"/>
      <c r="SZ110" s="83"/>
      <c r="TJ110" s="83"/>
      <c r="TT110" s="83"/>
      <c r="UD110" s="83"/>
      <c r="UN110" s="83"/>
      <c r="UX110" s="83"/>
      <c r="VH110" s="83"/>
      <c r="VR110" s="83"/>
      <c r="WB110" s="83"/>
      <c r="WL110" s="83"/>
      <c r="WV110" s="83"/>
      <c r="XF110" s="83"/>
      <c r="XP110" s="83"/>
      <c r="XZ110" s="83"/>
      <c r="YJ110" s="83"/>
      <c r="YT110" s="83"/>
      <c r="ZD110" s="83"/>
      <c r="ZN110" s="83"/>
      <c r="ZX110" s="83"/>
      <c r="AAH110" s="83"/>
      <c r="AAR110" s="83"/>
      <c r="ABB110" s="83"/>
      <c r="ABL110" s="83"/>
      <c r="ABV110" s="83"/>
      <c r="ACF110" s="83"/>
      <c r="ACP110" s="83"/>
      <c r="ACZ110" s="83"/>
      <c r="ADJ110" s="83"/>
      <c r="ADT110" s="83"/>
      <c r="AED110" s="83"/>
      <c r="AEN110" s="83"/>
      <c r="AEX110" s="83"/>
      <c r="AFH110" s="83"/>
      <c r="AFR110" s="83"/>
      <c r="AGB110" s="83"/>
      <c r="AGL110" s="83"/>
      <c r="AGV110" s="83"/>
      <c r="AHF110" s="83"/>
      <c r="AHP110" s="83"/>
      <c r="AHZ110" s="83"/>
      <c r="AIJ110" s="83"/>
      <c r="AIT110" s="83"/>
      <c r="AJD110" s="83"/>
      <c r="AJN110" s="83"/>
      <c r="AJX110" s="83"/>
      <c r="AKH110" s="83"/>
      <c r="AKR110" s="83"/>
      <c r="ALB110" s="83"/>
      <c r="ALL110" s="83"/>
      <c r="ALV110" s="83"/>
      <c r="AMF110" s="83"/>
      <c r="AMP110" s="83"/>
      <c r="AMZ110" s="83"/>
      <c r="ANJ110" s="83"/>
      <c r="ANT110" s="83"/>
      <c r="AOD110" s="83"/>
      <c r="AON110" s="83"/>
      <c r="AOX110" s="83"/>
      <c r="APH110" s="83"/>
      <c r="APR110" s="83"/>
      <c r="AQB110" s="83"/>
      <c r="AQL110" s="83"/>
      <c r="AQV110" s="83"/>
      <c r="ARF110" s="83"/>
      <c r="ARP110" s="83"/>
      <c r="ARZ110" s="83"/>
      <c r="ASJ110" s="83"/>
      <c r="AST110" s="83"/>
      <c r="ATD110" s="83"/>
      <c r="ATN110" s="83"/>
      <c r="ATX110" s="83"/>
      <c r="AUH110" s="83"/>
      <c r="AUR110" s="83"/>
      <c r="AVB110" s="83"/>
      <c r="AVL110" s="83"/>
      <c r="AVV110" s="83"/>
      <c r="AWF110" s="83"/>
      <c r="AWP110" s="83"/>
      <c r="AWZ110" s="83"/>
      <c r="AXJ110" s="83"/>
      <c r="AXT110" s="83"/>
      <c r="AYD110" s="83"/>
      <c r="AYN110" s="83"/>
      <c r="AYX110" s="83"/>
      <c r="AZH110" s="83"/>
      <c r="AZR110" s="83"/>
      <c r="BAB110" s="83"/>
      <c r="BAL110" s="83"/>
      <c r="BAV110" s="83"/>
      <c r="BBF110" s="83"/>
      <c r="BBP110" s="83"/>
      <c r="BBZ110" s="83"/>
      <c r="BCJ110" s="83"/>
      <c r="BCT110" s="83"/>
      <c r="BDD110" s="83"/>
      <c r="BDN110" s="83"/>
      <c r="BDX110" s="83"/>
      <c r="BEH110" s="83"/>
      <c r="BER110" s="83"/>
      <c r="BFB110" s="83"/>
      <c r="BFL110" s="83"/>
      <c r="BFV110" s="83"/>
      <c r="BGF110" s="83"/>
      <c r="BGP110" s="83"/>
      <c r="BGZ110" s="83"/>
      <c r="BHJ110" s="83"/>
      <c r="BHT110" s="83"/>
      <c r="BID110" s="83"/>
      <c r="BIN110" s="83"/>
      <c r="BIX110" s="83"/>
      <c r="BJH110" s="83"/>
      <c r="BJR110" s="83"/>
      <c r="BKB110" s="83"/>
      <c r="BKL110" s="83"/>
      <c r="BKV110" s="83"/>
      <c r="BLF110" s="83"/>
      <c r="BLP110" s="83"/>
      <c r="BLZ110" s="83"/>
      <c r="BMJ110" s="83"/>
      <c r="BMT110" s="83"/>
      <c r="BND110" s="83"/>
      <c r="BNN110" s="83"/>
      <c r="BNX110" s="83"/>
      <c r="BOH110" s="83"/>
      <c r="BOR110" s="83"/>
      <c r="BPB110" s="83"/>
      <c r="BPL110" s="83"/>
      <c r="BPV110" s="83"/>
      <c r="BQF110" s="83"/>
      <c r="BQP110" s="83"/>
      <c r="BQZ110" s="83"/>
      <c r="BRJ110" s="83"/>
      <c r="BRT110" s="83"/>
      <c r="BSD110" s="83"/>
      <c r="BSN110" s="83"/>
      <c r="BSX110" s="83"/>
      <c r="BTH110" s="83"/>
      <c r="BTR110" s="83"/>
      <c r="BUB110" s="83"/>
      <c r="BUL110" s="83"/>
      <c r="BUV110" s="83"/>
      <c r="BVF110" s="83"/>
      <c r="BVP110" s="83"/>
      <c r="BVZ110" s="83"/>
      <c r="BWJ110" s="83"/>
      <c r="BWT110" s="83"/>
      <c r="BXD110" s="83"/>
      <c r="BXN110" s="83"/>
      <c r="BXX110" s="83"/>
      <c r="BYH110" s="83"/>
      <c r="BYR110" s="83"/>
      <c r="BZB110" s="83"/>
      <c r="BZL110" s="83"/>
      <c r="BZV110" s="83"/>
      <c r="CAF110" s="83"/>
      <c r="CAP110" s="83"/>
      <c r="CAZ110" s="83"/>
      <c r="CBJ110" s="83"/>
      <c r="CBT110" s="83"/>
      <c r="CCD110" s="83"/>
      <c r="CCN110" s="83"/>
      <c r="CCX110" s="83"/>
      <c r="CDH110" s="83"/>
      <c r="CDR110" s="83"/>
      <c r="CEB110" s="83"/>
      <c r="CEL110" s="83"/>
      <c r="CEV110" s="83"/>
      <c r="CFF110" s="83"/>
      <c r="CFP110" s="83"/>
      <c r="CFZ110" s="83"/>
      <c r="CGJ110" s="83"/>
      <c r="CGT110" s="83"/>
      <c r="CHD110" s="83"/>
      <c r="CHN110" s="83"/>
      <c r="CHX110" s="83"/>
      <c r="CIH110" s="83"/>
      <c r="CIR110" s="83"/>
      <c r="CJB110" s="83"/>
      <c r="CJL110" s="83"/>
      <c r="CJV110" s="83"/>
      <c r="CKF110" s="83"/>
      <c r="CKP110" s="83"/>
      <c r="CKZ110" s="83"/>
      <c r="CLJ110" s="83"/>
      <c r="CLT110" s="83"/>
      <c r="CMD110" s="83"/>
      <c r="CMN110" s="83"/>
      <c r="CMX110" s="83"/>
      <c r="CNH110" s="83"/>
      <c r="CNR110" s="83"/>
      <c r="COB110" s="83"/>
      <c r="COL110" s="83"/>
      <c r="COV110" s="83"/>
      <c r="CPF110" s="83"/>
      <c r="CPP110" s="83"/>
      <c r="CPZ110" s="83"/>
      <c r="CQJ110" s="83"/>
      <c r="CQT110" s="83"/>
      <c r="CRD110" s="83"/>
      <c r="CRN110" s="83"/>
      <c r="CRX110" s="83"/>
      <c r="CSH110" s="83"/>
      <c r="CSR110" s="83"/>
      <c r="CTB110" s="83"/>
      <c r="CTL110" s="83"/>
      <c r="CTV110" s="83"/>
    </row>
    <row r="111" s="58" customFormat="1" customHeight="1" spans="1:1020 1030:2040 2050:2570">
      <c r="A111" s="79">
        <v>46154</v>
      </c>
      <c r="B111" s="80" t="s">
        <v>22</v>
      </c>
      <c r="C111" s="38" t="s">
        <v>23</v>
      </c>
      <c r="D111" s="75">
        <v>652388080</v>
      </c>
      <c r="E111" s="85" t="s">
        <v>114</v>
      </c>
      <c r="F111" s="75" t="str">
        <f>VLOOKUP(E111,[69]基础数据!E:H,2,0)</f>
        <v>LS-CCUB001-AB-V1.04 三防漆双面 904_219</v>
      </c>
      <c r="G111" s="75">
        <v>648</v>
      </c>
      <c r="H111" s="75" t="str">
        <f>VLOOKUP(E111,[69]基础数据!E:H,4,0)</f>
        <v>料盒</v>
      </c>
      <c r="I111" s="75">
        <f>VLOOKUP(E111,[69]基础数据!E:G,3,0)</f>
        <v>54</v>
      </c>
      <c r="J111" s="75" t="s">
        <v>306</v>
      </c>
      <c r="K111" s="82">
        <f t="shared" si="1"/>
        <v>12</v>
      </c>
      <c r="T111" s="83"/>
      <c r="AD111" s="83"/>
      <c r="AN111" s="83"/>
      <c r="AX111" s="83"/>
      <c r="BH111" s="83"/>
      <c r="BR111" s="83"/>
      <c r="CB111" s="83"/>
      <c r="CL111" s="83"/>
      <c r="CV111" s="83"/>
      <c r="DF111" s="83"/>
      <c r="DP111" s="83"/>
      <c r="DZ111" s="83"/>
      <c r="EJ111" s="83"/>
      <c r="ET111" s="83"/>
      <c r="FD111" s="83"/>
      <c r="FN111" s="83"/>
      <c r="FX111" s="83"/>
      <c r="GH111" s="83"/>
      <c r="GR111" s="83"/>
      <c r="HB111" s="83"/>
      <c r="HL111" s="83"/>
      <c r="HV111" s="83"/>
      <c r="IF111" s="83"/>
      <c r="IP111" s="83"/>
      <c r="IZ111" s="83"/>
      <c r="JJ111" s="83"/>
      <c r="JT111" s="83"/>
      <c r="KD111" s="83"/>
      <c r="KN111" s="83"/>
      <c r="KX111" s="83"/>
      <c r="LH111" s="83"/>
      <c r="LR111" s="83"/>
      <c r="MB111" s="83"/>
      <c r="ML111" s="83"/>
      <c r="MV111" s="83"/>
      <c r="NF111" s="83"/>
      <c r="NP111" s="83"/>
      <c r="NZ111" s="83"/>
      <c r="OJ111" s="83"/>
      <c r="OT111" s="83"/>
      <c r="PD111" s="83"/>
      <c r="PN111" s="83"/>
      <c r="PX111" s="83"/>
      <c r="QH111" s="83"/>
      <c r="QR111" s="83"/>
      <c r="RB111" s="83"/>
      <c r="RL111" s="83"/>
      <c r="RV111" s="83"/>
      <c r="SF111" s="83"/>
      <c r="SP111" s="83"/>
      <c r="SZ111" s="83"/>
      <c r="TJ111" s="83"/>
      <c r="TT111" s="83"/>
      <c r="UD111" s="83"/>
      <c r="UN111" s="83"/>
      <c r="UX111" s="83"/>
      <c r="VH111" s="83"/>
      <c r="VR111" s="83"/>
      <c r="WB111" s="83"/>
      <c r="WL111" s="83"/>
      <c r="WV111" s="83"/>
      <c r="XF111" s="83"/>
      <c r="XP111" s="83"/>
      <c r="XZ111" s="83"/>
      <c r="YJ111" s="83"/>
      <c r="YT111" s="83"/>
      <c r="ZD111" s="83"/>
      <c r="ZN111" s="83"/>
      <c r="ZX111" s="83"/>
      <c r="AAH111" s="83"/>
      <c r="AAR111" s="83"/>
      <c r="ABB111" s="83"/>
      <c r="ABL111" s="83"/>
      <c r="ABV111" s="83"/>
      <c r="ACF111" s="83"/>
      <c r="ACP111" s="83"/>
      <c r="ACZ111" s="83"/>
      <c r="ADJ111" s="83"/>
      <c r="ADT111" s="83"/>
      <c r="AED111" s="83"/>
      <c r="AEN111" s="83"/>
      <c r="AEX111" s="83"/>
      <c r="AFH111" s="83"/>
      <c r="AFR111" s="83"/>
      <c r="AGB111" s="83"/>
      <c r="AGL111" s="83"/>
      <c r="AGV111" s="83"/>
      <c r="AHF111" s="83"/>
      <c r="AHP111" s="83"/>
      <c r="AHZ111" s="83"/>
      <c r="AIJ111" s="83"/>
      <c r="AIT111" s="83"/>
      <c r="AJD111" s="83"/>
      <c r="AJN111" s="83"/>
      <c r="AJX111" s="83"/>
      <c r="AKH111" s="83"/>
      <c r="AKR111" s="83"/>
      <c r="ALB111" s="83"/>
      <c r="ALL111" s="83"/>
      <c r="ALV111" s="83"/>
      <c r="AMF111" s="83"/>
      <c r="AMP111" s="83"/>
      <c r="AMZ111" s="83"/>
      <c r="ANJ111" s="83"/>
      <c r="ANT111" s="83"/>
      <c r="AOD111" s="83"/>
      <c r="AON111" s="83"/>
      <c r="AOX111" s="83"/>
      <c r="APH111" s="83"/>
      <c r="APR111" s="83"/>
      <c r="AQB111" s="83"/>
      <c r="AQL111" s="83"/>
      <c r="AQV111" s="83"/>
      <c r="ARF111" s="83"/>
      <c r="ARP111" s="83"/>
      <c r="ARZ111" s="83"/>
      <c r="ASJ111" s="83"/>
      <c r="AST111" s="83"/>
      <c r="ATD111" s="83"/>
      <c r="ATN111" s="83"/>
      <c r="ATX111" s="83"/>
      <c r="AUH111" s="83"/>
      <c r="AUR111" s="83"/>
      <c r="AVB111" s="83"/>
      <c r="AVL111" s="83"/>
      <c r="AVV111" s="83"/>
      <c r="AWF111" s="83"/>
      <c r="AWP111" s="83"/>
      <c r="AWZ111" s="83"/>
      <c r="AXJ111" s="83"/>
      <c r="AXT111" s="83"/>
      <c r="AYD111" s="83"/>
      <c r="AYN111" s="83"/>
      <c r="AYX111" s="83"/>
      <c r="AZH111" s="83"/>
      <c r="AZR111" s="83"/>
      <c r="BAB111" s="83"/>
      <c r="BAL111" s="83"/>
      <c r="BAV111" s="83"/>
      <c r="BBF111" s="83"/>
      <c r="BBP111" s="83"/>
      <c r="BBZ111" s="83"/>
      <c r="BCJ111" s="83"/>
      <c r="BCT111" s="83"/>
      <c r="BDD111" s="83"/>
      <c r="BDN111" s="83"/>
      <c r="BDX111" s="83"/>
      <c r="BEH111" s="83"/>
      <c r="BER111" s="83"/>
      <c r="BFB111" s="83"/>
      <c r="BFL111" s="83"/>
      <c r="BFV111" s="83"/>
      <c r="BGF111" s="83"/>
      <c r="BGP111" s="83"/>
      <c r="BGZ111" s="83"/>
      <c r="BHJ111" s="83"/>
      <c r="BHT111" s="83"/>
      <c r="BID111" s="83"/>
      <c r="BIN111" s="83"/>
      <c r="BIX111" s="83"/>
      <c r="BJH111" s="83"/>
      <c r="BJR111" s="83"/>
      <c r="BKB111" s="83"/>
      <c r="BKL111" s="83"/>
      <c r="BKV111" s="83"/>
      <c r="BLF111" s="83"/>
      <c r="BLP111" s="83"/>
      <c r="BLZ111" s="83"/>
      <c r="BMJ111" s="83"/>
      <c r="BMT111" s="83"/>
      <c r="BND111" s="83"/>
      <c r="BNN111" s="83"/>
      <c r="BNX111" s="83"/>
      <c r="BOH111" s="83"/>
      <c r="BOR111" s="83"/>
      <c r="BPB111" s="83"/>
      <c r="BPL111" s="83"/>
      <c r="BPV111" s="83"/>
      <c r="BQF111" s="83"/>
      <c r="BQP111" s="83"/>
      <c r="BQZ111" s="83"/>
      <c r="BRJ111" s="83"/>
      <c r="BRT111" s="83"/>
      <c r="BSD111" s="83"/>
      <c r="BSN111" s="83"/>
      <c r="BSX111" s="83"/>
      <c r="BTH111" s="83"/>
      <c r="BTR111" s="83"/>
      <c r="BUB111" s="83"/>
      <c r="BUL111" s="83"/>
      <c r="BUV111" s="83"/>
      <c r="BVF111" s="83"/>
      <c r="BVP111" s="83"/>
      <c r="BVZ111" s="83"/>
      <c r="BWJ111" s="83"/>
      <c r="BWT111" s="83"/>
      <c r="BXD111" s="83"/>
      <c r="BXN111" s="83"/>
      <c r="BXX111" s="83"/>
      <c r="BYH111" s="83"/>
      <c r="BYR111" s="83"/>
      <c r="BZB111" s="83"/>
      <c r="BZL111" s="83"/>
      <c r="BZV111" s="83"/>
      <c r="CAF111" s="83"/>
      <c r="CAP111" s="83"/>
      <c r="CAZ111" s="83"/>
      <c r="CBJ111" s="83"/>
      <c r="CBT111" s="83"/>
      <c r="CCD111" s="83"/>
      <c r="CCN111" s="83"/>
      <c r="CCX111" s="83"/>
      <c r="CDH111" s="83"/>
      <c r="CDR111" s="83"/>
      <c r="CEB111" s="83"/>
      <c r="CEL111" s="83"/>
      <c r="CEV111" s="83"/>
      <c r="CFF111" s="83"/>
      <c r="CFP111" s="83"/>
      <c r="CFZ111" s="83"/>
      <c r="CGJ111" s="83"/>
      <c r="CGT111" s="83"/>
      <c r="CHD111" s="83"/>
      <c r="CHN111" s="83"/>
      <c r="CHX111" s="83"/>
      <c r="CIH111" s="83"/>
      <c r="CIR111" s="83"/>
      <c r="CJB111" s="83"/>
      <c r="CJL111" s="83"/>
      <c r="CJV111" s="83"/>
      <c r="CKF111" s="83"/>
      <c r="CKP111" s="83"/>
      <c r="CKZ111" s="83"/>
      <c r="CLJ111" s="83"/>
      <c r="CLT111" s="83"/>
      <c r="CMD111" s="83"/>
      <c r="CMN111" s="83"/>
      <c r="CMX111" s="83"/>
      <c r="CNH111" s="83"/>
      <c r="CNR111" s="83"/>
      <c r="COB111" s="83"/>
      <c r="COL111" s="83"/>
      <c r="COV111" s="83"/>
      <c r="CPF111" s="83"/>
      <c r="CPP111" s="83"/>
      <c r="CPZ111" s="83"/>
      <c r="CQJ111" s="83"/>
      <c r="CQT111" s="83"/>
      <c r="CRD111" s="83"/>
      <c r="CRN111" s="83"/>
      <c r="CRX111" s="83"/>
      <c r="CSH111" s="83"/>
      <c r="CSR111" s="83"/>
      <c r="CTB111" s="83"/>
      <c r="CTL111" s="83"/>
      <c r="CTV111" s="83"/>
    </row>
    <row r="112" s="58" customFormat="1" customHeight="1" spans="1:1020 1030:2040 2050:2570">
      <c r="A112" s="79">
        <v>46154</v>
      </c>
      <c r="B112" s="80" t="s">
        <v>22</v>
      </c>
      <c r="C112" s="38" t="s">
        <v>23</v>
      </c>
      <c r="D112" s="75">
        <v>652388080</v>
      </c>
      <c r="E112" s="85" t="s">
        <v>66</v>
      </c>
      <c r="F112" s="75" t="str">
        <f>VLOOKUP(E112,[69]基础数据!E:H,2,0)</f>
        <v>LS-CCUB001-AC-V1.02 三防漆双面 926_018</v>
      </c>
      <c r="G112" s="75">
        <v>600</v>
      </c>
      <c r="H112" s="75" t="str">
        <f>VLOOKUP(E112,[69]基础数据!E:H,4,0)</f>
        <v>料盒</v>
      </c>
      <c r="I112" s="75">
        <f>VLOOKUP(E112,[69]基础数据!E:G,3,0)</f>
        <v>240</v>
      </c>
      <c r="J112" s="75" t="s">
        <v>306</v>
      </c>
      <c r="K112" s="82">
        <f t="shared" si="1"/>
        <v>2.5</v>
      </c>
      <c r="T112" s="83"/>
      <c r="AD112" s="83"/>
      <c r="AN112" s="83"/>
      <c r="AX112" s="83"/>
      <c r="BH112" s="83"/>
      <c r="BR112" s="83"/>
      <c r="CB112" s="83"/>
      <c r="CL112" s="83"/>
      <c r="CV112" s="83"/>
      <c r="DF112" s="83"/>
      <c r="DP112" s="83"/>
      <c r="DZ112" s="83"/>
      <c r="EJ112" s="83"/>
      <c r="ET112" s="83"/>
      <c r="FD112" s="83"/>
      <c r="FN112" s="83"/>
      <c r="FX112" s="83"/>
      <c r="GH112" s="83"/>
      <c r="GR112" s="83"/>
      <c r="HB112" s="83"/>
      <c r="HL112" s="83"/>
      <c r="HV112" s="83"/>
      <c r="IF112" s="83"/>
      <c r="IP112" s="83"/>
      <c r="IZ112" s="83"/>
      <c r="JJ112" s="83"/>
      <c r="JT112" s="83"/>
      <c r="KD112" s="83"/>
      <c r="KN112" s="83"/>
      <c r="KX112" s="83"/>
      <c r="LH112" s="83"/>
      <c r="LR112" s="83"/>
      <c r="MB112" s="83"/>
      <c r="ML112" s="83"/>
      <c r="MV112" s="83"/>
      <c r="NF112" s="83"/>
      <c r="NP112" s="83"/>
      <c r="NZ112" s="83"/>
      <c r="OJ112" s="83"/>
      <c r="OT112" s="83"/>
      <c r="PD112" s="83"/>
      <c r="PN112" s="83"/>
      <c r="PX112" s="83"/>
      <c r="QH112" s="83"/>
      <c r="QR112" s="83"/>
      <c r="RB112" s="83"/>
      <c r="RL112" s="83"/>
      <c r="RV112" s="83"/>
      <c r="SF112" s="83"/>
      <c r="SP112" s="83"/>
      <c r="SZ112" s="83"/>
      <c r="TJ112" s="83"/>
      <c r="TT112" s="83"/>
      <c r="UD112" s="83"/>
      <c r="UN112" s="83"/>
      <c r="UX112" s="83"/>
      <c r="VH112" s="83"/>
      <c r="VR112" s="83"/>
      <c r="WB112" s="83"/>
      <c r="WL112" s="83"/>
      <c r="WV112" s="83"/>
      <c r="XF112" s="83"/>
      <c r="XP112" s="83"/>
      <c r="XZ112" s="83"/>
      <c r="YJ112" s="83"/>
      <c r="YT112" s="83"/>
      <c r="ZD112" s="83"/>
      <c r="ZN112" s="83"/>
      <c r="ZX112" s="83"/>
      <c r="AAH112" s="83"/>
      <c r="AAR112" s="83"/>
      <c r="ABB112" s="83"/>
      <c r="ABL112" s="83"/>
      <c r="ABV112" s="83"/>
      <c r="ACF112" s="83"/>
      <c r="ACP112" s="83"/>
      <c r="ACZ112" s="83"/>
      <c r="ADJ112" s="83"/>
      <c r="ADT112" s="83"/>
      <c r="AED112" s="83"/>
      <c r="AEN112" s="83"/>
      <c r="AEX112" s="83"/>
      <c r="AFH112" s="83"/>
      <c r="AFR112" s="83"/>
      <c r="AGB112" s="83"/>
      <c r="AGL112" s="83"/>
      <c r="AGV112" s="83"/>
      <c r="AHF112" s="83"/>
      <c r="AHP112" s="83"/>
      <c r="AHZ112" s="83"/>
      <c r="AIJ112" s="83"/>
      <c r="AIT112" s="83"/>
      <c r="AJD112" s="83"/>
      <c r="AJN112" s="83"/>
      <c r="AJX112" s="83"/>
      <c r="AKH112" s="83"/>
      <c r="AKR112" s="83"/>
      <c r="ALB112" s="83"/>
      <c r="ALL112" s="83"/>
      <c r="ALV112" s="83"/>
      <c r="AMF112" s="83"/>
      <c r="AMP112" s="83"/>
      <c r="AMZ112" s="83"/>
      <c r="ANJ112" s="83"/>
      <c r="ANT112" s="83"/>
      <c r="AOD112" s="83"/>
      <c r="AON112" s="83"/>
      <c r="AOX112" s="83"/>
      <c r="APH112" s="83"/>
      <c r="APR112" s="83"/>
      <c r="AQB112" s="83"/>
      <c r="AQL112" s="83"/>
      <c r="AQV112" s="83"/>
      <c r="ARF112" s="83"/>
      <c r="ARP112" s="83"/>
      <c r="ARZ112" s="83"/>
      <c r="ASJ112" s="83"/>
      <c r="AST112" s="83"/>
      <c r="ATD112" s="83"/>
      <c r="ATN112" s="83"/>
      <c r="ATX112" s="83"/>
      <c r="AUH112" s="83"/>
      <c r="AUR112" s="83"/>
      <c r="AVB112" s="83"/>
      <c r="AVL112" s="83"/>
      <c r="AVV112" s="83"/>
      <c r="AWF112" s="83"/>
      <c r="AWP112" s="83"/>
      <c r="AWZ112" s="83"/>
      <c r="AXJ112" s="83"/>
      <c r="AXT112" s="83"/>
      <c r="AYD112" s="83"/>
      <c r="AYN112" s="83"/>
      <c r="AYX112" s="83"/>
      <c r="AZH112" s="83"/>
      <c r="AZR112" s="83"/>
      <c r="BAB112" s="83"/>
      <c r="BAL112" s="83"/>
      <c r="BAV112" s="83"/>
      <c r="BBF112" s="83"/>
      <c r="BBP112" s="83"/>
      <c r="BBZ112" s="83"/>
      <c r="BCJ112" s="83"/>
      <c r="BCT112" s="83"/>
      <c r="BDD112" s="83"/>
      <c r="BDN112" s="83"/>
      <c r="BDX112" s="83"/>
      <c r="BEH112" s="83"/>
      <c r="BER112" s="83"/>
      <c r="BFB112" s="83"/>
      <c r="BFL112" s="83"/>
      <c r="BFV112" s="83"/>
      <c r="BGF112" s="83"/>
      <c r="BGP112" s="83"/>
      <c r="BGZ112" s="83"/>
      <c r="BHJ112" s="83"/>
      <c r="BHT112" s="83"/>
      <c r="BID112" s="83"/>
      <c r="BIN112" s="83"/>
      <c r="BIX112" s="83"/>
      <c r="BJH112" s="83"/>
      <c r="BJR112" s="83"/>
      <c r="BKB112" s="83"/>
      <c r="BKL112" s="83"/>
      <c r="BKV112" s="83"/>
      <c r="BLF112" s="83"/>
      <c r="BLP112" s="83"/>
      <c r="BLZ112" s="83"/>
      <c r="BMJ112" s="83"/>
      <c r="BMT112" s="83"/>
      <c r="BND112" s="83"/>
      <c r="BNN112" s="83"/>
      <c r="BNX112" s="83"/>
      <c r="BOH112" s="83"/>
      <c r="BOR112" s="83"/>
      <c r="BPB112" s="83"/>
      <c r="BPL112" s="83"/>
      <c r="BPV112" s="83"/>
      <c r="BQF112" s="83"/>
      <c r="BQP112" s="83"/>
      <c r="BQZ112" s="83"/>
      <c r="BRJ112" s="83"/>
      <c r="BRT112" s="83"/>
      <c r="BSD112" s="83"/>
      <c r="BSN112" s="83"/>
      <c r="BSX112" s="83"/>
      <c r="BTH112" s="83"/>
      <c r="BTR112" s="83"/>
      <c r="BUB112" s="83"/>
      <c r="BUL112" s="83"/>
      <c r="BUV112" s="83"/>
      <c r="BVF112" s="83"/>
      <c r="BVP112" s="83"/>
      <c r="BVZ112" s="83"/>
      <c r="BWJ112" s="83"/>
      <c r="BWT112" s="83"/>
      <c r="BXD112" s="83"/>
      <c r="BXN112" s="83"/>
      <c r="BXX112" s="83"/>
      <c r="BYH112" s="83"/>
      <c r="BYR112" s="83"/>
      <c r="BZB112" s="83"/>
      <c r="BZL112" s="83"/>
      <c r="BZV112" s="83"/>
      <c r="CAF112" s="83"/>
      <c r="CAP112" s="83"/>
      <c r="CAZ112" s="83"/>
      <c r="CBJ112" s="83"/>
      <c r="CBT112" s="83"/>
      <c r="CCD112" s="83"/>
      <c r="CCN112" s="83"/>
      <c r="CCX112" s="83"/>
      <c r="CDH112" s="83"/>
      <c r="CDR112" s="83"/>
      <c r="CEB112" s="83"/>
      <c r="CEL112" s="83"/>
      <c r="CEV112" s="83"/>
      <c r="CFF112" s="83"/>
      <c r="CFP112" s="83"/>
      <c r="CFZ112" s="83"/>
      <c r="CGJ112" s="83"/>
      <c r="CGT112" s="83"/>
      <c r="CHD112" s="83"/>
      <c r="CHN112" s="83"/>
      <c r="CHX112" s="83"/>
      <c r="CIH112" s="83"/>
      <c r="CIR112" s="83"/>
      <c r="CJB112" s="83"/>
      <c r="CJL112" s="83"/>
      <c r="CJV112" s="83"/>
      <c r="CKF112" s="83"/>
      <c r="CKP112" s="83"/>
      <c r="CKZ112" s="83"/>
      <c r="CLJ112" s="83"/>
      <c r="CLT112" s="83"/>
      <c r="CMD112" s="83"/>
      <c r="CMN112" s="83"/>
      <c r="CMX112" s="83"/>
      <c r="CNH112" s="83"/>
      <c r="CNR112" s="83"/>
      <c r="COB112" s="83"/>
      <c r="COL112" s="83"/>
      <c r="COV112" s="83"/>
      <c r="CPF112" s="83"/>
      <c r="CPP112" s="83"/>
      <c r="CPZ112" s="83"/>
      <c r="CQJ112" s="83"/>
      <c r="CQT112" s="83"/>
      <c r="CRD112" s="83"/>
      <c r="CRN112" s="83"/>
      <c r="CRX112" s="83"/>
      <c r="CSH112" s="83"/>
      <c r="CSR112" s="83"/>
      <c r="CTB112" s="83"/>
      <c r="CTL112" s="83"/>
      <c r="CTV112" s="83"/>
    </row>
    <row r="113" s="58" customFormat="1" customHeight="1" spans="1:1020 1030:2040 2050:2570">
      <c r="A113" s="79">
        <v>46154</v>
      </c>
      <c r="B113" s="80" t="s">
        <v>22</v>
      </c>
      <c r="C113" s="38" t="s">
        <v>23</v>
      </c>
      <c r="D113" s="75">
        <v>652388080</v>
      </c>
      <c r="E113" s="85" t="s">
        <v>81</v>
      </c>
      <c r="F113" s="75" t="str">
        <f>VLOOKUP(E113,[69]基础数据!E:H,2,0)</f>
        <v>LS-CCUG001-AB-V1.02 三防漆单面 924_028</v>
      </c>
      <c r="G113" s="75">
        <v>648</v>
      </c>
      <c r="H113" s="75" t="str">
        <f>VLOOKUP(E113,[69]基础数据!E:H,4,0)</f>
        <v>料盒</v>
      </c>
      <c r="I113" s="75">
        <f>VLOOKUP(E113,[69]基础数据!E:G,3,0)</f>
        <v>72</v>
      </c>
      <c r="J113" s="75" t="s">
        <v>306</v>
      </c>
      <c r="K113" s="82">
        <f t="shared" si="1"/>
        <v>9</v>
      </c>
      <c r="T113" s="83"/>
      <c r="AD113" s="83"/>
      <c r="AN113" s="83"/>
      <c r="AX113" s="83"/>
      <c r="BH113" s="83"/>
      <c r="BR113" s="83"/>
      <c r="CB113" s="83"/>
      <c r="CL113" s="83"/>
      <c r="CV113" s="83"/>
      <c r="DF113" s="83"/>
      <c r="DP113" s="83"/>
      <c r="DZ113" s="83"/>
      <c r="EJ113" s="83"/>
      <c r="ET113" s="83"/>
      <c r="FD113" s="83"/>
      <c r="FN113" s="83"/>
      <c r="FX113" s="83"/>
      <c r="GH113" s="83"/>
      <c r="GR113" s="83"/>
      <c r="HB113" s="83"/>
      <c r="HL113" s="83"/>
      <c r="HV113" s="83"/>
      <c r="IF113" s="83"/>
      <c r="IP113" s="83"/>
      <c r="IZ113" s="83"/>
      <c r="JJ113" s="83"/>
      <c r="JT113" s="83"/>
      <c r="KD113" s="83"/>
      <c r="KN113" s="83"/>
      <c r="KX113" s="83"/>
      <c r="LH113" s="83"/>
      <c r="LR113" s="83"/>
      <c r="MB113" s="83"/>
      <c r="ML113" s="83"/>
      <c r="MV113" s="83"/>
      <c r="NF113" s="83"/>
      <c r="NP113" s="83"/>
      <c r="NZ113" s="83"/>
      <c r="OJ113" s="83"/>
      <c r="OT113" s="83"/>
      <c r="PD113" s="83"/>
      <c r="PN113" s="83"/>
      <c r="PX113" s="83"/>
      <c r="QH113" s="83"/>
      <c r="QR113" s="83"/>
      <c r="RB113" s="83"/>
      <c r="RL113" s="83"/>
      <c r="RV113" s="83"/>
      <c r="SF113" s="83"/>
      <c r="SP113" s="83"/>
      <c r="SZ113" s="83"/>
      <c r="TJ113" s="83"/>
      <c r="TT113" s="83"/>
      <c r="UD113" s="83"/>
      <c r="UN113" s="83"/>
      <c r="UX113" s="83"/>
      <c r="VH113" s="83"/>
      <c r="VR113" s="83"/>
      <c r="WB113" s="83"/>
      <c r="WL113" s="83"/>
      <c r="WV113" s="83"/>
      <c r="XF113" s="83"/>
      <c r="XP113" s="83"/>
      <c r="XZ113" s="83"/>
      <c r="YJ113" s="83"/>
      <c r="YT113" s="83"/>
      <c r="ZD113" s="83"/>
      <c r="ZN113" s="83"/>
      <c r="ZX113" s="83"/>
      <c r="AAH113" s="83"/>
      <c r="AAR113" s="83"/>
      <c r="ABB113" s="83"/>
      <c r="ABL113" s="83"/>
      <c r="ABV113" s="83"/>
      <c r="ACF113" s="83"/>
      <c r="ACP113" s="83"/>
      <c r="ACZ113" s="83"/>
      <c r="ADJ113" s="83"/>
      <c r="ADT113" s="83"/>
      <c r="AED113" s="83"/>
      <c r="AEN113" s="83"/>
      <c r="AEX113" s="83"/>
      <c r="AFH113" s="83"/>
      <c r="AFR113" s="83"/>
      <c r="AGB113" s="83"/>
      <c r="AGL113" s="83"/>
      <c r="AGV113" s="83"/>
      <c r="AHF113" s="83"/>
      <c r="AHP113" s="83"/>
      <c r="AHZ113" s="83"/>
      <c r="AIJ113" s="83"/>
      <c r="AIT113" s="83"/>
      <c r="AJD113" s="83"/>
      <c r="AJN113" s="83"/>
      <c r="AJX113" s="83"/>
      <c r="AKH113" s="83"/>
      <c r="AKR113" s="83"/>
      <c r="ALB113" s="83"/>
      <c r="ALL113" s="83"/>
      <c r="ALV113" s="83"/>
      <c r="AMF113" s="83"/>
      <c r="AMP113" s="83"/>
      <c r="AMZ113" s="83"/>
      <c r="ANJ113" s="83"/>
      <c r="ANT113" s="83"/>
      <c r="AOD113" s="83"/>
      <c r="AON113" s="83"/>
      <c r="AOX113" s="83"/>
      <c r="APH113" s="83"/>
      <c r="APR113" s="83"/>
      <c r="AQB113" s="83"/>
      <c r="AQL113" s="83"/>
      <c r="AQV113" s="83"/>
      <c r="ARF113" s="83"/>
      <c r="ARP113" s="83"/>
      <c r="ARZ113" s="83"/>
      <c r="ASJ113" s="83"/>
      <c r="AST113" s="83"/>
      <c r="ATD113" s="83"/>
      <c r="ATN113" s="83"/>
      <c r="ATX113" s="83"/>
      <c r="AUH113" s="83"/>
      <c r="AUR113" s="83"/>
      <c r="AVB113" s="83"/>
      <c r="AVL113" s="83"/>
      <c r="AVV113" s="83"/>
      <c r="AWF113" s="83"/>
      <c r="AWP113" s="83"/>
      <c r="AWZ113" s="83"/>
      <c r="AXJ113" s="83"/>
      <c r="AXT113" s="83"/>
      <c r="AYD113" s="83"/>
      <c r="AYN113" s="83"/>
      <c r="AYX113" s="83"/>
      <c r="AZH113" s="83"/>
      <c r="AZR113" s="83"/>
      <c r="BAB113" s="83"/>
      <c r="BAL113" s="83"/>
      <c r="BAV113" s="83"/>
      <c r="BBF113" s="83"/>
      <c r="BBP113" s="83"/>
      <c r="BBZ113" s="83"/>
      <c r="BCJ113" s="83"/>
      <c r="BCT113" s="83"/>
      <c r="BDD113" s="83"/>
      <c r="BDN113" s="83"/>
      <c r="BDX113" s="83"/>
      <c r="BEH113" s="83"/>
      <c r="BER113" s="83"/>
      <c r="BFB113" s="83"/>
      <c r="BFL113" s="83"/>
      <c r="BFV113" s="83"/>
      <c r="BGF113" s="83"/>
      <c r="BGP113" s="83"/>
      <c r="BGZ113" s="83"/>
      <c r="BHJ113" s="83"/>
      <c r="BHT113" s="83"/>
      <c r="BID113" s="83"/>
      <c r="BIN113" s="83"/>
      <c r="BIX113" s="83"/>
      <c r="BJH113" s="83"/>
      <c r="BJR113" s="83"/>
      <c r="BKB113" s="83"/>
      <c r="BKL113" s="83"/>
      <c r="BKV113" s="83"/>
      <c r="BLF113" s="83"/>
      <c r="BLP113" s="83"/>
      <c r="BLZ113" s="83"/>
      <c r="BMJ113" s="83"/>
      <c r="BMT113" s="83"/>
      <c r="BND113" s="83"/>
      <c r="BNN113" s="83"/>
      <c r="BNX113" s="83"/>
      <c r="BOH113" s="83"/>
      <c r="BOR113" s="83"/>
      <c r="BPB113" s="83"/>
      <c r="BPL113" s="83"/>
      <c r="BPV113" s="83"/>
      <c r="BQF113" s="83"/>
      <c r="BQP113" s="83"/>
      <c r="BQZ113" s="83"/>
      <c r="BRJ113" s="83"/>
      <c r="BRT113" s="83"/>
      <c r="BSD113" s="83"/>
      <c r="BSN113" s="83"/>
      <c r="BSX113" s="83"/>
      <c r="BTH113" s="83"/>
      <c r="BTR113" s="83"/>
      <c r="BUB113" s="83"/>
      <c r="BUL113" s="83"/>
      <c r="BUV113" s="83"/>
      <c r="BVF113" s="83"/>
      <c r="BVP113" s="83"/>
      <c r="BVZ113" s="83"/>
      <c r="BWJ113" s="83"/>
      <c r="BWT113" s="83"/>
      <c r="BXD113" s="83"/>
      <c r="BXN113" s="83"/>
      <c r="BXX113" s="83"/>
      <c r="BYH113" s="83"/>
      <c r="BYR113" s="83"/>
      <c r="BZB113" s="83"/>
      <c r="BZL113" s="83"/>
      <c r="BZV113" s="83"/>
      <c r="CAF113" s="83"/>
      <c r="CAP113" s="83"/>
      <c r="CAZ113" s="83"/>
      <c r="CBJ113" s="83"/>
      <c r="CBT113" s="83"/>
      <c r="CCD113" s="83"/>
      <c r="CCN113" s="83"/>
      <c r="CCX113" s="83"/>
      <c r="CDH113" s="83"/>
      <c r="CDR113" s="83"/>
      <c r="CEB113" s="83"/>
      <c r="CEL113" s="83"/>
      <c r="CEV113" s="83"/>
      <c r="CFF113" s="83"/>
      <c r="CFP113" s="83"/>
      <c r="CFZ113" s="83"/>
      <c r="CGJ113" s="83"/>
      <c r="CGT113" s="83"/>
      <c r="CHD113" s="83"/>
      <c r="CHN113" s="83"/>
      <c r="CHX113" s="83"/>
      <c r="CIH113" s="83"/>
      <c r="CIR113" s="83"/>
      <c r="CJB113" s="83"/>
      <c r="CJL113" s="83"/>
      <c r="CJV113" s="83"/>
      <c r="CKF113" s="83"/>
      <c r="CKP113" s="83"/>
      <c r="CKZ113" s="83"/>
      <c r="CLJ113" s="83"/>
      <c r="CLT113" s="83"/>
      <c r="CMD113" s="83"/>
      <c r="CMN113" s="83"/>
      <c r="CMX113" s="83"/>
      <c r="CNH113" s="83"/>
      <c r="CNR113" s="83"/>
      <c r="COB113" s="83"/>
      <c r="COL113" s="83"/>
      <c r="COV113" s="83"/>
      <c r="CPF113" s="83"/>
      <c r="CPP113" s="83"/>
      <c r="CPZ113" s="83"/>
      <c r="CQJ113" s="83"/>
      <c r="CQT113" s="83"/>
      <c r="CRD113" s="83"/>
      <c r="CRN113" s="83"/>
      <c r="CRX113" s="83"/>
      <c r="CSH113" s="83"/>
      <c r="CSR113" s="83"/>
      <c r="CTB113" s="83"/>
      <c r="CTL113" s="83"/>
      <c r="CTV113" s="83"/>
    </row>
    <row r="114" s="58" customFormat="1" customHeight="1" spans="1:1020 1030:2040 2050:2570">
      <c r="A114" s="79">
        <v>46154</v>
      </c>
      <c r="B114" s="80" t="s">
        <v>22</v>
      </c>
      <c r="C114" s="38" t="s">
        <v>23</v>
      </c>
      <c r="D114" s="75">
        <v>652388080</v>
      </c>
      <c r="E114" s="85" t="s">
        <v>90</v>
      </c>
      <c r="F114" s="75" t="str">
        <f>VLOOKUP(E114,[69]基础数据!E:H,2,0)</f>
        <v>LS-CCUB001-AA-DM2-V1.03 三防漆单面 931_007</v>
      </c>
      <c r="G114" s="75">
        <v>528</v>
      </c>
      <c r="H114" s="75" t="str">
        <f>VLOOKUP(E114,[69]基础数据!E:H,4,0)</f>
        <v>料盒</v>
      </c>
      <c r="I114" s="75">
        <f>VLOOKUP(E114,[69]基础数据!E:G,3,0)</f>
        <v>24</v>
      </c>
      <c r="J114" s="75" t="s">
        <v>306</v>
      </c>
      <c r="K114" s="82">
        <f t="shared" si="1"/>
        <v>22</v>
      </c>
      <c r="T114" s="83"/>
      <c r="AD114" s="83"/>
      <c r="AN114" s="83"/>
      <c r="AX114" s="83"/>
      <c r="BH114" s="83"/>
      <c r="BR114" s="83"/>
      <c r="CB114" s="83"/>
      <c r="CL114" s="83"/>
      <c r="CV114" s="83"/>
      <c r="DF114" s="83"/>
      <c r="DP114" s="83"/>
      <c r="DZ114" s="83"/>
      <c r="EJ114" s="83"/>
      <c r="ET114" s="83"/>
      <c r="FD114" s="83"/>
      <c r="FN114" s="83"/>
      <c r="FX114" s="83"/>
      <c r="GH114" s="83"/>
      <c r="GR114" s="83"/>
      <c r="HB114" s="83"/>
      <c r="HL114" s="83"/>
      <c r="HV114" s="83"/>
      <c r="IF114" s="83"/>
      <c r="IP114" s="83"/>
      <c r="IZ114" s="83"/>
      <c r="JJ114" s="83"/>
      <c r="JT114" s="83"/>
      <c r="KD114" s="83"/>
      <c r="KN114" s="83"/>
      <c r="KX114" s="83"/>
      <c r="LH114" s="83"/>
      <c r="LR114" s="83"/>
      <c r="MB114" s="83"/>
      <c r="ML114" s="83"/>
      <c r="MV114" s="83"/>
      <c r="NF114" s="83"/>
      <c r="NP114" s="83"/>
      <c r="NZ114" s="83"/>
      <c r="OJ114" s="83"/>
      <c r="OT114" s="83"/>
      <c r="PD114" s="83"/>
      <c r="PN114" s="83"/>
      <c r="PX114" s="83"/>
      <c r="QH114" s="83"/>
      <c r="QR114" s="83"/>
      <c r="RB114" s="83"/>
      <c r="RL114" s="83"/>
      <c r="RV114" s="83"/>
      <c r="SF114" s="83"/>
      <c r="SP114" s="83"/>
      <c r="SZ114" s="83"/>
      <c r="TJ114" s="83"/>
      <c r="TT114" s="83"/>
      <c r="UD114" s="83"/>
      <c r="UN114" s="83"/>
      <c r="UX114" s="83"/>
      <c r="VH114" s="83"/>
      <c r="VR114" s="83"/>
      <c r="WB114" s="83"/>
      <c r="WL114" s="83"/>
      <c r="WV114" s="83"/>
      <c r="XF114" s="83"/>
      <c r="XP114" s="83"/>
      <c r="XZ114" s="83"/>
      <c r="YJ114" s="83"/>
      <c r="YT114" s="83"/>
      <c r="ZD114" s="83"/>
      <c r="ZN114" s="83"/>
      <c r="ZX114" s="83"/>
      <c r="AAH114" s="83"/>
      <c r="AAR114" s="83"/>
      <c r="ABB114" s="83"/>
      <c r="ABL114" s="83"/>
      <c r="ABV114" s="83"/>
      <c r="ACF114" s="83"/>
      <c r="ACP114" s="83"/>
      <c r="ACZ114" s="83"/>
      <c r="ADJ114" s="83"/>
      <c r="ADT114" s="83"/>
      <c r="AED114" s="83"/>
      <c r="AEN114" s="83"/>
      <c r="AEX114" s="83"/>
      <c r="AFH114" s="83"/>
      <c r="AFR114" s="83"/>
      <c r="AGB114" s="83"/>
      <c r="AGL114" s="83"/>
      <c r="AGV114" s="83"/>
      <c r="AHF114" s="83"/>
      <c r="AHP114" s="83"/>
      <c r="AHZ114" s="83"/>
      <c r="AIJ114" s="83"/>
      <c r="AIT114" s="83"/>
      <c r="AJD114" s="83"/>
      <c r="AJN114" s="83"/>
      <c r="AJX114" s="83"/>
      <c r="AKH114" s="83"/>
      <c r="AKR114" s="83"/>
      <c r="ALB114" s="83"/>
      <c r="ALL114" s="83"/>
      <c r="ALV114" s="83"/>
      <c r="AMF114" s="83"/>
      <c r="AMP114" s="83"/>
      <c r="AMZ114" s="83"/>
      <c r="ANJ114" s="83"/>
      <c r="ANT114" s="83"/>
      <c r="AOD114" s="83"/>
      <c r="AON114" s="83"/>
      <c r="AOX114" s="83"/>
      <c r="APH114" s="83"/>
      <c r="APR114" s="83"/>
      <c r="AQB114" s="83"/>
      <c r="AQL114" s="83"/>
      <c r="AQV114" s="83"/>
      <c r="ARF114" s="83"/>
      <c r="ARP114" s="83"/>
      <c r="ARZ114" s="83"/>
      <c r="ASJ114" s="83"/>
      <c r="AST114" s="83"/>
      <c r="ATD114" s="83"/>
      <c r="ATN114" s="83"/>
      <c r="ATX114" s="83"/>
      <c r="AUH114" s="83"/>
      <c r="AUR114" s="83"/>
      <c r="AVB114" s="83"/>
      <c r="AVL114" s="83"/>
      <c r="AVV114" s="83"/>
      <c r="AWF114" s="83"/>
      <c r="AWP114" s="83"/>
      <c r="AWZ114" s="83"/>
      <c r="AXJ114" s="83"/>
      <c r="AXT114" s="83"/>
      <c r="AYD114" s="83"/>
      <c r="AYN114" s="83"/>
      <c r="AYX114" s="83"/>
      <c r="AZH114" s="83"/>
      <c r="AZR114" s="83"/>
      <c r="BAB114" s="83"/>
      <c r="BAL114" s="83"/>
      <c r="BAV114" s="83"/>
      <c r="BBF114" s="83"/>
      <c r="BBP114" s="83"/>
      <c r="BBZ114" s="83"/>
      <c r="BCJ114" s="83"/>
      <c r="BCT114" s="83"/>
      <c r="BDD114" s="83"/>
      <c r="BDN114" s="83"/>
      <c r="BDX114" s="83"/>
      <c r="BEH114" s="83"/>
      <c r="BER114" s="83"/>
      <c r="BFB114" s="83"/>
      <c r="BFL114" s="83"/>
      <c r="BFV114" s="83"/>
      <c r="BGF114" s="83"/>
      <c r="BGP114" s="83"/>
      <c r="BGZ114" s="83"/>
      <c r="BHJ114" s="83"/>
      <c r="BHT114" s="83"/>
      <c r="BID114" s="83"/>
      <c r="BIN114" s="83"/>
      <c r="BIX114" s="83"/>
      <c r="BJH114" s="83"/>
      <c r="BJR114" s="83"/>
      <c r="BKB114" s="83"/>
      <c r="BKL114" s="83"/>
      <c r="BKV114" s="83"/>
      <c r="BLF114" s="83"/>
      <c r="BLP114" s="83"/>
      <c r="BLZ114" s="83"/>
      <c r="BMJ114" s="83"/>
      <c r="BMT114" s="83"/>
      <c r="BND114" s="83"/>
      <c r="BNN114" s="83"/>
      <c r="BNX114" s="83"/>
      <c r="BOH114" s="83"/>
      <c r="BOR114" s="83"/>
      <c r="BPB114" s="83"/>
      <c r="BPL114" s="83"/>
      <c r="BPV114" s="83"/>
      <c r="BQF114" s="83"/>
      <c r="BQP114" s="83"/>
      <c r="BQZ114" s="83"/>
      <c r="BRJ114" s="83"/>
      <c r="BRT114" s="83"/>
      <c r="BSD114" s="83"/>
      <c r="BSN114" s="83"/>
      <c r="BSX114" s="83"/>
      <c r="BTH114" s="83"/>
      <c r="BTR114" s="83"/>
      <c r="BUB114" s="83"/>
      <c r="BUL114" s="83"/>
      <c r="BUV114" s="83"/>
      <c r="BVF114" s="83"/>
      <c r="BVP114" s="83"/>
      <c r="BVZ114" s="83"/>
      <c r="BWJ114" s="83"/>
      <c r="BWT114" s="83"/>
      <c r="BXD114" s="83"/>
      <c r="BXN114" s="83"/>
      <c r="BXX114" s="83"/>
      <c r="BYH114" s="83"/>
      <c r="BYR114" s="83"/>
      <c r="BZB114" s="83"/>
      <c r="BZL114" s="83"/>
      <c r="BZV114" s="83"/>
      <c r="CAF114" s="83"/>
      <c r="CAP114" s="83"/>
      <c r="CAZ114" s="83"/>
      <c r="CBJ114" s="83"/>
      <c r="CBT114" s="83"/>
      <c r="CCD114" s="83"/>
      <c r="CCN114" s="83"/>
      <c r="CCX114" s="83"/>
      <c r="CDH114" s="83"/>
      <c r="CDR114" s="83"/>
      <c r="CEB114" s="83"/>
      <c r="CEL114" s="83"/>
      <c r="CEV114" s="83"/>
      <c r="CFF114" s="83"/>
      <c r="CFP114" s="83"/>
      <c r="CFZ114" s="83"/>
      <c r="CGJ114" s="83"/>
      <c r="CGT114" s="83"/>
      <c r="CHD114" s="83"/>
      <c r="CHN114" s="83"/>
      <c r="CHX114" s="83"/>
      <c r="CIH114" s="83"/>
      <c r="CIR114" s="83"/>
      <c r="CJB114" s="83"/>
      <c r="CJL114" s="83"/>
      <c r="CJV114" s="83"/>
      <c r="CKF114" s="83"/>
      <c r="CKP114" s="83"/>
      <c r="CKZ114" s="83"/>
      <c r="CLJ114" s="83"/>
      <c r="CLT114" s="83"/>
      <c r="CMD114" s="83"/>
      <c r="CMN114" s="83"/>
      <c r="CMX114" s="83"/>
      <c r="CNH114" s="83"/>
      <c r="CNR114" s="83"/>
      <c r="COB114" s="83"/>
      <c r="COL114" s="83"/>
      <c r="COV114" s="83"/>
      <c r="CPF114" s="83"/>
      <c r="CPP114" s="83"/>
      <c r="CPZ114" s="83"/>
      <c r="CQJ114" s="83"/>
      <c r="CQT114" s="83"/>
      <c r="CRD114" s="83"/>
      <c r="CRN114" s="83"/>
      <c r="CRX114" s="83"/>
      <c r="CSH114" s="83"/>
      <c r="CSR114" s="83"/>
      <c r="CTB114" s="83"/>
      <c r="CTL114" s="83"/>
      <c r="CTV114" s="83"/>
    </row>
    <row r="115" s="58" customFormat="1" customHeight="1" spans="1:1020 1030:2040 2050:2570">
      <c r="A115" s="79">
        <v>46154</v>
      </c>
      <c r="B115" s="80" t="s">
        <v>22</v>
      </c>
      <c r="C115" s="38" t="s">
        <v>23</v>
      </c>
      <c r="D115" s="75">
        <v>652388080</v>
      </c>
      <c r="E115" s="85" t="s">
        <v>87</v>
      </c>
      <c r="F115" s="75" t="str">
        <f>VLOOKUP(E115,[69]基础数据!E:H,2,0)</f>
        <v>LS-CCUC001-AA-DM2-V1.03 三防漆双面 930_010</v>
      </c>
      <c r="G115" s="75">
        <v>648</v>
      </c>
      <c r="H115" s="75" t="str">
        <f>VLOOKUP(E115,[69]基础数据!E:H,4,0)</f>
        <v>料盒</v>
      </c>
      <c r="I115" s="75">
        <f>VLOOKUP(E115,[69]基础数据!E:G,3,0)</f>
        <v>108</v>
      </c>
      <c r="J115" s="75" t="s">
        <v>306</v>
      </c>
      <c r="K115" s="82">
        <f t="shared" si="1"/>
        <v>6</v>
      </c>
      <c r="T115" s="83"/>
      <c r="AD115" s="83"/>
      <c r="AN115" s="83"/>
      <c r="AX115" s="83"/>
      <c r="BH115" s="83"/>
      <c r="BR115" s="83"/>
      <c r="CB115" s="83"/>
      <c r="CL115" s="83"/>
      <c r="CV115" s="83"/>
      <c r="DF115" s="83"/>
      <c r="DP115" s="83"/>
      <c r="DZ115" s="83"/>
      <c r="EJ115" s="83"/>
      <c r="ET115" s="83"/>
      <c r="FD115" s="83"/>
      <c r="FN115" s="83"/>
      <c r="FX115" s="83"/>
      <c r="GH115" s="83"/>
      <c r="GR115" s="83"/>
      <c r="HB115" s="83"/>
      <c r="HL115" s="83"/>
      <c r="HV115" s="83"/>
      <c r="IF115" s="83"/>
      <c r="IP115" s="83"/>
      <c r="IZ115" s="83"/>
      <c r="JJ115" s="83"/>
      <c r="JT115" s="83"/>
      <c r="KD115" s="83"/>
      <c r="KN115" s="83"/>
      <c r="KX115" s="83"/>
      <c r="LH115" s="83"/>
      <c r="LR115" s="83"/>
      <c r="MB115" s="83"/>
      <c r="ML115" s="83"/>
      <c r="MV115" s="83"/>
      <c r="NF115" s="83"/>
      <c r="NP115" s="83"/>
      <c r="NZ115" s="83"/>
      <c r="OJ115" s="83"/>
      <c r="OT115" s="83"/>
      <c r="PD115" s="83"/>
      <c r="PN115" s="83"/>
      <c r="PX115" s="83"/>
      <c r="QH115" s="83"/>
      <c r="QR115" s="83"/>
      <c r="RB115" s="83"/>
      <c r="RL115" s="83"/>
      <c r="RV115" s="83"/>
      <c r="SF115" s="83"/>
      <c r="SP115" s="83"/>
      <c r="SZ115" s="83"/>
      <c r="TJ115" s="83"/>
      <c r="TT115" s="83"/>
      <c r="UD115" s="83"/>
      <c r="UN115" s="83"/>
      <c r="UX115" s="83"/>
      <c r="VH115" s="83"/>
      <c r="VR115" s="83"/>
      <c r="WB115" s="83"/>
      <c r="WL115" s="83"/>
      <c r="WV115" s="83"/>
      <c r="XF115" s="83"/>
      <c r="XP115" s="83"/>
      <c r="XZ115" s="83"/>
      <c r="YJ115" s="83"/>
      <c r="YT115" s="83"/>
      <c r="ZD115" s="83"/>
      <c r="ZN115" s="83"/>
      <c r="ZX115" s="83"/>
      <c r="AAH115" s="83"/>
      <c r="AAR115" s="83"/>
      <c r="ABB115" s="83"/>
      <c r="ABL115" s="83"/>
      <c r="ABV115" s="83"/>
      <c r="ACF115" s="83"/>
      <c r="ACP115" s="83"/>
      <c r="ACZ115" s="83"/>
      <c r="ADJ115" s="83"/>
      <c r="ADT115" s="83"/>
      <c r="AED115" s="83"/>
      <c r="AEN115" s="83"/>
      <c r="AEX115" s="83"/>
      <c r="AFH115" s="83"/>
      <c r="AFR115" s="83"/>
      <c r="AGB115" s="83"/>
      <c r="AGL115" s="83"/>
      <c r="AGV115" s="83"/>
      <c r="AHF115" s="83"/>
      <c r="AHP115" s="83"/>
      <c r="AHZ115" s="83"/>
      <c r="AIJ115" s="83"/>
      <c r="AIT115" s="83"/>
      <c r="AJD115" s="83"/>
      <c r="AJN115" s="83"/>
      <c r="AJX115" s="83"/>
      <c r="AKH115" s="83"/>
      <c r="AKR115" s="83"/>
      <c r="ALB115" s="83"/>
      <c r="ALL115" s="83"/>
      <c r="ALV115" s="83"/>
      <c r="AMF115" s="83"/>
      <c r="AMP115" s="83"/>
      <c r="AMZ115" s="83"/>
      <c r="ANJ115" s="83"/>
      <c r="ANT115" s="83"/>
      <c r="AOD115" s="83"/>
      <c r="AON115" s="83"/>
      <c r="AOX115" s="83"/>
      <c r="APH115" s="83"/>
      <c r="APR115" s="83"/>
      <c r="AQB115" s="83"/>
      <c r="AQL115" s="83"/>
      <c r="AQV115" s="83"/>
      <c r="ARF115" s="83"/>
      <c r="ARP115" s="83"/>
      <c r="ARZ115" s="83"/>
      <c r="ASJ115" s="83"/>
      <c r="AST115" s="83"/>
      <c r="ATD115" s="83"/>
      <c r="ATN115" s="83"/>
      <c r="ATX115" s="83"/>
      <c r="AUH115" s="83"/>
      <c r="AUR115" s="83"/>
      <c r="AVB115" s="83"/>
      <c r="AVL115" s="83"/>
      <c r="AVV115" s="83"/>
      <c r="AWF115" s="83"/>
      <c r="AWP115" s="83"/>
      <c r="AWZ115" s="83"/>
      <c r="AXJ115" s="83"/>
      <c r="AXT115" s="83"/>
      <c r="AYD115" s="83"/>
      <c r="AYN115" s="83"/>
      <c r="AYX115" s="83"/>
      <c r="AZH115" s="83"/>
      <c r="AZR115" s="83"/>
      <c r="BAB115" s="83"/>
      <c r="BAL115" s="83"/>
      <c r="BAV115" s="83"/>
      <c r="BBF115" s="83"/>
      <c r="BBP115" s="83"/>
      <c r="BBZ115" s="83"/>
      <c r="BCJ115" s="83"/>
      <c r="BCT115" s="83"/>
      <c r="BDD115" s="83"/>
      <c r="BDN115" s="83"/>
      <c r="BDX115" s="83"/>
      <c r="BEH115" s="83"/>
      <c r="BER115" s="83"/>
      <c r="BFB115" s="83"/>
      <c r="BFL115" s="83"/>
      <c r="BFV115" s="83"/>
      <c r="BGF115" s="83"/>
      <c r="BGP115" s="83"/>
      <c r="BGZ115" s="83"/>
      <c r="BHJ115" s="83"/>
      <c r="BHT115" s="83"/>
      <c r="BID115" s="83"/>
      <c r="BIN115" s="83"/>
      <c r="BIX115" s="83"/>
      <c r="BJH115" s="83"/>
      <c r="BJR115" s="83"/>
      <c r="BKB115" s="83"/>
      <c r="BKL115" s="83"/>
      <c r="BKV115" s="83"/>
      <c r="BLF115" s="83"/>
      <c r="BLP115" s="83"/>
      <c r="BLZ115" s="83"/>
      <c r="BMJ115" s="83"/>
      <c r="BMT115" s="83"/>
      <c r="BND115" s="83"/>
      <c r="BNN115" s="83"/>
      <c r="BNX115" s="83"/>
      <c r="BOH115" s="83"/>
      <c r="BOR115" s="83"/>
      <c r="BPB115" s="83"/>
      <c r="BPL115" s="83"/>
      <c r="BPV115" s="83"/>
      <c r="BQF115" s="83"/>
      <c r="BQP115" s="83"/>
      <c r="BQZ115" s="83"/>
      <c r="BRJ115" s="83"/>
      <c r="BRT115" s="83"/>
      <c r="BSD115" s="83"/>
      <c r="BSN115" s="83"/>
      <c r="BSX115" s="83"/>
      <c r="BTH115" s="83"/>
      <c r="BTR115" s="83"/>
      <c r="BUB115" s="83"/>
      <c r="BUL115" s="83"/>
      <c r="BUV115" s="83"/>
      <c r="BVF115" s="83"/>
      <c r="BVP115" s="83"/>
      <c r="BVZ115" s="83"/>
      <c r="BWJ115" s="83"/>
      <c r="BWT115" s="83"/>
      <c r="BXD115" s="83"/>
      <c r="BXN115" s="83"/>
      <c r="BXX115" s="83"/>
      <c r="BYH115" s="83"/>
      <c r="BYR115" s="83"/>
      <c r="BZB115" s="83"/>
      <c r="BZL115" s="83"/>
      <c r="BZV115" s="83"/>
      <c r="CAF115" s="83"/>
      <c r="CAP115" s="83"/>
      <c r="CAZ115" s="83"/>
      <c r="CBJ115" s="83"/>
      <c r="CBT115" s="83"/>
      <c r="CCD115" s="83"/>
      <c r="CCN115" s="83"/>
      <c r="CCX115" s="83"/>
      <c r="CDH115" s="83"/>
      <c r="CDR115" s="83"/>
      <c r="CEB115" s="83"/>
      <c r="CEL115" s="83"/>
      <c r="CEV115" s="83"/>
      <c r="CFF115" s="83"/>
      <c r="CFP115" s="83"/>
      <c r="CFZ115" s="83"/>
      <c r="CGJ115" s="83"/>
      <c r="CGT115" s="83"/>
      <c r="CHD115" s="83"/>
      <c r="CHN115" s="83"/>
      <c r="CHX115" s="83"/>
      <c r="CIH115" s="83"/>
      <c r="CIR115" s="83"/>
      <c r="CJB115" s="83"/>
      <c r="CJL115" s="83"/>
      <c r="CJV115" s="83"/>
      <c r="CKF115" s="83"/>
      <c r="CKP115" s="83"/>
      <c r="CKZ115" s="83"/>
      <c r="CLJ115" s="83"/>
      <c r="CLT115" s="83"/>
      <c r="CMD115" s="83"/>
      <c r="CMN115" s="83"/>
      <c r="CMX115" s="83"/>
      <c r="CNH115" s="83"/>
      <c r="CNR115" s="83"/>
      <c r="COB115" s="83"/>
      <c r="COL115" s="83"/>
      <c r="COV115" s="83"/>
      <c r="CPF115" s="83"/>
      <c r="CPP115" s="83"/>
      <c r="CPZ115" s="83"/>
      <c r="CQJ115" s="83"/>
      <c r="CQT115" s="83"/>
      <c r="CRD115" s="83"/>
      <c r="CRN115" s="83"/>
      <c r="CRX115" s="83"/>
      <c r="CSH115" s="83"/>
      <c r="CSR115" s="83"/>
      <c r="CTB115" s="83"/>
      <c r="CTL115" s="83"/>
      <c r="CTV115" s="83"/>
    </row>
    <row r="116" s="58" customFormat="1" ht="31.2" spans="1:1020 1030:2040 2050:2570">
      <c r="A116" s="79">
        <v>46154</v>
      </c>
      <c r="B116" s="80" t="s">
        <v>22</v>
      </c>
      <c r="C116" s="38" t="s">
        <v>23</v>
      </c>
      <c r="D116" s="86" t="s">
        <v>579</v>
      </c>
      <c r="E116" s="85" t="s">
        <v>138</v>
      </c>
      <c r="F116" s="75" t="str">
        <f>VLOOKUP(E116,[69]基础数据!E:H,2,0)</f>
        <v>LP-BSU057-AA_V100_TI_29S-TE_三防漆双面919_081</v>
      </c>
      <c r="G116" s="75">
        <v>14</v>
      </c>
      <c r="H116" s="75" t="str">
        <f>VLOOKUP(E116,[69]基础数据!E:H,4,0)</f>
        <v>料盒</v>
      </c>
      <c r="I116" s="75">
        <f>VLOOKUP(E116,[69]基础数据!E:G,3,0)</f>
        <v>14</v>
      </c>
      <c r="J116" s="75" t="s">
        <v>306</v>
      </c>
      <c r="K116" s="82">
        <f t="shared" si="1"/>
        <v>1</v>
      </c>
      <c r="T116" s="83"/>
      <c r="AD116" s="83"/>
      <c r="AN116" s="83"/>
      <c r="AX116" s="83"/>
      <c r="BH116" s="83"/>
      <c r="BR116" s="83"/>
      <c r="CB116" s="83"/>
      <c r="CL116" s="83"/>
      <c r="CV116" s="83"/>
      <c r="DF116" s="83"/>
      <c r="DP116" s="83"/>
      <c r="DZ116" s="83"/>
      <c r="EJ116" s="83"/>
      <c r="ET116" s="83"/>
      <c r="FD116" s="83"/>
      <c r="FN116" s="83"/>
      <c r="FX116" s="83"/>
      <c r="GH116" s="83"/>
      <c r="GR116" s="83"/>
      <c r="HB116" s="83"/>
      <c r="HL116" s="83"/>
      <c r="HV116" s="83"/>
      <c r="IF116" s="83"/>
      <c r="IP116" s="83"/>
      <c r="IZ116" s="83"/>
      <c r="JJ116" s="83"/>
      <c r="JT116" s="83"/>
      <c r="KD116" s="83"/>
      <c r="KN116" s="83"/>
      <c r="KX116" s="83"/>
      <c r="LH116" s="83"/>
      <c r="LR116" s="83"/>
      <c r="MB116" s="83"/>
      <c r="ML116" s="83"/>
      <c r="MV116" s="83"/>
      <c r="NF116" s="83"/>
      <c r="NP116" s="83"/>
      <c r="NZ116" s="83"/>
      <c r="OJ116" s="83"/>
      <c r="OT116" s="83"/>
      <c r="PD116" s="83"/>
      <c r="PN116" s="83"/>
      <c r="PX116" s="83"/>
      <c r="QH116" s="83"/>
      <c r="QR116" s="83"/>
      <c r="RB116" s="83"/>
      <c r="RL116" s="83"/>
      <c r="RV116" s="83"/>
      <c r="SF116" s="83"/>
      <c r="SP116" s="83"/>
      <c r="SZ116" s="83"/>
      <c r="TJ116" s="83"/>
      <c r="TT116" s="83"/>
      <c r="UD116" s="83"/>
      <c r="UN116" s="83"/>
      <c r="UX116" s="83"/>
      <c r="VH116" s="83"/>
      <c r="VR116" s="83"/>
      <c r="WB116" s="83"/>
      <c r="WL116" s="83"/>
      <c r="WV116" s="83"/>
      <c r="XF116" s="83"/>
      <c r="XP116" s="83"/>
      <c r="XZ116" s="83"/>
      <c r="YJ116" s="83"/>
      <c r="YT116" s="83"/>
      <c r="ZD116" s="83"/>
      <c r="ZN116" s="83"/>
      <c r="ZX116" s="83"/>
      <c r="AAH116" s="83"/>
      <c r="AAR116" s="83"/>
      <c r="ABB116" s="83"/>
      <c r="ABL116" s="83"/>
      <c r="ABV116" s="83"/>
      <c r="ACF116" s="83"/>
      <c r="ACP116" s="83"/>
      <c r="ACZ116" s="83"/>
      <c r="ADJ116" s="83"/>
      <c r="ADT116" s="83"/>
      <c r="AED116" s="83"/>
      <c r="AEN116" s="83"/>
      <c r="AEX116" s="83"/>
      <c r="AFH116" s="83"/>
      <c r="AFR116" s="83"/>
      <c r="AGB116" s="83"/>
      <c r="AGL116" s="83"/>
      <c r="AGV116" s="83"/>
      <c r="AHF116" s="83"/>
      <c r="AHP116" s="83"/>
      <c r="AHZ116" s="83"/>
      <c r="AIJ116" s="83"/>
      <c r="AIT116" s="83"/>
      <c r="AJD116" s="83"/>
      <c r="AJN116" s="83"/>
      <c r="AJX116" s="83"/>
      <c r="AKH116" s="83"/>
      <c r="AKR116" s="83"/>
      <c r="ALB116" s="83"/>
      <c r="ALL116" s="83"/>
      <c r="ALV116" s="83"/>
      <c r="AMF116" s="83"/>
      <c r="AMP116" s="83"/>
      <c r="AMZ116" s="83"/>
      <c r="ANJ116" s="83"/>
      <c r="ANT116" s="83"/>
      <c r="AOD116" s="83"/>
      <c r="AON116" s="83"/>
      <c r="AOX116" s="83"/>
      <c r="APH116" s="83"/>
      <c r="APR116" s="83"/>
      <c r="AQB116" s="83"/>
      <c r="AQL116" s="83"/>
      <c r="AQV116" s="83"/>
      <c r="ARF116" s="83"/>
      <c r="ARP116" s="83"/>
      <c r="ARZ116" s="83"/>
      <c r="ASJ116" s="83"/>
      <c r="AST116" s="83"/>
      <c r="ATD116" s="83"/>
      <c r="ATN116" s="83"/>
      <c r="ATX116" s="83"/>
      <c r="AUH116" s="83"/>
      <c r="AUR116" s="83"/>
      <c r="AVB116" s="83"/>
      <c r="AVL116" s="83"/>
      <c r="AVV116" s="83"/>
      <c r="AWF116" s="83"/>
      <c r="AWP116" s="83"/>
      <c r="AWZ116" s="83"/>
      <c r="AXJ116" s="83"/>
      <c r="AXT116" s="83"/>
      <c r="AYD116" s="83"/>
      <c r="AYN116" s="83"/>
      <c r="AYX116" s="83"/>
      <c r="AZH116" s="83"/>
      <c r="AZR116" s="83"/>
      <c r="BAB116" s="83"/>
      <c r="BAL116" s="83"/>
      <c r="BAV116" s="83"/>
      <c r="BBF116" s="83"/>
      <c r="BBP116" s="83"/>
      <c r="BBZ116" s="83"/>
      <c r="BCJ116" s="83"/>
      <c r="BCT116" s="83"/>
      <c r="BDD116" s="83"/>
      <c r="BDN116" s="83"/>
      <c r="BDX116" s="83"/>
      <c r="BEH116" s="83"/>
      <c r="BER116" s="83"/>
      <c r="BFB116" s="83"/>
      <c r="BFL116" s="83"/>
      <c r="BFV116" s="83"/>
      <c r="BGF116" s="83"/>
      <c r="BGP116" s="83"/>
      <c r="BGZ116" s="83"/>
      <c r="BHJ116" s="83"/>
      <c r="BHT116" s="83"/>
      <c r="BID116" s="83"/>
      <c r="BIN116" s="83"/>
      <c r="BIX116" s="83"/>
      <c r="BJH116" s="83"/>
      <c r="BJR116" s="83"/>
      <c r="BKB116" s="83"/>
      <c r="BKL116" s="83"/>
      <c r="BKV116" s="83"/>
      <c r="BLF116" s="83"/>
      <c r="BLP116" s="83"/>
      <c r="BLZ116" s="83"/>
      <c r="BMJ116" s="83"/>
      <c r="BMT116" s="83"/>
      <c r="BND116" s="83"/>
      <c r="BNN116" s="83"/>
      <c r="BNX116" s="83"/>
      <c r="BOH116" s="83"/>
      <c r="BOR116" s="83"/>
      <c r="BPB116" s="83"/>
      <c r="BPL116" s="83"/>
      <c r="BPV116" s="83"/>
      <c r="BQF116" s="83"/>
      <c r="BQP116" s="83"/>
      <c r="BQZ116" s="83"/>
      <c r="BRJ116" s="83"/>
      <c r="BRT116" s="83"/>
      <c r="BSD116" s="83"/>
      <c r="BSN116" s="83"/>
      <c r="BSX116" s="83"/>
      <c r="BTH116" s="83"/>
      <c r="BTR116" s="83"/>
      <c r="BUB116" s="83"/>
      <c r="BUL116" s="83"/>
      <c r="BUV116" s="83"/>
      <c r="BVF116" s="83"/>
      <c r="BVP116" s="83"/>
      <c r="BVZ116" s="83"/>
      <c r="BWJ116" s="83"/>
      <c r="BWT116" s="83"/>
      <c r="BXD116" s="83"/>
      <c r="BXN116" s="83"/>
      <c r="BXX116" s="83"/>
      <c r="BYH116" s="83"/>
      <c r="BYR116" s="83"/>
      <c r="BZB116" s="83"/>
      <c r="BZL116" s="83"/>
      <c r="BZV116" s="83"/>
      <c r="CAF116" s="83"/>
      <c r="CAP116" s="83"/>
      <c r="CAZ116" s="83"/>
      <c r="CBJ116" s="83"/>
      <c r="CBT116" s="83"/>
      <c r="CCD116" s="83"/>
      <c r="CCN116" s="83"/>
      <c r="CCX116" s="83"/>
      <c r="CDH116" s="83"/>
      <c r="CDR116" s="83"/>
      <c r="CEB116" s="83"/>
      <c r="CEL116" s="83"/>
      <c r="CEV116" s="83"/>
      <c r="CFF116" s="83"/>
      <c r="CFP116" s="83"/>
      <c r="CFZ116" s="83"/>
      <c r="CGJ116" s="83"/>
      <c r="CGT116" s="83"/>
      <c r="CHD116" s="83"/>
      <c r="CHN116" s="83"/>
      <c r="CHX116" s="83"/>
      <c r="CIH116" s="83"/>
      <c r="CIR116" s="83"/>
      <c r="CJB116" s="83"/>
      <c r="CJL116" s="83"/>
      <c r="CJV116" s="83"/>
      <c r="CKF116" s="83"/>
      <c r="CKP116" s="83"/>
      <c r="CKZ116" s="83"/>
      <c r="CLJ116" s="83"/>
      <c r="CLT116" s="83"/>
      <c r="CMD116" s="83"/>
      <c r="CMN116" s="83"/>
      <c r="CMX116" s="83"/>
      <c r="CNH116" s="83"/>
      <c r="CNR116" s="83"/>
      <c r="COB116" s="83"/>
      <c r="COL116" s="83"/>
      <c r="COV116" s="83"/>
      <c r="CPF116" s="83"/>
      <c r="CPP116" s="83"/>
      <c r="CPZ116" s="83"/>
      <c r="CQJ116" s="83"/>
      <c r="CQT116" s="83"/>
      <c r="CRD116" s="83"/>
      <c r="CRN116" s="83"/>
      <c r="CRX116" s="83"/>
      <c r="CSH116" s="83"/>
      <c r="CSR116" s="83"/>
      <c r="CTB116" s="83"/>
      <c r="CTL116" s="83"/>
      <c r="CTV116" s="83"/>
    </row>
    <row r="117" s="58" customFormat="1" customHeight="1" spans="1:1020 1030:2040 2050:2570">
      <c r="A117" s="79">
        <v>46154</v>
      </c>
      <c r="B117" s="80" t="s">
        <v>22</v>
      </c>
      <c r="C117" s="38" t="s">
        <v>23</v>
      </c>
      <c r="D117" s="75">
        <v>652389529</v>
      </c>
      <c r="E117" s="85" t="s">
        <v>54</v>
      </c>
      <c r="F117" s="75" t="str">
        <f>VLOOKUP(E117,[69]基础数据!E:H,2,0)</f>
        <v>LXA12EV10-BSU总成-01</v>
      </c>
      <c r="G117" s="75">
        <v>2240</v>
      </c>
      <c r="H117" s="75" t="str">
        <f>VLOOKUP(E117,[69]基础数据!E:H,4,0)</f>
        <v>料盒</v>
      </c>
      <c r="I117" s="75">
        <f>VLOOKUP(E117,[69]基础数据!E:G,3,0)</f>
        <v>20</v>
      </c>
      <c r="J117" s="75" t="s">
        <v>306</v>
      </c>
      <c r="K117" s="82">
        <f t="shared" si="1"/>
        <v>112</v>
      </c>
      <c r="T117" s="83"/>
      <c r="AD117" s="83"/>
      <c r="AN117" s="83"/>
      <c r="AX117" s="83"/>
      <c r="BH117" s="83"/>
      <c r="BR117" s="83"/>
      <c r="CB117" s="83"/>
      <c r="CL117" s="83"/>
      <c r="CV117" s="83"/>
      <c r="DF117" s="83"/>
      <c r="DP117" s="83"/>
      <c r="DZ117" s="83"/>
      <c r="EJ117" s="83"/>
      <c r="ET117" s="83"/>
      <c r="FD117" s="83"/>
      <c r="FN117" s="83"/>
      <c r="FX117" s="83"/>
      <c r="GH117" s="83"/>
      <c r="GR117" s="83"/>
      <c r="HB117" s="83"/>
      <c r="HL117" s="83"/>
      <c r="HV117" s="83"/>
      <c r="IF117" s="83"/>
      <c r="IP117" s="83"/>
      <c r="IZ117" s="83"/>
      <c r="JJ117" s="83"/>
      <c r="JT117" s="83"/>
      <c r="KD117" s="83"/>
      <c r="KN117" s="83"/>
      <c r="KX117" s="83"/>
      <c r="LH117" s="83"/>
      <c r="LR117" s="83"/>
      <c r="MB117" s="83"/>
      <c r="ML117" s="83"/>
      <c r="MV117" s="83"/>
      <c r="NF117" s="83"/>
      <c r="NP117" s="83"/>
      <c r="NZ117" s="83"/>
      <c r="OJ117" s="83"/>
      <c r="OT117" s="83"/>
      <c r="PD117" s="83"/>
      <c r="PN117" s="83"/>
      <c r="PX117" s="83"/>
      <c r="QH117" s="83"/>
      <c r="QR117" s="83"/>
      <c r="RB117" s="83"/>
      <c r="RL117" s="83"/>
      <c r="RV117" s="83"/>
      <c r="SF117" s="83"/>
      <c r="SP117" s="83"/>
      <c r="SZ117" s="83"/>
      <c r="TJ117" s="83"/>
      <c r="TT117" s="83"/>
      <c r="UD117" s="83"/>
      <c r="UN117" s="83"/>
      <c r="UX117" s="83"/>
      <c r="VH117" s="83"/>
      <c r="VR117" s="83"/>
      <c r="WB117" s="83"/>
      <c r="WL117" s="83"/>
      <c r="WV117" s="83"/>
      <c r="XF117" s="83"/>
      <c r="XP117" s="83"/>
      <c r="XZ117" s="83"/>
      <c r="YJ117" s="83"/>
      <c r="YT117" s="83"/>
      <c r="ZD117" s="83"/>
      <c r="ZN117" s="83"/>
      <c r="ZX117" s="83"/>
      <c r="AAH117" s="83"/>
      <c r="AAR117" s="83"/>
      <c r="ABB117" s="83"/>
      <c r="ABL117" s="83"/>
      <c r="ABV117" s="83"/>
      <c r="ACF117" s="83"/>
      <c r="ACP117" s="83"/>
      <c r="ACZ117" s="83"/>
      <c r="ADJ117" s="83"/>
      <c r="ADT117" s="83"/>
      <c r="AED117" s="83"/>
      <c r="AEN117" s="83"/>
      <c r="AEX117" s="83"/>
      <c r="AFH117" s="83"/>
      <c r="AFR117" s="83"/>
      <c r="AGB117" s="83"/>
      <c r="AGL117" s="83"/>
      <c r="AGV117" s="83"/>
      <c r="AHF117" s="83"/>
      <c r="AHP117" s="83"/>
      <c r="AHZ117" s="83"/>
      <c r="AIJ117" s="83"/>
      <c r="AIT117" s="83"/>
      <c r="AJD117" s="83"/>
      <c r="AJN117" s="83"/>
      <c r="AJX117" s="83"/>
      <c r="AKH117" s="83"/>
      <c r="AKR117" s="83"/>
      <c r="ALB117" s="83"/>
      <c r="ALL117" s="83"/>
      <c r="ALV117" s="83"/>
      <c r="AMF117" s="83"/>
      <c r="AMP117" s="83"/>
      <c r="AMZ117" s="83"/>
      <c r="ANJ117" s="83"/>
      <c r="ANT117" s="83"/>
      <c r="AOD117" s="83"/>
      <c r="AON117" s="83"/>
      <c r="AOX117" s="83"/>
      <c r="APH117" s="83"/>
      <c r="APR117" s="83"/>
      <c r="AQB117" s="83"/>
      <c r="AQL117" s="83"/>
      <c r="AQV117" s="83"/>
      <c r="ARF117" s="83"/>
      <c r="ARP117" s="83"/>
      <c r="ARZ117" s="83"/>
      <c r="ASJ117" s="83"/>
      <c r="AST117" s="83"/>
      <c r="ATD117" s="83"/>
      <c r="ATN117" s="83"/>
      <c r="ATX117" s="83"/>
      <c r="AUH117" s="83"/>
      <c r="AUR117" s="83"/>
      <c r="AVB117" s="83"/>
      <c r="AVL117" s="83"/>
      <c r="AVV117" s="83"/>
      <c r="AWF117" s="83"/>
      <c r="AWP117" s="83"/>
      <c r="AWZ117" s="83"/>
      <c r="AXJ117" s="83"/>
      <c r="AXT117" s="83"/>
      <c r="AYD117" s="83"/>
      <c r="AYN117" s="83"/>
      <c r="AYX117" s="83"/>
      <c r="AZH117" s="83"/>
      <c r="AZR117" s="83"/>
      <c r="BAB117" s="83"/>
      <c r="BAL117" s="83"/>
      <c r="BAV117" s="83"/>
      <c r="BBF117" s="83"/>
      <c r="BBP117" s="83"/>
      <c r="BBZ117" s="83"/>
      <c r="BCJ117" s="83"/>
      <c r="BCT117" s="83"/>
      <c r="BDD117" s="83"/>
      <c r="BDN117" s="83"/>
      <c r="BDX117" s="83"/>
      <c r="BEH117" s="83"/>
      <c r="BER117" s="83"/>
      <c r="BFB117" s="83"/>
      <c r="BFL117" s="83"/>
      <c r="BFV117" s="83"/>
      <c r="BGF117" s="83"/>
      <c r="BGP117" s="83"/>
      <c r="BGZ117" s="83"/>
      <c r="BHJ117" s="83"/>
      <c r="BHT117" s="83"/>
      <c r="BID117" s="83"/>
      <c r="BIN117" s="83"/>
      <c r="BIX117" s="83"/>
      <c r="BJH117" s="83"/>
      <c r="BJR117" s="83"/>
      <c r="BKB117" s="83"/>
      <c r="BKL117" s="83"/>
      <c r="BKV117" s="83"/>
      <c r="BLF117" s="83"/>
      <c r="BLP117" s="83"/>
      <c r="BLZ117" s="83"/>
      <c r="BMJ117" s="83"/>
      <c r="BMT117" s="83"/>
      <c r="BND117" s="83"/>
      <c r="BNN117" s="83"/>
      <c r="BNX117" s="83"/>
      <c r="BOH117" s="83"/>
      <c r="BOR117" s="83"/>
      <c r="BPB117" s="83"/>
      <c r="BPL117" s="83"/>
      <c r="BPV117" s="83"/>
      <c r="BQF117" s="83"/>
      <c r="BQP117" s="83"/>
      <c r="BQZ117" s="83"/>
      <c r="BRJ117" s="83"/>
      <c r="BRT117" s="83"/>
      <c r="BSD117" s="83"/>
      <c r="BSN117" s="83"/>
      <c r="BSX117" s="83"/>
      <c r="BTH117" s="83"/>
      <c r="BTR117" s="83"/>
      <c r="BUB117" s="83"/>
      <c r="BUL117" s="83"/>
      <c r="BUV117" s="83"/>
      <c r="BVF117" s="83"/>
      <c r="BVP117" s="83"/>
      <c r="BVZ117" s="83"/>
      <c r="BWJ117" s="83"/>
      <c r="BWT117" s="83"/>
      <c r="BXD117" s="83"/>
      <c r="BXN117" s="83"/>
      <c r="BXX117" s="83"/>
      <c r="BYH117" s="83"/>
      <c r="BYR117" s="83"/>
      <c r="BZB117" s="83"/>
      <c r="BZL117" s="83"/>
      <c r="BZV117" s="83"/>
      <c r="CAF117" s="83"/>
      <c r="CAP117" s="83"/>
      <c r="CAZ117" s="83"/>
      <c r="CBJ117" s="83"/>
      <c r="CBT117" s="83"/>
      <c r="CCD117" s="83"/>
      <c r="CCN117" s="83"/>
      <c r="CCX117" s="83"/>
      <c r="CDH117" s="83"/>
      <c r="CDR117" s="83"/>
      <c r="CEB117" s="83"/>
      <c r="CEL117" s="83"/>
      <c r="CEV117" s="83"/>
      <c r="CFF117" s="83"/>
      <c r="CFP117" s="83"/>
      <c r="CFZ117" s="83"/>
      <c r="CGJ117" s="83"/>
      <c r="CGT117" s="83"/>
      <c r="CHD117" s="83"/>
      <c r="CHN117" s="83"/>
      <c r="CHX117" s="83"/>
      <c r="CIH117" s="83"/>
      <c r="CIR117" s="83"/>
      <c r="CJB117" s="83"/>
      <c r="CJL117" s="83"/>
      <c r="CJV117" s="83"/>
      <c r="CKF117" s="83"/>
      <c r="CKP117" s="83"/>
      <c r="CKZ117" s="83"/>
      <c r="CLJ117" s="83"/>
      <c r="CLT117" s="83"/>
      <c r="CMD117" s="83"/>
      <c r="CMN117" s="83"/>
      <c r="CMX117" s="83"/>
      <c r="CNH117" s="83"/>
      <c r="CNR117" s="83"/>
      <c r="COB117" s="83"/>
      <c r="COL117" s="83"/>
      <c r="COV117" s="83"/>
      <c r="CPF117" s="83"/>
      <c r="CPP117" s="83"/>
      <c r="CPZ117" s="83"/>
      <c r="CQJ117" s="83"/>
      <c r="CQT117" s="83"/>
      <c r="CRD117" s="83"/>
      <c r="CRN117" s="83"/>
      <c r="CRX117" s="83"/>
      <c r="CSH117" s="83"/>
      <c r="CSR117" s="83"/>
      <c r="CTB117" s="83"/>
      <c r="CTL117" s="83"/>
      <c r="CTV117" s="83"/>
    </row>
    <row r="118" s="58" customFormat="1" customHeight="1" spans="1:1020 1030:2040 2050:2570">
      <c r="A118" s="79">
        <v>46154</v>
      </c>
      <c r="B118" s="80" t="s">
        <v>22</v>
      </c>
      <c r="C118" s="38" t="s">
        <v>23</v>
      </c>
      <c r="D118" s="75">
        <v>652389529</v>
      </c>
      <c r="E118" s="85" t="s">
        <v>57</v>
      </c>
      <c r="F118" s="75" t="str">
        <f>VLOOKUP(E118,[69]基础数据!E:H,2,0)</f>
        <v>LXA12EV10-BSU总成-02</v>
      </c>
      <c r="G118" s="75">
        <v>2240</v>
      </c>
      <c r="H118" s="75" t="str">
        <f>VLOOKUP(E118,[69]基础数据!E:H,4,0)</f>
        <v>料盒</v>
      </c>
      <c r="I118" s="75">
        <f>VLOOKUP(E118,[69]基础数据!E:G,3,0)</f>
        <v>20</v>
      </c>
      <c r="J118" s="75" t="s">
        <v>306</v>
      </c>
      <c r="K118" s="82">
        <f t="shared" si="1"/>
        <v>112</v>
      </c>
      <c r="T118" s="83"/>
      <c r="AD118" s="83"/>
      <c r="AN118" s="83"/>
      <c r="AX118" s="83"/>
      <c r="BH118" s="83"/>
      <c r="BR118" s="83"/>
      <c r="CB118" s="83"/>
      <c r="CL118" s="83"/>
      <c r="CV118" s="83"/>
      <c r="DF118" s="83"/>
      <c r="DP118" s="83"/>
      <c r="DZ118" s="83"/>
      <c r="EJ118" s="83"/>
      <c r="ET118" s="83"/>
      <c r="FD118" s="83"/>
      <c r="FN118" s="83"/>
      <c r="FX118" s="83"/>
      <c r="GH118" s="83"/>
      <c r="GR118" s="83"/>
      <c r="HB118" s="83"/>
      <c r="HL118" s="83"/>
      <c r="HV118" s="83"/>
      <c r="IF118" s="83"/>
      <c r="IP118" s="83"/>
      <c r="IZ118" s="83"/>
      <c r="JJ118" s="83"/>
      <c r="JT118" s="83"/>
      <c r="KD118" s="83"/>
      <c r="KN118" s="83"/>
      <c r="KX118" s="83"/>
      <c r="LH118" s="83"/>
      <c r="LR118" s="83"/>
      <c r="MB118" s="83"/>
      <c r="ML118" s="83"/>
      <c r="MV118" s="83"/>
      <c r="NF118" s="83"/>
      <c r="NP118" s="83"/>
      <c r="NZ118" s="83"/>
      <c r="OJ118" s="83"/>
      <c r="OT118" s="83"/>
      <c r="PD118" s="83"/>
      <c r="PN118" s="83"/>
      <c r="PX118" s="83"/>
      <c r="QH118" s="83"/>
      <c r="QR118" s="83"/>
      <c r="RB118" s="83"/>
      <c r="RL118" s="83"/>
      <c r="RV118" s="83"/>
      <c r="SF118" s="83"/>
      <c r="SP118" s="83"/>
      <c r="SZ118" s="83"/>
      <c r="TJ118" s="83"/>
      <c r="TT118" s="83"/>
      <c r="UD118" s="83"/>
      <c r="UN118" s="83"/>
      <c r="UX118" s="83"/>
      <c r="VH118" s="83"/>
      <c r="VR118" s="83"/>
      <c r="WB118" s="83"/>
      <c r="WL118" s="83"/>
      <c r="WV118" s="83"/>
      <c r="XF118" s="83"/>
      <c r="XP118" s="83"/>
      <c r="XZ118" s="83"/>
      <c r="YJ118" s="83"/>
      <c r="YT118" s="83"/>
      <c r="ZD118" s="83"/>
      <c r="ZN118" s="83"/>
      <c r="ZX118" s="83"/>
      <c r="AAH118" s="83"/>
      <c r="AAR118" s="83"/>
      <c r="ABB118" s="83"/>
      <c r="ABL118" s="83"/>
      <c r="ABV118" s="83"/>
      <c r="ACF118" s="83"/>
      <c r="ACP118" s="83"/>
      <c r="ACZ118" s="83"/>
      <c r="ADJ118" s="83"/>
      <c r="ADT118" s="83"/>
      <c r="AED118" s="83"/>
      <c r="AEN118" s="83"/>
      <c r="AEX118" s="83"/>
      <c r="AFH118" s="83"/>
      <c r="AFR118" s="83"/>
      <c r="AGB118" s="83"/>
      <c r="AGL118" s="83"/>
      <c r="AGV118" s="83"/>
      <c r="AHF118" s="83"/>
      <c r="AHP118" s="83"/>
      <c r="AHZ118" s="83"/>
      <c r="AIJ118" s="83"/>
      <c r="AIT118" s="83"/>
      <c r="AJD118" s="83"/>
      <c r="AJN118" s="83"/>
      <c r="AJX118" s="83"/>
      <c r="AKH118" s="83"/>
      <c r="AKR118" s="83"/>
      <c r="ALB118" s="83"/>
      <c r="ALL118" s="83"/>
      <c r="ALV118" s="83"/>
      <c r="AMF118" s="83"/>
      <c r="AMP118" s="83"/>
      <c r="AMZ118" s="83"/>
      <c r="ANJ118" s="83"/>
      <c r="ANT118" s="83"/>
      <c r="AOD118" s="83"/>
      <c r="AON118" s="83"/>
      <c r="AOX118" s="83"/>
      <c r="APH118" s="83"/>
      <c r="APR118" s="83"/>
      <c r="AQB118" s="83"/>
      <c r="AQL118" s="83"/>
      <c r="AQV118" s="83"/>
      <c r="ARF118" s="83"/>
      <c r="ARP118" s="83"/>
      <c r="ARZ118" s="83"/>
      <c r="ASJ118" s="83"/>
      <c r="AST118" s="83"/>
      <c r="ATD118" s="83"/>
      <c r="ATN118" s="83"/>
      <c r="ATX118" s="83"/>
      <c r="AUH118" s="83"/>
      <c r="AUR118" s="83"/>
      <c r="AVB118" s="83"/>
      <c r="AVL118" s="83"/>
      <c r="AVV118" s="83"/>
      <c r="AWF118" s="83"/>
      <c r="AWP118" s="83"/>
      <c r="AWZ118" s="83"/>
      <c r="AXJ118" s="83"/>
      <c r="AXT118" s="83"/>
      <c r="AYD118" s="83"/>
      <c r="AYN118" s="83"/>
      <c r="AYX118" s="83"/>
      <c r="AZH118" s="83"/>
      <c r="AZR118" s="83"/>
      <c r="BAB118" s="83"/>
      <c r="BAL118" s="83"/>
      <c r="BAV118" s="83"/>
      <c r="BBF118" s="83"/>
      <c r="BBP118" s="83"/>
      <c r="BBZ118" s="83"/>
      <c r="BCJ118" s="83"/>
      <c r="BCT118" s="83"/>
      <c r="BDD118" s="83"/>
      <c r="BDN118" s="83"/>
      <c r="BDX118" s="83"/>
      <c r="BEH118" s="83"/>
      <c r="BER118" s="83"/>
      <c r="BFB118" s="83"/>
      <c r="BFL118" s="83"/>
      <c r="BFV118" s="83"/>
      <c r="BGF118" s="83"/>
      <c r="BGP118" s="83"/>
      <c r="BGZ118" s="83"/>
      <c r="BHJ118" s="83"/>
      <c r="BHT118" s="83"/>
      <c r="BID118" s="83"/>
      <c r="BIN118" s="83"/>
      <c r="BIX118" s="83"/>
      <c r="BJH118" s="83"/>
      <c r="BJR118" s="83"/>
      <c r="BKB118" s="83"/>
      <c r="BKL118" s="83"/>
      <c r="BKV118" s="83"/>
      <c r="BLF118" s="83"/>
      <c r="BLP118" s="83"/>
      <c r="BLZ118" s="83"/>
      <c r="BMJ118" s="83"/>
      <c r="BMT118" s="83"/>
      <c r="BND118" s="83"/>
      <c r="BNN118" s="83"/>
      <c r="BNX118" s="83"/>
      <c r="BOH118" s="83"/>
      <c r="BOR118" s="83"/>
      <c r="BPB118" s="83"/>
      <c r="BPL118" s="83"/>
      <c r="BPV118" s="83"/>
      <c r="BQF118" s="83"/>
      <c r="BQP118" s="83"/>
      <c r="BQZ118" s="83"/>
      <c r="BRJ118" s="83"/>
      <c r="BRT118" s="83"/>
      <c r="BSD118" s="83"/>
      <c r="BSN118" s="83"/>
      <c r="BSX118" s="83"/>
      <c r="BTH118" s="83"/>
      <c r="BTR118" s="83"/>
      <c r="BUB118" s="83"/>
      <c r="BUL118" s="83"/>
      <c r="BUV118" s="83"/>
      <c r="BVF118" s="83"/>
      <c r="BVP118" s="83"/>
      <c r="BVZ118" s="83"/>
      <c r="BWJ118" s="83"/>
      <c r="BWT118" s="83"/>
      <c r="BXD118" s="83"/>
      <c r="BXN118" s="83"/>
      <c r="BXX118" s="83"/>
      <c r="BYH118" s="83"/>
      <c r="BYR118" s="83"/>
      <c r="BZB118" s="83"/>
      <c r="BZL118" s="83"/>
      <c r="BZV118" s="83"/>
      <c r="CAF118" s="83"/>
      <c r="CAP118" s="83"/>
      <c r="CAZ118" s="83"/>
      <c r="CBJ118" s="83"/>
      <c r="CBT118" s="83"/>
      <c r="CCD118" s="83"/>
      <c r="CCN118" s="83"/>
      <c r="CCX118" s="83"/>
      <c r="CDH118" s="83"/>
      <c r="CDR118" s="83"/>
      <c r="CEB118" s="83"/>
      <c r="CEL118" s="83"/>
      <c r="CEV118" s="83"/>
      <c r="CFF118" s="83"/>
      <c r="CFP118" s="83"/>
      <c r="CFZ118" s="83"/>
      <c r="CGJ118" s="83"/>
      <c r="CGT118" s="83"/>
      <c r="CHD118" s="83"/>
      <c r="CHN118" s="83"/>
      <c r="CHX118" s="83"/>
      <c r="CIH118" s="83"/>
      <c r="CIR118" s="83"/>
      <c r="CJB118" s="83"/>
      <c r="CJL118" s="83"/>
      <c r="CJV118" s="83"/>
      <c r="CKF118" s="83"/>
      <c r="CKP118" s="83"/>
      <c r="CKZ118" s="83"/>
      <c r="CLJ118" s="83"/>
      <c r="CLT118" s="83"/>
      <c r="CMD118" s="83"/>
      <c r="CMN118" s="83"/>
      <c r="CMX118" s="83"/>
      <c r="CNH118" s="83"/>
      <c r="CNR118" s="83"/>
      <c r="COB118" s="83"/>
      <c r="COL118" s="83"/>
      <c r="COV118" s="83"/>
      <c r="CPF118" s="83"/>
      <c r="CPP118" s="83"/>
      <c r="CPZ118" s="83"/>
      <c r="CQJ118" s="83"/>
      <c r="CQT118" s="83"/>
      <c r="CRD118" s="83"/>
      <c r="CRN118" s="83"/>
      <c r="CRX118" s="83"/>
      <c r="CSH118" s="83"/>
      <c r="CSR118" s="83"/>
      <c r="CTB118" s="83"/>
      <c r="CTL118" s="83"/>
      <c r="CTV118" s="83"/>
    </row>
    <row r="119" s="58" customFormat="1" customHeight="1" spans="1:1020 1030:2040 2050:2570">
      <c r="A119" s="79">
        <v>46154</v>
      </c>
      <c r="B119" s="80" t="s">
        <v>22</v>
      </c>
      <c r="C119" s="38" t="s">
        <v>23</v>
      </c>
      <c r="D119" s="75">
        <v>652389542</v>
      </c>
      <c r="E119" s="85" t="s">
        <v>30</v>
      </c>
      <c r="F119" s="75" t="str">
        <f>VLOOKUP(E119,[69]基础数据!E:H,2,0)</f>
        <v>LP_SHUNT010-AA_A12EV_V1_三防漆双面925_007</v>
      </c>
      <c r="G119" s="75">
        <v>1296</v>
      </c>
      <c r="H119" s="75" t="str">
        <f>VLOOKUP(E119,[69]基础数据!E:H,4,0)</f>
        <v>料盒</v>
      </c>
      <c r="I119" s="75">
        <f>VLOOKUP(E119,[69]基础数据!E:G,3,0)</f>
        <v>162</v>
      </c>
      <c r="J119" s="75" t="s">
        <v>306</v>
      </c>
      <c r="K119" s="82">
        <f t="shared" si="1"/>
        <v>8</v>
      </c>
      <c r="T119" s="83"/>
      <c r="AD119" s="83"/>
      <c r="AN119" s="83"/>
      <c r="AX119" s="83"/>
      <c r="BH119" s="83"/>
      <c r="BR119" s="83"/>
      <c r="CB119" s="83"/>
      <c r="CL119" s="83"/>
      <c r="CV119" s="83"/>
      <c r="DF119" s="83"/>
      <c r="DP119" s="83"/>
      <c r="DZ119" s="83"/>
      <c r="EJ119" s="83"/>
      <c r="ET119" s="83"/>
      <c r="FD119" s="83"/>
      <c r="FN119" s="83"/>
      <c r="FX119" s="83"/>
      <c r="GH119" s="83"/>
      <c r="GR119" s="83"/>
      <c r="HB119" s="83"/>
      <c r="HL119" s="83"/>
      <c r="HV119" s="83"/>
      <c r="IF119" s="83"/>
      <c r="IP119" s="83"/>
      <c r="IZ119" s="83"/>
      <c r="JJ119" s="83"/>
      <c r="JT119" s="83"/>
      <c r="KD119" s="83"/>
      <c r="KN119" s="83"/>
      <c r="KX119" s="83"/>
      <c r="LH119" s="83"/>
      <c r="LR119" s="83"/>
      <c r="MB119" s="83"/>
      <c r="ML119" s="83"/>
      <c r="MV119" s="83"/>
      <c r="NF119" s="83"/>
      <c r="NP119" s="83"/>
      <c r="NZ119" s="83"/>
      <c r="OJ119" s="83"/>
      <c r="OT119" s="83"/>
      <c r="PD119" s="83"/>
      <c r="PN119" s="83"/>
      <c r="PX119" s="83"/>
      <c r="QH119" s="83"/>
      <c r="QR119" s="83"/>
      <c r="RB119" s="83"/>
      <c r="RL119" s="83"/>
      <c r="RV119" s="83"/>
      <c r="SF119" s="83"/>
      <c r="SP119" s="83"/>
      <c r="SZ119" s="83"/>
      <c r="TJ119" s="83"/>
      <c r="TT119" s="83"/>
      <c r="UD119" s="83"/>
      <c r="UN119" s="83"/>
      <c r="UX119" s="83"/>
      <c r="VH119" s="83"/>
      <c r="VR119" s="83"/>
      <c r="WB119" s="83"/>
      <c r="WL119" s="83"/>
      <c r="WV119" s="83"/>
      <c r="XF119" s="83"/>
      <c r="XP119" s="83"/>
      <c r="XZ119" s="83"/>
      <c r="YJ119" s="83"/>
      <c r="YT119" s="83"/>
      <c r="ZD119" s="83"/>
      <c r="ZN119" s="83"/>
      <c r="ZX119" s="83"/>
      <c r="AAH119" s="83"/>
      <c r="AAR119" s="83"/>
      <c r="ABB119" s="83"/>
      <c r="ABL119" s="83"/>
      <c r="ABV119" s="83"/>
      <c r="ACF119" s="83"/>
      <c r="ACP119" s="83"/>
      <c r="ACZ119" s="83"/>
      <c r="ADJ119" s="83"/>
      <c r="ADT119" s="83"/>
      <c r="AED119" s="83"/>
      <c r="AEN119" s="83"/>
      <c r="AEX119" s="83"/>
      <c r="AFH119" s="83"/>
      <c r="AFR119" s="83"/>
      <c r="AGB119" s="83"/>
      <c r="AGL119" s="83"/>
      <c r="AGV119" s="83"/>
      <c r="AHF119" s="83"/>
      <c r="AHP119" s="83"/>
      <c r="AHZ119" s="83"/>
      <c r="AIJ119" s="83"/>
      <c r="AIT119" s="83"/>
      <c r="AJD119" s="83"/>
      <c r="AJN119" s="83"/>
      <c r="AJX119" s="83"/>
      <c r="AKH119" s="83"/>
      <c r="AKR119" s="83"/>
      <c r="ALB119" s="83"/>
      <c r="ALL119" s="83"/>
      <c r="ALV119" s="83"/>
      <c r="AMF119" s="83"/>
      <c r="AMP119" s="83"/>
      <c r="AMZ119" s="83"/>
      <c r="ANJ119" s="83"/>
      <c r="ANT119" s="83"/>
      <c r="AOD119" s="83"/>
      <c r="AON119" s="83"/>
      <c r="AOX119" s="83"/>
      <c r="APH119" s="83"/>
      <c r="APR119" s="83"/>
      <c r="AQB119" s="83"/>
      <c r="AQL119" s="83"/>
      <c r="AQV119" s="83"/>
      <c r="ARF119" s="83"/>
      <c r="ARP119" s="83"/>
      <c r="ARZ119" s="83"/>
      <c r="ASJ119" s="83"/>
      <c r="AST119" s="83"/>
      <c r="ATD119" s="83"/>
      <c r="ATN119" s="83"/>
      <c r="ATX119" s="83"/>
      <c r="AUH119" s="83"/>
      <c r="AUR119" s="83"/>
      <c r="AVB119" s="83"/>
      <c r="AVL119" s="83"/>
      <c r="AVV119" s="83"/>
      <c r="AWF119" s="83"/>
      <c r="AWP119" s="83"/>
      <c r="AWZ119" s="83"/>
      <c r="AXJ119" s="83"/>
      <c r="AXT119" s="83"/>
      <c r="AYD119" s="83"/>
      <c r="AYN119" s="83"/>
      <c r="AYX119" s="83"/>
      <c r="AZH119" s="83"/>
      <c r="AZR119" s="83"/>
      <c r="BAB119" s="83"/>
      <c r="BAL119" s="83"/>
      <c r="BAV119" s="83"/>
      <c r="BBF119" s="83"/>
      <c r="BBP119" s="83"/>
      <c r="BBZ119" s="83"/>
      <c r="BCJ119" s="83"/>
      <c r="BCT119" s="83"/>
      <c r="BDD119" s="83"/>
      <c r="BDN119" s="83"/>
      <c r="BDX119" s="83"/>
      <c r="BEH119" s="83"/>
      <c r="BER119" s="83"/>
      <c r="BFB119" s="83"/>
      <c r="BFL119" s="83"/>
      <c r="BFV119" s="83"/>
      <c r="BGF119" s="83"/>
      <c r="BGP119" s="83"/>
      <c r="BGZ119" s="83"/>
      <c r="BHJ119" s="83"/>
      <c r="BHT119" s="83"/>
      <c r="BID119" s="83"/>
      <c r="BIN119" s="83"/>
      <c r="BIX119" s="83"/>
      <c r="BJH119" s="83"/>
      <c r="BJR119" s="83"/>
      <c r="BKB119" s="83"/>
      <c r="BKL119" s="83"/>
      <c r="BKV119" s="83"/>
      <c r="BLF119" s="83"/>
      <c r="BLP119" s="83"/>
      <c r="BLZ119" s="83"/>
      <c r="BMJ119" s="83"/>
      <c r="BMT119" s="83"/>
      <c r="BND119" s="83"/>
      <c r="BNN119" s="83"/>
      <c r="BNX119" s="83"/>
      <c r="BOH119" s="83"/>
      <c r="BOR119" s="83"/>
      <c r="BPB119" s="83"/>
      <c r="BPL119" s="83"/>
      <c r="BPV119" s="83"/>
      <c r="BQF119" s="83"/>
      <c r="BQP119" s="83"/>
      <c r="BQZ119" s="83"/>
      <c r="BRJ119" s="83"/>
      <c r="BRT119" s="83"/>
      <c r="BSD119" s="83"/>
      <c r="BSN119" s="83"/>
      <c r="BSX119" s="83"/>
      <c r="BTH119" s="83"/>
      <c r="BTR119" s="83"/>
      <c r="BUB119" s="83"/>
      <c r="BUL119" s="83"/>
      <c r="BUV119" s="83"/>
      <c r="BVF119" s="83"/>
      <c r="BVP119" s="83"/>
      <c r="BVZ119" s="83"/>
      <c r="BWJ119" s="83"/>
      <c r="BWT119" s="83"/>
      <c r="BXD119" s="83"/>
      <c r="BXN119" s="83"/>
      <c r="BXX119" s="83"/>
      <c r="BYH119" s="83"/>
      <c r="BYR119" s="83"/>
      <c r="BZB119" s="83"/>
      <c r="BZL119" s="83"/>
      <c r="BZV119" s="83"/>
      <c r="CAF119" s="83"/>
      <c r="CAP119" s="83"/>
      <c r="CAZ119" s="83"/>
      <c r="CBJ119" s="83"/>
      <c r="CBT119" s="83"/>
      <c r="CCD119" s="83"/>
      <c r="CCN119" s="83"/>
      <c r="CCX119" s="83"/>
      <c r="CDH119" s="83"/>
      <c r="CDR119" s="83"/>
      <c r="CEB119" s="83"/>
      <c r="CEL119" s="83"/>
      <c r="CEV119" s="83"/>
      <c r="CFF119" s="83"/>
      <c r="CFP119" s="83"/>
      <c r="CFZ119" s="83"/>
      <c r="CGJ119" s="83"/>
      <c r="CGT119" s="83"/>
      <c r="CHD119" s="83"/>
      <c r="CHN119" s="83"/>
      <c r="CHX119" s="83"/>
      <c r="CIH119" s="83"/>
      <c r="CIR119" s="83"/>
      <c r="CJB119" s="83"/>
      <c r="CJL119" s="83"/>
      <c r="CJV119" s="83"/>
      <c r="CKF119" s="83"/>
      <c r="CKP119" s="83"/>
      <c r="CKZ119" s="83"/>
      <c r="CLJ119" s="83"/>
      <c r="CLT119" s="83"/>
      <c r="CMD119" s="83"/>
      <c r="CMN119" s="83"/>
      <c r="CMX119" s="83"/>
      <c r="CNH119" s="83"/>
      <c r="CNR119" s="83"/>
      <c r="COB119" s="83"/>
      <c r="COL119" s="83"/>
      <c r="COV119" s="83"/>
      <c r="CPF119" s="83"/>
      <c r="CPP119" s="83"/>
      <c r="CPZ119" s="83"/>
      <c r="CQJ119" s="83"/>
      <c r="CQT119" s="83"/>
      <c r="CRD119" s="83"/>
      <c r="CRN119" s="83"/>
      <c r="CRX119" s="83"/>
      <c r="CSH119" s="83"/>
      <c r="CSR119" s="83"/>
      <c r="CTB119" s="83"/>
      <c r="CTL119" s="83"/>
      <c r="CTV119" s="83"/>
    </row>
    <row r="120" customHeight="1" spans="1:1020 1030:2040 2050:2570">
      <c r="A120" s="72">
        <v>46144</v>
      </c>
      <c r="B120" s="73" t="s">
        <v>149</v>
      </c>
      <c r="C120" s="74" t="s">
        <v>150</v>
      </c>
      <c r="D120" s="74">
        <v>652328514</v>
      </c>
      <c r="E120" s="75" t="s">
        <v>159</v>
      </c>
      <c r="F120" s="76" t="s">
        <v>160</v>
      </c>
      <c r="G120" s="74">
        <v>1500</v>
      </c>
      <c r="H120" s="77" t="s">
        <v>27</v>
      </c>
      <c r="I120" s="77">
        <v>1500</v>
      </c>
      <c r="J120" s="74" t="s">
        <v>306</v>
      </c>
      <c r="K120" s="78">
        <v>1</v>
      </c>
    </row>
    <row r="121" customHeight="1" spans="1:1020 1030:2040 2050:2570">
      <c r="A121" s="72">
        <v>46144</v>
      </c>
      <c r="B121" s="73" t="s">
        <v>149</v>
      </c>
      <c r="C121" s="74" t="s">
        <v>150</v>
      </c>
      <c r="D121" s="74">
        <v>652328514</v>
      </c>
      <c r="E121" s="75" t="s">
        <v>159</v>
      </c>
      <c r="F121" s="76" t="s">
        <v>160</v>
      </c>
      <c r="G121" s="74">
        <v>3000</v>
      </c>
      <c r="H121" s="77" t="s">
        <v>27</v>
      </c>
      <c r="I121" s="77">
        <v>1500</v>
      </c>
      <c r="J121" s="74" t="s">
        <v>306</v>
      </c>
      <c r="K121" s="78">
        <v>2</v>
      </c>
    </row>
    <row r="122" customHeight="1" spans="1:1020 1030:2040 2050:2570">
      <c r="A122" s="72">
        <v>46144</v>
      </c>
      <c r="B122" s="73" t="s">
        <v>149</v>
      </c>
      <c r="C122" s="74" t="s">
        <v>150</v>
      </c>
      <c r="D122" s="74">
        <v>652328514</v>
      </c>
      <c r="E122" s="75" t="s">
        <v>187</v>
      </c>
      <c r="F122" s="76" t="s">
        <v>188</v>
      </c>
      <c r="G122" s="74">
        <v>7500</v>
      </c>
      <c r="H122" s="77" t="s">
        <v>27</v>
      </c>
      <c r="I122" s="77">
        <v>1500</v>
      </c>
      <c r="J122" s="74" t="s">
        <v>306</v>
      </c>
      <c r="K122" s="78">
        <v>5</v>
      </c>
    </row>
    <row r="123" s="58" customFormat="1" customHeight="1" spans="1:1020 1030:2040 2050:2570">
      <c r="A123" s="87">
        <v>46145</v>
      </c>
      <c r="B123" s="88" t="s">
        <v>149</v>
      </c>
      <c r="C123" s="89" t="s">
        <v>150</v>
      </c>
      <c r="D123" s="75">
        <v>652332318</v>
      </c>
      <c r="E123" s="90" t="s">
        <v>151</v>
      </c>
      <c r="F123" s="91" t="str">
        <f>IFERROR(VLOOKUP(E123,[10]基础数据!$E$3:$F$23,2,0),"")</f>
        <v>A12-高压支路连接线束-500</v>
      </c>
      <c r="G123" s="75">
        <v>1000</v>
      </c>
      <c r="H123" s="77" t="str">
        <f>IFERROR(VLOOKUP(E123,[10]基础数据!$E$3:$H$21,4,0),"")</f>
        <v>料盒</v>
      </c>
      <c r="I123" s="77">
        <f>IFERROR(VLOOKUP(E123,[10]基础数据!$E$3:$H$21,3,0),"")</f>
        <v>20</v>
      </c>
      <c r="J123" s="75" t="s">
        <v>306</v>
      </c>
      <c r="K123" s="78">
        <f>IFERROR(G123/I123,"")</f>
        <v>50</v>
      </c>
      <c r="T123" s="83"/>
      <c r="AD123" s="83"/>
      <c r="AN123" s="83"/>
      <c r="AX123" s="83"/>
      <c r="BH123" s="83"/>
      <c r="BR123" s="83"/>
      <c r="CB123" s="83"/>
      <c r="CL123" s="83"/>
      <c r="CV123" s="83"/>
      <c r="DF123" s="83"/>
      <c r="DP123" s="83"/>
      <c r="DZ123" s="83"/>
      <c r="EJ123" s="83"/>
      <c r="ET123" s="83"/>
      <c r="FD123" s="83"/>
      <c r="FN123" s="83"/>
      <c r="FX123" s="83"/>
      <c r="GH123" s="83"/>
      <c r="GR123" s="83"/>
      <c r="HB123" s="83"/>
      <c r="HL123" s="83"/>
      <c r="HV123" s="83"/>
      <c r="IF123" s="83"/>
      <c r="IP123" s="83"/>
      <c r="IZ123" s="83"/>
      <c r="JJ123" s="83"/>
      <c r="JT123" s="83"/>
      <c r="KD123" s="83"/>
      <c r="KN123" s="83"/>
      <c r="KX123" s="83"/>
      <c r="LH123" s="83"/>
      <c r="LR123" s="83"/>
      <c r="MB123" s="83"/>
      <c r="ML123" s="83"/>
      <c r="MV123" s="83"/>
      <c r="NF123" s="83"/>
      <c r="NP123" s="83"/>
      <c r="NZ123" s="83"/>
      <c r="OJ123" s="83"/>
      <c r="OT123" s="83"/>
      <c r="PD123" s="83"/>
      <c r="PN123" s="83"/>
      <c r="PX123" s="83"/>
      <c r="QH123" s="83"/>
      <c r="QR123" s="83"/>
      <c r="RB123" s="83"/>
      <c r="RL123" s="83"/>
      <c r="RV123" s="83"/>
      <c r="SF123" s="83"/>
      <c r="SP123" s="83"/>
      <c r="SZ123" s="83"/>
      <c r="TJ123" s="83"/>
      <c r="TT123" s="83"/>
      <c r="UD123" s="83"/>
      <c r="UN123" s="83"/>
      <c r="UX123" s="83"/>
      <c r="VH123" s="83"/>
      <c r="VR123" s="83"/>
      <c r="WB123" s="83"/>
      <c r="WL123" s="83"/>
      <c r="WV123" s="83"/>
      <c r="XF123" s="83"/>
      <c r="XP123" s="83"/>
      <c r="XZ123" s="83"/>
      <c r="YJ123" s="83"/>
      <c r="YT123" s="83"/>
      <c r="ZD123" s="83"/>
      <c r="ZN123" s="83"/>
      <c r="ZX123" s="83"/>
      <c r="AAH123" s="83"/>
      <c r="AAR123" s="83"/>
      <c r="ABB123" s="83"/>
      <c r="ABL123" s="83"/>
      <c r="ABV123" s="83"/>
      <c r="ACF123" s="83"/>
      <c r="ACP123" s="83"/>
      <c r="ACZ123" s="83"/>
      <c r="ADJ123" s="83"/>
      <c r="ADT123" s="83"/>
      <c r="AED123" s="83"/>
      <c r="AEN123" s="83"/>
      <c r="AEX123" s="83"/>
      <c r="AFH123" s="83"/>
      <c r="AFR123" s="83"/>
      <c r="AGB123" s="83"/>
      <c r="AGL123" s="83"/>
      <c r="AGV123" s="83"/>
      <c r="AHF123" s="83"/>
      <c r="AHP123" s="83"/>
      <c r="AHZ123" s="83"/>
      <c r="AIJ123" s="83"/>
      <c r="AIT123" s="83"/>
      <c r="AJD123" s="83"/>
      <c r="AJN123" s="83"/>
      <c r="AJX123" s="83"/>
      <c r="AKH123" s="83"/>
      <c r="AKR123" s="83"/>
      <c r="ALB123" s="83"/>
      <c r="ALL123" s="83"/>
      <c r="ALV123" s="83"/>
      <c r="AMF123" s="83"/>
      <c r="AMP123" s="83"/>
      <c r="AMZ123" s="83"/>
      <c r="ANJ123" s="83"/>
      <c r="ANT123" s="83"/>
      <c r="AOD123" s="83"/>
      <c r="AON123" s="83"/>
      <c r="AOX123" s="83"/>
      <c r="APH123" s="83"/>
      <c r="APR123" s="83"/>
      <c r="AQB123" s="83"/>
      <c r="AQL123" s="83"/>
      <c r="AQV123" s="83"/>
      <c r="ARF123" s="83"/>
      <c r="ARP123" s="83"/>
      <c r="ARZ123" s="83"/>
      <c r="ASJ123" s="83"/>
      <c r="AST123" s="83"/>
      <c r="ATD123" s="83"/>
      <c r="ATN123" s="83"/>
      <c r="ATX123" s="83"/>
      <c r="AUH123" s="83"/>
      <c r="AUR123" s="83"/>
      <c r="AVB123" s="83"/>
      <c r="AVL123" s="83"/>
      <c r="AVV123" s="83"/>
      <c r="AWF123" s="83"/>
      <c r="AWP123" s="83"/>
      <c r="AWZ123" s="83"/>
      <c r="AXJ123" s="83"/>
      <c r="AXT123" s="83"/>
      <c r="AYD123" s="83"/>
      <c r="AYN123" s="83"/>
      <c r="AYX123" s="83"/>
      <c r="AZH123" s="83"/>
      <c r="AZR123" s="83"/>
      <c r="BAB123" s="83"/>
      <c r="BAL123" s="83"/>
      <c r="BAV123" s="83"/>
      <c r="BBF123" s="83"/>
      <c r="BBP123" s="83"/>
      <c r="BBZ123" s="83"/>
      <c r="BCJ123" s="83"/>
      <c r="BCT123" s="83"/>
      <c r="BDD123" s="83"/>
      <c r="BDN123" s="83"/>
      <c r="BDX123" s="83"/>
      <c r="BEH123" s="83"/>
      <c r="BER123" s="83"/>
      <c r="BFB123" s="83"/>
      <c r="BFL123" s="83"/>
      <c r="BFV123" s="83"/>
      <c r="BGF123" s="83"/>
      <c r="BGP123" s="83"/>
      <c r="BGZ123" s="83"/>
      <c r="BHJ123" s="83"/>
      <c r="BHT123" s="83"/>
      <c r="BID123" s="83"/>
      <c r="BIN123" s="83"/>
      <c r="BIX123" s="83"/>
      <c r="BJH123" s="83"/>
      <c r="BJR123" s="83"/>
      <c r="BKB123" s="83"/>
      <c r="BKL123" s="83"/>
      <c r="BKV123" s="83"/>
      <c r="BLF123" s="83"/>
      <c r="BLP123" s="83"/>
      <c r="BLZ123" s="83"/>
      <c r="BMJ123" s="83"/>
      <c r="BMT123" s="83"/>
      <c r="BND123" s="83"/>
      <c r="BNN123" s="83"/>
      <c r="BNX123" s="83"/>
      <c r="BOH123" s="83"/>
      <c r="BOR123" s="83"/>
      <c r="BPB123" s="83"/>
      <c r="BPL123" s="83"/>
      <c r="BPV123" s="83"/>
      <c r="BQF123" s="83"/>
      <c r="BQP123" s="83"/>
      <c r="BQZ123" s="83"/>
      <c r="BRJ123" s="83"/>
      <c r="BRT123" s="83"/>
      <c r="BSD123" s="83"/>
      <c r="BSN123" s="83"/>
      <c r="BSX123" s="83"/>
      <c r="BTH123" s="83"/>
      <c r="BTR123" s="83"/>
      <c r="BUB123" s="83"/>
      <c r="BUL123" s="83"/>
      <c r="BUV123" s="83"/>
      <c r="BVF123" s="83"/>
      <c r="BVP123" s="83"/>
      <c r="BVZ123" s="83"/>
      <c r="BWJ123" s="83"/>
      <c r="BWT123" s="83"/>
      <c r="BXD123" s="83"/>
      <c r="BXN123" s="83"/>
      <c r="BXX123" s="83"/>
      <c r="BYH123" s="83"/>
      <c r="BYR123" s="83"/>
      <c r="BZB123" s="83"/>
      <c r="BZL123" s="83"/>
      <c r="BZV123" s="83"/>
      <c r="CAF123" s="83"/>
      <c r="CAP123" s="83"/>
      <c r="CAZ123" s="83"/>
      <c r="CBJ123" s="83"/>
      <c r="CBT123" s="83"/>
      <c r="CCD123" s="83"/>
      <c r="CCN123" s="83"/>
      <c r="CCX123" s="83"/>
      <c r="CDH123" s="83"/>
      <c r="CDR123" s="83"/>
      <c r="CEB123" s="83"/>
      <c r="CEL123" s="83"/>
      <c r="CEV123" s="83"/>
      <c r="CFF123" s="83"/>
      <c r="CFP123" s="83"/>
      <c r="CFZ123" s="83"/>
      <c r="CGJ123" s="83"/>
      <c r="CGT123" s="83"/>
      <c r="CHD123" s="83"/>
      <c r="CHN123" s="83"/>
      <c r="CHX123" s="83"/>
      <c r="CIH123" s="83"/>
      <c r="CIR123" s="83"/>
      <c r="CJB123" s="83"/>
      <c r="CJL123" s="83"/>
      <c r="CJV123" s="83"/>
      <c r="CKF123" s="83"/>
      <c r="CKP123" s="83"/>
      <c r="CKZ123" s="83"/>
      <c r="CLJ123" s="83"/>
      <c r="CLT123" s="83"/>
      <c r="CMD123" s="83"/>
      <c r="CMN123" s="83"/>
      <c r="CMX123" s="83"/>
      <c r="CNH123" s="83"/>
      <c r="CNR123" s="83"/>
      <c r="COB123" s="83"/>
      <c r="COL123" s="83"/>
      <c r="COV123" s="83"/>
      <c r="CPF123" s="83"/>
      <c r="CPP123" s="83"/>
      <c r="CPZ123" s="83"/>
      <c r="CQJ123" s="83"/>
      <c r="CQT123" s="83"/>
      <c r="CRD123" s="83"/>
      <c r="CRN123" s="83"/>
      <c r="CRX123" s="83"/>
      <c r="CSH123" s="83"/>
      <c r="CSR123" s="83"/>
      <c r="CTB123" s="83"/>
      <c r="CTL123" s="83"/>
      <c r="CTV123" s="83"/>
    </row>
    <row r="124" s="58" customFormat="1" customHeight="1" spans="1:1020 1030:2040 2050:2570">
      <c r="A124" s="87">
        <v>46146</v>
      </c>
      <c r="B124" s="88" t="s">
        <v>149</v>
      </c>
      <c r="C124" s="89" t="s">
        <v>150</v>
      </c>
      <c r="D124" s="75">
        <v>652339115</v>
      </c>
      <c r="E124" s="92" t="s">
        <v>177</v>
      </c>
      <c r="F124" s="91" t="str">
        <f>IFERROR(VLOOKUP(E124,[11]基础数据!$E$3:$F$23,2,0),"")</f>
        <v>LX00148-CCS总成</v>
      </c>
      <c r="G124" s="75">
        <v>2076</v>
      </c>
      <c r="H124" s="77" t="str">
        <f>IFERROR(VLOOKUP(E124,[11]基础数据!$E$3:$H$21,4,0),"")</f>
        <v>纸箱</v>
      </c>
      <c r="I124" s="77">
        <f>IFERROR(VLOOKUP(E124,[11]基础数据!$E$3:$H$21,3,0),"")</f>
        <v>12</v>
      </c>
      <c r="J124" s="75" t="s">
        <v>306</v>
      </c>
      <c r="K124" s="78">
        <f>IFERROR(G124/I124,"")</f>
        <v>173</v>
      </c>
      <c r="T124" s="83"/>
      <c r="AD124" s="83"/>
      <c r="AN124" s="83"/>
      <c r="AX124" s="83"/>
      <c r="BH124" s="83"/>
      <c r="BR124" s="83"/>
      <c r="CB124" s="83"/>
      <c r="CL124" s="83"/>
      <c r="CV124" s="83"/>
      <c r="DF124" s="83"/>
      <c r="DP124" s="83"/>
      <c r="DZ124" s="83"/>
      <c r="EJ124" s="83"/>
      <c r="ET124" s="83"/>
      <c r="FD124" s="83"/>
      <c r="FN124" s="83"/>
      <c r="FX124" s="83"/>
      <c r="GH124" s="83"/>
      <c r="GR124" s="83"/>
      <c r="HB124" s="83"/>
      <c r="HL124" s="83"/>
      <c r="HV124" s="83"/>
      <c r="IF124" s="83"/>
      <c r="IP124" s="83"/>
      <c r="IZ124" s="83"/>
      <c r="JJ124" s="83"/>
      <c r="JT124" s="83"/>
      <c r="KD124" s="83"/>
      <c r="KN124" s="83"/>
      <c r="KX124" s="83"/>
      <c r="LH124" s="83"/>
      <c r="LR124" s="83"/>
      <c r="MB124" s="83"/>
      <c r="ML124" s="83"/>
      <c r="MV124" s="83"/>
      <c r="NF124" s="83"/>
      <c r="NP124" s="83"/>
      <c r="NZ124" s="83"/>
      <c r="OJ124" s="83"/>
      <c r="OT124" s="83"/>
      <c r="PD124" s="83"/>
      <c r="PN124" s="83"/>
      <c r="PX124" s="83"/>
      <c r="QH124" s="83"/>
      <c r="QR124" s="83"/>
      <c r="RB124" s="83"/>
      <c r="RL124" s="83"/>
      <c r="RV124" s="83"/>
      <c r="SF124" s="83"/>
      <c r="SP124" s="83"/>
      <c r="SZ124" s="83"/>
      <c r="TJ124" s="83"/>
      <c r="TT124" s="83"/>
      <c r="UD124" s="83"/>
      <c r="UN124" s="83"/>
      <c r="UX124" s="83"/>
      <c r="VH124" s="83"/>
      <c r="VR124" s="83"/>
      <c r="WB124" s="83"/>
      <c r="WL124" s="83"/>
      <c r="WV124" s="83"/>
      <c r="XF124" s="83"/>
      <c r="XP124" s="83"/>
      <c r="XZ124" s="83"/>
      <c r="YJ124" s="83"/>
      <c r="YT124" s="83"/>
      <c r="ZD124" s="83"/>
      <c r="ZN124" s="83"/>
      <c r="ZX124" s="83"/>
      <c r="AAH124" s="83"/>
      <c r="AAR124" s="83"/>
      <c r="ABB124" s="83"/>
      <c r="ABL124" s="83"/>
      <c r="ABV124" s="83"/>
      <c r="ACF124" s="83"/>
      <c r="ACP124" s="83"/>
      <c r="ACZ124" s="83"/>
      <c r="ADJ124" s="83"/>
      <c r="ADT124" s="83"/>
      <c r="AED124" s="83"/>
      <c r="AEN124" s="83"/>
      <c r="AEX124" s="83"/>
      <c r="AFH124" s="83"/>
      <c r="AFR124" s="83"/>
      <c r="AGB124" s="83"/>
      <c r="AGL124" s="83"/>
      <c r="AGV124" s="83"/>
      <c r="AHF124" s="83"/>
      <c r="AHP124" s="83"/>
      <c r="AHZ124" s="83"/>
      <c r="AIJ124" s="83"/>
      <c r="AIT124" s="83"/>
      <c r="AJD124" s="83"/>
      <c r="AJN124" s="83"/>
      <c r="AJX124" s="83"/>
      <c r="AKH124" s="83"/>
      <c r="AKR124" s="83"/>
      <c r="ALB124" s="83"/>
      <c r="ALL124" s="83"/>
      <c r="ALV124" s="83"/>
      <c r="AMF124" s="83"/>
      <c r="AMP124" s="83"/>
      <c r="AMZ124" s="83"/>
      <c r="ANJ124" s="83"/>
      <c r="ANT124" s="83"/>
      <c r="AOD124" s="83"/>
      <c r="AON124" s="83"/>
      <c r="AOX124" s="83"/>
      <c r="APH124" s="83"/>
      <c r="APR124" s="83"/>
      <c r="AQB124" s="83"/>
      <c r="AQL124" s="83"/>
      <c r="AQV124" s="83"/>
      <c r="ARF124" s="83"/>
      <c r="ARP124" s="83"/>
      <c r="ARZ124" s="83"/>
      <c r="ASJ124" s="83"/>
      <c r="AST124" s="83"/>
      <c r="ATD124" s="83"/>
      <c r="ATN124" s="83"/>
      <c r="ATX124" s="83"/>
      <c r="AUH124" s="83"/>
      <c r="AUR124" s="83"/>
      <c r="AVB124" s="83"/>
      <c r="AVL124" s="83"/>
      <c r="AVV124" s="83"/>
      <c r="AWF124" s="83"/>
      <c r="AWP124" s="83"/>
      <c r="AWZ124" s="83"/>
      <c r="AXJ124" s="83"/>
      <c r="AXT124" s="83"/>
      <c r="AYD124" s="83"/>
      <c r="AYN124" s="83"/>
      <c r="AYX124" s="83"/>
      <c r="AZH124" s="83"/>
      <c r="AZR124" s="83"/>
      <c r="BAB124" s="83"/>
      <c r="BAL124" s="83"/>
      <c r="BAV124" s="83"/>
      <c r="BBF124" s="83"/>
      <c r="BBP124" s="83"/>
      <c r="BBZ124" s="83"/>
      <c r="BCJ124" s="83"/>
      <c r="BCT124" s="83"/>
      <c r="BDD124" s="83"/>
      <c r="BDN124" s="83"/>
      <c r="BDX124" s="83"/>
      <c r="BEH124" s="83"/>
      <c r="BER124" s="83"/>
      <c r="BFB124" s="83"/>
      <c r="BFL124" s="83"/>
      <c r="BFV124" s="83"/>
      <c r="BGF124" s="83"/>
      <c r="BGP124" s="83"/>
      <c r="BGZ124" s="83"/>
      <c r="BHJ124" s="83"/>
      <c r="BHT124" s="83"/>
      <c r="BID124" s="83"/>
      <c r="BIN124" s="83"/>
      <c r="BIX124" s="83"/>
      <c r="BJH124" s="83"/>
      <c r="BJR124" s="83"/>
      <c r="BKB124" s="83"/>
      <c r="BKL124" s="83"/>
      <c r="BKV124" s="83"/>
      <c r="BLF124" s="83"/>
      <c r="BLP124" s="83"/>
      <c r="BLZ124" s="83"/>
      <c r="BMJ124" s="83"/>
      <c r="BMT124" s="83"/>
      <c r="BND124" s="83"/>
      <c r="BNN124" s="83"/>
      <c r="BNX124" s="83"/>
      <c r="BOH124" s="83"/>
      <c r="BOR124" s="83"/>
      <c r="BPB124" s="83"/>
      <c r="BPL124" s="83"/>
      <c r="BPV124" s="83"/>
      <c r="BQF124" s="83"/>
      <c r="BQP124" s="83"/>
      <c r="BQZ124" s="83"/>
      <c r="BRJ124" s="83"/>
      <c r="BRT124" s="83"/>
      <c r="BSD124" s="83"/>
      <c r="BSN124" s="83"/>
      <c r="BSX124" s="83"/>
      <c r="BTH124" s="83"/>
      <c r="BTR124" s="83"/>
      <c r="BUB124" s="83"/>
      <c r="BUL124" s="83"/>
      <c r="BUV124" s="83"/>
      <c r="BVF124" s="83"/>
      <c r="BVP124" s="83"/>
      <c r="BVZ124" s="83"/>
      <c r="BWJ124" s="83"/>
      <c r="BWT124" s="83"/>
      <c r="BXD124" s="83"/>
      <c r="BXN124" s="83"/>
      <c r="BXX124" s="83"/>
      <c r="BYH124" s="83"/>
      <c r="BYR124" s="83"/>
      <c r="BZB124" s="83"/>
      <c r="BZL124" s="83"/>
      <c r="BZV124" s="83"/>
      <c r="CAF124" s="83"/>
      <c r="CAP124" s="83"/>
      <c r="CAZ124" s="83"/>
      <c r="CBJ124" s="83"/>
      <c r="CBT124" s="83"/>
      <c r="CCD124" s="83"/>
      <c r="CCN124" s="83"/>
      <c r="CCX124" s="83"/>
      <c r="CDH124" s="83"/>
      <c r="CDR124" s="83"/>
      <c r="CEB124" s="83"/>
      <c r="CEL124" s="83"/>
      <c r="CEV124" s="83"/>
      <c r="CFF124" s="83"/>
      <c r="CFP124" s="83"/>
      <c r="CFZ124" s="83"/>
      <c r="CGJ124" s="83"/>
      <c r="CGT124" s="83"/>
      <c r="CHD124" s="83"/>
      <c r="CHN124" s="83"/>
      <c r="CHX124" s="83"/>
      <c r="CIH124" s="83"/>
      <c r="CIR124" s="83"/>
      <c r="CJB124" s="83"/>
      <c r="CJL124" s="83"/>
      <c r="CJV124" s="83"/>
      <c r="CKF124" s="83"/>
      <c r="CKP124" s="83"/>
      <c r="CKZ124" s="83"/>
      <c r="CLJ124" s="83"/>
      <c r="CLT124" s="83"/>
      <c r="CMD124" s="83"/>
      <c r="CMN124" s="83"/>
      <c r="CMX124" s="83"/>
      <c r="CNH124" s="83"/>
      <c r="CNR124" s="83"/>
      <c r="COB124" s="83"/>
      <c r="COL124" s="83"/>
      <c r="COV124" s="83"/>
      <c r="CPF124" s="83"/>
      <c r="CPP124" s="83"/>
      <c r="CPZ124" s="83"/>
      <c r="CQJ124" s="83"/>
      <c r="CQT124" s="83"/>
      <c r="CRD124" s="83"/>
      <c r="CRN124" s="83"/>
      <c r="CRX124" s="83"/>
      <c r="CSH124" s="83"/>
      <c r="CSR124" s="83"/>
      <c r="CTB124" s="83"/>
      <c r="CTL124" s="83"/>
      <c r="CTV124" s="83"/>
    </row>
    <row r="125" s="58" customFormat="1" customHeight="1" spans="1:1020 1030:2040 2050:2570">
      <c r="A125" s="87">
        <v>46147</v>
      </c>
      <c r="B125" s="88" t="s">
        <v>149</v>
      </c>
      <c r="C125" s="89" t="s">
        <v>150</v>
      </c>
      <c r="D125" s="75">
        <v>652342104</v>
      </c>
      <c r="E125" s="93" t="s">
        <v>163</v>
      </c>
      <c r="F125" s="91" t="str">
        <f>IFERROR(VLOOKUP(E125,[12]基础数据!$E$3:$F$23,2,0),"")</f>
        <v>A12EV10-BDU-采样集成线束</v>
      </c>
      <c r="G125" s="75">
        <f>1100+200+200</f>
        <v>1500</v>
      </c>
      <c r="H125" s="77" t="str">
        <f>IFERROR(VLOOKUP(E125,[12]基础数据!$E$3:$H$21,4,0),"")</f>
        <v>料盒</v>
      </c>
      <c r="I125" s="77">
        <f>IFERROR(VLOOKUP(E125,[12]基础数据!$E$3:$H$21,3,0),"")</f>
        <v>50</v>
      </c>
      <c r="J125" s="75" t="s">
        <v>306</v>
      </c>
      <c r="K125" s="78">
        <f t="shared" ref="K125:K148" si="2">IFERROR(G125/I125,"")</f>
        <v>30</v>
      </c>
      <c r="T125" s="83"/>
      <c r="AD125" s="83"/>
      <c r="AN125" s="83"/>
      <c r="AX125" s="83"/>
      <c r="BH125" s="83"/>
      <c r="BR125" s="83"/>
      <c r="CB125" s="83"/>
      <c r="CL125" s="83"/>
      <c r="CV125" s="83"/>
      <c r="DF125" s="83"/>
      <c r="DP125" s="83"/>
      <c r="DZ125" s="83"/>
      <c r="EJ125" s="83"/>
      <c r="ET125" s="83"/>
      <c r="FD125" s="83"/>
      <c r="FN125" s="83"/>
      <c r="FX125" s="83"/>
      <c r="GH125" s="83"/>
      <c r="GR125" s="83"/>
      <c r="HB125" s="83"/>
      <c r="HL125" s="83"/>
      <c r="HV125" s="83"/>
      <c r="IF125" s="83"/>
      <c r="IP125" s="83"/>
      <c r="IZ125" s="83"/>
      <c r="JJ125" s="83"/>
      <c r="JT125" s="83"/>
      <c r="KD125" s="83"/>
      <c r="KN125" s="83"/>
      <c r="KX125" s="83"/>
      <c r="LH125" s="83"/>
      <c r="LR125" s="83"/>
      <c r="MB125" s="83"/>
      <c r="ML125" s="83"/>
      <c r="MV125" s="83"/>
      <c r="NF125" s="83"/>
      <c r="NP125" s="83"/>
      <c r="NZ125" s="83"/>
      <c r="OJ125" s="83"/>
      <c r="OT125" s="83"/>
      <c r="PD125" s="83"/>
      <c r="PN125" s="83"/>
      <c r="PX125" s="83"/>
      <c r="QH125" s="83"/>
      <c r="QR125" s="83"/>
      <c r="RB125" s="83"/>
      <c r="RL125" s="83"/>
      <c r="RV125" s="83"/>
      <c r="SF125" s="83"/>
      <c r="SP125" s="83"/>
      <c r="SZ125" s="83"/>
      <c r="TJ125" s="83"/>
      <c r="TT125" s="83"/>
      <c r="UD125" s="83"/>
      <c r="UN125" s="83"/>
      <c r="UX125" s="83"/>
      <c r="VH125" s="83"/>
      <c r="VR125" s="83"/>
      <c r="WB125" s="83"/>
      <c r="WL125" s="83"/>
      <c r="WV125" s="83"/>
      <c r="XF125" s="83"/>
      <c r="XP125" s="83"/>
      <c r="XZ125" s="83"/>
      <c r="YJ125" s="83"/>
      <c r="YT125" s="83"/>
      <c r="ZD125" s="83"/>
      <c r="ZN125" s="83"/>
      <c r="ZX125" s="83"/>
      <c r="AAH125" s="83"/>
      <c r="AAR125" s="83"/>
      <c r="ABB125" s="83"/>
      <c r="ABL125" s="83"/>
      <c r="ABV125" s="83"/>
      <c r="ACF125" s="83"/>
      <c r="ACP125" s="83"/>
      <c r="ACZ125" s="83"/>
      <c r="ADJ125" s="83"/>
      <c r="ADT125" s="83"/>
      <c r="AED125" s="83"/>
      <c r="AEN125" s="83"/>
      <c r="AEX125" s="83"/>
      <c r="AFH125" s="83"/>
      <c r="AFR125" s="83"/>
      <c r="AGB125" s="83"/>
      <c r="AGL125" s="83"/>
      <c r="AGV125" s="83"/>
      <c r="AHF125" s="83"/>
      <c r="AHP125" s="83"/>
      <c r="AHZ125" s="83"/>
      <c r="AIJ125" s="83"/>
      <c r="AIT125" s="83"/>
      <c r="AJD125" s="83"/>
      <c r="AJN125" s="83"/>
      <c r="AJX125" s="83"/>
      <c r="AKH125" s="83"/>
      <c r="AKR125" s="83"/>
      <c r="ALB125" s="83"/>
      <c r="ALL125" s="83"/>
      <c r="ALV125" s="83"/>
      <c r="AMF125" s="83"/>
      <c r="AMP125" s="83"/>
      <c r="AMZ125" s="83"/>
      <c r="ANJ125" s="83"/>
      <c r="ANT125" s="83"/>
      <c r="AOD125" s="83"/>
      <c r="AON125" s="83"/>
      <c r="AOX125" s="83"/>
      <c r="APH125" s="83"/>
      <c r="APR125" s="83"/>
      <c r="AQB125" s="83"/>
      <c r="AQL125" s="83"/>
      <c r="AQV125" s="83"/>
      <c r="ARF125" s="83"/>
      <c r="ARP125" s="83"/>
      <c r="ARZ125" s="83"/>
      <c r="ASJ125" s="83"/>
      <c r="AST125" s="83"/>
      <c r="ATD125" s="83"/>
      <c r="ATN125" s="83"/>
      <c r="ATX125" s="83"/>
      <c r="AUH125" s="83"/>
      <c r="AUR125" s="83"/>
      <c r="AVB125" s="83"/>
      <c r="AVL125" s="83"/>
      <c r="AVV125" s="83"/>
      <c r="AWF125" s="83"/>
      <c r="AWP125" s="83"/>
      <c r="AWZ125" s="83"/>
      <c r="AXJ125" s="83"/>
      <c r="AXT125" s="83"/>
      <c r="AYD125" s="83"/>
      <c r="AYN125" s="83"/>
      <c r="AYX125" s="83"/>
      <c r="AZH125" s="83"/>
      <c r="AZR125" s="83"/>
      <c r="BAB125" s="83"/>
      <c r="BAL125" s="83"/>
      <c r="BAV125" s="83"/>
      <c r="BBF125" s="83"/>
      <c r="BBP125" s="83"/>
      <c r="BBZ125" s="83"/>
      <c r="BCJ125" s="83"/>
      <c r="BCT125" s="83"/>
      <c r="BDD125" s="83"/>
      <c r="BDN125" s="83"/>
      <c r="BDX125" s="83"/>
      <c r="BEH125" s="83"/>
      <c r="BER125" s="83"/>
      <c r="BFB125" s="83"/>
      <c r="BFL125" s="83"/>
      <c r="BFV125" s="83"/>
      <c r="BGF125" s="83"/>
      <c r="BGP125" s="83"/>
      <c r="BGZ125" s="83"/>
      <c r="BHJ125" s="83"/>
      <c r="BHT125" s="83"/>
      <c r="BID125" s="83"/>
      <c r="BIN125" s="83"/>
      <c r="BIX125" s="83"/>
      <c r="BJH125" s="83"/>
      <c r="BJR125" s="83"/>
      <c r="BKB125" s="83"/>
      <c r="BKL125" s="83"/>
      <c r="BKV125" s="83"/>
      <c r="BLF125" s="83"/>
      <c r="BLP125" s="83"/>
      <c r="BLZ125" s="83"/>
      <c r="BMJ125" s="83"/>
      <c r="BMT125" s="83"/>
      <c r="BND125" s="83"/>
      <c r="BNN125" s="83"/>
      <c r="BNX125" s="83"/>
      <c r="BOH125" s="83"/>
      <c r="BOR125" s="83"/>
      <c r="BPB125" s="83"/>
      <c r="BPL125" s="83"/>
      <c r="BPV125" s="83"/>
      <c r="BQF125" s="83"/>
      <c r="BQP125" s="83"/>
      <c r="BQZ125" s="83"/>
      <c r="BRJ125" s="83"/>
      <c r="BRT125" s="83"/>
      <c r="BSD125" s="83"/>
      <c r="BSN125" s="83"/>
      <c r="BSX125" s="83"/>
      <c r="BTH125" s="83"/>
      <c r="BTR125" s="83"/>
      <c r="BUB125" s="83"/>
      <c r="BUL125" s="83"/>
      <c r="BUV125" s="83"/>
      <c r="BVF125" s="83"/>
      <c r="BVP125" s="83"/>
      <c r="BVZ125" s="83"/>
      <c r="BWJ125" s="83"/>
      <c r="BWT125" s="83"/>
      <c r="BXD125" s="83"/>
      <c r="BXN125" s="83"/>
      <c r="BXX125" s="83"/>
      <c r="BYH125" s="83"/>
      <c r="BYR125" s="83"/>
      <c r="BZB125" s="83"/>
      <c r="BZL125" s="83"/>
      <c r="BZV125" s="83"/>
      <c r="CAF125" s="83"/>
      <c r="CAP125" s="83"/>
      <c r="CAZ125" s="83"/>
      <c r="CBJ125" s="83"/>
      <c r="CBT125" s="83"/>
      <c r="CCD125" s="83"/>
      <c r="CCN125" s="83"/>
      <c r="CCX125" s="83"/>
      <c r="CDH125" s="83"/>
      <c r="CDR125" s="83"/>
      <c r="CEB125" s="83"/>
      <c r="CEL125" s="83"/>
      <c r="CEV125" s="83"/>
      <c r="CFF125" s="83"/>
      <c r="CFP125" s="83"/>
      <c r="CFZ125" s="83"/>
      <c r="CGJ125" s="83"/>
      <c r="CGT125" s="83"/>
      <c r="CHD125" s="83"/>
      <c r="CHN125" s="83"/>
      <c r="CHX125" s="83"/>
      <c r="CIH125" s="83"/>
      <c r="CIR125" s="83"/>
      <c r="CJB125" s="83"/>
      <c r="CJL125" s="83"/>
      <c r="CJV125" s="83"/>
      <c r="CKF125" s="83"/>
      <c r="CKP125" s="83"/>
      <c r="CKZ125" s="83"/>
      <c r="CLJ125" s="83"/>
      <c r="CLT125" s="83"/>
      <c r="CMD125" s="83"/>
      <c r="CMN125" s="83"/>
      <c r="CMX125" s="83"/>
      <c r="CNH125" s="83"/>
      <c r="CNR125" s="83"/>
      <c r="COB125" s="83"/>
      <c r="COL125" s="83"/>
      <c r="COV125" s="83"/>
      <c r="CPF125" s="83"/>
      <c r="CPP125" s="83"/>
      <c r="CPZ125" s="83"/>
      <c r="CQJ125" s="83"/>
      <c r="CQT125" s="83"/>
      <c r="CRD125" s="83"/>
      <c r="CRN125" s="83"/>
      <c r="CRX125" s="83"/>
      <c r="CSH125" s="83"/>
      <c r="CSR125" s="83"/>
      <c r="CTB125" s="83"/>
      <c r="CTL125" s="83"/>
      <c r="CTV125" s="83"/>
    </row>
    <row r="126" s="58" customFormat="1" customHeight="1" spans="1:1020 1030:2040 2050:2570">
      <c r="A126" s="87">
        <v>46147</v>
      </c>
      <c r="B126" s="88" t="s">
        <v>149</v>
      </c>
      <c r="C126" s="89" t="s">
        <v>150</v>
      </c>
      <c r="D126" s="75">
        <v>652342115</v>
      </c>
      <c r="E126" s="93" t="s">
        <v>161</v>
      </c>
      <c r="F126" s="91" t="str">
        <f>IFERROR(VLOOKUP(E126,[12]基础数据!$E$3:$F$23,2,0),"")</f>
        <v>A12EV10-通讯-水温-互锁集成线束-500</v>
      </c>
      <c r="G126" s="75">
        <v>2520</v>
      </c>
      <c r="H126" s="77" t="str">
        <f>IFERROR(VLOOKUP(E126,[12]基础数据!$E$3:$H$21,4,0),"")</f>
        <v>料盒</v>
      </c>
      <c r="I126" s="77">
        <f>IFERROR(VLOOKUP(E126,[12]基础数据!$E$3:$H$21,3,0),"")</f>
        <v>30</v>
      </c>
      <c r="J126" s="75" t="s">
        <v>306</v>
      </c>
      <c r="K126" s="78">
        <f t="shared" si="2"/>
        <v>84</v>
      </c>
      <c r="T126" s="83"/>
      <c r="AD126" s="83"/>
      <c r="AN126" s="83"/>
      <c r="AX126" s="83"/>
      <c r="BH126" s="83"/>
      <c r="BR126" s="83"/>
      <c r="CB126" s="83"/>
      <c r="CL126" s="83"/>
      <c r="CV126" s="83"/>
      <c r="DF126" s="83"/>
      <c r="DP126" s="83"/>
      <c r="DZ126" s="83"/>
      <c r="EJ126" s="83"/>
      <c r="ET126" s="83"/>
      <c r="FD126" s="83"/>
      <c r="FN126" s="83"/>
      <c r="FX126" s="83"/>
      <c r="GH126" s="83"/>
      <c r="GR126" s="83"/>
      <c r="HB126" s="83"/>
      <c r="HL126" s="83"/>
      <c r="HV126" s="83"/>
      <c r="IF126" s="83"/>
      <c r="IP126" s="83"/>
      <c r="IZ126" s="83"/>
      <c r="JJ126" s="83"/>
      <c r="JT126" s="83"/>
      <c r="KD126" s="83"/>
      <c r="KN126" s="83"/>
      <c r="KX126" s="83"/>
      <c r="LH126" s="83"/>
      <c r="LR126" s="83"/>
      <c r="MB126" s="83"/>
      <c r="ML126" s="83"/>
      <c r="MV126" s="83"/>
      <c r="NF126" s="83"/>
      <c r="NP126" s="83"/>
      <c r="NZ126" s="83"/>
      <c r="OJ126" s="83"/>
      <c r="OT126" s="83"/>
      <c r="PD126" s="83"/>
      <c r="PN126" s="83"/>
      <c r="PX126" s="83"/>
      <c r="QH126" s="83"/>
      <c r="QR126" s="83"/>
      <c r="RB126" s="83"/>
      <c r="RL126" s="83"/>
      <c r="RV126" s="83"/>
      <c r="SF126" s="83"/>
      <c r="SP126" s="83"/>
      <c r="SZ126" s="83"/>
      <c r="TJ126" s="83"/>
      <c r="TT126" s="83"/>
      <c r="UD126" s="83"/>
      <c r="UN126" s="83"/>
      <c r="UX126" s="83"/>
      <c r="VH126" s="83"/>
      <c r="VR126" s="83"/>
      <c r="WB126" s="83"/>
      <c r="WL126" s="83"/>
      <c r="WV126" s="83"/>
      <c r="XF126" s="83"/>
      <c r="XP126" s="83"/>
      <c r="XZ126" s="83"/>
      <c r="YJ126" s="83"/>
      <c r="YT126" s="83"/>
      <c r="ZD126" s="83"/>
      <c r="ZN126" s="83"/>
      <c r="ZX126" s="83"/>
      <c r="AAH126" s="83"/>
      <c r="AAR126" s="83"/>
      <c r="ABB126" s="83"/>
      <c r="ABL126" s="83"/>
      <c r="ABV126" s="83"/>
      <c r="ACF126" s="83"/>
      <c r="ACP126" s="83"/>
      <c r="ACZ126" s="83"/>
      <c r="ADJ126" s="83"/>
      <c r="ADT126" s="83"/>
      <c r="AED126" s="83"/>
      <c r="AEN126" s="83"/>
      <c r="AEX126" s="83"/>
      <c r="AFH126" s="83"/>
      <c r="AFR126" s="83"/>
      <c r="AGB126" s="83"/>
      <c r="AGL126" s="83"/>
      <c r="AGV126" s="83"/>
      <c r="AHF126" s="83"/>
      <c r="AHP126" s="83"/>
      <c r="AHZ126" s="83"/>
      <c r="AIJ126" s="83"/>
      <c r="AIT126" s="83"/>
      <c r="AJD126" s="83"/>
      <c r="AJN126" s="83"/>
      <c r="AJX126" s="83"/>
      <c r="AKH126" s="83"/>
      <c r="AKR126" s="83"/>
      <c r="ALB126" s="83"/>
      <c r="ALL126" s="83"/>
      <c r="ALV126" s="83"/>
      <c r="AMF126" s="83"/>
      <c r="AMP126" s="83"/>
      <c r="AMZ126" s="83"/>
      <c r="ANJ126" s="83"/>
      <c r="ANT126" s="83"/>
      <c r="AOD126" s="83"/>
      <c r="AON126" s="83"/>
      <c r="AOX126" s="83"/>
      <c r="APH126" s="83"/>
      <c r="APR126" s="83"/>
      <c r="AQB126" s="83"/>
      <c r="AQL126" s="83"/>
      <c r="AQV126" s="83"/>
      <c r="ARF126" s="83"/>
      <c r="ARP126" s="83"/>
      <c r="ARZ126" s="83"/>
      <c r="ASJ126" s="83"/>
      <c r="AST126" s="83"/>
      <c r="ATD126" s="83"/>
      <c r="ATN126" s="83"/>
      <c r="ATX126" s="83"/>
      <c r="AUH126" s="83"/>
      <c r="AUR126" s="83"/>
      <c r="AVB126" s="83"/>
      <c r="AVL126" s="83"/>
      <c r="AVV126" s="83"/>
      <c r="AWF126" s="83"/>
      <c r="AWP126" s="83"/>
      <c r="AWZ126" s="83"/>
      <c r="AXJ126" s="83"/>
      <c r="AXT126" s="83"/>
      <c r="AYD126" s="83"/>
      <c r="AYN126" s="83"/>
      <c r="AYX126" s="83"/>
      <c r="AZH126" s="83"/>
      <c r="AZR126" s="83"/>
      <c r="BAB126" s="83"/>
      <c r="BAL126" s="83"/>
      <c r="BAV126" s="83"/>
      <c r="BBF126" s="83"/>
      <c r="BBP126" s="83"/>
      <c r="BBZ126" s="83"/>
      <c r="BCJ126" s="83"/>
      <c r="BCT126" s="83"/>
      <c r="BDD126" s="83"/>
      <c r="BDN126" s="83"/>
      <c r="BDX126" s="83"/>
      <c r="BEH126" s="83"/>
      <c r="BER126" s="83"/>
      <c r="BFB126" s="83"/>
      <c r="BFL126" s="83"/>
      <c r="BFV126" s="83"/>
      <c r="BGF126" s="83"/>
      <c r="BGP126" s="83"/>
      <c r="BGZ126" s="83"/>
      <c r="BHJ126" s="83"/>
      <c r="BHT126" s="83"/>
      <c r="BID126" s="83"/>
      <c r="BIN126" s="83"/>
      <c r="BIX126" s="83"/>
      <c r="BJH126" s="83"/>
      <c r="BJR126" s="83"/>
      <c r="BKB126" s="83"/>
      <c r="BKL126" s="83"/>
      <c r="BKV126" s="83"/>
      <c r="BLF126" s="83"/>
      <c r="BLP126" s="83"/>
      <c r="BLZ126" s="83"/>
      <c r="BMJ126" s="83"/>
      <c r="BMT126" s="83"/>
      <c r="BND126" s="83"/>
      <c r="BNN126" s="83"/>
      <c r="BNX126" s="83"/>
      <c r="BOH126" s="83"/>
      <c r="BOR126" s="83"/>
      <c r="BPB126" s="83"/>
      <c r="BPL126" s="83"/>
      <c r="BPV126" s="83"/>
      <c r="BQF126" s="83"/>
      <c r="BQP126" s="83"/>
      <c r="BQZ126" s="83"/>
      <c r="BRJ126" s="83"/>
      <c r="BRT126" s="83"/>
      <c r="BSD126" s="83"/>
      <c r="BSN126" s="83"/>
      <c r="BSX126" s="83"/>
      <c r="BTH126" s="83"/>
      <c r="BTR126" s="83"/>
      <c r="BUB126" s="83"/>
      <c r="BUL126" s="83"/>
      <c r="BUV126" s="83"/>
      <c r="BVF126" s="83"/>
      <c r="BVP126" s="83"/>
      <c r="BVZ126" s="83"/>
      <c r="BWJ126" s="83"/>
      <c r="BWT126" s="83"/>
      <c r="BXD126" s="83"/>
      <c r="BXN126" s="83"/>
      <c r="BXX126" s="83"/>
      <c r="BYH126" s="83"/>
      <c r="BYR126" s="83"/>
      <c r="BZB126" s="83"/>
      <c r="BZL126" s="83"/>
      <c r="BZV126" s="83"/>
      <c r="CAF126" s="83"/>
      <c r="CAP126" s="83"/>
      <c r="CAZ126" s="83"/>
      <c r="CBJ126" s="83"/>
      <c r="CBT126" s="83"/>
      <c r="CCD126" s="83"/>
      <c r="CCN126" s="83"/>
      <c r="CCX126" s="83"/>
      <c r="CDH126" s="83"/>
      <c r="CDR126" s="83"/>
      <c r="CEB126" s="83"/>
      <c r="CEL126" s="83"/>
      <c r="CEV126" s="83"/>
      <c r="CFF126" s="83"/>
      <c r="CFP126" s="83"/>
      <c r="CFZ126" s="83"/>
      <c r="CGJ126" s="83"/>
      <c r="CGT126" s="83"/>
      <c r="CHD126" s="83"/>
      <c r="CHN126" s="83"/>
      <c r="CHX126" s="83"/>
      <c r="CIH126" s="83"/>
      <c r="CIR126" s="83"/>
      <c r="CJB126" s="83"/>
      <c r="CJL126" s="83"/>
      <c r="CJV126" s="83"/>
      <c r="CKF126" s="83"/>
      <c r="CKP126" s="83"/>
      <c r="CKZ126" s="83"/>
      <c r="CLJ126" s="83"/>
      <c r="CLT126" s="83"/>
      <c r="CMD126" s="83"/>
      <c r="CMN126" s="83"/>
      <c r="CMX126" s="83"/>
      <c r="CNH126" s="83"/>
      <c r="CNR126" s="83"/>
      <c r="COB126" s="83"/>
      <c r="COL126" s="83"/>
      <c r="COV126" s="83"/>
      <c r="CPF126" s="83"/>
      <c r="CPP126" s="83"/>
      <c r="CPZ126" s="83"/>
      <c r="CQJ126" s="83"/>
      <c r="CQT126" s="83"/>
      <c r="CRD126" s="83"/>
      <c r="CRN126" s="83"/>
      <c r="CRX126" s="83"/>
      <c r="CSH126" s="83"/>
      <c r="CSR126" s="83"/>
      <c r="CTB126" s="83"/>
      <c r="CTL126" s="83"/>
      <c r="CTV126" s="83"/>
    </row>
    <row r="127" s="58" customFormat="1" customHeight="1" spans="1:1020 1030:2040 2050:2570">
      <c r="A127" s="87">
        <v>46147</v>
      </c>
      <c r="B127" s="88" t="s">
        <v>149</v>
      </c>
      <c r="C127" s="89" t="s">
        <v>150</v>
      </c>
      <c r="D127" s="75">
        <v>652345510</v>
      </c>
      <c r="E127" s="93" t="s">
        <v>177</v>
      </c>
      <c r="F127" s="91" t="str">
        <f>IFERROR(VLOOKUP(E127,[12]基础数据!$E$3:$F$23,2,0),"")</f>
        <v>LX00148-CCS总成</v>
      </c>
      <c r="G127" s="75">
        <v>1200</v>
      </c>
      <c r="H127" s="77" t="str">
        <f>IFERROR(VLOOKUP(E127,[12]基础数据!$E$3:$H$21,4,0),"")</f>
        <v>纸箱</v>
      </c>
      <c r="I127" s="77">
        <f>IFERROR(VLOOKUP(E127,[12]基础数据!$E$3:$H$21,3,0),"")</f>
        <v>12</v>
      </c>
      <c r="J127" s="75" t="s">
        <v>306</v>
      </c>
      <c r="K127" s="78">
        <f t="shared" si="2"/>
        <v>100</v>
      </c>
      <c r="T127" s="83"/>
      <c r="AD127" s="83"/>
      <c r="AN127" s="83"/>
      <c r="AX127" s="83"/>
      <c r="BH127" s="83"/>
      <c r="BR127" s="83"/>
      <c r="CB127" s="83"/>
      <c r="CL127" s="83"/>
      <c r="CV127" s="83"/>
      <c r="DF127" s="83"/>
      <c r="DP127" s="83"/>
      <c r="DZ127" s="83"/>
      <c r="EJ127" s="83"/>
      <c r="ET127" s="83"/>
      <c r="FD127" s="83"/>
      <c r="FN127" s="83"/>
      <c r="FX127" s="83"/>
      <c r="GH127" s="83"/>
      <c r="GR127" s="83"/>
      <c r="HB127" s="83"/>
      <c r="HL127" s="83"/>
      <c r="HV127" s="83"/>
      <c r="IF127" s="83"/>
      <c r="IP127" s="83"/>
      <c r="IZ127" s="83"/>
      <c r="JJ127" s="83"/>
      <c r="JT127" s="83"/>
      <c r="KD127" s="83"/>
      <c r="KN127" s="83"/>
      <c r="KX127" s="83"/>
      <c r="LH127" s="83"/>
      <c r="LR127" s="83"/>
      <c r="MB127" s="83"/>
      <c r="ML127" s="83"/>
      <c r="MV127" s="83"/>
      <c r="NF127" s="83"/>
      <c r="NP127" s="83"/>
      <c r="NZ127" s="83"/>
      <c r="OJ127" s="83"/>
      <c r="OT127" s="83"/>
      <c r="PD127" s="83"/>
      <c r="PN127" s="83"/>
      <c r="PX127" s="83"/>
      <c r="QH127" s="83"/>
      <c r="QR127" s="83"/>
      <c r="RB127" s="83"/>
      <c r="RL127" s="83"/>
      <c r="RV127" s="83"/>
      <c r="SF127" s="83"/>
      <c r="SP127" s="83"/>
      <c r="SZ127" s="83"/>
      <c r="TJ127" s="83"/>
      <c r="TT127" s="83"/>
      <c r="UD127" s="83"/>
      <c r="UN127" s="83"/>
      <c r="UX127" s="83"/>
      <c r="VH127" s="83"/>
      <c r="VR127" s="83"/>
      <c r="WB127" s="83"/>
      <c r="WL127" s="83"/>
      <c r="WV127" s="83"/>
      <c r="XF127" s="83"/>
      <c r="XP127" s="83"/>
      <c r="XZ127" s="83"/>
      <c r="YJ127" s="83"/>
      <c r="YT127" s="83"/>
      <c r="ZD127" s="83"/>
      <c r="ZN127" s="83"/>
      <c r="ZX127" s="83"/>
      <c r="AAH127" s="83"/>
      <c r="AAR127" s="83"/>
      <c r="ABB127" s="83"/>
      <c r="ABL127" s="83"/>
      <c r="ABV127" s="83"/>
      <c r="ACF127" s="83"/>
      <c r="ACP127" s="83"/>
      <c r="ACZ127" s="83"/>
      <c r="ADJ127" s="83"/>
      <c r="ADT127" s="83"/>
      <c r="AED127" s="83"/>
      <c r="AEN127" s="83"/>
      <c r="AEX127" s="83"/>
      <c r="AFH127" s="83"/>
      <c r="AFR127" s="83"/>
      <c r="AGB127" s="83"/>
      <c r="AGL127" s="83"/>
      <c r="AGV127" s="83"/>
      <c r="AHF127" s="83"/>
      <c r="AHP127" s="83"/>
      <c r="AHZ127" s="83"/>
      <c r="AIJ127" s="83"/>
      <c r="AIT127" s="83"/>
      <c r="AJD127" s="83"/>
      <c r="AJN127" s="83"/>
      <c r="AJX127" s="83"/>
      <c r="AKH127" s="83"/>
      <c r="AKR127" s="83"/>
      <c r="ALB127" s="83"/>
      <c r="ALL127" s="83"/>
      <c r="ALV127" s="83"/>
      <c r="AMF127" s="83"/>
      <c r="AMP127" s="83"/>
      <c r="AMZ127" s="83"/>
      <c r="ANJ127" s="83"/>
      <c r="ANT127" s="83"/>
      <c r="AOD127" s="83"/>
      <c r="AON127" s="83"/>
      <c r="AOX127" s="83"/>
      <c r="APH127" s="83"/>
      <c r="APR127" s="83"/>
      <c r="AQB127" s="83"/>
      <c r="AQL127" s="83"/>
      <c r="AQV127" s="83"/>
      <c r="ARF127" s="83"/>
      <c r="ARP127" s="83"/>
      <c r="ARZ127" s="83"/>
      <c r="ASJ127" s="83"/>
      <c r="AST127" s="83"/>
      <c r="ATD127" s="83"/>
      <c r="ATN127" s="83"/>
      <c r="ATX127" s="83"/>
      <c r="AUH127" s="83"/>
      <c r="AUR127" s="83"/>
      <c r="AVB127" s="83"/>
      <c r="AVL127" s="83"/>
      <c r="AVV127" s="83"/>
      <c r="AWF127" s="83"/>
      <c r="AWP127" s="83"/>
      <c r="AWZ127" s="83"/>
      <c r="AXJ127" s="83"/>
      <c r="AXT127" s="83"/>
      <c r="AYD127" s="83"/>
      <c r="AYN127" s="83"/>
      <c r="AYX127" s="83"/>
      <c r="AZH127" s="83"/>
      <c r="AZR127" s="83"/>
      <c r="BAB127" s="83"/>
      <c r="BAL127" s="83"/>
      <c r="BAV127" s="83"/>
      <c r="BBF127" s="83"/>
      <c r="BBP127" s="83"/>
      <c r="BBZ127" s="83"/>
      <c r="BCJ127" s="83"/>
      <c r="BCT127" s="83"/>
      <c r="BDD127" s="83"/>
      <c r="BDN127" s="83"/>
      <c r="BDX127" s="83"/>
      <c r="BEH127" s="83"/>
      <c r="BER127" s="83"/>
      <c r="BFB127" s="83"/>
      <c r="BFL127" s="83"/>
      <c r="BFV127" s="83"/>
      <c r="BGF127" s="83"/>
      <c r="BGP127" s="83"/>
      <c r="BGZ127" s="83"/>
      <c r="BHJ127" s="83"/>
      <c r="BHT127" s="83"/>
      <c r="BID127" s="83"/>
      <c r="BIN127" s="83"/>
      <c r="BIX127" s="83"/>
      <c r="BJH127" s="83"/>
      <c r="BJR127" s="83"/>
      <c r="BKB127" s="83"/>
      <c r="BKL127" s="83"/>
      <c r="BKV127" s="83"/>
      <c r="BLF127" s="83"/>
      <c r="BLP127" s="83"/>
      <c r="BLZ127" s="83"/>
      <c r="BMJ127" s="83"/>
      <c r="BMT127" s="83"/>
      <c r="BND127" s="83"/>
      <c r="BNN127" s="83"/>
      <c r="BNX127" s="83"/>
      <c r="BOH127" s="83"/>
      <c r="BOR127" s="83"/>
      <c r="BPB127" s="83"/>
      <c r="BPL127" s="83"/>
      <c r="BPV127" s="83"/>
      <c r="BQF127" s="83"/>
      <c r="BQP127" s="83"/>
      <c r="BQZ127" s="83"/>
      <c r="BRJ127" s="83"/>
      <c r="BRT127" s="83"/>
      <c r="BSD127" s="83"/>
      <c r="BSN127" s="83"/>
      <c r="BSX127" s="83"/>
      <c r="BTH127" s="83"/>
      <c r="BTR127" s="83"/>
      <c r="BUB127" s="83"/>
      <c r="BUL127" s="83"/>
      <c r="BUV127" s="83"/>
      <c r="BVF127" s="83"/>
      <c r="BVP127" s="83"/>
      <c r="BVZ127" s="83"/>
      <c r="BWJ127" s="83"/>
      <c r="BWT127" s="83"/>
      <c r="BXD127" s="83"/>
      <c r="BXN127" s="83"/>
      <c r="BXX127" s="83"/>
      <c r="BYH127" s="83"/>
      <c r="BYR127" s="83"/>
      <c r="BZB127" s="83"/>
      <c r="BZL127" s="83"/>
      <c r="BZV127" s="83"/>
      <c r="CAF127" s="83"/>
      <c r="CAP127" s="83"/>
      <c r="CAZ127" s="83"/>
      <c r="CBJ127" s="83"/>
      <c r="CBT127" s="83"/>
      <c r="CCD127" s="83"/>
      <c r="CCN127" s="83"/>
      <c r="CCX127" s="83"/>
      <c r="CDH127" s="83"/>
      <c r="CDR127" s="83"/>
      <c r="CEB127" s="83"/>
      <c r="CEL127" s="83"/>
      <c r="CEV127" s="83"/>
      <c r="CFF127" s="83"/>
      <c r="CFP127" s="83"/>
      <c r="CFZ127" s="83"/>
      <c r="CGJ127" s="83"/>
      <c r="CGT127" s="83"/>
      <c r="CHD127" s="83"/>
      <c r="CHN127" s="83"/>
      <c r="CHX127" s="83"/>
      <c r="CIH127" s="83"/>
      <c r="CIR127" s="83"/>
      <c r="CJB127" s="83"/>
      <c r="CJL127" s="83"/>
      <c r="CJV127" s="83"/>
      <c r="CKF127" s="83"/>
      <c r="CKP127" s="83"/>
      <c r="CKZ127" s="83"/>
      <c r="CLJ127" s="83"/>
      <c r="CLT127" s="83"/>
      <c r="CMD127" s="83"/>
      <c r="CMN127" s="83"/>
      <c r="CMX127" s="83"/>
      <c r="CNH127" s="83"/>
      <c r="CNR127" s="83"/>
      <c r="COB127" s="83"/>
      <c r="COL127" s="83"/>
      <c r="COV127" s="83"/>
      <c r="CPF127" s="83"/>
      <c r="CPP127" s="83"/>
      <c r="CPZ127" s="83"/>
      <c r="CQJ127" s="83"/>
      <c r="CQT127" s="83"/>
      <c r="CRD127" s="83"/>
      <c r="CRN127" s="83"/>
      <c r="CRX127" s="83"/>
      <c r="CSH127" s="83"/>
      <c r="CSR127" s="83"/>
      <c r="CTB127" s="83"/>
      <c r="CTL127" s="83"/>
      <c r="CTV127" s="83"/>
    </row>
    <row r="128" s="58" customFormat="1" customHeight="1" spans="1:1020 1030:2040 2050:2570">
      <c r="A128" s="87">
        <v>46147</v>
      </c>
      <c r="B128" s="88" t="s">
        <v>149</v>
      </c>
      <c r="C128" s="89" t="s">
        <v>150</v>
      </c>
      <c r="D128" s="75">
        <v>652345550</v>
      </c>
      <c r="E128" s="93" t="s">
        <v>151</v>
      </c>
      <c r="F128" s="91" t="str">
        <f>IFERROR(VLOOKUP(E128,[12]基础数据!$E$3:$F$23,2,0),"")</f>
        <v>A12-高压支路连接线束-500</v>
      </c>
      <c r="G128" s="75">
        <v>1500</v>
      </c>
      <c r="H128" s="77" t="str">
        <f>IFERROR(VLOOKUP(E128,[12]基础数据!$E$3:$H$21,4,0),"")</f>
        <v>料盒</v>
      </c>
      <c r="I128" s="77">
        <f>IFERROR(VLOOKUP(E128,[12]基础数据!$E$3:$H$21,3,0),"")</f>
        <v>20</v>
      </c>
      <c r="J128" s="75" t="s">
        <v>306</v>
      </c>
      <c r="K128" s="78">
        <f t="shared" si="2"/>
        <v>75</v>
      </c>
      <c r="T128" s="83"/>
      <c r="AD128" s="83"/>
      <c r="AN128" s="83"/>
      <c r="AX128" s="83"/>
      <c r="BH128" s="83"/>
      <c r="BR128" s="83"/>
      <c r="CB128" s="83"/>
      <c r="CL128" s="83"/>
      <c r="CV128" s="83"/>
      <c r="DF128" s="83"/>
      <c r="DP128" s="83"/>
      <c r="DZ128" s="83"/>
      <c r="EJ128" s="83"/>
      <c r="ET128" s="83"/>
      <c r="FD128" s="83"/>
      <c r="FN128" s="83"/>
      <c r="FX128" s="83"/>
      <c r="GH128" s="83"/>
      <c r="GR128" s="83"/>
      <c r="HB128" s="83"/>
      <c r="HL128" s="83"/>
      <c r="HV128" s="83"/>
      <c r="IF128" s="83"/>
      <c r="IP128" s="83"/>
      <c r="IZ128" s="83"/>
      <c r="JJ128" s="83"/>
      <c r="JT128" s="83"/>
      <c r="KD128" s="83"/>
      <c r="KN128" s="83"/>
      <c r="KX128" s="83"/>
      <c r="LH128" s="83"/>
      <c r="LR128" s="83"/>
      <c r="MB128" s="83"/>
      <c r="ML128" s="83"/>
      <c r="MV128" s="83"/>
      <c r="NF128" s="83"/>
      <c r="NP128" s="83"/>
      <c r="NZ128" s="83"/>
      <c r="OJ128" s="83"/>
      <c r="OT128" s="83"/>
      <c r="PD128" s="83"/>
      <c r="PN128" s="83"/>
      <c r="PX128" s="83"/>
      <c r="QH128" s="83"/>
      <c r="QR128" s="83"/>
      <c r="RB128" s="83"/>
      <c r="RL128" s="83"/>
      <c r="RV128" s="83"/>
      <c r="SF128" s="83"/>
      <c r="SP128" s="83"/>
      <c r="SZ128" s="83"/>
      <c r="TJ128" s="83"/>
      <c r="TT128" s="83"/>
      <c r="UD128" s="83"/>
      <c r="UN128" s="83"/>
      <c r="UX128" s="83"/>
      <c r="VH128" s="83"/>
      <c r="VR128" s="83"/>
      <c r="WB128" s="83"/>
      <c r="WL128" s="83"/>
      <c r="WV128" s="83"/>
      <c r="XF128" s="83"/>
      <c r="XP128" s="83"/>
      <c r="XZ128" s="83"/>
      <c r="YJ128" s="83"/>
      <c r="YT128" s="83"/>
      <c r="ZD128" s="83"/>
      <c r="ZN128" s="83"/>
      <c r="ZX128" s="83"/>
      <c r="AAH128" s="83"/>
      <c r="AAR128" s="83"/>
      <c r="ABB128" s="83"/>
      <c r="ABL128" s="83"/>
      <c r="ABV128" s="83"/>
      <c r="ACF128" s="83"/>
      <c r="ACP128" s="83"/>
      <c r="ACZ128" s="83"/>
      <c r="ADJ128" s="83"/>
      <c r="ADT128" s="83"/>
      <c r="AED128" s="83"/>
      <c r="AEN128" s="83"/>
      <c r="AEX128" s="83"/>
      <c r="AFH128" s="83"/>
      <c r="AFR128" s="83"/>
      <c r="AGB128" s="83"/>
      <c r="AGL128" s="83"/>
      <c r="AGV128" s="83"/>
      <c r="AHF128" s="83"/>
      <c r="AHP128" s="83"/>
      <c r="AHZ128" s="83"/>
      <c r="AIJ128" s="83"/>
      <c r="AIT128" s="83"/>
      <c r="AJD128" s="83"/>
      <c r="AJN128" s="83"/>
      <c r="AJX128" s="83"/>
      <c r="AKH128" s="83"/>
      <c r="AKR128" s="83"/>
      <c r="ALB128" s="83"/>
      <c r="ALL128" s="83"/>
      <c r="ALV128" s="83"/>
      <c r="AMF128" s="83"/>
      <c r="AMP128" s="83"/>
      <c r="AMZ128" s="83"/>
      <c r="ANJ128" s="83"/>
      <c r="ANT128" s="83"/>
      <c r="AOD128" s="83"/>
      <c r="AON128" s="83"/>
      <c r="AOX128" s="83"/>
      <c r="APH128" s="83"/>
      <c r="APR128" s="83"/>
      <c r="AQB128" s="83"/>
      <c r="AQL128" s="83"/>
      <c r="AQV128" s="83"/>
      <c r="ARF128" s="83"/>
      <c r="ARP128" s="83"/>
      <c r="ARZ128" s="83"/>
      <c r="ASJ128" s="83"/>
      <c r="AST128" s="83"/>
      <c r="ATD128" s="83"/>
      <c r="ATN128" s="83"/>
      <c r="ATX128" s="83"/>
      <c r="AUH128" s="83"/>
      <c r="AUR128" s="83"/>
      <c r="AVB128" s="83"/>
      <c r="AVL128" s="83"/>
      <c r="AVV128" s="83"/>
      <c r="AWF128" s="83"/>
      <c r="AWP128" s="83"/>
      <c r="AWZ128" s="83"/>
      <c r="AXJ128" s="83"/>
      <c r="AXT128" s="83"/>
      <c r="AYD128" s="83"/>
      <c r="AYN128" s="83"/>
      <c r="AYX128" s="83"/>
      <c r="AZH128" s="83"/>
      <c r="AZR128" s="83"/>
      <c r="BAB128" s="83"/>
      <c r="BAL128" s="83"/>
      <c r="BAV128" s="83"/>
      <c r="BBF128" s="83"/>
      <c r="BBP128" s="83"/>
      <c r="BBZ128" s="83"/>
      <c r="BCJ128" s="83"/>
      <c r="BCT128" s="83"/>
      <c r="BDD128" s="83"/>
      <c r="BDN128" s="83"/>
      <c r="BDX128" s="83"/>
      <c r="BEH128" s="83"/>
      <c r="BER128" s="83"/>
      <c r="BFB128" s="83"/>
      <c r="BFL128" s="83"/>
      <c r="BFV128" s="83"/>
      <c r="BGF128" s="83"/>
      <c r="BGP128" s="83"/>
      <c r="BGZ128" s="83"/>
      <c r="BHJ128" s="83"/>
      <c r="BHT128" s="83"/>
      <c r="BID128" s="83"/>
      <c r="BIN128" s="83"/>
      <c r="BIX128" s="83"/>
      <c r="BJH128" s="83"/>
      <c r="BJR128" s="83"/>
      <c r="BKB128" s="83"/>
      <c r="BKL128" s="83"/>
      <c r="BKV128" s="83"/>
      <c r="BLF128" s="83"/>
      <c r="BLP128" s="83"/>
      <c r="BLZ128" s="83"/>
      <c r="BMJ128" s="83"/>
      <c r="BMT128" s="83"/>
      <c r="BND128" s="83"/>
      <c r="BNN128" s="83"/>
      <c r="BNX128" s="83"/>
      <c r="BOH128" s="83"/>
      <c r="BOR128" s="83"/>
      <c r="BPB128" s="83"/>
      <c r="BPL128" s="83"/>
      <c r="BPV128" s="83"/>
      <c r="BQF128" s="83"/>
      <c r="BQP128" s="83"/>
      <c r="BQZ128" s="83"/>
      <c r="BRJ128" s="83"/>
      <c r="BRT128" s="83"/>
      <c r="BSD128" s="83"/>
      <c r="BSN128" s="83"/>
      <c r="BSX128" s="83"/>
      <c r="BTH128" s="83"/>
      <c r="BTR128" s="83"/>
      <c r="BUB128" s="83"/>
      <c r="BUL128" s="83"/>
      <c r="BUV128" s="83"/>
      <c r="BVF128" s="83"/>
      <c r="BVP128" s="83"/>
      <c r="BVZ128" s="83"/>
      <c r="BWJ128" s="83"/>
      <c r="BWT128" s="83"/>
      <c r="BXD128" s="83"/>
      <c r="BXN128" s="83"/>
      <c r="BXX128" s="83"/>
      <c r="BYH128" s="83"/>
      <c r="BYR128" s="83"/>
      <c r="BZB128" s="83"/>
      <c r="BZL128" s="83"/>
      <c r="BZV128" s="83"/>
      <c r="CAF128" s="83"/>
      <c r="CAP128" s="83"/>
      <c r="CAZ128" s="83"/>
      <c r="CBJ128" s="83"/>
      <c r="CBT128" s="83"/>
      <c r="CCD128" s="83"/>
      <c r="CCN128" s="83"/>
      <c r="CCX128" s="83"/>
      <c r="CDH128" s="83"/>
      <c r="CDR128" s="83"/>
      <c r="CEB128" s="83"/>
      <c r="CEL128" s="83"/>
      <c r="CEV128" s="83"/>
      <c r="CFF128" s="83"/>
      <c r="CFP128" s="83"/>
      <c r="CFZ128" s="83"/>
      <c r="CGJ128" s="83"/>
      <c r="CGT128" s="83"/>
      <c r="CHD128" s="83"/>
      <c r="CHN128" s="83"/>
      <c r="CHX128" s="83"/>
      <c r="CIH128" s="83"/>
      <c r="CIR128" s="83"/>
      <c r="CJB128" s="83"/>
      <c r="CJL128" s="83"/>
      <c r="CJV128" s="83"/>
      <c r="CKF128" s="83"/>
      <c r="CKP128" s="83"/>
      <c r="CKZ128" s="83"/>
      <c r="CLJ128" s="83"/>
      <c r="CLT128" s="83"/>
      <c r="CMD128" s="83"/>
      <c r="CMN128" s="83"/>
      <c r="CMX128" s="83"/>
      <c r="CNH128" s="83"/>
      <c r="CNR128" s="83"/>
      <c r="COB128" s="83"/>
      <c r="COL128" s="83"/>
      <c r="COV128" s="83"/>
      <c r="CPF128" s="83"/>
      <c r="CPP128" s="83"/>
      <c r="CPZ128" s="83"/>
      <c r="CQJ128" s="83"/>
      <c r="CQT128" s="83"/>
      <c r="CRD128" s="83"/>
      <c r="CRN128" s="83"/>
      <c r="CRX128" s="83"/>
      <c r="CSH128" s="83"/>
      <c r="CSR128" s="83"/>
      <c r="CTB128" s="83"/>
      <c r="CTL128" s="83"/>
      <c r="CTV128" s="83"/>
    </row>
    <row r="129" s="58" customFormat="1" customHeight="1" spans="1:1020 1030:2040 2050:2570">
      <c r="A129" s="87">
        <v>46148</v>
      </c>
      <c r="B129" s="88" t="s">
        <v>149</v>
      </c>
      <c r="C129" s="89" t="s">
        <v>150</v>
      </c>
      <c r="D129" s="75">
        <v>652352010</v>
      </c>
      <c r="E129" s="85" t="s">
        <v>153</v>
      </c>
      <c r="F129" s="91" t="str">
        <f>IFERROR(VLOOKUP(E129,[13]基础数据!$E$3:$F$23,2,0),"")</f>
        <v>A12-外部通讯连接线束</v>
      </c>
      <c r="G129" s="75">
        <v>1500</v>
      </c>
      <c r="H129" s="77" t="str">
        <f>IFERROR(VLOOKUP(E129,[13]基础数据!$E$3:$H$21,4,0),"")</f>
        <v>料盒</v>
      </c>
      <c r="I129" s="77">
        <f>IFERROR(VLOOKUP(E129,[13]基础数据!$E$3:$H$21,3,0),"")</f>
        <v>100</v>
      </c>
      <c r="J129" s="75" t="s">
        <v>306</v>
      </c>
      <c r="K129" s="78">
        <f t="shared" si="2"/>
        <v>15</v>
      </c>
      <c r="T129" s="83"/>
      <c r="AD129" s="83"/>
      <c r="AN129" s="83"/>
      <c r="AX129" s="83"/>
      <c r="BH129" s="83"/>
      <c r="BR129" s="83"/>
      <c r="CB129" s="83"/>
      <c r="CL129" s="83"/>
      <c r="CV129" s="83"/>
      <c r="DF129" s="83"/>
      <c r="DP129" s="83"/>
      <c r="DZ129" s="83"/>
      <c r="EJ129" s="83"/>
      <c r="ET129" s="83"/>
      <c r="FD129" s="83"/>
      <c r="FN129" s="83"/>
      <c r="FX129" s="83"/>
      <c r="GH129" s="83"/>
      <c r="GR129" s="83"/>
      <c r="HB129" s="83"/>
      <c r="HL129" s="83"/>
      <c r="HV129" s="83"/>
      <c r="IF129" s="83"/>
      <c r="IP129" s="83"/>
      <c r="IZ129" s="83"/>
      <c r="JJ129" s="83"/>
      <c r="JT129" s="83"/>
      <c r="KD129" s="83"/>
      <c r="KN129" s="83"/>
      <c r="KX129" s="83"/>
      <c r="LH129" s="83"/>
      <c r="LR129" s="83"/>
      <c r="MB129" s="83"/>
      <c r="ML129" s="83"/>
      <c r="MV129" s="83"/>
      <c r="NF129" s="83"/>
      <c r="NP129" s="83"/>
      <c r="NZ129" s="83"/>
      <c r="OJ129" s="83"/>
      <c r="OT129" s="83"/>
      <c r="PD129" s="83"/>
      <c r="PN129" s="83"/>
      <c r="PX129" s="83"/>
      <c r="QH129" s="83"/>
      <c r="QR129" s="83"/>
      <c r="RB129" s="83"/>
      <c r="RL129" s="83"/>
      <c r="RV129" s="83"/>
      <c r="SF129" s="83"/>
      <c r="SP129" s="83"/>
      <c r="SZ129" s="83"/>
      <c r="TJ129" s="83"/>
      <c r="TT129" s="83"/>
      <c r="UD129" s="83"/>
      <c r="UN129" s="83"/>
      <c r="UX129" s="83"/>
      <c r="VH129" s="83"/>
      <c r="VR129" s="83"/>
      <c r="WB129" s="83"/>
      <c r="WL129" s="83"/>
      <c r="WV129" s="83"/>
      <c r="XF129" s="83"/>
      <c r="XP129" s="83"/>
      <c r="XZ129" s="83"/>
      <c r="YJ129" s="83"/>
      <c r="YT129" s="83"/>
      <c r="ZD129" s="83"/>
      <c r="ZN129" s="83"/>
      <c r="ZX129" s="83"/>
      <c r="AAH129" s="83"/>
      <c r="AAR129" s="83"/>
      <c r="ABB129" s="83"/>
      <c r="ABL129" s="83"/>
      <c r="ABV129" s="83"/>
      <c r="ACF129" s="83"/>
      <c r="ACP129" s="83"/>
      <c r="ACZ129" s="83"/>
      <c r="ADJ129" s="83"/>
      <c r="ADT129" s="83"/>
      <c r="AED129" s="83"/>
      <c r="AEN129" s="83"/>
      <c r="AEX129" s="83"/>
      <c r="AFH129" s="83"/>
      <c r="AFR129" s="83"/>
      <c r="AGB129" s="83"/>
      <c r="AGL129" s="83"/>
      <c r="AGV129" s="83"/>
      <c r="AHF129" s="83"/>
      <c r="AHP129" s="83"/>
      <c r="AHZ129" s="83"/>
      <c r="AIJ129" s="83"/>
      <c r="AIT129" s="83"/>
      <c r="AJD129" s="83"/>
      <c r="AJN129" s="83"/>
      <c r="AJX129" s="83"/>
      <c r="AKH129" s="83"/>
      <c r="AKR129" s="83"/>
      <c r="ALB129" s="83"/>
      <c r="ALL129" s="83"/>
      <c r="ALV129" s="83"/>
      <c r="AMF129" s="83"/>
      <c r="AMP129" s="83"/>
      <c r="AMZ129" s="83"/>
      <c r="ANJ129" s="83"/>
      <c r="ANT129" s="83"/>
      <c r="AOD129" s="83"/>
      <c r="AON129" s="83"/>
      <c r="AOX129" s="83"/>
      <c r="APH129" s="83"/>
      <c r="APR129" s="83"/>
      <c r="AQB129" s="83"/>
      <c r="AQL129" s="83"/>
      <c r="AQV129" s="83"/>
      <c r="ARF129" s="83"/>
      <c r="ARP129" s="83"/>
      <c r="ARZ129" s="83"/>
      <c r="ASJ129" s="83"/>
      <c r="AST129" s="83"/>
      <c r="ATD129" s="83"/>
      <c r="ATN129" s="83"/>
      <c r="ATX129" s="83"/>
      <c r="AUH129" s="83"/>
      <c r="AUR129" s="83"/>
      <c r="AVB129" s="83"/>
      <c r="AVL129" s="83"/>
      <c r="AVV129" s="83"/>
      <c r="AWF129" s="83"/>
      <c r="AWP129" s="83"/>
      <c r="AWZ129" s="83"/>
      <c r="AXJ129" s="83"/>
      <c r="AXT129" s="83"/>
      <c r="AYD129" s="83"/>
      <c r="AYN129" s="83"/>
      <c r="AYX129" s="83"/>
      <c r="AZH129" s="83"/>
      <c r="AZR129" s="83"/>
      <c r="BAB129" s="83"/>
      <c r="BAL129" s="83"/>
      <c r="BAV129" s="83"/>
      <c r="BBF129" s="83"/>
      <c r="BBP129" s="83"/>
      <c r="BBZ129" s="83"/>
      <c r="BCJ129" s="83"/>
      <c r="BCT129" s="83"/>
      <c r="BDD129" s="83"/>
      <c r="BDN129" s="83"/>
      <c r="BDX129" s="83"/>
      <c r="BEH129" s="83"/>
      <c r="BER129" s="83"/>
      <c r="BFB129" s="83"/>
      <c r="BFL129" s="83"/>
      <c r="BFV129" s="83"/>
      <c r="BGF129" s="83"/>
      <c r="BGP129" s="83"/>
      <c r="BGZ129" s="83"/>
      <c r="BHJ129" s="83"/>
      <c r="BHT129" s="83"/>
      <c r="BID129" s="83"/>
      <c r="BIN129" s="83"/>
      <c r="BIX129" s="83"/>
      <c r="BJH129" s="83"/>
      <c r="BJR129" s="83"/>
      <c r="BKB129" s="83"/>
      <c r="BKL129" s="83"/>
      <c r="BKV129" s="83"/>
      <c r="BLF129" s="83"/>
      <c r="BLP129" s="83"/>
      <c r="BLZ129" s="83"/>
      <c r="BMJ129" s="83"/>
      <c r="BMT129" s="83"/>
      <c r="BND129" s="83"/>
      <c r="BNN129" s="83"/>
      <c r="BNX129" s="83"/>
      <c r="BOH129" s="83"/>
      <c r="BOR129" s="83"/>
      <c r="BPB129" s="83"/>
      <c r="BPL129" s="83"/>
      <c r="BPV129" s="83"/>
      <c r="BQF129" s="83"/>
      <c r="BQP129" s="83"/>
      <c r="BQZ129" s="83"/>
      <c r="BRJ129" s="83"/>
      <c r="BRT129" s="83"/>
      <c r="BSD129" s="83"/>
      <c r="BSN129" s="83"/>
      <c r="BSX129" s="83"/>
      <c r="BTH129" s="83"/>
      <c r="BTR129" s="83"/>
      <c r="BUB129" s="83"/>
      <c r="BUL129" s="83"/>
      <c r="BUV129" s="83"/>
      <c r="BVF129" s="83"/>
      <c r="BVP129" s="83"/>
      <c r="BVZ129" s="83"/>
      <c r="BWJ129" s="83"/>
      <c r="BWT129" s="83"/>
      <c r="BXD129" s="83"/>
      <c r="BXN129" s="83"/>
      <c r="BXX129" s="83"/>
      <c r="BYH129" s="83"/>
      <c r="BYR129" s="83"/>
      <c r="BZB129" s="83"/>
      <c r="BZL129" s="83"/>
      <c r="BZV129" s="83"/>
      <c r="CAF129" s="83"/>
      <c r="CAP129" s="83"/>
      <c r="CAZ129" s="83"/>
      <c r="CBJ129" s="83"/>
      <c r="CBT129" s="83"/>
      <c r="CCD129" s="83"/>
      <c r="CCN129" s="83"/>
      <c r="CCX129" s="83"/>
      <c r="CDH129" s="83"/>
      <c r="CDR129" s="83"/>
      <c r="CEB129" s="83"/>
      <c r="CEL129" s="83"/>
      <c r="CEV129" s="83"/>
      <c r="CFF129" s="83"/>
      <c r="CFP129" s="83"/>
      <c r="CFZ129" s="83"/>
      <c r="CGJ129" s="83"/>
      <c r="CGT129" s="83"/>
      <c r="CHD129" s="83"/>
      <c r="CHN129" s="83"/>
      <c r="CHX129" s="83"/>
      <c r="CIH129" s="83"/>
      <c r="CIR129" s="83"/>
      <c r="CJB129" s="83"/>
      <c r="CJL129" s="83"/>
      <c r="CJV129" s="83"/>
      <c r="CKF129" s="83"/>
      <c r="CKP129" s="83"/>
      <c r="CKZ129" s="83"/>
      <c r="CLJ129" s="83"/>
      <c r="CLT129" s="83"/>
      <c r="CMD129" s="83"/>
      <c r="CMN129" s="83"/>
      <c r="CMX129" s="83"/>
      <c r="CNH129" s="83"/>
      <c r="CNR129" s="83"/>
      <c r="COB129" s="83"/>
      <c r="COL129" s="83"/>
      <c r="COV129" s="83"/>
      <c r="CPF129" s="83"/>
      <c r="CPP129" s="83"/>
      <c r="CPZ129" s="83"/>
      <c r="CQJ129" s="83"/>
      <c r="CQT129" s="83"/>
      <c r="CRD129" s="83"/>
      <c r="CRN129" s="83"/>
      <c r="CRX129" s="83"/>
      <c r="CSH129" s="83"/>
      <c r="CSR129" s="83"/>
      <c r="CTB129" s="83"/>
      <c r="CTL129" s="83"/>
      <c r="CTV129" s="83"/>
    </row>
    <row r="130" s="58" customFormat="1" customHeight="1" spans="1:1020 1030:2040 2050:2570">
      <c r="A130" s="87">
        <v>46148</v>
      </c>
      <c r="B130" s="88" t="s">
        <v>149</v>
      </c>
      <c r="C130" s="89" t="s">
        <v>150</v>
      </c>
      <c r="D130" s="75">
        <v>652352010</v>
      </c>
      <c r="E130" s="85" t="s">
        <v>157</v>
      </c>
      <c r="F130" s="91" t="str">
        <f>IFERROR(VLOOKUP(E130,[13]基础数据!$E$3:$F$23,2,0),"")</f>
        <v>A12-预充电阻连接线束1</v>
      </c>
      <c r="G130" s="75">
        <v>3000</v>
      </c>
      <c r="H130" s="77" t="str">
        <f>IFERROR(VLOOKUP(E130,[13]基础数据!$E$3:$H$21,4,0),"")</f>
        <v>料盒</v>
      </c>
      <c r="I130" s="77">
        <f>IFERROR(VLOOKUP(E130,[13]基础数据!$E$3:$H$21,3,0),"")</f>
        <v>1500</v>
      </c>
      <c r="J130" s="75" t="s">
        <v>306</v>
      </c>
      <c r="K130" s="78">
        <f t="shared" si="2"/>
        <v>2</v>
      </c>
      <c r="T130" s="83"/>
      <c r="AD130" s="83"/>
      <c r="AN130" s="83"/>
      <c r="AX130" s="83"/>
      <c r="BH130" s="83"/>
      <c r="BR130" s="83"/>
      <c r="CB130" s="83"/>
      <c r="CL130" s="83"/>
      <c r="CV130" s="83"/>
      <c r="DF130" s="83"/>
      <c r="DP130" s="83"/>
      <c r="DZ130" s="83"/>
      <c r="EJ130" s="83"/>
      <c r="ET130" s="83"/>
      <c r="FD130" s="83"/>
      <c r="FN130" s="83"/>
      <c r="FX130" s="83"/>
      <c r="GH130" s="83"/>
      <c r="GR130" s="83"/>
      <c r="HB130" s="83"/>
      <c r="HL130" s="83"/>
      <c r="HV130" s="83"/>
      <c r="IF130" s="83"/>
      <c r="IP130" s="83"/>
      <c r="IZ130" s="83"/>
      <c r="JJ130" s="83"/>
      <c r="JT130" s="83"/>
      <c r="KD130" s="83"/>
      <c r="KN130" s="83"/>
      <c r="KX130" s="83"/>
      <c r="LH130" s="83"/>
      <c r="LR130" s="83"/>
      <c r="MB130" s="83"/>
      <c r="ML130" s="83"/>
      <c r="MV130" s="83"/>
      <c r="NF130" s="83"/>
      <c r="NP130" s="83"/>
      <c r="NZ130" s="83"/>
      <c r="OJ130" s="83"/>
      <c r="OT130" s="83"/>
      <c r="PD130" s="83"/>
      <c r="PN130" s="83"/>
      <c r="PX130" s="83"/>
      <c r="QH130" s="83"/>
      <c r="QR130" s="83"/>
      <c r="RB130" s="83"/>
      <c r="RL130" s="83"/>
      <c r="RV130" s="83"/>
      <c r="SF130" s="83"/>
      <c r="SP130" s="83"/>
      <c r="SZ130" s="83"/>
      <c r="TJ130" s="83"/>
      <c r="TT130" s="83"/>
      <c r="UD130" s="83"/>
      <c r="UN130" s="83"/>
      <c r="UX130" s="83"/>
      <c r="VH130" s="83"/>
      <c r="VR130" s="83"/>
      <c r="WB130" s="83"/>
      <c r="WL130" s="83"/>
      <c r="WV130" s="83"/>
      <c r="XF130" s="83"/>
      <c r="XP130" s="83"/>
      <c r="XZ130" s="83"/>
      <c r="YJ130" s="83"/>
      <c r="YT130" s="83"/>
      <c r="ZD130" s="83"/>
      <c r="ZN130" s="83"/>
      <c r="ZX130" s="83"/>
      <c r="AAH130" s="83"/>
      <c r="AAR130" s="83"/>
      <c r="ABB130" s="83"/>
      <c r="ABL130" s="83"/>
      <c r="ABV130" s="83"/>
      <c r="ACF130" s="83"/>
      <c r="ACP130" s="83"/>
      <c r="ACZ130" s="83"/>
      <c r="ADJ130" s="83"/>
      <c r="ADT130" s="83"/>
      <c r="AED130" s="83"/>
      <c r="AEN130" s="83"/>
      <c r="AEX130" s="83"/>
      <c r="AFH130" s="83"/>
      <c r="AFR130" s="83"/>
      <c r="AGB130" s="83"/>
      <c r="AGL130" s="83"/>
      <c r="AGV130" s="83"/>
      <c r="AHF130" s="83"/>
      <c r="AHP130" s="83"/>
      <c r="AHZ130" s="83"/>
      <c r="AIJ130" s="83"/>
      <c r="AIT130" s="83"/>
      <c r="AJD130" s="83"/>
      <c r="AJN130" s="83"/>
      <c r="AJX130" s="83"/>
      <c r="AKH130" s="83"/>
      <c r="AKR130" s="83"/>
      <c r="ALB130" s="83"/>
      <c r="ALL130" s="83"/>
      <c r="ALV130" s="83"/>
      <c r="AMF130" s="83"/>
      <c r="AMP130" s="83"/>
      <c r="AMZ130" s="83"/>
      <c r="ANJ130" s="83"/>
      <c r="ANT130" s="83"/>
      <c r="AOD130" s="83"/>
      <c r="AON130" s="83"/>
      <c r="AOX130" s="83"/>
      <c r="APH130" s="83"/>
      <c r="APR130" s="83"/>
      <c r="AQB130" s="83"/>
      <c r="AQL130" s="83"/>
      <c r="AQV130" s="83"/>
      <c r="ARF130" s="83"/>
      <c r="ARP130" s="83"/>
      <c r="ARZ130" s="83"/>
      <c r="ASJ130" s="83"/>
      <c r="AST130" s="83"/>
      <c r="ATD130" s="83"/>
      <c r="ATN130" s="83"/>
      <c r="ATX130" s="83"/>
      <c r="AUH130" s="83"/>
      <c r="AUR130" s="83"/>
      <c r="AVB130" s="83"/>
      <c r="AVL130" s="83"/>
      <c r="AVV130" s="83"/>
      <c r="AWF130" s="83"/>
      <c r="AWP130" s="83"/>
      <c r="AWZ130" s="83"/>
      <c r="AXJ130" s="83"/>
      <c r="AXT130" s="83"/>
      <c r="AYD130" s="83"/>
      <c r="AYN130" s="83"/>
      <c r="AYX130" s="83"/>
      <c r="AZH130" s="83"/>
      <c r="AZR130" s="83"/>
      <c r="BAB130" s="83"/>
      <c r="BAL130" s="83"/>
      <c r="BAV130" s="83"/>
      <c r="BBF130" s="83"/>
      <c r="BBP130" s="83"/>
      <c r="BBZ130" s="83"/>
      <c r="BCJ130" s="83"/>
      <c r="BCT130" s="83"/>
      <c r="BDD130" s="83"/>
      <c r="BDN130" s="83"/>
      <c r="BDX130" s="83"/>
      <c r="BEH130" s="83"/>
      <c r="BER130" s="83"/>
      <c r="BFB130" s="83"/>
      <c r="BFL130" s="83"/>
      <c r="BFV130" s="83"/>
      <c r="BGF130" s="83"/>
      <c r="BGP130" s="83"/>
      <c r="BGZ130" s="83"/>
      <c r="BHJ130" s="83"/>
      <c r="BHT130" s="83"/>
      <c r="BID130" s="83"/>
      <c r="BIN130" s="83"/>
      <c r="BIX130" s="83"/>
      <c r="BJH130" s="83"/>
      <c r="BJR130" s="83"/>
      <c r="BKB130" s="83"/>
      <c r="BKL130" s="83"/>
      <c r="BKV130" s="83"/>
      <c r="BLF130" s="83"/>
      <c r="BLP130" s="83"/>
      <c r="BLZ130" s="83"/>
      <c r="BMJ130" s="83"/>
      <c r="BMT130" s="83"/>
      <c r="BND130" s="83"/>
      <c r="BNN130" s="83"/>
      <c r="BNX130" s="83"/>
      <c r="BOH130" s="83"/>
      <c r="BOR130" s="83"/>
      <c r="BPB130" s="83"/>
      <c r="BPL130" s="83"/>
      <c r="BPV130" s="83"/>
      <c r="BQF130" s="83"/>
      <c r="BQP130" s="83"/>
      <c r="BQZ130" s="83"/>
      <c r="BRJ130" s="83"/>
      <c r="BRT130" s="83"/>
      <c r="BSD130" s="83"/>
      <c r="BSN130" s="83"/>
      <c r="BSX130" s="83"/>
      <c r="BTH130" s="83"/>
      <c r="BTR130" s="83"/>
      <c r="BUB130" s="83"/>
      <c r="BUL130" s="83"/>
      <c r="BUV130" s="83"/>
      <c r="BVF130" s="83"/>
      <c r="BVP130" s="83"/>
      <c r="BVZ130" s="83"/>
      <c r="BWJ130" s="83"/>
      <c r="BWT130" s="83"/>
      <c r="BXD130" s="83"/>
      <c r="BXN130" s="83"/>
      <c r="BXX130" s="83"/>
      <c r="BYH130" s="83"/>
      <c r="BYR130" s="83"/>
      <c r="BZB130" s="83"/>
      <c r="BZL130" s="83"/>
      <c r="BZV130" s="83"/>
      <c r="CAF130" s="83"/>
      <c r="CAP130" s="83"/>
      <c r="CAZ130" s="83"/>
      <c r="CBJ130" s="83"/>
      <c r="CBT130" s="83"/>
      <c r="CCD130" s="83"/>
      <c r="CCN130" s="83"/>
      <c r="CCX130" s="83"/>
      <c r="CDH130" s="83"/>
      <c r="CDR130" s="83"/>
      <c r="CEB130" s="83"/>
      <c r="CEL130" s="83"/>
      <c r="CEV130" s="83"/>
      <c r="CFF130" s="83"/>
      <c r="CFP130" s="83"/>
      <c r="CFZ130" s="83"/>
      <c r="CGJ130" s="83"/>
      <c r="CGT130" s="83"/>
      <c r="CHD130" s="83"/>
      <c r="CHN130" s="83"/>
      <c r="CHX130" s="83"/>
      <c r="CIH130" s="83"/>
      <c r="CIR130" s="83"/>
      <c r="CJB130" s="83"/>
      <c r="CJL130" s="83"/>
      <c r="CJV130" s="83"/>
      <c r="CKF130" s="83"/>
      <c r="CKP130" s="83"/>
      <c r="CKZ130" s="83"/>
      <c r="CLJ130" s="83"/>
      <c r="CLT130" s="83"/>
      <c r="CMD130" s="83"/>
      <c r="CMN130" s="83"/>
      <c r="CMX130" s="83"/>
      <c r="CNH130" s="83"/>
      <c r="CNR130" s="83"/>
      <c r="COB130" s="83"/>
      <c r="COL130" s="83"/>
      <c r="COV130" s="83"/>
      <c r="CPF130" s="83"/>
      <c r="CPP130" s="83"/>
      <c r="CPZ130" s="83"/>
      <c r="CQJ130" s="83"/>
      <c r="CQT130" s="83"/>
      <c r="CRD130" s="83"/>
      <c r="CRN130" s="83"/>
      <c r="CRX130" s="83"/>
      <c r="CSH130" s="83"/>
      <c r="CSR130" s="83"/>
      <c r="CTB130" s="83"/>
      <c r="CTL130" s="83"/>
      <c r="CTV130" s="83"/>
    </row>
    <row r="131" s="58" customFormat="1" customHeight="1" spans="1:1020 1030:2040 2050:2570">
      <c r="A131" s="87">
        <v>46148</v>
      </c>
      <c r="B131" s="88" t="s">
        <v>149</v>
      </c>
      <c r="C131" s="89" t="s">
        <v>150</v>
      </c>
      <c r="D131" s="75">
        <v>652352010</v>
      </c>
      <c r="E131" s="85" t="s">
        <v>159</v>
      </c>
      <c r="F131" s="91" t="str">
        <f>IFERROR(VLOOKUP(E131,[13]基础数据!$E$3:$F$23,2,0),"")</f>
        <v>A12-菊花链线束</v>
      </c>
      <c r="G131" s="75">
        <v>4500</v>
      </c>
      <c r="H131" s="77" t="str">
        <f>IFERROR(VLOOKUP(E131,[13]基础数据!$E$3:$H$21,4,0),"")</f>
        <v>料盒</v>
      </c>
      <c r="I131" s="77">
        <f>IFERROR(VLOOKUP(E131,[13]基础数据!$E$3:$H$21,3,0),"")</f>
        <v>1500</v>
      </c>
      <c r="J131" s="75" t="s">
        <v>306</v>
      </c>
      <c r="K131" s="78">
        <f t="shared" si="2"/>
        <v>3</v>
      </c>
      <c r="T131" s="83"/>
      <c r="AD131" s="83"/>
      <c r="AN131" s="83"/>
      <c r="AX131" s="83"/>
      <c r="BH131" s="83"/>
      <c r="BR131" s="83"/>
      <c r="CB131" s="83"/>
      <c r="CL131" s="83"/>
      <c r="CV131" s="83"/>
      <c r="DF131" s="83"/>
      <c r="DP131" s="83"/>
      <c r="DZ131" s="83"/>
      <c r="EJ131" s="83"/>
      <c r="ET131" s="83"/>
      <c r="FD131" s="83"/>
      <c r="FN131" s="83"/>
      <c r="FX131" s="83"/>
      <c r="GH131" s="83"/>
      <c r="GR131" s="83"/>
      <c r="HB131" s="83"/>
      <c r="HL131" s="83"/>
      <c r="HV131" s="83"/>
      <c r="IF131" s="83"/>
      <c r="IP131" s="83"/>
      <c r="IZ131" s="83"/>
      <c r="JJ131" s="83"/>
      <c r="JT131" s="83"/>
      <c r="KD131" s="83"/>
      <c r="KN131" s="83"/>
      <c r="KX131" s="83"/>
      <c r="LH131" s="83"/>
      <c r="LR131" s="83"/>
      <c r="MB131" s="83"/>
      <c r="ML131" s="83"/>
      <c r="MV131" s="83"/>
      <c r="NF131" s="83"/>
      <c r="NP131" s="83"/>
      <c r="NZ131" s="83"/>
      <c r="OJ131" s="83"/>
      <c r="OT131" s="83"/>
      <c r="PD131" s="83"/>
      <c r="PN131" s="83"/>
      <c r="PX131" s="83"/>
      <c r="QH131" s="83"/>
      <c r="QR131" s="83"/>
      <c r="RB131" s="83"/>
      <c r="RL131" s="83"/>
      <c r="RV131" s="83"/>
      <c r="SF131" s="83"/>
      <c r="SP131" s="83"/>
      <c r="SZ131" s="83"/>
      <c r="TJ131" s="83"/>
      <c r="TT131" s="83"/>
      <c r="UD131" s="83"/>
      <c r="UN131" s="83"/>
      <c r="UX131" s="83"/>
      <c r="VH131" s="83"/>
      <c r="VR131" s="83"/>
      <c r="WB131" s="83"/>
      <c r="WL131" s="83"/>
      <c r="WV131" s="83"/>
      <c r="XF131" s="83"/>
      <c r="XP131" s="83"/>
      <c r="XZ131" s="83"/>
      <c r="YJ131" s="83"/>
      <c r="YT131" s="83"/>
      <c r="ZD131" s="83"/>
      <c r="ZN131" s="83"/>
      <c r="ZX131" s="83"/>
      <c r="AAH131" s="83"/>
      <c r="AAR131" s="83"/>
      <c r="ABB131" s="83"/>
      <c r="ABL131" s="83"/>
      <c r="ABV131" s="83"/>
      <c r="ACF131" s="83"/>
      <c r="ACP131" s="83"/>
      <c r="ACZ131" s="83"/>
      <c r="ADJ131" s="83"/>
      <c r="ADT131" s="83"/>
      <c r="AED131" s="83"/>
      <c r="AEN131" s="83"/>
      <c r="AEX131" s="83"/>
      <c r="AFH131" s="83"/>
      <c r="AFR131" s="83"/>
      <c r="AGB131" s="83"/>
      <c r="AGL131" s="83"/>
      <c r="AGV131" s="83"/>
      <c r="AHF131" s="83"/>
      <c r="AHP131" s="83"/>
      <c r="AHZ131" s="83"/>
      <c r="AIJ131" s="83"/>
      <c r="AIT131" s="83"/>
      <c r="AJD131" s="83"/>
      <c r="AJN131" s="83"/>
      <c r="AJX131" s="83"/>
      <c r="AKH131" s="83"/>
      <c r="AKR131" s="83"/>
      <c r="ALB131" s="83"/>
      <c r="ALL131" s="83"/>
      <c r="ALV131" s="83"/>
      <c r="AMF131" s="83"/>
      <c r="AMP131" s="83"/>
      <c r="AMZ131" s="83"/>
      <c r="ANJ131" s="83"/>
      <c r="ANT131" s="83"/>
      <c r="AOD131" s="83"/>
      <c r="AON131" s="83"/>
      <c r="AOX131" s="83"/>
      <c r="APH131" s="83"/>
      <c r="APR131" s="83"/>
      <c r="AQB131" s="83"/>
      <c r="AQL131" s="83"/>
      <c r="AQV131" s="83"/>
      <c r="ARF131" s="83"/>
      <c r="ARP131" s="83"/>
      <c r="ARZ131" s="83"/>
      <c r="ASJ131" s="83"/>
      <c r="AST131" s="83"/>
      <c r="ATD131" s="83"/>
      <c r="ATN131" s="83"/>
      <c r="ATX131" s="83"/>
      <c r="AUH131" s="83"/>
      <c r="AUR131" s="83"/>
      <c r="AVB131" s="83"/>
      <c r="AVL131" s="83"/>
      <c r="AVV131" s="83"/>
      <c r="AWF131" s="83"/>
      <c r="AWP131" s="83"/>
      <c r="AWZ131" s="83"/>
      <c r="AXJ131" s="83"/>
      <c r="AXT131" s="83"/>
      <c r="AYD131" s="83"/>
      <c r="AYN131" s="83"/>
      <c r="AYX131" s="83"/>
      <c r="AZH131" s="83"/>
      <c r="AZR131" s="83"/>
      <c r="BAB131" s="83"/>
      <c r="BAL131" s="83"/>
      <c r="BAV131" s="83"/>
      <c r="BBF131" s="83"/>
      <c r="BBP131" s="83"/>
      <c r="BBZ131" s="83"/>
      <c r="BCJ131" s="83"/>
      <c r="BCT131" s="83"/>
      <c r="BDD131" s="83"/>
      <c r="BDN131" s="83"/>
      <c r="BDX131" s="83"/>
      <c r="BEH131" s="83"/>
      <c r="BER131" s="83"/>
      <c r="BFB131" s="83"/>
      <c r="BFL131" s="83"/>
      <c r="BFV131" s="83"/>
      <c r="BGF131" s="83"/>
      <c r="BGP131" s="83"/>
      <c r="BGZ131" s="83"/>
      <c r="BHJ131" s="83"/>
      <c r="BHT131" s="83"/>
      <c r="BID131" s="83"/>
      <c r="BIN131" s="83"/>
      <c r="BIX131" s="83"/>
      <c r="BJH131" s="83"/>
      <c r="BJR131" s="83"/>
      <c r="BKB131" s="83"/>
      <c r="BKL131" s="83"/>
      <c r="BKV131" s="83"/>
      <c r="BLF131" s="83"/>
      <c r="BLP131" s="83"/>
      <c r="BLZ131" s="83"/>
      <c r="BMJ131" s="83"/>
      <c r="BMT131" s="83"/>
      <c r="BND131" s="83"/>
      <c r="BNN131" s="83"/>
      <c r="BNX131" s="83"/>
      <c r="BOH131" s="83"/>
      <c r="BOR131" s="83"/>
      <c r="BPB131" s="83"/>
      <c r="BPL131" s="83"/>
      <c r="BPV131" s="83"/>
      <c r="BQF131" s="83"/>
      <c r="BQP131" s="83"/>
      <c r="BQZ131" s="83"/>
      <c r="BRJ131" s="83"/>
      <c r="BRT131" s="83"/>
      <c r="BSD131" s="83"/>
      <c r="BSN131" s="83"/>
      <c r="BSX131" s="83"/>
      <c r="BTH131" s="83"/>
      <c r="BTR131" s="83"/>
      <c r="BUB131" s="83"/>
      <c r="BUL131" s="83"/>
      <c r="BUV131" s="83"/>
      <c r="BVF131" s="83"/>
      <c r="BVP131" s="83"/>
      <c r="BVZ131" s="83"/>
      <c r="BWJ131" s="83"/>
      <c r="BWT131" s="83"/>
      <c r="BXD131" s="83"/>
      <c r="BXN131" s="83"/>
      <c r="BXX131" s="83"/>
      <c r="BYH131" s="83"/>
      <c r="BYR131" s="83"/>
      <c r="BZB131" s="83"/>
      <c r="BZL131" s="83"/>
      <c r="BZV131" s="83"/>
      <c r="CAF131" s="83"/>
      <c r="CAP131" s="83"/>
      <c r="CAZ131" s="83"/>
      <c r="CBJ131" s="83"/>
      <c r="CBT131" s="83"/>
      <c r="CCD131" s="83"/>
      <c r="CCN131" s="83"/>
      <c r="CCX131" s="83"/>
      <c r="CDH131" s="83"/>
      <c r="CDR131" s="83"/>
      <c r="CEB131" s="83"/>
      <c r="CEL131" s="83"/>
      <c r="CEV131" s="83"/>
      <c r="CFF131" s="83"/>
      <c r="CFP131" s="83"/>
      <c r="CFZ131" s="83"/>
      <c r="CGJ131" s="83"/>
      <c r="CGT131" s="83"/>
      <c r="CHD131" s="83"/>
      <c r="CHN131" s="83"/>
      <c r="CHX131" s="83"/>
      <c r="CIH131" s="83"/>
      <c r="CIR131" s="83"/>
      <c r="CJB131" s="83"/>
      <c r="CJL131" s="83"/>
      <c r="CJV131" s="83"/>
      <c r="CKF131" s="83"/>
      <c r="CKP131" s="83"/>
      <c r="CKZ131" s="83"/>
      <c r="CLJ131" s="83"/>
      <c r="CLT131" s="83"/>
      <c r="CMD131" s="83"/>
      <c r="CMN131" s="83"/>
      <c r="CMX131" s="83"/>
      <c r="CNH131" s="83"/>
      <c r="CNR131" s="83"/>
      <c r="COB131" s="83"/>
      <c r="COL131" s="83"/>
      <c r="COV131" s="83"/>
      <c r="CPF131" s="83"/>
      <c r="CPP131" s="83"/>
      <c r="CPZ131" s="83"/>
      <c r="CQJ131" s="83"/>
      <c r="CQT131" s="83"/>
      <c r="CRD131" s="83"/>
      <c r="CRN131" s="83"/>
      <c r="CRX131" s="83"/>
      <c r="CSH131" s="83"/>
      <c r="CSR131" s="83"/>
      <c r="CTB131" s="83"/>
      <c r="CTL131" s="83"/>
      <c r="CTV131" s="83"/>
    </row>
    <row r="132" s="58" customFormat="1" customHeight="1" spans="1:1020 1030:2040 2050:2570">
      <c r="A132" s="87">
        <v>46148</v>
      </c>
      <c r="B132" s="88" t="s">
        <v>149</v>
      </c>
      <c r="C132" s="89" t="s">
        <v>150</v>
      </c>
      <c r="D132" s="75">
        <v>652352010</v>
      </c>
      <c r="E132" s="75" t="s">
        <v>187</v>
      </c>
      <c r="F132" s="91" t="str">
        <f>IFERROR(VLOOKUP(E132,[13]基础数据!$E$3:$F$23,2,0),"")</f>
        <v>LXCU13E01-分流器线束</v>
      </c>
      <c r="G132" s="75">
        <v>4500</v>
      </c>
      <c r="H132" s="77" t="str">
        <f>IFERROR(VLOOKUP(E132,[13]基础数据!$E$3:$H$21,4,0),"")</f>
        <v>料盒</v>
      </c>
      <c r="I132" s="77">
        <f>IFERROR(VLOOKUP(E132,[13]基础数据!$E$3:$H$21,3,0),"")</f>
        <v>1500</v>
      </c>
      <c r="J132" s="75" t="s">
        <v>306</v>
      </c>
      <c r="K132" s="78">
        <f t="shared" si="2"/>
        <v>3</v>
      </c>
      <c r="T132" s="83"/>
      <c r="AD132" s="83"/>
      <c r="AN132" s="83"/>
      <c r="AX132" s="83"/>
      <c r="BH132" s="83"/>
      <c r="BR132" s="83"/>
      <c r="CB132" s="83"/>
      <c r="CL132" s="83"/>
      <c r="CV132" s="83"/>
      <c r="DF132" s="83"/>
      <c r="DP132" s="83"/>
      <c r="DZ132" s="83"/>
      <c r="EJ132" s="83"/>
      <c r="ET132" s="83"/>
      <c r="FD132" s="83"/>
      <c r="FN132" s="83"/>
      <c r="FX132" s="83"/>
      <c r="GH132" s="83"/>
      <c r="GR132" s="83"/>
      <c r="HB132" s="83"/>
      <c r="HL132" s="83"/>
      <c r="HV132" s="83"/>
      <c r="IF132" s="83"/>
      <c r="IP132" s="83"/>
      <c r="IZ132" s="83"/>
      <c r="JJ132" s="83"/>
      <c r="JT132" s="83"/>
      <c r="KD132" s="83"/>
      <c r="KN132" s="83"/>
      <c r="KX132" s="83"/>
      <c r="LH132" s="83"/>
      <c r="LR132" s="83"/>
      <c r="MB132" s="83"/>
      <c r="ML132" s="83"/>
      <c r="MV132" s="83"/>
      <c r="NF132" s="83"/>
      <c r="NP132" s="83"/>
      <c r="NZ132" s="83"/>
      <c r="OJ132" s="83"/>
      <c r="OT132" s="83"/>
      <c r="PD132" s="83"/>
      <c r="PN132" s="83"/>
      <c r="PX132" s="83"/>
      <c r="QH132" s="83"/>
      <c r="QR132" s="83"/>
      <c r="RB132" s="83"/>
      <c r="RL132" s="83"/>
      <c r="RV132" s="83"/>
      <c r="SF132" s="83"/>
      <c r="SP132" s="83"/>
      <c r="SZ132" s="83"/>
      <c r="TJ132" s="83"/>
      <c r="TT132" s="83"/>
      <c r="UD132" s="83"/>
      <c r="UN132" s="83"/>
      <c r="UX132" s="83"/>
      <c r="VH132" s="83"/>
      <c r="VR132" s="83"/>
      <c r="WB132" s="83"/>
      <c r="WL132" s="83"/>
      <c r="WV132" s="83"/>
      <c r="XF132" s="83"/>
      <c r="XP132" s="83"/>
      <c r="XZ132" s="83"/>
      <c r="YJ132" s="83"/>
      <c r="YT132" s="83"/>
      <c r="ZD132" s="83"/>
      <c r="ZN132" s="83"/>
      <c r="ZX132" s="83"/>
      <c r="AAH132" s="83"/>
      <c r="AAR132" s="83"/>
      <c r="ABB132" s="83"/>
      <c r="ABL132" s="83"/>
      <c r="ABV132" s="83"/>
      <c r="ACF132" s="83"/>
      <c r="ACP132" s="83"/>
      <c r="ACZ132" s="83"/>
      <c r="ADJ132" s="83"/>
      <c r="ADT132" s="83"/>
      <c r="AED132" s="83"/>
      <c r="AEN132" s="83"/>
      <c r="AEX132" s="83"/>
      <c r="AFH132" s="83"/>
      <c r="AFR132" s="83"/>
      <c r="AGB132" s="83"/>
      <c r="AGL132" s="83"/>
      <c r="AGV132" s="83"/>
      <c r="AHF132" s="83"/>
      <c r="AHP132" s="83"/>
      <c r="AHZ132" s="83"/>
      <c r="AIJ132" s="83"/>
      <c r="AIT132" s="83"/>
      <c r="AJD132" s="83"/>
      <c r="AJN132" s="83"/>
      <c r="AJX132" s="83"/>
      <c r="AKH132" s="83"/>
      <c r="AKR132" s="83"/>
      <c r="ALB132" s="83"/>
      <c r="ALL132" s="83"/>
      <c r="ALV132" s="83"/>
      <c r="AMF132" s="83"/>
      <c r="AMP132" s="83"/>
      <c r="AMZ132" s="83"/>
      <c r="ANJ132" s="83"/>
      <c r="ANT132" s="83"/>
      <c r="AOD132" s="83"/>
      <c r="AON132" s="83"/>
      <c r="AOX132" s="83"/>
      <c r="APH132" s="83"/>
      <c r="APR132" s="83"/>
      <c r="AQB132" s="83"/>
      <c r="AQL132" s="83"/>
      <c r="AQV132" s="83"/>
      <c r="ARF132" s="83"/>
      <c r="ARP132" s="83"/>
      <c r="ARZ132" s="83"/>
      <c r="ASJ132" s="83"/>
      <c r="AST132" s="83"/>
      <c r="ATD132" s="83"/>
      <c r="ATN132" s="83"/>
      <c r="ATX132" s="83"/>
      <c r="AUH132" s="83"/>
      <c r="AUR132" s="83"/>
      <c r="AVB132" s="83"/>
      <c r="AVL132" s="83"/>
      <c r="AVV132" s="83"/>
      <c r="AWF132" s="83"/>
      <c r="AWP132" s="83"/>
      <c r="AWZ132" s="83"/>
      <c r="AXJ132" s="83"/>
      <c r="AXT132" s="83"/>
      <c r="AYD132" s="83"/>
      <c r="AYN132" s="83"/>
      <c r="AYX132" s="83"/>
      <c r="AZH132" s="83"/>
      <c r="AZR132" s="83"/>
      <c r="BAB132" s="83"/>
      <c r="BAL132" s="83"/>
      <c r="BAV132" s="83"/>
      <c r="BBF132" s="83"/>
      <c r="BBP132" s="83"/>
      <c r="BBZ132" s="83"/>
      <c r="BCJ132" s="83"/>
      <c r="BCT132" s="83"/>
      <c r="BDD132" s="83"/>
      <c r="BDN132" s="83"/>
      <c r="BDX132" s="83"/>
      <c r="BEH132" s="83"/>
      <c r="BER132" s="83"/>
      <c r="BFB132" s="83"/>
      <c r="BFL132" s="83"/>
      <c r="BFV132" s="83"/>
      <c r="BGF132" s="83"/>
      <c r="BGP132" s="83"/>
      <c r="BGZ132" s="83"/>
      <c r="BHJ132" s="83"/>
      <c r="BHT132" s="83"/>
      <c r="BID132" s="83"/>
      <c r="BIN132" s="83"/>
      <c r="BIX132" s="83"/>
      <c r="BJH132" s="83"/>
      <c r="BJR132" s="83"/>
      <c r="BKB132" s="83"/>
      <c r="BKL132" s="83"/>
      <c r="BKV132" s="83"/>
      <c r="BLF132" s="83"/>
      <c r="BLP132" s="83"/>
      <c r="BLZ132" s="83"/>
      <c r="BMJ132" s="83"/>
      <c r="BMT132" s="83"/>
      <c r="BND132" s="83"/>
      <c r="BNN132" s="83"/>
      <c r="BNX132" s="83"/>
      <c r="BOH132" s="83"/>
      <c r="BOR132" s="83"/>
      <c r="BPB132" s="83"/>
      <c r="BPL132" s="83"/>
      <c r="BPV132" s="83"/>
      <c r="BQF132" s="83"/>
      <c r="BQP132" s="83"/>
      <c r="BQZ132" s="83"/>
      <c r="BRJ132" s="83"/>
      <c r="BRT132" s="83"/>
      <c r="BSD132" s="83"/>
      <c r="BSN132" s="83"/>
      <c r="BSX132" s="83"/>
      <c r="BTH132" s="83"/>
      <c r="BTR132" s="83"/>
      <c r="BUB132" s="83"/>
      <c r="BUL132" s="83"/>
      <c r="BUV132" s="83"/>
      <c r="BVF132" s="83"/>
      <c r="BVP132" s="83"/>
      <c r="BVZ132" s="83"/>
      <c r="BWJ132" s="83"/>
      <c r="BWT132" s="83"/>
      <c r="BXD132" s="83"/>
      <c r="BXN132" s="83"/>
      <c r="BXX132" s="83"/>
      <c r="BYH132" s="83"/>
      <c r="BYR132" s="83"/>
      <c r="BZB132" s="83"/>
      <c r="BZL132" s="83"/>
      <c r="BZV132" s="83"/>
      <c r="CAF132" s="83"/>
      <c r="CAP132" s="83"/>
      <c r="CAZ132" s="83"/>
      <c r="CBJ132" s="83"/>
      <c r="CBT132" s="83"/>
      <c r="CCD132" s="83"/>
      <c r="CCN132" s="83"/>
      <c r="CCX132" s="83"/>
      <c r="CDH132" s="83"/>
      <c r="CDR132" s="83"/>
      <c r="CEB132" s="83"/>
      <c r="CEL132" s="83"/>
      <c r="CEV132" s="83"/>
      <c r="CFF132" s="83"/>
      <c r="CFP132" s="83"/>
      <c r="CFZ132" s="83"/>
      <c r="CGJ132" s="83"/>
      <c r="CGT132" s="83"/>
      <c r="CHD132" s="83"/>
      <c r="CHN132" s="83"/>
      <c r="CHX132" s="83"/>
      <c r="CIH132" s="83"/>
      <c r="CIR132" s="83"/>
      <c r="CJB132" s="83"/>
      <c r="CJL132" s="83"/>
      <c r="CJV132" s="83"/>
      <c r="CKF132" s="83"/>
      <c r="CKP132" s="83"/>
      <c r="CKZ132" s="83"/>
      <c r="CLJ132" s="83"/>
      <c r="CLT132" s="83"/>
      <c r="CMD132" s="83"/>
      <c r="CMN132" s="83"/>
      <c r="CMX132" s="83"/>
      <c r="CNH132" s="83"/>
      <c r="CNR132" s="83"/>
      <c r="COB132" s="83"/>
      <c r="COL132" s="83"/>
      <c r="COV132" s="83"/>
      <c r="CPF132" s="83"/>
      <c r="CPP132" s="83"/>
      <c r="CPZ132" s="83"/>
      <c r="CQJ132" s="83"/>
      <c r="CQT132" s="83"/>
      <c r="CRD132" s="83"/>
      <c r="CRN132" s="83"/>
      <c r="CRX132" s="83"/>
      <c r="CSH132" s="83"/>
      <c r="CSR132" s="83"/>
      <c r="CTB132" s="83"/>
      <c r="CTL132" s="83"/>
      <c r="CTV132" s="83"/>
    </row>
    <row r="133" s="58" customFormat="1" customHeight="1" spans="1:1020 1030:2040 2050:2570">
      <c r="A133" s="87">
        <v>46148</v>
      </c>
      <c r="B133" s="88" t="s">
        <v>149</v>
      </c>
      <c r="C133" s="89" t="s">
        <v>150</v>
      </c>
      <c r="D133" s="75">
        <v>652352028</v>
      </c>
      <c r="E133" s="85" t="s">
        <v>179</v>
      </c>
      <c r="F133" s="91" t="str">
        <f>IFERROR(VLOOKUP(E133,[13]基础数据!$E$3:$F$23,2,0),"")</f>
        <v>A03HW67.1-通讯集成线束</v>
      </c>
      <c r="G133" s="75">
        <v>400</v>
      </c>
      <c r="H133" s="77" t="str">
        <f>IFERROR(VLOOKUP(E133,[13]基础数据!$E$3:$H$21,4,0),"")</f>
        <v>料盒</v>
      </c>
      <c r="I133" s="77">
        <f>IFERROR(VLOOKUP(E133,[13]基础数据!$E$3:$H$21,3,0),"")</f>
        <v>100</v>
      </c>
      <c r="J133" s="75" t="s">
        <v>306</v>
      </c>
      <c r="K133" s="78">
        <f t="shared" si="2"/>
        <v>4</v>
      </c>
      <c r="T133" s="83"/>
      <c r="AD133" s="83"/>
      <c r="AN133" s="83"/>
      <c r="AX133" s="83"/>
      <c r="BH133" s="83"/>
      <c r="BR133" s="83"/>
      <c r="CB133" s="83"/>
      <c r="CL133" s="83"/>
      <c r="CV133" s="83"/>
      <c r="DF133" s="83"/>
      <c r="DP133" s="83"/>
      <c r="DZ133" s="83"/>
      <c r="EJ133" s="83"/>
      <c r="ET133" s="83"/>
      <c r="FD133" s="83"/>
      <c r="FN133" s="83"/>
      <c r="FX133" s="83"/>
      <c r="GH133" s="83"/>
      <c r="GR133" s="83"/>
      <c r="HB133" s="83"/>
      <c r="HL133" s="83"/>
      <c r="HV133" s="83"/>
      <c r="IF133" s="83"/>
      <c r="IP133" s="83"/>
      <c r="IZ133" s="83"/>
      <c r="JJ133" s="83"/>
      <c r="JT133" s="83"/>
      <c r="KD133" s="83"/>
      <c r="KN133" s="83"/>
      <c r="KX133" s="83"/>
      <c r="LH133" s="83"/>
      <c r="LR133" s="83"/>
      <c r="MB133" s="83"/>
      <c r="ML133" s="83"/>
      <c r="MV133" s="83"/>
      <c r="NF133" s="83"/>
      <c r="NP133" s="83"/>
      <c r="NZ133" s="83"/>
      <c r="OJ133" s="83"/>
      <c r="OT133" s="83"/>
      <c r="PD133" s="83"/>
      <c r="PN133" s="83"/>
      <c r="PX133" s="83"/>
      <c r="QH133" s="83"/>
      <c r="QR133" s="83"/>
      <c r="RB133" s="83"/>
      <c r="RL133" s="83"/>
      <c r="RV133" s="83"/>
      <c r="SF133" s="83"/>
      <c r="SP133" s="83"/>
      <c r="SZ133" s="83"/>
      <c r="TJ133" s="83"/>
      <c r="TT133" s="83"/>
      <c r="UD133" s="83"/>
      <c r="UN133" s="83"/>
      <c r="UX133" s="83"/>
      <c r="VH133" s="83"/>
      <c r="VR133" s="83"/>
      <c r="WB133" s="83"/>
      <c r="WL133" s="83"/>
      <c r="WV133" s="83"/>
      <c r="XF133" s="83"/>
      <c r="XP133" s="83"/>
      <c r="XZ133" s="83"/>
      <c r="YJ133" s="83"/>
      <c r="YT133" s="83"/>
      <c r="ZD133" s="83"/>
      <c r="ZN133" s="83"/>
      <c r="ZX133" s="83"/>
      <c r="AAH133" s="83"/>
      <c r="AAR133" s="83"/>
      <c r="ABB133" s="83"/>
      <c r="ABL133" s="83"/>
      <c r="ABV133" s="83"/>
      <c r="ACF133" s="83"/>
      <c r="ACP133" s="83"/>
      <c r="ACZ133" s="83"/>
      <c r="ADJ133" s="83"/>
      <c r="ADT133" s="83"/>
      <c r="AED133" s="83"/>
      <c r="AEN133" s="83"/>
      <c r="AEX133" s="83"/>
      <c r="AFH133" s="83"/>
      <c r="AFR133" s="83"/>
      <c r="AGB133" s="83"/>
      <c r="AGL133" s="83"/>
      <c r="AGV133" s="83"/>
      <c r="AHF133" s="83"/>
      <c r="AHP133" s="83"/>
      <c r="AHZ133" s="83"/>
      <c r="AIJ133" s="83"/>
      <c r="AIT133" s="83"/>
      <c r="AJD133" s="83"/>
      <c r="AJN133" s="83"/>
      <c r="AJX133" s="83"/>
      <c r="AKH133" s="83"/>
      <c r="AKR133" s="83"/>
      <c r="ALB133" s="83"/>
      <c r="ALL133" s="83"/>
      <c r="ALV133" s="83"/>
      <c r="AMF133" s="83"/>
      <c r="AMP133" s="83"/>
      <c r="AMZ133" s="83"/>
      <c r="ANJ133" s="83"/>
      <c r="ANT133" s="83"/>
      <c r="AOD133" s="83"/>
      <c r="AON133" s="83"/>
      <c r="AOX133" s="83"/>
      <c r="APH133" s="83"/>
      <c r="APR133" s="83"/>
      <c r="AQB133" s="83"/>
      <c r="AQL133" s="83"/>
      <c r="AQV133" s="83"/>
      <c r="ARF133" s="83"/>
      <c r="ARP133" s="83"/>
      <c r="ARZ133" s="83"/>
      <c r="ASJ133" s="83"/>
      <c r="AST133" s="83"/>
      <c r="ATD133" s="83"/>
      <c r="ATN133" s="83"/>
      <c r="ATX133" s="83"/>
      <c r="AUH133" s="83"/>
      <c r="AUR133" s="83"/>
      <c r="AVB133" s="83"/>
      <c r="AVL133" s="83"/>
      <c r="AVV133" s="83"/>
      <c r="AWF133" s="83"/>
      <c r="AWP133" s="83"/>
      <c r="AWZ133" s="83"/>
      <c r="AXJ133" s="83"/>
      <c r="AXT133" s="83"/>
      <c r="AYD133" s="83"/>
      <c r="AYN133" s="83"/>
      <c r="AYX133" s="83"/>
      <c r="AZH133" s="83"/>
      <c r="AZR133" s="83"/>
      <c r="BAB133" s="83"/>
      <c r="BAL133" s="83"/>
      <c r="BAV133" s="83"/>
      <c r="BBF133" s="83"/>
      <c r="BBP133" s="83"/>
      <c r="BBZ133" s="83"/>
      <c r="BCJ133" s="83"/>
      <c r="BCT133" s="83"/>
      <c r="BDD133" s="83"/>
      <c r="BDN133" s="83"/>
      <c r="BDX133" s="83"/>
      <c r="BEH133" s="83"/>
      <c r="BER133" s="83"/>
      <c r="BFB133" s="83"/>
      <c r="BFL133" s="83"/>
      <c r="BFV133" s="83"/>
      <c r="BGF133" s="83"/>
      <c r="BGP133" s="83"/>
      <c r="BGZ133" s="83"/>
      <c r="BHJ133" s="83"/>
      <c r="BHT133" s="83"/>
      <c r="BID133" s="83"/>
      <c r="BIN133" s="83"/>
      <c r="BIX133" s="83"/>
      <c r="BJH133" s="83"/>
      <c r="BJR133" s="83"/>
      <c r="BKB133" s="83"/>
      <c r="BKL133" s="83"/>
      <c r="BKV133" s="83"/>
      <c r="BLF133" s="83"/>
      <c r="BLP133" s="83"/>
      <c r="BLZ133" s="83"/>
      <c r="BMJ133" s="83"/>
      <c r="BMT133" s="83"/>
      <c r="BND133" s="83"/>
      <c r="BNN133" s="83"/>
      <c r="BNX133" s="83"/>
      <c r="BOH133" s="83"/>
      <c r="BOR133" s="83"/>
      <c r="BPB133" s="83"/>
      <c r="BPL133" s="83"/>
      <c r="BPV133" s="83"/>
      <c r="BQF133" s="83"/>
      <c r="BQP133" s="83"/>
      <c r="BQZ133" s="83"/>
      <c r="BRJ133" s="83"/>
      <c r="BRT133" s="83"/>
      <c r="BSD133" s="83"/>
      <c r="BSN133" s="83"/>
      <c r="BSX133" s="83"/>
      <c r="BTH133" s="83"/>
      <c r="BTR133" s="83"/>
      <c r="BUB133" s="83"/>
      <c r="BUL133" s="83"/>
      <c r="BUV133" s="83"/>
      <c r="BVF133" s="83"/>
      <c r="BVP133" s="83"/>
      <c r="BVZ133" s="83"/>
      <c r="BWJ133" s="83"/>
      <c r="BWT133" s="83"/>
      <c r="BXD133" s="83"/>
      <c r="BXN133" s="83"/>
      <c r="BXX133" s="83"/>
      <c r="BYH133" s="83"/>
      <c r="BYR133" s="83"/>
      <c r="BZB133" s="83"/>
      <c r="BZL133" s="83"/>
      <c r="BZV133" s="83"/>
      <c r="CAF133" s="83"/>
      <c r="CAP133" s="83"/>
      <c r="CAZ133" s="83"/>
      <c r="CBJ133" s="83"/>
      <c r="CBT133" s="83"/>
      <c r="CCD133" s="83"/>
      <c r="CCN133" s="83"/>
      <c r="CCX133" s="83"/>
      <c r="CDH133" s="83"/>
      <c r="CDR133" s="83"/>
      <c r="CEB133" s="83"/>
      <c r="CEL133" s="83"/>
      <c r="CEV133" s="83"/>
      <c r="CFF133" s="83"/>
      <c r="CFP133" s="83"/>
      <c r="CFZ133" s="83"/>
      <c r="CGJ133" s="83"/>
      <c r="CGT133" s="83"/>
      <c r="CHD133" s="83"/>
      <c r="CHN133" s="83"/>
      <c r="CHX133" s="83"/>
      <c r="CIH133" s="83"/>
      <c r="CIR133" s="83"/>
      <c r="CJB133" s="83"/>
      <c r="CJL133" s="83"/>
      <c r="CJV133" s="83"/>
      <c r="CKF133" s="83"/>
      <c r="CKP133" s="83"/>
      <c r="CKZ133" s="83"/>
      <c r="CLJ133" s="83"/>
      <c r="CLT133" s="83"/>
      <c r="CMD133" s="83"/>
      <c r="CMN133" s="83"/>
      <c r="CMX133" s="83"/>
      <c r="CNH133" s="83"/>
      <c r="CNR133" s="83"/>
      <c r="COB133" s="83"/>
      <c r="COL133" s="83"/>
      <c r="COV133" s="83"/>
      <c r="CPF133" s="83"/>
      <c r="CPP133" s="83"/>
      <c r="CPZ133" s="83"/>
      <c r="CQJ133" s="83"/>
      <c r="CQT133" s="83"/>
      <c r="CRD133" s="83"/>
      <c r="CRN133" s="83"/>
      <c r="CRX133" s="83"/>
      <c r="CSH133" s="83"/>
      <c r="CSR133" s="83"/>
      <c r="CTB133" s="83"/>
      <c r="CTL133" s="83"/>
      <c r="CTV133" s="83"/>
    </row>
    <row r="134" s="58" customFormat="1" customHeight="1" spans="1:1020 1030:2040 2050:2570">
      <c r="A134" s="87">
        <v>46148</v>
      </c>
      <c r="B134" s="88" t="s">
        <v>149</v>
      </c>
      <c r="C134" s="89" t="s">
        <v>150</v>
      </c>
      <c r="D134" s="75">
        <v>652352028</v>
      </c>
      <c r="E134" s="85" t="s">
        <v>181</v>
      </c>
      <c r="F134" s="91" t="str">
        <f>IFERROR(VLOOKUP(E134,[13]基础数据!$E$3:$F$23,2,0),"")</f>
        <v>A03HW67.1-采样集成线束</v>
      </c>
      <c r="G134" s="75">
        <v>400</v>
      </c>
      <c r="H134" s="77" t="str">
        <f>IFERROR(VLOOKUP(E134,[13]基础数据!$E$3:$H$21,4,0),"")</f>
        <v>料盒</v>
      </c>
      <c r="I134" s="77">
        <f>IFERROR(VLOOKUP(E134,[13]基础数据!$E$3:$H$21,3,0),"")</f>
        <v>40</v>
      </c>
      <c r="J134" s="75" t="s">
        <v>306</v>
      </c>
      <c r="K134" s="78">
        <f t="shared" si="2"/>
        <v>10</v>
      </c>
      <c r="T134" s="83"/>
      <c r="AD134" s="83"/>
      <c r="AN134" s="83"/>
      <c r="AX134" s="83"/>
      <c r="BH134" s="83"/>
      <c r="BR134" s="83"/>
      <c r="CB134" s="83"/>
      <c r="CL134" s="83"/>
      <c r="CV134" s="83"/>
      <c r="DF134" s="83"/>
      <c r="DP134" s="83"/>
      <c r="DZ134" s="83"/>
      <c r="EJ134" s="83"/>
      <c r="ET134" s="83"/>
      <c r="FD134" s="83"/>
      <c r="FN134" s="83"/>
      <c r="FX134" s="83"/>
      <c r="GH134" s="83"/>
      <c r="GR134" s="83"/>
      <c r="HB134" s="83"/>
      <c r="HL134" s="83"/>
      <c r="HV134" s="83"/>
      <c r="IF134" s="83"/>
      <c r="IP134" s="83"/>
      <c r="IZ134" s="83"/>
      <c r="JJ134" s="83"/>
      <c r="JT134" s="83"/>
      <c r="KD134" s="83"/>
      <c r="KN134" s="83"/>
      <c r="KX134" s="83"/>
      <c r="LH134" s="83"/>
      <c r="LR134" s="83"/>
      <c r="MB134" s="83"/>
      <c r="ML134" s="83"/>
      <c r="MV134" s="83"/>
      <c r="NF134" s="83"/>
      <c r="NP134" s="83"/>
      <c r="NZ134" s="83"/>
      <c r="OJ134" s="83"/>
      <c r="OT134" s="83"/>
      <c r="PD134" s="83"/>
      <c r="PN134" s="83"/>
      <c r="PX134" s="83"/>
      <c r="QH134" s="83"/>
      <c r="QR134" s="83"/>
      <c r="RB134" s="83"/>
      <c r="RL134" s="83"/>
      <c r="RV134" s="83"/>
      <c r="SF134" s="83"/>
      <c r="SP134" s="83"/>
      <c r="SZ134" s="83"/>
      <c r="TJ134" s="83"/>
      <c r="TT134" s="83"/>
      <c r="UD134" s="83"/>
      <c r="UN134" s="83"/>
      <c r="UX134" s="83"/>
      <c r="VH134" s="83"/>
      <c r="VR134" s="83"/>
      <c r="WB134" s="83"/>
      <c r="WL134" s="83"/>
      <c r="WV134" s="83"/>
      <c r="XF134" s="83"/>
      <c r="XP134" s="83"/>
      <c r="XZ134" s="83"/>
      <c r="YJ134" s="83"/>
      <c r="YT134" s="83"/>
      <c r="ZD134" s="83"/>
      <c r="ZN134" s="83"/>
      <c r="ZX134" s="83"/>
      <c r="AAH134" s="83"/>
      <c r="AAR134" s="83"/>
      <c r="ABB134" s="83"/>
      <c r="ABL134" s="83"/>
      <c r="ABV134" s="83"/>
      <c r="ACF134" s="83"/>
      <c r="ACP134" s="83"/>
      <c r="ACZ134" s="83"/>
      <c r="ADJ134" s="83"/>
      <c r="ADT134" s="83"/>
      <c r="AED134" s="83"/>
      <c r="AEN134" s="83"/>
      <c r="AEX134" s="83"/>
      <c r="AFH134" s="83"/>
      <c r="AFR134" s="83"/>
      <c r="AGB134" s="83"/>
      <c r="AGL134" s="83"/>
      <c r="AGV134" s="83"/>
      <c r="AHF134" s="83"/>
      <c r="AHP134" s="83"/>
      <c r="AHZ134" s="83"/>
      <c r="AIJ134" s="83"/>
      <c r="AIT134" s="83"/>
      <c r="AJD134" s="83"/>
      <c r="AJN134" s="83"/>
      <c r="AJX134" s="83"/>
      <c r="AKH134" s="83"/>
      <c r="AKR134" s="83"/>
      <c r="ALB134" s="83"/>
      <c r="ALL134" s="83"/>
      <c r="ALV134" s="83"/>
      <c r="AMF134" s="83"/>
      <c r="AMP134" s="83"/>
      <c r="AMZ134" s="83"/>
      <c r="ANJ134" s="83"/>
      <c r="ANT134" s="83"/>
      <c r="AOD134" s="83"/>
      <c r="AON134" s="83"/>
      <c r="AOX134" s="83"/>
      <c r="APH134" s="83"/>
      <c r="APR134" s="83"/>
      <c r="AQB134" s="83"/>
      <c r="AQL134" s="83"/>
      <c r="AQV134" s="83"/>
      <c r="ARF134" s="83"/>
      <c r="ARP134" s="83"/>
      <c r="ARZ134" s="83"/>
      <c r="ASJ134" s="83"/>
      <c r="AST134" s="83"/>
      <c r="ATD134" s="83"/>
      <c r="ATN134" s="83"/>
      <c r="ATX134" s="83"/>
      <c r="AUH134" s="83"/>
      <c r="AUR134" s="83"/>
      <c r="AVB134" s="83"/>
      <c r="AVL134" s="83"/>
      <c r="AVV134" s="83"/>
      <c r="AWF134" s="83"/>
      <c r="AWP134" s="83"/>
      <c r="AWZ134" s="83"/>
      <c r="AXJ134" s="83"/>
      <c r="AXT134" s="83"/>
      <c r="AYD134" s="83"/>
      <c r="AYN134" s="83"/>
      <c r="AYX134" s="83"/>
      <c r="AZH134" s="83"/>
      <c r="AZR134" s="83"/>
      <c r="BAB134" s="83"/>
      <c r="BAL134" s="83"/>
      <c r="BAV134" s="83"/>
      <c r="BBF134" s="83"/>
      <c r="BBP134" s="83"/>
      <c r="BBZ134" s="83"/>
      <c r="BCJ134" s="83"/>
      <c r="BCT134" s="83"/>
      <c r="BDD134" s="83"/>
      <c r="BDN134" s="83"/>
      <c r="BDX134" s="83"/>
      <c r="BEH134" s="83"/>
      <c r="BER134" s="83"/>
      <c r="BFB134" s="83"/>
      <c r="BFL134" s="83"/>
      <c r="BFV134" s="83"/>
      <c r="BGF134" s="83"/>
      <c r="BGP134" s="83"/>
      <c r="BGZ134" s="83"/>
      <c r="BHJ134" s="83"/>
      <c r="BHT134" s="83"/>
      <c r="BID134" s="83"/>
      <c r="BIN134" s="83"/>
      <c r="BIX134" s="83"/>
      <c r="BJH134" s="83"/>
      <c r="BJR134" s="83"/>
      <c r="BKB134" s="83"/>
      <c r="BKL134" s="83"/>
      <c r="BKV134" s="83"/>
      <c r="BLF134" s="83"/>
      <c r="BLP134" s="83"/>
      <c r="BLZ134" s="83"/>
      <c r="BMJ134" s="83"/>
      <c r="BMT134" s="83"/>
      <c r="BND134" s="83"/>
      <c r="BNN134" s="83"/>
      <c r="BNX134" s="83"/>
      <c r="BOH134" s="83"/>
      <c r="BOR134" s="83"/>
      <c r="BPB134" s="83"/>
      <c r="BPL134" s="83"/>
      <c r="BPV134" s="83"/>
      <c r="BQF134" s="83"/>
      <c r="BQP134" s="83"/>
      <c r="BQZ134" s="83"/>
      <c r="BRJ134" s="83"/>
      <c r="BRT134" s="83"/>
      <c r="BSD134" s="83"/>
      <c r="BSN134" s="83"/>
      <c r="BSX134" s="83"/>
      <c r="BTH134" s="83"/>
      <c r="BTR134" s="83"/>
      <c r="BUB134" s="83"/>
      <c r="BUL134" s="83"/>
      <c r="BUV134" s="83"/>
      <c r="BVF134" s="83"/>
      <c r="BVP134" s="83"/>
      <c r="BVZ134" s="83"/>
      <c r="BWJ134" s="83"/>
      <c r="BWT134" s="83"/>
      <c r="BXD134" s="83"/>
      <c r="BXN134" s="83"/>
      <c r="BXX134" s="83"/>
      <c r="BYH134" s="83"/>
      <c r="BYR134" s="83"/>
      <c r="BZB134" s="83"/>
      <c r="BZL134" s="83"/>
      <c r="BZV134" s="83"/>
      <c r="CAF134" s="83"/>
      <c r="CAP134" s="83"/>
      <c r="CAZ134" s="83"/>
      <c r="CBJ134" s="83"/>
      <c r="CBT134" s="83"/>
      <c r="CCD134" s="83"/>
      <c r="CCN134" s="83"/>
      <c r="CCX134" s="83"/>
      <c r="CDH134" s="83"/>
      <c r="CDR134" s="83"/>
      <c r="CEB134" s="83"/>
      <c r="CEL134" s="83"/>
      <c r="CEV134" s="83"/>
      <c r="CFF134" s="83"/>
      <c r="CFP134" s="83"/>
      <c r="CFZ134" s="83"/>
      <c r="CGJ134" s="83"/>
      <c r="CGT134" s="83"/>
      <c r="CHD134" s="83"/>
      <c r="CHN134" s="83"/>
      <c r="CHX134" s="83"/>
      <c r="CIH134" s="83"/>
      <c r="CIR134" s="83"/>
      <c r="CJB134" s="83"/>
      <c r="CJL134" s="83"/>
      <c r="CJV134" s="83"/>
      <c r="CKF134" s="83"/>
      <c r="CKP134" s="83"/>
      <c r="CKZ134" s="83"/>
      <c r="CLJ134" s="83"/>
      <c r="CLT134" s="83"/>
      <c r="CMD134" s="83"/>
      <c r="CMN134" s="83"/>
      <c r="CMX134" s="83"/>
      <c r="CNH134" s="83"/>
      <c r="CNR134" s="83"/>
      <c r="COB134" s="83"/>
      <c r="COL134" s="83"/>
      <c r="COV134" s="83"/>
      <c r="CPF134" s="83"/>
      <c r="CPP134" s="83"/>
      <c r="CPZ134" s="83"/>
      <c r="CQJ134" s="83"/>
      <c r="CQT134" s="83"/>
      <c r="CRD134" s="83"/>
      <c r="CRN134" s="83"/>
      <c r="CRX134" s="83"/>
      <c r="CSH134" s="83"/>
      <c r="CSR134" s="83"/>
      <c r="CTB134" s="83"/>
      <c r="CTL134" s="83"/>
      <c r="CTV134" s="83"/>
    </row>
    <row r="135" s="58" customFormat="1" customHeight="1" spans="1:1020 1030:2040 2050:2570">
      <c r="A135" s="87">
        <v>46149</v>
      </c>
      <c r="B135" s="88" t="s">
        <v>149</v>
      </c>
      <c r="C135" s="89" t="s">
        <v>150</v>
      </c>
      <c r="D135" s="75">
        <v>652355241</v>
      </c>
      <c r="E135" s="90" t="s">
        <v>177</v>
      </c>
      <c r="F135" s="91" t="str">
        <f>IFERROR(VLOOKUP(E135,[14]基础数据!$E$3:$F$23,2,0),"")</f>
        <v>LX00148-CCS总成</v>
      </c>
      <c r="G135" s="75">
        <v>2040</v>
      </c>
      <c r="H135" s="77" t="str">
        <f>IFERROR(VLOOKUP(E135,[14]基础数据!$E$3:$H$21,4,0),"")</f>
        <v>纸箱</v>
      </c>
      <c r="I135" s="77">
        <f>IFERROR(VLOOKUP(E135,[14]基础数据!$E$3:$H$21,3,0),"")</f>
        <v>12</v>
      </c>
      <c r="J135" s="75" t="s">
        <v>306</v>
      </c>
      <c r="K135" s="78">
        <f t="shared" si="2"/>
        <v>170</v>
      </c>
      <c r="T135" s="83"/>
      <c r="AD135" s="83"/>
      <c r="AN135" s="83"/>
      <c r="AX135" s="83"/>
      <c r="BH135" s="83"/>
      <c r="BR135" s="83"/>
      <c r="CB135" s="83"/>
      <c r="CL135" s="83"/>
      <c r="CV135" s="83"/>
      <c r="DF135" s="83"/>
      <c r="DP135" s="83"/>
      <c r="DZ135" s="83"/>
      <c r="EJ135" s="83"/>
      <c r="ET135" s="83"/>
      <c r="FD135" s="83"/>
      <c r="FN135" s="83"/>
      <c r="FX135" s="83"/>
      <c r="GH135" s="83"/>
      <c r="GR135" s="83"/>
      <c r="HB135" s="83"/>
      <c r="HL135" s="83"/>
      <c r="HV135" s="83"/>
      <c r="IF135" s="83"/>
      <c r="IP135" s="83"/>
      <c r="IZ135" s="83"/>
      <c r="JJ135" s="83"/>
      <c r="JT135" s="83"/>
      <c r="KD135" s="83"/>
      <c r="KN135" s="83"/>
      <c r="KX135" s="83"/>
      <c r="LH135" s="83"/>
      <c r="LR135" s="83"/>
      <c r="MB135" s="83"/>
      <c r="ML135" s="83"/>
      <c r="MV135" s="83"/>
      <c r="NF135" s="83"/>
      <c r="NP135" s="83"/>
      <c r="NZ135" s="83"/>
      <c r="OJ135" s="83"/>
      <c r="OT135" s="83"/>
      <c r="PD135" s="83"/>
      <c r="PN135" s="83"/>
      <c r="PX135" s="83"/>
      <c r="QH135" s="83"/>
      <c r="QR135" s="83"/>
      <c r="RB135" s="83"/>
      <c r="RL135" s="83"/>
      <c r="RV135" s="83"/>
      <c r="SF135" s="83"/>
      <c r="SP135" s="83"/>
      <c r="SZ135" s="83"/>
      <c r="TJ135" s="83"/>
      <c r="TT135" s="83"/>
      <c r="UD135" s="83"/>
      <c r="UN135" s="83"/>
      <c r="UX135" s="83"/>
      <c r="VH135" s="83"/>
      <c r="VR135" s="83"/>
      <c r="WB135" s="83"/>
      <c r="WL135" s="83"/>
      <c r="WV135" s="83"/>
      <c r="XF135" s="83"/>
      <c r="XP135" s="83"/>
      <c r="XZ135" s="83"/>
      <c r="YJ135" s="83"/>
      <c r="YT135" s="83"/>
      <c r="ZD135" s="83"/>
      <c r="ZN135" s="83"/>
      <c r="ZX135" s="83"/>
      <c r="AAH135" s="83"/>
      <c r="AAR135" s="83"/>
      <c r="ABB135" s="83"/>
      <c r="ABL135" s="83"/>
      <c r="ABV135" s="83"/>
      <c r="ACF135" s="83"/>
      <c r="ACP135" s="83"/>
      <c r="ACZ135" s="83"/>
      <c r="ADJ135" s="83"/>
      <c r="ADT135" s="83"/>
      <c r="AED135" s="83"/>
      <c r="AEN135" s="83"/>
      <c r="AEX135" s="83"/>
      <c r="AFH135" s="83"/>
      <c r="AFR135" s="83"/>
      <c r="AGB135" s="83"/>
      <c r="AGL135" s="83"/>
      <c r="AGV135" s="83"/>
      <c r="AHF135" s="83"/>
      <c r="AHP135" s="83"/>
      <c r="AHZ135" s="83"/>
      <c r="AIJ135" s="83"/>
      <c r="AIT135" s="83"/>
      <c r="AJD135" s="83"/>
      <c r="AJN135" s="83"/>
      <c r="AJX135" s="83"/>
      <c r="AKH135" s="83"/>
      <c r="AKR135" s="83"/>
      <c r="ALB135" s="83"/>
      <c r="ALL135" s="83"/>
      <c r="ALV135" s="83"/>
      <c r="AMF135" s="83"/>
      <c r="AMP135" s="83"/>
      <c r="AMZ135" s="83"/>
      <c r="ANJ135" s="83"/>
      <c r="ANT135" s="83"/>
      <c r="AOD135" s="83"/>
      <c r="AON135" s="83"/>
      <c r="AOX135" s="83"/>
      <c r="APH135" s="83"/>
      <c r="APR135" s="83"/>
      <c r="AQB135" s="83"/>
      <c r="AQL135" s="83"/>
      <c r="AQV135" s="83"/>
      <c r="ARF135" s="83"/>
      <c r="ARP135" s="83"/>
      <c r="ARZ135" s="83"/>
      <c r="ASJ135" s="83"/>
      <c r="AST135" s="83"/>
      <c r="ATD135" s="83"/>
      <c r="ATN135" s="83"/>
      <c r="ATX135" s="83"/>
      <c r="AUH135" s="83"/>
      <c r="AUR135" s="83"/>
      <c r="AVB135" s="83"/>
      <c r="AVL135" s="83"/>
      <c r="AVV135" s="83"/>
      <c r="AWF135" s="83"/>
      <c r="AWP135" s="83"/>
      <c r="AWZ135" s="83"/>
      <c r="AXJ135" s="83"/>
      <c r="AXT135" s="83"/>
      <c r="AYD135" s="83"/>
      <c r="AYN135" s="83"/>
      <c r="AYX135" s="83"/>
      <c r="AZH135" s="83"/>
      <c r="AZR135" s="83"/>
      <c r="BAB135" s="83"/>
      <c r="BAL135" s="83"/>
      <c r="BAV135" s="83"/>
      <c r="BBF135" s="83"/>
      <c r="BBP135" s="83"/>
      <c r="BBZ135" s="83"/>
      <c r="BCJ135" s="83"/>
      <c r="BCT135" s="83"/>
      <c r="BDD135" s="83"/>
      <c r="BDN135" s="83"/>
      <c r="BDX135" s="83"/>
      <c r="BEH135" s="83"/>
      <c r="BER135" s="83"/>
      <c r="BFB135" s="83"/>
      <c r="BFL135" s="83"/>
      <c r="BFV135" s="83"/>
      <c r="BGF135" s="83"/>
      <c r="BGP135" s="83"/>
      <c r="BGZ135" s="83"/>
      <c r="BHJ135" s="83"/>
      <c r="BHT135" s="83"/>
      <c r="BID135" s="83"/>
      <c r="BIN135" s="83"/>
      <c r="BIX135" s="83"/>
      <c r="BJH135" s="83"/>
      <c r="BJR135" s="83"/>
      <c r="BKB135" s="83"/>
      <c r="BKL135" s="83"/>
      <c r="BKV135" s="83"/>
      <c r="BLF135" s="83"/>
      <c r="BLP135" s="83"/>
      <c r="BLZ135" s="83"/>
      <c r="BMJ135" s="83"/>
      <c r="BMT135" s="83"/>
      <c r="BND135" s="83"/>
      <c r="BNN135" s="83"/>
      <c r="BNX135" s="83"/>
      <c r="BOH135" s="83"/>
      <c r="BOR135" s="83"/>
      <c r="BPB135" s="83"/>
      <c r="BPL135" s="83"/>
      <c r="BPV135" s="83"/>
      <c r="BQF135" s="83"/>
      <c r="BQP135" s="83"/>
      <c r="BQZ135" s="83"/>
      <c r="BRJ135" s="83"/>
      <c r="BRT135" s="83"/>
      <c r="BSD135" s="83"/>
      <c r="BSN135" s="83"/>
      <c r="BSX135" s="83"/>
      <c r="BTH135" s="83"/>
      <c r="BTR135" s="83"/>
      <c r="BUB135" s="83"/>
      <c r="BUL135" s="83"/>
      <c r="BUV135" s="83"/>
      <c r="BVF135" s="83"/>
      <c r="BVP135" s="83"/>
      <c r="BVZ135" s="83"/>
      <c r="BWJ135" s="83"/>
      <c r="BWT135" s="83"/>
      <c r="BXD135" s="83"/>
      <c r="BXN135" s="83"/>
      <c r="BXX135" s="83"/>
      <c r="BYH135" s="83"/>
      <c r="BYR135" s="83"/>
      <c r="BZB135" s="83"/>
      <c r="BZL135" s="83"/>
      <c r="BZV135" s="83"/>
      <c r="CAF135" s="83"/>
      <c r="CAP135" s="83"/>
      <c r="CAZ135" s="83"/>
      <c r="CBJ135" s="83"/>
      <c r="CBT135" s="83"/>
      <c r="CCD135" s="83"/>
      <c r="CCN135" s="83"/>
      <c r="CCX135" s="83"/>
      <c r="CDH135" s="83"/>
      <c r="CDR135" s="83"/>
      <c r="CEB135" s="83"/>
      <c r="CEL135" s="83"/>
      <c r="CEV135" s="83"/>
      <c r="CFF135" s="83"/>
      <c r="CFP135" s="83"/>
      <c r="CFZ135" s="83"/>
      <c r="CGJ135" s="83"/>
      <c r="CGT135" s="83"/>
      <c r="CHD135" s="83"/>
      <c r="CHN135" s="83"/>
      <c r="CHX135" s="83"/>
      <c r="CIH135" s="83"/>
      <c r="CIR135" s="83"/>
      <c r="CJB135" s="83"/>
      <c r="CJL135" s="83"/>
      <c r="CJV135" s="83"/>
      <c r="CKF135" s="83"/>
      <c r="CKP135" s="83"/>
      <c r="CKZ135" s="83"/>
      <c r="CLJ135" s="83"/>
      <c r="CLT135" s="83"/>
      <c r="CMD135" s="83"/>
      <c r="CMN135" s="83"/>
      <c r="CMX135" s="83"/>
      <c r="CNH135" s="83"/>
      <c r="CNR135" s="83"/>
      <c r="COB135" s="83"/>
      <c r="COL135" s="83"/>
      <c r="COV135" s="83"/>
      <c r="CPF135" s="83"/>
      <c r="CPP135" s="83"/>
      <c r="CPZ135" s="83"/>
      <c r="CQJ135" s="83"/>
      <c r="CQT135" s="83"/>
      <c r="CRD135" s="83"/>
      <c r="CRN135" s="83"/>
      <c r="CRX135" s="83"/>
      <c r="CSH135" s="83"/>
      <c r="CSR135" s="83"/>
      <c r="CTB135" s="83"/>
      <c r="CTL135" s="83"/>
      <c r="CTV135" s="83"/>
    </row>
    <row r="136" s="58" customFormat="1" customHeight="1" spans="1:1020 1030:2040 2050:2570">
      <c r="A136" s="87">
        <v>46150</v>
      </c>
      <c r="B136" s="88" t="s">
        <v>149</v>
      </c>
      <c r="C136" s="89" t="s">
        <v>150</v>
      </c>
      <c r="D136" s="75">
        <v>652363134</v>
      </c>
      <c r="E136" s="90" t="s">
        <v>163</v>
      </c>
      <c r="F136" s="91" t="str">
        <f>VLOOKUP(E136,[15]基础数据!E:F,2,0)</f>
        <v>A12EV10-BDU-采样集成线束</v>
      </c>
      <c r="G136" s="75">
        <v>1500</v>
      </c>
      <c r="H136" s="77" t="str">
        <f>VLOOKUP(E136,[15]基础数据!E:H,4,0)</f>
        <v>料盒</v>
      </c>
      <c r="I136" s="77">
        <f>VLOOKUP(E136,[15]基础数据!E:G,3,0)</f>
        <v>50</v>
      </c>
      <c r="J136" s="75" t="s">
        <v>306</v>
      </c>
      <c r="K136" s="78">
        <f t="shared" si="2"/>
        <v>30</v>
      </c>
      <c r="T136" s="83"/>
      <c r="AD136" s="83"/>
      <c r="AN136" s="83"/>
      <c r="AX136" s="83"/>
      <c r="BH136" s="83"/>
      <c r="BR136" s="83"/>
      <c r="CB136" s="83"/>
      <c r="CL136" s="83"/>
      <c r="CV136" s="83"/>
      <c r="DF136" s="83"/>
      <c r="DP136" s="83"/>
      <c r="DZ136" s="83"/>
      <c r="EJ136" s="83"/>
      <c r="ET136" s="83"/>
      <c r="FD136" s="83"/>
      <c r="FN136" s="83"/>
      <c r="FX136" s="83"/>
      <c r="GH136" s="83"/>
      <c r="GR136" s="83"/>
      <c r="HB136" s="83"/>
      <c r="HL136" s="83"/>
      <c r="HV136" s="83"/>
      <c r="IF136" s="83"/>
      <c r="IP136" s="83"/>
      <c r="IZ136" s="83"/>
      <c r="JJ136" s="83"/>
      <c r="JT136" s="83"/>
      <c r="KD136" s="83"/>
      <c r="KN136" s="83"/>
      <c r="KX136" s="83"/>
      <c r="LH136" s="83"/>
      <c r="LR136" s="83"/>
      <c r="MB136" s="83"/>
      <c r="ML136" s="83"/>
      <c r="MV136" s="83"/>
      <c r="NF136" s="83"/>
      <c r="NP136" s="83"/>
      <c r="NZ136" s="83"/>
      <c r="OJ136" s="83"/>
      <c r="OT136" s="83"/>
      <c r="PD136" s="83"/>
      <c r="PN136" s="83"/>
      <c r="PX136" s="83"/>
      <c r="QH136" s="83"/>
      <c r="QR136" s="83"/>
      <c r="RB136" s="83"/>
      <c r="RL136" s="83"/>
      <c r="RV136" s="83"/>
      <c r="SF136" s="83"/>
      <c r="SP136" s="83"/>
      <c r="SZ136" s="83"/>
      <c r="TJ136" s="83"/>
      <c r="TT136" s="83"/>
      <c r="UD136" s="83"/>
      <c r="UN136" s="83"/>
      <c r="UX136" s="83"/>
      <c r="VH136" s="83"/>
      <c r="VR136" s="83"/>
      <c r="WB136" s="83"/>
      <c r="WL136" s="83"/>
      <c r="WV136" s="83"/>
      <c r="XF136" s="83"/>
      <c r="XP136" s="83"/>
      <c r="XZ136" s="83"/>
      <c r="YJ136" s="83"/>
      <c r="YT136" s="83"/>
      <c r="ZD136" s="83"/>
      <c r="ZN136" s="83"/>
      <c r="ZX136" s="83"/>
      <c r="AAH136" s="83"/>
      <c r="AAR136" s="83"/>
      <c r="ABB136" s="83"/>
      <c r="ABL136" s="83"/>
      <c r="ABV136" s="83"/>
      <c r="ACF136" s="83"/>
      <c r="ACP136" s="83"/>
      <c r="ACZ136" s="83"/>
      <c r="ADJ136" s="83"/>
      <c r="ADT136" s="83"/>
      <c r="AED136" s="83"/>
      <c r="AEN136" s="83"/>
      <c r="AEX136" s="83"/>
      <c r="AFH136" s="83"/>
      <c r="AFR136" s="83"/>
      <c r="AGB136" s="83"/>
      <c r="AGL136" s="83"/>
      <c r="AGV136" s="83"/>
      <c r="AHF136" s="83"/>
      <c r="AHP136" s="83"/>
      <c r="AHZ136" s="83"/>
      <c r="AIJ136" s="83"/>
      <c r="AIT136" s="83"/>
      <c r="AJD136" s="83"/>
      <c r="AJN136" s="83"/>
      <c r="AJX136" s="83"/>
      <c r="AKH136" s="83"/>
      <c r="AKR136" s="83"/>
      <c r="ALB136" s="83"/>
      <c r="ALL136" s="83"/>
      <c r="ALV136" s="83"/>
      <c r="AMF136" s="83"/>
      <c r="AMP136" s="83"/>
      <c r="AMZ136" s="83"/>
      <c r="ANJ136" s="83"/>
      <c r="ANT136" s="83"/>
      <c r="AOD136" s="83"/>
      <c r="AON136" s="83"/>
      <c r="AOX136" s="83"/>
      <c r="APH136" s="83"/>
      <c r="APR136" s="83"/>
      <c r="AQB136" s="83"/>
      <c r="AQL136" s="83"/>
      <c r="AQV136" s="83"/>
      <c r="ARF136" s="83"/>
      <c r="ARP136" s="83"/>
      <c r="ARZ136" s="83"/>
      <c r="ASJ136" s="83"/>
      <c r="AST136" s="83"/>
      <c r="ATD136" s="83"/>
      <c r="ATN136" s="83"/>
      <c r="ATX136" s="83"/>
      <c r="AUH136" s="83"/>
      <c r="AUR136" s="83"/>
      <c r="AVB136" s="83"/>
      <c r="AVL136" s="83"/>
      <c r="AVV136" s="83"/>
      <c r="AWF136" s="83"/>
      <c r="AWP136" s="83"/>
      <c r="AWZ136" s="83"/>
      <c r="AXJ136" s="83"/>
      <c r="AXT136" s="83"/>
      <c r="AYD136" s="83"/>
      <c r="AYN136" s="83"/>
      <c r="AYX136" s="83"/>
      <c r="AZH136" s="83"/>
      <c r="AZR136" s="83"/>
      <c r="BAB136" s="83"/>
      <c r="BAL136" s="83"/>
      <c r="BAV136" s="83"/>
      <c r="BBF136" s="83"/>
      <c r="BBP136" s="83"/>
      <c r="BBZ136" s="83"/>
      <c r="BCJ136" s="83"/>
      <c r="BCT136" s="83"/>
      <c r="BDD136" s="83"/>
      <c r="BDN136" s="83"/>
      <c r="BDX136" s="83"/>
      <c r="BEH136" s="83"/>
      <c r="BER136" s="83"/>
      <c r="BFB136" s="83"/>
      <c r="BFL136" s="83"/>
      <c r="BFV136" s="83"/>
      <c r="BGF136" s="83"/>
      <c r="BGP136" s="83"/>
      <c r="BGZ136" s="83"/>
      <c r="BHJ136" s="83"/>
      <c r="BHT136" s="83"/>
      <c r="BID136" s="83"/>
      <c r="BIN136" s="83"/>
      <c r="BIX136" s="83"/>
      <c r="BJH136" s="83"/>
      <c r="BJR136" s="83"/>
      <c r="BKB136" s="83"/>
      <c r="BKL136" s="83"/>
      <c r="BKV136" s="83"/>
      <c r="BLF136" s="83"/>
      <c r="BLP136" s="83"/>
      <c r="BLZ136" s="83"/>
      <c r="BMJ136" s="83"/>
      <c r="BMT136" s="83"/>
      <c r="BND136" s="83"/>
      <c r="BNN136" s="83"/>
      <c r="BNX136" s="83"/>
      <c r="BOH136" s="83"/>
      <c r="BOR136" s="83"/>
      <c r="BPB136" s="83"/>
      <c r="BPL136" s="83"/>
      <c r="BPV136" s="83"/>
      <c r="BQF136" s="83"/>
      <c r="BQP136" s="83"/>
      <c r="BQZ136" s="83"/>
      <c r="BRJ136" s="83"/>
      <c r="BRT136" s="83"/>
      <c r="BSD136" s="83"/>
      <c r="BSN136" s="83"/>
      <c r="BSX136" s="83"/>
      <c r="BTH136" s="83"/>
      <c r="BTR136" s="83"/>
      <c r="BUB136" s="83"/>
      <c r="BUL136" s="83"/>
      <c r="BUV136" s="83"/>
      <c r="BVF136" s="83"/>
      <c r="BVP136" s="83"/>
      <c r="BVZ136" s="83"/>
      <c r="BWJ136" s="83"/>
      <c r="BWT136" s="83"/>
      <c r="BXD136" s="83"/>
      <c r="BXN136" s="83"/>
      <c r="BXX136" s="83"/>
      <c r="BYH136" s="83"/>
      <c r="BYR136" s="83"/>
      <c r="BZB136" s="83"/>
      <c r="BZL136" s="83"/>
      <c r="BZV136" s="83"/>
      <c r="CAF136" s="83"/>
      <c r="CAP136" s="83"/>
      <c r="CAZ136" s="83"/>
      <c r="CBJ136" s="83"/>
      <c r="CBT136" s="83"/>
      <c r="CCD136" s="83"/>
      <c r="CCN136" s="83"/>
      <c r="CCX136" s="83"/>
      <c r="CDH136" s="83"/>
      <c r="CDR136" s="83"/>
      <c r="CEB136" s="83"/>
      <c r="CEL136" s="83"/>
      <c r="CEV136" s="83"/>
      <c r="CFF136" s="83"/>
      <c r="CFP136" s="83"/>
      <c r="CFZ136" s="83"/>
      <c r="CGJ136" s="83"/>
      <c r="CGT136" s="83"/>
      <c r="CHD136" s="83"/>
      <c r="CHN136" s="83"/>
      <c r="CHX136" s="83"/>
      <c r="CIH136" s="83"/>
      <c r="CIR136" s="83"/>
      <c r="CJB136" s="83"/>
      <c r="CJL136" s="83"/>
      <c r="CJV136" s="83"/>
      <c r="CKF136" s="83"/>
      <c r="CKP136" s="83"/>
      <c r="CKZ136" s="83"/>
      <c r="CLJ136" s="83"/>
      <c r="CLT136" s="83"/>
      <c r="CMD136" s="83"/>
      <c r="CMN136" s="83"/>
      <c r="CMX136" s="83"/>
      <c r="CNH136" s="83"/>
      <c r="CNR136" s="83"/>
      <c r="COB136" s="83"/>
      <c r="COL136" s="83"/>
      <c r="COV136" s="83"/>
      <c r="CPF136" s="83"/>
      <c r="CPP136" s="83"/>
      <c r="CPZ136" s="83"/>
      <c r="CQJ136" s="83"/>
      <c r="CQT136" s="83"/>
      <c r="CRD136" s="83"/>
      <c r="CRN136" s="83"/>
      <c r="CRX136" s="83"/>
      <c r="CSH136" s="83"/>
      <c r="CSR136" s="83"/>
      <c r="CTB136" s="83"/>
      <c r="CTL136" s="83"/>
      <c r="CTV136" s="83"/>
    </row>
    <row r="137" s="58" customFormat="1" customHeight="1" spans="1:1020 1030:2040 2050:2570">
      <c r="A137" s="87">
        <v>46150</v>
      </c>
      <c r="B137" s="88" t="s">
        <v>149</v>
      </c>
      <c r="C137" s="89" t="s">
        <v>150</v>
      </c>
      <c r="D137" s="75">
        <v>652363134</v>
      </c>
      <c r="E137" s="90" t="s">
        <v>161</v>
      </c>
      <c r="F137" s="91" t="str">
        <f>VLOOKUP(E137,[15]基础数据!E:F,2,0)</f>
        <v>A12EV10-通讯-水温-互锁集成线束-500</v>
      </c>
      <c r="G137" s="75">
        <v>1500</v>
      </c>
      <c r="H137" s="77" t="str">
        <f>VLOOKUP(E137,[15]基础数据!E:H,4,0)</f>
        <v>料盒</v>
      </c>
      <c r="I137" s="77">
        <f>VLOOKUP(E137,[15]基础数据!E:G,3,0)</f>
        <v>30</v>
      </c>
      <c r="J137" s="75" t="s">
        <v>306</v>
      </c>
      <c r="K137" s="78">
        <f t="shared" si="2"/>
        <v>50</v>
      </c>
      <c r="T137" s="83"/>
      <c r="AD137" s="83"/>
      <c r="AN137" s="83"/>
      <c r="AX137" s="83"/>
      <c r="BH137" s="83"/>
      <c r="BR137" s="83"/>
      <c r="CB137" s="83"/>
      <c r="CL137" s="83"/>
      <c r="CV137" s="83"/>
      <c r="DF137" s="83"/>
      <c r="DP137" s="83"/>
      <c r="DZ137" s="83"/>
      <c r="EJ137" s="83"/>
      <c r="ET137" s="83"/>
      <c r="FD137" s="83"/>
      <c r="FN137" s="83"/>
      <c r="FX137" s="83"/>
      <c r="GH137" s="83"/>
      <c r="GR137" s="83"/>
      <c r="HB137" s="83"/>
      <c r="HL137" s="83"/>
      <c r="HV137" s="83"/>
      <c r="IF137" s="83"/>
      <c r="IP137" s="83"/>
      <c r="IZ137" s="83"/>
      <c r="JJ137" s="83"/>
      <c r="JT137" s="83"/>
      <c r="KD137" s="83"/>
      <c r="KN137" s="83"/>
      <c r="KX137" s="83"/>
      <c r="LH137" s="83"/>
      <c r="LR137" s="83"/>
      <c r="MB137" s="83"/>
      <c r="ML137" s="83"/>
      <c r="MV137" s="83"/>
      <c r="NF137" s="83"/>
      <c r="NP137" s="83"/>
      <c r="NZ137" s="83"/>
      <c r="OJ137" s="83"/>
      <c r="OT137" s="83"/>
      <c r="PD137" s="83"/>
      <c r="PN137" s="83"/>
      <c r="PX137" s="83"/>
      <c r="QH137" s="83"/>
      <c r="QR137" s="83"/>
      <c r="RB137" s="83"/>
      <c r="RL137" s="83"/>
      <c r="RV137" s="83"/>
      <c r="SF137" s="83"/>
      <c r="SP137" s="83"/>
      <c r="SZ137" s="83"/>
      <c r="TJ137" s="83"/>
      <c r="TT137" s="83"/>
      <c r="UD137" s="83"/>
      <c r="UN137" s="83"/>
      <c r="UX137" s="83"/>
      <c r="VH137" s="83"/>
      <c r="VR137" s="83"/>
      <c r="WB137" s="83"/>
      <c r="WL137" s="83"/>
      <c r="WV137" s="83"/>
      <c r="XF137" s="83"/>
      <c r="XP137" s="83"/>
      <c r="XZ137" s="83"/>
      <c r="YJ137" s="83"/>
      <c r="YT137" s="83"/>
      <c r="ZD137" s="83"/>
      <c r="ZN137" s="83"/>
      <c r="ZX137" s="83"/>
      <c r="AAH137" s="83"/>
      <c r="AAR137" s="83"/>
      <c r="ABB137" s="83"/>
      <c r="ABL137" s="83"/>
      <c r="ABV137" s="83"/>
      <c r="ACF137" s="83"/>
      <c r="ACP137" s="83"/>
      <c r="ACZ137" s="83"/>
      <c r="ADJ137" s="83"/>
      <c r="ADT137" s="83"/>
      <c r="AED137" s="83"/>
      <c r="AEN137" s="83"/>
      <c r="AEX137" s="83"/>
      <c r="AFH137" s="83"/>
      <c r="AFR137" s="83"/>
      <c r="AGB137" s="83"/>
      <c r="AGL137" s="83"/>
      <c r="AGV137" s="83"/>
      <c r="AHF137" s="83"/>
      <c r="AHP137" s="83"/>
      <c r="AHZ137" s="83"/>
      <c r="AIJ137" s="83"/>
      <c r="AIT137" s="83"/>
      <c r="AJD137" s="83"/>
      <c r="AJN137" s="83"/>
      <c r="AJX137" s="83"/>
      <c r="AKH137" s="83"/>
      <c r="AKR137" s="83"/>
      <c r="ALB137" s="83"/>
      <c r="ALL137" s="83"/>
      <c r="ALV137" s="83"/>
      <c r="AMF137" s="83"/>
      <c r="AMP137" s="83"/>
      <c r="AMZ137" s="83"/>
      <c r="ANJ137" s="83"/>
      <c r="ANT137" s="83"/>
      <c r="AOD137" s="83"/>
      <c r="AON137" s="83"/>
      <c r="AOX137" s="83"/>
      <c r="APH137" s="83"/>
      <c r="APR137" s="83"/>
      <c r="AQB137" s="83"/>
      <c r="AQL137" s="83"/>
      <c r="AQV137" s="83"/>
      <c r="ARF137" s="83"/>
      <c r="ARP137" s="83"/>
      <c r="ARZ137" s="83"/>
      <c r="ASJ137" s="83"/>
      <c r="AST137" s="83"/>
      <c r="ATD137" s="83"/>
      <c r="ATN137" s="83"/>
      <c r="ATX137" s="83"/>
      <c r="AUH137" s="83"/>
      <c r="AUR137" s="83"/>
      <c r="AVB137" s="83"/>
      <c r="AVL137" s="83"/>
      <c r="AVV137" s="83"/>
      <c r="AWF137" s="83"/>
      <c r="AWP137" s="83"/>
      <c r="AWZ137" s="83"/>
      <c r="AXJ137" s="83"/>
      <c r="AXT137" s="83"/>
      <c r="AYD137" s="83"/>
      <c r="AYN137" s="83"/>
      <c r="AYX137" s="83"/>
      <c r="AZH137" s="83"/>
      <c r="AZR137" s="83"/>
      <c r="BAB137" s="83"/>
      <c r="BAL137" s="83"/>
      <c r="BAV137" s="83"/>
      <c r="BBF137" s="83"/>
      <c r="BBP137" s="83"/>
      <c r="BBZ137" s="83"/>
      <c r="BCJ137" s="83"/>
      <c r="BCT137" s="83"/>
      <c r="BDD137" s="83"/>
      <c r="BDN137" s="83"/>
      <c r="BDX137" s="83"/>
      <c r="BEH137" s="83"/>
      <c r="BER137" s="83"/>
      <c r="BFB137" s="83"/>
      <c r="BFL137" s="83"/>
      <c r="BFV137" s="83"/>
      <c r="BGF137" s="83"/>
      <c r="BGP137" s="83"/>
      <c r="BGZ137" s="83"/>
      <c r="BHJ137" s="83"/>
      <c r="BHT137" s="83"/>
      <c r="BID137" s="83"/>
      <c r="BIN137" s="83"/>
      <c r="BIX137" s="83"/>
      <c r="BJH137" s="83"/>
      <c r="BJR137" s="83"/>
      <c r="BKB137" s="83"/>
      <c r="BKL137" s="83"/>
      <c r="BKV137" s="83"/>
      <c r="BLF137" s="83"/>
      <c r="BLP137" s="83"/>
      <c r="BLZ137" s="83"/>
      <c r="BMJ137" s="83"/>
      <c r="BMT137" s="83"/>
      <c r="BND137" s="83"/>
      <c r="BNN137" s="83"/>
      <c r="BNX137" s="83"/>
      <c r="BOH137" s="83"/>
      <c r="BOR137" s="83"/>
      <c r="BPB137" s="83"/>
      <c r="BPL137" s="83"/>
      <c r="BPV137" s="83"/>
      <c r="BQF137" s="83"/>
      <c r="BQP137" s="83"/>
      <c r="BQZ137" s="83"/>
      <c r="BRJ137" s="83"/>
      <c r="BRT137" s="83"/>
      <c r="BSD137" s="83"/>
      <c r="BSN137" s="83"/>
      <c r="BSX137" s="83"/>
      <c r="BTH137" s="83"/>
      <c r="BTR137" s="83"/>
      <c r="BUB137" s="83"/>
      <c r="BUL137" s="83"/>
      <c r="BUV137" s="83"/>
      <c r="BVF137" s="83"/>
      <c r="BVP137" s="83"/>
      <c r="BVZ137" s="83"/>
      <c r="BWJ137" s="83"/>
      <c r="BWT137" s="83"/>
      <c r="BXD137" s="83"/>
      <c r="BXN137" s="83"/>
      <c r="BXX137" s="83"/>
      <c r="BYH137" s="83"/>
      <c r="BYR137" s="83"/>
      <c r="BZB137" s="83"/>
      <c r="BZL137" s="83"/>
      <c r="BZV137" s="83"/>
      <c r="CAF137" s="83"/>
      <c r="CAP137" s="83"/>
      <c r="CAZ137" s="83"/>
      <c r="CBJ137" s="83"/>
      <c r="CBT137" s="83"/>
      <c r="CCD137" s="83"/>
      <c r="CCN137" s="83"/>
      <c r="CCX137" s="83"/>
      <c r="CDH137" s="83"/>
      <c r="CDR137" s="83"/>
      <c r="CEB137" s="83"/>
      <c r="CEL137" s="83"/>
      <c r="CEV137" s="83"/>
      <c r="CFF137" s="83"/>
      <c r="CFP137" s="83"/>
      <c r="CFZ137" s="83"/>
      <c r="CGJ137" s="83"/>
      <c r="CGT137" s="83"/>
      <c r="CHD137" s="83"/>
      <c r="CHN137" s="83"/>
      <c r="CHX137" s="83"/>
      <c r="CIH137" s="83"/>
      <c r="CIR137" s="83"/>
      <c r="CJB137" s="83"/>
      <c r="CJL137" s="83"/>
      <c r="CJV137" s="83"/>
      <c r="CKF137" s="83"/>
      <c r="CKP137" s="83"/>
      <c r="CKZ137" s="83"/>
      <c r="CLJ137" s="83"/>
      <c r="CLT137" s="83"/>
      <c r="CMD137" s="83"/>
      <c r="CMN137" s="83"/>
      <c r="CMX137" s="83"/>
      <c r="CNH137" s="83"/>
      <c r="CNR137" s="83"/>
      <c r="COB137" s="83"/>
      <c r="COL137" s="83"/>
      <c r="COV137" s="83"/>
      <c r="CPF137" s="83"/>
      <c r="CPP137" s="83"/>
      <c r="CPZ137" s="83"/>
      <c r="CQJ137" s="83"/>
      <c r="CQT137" s="83"/>
      <c r="CRD137" s="83"/>
      <c r="CRN137" s="83"/>
      <c r="CRX137" s="83"/>
      <c r="CSH137" s="83"/>
      <c r="CSR137" s="83"/>
      <c r="CTB137" s="83"/>
      <c r="CTL137" s="83"/>
      <c r="CTV137" s="83"/>
    </row>
    <row r="138" s="58" customFormat="1" customHeight="1" spans="1:1020 1030:2040 2050:2570">
      <c r="A138" s="87">
        <v>46150</v>
      </c>
      <c r="B138" s="88" t="s">
        <v>149</v>
      </c>
      <c r="C138" s="89" t="s">
        <v>150</v>
      </c>
      <c r="D138" s="75">
        <v>652364150</v>
      </c>
      <c r="E138" s="92" t="s">
        <v>197</v>
      </c>
      <c r="F138" s="91" t="str">
        <f>VLOOKUP(E138,[15]基础数据!E:F,2,0)</f>
        <v>线束总成</v>
      </c>
      <c r="G138" s="75">
        <v>2250</v>
      </c>
      <c r="H138" s="77" t="str">
        <f>VLOOKUP(E138,[15]基础数据!E:H,4,0)</f>
        <v>料盒</v>
      </c>
      <c r="I138" s="77">
        <f>VLOOKUP(E138,[15]基础数据!E:G,3,0)</f>
        <v>30</v>
      </c>
      <c r="J138" s="75" t="s">
        <v>306</v>
      </c>
      <c r="K138" s="78">
        <f t="shared" si="2"/>
        <v>75</v>
      </c>
      <c r="T138" s="83"/>
      <c r="AD138" s="83"/>
      <c r="AN138" s="83"/>
      <c r="AX138" s="83"/>
      <c r="BH138" s="83"/>
      <c r="BR138" s="83"/>
      <c r="CB138" s="83"/>
      <c r="CL138" s="83"/>
      <c r="CV138" s="83"/>
      <c r="DF138" s="83"/>
      <c r="DP138" s="83"/>
      <c r="DZ138" s="83"/>
      <c r="EJ138" s="83"/>
      <c r="ET138" s="83"/>
      <c r="FD138" s="83"/>
      <c r="FN138" s="83"/>
      <c r="FX138" s="83"/>
      <c r="GH138" s="83"/>
      <c r="GR138" s="83"/>
      <c r="HB138" s="83"/>
      <c r="HL138" s="83"/>
      <c r="HV138" s="83"/>
      <c r="IF138" s="83"/>
      <c r="IP138" s="83"/>
      <c r="IZ138" s="83"/>
      <c r="JJ138" s="83"/>
      <c r="JT138" s="83"/>
      <c r="KD138" s="83"/>
      <c r="KN138" s="83"/>
      <c r="KX138" s="83"/>
      <c r="LH138" s="83"/>
      <c r="LR138" s="83"/>
      <c r="MB138" s="83"/>
      <c r="ML138" s="83"/>
      <c r="MV138" s="83"/>
      <c r="NF138" s="83"/>
      <c r="NP138" s="83"/>
      <c r="NZ138" s="83"/>
      <c r="OJ138" s="83"/>
      <c r="OT138" s="83"/>
      <c r="PD138" s="83"/>
      <c r="PN138" s="83"/>
      <c r="PX138" s="83"/>
      <c r="QH138" s="83"/>
      <c r="QR138" s="83"/>
      <c r="RB138" s="83"/>
      <c r="RL138" s="83"/>
      <c r="RV138" s="83"/>
      <c r="SF138" s="83"/>
      <c r="SP138" s="83"/>
      <c r="SZ138" s="83"/>
      <c r="TJ138" s="83"/>
      <c r="TT138" s="83"/>
      <c r="UD138" s="83"/>
      <c r="UN138" s="83"/>
      <c r="UX138" s="83"/>
      <c r="VH138" s="83"/>
      <c r="VR138" s="83"/>
      <c r="WB138" s="83"/>
      <c r="WL138" s="83"/>
      <c r="WV138" s="83"/>
      <c r="XF138" s="83"/>
      <c r="XP138" s="83"/>
      <c r="XZ138" s="83"/>
      <c r="YJ138" s="83"/>
      <c r="YT138" s="83"/>
      <c r="ZD138" s="83"/>
      <c r="ZN138" s="83"/>
      <c r="ZX138" s="83"/>
      <c r="AAH138" s="83"/>
      <c r="AAR138" s="83"/>
      <c r="ABB138" s="83"/>
      <c r="ABL138" s="83"/>
      <c r="ABV138" s="83"/>
      <c r="ACF138" s="83"/>
      <c r="ACP138" s="83"/>
      <c r="ACZ138" s="83"/>
      <c r="ADJ138" s="83"/>
      <c r="ADT138" s="83"/>
      <c r="AED138" s="83"/>
      <c r="AEN138" s="83"/>
      <c r="AEX138" s="83"/>
      <c r="AFH138" s="83"/>
      <c r="AFR138" s="83"/>
      <c r="AGB138" s="83"/>
      <c r="AGL138" s="83"/>
      <c r="AGV138" s="83"/>
      <c r="AHF138" s="83"/>
      <c r="AHP138" s="83"/>
      <c r="AHZ138" s="83"/>
      <c r="AIJ138" s="83"/>
      <c r="AIT138" s="83"/>
      <c r="AJD138" s="83"/>
      <c r="AJN138" s="83"/>
      <c r="AJX138" s="83"/>
      <c r="AKH138" s="83"/>
      <c r="AKR138" s="83"/>
      <c r="ALB138" s="83"/>
      <c r="ALL138" s="83"/>
      <c r="ALV138" s="83"/>
      <c r="AMF138" s="83"/>
      <c r="AMP138" s="83"/>
      <c r="AMZ138" s="83"/>
      <c r="ANJ138" s="83"/>
      <c r="ANT138" s="83"/>
      <c r="AOD138" s="83"/>
      <c r="AON138" s="83"/>
      <c r="AOX138" s="83"/>
      <c r="APH138" s="83"/>
      <c r="APR138" s="83"/>
      <c r="AQB138" s="83"/>
      <c r="AQL138" s="83"/>
      <c r="AQV138" s="83"/>
      <c r="ARF138" s="83"/>
      <c r="ARP138" s="83"/>
      <c r="ARZ138" s="83"/>
      <c r="ASJ138" s="83"/>
      <c r="AST138" s="83"/>
      <c r="ATD138" s="83"/>
      <c r="ATN138" s="83"/>
      <c r="ATX138" s="83"/>
      <c r="AUH138" s="83"/>
      <c r="AUR138" s="83"/>
      <c r="AVB138" s="83"/>
      <c r="AVL138" s="83"/>
      <c r="AVV138" s="83"/>
      <c r="AWF138" s="83"/>
      <c r="AWP138" s="83"/>
      <c r="AWZ138" s="83"/>
      <c r="AXJ138" s="83"/>
      <c r="AXT138" s="83"/>
      <c r="AYD138" s="83"/>
      <c r="AYN138" s="83"/>
      <c r="AYX138" s="83"/>
      <c r="AZH138" s="83"/>
      <c r="AZR138" s="83"/>
      <c r="BAB138" s="83"/>
      <c r="BAL138" s="83"/>
      <c r="BAV138" s="83"/>
      <c r="BBF138" s="83"/>
      <c r="BBP138" s="83"/>
      <c r="BBZ138" s="83"/>
      <c r="BCJ138" s="83"/>
      <c r="BCT138" s="83"/>
      <c r="BDD138" s="83"/>
      <c r="BDN138" s="83"/>
      <c r="BDX138" s="83"/>
      <c r="BEH138" s="83"/>
      <c r="BER138" s="83"/>
      <c r="BFB138" s="83"/>
      <c r="BFL138" s="83"/>
      <c r="BFV138" s="83"/>
      <c r="BGF138" s="83"/>
      <c r="BGP138" s="83"/>
      <c r="BGZ138" s="83"/>
      <c r="BHJ138" s="83"/>
      <c r="BHT138" s="83"/>
      <c r="BID138" s="83"/>
      <c r="BIN138" s="83"/>
      <c r="BIX138" s="83"/>
      <c r="BJH138" s="83"/>
      <c r="BJR138" s="83"/>
      <c r="BKB138" s="83"/>
      <c r="BKL138" s="83"/>
      <c r="BKV138" s="83"/>
      <c r="BLF138" s="83"/>
      <c r="BLP138" s="83"/>
      <c r="BLZ138" s="83"/>
      <c r="BMJ138" s="83"/>
      <c r="BMT138" s="83"/>
      <c r="BND138" s="83"/>
      <c r="BNN138" s="83"/>
      <c r="BNX138" s="83"/>
      <c r="BOH138" s="83"/>
      <c r="BOR138" s="83"/>
      <c r="BPB138" s="83"/>
      <c r="BPL138" s="83"/>
      <c r="BPV138" s="83"/>
      <c r="BQF138" s="83"/>
      <c r="BQP138" s="83"/>
      <c r="BQZ138" s="83"/>
      <c r="BRJ138" s="83"/>
      <c r="BRT138" s="83"/>
      <c r="BSD138" s="83"/>
      <c r="BSN138" s="83"/>
      <c r="BSX138" s="83"/>
      <c r="BTH138" s="83"/>
      <c r="BTR138" s="83"/>
      <c r="BUB138" s="83"/>
      <c r="BUL138" s="83"/>
      <c r="BUV138" s="83"/>
      <c r="BVF138" s="83"/>
      <c r="BVP138" s="83"/>
      <c r="BVZ138" s="83"/>
      <c r="BWJ138" s="83"/>
      <c r="BWT138" s="83"/>
      <c r="BXD138" s="83"/>
      <c r="BXN138" s="83"/>
      <c r="BXX138" s="83"/>
      <c r="BYH138" s="83"/>
      <c r="BYR138" s="83"/>
      <c r="BZB138" s="83"/>
      <c r="BZL138" s="83"/>
      <c r="BZV138" s="83"/>
      <c r="CAF138" s="83"/>
      <c r="CAP138" s="83"/>
      <c r="CAZ138" s="83"/>
      <c r="CBJ138" s="83"/>
      <c r="CBT138" s="83"/>
      <c r="CCD138" s="83"/>
      <c r="CCN138" s="83"/>
      <c r="CCX138" s="83"/>
      <c r="CDH138" s="83"/>
      <c r="CDR138" s="83"/>
      <c r="CEB138" s="83"/>
      <c r="CEL138" s="83"/>
      <c r="CEV138" s="83"/>
      <c r="CFF138" s="83"/>
      <c r="CFP138" s="83"/>
      <c r="CFZ138" s="83"/>
      <c r="CGJ138" s="83"/>
      <c r="CGT138" s="83"/>
      <c r="CHD138" s="83"/>
      <c r="CHN138" s="83"/>
      <c r="CHX138" s="83"/>
      <c r="CIH138" s="83"/>
      <c r="CIR138" s="83"/>
      <c r="CJB138" s="83"/>
      <c r="CJL138" s="83"/>
      <c r="CJV138" s="83"/>
      <c r="CKF138" s="83"/>
      <c r="CKP138" s="83"/>
      <c r="CKZ138" s="83"/>
      <c r="CLJ138" s="83"/>
      <c r="CLT138" s="83"/>
      <c r="CMD138" s="83"/>
      <c r="CMN138" s="83"/>
      <c r="CMX138" s="83"/>
      <c r="CNH138" s="83"/>
      <c r="CNR138" s="83"/>
      <c r="COB138" s="83"/>
      <c r="COL138" s="83"/>
      <c r="COV138" s="83"/>
      <c r="CPF138" s="83"/>
      <c r="CPP138" s="83"/>
      <c r="CPZ138" s="83"/>
      <c r="CQJ138" s="83"/>
      <c r="CQT138" s="83"/>
      <c r="CRD138" s="83"/>
      <c r="CRN138" s="83"/>
      <c r="CRX138" s="83"/>
      <c r="CSH138" s="83"/>
      <c r="CSR138" s="83"/>
      <c r="CTB138" s="83"/>
      <c r="CTL138" s="83"/>
      <c r="CTV138" s="83"/>
    </row>
    <row r="139" s="58" customFormat="1" customHeight="1" spans="1:1020 1030:2040 2050:2570">
      <c r="A139" s="87">
        <v>46150</v>
      </c>
      <c r="B139" s="88" t="s">
        <v>149</v>
      </c>
      <c r="C139" s="89" t="s">
        <v>150</v>
      </c>
      <c r="D139" s="75">
        <v>652364150</v>
      </c>
      <c r="E139" s="92" t="s">
        <v>198</v>
      </c>
      <c r="F139" s="91" t="str">
        <f>VLOOKUP(E139,[15]基础数据!E:F,2,0)</f>
        <v>线束总成</v>
      </c>
      <c r="G139" s="75">
        <v>2000</v>
      </c>
      <c r="H139" s="77" t="str">
        <f>VLOOKUP(E139,[15]基础数据!E:H,4,0)</f>
        <v>料盒</v>
      </c>
      <c r="I139" s="77">
        <f>VLOOKUP(E139,[15]基础数据!E:G,3,0)</f>
        <v>20</v>
      </c>
      <c r="J139" s="75" t="s">
        <v>306</v>
      </c>
      <c r="K139" s="78">
        <f t="shared" si="2"/>
        <v>100</v>
      </c>
      <c r="T139" s="83"/>
      <c r="AD139" s="83"/>
      <c r="AN139" s="83"/>
      <c r="AX139" s="83"/>
      <c r="BH139" s="83"/>
      <c r="BR139" s="83"/>
      <c r="CB139" s="83"/>
      <c r="CL139" s="83"/>
      <c r="CV139" s="83"/>
      <c r="DF139" s="83"/>
      <c r="DP139" s="83"/>
      <c r="DZ139" s="83"/>
      <c r="EJ139" s="83"/>
      <c r="ET139" s="83"/>
      <c r="FD139" s="83"/>
      <c r="FN139" s="83"/>
      <c r="FX139" s="83"/>
      <c r="GH139" s="83"/>
      <c r="GR139" s="83"/>
      <c r="HB139" s="83"/>
      <c r="HL139" s="83"/>
      <c r="HV139" s="83"/>
      <c r="IF139" s="83"/>
      <c r="IP139" s="83"/>
      <c r="IZ139" s="83"/>
      <c r="JJ139" s="83"/>
      <c r="JT139" s="83"/>
      <c r="KD139" s="83"/>
      <c r="KN139" s="83"/>
      <c r="KX139" s="83"/>
      <c r="LH139" s="83"/>
      <c r="LR139" s="83"/>
      <c r="MB139" s="83"/>
      <c r="ML139" s="83"/>
      <c r="MV139" s="83"/>
      <c r="NF139" s="83"/>
      <c r="NP139" s="83"/>
      <c r="NZ139" s="83"/>
      <c r="OJ139" s="83"/>
      <c r="OT139" s="83"/>
      <c r="PD139" s="83"/>
      <c r="PN139" s="83"/>
      <c r="PX139" s="83"/>
      <c r="QH139" s="83"/>
      <c r="QR139" s="83"/>
      <c r="RB139" s="83"/>
      <c r="RL139" s="83"/>
      <c r="RV139" s="83"/>
      <c r="SF139" s="83"/>
      <c r="SP139" s="83"/>
      <c r="SZ139" s="83"/>
      <c r="TJ139" s="83"/>
      <c r="TT139" s="83"/>
      <c r="UD139" s="83"/>
      <c r="UN139" s="83"/>
      <c r="UX139" s="83"/>
      <c r="VH139" s="83"/>
      <c r="VR139" s="83"/>
      <c r="WB139" s="83"/>
      <c r="WL139" s="83"/>
      <c r="WV139" s="83"/>
      <c r="XF139" s="83"/>
      <c r="XP139" s="83"/>
      <c r="XZ139" s="83"/>
      <c r="YJ139" s="83"/>
      <c r="YT139" s="83"/>
      <c r="ZD139" s="83"/>
      <c r="ZN139" s="83"/>
      <c r="ZX139" s="83"/>
      <c r="AAH139" s="83"/>
      <c r="AAR139" s="83"/>
      <c r="ABB139" s="83"/>
      <c r="ABL139" s="83"/>
      <c r="ABV139" s="83"/>
      <c r="ACF139" s="83"/>
      <c r="ACP139" s="83"/>
      <c r="ACZ139" s="83"/>
      <c r="ADJ139" s="83"/>
      <c r="ADT139" s="83"/>
      <c r="AED139" s="83"/>
      <c r="AEN139" s="83"/>
      <c r="AEX139" s="83"/>
      <c r="AFH139" s="83"/>
      <c r="AFR139" s="83"/>
      <c r="AGB139" s="83"/>
      <c r="AGL139" s="83"/>
      <c r="AGV139" s="83"/>
      <c r="AHF139" s="83"/>
      <c r="AHP139" s="83"/>
      <c r="AHZ139" s="83"/>
      <c r="AIJ139" s="83"/>
      <c r="AIT139" s="83"/>
      <c r="AJD139" s="83"/>
      <c r="AJN139" s="83"/>
      <c r="AJX139" s="83"/>
      <c r="AKH139" s="83"/>
      <c r="AKR139" s="83"/>
      <c r="ALB139" s="83"/>
      <c r="ALL139" s="83"/>
      <c r="ALV139" s="83"/>
      <c r="AMF139" s="83"/>
      <c r="AMP139" s="83"/>
      <c r="AMZ139" s="83"/>
      <c r="ANJ139" s="83"/>
      <c r="ANT139" s="83"/>
      <c r="AOD139" s="83"/>
      <c r="AON139" s="83"/>
      <c r="AOX139" s="83"/>
      <c r="APH139" s="83"/>
      <c r="APR139" s="83"/>
      <c r="AQB139" s="83"/>
      <c r="AQL139" s="83"/>
      <c r="AQV139" s="83"/>
      <c r="ARF139" s="83"/>
      <c r="ARP139" s="83"/>
      <c r="ARZ139" s="83"/>
      <c r="ASJ139" s="83"/>
      <c r="AST139" s="83"/>
      <c r="ATD139" s="83"/>
      <c r="ATN139" s="83"/>
      <c r="ATX139" s="83"/>
      <c r="AUH139" s="83"/>
      <c r="AUR139" s="83"/>
      <c r="AVB139" s="83"/>
      <c r="AVL139" s="83"/>
      <c r="AVV139" s="83"/>
      <c r="AWF139" s="83"/>
      <c r="AWP139" s="83"/>
      <c r="AWZ139" s="83"/>
      <c r="AXJ139" s="83"/>
      <c r="AXT139" s="83"/>
      <c r="AYD139" s="83"/>
      <c r="AYN139" s="83"/>
      <c r="AYX139" s="83"/>
      <c r="AZH139" s="83"/>
      <c r="AZR139" s="83"/>
      <c r="BAB139" s="83"/>
      <c r="BAL139" s="83"/>
      <c r="BAV139" s="83"/>
      <c r="BBF139" s="83"/>
      <c r="BBP139" s="83"/>
      <c r="BBZ139" s="83"/>
      <c r="BCJ139" s="83"/>
      <c r="BCT139" s="83"/>
      <c r="BDD139" s="83"/>
      <c r="BDN139" s="83"/>
      <c r="BDX139" s="83"/>
      <c r="BEH139" s="83"/>
      <c r="BER139" s="83"/>
      <c r="BFB139" s="83"/>
      <c r="BFL139" s="83"/>
      <c r="BFV139" s="83"/>
      <c r="BGF139" s="83"/>
      <c r="BGP139" s="83"/>
      <c r="BGZ139" s="83"/>
      <c r="BHJ139" s="83"/>
      <c r="BHT139" s="83"/>
      <c r="BID139" s="83"/>
      <c r="BIN139" s="83"/>
      <c r="BIX139" s="83"/>
      <c r="BJH139" s="83"/>
      <c r="BJR139" s="83"/>
      <c r="BKB139" s="83"/>
      <c r="BKL139" s="83"/>
      <c r="BKV139" s="83"/>
      <c r="BLF139" s="83"/>
      <c r="BLP139" s="83"/>
      <c r="BLZ139" s="83"/>
      <c r="BMJ139" s="83"/>
      <c r="BMT139" s="83"/>
      <c r="BND139" s="83"/>
      <c r="BNN139" s="83"/>
      <c r="BNX139" s="83"/>
      <c r="BOH139" s="83"/>
      <c r="BOR139" s="83"/>
      <c r="BPB139" s="83"/>
      <c r="BPL139" s="83"/>
      <c r="BPV139" s="83"/>
      <c r="BQF139" s="83"/>
      <c r="BQP139" s="83"/>
      <c r="BQZ139" s="83"/>
      <c r="BRJ139" s="83"/>
      <c r="BRT139" s="83"/>
      <c r="BSD139" s="83"/>
      <c r="BSN139" s="83"/>
      <c r="BSX139" s="83"/>
      <c r="BTH139" s="83"/>
      <c r="BTR139" s="83"/>
      <c r="BUB139" s="83"/>
      <c r="BUL139" s="83"/>
      <c r="BUV139" s="83"/>
      <c r="BVF139" s="83"/>
      <c r="BVP139" s="83"/>
      <c r="BVZ139" s="83"/>
      <c r="BWJ139" s="83"/>
      <c r="BWT139" s="83"/>
      <c r="BXD139" s="83"/>
      <c r="BXN139" s="83"/>
      <c r="BXX139" s="83"/>
      <c r="BYH139" s="83"/>
      <c r="BYR139" s="83"/>
      <c r="BZB139" s="83"/>
      <c r="BZL139" s="83"/>
      <c r="BZV139" s="83"/>
      <c r="CAF139" s="83"/>
      <c r="CAP139" s="83"/>
      <c r="CAZ139" s="83"/>
      <c r="CBJ139" s="83"/>
      <c r="CBT139" s="83"/>
      <c r="CCD139" s="83"/>
      <c r="CCN139" s="83"/>
      <c r="CCX139" s="83"/>
      <c r="CDH139" s="83"/>
      <c r="CDR139" s="83"/>
      <c r="CEB139" s="83"/>
      <c r="CEL139" s="83"/>
      <c r="CEV139" s="83"/>
      <c r="CFF139" s="83"/>
      <c r="CFP139" s="83"/>
      <c r="CFZ139" s="83"/>
      <c r="CGJ139" s="83"/>
      <c r="CGT139" s="83"/>
      <c r="CHD139" s="83"/>
      <c r="CHN139" s="83"/>
      <c r="CHX139" s="83"/>
      <c r="CIH139" s="83"/>
      <c r="CIR139" s="83"/>
      <c r="CJB139" s="83"/>
      <c r="CJL139" s="83"/>
      <c r="CJV139" s="83"/>
      <c r="CKF139" s="83"/>
      <c r="CKP139" s="83"/>
      <c r="CKZ139" s="83"/>
      <c r="CLJ139" s="83"/>
      <c r="CLT139" s="83"/>
      <c r="CMD139" s="83"/>
      <c r="CMN139" s="83"/>
      <c r="CMX139" s="83"/>
      <c r="CNH139" s="83"/>
      <c r="CNR139" s="83"/>
      <c r="COB139" s="83"/>
      <c r="COL139" s="83"/>
      <c r="COV139" s="83"/>
      <c r="CPF139" s="83"/>
      <c r="CPP139" s="83"/>
      <c r="CPZ139" s="83"/>
      <c r="CQJ139" s="83"/>
      <c r="CQT139" s="83"/>
      <c r="CRD139" s="83"/>
      <c r="CRN139" s="83"/>
      <c r="CRX139" s="83"/>
      <c r="CSH139" s="83"/>
      <c r="CSR139" s="83"/>
      <c r="CTB139" s="83"/>
      <c r="CTL139" s="83"/>
      <c r="CTV139" s="83"/>
    </row>
    <row r="140" s="58" customFormat="1" customHeight="1" spans="1:1020 1030:2040 2050:2570">
      <c r="A140" s="87">
        <v>46150</v>
      </c>
      <c r="B140" s="88" t="s">
        <v>149</v>
      </c>
      <c r="C140" s="89" t="s">
        <v>150</v>
      </c>
      <c r="D140" s="75">
        <v>652365155</v>
      </c>
      <c r="E140" s="90" t="s">
        <v>155</v>
      </c>
      <c r="F140" s="91" t="str">
        <f>VLOOKUP(E140,[15]基础数据!E:F,2,0)</f>
        <v>A12EV10-预充电阻连接线束</v>
      </c>
      <c r="G140" s="75">
        <v>1500</v>
      </c>
      <c r="H140" s="77" t="str">
        <f>VLOOKUP(E140,[15]基础数据!E:H,4,0)</f>
        <v>料盒</v>
      </c>
      <c r="I140" s="77">
        <f>VLOOKUP(E140,[15]基础数据!E:G,3,0)</f>
        <v>100</v>
      </c>
      <c r="J140" s="75" t="s">
        <v>306</v>
      </c>
      <c r="K140" s="78">
        <f t="shared" si="2"/>
        <v>15</v>
      </c>
      <c r="T140" s="83"/>
      <c r="AD140" s="83"/>
      <c r="AN140" s="83"/>
      <c r="AX140" s="83"/>
      <c r="BH140" s="83"/>
      <c r="BR140" s="83"/>
      <c r="CB140" s="83"/>
      <c r="CL140" s="83"/>
      <c r="CV140" s="83"/>
      <c r="DF140" s="83"/>
      <c r="DP140" s="83"/>
      <c r="DZ140" s="83"/>
      <c r="EJ140" s="83"/>
      <c r="ET140" s="83"/>
      <c r="FD140" s="83"/>
      <c r="FN140" s="83"/>
      <c r="FX140" s="83"/>
      <c r="GH140" s="83"/>
      <c r="GR140" s="83"/>
      <c r="HB140" s="83"/>
      <c r="HL140" s="83"/>
      <c r="HV140" s="83"/>
      <c r="IF140" s="83"/>
      <c r="IP140" s="83"/>
      <c r="IZ140" s="83"/>
      <c r="JJ140" s="83"/>
      <c r="JT140" s="83"/>
      <c r="KD140" s="83"/>
      <c r="KN140" s="83"/>
      <c r="KX140" s="83"/>
      <c r="LH140" s="83"/>
      <c r="LR140" s="83"/>
      <c r="MB140" s="83"/>
      <c r="ML140" s="83"/>
      <c r="MV140" s="83"/>
      <c r="NF140" s="83"/>
      <c r="NP140" s="83"/>
      <c r="NZ140" s="83"/>
      <c r="OJ140" s="83"/>
      <c r="OT140" s="83"/>
      <c r="PD140" s="83"/>
      <c r="PN140" s="83"/>
      <c r="PX140" s="83"/>
      <c r="QH140" s="83"/>
      <c r="QR140" s="83"/>
      <c r="RB140" s="83"/>
      <c r="RL140" s="83"/>
      <c r="RV140" s="83"/>
      <c r="SF140" s="83"/>
      <c r="SP140" s="83"/>
      <c r="SZ140" s="83"/>
      <c r="TJ140" s="83"/>
      <c r="TT140" s="83"/>
      <c r="UD140" s="83"/>
      <c r="UN140" s="83"/>
      <c r="UX140" s="83"/>
      <c r="VH140" s="83"/>
      <c r="VR140" s="83"/>
      <c r="WB140" s="83"/>
      <c r="WL140" s="83"/>
      <c r="WV140" s="83"/>
      <c r="XF140" s="83"/>
      <c r="XP140" s="83"/>
      <c r="XZ140" s="83"/>
      <c r="YJ140" s="83"/>
      <c r="YT140" s="83"/>
      <c r="ZD140" s="83"/>
      <c r="ZN140" s="83"/>
      <c r="ZX140" s="83"/>
      <c r="AAH140" s="83"/>
      <c r="AAR140" s="83"/>
      <c r="ABB140" s="83"/>
      <c r="ABL140" s="83"/>
      <c r="ABV140" s="83"/>
      <c r="ACF140" s="83"/>
      <c r="ACP140" s="83"/>
      <c r="ACZ140" s="83"/>
      <c r="ADJ140" s="83"/>
      <c r="ADT140" s="83"/>
      <c r="AED140" s="83"/>
      <c r="AEN140" s="83"/>
      <c r="AEX140" s="83"/>
      <c r="AFH140" s="83"/>
      <c r="AFR140" s="83"/>
      <c r="AGB140" s="83"/>
      <c r="AGL140" s="83"/>
      <c r="AGV140" s="83"/>
      <c r="AHF140" s="83"/>
      <c r="AHP140" s="83"/>
      <c r="AHZ140" s="83"/>
      <c r="AIJ140" s="83"/>
      <c r="AIT140" s="83"/>
      <c r="AJD140" s="83"/>
      <c r="AJN140" s="83"/>
      <c r="AJX140" s="83"/>
      <c r="AKH140" s="83"/>
      <c r="AKR140" s="83"/>
      <c r="ALB140" s="83"/>
      <c r="ALL140" s="83"/>
      <c r="ALV140" s="83"/>
      <c r="AMF140" s="83"/>
      <c r="AMP140" s="83"/>
      <c r="AMZ140" s="83"/>
      <c r="ANJ140" s="83"/>
      <c r="ANT140" s="83"/>
      <c r="AOD140" s="83"/>
      <c r="AON140" s="83"/>
      <c r="AOX140" s="83"/>
      <c r="APH140" s="83"/>
      <c r="APR140" s="83"/>
      <c r="AQB140" s="83"/>
      <c r="AQL140" s="83"/>
      <c r="AQV140" s="83"/>
      <c r="ARF140" s="83"/>
      <c r="ARP140" s="83"/>
      <c r="ARZ140" s="83"/>
      <c r="ASJ140" s="83"/>
      <c r="AST140" s="83"/>
      <c r="ATD140" s="83"/>
      <c r="ATN140" s="83"/>
      <c r="ATX140" s="83"/>
      <c r="AUH140" s="83"/>
      <c r="AUR140" s="83"/>
      <c r="AVB140" s="83"/>
      <c r="AVL140" s="83"/>
      <c r="AVV140" s="83"/>
      <c r="AWF140" s="83"/>
      <c r="AWP140" s="83"/>
      <c r="AWZ140" s="83"/>
      <c r="AXJ140" s="83"/>
      <c r="AXT140" s="83"/>
      <c r="AYD140" s="83"/>
      <c r="AYN140" s="83"/>
      <c r="AYX140" s="83"/>
      <c r="AZH140" s="83"/>
      <c r="AZR140" s="83"/>
      <c r="BAB140" s="83"/>
      <c r="BAL140" s="83"/>
      <c r="BAV140" s="83"/>
      <c r="BBF140" s="83"/>
      <c r="BBP140" s="83"/>
      <c r="BBZ140" s="83"/>
      <c r="BCJ140" s="83"/>
      <c r="BCT140" s="83"/>
      <c r="BDD140" s="83"/>
      <c r="BDN140" s="83"/>
      <c r="BDX140" s="83"/>
      <c r="BEH140" s="83"/>
      <c r="BER140" s="83"/>
      <c r="BFB140" s="83"/>
      <c r="BFL140" s="83"/>
      <c r="BFV140" s="83"/>
      <c r="BGF140" s="83"/>
      <c r="BGP140" s="83"/>
      <c r="BGZ140" s="83"/>
      <c r="BHJ140" s="83"/>
      <c r="BHT140" s="83"/>
      <c r="BID140" s="83"/>
      <c r="BIN140" s="83"/>
      <c r="BIX140" s="83"/>
      <c r="BJH140" s="83"/>
      <c r="BJR140" s="83"/>
      <c r="BKB140" s="83"/>
      <c r="BKL140" s="83"/>
      <c r="BKV140" s="83"/>
      <c r="BLF140" s="83"/>
      <c r="BLP140" s="83"/>
      <c r="BLZ140" s="83"/>
      <c r="BMJ140" s="83"/>
      <c r="BMT140" s="83"/>
      <c r="BND140" s="83"/>
      <c r="BNN140" s="83"/>
      <c r="BNX140" s="83"/>
      <c r="BOH140" s="83"/>
      <c r="BOR140" s="83"/>
      <c r="BPB140" s="83"/>
      <c r="BPL140" s="83"/>
      <c r="BPV140" s="83"/>
      <c r="BQF140" s="83"/>
      <c r="BQP140" s="83"/>
      <c r="BQZ140" s="83"/>
      <c r="BRJ140" s="83"/>
      <c r="BRT140" s="83"/>
      <c r="BSD140" s="83"/>
      <c r="BSN140" s="83"/>
      <c r="BSX140" s="83"/>
      <c r="BTH140" s="83"/>
      <c r="BTR140" s="83"/>
      <c r="BUB140" s="83"/>
      <c r="BUL140" s="83"/>
      <c r="BUV140" s="83"/>
      <c r="BVF140" s="83"/>
      <c r="BVP140" s="83"/>
      <c r="BVZ140" s="83"/>
      <c r="BWJ140" s="83"/>
      <c r="BWT140" s="83"/>
      <c r="BXD140" s="83"/>
      <c r="BXN140" s="83"/>
      <c r="BXX140" s="83"/>
      <c r="BYH140" s="83"/>
      <c r="BYR140" s="83"/>
      <c r="BZB140" s="83"/>
      <c r="BZL140" s="83"/>
      <c r="BZV140" s="83"/>
      <c r="CAF140" s="83"/>
      <c r="CAP140" s="83"/>
      <c r="CAZ140" s="83"/>
      <c r="CBJ140" s="83"/>
      <c r="CBT140" s="83"/>
      <c r="CCD140" s="83"/>
      <c r="CCN140" s="83"/>
      <c r="CCX140" s="83"/>
      <c r="CDH140" s="83"/>
      <c r="CDR140" s="83"/>
      <c r="CEB140" s="83"/>
      <c r="CEL140" s="83"/>
      <c r="CEV140" s="83"/>
      <c r="CFF140" s="83"/>
      <c r="CFP140" s="83"/>
      <c r="CFZ140" s="83"/>
      <c r="CGJ140" s="83"/>
      <c r="CGT140" s="83"/>
      <c r="CHD140" s="83"/>
      <c r="CHN140" s="83"/>
      <c r="CHX140" s="83"/>
      <c r="CIH140" s="83"/>
      <c r="CIR140" s="83"/>
      <c r="CJB140" s="83"/>
      <c r="CJL140" s="83"/>
      <c r="CJV140" s="83"/>
      <c r="CKF140" s="83"/>
      <c r="CKP140" s="83"/>
      <c r="CKZ140" s="83"/>
      <c r="CLJ140" s="83"/>
      <c r="CLT140" s="83"/>
      <c r="CMD140" s="83"/>
      <c r="CMN140" s="83"/>
      <c r="CMX140" s="83"/>
      <c r="CNH140" s="83"/>
      <c r="CNR140" s="83"/>
      <c r="COB140" s="83"/>
      <c r="COL140" s="83"/>
      <c r="COV140" s="83"/>
      <c r="CPF140" s="83"/>
      <c r="CPP140" s="83"/>
      <c r="CPZ140" s="83"/>
      <c r="CQJ140" s="83"/>
      <c r="CQT140" s="83"/>
      <c r="CRD140" s="83"/>
      <c r="CRN140" s="83"/>
      <c r="CRX140" s="83"/>
      <c r="CSH140" s="83"/>
      <c r="CSR140" s="83"/>
      <c r="CTB140" s="83"/>
      <c r="CTL140" s="83"/>
      <c r="CTV140" s="83"/>
    </row>
    <row r="141" s="58" customFormat="1" customHeight="1" spans="1:1020 1030:2040 2050:2570">
      <c r="A141" s="87">
        <v>46150</v>
      </c>
      <c r="B141" s="88" t="s">
        <v>149</v>
      </c>
      <c r="C141" s="89" t="s">
        <v>150</v>
      </c>
      <c r="D141" s="75">
        <v>652365155</v>
      </c>
      <c r="E141" s="90" t="s">
        <v>153</v>
      </c>
      <c r="F141" s="91" t="str">
        <f>VLOOKUP(E141,[15]基础数据!E:F,2,0)</f>
        <v>A12-外部通讯连接线束</v>
      </c>
      <c r="G141" s="75">
        <v>1500</v>
      </c>
      <c r="H141" s="77" t="str">
        <f>VLOOKUP(E141,[15]基础数据!E:H,4,0)</f>
        <v>料盒</v>
      </c>
      <c r="I141" s="77">
        <f>VLOOKUP(E141,[15]基础数据!E:G,3,0)</f>
        <v>100</v>
      </c>
      <c r="J141" s="75" t="s">
        <v>306</v>
      </c>
      <c r="K141" s="78">
        <f t="shared" si="2"/>
        <v>15</v>
      </c>
      <c r="T141" s="83"/>
      <c r="AD141" s="83"/>
      <c r="AN141" s="83"/>
      <c r="AX141" s="83"/>
      <c r="BH141" s="83"/>
      <c r="BR141" s="83"/>
      <c r="CB141" s="83"/>
      <c r="CL141" s="83"/>
      <c r="CV141" s="83"/>
      <c r="DF141" s="83"/>
      <c r="DP141" s="83"/>
      <c r="DZ141" s="83"/>
      <c r="EJ141" s="83"/>
      <c r="ET141" s="83"/>
      <c r="FD141" s="83"/>
      <c r="FN141" s="83"/>
      <c r="FX141" s="83"/>
      <c r="GH141" s="83"/>
      <c r="GR141" s="83"/>
      <c r="HB141" s="83"/>
      <c r="HL141" s="83"/>
      <c r="HV141" s="83"/>
      <c r="IF141" s="83"/>
      <c r="IP141" s="83"/>
      <c r="IZ141" s="83"/>
      <c r="JJ141" s="83"/>
      <c r="JT141" s="83"/>
      <c r="KD141" s="83"/>
      <c r="KN141" s="83"/>
      <c r="KX141" s="83"/>
      <c r="LH141" s="83"/>
      <c r="LR141" s="83"/>
      <c r="MB141" s="83"/>
      <c r="ML141" s="83"/>
      <c r="MV141" s="83"/>
      <c r="NF141" s="83"/>
      <c r="NP141" s="83"/>
      <c r="NZ141" s="83"/>
      <c r="OJ141" s="83"/>
      <c r="OT141" s="83"/>
      <c r="PD141" s="83"/>
      <c r="PN141" s="83"/>
      <c r="PX141" s="83"/>
      <c r="QH141" s="83"/>
      <c r="QR141" s="83"/>
      <c r="RB141" s="83"/>
      <c r="RL141" s="83"/>
      <c r="RV141" s="83"/>
      <c r="SF141" s="83"/>
      <c r="SP141" s="83"/>
      <c r="SZ141" s="83"/>
      <c r="TJ141" s="83"/>
      <c r="TT141" s="83"/>
      <c r="UD141" s="83"/>
      <c r="UN141" s="83"/>
      <c r="UX141" s="83"/>
      <c r="VH141" s="83"/>
      <c r="VR141" s="83"/>
      <c r="WB141" s="83"/>
      <c r="WL141" s="83"/>
      <c r="WV141" s="83"/>
      <c r="XF141" s="83"/>
      <c r="XP141" s="83"/>
      <c r="XZ141" s="83"/>
      <c r="YJ141" s="83"/>
      <c r="YT141" s="83"/>
      <c r="ZD141" s="83"/>
      <c r="ZN141" s="83"/>
      <c r="ZX141" s="83"/>
      <c r="AAH141" s="83"/>
      <c r="AAR141" s="83"/>
      <c r="ABB141" s="83"/>
      <c r="ABL141" s="83"/>
      <c r="ABV141" s="83"/>
      <c r="ACF141" s="83"/>
      <c r="ACP141" s="83"/>
      <c r="ACZ141" s="83"/>
      <c r="ADJ141" s="83"/>
      <c r="ADT141" s="83"/>
      <c r="AED141" s="83"/>
      <c r="AEN141" s="83"/>
      <c r="AEX141" s="83"/>
      <c r="AFH141" s="83"/>
      <c r="AFR141" s="83"/>
      <c r="AGB141" s="83"/>
      <c r="AGL141" s="83"/>
      <c r="AGV141" s="83"/>
      <c r="AHF141" s="83"/>
      <c r="AHP141" s="83"/>
      <c r="AHZ141" s="83"/>
      <c r="AIJ141" s="83"/>
      <c r="AIT141" s="83"/>
      <c r="AJD141" s="83"/>
      <c r="AJN141" s="83"/>
      <c r="AJX141" s="83"/>
      <c r="AKH141" s="83"/>
      <c r="AKR141" s="83"/>
      <c r="ALB141" s="83"/>
      <c r="ALL141" s="83"/>
      <c r="ALV141" s="83"/>
      <c r="AMF141" s="83"/>
      <c r="AMP141" s="83"/>
      <c r="AMZ141" s="83"/>
      <c r="ANJ141" s="83"/>
      <c r="ANT141" s="83"/>
      <c r="AOD141" s="83"/>
      <c r="AON141" s="83"/>
      <c r="AOX141" s="83"/>
      <c r="APH141" s="83"/>
      <c r="APR141" s="83"/>
      <c r="AQB141" s="83"/>
      <c r="AQL141" s="83"/>
      <c r="AQV141" s="83"/>
      <c r="ARF141" s="83"/>
      <c r="ARP141" s="83"/>
      <c r="ARZ141" s="83"/>
      <c r="ASJ141" s="83"/>
      <c r="AST141" s="83"/>
      <c r="ATD141" s="83"/>
      <c r="ATN141" s="83"/>
      <c r="ATX141" s="83"/>
      <c r="AUH141" s="83"/>
      <c r="AUR141" s="83"/>
      <c r="AVB141" s="83"/>
      <c r="AVL141" s="83"/>
      <c r="AVV141" s="83"/>
      <c r="AWF141" s="83"/>
      <c r="AWP141" s="83"/>
      <c r="AWZ141" s="83"/>
      <c r="AXJ141" s="83"/>
      <c r="AXT141" s="83"/>
      <c r="AYD141" s="83"/>
      <c r="AYN141" s="83"/>
      <c r="AYX141" s="83"/>
      <c r="AZH141" s="83"/>
      <c r="AZR141" s="83"/>
      <c r="BAB141" s="83"/>
      <c r="BAL141" s="83"/>
      <c r="BAV141" s="83"/>
      <c r="BBF141" s="83"/>
      <c r="BBP141" s="83"/>
      <c r="BBZ141" s="83"/>
      <c r="BCJ141" s="83"/>
      <c r="BCT141" s="83"/>
      <c r="BDD141" s="83"/>
      <c r="BDN141" s="83"/>
      <c r="BDX141" s="83"/>
      <c r="BEH141" s="83"/>
      <c r="BER141" s="83"/>
      <c r="BFB141" s="83"/>
      <c r="BFL141" s="83"/>
      <c r="BFV141" s="83"/>
      <c r="BGF141" s="83"/>
      <c r="BGP141" s="83"/>
      <c r="BGZ141" s="83"/>
      <c r="BHJ141" s="83"/>
      <c r="BHT141" s="83"/>
      <c r="BID141" s="83"/>
      <c r="BIN141" s="83"/>
      <c r="BIX141" s="83"/>
      <c r="BJH141" s="83"/>
      <c r="BJR141" s="83"/>
      <c r="BKB141" s="83"/>
      <c r="BKL141" s="83"/>
      <c r="BKV141" s="83"/>
      <c r="BLF141" s="83"/>
      <c r="BLP141" s="83"/>
      <c r="BLZ141" s="83"/>
      <c r="BMJ141" s="83"/>
      <c r="BMT141" s="83"/>
      <c r="BND141" s="83"/>
      <c r="BNN141" s="83"/>
      <c r="BNX141" s="83"/>
      <c r="BOH141" s="83"/>
      <c r="BOR141" s="83"/>
      <c r="BPB141" s="83"/>
      <c r="BPL141" s="83"/>
      <c r="BPV141" s="83"/>
      <c r="BQF141" s="83"/>
      <c r="BQP141" s="83"/>
      <c r="BQZ141" s="83"/>
      <c r="BRJ141" s="83"/>
      <c r="BRT141" s="83"/>
      <c r="BSD141" s="83"/>
      <c r="BSN141" s="83"/>
      <c r="BSX141" s="83"/>
      <c r="BTH141" s="83"/>
      <c r="BTR141" s="83"/>
      <c r="BUB141" s="83"/>
      <c r="BUL141" s="83"/>
      <c r="BUV141" s="83"/>
      <c r="BVF141" s="83"/>
      <c r="BVP141" s="83"/>
      <c r="BVZ141" s="83"/>
      <c r="BWJ141" s="83"/>
      <c r="BWT141" s="83"/>
      <c r="BXD141" s="83"/>
      <c r="BXN141" s="83"/>
      <c r="BXX141" s="83"/>
      <c r="BYH141" s="83"/>
      <c r="BYR141" s="83"/>
      <c r="BZB141" s="83"/>
      <c r="BZL141" s="83"/>
      <c r="BZV141" s="83"/>
      <c r="CAF141" s="83"/>
      <c r="CAP141" s="83"/>
      <c r="CAZ141" s="83"/>
      <c r="CBJ141" s="83"/>
      <c r="CBT141" s="83"/>
      <c r="CCD141" s="83"/>
      <c r="CCN141" s="83"/>
      <c r="CCX141" s="83"/>
      <c r="CDH141" s="83"/>
      <c r="CDR141" s="83"/>
      <c r="CEB141" s="83"/>
      <c r="CEL141" s="83"/>
      <c r="CEV141" s="83"/>
      <c r="CFF141" s="83"/>
      <c r="CFP141" s="83"/>
      <c r="CFZ141" s="83"/>
      <c r="CGJ141" s="83"/>
      <c r="CGT141" s="83"/>
      <c r="CHD141" s="83"/>
      <c r="CHN141" s="83"/>
      <c r="CHX141" s="83"/>
      <c r="CIH141" s="83"/>
      <c r="CIR141" s="83"/>
      <c r="CJB141" s="83"/>
      <c r="CJL141" s="83"/>
      <c r="CJV141" s="83"/>
      <c r="CKF141" s="83"/>
      <c r="CKP141" s="83"/>
      <c r="CKZ141" s="83"/>
      <c r="CLJ141" s="83"/>
      <c r="CLT141" s="83"/>
      <c r="CMD141" s="83"/>
      <c r="CMN141" s="83"/>
      <c r="CMX141" s="83"/>
      <c r="CNH141" s="83"/>
      <c r="CNR141" s="83"/>
      <c r="COB141" s="83"/>
      <c r="COL141" s="83"/>
      <c r="COV141" s="83"/>
      <c r="CPF141" s="83"/>
      <c r="CPP141" s="83"/>
      <c r="CPZ141" s="83"/>
      <c r="CQJ141" s="83"/>
      <c r="CQT141" s="83"/>
      <c r="CRD141" s="83"/>
      <c r="CRN141" s="83"/>
      <c r="CRX141" s="83"/>
      <c r="CSH141" s="83"/>
      <c r="CSR141" s="83"/>
      <c r="CTB141" s="83"/>
      <c r="CTL141" s="83"/>
      <c r="CTV141" s="83"/>
    </row>
    <row r="142" s="58" customFormat="1" customHeight="1" spans="1:1020 1030:2040 2050:2570">
      <c r="A142" s="87">
        <v>46150</v>
      </c>
      <c r="B142" s="88" t="s">
        <v>149</v>
      </c>
      <c r="C142" s="89" t="s">
        <v>150</v>
      </c>
      <c r="D142" s="75">
        <v>652365428</v>
      </c>
      <c r="E142" s="90" t="s">
        <v>181</v>
      </c>
      <c r="F142" s="91" t="str">
        <f>VLOOKUP(E142,[15]基础数据!E:F,2,0)</f>
        <v>A03HW67.1-采样集成线束</v>
      </c>
      <c r="G142" s="75">
        <v>40</v>
      </c>
      <c r="H142" s="77" t="str">
        <f>VLOOKUP(E142,[15]基础数据!E:H,4,0)</f>
        <v>料盒</v>
      </c>
      <c r="I142" s="77">
        <f>VLOOKUP(E142,[15]基础数据!E:G,3,0)</f>
        <v>40</v>
      </c>
      <c r="J142" s="75" t="s">
        <v>306</v>
      </c>
      <c r="K142" s="78">
        <f t="shared" si="2"/>
        <v>1</v>
      </c>
      <c r="T142" s="83"/>
      <c r="AD142" s="83"/>
      <c r="AN142" s="83"/>
      <c r="AX142" s="83"/>
      <c r="BH142" s="83"/>
      <c r="BR142" s="83"/>
      <c r="CB142" s="83"/>
      <c r="CL142" s="83"/>
      <c r="CV142" s="83"/>
      <c r="DF142" s="83"/>
      <c r="DP142" s="83"/>
      <c r="DZ142" s="83"/>
      <c r="EJ142" s="83"/>
      <c r="ET142" s="83"/>
      <c r="FD142" s="83"/>
      <c r="FN142" s="83"/>
      <c r="FX142" s="83"/>
      <c r="GH142" s="83"/>
      <c r="GR142" s="83"/>
      <c r="HB142" s="83"/>
      <c r="HL142" s="83"/>
      <c r="HV142" s="83"/>
      <c r="IF142" s="83"/>
      <c r="IP142" s="83"/>
      <c r="IZ142" s="83"/>
      <c r="JJ142" s="83"/>
      <c r="JT142" s="83"/>
      <c r="KD142" s="83"/>
      <c r="KN142" s="83"/>
      <c r="KX142" s="83"/>
      <c r="LH142" s="83"/>
      <c r="LR142" s="83"/>
      <c r="MB142" s="83"/>
      <c r="ML142" s="83"/>
      <c r="MV142" s="83"/>
      <c r="NF142" s="83"/>
      <c r="NP142" s="83"/>
      <c r="NZ142" s="83"/>
      <c r="OJ142" s="83"/>
      <c r="OT142" s="83"/>
      <c r="PD142" s="83"/>
      <c r="PN142" s="83"/>
      <c r="PX142" s="83"/>
      <c r="QH142" s="83"/>
      <c r="QR142" s="83"/>
      <c r="RB142" s="83"/>
      <c r="RL142" s="83"/>
      <c r="RV142" s="83"/>
      <c r="SF142" s="83"/>
      <c r="SP142" s="83"/>
      <c r="SZ142" s="83"/>
      <c r="TJ142" s="83"/>
      <c r="TT142" s="83"/>
      <c r="UD142" s="83"/>
      <c r="UN142" s="83"/>
      <c r="UX142" s="83"/>
      <c r="VH142" s="83"/>
      <c r="VR142" s="83"/>
      <c r="WB142" s="83"/>
      <c r="WL142" s="83"/>
      <c r="WV142" s="83"/>
      <c r="XF142" s="83"/>
      <c r="XP142" s="83"/>
      <c r="XZ142" s="83"/>
      <c r="YJ142" s="83"/>
      <c r="YT142" s="83"/>
      <c r="ZD142" s="83"/>
      <c r="ZN142" s="83"/>
      <c r="ZX142" s="83"/>
      <c r="AAH142" s="83"/>
      <c r="AAR142" s="83"/>
      <c r="ABB142" s="83"/>
      <c r="ABL142" s="83"/>
      <c r="ABV142" s="83"/>
      <c r="ACF142" s="83"/>
      <c r="ACP142" s="83"/>
      <c r="ACZ142" s="83"/>
      <c r="ADJ142" s="83"/>
      <c r="ADT142" s="83"/>
      <c r="AED142" s="83"/>
      <c r="AEN142" s="83"/>
      <c r="AEX142" s="83"/>
      <c r="AFH142" s="83"/>
      <c r="AFR142" s="83"/>
      <c r="AGB142" s="83"/>
      <c r="AGL142" s="83"/>
      <c r="AGV142" s="83"/>
      <c r="AHF142" s="83"/>
      <c r="AHP142" s="83"/>
      <c r="AHZ142" s="83"/>
      <c r="AIJ142" s="83"/>
      <c r="AIT142" s="83"/>
      <c r="AJD142" s="83"/>
      <c r="AJN142" s="83"/>
      <c r="AJX142" s="83"/>
      <c r="AKH142" s="83"/>
      <c r="AKR142" s="83"/>
      <c r="ALB142" s="83"/>
      <c r="ALL142" s="83"/>
      <c r="ALV142" s="83"/>
      <c r="AMF142" s="83"/>
      <c r="AMP142" s="83"/>
      <c r="AMZ142" s="83"/>
      <c r="ANJ142" s="83"/>
      <c r="ANT142" s="83"/>
      <c r="AOD142" s="83"/>
      <c r="AON142" s="83"/>
      <c r="AOX142" s="83"/>
      <c r="APH142" s="83"/>
      <c r="APR142" s="83"/>
      <c r="AQB142" s="83"/>
      <c r="AQL142" s="83"/>
      <c r="AQV142" s="83"/>
      <c r="ARF142" s="83"/>
      <c r="ARP142" s="83"/>
      <c r="ARZ142" s="83"/>
      <c r="ASJ142" s="83"/>
      <c r="AST142" s="83"/>
      <c r="ATD142" s="83"/>
      <c r="ATN142" s="83"/>
      <c r="ATX142" s="83"/>
      <c r="AUH142" s="83"/>
      <c r="AUR142" s="83"/>
      <c r="AVB142" s="83"/>
      <c r="AVL142" s="83"/>
      <c r="AVV142" s="83"/>
      <c r="AWF142" s="83"/>
      <c r="AWP142" s="83"/>
      <c r="AWZ142" s="83"/>
      <c r="AXJ142" s="83"/>
      <c r="AXT142" s="83"/>
      <c r="AYD142" s="83"/>
      <c r="AYN142" s="83"/>
      <c r="AYX142" s="83"/>
      <c r="AZH142" s="83"/>
      <c r="AZR142" s="83"/>
      <c r="BAB142" s="83"/>
      <c r="BAL142" s="83"/>
      <c r="BAV142" s="83"/>
      <c r="BBF142" s="83"/>
      <c r="BBP142" s="83"/>
      <c r="BBZ142" s="83"/>
      <c r="BCJ142" s="83"/>
      <c r="BCT142" s="83"/>
      <c r="BDD142" s="83"/>
      <c r="BDN142" s="83"/>
      <c r="BDX142" s="83"/>
      <c r="BEH142" s="83"/>
      <c r="BER142" s="83"/>
      <c r="BFB142" s="83"/>
      <c r="BFL142" s="83"/>
      <c r="BFV142" s="83"/>
      <c r="BGF142" s="83"/>
      <c r="BGP142" s="83"/>
      <c r="BGZ142" s="83"/>
      <c r="BHJ142" s="83"/>
      <c r="BHT142" s="83"/>
      <c r="BID142" s="83"/>
      <c r="BIN142" s="83"/>
      <c r="BIX142" s="83"/>
      <c r="BJH142" s="83"/>
      <c r="BJR142" s="83"/>
      <c r="BKB142" s="83"/>
      <c r="BKL142" s="83"/>
      <c r="BKV142" s="83"/>
      <c r="BLF142" s="83"/>
      <c r="BLP142" s="83"/>
      <c r="BLZ142" s="83"/>
      <c r="BMJ142" s="83"/>
      <c r="BMT142" s="83"/>
      <c r="BND142" s="83"/>
      <c r="BNN142" s="83"/>
      <c r="BNX142" s="83"/>
      <c r="BOH142" s="83"/>
      <c r="BOR142" s="83"/>
      <c r="BPB142" s="83"/>
      <c r="BPL142" s="83"/>
      <c r="BPV142" s="83"/>
      <c r="BQF142" s="83"/>
      <c r="BQP142" s="83"/>
      <c r="BQZ142" s="83"/>
      <c r="BRJ142" s="83"/>
      <c r="BRT142" s="83"/>
      <c r="BSD142" s="83"/>
      <c r="BSN142" s="83"/>
      <c r="BSX142" s="83"/>
      <c r="BTH142" s="83"/>
      <c r="BTR142" s="83"/>
      <c r="BUB142" s="83"/>
      <c r="BUL142" s="83"/>
      <c r="BUV142" s="83"/>
      <c r="BVF142" s="83"/>
      <c r="BVP142" s="83"/>
      <c r="BVZ142" s="83"/>
      <c r="BWJ142" s="83"/>
      <c r="BWT142" s="83"/>
      <c r="BXD142" s="83"/>
      <c r="BXN142" s="83"/>
      <c r="BXX142" s="83"/>
      <c r="BYH142" s="83"/>
      <c r="BYR142" s="83"/>
      <c r="BZB142" s="83"/>
      <c r="BZL142" s="83"/>
      <c r="BZV142" s="83"/>
      <c r="CAF142" s="83"/>
      <c r="CAP142" s="83"/>
      <c r="CAZ142" s="83"/>
      <c r="CBJ142" s="83"/>
      <c r="CBT142" s="83"/>
      <c r="CCD142" s="83"/>
      <c r="CCN142" s="83"/>
      <c r="CCX142" s="83"/>
      <c r="CDH142" s="83"/>
      <c r="CDR142" s="83"/>
      <c r="CEB142" s="83"/>
      <c r="CEL142" s="83"/>
      <c r="CEV142" s="83"/>
      <c r="CFF142" s="83"/>
      <c r="CFP142" s="83"/>
      <c r="CFZ142" s="83"/>
      <c r="CGJ142" s="83"/>
      <c r="CGT142" s="83"/>
      <c r="CHD142" s="83"/>
      <c r="CHN142" s="83"/>
      <c r="CHX142" s="83"/>
      <c r="CIH142" s="83"/>
      <c r="CIR142" s="83"/>
      <c r="CJB142" s="83"/>
      <c r="CJL142" s="83"/>
      <c r="CJV142" s="83"/>
      <c r="CKF142" s="83"/>
      <c r="CKP142" s="83"/>
      <c r="CKZ142" s="83"/>
      <c r="CLJ142" s="83"/>
      <c r="CLT142" s="83"/>
      <c r="CMD142" s="83"/>
      <c r="CMN142" s="83"/>
      <c r="CMX142" s="83"/>
      <c r="CNH142" s="83"/>
      <c r="CNR142" s="83"/>
      <c r="COB142" s="83"/>
      <c r="COL142" s="83"/>
      <c r="COV142" s="83"/>
      <c r="CPF142" s="83"/>
      <c r="CPP142" s="83"/>
      <c r="CPZ142" s="83"/>
      <c r="CQJ142" s="83"/>
      <c r="CQT142" s="83"/>
      <c r="CRD142" s="83"/>
      <c r="CRN142" s="83"/>
      <c r="CRX142" s="83"/>
      <c r="CSH142" s="83"/>
      <c r="CSR142" s="83"/>
      <c r="CTB142" s="83"/>
      <c r="CTL142" s="83"/>
      <c r="CTV142" s="83"/>
    </row>
    <row r="143" s="58" customFormat="1" customHeight="1" spans="1:1020 1030:2040 2050:2570">
      <c r="A143" s="87">
        <v>46150</v>
      </c>
      <c r="B143" s="88" t="s">
        <v>149</v>
      </c>
      <c r="C143" s="89" t="s">
        <v>150</v>
      </c>
      <c r="D143" s="75">
        <v>652365428</v>
      </c>
      <c r="E143" s="90" t="s">
        <v>179</v>
      </c>
      <c r="F143" s="91" t="str">
        <f>VLOOKUP(E143,[15]基础数据!E:F,2,0)</f>
        <v>A03HW67.1-通讯集成线束</v>
      </c>
      <c r="G143" s="75">
        <v>100</v>
      </c>
      <c r="H143" s="77" t="str">
        <f>VLOOKUP(E143,[15]基础数据!E:H,4,0)</f>
        <v>料盒</v>
      </c>
      <c r="I143" s="77">
        <f>VLOOKUP(E143,[15]基础数据!E:G,3,0)</f>
        <v>100</v>
      </c>
      <c r="J143" s="75" t="s">
        <v>306</v>
      </c>
      <c r="K143" s="78">
        <f t="shared" si="2"/>
        <v>1</v>
      </c>
      <c r="T143" s="83"/>
      <c r="AD143" s="83"/>
      <c r="AN143" s="83"/>
      <c r="AX143" s="83"/>
      <c r="BH143" s="83"/>
      <c r="BR143" s="83"/>
      <c r="CB143" s="83"/>
      <c r="CL143" s="83"/>
      <c r="CV143" s="83"/>
      <c r="DF143" s="83"/>
      <c r="DP143" s="83"/>
      <c r="DZ143" s="83"/>
      <c r="EJ143" s="83"/>
      <c r="ET143" s="83"/>
      <c r="FD143" s="83"/>
      <c r="FN143" s="83"/>
      <c r="FX143" s="83"/>
      <c r="GH143" s="83"/>
      <c r="GR143" s="83"/>
      <c r="HB143" s="83"/>
      <c r="HL143" s="83"/>
      <c r="HV143" s="83"/>
      <c r="IF143" s="83"/>
      <c r="IP143" s="83"/>
      <c r="IZ143" s="83"/>
      <c r="JJ143" s="83"/>
      <c r="JT143" s="83"/>
      <c r="KD143" s="83"/>
      <c r="KN143" s="83"/>
      <c r="KX143" s="83"/>
      <c r="LH143" s="83"/>
      <c r="LR143" s="83"/>
      <c r="MB143" s="83"/>
      <c r="ML143" s="83"/>
      <c r="MV143" s="83"/>
      <c r="NF143" s="83"/>
      <c r="NP143" s="83"/>
      <c r="NZ143" s="83"/>
      <c r="OJ143" s="83"/>
      <c r="OT143" s="83"/>
      <c r="PD143" s="83"/>
      <c r="PN143" s="83"/>
      <c r="PX143" s="83"/>
      <c r="QH143" s="83"/>
      <c r="QR143" s="83"/>
      <c r="RB143" s="83"/>
      <c r="RL143" s="83"/>
      <c r="RV143" s="83"/>
      <c r="SF143" s="83"/>
      <c r="SP143" s="83"/>
      <c r="SZ143" s="83"/>
      <c r="TJ143" s="83"/>
      <c r="TT143" s="83"/>
      <c r="UD143" s="83"/>
      <c r="UN143" s="83"/>
      <c r="UX143" s="83"/>
      <c r="VH143" s="83"/>
      <c r="VR143" s="83"/>
      <c r="WB143" s="83"/>
      <c r="WL143" s="83"/>
      <c r="WV143" s="83"/>
      <c r="XF143" s="83"/>
      <c r="XP143" s="83"/>
      <c r="XZ143" s="83"/>
      <c r="YJ143" s="83"/>
      <c r="YT143" s="83"/>
      <c r="ZD143" s="83"/>
      <c r="ZN143" s="83"/>
      <c r="ZX143" s="83"/>
      <c r="AAH143" s="83"/>
      <c r="AAR143" s="83"/>
      <c r="ABB143" s="83"/>
      <c r="ABL143" s="83"/>
      <c r="ABV143" s="83"/>
      <c r="ACF143" s="83"/>
      <c r="ACP143" s="83"/>
      <c r="ACZ143" s="83"/>
      <c r="ADJ143" s="83"/>
      <c r="ADT143" s="83"/>
      <c r="AED143" s="83"/>
      <c r="AEN143" s="83"/>
      <c r="AEX143" s="83"/>
      <c r="AFH143" s="83"/>
      <c r="AFR143" s="83"/>
      <c r="AGB143" s="83"/>
      <c r="AGL143" s="83"/>
      <c r="AGV143" s="83"/>
      <c r="AHF143" s="83"/>
      <c r="AHP143" s="83"/>
      <c r="AHZ143" s="83"/>
      <c r="AIJ143" s="83"/>
      <c r="AIT143" s="83"/>
      <c r="AJD143" s="83"/>
      <c r="AJN143" s="83"/>
      <c r="AJX143" s="83"/>
      <c r="AKH143" s="83"/>
      <c r="AKR143" s="83"/>
      <c r="ALB143" s="83"/>
      <c r="ALL143" s="83"/>
      <c r="ALV143" s="83"/>
      <c r="AMF143" s="83"/>
      <c r="AMP143" s="83"/>
      <c r="AMZ143" s="83"/>
      <c r="ANJ143" s="83"/>
      <c r="ANT143" s="83"/>
      <c r="AOD143" s="83"/>
      <c r="AON143" s="83"/>
      <c r="AOX143" s="83"/>
      <c r="APH143" s="83"/>
      <c r="APR143" s="83"/>
      <c r="AQB143" s="83"/>
      <c r="AQL143" s="83"/>
      <c r="AQV143" s="83"/>
      <c r="ARF143" s="83"/>
      <c r="ARP143" s="83"/>
      <c r="ARZ143" s="83"/>
      <c r="ASJ143" s="83"/>
      <c r="AST143" s="83"/>
      <c r="ATD143" s="83"/>
      <c r="ATN143" s="83"/>
      <c r="ATX143" s="83"/>
      <c r="AUH143" s="83"/>
      <c r="AUR143" s="83"/>
      <c r="AVB143" s="83"/>
      <c r="AVL143" s="83"/>
      <c r="AVV143" s="83"/>
      <c r="AWF143" s="83"/>
      <c r="AWP143" s="83"/>
      <c r="AWZ143" s="83"/>
      <c r="AXJ143" s="83"/>
      <c r="AXT143" s="83"/>
      <c r="AYD143" s="83"/>
      <c r="AYN143" s="83"/>
      <c r="AYX143" s="83"/>
      <c r="AZH143" s="83"/>
      <c r="AZR143" s="83"/>
      <c r="BAB143" s="83"/>
      <c r="BAL143" s="83"/>
      <c r="BAV143" s="83"/>
      <c r="BBF143" s="83"/>
      <c r="BBP143" s="83"/>
      <c r="BBZ143" s="83"/>
      <c r="BCJ143" s="83"/>
      <c r="BCT143" s="83"/>
      <c r="BDD143" s="83"/>
      <c r="BDN143" s="83"/>
      <c r="BDX143" s="83"/>
      <c r="BEH143" s="83"/>
      <c r="BER143" s="83"/>
      <c r="BFB143" s="83"/>
      <c r="BFL143" s="83"/>
      <c r="BFV143" s="83"/>
      <c r="BGF143" s="83"/>
      <c r="BGP143" s="83"/>
      <c r="BGZ143" s="83"/>
      <c r="BHJ143" s="83"/>
      <c r="BHT143" s="83"/>
      <c r="BID143" s="83"/>
      <c r="BIN143" s="83"/>
      <c r="BIX143" s="83"/>
      <c r="BJH143" s="83"/>
      <c r="BJR143" s="83"/>
      <c r="BKB143" s="83"/>
      <c r="BKL143" s="83"/>
      <c r="BKV143" s="83"/>
      <c r="BLF143" s="83"/>
      <c r="BLP143" s="83"/>
      <c r="BLZ143" s="83"/>
      <c r="BMJ143" s="83"/>
      <c r="BMT143" s="83"/>
      <c r="BND143" s="83"/>
      <c r="BNN143" s="83"/>
      <c r="BNX143" s="83"/>
      <c r="BOH143" s="83"/>
      <c r="BOR143" s="83"/>
      <c r="BPB143" s="83"/>
      <c r="BPL143" s="83"/>
      <c r="BPV143" s="83"/>
      <c r="BQF143" s="83"/>
      <c r="BQP143" s="83"/>
      <c r="BQZ143" s="83"/>
      <c r="BRJ143" s="83"/>
      <c r="BRT143" s="83"/>
      <c r="BSD143" s="83"/>
      <c r="BSN143" s="83"/>
      <c r="BSX143" s="83"/>
      <c r="BTH143" s="83"/>
      <c r="BTR143" s="83"/>
      <c r="BUB143" s="83"/>
      <c r="BUL143" s="83"/>
      <c r="BUV143" s="83"/>
      <c r="BVF143" s="83"/>
      <c r="BVP143" s="83"/>
      <c r="BVZ143" s="83"/>
      <c r="BWJ143" s="83"/>
      <c r="BWT143" s="83"/>
      <c r="BXD143" s="83"/>
      <c r="BXN143" s="83"/>
      <c r="BXX143" s="83"/>
      <c r="BYH143" s="83"/>
      <c r="BYR143" s="83"/>
      <c r="BZB143" s="83"/>
      <c r="BZL143" s="83"/>
      <c r="BZV143" s="83"/>
      <c r="CAF143" s="83"/>
      <c r="CAP143" s="83"/>
      <c r="CAZ143" s="83"/>
      <c r="CBJ143" s="83"/>
      <c r="CBT143" s="83"/>
      <c r="CCD143" s="83"/>
      <c r="CCN143" s="83"/>
      <c r="CCX143" s="83"/>
      <c r="CDH143" s="83"/>
      <c r="CDR143" s="83"/>
      <c r="CEB143" s="83"/>
      <c r="CEL143" s="83"/>
      <c r="CEV143" s="83"/>
      <c r="CFF143" s="83"/>
      <c r="CFP143" s="83"/>
      <c r="CFZ143" s="83"/>
      <c r="CGJ143" s="83"/>
      <c r="CGT143" s="83"/>
      <c r="CHD143" s="83"/>
      <c r="CHN143" s="83"/>
      <c r="CHX143" s="83"/>
      <c r="CIH143" s="83"/>
      <c r="CIR143" s="83"/>
      <c r="CJB143" s="83"/>
      <c r="CJL143" s="83"/>
      <c r="CJV143" s="83"/>
      <c r="CKF143" s="83"/>
      <c r="CKP143" s="83"/>
      <c r="CKZ143" s="83"/>
      <c r="CLJ143" s="83"/>
      <c r="CLT143" s="83"/>
      <c r="CMD143" s="83"/>
      <c r="CMN143" s="83"/>
      <c r="CMX143" s="83"/>
      <c r="CNH143" s="83"/>
      <c r="CNR143" s="83"/>
      <c r="COB143" s="83"/>
      <c r="COL143" s="83"/>
      <c r="COV143" s="83"/>
      <c r="CPF143" s="83"/>
      <c r="CPP143" s="83"/>
      <c r="CPZ143" s="83"/>
      <c r="CQJ143" s="83"/>
      <c r="CQT143" s="83"/>
      <c r="CRD143" s="83"/>
      <c r="CRN143" s="83"/>
      <c r="CRX143" s="83"/>
      <c r="CSH143" s="83"/>
      <c r="CSR143" s="83"/>
      <c r="CTB143" s="83"/>
      <c r="CTL143" s="83"/>
      <c r="CTV143" s="83"/>
    </row>
    <row r="144" s="58" customFormat="1" customHeight="1" spans="1:1020 1030:2040 2050:2570">
      <c r="A144" s="87">
        <v>46150</v>
      </c>
      <c r="B144" s="88" t="s">
        <v>149</v>
      </c>
      <c r="C144" s="89" t="s">
        <v>150</v>
      </c>
      <c r="D144" s="75">
        <v>652365528</v>
      </c>
      <c r="E144" s="90" t="s">
        <v>177</v>
      </c>
      <c r="F144" s="91" t="str">
        <f>VLOOKUP(E144,[15]基础数据!E:F,2,0)</f>
        <v>LX00148-CCS总成</v>
      </c>
      <c r="G144" s="75">
        <v>2040</v>
      </c>
      <c r="H144" s="77" t="str">
        <f>VLOOKUP(E144,[15]基础数据!E:H,4,0)</f>
        <v>纸箱</v>
      </c>
      <c r="I144" s="77">
        <f>VLOOKUP(E144,[15]基础数据!E:G,3,0)</f>
        <v>12</v>
      </c>
      <c r="J144" s="75" t="s">
        <v>306</v>
      </c>
      <c r="K144" s="78">
        <f t="shared" si="2"/>
        <v>170</v>
      </c>
      <c r="T144" s="83"/>
      <c r="AD144" s="83"/>
      <c r="AN144" s="83"/>
      <c r="AX144" s="83"/>
      <c r="BH144" s="83"/>
      <c r="BR144" s="83"/>
      <c r="CB144" s="83"/>
      <c r="CL144" s="83"/>
      <c r="CV144" s="83"/>
      <c r="DF144" s="83"/>
      <c r="DP144" s="83"/>
      <c r="DZ144" s="83"/>
      <c r="EJ144" s="83"/>
      <c r="ET144" s="83"/>
      <c r="FD144" s="83"/>
      <c r="FN144" s="83"/>
      <c r="FX144" s="83"/>
      <c r="GH144" s="83"/>
      <c r="GR144" s="83"/>
      <c r="HB144" s="83"/>
      <c r="HL144" s="83"/>
      <c r="HV144" s="83"/>
      <c r="IF144" s="83"/>
      <c r="IP144" s="83"/>
      <c r="IZ144" s="83"/>
      <c r="JJ144" s="83"/>
      <c r="JT144" s="83"/>
      <c r="KD144" s="83"/>
      <c r="KN144" s="83"/>
      <c r="KX144" s="83"/>
      <c r="LH144" s="83"/>
      <c r="LR144" s="83"/>
      <c r="MB144" s="83"/>
      <c r="ML144" s="83"/>
      <c r="MV144" s="83"/>
      <c r="NF144" s="83"/>
      <c r="NP144" s="83"/>
      <c r="NZ144" s="83"/>
      <c r="OJ144" s="83"/>
      <c r="OT144" s="83"/>
      <c r="PD144" s="83"/>
      <c r="PN144" s="83"/>
      <c r="PX144" s="83"/>
      <c r="QH144" s="83"/>
      <c r="QR144" s="83"/>
      <c r="RB144" s="83"/>
      <c r="RL144" s="83"/>
      <c r="RV144" s="83"/>
      <c r="SF144" s="83"/>
      <c r="SP144" s="83"/>
      <c r="SZ144" s="83"/>
      <c r="TJ144" s="83"/>
      <c r="TT144" s="83"/>
      <c r="UD144" s="83"/>
      <c r="UN144" s="83"/>
      <c r="UX144" s="83"/>
      <c r="VH144" s="83"/>
      <c r="VR144" s="83"/>
      <c r="WB144" s="83"/>
      <c r="WL144" s="83"/>
      <c r="WV144" s="83"/>
      <c r="XF144" s="83"/>
      <c r="XP144" s="83"/>
      <c r="XZ144" s="83"/>
      <c r="YJ144" s="83"/>
      <c r="YT144" s="83"/>
      <c r="ZD144" s="83"/>
      <c r="ZN144" s="83"/>
      <c r="ZX144" s="83"/>
      <c r="AAH144" s="83"/>
      <c r="AAR144" s="83"/>
      <c r="ABB144" s="83"/>
      <c r="ABL144" s="83"/>
      <c r="ABV144" s="83"/>
      <c r="ACF144" s="83"/>
      <c r="ACP144" s="83"/>
      <c r="ACZ144" s="83"/>
      <c r="ADJ144" s="83"/>
      <c r="ADT144" s="83"/>
      <c r="AED144" s="83"/>
      <c r="AEN144" s="83"/>
      <c r="AEX144" s="83"/>
      <c r="AFH144" s="83"/>
      <c r="AFR144" s="83"/>
      <c r="AGB144" s="83"/>
      <c r="AGL144" s="83"/>
      <c r="AGV144" s="83"/>
      <c r="AHF144" s="83"/>
      <c r="AHP144" s="83"/>
      <c r="AHZ144" s="83"/>
      <c r="AIJ144" s="83"/>
      <c r="AIT144" s="83"/>
      <c r="AJD144" s="83"/>
      <c r="AJN144" s="83"/>
      <c r="AJX144" s="83"/>
      <c r="AKH144" s="83"/>
      <c r="AKR144" s="83"/>
      <c r="ALB144" s="83"/>
      <c r="ALL144" s="83"/>
      <c r="ALV144" s="83"/>
      <c r="AMF144" s="83"/>
      <c r="AMP144" s="83"/>
      <c r="AMZ144" s="83"/>
      <c r="ANJ144" s="83"/>
      <c r="ANT144" s="83"/>
      <c r="AOD144" s="83"/>
      <c r="AON144" s="83"/>
      <c r="AOX144" s="83"/>
      <c r="APH144" s="83"/>
      <c r="APR144" s="83"/>
      <c r="AQB144" s="83"/>
      <c r="AQL144" s="83"/>
      <c r="AQV144" s="83"/>
      <c r="ARF144" s="83"/>
      <c r="ARP144" s="83"/>
      <c r="ARZ144" s="83"/>
      <c r="ASJ144" s="83"/>
      <c r="AST144" s="83"/>
      <c r="ATD144" s="83"/>
      <c r="ATN144" s="83"/>
      <c r="ATX144" s="83"/>
      <c r="AUH144" s="83"/>
      <c r="AUR144" s="83"/>
      <c r="AVB144" s="83"/>
      <c r="AVL144" s="83"/>
      <c r="AVV144" s="83"/>
      <c r="AWF144" s="83"/>
      <c r="AWP144" s="83"/>
      <c r="AWZ144" s="83"/>
      <c r="AXJ144" s="83"/>
      <c r="AXT144" s="83"/>
      <c r="AYD144" s="83"/>
      <c r="AYN144" s="83"/>
      <c r="AYX144" s="83"/>
      <c r="AZH144" s="83"/>
      <c r="AZR144" s="83"/>
      <c r="BAB144" s="83"/>
      <c r="BAL144" s="83"/>
      <c r="BAV144" s="83"/>
      <c r="BBF144" s="83"/>
      <c r="BBP144" s="83"/>
      <c r="BBZ144" s="83"/>
      <c r="BCJ144" s="83"/>
      <c r="BCT144" s="83"/>
      <c r="BDD144" s="83"/>
      <c r="BDN144" s="83"/>
      <c r="BDX144" s="83"/>
      <c r="BEH144" s="83"/>
      <c r="BER144" s="83"/>
      <c r="BFB144" s="83"/>
      <c r="BFL144" s="83"/>
      <c r="BFV144" s="83"/>
      <c r="BGF144" s="83"/>
      <c r="BGP144" s="83"/>
      <c r="BGZ144" s="83"/>
      <c r="BHJ144" s="83"/>
      <c r="BHT144" s="83"/>
      <c r="BID144" s="83"/>
      <c r="BIN144" s="83"/>
      <c r="BIX144" s="83"/>
      <c r="BJH144" s="83"/>
      <c r="BJR144" s="83"/>
      <c r="BKB144" s="83"/>
      <c r="BKL144" s="83"/>
      <c r="BKV144" s="83"/>
      <c r="BLF144" s="83"/>
      <c r="BLP144" s="83"/>
      <c r="BLZ144" s="83"/>
      <c r="BMJ144" s="83"/>
      <c r="BMT144" s="83"/>
      <c r="BND144" s="83"/>
      <c r="BNN144" s="83"/>
      <c r="BNX144" s="83"/>
      <c r="BOH144" s="83"/>
      <c r="BOR144" s="83"/>
      <c r="BPB144" s="83"/>
      <c r="BPL144" s="83"/>
      <c r="BPV144" s="83"/>
      <c r="BQF144" s="83"/>
      <c r="BQP144" s="83"/>
      <c r="BQZ144" s="83"/>
      <c r="BRJ144" s="83"/>
      <c r="BRT144" s="83"/>
      <c r="BSD144" s="83"/>
      <c r="BSN144" s="83"/>
      <c r="BSX144" s="83"/>
      <c r="BTH144" s="83"/>
      <c r="BTR144" s="83"/>
      <c r="BUB144" s="83"/>
      <c r="BUL144" s="83"/>
      <c r="BUV144" s="83"/>
      <c r="BVF144" s="83"/>
      <c r="BVP144" s="83"/>
      <c r="BVZ144" s="83"/>
      <c r="BWJ144" s="83"/>
      <c r="BWT144" s="83"/>
      <c r="BXD144" s="83"/>
      <c r="BXN144" s="83"/>
      <c r="BXX144" s="83"/>
      <c r="BYH144" s="83"/>
      <c r="BYR144" s="83"/>
      <c r="BZB144" s="83"/>
      <c r="BZL144" s="83"/>
      <c r="BZV144" s="83"/>
      <c r="CAF144" s="83"/>
      <c r="CAP144" s="83"/>
      <c r="CAZ144" s="83"/>
      <c r="CBJ144" s="83"/>
      <c r="CBT144" s="83"/>
      <c r="CCD144" s="83"/>
      <c r="CCN144" s="83"/>
      <c r="CCX144" s="83"/>
      <c r="CDH144" s="83"/>
      <c r="CDR144" s="83"/>
      <c r="CEB144" s="83"/>
      <c r="CEL144" s="83"/>
      <c r="CEV144" s="83"/>
      <c r="CFF144" s="83"/>
      <c r="CFP144" s="83"/>
      <c r="CFZ144" s="83"/>
      <c r="CGJ144" s="83"/>
      <c r="CGT144" s="83"/>
      <c r="CHD144" s="83"/>
      <c r="CHN144" s="83"/>
      <c r="CHX144" s="83"/>
      <c r="CIH144" s="83"/>
      <c r="CIR144" s="83"/>
      <c r="CJB144" s="83"/>
      <c r="CJL144" s="83"/>
      <c r="CJV144" s="83"/>
      <c r="CKF144" s="83"/>
      <c r="CKP144" s="83"/>
      <c r="CKZ144" s="83"/>
      <c r="CLJ144" s="83"/>
      <c r="CLT144" s="83"/>
      <c r="CMD144" s="83"/>
      <c r="CMN144" s="83"/>
      <c r="CMX144" s="83"/>
      <c r="CNH144" s="83"/>
      <c r="CNR144" s="83"/>
      <c r="COB144" s="83"/>
      <c r="COL144" s="83"/>
      <c r="COV144" s="83"/>
      <c r="CPF144" s="83"/>
      <c r="CPP144" s="83"/>
      <c r="CPZ144" s="83"/>
      <c r="CQJ144" s="83"/>
      <c r="CQT144" s="83"/>
      <c r="CRD144" s="83"/>
      <c r="CRN144" s="83"/>
      <c r="CRX144" s="83"/>
      <c r="CSH144" s="83"/>
      <c r="CSR144" s="83"/>
      <c r="CTB144" s="83"/>
      <c r="CTL144" s="83"/>
      <c r="CTV144" s="83"/>
    </row>
    <row r="145" s="58" customFormat="1" customHeight="1" spans="1:1020 1030:2040 2050:2570">
      <c r="A145" s="87">
        <v>46150</v>
      </c>
      <c r="B145" s="88" t="s">
        <v>149</v>
      </c>
      <c r="C145" s="89" t="s">
        <v>150</v>
      </c>
      <c r="D145" s="75">
        <v>652366048</v>
      </c>
      <c r="E145" s="92" t="s">
        <v>189</v>
      </c>
      <c r="F145" s="91" t="str">
        <f>VLOOKUP(E145,[15]基础数据!E:F,2,0)</f>
        <v>LXBU1101-BDU集成线束-60.8</v>
      </c>
      <c r="G145" s="75">
        <v>1600</v>
      </c>
      <c r="H145" s="77" t="str">
        <f>VLOOKUP(E145,[15]基础数据!E:H,4,0)</f>
        <v>料盒</v>
      </c>
      <c r="I145" s="77">
        <f>VLOOKUP(E145,[15]基础数据!E:G,3,0)</f>
        <v>40</v>
      </c>
      <c r="J145" s="75" t="s">
        <v>306</v>
      </c>
      <c r="K145" s="78">
        <f t="shared" si="2"/>
        <v>40</v>
      </c>
      <c r="T145" s="83"/>
      <c r="AD145" s="83"/>
      <c r="AN145" s="83"/>
      <c r="AX145" s="83"/>
      <c r="BH145" s="83"/>
      <c r="BR145" s="83"/>
      <c r="CB145" s="83"/>
      <c r="CL145" s="83"/>
      <c r="CV145" s="83"/>
      <c r="DF145" s="83"/>
      <c r="DP145" s="83"/>
      <c r="DZ145" s="83"/>
      <c r="EJ145" s="83"/>
      <c r="ET145" s="83"/>
      <c r="FD145" s="83"/>
      <c r="FN145" s="83"/>
      <c r="FX145" s="83"/>
      <c r="GH145" s="83"/>
      <c r="GR145" s="83"/>
      <c r="HB145" s="83"/>
      <c r="HL145" s="83"/>
      <c r="HV145" s="83"/>
      <c r="IF145" s="83"/>
      <c r="IP145" s="83"/>
      <c r="IZ145" s="83"/>
      <c r="JJ145" s="83"/>
      <c r="JT145" s="83"/>
      <c r="KD145" s="83"/>
      <c r="KN145" s="83"/>
      <c r="KX145" s="83"/>
      <c r="LH145" s="83"/>
      <c r="LR145" s="83"/>
      <c r="MB145" s="83"/>
      <c r="ML145" s="83"/>
      <c r="MV145" s="83"/>
      <c r="NF145" s="83"/>
      <c r="NP145" s="83"/>
      <c r="NZ145" s="83"/>
      <c r="OJ145" s="83"/>
      <c r="OT145" s="83"/>
      <c r="PD145" s="83"/>
      <c r="PN145" s="83"/>
      <c r="PX145" s="83"/>
      <c r="QH145" s="83"/>
      <c r="QR145" s="83"/>
      <c r="RB145" s="83"/>
      <c r="RL145" s="83"/>
      <c r="RV145" s="83"/>
      <c r="SF145" s="83"/>
      <c r="SP145" s="83"/>
      <c r="SZ145" s="83"/>
      <c r="TJ145" s="83"/>
      <c r="TT145" s="83"/>
      <c r="UD145" s="83"/>
      <c r="UN145" s="83"/>
      <c r="UX145" s="83"/>
      <c r="VH145" s="83"/>
      <c r="VR145" s="83"/>
      <c r="WB145" s="83"/>
      <c r="WL145" s="83"/>
      <c r="WV145" s="83"/>
      <c r="XF145" s="83"/>
      <c r="XP145" s="83"/>
      <c r="XZ145" s="83"/>
      <c r="YJ145" s="83"/>
      <c r="YT145" s="83"/>
      <c r="ZD145" s="83"/>
      <c r="ZN145" s="83"/>
      <c r="ZX145" s="83"/>
      <c r="AAH145" s="83"/>
      <c r="AAR145" s="83"/>
      <c r="ABB145" s="83"/>
      <c r="ABL145" s="83"/>
      <c r="ABV145" s="83"/>
      <c r="ACF145" s="83"/>
      <c r="ACP145" s="83"/>
      <c r="ACZ145" s="83"/>
      <c r="ADJ145" s="83"/>
      <c r="ADT145" s="83"/>
      <c r="AED145" s="83"/>
      <c r="AEN145" s="83"/>
      <c r="AEX145" s="83"/>
      <c r="AFH145" s="83"/>
      <c r="AFR145" s="83"/>
      <c r="AGB145" s="83"/>
      <c r="AGL145" s="83"/>
      <c r="AGV145" s="83"/>
      <c r="AHF145" s="83"/>
      <c r="AHP145" s="83"/>
      <c r="AHZ145" s="83"/>
      <c r="AIJ145" s="83"/>
      <c r="AIT145" s="83"/>
      <c r="AJD145" s="83"/>
      <c r="AJN145" s="83"/>
      <c r="AJX145" s="83"/>
      <c r="AKH145" s="83"/>
      <c r="AKR145" s="83"/>
      <c r="ALB145" s="83"/>
      <c r="ALL145" s="83"/>
      <c r="ALV145" s="83"/>
      <c r="AMF145" s="83"/>
      <c r="AMP145" s="83"/>
      <c r="AMZ145" s="83"/>
      <c r="ANJ145" s="83"/>
      <c r="ANT145" s="83"/>
      <c r="AOD145" s="83"/>
      <c r="AON145" s="83"/>
      <c r="AOX145" s="83"/>
      <c r="APH145" s="83"/>
      <c r="APR145" s="83"/>
      <c r="AQB145" s="83"/>
      <c r="AQL145" s="83"/>
      <c r="AQV145" s="83"/>
      <c r="ARF145" s="83"/>
      <c r="ARP145" s="83"/>
      <c r="ARZ145" s="83"/>
      <c r="ASJ145" s="83"/>
      <c r="AST145" s="83"/>
      <c r="ATD145" s="83"/>
      <c r="ATN145" s="83"/>
      <c r="ATX145" s="83"/>
      <c r="AUH145" s="83"/>
      <c r="AUR145" s="83"/>
      <c r="AVB145" s="83"/>
      <c r="AVL145" s="83"/>
      <c r="AVV145" s="83"/>
      <c r="AWF145" s="83"/>
      <c r="AWP145" s="83"/>
      <c r="AWZ145" s="83"/>
      <c r="AXJ145" s="83"/>
      <c r="AXT145" s="83"/>
      <c r="AYD145" s="83"/>
      <c r="AYN145" s="83"/>
      <c r="AYX145" s="83"/>
      <c r="AZH145" s="83"/>
      <c r="AZR145" s="83"/>
      <c r="BAB145" s="83"/>
      <c r="BAL145" s="83"/>
      <c r="BAV145" s="83"/>
      <c r="BBF145" s="83"/>
      <c r="BBP145" s="83"/>
      <c r="BBZ145" s="83"/>
      <c r="BCJ145" s="83"/>
      <c r="BCT145" s="83"/>
      <c r="BDD145" s="83"/>
      <c r="BDN145" s="83"/>
      <c r="BDX145" s="83"/>
      <c r="BEH145" s="83"/>
      <c r="BER145" s="83"/>
      <c r="BFB145" s="83"/>
      <c r="BFL145" s="83"/>
      <c r="BFV145" s="83"/>
      <c r="BGF145" s="83"/>
      <c r="BGP145" s="83"/>
      <c r="BGZ145" s="83"/>
      <c r="BHJ145" s="83"/>
      <c r="BHT145" s="83"/>
      <c r="BID145" s="83"/>
      <c r="BIN145" s="83"/>
      <c r="BIX145" s="83"/>
      <c r="BJH145" s="83"/>
      <c r="BJR145" s="83"/>
      <c r="BKB145" s="83"/>
      <c r="BKL145" s="83"/>
      <c r="BKV145" s="83"/>
      <c r="BLF145" s="83"/>
      <c r="BLP145" s="83"/>
      <c r="BLZ145" s="83"/>
      <c r="BMJ145" s="83"/>
      <c r="BMT145" s="83"/>
      <c r="BND145" s="83"/>
      <c r="BNN145" s="83"/>
      <c r="BNX145" s="83"/>
      <c r="BOH145" s="83"/>
      <c r="BOR145" s="83"/>
      <c r="BPB145" s="83"/>
      <c r="BPL145" s="83"/>
      <c r="BPV145" s="83"/>
      <c r="BQF145" s="83"/>
      <c r="BQP145" s="83"/>
      <c r="BQZ145" s="83"/>
      <c r="BRJ145" s="83"/>
      <c r="BRT145" s="83"/>
      <c r="BSD145" s="83"/>
      <c r="BSN145" s="83"/>
      <c r="BSX145" s="83"/>
      <c r="BTH145" s="83"/>
      <c r="BTR145" s="83"/>
      <c r="BUB145" s="83"/>
      <c r="BUL145" s="83"/>
      <c r="BUV145" s="83"/>
      <c r="BVF145" s="83"/>
      <c r="BVP145" s="83"/>
      <c r="BVZ145" s="83"/>
      <c r="BWJ145" s="83"/>
      <c r="BWT145" s="83"/>
      <c r="BXD145" s="83"/>
      <c r="BXN145" s="83"/>
      <c r="BXX145" s="83"/>
      <c r="BYH145" s="83"/>
      <c r="BYR145" s="83"/>
      <c r="BZB145" s="83"/>
      <c r="BZL145" s="83"/>
      <c r="BZV145" s="83"/>
      <c r="CAF145" s="83"/>
      <c r="CAP145" s="83"/>
      <c r="CAZ145" s="83"/>
      <c r="CBJ145" s="83"/>
      <c r="CBT145" s="83"/>
      <c r="CCD145" s="83"/>
      <c r="CCN145" s="83"/>
      <c r="CCX145" s="83"/>
      <c r="CDH145" s="83"/>
      <c r="CDR145" s="83"/>
      <c r="CEB145" s="83"/>
      <c r="CEL145" s="83"/>
      <c r="CEV145" s="83"/>
      <c r="CFF145" s="83"/>
      <c r="CFP145" s="83"/>
      <c r="CFZ145" s="83"/>
      <c r="CGJ145" s="83"/>
      <c r="CGT145" s="83"/>
      <c r="CHD145" s="83"/>
      <c r="CHN145" s="83"/>
      <c r="CHX145" s="83"/>
      <c r="CIH145" s="83"/>
      <c r="CIR145" s="83"/>
      <c r="CJB145" s="83"/>
      <c r="CJL145" s="83"/>
      <c r="CJV145" s="83"/>
      <c r="CKF145" s="83"/>
      <c r="CKP145" s="83"/>
      <c r="CKZ145" s="83"/>
      <c r="CLJ145" s="83"/>
      <c r="CLT145" s="83"/>
      <c r="CMD145" s="83"/>
      <c r="CMN145" s="83"/>
      <c r="CMX145" s="83"/>
      <c r="CNH145" s="83"/>
      <c r="CNR145" s="83"/>
      <c r="COB145" s="83"/>
      <c r="COL145" s="83"/>
      <c r="COV145" s="83"/>
      <c r="CPF145" s="83"/>
      <c r="CPP145" s="83"/>
      <c r="CPZ145" s="83"/>
      <c r="CQJ145" s="83"/>
      <c r="CQT145" s="83"/>
      <c r="CRD145" s="83"/>
      <c r="CRN145" s="83"/>
      <c r="CRX145" s="83"/>
      <c r="CSH145" s="83"/>
      <c r="CSR145" s="83"/>
      <c r="CTB145" s="83"/>
      <c r="CTL145" s="83"/>
      <c r="CTV145" s="83"/>
    </row>
    <row r="146" s="58" customFormat="1" customHeight="1" spans="1:1020 1030:2040 2050:2570">
      <c r="A146" s="87">
        <v>46151</v>
      </c>
      <c r="B146" s="88" t="s">
        <v>149</v>
      </c>
      <c r="C146" s="89" t="s">
        <v>150</v>
      </c>
      <c r="D146" s="75">
        <v>652370948</v>
      </c>
      <c r="E146" s="90" t="s">
        <v>177</v>
      </c>
      <c r="F146" s="91" t="str">
        <f>VLOOKUP(E146,[16]基础数据!E:F,2,0)</f>
        <v>LX00148-CCS总成</v>
      </c>
      <c r="G146" s="75">
        <v>900</v>
      </c>
      <c r="H146" s="77" t="str">
        <f>VLOOKUP(E146,[16]基础数据!E:H,4,0)</f>
        <v>纸箱</v>
      </c>
      <c r="I146" s="77">
        <f>VLOOKUP(E146,[16]基础数据!E:G,3,0)</f>
        <v>12</v>
      </c>
      <c r="J146" s="75" t="s">
        <v>306</v>
      </c>
      <c r="K146" s="78">
        <f t="shared" si="2"/>
        <v>75</v>
      </c>
      <c r="T146" s="83"/>
      <c r="AD146" s="83"/>
      <c r="AN146" s="83"/>
      <c r="AX146" s="83"/>
      <c r="BH146" s="83"/>
      <c r="BR146" s="83"/>
      <c r="CB146" s="83"/>
      <c r="CL146" s="83"/>
      <c r="CV146" s="83"/>
      <c r="DF146" s="83"/>
      <c r="DP146" s="83"/>
      <c r="DZ146" s="83"/>
      <c r="EJ146" s="83"/>
      <c r="ET146" s="83"/>
      <c r="FD146" s="83"/>
      <c r="FN146" s="83"/>
      <c r="FX146" s="83"/>
      <c r="GH146" s="83"/>
      <c r="GR146" s="83"/>
      <c r="HB146" s="83"/>
      <c r="HL146" s="83"/>
      <c r="HV146" s="83"/>
      <c r="IF146" s="83"/>
      <c r="IP146" s="83"/>
      <c r="IZ146" s="83"/>
      <c r="JJ146" s="83"/>
      <c r="JT146" s="83"/>
      <c r="KD146" s="83"/>
      <c r="KN146" s="83"/>
      <c r="KX146" s="83"/>
      <c r="LH146" s="83"/>
      <c r="LR146" s="83"/>
      <c r="MB146" s="83"/>
      <c r="ML146" s="83"/>
      <c r="MV146" s="83"/>
      <c r="NF146" s="83"/>
      <c r="NP146" s="83"/>
      <c r="NZ146" s="83"/>
      <c r="OJ146" s="83"/>
      <c r="OT146" s="83"/>
      <c r="PD146" s="83"/>
      <c r="PN146" s="83"/>
      <c r="PX146" s="83"/>
      <c r="QH146" s="83"/>
      <c r="QR146" s="83"/>
      <c r="RB146" s="83"/>
      <c r="RL146" s="83"/>
      <c r="RV146" s="83"/>
      <c r="SF146" s="83"/>
      <c r="SP146" s="83"/>
      <c r="SZ146" s="83"/>
      <c r="TJ146" s="83"/>
      <c r="TT146" s="83"/>
      <c r="UD146" s="83"/>
      <c r="UN146" s="83"/>
      <c r="UX146" s="83"/>
      <c r="VH146" s="83"/>
      <c r="VR146" s="83"/>
      <c r="WB146" s="83"/>
      <c r="WL146" s="83"/>
      <c r="WV146" s="83"/>
      <c r="XF146" s="83"/>
      <c r="XP146" s="83"/>
      <c r="XZ146" s="83"/>
      <c r="YJ146" s="83"/>
      <c r="YT146" s="83"/>
      <c r="ZD146" s="83"/>
      <c r="ZN146" s="83"/>
      <c r="ZX146" s="83"/>
      <c r="AAH146" s="83"/>
      <c r="AAR146" s="83"/>
      <c r="ABB146" s="83"/>
      <c r="ABL146" s="83"/>
      <c r="ABV146" s="83"/>
      <c r="ACF146" s="83"/>
      <c r="ACP146" s="83"/>
      <c r="ACZ146" s="83"/>
      <c r="ADJ146" s="83"/>
      <c r="ADT146" s="83"/>
      <c r="AED146" s="83"/>
      <c r="AEN146" s="83"/>
      <c r="AEX146" s="83"/>
      <c r="AFH146" s="83"/>
      <c r="AFR146" s="83"/>
      <c r="AGB146" s="83"/>
      <c r="AGL146" s="83"/>
      <c r="AGV146" s="83"/>
      <c r="AHF146" s="83"/>
      <c r="AHP146" s="83"/>
      <c r="AHZ146" s="83"/>
      <c r="AIJ146" s="83"/>
      <c r="AIT146" s="83"/>
      <c r="AJD146" s="83"/>
      <c r="AJN146" s="83"/>
      <c r="AJX146" s="83"/>
      <c r="AKH146" s="83"/>
      <c r="AKR146" s="83"/>
      <c r="ALB146" s="83"/>
      <c r="ALL146" s="83"/>
      <c r="ALV146" s="83"/>
      <c r="AMF146" s="83"/>
      <c r="AMP146" s="83"/>
      <c r="AMZ146" s="83"/>
      <c r="ANJ146" s="83"/>
      <c r="ANT146" s="83"/>
      <c r="AOD146" s="83"/>
      <c r="AON146" s="83"/>
      <c r="AOX146" s="83"/>
      <c r="APH146" s="83"/>
      <c r="APR146" s="83"/>
      <c r="AQB146" s="83"/>
      <c r="AQL146" s="83"/>
      <c r="AQV146" s="83"/>
      <c r="ARF146" s="83"/>
      <c r="ARP146" s="83"/>
      <c r="ARZ146" s="83"/>
      <c r="ASJ146" s="83"/>
      <c r="AST146" s="83"/>
      <c r="ATD146" s="83"/>
      <c r="ATN146" s="83"/>
      <c r="ATX146" s="83"/>
      <c r="AUH146" s="83"/>
      <c r="AUR146" s="83"/>
      <c r="AVB146" s="83"/>
      <c r="AVL146" s="83"/>
      <c r="AVV146" s="83"/>
      <c r="AWF146" s="83"/>
      <c r="AWP146" s="83"/>
      <c r="AWZ146" s="83"/>
      <c r="AXJ146" s="83"/>
      <c r="AXT146" s="83"/>
      <c r="AYD146" s="83"/>
      <c r="AYN146" s="83"/>
      <c r="AYX146" s="83"/>
      <c r="AZH146" s="83"/>
      <c r="AZR146" s="83"/>
      <c r="BAB146" s="83"/>
      <c r="BAL146" s="83"/>
      <c r="BAV146" s="83"/>
      <c r="BBF146" s="83"/>
      <c r="BBP146" s="83"/>
      <c r="BBZ146" s="83"/>
      <c r="BCJ146" s="83"/>
      <c r="BCT146" s="83"/>
      <c r="BDD146" s="83"/>
      <c r="BDN146" s="83"/>
      <c r="BDX146" s="83"/>
      <c r="BEH146" s="83"/>
      <c r="BER146" s="83"/>
      <c r="BFB146" s="83"/>
      <c r="BFL146" s="83"/>
      <c r="BFV146" s="83"/>
      <c r="BGF146" s="83"/>
      <c r="BGP146" s="83"/>
      <c r="BGZ146" s="83"/>
      <c r="BHJ146" s="83"/>
      <c r="BHT146" s="83"/>
      <c r="BID146" s="83"/>
      <c r="BIN146" s="83"/>
      <c r="BIX146" s="83"/>
      <c r="BJH146" s="83"/>
      <c r="BJR146" s="83"/>
      <c r="BKB146" s="83"/>
      <c r="BKL146" s="83"/>
      <c r="BKV146" s="83"/>
      <c r="BLF146" s="83"/>
      <c r="BLP146" s="83"/>
      <c r="BLZ146" s="83"/>
      <c r="BMJ146" s="83"/>
      <c r="BMT146" s="83"/>
      <c r="BND146" s="83"/>
      <c r="BNN146" s="83"/>
      <c r="BNX146" s="83"/>
      <c r="BOH146" s="83"/>
      <c r="BOR146" s="83"/>
      <c r="BPB146" s="83"/>
      <c r="BPL146" s="83"/>
      <c r="BPV146" s="83"/>
      <c r="BQF146" s="83"/>
      <c r="BQP146" s="83"/>
      <c r="BQZ146" s="83"/>
      <c r="BRJ146" s="83"/>
      <c r="BRT146" s="83"/>
      <c r="BSD146" s="83"/>
      <c r="BSN146" s="83"/>
      <c r="BSX146" s="83"/>
      <c r="BTH146" s="83"/>
      <c r="BTR146" s="83"/>
      <c r="BUB146" s="83"/>
      <c r="BUL146" s="83"/>
      <c r="BUV146" s="83"/>
      <c r="BVF146" s="83"/>
      <c r="BVP146" s="83"/>
      <c r="BVZ146" s="83"/>
      <c r="BWJ146" s="83"/>
      <c r="BWT146" s="83"/>
      <c r="BXD146" s="83"/>
      <c r="BXN146" s="83"/>
      <c r="BXX146" s="83"/>
      <c r="BYH146" s="83"/>
      <c r="BYR146" s="83"/>
      <c r="BZB146" s="83"/>
      <c r="BZL146" s="83"/>
      <c r="BZV146" s="83"/>
      <c r="CAF146" s="83"/>
      <c r="CAP146" s="83"/>
      <c r="CAZ146" s="83"/>
      <c r="CBJ146" s="83"/>
      <c r="CBT146" s="83"/>
      <c r="CCD146" s="83"/>
      <c r="CCN146" s="83"/>
      <c r="CCX146" s="83"/>
      <c r="CDH146" s="83"/>
      <c r="CDR146" s="83"/>
      <c r="CEB146" s="83"/>
      <c r="CEL146" s="83"/>
      <c r="CEV146" s="83"/>
      <c r="CFF146" s="83"/>
      <c r="CFP146" s="83"/>
      <c r="CFZ146" s="83"/>
      <c r="CGJ146" s="83"/>
      <c r="CGT146" s="83"/>
      <c r="CHD146" s="83"/>
      <c r="CHN146" s="83"/>
      <c r="CHX146" s="83"/>
      <c r="CIH146" s="83"/>
      <c r="CIR146" s="83"/>
      <c r="CJB146" s="83"/>
      <c r="CJL146" s="83"/>
      <c r="CJV146" s="83"/>
      <c r="CKF146" s="83"/>
      <c r="CKP146" s="83"/>
      <c r="CKZ146" s="83"/>
      <c r="CLJ146" s="83"/>
      <c r="CLT146" s="83"/>
      <c r="CMD146" s="83"/>
      <c r="CMN146" s="83"/>
      <c r="CMX146" s="83"/>
      <c r="CNH146" s="83"/>
      <c r="CNR146" s="83"/>
      <c r="COB146" s="83"/>
      <c r="COL146" s="83"/>
      <c r="COV146" s="83"/>
      <c r="CPF146" s="83"/>
      <c r="CPP146" s="83"/>
      <c r="CPZ146" s="83"/>
      <c r="CQJ146" s="83"/>
      <c r="CQT146" s="83"/>
      <c r="CRD146" s="83"/>
      <c r="CRN146" s="83"/>
      <c r="CRX146" s="83"/>
      <c r="CSH146" s="83"/>
      <c r="CSR146" s="83"/>
      <c r="CTB146" s="83"/>
      <c r="CTL146" s="83"/>
      <c r="CTV146" s="83"/>
    </row>
    <row r="147" s="58" customFormat="1" customHeight="1" spans="1:1020 1030:2040 2050:2570">
      <c r="A147" s="87">
        <v>46151</v>
      </c>
      <c r="B147" s="88" t="s">
        <v>149</v>
      </c>
      <c r="C147" s="89" t="s">
        <v>150</v>
      </c>
      <c r="D147" s="75">
        <v>652372576</v>
      </c>
      <c r="E147" s="92" t="s">
        <v>191</v>
      </c>
      <c r="F147" s="91" t="str">
        <f>VLOOKUP(E147,[16]基础数据!E:F,2,0)</f>
        <v>LXBU1101-通讯集成线束-60.8</v>
      </c>
      <c r="G147" s="75">
        <v>1600</v>
      </c>
      <c r="H147" s="77" t="str">
        <f>VLOOKUP(E147,[16]基础数据!E:H,4,0)</f>
        <v>料盒</v>
      </c>
      <c r="I147" s="77">
        <f>VLOOKUP(E147,[16]基础数据!E:G,3,0)</f>
        <v>100</v>
      </c>
      <c r="J147" s="75" t="s">
        <v>306</v>
      </c>
      <c r="K147" s="78">
        <f t="shared" si="2"/>
        <v>16</v>
      </c>
      <c r="T147" s="83"/>
      <c r="AD147" s="83"/>
      <c r="AN147" s="83"/>
      <c r="AX147" s="83"/>
      <c r="BH147" s="83"/>
      <c r="BR147" s="83"/>
      <c r="CB147" s="83"/>
      <c r="CL147" s="83"/>
      <c r="CV147" s="83"/>
      <c r="DF147" s="83"/>
      <c r="DP147" s="83"/>
      <c r="DZ147" s="83"/>
      <c r="EJ147" s="83"/>
      <c r="ET147" s="83"/>
      <c r="FD147" s="83"/>
      <c r="FN147" s="83"/>
      <c r="FX147" s="83"/>
      <c r="GH147" s="83"/>
      <c r="GR147" s="83"/>
      <c r="HB147" s="83"/>
      <c r="HL147" s="83"/>
      <c r="HV147" s="83"/>
      <c r="IF147" s="83"/>
      <c r="IP147" s="83"/>
      <c r="IZ147" s="83"/>
      <c r="JJ147" s="83"/>
      <c r="JT147" s="83"/>
      <c r="KD147" s="83"/>
      <c r="KN147" s="83"/>
      <c r="KX147" s="83"/>
      <c r="LH147" s="83"/>
      <c r="LR147" s="83"/>
      <c r="MB147" s="83"/>
      <c r="ML147" s="83"/>
      <c r="MV147" s="83"/>
      <c r="NF147" s="83"/>
      <c r="NP147" s="83"/>
      <c r="NZ147" s="83"/>
      <c r="OJ147" s="83"/>
      <c r="OT147" s="83"/>
      <c r="PD147" s="83"/>
      <c r="PN147" s="83"/>
      <c r="PX147" s="83"/>
      <c r="QH147" s="83"/>
      <c r="QR147" s="83"/>
      <c r="RB147" s="83"/>
      <c r="RL147" s="83"/>
      <c r="RV147" s="83"/>
      <c r="SF147" s="83"/>
      <c r="SP147" s="83"/>
      <c r="SZ147" s="83"/>
      <c r="TJ147" s="83"/>
      <c r="TT147" s="83"/>
      <c r="UD147" s="83"/>
      <c r="UN147" s="83"/>
      <c r="UX147" s="83"/>
      <c r="VH147" s="83"/>
      <c r="VR147" s="83"/>
      <c r="WB147" s="83"/>
      <c r="WL147" s="83"/>
      <c r="WV147" s="83"/>
      <c r="XF147" s="83"/>
      <c r="XP147" s="83"/>
      <c r="XZ147" s="83"/>
      <c r="YJ147" s="83"/>
      <c r="YT147" s="83"/>
      <c r="ZD147" s="83"/>
      <c r="ZN147" s="83"/>
      <c r="ZX147" s="83"/>
      <c r="AAH147" s="83"/>
      <c r="AAR147" s="83"/>
      <c r="ABB147" s="83"/>
      <c r="ABL147" s="83"/>
      <c r="ABV147" s="83"/>
      <c r="ACF147" s="83"/>
      <c r="ACP147" s="83"/>
      <c r="ACZ147" s="83"/>
      <c r="ADJ147" s="83"/>
      <c r="ADT147" s="83"/>
      <c r="AED147" s="83"/>
      <c r="AEN147" s="83"/>
      <c r="AEX147" s="83"/>
      <c r="AFH147" s="83"/>
      <c r="AFR147" s="83"/>
      <c r="AGB147" s="83"/>
      <c r="AGL147" s="83"/>
      <c r="AGV147" s="83"/>
      <c r="AHF147" s="83"/>
      <c r="AHP147" s="83"/>
      <c r="AHZ147" s="83"/>
      <c r="AIJ147" s="83"/>
      <c r="AIT147" s="83"/>
      <c r="AJD147" s="83"/>
      <c r="AJN147" s="83"/>
      <c r="AJX147" s="83"/>
      <c r="AKH147" s="83"/>
      <c r="AKR147" s="83"/>
      <c r="ALB147" s="83"/>
      <c r="ALL147" s="83"/>
      <c r="ALV147" s="83"/>
      <c r="AMF147" s="83"/>
      <c r="AMP147" s="83"/>
      <c r="AMZ147" s="83"/>
      <c r="ANJ147" s="83"/>
      <c r="ANT147" s="83"/>
      <c r="AOD147" s="83"/>
      <c r="AON147" s="83"/>
      <c r="AOX147" s="83"/>
      <c r="APH147" s="83"/>
      <c r="APR147" s="83"/>
      <c r="AQB147" s="83"/>
      <c r="AQL147" s="83"/>
      <c r="AQV147" s="83"/>
      <c r="ARF147" s="83"/>
      <c r="ARP147" s="83"/>
      <c r="ARZ147" s="83"/>
      <c r="ASJ147" s="83"/>
      <c r="AST147" s="83"/>
      <c r="ATD147" s="83"/>
      <c r="ATN147" s="83"/>
      <c r="ATX147" s="83"/>
      <c r="AUH147" s="83"/>
      <c r="AUR147" s="83"/>
      <c r="AVB147" s="83"/>
      <c r="AVL147" s="83"/>
      <c r="AVV147" s="83"/>
      <c r="AWF147" s="83"/>
      <c r="AWP147" s="83"/>
      <c r="AWZ147" s="83"/>
      <c r="AXJ147" s="83"/>
      <c r="AXT147" s="83"/>
      <c r="AYD147" s="83"/>
      <c r="AYN147" s="83"/>
      <c r="AYX147" s="83"/>
      <c r="AZH147" s="83"/>
      <c r="AZR147" s="83"/>
      <c r="BAB147" s="83"/>
      <c r="BAL147" s="83"/>
      <c r="BAV147" s="83"/>
      <c r="BBF147" s="83"/>
      <c r="BBP147" s="83"/>
      <c r="BBZ147" s="83"/>
      <c r="BCJ147" s="83"/>
      <c r="BCT147" s="83"/>
      <c r="BDD147" s="83"/>
      <c r="BDN147" s="83"/>
      <c r="BDX147" s="83"/>
      <c r="BEH147" s="83"/>
      <c r="BER147" s="83"/>
      <c r="BFB147" s="83"/>
      <c r="BFL147" s="83"/>
      <c r="BFV147" s="83"/>
      <c r="BGF147" s="83"/>
      <c r="BGP147" s="83"/>
      <c r="BGZ147" s="83"/>
      <c r="BHJ147" s="83"/>
      <c r="BHT147" s="83"/>
      <c r="BID147" s="83"/>
      <c r="BIN147" s="83"/>
      <c r="BIX147" s="83"/>
      <c r="BJH147" s="83"/>
      <c r="BJR147" s="83"/>
      <c r="BKB147" s="83"/>
      <c r="BKL147" s="83"/>
      <c r="BKV147" s="83"/>
      <c r="BLF147" s="83"/>
      <c r="BLP147" s="83"/>
      <c r="BLZ147" s="83"/>
      <c r="BMJ147" s="83"/>
      <c r="BMT147" s="83"/>
      <c r="BND147" s="83"/>
      <c r="BNN147" s="83"/>
      <c r="BNX147" s="83"/>
      <c r="BOH147" s="83"/>
      <c r="BOR147" s="83"/>
      <c r="BPB147" s="83"/>
      <c r="BPL147" s="83"/>
      <c r="BPV147" s="83"/>
      <c r="BQF147" s="83"/>
      <c r="BQP147" s="83"/>
      <c r="BQZ147" s="83"/>
      <c r="BRJ147" s="83"/>
      <c r="BRT147" s="83"/>
      <c r="BSD147" s="83"/>
      <c r="BSN147" s="83"/>
      <c r="BSX147" s="83"/>
      <c r="BTH147" s="83"/>
      <c r="BTR147" s="83"/>
      <c r="BUB147" s="83"/>
      <c r="BUL147" s="83"/>
      <c r="BUV147" s="83"/>
      <c r="BVF147" s="83"/>
      <c r="BVP147" s="83"/>
      <c r="BVZ147" s="83"/>
      <c r="BWJ147" s="83"/>
      <c r="BWT147" s="83"/>
      <c r="BXD147" s="83"/>
      <c r="BXN147" s="83"/>
      <c r="BXX147" s="83"/>
      <c r="BYH147" s="83"/>
      <c r="BYR147" s="83"/>
      <c r="BZB147" s="83"/>
      <c r="BZL147" s="83"/>
      <c r="BZV147" s="83"/>
      <c r="CAF147" s="83"/>
      <c r="CAP147" s="83"/>
      <c r="CAZ147" s="83"/>
      <c r="CBJ147" s="83"/>
      <c r="CBT147" s="83"/>
      <c r="CCD147" s="83"/>
      <c r="CCN147" s="83"/>
      <c r="CCX147" s="83"/>
      <c r="CDH147" s="83"/>
      <c r="CDR147" s="83"/>
      <c r="CEB147" s="83"/>
      <c r="CEL147" s="83"/>
      <c r="CEV147" s="83"/>
      <c r="CFF147" s="83"/>
      <c r="CFP147" s="83"/>
      <c r="CFZ147" s="83"/>
      <c r="CGJ147" s="83"/>
      <c r="CGT147" s="83"/>
      <c r="CHD147" s="83"/>
      <c r="CHN147" s="83"/>
      <c r="CHX147" s="83"/>
      <c r="CIH147" s="83"/>
      <c r="CIR147" s="83"/>
      <c r="CJB147" s="83"/>
      <c r="CJL147" s="83"/>
      <c r="CJV147" s="83"/>
      <c r="CKF147" s="83"/>
      <c r="CKP147" s="83"/>
      <c r="CKZ147" s="83"/>
      <c r="CLJ147" s="83"/>
      <c r="CLT147" s="83"/>
      <c r="CMD147" s="83"/>
      <c r="CMN147" s="83"/>
      <c r="CMX147" s="83"/>
      <c r="CNH147" s="83"/>
      <c r="CNR147" s="83"/>
      <c r="COB147" s="83"/>
      <c r="COL147" s="83"/>
      <c r="COV147" s="83"/>
      <c r="CPF147" s="83"/>
      <c r="CPP147" s="83"/>
      <c r="CPZ147" s="83"/>
      <c r="CQJ147" s="83"/>
      <c r="CQT147" s="83"/>
      <c r="CRD147" s="83"/>
      <c r="CRN147" s="83"/>
      <c r="CRX147" s="83"/>
      <c r="CSH147" s="83"/>
      <c r="CSR147" s="83"/>
      <c r="CTB147" s="83"/>
      <c r="CTL147" s="83"/>
      <c r="CTV147" s="83"/>
    </row>
    <row r="148" s="58" customFormat="1" customHeight="1" spans="1:1020 1030:2040 2050:2570">
      <c r="A148" s="87">
        <v>46151</v>
      </c>
      <c r="B148" s="88" t="s">
        <v>149</v>
      </c>
      <c r="C148" s="89" t="s">
        <v>150</v>
      </c>
      <c r="D148" s="75">
        <v>652373718</v>
      </c>
      <c r="E148" s="90" t="s">
        <v>151</v>
      </c>
      <c r="F148" s="91" t="str">
        <f>VLOOKUP(E148,[16]基础数据!E:F,2,0)</f>
        <v>A12-高压支路连接线束-500</v>
      </c>
      <c r="G148" s="75">
        <v>2760</v>
      </c>
      <c r="H148" s="77" t="str">
        <f>VLOOKUP(E148,[16]基础数据!E:H,4,0)</f>
        <v>料盒</v>
      </c>
      <c r="I148" s="77">
        <f>VLOOKUP(E148,[16]基础数据!E:G,3,0)</f>
        <v>20</v>
      </c>
      <c r="J148" s="75" t="s">
        <v>306</v>
      </c>
      <c r="K148" s="78">
        <f t="shared" si="2"/>
        <v>138</v>
      </c>
      <c r="T148" s="83"/>
      <c r="AD148" s="83"/>
      <c r="AN148" s="83"/>
      <c r="AX148" s="83"/>
      <c r="BH148" s="83"/>
      <c r="BR148" s="83"/>
      <c r="CB148" s="83"/>
      <c r="CL148" s="83"/>
      <c r="CV148" s="83"/>
      <c r="DF148" s="83"/>
      <c r="DP148" s="83"/>
      <c r="DZ148" s="83"/>
      <c r="EJ148" s="83"/>
      <c r="ET148" s="83"/>
      <c r="FD148" s="83"/>
      <c r="FN148" s="83"/>
      <c r="FX148" s="83"/>
      <c r="GH148" s="83"/>
      <c r="GR148" s="83"/>
      <c r="HB148" s="83"/>
      <c r="HL148" s="83"/>
      <c r="HV148" s="83"/>
      <c r="IF148" s="83"/>
      <c r="IP148" s="83"/>
      <c r="IZ148" s="83"/>
      <c r="JJ148" s="83"/>
      <c r="JT148" s="83"/>
      <c r="KD148" s="83"/>
      <c r="KN148" s="83"/>
      <c r="KX148" s="83"/>
      <c r="LH148" s="83"/>
      <c r="LR148" s="83"/>
      <c r="MB148" s="83"/>
      <c r="ML148" s="83"/>
      <c r="MV148" s="83"/>
      <c r="NF148" s="83"/>
      <c r="NP148" s="83"/>
      <c r="NZ148" s="83"/>
      <c r="OJ148" s="83"/>
      <c r="OT148" s="83"/>
      <c r="PD148" s="83"/>
      <c r="PN148" s="83"/>
      <c r="PX148" s="83"/>
      <c r="QH148" s="83"/>
      <c r="QR148" s="83"/>
      <c r="RB148" s="83"/>
      <c r="RL148" s="83"/>
      <c r="RV148" s="83"/>
      <c r="SF148" s="83"/>
      <c r="SP148" s="83"/>
      <c r="SZ148" s="83"/>
      <c r="TJ148" s="83"/>
      <c r="TT148" s="83"/>
      <c r="UD148" s="83"/>
      <c r="UN148" s="83"/>
      <c r="UX148" s="83"/>
      <c r="VH148" s="83"/>
      <c r="VR148" s="83"/>
      <c r="WB148" s="83"/>
      <c r="WL148" s="83"/>
      <c r="WV148" s="83"/>
      <c r="XF148" s="83"/>
      <c r="XP148" s="83"/>
      <c r="XZ148" s="83"/>
      <c r="YJ148" s="83"/>
      <c r="YT148" s="83"/>
      <c r="ZD148" s="83"/>
      <c r="ZN148" s="83"/>
      <c r="ZX148" s="83"/>
      <c r="AAH148" s="83"/>
      <c r="AAR148" s="83"/>
      <c r="ABB148" s="83"/>
      <c r="ABL148" s="83"/>
      <c r="ABV148" s="83"/>
      <c r="ACF148" s="83"/>
      <c r="ACP148" s="83"/>
      <c r="ACZ148" s="83"/>
      <c r="ADJ148" s="83"/>
      <c r="ADT148" s="83"/>
      <c r="AED148" s="83"/>
      <c r="AEN148" s="83"/>
      <c r="AEX148" s="83"/>
      <c r="AFH148" s="83"/>
      <c r="AFR148" s="83"/>
      <c r="AGB148" s="83"/>
      <c r="AGL148" s="83"/>
      <c r="AGV148" s="83"/>
      <c r="AHF148" s="83"/>
      <c r="AHP148" s="83"/>
      <c r="AHZ148" s="83"/>
      <c r="AIJ148" s="83"/>
      <c r="AIT148" s="83"/>
      <c r="AJD148" s="83"/>
      <c r="AJN148" s="83"/>
      <c r="AJX148" s="83"/>
      <c r="AKH148" s="83"/>
      <c r="AKR148" s="83"/>
      <c r="ALB148" s="83"/>
      <c r="ALL148" s="83"/>
      <c r="ALV148" s="83"/>
      <c r="AMF148" s="83"/>
      <c r="AMP148" s="83"/>
      <c r="AMZ148" s="83"/>
      <c r="ANJ148" s="83"/>
      <c r="ANT148" s="83"/>
      <c r="AOD148" s="83"/>
      <c r="AON148" s="83"/>
      <c r="AOX148" s="83"/>
      <c r="APH148" s="83"/>
      <c r="APR148" s="83"/>
      <c r="AQB148" s="83"/>
      <c r="AQL148" s="83"/>
      <c r="AQV148" s="83"/>
      <c r="ARF148" s="83"/>
      <c r="ARP148" s="83"/>
      <c r="ARZ148" s="83"/>
      <c r="ASJ148" s="83"/>
      <c r="AST148" s="83"/>
      <c r="ATD148" s="83"/>
      <c r="ATN148" s="83"/>
      <c r="ATX148" s="83"/>
      <c r="AUH148" s="83"/>
      <c r="AUR148" s="83"/>
      <c r="AVB148" s="83"/>
      <c r="AVL148" s="83"/>
      <c r="AVV148" s="83"/>
      <c r="AWF148" s="83"/>
      <c r="AWP148" s="83"/>
      <c r="AWZ148" s="83"/>
      <c r="AXJ148" s="83"/>
      <c r="AXT148" s="83"/>
      <c r="AYD148" s="83"/>
      <c r="AYN148" s="83"/>
      <c r="AYX148" s="83"/>
      <c r="AZH148" s="83"/>
      <c r="AZR148" s="83"/>
      <c r="BAB148" s="83"/>
      <c r="BAL148" s="83"/>
      <c r="BAV148" s="83"/>
      <c r="BBF148" s="83"/>
      <c r="BBP148" s="83"/>
      <c r="BBZ148" s="83"/>
      <c r="BCJ148" s="83"/>
      <c r="BCT148" s="83"/>
      <c r="BDD148" s="83"/>
      <c r="BDN148" s="83"/>
      <c r="BDX148" s="83"/>
      <c r="BEH148" s="83"/>
      <c r="BER148" s="83"/>
      <c r="BFB148" s="83"/>
      <c r="BFL148" s="83"/>
      <c r="BFV148" s="83"/>
      <c r="BGF148" s="83"/>
      <c r="BGP148" s="83"/>
      <c r="BGZ148" s="83"/>
      <c r="BHJ148" s="83"/>
      <c r="BHT148" s="83"/>
      <c r="BID148" s="83"/>
      <c r="BIN148" s="83"/>
      <c r="BIX148" s="83"/>
      <c r="BJH148" s="83"/>
      <c r="BJR148" s="83"/>
      <c r="BKB148" s="83"/>
      <c r="BKL148" s="83"/>
      <c r="BKV148" s="83"/>
      <c r="BLF148" s="83"/>
      <c r="BLP148" s="83"/>
      <c r="BLZ148" s="83"/>
      <c r="BMJ148" s="83"/>
      <c r="BMT148" s="83"/>
      <c r="BND148" s="83"/>
      <c r="BNN148" s="83"/>
      <c r="BNX148" s="83"/>
      <c r="BOH148" s="83"/>
      <c r="BOR148" s="83"/>
      <c r="BPB148" s="83"/>
      <c r="BPL148" s="83"/>
      <c r="BPV148" s="83"/>
      <c r="BQF148" s="83"/>
      <c r="BQP148" s="83"/>
      <c r="BQZ148" s="83"/>
      <c r="BRJ148" s="83"/>
      <c r="BRT148" s="83"/>
      <c r="BSD148" s="83"/>
      <c r="BSN148" s="83"/>
      <c r="BSX148" s="83"/>
      <c r="BTH148" s="83"/>
      <c r="BTR148" s="83"/>
      <c r="BUB148" s="83"/>
      <c r="BUL148" s="83"/>
      <c r="BUV148" s="83"/>
      <c r="BVF148" s="83"/>
      <c r="BVP148" s="83"/>
      <c r="BVZ148" s="83"/>
      <c r="BWJ148" s="83"/>
      <c r="BWT148" s="83"/>
      <c r="BXD148" s="83"/>
      <c r="BXN148" s="83"/>
      <c r="BXX148" s="83"/>
      <c r="BYH148" s="83"/>
      <c r="BYR148" s="83"/>
      <c r="BZB148" s="83"/>
      <c r="BZL148" s="83"/>
      <c r="BZV148" s="83"/>
      <c r="CAF148" s="83"/>
      <c r="CAP148" s="83"/>
      <c r="CAZ148" s="83"/>
      <c r="CBJ148" s="83"/>
      <c r="CBT148" s="83"/>
      <c r="CCD148" s="83"/>
      <c r="CCN148" s="83"/>
      <c r="CCX148" s="83"/>
      <c r="CDH148" s="83"/>
      <c r="CDR148" s="83"/>
      <c r="CEB148" s="83"/>
      <c r="CEL148" s="83"/>
      <c r="CEV148" s="83"/>
      <c r="CFF148" s="83"/>
      <c r="CFP148" s="83"/>
      <c r="CFZ148" s="83"/>
      <c r="CGJ148" s="83"/>
      <c r="CGT148" s="83"/>
      <c r="CHD148" s="83"/>
      <c r="CHN148" s="83"/>
      <c r="CHX148" s="83"/>
      <c r="CIH148" s="83"/>
      <c r="CIR148" s="83"/>
      <c r="CJB148" s="83"/>
      <c r="CJL148" s="83"/>
      <c r="CJV148" s="83"/>
      <c r="CKF148" s="83"/>
      <c r="CKP148" s="83"/>
      <c r="CKZ148" s="83"/>
      <c r="CLJ148" s="83"/>
      <c r="CLT148" s="83"/>
      <c r="CMD148" s="83"/>
      <c r="CMN148" s="83"/>
      <c r="CMX148" s="83"/>
      <c r="CNH148" s="83"/>
      <c r="CNR148" s="83"/>
      <c r="COB148" s="83"/>
      <c r="COL148" s="83"/>
      <c r="COV148" s="83"/>
      <c r="CPF148" s="83"/>
      <c r="CPP148" s="83"/>
      <c r="CPZ148" s="83"/>
      <c r="CQJ148" s="83"/>
      <c r="CQT148" s="83"/>
      <c r="CRD148" s="83"/>
      <c r="CRN148" s="83"/>
      <c r="CRX148" s="83"/>
      <c r="CSH148" s="83"/>
      <c r="CSR148" s="83"/>
      <c r="CTB148" s="83"/>
      <c r="CTL148" s="83"/>
      <c r="CTV148" s="83"/>
    </row>
    <row r="149" s="58" customFormat="1" customHeight="1" spans="1:1020 1030:2040 2050:2570">
      <c r="A149" s="87">
        <v>46152</v>
      </c>
      <c r="B149" s="88" t="s">
        <v>149</v>
      </c>
      <c r="C149" s="89" t="s">
        <v>150</v>
      </c>
      <c r="D149" s="75">
        <v>652376657</v>
      </c>
      <c r="E149" s="92" t="s">
        <v>195</v>
      </c>
      <c r="F149" s="91" t="str">
        <f>VLOOKUP(E149,[17]基础数据!E:F,2,0)</f>
        <v>线束总成</v>
      </c>
      <c r="G149" s="75">
        <v>1000</v>
      </c>
      <c r="H149" s="77" t="str">
        <f>VLOOKUP(E149,[17]基础数据!E:H,4,0)</f>
        <v>料盒</v>
      </c>
      <c r="I149" s="77">
        <f>VLOOKUP(E149,[17]基础数据!E:G,3,0)</f>
        <v>100</v>
      </c>
      <c r="J149" s="75" t="s">
        <v>306</v>
      </c>
      <c r="K149" s="78">
        <f t="shared" ref="K149:K165" si="3">IFERROR(G149/I149,"")</f>
        <v>10</v>
      </c>
      <c r="T149" s="83"/>
      <c r="AD149" s="83"/>
      <c r="AN149" s="83"/>
      <c r="AX149" s="83"/>
      <c r="BH149" s="83"/>
      <c r="BR149" s="83"/>
      <c r="CB149" s="83"/>
      <c r="CL149" s="83"/>
      <c r="CV149" s="83"/>
      <c r="DF149" s="83"/>
      <c r="DP149" s="83"/>
      <c r="DZ149" s="83"/>
      <c r="EJ149" s="83"/>
      <c r="ET149" s="83"/>
      <c r="FD149" s="83"/>
      <c r="FN149" s="83"/>
      <c r="FX149" s="83"/>
      <c r="GH149" s="83"/>
      <c r="GR149" s="83"/>
      <c r="HB149" s="83"/>
      <c r="HL149" s="83"/>
      <c r="HV149" s="83"/>
      <c r="IF149" s="83"/>
      <c r="IP149" s="83"/>
      <c r="IZ149" s="83"/>
      <c r="JJ149" s="83"/>
      <c r="JT149" s="83"/>
      <c r="KD149" s="83"/>
      <c r="KN149" s="83"/>
      <c r="KX149" s="83"/>
      <c r="LH149" s="83"/>
      <c r="LR149" s="83"/>
      <c r="MB149" s="83"/>
      <c r="ML149" s="83"/>
      <c r="MV149" s="83"/>
      <c r="NF149" s="83"/>
      <c r="NP149" s="83"/>
      <c r="NZ149" s="83"/>
      <c r="OJ149" s="83"/>
      <c r="OT149" s="83"/>
      <c r="PD149" s="83"/>
      <c r="PN149" s="83"/>
      <c r="PX149" s="83"/>
      <c r="QH149" s="83"/>
      <c r="QR149" s="83"/>
      <c r="RB149" s="83"/>
      <c r="RL149" s="83"/>
      <c r="RV149" s="83"/>
      <c r="SF149" s="83"/>
      <c r="SP149" s="83"/>
      <c r="SZ149" s="83"/>
      <c r="TJ149" s="83"/>
      <c r="TT149" s="83"/>
      <c r="UD149" s="83"/>
      <c r="UN149" s="83"/>
      <c r="UX149" s="83"/>
      <c r="VH149" s="83"/>
      <c r="VR149" s="83"/>
      <c r="WB149" s="83"/>
      <c r="WL149" s="83"/>
      <c r="WV149" s="83"/>
      <c r="XF149" s="83"/>
      <c r="XP149" s="83"/>
      <c r="XZ149" s="83"/>
      <c r="YJ149" s="83"/>
      <c r="YT149" s="83"/>
      <c r="ZD149" s="83"/>
      <c r="ZN149" s="83"/>
      <c r="ZX149" s="83"/>
      <c r="AAH149" s="83"/>
      <c r="AAR149" s="83"/>
      <c r="ABB149" s="83"/>
      <c r="ABL149" s="83"/>
      <c r="ABV149" s="83"/>
      <c r="ACF149" s="83"/>
      <c r="ACP149" s="83"/>
      <c r="ACZ149" s="83"/>
      <c r="ADJ149" s="83"/>
      <c r="ADT149" s="83"/>
      <c r="AED149" s="83"/>
      <c r="AEN149" s="83"/>
      <c r="AEX149" s="83"/>
      <c r="AFH149" s="83"/>
      <c r="AFR149" s="83"/>
      <c r="AGB149" s="83"/>
      <c r="AGL149" s="83"/>
      <c r="AGV149" s="83"/>
      <c r="AHF149" s="83"/>
      <c r="AHP149" s="83"/>
      <c r="AHZ149" s="83"/>
      <c r="AIJ149" s="83"/>
      <c r="AIT149" s="83"/>
      <c r="AJD149" s="83"/>
      <c r="AJN149" s="83"/>
      <c r="AJX149" s="83"/>
      <c r="AKH149" s="83"/>
      <c r="AKR149" s="83"/>
      <c r="ALB149" s="83"/>
      <c r="ALL149" s="83"/>
      <c r="ALV149" s="83"/>
      <c r="AMF149" s="83"/>
      <c r="AMP149" s="83"/>
      <c r="AMZ149" s="83"/>
      <c r="ANJ149" s="83"/>
      <c r="ANT149" s="83"/>
      <c r="AOD149" s="83"/>
      <c r="AON149" s="83"/>
      <c r="AOX149" s="83"/>
      <c r="APH149" s="83"/>
      <c r="APR149" s="83"/>
      <c r="AQB149" s="83"/>
      <c r="AQL149" s="83"/>
      <c r="AQV149" s="83"/>
      <c r="ARF149" s="83"/>
      <c r="ARP149" s="83"/>
      <c r="ARZ149" s="83"/>
      <c r="ASJ149" s="83"/>
      <c r="AST149" s="83"/>
      <c r="ATD149" s="83"/>
      <c r="ATN149" s="83"/>
      <c r="ATX149" s="83"/>
      <c r="AUH149" s="83"/>
      <c r="AUR149" s="83"/>
      <c r="AVB149" s="83"/>
      <c r="AVL149" s="83"/>
      <c r="AVV149" s="83"/>
      <c r="AWF149" s="83"/>
      <c r="AWP149" s="83"/>
      <c r="AWZ149" s="83"/>
      <c r="AXJ149" s="83"/>
      <c r="AXT149" s="83"/>
      <c r="AYD149" s="83"/>
      <c r="AYN149" s="83"/>
      <c r="AYX149" s="83"/>
      <c r="AZH149" s="83"/>
      <c r="AZR149" s="83"/>
      <c r="BAB149" s="83"/>
      <c r="BAL149" s="83"/>
      <c r="BAV149" s="83"/>
      <c r="BBF149" s="83"/>
      <c r="BBP149" s="83"/>
      <c r="BBZ149" s="83"/>
      <c r="BCJ149" s="83"/>
      <c r="BCT149" s="83"/>
      <c r="BDD149" s="83"/>
      <c r="BDN149" s="83"/>
      <c r="BDX149" s="83"/>
      <c r="BEH149" s="83"/>
      <c r="BER149" s="83"/>
      <c r="BFB149" s="83"/>
      <c r="BFL149" s="83"/>
      <c r="BFV149" s="83"/>
      <c r="BGF149" s="83"/>
      <c r="BGP149" s="83"/>
      <c r="BGZ149" s="83"/>
      <c r="BHJ149" s="83"/>
      <c r="BHT149" s="83"/>
      <c r="BID149" s="83"/>
      <c r="BIN149" s="83"/>
      <c r="BIX149" s="83"/>
      <c r="BJH149" s="83"/>
      <c r="BJR149" s="83"/>
      <c r="BKB149" s="83"/>
      <c r="BKL149" s="83"/>
      <c r="BKV149" s="83"/>
      <c r="BLF149" s="83"/>
      <c r="BLP149" s="83"/>
      <c r="BLZ149" s="83"/>
      <c r="BMJ149" s="83"/>
      <c r="BMT149" s="83"/>
      <c r="BND149" s="83"/>
      <c r="BNN149" s="83"/>
      <c r="BNX149" s="83"/>
      <c r="BOH149" s="83"/>
      <c r="BOR149" s="83"/>
      <c r="BPB149" s="83"/>
      <c r="BPL149" s="83"/>
      <c r="BPV149" s="83"/>
      <c r="BQF149" s="83"/>
      <c r="BQP149" s="83"/>
      <c r="BQZ149" s="83"/>
      <c r="BRJ149" s="83"/>
      <c r="BRT149" s="83"/>
      <c r="BSD149" s="83"/>
      <c r="BSN149" s="83"/>
      <c r="BSX149" s="83"/>
      <c r="BTH149" s="83"/>
      <c r="BTR149" s="83"/>
      <c r="BUB149" s="83"/>
      <c r="BUL149" s="83"/>
      <c r="BUV149" s="83"/>
      <c r="BVF149" s="83"/>
      <c r="BVP149" s="83"/>
      <c r="BVZ149" s="83"/>
      <c r="BWJ149" s="83"/>
      <c r="BWT149" s="83"/>
      <c r="BXD149" s="83"/>
      <c r="BXN149" s="83"/>
      <c r="BXX149" s="83"/>
      <c r="BYH149" s="83"/>
      <c r="BYR149" s="83"/>
      <c r="BZB149" s="83"/>
      <c r="BZL149" s="83"/>
      <c r="BZV149" s="83"/>
      <c r="CAF149" s="83"/>
      <c r="CAP149" s="83"/>
      <c r="CAZ149" s="83"/>
      <c r="CBJ149" s="83"/>
      <c r="CBT149" s="83"/>
      <c r="CCD149" s="83"/>
      <c r="CCN149" s="83"/>
      <c r="CCX149" s="83"/>
      <c r="CDH149" s="83"/>
      <c r="CDR149" s="83"/>
      <c r="CEB149" s="83"/>
      <c r="CEL149" s="83"/>
      <c r="CEV149" s="83"/>
      <c r="CFF149" s="83"/>
      <c r="CFP149" s="83"/>
      <c r="CFZ149" s="83"/>
      <c r="CGJ149" s="83"/>
      <c r="CGT149" s="83"/>
      <c r="CHD149" s="83"/>
      <c r="CHN149" s="83"/>
      <c r="CHX149" s="83"/>
      <c r="CIH149" s="83"/>
      <c r="CIR149" s="83"/>
      <c r="CJB149" s="83"/>
      <c r="CJL149" s="83"/>
      <c r="CJV149" s="83"/>
      <c r="CKF149" s="83"/>
      <c r="CKP149" s="83"/>
      <c r="CKZ149" s="83"/>
      <c r="CLJ149" s="83"/>
      <c r="CLT149" s="83"/>
      <c r="CMD149" s="83"/>
      <c r="CMN149" s="83"/>
      <c r="CMX149" s="83"/>
      <c r="CNH149" s="83"/>
      <c r="CNR149" s="83"/>
      <c r="COB149" s="83"/>
      <c r="COL149" s="83"/>
      <c r="COV149" s="83"/>
      <c r="CPF149" s="83"/>
      <c r="CPP149" s="83"/>
      <c r="CPZ149" s="83"/>
      <c r="CQJ149" s="83"/>
      <c r="CQT149" s="83"/>
      <c r="CRD149" s="83"/>
      <c r="CRN149" s="83"/>
      <c r="CRX149" s="83"/>
      <c r="CSH149" s="83"/>
      <c r="CSR149" s="83"/>
      <c r="CTB149" s="83"/>
      <c r="CTL149" s="83"/>
      <c r="CTV149" s="83"/>
    </row>
    <row r="150" s="58" customFormat="1" customHeight="1" spans="1:1020 1030:2040 2050:2570">
      <c r="A150" s="87">
        <v>46152</v>
      </c>
      <c r="B150" s="88" t="s">
        <v>149</v>
      </c>
      <c r="C150" s="89" t="s">
        <v>150</v>
      </c>
      <c r="D150" s="75">
        <v>652376657</v>
      </c>
      <c r="E150" s="92" t="s">
        <v>193</v>
      </c>
      <c r="F150" s="91" t="str">
        <f>VLOOKUP(E150,[17]基础数据!E:F,2,0)</f>
        <v>线束总成</v>
      </c>
      <c r="G150" s="75">
        <v>1000</v>
      </c>
      <c r="H150" s="77" t="str">
        <f>VLOOKUP(E150,[17]基础数据!E:H,4,0)</f>
        <v>料盒</v>
      </c>
      <c r="I150" s="77">
        <f>VLOOKUP(E150,[17]基础数据!E:G,3,0)</f>
        <v>200</v>
      </c>
      <c r="J150" s="75" t="s">
        <v>306</v>
      </c>
      <c r="K150" s="78">
        <f t="shared" si="3"/>
        <v>5</v>
      </c>
      <c r="T150" s="83"/>
      <c r="AD150" s="83"/>
      <c r="AN150" s="83"/>
      <c r="AX150" s="83"/>
      <c r="BH150" s="83"/>
      <c r="BR150" s="83"/>
      <c r="CB150" s="83"/>
      <c r="CL150" s="83"/>
      <c r="CV150" s="83"/>
      <c r="DF150" s="83"/>
      <c r="DP150" s="83"/>
      <c r="DZ150" s="83"/>
      <c r="EJ150" s="83"/>
      <c r="ET150" s="83"/>
      <c r="FD150" s="83"/>
      <c r="FN150" s="83"/>
      <c r="FX150" s="83"/>
      <c r="GH150" s="83"/>
      <c r="GR150" s="83"/>
      <c r="HB150" s="83"/>
      <c r="HL150" s="83"/>
      <c r="HV150" s="83"/>
      <c r="IF150" s="83"/>
      <c r="IP150" s="83"/>
      <c r="IZ150" s="83"/>
      <c r="JJ150" s="83"/>
      <c r="JT150" s="83"/>
      <c r="KD150" s="83"/>
      <c r="KN150" s="83"/>
      <c r="KX150" s="83"/>
      <c r="LH150" s="83"/>
      <c r="LR150" s="83"/>
      <c r="MB150" s="83"/>
      <c r="ML150" s="83"/>
      <c r="MV150" s="83"/>
      <c r="NF150" s="83"/>
      <c r="NP150" s="83"/>
      <c r="NZ150" s="83"/>
      <c r="OJ150" s="83"/>
      <c r="OT150" s="83"/>
      <c r="PD150" s="83"/>
      <c r="PN150" s="83"/>
      <c r="PX150" s="83"/>
      <c r="QH150" s="83"/>
      <c r="QR150" s="83"/>
      <c r="RB150" s="83"/>
      <c r="RL150" s="83"/>
      <c r="RV150" s="83"/>
      <c r="SF150" s="83"/>
      <c r="SP150" s="83"/>
      <c r="SZ150" s="83"/>
      <c r="TJ150" s="83"/>
      <c r="TT150" s="83"/>
      <c r="UD150" s="83"/>
      <c r="UN150" s="83"/>
      <c r="UX150" s="83"/>
      <c r="VH150" s="83"/>
      <c r="VR150" s="83"/>
      <c r="WB150" s="83"/>
      <c r="WL150" s="83"/>
      <c r="WV150" s="83"/>
      <c r="XF150" s="83"/>
      <c r="XP150" s="83"/>
      <c r="XZ150" s="83"/>
      <c r="YJ150" s="83"/>
      <c r="YT150" s="83"/>
      <c r="ZD150" s="83"/>
      <c r="ZN150" s="83"/>
      <c r="ZX150" s="83"/>
      <c r="AAH150" s="83"/>
      <c r="AAR150" s="83"/>
      <c r="ABB150" s="83"/>
      <c r="ABL150" s="83"/>
      <c r="ABV150" s="83"/>
      <c r="ACF150" s="83"/>
      <c r="ACP150" s="83"/>
      <c r="ACZ150" s="83"/>
      <c r="ADJ150" s="83"/>
      <c r="ADT150" s="83"/>
      <c r="AED150" s="83"/>
      <c r="AEN150" s="83"/>
      <c r="AEX150" s="83"/>
      <c r="AFH150" s="83"/>
      <c r="AFR150" s="83"/>
      <c r="AGB150" s="83"/>
      <c r="AGL150" s="83"/>
      <c r="AGV150" s="83"/>
      <c r="AHF150" s="83"/>
      <c r="AHP150" s="83"/>
      <c r="AHZ150" s="83"/>
      <c r="AIJ150" s="83"/>
      <c r="AIT150" s="83"/>
      <c r="AJD150" s="83"/>
      <c r="AJN150" s="83"/>
      <c r="AJX150" s="83"/>
      <c r="AKH150" s="83"/>
      <c r="AKR150" s="83"/>
      <c r="ALB150" s="83"/>
      <c r="ALL150" s="83"/>
      <c r="ALV150" s="83"/>
      <c r="AMF150" s="83"/>
      <c r="AMP150" s="83"/>
      <c r="AMZ150" s="83"/>
      <c r="ANJ150" s="83"/>
      <c r="ANT150" s="83"/>
      <c r="AOD150" s="83"/>
      <c r="AON150" s="83"/>
      <c r="AOX150" s="83"/>
      <c r="APH150" s="83"/>
      <c r="APR150" s="83"/>
      <c r="AQB150" s="83"/>
      <c r="AQL150" s="83"/>
      <c r="AQV150" s="83"/>
      <c r="ARF150" s="83"/>
      <c r="ARP150" s="83"/>
      <c r="ARZ150" s="83"/>
      <c r="ASJ150" s="83"/>
      <c r="AST150" s="83"/>
      <c r="ATD150" s="83"/>
      <c r="ATN150" s="83"/>
      <c r="ATX150" s="83"/>
      <c r="AUH150" s="83"/>
      <c r="AUR150" s="83"/>
      <c r="AVB150" s="83"/>
      <c r="AVL150" s="83"/>
      <c r="AVV150" s="83"/>
      <c r="AWF150" s="83"/>
      <c r="AWP150" s="83"/>
      <c r="AWZ150" s="83"/>
      <c r="AXJ150" s="83"/>
      <c r="AXT150" s="83"/>
      <c r="AYD150" s="83"/>
      <c r="AYN150" s="83"/>
      <c r="AYX150" s="83"/>
      <c r="AZH150" s="83"/>
      <c r="AZR150" s="83"/>
      <c r="BAB150" s="83"/>
      <c r="BAL150" s="83"/>
      <c r="BAV150" s="83"/>
      <c r="BBF150" s="83"/>
      <c r="BBP150" s="83"/>
      <c r="BBZ150" s="83"/>
      <c r="BCJ150" s="83"/>
      <c r="BCT150" s="83"/>
      <c r="BDD150" s="83"/>
      <c r="BDN150" s="83"/>
      <c r="BDX150" s="83"/>
      <c r="BEH150" s="83"/>
      <c r="BER150" s="83"/>
      <c r="BFB150" s="83"/>
      <c r="BFL150" s="83"/>
      <c r="BFV150" s="83"/>
      <c r="BGF150" s="83"/>
      <c r="BGP150" s="83"/>
      <c r="BGZ150" s="83"/>
      <c r="BHJ150" s="83"/>
      <c r="BHT150" s="83"/>
      <c r="BID150" s="83"/>
      <c r="BIN150" s="83"/>
      <c r="BIX150" s="83"/>
      <c r="BJH150" s="83"/>
      <c r="BJR150" s="83"/>
      <c r="BKB150" s="83"/>
      <c r="BKL150" s="83"/>
      <c r="BKV150" s="83"/>
      <c r="BLF150" s="83"/>
      <c r="BLP150" s="83"/>
      <c r="BLZ150" s="83"/>
      <c r="BMJ150" s="83"/>
      <c r="BMT150" s="83"/>
      <c r="BND150" s="83"/>
      <c r="BNN150" s="83"/>
      <c r="BNX150" s="83"/>
      <c r="BOH150" s="83"/>
      <c r="BOR150" s="83"/>
      <c r="BPB150" s="83"/>
      <c r="BPL150" s="83"/>
      <c r="BPV150" s="83"/>
      <c r="BQF150" s="83"/>
      <c r="BQP150" s="83"/>
      <c r="BQZ150" s="83"/>
      <c r="BRJ150" s="83"/>
      <c r="BRT150" s="83"/>
      <c r="BSD150" s="83"/>
      <c r="BSN150" s="83"/>
      <c r="BSX150" s="83"/>
      <c r="BTH150" s="83"/>
      <c r="BTR150" s="83"/>
      <c r="BUB150" s="83"/>
      <c r="BUL150" s="83"/>
      <c r="BUV150" s="83"/>
      <c r="BVF150" s="83"/>
      <c r="BVP150" s="83"/>
      <c r="BVZ150" s="83"/>
      <c r="BWJ150" s="83"/>
      <c r="BWT150" s="83"/>
      <c r="BXD150" s="83"/>
      <c r="BXN150" s="83"/>
      <c r="BXX150" s="83"/>
      <c r="BYH150" s="83"/>
      <c r="BYR150" s="83"/>
      <c r="BZB150" s="83"/>
      <c r="BZL150" s="83"/>
      <c r="BZV150" s="83"/>
      <c r="CAF150" s="83"/>
      <c r="CAP150" s="83"/>
      <c r="CAZ150" s="83"/>
      <c r="CBJ150" s="83"/>
      <c r="CBT150" s="83"/>
      <c r="CCD150" s="83"/>
      <c r="CCN150" s="83"/>
      <c r="CCX150" s="83"/>
      <c r="CDH150" s="83"/>
      <c r="CDR150" s="83"/>
      <c r="CEB150" s="83"/>
      <c r="CEL150" s="83"/>
      <c r="CEV150" s="83"/>
      <c r="CFF150" s="83"/>
      <c r="CFP150" s="83"/>
      <c r="CFZ150" s="83"/>
      <c r="CGJ150" s="83"/>
      <c r="CGT150" s="83"/>
      <c r="CHD150" s="83"/>
      <c r="CHN150" s="83"/>
      <c r="CHX150" s="83"/>
      <c r="CIH150" s="83"/>
      <c r="CIR150" s="83"/>
      <c r="CJB150" s="83"/>
      <c r="CJL150" s="83"/>
      <c r="CJV150" s="83"/>
      <c r="CKF150" s="83"/>
      <c r="CKP150" s="83"/>
      <c r="CKZ150" s="83"/>
      <c r="CLJ150" s="83"/>
      <c r="CLT150" s="83"/>
      <c r="CMD150" s="83"/>
      <c r="CMN150" s="83"/>
      <c r="CMX150" s="83"/>
      <c r="CNH150" s="83"/>
      <c r="CNR150" s="83"/>
      <c r="COB150" s="83"/>
      <c r="COL150" s="83"/>
      <c r="COV150" s="83"/>
      <c r="CPF150" s="83"/>
      <c r="CPP150" s="83"/>
      <c r="CPZ150" s="83"/>
      <c r="CQJ150" s="83"/>
      <c r="CQT150" s="83"/>
      <c r="CRD150" s="83"/>
      <c r="CRN150" s="83"/>
      <c r="CRX150" s="83"/>
      <c r="CSH150" s="83"/>
      <c r="CSR150" s="83"/>
      <c r="CTB150" s="83"/>
      <c r="CTL150" s="83"/>
      <c r="CTV150" s="83"/>
    </row>
    <row r="151" s="58" customFormat="1" customHeight="1" spans="1:1020 1030:2040 2050:2570">
      <c r="A151" s="87">
        <v>46152</v>
      </c>
      <c r="B151" s="88" t="s">
        <v>149</v>
      </c>
      <c r="C151" s="89" t="s">
        <v>150</v>
      </c>
      <c r="D151" s="75">
        <v>652377643</v>
      </c>
      <c r="E151" s="92" t="s">
        <v>191</v>
      </c>
      <c r="F151" s="91" t="str">
        <f>VLOOKUP(E151,[17]基础数据!E:F,2,0)</f>
        <v>LXBU1101-通讯集成线束-60.8</v>
      </c>
      <c r="G151" s="75">
        <v>898</v>
      </c>
      <c r="H151" s="77" t="str">
        <f>VLOOKUP(E151,[17]基础数据!E:H,4,0)</f>
        <v>料盒</v>
      </c>
      <c r="I151" s="77">
        <f>VLOOKUP(E151,[17]基础数据!E:G,3,0)</f>
        <v>100</v>
      </c>
      <c r="J151" s="75" t="s">
        <v>306</v>
      </c>
      <c r="K151" s="78">
        <f t="shared" si="3"/>
        <v>8.98</v>
      </c>
      <c r="T151" s="83"/>
      <c r="AD151" s="83"/>
      <c r="AN151" s="83"/>
      <c r="AX151" s="83"/>
      <c r="BH151" s="83"/>
      <c r="BR151" s="83"/>
      <c r="CB151" s="83"/>
      <c r="CL151" s="83"/>
      <c r="CV151" s="83"/>
      <c r="DF151" s="83"/>
      <c r="DP151" s="83"/>
      <c r="DZ151" s="83"/>
      <c r="EJ151" s="83"/>
      <c r="ET151" s="83"/>
      <c r="FD151" s="83"/>
      <c r="FN151" s="83"/>
      <c r="FX151" s="83"/>
      <c r="GH151" s="83"/>
      <c r="GR151" s="83"/>
      <c r="HB151" s="83"/>
      <c r="HL151" s="83"/>
      <c r="HV151" s="83"/>
      <c r="IF151" s="83"/>
      <c r="IP151" s="83"/>
      <c r="IZ151" s="83"/>
      <c r="JJ151" s="83"/>
      <c r="JT151" s="83"/>
      <c r="KD151" s="83"/>
      <c r="KN151" s="83"/>
      <c r="KX151" s="83"/>
      <c r="LH151" s="83"/>
      <c r="LR151" s="83"/>
      <c r="MB151" s="83"/>
      <c r="ML151" s="83"/>
      <c r="MV151" s="83"/>
      <c r="NF151" s="83"/>
      <c r="NP151" s="83"/>
      <c r="NZ151" s="83"/>
      <c r="OJ151" s="83"/>
      <c r="OT151" s="83"/>
      <c r="PD151" s="83"/>
      <c r="PN151" s="83"/>
      <c r="PX151" s="83"/>
      <c r="QH151" s="83"/>
      <c r="QR151" s="83"/>
      <c r="RB151" s="83"/>
      <c r="RL151" s="83"/>
      <c r="RV151" s="83"/>
      <c r="SF151" s="83"/>
      <c r="SP151" s="83"/>
      <c r="SZ151" s="83"/>
      <c r="TJ151" s="83"/>
      <c r="TT151" s="83"/>
      <c r="UD151" s="83"/>
      <c r="UN151" s="83"/>
      <c r="UX151" s="83"/>
      <c r="VH151" s="83"/>
      <c r="VR151" s="83"/>
      <c r="WB151" s="83"/>
      <c r="WL151" s="83"/>
      <c r="WV151" s="83"/>
      <c r="XF151" s="83"/>
      <c r="XP151" s="83"/>
      <c r="XZ151" s="83"/>
      <c r="YJ151" s="83"/>
      <c r="YT151" s="83"/>
      <c r="ZD151" s="83"/>
      <c r="ZN151" s="83"/>
      <c r="ZX151" s="83"/>
      <c r="AAH151" s="83"/>
      <c r="AAR151" s="83"/>
      <c r="ABB151" s="83"/>
      <c r="ABL151" s="83"/>
      <c r="ABV151" s="83"/>
      <c r="ACF151" s="83"/>
      <c r="ACP151" s="83"/>
      <c r="ACZ151" s="83"/>
      <c r="ADJ151" s="83"/>
      <c r="ADT151" s="83"/>
      <c r="AED151" s="83"/>
      <c r="AEN151" s="83"/>
      <c r="AEX151" s="83"/>
      <c r="AFH151" s="83"/>
      <c r="AFR151" s="83"/>
      <c r="AGB151" s="83"/>
      <c r="AGL151" s="83"/>
      <c r="AGV151" s="83"/>
      <c r="AHF151" s="83"/>
      <c r="AHP151" s="83"/>
      <c r="AHZ151" s="83"/>
      <c r="AIJ151" s="83"/>
      <c r="AIT151" s="83"/>
      <c r="AJD151" s="83"/>
      <c r="AJN151" s="83"/>
      <c r="AJX151" s="83"/>
      <c r="AKH151" s="83"/>
      <c r="AKR151" s="83"/>
      <c r="ALB151" s="83"/>
      <c r="ALL151" s="83"/>
      <c r="ALV151" s="83"/>
      <c r="AMF151" s="83"/>
      <c r="AMP151" s="83"/>
      <c r="AMZ151" s="83"/>
      <c r="ANJ151" s="83"/>
      <c r="ANT151" s="83"/>
      <c r="AOD151" s="83"/>
      <c r="AON151" s="83"/>
      <c r="AOX151" s="83"/>
      <c r="APH151" s="83"/>
      <c r="APR151" s="83"/>
      <c r="AQB151" s="83"/>
      <c r="AQL151" s="83"/>
      <c r="AQV151" s="83"/>
      <c r="ARF151" s="83"/>
      <c r="ARP151" s="83"/>
      <c r="ARZ151" s="83"/>
      <c r="ASJ151" s="83"/>
      <c r="AST151" s="83"/>
      <c r="ATD151" s="83"/>
      <c r="ATN151" s="83"/>
      <c r="ATX151" s="83"/>
      <c r="AUH151" s="83"/>
      <c r="AUR151" s="83"/>
      <c r="AVB151" s="83"/>
      <c r="AVL151" s="83"/>
      <c r="AVV151" s="83"/>
      <c r="AWF151" s="83"/>
      <c r="AWP151" s="83"/>
      <c r="AWZ151" s="83"/>
      <c r="AXJ151" s="83"/>
      <c r="AXT151" s="83"/>
      <c r="AYD151" s="83"/>
      <c r="AYN151" s="83"/>
      <c r="AYX151" s="83"/>
      <c r="AZH151" s="83"/>
      <c r="AZR151" s="83"/>
      <c r="BAB151" s="83"/>
      <c r="BAL151" s="83"/>
      <c r="BAV151" s="83"/>
      <c r="BBF151" s="83"/>
      <c r="BBP151" s="83"/>
      <c r="BBZ151" s="83"/>
      <c r="BCJ151" s="83"/>
      <c r="BCT151" s="83"/>
      <c r="BDD151" s="83"/>
      <c r="BDN151" s="83"/>
      <c r="BDX151" s="83"/>
      <c r="BEH151" s="83"/>
      <c r="BER151" s="83"/>
      <c r="BFB151" s="83"/>
      <c r="BFL151" s="83"/>
      <c r="BFV151" s="83"/>
      <c r="BGF151" s="83"/>
      <c r="BGP151" s="83"/>
      <c r="BGZ151" s="83"/>
      <c r="BHJ151" s="83"/>
      <c r="BHT151" s="83"/>
      <c r="BID151" s="83"/>
      <c r="BIN151" s="83"/>
      <c r="BIX151" s="83"/>
      <c r="BJH151" s="83"/>
      <c r="BJR151" s="83"/>
      <c r="BKB151" s="83"/>
      <c r="BKL151" s="83"/>
      <c r="BKV151" s="83"/>
      <c r="BLF151" s="83"/>
      <c r="BLP151" s="83"/>
      <c r="BLZ151" s="83"/>
      <c r="BMJ151" s="83"/>
      <c r="BMT151" s="83"/>
      <c r="BND151" s="83"/>
      <c r="BNN151" s="83"/>
      <c r="BNX151" s="83"/>
      <c r="BOH151" s="83"/>
      <c r="BOR151" s="83"/>
      <c r="BPB151" s="83"/>
      <c r="BPL151" s="83"/>
      <c r="BPV151" s="83"/>
      <c r="BQF151" s="83"/>
      <c r="BQP151" s="83"/>
      <c r="BQZ151" s="83"/>
      <c r="BRJ151" s="83"/>
      <c r="BRT151" s="83"/>
      <c r="BSD151" s="83"/>
      <c r="BSN151" s="83"/>
      <c r="BSX151" s="83"/>
      <c r="BTH151" s="83"/>
      <c r="BTR151" s="83"/>
      <c r="BUB151" s="83"/>
      <c r="BUL151" s="83"/>
      <c r="BUV151" s="83"/>
      <c r="BVF151" s="83"/>
      <c r="BVP151" s="83"/>
      <c r="BVZ151" s="83"/>
      <c r="BWJ151" s="83"/>
      <c r="BWT151" s="83"/>
      <c r="BXD151" s="83"/>
      <c r="BXN151" s="83"/>
      <c r="BXX151" s="83"/>
      <c r="BYH151" s="83"/>
      <c r="BYR151" s="83"/>
      <c r="BZB151" s="83"/>
      <c r="BZL151" s="83"/>
      <c r="BZV151" s="83"/>
      <c r="CAF151" s="83"/>
      <c r="CAP151" s="83"/>
      <c r="CAZ151" s="83"/>
      <c r="CBJ151" s="83"/>
      <c r="CBT151" s="83"/>
      <c r="CCD151" s="83"/>
      <c r="CCN151" s="83"/>
      <c r="CCX151" s="83"/>
      <c r="CDH151" s="83"/>
      <c r="CDR151" s="83"/>
      <c r="CEB151" s="83"/>
      <c r="CEL151" s="83"/>
      <c r="CEV151" s="83"/>
      <c r="CFF151" s="83"/>
      <c r="CFP151" s="83"/>
      <c r="CFZ151" s="83"/>
      <c r="CGJ151" s="83"/>
      <c r="CGT151" s="83"/>
      <c r="CHD151" s="83"/>
      <c r="CHN151" s="83"/>
      <c r="CHX151" s="83"/>
      <c r="CIH151" s="83"/>
      <c r="CIR151" s="83"/>
      <c r="CJB151" s="83"/>
      <c r="CJL151" s="83"/>
      <c r="CJV151" s="83"/>
      <c r="CKF151" s="83"/>
      <c r="CKP151" s="83"/>
      <c r="CKZ151" s="83"/>
      <c r="CLJ151" s="83"/>
      <c r="CLT151" s="83"/>
      <c r="CMD151" s="83"/>
      <c r="CMN151" s="83"/>
      <c r="CMX151" s="83"/>
      <c r="CNH151" s="83"/>
      <c r="CNR151" s="83"/>
      <c r="COB151" s="83"/>
      <c r="COL151" s="83"/>
      <c r="COV151" s="83"/>
      <c r="CPF151" s="83"/>
      <c r="CPP151" s="83"/>
      <c r="CPZ151" s="83"/>
      <c r="CQJ151" s="83"/>
      <c r="CQT151" s="83"/>
      <c r="CRD151" s="83"/>
      <c r="CRN151" s="83"/>
      <c r="CRX151" s="83"/>
      <c r="CSH151" s="83"/>
      <c r="CSR151" s="83"/>
      <c r="CTB151" s="83"/>
      <c r="CTL151" s="83"/>
      <c r="CTV151" s="83"/>
    </row>
    <row r="152" s="58" customFormat="1" customHeight="1" spans="1:1020 1030:2040 2050:2570">
      <c r="A152" s="87">
        <v>46152</v>
      </c>
      <c r="B152" s="88" t="s">
        <v>149</v>
      </c>
      <c r="C152" s="89" t="s">
        <v>150</v>
      </c>
      <c r="D152" s="75">
        <v>652377643</v>
      </c>
      <c r="E152" s="92" t="s">
        <v>189</v>
      </c>
      <c r="F152" s="91" t="str">
        <f>VLOOKUP(E152,[17]基础数据!E:F,2,0)</f>
        <v>LXBU1101-BDU集成线束-60.8</v>
      </c>
      <c r="G152" s="75">
        <v>899</v>
      </c>
      <c r="H152" s="77" t="str">
        <f>VLOOKUP(E152,[17]基础数据!E:H,4,0)</f>
        <v>料盒</v>
      </c>
      <c r="I152" s="77">
        <f>VLOOKUP(E152,[17]基础数据!E:G,3,0)</f>
        <v>40</v>
      </c>
      <c r="J152" s="75" t="s">
        <v>306</v>
      </c>
      <c r="K152" s="78">
        <f t="shared" si="3"/>
        <v>22.475</v>
      </c>
      <c r="T152" s="83"/>
      <c r="AD152" s="83"/>
      <c r="AN152" s="83"/>
      <c r="AX152" s="83"/>
      <c r="BH152" s="83"/>
      <c r="BR152" s="83"/>
      <c r="CB152" s="83"/>
      <c r="CL152" s="83"/>
      <c r="CV152" s="83"/>
      <c r="DF152" s="83"/>
      <c r="DP152" s="83"/>
      <c r="DZ152" s="83"/>
      <c r="EJ152" s="83"/>
      <c r="ET152" s="83"/>
      <c r="FD152" s="83"/>
      <c r="FN152" s="83"/>
      <c r="FX152" s="83"/>
      <c r="GH152" s="83"/>
      <c r="GR152" s="83"/>
      <c r="HB152" s="83"/>
      <c r="HL152" s="83"/>
      <c r="HV152" s="83"/>
      <c r="IF152" s="83"/>
      <c r="IP152" s="83"/>
      <c r="IZ152" s="83"/>
      <c r="JJ152" s="83"/>
      <c r="JT152" s="83"/>
      <c r="KD152" s="83"/>
      <c r="KN152" s="83"/>
      <c r="KX152" s="83"/>
      <c r="LH152" s="83"/>
      <c r="LR152" s="83"/>
      <c r="MB152" s="83"/>
      <c r="ML152" s="83"/>
      <c r="MV152" s="83"/>
      <c r="NF152" s="83"/>
      <c r="NP152" s="83"/>
      <c r="NZ152" s="83"/>
      <c r="OJ152" s="83"/>
      <c r="OT152" s="83"/>
      <c r="PD152" s="83"/>
      <c r="PN152" s="83"/>
      <c r="PX152" s="83"/>
      <c r="QH152" s="83"/>
      <c r="QR152" s="83"/>
      <c r="RB152" s="83"/>
      <c r="RL152" s="83"/>
      <c r="RV152" s="83"/>
      <c r="SF152" s="83"/>
      <c r="SP152" s="83"/>
      <c r="SZ152" s="83"/>
      <c r="TJ152" s="83"/>
      <c r="TT152" s="83"/>
      <c r="UD152" s="83"/>
      <c r="UN152" s="83"/>
      <c r="UX152" s="83"/>
      <c r="VH152" s="83"/>
      <c r="VR152" s="83"/>
      <c r="WB152" s="83"/>
      <c r="WL152" s="83"/>
      <c r="WV152" s="83"/>
      <c r="XF152" s="83"/>
      <c r="XP152" s="83"/>
      <c r="XZ152" s="83"/>
      <c r="YJ152" s="83"/>
      <c r="YT152" s="83"/>
      <c r="ZD152" s="83"/>
      <c r="ZN152" s="83"/>
      <c r="ZX152" s="83"/>
      <c r="AAH152" s="83"/>
      <c r="AAR152" s="83"/>
      <c r="ABB152" s="83"/>
      <c r="ABL152" s="83"/>
      <c r="ABV152" s="83"/>
      <c r="ACF152" s="83"/>
      <c r="ACP152" s="83"/>
      <c r="ACZ152" s="83"/>
      <c r="ADJ152" s="83"/>
      <c r="ADT152" s="83"/>
      <c r="AED152" s="83"/>
      <c r="AEN152" s="83"/>
      <c r="AEX152" s="83"/>
      <c r="AFH152" s="83"/>
      <c r="AFR152" s="83"/>
      <c r="AGB152" s="83"/>
      <c r="AGL152" s="83"/>
      <c r="AGV152" s="83"/>
      <c r="AHF152" s="83"/>
      <c r="AHP152" s="83"/>
      <c r="AHZ152" s="83"/>
      <c r="AIJ152" s="83"/>
      <c r="AIT152" s="83"/>
      <c r="AJD152" s="83"/>
      <c r="AJN152" s="83"/>
      <c r="AJX152" s="83"/>
      <c r="AKH152" s="83"/>
      <c r="AKR152" s="83"/>
      <c r="ALB152" s="83"/>
      <c r="ALL152" s="83"/>
      <c r="ALV152" s="83"/>
      <c r="AMF152" s="83"/>
      <c r="AMP152" s="83"/>
      <c r="AMZ152" s="83"/>
      <c r="ANJ152" s="83"/>
      <c r="ANT152" s="83"/>
      <c r="AOD152" s="83"/>
      <c r="AON152" s="83"/>
      <c r="AOX152" s="83"/>
      <c r="APH152" s="83"/>
      <c r="APR152" s="83"/>
      <c r="AQB152" s="83"/>
      <c r="AQL152" s="83"/>
      <c r="AQV152" s="83"/>
      <c r="ARF152" s="83"/>
      <c r="ARP152" s="83"/>
      <c r="ARZ152" s="83"/>
      <c r="ASJ152" s="83"/>
      <c r="AST152" s="83"/>
      <c r="ATD152" s="83"/>
      <c r="ATN152" s="83"/>
      <c r="ATX152" s="83"/>
      <c r="AUH152" s="83"/>
      <c r="AUR152" s="83"/>
      <c r="AVB152" s="83"/>
      <c r="AVL152" s="83"/>
      <c r="AVV152" s="83"/>
      <c r="AWF152" s="83"/>
      <c r="AWP152" s="83"/>
      <c r="AWZ152" s="83"/>
      <c r="AXJ152" s="83"/>
      <c r="AXT152" s="83"/>
      <c r="AYD152" s="83"/>
      <c r="AYN152" s="83"/>
      <c r="AYX152" s="83"/>
      <c r="AZH152" s="83"/>
      <c r="AZR152" s="83"/>
      <c r="BAB152" s="83"/>
      <c r="BAL152" s="83"/>
      <c r="BAV152" s="83"/>
      <c r="BBF152" s="83"/>
      <c r="BBP152" s="83"/>
      <c r="BBZ152" s="83"/>
      <c r="BCJ152" s="83"/>
      <c r="BCT152" s="83"/>
      <c r="BDD152" s="83"/>
      <c r="BDN152" s="83"/>
      <c r="BDX152" s="83"/>
      <c r="BEH152" s="83"/>
      <c r="BER152" s="83"/>
      <c r="BFB152" s="83"/>
      <c r="BFL152" s="83"/>
      <c r="BFV152" s="83"/>
      <c r="BGF152" s="83"/>
      <c r="BGP152" s="83"/>
      <c r="BGZ152" s="83"/>
      <c r="BHJ152" s="83"/>
      <c r="BHT152" s="83"/>
      <c r="BID152" s="83"/>
      <c r="BIN152" s="83"/>
      <c r="BIX152" s="83"/>
      <c r="BJH152" s="83"/>
      <c r="BJR152" s="83"/>
      <c r="BKB152" s="83"/>
      <c r="BKL152" s="83"/>
      <c r="BKV152" s="83"/>
      <c r="BLF152" s="83"/>
      <c r="BLP152" s="83"/>
      <c r="BLZ152" s="83"/>
      <c r="BMJ152" s="83"/>
      <c r="BMT152" s="83"/>
      <c r="BND152" s="83"/>
      <c r="BNN152" s="83"/>
      <c r="BNX152" s="83"/>
      <c r="BOH152" s="83"/>
      <c r="BOR152" s="83"/>
      <c r="BPB152" s="83"/>
      <c r="BPL152" s="83"/>
      <c r="BPV152" s="83"/>
      <c r="BQF152" s="83"/>
      <c r="BQP152" s="83"/>
      <c r="BQZ152" s="83"/>
      <c r="BRJ152" s="83"/>
      <c r="BRT152" s="83"/>
      <c r="BSD152" s="83"/>
      <c r="BSN152" s="83"/>
      <c r="BSX152" s="83"/>
      <c r="BTH152" s="83"/>
      <c r="BTR152" s="83"/>
      <c r="BUB152" s="83"/>
      <c r="BUL152" s="83"/>
      <c r="BUV152" s="83"/>
      <c r="BVF152" s="83"/>
      <c r="BVP152" s="83"/>
      <c r="BVZ152" s="83"/>
      <c r="BWJ152" s="83"/>
      <c r="BWT152" s="83"/>
      <c r="BXD152" s="83"/>
      <c r="BXN152" s="83"/>
      <c r="BXX152" s="83"/>
      <c r="BYH152" s="83"/>
      <c r="BYR152" s="83"/>
      <c r="BZB152" s="83"/>
      <c r="BZL152" s="83"/>
      <c r="BZV152" s="83"/>
      <c r="CAF152" s="83"/>
      <c r="CAP152" s="83"/>
      <c r="CAZ152" s="83"/>
      <c r="CBJ152" s="83"/>
      <c r="CBT152" s="83"/>
      <c r="CCD152" s="83"/>
      <c r="CCN152" s="83"/>
      <c r="CCX152" s="83"/>
      <c r="CDH152" s="83"/>
      <c r="CDR152" s="83"/>
      <c r="CEB152" s="83"/>
      <c r="CEL152" s="83"/>
      <c r="CEV152" s="83"/>
      <c r="CFF152" s="83"/>
      <c r="CFP152" s="83"/>
      <c r="CFZ152" s="83"/>
      <c r="CGJ152" s="83"/>
      <c r="CGT152" s="83"/>
      <c r="CHD152" s="83"/>
      <c r="CHN152" s="83"/>
      <c r="CHX152" s="83"/>
      <c r="CIH152" s="83"/>
      <c r="CIR152" s="83"/>
      <c r="CJB152" s="83"/>
      <c r="CJL152" s="83"/>
      <c r="CJV152" s="83"/>
      <c r="CKF152" s="83"/>
      <c r="CKP152" s="83"/>
      <c r="CKZ152" s="83"/>
      <c r="CLJ152" s="83"/>
      <c r="CLT152" s="83"/>
      <c r="CMD152" s="83"/>
      <c r="CMN152" s="83"/>
      <c r="CMX152" s="83"/>
      <c r="CNH152" s="83"/>
      <c r="CNR152" s="83"/>
      <c r="COB152" s="83"/>
      <c r="COL152" s="83"/>
      <c r="COV152" s="83"/>
      <c r="CPF152" s="83"/>
      <c r="CPP152" s="83"/>
      <c r="CPZ152" s="83"/>
      <c r="CQJ152" s="83"/>
      <c r="CQT152" s="83"/>
      <c r="CRD152" s="83"/>
      <c r="CRN152" s="83"/>
      <c r="CRX152" s="83"/>
      <c r="CSH152" s="83"/>
      <c r="CSR152" s="83"/>
      <c r="CTB152" s="83"/>
      <c r="CTL152" s="83"/>
      <c r="CTV152" s="83"/>
    </row>
    <row r="153" s="58" customFormat="1" customHeight="1" spans="1:1020 1030:2040 2050:2570">
      <c r="A153" s="87">
        <v>46152</v>
      </c>
      <c r="B153" s="88" t="s">
        <v>149</v>
      </c>
      <c r="C153" s="89" t="s">
        <v>150</v>
      </c>
      <c r="D153" s="75">
        <v>652377643</v>
      </c>
      <c r="E153" s="92" t="s">
        <v>155</v>
      </c>
      <c r="F153" s="91" t="str">
        <f>VLOOKUP(E153,[17]基础数据!E:F,2,0)</f>
        <v>A12EV10-预充电阻连接线束</v>
      </c>
      <c r="G153" s="75">
        <v>1500</v>
      </c>
      <c r="H153" s="77" t="str">
        <f>VLOOKUP(E153,[17]基础数据!E:H,4,0)</f>
        <v>料盒</v>
      </c>
      <c r="I153" s="77">
        <f>VLOOKUP(E153,[17]基础数据!E:G,3,0)</f>
        <v>100</v>
      </c>
      <c r="J153" s="75" t="s">
        <v>306</v>
      </c>
      <c r="K153" s="78">
        <f t="shared" si="3"/>
        <v>15</v>
      </c>
      <c r="T153" s="83"/>
      <c r="AD153" s="83"/>
      <c r="AN153" s="83"/>
      <c r="AX153" s="83"/>
      <c r="BH153" s="83"/>
      <c r="BR153" s="83"/>
      <c r="CB153" s="83"/>
      <c r="CL153" s="83"/>
      <c r="CV153" s="83"/>
      <c r="DF153" s="83"/>
      <c r="DP153" s="83"/>
      <c r="DZ153" s="83"/>
      <c r="EJ153" s="83"/>
      <c r="ET153" s="83"/>
      <c r="FD153" s="83"/>
      <c r="FN153" s="83"/>
      <c r="FX153" s="83"/>
      <c r="GH153" s="83"/>
      <c r="GR153" s="83"/>
      <c r="HB153" s="83"/>
      <c r="HL153" s="83"/>
      <c r="HV153" s="83"/>
      <c r="IF153" s="83"/>
      <c r="IP153" s="83"/>
      <c r="IZ153" s="83"/>
      <c r="JJ153" s="83"/>
      <c r="JT153" s="83"/>
      <c r="KD153" s="83"/>
      <c r="KN153" s="83"/>
      <c r="KX153" s="83"/>
      <c r="LH153" s="83"/>
      <c r="LR153" s="83"/>
      <c r="MB153" s="83"/>
      <c r="ML153" s="83"/>
      <c r="MV153" s="83"/>
      <c r="NF153" s="83"/>
      <c r="NP153" s="83"/>
      <c r="NZ153" s="83"/>
      <c r="OJ153" s="83"/>
      <c r="OT153" s="83"/>
      <c r="PD153" s="83"/>
      <c r="PN153" s="83"/>
      <c r="PX153" s="83"/>
      <c r="QH153" s="83"/>
      <c r="QR153" s="83"/>
      <c r="RB153" s="83"/>
      <c r="RL153" s="83"/>
      <c r="RV153" s="83"/>
      <c r="SF153" s="83"/>
      <c r="SP153" s="83"/>
      <c r="SZ153" s="83"/>
      <c r="TJ153" s="83"/>
      <c r="TT153" s="83"/>
      <c r="UD153" s="83"/>
      <c r="UN153" s="83"/>
      <c r="UX153" s="83"/>
      <c r="VH153" s="83"/>
      <c r="VR153" s="83"/>
      <c r="WB153" s="83"/>
      <c r="WL153" s="83"/>
      <c r="WV153" s="83"/>
      <c r="XF153" s="83"/>
      <c r="XP153" s="83"/>
      <c r="XZ153" s="83"/>
      <c r="YJ153" s="83"/>
      <c r="YT153" s="83"/>
      <c r="ZD153" s="83"/>
      <c r="ZN153" s="83"/>
      <c r="ZX153" s="83"/>
      <c r="AAH153" s="83"/>
      <c r="AAR153" s="83"/>
      <c r="ABB153" s="83"/>
      <c r="ABL153" s="83"/>
      <c r="ABV153" s="83"/>
      <c r="ACF153" s="83"/>
      <c r="ACP153" s="83"/>
      <c r="ACZ153" s="83"/>
      <c r="ADJ153" s="83"/>
      <c r="ADT153" s="83"/>
      <c r="AED153" s="83"/>
      <c r="AEN153" s="83"/>
      <c r="AEX153" s="83"/>
      <c r="AFH153" s="83"/>
      <c r="AFR153" s="83"/>
      <c r="AGB153" s="83"/>
      <c r="AGL153" s="83"/>
      <c r="AGV153" s="83"/>
      <c r="AHF153" s="83"/>
      <c r="AHP153" s="83"/>
      <c r="AHZ153" s="83"/>
      <c r="AIJ153" s="83"/>
      <c r="AIT153" s="83"/>
      <c r="AJD153" s="83"/>
      <c r="AJN153" s="83"/>
      <c r="AJX153" s="83"/>
      <c r="AKH153" s="83"/>
      <c r="AKR153" s="83"/>
      <c r="ALB153" s="83"/>
      <c r="ALL153" s="83"/>
      <c r="ALV153" s="83"/>
      <c r="AMF153" s="83"/>
      <c r="AMP153" s="83"/>
      <c r="AMZ153" s="83"/>
      <c r="ANJ153" s="83"/>
      <c r="ANT153" s="83"/>
      <c r="AOD153" s="83"/>
      <c r="AON153" s="83"/>
      <c r="AOX153" s="83"/>
      <c r="APH153" s="83"/>
      <c r="APR153" s="83"/>
      <c r="AQB153" s="83"/>
      <c r="AQL153" s="83"/>
      <c r="AQV153" s="83"/>
      <c r="ARF153" s="83"/>
      <c r="ARP153" s="83"/>
      <c r="ARZ153" s="83"/>
      <c r="ASJ153" s="83"/>
      <c r="AST153" s="83"/>
      <c r="ATD153" s="83"/>
      <c r="ATN153" s="83"/>
      <c r="ATX153" s="83"/>
      <c r="AUH153" s="83"/>
      <c r="AUR153" s="83"/>
      <c r="AVB153" s="83"/>
      <c r="AVL153" s="83"/>
      <c r="AVV153" s="83"/>
      <c r="AWF153" s="83"/>
      <c r="AWP153" s="83"/>
      <c r="AWZ153" s="83"/>
      <c r="AXJ153" s="83"/>
      <c r="AXT153" s="83"/>
      <c r="AYD153" s="83"/>
      <c r="AYN153" s="83"/>
      <c r="AYX153" s="83"/>
      <c r="AZH153" s="83"/>
      <c r="AZR153" s="83"/>
      <c r="BAB153" s="83"/>
      <c r="BAL153" s="83"/>
      <c r="BAV153" s="83"/>
      <c r="BBF153" s="83"/>
      <c r="BBP153" s="83"/>
      <c r="BBZ153" s="83"/>
      <c r="BCJ153" s="83"/>
      <c r="BCT153" s="83"/>
      <c r="BDD153" s="83"/>
      <c r="BDN153" s="83"/>
      <c r="BDX153" s="83"/>
      <c r="BEH153" s="83"/>
      <c r="BER153" s="83"/>
      <c r="BFB153" s="83"/>
      <c r="BFL153" s="83"/>
      <c r="BFV153" s="83"/>
      <c r="BGF153" s="83"/>
      <c r="BGP153" s="83"/>
      <c r="BGZ153" s="83"/>
      <c r="BHJ153" s="83"/>
      <c r="BHT153" s="83"/>
      <c r="BID153" s="83"/>
      <c r="BIN153" s="83"/>
      <c r="BIX153" s="83"/>
      <c r="BJH153" s="83"/>
      <c r="BJR153" s="83"/>
      <c r="BKB153" s="83"/>
      <c r="BKL153" s="83"/>
      <c r="BKV153" s="83"/>
      <c r="BLF153" s="83"/>
      <c r="BLP153" s="83"/>
      <c r="BLZ153" s="83"/>
      <c r="BMJ153" s="83"/>
      <c r="BMT153" s="83"/>
      <c r="BND153" s="83"/>
      <c r="BNN153" s="83"/>
      <c r="BNX153" s="83"/>
      <c r="BOH153" s="83"/>
      <c r="BOR153" s="83"/>
      <c r="BPB153" s="83"/>
      <c r="BPL153" s="83"/>
      <c r="BPV153" s="83"/>
      <c r="BQF153" s="83"/>
      <c r="BQP153" s="83"/>
      <c r="BQZ153" s="83"/>
      <c r="BRJ153" s="83"/>
      <c r="BRT153" s="83"/>
      <c r="BSD153" s="83"/>
      <c r="BSN153" s="83"/>
      <c r="BSX153" s="83"/>
      <c r="BTH153" s="83"/>
      <c r="BTR153" s="83"/>
      <c r="BUB153" s="83"/>
      <c r="BUL153" s="83"/>
      <c r="BUV153" s="83"/>
      <c r="BVF153" s="83"/>
      <c r="BVP153" s="83"/>
      <c r="BVZ153" s="83"/>
      <c r="BWJ153" s="83"/>
      <c r="BWT153" s="83"/>
      <c r="BXD153" s="83"/>
      <c r="BXN153" s="83"/>
      <c r="BXX153" s="83"/>
      <c r="BYH153" s="83"/>
      <c r="BYR153" s="83"/>
      <c r="BZB153" s="83"/>
      <c r="BZL153" s="83"/>
      <c r="BZV153" s="83"/>
      <c r="CAF153" s="83"/>
      <c r="CAP153" s="83"/>
      <c r="CAZ153" s="83"/>
      <c r="CBJ153" s="83"/>
      <c r="CBT153" s="83"/>
      <c r="CCD153" s="83"/>
      <c r="CCN153" s="83"/>
      <c r="CCX153" s="83"/>
      <c r="CDH153" s="83"/>
      <c r="CDR153" s="83"/>
      <c r="CEB153" s="83"/>
      <c r="CEL153" s="83"/>
      <c r="CEV153" s="83"/>
      <c r="CFF153" s="83"/>
      <c r="CFP153" s="83"/>
      <c r="CFZ153" s="83"/>
      <c r="CGJ153" s="83"/>
      <c r="CGT153" s="83"/>
      <c r="CHD153" s="83"/>
      <c r="CHN153" s="83"/>
      <c r="CHX153" s="83"/>
      <c r="CIH153" s="83"/>
      <c r="CIR153" s="83"/>
      <c r="CJB153" s="83"/>
      <c r="CJL153" s="83"/>
      <c r="CJV153" s="83"/>
      <c r="CKF153" s="83"/>
      <c r="CKP153" s="83"/>
      <c r="CKZ153" s="83"/>
      <c r="CLJ153" s="83"/>
      <c r="CLT153" s="83"/>
      <c r="CMD153" s="83"/>
      <c r="CMN153" s="83"/>
      <c r="CMX153" s="83"/>
      <c r="CNH153" s="83"/>
      <c r="CNR153" s="83"/>
      <c r="COB153" s="83"/>
      <c r="COL153" s="83"/>
      <c r="COV153" s="83"/>
      <c r="CPF153" s="83"/>
      <c r="CPP153" s="83"/>
      <c r="CPZ153" s="83"/>
      <c r="CQJ153" s="83"/>
      <c r="CQT153" s="83"/>
      <c r="CRD153" s="83"/>
      <c r="CRN153" s="83"/>
      <c r="CRX153" s="83"/>
      <c r="CSH153" s="83"/>
      <c r="CSR153" s="83"/>
      <c r="CTB153" s="83"/>
      <c r="CTL153" s="83"/>
      <c r="CTV153" s="83"/>
    </row>
    <row r="154" s="58" customFormat="1" customHeight="1" spans="1:1020 1030:2040 2050:2570">
      <c r="A154" s="87">
        <v>46153</v>
      </c>
      <c r="B154" s="88" t="s">
        <v>149</v>
      </c>
      <c r="C154" s="89" t="s">
        <v>150</v>
      </c>
      <c r="D154" s="75">
        <v>652380513</v>
      </c>
      <c r="E154" s="92" t="s">
        <v>196</v>
      </c>
      <c r="F154" s="91" t="str">
        <f>VLOOKUP(E154,[18]基础数据!E:F,2,0)</f>
        <v>线束总成</v>
      </c>
      <c r="G154" s="75">
        <v>1000</v>
      </c>
      <c r="H154" s="77" t="str">
        <f>VLOOKUP(E154,[18]基础数据!E:H,4,0)</f>
        <v>料盒</v>
      </c>
      <c r="I154" s="77">
        <f>VLOOKUP(E154,[18]基础数据!E:G,3,0)</f>
        <v>100</v>
      </c>
      <c r="J154" s="75" t="s">
        <v>306</v>
      </c>
      <c r="K154" s="78">
        <f t="shared" si="3"/>
        <v>10</v>
      </c>
      <c r="T154" s="83"/>
      <c r="AD154" s="83"/>
      <c r="AN154" s="83"/>
      <c r="AX154" s="83"/>
      <c r="BH154" s="83"/>
      <c r="BR154" s="83"/>
      <c r="CB154" s="83"/>
      <c r="CL154" s="83"/>
      <c r="CV154" s="83"/>
      <c r="DF154" s="83"/>
      <c r="DP154" s="83"/>
      <c r="DZ154" s="83"/>
      <c r="EJ154" s="83"/>
      <c r="ET154" s="83"/>
      <c r="FD154" s="83"/>
      <c r="FN154" s="83"/>
      <c r="FX154" s="83"/>
      <c r="GH154" s="83"/>
      <c r="GR154" s="83"/>
      <c r="HB154" s="83"/>
      <c r="HL154" s="83"/>
      <c r="HV154" s="83"/>
      <c r="IF154" s="83"/>
      <c r="IP154" s="83"/>
      <c r="IZ154" s="83"/>
      <c r="JJ154" s="83"/>
      <c r="JT154" s="83"/>
      <c r="KD154" s="83"/>
      <c r="KN154" s="83"/>
      <c r="KX154" s="83"/>
      <c r="LH154" s="83"/>
      <c r="LR154" s="83"/>
      <c r="MB154" s="83"/>
      <c r="ML154" s="83"/>
      <c r="MV154" s="83"/>
      <c r="NF154" s="83"/>
      <c r="NP154" s="83"/>
      <c r="NZ154" s="83"/>
      <c r="OJ154" s="83"/>
      <c r="OT154" s="83"/>
      <c r="PD154" s="83"/>
      <c r="PN154" s="83"/>
      <c r="PX154" s="83"/>
      <c r="QH154" s="83"/>
      <c r="QR154" s="83"/>
      <c r="RB154" s="83"/>
      <c r="RL154" s="83"/>
      <c r="RV154" s="83"/>
      <c r="SF154" s="83"/>
      <c r="SP154" s="83"/>
      <c r="SZ154" s="83"/>
      <c r="TJ154" s="83"/>
      <c r="TT154" s="83"/>
      <c r="UD154" s="83"/>
      <c r="UN154" s="83"/>
      <c r="UX154" s="83"/>
      <c r="VH154" s="83"/>
      <c r="VR154" s="83"/>
      <c r="WB154" s="83"/>
      <c r="WL154" s="83"/>
      <c r="WV154" s="83"/>
      <c r="XF154" s="83"/>
      <c r="XP154" s="83"/>
      <c r="XZ154" s="83"/>
      <c r="YJ154" s="83"/>
      <c r="YT154" s="83"/>
      <c r="ZD154" s="83"/>
      <c r="ZN154" s="83"/>
      <c r="ZX154" s="83"/>
      <c r="AAH154" s="83"/>
      <c r="AAR154" s="83"/>
      <c r="ABB154" s="83"/>
      <c r="ABL154" s="83"/>
      <c r="ABV154" s="83"/>
      <c r="ACF154" s="83"/>
      <c r="ACP154" s="83"/>
      <c r="ACZ154" s="83"/>
      <c r="ADJ154" s="83"/>
      <c r="ADT154" s="83"/>
      <c r="AED154" s="83"/>
      <c r="AEN154" s="83"/>
      <c r="AEX154" s="83"/>
      <c r="AFH154" s="83"/>
      <c r="AFR154" s="83"/>
      <c r="AGB154" s="83"/>
      <c r="AGL154" s="83"/>
      <c r="AGV154" s="83"/>
      <c r="AHF154" s="83"/>
      <c r="AHP154" s="83"/>
      <c r="AHZ154" s="83"/>
      <c r="AIJ154" s="83"/>
      <c r="AIT154" s="83"/>
      <c r="AJD154" s="83"/>
      <c r="AJN154" s="83"/>
      <c r="AJX154" s="83"/>
      <c r="AKH154" s="83"/>
      <c r="AKR154" s="83"/>
      <c r="ALB154" s="83"/>
      <c r="ALL154" s="83"/>
      <c r="ALV154" s="83"/>
      <c r="AMF154" s="83"/>
      <c r="AMP154" s="83"/>
      <c r="AMZ154" s="83"/>
      <c r="ANJ154" s="83"/>
      <c r="ANT154" s="83"/>
      <c r="AOD154" s="83"/>
      <c r="AON154" s="83"/>
      <c r="AOX154" s="83"/>
      <c r="APH154" s="83"/>
      <c r="APR154" s="83"/>
      <c r="AQB154" s="83"/>
      <c r="AQL154" s="83"/>
      <c r="AQV154" s="83"/>
      <c r="ARF154" s="83"/>
      <c r="ARP154" s="83"/>
      <c r="ARZ154" s="83"/>
      <c r="ASJ154" s="83"/>
      <c r="AST154" s="83"/>
      <c r="ATD154" s="83"/>
      <c r="ATN154" s="83"/>
      <c r="ATX154" s="83"/>
      <c r="AUH154" s="83"/>
      <c r="AUR154" s="83"/>
      <c r="AVB154" s="83"/>
      <c r="AVL154" s="83"/>
      <c r="AVV154" s="83"/>
      <c r="AWF154" s="83"/>
      <c r="AWP154" s="83"/>
      <c r="AWZ154" s="83"/>
      <c r="AXJ154" s="83"/>
      <c r="AXT154" s="83"/>
      <c r="AYD154" s="83"/>
      <c r="AYN154" s="83"/>
      <c r="AYX154" s="83"/>
      <c r="AZH154" s="83"/>
      <c r="AZR154" s="83"/>
      <c r="BAB154" s="83"/>
      <c r="BAL154" s="83"/>
      <c r="BAV154" s="83"/>
      <c r="BBF154" s="83"/>
      <c r="BBP154" s="83"/>
      <c r="BBZ154" s="83"/>
      <c r="BCJ154" s="83"/>
      <c r="BCT154" s="83"/>
      <c r="BDD154" s="83"/>
      <c r="BDN154" s="83"/>
      <c r="BDX154" s="83"/>
      <c r="BEH154" s="83"/>
      <c r="BER154" s="83"/>
      <c r="BFB154" s="83"/>
      <c r="BFL154" s="83"/>
      <c r="BFV154" s="83"/>
      <c r="BGF154" s="83"/>
      <c r="BGP154" s="83"/>
      <c r="BGZ154" s="83"/>
      <c r="BHJ154" s="83"/>
      <c r="BHT154" s="83"/>
      <c r="BID154" s="83"/>
      <c r="BIN154" s="83"/>
      <c r="BIX154" s="83"/>
      <c r="BJH154" s="83"/>
      <c r="BJR154" s="83"/>
      <c r="BKB154" s="83"/>
      <c r="BKL154" s="83"/>
      <c r="BKV154" s="83"/>
      <c r="BLF154" s="83"/>
      <c r="BLP154" s="83"/>
      <c r="BLZ154" s="83"/>
      <c r="BMJ154" s="83"/>
      <c r="BMT154" s="83"/>
      <c r="BND154" s="83"/>
      <c r="BNN154" s="83"/>
      <c r="BNX154" s="83"/>
      <c r="BOH154" s="83"/>
      <c r="BOR154" s="83"/>
      <c r="BPB154" s="83"/>
      <c r="BPL154" s="83"/>
      <c r="BPV154" s="83"/>
      <c r="BQF154" s="83"/>
      <c r="BQP154" s="83"/>
      <c r="BQZ154" s="83"/>
      <c r="BRJ154" s="83"/>
      <c r="BRT154" s="83"/>
      <c r="BSD154" s="83"/>
      <c r="BSN154" s="83"/>
      <c r="BSX154" s="83"/>
      <c r="BTH154" s="83"/>
      <c r="BTR154" s="83"/>
      <c r="BUB154" s="83"/>
      <c r="BUL154" s="83"/>
      <c r="BUV154" s="83"/>
      <c r="BVF154" s="83"/>
      <c r="BVP154" s="83"/>
      <c r="BVZ154" s="83"/>
      <c r="BWJ154" s="83"/>
      <c r="BWT154" s="83"/>
      <c r="BXD154" s="83"/>
      <c r="BXN154" s="83"/>
      <c r="BXX154" s="83"/>
      <c r="BYH154" s="83"/>
      <c r="BYR154" s="83"/>
      <c r="BZB154" s="83"/>
      <c r="BZL154" s="83"/>
      <c r="BZV154" s="83"/>
      <c r="CAF154" s="83"/>
      <c r="CAP154" s="83"/>
      <c r="CAZ154" s="83"/>
      <c r="CBJ154" s="83"/>
      <c r="CBT154" s="83"/>
      <c r="CCD154" s="83"/>
      <c r="CCN154" s="83"/>
      <c r="CCX154" s="83"/>
      <c r="CDH154" s="83"/>
      <c r="CDR154" s="83"/>
      <c r="CEB154" s="83"/>
      <c r="CEL154" s="83"/>
      <c r="CEV154" s="83"/>
      <c r="CFF154" s="83"/>
      <c r="CFP154" s="83"/>
      <c r="CFZ154" s="83"/>
      <c r="CGJ154" s="83"/>
      <c r="CGT154" s="83"/>
      <c r="CHD154" s="83"/>
      <c r="CHN154" s="83"/>
      <c r="CHX154" s="83"/>
      <c r="CIH154" s="83"/>
      <c r="CIR154" s="83"/>
      <c r="CJB154" s="83"/>
      <c r="CJL154" s="83"/>
      <c r="CJV154" s="83"/>
      <c r="CKF154" s="83"/>
      <c r="CKP154" s="83"/>
      <c r="CKZ154" s="83"/>
      <c r="CLJ154" s="83"/>
      <c r="CLT154" s="83"/>
      <c r="CMD154" s="83"/>
      <c r="CMN154" s="83"/>
      <c r="CMX154" s="83"/>
      <c r="CNH154" s="83"/>
      <c r="CNR154" s="83"/>
      <c r="COB154" s="83"/>
      <c r="COL154" s="83"/>
      <c r="COV154" s="83"/>
      <c r="CPF154" s="83"/>
      <c r="CPP154" s="83"/>
      <c r="CPZ154" s="83"/>
      <c r="CQJ154" s="83"/>
      <c r="CQT154" s="83"/>
      <c r="CRD154" s="83"/>
      <c r="CRN154" s="83"/>
      <c r="CRX154" s="83"/>
      <c r="CSH154" s="83"/>
      <c r="CSR154" s="83"/>
      <c r="CTB154" s="83"/>
      <c r="CTL154" s="83"/>
      <c r="CTV154" s="83"/>
    </row>
    <row r="155" s="58" customFormat="1" customHeight="1" spans="1:1020 1030:2040 2050:2570">
      <c r="A155" s="87">
        <v>46153</v>
      </c>
      <c r="B155" s="88" t="s">
        <v>149</v>
      </c>
      <c r="C155" s="89" t="s">
        <v>150</v>
      </c>
      <c r="D155" s="75">
        <v>652382005</v>
      </c>
      <c r="E155" s="92" t="s">
        <v>177</v>
      </c>
      <c r="F155" s="91" t="str">
        <f>VLOOKUP(E155,[18]基础数据!E:F,2,0)</f>
        <v>LX00148-CCS总成</v>
      </c>
      <c r="G155" s="75">
        <v>1740</v>
      </c>
      <c r="H155" s="77" t="str">
        <f>VLOOKUP(E155,[18]基础数据!E:H,4,0)</f>
        <v>纸箱</v>
      </c>
      <c r="I155" s="77">
        <f>VLOOKUP(E155,[18]基础数据!E:G,3,0)</f>
        <v>12</v>
      </c>
      <c r="J155" s="75" t="s">
        <v>306</v>
      </c>
      <c r="K155" s="78">
        <f t="shared" si="3"/>
        <v>145</v>
      </c>
      <c r="T155" s="83"/>
      <c r="AD155" s="83"/>
      <c r="AN155" s="83"/>
      <c r="AX155" s="83"/>
      <c r="BH155" s="83"/>
      <c r="BR155" s="83"/>
      <c r="CB155" s="83"/>
      <c r="CL155" s="83"/>
      <c r="CV155" s="83"/>
      <c r="DF155" s="83"/>
      <c r="DP155" s="83"/>
      <c r="DZ155" s="83"/>
      <c r="EJ155" s="83"/>
      <c r="ET155" s="83"/>
      <c r="FD155" s="83"/>
      <c r="FN155" s="83"/>
      <c r="FX155" s="83"/>
      <c r="GH155" s="83"/>
      <c r="GR155" s="83"/>
      <c r="HB155" s="83"/>
      <c r="HL155" s="83"/>
      <c r="HV155" s="83"/>
      <c r="IF155" s="83"/>
      <c r="IP155" s="83"/>
      <c r="IZ155" s="83"/>
      <c r="JJ155" s="83"/>
      <c r="JT155" s="83"/>
      <c r="KD155" s="83"/>
      <c r="KN155" s="83"/>
      <c r="KX155" s="83"/>
      <c r="LH155" s="83"/>
      <c r="LR155" s="83"/>
      <c r="MB155" s="83"/>
      <c r="ML155" s="83"/>
      <c r="MV155" s="83"/>
      <c r="NF155" s="83"/>
      <c r="NP155" s="83"/>
      <c r="NZ155" s="83"/>
      <c r="OJ155" s="83"/>
      <c r="OT155" s="83"/>
      <c r="PD155" s="83"/>
      <c r="PN155" s="83"/>
      <c r="PX155" s="83"/>
      <c r="QH155" s="83"/>
      <c r="QR155" s="83"/>
      <c r="RB155" s="83"/>
      <c r="RL155" s="83"/>
      <c r="RV155" s="83"/>
      <c r="SF155" s="83"/>
      <c r="SP155" s="83"/>
      <c r="SZ155" s="83"/>
      <c r="TJ155" s="83"/>
      <c r="TT155" s="83"/>
      <c r="UD155" s="83"/>
      <c r="UN155" s="83"/>
      <c r="UX155" s="83"/>
      <c r="VH155" s="83"/>
      <c r="VR155" s="83"/>
      <c r="WB155" s="83"/>
      <c r="WL155" s="83"/>
      <c r="WV155" s="83"/>
      <c r="XF155" s="83"/>
      <c r="XP155" s="83"/>
      <c r="XZ155" s="83"/>
      <c r="YJ155" s="83"/>
      <c r="YT155" s="83"/>
      <c r="ZD155" s="83"/>
      <c r="ZN155" s="83"/>
      <c r="ZX155" s="83"/>
      <c r="AAH155" s="83"/>
      <c r="AAR155" s="83"/>
      <c r="ABB155" s="83"/>
      <c r="ABL155" s="83"/>
      <c r="ABV155" s="83"/>
      <c r="ACF155" s="83"/>
      <c r="ACP155" s="83"/>
      <c r="ACZ155" s="83"/>
      <c r="ADJ155" s="83"/>
      <c r="ADT155" s="83"/>
      <c r="AED155" s="83"/>
      <c r="AEN155" s="83"/>
      <c r="AEX155" s="83"/>
      <c r="AFH155" s="83"/>
      <c r="AFR155" s="83"/>
      <c r="AGB155" s="83"/>
      <c r="AGL155" s="83"/>
      <c r="AGV155" s="83"/>
      <c r="AHF155" s="83"/>
      <c r="AHP155" s="83"/>
      <c r="AHZ155" s="83"/>
      <c r="AIJ155" s="83"/>
      <c r="AIT155" s="83"/>
      <c r="AJD155" s="83"/>
      <c r="AJN155" s="83"/>
      <c r="AJX155" s="83"/>
      <c r="AKH155" s="83"/>
      <c r="AKR155" s="83"/>
      <c r="ALB155" s="83"/>
      <c r="ALL155" s="83"/>
      <c r="ALV155" s="83"/>
      <c r="AMF155" s="83"/>
      <c r="AMP155" s="83"/>
      <c r="AMZ155" s="83"/>
      <c r="ANJ155" s="83"/>
      <c r="ANT155" s="83"/>
      <c r="AOD155" s="83"/>
      <c r="AON155" s="83"/>
      <c r="AOX155" s="83"/>
      <c r="APH155" s="83"/>
      <c r="APR155" s="83"/>
      <c r="AQB155" s="83"/>
      <c r="AQL155" s="83"/>
      <c r="AQV155" s="83"/>
      <c r="ARF155" s="83"/>
      <c r="ARP155" s="83"/>
      <c r="ARZ155" s="83"/>
      <c r="ASJ155" s="83"/>
      <c r="AST155" s="83"/>
      <c r="ATD155" s="83"/>
      <c r="ATN155" s="83"/>
      <c r="ATX155" s="83"/>
      <c r="AUH155" s="83"/>
      <c r="AUR155" s="83"/>
      <c r="AVB155" s="83"/>
      <c r="AVL155" s="83"/>
      <c r="AVV155" s="83"/>
      <c r="AWF155" s="83"/>
      <c r="AWP155" s="83"/>
      <c r="AWZ155" s="83"/>
      <c r="AXJ155" s="83"/>
      <c r="AXT155" s="83"/>
      <c r="AYD155" s="83"/>
      <c r="AYN155" s="83"/>
      <c r="AYX155" s="83"/>
      <c r="AZH155" s="83"/>
      <c r="AZR155" s="83"/>
      <c r="BAB155" s="83"/>
      <c r="BAL155" s="83"/>
      <c r="BAV155" s="83"/>
      <c r="BBF155" s="83"/>
      <c r="BBP155" s="83"/>
      <c r="BBZ155" s="83"/>
      <c r="BCJ155" s="83"/>
      <c r="BCT155" s="83"/>
      <c r="BDD155" s="83"/>
      <c r="BDN155" s="83"/>
      <c r="BDX155" s="83"/>
      <c r="BEH155" s="83"/>
      <c r="BER155" s="83"/>
      <c r="BFB155" s="83"/>
      <c r="BFL155" s="83"/>
      <c r="BFV155" s="83"/>
      <c r="BGF155" s="83"/>
      <c r="BGP155" s="83"/>
      <c r="BGZ155" s="83"/>
      <c r="BHJ155" s="83"/>
      <c r="BHT155" s="83"/>
      <c r="BID155" s="83"/>
      <c r="BIN155" s="83"/>
      <c r="BIX155" s="83"/>
      <c r="BJH155" s="83"/>
      <c r="BJR155" s="83"/>
      <c r="BKB155" s="83"/>
      <c r="BKL155" s="83"/>
      <c r="BKV155" s="83"/>
      <c r="BLF155" s="83"/>
      <c r="BLP155" s="83"/>
      <c r="BLZ155" s="83"/>
      <c r="BMJ155" s="83"/>
      <c r="BMT155" s="83"/>
      <c r="BND155" s="83"/>
      <c r="BNN155" s="83"/>
      <c r="BNX155" s="83"/>
      <c r="BOH155" s="83"/>
      <c r="BOR155" s="83"/>
      <c r="BPB155" s="83"/>
      <c r="BPL155" s="83"/>
      <c r="BPV155" s="83"/>
      <c r="BQF155" s="83"/>
      <c r="BQP155" s="83"/>
      <c r="BQZ155" s="83"/>
      <c r="BRJ155" s="83"/>
      <c r="BRT155" s="83"/>
      <c r="BSD155" s="83"/>
      <c r="BSN155" s="83"/>
      <c r="BSX155" s="83"/>
      <c r="BTH155" s="83"/>
      <c r="BTR155" s="83"/>
      <c r="BUB155" s="83"/>
      <c r="BUL155" s="83"/>
      <c r="BUV155" s="83"/>
      <c r="BVF155" s="83"/>
      <c r="BVP155" s="83"/>
      <c r="BVZ155" s="83"/>
      <c r="BWJ155" s="83"/>
      <c r="BWT155" s="83"/>
      <c r="BXD155" s="83"/>
      <c r="BXN155" s="83"/>
      <c r="BXX155" s="83"/>
      <c r="BYH155" s="83"/>
      <c r="BYR155" s="83"/>
      <c r="BZB155" s="83"/>
      <c r="BZL155" s="83"/>
      <c r="BZV155" s="83"/>
      <c r="CAF155" s="83"/>
      <c r="CAP155" s="83"/>
      <c r="CAZ155" s="83"/>
      <c r="CBJ155" s="83"/>
      <c r="CBT155" s="83"/>
      <c r="CCD155" s="83"/>
      <c r="CCN155" s="83"/>
      <c r="CCX155" s="83"/>
      <c r="CDH155" s="83"/>
      <c r="CDR155" s="83"/>
      <c r="CEB155" s="83"/>
      <c r="CEL155" s="83"/>
      <c r="CEV155" s="83"/>
      <c r="CFF155" s="83"/>
      <c r="CFP155" s="83"/>
      <c r="CFZ155" s="83"/>
      <c r="CGJ155" s="83"/>
      <c r="CGT155" s="83"/>
      <c r="CHD155" s="83"/>
      <c r="CHN155" s="83"/>
      <c r="CHX155" s="83"/>
      <c r="CIH155" s="83"/>
      <c r="CIR155" s="83"/>
      <c r="CJB155" s="83"/>
      <c r="CJL155" s="83"/>
      <c r="CJV155" s="83"/>
      <c r="CKF155" s="83"/>
      <c r="CKP155" s="83"/>
      <c r="CKZ155" s="83"/>
      <c r="CLJ155" s="83"/>
      <c r="CLT155" s="83"/>
      <c r="CMD155" s="83"/>
      <c r="CMN155" s="83"/>
      <c r="CMX155" s="83"/>
      <c r="CNH155" s="83"/>
      <c r="CNR155" s="83"/>
      <c r="COB155" s="83"/>
      <c r="COL155" s="83"/>
      <c r="COV155" s="83"/>
      <c r="CPF155" s="83"/>
      <c r="CPP155" s="83"/>
      <c r="CPZ155" s="83"/>
      <c r="CQJ155" s="83"/>
      <c r="CQT155" s="83"/>
      <c r="CRD155" s="83"/>
      <c r="CRN155" s="83"/>
      <c r="CRX155" s="83"/>
      <c r="CSH155" s="83"/>
      <c r="CSR155" s="83"/>
      <c r="CTB155" s="83"/>
      <c r="CTL155" s="83"/>
      <c r="CTV155" s="83"/>
    </row>
    <row r="156" s="58" customFormat="1" customHeight="1" spans="1:1020 1030:2040 2050:2570">
      <c r="A156" s="87">
        <v>46153</v>
      </c>
      <c r="B156" s="88" t="s">
        <v>149</v>
      </c>
      <c r="C156" s="89" t="s">
        <v>150</v>
      </c>
      <c r="D156" s="75">
        <v>652384384</v>
      </c>
      <c r="E156" s="92" t="s">
        <v>163</v>
      </c>
      <c r="F156" s="91" t="str">
        <f>VLOOKUP(E156,[18]基础数据!E:F,2,0)</f>
        <v>A12EV10-BDU-采样集成线束</v>
      </c>
      <c r="G156" s="75">
        <v>1500</v>
      </c>
      <c r="H156" s="77" t="str">
        <f>VLOOKUP(E156,[18]基础数据!E:H,4,0)</f>
        <v>料盒</v>
      </c>
      <c r="I156" s="77">
        <f>VLOOKUP(E156,[18]基础数据!E:G,3,0)</f>
        <v>50</v>
      </c>
      <c r="J156" s="75" t="s">
        <v>306</v>
      </c>
      <c r="K156" s="78">
        <f t="shared" si="3"/>
        <v>30</v>
      </c>
      <c r="T156" s="83"/>
      <c r="AD156" s="83"/>
      <c r="AN156" s="83"/>
      <c r="AX156" s="83"/>
      <c r="BH156" s="83"/>
      <c r="BR156" s="83"/>
      <c r="CB156" s="83"/>
      <c r="CL156" s="83"/>
      <c r="CV156" s="83"/>
      <c r="DF156" s="83"/>
      <c r="DP156" s="83"/>
      <c r="DZ156" s="83"/>
      <c r="EJ156" s="83"/>
      <c r="ET156" s="83"/>
      <c r="FD156" s="83"/>
      <c r="FN156" s="83"/>
      <c r="FX156" s="83"/>
      <c r="GH156" s="83"/>
      <c r="GR156" s="83"/>
      <c r="HB156" s="83"/>
      <c r="HL156" s="83"/>
      <c r="HV156" s="83"/>
      <c r="IF156" s="83"/>
      <c r="IP156" s="83"/>
      <c r="IZ156" s="83"/>
      <c r="JJ156" s="83"/>
      <c r="JT156" s="83"/>
      <c r="KD156" s="83"/>
      <c r="KN156" s="83"/>
      <c r="KX156" s="83"/>
      <c r="LH156" s="83"/>
      <c r="LR156" s="83"/>
      <c r="MB156" s="83"/>
      <c r="ML156" s="83"/>
      <c r="MV156" s="83"/>
      <c r="NF156" s="83"/>
      <c r="NP156" s="83"/>
      <c r="NZ156" s="83"/>
      <c r="OJ156" s="83"/>
      <c r="OT156" s="83"/>
      <c r="PD156" s="83"/>
      <c r="PN156" s="83"/>
      <c r="PX156" s="83"/>
      <c r="QH156" s="83"/>
      <c r="QR156" s="83"/>
      <c r="RB156" s="83"/>
      <c r="RL156" s="83"/>
      <c r="RV156" s="83"/>
      <c r="SF156" s="83"/>
      <c r="SP156" s="83"/>
      <c r="SZ156" s="83"/>
      <c r="TJ156" s="83"/>
      <c r="TT156" s="83"/>
      <c r="UD156" s="83"/>
      <c r="UN156" s="83"/>
      <c r="UX156" s="83"/>
      <c r="VH156" s="83"/>
      <c r="VR156" s="83"/>
      <c r="WB156" s="83"/>
      <c r="WL156" s="83"/>
      <c r="WV156" s="83"/>
      <c r="XF156" s="83"/>
      <c r="XP156" s="83"/>
      <c r="XZ156" s="83"/>
      <c r="YJ156" s="83"/>
      <c r="YT156" s="83"/>
      <c r="ZD156" s="83"/>
      <c r="ZN156" s="83"/>
      <c r="ZX156" s="83"/>
      <c r="AAH156" s="83"/>
      <c r="AAR156" s="83"/>
      <c r="ABB156" s="83"/>
      <c r="ABL156" s="83"/>
      <c r="ABV156" s="83"/>
      <c r="ACF156" s="83"/>
      <c r="ACP156" s="83"/>
      <c r="ACZ156" s="83"/>
      <c r="ADJ156" s="83"/>
      <c r="ADT156" s="83"/>
      <c r="AED156" s="83"/>
      <c r="AEN156" s="83"/>
      <c r="AEX156" s="83"/>
      <c r="AFH156" s="83"/>
      <c r="AFR156" s="83"/>
      <c r="AGB156" s="83"/>
      <c r="AGL156" s="83"/>
      <c r="AGV156" s="83"/>
      <c r="AHF156" s="83"/>
      <c r="AHP156" s="83"/>
      <c r="AHZ156" s="83"/>
      <c r="AIJ156" s="83"/>
      <c r="AIT156" s="83"/>
      <c r="AJD156" s="83"/>
      <c r="AJN156" s="83"/>
      <c r="AJX156" s="83"/>
      <c r="AKH156" s="83"/>
      <c r="AKR156" s="83"/>
      <c r="ALB156" s="83"/>
      <c r="ALL156" s="83"/>
      <c r="ALV156" s="83"/>
      <c r="AMF156" s="83"/>
      <c r="AMP156" s="83"/>
      <c r="AMZ156" s="83"/>
      <c r="ANJ156" s="83"/>
      <c r="ANT156" s="83"/>
      <c r="AOD156" s="83"/>
      <c r="AON156" s="83"/>
      <c r="AOX156" s="83"/>
      <c r="APH156" s="83"/>
      <c r="APR156" s="83"/>
      <c r="AQB156" s="83"/>
      <c r="AQL156" s="83"/>
      <c r="AQV156" s="83"/>
      <c r="ARF156" s="83"/>
      <c r="ARP156" s="83"/>
      <c r="ARZ156" s="83"/>
      <c r="ASJ156" s="83"/>
      <c r="AST156" s="83"/>
      <c r="ATD156" s="83"/>
      <c r="ATN156" s="83"/>
      <c r="ATX156" s="83"/>
      <c r="AUH156" s="83"/>
      <c r="AUR156" s="83"/>
      <c r="AVB156" s="83"/>
      <c r="AVL156" s="83"/>
      <c r="AVV156" s="83"/>
      <c r="AWF156" s="83"/>
      <c r="AWP156" s="83"/>
      <c r="AWZ156" s="83"/>
      <c r="AXJ156" s="83"/>
      <c r="AXT156" s="83"/>
      <c r="AYD156" s="83"/>
      <c r="AYN156" s="83"/>
      <c r="AYX156" s="83"/>
      <c r="AZH156" s="83"/>
      <c r="AZR156" s="83"/>
      <c r="BAB156" s="83"/>
      <c r="BAL156" s="83"/>
      <c r="BAV156" s="83"/>
      <c r="BBF156" s="83"/>
      <c r="BBP156" s="83"/>
      <c r="BBZ156" s="83"/>
      <c r="BCJ156" s="83"/>
      <c r="BCT156" s="83"/>
      <c r="BDD156" s="83"/>
      <c r="BDN156" s="83"/>
      <c r="BDX156" s="83"/>
      <c r="BEH156" s="83"/>
      <c r="BER156" s="83"/>
      <c r="BFB156" s="83"/>
      <c r="BFL156" s="83"/>
      <c r="BFV156" s="83"/>
      <c r="BGF156" s="83"/>
      <c r="BGP156" s="83"/>
      <c r="BGZ156" s="83"/>
      <c r="BHJ156" s="83"/>
      <c r="BHT156" s="83"/>
      <c r="BID156" s="83"/>
      <c r="BIN156" s="83"/>
      <c r="BIX156" s="83"/>
      <c r="BJH156" s="83"/>
      <c r="BJR156" s="83"/>
      <c r="BKB156" s="83"/>
      <c r="BKL156" s="83"/>
      <c r="BKV156" s="83"/>
      <c r="BLF156" s="83"/>
      <c r="BLP156" s="83"/>
      <c r="BLZ156" s="83"/>
      <c r="BMJ156" s="83"/>
      <c r="BMT156" s="83"/>
      <c r="BND156" s="83"/>
      <c r="BNN156" s="83"/>
      <c r="BNX156" s="83"/>
      <c r="BOH156" s="83"/>
      <c r="BOR156" s="83"/>
      <c r="BPB156" s="83"/>
      <c r="BPL156" s="83"/>
      <c r="BPV156" s="83"/>
      <c r="BQF156" s="83"/>
      <c r="BQP156" s="83"/>
      <c r="BQZ156" s="83"/>
      <c r="BRJ156" s="83"/>
      <c r="BRT156" s="83"/>
      <c r="BSD156" s="83"/>
      <c r="BSN156" s="83"/>
      <c r="BSX156" s="83"/>
      <c r="BTH156" s="83"/>
      <c r="BTR156" s="83"/>
      <c r="BUB156" s="83"/>
      <c r="BUL156" s="83"/>
      <c r="BUV156" s="83"/>
      <c r="BVF156" s="83"/>
      <c r="BVP156" s="83"/>
      <c r="BVZ156" s="83"/>
      <c r="BWJ156" s="83"/>
      <c r="BWT156" s="83"/>
      <c r="BXD156" s="83"/>
      <c r="BXN156" s="83"/>
      <c r="BXX156" s="83"/>
      <c r="BYH156" s="83"/>
      <c r="BYR156" s="83"/>
      <c r="BZB156" s="83"/>
      <c r="BZL156" s="83"/>
      <c r="BZV156" s="83"/>
      <c r="CAF156" s="83"/>
      <c r="CAP156" s="83"/>
      <c r="CAZ156" s="83"/>
      <c r="CBJ156" s="83"/>
      <c r="CBT156" s="83"/>
      <c r="CCD156" s="83"/>
      <c r="CCN156" s="83"/>
      <c r="CCX156" s="83"/>
      <c r="CDH156" s="83"/>
      <c r="CDR156" s="83"/>
      <c r="CEB156" s="83"/>
      <c r="CEL156" s="83"/>
      <c r="CEV156" s="83"/>
      <c r="CFF156" s="83"/>
      <c r="CFP156" s="83"/>
      <c r="CFZ156" s="83"/>
      <c r="CGJ156" s="83"/>
      <c r="CGT156" s="83"/>
      <c r="CHD156" s="83"/>
      <c r="CHN156" s="83"/>
      <c r="CHX156" s="83"/>
      <c r="CIH156" s="83"/>
      <c r="CIR156" s="83"/>
      <c r="CJB156" s="83"/>
      <c r="CJL156" s="83"/>
      <c r="CJV156" s="83"/>
      <c r="CKF156" s="83"/>
      <c r="CKP156" s="83"/>
      <c r="CKZ156" s="83"/>
      <c r="CLJ156" s="83"/>
      <c r="CLT156" s="83"/>
      <c r="CMD156" s="83"/>
      <c r="CMN156" s="83"/>
      <c r="CMX156" s="83"/>
      <c r="CNH156" s="83"/>
      <c r="CNR156" s="83"/>
      <c r="COB156" s="83"/>
      <c r="COL156" s="83"/>
      <c r="COV156" s="83"/>
      <c r="CPF156" s="83"/>
      <c r="CPP156" s="83"/>
      <c r="CPZ156" s="83"/>
      <c r="CQJ156" s="83"/>
      <c r="CQT156" s="83"/>
      <c r="CRD156" s="83"/>
      <c r="CRN156" s="83"/>
      <c r="CRX156" s="83"/>
      <c r="CSH156" s="83"/>
      <c r="CSR156" s="83"/>
      <c r="CTB156" s="83"/>
      <c r="CTL156" s="83"/>
      <c r="CTV156" s="83"/>
    </row>
    <row r="157" s="58" customFormat="1" customHeight="1" spans="1:1020 1030:2040 2050:2570">
      <c r="A157" s="87">
        <v>46153</v>
      </c>
      <c r="B157" s="88" t="s">
        <v>149</v>
      </c>
      <c r="C157" s="89" t="s">
        <v>150</v>
      </c>
      <c r="D157" s="75">
        <v>652384384</v>
      </c>
      <c r="E157" s="92" t="s">
        <v>155</v>
      </c>
      <c r="F157" s="91" t="str">
        <f>VLOOKUP(E157,[18]基础数据!E:F,2,0)</f>
        <v>A12EV10-预充电阻连接线束</v>
      </c>
      <c r="G157" s="75">
        <v>1500</v>
      </c>
      <c r="H157" s="77" t="str">
        <f>VLOOKUP(E157,[18]基础数据!E:H,4,0)</f>
        <v>料盒</v>
      </c>
      <c r="I157" s="77">
        <f>VLOOKUP(E157,[18]基础数据!E:G,3,0)</f>
        <v>100</v>
      </c>
      <c r="J157" s="75" t="s">
        <v>306</v>
      </c>
      <c r="K157" s="78">
        <f t="shared" si="3"/>
        <v>15</v>
      </c>
      <c r="T157" s="83"/>
      <c r="AD157" s="83"/>
      <c r="AN157" s="83"/>
      <c r="AX157" s="83"/>
      <c r="BH157" s="83"/>
      <c r="BR157" s="83"/>
      <c r="CB157" s="83"/>
      <c r="CL157" s="83"/>
      <c r="CV157" s="83"/>
      <c r="DF157" s="83"/>
      <c r="DP157" s="83"/>
      <c r="DZ157" s="83"/>
      <c r="EJ157" s="83"/>
      <c r="ET157" s="83"/>
      <c r="FD157" s="83"/>
      <c r="FN157" s="83"/>
      <c r="FX157" s="83"/>
      <c r="GH157" s="83"/>
      <c r="GR157" s="83"/>
      <c r="HB157" s="83"/>
      <c r="HL157" s="83"/>
      <c r="HV157" s="83"/>
      <c r="IF157" s="83"/>
      <c r="IP157" s="83"/>
      <c r="IZ157" s="83"/>
      <c r="JJ157" s="83"/>
      <c r="JT157" s="83"/>
      <c r="KD157" s="83"/>
      <c r="KN157" s="83"/>
      <c r="KX157" s="83"/>
      <c r="LH157" s="83"/>
      <c r="LR157" s="83"/>
      <c r="MB157" s="83"/>
      <c r="ML157" s="83"/>
      <c r="MV157" s="83"/>
      <c r="NF157" s="83"/>
      <c r="NP157" s="83"/>
      <c r="NZ157" s="83"/>
      <c r="OJ157" s="83"/>
      <c r="OT157" s="83"/>
      <c r="PD157" s="83"/>
      <c r="PN157" s="83"/>
      <c r="PX157" s="83"/>
      <c r="QH157" s="83"/>
      <c r="QR157" s="83"/>
      <c r="RB157" s="83"/>
      <c r="RL157" s="83"/>
      <c r="RV157" s="83"/>
      <c r="SF157" s="83"/>
      <c r="SP157" s="83"/>
      <c r="SZ157" s="83"/>
      <c r="TJ157" s="83"/>
      <c r="TT157" s="83"/>
      <c r="UD157" s="83"/>
      <c r="UN157" s="83"/>
      <c r="UX157" s="83"/>
      <c r="VH157" s="83"/>
      <c r="VR157" s="83"/>
      <c r="WB157" s="83"/>
      <c r="WL157" s="83"/>
      <c r="WV157" s="83"/>
      <c r="XF157" s="83"/>
      <c r="XP157" s="83"/>
      <c r="XZ157" s="83"/>
      <c r="YJ157" s="83"/>
      <c r="YT157" s="83"/>
      <c r="ZD157" s="83"/>
      <c r="ZN157" s="83"/>
      <c r="ZX157" s="83"/>
      <c r="AAH157" s="83"/>
      <c r="AAR157" s="83"/>
      <c r="ABB157" s="83"/>
      <c r="ABL157" s="83"/>
      <c r="ABV157" s="83"/>
      <c r="ACF157" s="83"/>
      <c r="ACP157" s="83"/>
      <c r="ACZ157" s="83"/>
      <c r="ADJ157" s="83"/>
      <c r="ADT157" s="83"/>
      <c r="AED157" s="83"/>
      <c r="AEN157" s="83"/>
      <c r="AEX157" s="83"/>
      <c r="AFH157" s="83"/>
      <c r="AFR157" s="83"/>
      <c r="AGB157" s="83"/>
      <c r="AGL157" s="83"/>
      <c r="AGV157" s="83"/>
      <c r="AHF157" s="83"/>
      <c r="AHP157" s="83"/>
      <c r="AHZ157" s="83"/>
      <c r="AIJ157" s="83"/>
      <c r="AIT157" s="83"/>
      <c r="AJD157" s="83"/>
      <c r="AJN157" s="83"/>
      <c r="AJX157" s="83"/>
      <c r="AKH157" s="83"/>
      <c r="AKR157" s="83"/>
      <c r="ALB157" s="83"/>
      <c r="ALL157" s="83"/>
      <c r="ALV157" s="83"/>
      <c r="AMF157" s="83"/>
      <c r="AMP157" s="83"/>
      <c r="AMZ157" s="83"/>
      <c r="ANJ157" s="83"/>
      <c r="ANT157" s="83"/>
      <c r="AOD157" s="83"/>
      <c r="AON157" s="83"/>
      <c r="AOX157" s="83"/>
      <c r="APH157" s="83"/>
      <c r="APR157" s="83"/>
      <c r="AQB157" s="83"/>
      <c r="AQL157" s="83"/>
      <c r="AQV157" s="83"/>
      <c r="ARF157" s="83"/>
      <c r="ARP157" s="83"/>
      <c r="ARZ157" s="83"/>
      <c r="ASJ157" s="83"/>
      <c r="AST157" s="83"/>
      <c r="ATD157" s="83"/>
      <c r="ATN157" s="83"/>
      <c r="ATX157" s="83"/>
      <c r="AUH157" s="83"/>
      <c r="AUR157" s="83"/>
      <c r="AVB157" s="83"/>
      <c r="AVL157" s="83"/>
      <c r="AVV157" s="83"/>
      <c r="AWF157" s="83"/>
      <c r="AWP157" s="83"/>
      <c r="AWZ157" s="83"/>
      <c r="AXJ157" s="83"/>
      <c r="AXT157" s="83"/>
      <c r="AYD157" s="83"/>
      <c r="AYN157" s="83"/>
      <c r="AYX157" s="83"/>
      <c r="AZH157" s="83"/>
      <c r="AZR157" s="83"/>
      <c r="BAB157" s="83"/>
      <c r="BAL157" s="83"/>
      <c r="BAV157" s="83"/>
      <c r="BBF157" s="83"/>
      <c r="BBP157" s="83"/>
      <c r="BBZ157" s="83"/>
      <c r="BCJ157" s="83"/>
      <c r="BCT157" s="83"/>
      <c r="BDD157" s="83"/>
      <c r="BDN157" s="83"/>
      <c r="BDX157" s="83"/>
      <c r="BEH157" s="83"/>
      <c r="BER157" s="83"/>
      <c r="BFB157" s="83"/>
      <c r="BFL157" s="83"/>
      <c r="BFV157" s="83"/>
      <c r="BGF157" s="83"/>
      <c r="BGP157" s="83"/>
      <c r="BGZ157" s="83"/>
      <c r="BHJ157" s="83"/>
      <c r="BHT157" s="83"/>
      <c r="BID157" s="83"/>
      <c r="BIN157" s="83"/>
      <c r="BIX157" s="83"/>
      <c r="BJH157" s="83"/>
      <c r="BJR157" s="83"/>
      <c r="BKB157" s="83"/>
      <c r="BKL157" s="83"/>
      <c r="BKV157" s="83"/>
      <c r="BLF157" s="83"/>
      <c r="BLP157" s="83"/>
      <c r="BLZ157" s="83"/>
      <c r="BMJ157" s="83"/>
      <c r="BMT157" s="83"/>
      <c r="BND157" s="83"/>
      <c r="BNN157" s="83"/>
      <c r="BNX157" s="83"/>
      <c r="BOH157" s="83"/>
      <c r="BOR157" s="83"/>
      <c r="BPB157" s="83"/>
      <c r="BPL157" s="83"/>
      <c r="BPV157" s="83"/>
      <c r="BQF157" s="83"/>
      <c r="BQP157" s="83"/>
      <c r="BQZ157" s="83"/>
      <c r="BRJ157" s="83"/>
      <c r="BRT157" s="83"/>
      <c r="BSD157" s="83"/>
      <c r="BSN157" s="83"/>
      <c r="BSX157" s="83"/>
      <c r="BTH157" s="83"/>
      <c r="BTR157" s="83"/>
      <c r="BUB157" s="83"/>
      <c r="BUL157" s="83"/>
      <c r="BUV157" s="83"/>
      <c r="BVF157" s="83"/>
      <c r="BVP157" s="83"/>
      <c r="BVZ157" s="83"/>
      <c r="BWJ157" s="83"/>
      <c r="BWT157" s="83"/>
      <c r="BXD157" s="83"/>
      <c r="BXN157" s="83"/>
      <c r="BXX157" s="83"/>
      <c r="BYH157" s="83"/>
      <c r="BYR157" s="83"/>
      <c r="BZB157" s="83"/>
      <c r="BZL157" s="83"/>
      <c r="BZV157" s="83"/>
      <c r="CAF157" s="83"/>
      <c r="CAP157" s="83"/>
      <c r="CAZ157" s="83"/>
      <c r="CBJ157" s="83"/>
      <c r="CBT157" s="83"/>
      <c r="CCD157" s="83"/>
      <c r="CCN157" s="83"/>
      <c r="CCX157" s="83"/>
      <c r="CDH157" s="83"/>
      <c r="CDR157" s="83"/>
      <c r="CEB157" s="83"/>
      <c r="CEL157" s="83"/>
      <c r="CEV157" s="83"/>
      <c r="CFF157" s="83"/>
      <c r="CFP157" s="83"/>
      <c r="CFZ157" s="83"/>
      <c r="CGJ157" s="83"/>
      <c r="CGT157" s="83"/>
      <c r="CHD157" s="83"/>
      <c r="CHN157" s="83"/>
      <c r="CHX157" s="83"/>
      <c r="CIH157" s="83"/>
      <c r="CIR157" s="83"/>
      <c r="CJB157" s="83"/>
      <c r="CJL157" s="83"/>
      <c r="CJV157" s="83"/>
      <c r="CKF157" s="83"/>
      <c r="CKP157" s="83"/>
      <c r="CKZ157" s="83"/>
      <c r="CLJ157" s="83"/>
      <c r="CLT157" s="83"/>
      <c r="CMD157" s="83"/>
      <c r="CMN157" s="83"/>
      <c r="CMX157" s="83"/>
      <c r="CNH157" s="83"/>
      <c r="CNR157" s="83"/>
      <c r="COB157" s="83"/>
      <c r="COL157" s="83"/>
      <c r="COV157" s="83"/>
      <c r="CPF157" s="83"/>
      <c r="CPP157" s="83"/>
      <c r="CPZ157" s="83"/>
      <c r="CQJ157" s="83"/>
      <c r="CQT157" s="83"/>
      <c r="CRD157" s="83"/>
      <c r="CRN157" s="83"/>
      <c r="CRX157" s="83"/>
      <c r="CSH157" s="83"/>
      <c r="CSR157" s="83"/>
      <c r="CTB157" s="83"/>
      <c r="CTL157" s="83"/>
      <c r="CTV157" s="83"/>
    </row>
    <row r="158" s="58" customFormat="1" customHeight="1" spans="1:1020 1030:2040 2050:2570">
      <c r="A158" s="87">
        <v>46153</v>
      </c>
      <c r="B158" s="88" t="s">
        <v>149</v>
      </c>
      <c r="C158" s="89" t="s">
        <v>150</v>
      </c>
      <c r="D158" s="75">
        <v>652384384</v>
      </c>
      <c r="E158" s="92" t="s">
        <v>157</v>
      </c>
      <c r="F158" s="91" t="str">
        <f>VLOOKUP(E158,[18]基础数据!E:F,2,0)</f>
        <v>A12-预充电阻连接线束1</v>
      </c>
      <c r="G158" s="75">
        <v>1500</v>
      </c>
      <c r="H158" s="77" t="str">
        <f>VLOOKUP(E158,[18]基础数据!E:H,4,0)</f>
        <v>料盒</v>
      </c>
      <c r="I158" s="77">
        <f>VLOOKUP(E158,[18]基础数据!E:G,3,0)</f>
        <v>1500</v>
      </c>
      <c r="J158" s="75" t="s">
        <v>306</v>
      </c>
      <c r="K158" s="78">
        <f t="shared" si="3"/>
        <v>1</v>
      </c>
      <c r="T158" s="83"/>
      <c r="AD158" s="83"/>
      <c r="AN158" s="83"/>
      <c r="AX158" s="83"/>
      <c r="BH158" s="83"/>
      <c r="BR158" s="83"/>
      <c r="CB158" s="83"/>
      <c r="CL158" s="83"/>
      <c r="CV158" s="83"/>
      <c r="DF158" s="83"/>
      <c r="DP158" s="83"/>
      <c r="DZ158" s="83"/>
      <c r="EJ158" s="83"/>
      <c r="ET158" s="83"/>
      <c r="FD158" s="83"/>
      <c r="FN158" s="83"/>
      <c r="FX158" s="83"/>
      <c r="GH158" s="83"/>
      <c r="GR158" s="83"/>
      <c r="HB158" s="83"/>
      <c r="HL158" s="83"/>
      <c r="HV158" s="83"/>
      <c r="IF158" s="83"/>
      <c r="IP158" s="83"/>
      <c r="IZ158" s="83"/>
      <c r="JJ158" s="83"/>
      <c r="JT158" s="83"/>
      <c r="KD158" s="83"/>
      <c r="KN158" s="83"/>
      <c r="KX158" s="83"/>
      <c r="LH158" s="83"/>
      <c r="LR158" s="83"/>
      <c r="MB158" s="83"/>
      <c r="ML158" s="83"/>
      <c r="MV158" s="83"/>
      <c r="NF158" s="83"/>
      <c r="NP158" s="83"/>
      <c r="NZ158" s="83"/>
      <c r="OJ158" s="83"/>
      <c r="OT158" s="83"/>
      <c r="PD158" s="83"/>
      <c r="PN158" s="83"/>
      <c r="PX158" s="83"/>
      <c r="QH158" s="83"/>
      <c r="QR158" s="83"/>
      <c r="RB158" s="83"/>
      <c r="RL158" s="83"/>
      <c r="RV158" s="83"/>
      <c r="SF158" s="83"/>
      <c r="SP158" s="83"/>
      <c r="SZ158" s="83"/>
      <c r="TJ158" s="83"/>
      <c r="TT158" s="83"/>
      <c r="UD158" s="83"/>
      <c r="UN158" s="83"/>
      <c r="UX158" s="83"/>
      <c r="VH158" s="83"/>
      <c r="VR158" s="83"/>
      <c r="WB158" s="83"/>
      <c r="WL158" s="83"/>
      <c r="WV158" s="83"/>
      <c r="XF158" s="83"/>
      <c r="XP158" s="83"/>
      <c r="XZ158" s="83"/>
      <c r="YJ158" s="83"/>
      <c r="YT158" s="83"/>
      <c r="ZD158" s="83"/>
      <c r="ZN158" s="83"/>
      <c r="ZX158" s="83"/>
      <c r="AAH158" s="83"/>
      <c r="AAR158" s="83"/>
      <c r="ABB158" s="83"/>
      <c r="ABL158" s="83"/>
      <c r="ABV158" s="83"/>
      <c r="ACF158" s="83"/>
      <c r="ACP158" s="83"/>
      <c r="ACZ158" s="83"/>
      <c r="ADJ158" s="83"/>
      <c r="ADT158" s="83"/>
      <c r="AED158" s="83"/>
      <c r="AEN158" s="83"/>
      <c r="AEX158" s="83"/>
      <c r="AFH158" s="83"/>
      <c r="AFR158" s="83"/>
      <c r="AGB158" s="83"/>
      <c r="AGL158" s="83"/>
      <c r="AGV158" s="83"/>
      <c r="AHF158" s="83"/>
      <c r="AHP158" s="83"/>
      <c r="AHZ158" s="83"/>
      <c r="AIJ158" s="83"/>
      <c r="AIT158" s="83"/>
      <c r="AJD158" s="83"/>
      <c r="AJN158" s="83"/>
      <c r="AJX158" s="83"/>
      <c r="AKH158" s="83"/>
      <c r="AKR158" s="83"/>
      <c r="ALB158" s="83"/>
      <c r="ALL158" s="83"/>
      <c r="ALV158" s="83"/>
      <c r="AMF158" s="83"/>
      <c r="AMP158" s="83"/>
      <c r="AMZ158" s="83"/>
      <c r="ANJ158" s="83"/>
      <c r="ANT158" s="83"/>
      <c r="AOD158" s="83"/>
      <c r="AON158" s="83"/>
      <c r="AOX158" s="83"/>
      <c r="APH158" s="83"/>
      <c r="APR158" s="83"/>
      <c r="AQB158" s="83"/>
      <c r="AQL158" s="83"/>
      <c r="AQV158" s="83"/>
      <c r="ARF158" s="83"/>
      <c r="ARP158" s="83"/>
      <c r="ARZ158" s="83"/>
      <c r="ASJ158" s="83"/>
      <c r="AST158" s="83"/>
      <c r="ATD158" s="83"/>
      <c r="ATN158" s="83"/>
      <c r="ATX158" s="83"/>
      <c r="AUH158" s="83"/>
      <c r="AUR158" s="83"/>
      <c r="AVB158" s="83"/>
      <c r="AVL158" s="83"/>
      <c r="AVV158" s="83"/>
      <c r="AWF158" s="83"/>
      <c r="AWP158" s="83"/>
      <c r="AWZ158" s="83"/>
      <c r="AXJ158" s="83"/>
      <c r="AXT158" s="83"/>
      <c r="AYD158" s="83"/>
      <c r="AYN158" s="83"/>
      <c r="AYX158" s="83"/>
      <c r="AZH158" s="83"/>
      <c r="AZR158" s="83"/>
      <c r="BAB158" s="83"/>
      <c r="BAL158" s="83"/>
      <c r="BAV158" s="83"/>
      <c r="BBF158" s="83"/>
      <c r="BBP158" s="83"/>
      <c r="BBZ158" s="83"/>
      <c r="BCJ158" s="83"/>
      <c r="BCT158" s="83"/>
      <c r="BDD158" s="83"/>
      <c r="BDN158" s="83"/>
      <c r="BDX158" s="83"/>
      <c r="BEH158" s="83"/>
      <c r="BER158" s="83"/>
      <c r="BFB158" s="83"/>
      <c r="BFL158" s="83"/>
      <c r="BFV158" s="83"/>
      <c r="BGF158" s="83"/>
      <c r="BGP158" s="83"/>
      <c r="BGZ158" s="83"/>
      <c r="BHJ158" s="83"/>
      <c r="BHT158" s="83"/>
      <c r="BID158" s="83"/>
      <c r="BIN158" s="83"/>
      <c r="BIX158" s="83"/>
      <c r="BJH158" s="83"/>
      <c r="BJR158" s="83"/>
      <c r="BKB158" s="83"/>
      <c r="BKL158" s="83"/>
      <c r="BKV158" s="83"/>
      <c r="BLF158" s="83"/>
      <c r="BLP158" s="83"/>
      <c r="BLZ158" s="83"/>
      <c r="BMJ158" s="83"/>
      <c r="BMT158" s="83"/>
      <c r="BND158" s="83"/>
      <c r="BNN158" s="83"/>
      <c r="BNX158" s="83"/>
      <c r="BOH158" s="83"/>
      <c r="BOR158" s="83"/>
      <c r="BPB158" s="83"/>
      <c r="BPL158" s="83"/>
      <c r="BPV158" s="83"/>
      <c r="BQF158" s="83"/>
      <c r="BQP158" s="83"/>
      <c r="BQZ158" s="83"/>
      <c r="BRJ158" s="83"/>
      <c r="BRT158" s="83"/>
      <c r="BSD158" s="83"/>
      <c r="BSN158" s="83"/>
      <c r="BSX158" s="83"/>
      <c r="BTH158" s="83"/>
      <c r="BTR158" s="83"/>
      <c r="BUB158" s="83"/>
      <c r="BUL158" s="83"/>
      <c r="BUV158" s="83"/>
      <c r="BVF158" s="83"/>
      <c r="BVP158" s="83"/>
      <c r="BVZ158" s="83"/>
      <c r="BWJ158" s="83"/>
      <c r="BWT158" s="83"/>
      <c r="BXD158" s="83"/>
      <c r="BXN158" s="83"/>
      <c r="BXX158" s="83"/>
      <c r="BYH158" s="83"/>
      <c r="BYR158" s="83"/>
      <c r="BZB158" s="83"/>
      <c r="BZL158" s="83"/>
      <c r="BZV158" s="83"/>
      <c r="CAF158" s="83"/>
      <c r="CAP158" s="83"/>
      <c r="CAZ158" s="83"/>
      <c r="CBJ158" s="83"/>
      <c r="CBT158" s="83"/>
      <c r="CCD158" s="83"/>
      <c r="CCN158" s="83"/>
      <c r="CCX158" s="83"/>
      <c r="CDH158" s="83"/>
      <c r="CDR158" s="83"/>
      <c r="CEB158" s="83"/>
      <c r="CEL158" s="83"/>
      <c r="CEV158" s="83"/>
      <c r="CFF158" s="83"/>
      <c r="CFP158" s="83"/>
      <c r="CFZ158" s="83"/>
      <c r="CGJ158" s="83"/>
      <c r="CGT158" s="83"/>
      <c r="CHD158" s="83"/>
      <c r="CHN158" s="83"/>
      <c r="CHX158" s="83"/>
      <c r="CIH158" s="83"/>
      <c r="CIR158" s="83"/>
      <c r="CJB158" s="83"/>
      <c r="CJL158" s="83"/>
      <c r="CJV158" s="83"/>
      <c r="CKF158" s="83"/>
      <c r="CKP158" s="83"/>
      <c r="CKZ158" s="83"/>
      <c r="CLJ158" s="83"/>
      <c r="CLT158" s="83"/>
      <c r="CMD158" s="83"/>
      <c r="CMN158" s="83"/>
      <c r="CMX158" s="83"/>
      <c r="CNH158" s="83"/>
      <c r="CNR158" s="83"/>
      <c r="COB158" s="83"/>
      <c r="COL158" s="83"/>
      <c r="COV158" s="83"/>
      <c r="CPF158" s="83"/>
      <c r="CPP158" s="83"/>
      <c r="CPZ158" s="83"/>
      <c r="CQJ158" s="83"/>
      <c r="CQT158" s="83"/>
      <c r="CRD158" s="83"/>
      <c r="CRN158" s="83"/>
      <c r="CRX158" s="83"/>
      <c r="CSH158" s="83"/>
      <c r="CSR158" s="83"/>
      <c r="CTB158" s="83"/>
      <c r="CTL158" s="83"/>
      <c r="CTV158" s="83"/>
    </row>
    <row r="159" s="58" customFormat="1" customHeight="1" spans="1:1020 1030:2040 2050:2570">
      <c r="A159" s="87">
        <v>46153</v>
      </c>
      <c r="B159" s="88" t="s">
        <v>149</v>
      </c>
      <c r="C159" s="89" t="s">
        <v>150</v>
      </c>
      <c r="D159" s="75">
        <v>652384384</v>
      </c>
      <c r="E159" s="92" t="s">
        <v>159</v>
      </c>
      <c r="F159" s="91" t="str">
        <f>VLOOKUP(E159,[18]基础数据!E:F,2,0)</f>
        <v>A12-菊花链线束</v>
      </c>
      <c r="G159" s="75">
        <v>4500</v>
      </c>
      <c r="H159" s="77" t="str">
        <f>VLOOKUP(E159,[18]基础数据!E:H,4,0)</f>
        <v>料盒</v>
      </c>
      <c r="I159" s="77">
        <f>VLOOKUP(E159,[18]基础数据!E:G,3,0)</f>
        <v>1500</v>
      </c>
      <c r="J159" s="75" t="s">
        <v>306</v>
      </c>
      <c r="K159" s="78">
        <f t="shared" si="3"/>
        <v>3</v>
      </c>
      <c r="T159" s="83"/>
      <c r="AD159" s="83"/>
      <c r="AN159" s="83"/>
      <c r="AX159" s="83"/>
      <c r="BH159" s="83"/>
      <c r="BR159" s="83"/>
      <c r="CB159" s="83"/>
      <c r="CL159" s="83"/>
      <c r="CV159" s="83"/>
      <c r="DF159" s="83"/>
      <c r="DP159" s="83"/>
      <c r="DZ159" s="83"/>
      <c r="EJ159" s="83"/>
      <c r="ET159" s="83"/>
      <c r="FD159" s="83"/>
      <c r="FN159" s="83"/>
      <c r="FX159" s="83"/>
      <c r="GH159" s="83"/>
      <c r="GR159" s="83"/>
      <c r="HB159" s="83"/>
      <c r="HL159" s="83"/>
      <c r="HV159" s="83"/>
      <c r="IF159" s="83"/>
      <c r="IP159" s="83"/>
      <c r="IZ159" s="83"/>
      <c r="JJ159" s="83"/>
      <c r="JT159" s="83"/>
      <c r="KD159" s="83"/>
      <c r="KN159" s="83"/>
      <c r="KX159" s="83"/>
      <c r="LH159" s="83"/>
      <c r="LR159" s="83"/>
      <c r="MB159" s="83"/>
      <c r="ML159" s="83"/>
      <c r="MV159" s="83"/>
      <c r="NF159" s="83"/>
      <c r="NP159" s="83"/>
      <c r="NZ159" s="83"/>
      <c r="OJ159" s="83"/>
      <c r="OT159" s="83"/>
      <c r="PD159" s="83"/>
      <c r="PN159" s="83"/>
      <c r="PX159" s="83"/>
      <c r="QH159" s="83"/>
      <c r="QR159" s="83"/>
      <c r="RB159" s="83"/>
      <c r="RL159" s="83"/>
      <c r="RV159" s="83"/>
      <c r="SF159" s="83"/>
      <c r="SP159" s="83"/>
      <c r="SZ159" s="83"/>
      <c r="TJ159" s="83"/>
      <c r="TT159" s="83"/>
      <c r="UD159" s="83"/>
      <c r="UN159" s="83"/>
      <c r="UX159" s="83"/>
      <c r="VH159" s="83"/>
      <c r="VR159" s="83"/>
      <c r="WB159" s="83"/>
      <c r="WL159" s="83"/>
      <c r="WV159" s="83"/>
      <c r="XF159" s="83"/>
      <c r="XP159" s="83"/>
      <c r="XZ159" s="83"/>
      <c r="YJ159" s="83"/>
      <c r="YT159" s="83"/>
      <c r="ZD159" s="83"/>
      <c r="ZN159" s="83"/>
      <c r="ZX159" s="83"/>
      <c r="AAH159" s="83"/>
      <c r="AAR159" s="83"/>
      <c r="ABB159" s="83"/>
      <c r="ABL159" s="83"/>
      <c r="ABV159" s="83"/>
      <c r="ACF159" s="83"/>
      <c r="ACP159" s="83"/>
      <c r="ACZ159" s="83"/>
      <c r="ADJ159" s="83"/>
      <c r="ADT159" s="83"/>
      <c r="AED159" s="83"/>
      <c r="AEN159" s="83"/>
      <c r="AEX159" s="83"/>
      <c r="AFH159" s="83"/>
      <c r="AFR159" s="83"/>
      <c r="AGB159" s="83"/>
      <c r="AGL159" s="83"/>
      <c r="AGV159" s="83"/>
      <c r="AHF159" s="83"/>
      <c r="AHP159" s="83"/>
      <c r="AHZ159" s="83"/>
      <c r="AIJ159" s="83"/>
      <c r="AIT159" s="83"/>
      <c r="AJD159" s="83"/>
      <c r="AJN159" s="83"/>
      <c r="AJX159" s="83"/>
      <c r="AKH159" s="83"/>
      <c r="AKR159" s="83"/>
      <c r="ALB159" s="83"/>
      <c r="ALL159" s="83"/>
      <c r="ALV159" s="83"/>
      <c r="AMF159" s="83"/>
      <c r="AMP159" s="83"/>
      <c r="AMZ159" s="83"/>
      <c r="ANJ159" s="83"/>
      <c r="ANT159" s="83"/>
      <c r="AOD159" s="83"/>
      <c r="AON159" s="83"/>
      <c r="AOX159" s="83"/>
      <c r="APH159" s="83"/>
      <c r="APR159" s="83"/>
      <c r="AQB159" s="83"/>
      <c r="AQL159" s="83"/>
      <c r="AQV159" s="83"/>
      <c r="ARF159" s="83"/>
      <c r="ARP159" s="83"/>
      <c r="ARZ159" s="83"/>
      <c r="ASJ159" s="83"/>
      <c r="AST159" s="83"/>
      <c r="ATD159" s="83"/>
      <c r="ATN159" s="83"/>
      <c r="ATX159" s="83"/>
      <c r="AUH159" s="83"/>
      <c r="AUR159" s="83"/>
      <c r="AVB159" s="83"/>
      <c r="AVL159" s="83"/>
      <c r="AVV159" s="83"/>
      <c r="AWF159" s="83"/>
      <c r="AWP159" s="83"/>
      <c r="AWZ159" s="83"/>
      <c r="AXJ159" s="83"/>
      <c r="AXT159" s="83"/>
      <c r="AYD159" s="83"/>
      <c r="AYN159" s="83"/>
      <c r="AYX159" s="83"/>
      <c r="AZH159" s="83"/>
      <c r="AZR159" s="83"/>
      <c r="BAB159" s="83"/>
      <c r="BAL159" s="83"/>
      <c r="BAV159" s="83"/>
      <c r="BBF159" s="83"/>
      <c r="BBP159" s="83"/>
      <c r="BBZ159" s="83"/>
      <c r="BCJ159" s="83"/>
      <c r="BCT159" s="83"/>
      <c r="BDD159" s="83"/>
      <c r="BDN159" s="83"/>
      <c r="BDX159" s="83"/>
      <c r="BEH159" s="83"/>
      <c r="BER159" s="83"/>
      <c r="BFB159" s="83"/>
      <c r="BFL159" s="83"/>
      <c r="BFV159" s="83"/>
      <c r="BGF159" s="83"/>
      <c r="BGP159" s="83"/>
      <c r="BGZ159" s="83"/>
      <c r="BHJ159" s="83"/>
      <c r="BHT159" s="83"/>
      <c r="BID159" s="83"/>
      <c r="BIN159" s="83"/>
      <c r="BIX159" s="83"/>
      <c r="BJH159" s="83"/>
      <c r="BJR159" s="83"/>
      <c r="BKB159" s="83"/>
      <c r="BKL159" s="83"/>
      <c r="BKV159" s="83"/>
      <c r="BLF159" s="83"/>
      <c r="BLP159" s="83"/>
      <c r="BLZ159" s="83"/>
      <c r="BMJ159" s="83"/>
      <c r="BMT159" s="83"/>
      <c r="BND159" s="83"/>
      <c r="BNN159" s="83"/>
      <c r="BNX159" s="83"/>
      <c r="BOH159" s="83"/>
      <c r="BOR159" s="83"/>
      <c r="BPB159" s="83"/>
      <c r="BPL159" s="83"/>
      <c r="BPV159" s="83"/>
      <c r="BQF159" s="83"/>
      <c r="BQP159" s="83"/>
      <c r="BQZ159" s="83"/>
      <c r="BRJ159" s="83"/>
      <c r="BRT159" s="83"/>
      <c r="BSD159" s="83"/>
      <c r="BSN159" s="83"/>
      <c r="BSX159" s="83"/>
      <c r="BTH159" s="83"/>
      <c r="BTR159" s="83"/>
      <c r="BUB159" s="83"/>
      <c r="BUL159" s="83"/>
      <c r="BUV159" s="83"/>
      <c r="BVF159" s="83"/>
      <c r="BVP159" s="83"/>
      <c r="BVZ159" s="83"/>
      <c r="BWJ159" s="83"/>
      <c r="BWT159" s="83"/>
      <c r="BXD159" s="83"/>
      <c r="BXN159" s="83"/>
      <c r="BXX159" s="83"/>
      <c r="BYH159" s="83"/>
      <c r="BYR159" s="83"/>
      <c r="BZB159" s="83"/>
      <c r="BZL159" s="83"/>
      <c r="BZV159" s="83"/>
      <c r="CAF159" s="83"/>
      <c r="CAP159" s="83"/>
      <c r="CAZ159" s="83"/>
      <c r="CBJ159" s="83"/>
      <c r="CBT159" s="83"/>
      <c r="CCD159" s="83"/>
      <c r="CCN159" s="83"/>
      <c r="CCX159" s="83"/>
      <c r="CDH159" s="83"/>
      <c r="CDR159" s="83"/>
      <c r="CEB159" s="83"/>
      <c r="CEL159" s="83"/>
      <c r="CEV159" s="83"/>
      <c r="CFF159" s="83"/>
      <c r="CFP159" s="83"/>
      <c r="CFZ159" s="83"/>
      <c r="CGJ159" s="83"/>
      <c r="CGT159" s="83"/>
      <c r="CHD159" s="83"/>
      <c r="CHN159" s="83"/>
      <c r="CHX159" s="83"/>
      <c r="CIH159" s="83"/>
      <c r="CIR159" s="83"/>
      <c r="CJB159" s="83"/>
      <c r="CJL159" s="83"/>
      <c r="CJV159" s="83"/>
      <c r="CKF159" s="83"/>
      <c r="CKP159" s="83"/>
      <c r="CKZ159" s="83"/>
      <c r="CLJ159" s="83"/>
      <c r="CLT159" s="83"/>
      <c r="CMD159" s="83"/>
      <c r="CMN159" s="83"/>
      <c r="CMX159" s="83"/>
      <c r="CNH159" s="83"/>
      <c r="CNR159" s="83"/>
      <c r="COB159" s="83"/>
      <c r="COL159" s="83"/>
      <c r="COV159" s="83"/>
      <c r="CPF159" s="83"/>
      <c r="CPP159" s="83"/>
      <c r="CPZ159" s="83"/>
      <c r="CQJ159" s="83"/>
      <c r="CQT159" s="83"/>
      <c r="CRD159" s="83"/>
      <c r="CRN159" s="83"/>
      <c r="CRX159" s="83"/>
      <c r="CSH159" s="83"/>
      <c r="CSR159" s="83"/>
      <c r="CTB159" s="83"/>
      <c r="CTL159" s="83"/>
      <c r="CTV159" s="83"/>
    </row>
    <row r="160" s="58" customFormat="1" customHeight="1" spans="1:1020 1030:2040 2050:2570">
      <c r="A160" s="87">
        <v>46153</v>
      </c>
      <c r="B160" s="88" t="s">
        <v>149</v>
      </c>
      <c r="C160" s="89" t="s">
        <v>150</v>
      </c>
      <c r="D160" s="75">
        <v>652384384</v>
      </c>
      <c r="E160" s="92" t="s">
        <v>153</v>
      </c>
      <c r="F160" s="91" t="str">
        <f>VLOOKUP(E160,[18]基础数据!E:F,2,0)</f>
        <v>A12-外部通讯连接线束</v>
      </c>
      <c r="G160" s="75">
        <v>1500</v>
      </c>
      <c r="H160" s="77" t="str">
        <f>VLOOKUP(E160,[18]基础数据!E:H,4,0)</f>
        <v>料盒</v>
      </c>
      <c r="I160" s="77">
        <f>VLOOKUP(E160,[18]基础数据!E:G,3,0)</f>
        <v>100</v>
      </c>
      <c r="J160" s="75" t="s">
        <v>306</v>
      </c>
      <c r="K160" s="78">
        <f t="shared" si="3"/>
        <v>15</v>
      </c>
      <c r="T160" s="83"/>
      <c r="AD160" s="83"/>
      <c r="AN160" s="83"/>
      <c r="AX160" s="83"/>
      <c r="BH160" s="83"/>
      <c r="BR160" s="83"/>
      <c r="CB160" s="83"/>
      <c r="CL160" s="83"/>
      <c r="CV160" s="83"/>
      <c r="DF160" s="83"/>
      <c r="DP160" s="83"/>
      <c r="DZ160" s="83"/>
      <c r="EJ160" s="83"/>
      <c r="ET160" s="83"/>
      <c r="FD160" s="83"/>
      <c r="FN160" s="83"/>
      <c r="FX160" s="83"/>
      <c r="GH160" s="83"/>
      <c r="GR160" s="83"/>
      <c r="HB160" s="83"/>
      <c r="HL160" s="83"/>
      <c r="HV160" s="83"/>
      <c r="IF160" s="83"/>
      <c r="IP160" s="83"/>
      <c r="IZ160" s="83"/>
      <c r="JJ160" s="83"/>
      <c r="JT160" s="83"/>
      <c r="KD160" s="83"/>
      <c r="KN160" s="83"/>
      <c r="KX160" s="83"/>
      <c r="LH160" s="83"/>
      <c r="LR160" s="83"/>
      <c r="MB160" s="83"/>
      <c r="ML160" s="83"/>
      <c r="MV160" s="83"/>
      <c r="NF160" s="83"/>
      <c r="NP160" s="83"/>
      <c r="NZ160" s="83"/>
      <c r="OJ160" s="83"/>
      <c r="OT160" s="83"/>
      <c r="PD160" s="83"/>
      <c r="PN160" s="83"/>
      <c r="PX160" s="83"/>
      <c r="QH160" s="83"/>
      <c r="QR160" s="83"/>
      <c r="RB160" s="83"/>
      <c r="RL160" s="83"/>
      <c r="RV160" s="83"/>
      <c r="SF160" s="83"/>
      <c r="SP160" s="83"/>
      <c r="SZ160" s="83"/>
      <c r="TJ160" s="83"/>
      <c r="TT160" s="83"/>
      <c r="UD160" s="83"/>
      <c r="UN160" s="83"/>
      <c r="UX160" s="83"/>
      <c r="VH160" s="83"/>
      <c r="VR160" s="83"/>
      <c r="WB160" s="83"/>
      <c r="WL160" s="83"/>
      <c r="WV160" s="83"/>
      <c r="XF160" s="83"/>
      <c r="XP160" s="83"/>
      <c r="XZ160" s="83"/>
      <c r="YJ160" s="83"/>
      <c r="YT160" s="83"/>
      <c r="ZD160" s="83"/>
      <c r="ZN160" s="83"/>
      <c r="ZX160" s="83"/>
      <c r="AAH160" s="83"/>
      <c r="AAR160" s="83"/>
      <c r="ABB160" s="83"/>
      <c r="ABL160" s="83"/>
      <c r="ABV160" s="83"/>
      <c r="ACF160" s="83"/>
      <c r="ACP160" s="83"/>
      <c r="ACZ160" s="83"/>
      <c r="ADJ160" s="83"/>
      <c r="ADT160" s="83"/>
      <c r="AED160" s="83"/>
      <c r="AEN160" s="83"/>
      <c r="AEX160" s="83"/>
      <c r="AFH160" s="83"/>
      <c r="AFR160" s="83"/>
      <c r="AGB160" s="83"/>
      <c r="AGL160" s="83"/>
      <c r="AGV160" s="83"/>
      <c r="AHF160" s="83"/>
      <c r="AHP160" s="83"/>
      <c r="AHZ160" s="83"/>
      <c r="AIJ160" s="83"/>
      <c r="AIT160" s="83"/>
      <c r="AJD160" s="83"/>
      <c r="AJN160" s="83"/>
      <c r="AJX160" s="83"/>
      <c r="AKH160" s="83"/>
      <c r="AKR160" s="83"/>
      <c r="ALB160" s="83"/>
      <c r="ALL160" s="83"/>
      <c r="ALV160" s="83"/>
      <c r="AMF160" s="83"/>
      <c r="AMP160" s="83"/>
      <c r="AMZ160" s="83"/>
      <c r="ANJ160" s="83"/>
      <c r="ANT160" s="83"/>
      <c r="AOD160" s="83"/>
      <c r="AON160" s="83"/>
      <c r="AOX160" s="83"/>
      <c r="APH160" s="83"/>
      <c r="APR160" s="83"/>
      <c r="AQB160" s="83"/>
      <c r="AQL160" s="83"/>
      <c r="AQV160" s="83"/>
      <c r="ARF160" s="83"/>
      <c r="ARP160" s="83"/>
      <c r="ARZ160" s="83"/>
      <c r="ASJ160" s="83"/>
      <c r="AST160" s="83"/>
      <c r="ATD160" s="83"/>
      <c r="ATN160" s="83"/>
      <c r="ATX160" s="83"/>
      <c r="AUH160" s="83"/>
      <c r="AUR160" s="83"/>
      <c r="AVB160" s="83"/>
      <c r="AVL160" s="83"/>
      <c r="AVV160" s="83"/>
      <c r="AWF160" s="83"/>
      <c r="AWP160" s="83"/>
      <c r="AWZ160" s="83"/>
      <c r="AXJ160" s="83"/>
      <c r="AXT160" s="83"/>
      <c r="AYD160" s="83"/>
      <c r="AYN160" s="83"/>
      <c r="AYX160" s="83"/>
      <c r="AZH160" s="83"/>
      <c r="AZR160" s="83"/>
      <c r="BAB160" s="83"/>
      <c r="BAL160" s="83"/>
      <c r="BAV160" s="83"/>
      <c r="BBF160" s="83"/>
      <c r="BBP160" s="83"/>
      <c r="BBZ160" s="83"/>
      <c r="BCJ160" s="83"/>
      <c r="BCT160" s="83"/>
      <c r="BDD160" s="83"/>
      <c r="BDN160" s="83"/>
      <c r="BDX160" s="83"/>
      <c r="BEH160" s="83"/>
      <c r="BER160" s="83"/>
      <c r="BFB160" s="83"/>
      <c r="BFL160" s="83"/>
      <c r="BFV160" s="83"/>
      <c r="BGF160" s="83"/>
      <c r="BGP160" s="83"/>
      <c r="BGZ160" s="83"/>
      <c r="BHJ160" s="83"/>
      <c r="BHT160" s="83"/>
      <c r="BID160" s="83"/>
      <c r="BIN160" s="83"/>
      <c r="BIX160" s="83"/>
      <c r="BJH160" s="83"/>
      <c r="BJR160" s="83"/>
      <c r="BKB160" s="83"/>
      <c r="BKL160" s="83"/>
      <c r="BKV160" s="83"/>
      <c r="BLF160" s="83"/>
      <c r="BLP160" s="83"/>
      <c r="BLZ160" s="83"/>
      <c r="BMJ160" s="83"/>
      <c r="BMT160" s="83"/>
      <c r="BND160" s="83"/>
      <c r="BNN160" s="83"/>
      <c r="BNX160" s="83"/>
      <c r="BOH160" s="83"/>
      <c r="BOR160" s="83"/>
      <c r="BPB160" s="83"/>
      <c r="BPL160" s="83"/>
      <c r="BPV160" s="83"/>
      <c r="BQF160" s="83"/>
      <c r="BQP160" s="83"/>
      <c r="BQZ160" s="83"/>
      <c r="BRJ160" s="83"/>
      <c r="BRT160" s="83"/>
      <c r="BSD160" s="83"/>
      <c r="BSN160" s="83"/>
      <c r="BSX160" s="83"/>
      <c r="BTH160" s="83"/>
      <c r="BTR160" s="83"/>
      <c r="BUB160" s="83"/>
      <c r="BUL160" s="83"/>
      <c r="BUV160" s="83"/>
      <c r="BVF160" s="83"/>
      <c r="BVP160" s="83"/>
      <c r="BVZ160" s="83"/>
      <c r="BWJ160" s="83"/>
      <c r="BWT160" s="83"/>
      <c r="BXD160" s="83"/>
      <c r="BXN160" s="83"/>
      <c r="BXX160" s="83"/>
      <c r="BYH160" s="83"/>
      <c r="BYR160" s="83"/>
      <c r="BZB160" s="83"/>
      <c r="BZL160" s="83"/>
      <c r="BZV160" s="83"/>
      <c r="CAF160" s="83"/>
      <c r="CAP160" s="83"/>
      <c r="CAZ160" s="83"/>
      <c r="CBJ160" s="83"/>
      <c r="CBT160" s="83"/>
      <c r="CCD160" s="83"/>
      <c r="CCN160" s="83"/>
      <c r="CCX160" s="83"/>
      <c r="CDH160" s="83"/>
      <c r="CDR160" s="83"/>
      <c r="CEB160" s="83"/>
      <c r="CEL160" s="83"/>
      <c r="CEV160" s="83"/>
      <c r="CFF160" s="83"/>
      <c r="CFP160" s="83"/>
      <c r="CFZ160" s="83"/>
      <c r="CGJ160" s="83"/>
      <c r="CGT160" s="83"/>
      <c r="CHD160" s="83"/>
      <c r="CHN160" s="83"/>
      <c r="CHX160" s="83"/>
      <c r="CIH160" s="83"/>
      <c r="CIR160" s="83"/>
      <c r="CJB160" s="83"/>
      <c r="CJL160" s="83"/>
      <c r="CJV160" s="83"/>
      <c r="CKF160" s="83"/>
      <c r="CKP160" s="83"/>
      <c r="CKZ160" s="83"/>
      <c r="CLJ160" s="83"/>
      <c r="CLT160" s="83"/>
      <c r="CMD160" s="83"/>
      <c r="CMN160" s="83"/>
      <c r="CMX160" s="83"/>
      <c r="CNH160" s="83"/>
      <c r="CNR160" s="83"/>
      <c r="COB160" s="83"/>
      <c r="COL160" s="83"/>
      <c r="COV160" s="83"/>
      <c r="CPF160" s="83"/>
      <c r="CPP160" s="83"/>
      <c r="CPZ160" s="83"/>
      <c r="CQJ160" s="83"/>
      <c r="CQT160" s="83"/>
      <c r="CRD160" s="83"/>
      <c r="CRN160" s="83"/>
      <c r="CRX160" s="83"/>
      <c r="CSH160" s="83"/>
      <c r="CSR160" s="83"/>
      <c r="CTB160" s="83"/>
      <c r="CTL160" s="83"/>
      <c r="CTV160" s="83"/>
    </row>
    <row r="161" s="58" customFormat="1" customHeight="1" spans="1:1020 1030:2040 2050:2570">
      <c r="A161" s="87">
        <v>46153</v>
      </c>
      <c r="B161" s="88" t="s">
        <v>149</v>
      </c>
      <c r="C161" s="89" t="s">
        <v>150</v>
      </c>
      <c r="D161" s="75">
        <v>652384384</v>
      </c>
      <c r="E161" s="92" t="s">
        <v>196</v>
      </c>
      <c r="F161" s="91" t="str">
        <f>VLOOKUP(E161,[18]基础数据!E:F,2,0)</f>
        <v>线束总成</v>
      </c>
      <c r="G161" s="75">
        <v>1000</v>
      </c>
      <c r="H161" s="77" t="str">
        <f>VLOOKUP(E161,[18]基础数据!E:H,4,0)</f>
        <v>料盒</v>
      </c>
      <c r="I161" s="77">
        <f>VLOOKUP(E161,[18]基础数据!E:G,3,0)</f>
        <v>100</v>
      </c>
      <c r="J161" s="75" t="s">
        <v>306</v>
      </c>
      <c r="K161" s="78">
        <f t="shared" si="3"/>
        <v>10</v>
      </c>
      <c r="T161" s="83"/>
      <c r="AD161" s="83"/>
      <c r="AN161" s="83"/>
      <c r="AX161" s="83"/>
      <c r="BH161" s="83"/>
      <c r="BR161" s="83"/>
      <c r="CB161" s="83"/>
      <c r="CL161" s="83"/>
      <c r="CV161" s="83"/>
      <c r="DF161" s="83"/>
      <c r="DP161" s="83"/>
      <c r="DZ161" s="83"/>
      <c r="EJ161" s="83"/>
      <c r="ET161" s="83"/>
      <c r="FD161" s="83"/>
      <c r="FN161" s="83"/>
      <c r="FX161" s="83"/>
      <c r="GH161" s="83"/>
      <c r="GR161" s="83"/>
      <c r="HB161" s="83"/>
      <c r="HL161" s="83"/>
      <c r="HV161" s="83"/>
      <c r="IF161" s="83"/>
      <c r="IP161" s="83"/>
      <c r="IZ161" s="83"/>
      <c r="JJ161" s="83"/>
      <c r="JT161" s="83"/>
      <c r="KD161" s="83"/>
      <c r="KN161" s="83"/>
      <c r="KX161" s="83"/>
      <c r="LH161" s="83"/>
      <c r="LR161" s="83"/>
      <c r="MB161" s="83"/>
      <c r="ML161" s="83"/>
      <c r="MV161" s="83"/>
      <c r="NF161" s="83"/>
      <c r="NP161" s="83"/>
      <c r="NZ161" s="83"/>
      <c r="OJ161" s="83"/>
      <c r="OT161" s="83"/>
      <c r="PD161" s="83"/>
      <c r="PN161" s="83"/>
      <c r="PX161" s="83"/>
      <c r="QH161" s="83"/>
      <c r="QR161" s="83"/>
      <c r="RB161" s="83"/>
      <c r="RL161" s="83"/>
      <c r="RV161" s="83"/>
      <c r="SF161" s="83"/>
      <c r="SP161" s="83"/>
      <c r="SZ161" s="83"/>
      <c r="TJ161" s="83"/>
      <c r="TT161" s="83"/>
      <c r="UD161" s="83"/>
      <c r="UN161" s="83"/>
      <c r="UX161" s="83"/>
      <c r="VH161" s="83"/>
      <c r="VR161" s="83"/>
      <c r="WB161" s="83"/>
      <c r="WL161" s="83"/>
      <c r="WV161" s="83"/>
      <c r="XF161" s="83"/>
      <c r="XP161" s="83"/>
      <c r="XZ161" s="83"/>
      <c r="YJ161" s="83"/>
      <c r="YT161" s="83"/>
      <c r="ZD161" s="83"/>
      <c r="ZN161" s="83"/>
      <c r="ZX161" s="83"/>
      <c r="AAH161" s="83"/>
      <c r="AAR161" s="83"/>
      <c r="ABB161" s="83"/>
      <c r="ABL161" s="83"/>
      <c r="ABV161" s="83"/>
      <c r="ACF161" s="83"/>
      <c r="ACP161" s="83"/>
      <c r="ACZ161" s="83"/>
      <c r="ADJ161" s="83"/>
      <c r="ADT161" s="83"/>
      <c r="AED161" s="83"/>
      <c r="AEN161" s="83"/>
      <c r="AEX161" s="83"/>
      <c r="AFH161" s="83"/>
      <c r="AFR161" s="83"/>
      <c r="AGB161" s="83"/>
      <c r="AGL161" s="83"/>
      <c r="AGV161" s="83"/>
      <c r="AHF161" s="83"/>
      <c r="AHP161" s="83"/>
      <c r="AHZ161" s="83"/>
      <c r="AIJ161" s="83"/>
      <c r="AIT161" s="83"/>
      <c r="AJD161" s="83"/>
      <c r="AJN161" s="83"/>
      <c r="AJX161" s="83"/>
      <c r="AKH161" s="83"/>
      <c r="AKR161" s="83"/>
      <c r="ALB161" s="83"/>
      <c r="ALL161" s="83"/>
      <c r="ALV161" s="83"/>
      <c r="AMF161" s="83"/>
      <c r="AMP161" s="83"/>
      <c r="AMZ161" s="83"/>
      <c r="ANJ161" s="83"/>
      <c r="ANT161" s="83"/>
      <c r="AOD161" s="83"/>
      <c r="AON161" s="83"/>
      <c r="AOX161" s="83"/>
      <c r="APH161" s="83"/>
      <c r="APR161" s="83"/>
      <c r="AQB161" s="83"/>
      <c r="AQL161" s="83"/>
      <c r="AQV161" s="83"/>
      <c r="ARF161" s="83"/>
      <c r="ARP161" s="83"/>
      <c r="ARZ161" s="83"/>
      <c r="ASJ161" s="83"/>
      <c r="AST161" s="83"/>
      <c r="ATD161" s="83"/>
      <c r="ATN161" s="83"/>
      <c r="ATX161" s="83"/>
      <c r="AUH161" s="83"/>
      <c r="AUR161" s="83"/>
      <c r="AVB161" s="83"/>
      <c r="AVL161" s="83"/>
      <c r="AVV161" s="83"/>
      <c r="AWF161" s="83"/>
      <c r="AWP161" s="83"/>
      <c r="AWZ161" s="83"/>
      <c r="AXJ161" s="83"/>
      <c r="AXT161" s="83"/>
      <c r="AYD161" s="83"/>
      <c r="AYN161" s="83"/>
      <c r="AYX161" s="83"/>
      <c r="AZH161" s="83"/>
      <c r="AZR161" s="83"/>
      <c r="BAB161" s="83"/>
      <c r="BAL161" s="83"/>
      <c r="BAV161" s="83"/>
      <c r="BBF161" s="83"/>
      <c r="BBP161" s="83"/>
      <c r="BBZ161" s="83"/>
      <c r="BCJ161" s="83"/>
      <c r="BCT161" s="83"/>
      <c r="BDD161" s="83"/>
      <c r="BDN161" s="83"/>
      <c r="BDX161" s="83"/>
      <c r="BEH161" s="83"/>
      <c r="BER161" s="83"/>
      <c r="BFB161" s="83"/>
      <c r="BFL161" s="83"/>
      <c r="BFV161" s="83"/>
      <c r="BGF161" s="83"/>
      <c r="BGP161" s="83"/>
      <c r="BGZ161" s="83"/>
      <c r="BHJ161" s="83"/>
      <c r="BHT161" s="83"/>
      <c r="BID161" s="83"/>
      <c r="BIN161" s="83"/>
      <c r="BIX161" s="83"/>
      <c r="BJH161" s="83"/>
      <c r="BJR161" s="83"/>
      <c r="BKB161" s="83"/>
      <c r="BKL161" s="83"/>
      <c r="BKV161" s="83"/>
      <c r="BLF161" s="83"/>
      <c r="BLP161" s="83"/>
      <c r="BLZ161" s="83"/>
      <c r="BMJ161" s="83"/>
      <c r="BMT161" s="83"/>
      <c r="BND161" s="83"/>
      <c r="BNN161" s="83"/>
      <c r="BNX161" s="83"/>
      <c r="BOH161" s="83"/>
      <c r="BOR161" s="83"/>
      <c r="BPB161" s="83"/>
      <c r="BPL161" s="83"/>
      <c r="BPV161" s="83"/>
      <c r="BQF161" s="83"/>
      <c r="BQP161" s="83"/>
      <c r="BQZ161" s="83"/>
      <c r="BRJ161" s="83"/>
      <c r="BRT161" s="83"/>
      <c r="BSD161" s="83"/>
      <c r="BSN161" s="83"/>
      <c r="BSX161" s="83"/>
      <c r="BTH161" s="83"/>
      <c r="BTR161" s="83"/>
      <c r="BUB161" s="83"/>
      <c r="BUL161" s="83"/>
      <c r="BUV161" s="83"/>
      <c r="BVF161" s="83"/>
      <c r="BVP161" s="83"/>
      <c r="BVZ161" s="83"/>
      <c r="BWJ161" s="83"/>
      <c r="BWT161" s="83"/>
      <c r="BXD161" s="83"/>
      <c r="BXN161" s="83"/>
      <c r="BXX161" s="83"/>
      <c r="BYH161" s="83"/>
      <c r="BYR161" s="83"/>
      <c r="BZB161" s="83"/>
      <c r="BZL161" s="83"/>
      <c r="BZV161" s="83"/>
      <c r="CAF161" s="83"/>
      <c r="CAP161" s="83"/>
      <c r="CAZ161" s="83"/>
      <c r="CBJ161" s="83"/>
      <c r="CBT161" s="83"/>
      <c r="CCD161" s="83"/>
      <c r="CCN161" s="83"/>
      <c r="CCX161" s="83"/>
      <c r="CDH161" s="83"/>
      <c r="CDR161" s="83"/>
      <c r="CEB161" s="83"/>
      <c r="CEL161" s="83"/>
      <c r="CEV161" s="83"/>
      <c r="CFF161" s="83"/>
      <c r="CFP161" s="83"/>
      <c r="CFZ161" s="83"/>
      <c r="CGJ161" s="83"/>
      <c r="CGT161" s="83"/>
      <c r="CHD161" s="83"/>
      <c r="CHN161" s="83"/>
      <c r="CHX161" s="83"/>
      <c r="CIH161" s="83"/>
      <c r="CIR161" s="83"/>
      <c r="CJB161" s="83"/>
      <c r="CJL161" s="83"/>
      <c r="CJV161" s="83"/>
      <c r="CKF161" s="83"/>
      <c r="CKP161" s="83"/>
      <c r="CKZ161" s="83"/>
      <c r="CLJ161" s="83"/>
      <c r="CLT161" s="83"/>
      <c r="CMD161" s="83"/>
      <c r="CMN161" s="83"/>
      <c r="CMX161" s="83"/>
      <c r="CNH161" s="83"/>
      <c r="CNR161" s="83"/>
      <c r="COB161" s="83"/>
      <c r="COL161" s="83"/>
      <c r="COV161" s="83"/>
      <c r="CPF161" s="83"/>
      <c r="CPP161" s="83"/>
      <c r="CPZ161" s="83"/>
      <c r="CQJ161" s="83"/>
      <c r="CQT161" s="83"/>
      <c r="CRD161" s="83"/>
      <c r="CRN161" s="83"/>
      <c r="CRX161" s="83"/>
      <c r="CSH161" s="83"/>
      <c r="CSR161" s="83"/>
      <c r="CTB161" s="83"/>
      <c r="CTL161" s="83"/>
      <c r="CTV161" s="83"/>
    </row>
    <row r="162" s="58" customFormat="1" customHeight="1" spans="1:1020 1030:2040 2050:2570">
      <c r="A162" s="87">
        <v>46153</v>
      </c>
      <c r="B162" s="88" t="s">
        <v>149</v>
      </c>
      <c r="C162" s="89" t="s">
        <v>150</v>
      </c>
      <c r="D162" s="75">
        <v>652384384</v>
      </c>
      <c r="E162" s="92" t="s">
        <v>193</v>
      </c>
      <c r="F162" s="91" t="str">
        <f>VLOOKUP(E162,[18]基础数据!E:F,2,0)</f>
        <v>线束总成</v>
      </c>
      <c r="G162" s="75">
        <v>1000</v>
      </c>
      <c r="H162" s="77" t="str">
        <f>VLOOKUP(E162,[18]基础数据!E:H,4,0)</f>
        <v>料盒</v>
      </c>
      <c r="I162" s="77">
        <f>VLOOKUP(E162,[18]基础数据!E:G,3,0)</f>
        <v>200</v>
      </c>
      <c r="J162" s="75" t="s">
        <v>306</v>
      </c>
      <c r="K162" s="78">
        <f t="shared" si="3"/>
        <v>5</v>
      </c>
      <c r="T162" s="83"/>
      <c r="AD162" s="83"/>
      <c r="AN162" s="83"/>
      <c r="AX162" s="83"/>
      <c r="BH162" s="83"/>
      <c r="BR162" s="83"/>
      <c r="CB162" s="83"/>
      <c r="CL162" s="83"/>
      <c r="CV162" s="83"/>
      <c r="DF162" s="83"/>
      <c r="DP162" s="83"/>
      <c r="DZ162" s="83"/>
      <c r="EJ162" s="83"/>
      <c r="ET162" s="83"/>
      <c r="FD162" s="83"/>
      <c r="FN162" s="83"/>
      <c r="FX162" s="83"/>
      <c r="GH162" s="83"/>
      <c r="GR162" s="83"/>
      <c r="HB162" s="83"/>
      <c r="HL162" s="83"/>
      <c r="HV162" s="83"/>
      <c r="IF162" s="83"/>
      <c r="IP162" s="83"/>
      <c r="IZ162" s="83"/>
      <c r="JJ162" s="83"/>
      <c r="JT162" s="83"/>
      <c r="KD162" s="83"/>
      <c r="KN162" s="83"/>
      <c r="KX162" s="83"/>
      <c r="LH162" s="83"/>
      <c r="LR162" s="83"/>
      <c r="MB162" s="83"/>
      <c r="ML162" s="83"/>
      <c r="MV162" s="83"/>
      <c r="NF162" s="83"/>
      <c r="NP162" s="83"/>
      <c r="NZ162" s="83"/>
      <c r="OJ162" s="83"/>
      <c r="OT162" s="83"/>
      <c r="PD162" s="83"/>
      <c r="PN162" s="83"/>
      <c r="PX162" s="83"/>
      <c r="QH162" s="83"/>
      <c r="QR162" s="83"/>
      <c r="RB162" s="83"/>
      <c r="RL162" s="83"/>
      <c r="RV162" s="83"/>
      <c r="SF162" s="83"/>
      <c r="SP162" s="83"/>
      <c r="SZ162" s="83"/>
      <c r="TJ162" s="83"/>
      <c r="TT162" s="83"/>
      <c r="UD162" s="83"/>
      <c r="UN162" s="83"/>
      <c r="UX162" s="83"/>
      <c r="VH162" s="83"/>
      <c r="VR162" s="83"/>
      <c r="WB162" s="83"/>
      <c r="WL162" s="83"/>
      <c r="WV162" s="83"/>
      <c r="XF162" s="83"/>
      <c r="XP162" s="83"/>
      <c r="XZ162" s="83"/>
      <c r="YJ162" s="83"/>
      <c r="YT162" s="83"/>
      <c r="ZD162" s="83"/>
      <c r="ZN162" s="83"/>
      <c r="ZX162" s="83"/>
      <c r="AAH162" s="83"/>
      <c r="AAR162" s="83"/>
      <c r="ABB162" s="83"/>
      <c r="ABL162" s="83"/>
      <c r="ABV162" s="83"/>
      <c r="ACF162" s="83"/>
      <c r="ACP162" s="83"/>
      <c r="ACZ162" s="83"/>
      <c r="ADJ162" s="83"/>
      <c r="ADT162" s="83"/>
      <c r="AED162" s="83"/>
      <c r="AEN162" s="83"/>
      <c r="AEX162" s="83"/>
      <c r="AFH162" s="83"/>
      <c r="AFR162" s="83"/>
      <c r="AGB162" s="83"/>
      <c r="AGL162" s="83"/>
      <c r="AGV162" s="83"/>
      <c r="AHF162" s="83"/>
      <c r="AHP162" s="83"/>
      <c r="AHZ162" s="83"/>
      <c r="AIJ162" s="83"/>
      <c r="AIT162" s="83"/>
      <c r="AJD162" s="83"/>
      <c r="AJN162" s="83"/>
      <c r="AJX162" s="83"/>
      <c r="AKH162" s="83"/>
      <c r="AKR162" s="83"/>
      <c r="ALB162" s="83"/>
      <c r="ALL162" s="83"/>
      <c r="ALV162" s="83"/>
      <c r="AMF162" s="83"/>
      <c r="AMP162" s="83"/>
      <c r="AMZ162" s="83"/>
      <c r="ANJ162" s="83"/>
      <c r="ANT162" s="83"/>
      <c r="AOD162" s="83"/>
      <c r="AON162" s="83"/>
      <c r="AOX162" s="83"/>
      <c r="APH162" s="83"/>
      <c r="APR162" s="83"/>
      <c r="AQB162" s="83"/>
      <c r="AQL162" s="83"/>
      <c r="AQV162" s="83"/>
      <c r="ARF162" s="83"/>
      <c r="ARP162" s="83"/>
      <c r="ARZ162" s="83"/>
      <c r="ASJ162" s="83"/>
      <c r="AST162" s="83"/>
      <c r="ATD162" s="83"/>
      <c r="ATN162" s="83"/>
      <c r="ATX162" s="83"/>
      <c r="AUH162" s="83"/>
      <c r="AUR162" s="83"/>
      <c r="AVB162" s="83"/>
      <c r="AVL162" s="83"/>
      <c r="AVV162" s="83"/>
      <c r="AWF162" s="83"/>
      <c r="AWP162" s="83"/>
      <c r="AWZ162" s="83"/>
      <c r="AXJ162" s="83"/>
      <c r="AXT162" s="83"/>
      <c r="AYD162" s="83"/>
      <c r="AYN162" s="83"/>
      <c r="AYX162" s="83"/>
      <c r="AZH162" s="83"/>
      <c r="AZR162" s="83"/>
      <c r="BAB162" s="83"/>
      <c r="BAL162" s="83"/>
      <c r="BAV162" s="83"/>
      <c r="BBF162" s="83"/>
      <c r="BBP162" s="83"/>
      <c r="BBZ162" s="83"/>
      <c r="BCJ162" s="83"/>
      <c r="BCT162" s="83"/>
      <c r="BDD162" s="83"/>
      <c r="BDN162" s="83"/>
      <c r="BDX162" s="83"/>
      <c r="BEH162" s="83"/>
      <c r="BER162" s="83"/>
      <c r="BFB162" s="83"/>
      <c r="BFL162" s="83"/>
      <c r="BFV162" s="83"/>
      <c r="BGF162" s="83"/>
      <c r="BGP162" s="83"/>
      <c r="BGZ162" s="83"/>
      <c r="BHJ162" s="83"/>
      <c r="BHT162" s="83"/>
      <c r="BID162" s="83"/>
      <c r="BIN162" s="83"/>
      <c r="BIX162" s="83"/>
      <c r="BJH162" s="83"/>
      <c r="BJR162" s="83"/>
      <c r="BKB162" s="83"/>
      <c r="BKL162" s="83"/>
      <c r="BKV162" s="83"/>
      <c r="BLF162" s="83"/>
      <c r="BLP162" s="83"/>
      <c r="BLZ162" s="83"/>
      <c r="BMJ162" s="83"/>
      <c r="BMT162" s="83"/>
      <c r="BND162" s="83"/>
      <c r="BNN162" s="83"/>
      <c r="BNX162" s="83"/>
      <c r="BOH162" s="83"/>
      <c r="BOR162" s="83"/>
      <c r="BPB162" s="83"/>
      <c r="BPL162" s="83"/>
      <c r="BPV162" s="83"/>
      <c r="BQF162" s="83"/>
      <c r="BQP162" s="83"/>
      <c r="BQZ162" s="83"/>
      <c r="BRJ162" s="83"/>
      <c r="BRT162" s="83"/>
      <c r="BSD162" s="83"/>
      <c r="BSN162" s="83"/>
      <c r="BSX162" s="83"/>
      <c r="BTH162" s="83"/>
      <c r="BTR162" s="83"/>
      <c r="BUB162" s="83"/>
      <c r="BUL162" s="83"/>
      <c r="BUV162" s="83"/>
      <c r="BVF162" s="83"/>
      <c r="BVP162" s="83"/>
      <c r="BVZ162" s="83"/>
      <c r="BWJ162" s="83"/>
      <c r="BWT162" s="83"/>
      <c r="BXD162" s="83"/>
      <c r="BXN162" s="83"/>
      <c r="BXX162" s="83"/>
      <c r="BYH162" s="83"/>
      <c r="BYR162" s="83"/>
      <c r="BZB162" s="83"/>
      <c r="BZL162" s="83"/>
      <c r="BZV162" s="83"/>
      <c r="CAF162" s="83"/>
      <c r="CAP162" s="83"/>
      <c r="CAZ162" s="83"/>
      <c r="CBJ162" s="83"/>
      <c r="CBT162" s="83"/>
      <c r="CCD162" s="83"/>
      <c r="CCN162" s="83"/>
      <c r="CCX162" s="83"/>
      <c r="CDH162" s="83"/>
      <c r="CDR162" s="83"/>
      <c r="CEB162" s="83"/>
      <c r="CEL162" s="83"/>
      <c r="CEV162" s="83"/>
      <c r="CFF162" s="83"/>
      <c r="CFP162" s="83"/>
      <c r="CFZ162" s="83"/>
      <c r="CGJ162" s="83"/>
      <c r="CGT162" s="83"/>
      <c r="CHD162" s="83"/>
      <c r="CHN162" s="83"/>
      <c r="CHX162" s="83"/>
      <c r="CIH162" s="83"/>
      <c r="CIR162" s="83"/>
      <c r="CJB162" s="83"/>
      <c r="CJL162" s="83"/>
      <c r="CJV162" s="83"/>
      <c r="CKF162" s="83"/>
      <c r="CKP162" s="83"/>
      <c r="CKZ162" s="83"/>
      <c r="CLJ162" s="83"/>
      <c r="CLT162" s="83"/>
      <c r="CMD162" s="83"/>
      <c r="CMN162" s="83"/>
      <c r="CMX162" s="83"/>
      <c r="CNH162" s="83"/>
      <c r="CNR162" s="83"/>
      <c r="COB162" s="83"/>
      <c r="COL162" s="83"/>
      <c r="COV162" s="83"/>
      <c r="CPF162" s="83"/>
      <c r="CPP162" s="83"/>
      <c r="CPZ162" s="83"/>
      <c r="CQJ162" s="83"/>
      <c r="CQT162" s="83"/>
      <c r="CRD162" s="83"/>
      <c r="CRN162" s="83"/>
      <c r="CRX162" s="83"/>
      <c r="CSH162" s="83"/>
      <c r="CSR162" s="83"/>
      <c r="CTB162" s="83"/>
      <c r="CTL162" s="83"/>
      <c r="CTV162" s="83"/>
    </row>
    <row r="163" s="58" customFormat="1" customHeight="1" spans="1:1020 1030:2040 2050:2570">
      <c r="A163" s="87">
        <v>46153</v>
      </c>
      <c r="B163" s="88" t="s">
        <v>149</v>
      </c>
      <c r="C163" s="89" t="s">
        <v>150</v>
      </c>
      <c r="D163" s="75">
        <v>652384384</v>
      </c>
      <c r="E163" s="92" t="s">
        <v>195</v>
      </c>
      <c r="F163" s="91" t="str">
        <f>VLOOKUP(E163,[18]基础数据!E:F,2,0)</f>
        <v>线束总成</v>
      </c>
      <c r="G163" s="75">
        <v>1000</v>
      </c>
      <c r="H163" s="77" t="str">
        <f>VLOOKUP(E163,[18]基础数据!E:H,4,0)</f>
        <v>料盒</v>
      </c>
      <c r="I163" s="77">
        <f>VLOOKUP(E163,[18]基础数据!E:G,3,0)</f>
        <v>100</v>
      </c>
      <c r="J163" s="75" t="s">
        <v>306</v>
      </c>
      <c r="K163" s="78">
        <f t="shared" si="3"/>
        <v>10</v>
      </c>
      <c r="T163" s="83"/>
      <c r="AD163" s="83"/>
      <c r="AN163" s="83"/>
      <c r="AX163" s="83"/>
      <c r="BH163" s="83"/>
      <c r="BR163" s="83"/>
      <c r="CB163" s="83"/>
      <c r="CL163" s="83"/>
      <c r="CV163" s="83"/>
      <c r="DF163" s="83"/>
      <c r="DP163" s="83"/>
      <c r="DZ163" s="83"/>
      <c r="EJ163" s="83"/>
      <c r="ET163" s="83"/>
      <c r="FD163" s="83"/>
      <c r="FN163" s="83"/>
      <c r="FX163" s="83"/>
      <c r="GH163" s="83"/>
      <c r="GR163" s="83"/>
      <c r="HB163" s="83"/>
      <c r="HL163" s="83"/>
      <c r="HV163" s="83"/>
      <c r="IF163" s="83"/>
      <c r="IP163" s="83"/>
      <c r="IZ163" s="83"/>
      <c r="JJ163" s="83"/>
      <c r="JT163" s="83"/>
      <c r="KD163" s="83"/>
      <c r="KN163" s="83"/>
      <c r="KX163" s="83"/>
      <c r="LH163" s="83"/>
      <c r="LR163" s="83"/>
      <c r="MB163" s="83"/>
      <c r="ML163" s="83"/>
      <c r="MV163" s="83"/>
      <c r="NF163" s="83"/>
      <c r="NP163" s="83"/>
      <c r="NZ163" s="83"/>
      <c r="OJ163" s="83"/>
      <c r="OT163" s="83"/>
      <c r="PD163" s="83"/>
      <c r="PN163" s="83"/>
      <c r="PX163" s="83"/>
      <c r="QH163" s="83"/>
      <c r="QR163" s="83"/>
      <c r="RB163" s="83"/>
      <c r="RL163" s="83"/>
      <c r="RV163" s="83"/>
      <c r="SF163" s="83"/>
      <c r="SP163" s="83"/>
      <c r="SZ163" s="83"/>
      <c r="TJ163" s="83"/>
      <c r="TT163" s="83"/>
      <c r="UD163" s="83"/>
      <c r="UN163" s="83"/>
      <c r="UX163" s="83"/>
      <c r="VH163" s="83"/>
      <c r="VR163" s="83"/>
      <c r="WB163" s="83"/>
      <c r="WL163" s="83"/>
      <c r="WV163" s="83"/>
      <c r="XF163" s="83"/>
      <c r="XP163" s="83"/>
      <c r="XZ163" s="83"/>
      <c r="YJ163" s="83"/>
      <c r="YT163" s="83"/>
      <c r="ZD163" s="83"/>
      <c r="ZN163" s="83"/>
      <c r="ZX163" s="83"/>
      <c r="AAH163" s="83"/>
      <c r="AAR163" s="83"/>
      <c r="ABB163" s="83"/>
      <c r="ABL163" s="83"/>
      <c r="ABV163" s="83"/>
      <c r="ACF163" s="83"/>
      <c r="ACP163" s="83"/>
      <c r="ACZ163" s="83"/>
      <c r="ADJ163" s="83"/>
      <c r="ADT163" s="83"/>
      <c r="AED163" s="83"/>
      <c r="AEN163" s="83"/>
      <c r="AEX163" s="83"/>
      <c r="AFH163" s="83"/>
      <c r="AFR163" s="83"/>
      <c r="AGB163" s="83"/>
      <c r="AGL163" s="83"/>
      <c r="AGV163" s="83"/>
      <c r="AHF163" s="83"/>
      <c r="AHP163" s="83"/>
      <c r="AHZ163" s="83"/>
      <c r="AIJ163" s="83"/>
      <c r="AIT163" s="83"/>
      <c r="AJD163" s="83"/>
      <c r="AJN163" s="83"/>
      <c r="AJX163" s="83"/>
      <c r="AKH163" s="83"/>
      <c r="AKR163" s="83"/>
      <c r="ALB163" s="83"/>
      <c r="ALL163" s="83"/>
      <c r="ALV163" s="83"/>
      <c r="AMF163" s="83"/>
      <c r="AMP163" s="83"/>
      <c r="AMZ163" s="83"/>
      <c r="ANJ163" s="83"/>
      <c r="ANT163" s="83"/>
      <c r="AOD163" s="83"/>
      <c r="AON163" s="83"/>
      <c r="AOX163" s="83"/>
      <c r="APH163" s="83"/>
      <c r="APR163" s="83"/>
      <c r="AQB163" s="83"/>
      <c r="AQL163" s="83"/>
      <c r="AQV163" s="83"/>
      <c r="ARF163" s="83"/>
      <c r="ARP163" s="83"/>
      <c r="ARZ163" s="83"/>
      <c r="ASJ163" s="83"/>
      <c r="AST163" s="83"/>
      <c r="ATD163" s="83"/>
      <c r="ATN163" s="83"/>
      <c r="ATX163" s="83"/>
      <c r="AUH163" s="83"/>
      <c r="AUR163" s="83"/>
      <c r="AVB163" s="83"/>
      <c r="AVL163" s="83"/>
      <c r="AVV163" s="83"/>
      <c r="AWF163" s="83"/>
      <c r="AWP163" s="83"/>
      <c r="AWZ163" s="83"/>
      <c r="AXJ163" s="83"/>
      <c r="AXT163" s="83"/>
      <c r="AYD163" s="83"/>
      <c r="AYN163" s="83"/>
      <c r="AYX163" s="83"/>
      <c r="AZH163" s="83"/>
      <c r="AZR163" s="83"/>
      <c r="BAB163" s="83"/>
      <c r="BAL163" s="83"/>
      <c r="BAV163" s="83"/>
      <c r="BBF163" s="83"/>
      <c r="BBP163" s="83"/>
      <c r="BBZ163" s="83"/>
      <c r="BCJ163" s="83"/>
      <c r="BCT163" s="83"/>
      <c r="BDD163" s="83"/>
      <c r="BDN163" s="83"/>
      <c r="BDX163" s="83"/>
      <c r="BEH163" s="83"/>
      <c r="BER163" s="83"/>
      <c r="BFB163" s="83"/>
      <c r="BFL163" s="83"/>
      <c r="BFV163" s="83"/>
      <c r="BGF163" s="83"/>
      <c r="BGP163" s="83"/>
      <c r="BGZ163" s="83"/>
      <c r="BHJ163" s="83"/>
      <c r="BHT163" s="83"/>
      <c r="BID163" s="83"/>
      <c r="BIN163" s="83"/>
      <c r="BIX163" s="83"/>
      <c r="BJH163" s="83"/>
      <c r="BJR163" s="83"/>
      <c r="BKB163" s="83"/>
      <c r="BKL163" s="83"/>
      <c r="BKV163" s="83"/>
      <c r="BLF163" s="83"/>
      <c r="BLP163" s="83"/>
      <c r="BLZ163" s="83"/>
      <c r="BMJ163" s="83"/>
      <c r="BMT163" s="83"/>
      <c r="BND163" s="83"/>
      <c r="BNN163" s="83"/>
      <c r="BNX163" s="83"/>
      <c r="BOH163" s="83"/>
      <c r="BOR163" s="83"/>
      <c r="BPB163" s="83"/>
      <c r="BPL163" s="83"/>
      <c r="BPV163" s="83"/>
      <c r="BQF163" s="83"/>
      <c r="BQP163" s="83"/>
      <c r="BQZ163" s="83"/>
      <c r="BRJ163" s="83"/>
      <c r="BRT163" s="83"/>
      <c r="BSD163" s="83"/>
      <c r="BSN163" s="83"/>
      <c r="BSX163" s="83"/>
      <c r="BTH163" s="83"/>
      <c r="BTR163" s="83"/>
      <c r="BUB163" s="83"/>
      <c r="BUL163" s="83"/>
      <c r="BUV163" s="83"/>
      <c r="BVF163" s="83"/>
      <c r="BVP163" s="83"/>
      <c r="BVZ163" s="83"/>
      <c r="BWJ163" s="83"/>
      <c r="BWT163" s="83"/>
      <c r="BXD163" s="83"/>
      <c r="BXN163" s="83"/>
      <c r="BXX163" s="83"/>
      <c r="BYH163" s="83"/>
      <c r="BYR163" s="83"/>
      <c r="BZB163" s="83"/>
      <c r="BZL163" s="83"/>
      <c r="BZV163" s="83"/>
      <c r="CAF163" s="83"/>
      <c r="CAP163" s="83"/>
      <c r="CAZ163" s="83"/>
      <c r="CBJ163" s="83"/>
      <c r="CBT163" s="83"/>
      <c r="CCD163" s="83"/>
      <c r="CCN163" s="83"/>
      <c r="CCX163" s="83"/>
      <c r="CDH163" s="83"/>
      <c r="CDR163" s="83"/>
      <c r="CEB163" s="83"/>
      <c r="CEL163" s="83"/>
      <c r="CEV163" s="83"/>
      <c r="CFF163" s="83"/>
      <c r="CFP163" s="83"/>
      <c r="CFZ163" s="83"/>
      <c r="CGJ163" s="83"/>
      <c r="CGT163" s="83"/>
      <c r="CHD163" s="83"/>
      <c r="CHN163" s="83"/>
      <c r="CHX163" s="83"/>
      <c r="CIH163" s="83"/>
      <c r="CIR163" s="83"/>
      <c r="CJB163" s="83"/>
      <c r="CJL163" s="83"/>
      <c r="CJV163" s="83"/>
      <c r="CKF163" s="83"/>
      <c r="CKP163" s="83"/>
      <c r="CKZ163" s="83"/>
      <c r="CLJ163" s="83"/>
      <c r="CLT163" s="83"/>
      <c r="CMD163" s="83"/>
      <c r="CMN163" s="83"/>
      <c r="CMX163" s="83"/>
      <c r="CNH163" s="83"/>
      <c r="CNR163" s="83"/>
      <c r="COB163" s="83"/>
      <c r="COL163" s="83"/>
      <c r="COV163" s="83"/>
      <c r="CPF163" s="83"/>
      <c r="CPP163" s="83"/>
      <c r="CPZ163" s="83"/>
      <c r="CQJ163" s="83"/>
      <c r="CQT163" s="83"/>
      <c r="CRD163" s="83"/>
      <c r="CRN163" s="83"/>
      <c r="CRX163" s="83"/>
      <c r="CSH163" s="83"/>
      <c r="CSR163" s="83"/>
      <c r="CTB163" s="83"/>
      <c r="CTL163" s="83"/>
      <c r="CTV163" s="83"/>
    </row>
    <row r="164" s="58" customFormat="1" customHeight="1" spans="1:1020 1030:2040 2050:2570">
      <c r="A164" s="87">
        <v>46146</v>
      </c>
      <c r="B164" s="142" t="s">
        <v>203</v>
      </c>
      <c r="C164" s="143" t="s">
        <v>204</v>
      </c>
      <c r="D164" s="75">
        <v>652335733</v>
      </c>
      <c r="E164" s="96" t="s">
        <v>207</v>
      </c>
      <c r="F164" s="76" t="str">
        <f>IFERROR(VLOOKUP(E164,[19]基础数据!$E$3:$H$4,2,0),"")</f>
        <v>压缩机40CC</v>
      </c>
      <c r="G164" s="75">
        <v>1280</v>
      </c>
      <c r="H164" s="76" t="str">
        <f>IFERROR(VLOOKUP(E164,[19]基础数据!$E$3:$H$4,4,0),"")</f>
        <v>料盒</v>
      </c>
      <c r="I164" s="76">
        <f>IFERROR(VLOOKUP(E164,[19]基础数据!$E$3:$H$4,3,0),"")</f>
        <v>40</v>
      </c>
      <c r="J164" s="75" t="s">
        <v>306</v>
      </c>
      <c r="K164" s="78">
        <f t="shared" si="3"/>
        <v>32</v>
      </c>
      <c r="T164" s="83"/>
      <c r="AD164" s="83"/>
      <c r="AN164" s="83"/>
      <c r="AX164" s="83"/>
      <c r="BH164" s="83"/>
      <c r="BR164" s="83"/>
      <c r="CB164" s="83"/>
      <c r="CL164" s="83"/>
      <c r="CV164" s="83"/>
      <c r="DF164" s="83"/>
      <c r="DP164" s="83"/>
      <c r="DZ164" s="83"/>
      <c r="EJ164" s="83"/>
      <c r="ET164" s="83"/>
      <c r="FD164" s="83"/>
      <c r="FN164" s="83"/>
      <c r="FX164" s="83"/>
      <c r="GH164" s="83"/>
      <c r="GR164" s="83"/>
      <c r="HB164" s="83"/>
      <c r="HL164" s="83"/>
      <c r="HV164" s="83"/>
      <c r="IF164" s="83"/>
      <c r="IP164" s="83"/>
      <c r="IZ164" s="83"/>
      <c r="JJ164" s="83"/>
      <c r="JT164" s="83"/>
      <c r="KD164" s="83"/>
      <c r="KN164" s="83"/>
      <c r="KX164" s="83"/>
      <c r="LH164" s="83"/>
      <c r="LR164" s="83"/>
      <c r="MB164" s="83"/>
      <c r="ML164" s="83"/>
      <c r="MV164" s="83"/>
      <c r="NF164" s="83"/>
      <c r="NP164" s="83"/>
      <c r="NZ164" s="83"/>
      <c r="OJ164" s="83"/>
      <c r="OT164" s="83"/>
      <c r="PD164" s="83"/>
      <c r="PN164" s="83"/>
      <c r="PX164" s="83"/>
      <c r="QH164" s="83"/>
      <c r="QR164" s="83"/>
      <c r="RB164" s="83"/>
      <c r="RL164" s="83"/>
      <c r="RV164" s="83"/>
      <c r="SF164" s="83"/>
      <c r="SP164" s="83"/>
      <c r="SZ164" s="83"/>
      <c r="TJ164" s="83"/>
      <c r="TT164" s="83"/>
      <c r="UD164" s="83"/>
      <c r="UN164" s="83"/>
      <c r="UX164" s="83"/>
      <c r="VH164" s="83"/>
      <c r="VR164" s="83"/>
      <c r="WB164" s="83"/>
      <c r="WL164" s="83"/>
      <c r="WV164" s="83"/>
      <c r="XF164" s="83"/>
      <c r="XP164" s="83"/>
      <c r="XZ164" s="83"/>
      <c r="YJ164" s="83"/>
      <c r="YT164" s="83"/>
      <c r="ZD164" s="83"/>
      <c r="ZN164" s="83"/>
      <c r="ZX164" s="83"/>
      <c r="AAH164" s="83"/>
      <c r="AAR164" s="83"/>
      <c r="ABB164" s="83"/>
      <c r="ABL164" s="83"/>
      <c r="ABV164" s="83"/>
      <c r="ACF164" s="83"/>
      <c r="ACP164" s="83"/>
      <c r="ACZ164" s="83"/>
      <c r="ADJ164" s="83"/>
      <c r="ADT164" s="83"/>
      <c r="AED164" s="83"/>
      <c r="AEN164" s="83"/>
      <c r="AEX164" s="83"/>
      <c r="AFH164" s="83"/>
      <c r="AFR164" s="83"/>
      <c r="AGB164" s="83"/>
      <c r="AGL164" s="83"/>
      <c r="AGV164" s="83"/>
      <c r="AHF164" s="83"/>
      <c r="AHP164" s="83"/>
      <c r="AHZ164" s="83"/>
      <c r="AIJ164" s="83"/>
      <c r="AIT164" s="83"/>
      <c r="AJD164" s="83"/>
      <c r="AJN164" s="83"/>
      <c r="AJX164" s="83"/>
      <c r="AKH164" s="83"/>
      <c r="AKR164" s="83"/>
      <c r="ALB164" s="83"/>
      <c r="ALL164" s="83"/>
      <c r="ALV164" s="83"/>
      <c r="AMF164" s="83"/>
      <c r="AMP164" s="83"/>
      <c r="AMZ164" s="83"/>
      <c r="ANJ164" s="83"/>
      <c r="ANT164" s="83"/>
      <c r="AOD164" s="83"/>
      <c r="AON164" s="83"/>
      <c r="AOX164" s="83"/>
      <c r="APH164" s="83"/>
      <c r="APR164" s="83"/>
      <c r="AQB164" s="83"/>
      <c r="AQL164" s="83"/>
      <c r="AQV164" s="83"/>
      <c r="ARF164" s="83"/>
      <c r="ARP164" s="83"/>
      <c r="ARZ164" s="83"/>
      <c r="ASJ164" s="83"/>
      <c r="AST164" s="83"/>
      <c r="ATD164" s="83"/>
      <c r="ATN164" s="83"/>
      <c r="ATX164" s="83"/>
      <c r="AUH164" s="83"/>
      <c r="AUR164" s="83"/>
      <c r="AVB164" s="83"/>
      <c r="AVL164" s="83"/>
      <c r="AVV164" s="83"/>
      <c r="AWF164" s="83"/>
      <c r="AWP164" s="83"/>
      <c r="AWZ164" s="83"/>
      <c r="AXJ164" s="83"/>
      <c r="AXT164" s="83"/>
      <c r="AYD164" s="83"/>
      <c r="AYN164" s="83"/>
      <c r="AYX164" s="83"/>
      <c r="AZH164" s="83"/>
      <c r="AZR164" s="83"/>
      <c r="BAB164" s="83"/>
      <c r="BAL164" s="83"/>
      <c r="BAV164" s="83"/>
      <c r="BBF164" s="83"/>
      <c r="BBP164" s="83"/>
      <c r="BBZ164" s="83"/>
      <c r="BCJ164" s="83"/>
      <c r="BCT164" s="83"/>
      <c r="BDD164" s="83"/>
      <c r="BDN164" s="83"/>
      <c r="BDX164" s="83"/>
      <c r="BEH164" s="83"/>
      <c r="BER164" s="83"/>
      <c r="BFB164" s="83"/>
      <c r="BFL164" s="83"/>
      <c r="BFV164" s="83"/>
      <c r="BGF164" s="83"/>
      <c r="BGP164" s="83"/>
      <c r="BGZ164" s="83"/>
      <c r="BHJ164" s="83"/>
      <c r="BHT164" s="83"/>
      <c r="BID164" s="83"/>
      <c r="BIN164" s="83"/>
      <c r="BIX164" s="83"/>
      <c r="BJH164" s="83"/>
      <c r="BJR164" s="83"/>
      <c r="BKB164" s="83"/>
      <c r="BKL164" s="83"/>
      <c r="BKV164" s="83"/>
      <c r="BLF164" s="83"/>
      <c r="BLP164" s="83"/>
      <c r="BLZ164" s="83"/>
      <c r="BMJ164" s="83"/>
      <c r="BMT164" s="83"/>
      <c r="BND164" s="83"/>
      <c r="BNN164" s="83"/>
      <c r="BNX164" s="83"/>
      <c r="BOH164" s="83"/>
      <c r="BOR164" s="83"/>
      <c r="BPB164" s="83"/>
      <c r="BPL164" s="83"/>
      <c r="BPV164" s="83"/>
      <c r="BQF164" s="83"/>
      <c r="BQP164" s="83"/>
      <c r="BQZ164" s="83"/>
      <c r="BRJ164" s="83"/>
      <c r="BRT164" s="83"/>
      <c r="BSD164" s="83"/>
      <c r="BSN164" s="83"/>
      <c r="BSX164" s="83"/>
      <c r="BTH164" s="83"/>
      <c r="BTR164" s="83"/>
      <c r="BUB164" s="83"/>
      <c r="BUL164" s="83"/>
      <c r="BUV164" s="83"/>
      <c r="BVF164" s="83"/>
      <c r="BVP164" s="83"/>
      <c r="BVZ164" s="83"/>
      <c r="BWJ164" s="83"/>
      <c r="BWT164" s="83"/>
      <c r="BXD164" s="83"/>
      <c r="BXN164" s="83"/>
      <c r="BXX164" s="83"/>
      <c r="BYH164" s="83"/>
      <c r="BYR164" s="83"/>
      <c r="BZB164" s="83"/>
      <c r="BZL164" s="83"/>
      <c r="BZV164" s="83"/>
      <c r="CAF164" s="83"/>
      <c r="CAP164" s="83"/>
      <c r="CAZ164" s="83"/>
      <c r="CBJ164" s="83"/>
      <c r="CBT164" s="83"/>
      <c r="CCD164" s="83"/>
      <c r="CCN164" s="83"/>
      <c r="CCX164" s="83"/>
      <c r="CDH164" s="83"/>
      <c r="CDR164" s="83"/>
      <c r="CEB164" s="83"/>
      <c r="CEL164" s="83"/>
      <c r="CEV164" s="83"/>
      <c r="CFF164" s="83"/>
      <c r="CFP164" s="83"/>
      <c r="CFZ164" s="83"/>
      <c r="CGJ164" s="83"/>
      <c r="CGT164" s="83"/>
      <c r="CHD164" s="83"/>
      <c r="CHN164" s="83"/>
      <c r="CHX164" s="83"/>
      <c r="CIH164" s="83"/>
      <c r="CIR164" s="83"/>
      <c r="CJB164" s="83"/>
      <c r="CJL164" s="83"/>
      <c r="CJV164" s="83"/>
      <c r="CKF164" s="83"/>
      <c r="CKP164" s="83"/>
      <c r="CKZ164" s="83"/>
      <c r="CLJ164" s="83"/>
      <c r="CLT164" s="83"/>
      <c r="CMD164" s="83"/>
      <c r="CMN164" s="83"/>
      <c r="CMX164" s="83"/>
      <c r="CNH164" s="83"/>
      <c r="CNR164" s="83"/>
      <c r="COB164" s="83"/>
      <c r="COL164" s="83"/>
      <c r="COV164" s="83"/>
      <c r="CPF164" s="83"/>
      <c r="CPP164" s="83"/>
      <c r="CPZ164" s="83"/>
      <c r="CQJ164" s="83"/>
      <c r="CQT164" s="83"/>
      <c r="CRD164" s="83"/>
      <c r="CRN164" s="83"/>
      <c r="CRX164" s="83"/>
      <c r="CSH164" s="83"/>
      <c r="CSR164" s="83"/>
      <c r="CTB164" s="83"/>
      <c r="CTL164" s="83"/>
      <c r="CTV164" s="83"/>
    </row>
    <row r="165" s="58" customFormat="1" customHeight="1" spans="1:1020 1030:2040 2050:2570">
      <c r="A165" s="87">
        <v>46145</v>
      </c>
      <c r="B165" s="94" t="s">
        <v>209</v>
      </c>
      <c r="C165" s="95" t="s">
        <v>210</v>
      </c>
      <c r="D165" s="75">
        <v>652329279</v>
      </c>
      <c r="E165" s="96" t="s">
        <v>211</v>
      </c>
      <c r="F165" s="76" t="str">
        <f>IFERROR(VLOOKUP(E165,[20]日报!E:G,2,0),"")</f>
        <v>02154端板</v>
      </c>
      <c r="G165" s="75">
        <v>3360</v>
      </c>
      <c r="H165" s="77" t="str">
        <f>IFERROR(VLOOKUP(E165,[20]日报!E:H,4,0),"")</f>
        <v>料盒</v>
      </c>
      <c r="I165" s="77">
        <f>IFERROR(VLOOKUP(E165,[20]日报!E:G,3,0),"")</f>
        <v>84</v>
      </c>
      <c r="J165" s="75" t="s">
        <v>306</v>
      </c>
      <c r="K165" s="78">
        <f t="shared" si="3"/>
        <v>40</v>
      </c>
      <c r="T165" s="83"/>
      <c r="AD165" s="83"/>
      <c r="AN165" s="83"/>
      <c r="AX165" s="83"/>
      <c r="BH165" s="83"/>
      <c r="BR165" s="83"/>
      <c r="CB165" s="83"/>
      <c r="CL165" s="83"/>
      <c r="CV165" s="83"/>
      <c r="DF165" s="83"/>
      <c r="DP165" s="83"/>
      <c r="DZ165" s="83"/>
      <c r="EJ165" s="83"/>
      <c r="ET165" s="83"/>
      <c r="FD165" s="83"/>
      <c r="FN165" s="83"/>
      <c r="FX165" s="83"/>
      <c r="GH165" s="83"/>
      <c r="GR165" s="83"/>
      <c r="HB165" s="83"/>
      <c r="HL165" s="83"/>
      <c r="HV165" s="83"/>
      <c r="IF165" s="83"/>
      <c r="IP165" s="83"/>
      <c r="IZ165" s="83"/>
      <c r="JJ165" s="83"/>
      <c r="JT165" s="83"/>
      <c r="KD165" s="83"/>
      <c r="KN165" s="83"/>
      <c r="KX165" s="83"/>
      <c r="LH165" s="83"/>
      <c r="LR165" s="83"/>
      <c r="MB165" s="83"/>
      <c r="ML165" s="83"/>
      <c r="MV165" s="83"/>
      <c r="NF165" s="83"/>
      <c r="NP165" s="83"/>
      <c r="NZ165" s="83"/>
      <c r="OJ165" s="83"/>
      <c r="OT165" s="83"/>
      <c r="PD165" s="83"/>
      <c r="PN165" s="83"/>
      <c r="PX165" s="83"/>
      <c r="QH165" s="83"/>
      <c r="QR165" s="83"/>
      <c r="RB165" s="83"/>
      <c r="RL165" s="83"/>
      <c r="RV165" s="83"/>
      <c r="SF165" s="83"/>
      <c r="SP165" s="83"/>
      <c r="SZ165" s="83"/>
      <c r="TJ165" s="83"/>
      <c r="TT165" s="83"/>
      <c r="UD165" s="83"/>
      <c r="UN165" s="83"/>
      <c r="UX165" s="83"/>
      <c r="VH165" s="83"/>
      <c r="VR165" s="83"/>
      <c r="WB165" s="83"/>
      <c r="WL165" s="83"/>
      <c r="WV165" s="83"/>
      <c r="XF165" s="83"/>
      <c r="XP165" s="83"/>
      <c r="XZ165" s="83"/>
      <c r="YJ165" s="83"/>
      <c r="YT165" s="83"/>
      <c r="ZD165" s="83"/>
      <c r="ZN165" s="83"/>
      <c r="ZX165" s="83"/>
      <c r="AAH165" s="83"/>
      <c r="AAR165" s="83"/>
      <c r="ABB165" s="83"/>
      <c r="ABL165" s="83"/>
      <c r="ABV165" s="83"/>
      <c r="ACF165" s="83"/>
      <c r="ACP165" s="83"/>
      <c r="ACZ165" s="83"/>
      <c r="ADJ165" s="83"/>
      <c r="ADT165" s="83"/>
      <c r="AED165" s="83"/>
      <c r="AEN165" s="83"/>
      <c r="AEX165" s="83"/>
      <c r="AFH165" s="83"/>
      <c r="AFR165" s="83"/>
      <c r="AGB165" s="83"/>
      <c r="AGL165" s="83"/>
      <c r="AGV165" s="83"/>
      <c r="AHF165" s="83"/>
      <c r="AHP165" s="83"/>
      <c r="AHZ165" s="83"/>
      <c r="AIJ165" s="83"/>
      <c r="AIT165" s="83"/>
      <c r="AJD165" s="83"/>
      <c r="AJN165" s="83"/>
      <c r="AJX165" s="83"/>
      <c r="AKH165" s="83"/>
      <c r="AKR165" s="83"/>
      <c r="ALB165" s="83"/>
      <c r="ALL165" s="83"/>
      <c r="ALV165" s="83"/>
      <c r="AMF165" s="83"/>
      <c r="AMP165" s="83"/>
      <c r="AMZ165" s="83"/>
      <c r="ANJ165" s="83"/>
      <c r="ANT165" s="83"/>
      <c r="AOD165" s="83"/>
      <c r="AON165" s="83"/>
      <c r="AOX165" s="83"/>
      <c r="APH165" s="83"/>
      <c r="APR165" s="83"/>
      <c r="AQB165" s="83"/>
      <c r="AQL165" s="83"/>
      <c r="AQV165" s="83"/>
      <c r="ARF165" s="83"/>
      <c r="ARP165" s="83"/>
      <c r="ARZ165" s="83"/>
      <c r="ASJ165" s="83"/>
      <c r="AST165" s="83"/>
      <c r="ATD165" s="83"/>
      <c r="ATN165" s="83"/>
      <c r="ATX165" s="83"/>
      <c r="AUH165" s="83"/>
      <c r="AUR165" s="83"/>
      <c r="AVB165" s="83"/>
      <c r="AVL165" s="83"/>
      <c r="AVV165" s="83"/>
      <c r="AWF165" s="83"/>
      <c r="AWP165" s="83"/>
      <c r="AWZ165" s="83"/>
      <c r="AXJ165" s="83"/>
      <c r="AXT165" s="83"/>
      <c r="AYD165" s="83"/>
      <c r="AYN165" s="83"/>
      <c r="AYX165" s="83"/>
      <c r="AZH165" s="83"/>
      <c r="AZR165" s="83"/>
      <c r="BAB165" s="83"/>
      <c r="BAL165" s="83"/>
      <c r="BAV165" s="83"/>
      <c r="BBF165" s="83"/>
      <c r="BBP165" s="83"/>
      <c r="BBZ165" s="83"/>
      <c r="BCJ165" s="83"/>
      <c r="BCT165" s="83"/>
      <c r="BDD165" s="83"/>
      <c r="BDN165" s="83"/>
      <c r="BDX165" s="83"/>
      <c r="BEH165" s="83"/>
      <c r="BER165" s="83"/>
      <c r="BFB165" s="83"/>
      <c r="BFL165" s="83"/>
      <c r="BFV165" s="83"/>
      <c r="BGF165" s="83"/>
      <c r="BGP165" s="83"/>
      <c r="BGZ165" s="83"/>
      <c r="BHJ165" s="83"/>
      <c r="BHT165" s="83"/>
      <c r="BID165" s="83"/>
      <c r="BIN165" s="83"/>
      <c r="BIX165" s="83"/>
      <c r="BJH165" s="83"/>
      <c r="BJR165" s="83"/>
      <c r="BKB165" s="83"/>
      <c r="BKL165" s="83"/>
      <c r="BKV165" s="83"/>
      <c r="BLF165" s="83"/>
      <c r="BLP165" s="83"/>
      <c r="BLZ165" s="83"/>
      <c r="BMJ165" s="83"/>
      <c r="BMT165" s="83"/>
      <c r="BND165" s="83"/>
      <c r="BNN165" s="83"/>
      <c r="BNX165" s="83"/>
      <c r="BOH165" s="83"/>
      <c r="BOR165" s="83"/>
      <c r="BPB165" s="83"/>
      <c r="BPL165" s="83"/>
      <c r="BPV165" s="83"/>
      <c r="BQF165" s="83"/>
      <c r="BQP165" s="83"/>
      <c r="BQZ165" s="83"/>
      <c r="BRJ165" s="83"/>
      <c r="BRT165" s="83"/>
      <c r="BSD165" s="83"/>
      <c r="BSN165" s="83"/>
      <c r="BSX165" s="83"/>
      <c r="BTH165" s="83"/>
      <c r="BTR165" s="83"/>
      <c r="BUB165" s="83"/>
      <c r="BUL165" s="83"/>
      <c r="BUV165" s="83"/>
      <c r="BVF165" s="83"/>
      <c r="BVP165" s="83"/>
      <c r="BVZ165" s="83"/>
      <c r="BWJ165" s="83"/>
      <c r="BWT165" s="83"/>
      <c r="BXD165" s="83"/>
      <c r="BXN165" s="83"/>
      <c r="BXX165" s="83"/>
      <c r="BYH165" s="83"/>
      <c r="BYR165" s="83"/>
      <c r="BZB165" s="83"/>
      <c r="BZL165" s="83"/>
      <c r="BZV165" s="83"/>
      <c r="CAF165" s="83"/>
      <c r="CAP165" s="83"/>
      <c r="CAZ165" s="83"/>
      <c r="CBJ165" s="83"/>
      <c r="CBT165" s="83"/>
      <c r="CCD165" s="83"/>
      <c r="CCN165" s="83"/>
      <c r="CCX165" s="83"/>
      <c r="CDH165" s="83"/>
      <c r="CDR165" s="83"/>
      <c r="CEB165" s="83"/>
      <c r="CEL165" s="83"/>
      <c r="CEV165" s="83"/>
      <c r="CFF165" s="83"/>
      <c r="CFP165" s="83"/>
      <c r="CFZ165" s="83"/>
      <c r="CGJ165" s="83"/>
      <c r="CGT165" s="83"/>
      <c r="CHD165" s="83"/>
      <c r="CHN165" s="83"/>
      <c r="CHX165" s="83"/>
      <c r="CIH165" s="83"/>
      <c r="CIR165" s="83"/>
      <c r="CJB165" s="83"/>
      <c r="CJL165" s="83"/>
      <c r="CJV165" s="83"/>
      <c r="CKF165" s="83"/>
      <c r="CKP165" s="83"/>
      <c r="CKZ165" s="83"/>
      <c r="CLJ165" s="83"/>
      <c r="CLT165" s="83"/>
      <c r="CMD165" s="83"/>
      <c r="CMN165" s="83"/>
      <c r="CMX165" s="83"/>
      <c r="CNH165" s="83"/>
      <c r="CNR165" s="83"/>
      <c r="COB165" s="83"/>
      <c r="COL165" s="83"/>
      <c r="COV165" s="83"/>
      <c r="CPF165" s="83"/>
      <c r="CPP165" s="83"/>
      <c r="CPZ165" s="83"/>
      <c r="CQJ165" s="83"/>
      <c r="CQT165" s="83"/>
      <c r="CRD165" s="83"/>
      <c r="CRN165" s="83"/>
      <c r="CRX165" s="83"/>
      <c r="CSH165" s="83"/>
      <c r="CSR165" s="83"/>
      <c r="CTB165" s="83"/>
      <c r="CTL165" s="83"/>
      <c r="CTV165" s="83"/>
    </row>
    <row r="166" customHeight="1" spans="1:1020 1030:2040 2050:2570">
      <c r="A166" s="72">
        <v>46144</v>
      </c>
      <c r="B166" s="73" t="s">
        <v>228</v>
      </c>
      <c r="C166" s="74" t="s">
        <v>229</v>
      </c>
      <c r="D166" s="74" t="s">
        <v>580</v>
      </c>
      <c r="E166" s="75" t="s">
        <v>235</v>
      </c>
      <c r="F166" s="76" t="s">
        <v>231</v>
      </c>
      <c r="G166" s="74">
        <v>624</v>
      </c>
      <c r="H166" s="77" t="s">
        <v>218</v>
      </c>
      <c r="I166" s="77">
        <v>24</v>
      </c>
      <c r="J166" s="74"/>
      <c r="K166" s="78">
        <v>26</v>
      </c>
    </row>
    <row r="167" s="58" customFormat="1" customHeight="1" spans="1:1020 1030:2040 2050:2570">
      <c r="A167" s="87">
        <v>46147</v>
      </c>
      <c r="B167" s="97" t="s">
        <v>228</v>
      </c>
      <c r="C167" s="85" t="s">
        <v>229</v>
      </c>
      <c r="D167" s="85">
        <v>652335595</v>
      </c>
      <c r="E167" s="98" t="s">
        <v>236</v>
      </c>
      <c r="F167" s="91" t="str">
        <f>IFERROR(VLOOKUP(E167,[21]基础数据!$E$3:$F$8,2,0),"")</f>
        <v>定子成品组件</v>
      </c>
      <c r="G167" s="85">
        <v>912</v>
      </c>
      <c r="H167" s="77" t="str">
        <f>IFERROR(VLOOKUP(E167,[21]基础数据!$E$3:$H$8,4,0),"")</f>
        <v>围板箱</v>
      </c>
      <c r="I167" s="77">
        <f>IFERROR(VLOOKUP(E167,[21]基础数据!$E$3:$H$8,3,0),"")</f>
        <v>24</v>
      </c>
      <c r="J167" s="75" t="s">
        <v>306</v>
      </c>
      <c r="K167" s="78">
        <f>IFERROR(G167/I167,"")</f>
        <v>38</v>
      </c>
      <c r="T167" s="83"/>
      <c r="AD167" s="83"/>
      <c r="AN167" s="83"/>
      <c r="AX167" s="83"/>
      <c r="BH167" s="83"/>
      <c r="BR167" s="83"/>
      <c r="CB167" s="83"/>
      <c r="CL167" s="83"/>
      <c r="CV167" s="83"/>
      <c r="DF167" s="83"/>
      <c r="DP167" s="83"/>
      <c r="DZ167" s="83"/>
      <c r="EJ167" s="83"/>
      <c r="ET167" s="83"/>
      <c r="FD167" s="83"/>
      <c r="FN167" s="83"/>
      <c r="FX167" s="83"/>
      <c r="GH167" s="83"/>
      <c r="GR167" s="83"/>
      <c r="HB167" s="83"/>
      <c r="HL167" s="83"/>
      <c r="HV167" s="83"/>
      <c r="IF167" s="83"/>
      <c r="IP167" s="83"/>
      <c r="IZ167" s="83"/>
      <c r="JJ167" s="83"/>
      <c r="JT167" s="83"/>
      <c r="KD167" s="83"/>
      <c r="KN167" s="83"/>
      <c r="KX167" s="83"/>
      <c r="LH167" s="83"/>
      <c r="LR167" s="83"/>
      <c r="MB167" s="83"/>
      <c r="ML167" s="83"/>
      <c r="MV167" s="83"/>
      <c r="NF167" s="83"/>
      <c r="NP167" s="83"/>
      <c r="NZ167" s="83"/>
      <c r="OJ167" s="83"/>
      <c r="OT167" s="83"/>
      <c r="PD167" s="83"/>
      <c r="PN167" s="83"/>
      <c r="PX167" s="83"/>
      <c r="QH167" s="83"/>
      <c r="QR167" s="83"/>
      <c r="RB167" s="83"/>
      <c r="RL167" s="83"/>
      <c r="RV167" s="83"/>
      <c r="SF167" s="83"/>
      <c r="SP167" s="83"/>
      <c r="SZ167" s="83"/>
      <c r="TJ167" s="83"/>
      <c r="TT167" s="83"/>
      <c r="UD167" s="83"/>
      <c r="UN167" s="83"/>
      <c r="UX167" s="83"/>
      <c r="VH167" s="83"/>
      <c r="VR167" s="83"/>
      <c r="WB167" s="83"/>
      <c r="WL167" s="83"/>
      <c r="WV167" s="83"/>
      <c r="XF167" s="83"/>
      <c r="XP167" s="83"/>
      <c r="XZ167" s="83"/>
      <c r="YJ167" s="83"/>
      <c r="YT167" s="83"/>
      <c r="ZD167" s="83"/>
      <c r="ZN167" s="83"/>
      <c r="ZX167" s="83"/>
      <c r="AAH167" s="83"/>
      <c r="AAR167" s="83"/>
      <c r="ABB167" s="83"/>
      <c r="ABL167" s="83"/>
      <c r="ABV167" s="83"/>
      <c r="ACF167" s="83"/>
      <c r="ACP167" s="83"/>
      <c r="ACZ167" s="83"/>
      <c r="ADJ167" s="83"/>
      <c r="ADT167" s="83"/>
      <c r="AED167" s="83"/>
      <c r="AEN167" s="83"/>
      <c r="AEX167" s="83"/>
      <c r="AFH167" s="83"/>
      <c r="AFR167" s="83"/>
      <c r="AGB167" s="83"/>
      <c r="AGL167" s="83"/>
      <c r="AGV167" s="83"/>
      <c r="AHF167" s="83"/>
      <c r="AHP167" s="83"/>
      <c r="AHZ167" s="83"/>
      <c r="AIJ167" s="83"/>
      <c r="AIT167" s="83"/>
      <c r="AJD167" s="83"/>
      <c r="AJN167" s="83"/>
      <c r="AJX167" s="83"/>
      <c r="AKH167" s="83"/>
      <c r="AKR167" s="83"/>
      <c r="ALB167" s="83"/>
      <c r="ALL167" s="83"/>
      <c r="ALV167" s="83"/>
      <c r="AMF167" s="83"/>
      <c r="AMP167" s="83"/>
      <c r="AMZ167" s="83"/>
      <c r="ANJ167" s="83"/>
      <c r="ANT167" s="83"/>
      <c r="AOD167" s="83"/>
      <c r="AON167" s="83"/>
      <c r="AOX167" s="83"/>
      <c r="APH167" s="83"/>
      <c r="APR167" s="83"/>
      <c r="AQB167" s="83"/>
      <c r="AQL167" s="83"/>
      <c r="AQV167" s="83"/>
      <c r="ARF167" s="83"/>
      <c r="ARP167" s="83"/>
      <c r="ARZ167" s="83"/>
      <c r="ASJ167" s="83"/>
      <c r="AST167" s="83"/>
      <c r="ATD167" s="83"/>
      <c r="ATN167" s="83"/>
      <c r="ATX167" s="83"/>
      <c r="AUH167" s="83"/>
      <c r="AUR167" s="83"/>
      <c r="AVB167" s="83"/>
      <c r="AVL167" s="83"/>
      <c r="AVV167" s="83"/>
      <c r="AWF167" s="83"/>
      <c r="AWP167" s="83"/>
      <c r="AWZ167" s="83"/>
      <c r="AXJ167" s="83"/>
      <c r="AXT167" s="83"/>
      <c r="AYD167" s="83"/>
      <c r="AYN167" s="83"/>
      <c r="AYX167" s="83"/>
      <c r="AZH167" s="83"/>
      <c r="AZR167" s="83"/>
      <c r="BAB167" s="83"/>
      <c r="BAL167" s="83"/>
      <c r="BAV167" s="83"/>
      <c r="BBF167" s="83"/>
      <c r="BBP167" s="83"/>
      <c r="BBZ167" s="83"/>
      <c r="BCJ167" s="83"/>
      <c r="BCT167" s="83"/>
      <c r="BDD167" s="83"/>
      <c r="BDN167" s="83"/>
      <c r="BDX167" s="83"/>
      <c r="BEH167" s="83"/>
      <c r="BER167" s="83"/>
      <c r="BFB167" s="83"/>
      <c r="BFL167" s="83"/>
      <c r="BFV167" s="83"/>
      <c r="BGF167" s="83"/>
      <c r="BGP167" s="83"/>
      <c r="BGZ167" s="83"/>
      <c r="BHJ167" s="83"/>
      <c r="BHT167" s="83"/>
      <c r="BID167" s="83"/>
      <c r="BIN167" s="83"/>
      <c r="BIX167" s="83"/>
      <c r="BJH167" s="83"/>
      <c r="BJR167" s="83"/>
      <c r="BKB167" s="83"/>
      <c r="BKL167" s="83"/>
      <c r="BKV167" s="83"/>
      <c r="BLF167" s="83"/>
      <c r="BLP167" s="83"/>
      <c r="BLZ167" s="83"/>
      <c r="BMJ167" s="83"/>
      <c r="BMT167" s="83"/>
      <c r="BND167" s="83"/>
      <c r="BNN167" s="83"/>
      <c r="BNX167" s="83"/>
      <c r="BOH167" s="83"/>
      <c r="BOR167" s="83"/>
      <c r="BPB167" s="83"/>
      <c r="BPL167" s="83"/>
      <c r="BPV167" s="83"/>
      <c r="BQF167" s="83"/>
      <c r="BQP167" s="83"/>
      <c r="BQZ167" s="83"/>
      <c r="BRJ167" s="83"/>
      <c r="BRT167" s="83"/>
      <c r="BSD167" s="83"/>
      <c r="BSN167" s="83"/>
      <c r="BSX167" s="83"/>
      <c r="BTH167" s="83"/>
      <c r="BTR167" s="83"/>
      <c r="BUB167" s="83"/>
      <c r="BUL167" s="83"/>
      <c r="BUV167" s="83"/>
      <c r="BVF167" s="83"/>
      <c r="BVP167" s="83"/>
      <c r="BVZ167" s="83"/>
      <c r="BWJ167" s="83"/>
      <c r="BWT167" s="83"/>
      <c r="BXD167" s="83"/>
      <c r="BXN167" s="83"/>
      <c r="BXX167" s="83"/>
      <c r="BYH167" s="83"/>
      <c r="BYR167" s="83"/>
      <c r="BZB167" s="83"/>
      <c r="BZL167" s="83"/>
      <c r="BZV167" s="83"/>
      <c r="CAF167" s="83"/>
      <c r="CAP167" s="83"/>
      <c r="CAZ167" s="83"/>
      <c r="CBJ167" s="83"/>
      <c r="CBT167" s="83"/>
      <c r="CCD167" s="83"/>
      <c r="CCN167" s="83"/>
      <c r="CCX167" s="83"/>
      <c r="CDH167" s="83"/>
      <c r="CDR167" s="83"/>
      <c r="CEB167" s="83"/>
      <c r="CEL167" s="83"/>
      <c r="CEV167" s="83"/>
      <c r="CFF167" s="83"/>
      <c r="CFP167" s="83"/>
      <c r="CFZ167" s="83"/>
      <c r="CGJ167" s="83"/>
      <c r="CGT167" s="83"/>
      <c r="CHD167" s="83"/>
      <c r="CHN167" s="83"/>
      <c r="CHX167" s="83"/>
      <c r="CIH167" s="83"/>
      <c r="CIR167" s="83"/>
      <c r="CJB167" s="83"/>
      <c r="CJL167" s="83"/>
      <c r="CJV167" s="83"/>
      <c r="CKF167" s="83"/>
      <c r="CKP167" s="83"/>
      <c r="CKZ167" s="83"/>
      <c r="CLJ167" s="83"/>
      <c r="CLT167" s="83"/>
      <c r="CMD167" s="83"/>
      <c r="CMN167" s="83"/>
      <c r="CMX167" s="83"/>
      <c r="CNH167" s="83"/>
      <c r="CNR167" s="83"/>
      <c r="COB167" s="83"/>
      <c r="COL167" s="83"/>
      <c r="COV167" s="83"/>
      <c r="CPF167" s="83"/>
      <c r="CPP167" s="83"/>
      <c r="CPZ167" s="83"/>
      <c r="CQJ167" s="83"/>
      <c r="CQT167" s="83"/>
      <c r="CRD167" s="83"/>
      <c r="CRN167" s="83"/>
      <c r="CRX167" s="83"/>
      <c r="CSH167" s="83"/>
      <c r="CSR167" s="83"/>
      <c r="CTB167" s="83"/>
      <c r="CTL167" s="83"/>
      <c r="CTV167" s="83"/>
    </row>
    <row r="168" s="58" customFormat="1" customHeight="1" spans="1:1020 1030:2040 2050:2570">
      <c r="A168" s="87">
        <v>46147</v>
      </c>
      <c r="B168" s="97" t="s">
        <v>228</v>
      </c>
      <c r="C168" s="85" t="s">
        <v>229</v>
      </c>
      <c r="D168" s="75">
        <v>652335612</v>
      </c>
      <c r="E168" s="98" t="s">
        <v>237</v>
      </c>
      <c r="F168" s="91" t="str">
        <f>IFERROR(VLOOKUP(E168,[21]基础数据!$E$3:$F$8,2,0),"")</f>
        <v>电机转子部件</v>
      </c>
      <c r="G168" s="85">
        <v>912</v>
      </c>
      <c r="H168" s="77" t="str">
        <f>IFERROR(VLOOKUP(E168,[21]基础数据!$E$3:$H$8,4,0),"")</f>
        <v>围板箱</v>
      </c>
      <c r="I168" s="77">
        <f>IFERROR(VLOOKUP(E168,[21]基础数据!$E$3:$H$8,3,0),"")</f>
        <v>48</v>
      </c>
      <c r="J168" s="75" t="s">
        <v>306</v>
      </c>
      <c r="K168" s="78">
        <f>IFERROR(G168/I168,"")</f>
        <v>19</v>
      </c>
      <c r="T168" s="83"/>
      <c r="AD168" s="83"/>
      <c r="AN168" s="83"/>
      <c r="AX168" s="83"/>
      <c r="BH168" s="83"/>
      <c r="BR168" s="83"/>
      <c r="CB168" s="83"/>
      <c r="CL168" s="83"/>
      <c r="CV168" s="83"/>
      <c r="DF168" s="83"/>
      <c r="DP168" s="83"/>
      <c r="DZ168" s="83"/>
      <c r="EJ168" s="83"/>
      <c r="ET168" s="83"/>
      <c r="FD168" s="83"/>
      <c r="FN168" s="83"/>
      <c r="FX168" s="83"/>
      <c r="GH168" s="83"/>
      <c r="GR168" s="83"/>
      <c r="HB168" s="83"/>
      <c r="HL168" s="83"/>
      <c r="HV168" s="83"/>
      <c r="IF168" s="83"/>
      <c r="IP168" s="83"/>
      <c r="IZ168" s="83"/>
      <c r="JJ168" s="83"/>
      <c r="JT168" s="83"/>
      <c r="KD168" s="83"/>
      <c r="KN168" s="83"/>
      <c r="KX168" s="83"/>
      <c r="LH168" s="83"/>
      <c r="LR168" s="83"/>
      <c r="MB168" s="83"/>
      <c r="ML168" s="83"/>
      <c r="MV168" s="83"/>
      <c r="NF168" s="83"/>
      <c r="NP168" s="83"/>
      <c r="NZ168" s="83"/>
      <c r="OJ168" s="83"/>
      <c r="OT168" s="83"/>
      <c r="PD168" s="83"/>
      <c r="PN168" s="83"/>
      <c r="PX168" s="83"/>
      <c r="QH168" s="83"/>
      <c r="QR168" s="83"/>
      <c r="RB168" s="83"/>
      <c r="RL168" s="83"/>
      <c r="RV168" s="83"/>
      <c r="SF168" s="83"/>
      <c r="SP168" s="83"/>
      <c r="SZ168" s="83"/>
      <c r="TJ168" s="83"/>
      <c r="TT168" s="83"/>
      <c r="UD168" s="83"/>
      <c r="UN168" s="83"/>
      <c r="UX168" s="83"/>
      <c r="VH168" s="83"/>
      <c r="VR168" s="83"/>
      <c r="WB168" s="83"/>
      <c r="WL168" s="83"/>
      <c r="WV168" s="83"/>
      <c r="XF168" s="83"/>
      <c r="XP168" s="83"/>
      <c r="XZ168" s="83"/>
      <c r="YJ168" s="83"/>
      <c r="YT168" s="83"/>
      <c r="ZD168" s="83"/>
      <c r="ZN168" s="83"/>
      <c r="ZX168" s="83"/>
      <c r="AAH168" s="83"/>
      <c r="AAR168" s="83"/>
      <c r="ABB168" s="83"/>
      <c r="ABL168" s="83"/>
      <c r="ABV168" s="83"/>
      <c r="ACF168" s="83"/>
      <c r="ACP168" s="83"/>
      <c r="ACZ168" s="83"/>
      <c r="ADJ168" s="83"/>
      <c r="ADT168" s="83"/>
      <c r="AED168" s="83"/>
      <c r="AEN168" s="83"/>
      <c r="AEX168" s="83"/>
      <c r="AFH168" s="83"/>
      <c r="AFR168" s="83"/>
      <c r="AGB168" s="83"/>
      <c r="AGL168" s="83"/>
      <c r="AGV168" s="83"/>
      <c r="AHF168" s="83"/>
      <c r="AHP168" s="83"/>
      <c r="AHZ168" s="83"/>
      <c r="AIJ168" s="83"/>
      <c r="AIT168" s="83"/>
      <c r="AJD168" s="83"/>
      <c r="AJN168" s="83"/>
      <c r="AJX168" s="83"/>
      <c r="AKH168" s="83"/>
      <c r="AKR168" s="83"/>
      <c r="ALB168" s="83"/>
      <c r="ALL168" s="83"/>
      <c r="ALV168" s="83"/>
      <c r="AMF168" s="83"/>
      <c r="AMP168" s="83"/>
      <c r="AMZ168" s="83"/>
      <c r="ANJ168" s="83"/>
      <c r="ANT168" s="83"/>
      <c r="AOD168" s="83"/>
      <c r="AON168" s="83"/>
      <c r="AOX168" s="83"/>
      <c r="APH168" s="83"/>
      <c r="APR168" s="83"/>
      <c r="AQB168" s="83"/>
      <c r="AQL168" s="83"/>
      <c r="AQV168" s="83"/>
      <c r="ARF168" s="83"/>
      <c r="ARP168" s="83"/>
      <c r="ARZ168" s="83"/>
      <c r="ASJ168" s="83"/>
      <c r="AST168" s="83"/>
      <c r="ATD168" s="83"/>
      <c r="ATN168" s="83"/>
      <c r="ATX168" s="83"/>
      <c r="AUH168" s="83"/>
      <c r="AUR168" s="83"/>
      <c r="AVB168" s="83"/>
      <c r="AVL168" s="83"/>
      <c r="AVV168" s="83"/>
      <c r="AWF168" s="83"/>
      <c r="AWP168" s="83"/>
      <c r="AWZ168" s="83"/>
      <c r="AXJ168" s="83"/>
      <c r="AXT168" s="83"/>
      <c r="AYD168" s="83"/>
      <c r="AYN168" s="83"/>
      <c r="AYX168" s="83"/>
      <c r="AZH168" s="83"/>
      <c r="AZR168" s="83"/>
      <c r="BAB168" s="83"/>
      <c r="BAL168" s="83"/>
      <c r="BAV168" s="83"/>
      <c r="BBF168" s="83"/>
      <c r="BBP168" s="83"/>
      <c r="BBZ168" s="83"/>
      <c r="BCJ168" s="83"/>
      <c r="BCT168" s="83"/>
      <c r="BDD168" s="83"/>
      <c r="BDN168" s="83"/>
      <c r="BDX168" s="83"/>
      <c r="BEH168" s="83"/>
      <c r="BER168" s="83"/>
      <c r="BFB168" s="83"/>
      <c r="BFL168" s="83"/>
      <c r="BFV168" s="83"/>
      <c r="BGF168" s="83"/>
      <c r="BGP168" s="83"/>
      <c r="BGZ168" s="83"/>
      <c r="BHJ168" s="83"/>
      <c r="BHT168" s="83"/>
      <c r="BID168" s="83"/>
      <c r="BIN168" s="83"/>
      <c r="BIX168" s="83"/>
      <c r="BJH168" s="83"/>
      <c r="BJR168" s="83"/>
      <c r="BKB168" s="83"/>
      <c r="BKL168" s="83"/>
      <c r="BKV168" s="83"/>
      <c r="BLF168" s="83"/>
      <c r="BLP168" s="83"/>
      <c r="BLZ168" s="83"/>
      <c r="BMJ168" s="83"/>
      <c r="BMT168" s="83"/>
      <c r="BND168" s="83"/>
      <c r="BNN168" s="83"/>
      <c r="BNX168" s="83"/>
      <c r="BOH168" s="83"/>
      <c r="BOR168" s="83"/>
      <c r="BPB168" s="83"/>
      <c r="BPL168" s="83"/>
      <c r="BPV168" s="83"/>
      <c r="BQF168" s="83"/>
      <c r="BQP168" s="83"/>
      <c r="BQZ168" s="83"/>
      <c r="BRJ168" s="83"/>
      <c r="BRT168" s="83"/>
      <c r="BSD168" s="83"/>
      <c r="BSN168" s="83"/>
      <c r="BSX168" s="83"/>
      <c r="BTH168" s="83"/>
      <c r="BTR168" s="83"/>
      <c r="BUB168" s="83"/>
      <c r="BUL168" s="83"/>
      <c r="BUV168" s="83"/>
      <c r="BVF168" s="83"/>
      <c r="BVP168" s="83"/>
      <c r="BVZ168" s="83"/>
      <c r="BWJ168" s="83"/>
      <c r="BWT168" s="83"/>
      <c r="BXD168" s="83"/>
      <c r="BXN168" s="83"/>
      <c r="BXX168" s="83"/>
      <c r="BYH168" s="83"/>
      <c r="BYR168" s="83"/>
      <c r="BZB168" s="83"/>
      <c r="BZL168" s="83"/>
      <c r="BZV168" s="83"/>
      <c r="CAF168" s="83"/>
      <c r="CAP168" s="83"/>
      <c r="CAZ168" s="83"/>
      <c r="CBJ168" s="83"/>
      <c r="CBT168" s="83"/>
      <c r="CCD168" s="83"/>
      <c r="CCN168" s="83"/>
      <c r="CCX168" s="83"/>
      <c r="CDH168" s="83"/>
      <c r="CDR168" s="83"/>
      <c r="CEB168" s="83"/>
      <c r="CEL168" s="83"/>
      <c r="CEV168" s="83"/>
      <c r="CFF168" s="83"/>
      <c r="CFP168" s="83"/>
      <c r="CFZ168" s="83"/>
      <c r="CGJ168" s="83"/>
      <c r="CGT168" s="83"/>
      <c r="CHD168" s="83"/>
      <c r="CHN168" s="83"/>
      <c r="CHX168" s="83"/>
      <c r="CIH168" s="83"/>
      <c r="CIR168" s="83"/>
      <c r="CJB168" s="83"/>
      <c r="CJL168" s="83"/>
      <c r="CJV168" s="83"/>
      <c r="CKF168" s="83"/>
      <c r="CKP168" s="83"/>
      <c r="CKZ168" s="83"/>
      <c r="CLJ168" s="83"/>
      <c r="CLT168" s="83"/>
      <c r="CMD168" s="83"/>
      <c r="CMN168" s="83"/>
      <c r="CMX168" s="83"/>
      <c r="CNH168" s="83"/>
      <c r="CNR168" s="83"/>
      <c r="COB168" s="83"/>
      <c r="COL168" s="83"/>
      <c r="COV168" s="83"/>
      <c r="CPF168" s="83"/>
      <c r="CPP168" s="83"/>
      <c r="CPZ168" s="83"/>
      <c r="CQJ168" s="83"/>
      <c r="CQT168" s="83"/>
      <c r="CRD168" s="83"/>
      <c r="CRN168" s="83"/>
      <c r="CRX168" s="83"/>
      <c r="CSH168" s="83"/>
      <c r="CSR168" s="83"/>
      <c r="CTB168" s="83"/>
      <c r="CTL168" s="83"/>
      <c r="CTV168" s="83"/>
    </row>
    <row r="169" customHeight="1" spans="1:1020 1030:2040 2050:2570">
      <c r="A169" s="72">
        <v>46145</v>
      </c>
      <c r="B169" s="73" t="s">
        <v>213</v>
      </c>
      <c r="C169" s="74" t="s">
        <v>214</v>
      </c>
      <c r="D169" s="74">
        <v>652329647</v>
      </c>
      <c r="E169" s="75" t="s">
        <v>220</v>
      </c>
      <c r="F169" s="76" t="s">
        <v>221</v>
      </c>
      <c r="G169" s="74">
        <v>864</v>
      </c>
      <c r="H169" s="77" t="s">
        <v>218</v>
      </c>
      <c r="I169" s="77">
        <v>54</v>
      </c>
      <c r="J169" s="74" t="s">
        <v>306</v>
      </c>
      <c r="K169" s="78">
        <v>16</v>
      </c>
    </row>
    <row r="170" customHeight="1" spans="1:1020 1030:2040 2050:2570">
      <c r="A170" s="72">
        <v>46145</v>
      </c>
      <c r="B170" s="73" t="s">
        <v>213</v>
      </c>
      <c r="C170" s="74" t="s">
        <v>214</v>
      </c>
      <c r="D170" s="74">
        <v>652329647</v>
      </c>
      <c r="E170" s="75" t="s">
        <v>222</v>
      </c>
      <c r="F170" s="76" t="s">
        <v>223</v>
      </c>
      <c r="G170" s="74">
        <v>924</v>
      </c>
      <c r="H170" s="77" t="s">
        <v>218</v>
      </c>
      <c r="I170" s="77">
        <v>66</v>
      </c>
      <c r="J170" s="74" t="s">
        <v>306</v>
      </c>
      <c r="K170" s="78">
        <v>14</v>
      </c>
    </row>
    <row r="171" s="58" customFormat="1" customHeight="1" spans="1:1020 1030:2040 2050:2570">
      <c r="A171" s="79">
        <v>46146</v>
      </c>
      <c r="B171" s="94" t="s">
        <v>213</v>
      </c>
      <c r="C171" s="95" t="s">
        <v>214</v>
      </c>
      <c r="D171" s="95">
        <v>652335169</v>
      </c>
      <c r="E171" s="96" t="s">
        <v>220</v>
      </c>
      <c r="F171" s="77" t="str">
        <f>IFERROR(VLOOKUP(E171,[22]基础数据!$E$3:$H$7,2,0),"")</f>
        <v>DM2上箱体</v>
      </c>
      <c r="G171" s="75">
        <v>1134</v>
      </c>
      <c r="H171" s="77" t="str">
        <f>IFERROR(VLOOKUP(E171,[22]基础数据!$E$3:$H$7,4,0),"")</f>
        <v>围板箱</v>
      </c>
      <c r="I171" s="77">
        <f>IFERROR(VLOOKUP(E171,[22]基础数据!$E$3:$H$7,3,0),"")</f>
        <v>54</v>
      </c>
      <c r="J171" s="75" t="s">
        <v>306</v>
      </c>
      <c r="K171" s="78">
        <f>G171/I171</f>
        <v>21</v>
      </c>
      <c r="T171" s="83"/>
      <c r="AD171" s="83"/>
      <c r="AN171" s="83"/>
      <c r="AX171" s="83"/>
      <c r="BH171" s="83"/>
      <c r="BR171" s="83"/>
      <c r="CB171" s="83"/>
      <c r="CL171" s="83"/>
      <c r="CV171" s="83"/>
      <c r="DF171" s="83"/>
      <c r="DP171" s="83"/>
      <c r="DZ171" s="83"/>
      <c r="EJ171" s="83"/>
      <c r="ET171" s="83"/>
      <c r="FD171" s="83"/>
      <c r="FN171" s="83"/>
      <c r="FX171" s="83"/>
      <c r="GH171" s="83"/>
      <c r="GR171" s="83"/>
      <c r="HB171" s="83"/>
      <c r="HL171" s="83"/>
      <c r="HV171" s="83"/>
      <c r="IF171" s="83"/>
      <c r="IP171" s="83"/>
      <c r="IZ171" s="83"/>
      <c r="JJ171" s="83"/>
      <c r="JT171" s="83"/>
      <c r="KD171" s="83"/>
      <c r="KN171" s="83"/>
      <c r="KX171" s="83"/>
      <c r="LH171" s="83"/>
      <c r="LR171" s="83"/>
      <c r="MB171" s="83"/>
      <c r="ML171" s="83"/>
      <c r="MV171" s="83"/>
      <c r="NF171" s="83"/>
      <c r="NP171" s="83"/>
      <c r="NZ171" s="83"/>
      <c r="OJ171" s="83"/>
      <c r="OT171" s="83"/>
      <c r="PD171" s="83"/>
      <c r="PN171" s="83"/>
      <c r="PX171" s="83"/>
      <c r="QH171" s="83"/>
      <c r="QR171" s="83"/>
      <c r="RB171" s="83"/>
      <c r="RL171" s="83"/>
      <c r="RV171" s="83"/>
      <c r="SF171" s="83"/>
      <c r="SP171" s="83"/>
      <c r="SZ171" s="83"/>
      <c r="TJ171" s="83"/>
      <c r="TT171" s="83"/>
      <c r="UD171" s="83"/>
      <c r="UN171" s="83"/>
      <c r="UX171" s="83"/>
      <c r="VH171" s="83"/>
      <c r="VR171" s="83"/>
      <c r="WB171" s="83"/>
      <c r="WL171" s="83"/>
      <c r="WV171" s="83"/>
      <c r="XF171" s="83"/>
      <c r="XP171" s="83"/>
      <c r="XZ171" s="83"/>
      <c r="YJ171" s="83"/>
      <c r="YT171" s="83"/>
      <c r="ZD171" s="83"/>
      <c r="ZN171" s="83"/>
      <c r="ZX171" s="83"/>
      <c r="AAH171" s="83"/>
      <c r="AAR171" s="83"/>
      <c r="ABB171" s="83"/>
      <c r="ABL171" s="83"/>
      <c r="ABV171" s="83"/>
      <c r="ACF171" s="83"/>
      <c r="ACP171" s="83"/>
      <c r="ACZ171" s="83"/>
      <c r="ADJ171" s="83"/>
      <c r="ADT171" s="83"/>
      <c r="AED171" s="83"/>
      <c r="AEN171" s="83"/>
      <c r="AEX171" s="83"/>
      <c r="AFH171" s="83"/>
      <c r="AFR171" s="83"/>
      <c r="AGB171" s="83"/>
      <c r="AGL171" s="83"/>
      <c r="AGV171" s="83"/>
      <c r="AHF171" s="83"/>
      <c r="AHP171" s="83"/>
      <c r="AHZ171" s="83"/>
      <c r="AIJ171" s="83"/>
      <c r="AIT171" s="83"/>
      <c r="AJD171" s="83"/>
      <c r="AJN171" s="83"/>
      <c r="AJX171" s="83"/>
      <c r="AKH171" s="83"/>
      <c r="AKR171" s="83"/>
      <c r="ALB171" s="83"/>
      <c r="ALL171" s="83"/>
      <c r="ALV171" s="83"/>
      <c r="AMF171" s="83"/>
      <c r="AMP171" s="83"/>
      <c r="AMZ171" s="83"/>
      <c r="ANJ171" s="83"/>
      <c r="ANT171" s="83"/>
      <c r="AOD171" s="83"/>
      <c r="AON171" s="83"/>
      <c r="AOX171" s="83"/>
      <c r="APH171" s="83"/>
      <c r="APR171" s="83"/>
      <c r="AQB171" s="83"/>
      <c r="AQL171" s="83"/>
      <c r="AQV171" s="83"/>
      <c r="ARF171" s="83"/>
      <c r="ARP171" s="83"/>
      <c r="ARZ171" s="83"/>
      <c r="ASJ171" s="83"/>
      <c r="AST171" s="83"/>
      <c r="ATD171" s="83"/>
      <c r="ATN171" s="83"/>
      <c r="ATX171" s="83"/>
      <c r="AUH171" s="83"/>
      <c r="AUR171" s="83"/>
      <c r="AVB171" s="83"/>
      <c r="AVL171" s="83"/>
      <c r="AVV171" s="83"/>
      <c r="AWF171" s="83"/>
      <c r="AWP171" s="83"/>
      <c r="AWZ171" s="83"/>
      <c r="AXJ171" s="83"/>
      <c r="AXT171" s="83"/>
      <c r="AYD171" s="83"/>
      <c r="AYN171" s="83"/>
      <c r="AYX171" s="83"/>
      <c r="AZH171" s="83"/>
      <c r="AZR171" s="83"/>
      <c r="BAB171" s="83"/>
      <c r="BAL171" s="83"/>
      <c r="BAV171" s="83"/>
      <c r="BBF171" s="83"/>
      <c r="BBP171" s="83"/>
      <c r="BBZ171" s="83"/>
      <c r="BCJ171" s="83"/>
      <c r="BCT171" s="83"/>
      <c r="BDD171" s="83"/>
      <c r="BDN171" s="83"/>
      <c r="BDX171" s="83"/>
      <c r="BEH171" s="83"/>
      <c r="BER171" s="83"/>
      <c r="BFB171" s="83"/>
      <c r="BFL171" s="83"/>
      <c r="BFV171" s="83"/>
      <c r="BGF171" s="83"/>
      <c r="BGP171" s="83"/>
      <c r="BGZ171" s="83"/>
      <c r="BHJ171" s="83"/>
      <c r="BHT171" s="83"/>
      <c r="BID171" s="83"/>
      <c r="BIN171" s="83"/>
      <c r="BIX171" s="83"/>
      <c r="BJH171" s="83"/>
      <c r="BJR171" s="83"/>
      <c r="BKB171" s="83"/>
      <c r="BKL171" s="83"/>
      <c r="BKV171" s="83"/>
      <c r="BLF171" s="83"/>
      <c r="BLP171" s="83"/>
      <c r="BLZ171" s="83"/>
      <c r="BMJ171" s="83"/>
      <c r="BMT171" s="83"/>
      <c r="BND171" s="83"/>
      <c r="BNN171" s="83"/>
      <c r="BNX171" s="83"/>
      <c r="BOH171" s="83"/>
      <c r="BOR171" s="83"/>
      <c r="BPB171" s="83"/>
      <c r="BPL171" s="83"/>
      <c r="BPV171" s="83"/>
      <c r="BQF171" s="83"/>
      <c r="BQP171" s="83"/>
      <c r="BQZ171" s="83"/>
      <c r="BRJ171" s="83"/>
      <c r="BRT171" s="83"/>
      <c r="BSD171" s="83"/>
      <c r="BSN171" s="83"/>
      <c r="BSX171" s="83"/>
      <c r="BTH171" s="83"/>
      <c r="BTR171" s="83"/>
      <c r="BUB171" s="83"/>
      <c r="BUL171" s="83"/>
      <c r="BUV171" s="83"/>
      <c r="BVF171" s="83"/>
      <c r="BVP171" s="83"/>
      <c r="BVZ171" s="83"/>
      <c r="BWJ171" s="83"/>
      <c r="BWT171" s="83"/>
      <c r="BXD171" s="83"/>
      <c r="BXN171" s="83"/>
      <c r="BXX171" s="83"/>
      <c r="BYH171" s="83"/>
      <c r="BYR171" s="83"/>
      <c r="BZB171" s="83"/>
      <c r="BZL171" s="83"/>
      <c r="BZV171" s="83"/>
      <c r="CAF171" s="83"/>
      <c r="CAP171" s="83"/>
      <c r="CAZ171" s="83"/>
      <c r="CBJ171" s="83"/>
      <c r="CBT171" s="83"/>
      <c r="CCD171" s="83"/>
      <c r="CCN171" s="83"/>
      <c r="CCX171" s="83"/>
      <c r="CDH171" s="83"/>
      <c r="CDR171" s="83"/>
      <c r="CEB171" s="83"/>
      <c r="CEL171" s="83"/>
      <c r="CEV171" s="83"/>
      <c r="CFF171" s="83"/>
      <c r="CFP171" s="83"/>
      <c r="CFZ171" s="83"/>
      <c r="CGJ171" s="83"/>
      <c r="CGT171" s="83"/>
      <c r="CHD171" s="83"/>
      <c r="CHN171" s="83"/>
      <c r="CHX171" s="83"/>
      <c r="CIH171" s="83"/>
      <c r="CIR171" s="83"/>
      <c r="CJB171" s="83"/>
      <c r="CJL171" s="83"/>
      <c r="CJV171" s="83"/>
      <c r="CKF171" s="83"/>
      <c r="CKP171" s="83"/>
      <c r="CKZ171" s="83"/>
      <c r="CLJ171" s="83"/>
      <c r="CLT171" s="83"/>
      <c r="CMD171" s="83"/>
      <c r="CMN171" s="83"/>
      <c r="CMX171" s="83"/>
      <c r="CNH171" s="83"/>
      <c r="CNR171" s="83"/>
      <c r="COB171" s="83"/>
      <c r="COL171" s="83"/>
      <c r="COV171" s="83"/>
      <c r="CPF171" s="83"/>
      <c r="CPP171" s="83"/>
      <c r="CPZ171" s="83"/>
      <c r="CQJ171" s="83"/>
      <c r="CQT171" s="83"/>
      <c r="CRD171" s="83"/>
      <c r="CRN171" s="83"/>
      <c r="CRX171" s="83"/>
      <c r="CSH171" s="83"/>
      <c r="CSR171" s="83"/>
      <c r="CTB171" s="83"/>
      <c r="CTL171" s="83"/>
      <c r="CTV171" s="83"/>
    </row>
    <row r="172" s="58" customFormat="1" customHeight="1" spans="1:1020 1030:2040 2050:2570">
      <c r="A172" s="79">
        <v>46146</v>
      </c>
      <c r="B172" s="94" t="s">
        <v>213</v>
      </c>
      <c r="C172" s="95" t="s">
        <v>214</v>
      </c>
      <c r="D172" s="75">
        <v>652335187</v>
      </c>
      <c r="E172" s="95" t="s">
        <v>222</v>
      </c>
      <c r="F172" s="77" t="str">
        <f>IFERROR(VLOOKUP(E172,[22]基础数据!$E$3:$H$7,2,0),"")</f>
        <v>DM2下箱体</v>
      </c>
      <c r="G172" s="75">
        <v>1056</v>
      </c>
      <c r="H172" s="77" t="str">
        <f>IFERROR(VLOOKUP(E172,[22]基础数据!$E$3:$H$7,4,0),"")</f>
        <v>围板箱</v>
      </c>
      <c r="I172" s="77">
        <f>IFERROR(VLOOKUP(E172,[22]基础数据!$E$3:$H$7,3,0),"")</f>
        <v>66</v>
      </c>
      <c r="J172" s="75" t="s">
        <v>306</v>
      </c>
      <c r="K172" s="78">
        <f>G172/I172</f>
        <v>16</v>
      </c>
      <c r="T172" s="83"/>
      <c r="AD172" s="83"/>
      <c r="AN172" s="83"/>
      <c r="AX172" s="83"/>
      <c r="BH172" s="83"/>
      <c r="BR172" s="83"/>
      <c r="CB172" s="83"/>
      <c r="CL172" s="83"/>
      <c r="CV172" s="83"/>
      <c r="DF172" s="83"/>
      <c r="DP172" s="83"/>
      <c r="DZ172" s="83"/>
      <c r="EJ172" s="83"/>
      <c r="ET172" s="83"/>
      <c r="FD172" s="83"/>
      <c r="FN172" s="83"/>
      <c r="FX172" s="83"/>
      <c r="GH172" s="83"/>
      <c r="GR172" s="83"/>
      <c r="HB172" s="83"/>
      <c r="HL172" s="83"/>
      <c r="HV172" s="83"/>
      <c r="IF172" s="83"/>
      <c r="IP172" s="83"/>
      <c r="IZ172" s="83"/>
      <c r="JJ172" s="83"/>
      <c r="JT172" s="83"/>
      <c r="KD172" s="83"/>
      <c r="KN172" s="83"/>
      <c r="KX172" s="83"/>
      <c r="LH172" s="83"/>
      <c r="LR172" s="83"/>
      <c r="MB172" s="83"/>
      <c r="ML172" s="83"/>
      <c r="MV172" s="83"/>
      <c r="NF172" s="83"/>
      <c r="NP172" s="83"/>
      <c r="NZ172" s="83"/>
      <c r="OJ172" s="83"/>
      <c r="OT172" s="83"/>
      <c r="PD172" s="83"/>
      <c r="PN172" s="83"/>
      <c r="PX172" s="83"/>
      <c r="QH172" s="83"/>
      <c r="QR172" s="83"/>
      <c r="RB172" s="83"/>
      <c r="RL172" s="83"/>
      <c r="RV172" s="83"/>
      <c r="SF172" s="83"/>
      <c r="SP172" s="83"/>
      <c r="SZ172" s="83"/>
      <c r="TJ172" s="83"/>
      <c r="TT172" s="83"/>
      <c r="UD172" s="83"/>
      <c r="UN172" s="83"/>
      <c r="UX172" s="83"/>
      <c r="VH172" s="83"/>
      <c r="VR172" s="83"/>
      <c r="WB172" s="83"/>
      <c r="WL172" s="83"/>
      <c r="WV172" s="83"/>
      <c r="XF172" s="83"/>
      <c r="XP172" s="83"/>
      <c r="XZ172" s="83"/>
      <c r="YJ172" s="83"/>
      <c r="YT172" s="83"/>
      <c r="ZD172" s="83"/>
      <c r="ZN172" s="83"/>
      <c r="ZX172" s="83"/>
      <c r="AAH172" s="83"/>
      <c r="AAR172" s="83"/>
      <c r="ABB172" s="83"/>
      <c r="ABL172" s="83"/>
      <c r="ABV172" s="83"/>
      <c r="ACF172" s="83"/>
      <c r="ACP172" s="83"/>
      <c r="ACZ172" s="83"/>
      <c r="ADJ172" s="83"/>
      <c r="ADT172" s="83"/>
      <c r="AED172" s="83"/>
      <c r="AEN172" s="83"/>
      <c r="AEX172" s="83"/>
      <c r="AFH172" s="83"/>
      <c r="AFR172" s="83"/>
      <c r="AGB172" s="83"/>
      <c r="AGL172" s="83"/>
      <c r="AGV172" s="83"/>
      <c r="AHF172" s="83"/>
      <c r="AHP172" s="83"/>
      <c r="AHZ172" s="83"/>
      <c r="AIJ172" s="83"/>
      <c r="AIT172" s="83"/>
      <c r="AJD172" s="83"/>
      <c r="AJN172" s="83"/>
      <c r="AJX172" s="83"/>
      <c r="AKH172" s="83"/>
      <c r="AKR172" s="83"/>
      <c r="ALB172" s="83"/>
      <c r="ALL172" s="83"/>
      <c r="ALV172" s="83"/>
      <c r="AMF172" s="83"/>
      <c r="AMP172" s="83"/>
      <c r="AMZ172" s="83"/>
      <c r="ANJ172" s="83"/>
      <c r="ANT172" s="83"/>
      <c r="AOD172" s="83"/>
      <c r="AON172" s="83"/>
      <c r="AOX172" s="83"/>
      <c r="APH172" s="83"/>
      <c r="APR172" s="83"/>
      <c r="AQB172" s="83"/>
      <c r="AQL172" s="83"/>
      <c r="AQV172" s="83"/>
      <c r="ARF172" s="83"/>
      <c r="ARP172" s="83"/>
      <c r="ARZ172" s="83"/>
      <c r="ASJ172" s="83"/>
      <c r="AST172" s="83"/>
      <c r="ATD172" s="83"/>
      <c r="ATN172" s="83"/>
      <c r="ATX172" s="83"/>
      <c r="AUH172" s="83"/>
      <c r="AUR172" s="83"/>
      <c r="AVB172" s="83"/>
      <c r="AVL172" s="83"/>
      <c r="AVV172" s="83"/>
      <c r="AWF172" s="83"/>
      <c r="AWP172" s="83"/>
      <c r="AWZ172" s="83"/>
      <c r="AXJ172" s="83"/>
      <c r="AXT172" s="83"/>
      <c r="AYD172" s="83"/>
      <c r="AYN172" s="83"/>
      <c r="AYX172" s="83"/>
      <c r="AZH172" s="83"/>
      <c r="AZR172" s="83"/>
      <c r="BAB172" s="83"/>
      <c r="BAL172" s="83"/>
      <c r="BAV172" s="83"/>
      <c r="BBF172" s="83"/>
      <c r="BBP172" s="83"/>
      <c r="BBZ172" s="83"/>
      <c r="BCJ172" s="83"/>
      <c r="BCT172" s="83"/>
      <c r="BDD172" s="83"/>
      <c r="BDN172" s="83"/>
      <c r="BDX172" s="83"/>
      <c r="BEH172" s="83"/>
      <c r="BER172" s="83"/>
      <c r="BFB172" s="83"/>
      <c r="BFL172" s="83"/>
      <c r="BFV172" s="83"/>
      <c r="BGF172" s="83"/>
      <c r="BGP172" s="83"/>
      <c r="BGZ172" s="83"/>
      <c r="BHJ172" s="83"/>
      <c r="BHT172" s="83"/>
      <c r="BID172" s="83"/>
      <c r="BIN172" s="83"/>
      <c r="BIX172" s="83"/>
      <c r="BJH172" s="83"/>
      <c r="BJR172" s="83"/>
      <c r="BKB172" s="83"/>
      <c r="BKL172" s="83"/>
      <c r="BKV172" s="83"/>
      <c r="BLF172" s="83"/>
      <c r="BLP172" s="83"/>
      <c r="BLZ172" s="83"/>
      <c r="BMJ172" s="83"/>
      <c r="BMT172" s="83"/>
      <c r="BND172" s="83"/>
      <c r="BNN172" s="83"/>
      <c r="BNX172" s="83"/>
      <c r="BOH172" s="83"/>
      <c r="BOR172" s="83"/>
      <c r="BPB172" s="83"/>
      <c r="BPL172" s="83"/>
      <c r="BPV172" s="83"/>
      <c r="BQF172" s="83"/>
      <c r="BQP172" s="83"/>
      <c r="BQZ172" s="83"/>
      <c r="BRJ172" s="83"/>
      <c r="BRT172" s="83"/>
      <c r="BSD172" s="83"/>
      <c r="BSN172" s="83"/>
      <c r="BSX172" s="83"/>
      <c r="BTH172" s="83"/>
      <c r="BTR172" s="83"/>
      <c r="BUB172" s="83"/>
      <c r="BUL172" s="83"/>
      <c r="BUV172" s="83"/>
      <c r="BVF172" s="83"/>
      <c r="BVP172" s="83"/>
      <c r="BVZ172" s="83"/>
      <c r="BWJ172" s="83"/>
      <c r="BWT172" s="83"/>
      <c r="BXD172" s="83"/>
      <c r="BXN172" s="83"/>
      <c r="BXX172" s="83"/>
      <c r="BYH172" s="83"/>
      <c r="BYR172" s="83"/>
      <c r="BZB172" s="83"/>
      <c r="BZL172" s="83"/>
      <c r="BZV172" s="83"/>
      <c r="CAF172" s="83"/>
      <c r="CAP172" s="83"/>
      <c r="CAZ172" s="83"/>
      <c r="CBJ172" s="83"/>
      <c r="CBT172" s="83"/>
      <c r="CCD172" s="83"/>
      <c r="CCN172" s="83"/>
      <c r="CCX172" s="83"/>
      <c r="CDH172" s="83"/>
      <c r="CDR172" s="83"/>
      <c r="CEB172" s="83"/>
      <c r="CEL172" s="83"/>
      <c r="CEV172" s="83"/>
      <c r="CFF172" s="83"/>
      <c r="CFP172" s="83"/>
      <c r="CFZ172" s="83"/>
      <c r="CGJ172" s="83"/>
      <c r="CGT172" s="83"/>
      <c r="CHD172" s="83"/>
      <c r="CHN172" s="83"/>
      <c r="CHX172" s="83"/>
      <c r="CIH172" s="83"/>
      <c r="CIR172" s="83"/>
      <c r="CJB172" s="83"/>
      <c r="CJL172" s="83"/>
      <c r="CJV172" s="83"/>
      <c r="CKF172" s="83"/>
      <c r="CKP172" s="83"/>
      <c r="CKZ172" s="83"/>
      <c r="CLJ172" s="83"/>
      <c r="CLT172" s="83"/>
      <c r="CMD172" s="83"/>
      <c r="CMN172" s="83"/>
      <c r="CMX172" s="83"/>
      <c r="CNH172" s="83"/>
      <c r="CNR172" s="83"/>
      <c r="COB172" s="83"/>
      <c r="COL172" s="83"/>
      <c r="COV172" s="83"/>
      <c r="CPF172" s="83"/>
      <c r="CPP172" s="83"/>
      <c r="CPZ172" s="83"/>
      <c r="CQJ172" s="83"/>
      <c r="CQT172" s="83"/>
      <c r="CRD172" s="83"/>
      <c r="CRN172" s="83"/>
      <c r="CRX172" s="83"/>
      <c r="CSH172" s="83"/>
      <c r="CSR172" s="83"/>
      <c r="CTB172" s="83"/>
      <c r="CTL172" s="83"/>
      <c r="CTV172" s="83"/>
    </row>
    <row r="173" s="58" customFormat="1" customHeight="1" spans="1:1020 1030:2040 2050:2570">
      <c r="A173" s="79">
        <v>46147</v>
      </c>
      <c r="B173" s="94" t="s">
        <v>213</v>
      </c>
      <c r="C173" s="95" t="s">
        <v>214</v>
      </c>
      <c r="D173" s="75">
        <v>652343247</v>
      </c>
      <c r="E173" s="96" t="s">
        <v>224</v>
      </c>
      <c r="F173" s="77" t="str">
        <f>IFERROR(VLOOKUP(E173,[23]基础数据!$E$3:$H$7,2,0),"")</f>
        <v>DM1箱体</v>
      </c>
      <c r="G173" s="75">
        <v>1056</v>
      </c>
      <c r="H173" s="77" t="str">
        <f>IFERROR(VLOOKUP(E173,[23]基础数据!$E$3:$H$7,4,0),"")</f>
        <v>围板箱</v>
      </c>
      <c r="I173" s="77">
        <f>IFERROR(VLOOKUP(E173,[23]基础数据!$E$3:$H$7,3,0),"")</f>
        <v>66</v>
      </c>
      <c r="J173" s="75" t="s">
        <v>306</v>
      </c>
      <c r="K173" s="78">
        <f>G173/I173</f>
        <v>16</v>
      </c>
      <c r="T173" s="83"/>
      <c r="AD173" s="83"/>
      <c r="AN173" s="83"/>
      <c r="AX173" s="83"/>
      <c r="BH173" s="83"/>
      <c r="BR173" s="83"/>
      <c r="CB173" s="83"/>
      <c r="CL173" s="83"/>
      <c r="CV173" s="83"/>
      <c r="DF173" s="83"/>
      <c r="DP173" s="83"/>
      <c r="DZ173" s="83"/>
      <c r="EJ173" s="83"/>
      <c r="ET173" s="83"/>
      <c r="FD173" s="83"/>
      <c r="FN173" s="83"/>
      <c r="FX173" s="83"/>
      <c r="GH173" s="83"/>
      <c r="GR173" s="83"/>
      <c r="HB173" s="83"/>
      <c r="HL173" s="83"/>
      <c r="HV173" s="83"/>
      <c r="IF173" s="83"/>
      <c r="IP173" s="83"/>
      <c r="IZ173" s="83"/>
      <c r="JJ173" s="83"/>
      <c r="JT173" s="83"/>
      <c r="KD173" s="83"/>
      <c r="KN173" s="83"/>
      <c r="KX173" s="83"/>
      <c r="LH173" s="83"/>
      <c r="LR173" s="83"/>
      <c r="MB173" s="83"/>
      <c r="ML173" s="83"/>
      <c r="MV173" s="83"/>
      <c r="NF173" s="83"/>
      <c r="NP173" s="83"/>
      <c r="NZ173" s="83"/>
      <c r="OJ173" s="83"/>
      <c r="OT173" s="83"/>
      <c r="PD173" s="83"/>
      <c r="PN173" s="83"/>
      <c r="PX173" s="83"/>
      <c r="QH173" s="83"/>
      <c r="QR173" s="83"/>
      <c r="RB173" s="83"/>
      <c r="RL173" s="83"/>
      <c r="RV173" s="83"/>
      <c r="SF173" s="83"/>
      <c r="SP173" s="83"/>
      <c r="SZ173" s="83"/>
      <c r="TJ173" s="83"/>
      <c r="TT173" s="83"/>
      <c r="UD173" s="83"/>
      <c r="UN173" s="83"/>
      <c r="UX173" s="83"/>
      <c r="VH173" s="83"/>
      <c r="VR173" s="83"/>
      <c r="WB173" s="83"/>
      <c r="WL173" s="83"/>
      <c r="WV173" s="83"/>
      <c r="XF173" s="83"/>
      <c r="XP173" s="83"/>
      <c r="XZ173" s="83"/>
      <c r="YJ173" s="83"/>
      <c r="YT173" s="83"/>
      <c r="ZD173" s="83"/>
      <c r="ZN173" s="83"/>
      <c r="ZX173" s="83"/>
      <c r="AAH173" s="83"/>
      <c r="AAR173" s="83"/>
      <c r="ABB173" s="83"/>
      <c r="ABL173" s="83"/>
      <c r="ABV173" s="83"/>
      <c r="ACF173" s="83"/>
      <c r="ACP173" s="83"/>
      <c r="ACZ173" s="83"/>
      <c r="ADJ173" s="83"/>
      <c r="ADT173" s="83"/>
      <c r="AED173" s="83"/>
      <c r="AEN173" s="83"/>
      <c r="AEX173" s="83"/>
      <c r="AFH173" s="83"/>
      <c r="AFR173" s="83"/>
      <c r="AGB173" s="83"/>
      <c r="AGL173" s="83"/>
      <c r="AGV173" s="83"/>
      <c r="AHF173" s="83"/>
      <c r="AHP173" s="83"/>
      <c r="AHZ173" s="83"/>
      <c r="AIJ173" s="83"/>
      <c r="AIT173" s="83"/>
      <c r="AJD173" s="83"/>
      <c r="AJN173" s="83"/>
      <c r="AJX173" s="83"/>
      <c r="AKH173" s="83"/>
      <c r="AKR173" s="83"/>
      <c r="ALB173" s="83"/>
      <c r="ALL173" s="83"/>
      <c r="ALV173" s="83"/>
      <c r="AMF173" s="83"/>
      <c r="AMP173" s="83"/>
      <c r="AMZ173" s="83"/>
      <c r="ANJ173" s="83"/>
      <c r="ANT173" s="83"/>
      <c r="AOD173" s="83"/>
      <c r="AON173" s="83"/>
      <c r="AOX173" s="83"/>
      <c r="APH173" s="83"/>
      <c r="APR173" s="83"/>
      <c r="AQB173" s="83"/>
      <c r="AQL173" s="83"/>
      <c r="AQV173" s="83"/>
      <c r="ARF173" s="83"/>
      <c r="ARP173" s="83"/>
      <c r="ARZ173" s="83"/>
      <c r="ASJ173" s="83"/>
      <c r="AST173" s="83"/>
      <c r="ATD173" s="83"/>
      <c r="ATN173" s="83"/>
      <c r="ATX173" s="83"/>
      <c r="AUH173" s="83"/>
      <c r="AUR173" s="83"/>
      <c r="AVB173" s="83"/>
      <c r="AVL173" s="83"/>
      <c r="AVV173" s="83"/>
      <c r="AWF173" s="83"/>
      <c r="AWP173" s="83"/>
      <c r="AWZ173" s="83"/>
      <c r="AXJ173" s="83"/>
      <c r="AXT173" s="83"/>
      <c r="AYD173" s="83"/>
      <c r="AYN173" s="83"/>
      <c r="AYX173" s="83"/>
      <c r="AZH173" s="83"/>
      <c r="AZR173" s="83"/>
      <c r="BAB173" s="83"/>
      <c r="BAL173" s="83"/>
      <c r="BAV173" s="83"/>
      <c r="BBF173" s="83"/>
      <c r="BBP173" s="83"/>
      <c r="BBZ173" s="83"/>
      <c r="BCJ173" s="83"/>
      <c r="BCT173" s="83"/>
      <c r="BDD173" s="83"/>
      <c r="BDN173" s="83"/>
      <c r="BDX173" s="83"/>
      <c r="BEH173" s="83"/>
      <c r="BER173" s="83"/>
      <c r="BFB173" s="83"/>
      <c r="BFL173" s="83"/>
      <c r="BFV173" s="83"/>
      <c r="BGF173" s="83"/>
      <c r="BGP173" s="83"/>
      <c r="BGZ173" s="83"/>
      <c r="BHJ173" s="83"/>
      <c r="BHT173" s="83"/>
      <c r="BID173" s="83"/>
      <c r="BIN173" s="83"/>
      <c r="BIX173" s="83"/>
      <c r="BJH173" s="83"/>
      <c r="BJR173" s="83"/>
      <c r="BKB173" s="83"/>
      <c r="BKL173" s="83"/>
      <c r="BKV173" s="83"/>
      <c r="BLF173" s="83"/>
      <c r="BLP173" s="83"/>
      <c r="BLZ173" s="83"/>
      <c r="BMJ173" s="83"/>
      <c r="BMT173" s="83"/>
      <c r="BND173" s="83"/>
      <c r="BNN173" s="83"/>
      <c r="BNX173" s="83"/>
      <c r="BOH173" s="83"/>
      <c r="BOR173" s="83"/>
      <c r="BPB173" s="83"/>
      <c r="BPL173" s="83"/>
      <c r="BPV173" s="83"/>
      <c r="BQF173" s="83"/>
      <c r="BQP173" s="83"/>
      <c r="BQZ173" s="83"/>
      <c r="BRJ173" s="83"/>
      <c r="BRT173" s="83"/>
      <c r="BSD173" s="83"/>
      <c r="BSN173" s="83"/>
      <c r="BSX173" s="83"/>
      <c r="BTH173" s="83"/>
      <c r="BTR173" s="83"/>
      <c r="BUB173" s="83"/>
      <c r="BUL173" s="83"/>
      <c r="BUV173" s="83"/>
      <c r="BVF173" s="83"/>
      <c r="BVP173" s="83"/>
      <c r="BVZ173" s="83"/>
      <c r="BWJ173" s="83"/>
      <c r="BWT173" s="83"/>
      <c r="BXD173" s="83"/>
      <c r="BXN173" s="83"/>
      <c r="BXX173" s="83"/>
      <c r="BYH173" s="83"/>
      <c r="BYR173" s="83"/>
      <c r="BZB173" s="83"/>
      <c r="BZL173" s="83"/>
      <c r="BZV173" s="83"/>
      <c r="CAF173" s="83"/>
      <c r="CAP173" s="83"/>
      <c r="CAZ173" s="83"/>
      <c r="CBJ173" s="83"/>
      <c r="CBT173" s="83"/>
      <c r="CCD173" s="83"/>
      <c r="CCN173" s="83"/>
      <c r="CCX173" s="83"/>
      <c r="CDH173" s="83"/>
      <c r="CDR173" s="83"/>
      <c r="CEB173" s="83"/>
      <c r="CEL173" s="83"/>
      <c r="CEV173" s="83"/>
      <c r="CFF173" s="83"/>
      <c r="CFP173" s="83"/>
      <c r="CFZ173" s="83"/>
      <c r="CGJ173" s="83"/>
      <c r="CGT173" s="83"/>
      <c r="CHD173" s="83"/>
      <c r="CHN173" s="83"/>
      <c r="CHX173" s="83"/>
      <c r="CIH173" s="83"/>
      <c r="CIR173" s="83"/>
      <c r="CJB173" s="83"/>
      <c r="CJL173" s="83"/>
      <c r="CJV173" s="83"/>
      <c r="CKF173" s="83"/>
      <c r="CKP173" s="83"/>
      <c r="CKZ173" s="83"/>
      <c r="CLJ173" s="83"/>
      <c r="CLT173" s="83"/>
      <c r="CMD173" s="83"/>
      <c r="CMN173" s="83"/>
      <c r="CMX173" s="83"/>
      <c r="CNH173" s="83"/>
      <c r="CNR173" s="83"/>
      <c r="COB173" s="83"/>
      <c r="COL173" s="83"/>
      <c r="COV173" s="83"/>
      <c r="CPF173" s="83"/>
      <c r="CPP173" s="83"/>
      <c r="CPZ173" s="83"/>
      <c r="CQJ173" s="83"/>
      <c r="CQT173" s="83"/>
      <c r="CRD173" s="83"/>
      <c r="CRN173" s="83"/>
      <c r="CRX173" s="83"/>
      <c r="CSH173" s="83"/>
      <c r="CSR173" s="83"/>
      <c r="CTB173" s="83"/>
      <c r="CTL173" s="83"/>
      <c r="CTV173" s="83"/>
    </row>
    <row r="174" s="58" customFormat="1" customHeight="1" spans="1:1020 1030:2040 2050:2570">
      <c r="A174" s="79">
        <v>46148</v>
      </c>
      <c r="B174" s="94" t="s">
        <v>213</v>
      </c>
      <c r="C174" s="95" t="s">
        <v>214</v>
      </c>
      <c r="D174" s="75">
        <v>652347749</v>
      </c>
      <c r="E174" s="95" t="s">
        <v>220</v>
      </c>
      <c r="F174" s="77" t="str">
        <f>IFERROR(VLOOKUP(E174,[24]基础数据!$E$3:$H$7,2,0),"")</f>
        <v>DM2上箱体</v>
      </c>
      <c r="G174" s="75">
        <v>1134</v>
      </c>
      <c r="H174" s="77" t="str">
        <f>IFERROR(VLOOKUP(E174,[24]基础数据!$E$3:$H$7,4,0),"")</f>
        <v>围板箱</v>
      </c>
      <c r="I174" s="77">
        <f>IFERROR(VLOOKUP(E174,[24]基础数据!$E$3:$H$7,3,0),"")</f>
        <v>54</v>
      </c>
      <c r="J174" s="75" t="s">
        <v>306</v>
      </c>
      <c r="K174" s="78">
        <f t="shared" ref="K174:K188" si="4">G174/I174</f>
        <v>21</v>
      </c>
      <c r="T174" s="83"/>
      <c r="AD174" s="83"/>
      <c r="AN174" s="83"/>
      <c r="AX174" s="83"/>
      <c r="BH174" s="83"/>
      <c r="BR174" s="83"/>
      <c r="CB174" s="83"/>
      <c r="CL174" s="83"/>
      <c r="CV174" s="83"/>
      <c r="DF174" s="83"/>
      <c r="DP174" s="83"/>
      <c r="DZ174" s="83"/>
      <c r="EJ174" s="83"/>
      <c r="ET174" s="83"/>
      <c r="FD174" s="83"/>
      <c r="FN174" s="83"/>
      <c r="FX174" s="83"/>
      <c r="GH174" s="83"/>
      <c r="GR174" s="83"/>
      <c r="HB174" s="83"/>
      <c r="HL174" s="83"/>
      <c r="HV174" s="83"/>
      <c r="IF174" s="83"/>
      <c r="IP174" s="83"/>
      <c r="IZ174" s="83"/>
      <c r="JJ174" s="83"/>
      <c r="JT174" s="83"/>
      <c r="KD174" s="83"/>
      <c r="KN174" s="83"/>
      <c r="KX174" s="83"/>
      <c r="LH174" s="83"/>
      <c r="LR174" s="83"/>
      <c r="MB174" s="83"/>
      <c r="ML174" s="83"/>
      <c r="MV174" s="83"/>
      <c r="NF174" s="83"/>
      <c r="NP174" s="83"/>
      <c r="NZ174" s="83"/>
      <c r="OJ174" s="83"/>
      <c r="OT174" s="83"/>
      <c r="PD174" s="83"/>
      <c r="PN174" s="83"/>
      <c r="PX174" s="83"/>
      <c r="QH174" s="83"/>
      <c r="QR174" s="83"/>
      <c r="RB174" s="83"/>
      <c r="RL174" s="83"/>
      <c r="RV174" s="83"/>
      <c r="SF174" s="83"/>
      <c r="SP174" s="83"/>
      <c r="SZ174" s="83"/>
      <c r="TJ174" s="83"/>
      <c r="TT174" s="83"/>
      <c r="UD174" s="83"/>
      <c r="UN174" s="83"/>
      <c r="UX174" s="83"/>
      <c r="VH174" s="83"/>
      <c r="VR174" s="83"/>
      <c r="WB174" s="83"/>
      <c r="WL174" s="83"/>
      <c r="WV174" s="83"/>
      <c r="XF174" s="83"/>
      <c r="XP174" s="83"/>
      <c r="XZ174" s="83"/>
      <c r="YJ174" s="83"/>
      <c r="YT174" s="83"/>
      <c r="ZD174" s="83"/>
      <c r="ZN174" s="83"/>
      <c r="ZX174" s="83"/>
      <c r="AAH174" s="83"/>
      <c r="AAR174" s="83"/>
      <c r="ABB174" s="83"/>
      <c r="ABL174" s="83"/>
      <c r="ABV174" s="83"/>
      <c r="ACF174" s="83"/>
      <c r="ACP174" s="83"/>
      <c r="ACZ174" s="83"/>
      <c r="ADJ174" s="83"/>
      <c r="ADT174" s="83"/>
      <c r="AED174" s="83"/>
      <c r="AEN174" s="83"/>
      <c r="AEX174" s="83"/>
      <c r="AFH174" s="83"/>
      <c r="AFR174" s="83"/>
      <c r="AGB174" s="83"/>
      <c r="AGL174" s="83"/>
      <c r="AGV174" s="83"/>
      <c r="AHF174" s="83"/>
      <c r="AHP174" s="83"/>
      <c r="AHZ174" s="83"/>
      <c r="AIJ174" s="83"/>
      <c r="AIT174" s="83"/>
      <c r="AJD174" s="83"/>
      <c r="AJN174" s="83"/>
      <c r="AJX174" s="83"/>
      <c r="AKH174" s="83"/>
      <c r="AKR174" s="83"/>
      <c r="ALB174" s="83"/>
      <c r="ALL174" s="83"/>
      <c r="ALV174" s="83"/>
      <c r="AMF174" s="83"/>
      <c r="AMP174" s="83"/>
      <c r="AMZ174" s="83"/>
      <c r="ANJ174" s="83"/>
      <c r="ANT174" s="83"/>
      <c r="AOD174" s="83"/>
      <c r="AON174" s="83"/>
      <c r="AOX174" s="83"/>
      <c r="APH174" s="83"/>
      <c r="APR174" s="83"/>
      <c r="AQB174" s="83"/>
      <c r="AQL174" s="83"/>
      <c r="AQV174" s="83"/>
      <c r="ARF174" s="83"/>
      <c r="ARP174" s="83"/>
      <c r="ARZ174" s="83"/>
      <c r="ASJ174" s="83"/>
      <c r="AST174" s="83"/>
      <c r="ATD174" s="83"/>
      <c r="ATN174" s="83"/>
      <c r="ATX174" s="83"/>
      <c r="AUH174" s="83"/>
      <c r="AUR174" s="83"/>
      <c r="AVB174" s="83"/>
      <c r="AVL174" s="83"/>
      <c r="AVV174" s="83"/>
      <c r="AWF174" s="83"/>
      <c r="AWP174" s="83"/>
      <c r="AWZ174" s="83"/>
      <c r="AXJ174" s="83"/>
      <c r="AXT174" s="83"/>
      <c r="AYD174" s="83"/>
      <c r="AYN174" s="83"/>
      <c r="AYX174" s="83"/>
      <c r="AZH174" s="83"/>
      <c r="AZR174" s="83"/>
      <c r="BAB174" s="83"/>
      <c r="BAL174" s="83"/>
      <c r="BAV174" s="83"/>
      <c r="BBF174" s="83"/>
      <c r="BBP174" s="83"/>
      <c r="BBZ174" s="83"/>
      <c r="BCJ174" s="83"/>
      <c r="BCT174" s="83"/>
      <c r="BDD174" s="83"/>
      <c r="BDN174" s="83"/>
      <c r="BDX174" s="83"/>
      <c r="BEH174" s="83"/>
      <c r="BER174" s="83"/>
      <c r="BFB174" s="83"/>
      <c r="BFL174" s="83"/>
      <c r="BFV174" s="83"/>
      <c r="BGF174" s="83"/>
      <c r="BGP174" s="83"/>
      <c r="BGZ174" s="83"/>
      <c r="BHJ174" s="83"/>
      <c r="BHT174" s="83"/>
      <c r="BID174" s="83"/>
      <c r="BIN174" s="83"/>
      <c r="BIX174" s="83"/>
      <c r="BJH174" s="83"/>
      <c r="BJR174" s="83"/>
      <c r="BKB174" s="83"/>
      <c r="BKL174" s="83"/>
      <c r="BKV174" s="83"/>
      <c r="BLF174" s="83"/>
      <c r="BLP174" s="83"/>
      <c r="BLZ174" s="83"/>
      <c r="BMJ174" s="83"/>
      <c r="BMT174" s="83"/>
      <c r="BND174" s="83"/>
      <c r="BNN174" s="83"/>
      <c r="BNX174" s="83"/>
      <c r="BOH174" s="83"/>
      <c r="BOR174" s="83"/>
      <c r="BPB174" s="83"/>
      <c r="BPL174" s="83"/>
      <c r="BPV174" s="83"/>
      <c r="BQF174" s="83"/>
      <c r="BQP174" s="83"/>
      <c r="BQZ174" s="83"/>
      <c r="BRJ174" s="83"/>
      <c r="BRT174" s="83"/>
      <c r="BSD174" s="83"/>
      <c r="BSN174" s="83"/>
      <c r="BSX174" s="83"/>
      <c r="BTH174" s="83"/>
      <c r="BTR174" s="83"/>
      <c r="BUB174" s="83"/>
      <c r="BUL174" s="83"/>
      <c r="BUV174" s="83"/>
      <c r="BVF174" s="83"/>
      <c r="BVP174" s="83"/>
      <c r="BVZ174" s="83"/>
      <c r="BWJ174" s="83"/>
      <c r="BWT174" s="83"/>
      <c r="BXD174" s="83"/>
      <c r="BXN174" s="83"/>
      <c r="BXX174" s="83"/>
      <c r="BYH174" s="83"/>
      <c r="BYR174" s="83"/>
      <c r="BZB174" s="83"/>
      <c r="BZL174" s="83"/>
      <c r="BZV174" s="83"/>
      <c r="CAF174" s="83"/>
      <c r="CAP174" s="83"/>
      <c r="CAZ174" s="83"/>
      <c r="CBJ174" s="83"/>
      <c r="CBT174" s="83"/>
      <c r="CCD174" s="83"/>
      <c r="CCN174" s="83"/>
      <c r="CCX174" s="83"/>
      <c r="CDH174" s="83"/>
      <c r="CDR174" s="83"/>
      <c r="CEB174" s="83"/>
      <c r="CEL174" s="83"/>
      <c r="CEV174" s="83"/>
      <c r="CFF174" s="83"/>
      <c r="CFP174" s="83"/>
      <c r="CFZ174" s="83"/>
      <c r="CGJ174" s="83"/>
      <c r="CGT174" s="83"/>
      <c r="CHD174" s="83"/>
      <c r="CHN174" s="83"/>
      <c r="CHX174" s="83"/>
      <c r="CIH174" s="83"/>
      <c r="CIR174" s="83"/>
      <c r="CJB174" s="83"/>
      <c r="CJL174" s="83"/>
      <c r="CJV174" s="83"/>
      <c r="CKF174" s="83"/>
      <c r="CKP174" s="83"/>
      <c r="CKZ174" s="83"/>
      <c r="CLJ174" s="83"/>
      <c r="CLT174" s="83"/>
      <c r="CMD174" s="83"/>
      <c r="CMN174" s="83"/>
      <c r="CMX174" s="83"/>
      <c r="CNH174" s="83"/>
      <c r="CNR174" s="83"/>
      <c r="COB174" s="83"/>
      <c r="COL174" s="83"/>
      <c r="COV174" s="83"/>
      <c r="CPF174" s="83"/>
      <c r="CPP174" s="83"/>
      <c r="CPZ174" s="83"/>
      <c r="CQJ174" s="83"/>
      <c r="CQT174" s="83"/>
      <c r="CRD174" s="83"/>
      <c r="CRN174" s="83"/>
      <c r="CRX174" s="83"/>
      <c r="CSH174" s="83"/>
      <c r="CSR174" s="83"/>
      <c r="CTB174" s="83"/>
      <c r="CTL174" s="83"/>
      <c r="CTV174" s="83"/>
    </row>
    <row r="175" s="58" customFormat="1" customHeight="1" spans="1:1020 1030:2040 2050:2570">
      <c r="A175" s="79">
        <v>46148</v>
      </c>
      <c r="B175" s="94" t="s">
        <v>213</v>
      </c>
      <c r="C175" s="95" t="s">
        <v>214</v>
      </c>
      <c r="D175" s="75">
        <v>652347800</v>
      </c>
      <c r="E175" s="95" t="s">
        <v>222</v>
      </c>
      <c r="F175" s="77" t="str">
        <f>IFERROR(VLOOKUP(E175,[24]基础数据!$E$3:$H$7,2,0),"")</f>
        <v>DM2下箱体</v>
      </c>
      <c r="G175" s="75">
        <v>1122</v>
      </c>
      <c r="H175" s="77" t="str">
        <f>IFERROR(VLOOKUP(E175,[24]基础数据!$E$3:$H$7,4,0),"")</f>
        <v>围板箱</v>
      </c>
      <c r="I175" s="77">
        <f>IFERROR(VLOOKUP(E175,[24]基础数据!$E$3:$H$7,3,0),"")</f>
        <v>66</v>
      </c>
      <c r="J175" s="75" t="s">
        <v>306</v>
      </c>
      <c r="K175" s="78">
        <f t="shared" si="4"/>
        <v>17</v>
      </c>
      <c r="T175" s="83"/>
      <c r="AD175" s="83"/>
      <c r="AN175" s="83"/>
      <c r="AX175" s="83"/>
      <c r="BH175" s="83"/>
      <c r="BR175" s="83"/>
      <c r="CB175" s="83"/>
      <c r="CL175" s="83"/>
      <c r="CV175" s="83"/>
      <c r="DF175" s="83"/>
      <c r="DP175" s="83"/>
      <c r="DZ175" s="83"/>
      <c r="EJ175" s="83"/>
      <c r="ET175" s="83"/>
      <c r="FD175" s="83"/>
      <c r="FN175" s="83"/>
      <c r="FX175" s="83"/>
      <c r="GH175" s="83"/>
      <c r="GR175" s="83"/>
      <c r="HB175" s="83"/>
      <c r="HL175" s="83"/>
      <c r="HV175" s="83"/>
      <c r="IF175" s="83"/>
      <c r="IP175" s="83"/>
      <c r="IZ175" s="83"/>
      <c r="JJ175" s="83"/>
      <c r="JT175" s="83"/>
      <c r="KD175" s="83"/>
      <c r="KN175" s="83"/>
      <c r="KX175" s="83"/>
      <c r="LH175" s="83"/>
      <c r="LR175" s="83"/>
      <c r="MB175" s="83"/>
      <c r="ML175" s="83"/>
      <c r="MV175" s="83"/>
      <c r="NF175" s="83"/>
      <c r="NP175" s="83"/>
      <c r="NZ175" s="83"/>
      <c r="OJ175" s="83"/>
      <c r="OT175" s="83"/>
      <c r="PD175" s="83"/>
      <c r="PN175" s="83"/>
      <c r="PX175" s="83"/>
      <c r="QH175" s="83"/>
      <c r="QR175" s="83"/>
      <c r="RB175" s="83"/>
      <c r="RL175" s="83"/>
      <c r="RV175" s="83"/>
      <c r="SF175" s="83"/>
      <c r="SP175" s="83"/>
      <c r="SZ175" s="83"/>
      <c r="TJ175" s="83"/>
      <c r="TT175" s="83"/>
      <c r="UD175" s="83"/>
      <c r="UN175" s="83"/>
      <c r="UX175" s="83"/>
      <c r="VH175" s="83"/>
      <c r="VR175" s="83"/>
      <c r="WB175" s="83"/>
      <c r="WL175" s="83"/>
      <c r="WV175" s="83"/>
      <c r="XF175" s="83"/>
      <c r="XP175" s="83"/>
      <c r="XZ175" s="83"/>
      <c r="YJ175" s="83"/>
      <c r="YT175" s="83"/>
      <c r="ZD175" s="83"/>
      <c r="ZN175" s="83"/>
      <c r="ZX175" s="83"/>
      <c r="AAH175" s="83"/>
      <c r="AAR175" s="83"/>
      <c r="ABB175" s="83"/>
      <c r="ABL175" s="83"/>
      <c r="ABV175" s="83"/>
      <c r="ACF175" s="83"/>
      <c r="ACP175" s="83"/>
      <c r="ACZ175" s="83"/>
      <c r="ADJ175" s="83"/>
      <c r="ADT175" s="83"/>
      <c r="AED175" s="83"/>
      <c r="AEN175" s="83"/>
      <c r="AEX175" s="83"/>
      <c r="AFH175" s="83"/>
      <c r="AFR175" s="83"/>
      <c r="AGB175" s="83"/>
      <c r="AGL175" s="83"/>
      <c r="AGV175" s="83"/>
      <c r="AHF175" s="83"/>
      <c r="AHP175" s="83"/>
      <c r="AHZ175" s="83"/>
      <c r="AIJ175" s="83"/>
      <c r="AIT175" s="83"/>
      <c r="AJD175" s="83"/>
      <c r="AJN175" s="83"/>
      <c r="AJX175" s="83"/>
      <c r="AKH175" s="83"/>
      <c r="AKR175" s="83"/>
      <c r="ALB175" s="83"/>
      <c r="ALL175" s="83"/>
      <c r="ALV175" s="83"/>
      <c r="AMF175" s="83"/>
      <c r="AMP175" s="83"/>
      <c r="AMZ175" s="83"/>
      <c r="ANJ175" s="83"/>
      <c r="ANT175" s="83"/>
      <c r="AOD175" s="83"/>
      <c r="AON175" s="83"/>
      <c r="AOX175" s="83"/>
      <c r="APH175" s="83"/>
      <c r="APR175" s="83"/>
      <c r="AQB175" s="83"/>
      <c r="AQL175" s="83"/>
      <c r="AQV175" s="83"/>
      <c r="ARF175" s="83"/>
      <c r="ARP175" s="83"/>
      <c r="ARZ175" s="83"/>
      <c r="ASJ175" s="83"/>
      <c r="AST175" s="83"/>
      <c r="ATD175" s="83"/>
      <c r="ATN175" s="83"/>
      <c r="ATX175" s="83"/>
      <c r="AUH175" s="83"/>
      <c r="AUR175" s="83"/>
      <c r="AVB175" s="83"/>
      <c r="AVL175" s="83"/>
      <c r="AVV175" s="83"/>
      <c r="AWF175" s="83"/>
      <c r="AWP175" s="83"/>
      <c r="AWZ175" s="83"/>
      <c r="AXJ175" s="83"/>
      <c r="AXT175" s="83"/>
      <c r="AYD175" s="83"/>
      <c r="AYN175" s="83"/>
      <c r="AYX175" s="83"/>
      <c r="AZH175" s="83"/>
      <c r="AZR175" s="83"/>
      <c r="BAB175" s="83"/>
      <c r="BAL175" s="83"/>
      <c r="BAV175" s="83"/>
      <c r="BBF175" s="83"/>
      <c r="BBP175" s="83"/>
      <c r="BBZ175" s="83"/>
      <c r="BCJ175" s="83"/>
      <c r="BCT175" s="83"/>
      <c r="BDD175" s="83"/>
      <c r="BDN175" s="83"/>
      <c r="BDX175" s="83"/>
      <c r="BEH175" s="83"/>
      <c r="BER175" s="83"/>
      <c r="BFB175" s="83"/>
      <c r="BFL175" s="83"/>
      <c r="BFV175" s="83"/>
      <c r="BGF175" s="83"/>
      <c r="BGP175" s="83"/>
      <c r="BGZ175" s="83"/>
      <c r="BHJ175" s="83"/>
      <c r="BHT175" s="83"/>
      <c r="BID175" s="83"/>
      <c r="BIN175" s="83"/>
      <c r="BIX175" s="83"/>
      <c r="BJH175" s="83"/>
      <c r="BJR175" s="83"/>
      <c r="BKB175" s="83"/>
      <c r="BKL175" s="83"/>
      <c r="BKV175" s="83"/>
      <c r="BLF175" s="83"/>
      <c r="BLP175" s="83"/>
      <c r="BLZ175" s="83"/>
      <c r="BMJ175" s="83"/>
      <c r="BMT175" s="83"/>
      <c r="BND175" s="83"/>
      <c r="BNN175" s="83"/>
      <c r="BNX175" s="83"/>
      <c r="BOH175" s="83"/>
      <c r="BOR175" s="83"/>
      <c r="BPB175" s="83"/>
      <c r="BPL175" s="83"/>
      <c r="BPV175" s="83"/>
      <c r="BQF175" s="83"/>
      <c r="BQP175" s="83"/>
      <c r="BQZ175" s="83"/>
      <c r="BRJ175" s="83"/>
      <c r="BRT175" s="83"/>
      <c r="BSD175" s="83"/>
      <c r="BSN175" s="83"/>
      <c r="BSX175" s="83"/>
      <c r="BTH175" s="83"/>
      <c r="BTR175" s="83"/>
      <c r="BUB175" s="83"/>
      <c r="BUL175" s="83"/>
      <c r="BUV175" s="83"/>
      <c r="BVF175" s="83"/>
      <c r="BVP175" s="83"/>
      <c r="BVZ175" s="83"/>
      <c r="BWJ175" s="83"/>
      <c r="BWT175" s="83"/>
      <c r="BXD175" s="83"/>
      <c r="BXN175" s="83"/>
      <c r="BXX175" s="83"/>
      <c r="BYH175" s="83"/>
      <c r="BYR175" s="83"/>
      <c r="BZB175" s="83"/>
      <c r="BZL175" s="83"/>
      <c r="BZV175" s="83"/>
      <c r="CAF175" s="83"/>
      <c r="CAP175" s="83"/>
      <c r="CAZ175" s="83"/>
      <c r="CBJ175" s="83"/>
      <c r="CBT175" s="83"/>
      <c r="CCD175" s="83"/>
      <c r="CCN175" s="83"/>
      <c r="CCX175" s="83"/>
      <c r="CDH175" s="83"/>
      <c r="CDR175" s="83"/>
      <c r="CEB175" s="83"/>
      <c r="CEL175" s="83"/>
      <c r="CEV175" s="83"/>
      <c r="CFF175" s="83"/>
      <c r="CFP175" s="83"/>
      <c r="CFZ175" s="83"/>
      <c r="CGJ175" s="83"/>
      <c r="CGT175" s="83"/>
      <c r="CHD175" s="83"/>
      <c r="CHN175" s="83"/>
      <c r="CHX175" s="83"/>
      <c r="CIH175" s="83"/>
      <c r="CIR175" s="83"/>
      <c r="CJB175" s="83"/>
      <c r="CJL175" s="83"/>
      <c r="CJV175" s="83"/>
      <c r="CKF175" s="83"/>
      <c r="CKP175" s="83"/>
      <c r="CKZ175" s="83"/>
      <c r="CLJ175" s="83"/>
      <c r="CLT175" s="83"/>
      <c r="CMD175" s="83"/>
      <c r="CMN175" s="83"/>
      <c r="CMX175" s="83"/>
      <c r="CNH175" s="83"/>
      <c r="CNR175" s="83"/>
      <c r="COB175" s="83"/>
      <c r="COL175" s="83"/>
      <c r="COV175" s="83"/>
      <c r="CPF175" s="83"/>
      <c r="CPP175" s="83"/>
      <c r="CPZ175" s="83"/>
      <c r="CQJ175" s="83"/>
      <c r="CQT175" s="83"/>
      <c r="CRD175" s="83"/>
      <c r="CRN175" s="83"/>
      <c r="CRX175" s="83"/>
      <c r="CSH175" s="83"/>
      <c r="CSR175" s="83"/>
      <c r="CTB175" s="83"/>
      <c r="CTL175" s="83"/>
      <c r="CTV175" s="83"/>
    </row>
    <row r="176" s="58" customFormat="1" customHeight="1" spans="1:1020 1030:2040 2050:2570">
      <c r="A176" s="79">
        <v>46148</v>
      </c>
      <c r="B176" s="94" t="s">
        <v>213</v>
      </c>
      <c r="C176" s="95" t="s">
        <v>214</v>
      </c>
      <c r="D176" s="75">
        <v>652347835</v>
      </c>
      <c r="E176" s="95" t="s">
        <v>224</v>
      </c>
      <c r="F176" s="77" t="str">
        <f>IFERROR(VLOOKUP(E176,[24]基础数据!$E$3:$H$7,2,0),"")</f>
        <v>DM1箱体</v>
      </c>
      <c r="G176" s="75">
        <v>990</v>
      </c>
      <c r="H176" s="77" t="str">
        <f>IFERROR(VLOOKUP(E176,[24]基础数据!$E$3:$H$7,4,0),"")</f>
        <v>围板箱</v>
      </c>
      <c r="I176" s="77">
        <f>IFERROR(VLOOKUP(E176,[24]基础数据!$E$3:$H$7,3,0),"")</f>
        <v>66</v>
      </c>
      <c r="J176" s="75" t="s">
        <v>306</v>
      </c>
      <c r="K176" s="78">
        <f t="shared" si="4"/>
        <v>15</v>
      </c>
      <c r="T176" s="83"/>
      <c r="AD176" s="83"/>
      <c r="AN176" s="83"/>
      <c r="AX176" s="83"/>
      <c r="BH176" s="83"/>
      <c r="BR176" s="83"/>
      <c r="CB176" s="83"/>
      <c r="CL176" s="83"/>
      <c r="CV176" s="83"/>
      <c r="DF176" s="83"/>
      <c r="DP176" s="83"/>
      <c r="DZ176" s="83"/>
      <c r="EJ176" s="83"/>
      <c r="ET176" s="83"/>
      <c r="FD176" s="83"/>
      <c r="FN176" s="83"/>
      <c r="FX176" s="83"/>
      <c r="GH176" s="83"/>
      <c r="GR176" s="83"/>
      <c r="HB176" s="83"/>
      <c r="HL176" s="83"/>
      <c r="HV176" s="83"/>
      <c r="IF176" s="83"/>
      <c r="IP176" s="83"/>
      <c r="IZ176" s="83"/>
      <c r="JJ176" s="83"/>
      <c r="JT176" s="83"/>
      <c r="KD176" s="83"/>
      <c r="KN176" s="83"/>
      <c r="KX176" s="83"/>
      <c r="LH176" s="83"/>
      <c r="LR176" s="83"/>
      <c r="MB176" s="83"/>
      <c r="ML176" s="83"/>
      <c r="MV176" s="83"/>
      <c r="NF176" s="83"/>
      <c r="NP176" s="83"/>
      <c r="NZ176" s="83"/>
      <c r="OJ176" s="83"/>
      <c r="OT176" s="83"/>
      <c r="PD176" s="83"/>
      <c r="PN176" s="83"/>
      <c r="PX176" s="83"/>
      <c r="QH176" s="83"/>
      <c r="QR176" s="83"/>
      <c r="RB176" s="83"/>
      <c r="RL176" s="83"/>
      <c r="RV176" s="83"/>
      <c r="SF176" s="83"/>
      <c r="SP176" s="83"/>
      <c r="SZ176" s="83"/>
      <c r="TJ176" s="83"/>
      <c r="TT176" s="83"/>
      <c r="UD176" s="83"/>
      <c r="UN176" s="83"/>
      <c r="UX176" s="83"/>
      <c r="VH176" s="83"/>
      <c r="VR176" s="83"/>
      <c r="WB176" s="83"/>
      <c r="WL176" s="83"/>
      <c r="WV176" s="83"/>
      <c r="XF176" s="83"/>
      <c r="XP176" s="83"/>
      <c r="XZ176" s="83"/>
      <c r="YJ176" s="83"/>
      <c r="YT176" s="83"/>
      <c r="ZD176" s="83"/>
      <c r="ZN176" s="83"/>
      <c r="ZX176" s="83"/>
      <c r="AAH176" s="83"/>
      <c r="AAR176" s="83"/>
      <c r="ABB176" s="83"/>
      <c r="ABL176" s="83"/>
      <c r="ABV176" s="83"/>
      <c r="ACF176" s="83"/>
      <c r="ACP176" s="83"/>
      <c r="ACZ176" s="83"/>
      <c r="ADJ176" s="83"/>
      <c r="ADT176" s="83"/>
      <c r="AED176" s="83"/>
      <c r="AEN176" s="83"/>
      <c r="AEX176" s="83"/>
      <c r="AFH176" s="83"/>
      <c r="AFR176" s="83"/>
      <c r="AGB176" s="83"/>
      <c r="AGL176" s="83"/>
      <c r="AGV176" s="83"/>
      <c r="AHF176" s="83"/>
      <c r="AHP176" s="83"/>
      <c r="AHZ176" s="83"/>
      <c r="AIJ176" s="83"/>
      <c r="AIT176" s="83"/>
      <c r="AJD176" s="83"/>
      <c r="AJN176" s="83"/>
      <c r="AJX176" s="83"/>
      <c r="AKH176" s="83"/>
      <c r="AKR176" s="83"/>
      <c r="ALB176" s="83"/>
      <c r="ALL176" s="83"/>
      <c r="ALV176" s="83"/>
      <c r="AMF176" s="83"/>
      <c r="AMP176" s="83"/>
      <c r="AMZ176" s="83"/>
      <c r="ANJ176" s="83"/>
      <c r="ANT176" s="83"/>
      <c r="AOD176" s="83"/>
      <c r="AON176" s="83"/>
      <c r="AOX176" s="83"/>
      <c r="APH176" s="83"/>
      <c r="APR176" s="83"/>
      <c r="AQB176" s="83"/>
      <c r="AQL176" s="83"/>
      <c r="AQV176" s="83"/>
      <c r="ARF176" s="83"/>
      <c r="ARP176" s="83"/>
      <c r="ARZ176" s="83"/>
      <c r="ASJ176" s="83"/>
      <c r="AST176" s="83"/>
      <c r="ATD176" s="83"/>
      <c r="ATN176" s="83"/>
      <c r="ATX176" s="83"/>
      <c r="AUH176" s="83"/>
      <c r="AUR176" s="83"/>
      <c r="AVB176" s="83"/>
      <c r="AVL176" s="83"/>
      <c r="AVV176" s="83"/>
      <c r="AWF176" s="83"/>
      <c r="AWP176" s="83"/>
      <c r="AWZ176" s="83"/>
      <c r="AXJ176" s="83"/>
      <c r="AXT176" s="83"/>
      <c r="AYD176" s="83"/>
      <c r="AYN176" s="83"/>
      <c r="AYX176" s="83"/>
      <c r="AZH176" s="83"/>
      <c r="AZR176" s="83"/>
      <c r="BAB176" s="83"/>
      <c r="BAL176" s="83"/>
      <c r="BAV176" s="83"/>
      <c r="BBF176" s="83"/>
      <c r="BBP176" s="83"/>
      <c r="BBZ176" s="83"/>
      <c r="BCJ176" s="83"/>
      <c r="BCT176" s="83"/>
      <c r="BDD176" s="83"/>
      <c r="BDN176" s="83"/>
      <c r="BDX176" s="83"/>
      <c r="BEH176" s="83"/>
      <c r="BER176" s="83"/>
      <c r="BFB176" s="83"/>
      <c r="BFL176" s="83"/>
      <c r="BFV176" s="83"/>
      <c r="BGF176" s="83"/>
      <c r="BGP176" s="83"/>
      <c r="BGZ176" s="83"/>
      <c r="BHJ176" s="83"/>
      <c r="BHT176" s="83"/>
      <c r="BID176" s="83"/>
      <c r="BIN176" s="83"/>
      <c r="BIX176" s="83"/>
      <c r="BJH176" s="83"/>
      <c r="BJR176" s="83"/>
      <c r="BKB176" s="83"/>
      <c r="BKL176" s="83"/>
      <c r="BKV176" s="83"/>
      <c r="BLF176" s="83"/>
      <c r="BLP176" s="83"/>
      <c r="BLZ176" s="83"/>
      <c r="BMJ176" s="83"/>
      <c r="BMT176" s="83"/>
      <c r="BND176" s="83"/>
      <c r="BNN176" s="83"/>
      <c r="BNX176" s="83"/>
      <c r="BOH176" s="83"/>
      <c r="BOR176" s="83"/>
      <c r="BPB176" s="83"/>
      <c r="BPL176" s="83"/>
      <c r="BPV176" s="83"/>
      <c r="BQF176" s="83"/>
      <c r="BQP176" s="83"/>
      <c r="BQZ176" s="83"/>
      <c r="BRJ176" s="83"/>
      <c r="BRT176" s="83"/>
      <c r="BSD176" s="83"/>
      <c r="BSN176" s="83"/>
      <c r="BSX176" s="83"/>
      <c r="BTH176" s="83"/>
      <c r="BTR176" s="83"/>
      <c r="BUB176" s="83"/>
      <c r="BUL176" s="83"/>
      <c r="BUV176" s="83"/>
      <c r="BVF176" s="83"/>
      <c r="BVP176" s="83"/>
      <c r="BVZ176" s="83"/>
      <c r="BWJ176" s="83"/>
      <c r="BWT176" s="83"/>
      <c r="BXD176" s="83"/>
      <c r="BXN176" s="83"/>
      <c r="BXX176" s="83"/>
      <c r="BYH176" s="83"/>
      <c r="BYR176" s="83"/>
      <c r="BZB176" s="83"/>
      <c r="BZL176" s="83"/>
      <c r="BZV176" s="83"/>
      <c r="CAF176" s="83"/>
      <c r="CAP176" s="83"/>
      <c r="CAZ176" s="83"/>
      <c r="CBJ176" s="83"/>
      <c r="CBT176" s="83"/>
      <c r="CCD176" s="83"/>
      <c r="CCN176" s="83"/>
      <c r="CCX176" s="83"/>
      <c r="CDH176" s="83"/>
      <c r="CDR176" s="83"/>
      <c r="CEB176" s="83"/>
      <c r="CEL176" s="83"/>
      <c r="CEV176" s="83"/>
      <c r="CFF176" s="83"/>
      <c r="CFP176" s="83"/>
      <c r="CFZ176" s="83"/>
      <c r="CGJ176" s="83"/>
      <c r="CGT176" s="83"/>
      <c r="CHD176" s="83"/>
      <c r="CHN176" s="83"/>
      <c r="CHX176" s="83"/>
      <c r="CIH176" s="83"/>
      <c r="CIR176" s="83"/>
      <c r="CJB176" s="83"/>
      <c r="CJL176" s="83"/>
      <c r="CJV176" s="83"/>
      <c r="CKF176" s="83"/>
      <c r="CKP176" s="83"/>
      <c r="CKZ176" s="83"/>
      <c r="CLJ176" s="83"/>
      <c r="CLT176" s="83"/>
      <c r="CMD176" s="83"/>
      <c r="CMN176" s="83"/>
      <c r="CMX176" s="83"/>
      <c r="CNH176" s="83"/>
      <c r="CNR176" s="83"/>
      <c r="COB176" s="83"/>
      <c r="COL176" s="83"/>
      <c r="COV176" s="83"/>
      <c r="CPF176" s="83"/>
      <c r="CPP176" s="83"/>
      <c r="CPZ176" s="83"/>
      <c r="CQJ176" s="83"/>
      <c r="CQT176" s="83"/>
      <c r="CRD176" s="83"/>
      <c r="CRN176" s="83"/>
      <c r="CRX176" s="83"/>
      <c r="CSH176" s="83"/>
      <c r="CSR176" s="83"/>
      <c r="CTB176" s="83"/>
      <c r="CTL176" s="83"/>
      <c r="CTV176" s="83"/>
    </row>
    <row r="177" s="58" customFormat="1" customHeight="1" spans="1:1020 1030:2040 2050:2570">
      <c r="A177" s="79">
        <v>46148</v>
      </c>
      <c r="B177" s="94" t="s">
        <v>213</v>
      </c>
      <c r="C177" s="95" t="s">
        <v>214</v>
      </c>
      <c r="D177" s="75">
        <v>652347918</v>
      </c>
      <c r="E177" s="95" t="s">
        <v>224</v>
      </c>
      <c r="F177" s="77" t="str">
        <f>IFERROR(VLOOKUP(E177,[24]基础数据!$E$3:$H$7,2,0),"")</f>
        <v>DM1箱体</v>
      </c>
      <c r="G177" s="75">
        <v>66</v>
      </c>
      <c r="H177" s="77" t="str">
        <f>IFERROR(VLOOKUP(E177,[24]基础数据!$E$3:$H$7,4,0),"")</f>
        <v>围板箱</v>
      </c>
      <c r="I177" s="77">
        <f>IFERROR(VLOOKUP(E177,[24]基础数据!$E$3:$H$7,3,0),"")</f>
        <v>66</v>
      </c>
      <c r="J177" s="75" t="s">
        <v>306</v>
      </c>
      <c r="K177" s="78">
        <f t="shared" si="4"/>
        <v>1</v>
      </c>
      <c r="T177" s="83"/>
      <c r="AD177" s="83"/>
      <c r="AN177" s="83"/>
      <c r="AX177" s="83"/>
      <c r="BH177" s="83"/>
      <c r="BR177" s="83"/>
      <c r="CB177" s="83"/>
      <c r="CL177" s="83"/>
      <c r="CV177" s="83"/>
      <c r="DF177" s="83"/>
      <c r="DP177" s="83"/>
      <c r="DZ177" s="83"/>
      <c r="EJ177" s="83"/>
      <c r="ET177" s="83"/>
      <c r="FD177" s="83"/>
      <c r="FN177" s="83"/>
      <c r="FX177" s="83"/>
      <c r="GH177" s="83"/>
      <c r="GR177" s="83"/>
      <c r="HB177" s="83"/>
      <c r="HL177" s="83"/>
      <c r="HV177" s="83"/>
      <c r="IF177" s="83"/>
      <c r="IP177" s="83"/>
      <c r="IZ177" s="83"/>
      <c r="JJ177" s="83"/>
      <c r="JT177" s="83"/>
      <c r="KD177" s="83"/>
      <c r="KN177" s="83"/>
      <c r="KX177" s="83"/>
      <c r="LH177" s="83"/>
      <c r="LR177" s="83"/>
      <c r="MB177" s="83"/>
      <c r="ML177" s="83"/>
      <c r="MV177" s="83"/>
      <c r="NF177" s="83"/>
      <c r="NP177" s="83"/>
      <c r="NZ177" s="83"/>
      <c r="OJ177" s="83"/>
      <c r="OT177" s="83"/>
      <c r="PD177" s="83"/>
      <c r="PN177" s="83"/>
      <c r="PX177" s="83"/>
      <c r="QH177" s="83"/>
      <c r="QR177" s="83"/>
      <c r="RB177" s="83"/>
      <c r="RL177" s="83"/>
      <c r="RV177" s="83"/>
      <c r="SF177" s="83"/>
      <c r="SP177" s="83"/>
      <c r="SZ177" s="83"/>
      <c r="TJ177" s="83"/>
      <c r="TT177" s="83"/>
      <c r="UD177" s="83"/>
      <c r="UN177" s="83"/>
      <c r="UX177" s="83"/>
      <c r="VH177" s="83"/>
      <c r="VR177" s="83"/>
      <c r="WB177" s="83"/>
      <c r="WL177" s="83"/>
      <c r="WV177" s="83"/>
      <c r="XF177" s="83"/>
      <c r="XP177" s="83"/>
      <c r="XZ177" s="83"/>
      <c r="YJ177" s="83"/>
      <c r="YT177" s="83"/>
      <c r="ZD177" s="83"/>
      <c r="ZN177" s="83"/>
      <c r="ZX177" s="83"/>
      <c r="AAH177" s="83"/>
      <c r="AAR177" s="83"/>
      <c r="ABB177" s="83"/>
      <c r="ABL177" s="83"/>
      <c r="ABV177" s="83"/>
      <c r="ACF177" s="83"/>
      <c r="ACP177" s="83"/>
      <c r="ACZ177" s="83"/>
      <c r="ADJ177" s="83"/>
      <c r="ADT177" s="83"/>
      <c r="AED177" s="83"/>
      <c r="AEN177" s="83"/>
      <c r="AEX177" s="83"/>
      <c r="AFH177" s="83"/>
      <c r="AFR177" s="83"/>
      <c r="AGB177" s="83"/>
      <c r="AGL177" s="83"/>
      <c r="AGV177" s="83"/>
      <c r="AHF177" s="83"/>
      <c r="AHP177" s="83"/>
      <c r="AHZ177" s="83"/>
      <c r="AIJ177" s="83"/>
      <c r="AIT177" s="83"/>
      <c r="AJD177" s="83"/>
      <c r="AJN177" s="83"/>
      <c r="AJX177" s="83"/>
      <c r="AKH177" s="83"/>
      <c r="AKR177" s="83"/>
      <c r="ALB177" s="83"/>
      <c r="ALL177" s="83"/>
      <c r="ALV177" s="83"/>
      <c r="AMF177" s="83"/>
      <c r="AMP177" s="83"/>
      <c r="AMZ177" s="83"/>
      <c r="ANJ177" s="83"/>
      <c r="ANT177" s="83"/>
      <c r="AOD177" s="83"/>
      <c r="AON177" s="83"/>
      <c r="AOX177" s="83"/>
      <c r="APH177" s="83"/>
      <c r="APR177" s="83"/>
      <c r="AQB177" s="83"/>
      <c r="AQL177" s="83"/>
      <c r="AQV177" s="83"/>
      <c r="ARF177" s="83"/>
      <c r="ARP177" s="83"/>
      <c r="ARZ177" s="83"/>
      <c r="ASJ177" s="83"/>
      <c r="AST177" s="83"/>
      <c r="ATD177" s="83"/>
      <c r="ATN177" s="83"/>
      <c r="ATX177" s="83"/>
      <c r="AUH177" s="83"/>
      <c r="AUR177" s="83"/>
      <c r="AVB177" s="83"/>
      <c r="AVL177" s="83"/>
      <c r="AVV177" s="83"/>
      <c r="AWF177" s="83"/>
      <c r="AWP177" s="83"/>
      <c r="AWZ177" s="83"/>
      <c r="AXJ177" s="83"/>
      <c r="AXT177" s="83"/>
      <c r="AYD177" s="83"/>
      <c r="AYN177" s="83"/>
      <c r="AYX177" s="83"/>
      <c r="AZH177" s="83"/>
      <c r="AZR177" s="83"/>
      <c r="BAB177" s="83"/>
      <c r="BAL177" s="83"/>
      <c r="BAV177" s="83"/>
      <c r="BBF177" s="83"/>
      <c r="BBP177" s="83"/>
      <c r="BBZ177" s="83"/>
      <c r="BCJ177" s="83"/>
      <c r="BCT177" s="83"/>
      <c r="BDD177" s="83"/>
      <c r="BDN177" s="83"/>
      <c r="BDX177" s="83"/>
      <c r="BEH177" s="83"/>
      <c r="BER177" s="83"/>
      <c r="BFB177" s="83"/>
      <c r="BFL177" s="83"/>
      <c r="BFV177" s="83"/>
      <c r="BGF177" s="83"/>
      <c r="BGP177" s="83"/>
      <c r="BGZ177" s="83"/>
      <c r="BHJ177" s="83"/>
      <c r="BHT177" s="83"/>
      <c r="BID177" s="83"/>
      <c r="BIN177" s="83"/>
      <c r="BIX177" s="83"/>
      <c r="BJH177" s="83"/>
      <c r="BJR177" s="83"/>
      <c r="BKB177" s="83"/>
      <c r="BKL177" s="83"/>
      <c r="BKV177" s="83"/>
      <c r="BLF177" s="83"/>
      <c r="BLP177" s="83"/>
      <c r="BLZ177" s="83"/>
      <c r="BMJ177" s="83"/>
      <c r="BMT177" s="83"/>
      <c r="BND177" s="83"/>
      <c r="BNN177" s="83"/>
      <c r="BNX177" s="83"/>
      <c r="BOH177" s="83"/>
      <c r="BOR177" s="83"/>
      <c r="BPB177" s="83"/>
      <c r="BPL177" s="83"/>
      <c r="BPV177" s="83"/>
      <c r="BQF177" s="83"/>
      <c r="BQP177" s="83"/>
      <c r="BQZ177" s="83"/>
      <c r="BRJ177" s="83"/>
      <c r="BRT177" s="83"/>
      <c r="BSD177" s="83"/>
      <c r="BSN177" s="83"/>
      <c r="BSX177" s="83"/>
      <c r="BTH177" s="83"/>
      <c r="BTR177" s="83"/>
      <c r="BUB177" s="83"/>
      <c r="BUL177" s="83"/>
      <c r="BUV177" s="83"/>
      <c r="BVF177" s="83"/>
      <c r="BVP177" s="83"/>
      <c r="BVZ177" s="83"/>
      <c r="BWJ177" s="83"/>
      <c r="BWT177" s="83"/>
      <c r="BXD177" s="83"/>
      <c r="BXN177" s="83"/>
      <c r="BXX177" s="83"/>
      <c r="BYH177" s="83"/>
      <c r="BYR177" s="83"/>
      <c r="BZB177" s="83"/>
      <c r="BZL177" s="83"/>
      <c r="BZV177" s="83"/>
      <c r="CAF177" s="83"/>
      <c r="CAP177" s="83"/>
      <c r="CAZ177" s="83"/>
      <c r="CBJ177" s="83"/>
      <c r="CBT177" s="83"/>
      <c r="CCD177" s="83"/>
      <c r="CCN177" s="83"/>
      <c r="CCX177" s="83"/>
      <c r="CDH177" s="83"/>
      <c r="CDR177" s="83"/>
      <c r="CEB177" s="83"/>
      <c r="CEL177" s="83"/>
      <c r="CEV177" s="83"/>
      <c r="CFF177" s="83"/>
      <c r="CFP177" s="83"/>
      <c r="CFZ177" s="83"/>
      <c r="CGJ177" s="83"/>
      <c r="CGT177" s="83"/>
      <c r="CHD177" s="83"/>
      <c r="CHN177" s="83"/>
      <c r="CHX177" s="83"/>
      <c r="CIH177" s="83"/>
      <c r="CIR177" s="83"/>
      <c r="CJB177" s="83"/>
      <c r="CJL177" s="83"/>
      <c r="CJV177" s="83"/>
      <c r="CKF177" s="83"/>
      <c r="CKP177" s="83"/>
      <c r="CKZ177" s="83"/>
      <c r="CLJ177" s="83"/>
      <c r="CLT177" s="83"/>
      <c r="CMD177" s="83"/>
      <c r="CMN177" s="83"/>
      <c r="CMX177" s="83"/>
      <c r="CNH177" s="83"/>
      <c r="CNR177" s="83"/>
      <c r="COB177" s="83"/>
      <c r="COL177" s="83"/>
      <c r="COV177" s="83"/>
      <c r="CPF177" s="83"/>
      <c r="CPP177" s="83"/>
      <c r="CPZ177" s="83"/>
      <c r="CQJ177" s="83"/>
      <c r="CQT177" s="83"/>
      <c r="CRD177" s="83"/>
      <c r="CRN177" s="83"/>
      <c r="CRX177" s="83"/>
      <c r="CSH177" s="83"/>
      <c r="CSR177" s="83"/>
      <c r="CTB177" s="83"/>
      <c r="CTL177" s="83"/>
      <c r="CTV177" s="83"/>
    </row>
    <row r="178" s="58" customFormat="1" customHeight="1" spans="1:1020 1030:2040 2050:2570">
      <c r="A178" s="79">
        <v>46148</v>
      </c>
      <c r="B178" s="94" t="s">
        <v>213</v>
      </c>
      <c r="C178" s="95" t="s">
        <v>214</v>
      </c>
      <c r="D178" s="75">
        <v>652349312</v>
      </c>
      <c r="E178" s="96" t="s">
        <v>216</v>
      </c>
      <c r="F178" s="77" t="str">
        <f>IFERROR(VLOOKUP(E178,[24]基础数据!$E$3:$H$7,2,0),"")</f>
        <v>D06电源壳体</v>
      </c>
      <c r="G178" s="75">
        <v>1936</v>
      </c>
      <c r="H178" s="77" t="str">
        <f>IFERROR(VLOOKUP(E178,[24]基础数据!$E$3:$H$7,4,0),"")</f>
        <v>围板箱</v>
      </c>
      <c r="I178" s="77">
        <f>IFERROR(VLOOKUP(E178,[24]基础数据!$E$3:$H$7,3,0),"")</f>
        <v>176</v>
      </c>
      <c r="J178" s="75" t="s">
        <v>306</v>
      </c>
      <c r="K178" s="78">
        <f t="shared" si="4"/>
        <v>11</v>
      </c>
      <c r="T178" s="83"/>
      <c r="AD178" s="83"/>
      <c r="AN178" s="83"/>
      <c r="AX178" s="83"/>
      <c r="BH178" s="83"/>
      <c r="BR178" s="83"/>
      <c r="CB178" s="83"/>
      <c r="CL178" s="83"/>
      <c r="CV178" s="83"/>
      <c r="DF178" s="83"/>
      <c r="DP178" s="83"/>
      <c r="DZ178" s="83"/>
      <c r="EJ178" s="83"/>
      <c r="ET178" s="83"/>
      <c r="FD178" s="83"/>
      <c r="FN178" s="83"/>
      <c r="FX178" s="83"/>
      <c r="GH178" s="83"/>
      <c r="GR178" s="83"/>
      <c r="HB178" s="83"/>
      <c r="HL178" s="83"/>
      <c r="HV178" s="83"/>
      <c r="IF178" s="83"/>
      <c r="IP178" s="83"/>
      <c r="IZ178" s="83"/>
      <c r="JJ178" s="83"/>
      <c r="JT178" s="83"/>
      <c r="KD178" s="83"/>
      <c r="KN178" s="83"/>
      <c r="KX178" s="83"/>
      <c r="LH178" s="83"/>
      <c r="LR178" s="83"/>
      <c r="MB178" s="83"/>
      <c r="ML178" s="83"/>
      <c r="MV178" s="83"/>
      <c r="NF178" s="83"/>
      <c r="NP178" s="83"/>
      <c r="NZ178" s="83"/>
      <c r="OJ178" s="83"/>
      <c r="OT178" s="83"/>
      <c r="PD178" s="83"/>
      <c r="PN178" s="83"/>
      <c r="PX178" s="83"/>
      <c r="QH178" s="83"/>
      <c r="QR178" s="83"/>
      <c r="RB178" s="83"/>
      <c r="RL178" s="83"/>
      <c r="RV178" s="83"/>
      <c r="SF178" s="83"/>
      <c r="SP178" s="83"/>
      <c r="SZ178" s="83"/>
      <c r="TJ178" s="83"/>
      <c r="TT178" s="83"/>
      <c r="UD178" s="83"/>
      <c r="UN178" s="83"/>
      <c r="UX178" s="83"/>
      <c r="VH178" s="83"/>
      <c r="VR178" s="83"/>
      <c r="WB178" s="83"/>
      <c r="WL178" s="83"/>
      <c r="WV178" s="83"/>
      <c r="XF178" s="83"/>
      <c r="XP178" s="83"/>
      <c r="XZ178" s="83"/>
      <c r="YJ178" s="83"/>
      <c r="YT178" s="83"/>
      <c r="ZD178" s="83"/>
      <c r="ZN178" s="83"/>
      <c r="ZX178" s="83"/>
      <c r="AAH178" s="83"/>
      <c r="AAR178" s="83"/>
      <c r="ABB178" s="83"/>
      <c r="ABL178" s="83"/>
      <c r="ABV178" s="83"/>
      <c r="ACF178" s="83"/>
      <c r="ACP178" s="83"/>
      <c r="ACZ178" s="83"/>
      <c r="ADJ178" s="83"/>
      <c r="ADT178" s="83"/>
      <c r="AED178" s="83"/>
      <c r="AEN178" s="83"/>
      <c r="AEX178" s="83"/>
      <c r="AFH178" s="83"/>
      <c r="AFR178" s="83"/>
      <c r="AGB178" s="83"/>
      <c r="AGL178" s="83"/>
      <c r="AGV178" s="83"/>
      <c r="AHF178" s="83"/>
      <c r="AHP178" s="83"/>
      <c r="AHZ178" s="83"/>
      <c r="AIJ178" s="83"/>
      <c r="AIT178" s="83"/>
      <c r="AJD178" s="83"/>
      <c r="AJN178" s="83"/>
      <c r="AJX178" s="83"/>
      <c r="AKH178" s="83"/>
      <c r="AKR178" s="83"/>
      <c r="ALB178" s="83"/>
      <c r="ALL178" s="83"/>
      <c r="ALV178" s="83"/>
      <c r="AMF178" s="83"/>
      <c r="AMP178" s="83"/>
      <c r="AMZ178" s="83"/>
      <c r="ANJ178" s="83"/>
      <c r="ANT178" s="83"/>
      <c r="AOD178" s="83"/>
      <c r="AON178" s="83"/>
      <c r="AOX178" s="83"/>
      <c r="APH178" s="83"/>
      <c r="APR178" s="83"/>
      <c r="AQB178" s="83"/>
      <c r="AQL178" s="83"/>
      <c r="AQV178" s="83"/>
      <c r="ARF178" s="83"/>
      <c r="ARP178" s="83"/>
      <c r="ARZ178" s="83"/>
      <c r="ASJ178" s="83"/>
      <c r="AST178" s="83"/>
      <c r="ATD178" s="83"/>
      <c r="ATN178" s="83"/>
      <c r="ATX178" s="83"/>
      <c r="AUH178" s="83"/>
      <c r="AUR178" s="83"/>
      <c r="AVB178" s="83"/>
      <c r="AVL178" s="83"/>
      <c r="AVV178" s="83"/>
      <c r="AWF178" s="83"/>
      <c r="AWP178" s="83"/>
      <c r="AWZ178" s="83"/>
      <c r="AXJ178" s="83"/>
      <c r="AXT178" s="83"/>
      <c r="AYD178" s="83"/>
      <c r="AYN178" s="83"/>
      <c r="AYX178" s="83"/>
      <c r="AZH178" s="83"/>
      <c r="AZR178" s="83"/>
      <c r="BAB178" s="83"/>
      <c r="BAL178" s="83"/>
      <c r="BAV178" s="83"/>
      <c r="BBF178" s="83"/>
      <c r="BBP178" s="83"/>
      <c r="BBZ178" s="83"/>
      <c r="BCJ178" s="83"/>
      <c r="BCT178" s="83"/>
      <c r="BDD178" s="83"/>
      <c r="BDN178" s="83"/>
      <c r="BDX178" s="83"/>
      <c r="BEH178" s="83"/>
      <c r="BER178" s="83"/>
      <c r="BFB178" s="83"/>
      <c r="BFL178" s="83"/>
      <c r="BFV178" s="83"/>
      <c r="BGF178" s="83"/>
      <c r="BGP178" s="83"/>
      <c r="BGZ178" s="83"/>
      <c r="BHJ178" s="83"/>
      <c r="BHT178" s="83"/>
      <c r="BID178" s="83"/>
      <c r="BIN178" s="83"/>
      <c r="BIX178" s="83"/>
      <c r="BJH178" s="83"/>
      <c r="BJR178" s="83"/>
      <c r="BKB178" s="83"/>
      <c r="BKL178" s="83"/>
      <c r="BKV178" s="83"/>
      <c r="BLF178" s="83"/>
      <c r="BLP178" s="83"/>
      <c r="BLZ178" s="83"/>
      <c r="BMJ178" s="83"/>
      <c r="BMT178" s="83"/>
      <c r="BND178" s="83"/>
      <c r="BNN178" s="83"/>
      <c r="BNX178" s="83"/>
      <c r="BOH178" s="83"/>
      <c r="BOR178" s="83"/>
      <c r="BPB178" s="83"/>
      <c r="BPL178" s="83"/>
      <c r="BPV178" s="83"/>
      <c r="BQF178" s="83"/>
      <c r="BQP178" s="83"/>
      <c r="BQZ178" s="83"/>
      <c r="BRJ178" s="83"/>
      <c r="BRT178" s="83"/>
      <c r="BSD178" s="83"/>
      <c r="BSN178" s="83"/>
      <c r="BSX178" s="83"/>
      <c r="BTH178" s="83"/>
      <c r="BTR178" s="83"/>
      <c r="BUB178" s="83"/>
      <c r="BUL178" s="83"/>
      <c r="BUV178" s="83"/>
      <c r="BVF178" s="83"/>
      <c r="BVP178" s="83"/>
      <c r="BVZ178" s="83"/>
      <c r="BWJ178" s="83"/>
      <c r="BWT178" s="83"/>
      <c r="BXD178" s="83"/>
      <c r="BXN178" s="83"/>
      <c r="BXX178" s="83"/>
      <c r="BYH178" s="83"/>
      <c r="BYR178" s="83"/>
      <c r="BZB178" s="83"/>
      <c r="BZL178" s="83"/>
      <c r="BZV178" s="83"/>
      <c r="CAF178" s="83"/>
      <c r="CAP178" s="83"/>
      <c r="CAZ178" s="83"/>
      <c r="CBJ178" s="83"/>
      <c r="CBT178" s="83"/>
      <c r="CCD178" s="83"/>
      <c r="CCN178" s="83"/>
      <c r="CCX178" s="83"/>
      <c r="CDH178" s="83"/>
      <c r="CDR178" s="83"/>
      <c r="CEB178" s="83"/>
      <c r="CEL178" s="83"/>
      <c r="CEV178" s="83"/>
      <c r="CFF178" s="83"/>
      <c r="CFP178" s="83"/>
      <c r="CFZ178" s="83"/>
      <c r="CGJ178" s="83"/>
      <c r="CGT178" s="83"/>
      <c r="CHD178" s="83"/>
      <c r="CHN178" s="83"/>
      <c r="CHX178" s="83"/>
      <c r="CIH178" s="83"/>
      <c r="CIR178" s="83"/>
      <c r="CJB178" s="83"/>
      <c r="CJL178" s="83"/>
      <c r="CJV178" s="83"/>
      <c r="CKF178" s="83"/>
      <c r="CKP178" s="83"/>
      <c r="CKZ178" s="83"/>
      <c r="CLJ178" s="83"/>
      <c r="CLT178" s="83"/>
      <c r="CMD178" s="83"/>
      <c r="CMN178" s="83"/>
      <c r="CMX178" s="83"/>
      <c r="CNH178" s="83"/>
      <c r="CNR178" s="83"/>
      <c r="COB178" s="83"/>
      <c r="COL178" s="83"/>
      <c r="COV178" s="83"/>
      <c r="CPF178" s="83"/>
      <c r="CPP178" s="83"/>
      <c r="CPZ178" s="83"/>
      <c r="CQJ178" s="83"/>
      <c r="CQT178" s="83"/>
      <c r="CRD178" s="83"/>
      <c r="CRN178" s="83"/>
      <c r="CRX178" s="83"/>
      <c r="CSH178" s="83"/>
      <c r="CSR178" s="83"/>
      <c r="CTB178" s="83"/>
      <c r="CTL178" s="83"/>
      <c r="CTV178" s="83"/>
    </row>
    <row r="179" s="58" customFormat="1" ht="23.4" customHeight="1" spans="1:1020 1030:2040 2050:2570">
      <c r="A179" s="79">
        <v>46149</v>
      </c>
      <c r="B179" s="94" t="s">
        <v>213</v>
      </c>
      <c r="C179" s="95" t="s">
        <v>214</v>
      </c>
      <c r="D179" s="75">
        <v>652354901</v>
      </c>
      <c r="E179" s="95" t="s">
        <v>220</v>
      </c>
      <c r="F179" s="77" t="str">
        <f>IFERROR(VLOOKUP(E179,[25]基础数据!$E$3:$H$7,2,0),"")</f>
        <v>DM2上箱体</v>
      </c>
      <c r="G179" s="75">
        <v>1134</v>
      </c>
      <c r="H179" s="77" t="str">
        <f>IFERROR(VLOOKUP(E179,[25]基础数据!$E$3:$H$7,4,0),"")</f>
        <v>围板箱</v>
      </c>
      <c r="I179" s="77">
        <f>IFERROR(VLOOKUP(E179,[25]基础数据!$E$3:$H$7,3,0),"")</f>
        <v>54</v>
      </c>
      <c r="J179" s="75" t="s">
        <v>306</v>
      </c>
      <c r="K179" s="78">
        <f t="shared" si="4"/>
        <v>21</v>
      </c>
      <c r="T179" s="83"/>
      <c r="AD179" s="83"/>
      <c r="AN179" s="83"/>
      <c r="AX179" s="83"/>
      <c r="BH179" s="83"/>
      <c r="BR179" s="83"/>
      <c r="CB179" s="83"/>
      <c r="CL179" s="83"/>
      <c r="CV179" s="83"/>
      <c r="DF179" s="83"/>
      <c r="DP179" s="83"/>
      <c r="DZ179" s="83"/>
      <c r="EJ179" s="83"/>
      <c r="ET179" s="83"/>
      <c r="FD179" s="83"/>
      <c r="FN179" s="83"/>
      <c r="FX179" s="83"/>
      <c r="GH179" s="83"/>
      <c r="GR179" s="83"/>
      <c r="HB179" s="83"/>
      <c r="HL179" s="83"/>
      <c r="HV179" s="83"/>
      <c r="IF179" s="83"/>
      <c r="IP179" s="83"/>
      <c r="IZ179" s="83"/>
      <c r="JJ179" s="83"/>
      <c r="JT179" s="83"/>
      <c r="KD179" s="83"/>
      <c r="KN179" s="83"/>
      <c r="KX179" s="83"/>
      <c r="LH179" s="83"/>
      <c r="LR179" s="83"/>
      <c r="MB179" s="83"/>
      <c r="ML179" s="83"/>
      <c r="MV179" s="83"/>
      <c r="NF179" s="83"/>
      <c r="NP179" s="83"/>
      <c r="NZ179" s="83"/>
      <c r="OJ179" s="83"/>
      <c r="OT179" s="83"/>
      <c r="PD179" s="83"/>
      <c r="PN179" s="83"/>
      <c r="PX179" s="83"/>
      <c r="QH179" s="83"/>
      <c r="QR179" s="83"/>
      <c r="RB179" s="83"/>
      <c r="RL179" s="83"/>
      <c r="RV179" s="83"/>
      <c r="SF179" s="83"/>
      <c r="SP179" s="83"/>
      <c r="SZ179" s="83"/>
      <c r="TJ179" s="83"/>
      <c r="TT179" s="83"/>
      <c r="UD179" s="83"/>
      <c r="UN179" s="83"/>
      <c r="UX179" s="83"/>
      <c r="VH179" s="83"/>
      <c r="VR179" s="83"/>
      <c r="WB179" s="83"/>
      <c r="WL179" s="83"/>
      <c r="WV179" s="83"/>
      <c r="XF179" s="83"/>
      <c r="XP179" s="83"/>
      <c r="XZ179" s="83"/>
      <c r="YJ179" s="83"/>
      <c r="YT179" s="83"/>
      <c r="ZD179" s="83"/>
      <c r="ZN179" s="83"/>
      <c r="ZX179" s="83"/>
      <c r="AAH179" s="83"/>
      <c r="AAR179" s="83"/>
      <c r="ABB179" s="83"/>
      <c r="ABL179" s="83"/>
      <c r="ABV179" s="83"/>
      <c r="ACF179" s="83"/>
      <c r="ACP179" s="83"/>
      <c r="ACZ179" s="83"/>
      <c r="ADJ179" s="83"/>
      <c r="ADT179" s="83"/>
      <c r="AED179" s="83"/>
      <c r="AEN179" s="83"/>
      <c r="AEX179" s="83"/>
      <c r="AFH179" s="83"/>
      <c r="AFR179" s="83"/>
      <c r="AGB179" s="83"/>
      <c r="AGL179" s="83"/>
      <c r="AGV179" s="83"/>
      <c r="AHF179" s="83"/>
      <c r="AHP179" s="83"/>
      <c r="AHZ179" s="83"/>
      <c r="AIJ179" s="83"/>
      <c r="AIT179" s="83"/>
      <c r="AJD179" s="83"/>
      <c r="AJN179" s="83"/>
      <c r="AJX179" s="83"/>
      <c r="AKH179" s="83"/>
      <c r="AKR179" s="83"/>
      <c r="ALB179" s="83"/>
      <c r="ALL179" s="83"/>
      <c r="ALV179" s="83"/>
      <c r="AMF179" s="83"/>
      <c r="AMP179" s="83"/>
      <c r="AMZ179" s="83"/>
      <c r="ANJ179" s="83"/>
      <c r="ANT179" s="83"/>
      <c r="AOD179" s="83"/>
      <c r="AON179" s="83"/>
      <c r="AOX179" s="83"/>
      <c r="APH179" s="83"/>
      <c r="APR179" s="83"/>
      <c r="AQB179" s="83"/>
      <c r="AQL179" s="83"/>
      <c r="AQV179" s="83"/>
      <c r="ARF179" s="83"/>
      <c r="ARP179" s="83"/>
      <c r="ARZ179" s="83"/>
      <c r="ASJ179" s="83"/>
      <c r="AST179" s="83"/>
      <c r="ATD179" s="83"/>
      <c r="ATN179" s="83"/>
      <c r="ATX179" s="83"/>
      <c r="AUH179" s="83"/>
      <c r="AUR179" s="83"/>
      <c r="AVB179" s="83"/>
      <c r="AVL179" s="83"/>
      <c r="AVV179" s="83"/>
      <c r="AWF179" s="83"/>
      <c r="AWP179" s="83"/>
      <c r="AWZ179" s="83"/>
      <c r="AXJ179" s="83"/>
      <c r="AXT179" s="83"/>
      <c r="AYD179" s="83"/>
      <c r="AYN179" s="83"/>
      <c r="AYX179" s="83"/>
      <c r="AZH179" s="83"/>
      <c r="AZR179" s="83"/>
      <c r="BAB179" s="83"/>
      <c r="BAL179" s="83"/>
      <c r="BAV179" s="83"/>
      <c r="BBF179" s="83"/>
      <c r="BBP179" s="83"/>
      <c r="BBZ179" s="83"/>
      <c r="BCJ179" s="83"/>
      <c r="BCT179" s="83"/>
      <c r="BDD179" s="83"/>
      <c r="BDN179" s="83"/>
      <c r="BDX179" s="83"/>
      <c r="BEH179" s="83"/>
      <c r="BER179" s="83"/>
      <c r="BFB179" s="83"/>
      <c r="BFL179" s="83"/>
      <c r="BFV179" s="83"/>
      <c r="BGF179" s="83"/>
      <c r="BGP179" s="83"/>
      <c r="BGZ179" s="83"/>
      <c r="BHJ179" s="83"/>
      <c r="BHT179" s="83"/>
      <c r="BID179" s="83"/>
      <c r="BIN179" s="83"/>
      <c r="BIX179" s="83"/>
      <c r="BJH179" s="83"/>
      <c r="BJR179" s="83"/>
      <c r="BKB179" s="83"/>
      <c r="BKL179" s="83"/>
      <c r="BKV179" s="83"/>
      <c r="BLF179" s="83"/>
      <c r="BLP179" s="83"/>
      <c r="BLZ179" s="83"/>
      <c r="BMJ179" s="83"/>
      <c r="BMT179" s="83"/>
      <c r="BND179" s="83"/>
      <c r="BNN179" s="83"/>
      <c r="BNX179" s="83"/>
      <c r="BOH179" s="83"/>
      <c r="BOR179" s="83"/>
      <c r="BPB179" s="83"/>
      <c r="BPL179" s="83"/>
      <c r="BPV179" s="83"/>
      <c r="BQF179" s="83"/>
      <c r="BQP179" s="83"/>
      <c r="BQZ179" s="83"/>
      <c r="BRJ179" s="83"/>
      <c r="BRT179" s="83"/>
      <c r="BSD179" s="83"/>
      <c r="BSN179" s="83"/>
      <c r="BSX179" s="83"/>
      <c r="BTH179" s="83"/>
      <c r="BTR179" s="83"/>
      <c r="BUB179" s="83"/>
      <c r="BUL179" s="83"/>
      <c r="BUV179" s="83"/>
      <c r="BVF179" s="83"/>
      <c r="BVP179" s="83"/>
      <c r="BVZ179" s="83"/>
      <c r="BWJ179" s="83"/>
      <c r="BWT179" s="83"/>
      <c r="BXD179" s="83"/>
      <c r="BXN179" s="83"/>
      <c r="BXX179" s="83"/>
      <c r="BYH179" s="83"/>
      <c r="BYR179" s="83"/>
      <c r="BZB179" s="83"/>
      <c r="BZL179" s="83"/>
      <c r="BZV179" s="83"/>
      <c r="CAF179" s="83"/>
      <c r="CAP179" s="83"/>
      <c r="CAZ179" s="83"/>
      <c r="CBJ179" s="83"/>
      <c r="CBT179" s="83"/>
      <c r="CCD179" s="83"/>
      <c r="CCN179" s="83"/>
      <c r="CCX179" s="83"/>
      <c r="CDH179" s="83"/>
      <c r="CDR179" s="83"/>
      <c r="CEB179" s="83"/>
      <c r="CEL179" s="83"/>
      <c r="CEV179" s="83"/>
      <c r="CFF179" s="83"/>
      <c r="CFP179" s="83"/>
      <c r="CFZ179" s="83"/>
      <c r="CGJ179" s="83"/>
      <c r="CGT179" s="83"/>
      <c r="CHD179" s="83"/>
      <c r="CHN179" s="83"/>
      <c r="CHX179" s="83"/>
      <c r="CIH179" s="83"/>
      <c r="CIR179" s="83"/>
      <c r="CJB179" s="83"/>
      <c r="CJL179" s="83"/>
      <c r="CJV179" s="83"/>
      <c r="CKF179" s="83"/>
      <c r="CKP179" s="83"/>
      <c r="CKZ179" s="83"/>
      <c r="CLJ179" s="83"/>
      <c r="CLT179" s="83"/>
      <c r="CMD179" s="83"/>
      <c r="CMN179" s="83"/>
      <c r="CMX179" s="83"/>
      <c r="CNH179" s="83"/>
      <c r="CNR179" s="83"/>
      <c r="COB179" s="83"/>
      <c r="COL179" s="83"/>
      <c r="COV179" s="83"/>
      <c r="CPF179" s="83"/>
      <c r="CPP179" s="83"/>
      <c r="CPZ179" s="83"/>
      <c r="CQJ179" s="83"/>
      <c r="CQT179" s="83"/>
      <c r="CRD179" s="83"/>
      <c r="CRN179" s="83"/>
      <c r="CRX179" s="83"/>
      <c r="CSH179" s="83"/>
      <c r="CSR179" s="83"/>
      <c r="CTB179" s="83"/>
      <c r="CTL179" s="83"/>
      <c r="CTV179" s="83"/>
    </row>
    <row r="180" s="58" customFormat="1" customHeight="1" spans="1:1020 1030:2040 2050:2570">
      <c r="A180" s="79">
        <v>46149</v>
      </c>
      <c r="B180" s="94" t="s">
        <v>213</v>
      </c>
      <c r="C180" s="95" t="s">
        <v>214</v>
      </c>
      <c r="D180" s="75">
        <v>652355198</v>
      </c>
      <c r="E180" s="95" t="s">
        <v>222</v>
      </c>
      <c r="F180" s="77" t="str">
        <f>IFERROR(VLOOKUP(E180,[25]基础数据!$E$3:$H$7,2,0),"")</f>
        <v>DM2下箱体</v>
      </c>
      <c r="G180" s="75">
        <v>1122</v>
      </c>
      <c r="H180" s="77" t="str">
        <f>IFERROR(VLOOKUP(E180,[25]基础数据!$E$3:$H$7,4,0),"")</f>
        <v>围板箱</v>
      </c>
      <c r="I180" s="77">
        <f>IFERROR(VLOOKUP(E180,[25]基础数据!$E$3:$H$7,3,0),"")</f>
        <v>66</v>
      </c>
      <c r="J180" s="75" t="s">
        <v>306</v>
      </c>
      <c r="K180" s="78">
        <f t="shared" si="4"/>
        <v>17</v>
      </c>
      <c r="T180" s="83"/>
      <c r="AD180" s="83"/>
      <c r="AN180" s="83"/>
      <c r="AX180" s="83"/>
      <c r="BH180" s="83"/>
      <c r="BR180" s="83"/>
      <c r="CB180" s="83"/>
      <c r="CL180" s="83"/>
      <c r="CV180" s="83"/>
      <c r="DF180" s="83"/>
      <c r="DP180" s="83"/>
      <c r="DZ180" s="83"/>
      <c r="EJ180" s="83"/>
      <c r="ET180" s="83"/>
      <c r="FD180" s="83"/>
      <c r="FN180" s="83"/>
      <c r="FX180" s="83"/>
      <c r="GH180" s="83"/>
      <c r="GR180" s="83"/>
      <c r="HB180" s="83"/>
      <c r="HL180" s="83"/>
      <c r="HV180" s="83"/>
      <c r="IF180" s="83"/>
      <c r="IP180" s="83"/>
      <c r="IZ180" s="83"/>
      <c r="JJ180" s="83"/>
      <c r="JT180" s="83"/>
      <c r="KD180" s="83"/>
      <c r="KN180" s="83"/>
      <c r="KX180" s="83"/>
      <c r="LH180" s="83"/>
      <c r="LR180" s="83"/>
      <c r="MB180" s="83"/>
      <c r="ML180" s="83"/>
      <c r="MV180" s="83"/>
      <c r="NF180" s="83"/>
      <c r="NP180" s="83"/>
      <c r="NZ180" s="83"/>
      <c r="OJ180" s="83"/>
      <c r="OT180" s="83"/>
      <c r="PD180" s="83"/>
      <c r="PN180" s="83"/>
      <c r="PX180" s="83"/>
      <c r="QH180" s="83"/>
      <c r="QR180" s="83"/>
      <c r="RB180" s="83"/>
      <c r="RL180" s="83"/>
      <c r="RV180" s="83"/>
      <c r="SF180" s="83"/>
      <c r="SP180" s="83"/>
      <c r="SZ180" s="83"/>
      <c r="TJ180" s="83"/>
      <c r="TT180" s="83"/>
      <c r="UD180" s="83"/>
      <c r="UN180" s="83"/>
      <c r="UX180" s="83"/>
      <c r="VH180" s="83"/>
      <c r="VR180" s="83"/>
      <c r="WB180" s="83"/>
      <c r="WL180" s="83"/>
      <c r="WV180" s="83"/>
      <c r="XF180" s="83"/>
      <c r="XP180" s="83"/>
      <c r="XZ180" s="83"/>
      <c r="YJ180" s="83"/>
      <c r="YT180" s="83"/>
      <c r="ZD180" s="83"/>
      <c r="ZN180" s="83"/>
      <c r="ZX180" s="83"/>
      <c r="AAH180" s="83"/>
      <c r="AAR180" s="83"/>
      <c r="ABB180" s="83"/>
      <c r="ABL180" s="83"/>
      <c r="ABV180" s="83"/>
      <c r="ACF180" s="83"/>
      <c r="ACP180" s="83"/>
      <c r="ACZ180" s="83"/>
      <c r="ADJ180" s="83"/>
      <c r="ADT180" s="83"/>
      <c r="AED180" s="83"/>
      <c r="AEN180" s="83"/>
      <c r="AEX180" s="83"/>
      <c r="AFH180" s="83"/>
      <c r="AFR180" s="83"/>
      <c r="AGB180" s="83"/>
      <c r="AGL180" s="83"/>
      <c r="AGV180" s="83"/>
      <c r="AHF180" s="83"/>
      <c r="AHP180" s="83"/>
      <c r="AHZ180" s="83"/>
      <c r="AIJ180" s="83"/>
      <c r="AIT180" s="83"/>
      <c r="AJD180" s="83"/>
      <c r="AJN180" s="83"/>
      <c r="AJX180" s="83"/>
      <c r="AKH180" s="83"/>
      <c r="AKR180" s="83"/>
      <c r="ALB180" s="83"/>
      <c r="ALL180" s="83"/>
      <c r="ALV180" s="83"/>
      <c r="AMF180" s="83"/>
      <c r="AMP180" s="83"/>
      <c r="AMZ180" s="83"/>
      <c r="ANJ180" s="83"/>
      <c r="ANT180" s="83"/>
      <c r="AOD180" s="83"/>
      <c r="AON180" s="83"/>
      <c r="AOX180" s="83"/>
      <c r="APH180" s="83"/>
      <c r="APR180" s="83"/>
      <c r="AQB180" s="83"/>
      <c r="AQL180" s="83"/>
      <c r="AQV180" s="83"/>
      <c r="ARF180" s="83"/>
      <c r="ARP180" s="83"/>
      <c r="ARZ180" s="83"/>
      <c r="ASJ180" s="83"/>
      <c r="AST180" s="83"/>
      <c r="ATD180" s="83"/>
      <c r="ATN180" s="83"/>
      <c r="ATX180" s="83"/>
      <c r="AUH180" s="83"/>
      <c r="AUR180" s="83"/>
      <c r="AVB180" s="83"/>
      <c r="AVL180" s="83"/>
      <c r="AVV180" s="83"/>
      <c r="AWF180" s="83"/>
      <c r="AWP180" s="83"/>
      <c r="AWZ180" s="83"/>
      <c r="AXJ180" s="83"/>
      <c r="AXT180" s="83"/>
      <c r="AYD180" s="83"/>
      <c r="AYN180" s="83"/>
      <c r="AYX180" s="83"/>
      <c r="AZH180" s="83"/>
      <c r="AZR180" s="83"/>
      <c r="BAB180" s="83"/>
      <c r="BAL180" s="83"/>
      <c r="BAV180" s="83"/>
      <c r="BBF180" s="83"/>
      <c r="BBP180" s="83"/>
      <c r="BBZ180" s="83"/>
      <c r="BCJ180" s="83"/>
      <c r="BCT180" s="83"/>
      <c r="BDD180" s="83"/>
      <c r="BDN180" s="83"/>
      <c r="BDX180" s="83"/>
      <c r="BEH180" s="83"/>
      <c r="BER180" s="83"/>
      <c r="BFB180" s="83"/>
      <c r="BFL180" s="83"/>
      <c r="BFV180" s="83"/>
      <c r="BGF180" s="83"/>
      <c r="BGP180" s="83"/>
      <c r="BGZ180" s="83"/>
      <c r="BHJ180" s="83"/>
      <c r="BHT180" s="83"/>
      <c r="BID180" s="83"/>
      <c r="BIN180" s="83"/>
      <c r="BIX180" s="83"/>
      <c r="BJH180" s="83"/>
      <c r="BJR180" s="83"/>
      <c r="BKB180" s="83"/>
      <c r="BKL180" s="83"/>
      <c r="BKV180" s="83"/>
      <c r="BLF180" s="83"/>
      <c r="BLP180" s="83"/>
      <c r="BLZ180" s="83"/>
      <c r="BMJ180" s="83"/>
      <c r="BMT180" s="83"/>
      <c r="BND180" s="83"/>
      <c r="BNN180" s="83"/>
      <c r="BNX180" s="83"/>
      <c r="BOH180" s="83"/>
      <c r="BOR180" s="83"/>
      <c r="BPB180" s="83"/>
      <c r="BPL180" s="83"/>
      <c r="BPV180" s="83"/>
      <c r="BQF180" s="83"/>
      <c r="BQP180" s="83"/>
      <c r="BQZ180" s="83"/>
      <c r="BRJ180" s="83"/>
      <c r="BRT180" s="83"/>
      <c r="BSD180" s="83"/>
      <c r="BSN180" s="83"/>
      <c r="BSX180" s="83"/>
      <c r="BTH180" s="83"/>
      <c r="BTR180" s="83"/>
      <c r="BUB180" s="83"/>
      <c r="BUL180" s="83"/>
      <c r="BUV180" s="83"/>
      <c r="BVF180" s="83"/>
      <c r="BVP180" s="83"/>
      <c r="BVZ180" s="83"/>
      <c r="BWJ180" s="83"/>
      <c r="BWT180" s="83"/>
      <c r="BXD180" s="83"/>
      <c r="BXN180" s="83"/>
      <c r="BXX180" s="83"/>
      <c r="BYH180" s="83"/>
      <c r="BYR180" s="83"/>
      <c r="BZB180" s="83"/>
      <c r="BZL180" s="83"/>
      <c r="BZV180" s="83"/>
      <c r="CAF180" s="83"/>
      <c r="CAP180" s="83"/>
      <c r="CAZ180" s="83"/>
      <c r="CBJ180" s="83"/>
      <c r="CBT180" s="83"/>
      <c r="CCD180" s="83"/>
      <c r="CCN180" s="83"/>
      <c r="CCX180" s="83"/>
      <c r="CDH180" s="83"/>
      <c r="CDR180" s="83"/>
      <c r="CEB180" s="83"/>
      <c r="CEL180" s="83"/>
      <c r="CEV180" s="83"/>
      <c r="CFF180" s="83"/>
      <c r="CFP180" s="83"/>
      <c r="CFZ180" s="83"/>
      <c r="CGJ180" s="83"/>
      <c r="CGT180" s="83"/>
      <c r="CHD180" s="83"/>
      <c r="CHN180" s="83"/>
      <c r="CHX180" s="83"/>
      <c r="CIH180" s="83"/>
      <c r="CIR180" s="83"/>
      <c r="CJB180" s="83"/>
      <c r="CJL180" s="83"/>
      <c r="CJV180" s="83"/>
      <c r="CKF180" s="83"/>
      <c r="CKP180" s="83"/>
      <c r="CKZ180" s="83"/>
      <c r="CLJ180" s="83"/>
      <c r="CLT180" s="83"/>
      <c r="CMD180" s="83"/>
      <c r="CMN180" s="83"/>
      <c r="CMX180" s="83"/>
      <c r="CNH180" s="83"/>
      <c r="CNR180" s="83"/>
      <c r="COB180" s="83"/>
      <c r="COL180" s="83"/>
      <c r="COV180" s="83"/>
      <c r="CPF180" s="83"/>
      <c r="CPP180" s="83"/>
      <c r="CPZ180" s="83"/>
      <c r="CQJ180" s="83"/>
      <c r="CQT180" s="83"/>
      <c r="CRD180" s="83"/>
      <c r="CRN180" s="83"/>
      <c r="CRX180" s="83"/>
      <c r="CSH180" s="83"/>
      <c r="CSR180" s="83"/>
      <c r="CTB180" s="83"/>
      <c r="CTL180" s="83"/>
      <c r="CTV180" s="83"/>
    </row>
    <row r="181" s="58" customFormat="1" customHeight="1" spans="1:1020 1030:2040 2050:2570">
      <c r="A181" s="79">
        <v>46150</v>
      </c>
      <c r="B181" s="94" t="s">
        <v>213</v>
      </c>
      <c r="C181" s="95" t="s">
        <v>214</v>
      </c>
      <c r="D181" s="75">
        <v>652362854</v>
      </c>
      <c r="E181" s="95" t="s">
        <v>222</v>
      </c>
      <c r="F181" s="77" t="str">
        <f>IFERROR(VLOOKUP(E181,[26]基础数据!$E$3:$H$7,2,0),"")</f>
        <v>DM2下箱体</v>
      </c>
      <c r="G181" s="75">
        <v>1056</v>
      </c>
      <c r="H181" s="77" t="str">
        <f>IFERROR(VLOOKUP(E181,[26]基础数据!$E$3:$H$7,4,0),"")</f>
        <v>围板箱</v>
      </c>
      <c r="I181" s="77">
        <f>IFERROR(VLOOKUP(E181,[26]基础数据!$E$3:$H$7,3,0),"")</f>
        <v>66</v>
      </c>
      <c r="J181" s="75" t="s">
        <v>306</v>
      </c>
      <c r="K181" s="78">
        <f t="shared" si="4"/>
        <v>16</v>
      </c>
      <c r="T181" s="83"/>
      <c r="AD181" s="83"/>
      <c r="AN181" s="83"/>
      <c r="AX181" s="83"/>
      <c r="BH181" s="83"/>
      <c r="BR181" s="83"/>
      <c r="CB181" s="83"/>
      <c r="CL181" s="83"/>
      <c r="CV181" s="83"/>
      <c r="DF181" s="83"/>
      <c r="DP181" s="83"/>
      <c r="DZ181" s="83"/>
      <c r="EJ181" s="83"/>
      <c r="ET181" s="83"/>
      <c r="FD181" s="83"/>
      <c r="FN181" s="83"/>
      <c r="FX181" s="83"/>
      <c r="GH181" s="83"/>
      <c r="GR181" s="83"/>
      <c r="HB181" s="83"/>
      <c r="HL181" s="83"/>
      <c r="HV181" s="83"/>
      <c r="IF181" s="83"/>
      <c r="IP181" s="83"/>
      <c r="IZ181" s="83"/>
      <c r="JJ181" s="83"/>
      <c r="JT181" s="83"/>
      <c r="KD181" s="83"/>
      <c r="KN181" s="83"/>
      <c r="KX181" s="83"/>
      <c r="LH181" s="83"/>
      <c r="LR181" s="83"/>
      <c r="MB181" s="83"/>
      <c r="ML181" s="83"/>
      <c r="MV181" s="83"/>
      <c r="NF181" s="83"/>
      <c r="NP181" s="83"/>
      <c r="NZ181" s="83"/>
      <c r="OJ181" s="83"/>
      <c r="OT181" s="83"/>
      <c r="PD181" s="83"/>
      <c r="PN181" s="83"/>
      <c r="PX181" s="83"/>
      <c r="QH181" s="83"/>
      <c r="QR181" s="83"/>
      <c r="RB181" s="83"/>
      <c r="RL181" s="83"/>
      <c r="RV181" s="83"/>
      <c r="SF181" s="83"/>
      <c r="SP181" s="83"/>
      <c r="SZ181" s="83"/>
      <c r="TJ181" s="83"/>
      <c r="TT181" s="83"/>
      <c r="UD181" s="83"/>
      <c r="UN181" s="83"/>
      <c r="UX181" s="83"/>
      <c r="VH181" s="83"/>
      <c r="VR181" s="83"/>
      <c r="WB181" s="83"/>
      <c r="WL181" s="83"/>
      <c r="WV181" s="83"/>
      <c r="XF181" s="83"/>
      <c r="XP181" s="83"/>
      <c r="XZ181" s="83"/>
      <c r="YJ181" s="83"/>
      <c r="YT181" s="83"/>
      <c r="ZD181" s="83"/>
      <c r="ZN181" s="83"/>
      <c r="ZX181" s="83"/>
      <c r="AAH181" s="83"/>
      <c r="AAR181" s="83"/>
      <c r="ABB181" s="83"/>
      <c r="ABL181" s="83"/>
      <c r="ABV181" s="83"/>
      <c r="ACF181" s="83"/>
      <c r="ACP181" s="83"/>
      <c r="ACZ181" s="83"/>
      <c r="ADJ181" s="83"/>
      <c r="ADT181" s="83"/>
      <c r="AED181" s="83"/>
      <c r="AEN181" s="83"/>
      <c r="AEX181" s="83"/>
      <c r="AFH181" s="83"/>
      <c r="AFR181" s="83"/>
      <c r="AGB181" s="83"/>
      <c r="AGL181" s="83"/>
      <c r="AGV181" s="83"/>
      <c r="AHF181" s="83"/>
      <c r="AHP181" s="83"/>
      <c r="AHZ181" s="83"/>
      <c r="AIJ181" s="83"/>
      <c r="AIT181" s="83"/>
      <c r="AJD181" s="83"/>
      <c r="AJN181" s="83"/>
      <c r="AJX181" s="83"/>
      <c r="AKH181" s="83"/>
      <c r="AKR181" s="83"/>
      <c r="ALB181" s="83"/>
      <c r="ALL181" s="83"/>
      <c r="ALV181" s="83"/>
      <c r="AMF181" s="83"/>
      <c r="AMP181" s="83"/>
      <c r="AMZ181" s="83"/>
      <c r="ANJ181" s="83"/>
      <c r="ANT181" s="83"/>
      <c r="AOD181" s="83"/>
      <c r="AON181" s="83"/>
      <c r="AOX181" s="83"/>
      <c r="APH181" s="83"/>
      <c r="APR181" s="83"/>
      <c r="AQB181" s="83"/>
      <c r="AQL181" s="83"/>
      <c r="AQV181" s="83"/>
      <c r="ARF181" s="83"/>
      <c r="ARP181" s="83"/>
      <c r="ARZ181" s="83"/>
      <c r="ASJ181" s="83"/>
      <c r="AST181" s="83"/>
      <c r="ATD181" s="83"/>
      <c r="ATN181" s="83"/>
      <c r="ATX181" s="83"/>
      <c r="AUH181" s="83"/>
      <c r="AUR181" s="83"/>
      <c r="AVB181" s="83"/>
      <c r="AVL181" s="83"/>
      <c r="AVV181" s="83"/>
      <c r="AWF181" s="83"/>
      <c r="AWP181" s="83"/>
      <c r="AWZ181" s="83"/>
      <c r="AXJ181" s="83"/>
      <c r="AXT181" s="83"/>
      <c r="AYD181" s="83"/>
      <c r="AYN181" s="83"/>
      <c r="AYX181" s="83"/>
      <c r="AZH181" s="83"/>
      <c r="AZR181" s="83"/>
      <c r="BAB181" s="83"/>
      <c r="BAL181" s="83"/>
      <c r="BAV181" s="83"/>
      <c r="BBF181" s="83"/>
      <c r="BBP181" s="83"/>
      <c r="BBZ181" s="83"/>
      <c r="BCJ181" s="83"/>
      <c r="BCT181" s="83"/>
      <c r="BDD181" s="83"/>
      <c r="BDN181" s="83"/>
      <c r="BDX181" s="83"/>
      <c r="BEH181" s="83"/>
      <c r="BER181" s="83"/>
      <c r="BFB181" s="83"/>
      <c r="BFL181" s="83"/>
      <c r="BFV181" s="83"/>
      <c r="BGF181" s="83"/>
      <c r="BGP181" s="83"/>
      <c r="BGZ181" s="83"/>
      <c r="BHJ181" s="83"/>
      <c r="BHT181" s="83"/>
      <c r="BID181" s="83"/>
      <c r="BIN181" s="83"/>
      <c r="BIX181" s="83"/>
      <c r="BJH181" s="83"/>
      <c r="BJR181" s="83"/>
      <c r="BKB181" s="83"/>
      <c r="BKL181" s="83"/>
      <c r="BKV181" s="83"/>
      <c r="BLF181" s="83"/>
      <c r="BLP181" s="83"/>
      <c r="BLZ181" s="83"/>
      <c r="BMJ181" s="83"/>
      <c r="BMT181" s="83"/>
      <c r="BND181" s="83"/>
      <c r="BNN181" s="83"/>
      <c r="BNX181" s="83"/>
      <c r="BOH181" s="83"/>
      <c r="BOR181" s="83"/>
      <c r="BPB181" s="83"/>
      <c r="BPL181" s="83"/>
      <c r="BPV181" s="83"/>
      <c r="BQF181" s="83"/>
      <c r="BQP181" s="83"/>
      <c r="BQZ181" s="83"/>
      <c r="BRJ181" s="83"/>
      <c r="BRT181" s="83"/>
      <c r="BSD181" s="83"/>
      <c r="BSN181" s="83"/>
      <c r="BSX181" s="83"/>
      <c r="BTH181" s="83"/>
      <c r="BTR181" s="83"/>
      <c r="BUB181" s="83"/>
      <c r="BUL181" s="83"/>
      <c r="BUV181" s="83"/>
      <c r="BVF181" s="83"/>
      <c r="BVP181" s="83"/>
      <c r="BVZ181" s="83"/>
      <c r="BWJ181" s="83"/>
      <c r="BWT181" s="83"/>
      <c r="BXD181" s="83"/>
      <c r="BXN181" s="83"/>
      <c r="BXX181" s="83"/>
      <c r="BYH181" s="83"/>
      <c r="BYR181" s="83"/>
      <c r="BZB181" s="83"/>
      <c r="BZL181" s="83"/>
      <c r="BZV181" s="83"/>
      <c r="CAF181" s="83"/>
      <c r="CAP181" s="83"/>
      <c r="CAZ181" s="83"/>
      <c r="CBJ181" s="83"/>
      <c r="CBT181" s="83"/>
      <c r="CCD181" s="83"/>
      <c r="CCN181" s="83"/>
      <c r="CCX181" s="83"/>
      <c r="CDH181" s="83"/>
      <c r="CDR181" s="83"/>
      <c r="CEB181" s="83"/>
      <c r="CEL181" s="83"/>
      <c r="CEV181" s="83"/>
      <c r="CFF181" s="83"/>
      <c r="CFP181" s="83"/>
      <c r="CFZ181" s="83"/>
      <c r="CGJ181" s="83"/>
      <c r="CGT181" s="83"/>
      <c r="CHD181" s="83"/>
      <c r="CHN181" s="83"/>
      <c r="CHX181" s="83"/>
      <c r="CIH181" s="83"/>
      <c r="CIR181" s="83"/>
      <c r="CJB181" s="83"/>
      <c r="CJL181" s="83"/>
      <c r="CJV181" s="83"/>
      <c r="CKF181" s="83"/>
      <c r="CKP181" s="83"/>
      <c r="CKZ181" s="83"/>
      <c r="CLJ181" s="83"/>
      <c r="CLT181" s="83"/>
      <c r="CMD181" s="83"/>
      <c r="CMN181" s="83"/>
      <c r="CMX181" s="83"/>
      <c r="CNH181" s="83"/>
      <c r="CNR181" s="83"/>
      <c r="COB181" s="83"/>
      <c r="COL181" s="83"/>
      <c r="COV181" s="83"/>
      <c r="CPF181" s="83"/>
      <c r="CPP181" s="83"/>
      <c r="CPZ181" s="83"/>
      <c r="CQJ181" s="83"/>
      <c r="CQT181" s="83"/>
      <c r="CRD181" s="83"/>
      <c r="CRN181" s="83"/>
      <c r="CRX181" s="83"/>
      <c r="CSH181" s="83"/>
      <c r="CSR181" s="83"/>
      <c r="CTB181" s="83"/>
      <c r="CTL181" s="83"/>
      <c r="CTV181" s="83"/>
    </row>
    <row r="182" s="58" customFormat="1" customHeight="1" spans="1:1020 1030:2040 2050:2570">
      <c r="A182" s="79">
        <v>46150</v>
      </c>
      <c r="B182" s="94" t="s">
        <v>213</v>
      </c>
      <c r="C182" s="95" t="s">
        <v>214</v>
      </c>
      <c r="D182" s="75">
        <v>652362854</v>
      </c>
      <c r="E182" s="95" t="s">
        <v>220</v>
      </c>
      <c r="F182" s="77" t="str">
        <f>IFERROR(VLOOKUP(E182,[26]基础数据!$E$3:$H$7,2,0),"")</f>
        <v>DM2上箱体</v>
      </c>
      <c r="G182" s="75">
        <v>1026</v>
      </c>
      <c r="H182" s="77" t="str">
        <f>IFERROR(VLOOKUP(E182,[26]基础数据!$E$3:$H$7,4,0),"")</f>
        <v>围板箱</v>
      </c>
      <c r="I182" s="77">
        <f>IFERROR(VLOOKUP(E182,[26]基础数据!$E$3:$H$7,3,0),"")</f>
        <v>54</v>
      </c>
      <c r="J182" s="75" t="s">
        <v>306</v>
      </c>
      <c r="K182" s="78">
        <f t="shared" si="4"/>
        <v>19</v>
      </c>
      <c r="T182" s="83"/>
      <c r="AD182" s="83"/>
      <c r="AN182" s="83"/>
      <c r="AX182" s="83"/>
      <c r="BH182" s="83"/>
      <c r="BR182" s="83"/>
      <c r="CB182" s="83"/>
      <c r="CL182" s="83"/>
      <c r="CV182" s="83"/>
      <c r="DF182" s="83"/>
      <c r="DP182" s="83"/>
      <c r="DZ182" s="83"/>
      <c r="EJ182" s="83"/>
      <c r="ET182" s="83"/>
      <c r="FD182" s="83"/>
      <c r="FN182" s="83"/>
      <c r="FX182" s="83"/>
      <c r="GH182" s="83"/>
      <c r="GR182" s="83"/>
      <c r="HB182" s="83"/>
      <c r="HL182" s="83"/>
      <c r="HV182" s="83"/>
      <c r="IF182" s="83"/>
      <c r="IP182" s="83"/>
      <c r="IZ182" s="83"/>
      <c r="JJ182" s="83"/>
      <c r="JT182" s="83"/>
      <c r="KD182" s="83"/>
      <c r="KN182" s="83"/>
      <c r="KX182" s="83"/>
      <c r="LH182" s="83"/>
      <c r="LR182" s="83"/>
      <c r="MB182" s="83"/>
      <c r="ML182" s="83"/>
      <c r="MV182" s="83"/>
      <c r="NF182" s="83"/>
      <c r="NP182" s="83"/>
      <c r="NZ182" s="83"/>
      <c r="OJ182" s="83"/>
      <c r="OT182" s="83"/>
      <c r="PD182" s="83"/>
      <c r="PN182" s="83"/>
      <c r="PX182" s="83"/>
      <c r="QH182" s="83"/>
      <c r="QR182" s="83"/>
      <c r="RB182" s="83"/>
      <c r="RL182" s="83"/>
      <c r="RV182" s="83"/>
      <c r="SF182" s="83"/>
      <c r="SP182" s="83"/>
      <c r="SZ182" s="83"/>
      <c r="TJ182" s="83"/>
      <c r="TT182" s="83"/>
      <c r="UD182" s="83"/>
      <c r="UN182" s="83"/>
      <c r="UX182" s="83"/>
      <c r="VH182" s="83"/>
      <c r="VR182" s="83"/>
      <c r="WB182" s="83"/>
      <c r="WL182" s="83"/>
      <c r="WV182" s="83"/>
      <c r="XF182" s="83"/>
      <c r="XP182" s="83"/>
      <c r="XZ182" s="83"/>
      <c r="YJ182" s="83"/>
      <c r="YT182" s="83"/>
      <c r="ZD182" s="83"/>
      <c r="ZN182" s="83"/>
      <c r="ZX182" s="83"/>
      <c r="AAH182" s="83"/>
      <c r="AAR182" s="83"/>
      <c r="ABB182" s="83"/>
      <c r="ABL182" s="83"/>
      <c r="ABV182" s="83"/>
      <c r="ACF182" s="83"/>
      <c r="ACP182" s="83"/>
      <c r="ACZ182" s="83"/>
      <c r="ADJ182" s="83"/>
      <c r="ADT182" s="83"/>
      <c r="AED182" s="83"/>
      <c r="AEN182" s="83"/>
      <c r="AEX182" s="83"/>
      <c r="AFH182" s="83"/>
      <c r="AFR182" s="83"/>
      <c r="AGB182" s="83"/>
      <c r="AGL182" s="83"/>
      <c r="AGV182" s="83"/>
      <c r="AHF182" s="83"/>
      <c r="AHP182" s="83"/>
      <c r="AHZ182" s="83"/>
      <c r="AIJ182" s="83"/>
      <c r="AIT182" s="83"/>
      <c r="AJD182" s="83"/>
      <c r="AJN182" s="83"/>
      <c r="AJX182" s="83"/>
      <c r="AKH182" s="83"/>
      <c r="AKR182" s="83"/>
      <c r="ALB182" s="83"/>
      <c r="ALL182" s="83"/>
      <c r="ALV182" s="83"/>
      <c r="AMF182" s="83"/>
      <c r="AMP182" s="83"/>
      <c r="AMZ182" s="83"/>
      <c r="ANJ182" s="83"/>
      <c r="ANT182" s="83"/>
      <c r="AOD182" s="83"/>
      <c r="AON182" s="83"/>
      <c r="AOX182" s="83"/>
      <c r="APH182" s="83"/>
      <c r="APR182" s="83"/>
      <c r="AQB182" s="83"/>
      <c r="AQL182" s="83"/>
      <c r="AQV182" s="83"/>
      <c r="ARF182" s="83"/>
      <c r="ARP182" s="83"/>
      <c r="ARZ182" s="83"/>
      <c r="ASJ182" s="83"/>
      <c r="AST182" s="83"/>
      <c r="ATD182" s="83"/>
      <c r="ATN182" s="83"/>
      <c r="ATX182" s="83"/>
      <c r="AUH182" s="83"/>
      <c r="AUR182" s="83"/>
      <c r="AVB182" s="83"/>
      <c r="AVL182" s="83"/>
      <c r="AVV182" s="83"/>
      <c r="AWF182" s="83"/>
      <c r="AWP182" s="83"/>
      <c r="AWZ182" s="83"/>
      <c r="AXJ182" s="83"/>
      <c r="AXT182" s="83"/>
      <c r="AYD182" s="83"/>
      <c r="AYN182" s="83"/>
      <c r="AYX182" s="83"/>
      <c r="AZH182" s="83"/>
      <c r="AZR182" s="83"/>
      <c r="BAB182" s="83"/>
      <c r="BAL182" s="83"/>
      <c r="BAV182" s="83"/>
      <c r="BBF182" s="83"/>
      <c r="BBP182" s="83"/>
      <c r="BBZ182" s="83"/>
      <c r="BCJ182" s="83"/>
      <c r="BCT182" s="83"/>
      <c r="BDD182" s="83"/>
      <c r="BDN182" s="83"/>
      <c r="BDX182" s="83"/>
      <c r="BEH182" s="83"/>
      <c r="BER182" s="83"/>
      <c r="BFB182" s="83"/>
      <c r="BFL182" s="83"/>
      <c r="BFV182" s="83"/>
      <c r="BGF182" s="83"/>
      <c r="BGP182" s="83"/>
      <c r="BGZ182" s="83"/>
      <c r="BHJ182" s="83"/>
      <c r="BHT182" s="83"/>
      <c r="BID182" s="83"/>
      <c r="BIN182" s="83"/>
      <c r="BIX182" s="83"/>
      <c r="BJH182" s="83"/>
      <c r="BJR182" s="83"/>
      <c r="BKB182" s="83"/>
      <c r="BKL182" s="83"/>
      <c r="BKV182" s="83"/>
      <c r="BLF182" s="83"/>
      <c r="BLP182" s="83"/>
      <c r="BLZ182" s="83"/>
      <c r="BMJ182" s="83"/>
      <c r="BMT182" s="83"/>
      <c r="BND182" s="83"/>
      <c r="BNN182" s="83"/>
      <c r="BNX182" s="83"/>
      <c r="BOH182" s="83"/>
      <c r="BOR182" s="83"/>
      <c r="BPB182" s="83"/>
      <c r="BPL182" s="83"/>
      <c r="BPV182" s="83"/>
      <c r="BQF182" s="83"/>
      <c r="BQP182" s="83"/>
      <c r="BQZ182" s="83"/>
      <c r="BRJ182" s="83"/>
      <c r="BRT182" s="83"/>
      <c r="BSD182" s="83"/>
      <c r="BSN182" s="83"/>
      <c r="BSX182" s="83"/>
      <c r="BTH182" s="83"/>
      <c r="BTR182" s="83"/>
      <c r="BUB182" s="83"/>
      <c r="BUL182" s="83"/>
      <c r="BUV182" s="83"/>
      <c r="BVF182" s="83"/>
      <c r="BVP182" s="83"/>
      <c r="BVZ182" s="83"/>
      <c r="BWJ182" s="83"/>
      <c r="BWT182" s="83"/>
      <c r="BXD182" s="83"/>
      <c r="BXN182" s="83"/>
      <c r="BXX182" s="83"/>
      <c r="BYH182" s="83"/>
      <c r="BYR182" s="83"/>
      <c r="BZB182" s="83"/>
      <c r="BZL182" s="83"/>
      <c r="BZV182" s="83"/>
      <c r="CAF182" s="83"/>
      <c r="CAP182" s="83"/>
      <c r="CAZ182" s="83"/>
      <c r="CBJ182" s="83"/>
      <c r="CBT182" s="83"/>
      <c r="CCD182" s="83"/>
      <c r="CCN182" s="83"/>
      <c r="CCX182" s="83"/>
      <c r="CDH182" s="83"/>
      <c r="CDR182" s="83"/>
      <c r="CEB182" s="83"/>
      <c r="CEL182" s="83"/>
      <c r="CEV182" s="83"/>
      <c r="CFF182" s="83"/>
      <c r="CFP182" s="83"/>
      <c r="CFZ182" s="83"/>
      <c r="CGJ182" s="83"/>
      <c r="CGT182" s="83"/>
      <c r="CHD182" s="83"/>
      <c r="CHN182" s="83"/>
      <c r="CHX182" s="83"/>
      <c r="CIH182" s="83"/>
      <c r="CIR182" s="83"/>
      <c r="CJB182" s="83"/>
      <c r="CJL182" s="83"/>
      <c r="CJV182" s="83"/>
      <c r="CKF182" s="83"/>
      <c r="CKP182" s="83"/>
      <c r="CKZ182" s="83"/>
      <c r="CLJ182" s="83"/>
      <c r="CLT182" s="83"/>
      <c r="CMD182" s="83"/>
      <c r="CMN182" s="83"/>
      <c r="CMX182" s="83"/>
      <c r="CNH182" s="83"/>
      <c r="CNR182" s="83"/>
      <c r="COB182" s="83"/>
      <c r="COL182" s="83"/>
      <c r="COV182" s="83"/>
      <c r="CPF182" s="83"/>
      <c r="CPP182" s="83"/>
      <c r="CPZ182" s="83"/>
      <c r="CQJ182" s="83"/>
      <c r="CQT182" s="83"/>
      <c r="CRD182" s="83"/>
      <c r="CRN182" s="83"/>
      <c r="CRX182" s="83"/>
      <c r="CSH182" s="83"/>
      <c r="CSR182" s="83"/>
      <c r="CTB182" s="83"/>
      <c r="CTL182" s="83"/>
      <c r="CTV182" s="83"/>
    </row>
    <row r="183" s="58" customFormat="1" customHeight="1" spans="1:1020 1030:2040 2050:2570">
      <c r="A183" s="79">
        <v>46150</v>
      </c>
      <c r="B183" s="94" t="s">
        <v>213</v>
      </c>
      <c r="C183" s="95" t="s">
        <v>214</v>
      </c>
      <c r="D183" s="75">
        <v>652363753</v>
      </c>
      <c r="E183" s="95" t="s">
        <v>224</v>
      </c>
      <c r="F183" s="77" t="str">
        <f>IFERROR(VLOOKUP(E183,[26]基础数据!$E$3:$H$7,2,0),"")</f>
        <v>DM1箱体</v>
      </c>
      <c r="G183" s="75">
        <v>396</v>
      </c>
      <c r="H183" s="77" t="str">
        <f>IFERROR(VLOOKUP(E183,[26]基础数据!$E$3:$H$7,4,0),"")</f>
        <v>围板箱</v>
      </c>
      <c r="I183" s="77">
        <f>IFERROR(VLOOKUP(E183,[26]基础数据!$E$3:$H$7,3,0),"")</f>
        <v>66</v>
      </c>
      <c r="J183" s="75" t="s">
        <v>306</v>
      </c>
      <c r="K183" s="78">
        <f t="shared" si="4"/>
        <v>6</v>
      </c>
      <c r="T183" s="83"/>
      <c r="AD183" s="83"/>
      <c r="AN183" s="83"/>
      <c r="AX183" s="83"/>
      <c r="BH183" s="83"/>
      <c r="BR183" s="83"/>
      <c r="CB183" s="83"/>
      <c r="CL183" s="83"/>
      <c r="CV183" s="83"/>
      <c r="DF183" s="83"/>
      <c r="DP183" s="83"/>
      <c r="DZ183" s="83"/>
      <c r="EJ183" s="83"/>
      <c r="ET183" s="83"/>
      <c r="FD183" s="83"/>
      <c r="FN183" s="83"/>
      <c r="FX183" s="83"/>
      <c r="GH183" s="83"/>
      <c r="GR183" s="83"/>
      <c r="HB183" s="83"/>
      <c r="HL183" s="83"/>
      <c r="HV183" s="83"/>
      <c r="IF183" s="83"/>
      <c r="IP183" s="83"/>
      <c r="IZ183" s="83"/>
      <c r="JJ183" s="83"/>
      <c r="JT183" s="83"/>
      <c r="KD183" s="83"/>
      <c r="KN183" s="83"/>
      <c r="KX183" s="83"/>
      <c r="LH183" s="83"/>
      <c r="LR183" s="83"/>
      <c r="MB183" s="83"/>
      <c r="ML183" s="83"/>
      <c r="MV183" s="83"/>
      <c r="NF183" s="83"/>
      <c r="NP183" s="83"/>
      <c r="NZ183" s="83"/>
      <c r="OJ183" s="83"/>
      <c r="OT183" s="83"/>
      <c r="PD183" s="83"/>
      <c r="PN183" s="83"/>
      <c r="PX183" s="83"/>
      <c r="QH183" s="83"/>
      <c r="QR183" s="83"/>
      <c r="RB183" s="83"/>
      <c r="RL183" s="83"/>
      <c r="RV183" s="83"/>
      <c r="SF183" s="83"/>
      <c r="SP183" s="83"/>
      <c r="SZ183" s="83"/>
      <c r="TJ183" s="83"/>
      <c r="TT183" s="83"/>
      <c r="UD183" s="83"/>
      <c r="UN183" s="83"/>
      <c r="UX183" s="83"/>
      <c r="VH183" s="83"/>
      <c r="VR183" s="83"/>
      <c r="WB183" s="83"/>
      <c r="WL183" s="83"/>
      <c r="WV183" s="83"/>
      <c r="XF183" s="83"/>
      <c r="XP183" s="83"/>
      <c r="XZ183" s="83"/>
      <c r="YJ183" s="83"/>
      <c r="YT183" s="83"/>
      <c r="ZD183" s="83"/>
      <c r="ZN183" s="83"/>
      <c r="ZX183" s="83"/>
      <c r="AAH183" s="83"/>
      <c r="AAR183" s="83"/>
      <c r="ABB183" s="83"/>
      <c r="ABL183" s="83"/>
      <c r="ABV183" s="83"/>
      <c r="ACF183" s="83"/>
      <c r="ACP183" s="83"/>
      <c r="ACZ183" s="83"/>
      <c r="ADJ183" s="83"/>
      <c r="ADT183" s="83"/>
      <c r="AED183" s="83"/>
      <c r="AEN183" s="83"/>
      <c r="AEX183" s="83"/>
      <c r="AFH183" s="83"/>
      <c r="AFR183" s="83"/>
      <c r="AGB183" s="83"/>
      <c r="AGL183" s="83"/>
      <c r="AGV183" s="83"/>
      <c r="AHF183" s="83"/>
      <c r="AHP183" s="83"/>
      <c r="AHZ183" s="83"/>
      <c r="AIJ183" s="83"/>
      <c r="AIT183" s="83"/>
      <c r="AJD183" s="83"/>
      <c r="AJN183" s="83"/>
      <c r="AJX183" s="83"/>
      <c r="AKH183" s="83"/>
      <c r="AKR183" s="83"/>
      <c r="ALB183" s="83"/>
      <c r="ALL183" s="83"/>
      <c r="ALV183" s="83"/>
      <c r="AMF183" s="83"/>
      <c r="AMP183" s="83"/>
      <c r="AMZ183" s="83"/>
      <c r="ANJ183" s="83"/>
      <c r="ANT183" s="83"/>
      <c r="AOD183" s="83"/>
      <c r="AON183" s="83"/>
      <c r="AOX183" s="83"/>
      <c r="APH183" s="83"/>
      <c r="APR183" s="83"/>
      <c r="AQB183" s="83"/>
      <c r="AQL183" s="83"/>
      <c r="AQV183" s="83"/>
      <c r="ARF183" s="83"/>
      <c r="ARP183" s="83"/>
      <c r="ARZ183" s="83"/>
      <c r="ASJ183" s="83"/>
      <c r="AST183" s="83"/>
      <c r="ATD183" s="83"/>
      <c r="ATN183" s="83"/>
      <c r="ATX183" s="83"/>
      <c r="AUH183" s="83"/>
      <c r="AUR183" s="83"/>
      <c r="AVB183" s="83"/>
      <c r="AVL183" s="83"/>
      <c r="AVV183" s="83"/>
      <c r="AWF183" s="83"/>
      <c r="AWP183" s="83"/>
      <c r="AWZ183" s="83"/>
      <c r="AXJ183" s="83"/>
      <c r="AXT183" s="83"/>
      <c r="AYD183" s="83"/>
      <c r="AYN183" s="83"/>
      <c r="AYX183" s="83"/>
      <c r="AZH183" s="83"/>
      <c r="AZR183" s="83"/>
      <c r="BAB183" s="83"/>
      <c r="BAL183" s="83"/>
      <c r="BAV183" s="83"/>
      <c r="BBF183" s="83"/>
      <c r="BBP183" s="83"/>
      <c r="BBZ183" s="83"/>
      <c r="BCJ183" s="83"/>
      <c r="BCT183" s="83"/>
      <c r="BDD183" s="83"/>
      <c r="BDN183" s="83"/>
      <c r="BDX183" s="83"/>
      <c r="BEH183" s="83"/>
      <c r="BER183" s="83"/>
      <c r="BFB183" s="83"/>
      <c r="BFL183" s="83"/>
      <c r="BFV183" s="83"/>
      <c r="BGF183" s="83"/>
      <c r="BGP183" s="83"/>
      <c r="BGZ183" s="83"/>
      <c r="BHJ183" s="83"/>
      <c r="BHT183" s="83"/>
      <c r="BID183" s="83"/>
      <c r="BIN183" s="83"/>
      <c r="BIX183" s="83"/>
      <c r="BJH183" s="83"/>
      <c r="BJR183" s="83"/>
      <c r="BKB183" s="83"/>
      <c r="BKL183" s="83"/>
      <c r="BKV183" s="83"/>
      <c r="BLF183" s="83"/>
      <c r="BLP183" s="83"/>
      <c r="BLZ183" s="83"/>
      <c r="BMJ183" s="83"/>
      <c r="BMT183" s="83"/>
      <c r="BND183" s="83"/>
      <c r="BNN183" s="83"/>
      <c r="BNX183" s="83"/>
      <c r="BOH183" s="83"/>
      <c r="BOR183" s="83"/>
      <c r="BPB183" s="83"/>
      <c r="BPL183" s="83"/>
      <c r="BPV183" s="83"/>
      <c r="BQF183" s="83"/>
      <c r="BQP183" s="83"/>
      <c r="BQZ183" s="83"/>
      <c r="BRJ183" s="83"/>
      <c r="BRT183" s="83"/>
      <c r="BSD183" s="83"/>
      <c r="BSN183" s="83"/>
      <c r="BSX183" s="83"/>
      <c r="BTH183" s="83"/>
      <c r="BTR183" s="83"/>
      <c r="BUB183" s="83"/>
      <c r="BUL183" s="83"/>
      <c r="BUV183" s="83"/>
      <c r="BVF183" s="83"/>
      <c r="BVP183" s="83"/>
      <c r="BVZ183" s="83"/>
      <c r="BWJ183" s="83"/>
      <c r="BWT183" s="83"/>
      <c r="BXD183" s="83"/>
      <c r="BXN183" s="83"/>
      <c r="BXX183" s="83"/>
      <c r="BYH183" s="83"/>
      <c r="BYR183" s="83"/>
      <c r="BZB183" s="83"/>
      <c r="BZL183" s="83"/>
      <c r="BZV183" s="83"/>
      <c r="CAF183" s="83"/>
      <c r="CAP183" s="83"/>
      <c r="CAZ183" s="83"/>
      <c r="CBJ183" s="83"/>
      <c r="CBT183" s="83"/>
      <c r="CCD183" s="83"/>
      <c r="CCN183" s="83"/>
      <c r="CCX183" s="83"/>
      <c r="CDH183" s="83"/>
      <c r="CDR183" s="83"/>
      <c r="CEB183" s="83"/>
      <c r="CEL183" s="83"/>
      <c r="CEV183" s="83"/>
      <c r="CFF183" s="83"/>
      <c r="CFP183" s="83"/>
      <c r="CFZ183" s="83"/>
      <c r="CGJ183" s="83"/>
      <c r="CGT183" s="83"/>
      <c r="CHD183" s="83"/>
      <c r="CHN183" s="83"/>
      <c r="CHX183" s="83"/>
      <c r="CIH183" s="83"/>
      <c r="CIR183" s="83"/>
      <c r="CJB183" s="83"/>
      <c r="CJL183" s="83"/>
      <c r="CJV183" s="83"/>
      <c r="CKF183" s="83"/>
      <c r="CKP183" s="83"/>
      <c r="CKZ183" s="83"/>
      <c r="CLJ183" s="83"/>
      <c r="CLT183" s="83"/>
      <c r="CMD183" s="83"/>
      <c r="CMN183" s="83"/>
      <c r="CMX183" s="83"/>
      <c r="CNH183" s="83"/>
      <c r="CNR183" s="83"/>
      <c r="COB183" s="83"/>
      <c r="COL183" s="83"/>
      <c r="COV183" s="83"/>
      <c r="CPF183" s="83"/>
      <c r="CPP183" s="83"/>
      <c r="CPZ183" s="83"/>
      <c r="CQJ183" s="83"/>
      <c r="CQT183" s="83"/>
      <c r="CRD183" s="83"/>
      <c r="CRN183" s="83"/>
      <c r="CRX183" s="83"/>
      <c r="CSH183" s="83"/>
      <c r="CSR183" s="83"/>
      <c r="CTB183" s="83"/>
      <c r="CTL183" s="83"/>
      <c r="CTV183" s="83"/>
    </row>
    <row r="184" s="58" customFormat="1" customHeight="1" spans="1:1020 1030:2040 2050:2570">
      <c r="A184" s="79">
        <v>46153</v>
      </c>
      <c r="B184" s="94" t="s">
        <v>213</v>
      </c>
      <c r="C184" s="95" t="s">
        <v>214</v>
      </c>
      <c r="D184" s="75">
        <v>652380244</v>
      </c>
      <c r="E184" s="95" t="s">
        <v>220</v>
      </c>
      <c r="F184" s="77" t="str">
        <f>IFERROR(VLOOKUP(E184,[27]基础数据!$E$3:$H$7,2,0),"")</f>
        <v>DM2上箱体</v>
      </c>
      <c r="G184" s="75">
        <v>1080</v>
      </c>
      <c r="H184" s="77" t="str">
        <f>IFERROR(VLOOKUP(E184,[27]基础数据!$E$3:$H$7,4,0),"")</f>
        <v>围板箱</v>
      </c>
      <c r="I184" s="77">
        <f>IFERROR(VLOOKUP(E184,[27]基础数据!$E$3:$H$7,3,0),"")</f>
        <v>54</v>
      </c>
      <c r="J184" s="75" t="s">
        <v>306</v>
      </c>
      <c r="K184" s="78">
        <f t="shared" si="4"/>
        <v>20</v>
      </c>
      <c r="T184" s="83"/>
      <c r="AD184" s="83"/>
      <c r="AN184" s="83"/>
      <c r="AX184" s="83"/>
      <c r="BH184" s="83"/>
      <c r="BR184" s="83"/>
      <c r="CB184" s="83"/>
      <c r="CL184" s="83"/>
      <c r="CV184" s="83"/>
      <c r="DF184" s="83"/>
      <c r="DP184" s="83"/>
      <c r="DZ184" s="83"/>
      <c r="EJ184" s="83"/>
      <c r="ET184" s="83"/>
      <c r="FD184" s="83"/>
      <c r="FN184" s="83"/>
      <c r="FX184" s="83"/>
      <c r="GH184" s="83"/>
      <c r="GR184" s="83"/>
      <c r="HB184" s="83"/>
      <c r="HL184" s="83"/>
      <c r="HV184" s="83"/>
      <c r="IF184" s="83"/>
      <c r="IP184" s="83"/>
      <c r="IZ184" s="83"/>
      <c r="JJ184" s="83"/>
      <c r="JT184" s="83"/>
      <c r="KD184" s="83"/>
      <c r="KN184" s="83"/>
      <c r="KX184" s="83"/>
      <c r="LH184" s="83"/>
      <c r="LR184" s="83"/>
      <c r="MB184" s="83"/>
      <c r="ML184" s="83"/>
      <c r="MV184" s="83"/>
      <c r="NF184" s="83"/>
      <c r="NP184" s="83"/>
      <c r="NZ184" s="83"/>
      <c r="OJ184" s="83"/>
      <c r="OT184" s="83"/>
      <c r="PD184" s="83"/>
      <c r="PN184" s="83"/>
      <c r="PX184" s="83"/>
      <c r="QH184" s="83"/>
      <c r="QR184" s="83"/>
      <c r="RB184" s="83"/>
      <c r="RL184" s="83"/>
      <c r="RV184" s="83"/>
      <c r="SF184" s="83"/>
      <c r="SP184" s="83"/>
      <c r="SZ184" s="83"/>
      <c r="TJ184" s="83"/>
      <c r="TT184" s="83"/>
      <c r="UD184" s="83"/>
      <c r="UN184" s="83"/>
      <c r="UX184" s="83"/>
      <c r="VH184" s="83"/>
      <c r="VR184" s="83"/>
      <c r="WB184" s="83"/>
      <c r="WL184" s="83"/>
      <c r="WV184" s="83"/>
      <c r="XF184" s="83"/>
      <c r="XP184" s="83"/>
      <c r="XZ184" s="83"/>
      <c r="YJ184" s="83"/>
      <c r="YT184" s="83"/>
      <c r="ZD184" s="83"/>
      <c r="ZN184" s="83"/>
      <c r="ZX184" s="83"/>
      <c r="AAH184" s="83"/>
      <c r="AAR184" s="83"/>
      <c r="ABB184" s="83"/>
      <c r="ABL184" s="83"/>
      <c r="ABV184" s="83"/>
      <c r="ACF184" s="83"/>
      <c r="ACP184" s="83"/>
      <c r="ACZ184" s="83"/>
      <c r="ADJ184" s="83"/>
      <c r="ADT184" s="83"/>
      <c r="AED184" s="83"/>
      <c r="AEN184" s="83"/>
      <c r="AEX184" s="83"/>
      <c r="AFH184" s="83"/>
      <c r="AFR184" s="83"/>
      <c r="AGB184" s="83"/>
      <c r="AGL184" s="83"/>
      <c r="AGV184" s="83"/>
      <c r="AHF184" s="83"/>
      <c r="AHP184" s="83"/>
      <c r="AHZ184" s="83"/>
      <c r="AIJ184" s="83"/>
      <c r="AIT184" s="83"/>
      <c r="AJD184" s="83"/>
      <c r="AJN184" s="83"/>
      <c r="AJX184" s="83"/>
      <c r="AKH184" s="83"/>
      <c r="AKR184" s="83"/>
      <c r="ALB184" s="83"/>
      <c r="ALL184" s="83"/>
      <c r="ALV184" s="83"/>
      <c r="AMF184" s="83"/>
      <c r="AMP184" s="83"/>
      <c r="AMZ184" s="83"/>
      <c r="ANJ184" s="83"/>
      <c r="ANT184" s="83"/>
      <c r="AOD184" s="83"/>
      <c r="AON184" s="83"/>
      <c r="AOX184" s="83"/>
      <c r="APH184" s="83"/>
      <c r="APR184" s="83"/>
      <c r="AQB184" s="83"/>
      <c r="AQL184" s="83"/>
      <c r="AQV184" s="83"/>
      <c r="ARF184" s="83"/>
      <c r="ARP184" s="83"/>
      <c r="ARZ184" s="83"/>
      <c r="ASJ184" s="83"/>
      <c r="AST184" s="83"/>
      <c r="ATD184" s="83"/>
      <c r="ATN184" s="83"/>
      <c r="ATX184" s="83"/>
      <c r="AUH184" s="83"/>
      <c r="AUR184" s="83"/>
      <c r="AVB184" s="83"/>
      <c r="AVL184" s="83"/>
      <c r="AVV184" s="83"/>
      <c r="AWF184" s="83"/>
      <c r="AWP184" s="83"/>
      <c r="AWZ184" s="83"/>
      <c r="AXJ184" s="83"/>
      <c r="AXT184" s="83"/>
      <c r="AYD184" s="83"/>
      <c r="AYN184" s="83"/>
      <c r="AYX184" s="83"/>
      <c r="AZH184" s="83"/>
      <c r="AZR184" s="83"/>
      <c r="BAB184" s="83"/>
      <c r="BAL184" s="83"/>
      <c r="BAV184" s="83"/>
      <c r="BBF184" s="83"/>
      <c r="BBP184" s="83"/>
      <c r="BBZ184" s="83"/>
      <c r="BCJ184" s="83"/>
      <c r="BCT184" s="83"/>
      <c r="BDD184" s="83"/>
      <c r="BDN184" s="83"/>
      <c r="BDX184" s="83"/>
      <c r="BEH184" s="83"/>
      <c r="BER184" s="83"/>
      <c r="BFB184" s="83"/>
      <c r="BFL184" s="83"/>
      <c r="BFV184" s="83"/>
      <c r="BGF184" s="83"/>
      <c r="BGP184" s="83"/>
      <c r="BGZ184" s="83"/>
      <c r="BHJ184" s="83"/>
      <c r="BHT184" s="83"/>
      <c r="BID184" s="83"/>
      <c r="BIN184" s="83"/>
      <c r="BIX184" s="83"/>
      <c r="BJH184" s="83"/>
      <c r="BJR184" s="83"/>
      <c r="BKB184" s="83"/>
      <c r="BKL184" s="83"/>
      <c r="BKV184" s="83"/>
      <c r="BLF184" s="83"/>
      <c r="BLP184" s="83"/>
      <c r="BLZ184" s="83"/>
      <c r="BMJ184" s="83"/>
      <c r="BMT184" s="83"/>
      <c r="BND184" s="83"/>
      <c r="BNN184" s="83"/>
      <c r="BNX184" s="83"/>
      <c r="BOH184" s="83"/>
      <c r="BOR184" s="83"/>
      <c r="BPB184" s="83"/>
      <c r="BPL184" s="83"/>
      <c r="BPV184" s="83"/>
      <c r="BQF184" s="83"/>
      <c r="BQP184" s="83"/>
      <c r="BQZ184" s="83"/>
      <c r="BRJ184" s="83"/>
      <c r="BRT184" s="83"/>
      <c r="BSD184" s="83"/>
      <c r="BSN184" s="83"/>
      <c r="BSX184" s="83"/>
      <c r="BTH184" s="83"/>
      <c r="BTR184" s="83"/>
      <c r="BUB184" s="83"/>
      <c r="BUL184" s="83"/>
      <c r="BUV184" s="83"/>
      <c r="BVF184" s="83"/>
      <c r="BVP184" s="83"/>
      <c r="BVZ184" s="83"/>
      <c r="BWJ184" s="83"/>
      <c r="BWT184" s="83"/>
      <c r="BXD184" s="83"/>
      <c r="BXN184" s="83"/>
      <c r="BXX184" s="83"/>
      <c r="BYH184" s="83"/>
      <c r="BYR184" s="83"/>
      <c r="BZB184" s="83"/>
      <c r="BZL184" s="83"/>
      <c r="BZV184" s="83"/>
      <c r="CAF184" s="83"/>
      <c r="CAP184" s="83"/>
      <c r="CAZ184" s="83"/>
      <c r="CBJ184" s="83"/>
      <c r="CBT184" s="83"/>
      <c r="CCD184" s="83"/>
      <c r="CCN184" s="83"/>
      <c r="CCX184" s="83"/>
      <c r="CDH184" s="83"/>
      <c r="CDR184" s="83"/>
      <c r="CEB184" s="83"/>
      <c r="CEL184" s="83"/>
      <c r="CEV184" s="83"/>
      <c r="CFF184" s="83"/>
      <c r="CFP184" s="83"/>
      <c r="CFZ184" s="83"/>
      <c r="CGJ184" s="83"/>
      <c r="CGT184" s="83"/>
      <c r="CHD184" s="83"/>
      <c r="CHN184" s="83"/>
      <c r="CHX184" s="83"/>
      <c r="CIH184" s="83"/>
      <c r="CIR184" s="83"/>
      <c r="CJB184" s="83"/>
      <c r="CJL184" s="83"/>
      <c r="CJV184" s="83"/>
      <c r="CKF184" s="83"/>
      <c r="CKP184" s="83"/>
      <c r="CKZ184" s="83"/>
      <c r="CLJ184" s="83"/>
      <c r="CLT184" s="83"/>
      <c r="CMD184" s="83"/>
      <c r="CMN184" s="83"/>
      <c r="CMX184" s="83"/>
      <c r="CNH184" s="83"/>
      <c r="CNR184" s="83"/>
      <c r="COB184" s="83"/>
      <c r="COL184" s="83"/>
      <c r="COV184" s="83"/>
      <c r="CPF184" s="83"/>
      <c r="CPP184" s="83"/>
      <c r="CPZ184" s="83"/>
      <c r="CQJ184" s="83"/>
      <c r="CQT184" s="83"/>
      <c r="CRD184" s="83"/>
      <c r="CRN184" s="83"/>
      <c r="CRX184" s="83"/>
      <c r="CSH184" s="83"/>
      <c r="CSR184" s="83"/>
      <c r="CTB184" s="83"/>
      <c r="CTL184" s="83"/>
      <c r="CTV184" s="83"/>
    </row>
    <row r="185" s="58" customFormat="1" customHeight="1" spans="1:1020 1030:2040 2050:2570">
      <c r="A185" s="79">
        <v>46153</v>
      </c>
      <c r="B185" s="94" t="s">
        <v>213</v>
      </c>
      <c r="C185" s="95" t="s">
        <v>214</v>
      </c>
      <c r="D185" s="75">
        <v>652381175</v>
      </c>
      <c r="E185" s="95" t="s">
        <v>222</v>
      </c>
      <c r="F185" s="77" t="str">
        <f>IFERROR(VLOOKUP(E185,[27]基础数据!$E$3:$H$7,2,0),"")</f>
        <v>DM2下箱体</v>
      </c>
      <c r="G185" s="75">
        <v>1122</v>
      </c>
      <c r="H185" s="77" t="str">
        <f>IFERROR(VLOOKUP(E185,[27]基础数据!$E$3:$H$7,4,0),"")</f>
        <v>围板箱</v>
      </c>
      <c r="I185" s="77">
        <f>IFERROR(VLOOKUP(E185,[27]基础数据!$E$3:$H$7,3,0),"")</f>
        <v>66</v>
      </c>
      <c r="J185" s="75" t="s">
        <v>306</v>
      </c>
      <c r="K185" s="78">
        <f t="shared" si="4"/>
        <v>17</v>
      </c>
      <c r="T185" s="83"/>
      <c r="AD185" s="83"/>
      <c r="AN185" s="83"/>
      <c r="AX185" s="83"/>
      <c r="BH185" s="83"/>
      <c r="BR185" s="83"/>
      <c r="CB185" s="83"/>
      <c r="CL185" s="83"/>
      <c r="CV185" s="83"/>
      <c r="DF185" s="83"/>
      <c r="DP185" s="83"/>
      <c r="DZ185" s="83"/>
      <c r="EJ185" s="83"/>
      <c r="ET185" s="83"/>
      <c r="FD185" s="83"/>
      <c r="FN185" s="83"/>
      <c r="FX185" s="83"/>
      <c r="GH185" s="83"/>
      <c r="GR185" s="83"/>
      <c r="HB185" s="83"/>
      <c r="HL185" s="83"/>
      <c r="HV185" s="83"/>
      <c r="IF185" s="83"/>
      <c r="IP185" s="83"/>
      <c r="IZ185" s="83"/>
      <c r="JJ185" s="83"/>
      <c r="JT185" s="83"/>
      <c r="KD185" s="83"/>
      <c r="KN185" s="83"/>
      <c r="KX185" s="83"/>
      <c r="LH185" s="83"/>
      <c r="LR185" s="83"/>
      <c r="MB185" s="83"/>
      <c r="ML185" s="83"/>
      <c r="MV185" s="83"/>
      <c r="NF185" s="83"/>
      <c r="NP185" s="83"/>
      <c r="NZ185" s="83"/>
      <c r="OJ185" s="83"/>
      <c r="OT185" s="83"/>
      <c r="PD185" s="83"/>
      <c r="PN185" s="83"/>
      <c r="PX185" s="83"/>
      <c r="QH185" s="83"/>
      <c r="QR185" s="83"/>
      <c r="RB185" s="83"/>
      <c r="RL185" s="83"/>
      <c r="RV185" s="83"/>
      <c r="SF185" s="83"/>
      <c r="SP185" s="83"/>
      <c r="SZ185" s="83"/>
      <c r="TJ185" s="83"/>
      <c r="TT185" s="83"/>
      <c r="UD185" s="83"/>
      <c r="UN185" s="83"/>
      <c r="UX185" s="83"/>
      <c r="VH185" s="83"/>
      <c r="VR185" s="83"/>
      <c r="WB185" s="83"/>
      <c r="WL185" s="83"/>
      <c r="WV185" s="83"/>
      <c r="XF185" s="83"/>
      <c r="XP185" s="83"/>
      <c r="XZ185" s="83"/>
      <c r="YJ185" s="83"/>
      <c r="YT185" s="83"/>
      <c r="ZD185" s="83"/>
      <c r="ZN185" s="83"/>
      <c r="ZX185" s="83"/>
      <c r="AAH185" s="83"/>
      <c r="AAR185" s="83"/>
      <c r="ABB185" s="83"/>
      <c r="ABL185" s="83"/>
      <c r="ABV185" s="83"/>
      <c r="ACF185" s="83"/>
      <c r="ACP185" s="83"/>
      <c r="ACZ185" s="83"/>
      <c r="ADJ185" s="83"/>
      <c r="ADT185" s="83"/>
      <c r="AED185" s="83"/>
      <c r="AEN185" s="83"/>
      <c r="AEX185" s="83"/>
      <c r="AFH185" s="83"/>
      <c r="AFR185" s="83"/>
      <c r="AGB185" s="83"/>
      <c r="AGL185" s="83"/>
      <c r="AGV185" s="83"/>
      <c r="AHF185" s="83"/>
      <c r="AHP185" s="83"/>
      <c r="AHZ185" s="83"/>
      <c r="AIJ185" s="83"/>
      <c r="AIT185" s="83"/>
      <c r="AJD185" s="83"/>
      <c r="AJN185" s="83"/>
      <c r="AJX185" s="83"/>
      <c r="AKH185" s="83"/>
      <c r="AKR185" s="83"/>
      <c r="ALB185" s="83"/>
      <c r="ALL185" s="83"/>
      <c r="ALV185" s="83"/>
      <c r="AMF185" s="83"/>
      <c r="AMP185" s="83"/>
      <c r="AMZ185" s="83"/>
      <c r="ANJ185" s="83"/>
      <c r="ANT185" s="83"/>
      <c r="AOD185" s="83"/>
      <c r="AON185" s="83"/>
      <c r="AOX185" s="83"/>
      <c r="APH185" s="83"/>
      <c r="APR185" s="83"/>
      <c r="AQB185" s="83"/>
      <c r="AQL185" s="83"/>
      <c r="AQV185" s="83"/>
      <c r="ARF185" s="83"/>
      <c r="ARP185" s="83"/>
      <c r="ARZ185" s="83"/>
      <c r="ASJ185" s="83"/>
      <c r="AST185" s="83"/>
      <c r="ATD185" s="83"/>
      <c r="ATN185" s="83"/>
      <c r="ATX185" s="83"/>
      <c r="AUH185" s="83"/>
      <c r="AUR185" s="83"/>
      <c r="AVB185" s="83"/>
      <c r="AVL185" s="83"/>
      <c r="AVV185" s="83"/>
      <c r="AWF185" s="83"/>
      <c r="AWP185" s="83"/>
      <c r="AWZ185" s="83"/>
      <c r="AXJ185" s="83"/>
      <c r="AXT185" s="83"/>
      <c r="AYD185" s="83"/>
      <c r="AYN185" s="83"/>
      <c r="AYX185" s="83"/>
      <c r="AZH185" s="83"/>
      <c r="AZR185" s="83"/>
      <c r="BAB185" s="83"/>
      <c r="BAL185" s="83"/>
      <c r="BAV185" s="83"/>
      <c r="BBF185" s="83"/>
      <c r="BBP185" s="83"/>
      <c r="BBZ185" s="83"/>
      <c r="BCJ185" s="83"/>
      <c r="BCT185" s="83"/>
      <c r="BDD185" s="83"/>
      <c r="BDN185" s="83"/>
      <c r="BDX185" s="83"/>
      <c r="BEH185" s="83"/>
      <c r="BER185" s="83"/>
      <c r="BFB185" s="83"/>
      <c r="BFL185" s="83"/>
      <c r="BFV185" s="83"/>
      <c r="BGF185" s="83"/>
      <c r="BGP185" s="83"/>
      <c r="BGZ185" s="83"/>
      <c r="BHJ185" s="83"/>
      <c r="BHT185" s="83"/>
      <c r="BID185" s="83"/>
      <c r="BIN185" s="83"/>
      <c r="BIX185" s="83"/>
      <c r="BJH185" s="83"/>
      <c r="BJR185" s="83"/>
      <c r="BKB185" s="83"/>
      <c r="BKL185" s="83"/>
      <c r="BKV185" s="83"/>
      <c r="BLF185" s="83"/>
      <c r="BLP185" s="83"/>
      <c r="BLZ185" s="83"/>
      <c r="BMJ185" s="83"/>
      <c r="BMT185" s="83"/>
      <c r="BND185" s="83"/>
      <c r="BNN185" s="83"/>
      <c r="BNX185" s="83"/>
      <c r="BOH185" s="83"/>
      <c r="BOR185" s="83"/>
      <c r="BPB185" s="83"/>
      <c r="BPL185" s="83"/>
      <c r="BPV185" s="83"/>
      <c r="BQF185" s="83"/>
      <c r="BQP185" s="83"/>
      <c r="BQZ185" s="83"/>
      <c r="BRJ185" s="83"/>
      <c r="BRT185" s="83"/>
      <c r="BSD185" s="83"/>
      <c r="BSN185" s="83"/>
      <c r="BSX185" s="83"/>
      <c r="BTH185" s="83"/>
      <c r="BTR185" s="83"/>
      <c r="BUB185" s="83"/>
      <c r="BUL185" s="83"/>
      <c r="BUV185" s="83"/>
      <c r="BVF185" s="83"/>
      <c r="BVP185" s="83"/>
      <c r="BVZ185" s="83"/>
      <c r="BWJ185" s="83"/>
      <c r="BWT185" s="83"/>
      <c r="BXD185" s="83"/>
      <c r="BXN185" s="83"/>
      <c r="BXX185" s="83"/>
      <c r="BYH185" s="83"/>
      <c r="BYR185" s="83"/>
      <c r="BZB185" s="83"/>
      <c r="BZL185" s="83"/>
      <c r="BZV185" s="83"/>
      <c r="CAF185" s="83"/>
      <c r="CAP185" s="83"/>
      <c r="CAZ185" s="83"/>
      <c r="CBJ185" s="83"/>
      <c r="CBT185" s="83"/>
      <c r="CCD185" s="83"/>
      <c r="CCN185" s="83"/>
      <c r="CCX185" s="83"/>
      <c r="CDH185" s="83"/>
      <c r="CDR185" s="83"/>
      <c r="CEB185" s="83"/>
      <c r="CEL185" s="83"/>
      <c r="CEV185" s="83"/>
      <c r="CFF185" s="83"/>
      <c r="CFP185" s="83"/>
      <c r="CFZ185" s="83"/>
      <c r="CGJ185" s="83"/>
      <c r="CGT185" s="83"/>
      <c r="CHD185" s="83"/>
      <c r="CHN185" s="83"/>
      <c r="CHX185" s="83"/>
      <c r="CIH185" s="83"/>
      <c r="CIR185" s="83"/>
      <c r="CJB185" s="83"/>
      <c r="CJL185" s="83"/>
      <c r="CJV185" s="83"/>
      <c r="CKF185" s="83"/>
      <c r="CKP185" s="83"/>
      <c r="CKZ185" s="83"/>
      <c r="CLJ185" s="83"/>
      <c r="CLT185" s="83"/>
      <c r="CMD185" s="83"/>
      <c r="CMN185" s="83"/>
      <c r="CMX185" s="83"/>
      <c r="CNH185" s="83"/>
      <c r="CNR185" s="83"/>
      <c r="COB185" s="83"/>
      <c r="COL185" s="83"/>
      <c r="COV185" s="83"/>
      <c r="CPF185" s="83"/>
      <c r="CPP185" s="83"/>
      <c r="CPZ185" s="83"/>
      <c r="CQJ185" s="83"/>
      <c r="CQT185" s="83"/>
      <c r="CRD185" s="83"/>
      <c r="CRN185" s="83"/>
      <c r="CRX185" s="83"/>
      <c r="CSH185" s="83"/>
      <c r="CSR185" s="83"/>
      <c r="CTB185" s="83"/>
      <c r="CTL185" s="83"/>
      <c r="CTV185" s="83"/>
    </row>
    <row r="186" s="58" customFormat="1" customHeight="1" spans="1:1020 1030:2040 2050:2570">
      <c r="A186" s="79">
        <v>46153</v>
      </c>
      <c r="B186" s="94" t="s">
        <v>213</v>
      </c>
      <c r="C186" s="95" t="s">
        <v>214</v>
      </c>
      <c r="D186" s="75">
        <v>652381223</v>
      </c>
      <c r="E186" s="95" t="s">
        <v>216</v>
      </c>
      <c r="F186" s="77" t="str">
        <f>IFERROR(VLOOKUP(E186,[27]基础数据!$E$3:$H$7,2,0),"")</f>
        <v>D06电源壳体</v>
      </c>
      <c r="G186" s="75">
        <v>1232</v>
      </c>
      <c r="H186" s="77" t="str">
        <f>IFERROR(VLOOKUP(E186,[27]基础数据!$E$3:$H$7,4,0),"")</f>
        <v>围板箱</v>
      </c>
      <c r="I186" s="77">
        <f>IFERROR(VLOOKUP(E186,[27]基础数据!$E$3:$H$7,3,0),"")</f>
        <v>176</v>
      </c>
      <c r="J186" s="75" t="s">
        <v>306</v>
      </c>
      <c r="K186" s="78">
        <f t="shared" si="4"/>
        <v>7</v>
      </c>
      <c r="T186" s="83"/>
      <c r="AD186" s="83"/>
      <c r="AN186" s="83"/>
      <c r="AX186" s="83"/>
      <c r="BH186" s="83"/>
      <c r="BR186" s="83"/>
      <c r="CB186" s="83"/>
      <c r="CL186" s="83"/>
      <c r="CV186" s="83"/>
      <c r="DF186" s="83"/>
      <c r="DP186" s="83"/>
      <c r="DZ186" s="83"/>
      <c r="EJ186" s="83"/>
      <c r="ET186" s="83"/>
      <c r="FD186" s="83"/>
      <c r="FN186" s="83"/>
      <c r="FX186" s="83"/>
      <c r="GH186" s="83"/>
      <c r="GR186" s="83"/>
      <c r="HB186" s="83"/>
      <c r="HL186" s="83"/>
      <c r="HV186" s="83"/>
      <c r="IF186" s="83"/>
      <c r="IP186" s="83"/>
      <c r="IZ186" s="83"/>
      <c r="JJ186" s="83"/>
      <c r="JT186" s="83"/>
      <c r="KD186" s="83"/>
      <c r="KN186" s="83"/>
      <c r="KX186" s="83"/>
      <c r="LH186" s="83"/>
      <c r="LR186" s="83"/>
      <c r="MB186" s="83"/>
      <c r="ML186" s="83"/>
      <c r="MV186" s="83"/>
      <c r="NF186" s="83"/>
      <c r="NP186" s="83"/>
      <c r="NZ186" s="83"/>
      <c r="OJ186" s="83"/>
      <c r="OT186" s="83"/>
      <c r="PD186" s="83"/>
      <c r="PN186" s="83"/>
      <c r="PX186" s="83"/>
      <c r="QH186" s="83"/>
      <c r="QR186" s="83"/>
      <c r="RB186" s="83"/>
      <c r="RL186" s="83"/>
      <c r="RV186" s="83"/>
      <c r="SF186" s="83"/>
      <c r="SP186" s="83"/>
      <c r="SZ186" s="83"/>
      <c r="TJ186" s="83"/>
      <c r="TT186" s="83"/>
      <c r="UD186" s="83"/>
      <c r="UN186" s="83"/>
      <c r="UX186" s="83"/>
      <c r="VH186" s="83"/>
      <c r="VR186" s="83"/>
      <c r="WB186" s="83"/>
      <c r="WL186" s="83"/>
      <c r="WV186" s="83"/>
      <c r="XF186" s="83"/>
      <c r="XP186" s="83"/>
      <c r="XZ186" s="83"/>
      <c r="YJ186" s="83"/>
      <c r="YT186" s="83"/>
      <c r="ZD186" s="83"/>
      <c r="ZN186" s="83"/>
      <c r="ZX186" s="83"/>
      <c r="AAH186" s="83"/>
      <c r="AAR186" s="83"/>
      <c r="ABB186" s="83"/>
      <c r="ABL186" s="83"/>
      <c r="ABV186" s="83"/>
      <c r="ACF186" s="83"/>
      <c r="ACP186" s="83"/>
      <c r="ACZ186" s="83"/>
      <c r="ADJ186" s="83"/>
      <c r="ADT186" s="83"/>
      <c r="AED186" s="83"/>
      <c r="AEN186" s="83"/>
      <c r="AEX186" s="83"/>
      <c r="AFH186" s="83"/>
      <c r="AFR186" s="83"/>
      <c r="AGB186" s="83"/>
      <c r="AGL186" s="83"/>
      <c r="AGV186" s="83"/>
      <c r="AHF186" s="83"/>
      <c r="AHP186" s="83"/>
      <c r="AHZ186" s="83"/>
      <c r="AIJ186" s="83"/>
      <c r="AIT186" s="83"/>
      <c r="AJD186" s="83"/>
      <c r="AJN186" s="83"/>
      <c r="AJX186" s="83"/>
      <c r="AKH186" s="83"/>
      <c r="AKR186" s="83"/>
      <c r="ALB186" s="83"/>
      <c r="ALL186" s="83"/>
      <c r="ALV186" s="83"/>
      <c r="AMF186" s="83"/>
      <c r="AMP186" s="83"/>
      <c r="AMZ186" s="83"/>
      <c r="ANJ186" s="83"/>
      <c r="ANT186" s="83"/>
      <c r="AOD186" s="83"/>
      <c r="AON186" s="83"/>
      <c r="AOX186" s="83"/>
      <c r="APH186" s="83"/>
      <c r="APR186" s="83"/>
      <c r="AQB186" s="83"/>
      <c r="AQL186" s="83"/>
      <c r="AQV186" s="83"/>
      <c r="ARF186" s="83"/>
      <c r="ARP186" s="83"/>
      <c r="ARZ186" s="83"/>
      <c r="ASJ186" s="83"/>
      <c r="AST186" s="83"/>
      <c r="ATD186" s="83"/>
      <c r="ATN186" s="83"/>
      <c r="ATX186" s="83"/>
      <c r="AUH186" s="83"/>
      <c r="AUR186" s="83"/>
      <c r="AVB186" s="83"/>
      <c r="AVL186" s="83"/>
      <c r="AVV186" s="83"/>
      <c r="AWF186" s="83"/>
      <c r="AWP186" s="83"/>
      <c r="AWZ186" s="83"/>
      <c r="AXJ186" s="83"/>
      <c r="AXT186" s="83"/>
      <c r="AYD186" s="83"/>
      <c r="AYN186" s="83"/>
      <c r="AYX186" s="83"/>
      <c r="AZH186" s="83"/>
      <c r="AZR186" s="83"/>
      <c r="BAB186" s="83"/>
      <c r="BAL186" s="83"/>
      <c r="BAV186" s="83"/>
      <c r="BBF186" s="83"/>
      <c r="BBP186" s="83"/>
      <c r="BBZ186" s="83"/>
      <c r="BCJ186" s="83"/>
      <c r="BCT186" s="83"/>
      <c r="BDD186" s="83"/>
      <c r="BDN186" s="83"/>
      <c r="BDX186" s="83"/>
      <c r="BEH186" s="83"/>
      <c r="BER186" s="83"/>
      <c r="BFB186" s="83"/>
      <c r="BFL186" s="83"/>
      <c r="BFV186" s="83"/>
      <c r="BGF186" s="83"/>
      <c r="BGP186" s="83"/>
      <c r="BGZ186" s="83"/>
      <c r="BHJ186" s="83"/>
      <c r="BHT186" s="83"/>
      <c r="BID186" s="83"/>
      <c r="BIN186" s="83"/>
      <c r="BIX186" s="83"/>
      <c r="BJH186" s="83"/>
      <c r="BJR186" s="83"/>
      <c r="BKB186" s="83"/>
      <c r="BKL186" s="83"/>
      <c r="BKV186" s="83"/>
      <c r="BLF186" s="83"/>
      <c r="BLP186" s="83"/>
      <c r="BLZ186" s="83"/>
      <c r="BMJ186" s="83"/>
      <c r="BMT186" s="83"/>
      <c r="BND186" s="83"/>
      <c r="BNN186" s="83"/>
      <c r="BNX186" s="83"/>
      <c r="BOH186" s="83"/>
      <c r="BOR186" s="83"/>
      <c r="BPB186" s="83"/>
      <c r="BPL186" s="83"/>
      <c r="BPV186" s="83"/>
      <c r="BQF186" s="83"/>
      <c r="BQP186" s="83"/>
      <c r="BQZ186" s="83"/>
      <c r="BRJ186" s="83"/>
      <c r="BRT186" s="83"/>
      <c r="BSD186" s="83"/>
      <c r="BSN186" s="83"/>
      <c r="BSX186" s="83"/>
      <c r="BTH186" s="83"/>
      <c r="BTR186" s="83"/>
      <c r="BUB186" s="83"/>
      <c r="BUL186" s="83"/>
      <c r="BUV186" s="83"/>
      <c r="BVF186" s="83"/>
      <c r="BVP186" s="83"/>
      <c r="BVZ186" s="83"/>
      <c r="BWJ186" s="83"/>
      <c r="BWT186" s="83"/>
      <c r="BXD186" s="83"/>
      <c r="BXN186" s="83"/>
      <c r="BXX186" s="83"/>
      <c r="BYH186" s="83"/>
      <c r="BYR186" s="83"/>
      <c r="BZB186" s="83"/>
      <c r="BZL186" s="83"/>
      <c r="BZV186" s="83"/>
      <c r="CAF186" s="83"/>
      <c r="CAP186" s="83"/>
      <c r="CAZ186" s="83"/>
      <c r="CBJ186" s="83"/>
      <c r="CBT186" s="83"/>
      <c r="CCD186" s="83"/>
      <c r="CCN186" s="83"/>
      <c r="CCX186" s="83"/>
      <c r="CDH186" s="83"/>
      <c r="CDR186" s="83"/>
      <c r="CEB186" s="83"/>
      <c r="CEL186" s="83"/>
      <c r="CEV186" s="83"/>
      <c r="CFF186" s="83"/>
      <c r="CFP186" s="83"/>
      <c r="CFZ186" s="83"/>
      <c r="CGJ186" s="83"/>
      <c r="CGT186" s="83"/>
      <c r="CHD186" s="83"/>
      <c r="CHN186" s="83"/>
      <c r="CHX186" s="83"/>
      <c r="CIH186" s="83"/>
      <c r="CIR186" s="83"/>
      <c r="CJB186" s="83"/>
      <c r="CJL186" s="83"/>
      <c r="CJV186" s="83"/>
      <c r="CKF186" s="83"/>
      <c r="CKP186" s="83"/>
      <c r="CKZ186" s="83"/>
      <c r="CLJ186" s="83"/>
      <c r="CLT186" s="83"/>
      <c r="CMD186" s="83"/>
      <c r="CMN186" s="83"/>
      <c r="CMX186" s="83"/>
      <c r="CNH186" s="83"/>
      <c r="CNR186" s="83"/>
      <c r="COB186" s="83"/>
      <c r="COL186" s="83"/>
      <c r="COV186" s="83"/>
      <c r="CPF186" s="83"/>
      <c r="CPP186" s="83"/>
      <c r="CPZ186" s="83"/>
      <c r="CQJ186" s="83"/>
      <c r="CQT186" s="83"/>
      <c r="CRD186" s="83"/>
      <c r="CRN186" s="83"/>
      <c r="CRX186" s="83"/>
      <c r="CSH186" s="83"/>
      <c r="CSR186" s="83"/>
      <c r="CTB186" s="83"/>
      <c r="CTL186" s="83"/>
      <c r="CTV186" s="83"/>
    </row>
    <row r="187" s="58" customFormat="1" customHeight="1" spans="1:1020 1030:2040 2050:2570">
      <c r="A187" s="79">
        <v>46154</v>
      </c>
      <c r="B187" s="94" t="s">
        <v>213</v>
      </c>
      <c r="C187" s="95" t="s">
        <v>214</v>
      </c>
      <c r="D187" s="75">
        <v>652384813</v>
      </c>
      <c r="E187" s="95" t="s">
        <v>222</v>
      </c>
      <c r="F187" s="77" t="str">
        <f>IFERROR(VLOOKUP(E187,[70]基础数据!$E$3:$H$7,2,0),"")</f>
        <v>DM2下箱体</v>
      </c>
      <c r="G187" s="75">
        <v>1122</v>
      </c>
      <c r="H187" s="77" t="str">
        <f>IFERROR(VLOOKUP(E187,[70]基础数据!$E$3:$H$7,4,0),"")</f>
        <v>围板箱</v>
      </c>
      <c r="I187" s="77">
        <f>IFERROR(VLOOKUP(E187,[70]基础数据!$E$3:$H$7,3,0),"")</f>
        <v>66</v>
      </c>
      <c r="J187" s="75" t="s">
        <v>306</v>
      </c>
      <c r="K187" s="78">
        <f t="shared" si="4"/>
        <v>17</v>
      </c>
      <c r="T187" s="83"/>
      <c r="AD187" s="83"/>
      <c r="AN187" s="83"/>
      <c r="AX187" s="83"/>
      <c r="BH187" s="83"/>
      <c r="BR187" s="83"/>
      <c r="CB187" s="83"/>
      <c r="CL187" s="83"/>
      <c r="CV187" s="83"/>
      <c r="DF187" s="83"/>
      <c r="DP187" s="83"/>
      <c r="DZ187" s="83"/>
      <c r="EJ187" s="83"/>
      <c r="ET187" s="83"/>
      <c r="FD187" s="83"/>
      <c r="FN187" s="83"/>
      <c r="FX187" s="83"/>
      <c r="GH187" s="83"/>
      <c r="GR187" s="83"/>
      <c r="HB187" s="83"/>
      <c r="HL187" s="83"/>
      <c r="HV187" s="83"/>
      <c r="IF187" s="83"/>
      <c r="IP187" s="83"/>
      <c r="IZ187" s="83"/>
      <c r="JJ187" s="83"/>
      <c r="JT187" s="83"/>
      <c r="KD187" s="83"/>
      <c r="KN187" s="83"/>
      <c r="KX187" s="83"/>
      <c r="LH187" s="83"/>
      <c r="LR187" s="83"/>
      <c r="MB187" s="83"/>
      <c r="ML187" s="83"/>
      <c r="MV187" s="83"/>
      <c r="NF187" s="83"/>
      <c r="NP187" s="83"/>
      <c r="NZ187" s="83"/>
      <c r="OJ187" s="83"/>
      <c r="OT187" s="83"/>
      <c r="PD187" s="83"/>
      <c r="PN187" s="83"/>
      <c r="PX187" s="83"/>
      <c r="QH187" s="83"/>
      <c r="QR187" s="83"/>
      <c r="RB187" s="83"/>
      <c r="RL187" s="83"/>
      <c r="RV187" s="83"/>
      <c r="SF187" s="83"/>
      <c r="SP187" s="83"/>
      <c r="SZ187" s="83"/>
      <c r="TJ187" s="83"/>
      <c r="TT187" s="83"/>
      <c r="UD187" s="83"/>
      <c r="UN187" s="83"/>
      <c r="UX187" s="83"/>
      <c r="VH187" s="83"/>
      <c r="VR187" s="83"/>
      <c r="WB187" s="83"/>
      <c r="WL187" s="83"/>
      <c r="WV187" s="83"/>
      <c r="XF187" s="83"/>
      <c r="XP187" s="83"/>
      <c r="XZ187" s="83"/>
      <c r="YJ187" s="83"/>
      <c r="YT187" s="83"/>
      <c r="ZD187" s="83"/>
      <c r="ZN187" s="83"/>
      <c r="ZX187" s="83"/>
      <c r="AAH187" s="83"/>
      <c r="AAR187" s="83"/>
      <c r="ABB187" s="83"/>
      <c r="ABL187" s="83"/>
      <c r="ABV187" s="83"/>
      <c r="ACF187" s="83"/>
      <c r="ACP187" s="83"/>
      <c r="ACZ187" s="83"/>
      <c r="ADJ187" s="83"/>
      <c r="ADT187" s="83"/>
      <c r="AED187" s="83"/>
      <c r="AEN187" s="83"/>
      <c r="AEX187" s="83"/>
      <c r="AFH187" s="83"/>
      <c r="AFR187" s="83"/>
      <c r="AGB187" s="83"/>
      <c r="AGL187" s="83"/>
      <c r="AGV187" s="83"/>
      <c r="AHF187" s="83"/>
      <c r="AHP187" s="83"/>
      <c r="AHZ187" s="83"/>
      <c r="AIJ187" s="83"/>
      <c r="AIT187" s="83"/>
      <c r="AJD187" s="83"/>
      <c r="AJN187" s="83"/>
      <c r="AJX187" s="83"/>
      <c r="AKH187" s="83"/>
      <c r="AKR187" s="83"/>
      <c r="ALB187" s="83"/>
      <c r="ALL187" s="83"/>
      <c r="ALV187" s="83"/>
      <c r="AMF187" s="83"/>
      <c r="AMP187" s="83"/>
      <c r="AMZ187" s="83"/>
      <c r="ANJ187" s="83"/>
      <c r="ANT187" s="83"/>
      <c r="AOD187" s="83"/>
      <c r="AON187" s="83"/>
      <c r="AOX187" s="83"/>
      <c r="APH187" s="83"/>
      <c r="APR187" s="83"/>
      <c r="AQB187" s="83"/>
      <c r="AQL187" s="83"/>
      <c r="AQV187" s="83"/>
      <c r="ARF187" s="83"/>
      <c r="ARP187" s="83"/>
      <c r="ARZ187" s="83"/>
      <c r="ASJ187" s="83"/>
      <c r="AST187" s="83"/>
      <c r="ATD187" s="83"/>
      <c r="ATN187" s="83"/>
      <c r="ATX187" s="83"/>
      <c r="AUH187" s="83"/>
      <c r="AUR187" s="83"/>
      <c r="AVB187" s="83"/>
      <c r="AVL187" s="83"/>
      <c r="AVV187" s="83"/>
      <c r="AWF187" s="83"/>
      <c r="AWP187" s="83"/>
      <c r="AWZ187" s="83"/>
      <c r="AXJ187" s="83"/>
      <c r="AXT187" s="83"/>
      <c r="AYD187" s="83"/>
      <c r="AYN187" s="83"/>
      <c r="AYX187" s="83"/>
      <c r="AZH187" s="83"/>
      <c r="AZR187" s="83"/>
      <c r="BAB187" s="83"/>
      <c r="BAL187" s="83"/>
      <c r="BAV187" s="83"/>
      <c r="BBF187" s="83"/>
      <c r="BBP187" s="83"/>
      <c r="BBZ187" s="83"/>
      <c r="BCJ187" s="83"/>
      <c r="BCT187" s="83"/>
      <c r="BDD187" s="83"/>
      <c r="BDN187" s="83"/>
      <c r="BDX187" s="83"/>
      <c r="BEH187" s="83"/>
      <c r="BER187" s="83"/>
      <c r="BFB187" s="83"/>
      <c r="BFL187" s="83"/>
      <c r="BFV187" s="83"/>
      <c r="BGF187" s="83"/>
      <c r="BGP187" s="83"/>
      <c r="BGZ187" s="83"/>
      <c r="BHJ187" s="83"/>
      <c r="BHT187" s="83"/>
      <c r="BID187" s="83"/>
      <c r="BIN187" s="83"/>
      <c r="BIX187" s="83"/>
      <c r="BJH187" s="83"/>
      <c r="BJR187" s="83"/>
      <c r="BKB187" s="83"/>
      <c r="BKL187" s="83"/>
      <c r="BKV187" s="83"/>
      <c r="BLF187" s="83"/>
      <c r="BLP187" s="83"/>
      <c r="BLZ187" s="83"/>
      <c r="BMJ187" s="83"/>
      <c r="BMT187" s="83"/>
      <c r="BND187" s="83"/>
      <c r="BNN187" s="83"/>
      <c r="BNX187" s="83"/>
      <c r="BOH187" s="83"/>
      <c r="BOR187" s="83"/>
      <c r="BPB187" s="83"/>
      <c r="BPL187" s="83"/>
      <c r="BPV187" s="83"/>
      <c r="BQF187" s="83"/>
      <c r="BQP187" s="83"/>
      <c r="BQZ187" s="83"/>
      <c r="BRJ187" s="83"/>
      <c r="BRT187" s="83"/>
      <c r="BSD187" s="83"/>
      <c r="BSN187" s="83"/>
      <c r="BSX187" s="83"/>
      <c r="BTH187" s="83"/>
      <c r="BTR187" s="83"/>
      <c r="BUB187" s="83"/>
      <c r="BUL187" s="83"/>
      <c r="BUV187" s="83"/>
      <c r="BVF187" s="83"/>
      <c r="BVP187" s="83"/>
      <c r="BVZ187" s="83"/>
      <c r="BWJ187" s="83"/>
      <c r="BWT187" s="83"/>
      <c r="BXD187" s="83"/>
      <c r="BXN187" s="83"/>
      <c r="BXX187" s="83"/>
      <c r="BYH187" s="83"/>
      <c r="BYR187" s="83"/>
      <c r="BZB187" s="83"/>
      <c r="BZL187" s="83"/>
      <c r="BZV187" s="83"/>
      <c r="CAF187" s="83"/>
      <c r="CAP187" s="83"/>
      <c r="CAZ187" s="83"/>
      <c r="CBJ187" s="83"/>
      <c r="CBT187" s="83"/>
      <c r="CCD187" s="83"/>
      <c r="CCN187" s="83"/>
      <c r="CCX187" s="83"/>
      <c r="CDH187" s="83"/>
      <c r="CDR187" s="83"/>
      <c r="CEB187" s="83"/>
      <c r="CEL187" s="83"/>
      <c r="CEV187" s="83"/>
      <c r="CFF187" s="83"/>
      <c r="CFP187" s="83"/>
      <c r="CFZ187" s="83"/>
      <c r="CGJ187" s="83"/>
      <c r="CGT187" s="83"/>
      <c r="CHD187" s="83"/>
      <c r="CHN187" s="83"/>
      <c r="CHX187" s="83"/>
      <c r="CIH187" s="83"/>
      <c r="CIR187" s="83"/>
      <c r="CJB187" s="83"/>
      <c r="CJL187" s="83"/>
      <c r="CJV187" s="83"/>
      <c r="CKF187" s="83"/>
      <c r="CKP187" s="83"/>
      <c r="CKZ187" s="83"/>
      <c r="CLJ187" s="83"/>
      <c r="CLT187" s="83"/>
      <c r="CMD187" s="83"/>
      <c r="CMN187" s="83"/>
      <c r="CMX187" s="83"/>
      <c r="CNH187" s="83"/>
      <c r="CNR187" s="83"/>
      <c r="COB187" s="83"/>
      <c r="COL187" s="83"/>
      <c r="COV187" s="83"/>
      <c r="CPF187" s="83"/>
      <c r="CPP187" s="83"/>
      <c r="CPZ187" s="83"/>
      <c r="CQJ187" s="83"/>
      <c r="CQT187" s="83"/>
      <c r="CRD187" s="83"/>
      <c r="CRN187" s="83"/>
      <c r="CRX187" s="83"/>
      <c r="CSH187" s="83"/>
      <c r="CSR187" s="83"/>
      <c r="CTB187" s="83"/>
      <c r="CTL187" s="83"/>
      <c r="CTV187" s="83"/>
    </row>
    <row r="188" s="58" customFormat="1" customHeight="1" spans="1:1020 1030:2040 2050:2570">
      <c r="A188" s="79">
        <v>46154</v>
      </c>
      <c r="B188" s="94" t="s">
        <v>213</v>
      </c>
      <c r="C188" s="95" t="s">
        <v>214</v>
      </c>
      <c r="D188" s="75">
        <v>652387570</v>
      </c>
      <c r="E188" s="95" t="s">
        <v>220</v>
      </c>
      <c r="F188" s="77" t="str">
        <f>IFERROR(VLOOKUP(E188,[70]基础数据!$E$3:$H$7,2,0),"")</f>
        <v>DM2上箱体</v>
      </c>
      <c r="G188" s="75">
        <v>1134</v>
      </c>
      <c r="H188" s="77" t="str">
        <f>IFERROR(VLOOKUP(E188,[70]基础数据!$E$3:$H$7,4,0),"")</f>
        <v>围板箱</v>
      </c>
      <c r="I188" s="77">
        <f>IFERROR(VLOOKUP(E188,[70]基础数据!$E$3:$H$7,3,0),"")</f>
        <v>54</v>
      </c>
      <c r="J188" s="75" t="s">
        <v>306</v>
      </c>
      <c r="K188" s="78">
        <f t="shared" si="4"/>
        <v>21</v>
      </c>
      <c r="T188" s="83"/>
      <c r="AD188" s="83"/>
      <c r="AN188" s="83"/>
      <c r="AX188" s="83"/>
      <c r="BH188" s="83"/>
      <c r="BR188" s="83"/>
      <c r="CB188" s="83"/>
      <c r="CL188" s="83"/>
      <c r="CV188" s="83"/>
      <c r="DF188" s="83"/>
      <c r="DP188" s="83"/>
      <c r="DZ188" s="83"/>
      <c r="EJ188" s="83"/>
      <c r="ET188" s="83"/>
      <c r="FD188" s="83"/>
      <c r="FN188" s="83"/>
      <c r="FX188" s="83"/>
      <c r="GH188" s="83"/>
      <c r="GR188" s="83"/>
      <c r="HB188" s="83"/>
      <c r="HL188" s="83"/>
      <c r="HV188" s="83"/>
      <c r="IF188" s="83"/>
      <c r="IP188" s="83"/>
      <c r="IZ188" s="83"/>
      <c r="JJ188" s="83"/>
      <c r="JT188" s="83"/>
      <c r="KD188" s="83"/>
      <c r="KN188" s="83"/>
      <c r="KX188" s="83"/>
      <c r="LH188" s="83"/>
      <c r="LR188" s="83"/>
      <c r="MB188" s="83"/>
      <c r="ML188" s="83"/>
      <c r="MV188" s="83"/>
      <c r="NF188" s="83"/>
      <c r="NP188" s="83"/>
      <c r="NZ188" s="83"/>
      <c r="OJ188" s="83"/>
      <c r="OT188" s="83"/>
      <c r="PD188" s="83"/>
      <c r="PN188" s="83"/>
      <c r="PX188" s="83"/>
      <c r="QH188" s="83"/>
      <c r="QR188" s="83"/>
      <c r="RB188" s="83"/>
      <c r="RL188" s="83"/>
      <c r="RV188" s="83"/>
      <c r="SF188" s="83"/>
      <c r="SP188" s="83"/>
      <c r="SZ188" s="83"/>
      <c r="TJ188" s="83"/>
      <c r="TT188" s="83"/>
      <c r="UD188" s="83"/>
      <c r="UN188" s="83"/>
      <c r="UX188" s="83"/>
      <c r="VH188" s="83"/>
      <c r="VR188" s="83"/>
      <c r="WB188" s="83"/>
      <c r="WL188" s="83"/>
      <c r="WV188" s="83"/>
      <c r="XF188" s="83"/>
      <c r="XP188" s="83"/>
      <c r="XZ188" s="83"/>
      <c r="YJ188" s="83"/>
      <c r="YT188" s="83"/>
      <c r="ZD188" s="83"/>
      <c r="ZN188" s="83"/>
      <c r="ZX188" s="83"/>
      <c r="AAH188" s="83"/>
      <c r="AAR188" s="83"/>
      <c r="ABB188" s="83"/>
      <c r="ABL188" s="83"/>
      <c r="ABV188" s="83"/>
      <c r="ACF188" s="83"/>
      <c r="ACP188" s="83"/>
      <c r="ACZ188" s="83"/>
      <c r="ADJ188" s="83"/>
      <c r="ADT188" s="83"/>
      <c r="AED188" s="83"/>
      <c r="AEN188" s="83"/>
      <c r="AEX188" s="83"/>
      <c r="AFH188" s="83"/>
      <c r="AFR188" s="83"/>
      <c r="AGB188" s="83"/>
      <c r="AGL188" s="83"/>
      <c r="AGV188" s="83"/>
      <c r="AHF188" s="83"/>
      <c r="AHP188" s="83"/>
      <c r="AHZ188" s="83"/>
      <c r="AIJ188" s="83"/>
      <c r="AIT188" s="83"/>
      <c r="AJD188" s="83"/>
      <c r="AJN188" s="83"/>
      <c r="AJX188" s="83"/>
      <c r="AKH188" s="83"/>
      <c r="AKR188" s="83"/>
      <c r="ALB188" s="83"/>
      <c r="ALL188" s="83"/>
      <c r="ALV188" s="83"/>
      <c r="AMF188" s="83"/>
      <c r="AMP188" s="83"/>
      <c r="AMZ188" s="83"/>
      <c r="ANJ188" s="83"/>
      <c r="ANT188" s="83"/>
      <c r="AOD188" s="83"/>
      <c r="AON188" s="83"/>
      <c r="AOX188" s="83"/>
      <c r="APH188" s="83"/>
      <c r="APR188" s="83"/>
      <c r="AQB188" s="83"/>
      <c r="AQL188" s="83"/>
      <c r="AQV188" s="83"/>
      <c r="ARF188" s="83"/>
      <c r="ARP188" s="83"/>
      <c r="ARZ188" s="83"/>
      <c r="ASJ188" s="83"/>
      <c r="AST188" s="83"/>
      <c r="ATD188" s="83"/>
      <c r="ATN188" s="83"/>
      <c r="ATX188" s="83"/>
      <c r="AUH188" s="83"/>
      <c r="AUR188" s="83"/>
      <c r="AVB188" s="83"/>
      <c r="AVL188" s="83"/>
      <c r="AVV188" s="83"/>
      <c r="AWF188" s="83"/>
      <c r="AWP188" s="83"/>
      <c r="AWZ188" s="83"/>
      <c r="AXJ188" s="83"/>
      <c r="AXT188" s="83"/>
      <c r="AYD188" s="83"/>
      <c r="AYN188" s="83"/>
      <c r="AYX188" s="83"/>
      <c r="AZH188" s="83"/>
      <c r="AZR188" s="83"/>
      <c r="BAB188" s="83"/>
      <c r="BAL188" s="83"/>
      <c r="BAV188" s="83"/>
      <c r="BBF188" s="83"/>
      <c r="BBP188" s="83"/>
      <c r="BBZ188" s="83"/>
      <c r="BCJ188" s="83"/>
      <c r="BCT188" s="83"/>
      <c r="BDD188" s="83"/>
      <c r="BDN188" s="83"/>
      <c r="BDX188" s="83"/>
      <c r="BEH188" s="83"/>
      <c r="BER188" s="83"/>
      <c r="BFB188" s="83"/>
      <c r="BFL188" s="83"/>
      <c r="BFV188" s="83"/>
      <c r="BGF188" s="83"/>
      <c r="BGP188" s="83"/>
      <c r="BGZ188" s="83"/>
      <c r="BHJ188" s="83"/>
      <c r="BHT188" s="83"/>
      <c r="BID188" s="83"/>
      <c r="BIN188" s="83"/>
      <c r="BIX188" s="83"/>
      <c r="BJH188" s="83"/>
      <c r="BJR188" s="83"/>
      <c r="BKB188" s="83"/>
      <c r="BKL188" s="83"/>
      <c r="BKV188" s="83"/>
      <c r="BLF188" s="83"/>
      <c r="BLP188" s="83"/>
      <c r="BLZ188" s="83"/>
      <c r="BMJ188" s="83"/>
      <c r="BMT188" s="83"/>
      <c r="BND188" s="83"/>
      <c r="BNN188" s="83"/>
      <c r="BNX188" s="83"/>
      <c r="BOH188" s="83"/>
      <c r="BOR188" s="83"/>
      <c r="BPB188" s="83"/>
      <c r="BPL188" s="83"/>
      <c r="BPV188" s="83"/>
      <c r="BQF188" s="83"/>
      <c r="BQP188" s="83"/>
      <c r="BQZ188" s="83"/>
      <c r="BRJ188" s="83"/>
      <c r="BRT188" s="83"/>
      <c r="BSD188" s="83"/>
      <c r="BSN188" s="83"/>
      <c r="BSX188" s="83"/>
      <c r="BTH188" s="83"/>
      <c r="BTR188" s="83"/>
      <c r="BUB188" s="83"/>
      <c r="BUL188" s="83"/>
      <c r="BUV188" s="83"/>
      <c r="BVF188" s="83"/>
      <c r="BVP188" s="83"/>
      <c r="BVZ188" s="83"/>
      <c r="BWJ188" s="83"/>
      <c r="BWT188" s="83"/>
      <c r="BXD188" s="83"/>
      <c r="BXN188" s="83"/>
      <c r="BXX188" s="83"/>
      <c r="BYH188" s="83"/>
      <c r="BYR188" s="83"/>
      <c r="BZB188" s="83"/>
      <c r="BZL188" s="83"/>
      <c r="BZV188" s="83"/>
      <c r="CAF188" s="83"/>
      <c r="CAP188" s="83"/>
      <c r="CAZ188" s="83"/>
      <c r="CBJ188" s="83"/>
      <c r="CBT188" s="83"/>
      <c r="CCD188" s="83"/>
      <c r="CCN188" s="83"/>
      <c r="CCX188" s="83"/>
      <c r="CDH188" s="83"/>
      <c r="CDR188" s="83"/>
      <c r="CEB188" s="83"/>
      <c r="CEL188" s="83"/>
      <c r="CEV188" s="83"/>
      <c r="CFF188" s="83"/>
      <c r="CFP188" s="83"/>
      <c r="CFZ188" s="83"/>
      <c r="CGJ188" s="83"/>
      <c r="CGT188" s="83"/>
      <c r="CHD188" s="83"/>
      <c r="CHN188" s="83"/>
      <c r="CHX188" s="83"/>
      <c r="CIH188" s="83"/>
      <c r="CIR188" s="83"/>
      <c r="CJB188" s="83"/>
      <c r="CJL188" s="83"/>
      <c r="CJV188" s="83"/>
      <c r="CKF188" s="83"/>
      <c r="CKP188" s="83"/>
      <c r="CKZ188" s="83"/>
      <c r="CLJ188" s="83"/>
      <c r="CLT188" s="83"/>
      <c r="CMD188" s="83"/>
      <c r="CMN188" s="83"/>
      <c r="CMX188" s="83"/>
      <c r="CNH188" s="83"/>
      <c r="CNR188" s="83"/>
      <c r="COB188" s="83"/>
      <c r="COL188" s="83"/>
      <c r="COV188" s="83"/>
      <c r="CPF188" s="83"/>
      <c r="CPP188" s="83"/>
      <c r="CPZ188" s="83"/>
      <c r="CQJ188" s="83"/>
      <c r="CQT188" s="83"/>
      <c r="CRD188" s="83"/>
      <c r="CRN188" s="83"/>
      <c r="CRX188" s="83"/>
      <c r="CSH188" s="83"/>
      <c r="CSR188" s="83"/>
      <c r="CTB188" s="83"/>
      <c r="CTL188" s="83"/>
      <c r="CTV188" s="83"/>
    </row>
    <row r="189" customHeight="1" spans="1:1020 1030:2040 2050:2570">
      <c r="A189" s="72">
        <v>46145</v>
      </c>
      <c r="B189" s="73" t="s">
        <v>267</v>
      </c>
      <c r="C189" s="74" t="s">
        <v>268</v>
      </c>
      <c r="D189" s="74">
        <v>652332187</v>
      </c>
      <c r="E189" s="75" t="s">
        <v>269</v>
      </c>
      <c r="F189" s="76" t="s">
        <v>270</v>
      </c>
      <c r="G189" s="74">
        <v>576</v>
      </c>
      <c r="H189" s="77" t="s">
        <v>27</v>
      </c>
      <c r="I189" s="77">
        <v>12</v>
      </c>
      <c r="J189" s="74" t="s">
        <v>306</v>
      </c>
      <c r="K189" s="78">
        <v>48</v>
      </c>
    </row>
    <row r="190" customHeight="1" spans="1:1020 1030:2040 2050:2570">
      <c r="A190" s="72">
        <v>46146</v>
      </c>
      <c r="B190" s="73" t="s">
        <v>247</v>
      </c>
      <c r="C190" s="74" t="s">
        <v>248</v>
      </c>
      <c r="D190" s="74">
        <v>652335201</v>
      </c>
      <c r="E190" s="75" t="s">
        <v>251</v>
      </c>
      <c r="F190" s="76" t="s">
        <v>252</v>
      </c>
      <c r="G190" s="74">
        <v>1215</v>
      </c>
      <c r="H190" s="77" t="s">
        <v>218</v>
      </c>
      <c r="I190" s="77">
        <v>45</v>
      </c>
      <c r="J190" s="74" t="s">
        <v>306</v>
      </c>
      <c r="K190" s="78">
        <v>27</v>
      </c>
    </row>
    <row r="191" s="58" customFormat="1" customHeight="1" spans="1:1020 1030:2040 2050:2570">
      <c r="A191" s="79">
        <v>46147</v>
      </c>
      <c r="B191" s="146" t="s">
        <v>247</v>
      </c>
      <c r="C191" s="38" t="s">
        <v>248</v>
      </c>
      <c r="D191" s="75">
        <v>652343470</v>
      </c>
      <c r="E191" s="100" t="s">
        <v>251</v>
      </c>
      <c r="F191" s="77" t="str">
        <f>IFERROR(VLOOKUP(E191,[28]基础数据!$E$4:$H$4,2,0),"")</f>
        <v>车载电源二合一</v>
      </c>
      <c r="G191" s="75">
        <v>1215</v>
      </c>
      <c r="H191" s="77" t="str">
        <f>IFERROR(VLOOKUP(E191,[28]基础数据!$E$4:$H$4,4,0),"")</f>
        <v>围板箱</v>
      </c>
      <c r="I191" s="77">
        <f>IFERROR(VLOOKUP(E191,[28]基础数据!$E$4:$H$4,3,0),"")</f>
        <v>45</v>
      </c>
      <c r="J191" s="75" t="s">
        <v>306</v>
      </c>
      <c r="K191" s="78">
        <f>IFERROR(G191/I191,"")</f>
        <v>27</v>
      </c>
      <c r="T191" s="83"/>
      <c r="AD191" s="83"/>
      <c r="AN191" s="83"/>
      <c r="AX191" s="83"/>
      <c r="BH191" s="83"/>
      <c r="BR191" s="83"/>
      <c r="CB191" s="83"/>
      <c r="CL191" s="83"/>
      <c r="CV191" s="83"/>
      <c r="DF191" s="83"/>
      <c r="DP191" s="83"/>
      <c r="DZ191" s="83"/>
      <c r="EJ191" s="83"/>
      <c r="ET191" s="83"/>
      <c r="FD191" s="83"/>
      <c r="FN191" s="83"/>
      <c r="FX191" s="83"/>
      <c r="GH191" s="83"/>
      <c r="GR191" s="83"/>
      <c r="HB191" s="83"/>
      <c r="HL191" s="83"/>
      <c r="HV191" s="83"/>
      <c r="IF191" s="83"/>
      <c r="IP191" s="83"/>
      <c r="IZ191" s="83"/>
      <c r="JJ191" s="83"/>
      <c r="JT191" s="83"/>
      <c r="KD191" s="83"/>
      <c r="KN191" s="83"/>
      <c r="KX191" s="83"/>
      <c r="LH191" s="83"/>
      <c r="LR191" s="83"/>
      <c r="MB191" s="83"/>
      <c r="ML191" s="83"/>
      <c r="MV191" s="83"/>
      <c r="NF191" s="83"/>
      <c r="NP191" s="83"/>
      <c r="NZ191" s="83"/>
      <c r="OJ191" s="83"/>
      <c r="OT191" s="83"/>
      <c r="PD191" s="83"/>
      <c r="PN191" s="83"/>
      <c r="PX191" s="83"/>
      <c r="QH191" s="83"/>
      <c r="QR191" s="83"/>
      <c r="RB191" s="83"/>
      <c r="RL191" s="83"/>
      <c r="RV191" s="83"/>
      <c r="SF191" s="83"/>
      <c r="SP191" s="83"/>
      <c r="SZ191" s="83"/>
      <c r="TJ191" s="83"/>
      <c r="TT191" s="83"/>
      <c r="UD191" s="83"/>
      <c r="UN191" s="83"/>
      <c r="UX191" s="83"/>
      <c r="VH191" s="83"/>
      <c r="VR191" s="83"/>
      <c r="WB191" s="83"/>
      <c r="WL191" s="83"/>
      <c r="WV191" s="83"/>
      <c r="XF191" s="83"/>
      <c r="XP191" s="83"/>
      <c r="XZ191" s="83"/>
      <c r="YJ191" s="83"/>
      <c r="YT191" s="83"/>
      <c r="ZD191" s="83"/>
      <c r="ZN191" s="83"/>
      <c r="ZX191" s="83"/>
      <c r="AAH191" s="83"/>
      <c r="AAR191" s="83"/>
      <c r="ABB191" s="83"/>
      <c r="ABL191" s="83"/>
      <c r="ABV191" s="83"/>
      <c r="ACF191" s="83"/>
      <c r="ACP191" s="83"/>
      <c r="ACZ191" s="83"/>
      <c r="ADJ191" s="83"/>
      <c r="ADT191" s="83"/>
      <c r="AED191" s="83"/>
      <c r="AEN191" s="83"/>
      <c r="AEX191" s="83"/>
      <c r="AFH191" s="83"/>
      <c r="AFR191" s="83"/>
      <c r="AGB191" s="83"/>
      <c r="AGL191" s="83"/>
      <c r="AGV191" s="83"/>
      <c r="AHF191" s="83"/>
      <c r="AHP191" s="83"/>
      <c r="AHZ191" s="83"/>
      <c r="AIJ191" s="83"/>
      <c r="AIT191" s="83"/>
      <c r="AJD191" s="83"/>
      <c r="AJN191" s="83"/>
      <c r="AJX191" s="83"/>
      <c r="AKH191" s="83"/>
      <c r="AKR191" s="83"/>
      <c r="ALB191" s="83"/>
      <c r="ALL191" s="83"/>
      <c r="ALV191" s="83"/>
      <c r="AMF191" s="83"/>
      <c r="AMP191" s="83"/>
      <c r="AMZ191" s="83"/>
      <c r="ANJ191" s="83"/>
      <c r="ANT191" s="83"/>
      <c r="AOD191" s="83"/>
      <c r="AON191" s="83"/>
      <c r="AOX191" s="83"/>
      <c r="APH191" s="83"/>
      <c r="APR191" s="83"/>
      <c r="AQB191" s="83"/>
      <c r="AQL191" s="83"/>
      <c r="AQV191" s="83"/>
      <c r="ARF191" s="83"/>
      <c r="ARP191" s="83"/>
      <c r="ARZ191" s="83"/>
      <c r="ASJ191" s="83"/>
      <c r="AST191" s="83"/>
      <c r="ATD191" s="83"/>
      <c r="ATN191" s="83"/>
      <c r="ATX191" s="83"/>
      <c r="AUH191" s="83"/>
      <c r="AUR191" s="83"/>
      <c r="AVB191" s="83"/>
      <c r="AVL191" s="83"/>
      <c r="AVV191" s="83"/>
      <c r="AWF191" s="83"/>
      <c r="AWP191" s="83"/>
      <c r="AWZ191" s="83"/>
      <c r="AXJ191" s="83"/>
      <c r="AXT191" s="83"/>
      <c r="AYD191" s="83"/>
      <c r="AYN191" s="83"/>
      <c r="AYX191" s="83"/>
      <c r="AZH191" s="83"/>
      <c r="AZR191" s="83"/>
      <c r="BAB191" s="83"/>
      <c r="BAL191" s="83"/>
      <c r="BAV191" s="83"/>
      <c r="BBF191" s="83"/>
      <c r="BBP191" s="83"/>
      <c r="BBZ191" s="83"/>
      <c r="BCJ191" s="83"/>
      <c r="BCT191" s="83"/>
      <c r="BDD191" s="83"/>
      <c r="BDN191" s="83"/>
      <c r="BDX191" s="83"/>
      <c r="BEH191" s="83"/>
      <c r="BER191" s="83"/>
      <c r="BFB191" s="83"/>
      <c r="BFL191" s="83"/>
      <c r="BFV191" s="83"/>
      <c r="BGF191" s="83"/>
      <c r="BGP191" s="83"/>
      <c r="BGZ191" s="83"/>
      <c r="BHJ191" s="83"/>
      <c r="BHT191" s="83"/>
      <c r="BID191" s="83"/>
      <c r="BIN191" s="83"/>
      <c r="BIX191" s="83"/>
      <c r="BJH191" s="83"/>
      <c r="BJR191" s="83"/>
      <c r="BKB191" s="83"/>
      <c r="BKL191" s="83"/>
      <c r="BKV191" s="83"/>
      <c r="BLF191" s="83"/>
      <c r="BLP191" s="83"/>
      <c r="BLZ191" s="83"/>
      <c r="BMJ191" s="83"/>
      <c r="BMT191" s="83"/>
      <c r="BND191" s="83"/>
      <c r="BNN191" s="83"/>
      <c r="BNX191" s="83"/>
      <c r="BOH191" s="83"/>
      <c r="BOR191" s="83"/>
      <c r="BPB191" s="83"/>
      <c r="BPL191" s="83"/>
      <c r="BPV191" s="83"/>
      <c r="BQF191" s="83"/>
      <c r="BQP191" s="83"/>
      <c r="BQZ191" s="83"/>
      <c r="BRJ191" s="83"/>
      <c r="BRT191" s="83"/>
      <c r="BSD191" s="83"/>
      <c r="BSN191" s="83"/>
      <c r="BSX191" s="83"/>
      <c r="BTH191" s="83"/>
      <c r="BTR191" s="83"/>
      <c r="BUB191" s="83"/>
      <c r="BUL191" s="83"/>
      <c r="BUV191" s="83"/>
      <c r="BVF191" s="83"/>
      <c r="BVP191" s="83"/>
      <c r="BVZ191" s="83"/>
      <c r="BWJ191" s="83"/>
      <c r="BWT191" s="83"/>
      <c r="BXD191" s="83"/>
      <c r="BXN191" s="83"/>
      <c r="BXX191" s="83"/>
      <c r="BYH191" s="83"/>
      <c r="BYR191" s="83"/>
      <c r="BZB191" s="83"/>
      <c r="BZL191" s="83"/>
      <c r="BZV191" s="83"/>
      <c r="CAF191" s="83"/>
      <c r="CAP191" s="83"/>
      <c r="CAZ191" s="83"/>
      <c r="CBJ191" s="83"/>
      <c r="CBT191" s="83"/>
      <c r="CCD191" s="83"/>
      <c r="CCN191" s="83"/>
      <c r="CCX191" s="83"/>
      <c r="CDH191" s="83"/>
      <c r="CDR191" s="83"/>
      <c r="CEB191" s="83"/>
      <c r="CEL191" s="83"/>
      <c r="CEV191" s="83"/>
      <c r="CFF191" s="83"/>
      <c r="CFP191" s="83"/>
      <c r="CFZ191" s="83"/>
      <c r="CGJ191" s="83"/>
      <c r="CGT191" s="83"/>
      <c r="CHD191" s="83"/>
      <c r="CHN191" s="83"/>
      <c r="CHX191" s="83"/>
      <c r="CIH191" s="83"/>
      <c r="CIR191" s="83"/>
      <c r="CJB191" s="83"/>
      <c r="CJL191" s="83"/>
      <c r="CJV191" s="83"/>
      <c r="CKF191" s="83"/>
      <c r="CKP191" s="83"/>
      <c r="CKZ191" s="83"/>
      <c r="CLJ191" s="83"/>
      <c r="CLT191" s="83"/>
      <c r="CMD191" s="83"/>
      <c r="CMN191" s="83"/>
      <c r="CMX191" s="83"/>
      <c r="CNH191" s="83"/>
      <c r="CNR191" s="83"/>
      <c r="COB191" s="83"/>
      <c r="COL191" s="83"/>
      <c r="COV191" s="83"/>
      <c r="CPF191" s="83"/>
      <c r="CPP191" s="83"/>
      <c r="CPZ191" s="83"/>
      <c r="CQJ191" s="83"/>
      <c r="CQT191" s="83"/>
      <c r="CRD191" s="83"/>
      <c r="CRN191" s="83"/>
      <c r="CRX191" s="83"/>
      <c r="CSH191" s="83"/>
      <c r="CSR191" s="83"/>
      <c r="CTB191" s="83"/>
      <c r="CTL191" s="83"/>
      <c r="CTV191" s="83"/>
    </row>
    <row r="192" customHeight="1" spans="1:1020 1030:2040 2050:2570">
      <c r="A192" s="72">
        <v>46146</v>
      </c>
      <c r="B192" s="73" t="s">
        <v>281</v>
      </c>
      <c r="C192" s="74" t="s">
        <v>282</v>
      </c>
      <c r="D192" s="74">
        <v>652335274</v>
      </c>
      <c r="E192" s="75" t="s">
        <v>283</v>
      </c>
      <c r="F192" s="76" t="s">
        <v>284</v>
      </c>
      <c r="G192" s="74">
        <v>1000</v>
      </c>
      <c r="H192" s="77" t="s">
        <v>218</v>
      </c>
      <c r="I192" s="77">
        <v>125</v>
      </c>
      <c r="J192" s="74" t="s">
        <v>306</v>
      </c>
      <c r="K192" s="78">
        <v>8</v>
      </c>
    </row>
    <row r="193" customHeight="1" spans="1:11">
      <c r="A193" s="72">
        <v>46146</v>
      </c>
      <c r="B193" s="73" t="s">
        <v>287</v>
      </c>
      <c r="C193" s="74" t="s">
        <v>355</v>
      </c>
      <c r="D193" s="74">
        <v>652335361</v>
      </c>
      <c r="E193" s="75" t="s">
        <v>265</v>
      </c>
      <c r="F193" s="76" t="s">
        <v>289</v>
      </c>
      <c r="G193" s="74">
        <v>1560</v>
      </c>
      <c r="H193" s="77" t="s">
        <v>218</v>
      </c>
      <c r="I193" s="77">
        <v>156</v>
      </c>
      <c r="J193" s="74" t="s">
        <v>306</v>
      </c>
      <c r="K193" s="78">
        <v>10</v>
      </c>
    </row>
    <row r="194" customHeight="1" spans="1:11">
      <c r="A194" s="72">
        <v>46147</v>
      </c>
      <c r="B194" s="73" t="s">
        <v>255</v>
      </c>
      <c r="C194" s="74" t="s">
        <v>256</v>
      </c>
      <c r="D194" s="74">
        <v>652327528</v>
      </c>
      <c r="E194" s="75" t="s">
        <v>257</v>
      </c>
      <c r="F194" s="76" t="s">
        <v>258</v>
      </c>
      <c r="G194" s="74">
        <v>13500</v>
      </c>
      <c r="H194" s="77" t="s">
        <v>260</v>
      </c>
      <c r="I194" s="77">
        <v>25</v>
      </c>
      <c r="J194" s="74" t="s">
        <v>306</v>
      </c>
      <c r="K194" s="78">
        <v>540</v>
      </c>
    </row>
    <row r="195" customHeight="1" spans="1:11">
      <c r="A195" s="72">
        <v>46147</v>
      </c>
      <c r="B195" s="73" t="s">
        <v>255</v>
      </c>
      <c r="C195" s="74" t="s">
        <v>256</v>
      </c>
      <c r="D195" s="74">
        <v>652327528</v>
      </c>
      <c r="E195" s="75" t="s">
        <v>261</v>
      </c>
      <c r="F195" s="76" t="s">
        <v>262</v>
      </c>
      <c r="G195" s="74">
        <v>15000</v>
      </c>
      <c r="H195" s="77" t="s">
        <v>260</v>
      </c>
      <c r="I195" s="77">
        <v>25</v>
      </c>
      <c r="J195" s="74" t="s">
        <v>306</v>
      </c>
      <c r="K195" s="78">
        <v>600</v>
      </c>
    </row>
    <row r="196" customHeight="1" spans="1:11">
      <c r="A196" s="72">
        <v>46147</v>
      </c>
      <c r="B196" s="73" t="s">
        <v>277</v>
      </c>
      <c r="C196" s="74" t="s">
        <v>278</v>
      </c>
      <c r="D196" s="74">
        <v>652337559</v>
      </c>
      <c r="E196" s="75" t="s">
        <v>279</v>
      </c>
      <c r="F196" s="76" t="s">
        <v>280</v>
      </c>
      <c r="G196" s="74">
        <v>1200</v>
      </c>
      <c r="H196" s="77" t="s">
        <v>27</v>
      </c>
      <c r="I196" s="77">
        <v>12</v>
      </c>
      <c r="J196" s="74"/>
      <c r="K196" s="78">
        <v>100</v>
      </c>
    </row>
    <row r="197" customHeight="1" spans="1:11">
      <c r="A197" s="72">
        <v>46147</v>
      </c>
      <c r="B197" s="73" t="s">
        <v>277</v>
      </c>
      <c r="C197" s="74" t="s">
        <v>278</v>
      </c>
      <c r="D197" s="74">
        <v>652337559</v>
      </c>
      <c r="E197" s="75" t="s">
        <v>279</v>
      </c>
      <c r="F197" s="76" t="s">
        <v>280</v>
      </c>
      <c r="G197" s="74">
        <v>-1200</v>
      </c>
      <c r="H197" s="77" t="s">
        <v>27</v>
      </c>
      <c r="I197" s="77">
        <v>12</v>
      </c>
      <c r="J197" s="74" t="s">
        <v>581</v>
      </c>
      <c r="K197" s="78">
        <v>-100</v>
      </c>
    </row>
    <row r="198" customHeight="1" spans="1:11">
      <c r="A198" s="72">
        <v>46147</v>
      </c>
      <c r="B198" s="73" t="s">
        <v>281</v>
      </c>
      <c r="C198" s="74" t="s">
        <v>282</v>
      </c>
      <c r="D198" s="74">
        <v>652343444</v>
      </c>
      <c r="E198" s="75" t="s">
        <v>283</v>
      </c>
      <c r="F198" s="76" t="s">
        <v>284</v>
      </c>
      <c r="G198" s="74">
        <v>1000</v>
      </c>
      <c r="H198" s="77" t="s">
        <v>218</v>
      </c>
      <c r="I198" s="77">
        <v>125</v>
      </c>
      <c r="J198" s="74" t="s">
        <v>306</v>
      </c>
      <c r="K198" s="78">
        <v>8</v>
      </c>
    </row>
    <row r="199" customHeight="1" spans="1:11">
      <c r="A199" s="62">
        <v>46148</v>
      </c>
      <c r="B199" s="63" t="s">
        <v>228</v>
      </c>
      <c r="C199" s="64" t="s">
        <v>229</v>
      </c>
      <c r="D199" s="64">
        <v>652348405</v>
      </c>
      <c r="E199" s="64" t="s">
        <v>237</v>
      </c>
      <c r="F199" s="65" t="s">
        <v>233</v>
      </c>
      <c r="G199" s="64">
        <v>737</v>
      </c>
      <c r="H199" s="66" t="s">
        <v>218</v>
      </c>
      <c r="I199" s="67">
        <v>48</v>
      </c>
      <c r="J199" s="64" t="s">
        <v>306</v>
      </c>
      <c r="K199" s="68">
        <v>15.3541666666667</v>
      </c>
    </row>
    <row r="200" customHeight="1" spans="1:11">
      <c r="A200" s="72">
        <v>46148</v>
      </c>
      <c r="B200" s="73" t="s">
        <v>228</v>
      </c>
      <c r="C200" s="74" t="s">
        <v>229</v>
      </c>
      <c r="D200" s="74">
        <v>652348319</v>
      </c>
      <c r="E200" s="75" t="s">
        <v>236</v>
      </c>
      <c r="F200" s="76" t="s">
        <v>231</v>
      </c>
      <c r="G200" s="74">
        <v>720</v>
      </c>
      <c r="H200" s="77" t="s">
        <v>218</v>
      </c>
      <c r="I200" s="77">
        <v>24</v>
      </c>
      <c r="J200" s="74" t="s">
        <v>306</v>
      </c>
      <c r="K200" s="78">
        <v>30</v>
      </c>
    </row>
    <row r="201" customHeight="1" spans="1:11">
      <c r="A201" s="72">
        <v>46148</v>
      </c>
      <c r="B201" s="73" t="s">
        <v>247</v>
      </c>
      <c r="C201" s="74" t="s">
        <v>248</v>
      </c>
      <c r="D201" s="74">
        <v>652348192</v>
      </c>
      <c r="E201" s="75" t="s">
        <v>251</v>
      </c>
      <c r="F201" s="76" t="s">
        <v>252</v>
      </c>
      <c r="G201" s="74">
        <v>1035</v>
      </c>
      <c r="H201" s="77" t="s">
        <v>218</v>
      </c>
      <c r="I201" s="77">
        <v>45</v>
      </c>
      <c r="J201" s="74" t="s">
        <v>306</v>
      </c>
      <c r="K201" s="78">
        <v>23</v>
      </c>
    </row>
    <row r="202" customHeight="1" spans="1:11">
      <c r="A202" s="72">
        <v>46148</v>
      </c>
      <c r="B202" s="73" t="s">
        <v>267</v>
      </c>
      <c r="C202" s="74" t="s">
        <v>268</v>
      </c>
      <c r="D202" s="74">
        <v>652352776</v>
      </c>
      <c r="E202" s="75" t="s">
        <v>269</v>
      </c>
      <c r="F202" s="76" t="s">
        <v>270</v>
      </c>
      <c r="G202" s="74">
        <v>864</v>
      </c>
      <c r="H202" s="77" t="s">
        <v>27</v>
      </c>
      <c r="I202" s="77">
        <v>12</v>
      </c>
      <c r="J202" s="74" t="s">
        <v>306</v>
      </c>
      <c r="K202" s="78">
        <v>72</v>
      </c>
    </row>
    <row r="203" customHeight="1" spans="1:11">
      <c r="A203" s="72">
        <v>46148</v>
      </c>
      <c r="B203" s="73" t="s">
        <v>267</v>
      </c>
      <c r="C203" s="74" t="s">
        <v>268</v>
      </c>
      <c r="D203" s="74">
        <v>652352776</v>
      </c>
      <c r="E203" s="75" t="s">
        <v>271</v>
      </c>
      <c r="F203" s="76" t="s">
        <v>272</v>
      </c>
      <c r="G203" s="74">
        <v>864</v>
      </c>
      <c r="H203" s="77" t="s">
        <v>27</v>
      </c>
      <c r="I203" s="77">
        <v>12</v>
      </c>
      <c r="J203" s="74" t="s">
        <v>306</v>
      </c>
      <c r="K203" s="78">
        <v>72</v>
      </c>
    </row>
    <row r="204" customHeight="1" spans="1:11">
      <c r="A204" s="72">
        <v>46148</v>
      </c>
      <c r="B204" s="73" t="s">
        <v>281</v>
      </c>
      <c r="C204" s="74" t="s">
        <v>282</v>
      </c>
      <c r="D204" s="74">
        <v>652348168</v>
      </c>
      <c r="E204" s="75" t="s">
        <v>283</v>
      </c>
      <c r="F204" s="76" t="s">
        <v>284</v>
      </c>
      <c r="G204" s="74">
        <v>1000</v>
      </c>
      <c r="H204" s="77" t="s">
        <v>218</v>
      </c>
      <c r="I204" s="77">
        <v>125</v>
      </c>
      <c r="J204" s="74" t="s">
        <v>306</v>
      </c>
      <c r="K204" s="78">
        <v>8</v>
      </c>
    </row>
    <row r="205" customHeight="1" spans="1:11">
      <c r="A205" s="72">
        <v>46149</v>
      </c>
      <c r="B205" s="73" t="s">
        <v>228</v>
      </c>
      <c r="C205" s="74" t="s">
        <v>229</v>
      </c>
      <c r="D205" s="74">
        <v>652355486</v>
      </c>
      <c r="E205" s="75" t="s">
        <v>236</v>
      </c>
      <c r="F205" s="76" t="s">
        <v>231</v>
      </c>
      <c r="G205" s="74">
        <v>696</v>
      </c>
      <c r="H205" s="77" t="s">
        <v>218</v>
      </c>
      <c r="I205" s="77">
        <v>24</v>
      </c>
      <c r="J205" s="74" t="s">
        <v>306</v>
      </c>
      <c r="K205" s="78">
        <v>29</v>
      </c>
    </row>
    <row r="206" customHeight="1" spans="1:11">
      <c r="A206" s="72">
        <v>46149</v>
      </c>
      <c r="B206" s="73" t="s">
        <v>228</v>
      </c>
      <c r="C206" s="74" t="s">
        <v>229</v>
      </c>
      <c r="D206" s="74">
        <v>652355570</v>
      </c>
      <c r="E206" s="75" t="s">
        <v>237</v>
      </c>
      <c r="F206" s="76" t="s">
        <v>233</v>
      </c>
      <c r="G206" s="74">
        <v>410</v>
      </c>
      <c r="H206" s="77" t="s">
        <v>218</v>
      </c>
      <c r="I206" s="77">
        <v>48</v>
      </c>
      <c r="J206" s="74" t="s">
        <v>306</v>
      </c>
      <c r="K206" s="78">
        <v>8.54166666666667</v>
      </c>
    </row>
    <row r="207" customHeight="1" spans="1:11">
      <c r="A207" s="72">
        <v>46149</v>
      </c>
      <c r="B207" s="73" t="s">
        <v>247</v>
      </c>
      <c r="C207" s="74" t="s">
        <v>248</v>
      </c>
      <c r="D207" s="74">
        <v>652354825</v>
      </c>
      <c r="E207" s="75" t="s">
        <v>251</v>
      </c>
      <c r="F207" s="76" t="s">
        <v>252</v>
      </c>
      <c r="G207" s="74">
        <v>1035</v>
      </c>
      <c r="H207" s="77" t="s">
        <v>218</v>
      </c>
      <c r="I207" s="77">
        <v>45</v>
      </c>
      <c r="J207" s="74" t="s">
        <v>306</v>
      </c>
      <c r="K207" s="78">
        <v>23</v>
      </c>
    </row>
    <row r="208" customHeight="1" spans="1:11">
      <c r="A208" s="72">
        <v>46149</v>
      </c>
      <c r="B208" s="73" t="s">
        <v>267</v>
      </c>
      <c r="C208" s="74" t="s">
        <v>268</v>
      </c>
      <c r="D208" s="74">
        <v>652357491</v>
      </c>
      <c r="E208" s="75" t="s">
        <v>269</v>
      </c>
      <c r="F208" s="76" t="s">
        <v>270</v>
      </c>
      <c r="G208" s="74">
        <v>432</v>
      </c>
      <c r="H208" s="77" t="s">
        <v>27</v>
      </c>
      <c r="I208" s="77">
        <v>12</v>
      </c>
      <c r="J208" s="74" t="s">
        <v>306</v>
      </c>
      <c r="K208" s="78">
        <v>36</v>
      </c>
    </row>
    <row r="209" customHeight="1" spans="1:11">
      <c r="A209" s="72">
        <v>46149</v>
      </c>
      <c r="B209" s="73" t="s">
        <v>267</v>
      </c>
      <c r="C209" s="74" t="s">
        <v>268</v>
      </c>
      <c r="D209" s="74">
        <v>652357491</v>
      </c>
      <c r="E209" s="75" t="s">
        <v>271</v>
      </c>
      <c r="F209" s="76" t="s">
        <v>272</v>
      </c>
      <c r="G209" s="74">
        <v>1296</v>
      </c>
      <c r="H209" s="77" t="s">
        <v>27</v>
      </c>
      <c r="I209" s="77">
        <v>12</v>
      </c>
      <c r="J209" s="74" t="s">
        <v>306</v>
      </c>
      <c r="K209" s="78">
        <v>108</v>
      </c>
    </row>
    <row r="210" customHeight="1" spans="1:11">
      <c r="A210" s="72">
        <v>46149</v>
      </c>
      <c r="B210" s="73" t="s">
        <v>267</v>
      </c>
      <c r="C210" s="74" t="s">
        <v>268</v>
      </c>
      <c r="D210" s="74">
        <v>652358347</v>
      </c>
      <c r="E210" s="75" t="s">
        <v>269</v>
      </c>
      <c r="F210" s="76" t="s">
        <v>270</v>
      </c>
      <c r="G210" s="74">
        <v>720</v>
      </c>
      <c r="H210" s="77" t="s">
        <v>27</v>
      </c>
      <c r="I210" s="77">
        <v>12</v>
      </c>
      <c r="J210" s="74" t="s">
        <v>306</v>
      </c>
      <c r="K210" s="78">
        <v>60</v>
      </c>
    </row>
    <row r="211" customHeight="1" spans="1:11">
      <c r="A211" s="72">
        <v>46149</v>
      </c>
      <c r="B211" s="73" t="s">
        <v>267</v>
      </c>
      <c r="C211" s="74" t="s">
        <v>268</v>
      </c>
      <c r="D211" s="74">
        <v>652358347</v>
      </c>
      <c r="E211" s="75" t="s">
        <v>271</v>
      </c>
      <c r="F211" s="76" t="s">
        <v>272</v>
      </c>
      <c r="G211" s="74">
        <v>566</v>
      </c>
      <c r="H211" s="77" t="s">
        <v>27</v>
      </c>
      <c r="I211" s="77">
        <v>12</v>
      </c>
      <c r="J211" s="74" t="s">
        <v>306</v>
      </c>
      <c r="K211" s="78">
        <v>47.1666666666667</v>
      </c>
    </row>
    <row r="212" customHeight="1" spans="1:11">
      <c r="A212" s="72">
        <v>46149</v>
      </c>
      <c r="B212" s="73" t="s">
        <v>281</v>
      </c>
      <c r="C212" s="74" t="s">
        <v>282</v>
      </c>
      <c r="D212" s="74">
        <v>652353224</v>
      </c>
      <c r="E212" s="75" t="s">
        <v>283</v>
      </c>
      <c r="F212" s="76" t="s">
        <v>284</v>
      </c>
      <c r="G212" s="74">
        <v>1000</v>
      </c>
      <c r="H212" s="77" t="s">
        <v>218</v>
      </c>
      <c r="I212" s="77">
        <v>125</v>
      </c>
      <c r="J212" s="74" t="s">
        <v>306</v>
      </c>
      <c r="K212" s="78">
        <v>8</v>
      </c>
    </row>
    <row r="213" customHeight="1" spans="1:11">
      <c r="A213" s="72">
        <v>46149</v>
      </c>
      <c r="B213" s="73" t="s">
        <v>290</v>
      </c>
      <c r="C213" s="74" t="s">
        <v>291</v>
      </c>
      <c r="D213" s="74">
        <v>652344535</v>
      </c>
      <c r="E213" s="75" t="s">
        <v>292</v>
      </c>
      <c r="F213" s="76" t="s">
        <v>293</v>
      </c>
      <c r="G213" s="74">
        <v>1134</v>
      </c>
      <c r="H213" s="77" t="s">
        <v>27</v>
      </c>
      <c r="I213" s="77">
        <v>567</v>
      </c>
      <c r="J213" s="74" t="s">
        <v>306</v>
      </c>
      <c r="K213" s="78">
        <v>2</v>
      </c>
    </row>
    <row r="214" customHeight="1" spans="1:11">
      <c r="A214" s="72">
        <v>46150</v>
      </c>
      <c r="B214" s="73" t="s">
        <v>238</v>
      </c>
      <c r="C214" s="74" t="s">
        <v>239</v>
      </c>
      <c r="D214" s="74" t="s">
        <v>582</v>
      </c>
      <c r="E214" s="75" t="s">
        <v>245</v>
      </c>
      <c r="F214" s="76" t="s">
        <v>246</v>
      </c>
      <c r="G214" s="74">
        <v>1824</v>
      </c>
      <c r="H214" s="77" t="s">
        <v>243</v>
      </c>
      <c r="I214" s="77">
        <v>8</v>
      </c>
      <c r="J214" s="74" t="s">
        <v>306</v>
      </c>
      <c r="K214" s="78">
        <v>228</v>
      </c>
    </row>
    <row r="215" customHeight="1" spans="1:11">
      <c r="A215" s="72">
        <v>46150</v>
      </c>
      <c r="B215" s="73" t="s">
        <v>267</v>
      </c>
      <c r="C215" s="74" t="s">
        <v>268</v>
      </c>
      <c r="D215" s="74">
        <v>652363370</v>
      </c>
      <c r="E215" s="75" t="s">
        <v>269</v>
      </c>
      <c r="F215" s="76" t="s">
        <v>270</v>
      </c>
      <c r="G215" s="74">
        <v>576</v>
      </c>
      <c r="H215" s="77" t="s">
        <v>27</v>
      </c>
      <c r="I215" s="77">
        <v>12</v>
      </c>
      <c r="J215" s="74" t="s">
        <v>306</v>
      </c>
      <c r="K215" s="78">
        <v>48</v>
      </c>
    </row>
    <row r="216" customHeight="1" spans="1:11">
      <c r="A216" s="72">
        <v>46150</v>
      </c>
      <c r="B216" s="73" t="s">
        <v>267</v>
      </c>
      <c r="C216" s="74" t="s">
        <v>268</v>
      </c>
      <c r="D216" s="74">
        <v>652363370</v>
      </c>
      <c r="E216" s="75" t="s">
        <v>271</v>
      </c>
      <c r="F216" s="76" t="s">
        <v>272</v>
      </c>
      <c r="G216" s="74">
        <v>288</v>
      </c>
      <c r="H216" s="77" t="s">
        <v>27</v>
      </c>
      <c r="I216" s="77">
        <v>12</v>
      </c>
      <c r="J216" s="74" t="s">
        <v>306</v>
      </c>
      <c r="K216" s="78">
        <v>24</v>
      </c>
    </row>
    <row r="217" customHeight="1" spans="1:11">
      <c r="A217" s="72">
        <v>46150</v>
      </c>
      <c r="B217" s="73" t="s">
        <v>281</v>
      </c>
      <c r="C217" s="74" t="s">
        <v>282</v>
      </c>
      <c r="D217" s="74">
        <v>652362492</v>
      </c>
      <c r="E217" s="75" t="s">
        <v>283</v>
      </c>
      <c r="F217" s="76" t="s">
        <v>284</v>
      </c>
      <c r="G217" s="74">
        <v>1000</v>
      </c>
      <c r="H217" s="77" t="s">
        <v>218</v>
      </c>
      <c r="I217" s="77">
        <v>125</v>
      </c>
      <c r="J217" s="74" t="s">
        <v>306</v>
      </c>
      <c r="K217" s="78">
        <v>8</v>
      </c>
    </row>
    <row r="218" customHeight="1" spans="1:11">
      <c r="A218" s="72">
        <v>46150</v>
      </c>
      <c r="B218" s="73" t="s">
        <v>277</v>
      </c>
      <c r="C218" s="74" t="s">
        <v>278</v>
      </c>
      <c r="D218" s="74">
        <v>652337559</v>
      </c>
      <c r="E218" s="75" t="s">
        <v>279</v>
      </c>
      <c r="F218" s="76" t="s">
        <v>280</v>
      </c>
      <c r="G218" s="74">
        <v>1200</v>
      </c>
      <c r="H218" s="77" t="s">
        <v>27</v>
      </c>
      <c r="I218" s="77">
        <v>12</v>
      </c>
      <c r="J218" s="74"/>
      <c r="K218" s="78">
        <v>100</v>
      </c>
    </row>
    <row r="219" customHeight="1" spans="1:11">
      <c r="A219" s="72">
        <v>46150</v>
      </c>
      <c r="B219" s="73" t="s">
        <v>228</v>
      </c>
      <c r="C219" s="74" t="s">
        <v>229</v>
      </c>
      <c r="D219" s="74">
        <v>652362043</v>
      </c>
      <c r="E219" s="75" t="s">
        <v>230</v>
      </c>
      <c r="F219" s="76" t="s">
        <v>231</v>
      </c>
      <c r="G219" s="74">
        <v>737</v>
      </c>
      <c r="H219" s="77" t="s">
        <v>218</v>
      </c>
      <c r="I219" s="77">
        <v>24</v>
      </c>
      <c r="J219" s="74" t="s">
        <v>306</v>
      </c>
      <c r="K219" s="78">
        <v>30.7083333333333</v>
      </c>
    </row>
    <row r="220" customHeight="1" spans="1:11">
      <c r="A220" s="72">
        <v>46150</v>
      </c>
      <c r="B220" s="73" t="s">
        <v>228</v>
      </c>
      <c r="C220" s="74" t="s">
        <v>229</v>
      </c>
      <c r="D220" s="74">
        <v>652362207</v>
      </c>
      <c r="E220" s="75" t="s">
        <v>230</v>
      </c>
      <c r="F220" s="76" t="s">
        <v>231</v>
      </c>
      <c r="G220" s="74">
        <v>168</v>
      </c>
      <c r="H220" s="77" t="s">
        <v>218</v>
      </c>
      <c r="I220" s="77">
        <v>24</v>
      </c>
      <c r="J220" s="74" t="s">
        <v>306</v>
      </c>
      <c r="K220" s="78">
        <v>7</v>
      </c>
    </row>
    <row r="221" customHeight="1" spans="1:11">
      <c r="A221" s="72">
        <v>46150</v>
      </c>
      <c r="B221" s="73" t="s">
        <v>228</v>
      </c>
      <c r="C221" s="74" t="s">
        <v>229</v>
      </c>
      <c r="D221" s="74">
        <v>652362207</v>
      </c>
      <c r="E221" s="75" t="s">
        <v>232</v>
      </c>
      <c r="F221" s="76" t="s">
        <v>233</v>
      </c>
      <c r="G221" s="74">
        <v>912</v>
      </c>
      <c r="H221" s="77" t="s">
        <v>218</v>
      </c>
      <c r="I221" s="77">
        <v>48</v>
      </c>
      <c r="J221" s="74" t="s">
        <v>306</v>
      </c>
      <c r="K221" s="78">
        <v>19</v>
      </c>
    </row>
    <row r="222" customHeight="1" spans="1:11">
      <c r="A222" s="72">
        <v>46151</v>
      </c>
      <c r="B222" s="73" t="s">
        <v>228</v>
      </c>
      <c r="C222" s="74" t="s">
        <v>229</v>
      </c>
      <c r="D222" s="74">
        <v>652366833</v>
      </c>
      <c r="E222" s="75" t="s">
        <v>230</v>
      </c>
      <c r="F222" s="76" t="s">
        <v>231</v>
      </c>
      <c r="G222" s="74">
        <v>768</v>
      </c>
      <c r="H222" s="77" t="s">
        <v>218</v>
      </c>
      <c r="I222" s="77">
        <v>24</v>
      </c>
      <c r="J222" s="74" t="s">
        <v>306</v>
      </c>
      <c r="K222" s="78">
        <v>32</v>
      </c>
    </row>
    <row r="223" customHeight="1" spans="1:11">
      <c r="A223" s="72">
        <v>46151</v>
      </c>
      <c r="B223" s="73" t="s">
        <v>228</v>
      </c>
      <c r="C223" s="74" t="s">
        <v>229</v>
      </c>
      <c r="D223" s="74">
        <v>652366845</v>
      </c>
      <c r="E223" s="75" t="s">
        <v>230</v>
      </c>
      <c r="F223" s="76" t="s">
        <v>231</v>
      </c>
      <c r="G223" s="74">
        <v>144</v>
      </c>
      <c r="H223" s="77" t="s">
        <v>218</v>
      </c>
      <c r="I223" s="77">
        <v>24</v>
      </c>
      <c r="J223" s="74" t="s">
        <v>306</v>
      </c>
      <c r="K223" s="78">
        <v>6</v>
      </c>
    </row>
    <row r="224" customHeight="1" spans="1:11">
      <c r="A224" s="72">
        <v>46151</v>
      </c>
      <c r="B224" s="73" t="s">
        <v>228</v>
      </c>
      <c r="C224" s="74" t="s">
        <v>229</v>
      </c>
      <c r="D224" s="74">
        <v>652366845</v>
      </c>
      <c r="E224" s="75" t="s">
        <v>232</v>
      </c>
      <c r="F224" s="76" t="s">
        <v>233</v>
      </c>
      <c r="G224" s="74">
        <v>912</v>
      </c>
      <c r="H224" s="77" t="s">
        <v>218</v>
      </c>
      <c r="I224" s="77">
        <v>48</v>
      </c>
      <c r="J224" s="74" t="s">
        <v>306</v>
      </c>
      <c r="K224" s="78">
        <v>19</v>
      </c>
    </row>
    <row r="225" customHeight="1" spans="1:11">
      <c r="A225" s="72">
        <v>46151</v>
      </c>
      <c r="B225" s="73" t="s">
        <v>238</v>
      </c>
      <c r="C225" s="74" t="s">
        <v>239</v>
      </c>
      <c r="D225" s="74">
        <v>652366915</v>
      </c>
      <c r="E225" s="75" t="s">
        <v>241</v>
      </c>
      <c r="F225" s="76" t="s">
        <v>242</v>
      </c>
      <c r="G225" s="74">
        <v>1248</v>
      </c>
      <c r="H225" s="77" t="s">
        <v>243</v>
      </c>
      <c r="I225" s="77">
        <v>8</v>
      </c>
      <c r="J225" s="74" t="s">
        <v>306</v>
      </c>
      <c r="K225" s="78">
        <v>156</v>
      </c>
    </row>
    <row r="226" customHeight="1" spans="1:11">
      <c r="A226" s="72">
        <v>46151</v>
      </c>
      <c r="B226" s="73" t="s">
        <v>255</v>
      </c>
      <c r="C226" s="74" t="s">
        <v>256</v>
      </c>
      <c r="D226" s="74">
        <v>652370353</v>
      </c>
      <c r="E226" s="75" t="s">
        <v>257</v>
      </c>
      <c r="F226" s="76" t="s">
        <v>258</v>
      </c>
      <c r="G226" s="74">
        <v>4500</v>
      </c>
      <c r="H226" s="77" t="s">
        <v>260</v>
      </c>
      <c r="I226" s="77">
        <v>25</v>
      </c>
      <c r="J226" s="74" t="s">
        <v>306</v>
      </c>
      <c r="K226" s="78">
        <v>180</v>
      </c>
    </row>
    <row r="227" customHeight="1" spans="1:11">
      <c r="A227" s="72">
        <v>46151</v>
      </c>
      <c r="B227" s="73" t="s">
        <v>255</v>
      </c>
      <c r="C227" s="74" t="s">
        <v>256</v>
      </c>
      <c r="D227" s="74">
        <v>652370353</v>
      </c>
      <c r="E227" s="75" t="s">
        <v>261</v>
      </c>
      <c r="F227" s="76" t="s">
        <v>262</v>
      </c>
      <c r="G227" s="74">
        <v>5000</v>
      </c>
      <c r="H227" s="77" t="s">
        <v>260</v>
      </c>
      <c r="I227" s="77">
        <v>25</v>
      </c>
      <c r="J227" s="74" t="s">
        <v>306</v>
      </c>
      <c r="K227" s="78">
        <v>200</v>
      </c>
    </row>
    <row r="228" customHeight="1" spans="1:11">
      <c r="A228" s="72">
        <v>46151</v>
      </c>
      <c r="B228" s="73" t="s">
        <v>267</v>
      </c>
      <c r="C228" s="74" t="s">
        <v>268</v>
      </c>
      <c r="D228" s="74">
        <v>652373667</v>
      </c>
      <c r="E228" s="75" t="s">
        <v>269</v>
      </c>
      <c r="F228" s="76" t="s">
        <v>270</v>
      </c>
      <c r="G228" s="74">
        <v>864</v>
      </c>
      <c r="H228" s="77" t="s">
        <v>27</v>
      </c>
      <c r="I228" s="77">
        <v>12</v>
      </c>
      <c r="J228" s="74" t="s">
        <v>306</v>
      </c>
      <c r="K228" s="78">
        <v>72</v>
      </c>
    </row>
    <row r="229" customHeight="1" spans="1:11">
      <c r="A229" s="72">
        <v>46151</v>
      </c>
      <c r="B229" s="73" t="s">
        <v>267</v>
      </c>
      <c r="C229" s="74" t="s">
        <v>268</v>
      </c>
      <c r="D229" s="74">
        <v>652373667</v>
      </c>
      <c r="E229" s="75" t="s">
        <v>271</v>
      </c>
      <c r="F229" s="76" t="s">
        <v>272</v>
      </c>
      <c r="G229" s="74">
        <v>864</v>
      </c>
      <c r="H229" s="77" t="s">
        <v>27</v>
      </c>
      <c r="I229" s="77">
        <v>12</v>
      </c>
      <c r="J229" s="74" t="s">
        <v>306</v>
      </c>
      <c r="K229" s="78">
        <v>72</v>
      </c>
    </row>
    <row r="230" customHeight="1" spans="1:11">
      <c r="A230" s="72">
        <v>46151</v>
      </c>
      <c r="B230" s="73" t="s">
        <v>277</v>
      </c>
      <c r="C230" s="74" t="s">
        <v>278</v>
      </c>
      <c r="D230" s="74">
        <v>652366935</v>
      </c>
      <c r="E230" s="75" t="s">
        <v>279</v>
      </c>
      <c r="F230" s="76" t="s">
        <v>280</v>
      </c>
      <c r="G230" s="74">
        <v>1200</v>
      </c>
      <c r="H230" s="77" t="s">
        <v>27</v>
      </c>
      <c r="I230" s="77">
        <v>12</v>
      </c>
      <c r="J230" s="74"/>
      <c r="K230" s="78">
        <v>100</v>
      </c>
    </row>
    <row r="231" customHeight="1" spans="1:11">
      <c r="A231" s="72">
        <v>46151</v>
      </c>
      <c r="B231" s="73" t="s">
        <v>281</v>
      </c>
      <c r="C231" s="74" t="s">
        <v>282</v>
      </c>
      <c r="D231" s="74">
        <v>652366886</v>
      </c>
      <c r="E231" s="75" t="s">
        <v>283</v>
      </c>
      <c r="F231" s="76" t="s">
        <v>284</v>
      </c>
      <c r="G231" s="74">
        <v>1000</v>
      </c>
      <c r="H231" s="77" t="s">
        <v>218</v>
      </c>
      <c r="I231" s="77">
        <v>125</v>
      </c>
      <c r="J231" s="74" t="s">
        <v>306</v>
      </c>
      <c r="K231" s="78">
        <v>8</v>
      </c>
    </row>
    <row r="232" customHeight="1" spans="1:11">
      <c r="A232" s="72">
        <v>46152</v>
      </c>
      <c r="B232" s="73" t="s">
        <v>267</v>
      </c>
      <c r="C232" s="74" t="s">
        <v>268</v>
      </c>
      <c r="D232" s="74">
        <v>652377827</v>
      </c>
      <c r="E232" s="75" t="s">
        <v>269</v>
      </c>
      <c r="F232" s="76" t="s">
        <v>270</v>
      </c>
      <c r="G232" s="74">
        <v>864</v>
      </c>
      <c r="H232" s="77" t="s">
        <v>27</v>
      </c>
      <c r="I232" s="77">
        <v>12</v>
      </c>
      <c r="J232" s="74" t="s">
        <v>306</v>
      </c>
      <c r="K232" s="78">
        <v>72</v>
      </c>
    </row>
    <row r="233" customHeight="1" spans="1:11">
      <c r="A233" s="72">
        <v>46152</v>
      </c>
      <c r="B233" s="73" t="s">
        <v>267</v>
      </c>
      <c r="C233" s="74" t="s">
        <v>268</v>
      </c>
      <c r="D233" s="74">
        <v>652377827</v>
      </c>
      <c r="E233" s="75" t="s">
        <v>271</v>
      </c>
      <c r="F233" s="76" t="s">
        <v>272</v>
      </c>
      <c r="G233" s="74">
        <v>864</v>
      </c>
      <c r="H233" s="77" t="s">
        <v>27</v>
      </c>
      <c r="I233" s="77">
        <v>12</v>
      </c>
      <c r="J233" s="74" t="s">
        <v>306</v>
      </c>
      <c r="K233" s="78">
        <v>72</v>
      </c>
    </row>
    <row r="234" customHeight="1" spans="1:11">
      <c r="A234" s="72">
        <v>46152</v>
      </c>
      <c r="B234" s="73" t="s">
        <v>277</v>
      </c>
      <c r="C234" s="74" t="s">
        <v>278</v>
      </c>
      <c r="D234" s="74">
        <v>652366935</v>
      </c>
      <c r="E234" s="75" t="s">
        <v>279</v>
      </c>
      <c r="F234" s="76" t="s">
        <v>280</v>
      </c>
      <c r="G234" s="74">
        <v>1200</v>
      </c>
      <c r="H234" s="77" t="s">
        <v>27</v>
      </c>
      <c r="I234" s="77">
        <v>12</v>
      </c>
      <c r="J234" s="74"/>
      <c r="K234" s="78">
        <v>100</v>
      </c>
    </row>
    <row r="235" customHeight="1" spans="1:11">
      <c r="A235" s="62">
        <v>46153</v>
      </c>
      <c r="B235" s="63" t="s">
        <v>290</v>
      </c>
      <c r="C235" s="64" t="s">
        <v>291</v>
      </c>
      <c r="D235" s="64">
        <v>652378571</v>
      </c>
      <c r="E235" s="64" t="s">
        <v>294</v>
      </c>
      <c r="F235" s="65" t="s">
        <v>295</v>
      </c>
      <c r="G235" s="64">
        <v>720</v>
      </c>
      <c r="H235" s="66" t="s">
        <v>218</v>
      </c>
      <c r="I235" s="67">
        <v>180</v>
      </c>
      <c r="J235" s="64" t="s">
        <v>306</v>
      </c>
      <c r="K235" s="68">
        <v>4</v>
      </c>
    </row>
    <row r="236" customHeight="1" spans="1:11">
      <c r="A236" s="72">
        <v>46152</v>
      </c>
      <c r="B236" s="73" t="s">
        <v>281</v>
      </c>
      <c r="C236" s="74" t="s">
        <v>282</v>
      </c>
      <c r="D236" s="74">
        <v>652375888</v>
      </c>
      <c r="E236" s="75" t="s">
        <v>283</v>
      </c>
      <c r="F236" s="76" t="s">
        <v>284</v>
      </c>
      <c r="G236" s="74">
        <v>1000</v>
      </c>
      <c r="H236" s="77" t="s">
        <v>218</v>
      </c>
      <c r="I236" s="77">
        <v>125</v>
      </c>
      <c r="J236" s="74" t="s">
        <v>306</v>
      </c>
      <c r="K236" s="78">
        <v>8</v>
      </c>
    </row>
    <row r="237" customHeight="1" spans="1:11">
      <c r="A237" s="72">
        <v>46152</v>
      </c>
      <c r="B237" s="73" t="s">
        <v>228</v>
      </c>
      <c r="C237" s="74" t="s">
        <v>229</v>
      </c>
      <c r="D237" s="74">
        <v>652375953</v>
      </c>
      <c r="E237" s="75" t="s">
        <v>230</v>
      </c>
      <c r="F237" s="76" t="s">
        <v>231</v>
      </c>
      <c r="G237" s="74">
        <v>516</v>
      </c>
      <c r="H237" s="77" t="s">
        <v>218</v>
      </c>
      <c r="I237" s="77">
        <v>24</v>
      </c>
      <c r="J237" s="74" t="s">
        <v>306</v>
      </c>
      <c r="K237" s="78">
        <v>21.5</v>
      </c>
    </row>
    <row r="238" customHeight="1" spans="1:11">
      <c r="A238" s="72">
        <v>46152</v>
      </c>
      <c r="B238" s="73" t="s">
        <v>228</v>
      </c>
      <c r="C238" s="74" t="s">
        <v>229</v>
      </c>
      <c r="D238" s="74">
        <v>652375953</v>
      </c>
      <c r="E238" s="75" t="s">
        <v>232</v>
      </c>
      <c r="F238" s="76" t="s">
        <v>233</v>
      </c>
      <c r="G238" s="74">
        <v>480</v>
      </c>
      <c r="H238" s="77" t="s">
        <v>218</v>
      </c>
      <c r="I238" s="77">
        <v>48</v>
      </c>
      <c r="J238" s="74" t="s">
        <v>306</v>
      </c>
      <c r="K238" s="78">
        <v>10</v>
      </c>
    </row>
    <row r="239" customHeight="1" spans="1:11">
      <c r="A239" s="72">
        <v>46153</v>
      </c>
      <c r="B239" s="73" t="s">
        <v>228</v>
      </c>
      <c r="C239" s="74" t="s">
        <v>229</v>
      </c>
      <c r="D239" s="74">
        <v>652381440</v>
      </c>
      <c r="E239" s="75" t="s">
        <v>230</v>
      </c>
      <c r="F239" s="76" t="s">
        <v>231</v>
      </c>
      <c r="G239" s="74">
        <v>48</v>
      </c>
      <c r="H239" s="77" t="s">
        <v>218</v>
      </c>
      <c r="I239" s="77">
        <v>24</v>
      </c>
      <c r="J239" s="74" t="s">
        <v>306</v>
      </c>
      <c r="K239" s="78">
        <v>2</v>
      </c>
    </row>
    <row r="240" customHeight="1" spans="1:11">
      <c r="A240" s="72">
        <v>46153</v>
      </c>
      <c r="B240" s="73" t="s">
        <v>228</v>
      </c>
      <c r="C240" s="74" t="s">
        <v>229</v>
      </c>
      <c r="D240" s="74">
        <v>652381440</v>
      </c>
      <c r="E240" s="75" t="s">
        <v>232</v>
      </c>
      <c r="F240" s="76" t="s">
        <v>233</v>
      </c>
      <c r="G240" s="74">
        <v>96</v>
      </c>
      <c r="H240" s="77" t="s">
        <v>218</v>
      </c>
      <c r="I240" s="77">
        <v>48</v>
      </c>
      <c r="J240" s="74" t="s">
        <v>306</v>
      </c>
      <c r="K240" s="78">
        <v>2</v>
      </c>
    </row>
    <row r="241" customHeight="1" spans="1:11">
      <c r="A241" s="72">
        <v>46153</v>
      </c>
      <c r="B241" s="73" t="s">
        <v>238</v>
      </c>
      <c r="C241" s="74" t="s">
        <v>239</v>
      </c>
      <c r="D241" s="74">
        <v>652381420</v>
      </c>
      <c r="E241" s="75" t="s">
        <v>245</v>
      </c>
      <c r="F241" s="76" t="s">
        <v>246</v>
      </c>
      <c r="G241" s="74">
        <v>1056</v>
      </c>
      <c r="H241" s="77" t="s">
        <v>243</v>
      </c>
      <c r="I241" s="77">
        <v>8</v>
      </c>
      <c r="J241" s="74" t="s">
        <v>306</v>
      </c>
      <c r="K241" s="78">
        <v>132</v>
      </c>
    </row>
    <row r="242" customHeight="1" spans="1:11">
      <c r="A242" s="72">
        <v>46153</v>
      </c>
      <c r="B242" s="73" t="s">
        <v>255</v>
      </c>
      <c r="C242" s="74" t="s">
        <v>256</v>
      </c>
      <c r="D242" s="74">
        <v>652371238</v>
      </c>
      <c r="E242" s="75" t="s">
        <v>257</v>
      </c>
      <c r="F242" s="76" t="s">
        <v>258</v>
      </c>
      <c r="G242" s="74">
        <v>9000</v>
      </c>
      <c r="H242" s="77" t="s">
        <v>260</v>
      </c>
      <c r="I242" s="77">
        <v>25</v>
      </c>
      <c r="J242" s="74" t="s">
        <v>306</v>
      </c>
      <c r="K242" s="78">
        <v>360</v>
      </c>
    </row>
    <row r="243" customHeight="1" spans="1:11">
      <c r="A243" s="72">
        <v>46153</v>
      </c>
      <c r="B243" s="73" t="s">
        <v>255</v>
      </c>
      <c r="C243" s="74" t="s">
        <v>256</v>
      </c>
      <c r="D243" s="74">
        <v>652371238</v>
      </c>
      <c r="E243" s="75" t="s">
        <v>261</v>
      </c>
      <c r="F243" s="76" t="s">
        <v>262</v>
      </c>
      <c r="G243" s="74">
        <v>10000</v>
      </c>
      <c r="H243" s="77" t="s">
        <v>260</v>
      </c>
      <c r="I243" s="77">
        <v>25</v>
      </c>
      <c r="J243" s="74" t="s">
        <v>306</v>
      </c>
      <c r="K243" s="78">
        <v>400</v>
      </c>
    </row>
    <row r="244" customHeight="1" spans="1:11">
      <c r="A244" s="72">
        <v>46153</v>
      </c>
      <c r="B244" s="73" t="s">
        <v>281</v>
      </c>
      <c r="C244" s="74" t="s">
        <v>282</v>
      </c>
      <c r="D244" s="74">
        <v>652380287</v>
      </c>
      <c r="E244" s="75" t="s">
        <v>283</v>
      </c>
      <c r="F244" s="76" t="s">
        <v>284</v>
      </c>
      <c r="G244" s="74">
        <v>1250</v>
      </c>
      <c r="H244" s="77" t="s">
        <v>218</v>
      </c>
      <c r="I244" s="77">
        <v>125</v>
      </c>
      <c r="J244" s="74" t="s">
        <v>306</v>
      </c>
      <c r="K244" s="78">
        <v>10</v>
      </c>
    </row>
    <row r="245" customHeight="1" spans="1:11">
      <c r="A245" s="72">
        <v>46153</v>
      </c>
      <c r="B245" s="73" t="s">
        <v>281</v>
      </c>
      <c r="C245" s="74" t="s">
        <v>282</v>
      </c>
      <c r="D245" s="74">
        <v>652384315</v>
      </c>
      <c r="E245" s="75" t="s">
        <v>285</v>
      </c>
      <c r="F245" s="76" t="s">
        <v>286</v>
      </c>
      <c r="G245" s="74">
        <v>70</v>
      </c>
      <c r="H245" s="77" t="s">
        <v>218</v>
      </c>
      <c r="I245" s="77">
        <v>6</v>
      </c>
      <c r="J245" s="74" t="s">
        <v>306</v>
      </c>
      <c r="K245" s="78">
        <v>11.6666666666667</v>
      </c>
    </row>
    <row r="246" customHeight="1" spans="1:11">
      <c r="A246" s="72">
        <v>46154</v>
      </c>
      <c r="B246" s="73" t="s">
        <v>228</v>
      </c>
      <c r="C246" s="74" t="s">
        <v>229</v>
      </c>
      <c r="D246" s="74">
        <v>652384726</v>
      </c>
      <c r="E246" s="75" t="s">
        <v>236</v>
      </c>
      <c r="F246" s="76" t="s">
        <v>231</v>
      </c>
      <c r="G246" s="74">
        <v>720</v>
      </c>
      <c r="H246" s="77" t="s">
        <v>218</v>
      </c>
      <c r="I246" s="77">
        <v>24</v>
      </c>
      <c r="J246" s="74" t="s">
        <v>306</v>
      </c>
      <c r="K246" s="78">
        <v>30</v>
      </c>
    </row>
    <row r="247" customHeight="1" spans="1:11">
      <c r="A247" s="72">
        <v>46154</v>
      </c>
      <c r="B247" s="73" t="s">
        <v>228</v>
      </c>
      <c r="C247" s="74" t="s">
        <v>229</v>
      </c>
      <c r="D247" s="74">
        <v>652384740</v>
      </c>
      <c r="E247" s="75" t="s">
        <v>237</v>
      </c>
      <c r="F247" s="76" t="s">
        <v>233</v>
      </c>
      <c r="G247" s="74">
        <v>720</v>
      </c>
      <c r="H247" s="77" t="s">
        <v>218</v>
      </c>
      <c r="I247" s="77">
        <v>48</v>
      </c>
      <c r="J247" s="74" t="s">
        <v>306</v>
      </c>
      <c r="K247" s="78">
        <v>15</v>
      </c>
    </row>
    <row r="248" customHeight="1" spans="1:11">
      <c r="A248" s="72">
        <v>46154</v>
      </c>
      <c r="B248" s="73" t="s">
        <v>277</v>
      </c>
      <c r="C248" s="74" t="s">
        <v>278</v>
      </c>
      <c r="D248" s="74">
        <v>652384758</v>
      </c>
      <c r="E248" s="75" t="s">
        <v>279</v>
      </c>
      <c r="F248" s="76" t="s">
        <v>280</v>
      </c>
      <c r="G248" s="74">
        <v>1200</v>
      </c>
      <c r="H248" s="77" t="s">
        <v>27</v>
      </c>
      <c r="I248" s="77">
        <v>12</v>
      </c>
      <c r="J248" s="74"/>
      <c r="K248" s="78">
        <v>100</v>
      </c>
    </row>
    <row r="249" customHeight="1" spans="1:11">
      <c r="A249" s="72"/>
      <c r="B249" s="73"/>
      <c r="C249" s="74"/>
      <c r="D249" s="74"/>
      <c r="E249" s="75"/>
      <c r="F249" s="76"/>
      <c r="G249" s="74"/>
      <c r="H249" s="77"/>
      <c r="I249" s="77"/>
      <c r="J249" s="74"/>
      <c r="K249" s="78"/>
    </row>
    <row r="250" customHeight="1" spans="1:11">
      <c r="A250" s="72"/>
      <c r="B250" s="73"/>
      <c r="C250" s="74"/>
      <c r="D250" s="74"/>
      <c r="E250" s="75"/>
      <c r="F250" s="76"/>
      <c r="G250" s="74"/>
      <c r="H250" s="77"/>
      <c r="I250" s="77"/>
      <c r="J250" s="74"/>
      <c r="K250" s="78"/>
    </row>
    <row r="251" customHeight="1" spans="1:11">
      <c r="A251" s="72"/>
      <c r="B251" s="73"/>
      <c r="C251" s="74"/>
      <c r="D251" s="74"/>
      <c r="E251" s="75"/>
      <c r="F251" s="76"/>
      <c r="G251" s="74"/>
      <c r="H251" s="77"/>
      <c r="I251" s="77"/>
      <c r="J251" s="74"/>
      <c r="K251" s="78"/>
    </row>
    <row r="252" customHeight="1" spans="1:11">
      <c r="A252" s="72"/>
      <c r="B252" s="73"/>
      <c r="C252" s="74"/>
      <c r="D252" s="74"/>
      <c r="E252" s="75"/>
      <c r="F252" s="76"/>
      <c r="G252" s="74"/>
      <c r="H252" s="77"/>
      <c r="I252" s="77"/>
      <c r="J252" s="74"/>
      <c r="K252" s="78"/>
    </row>
    <row r="253" customHeight="1" spans="1:11">
      <c r="A253" s="72"/>
      <c r="B253" s="73"/>
      <c r="C253" s="74"/>
      <c r="D253" s="74"/>
      <c r="E253" s="75"/>
      <c r="F253" s="76"/>
      <c r="G253" s="74"/>
      <c r="H253" s="77"/>
      <c r="I253" s="77"/>
      <c r="J253" s="74"/>
      <c r="K253" s="78"/>
    </row>
    <row r="254" customHeight="1" spans="1:11">
      <c r="A254" s="72"/>
      <c r="B254" s="73"/>
      <c r="C254" s="74"/>
      <c r="D254" s="74"/>
      <c r="E254" s="75"/>
      <c r="F254" s="76"/>
      <c r="G254" s="74"/>
      <c r="H254" s="77"/>
      <c r="I254" s="77"/>
      <c r="J254" s="74"/>
      <c r="K254" s="78"/>
    </row>
    <row r="255" customHeight="1" spans="1:11">
      <c r="A255" s="72"/>
      <c r="B255" s="73"/>
      <c r="C255" s="74"/>
      <c r="D255" s="74"/>
      <c r="E255" s="75"/>
      <c r="F255" s="76"/>
      <c r="G255" s="74"/>
      <c r="H255" s="77"/>
      <c r="I255" s="77"/>
      <c r="J255" s="74"/>
      <c r="K255" s="78"/>
    </row>
    <row r="256" customHeight="1" spans="1:11">
      <c r="A256" s="72"/>
      <c r="B256" s="73"/>
      <c r="C256" s="74"/>
      <c r="D256" s="74"/>
      <c r="E256" s="75"/>
      <c r="F256" s="76"/>
      <c r="G256" s="74"/>
      <c r="H256" s="77"/>
      <c r="I256" s="77"/>
      <c r="J256" s="74"/>
      <c r="K256" s="78"/>
    </row>
    <row r="257" customHeight="1" spans="1:11">
      <c r="A257" s="72"/>
      <c r="B257" s="73"/>
      <c r="C257" s="74"/>
      <c r="D257" s="74"/>
      <c r="E257" s="75"/>
      <c r="F257" s="76"/>
      <c r="G257" s="74"/>
      <c r="H257" s="77"/>
      <c r="I257" s="77"/>
      <c r="J257" s="74"/>
      <c r="K257" s="78"/>
    </row>
    <row r="258" customHeight="1" spans="1:11">
      <c r="A258" s="72"/>
      <c r="B258" s="73"/>
      <c r="C258" s="74"/>
      <c r="D258" s="74"/>
      <c r="E258" s="75"/>
      <c r="F258" s="76"/>
      <c r="G258" s="74"/>
      <c r="H258" s="77"/>
      <c r="I258" s="77"/>
      <c r="J258" s="74"/>
      <c r="K258" s="78"/>
    </row>
    <row r="259" customHeight="1" spans="1:11">
      <c r="A259" s="72"/>
      <c r="B259" s="73"/>
      <c r="C259" s="74"/>
      <c r="D259" s="74"/>
      <c r="E259" s="75"/>
      <c r="F259" s="76"/>
      <c r="G259" s="74"/>
      <c r="H259" s="77"/>
      <c r="I259" s="77"/>
      <c r="J259" s="74"/>
      <c r="K259" s="78"/>
    </row>
    <row r="260" customHeight="1" spans="1:11">
      <c r="A260" s="72"/>
      <c r="B260" s="73"/>
      <c r="C260" s="74"/>
      <c r="D260" s="74"/>
      <c r="E260" s="75"/>
      <c r="F260" s="76"/>
      <c r="G260" s="74"/>
      <c r="H260" s="77"/>
      <c r="I260" s="77"/>
      <c r="J260" s="74"/>
      <c r="K260" s="78"/>
    </row>
    <row r="261" customHeight="1" spans="1:11">
      <c r="A261" s="72"/>
      <c r="B261" s="73"/>
      <c r="C261" s="74"/>
      <c r="D261" s="74"/>
      <c r="E261" s="75"/>
      <c r="F261" s="76"/>
      <c r="G261" s="74"/>
      <c r="H261" s="77"/>
      <c r="I261" s="77"/>
      <c r="J261" s="74"/>
      <c r="K261" s="78"/>
    </row>
    <row r="262" customHeight="1" spans="1:11">
      <c r="A262" s="72"/>
      <c r="B262" s="73"/>
      <c r="C262" s="74"/>
      <c r="D262" s="74"/>
      <c r="E262" s="75"/>
      <c r="F262" s="76"/>
      <c r="G262" s="74"/>
      <c r="H262" s="77"/>
      <c r="I262" s="77"/>
      <c r="J262" s="74"/>
      <c r="K262" s="78"/>
    </row>
    <row r="263" customHeight="1" spans="1:11">
      <c r="A263" s="72"/>
      <c r="B263" s="73"/>
      <c r="C263" s="74"/>
      <c r="D263" s="74"/>
      <c r="E263" s="75"/>
      <c r="F263" s="76"/>
      <c r="G263" s="74"/>
      <c r="H263" s="77"/>
      <c r="I263" s="77"/>
      <c r="J263" s="74"/>
      <c r="K263" s="78"/>
    </row>
    <row r="264" customHeight="1" spans="1:11">
      <c r="A264" s="72"/>
      <c r="B264" s="73"/>
      <c r="C264" s="74"/>
      <c r="D264" s="74"/>
      <c r="E264" s="75"/>
      <c r="F264" s="76"/>
      <c r="G264" s="74"/>
      <c r="H264" s="77"/>
      <c r="I264" s="77"/>
      <c r="J264" s="74"/>
      <c r="K264" s="78"/>
    </row>
    <row r="265" customHeight="1" spans="1:11">
      <c r="A265" s="72"/>
      <c r="B265" s="73"/>
      <c r="C265" s="74"/>
      <c r="D265" s="74"/>
      <c r="E265" s="75"/>
      <c r="F265" s="76"/>
      <c r="G265" s="74"/>
      <c r="H265" s="77"/>
      <c r="I265" s="77"/>
      <c r="J265" s="74"/>
      <c r="K265" s="78"/>
    </row>
    <row r="266" customHeight="1" spans="1:11">
      <c r="A266" s="72"/>
      <c r="B266" s="73"/>
      <c r="C266" s="74"/>
      <c r="D266" s="74"/>
      <c r="E266" s="75"/>
      <c r="F266" s="76"/>
      <c r="G266" s="74"/>
      <c r="H266" s="77"/>
      <c r="I266" s="77"/>
      <c r="J266" s="74"/>
      <c r="K266" s="78"/>
    </row>
    <row r="267" customHeight="1" spans="1:11">
      <c r="A267" s="72"/>
      <c r="B267" s="73"/>
      <c r="C267" s="74"/>
      <c r="D267" s="74"/>
      <c r="E267" s="75"/>
      <c r="F267" s="76"/>
      <c r="G267" s="74"/>
      <c r="H267" s="77"/>
      <c r="I267" s="77"/>
      <c r="J267" s="74"/>
      <c r="K267" s="78"/>
    </row>
    <row r="268" customHeight="1" spans="1:11">
      <c r="A268" s="72"/>
      <c r="B268" s="73"/>
      <c r="C268" s="74"/>
      <c r="D268" s="74"/>
      <c r="E268" s="75"/>
      <c r="F268" s="76"/>
      <c r="G268" s="74"/>
      <c r="H268" s="77"/>
      <c r="I268" s="77"/>
      <c r="J268" s="74"/>
      <c r="K268" s="78"/>
    </row>
    <row r="269" customHeight="1" spans="1:11">
      <c r="A269" s="72"/>
      <c r="B269" s="73"/>
      <c r="C269" s="74"/>
      <c r="D269" s="74"/>
      <c r="E269" s="75"/>
      <c r="F269" s="76"/>
      <c r="G269" s="74"/>
      <c r="H269" s="77"/>
      <c r="I269" s="77"/>
      <c r="J269" s="74"/>
      <c r="K269" s="78"/>
    </row>
    <row r="270" customHeight="1" spans="1:11">
      <c r="A270" s="72"/>
      <c r="B270" s="73"/>
      <c r="C270" s="74"/>
      <c r="D270" s="74"/>
      <c r="E270" s="75"/>
      <c r="F270" s="76"/>
      <c r="G270" s="74"/>
      <c r="H270" s="77"/>
      <c r="I270" s="77"/>
      <c r="J270" s="74"/>
      <c r="K270" s="78"/>
    </row>
    <row r="271" customHeight="1" spans="1:11">
      <c r="A271" s="72"/>
      <c r="B271" s="73"/>
      <c r="C271" s="74"/>
      <c r="D271" s="74"/>
      <c r="E271" s="75"/>
      <c r="F271" s="76"/>
      <c r="G271" s="74"/>
      <c r="H271" s="77"/>
      <c r="I271" s="77"/>
      <c r="J271" s="74"/>
      <c r="K271" s="78"/>
    </row>
    <row r="272" customHeight="1" spans="1:11">
      <c r="A272" s="72"/>
      <c r="B272" s="73"/>
      <c r="C272" s="74"/>
      <c r="D272" s="74"/>
      <c r="E272" s="75"/>
      <c r="F272" s="76"/>
      <c r="G272" s="74"/>
      <c r="H272" s="77"/>
      <c r="I272" s="77"/>
      <c r="J272" s="74"/>
      <c r="K272" s="78"/>
    </row>
    <row r="273" customHeight="1" spans="1:11">
      <c r="A273" s="72"/>
      <c r="B273" s="73"/>
      <c r="C273" s="74"/>
      <c r="D273" s="74"/>
      <c r="E273" s="75"/>
      <c r="F273" s="76"/>
      <c r="G273" s="74"/>
      <c r="H273" s="77"/>
      <c r="I273" s="77"/>
      <c r="J273" s="74"/>
      <c r="K273" s="78"/>
    </row>
    <row r="274" customHeight="1" spans="1:11">
      <c r="A274" s="72"/>
      <c r="B274" s="73"/>
      <c r="C274" s="74"/>
      <c r="D274" s="74"/>
      <c r="E274" s="75"/>
      <c r="F274" s="76"/>
      <c r="G274" s="74"/>
      <c r="H274" s="77"/>
      <c r="I274" s="77"/>
      <c r="J274" s="74"/>
      <c r="K274" s="78"/>
    </row>
    <row r="275" customHeight="1" spans="1:11">
      <c r="A275" s="72"/>
      <c r="B275" s="73"/>
      <c r="C275" s="74"/>
      <c r="D275" s="74"/>
      <c r="E275" s="75"/>
      <c r="F275" s="76"/>
      <c r="G275" s="74"/>
      <c r="H275" s="77"/>
      <c r="I275" s="77"/>
      <c r="J275" s="74"/>
      <c r="K275" s="78"/>
    </row>
    <row r="276" customHeight="1" spans="1:11">
      <c r="A276" s="72"/>
      <c r="B276" s="73"/>
      <c r="C276" s="74"/>
      <c r="D276" s="74"/>
      <c r="E276" s="75"/>
      <c r="F276" s="76"/>
      <c r="G276" s="74"/>
      <c r="H276" s="77"/>
      <c r="I276" s="77"/>
      <c r="J276" s="74"/>
      <c r="K276" s="78"/>
    </row>
    <row r="277" customHeight="1" spans="1:11">
      <c r="A277" s="72"/>
      <c r="B277" s="73"/>
      <c r="C277" s="74"/>
      <c r="D277" s="74"/>
      <c r="E277" s="75"/>
      <c r="F277" s="76"/>
      <c r="G277" s="74"/>
      <c r="H277" s="77"/>
      <c r="I277" s="77"/>
      <c r="J277" s="74"/>
      <c r="K277" s="78"/>
    </row>
    <row r="278" customHeight="1" spans="1:11">
      <c r="A278" s="72"/>
      <c r="B278" s="73"/>
      <c r="C278" s="74"/>
      <c r="D278" s="74"/>
      <c r="E278" s="75"/>
      <c r="F278" s="76"/>
      <c r="G278" s="74"/>
      <c r="H278" s="77"/>
      <c r="I278" s="77"/>
      <c r="J278" s="74"/>
      <c r="K278" s="78"/>
    </row>
    <row r="279" customHeight="1" spans="1:11">
      <c r="A279" s="72"/>
      <c r="B279" s="73"/>
      <c r="C279" s="74"/>
      <c r="D279" s="74"/>
      <c r="E279" s="75"/>
      <c r="F279" s="76"/>
      <c r="G279" s="74"/>
      <c r="H279" s="77"/>
      <c r="I279" s="77"/>
      <c r="J279" s="74"/>
      <c r="K279" s="78"/>
    </row>
    <row r="280" customHeight="1" spans="1:11">
      <c r="A280" s="72"/>
      <c r="B280" s="73"/>
      <c r="C280" s="74"/>
      <c r="D280" s="74"/>
      <c r="E280" s="75"/>
      <c r="F280" s="76"/>
      <c r="G280" s="74"/>
      <c r="H280" s="77"/>
      <c r="I280" s="77"/>
      <c r="J280" s="74"/>
      <c r="K280" s="78"/>
    </row>
    <row r="281" customHeight="1" spans="1:11">
      <c r="A281" s="72"/>
      <c r="B281" s="73"/>
      <c r="C281" s="74"/>
      <c r="D281" s="74"/>
      <c r="E281" s="75"/>
      <c r="F281" s="76"/>
      <c r="G281" s="74"/>
      <c r="H281" s="77"/>
      <c r="I281" s="77"/>
      <c r="J281" s="74"/>
      <c r="K281" s="78"/>
    </row>
    <row r="282" customHeight="1" spans="1:11">
      <c r="A282" s="72"/>
      <c r="B282" s="73"/>
      <c r="C282" s="74"/>
      <c r="D282" s="74"/>
      <c r="E282" s="75"/>
      <c r="F282" s="76"/>
      <c r="G282" s="74"/>
      <c r="H282" s="77"/>
      <c r="I282" s="77"/>
      <c r="J282" s="74"/>
      <c r="K282" s="78"/>
    </row>
    <row r="283" customHeight="1" spans="1:11">
      <c r="A283" s="72"/>
      <c r="B283" s="73"/>
      <c r="C283" s="74"/>
      <c r="D283" s="74"/>
      <c r="E283" s="75"/>
      <c r="F283" s="76"/>
      <c r="G283" s="74"/>
      <c r="H283" s="77"/>
      <c r="I283" s="77"/>
      <c r="J283" s="74"/>
      <c r="K283" s="78"/>
    </row>
    <row r="284" customHeight="1" spans="1:11">
      <c r="A284" s="72"/>
      <c r="B284" s="73"/>
      <c r="C284" s="74"/>
      <c r="D284" s="74"/>
      <c r="E284" s="75"/>
      <c r="F284" s="76"/>
      <c r="G284" s="74"/>
      <c r="H284" s="77"/>
      <c r="I284" s="77"/>
      <c r="J284" s="74"/>
      <c r="K284" s="78"/>
    </row>
    <row r="285" customHeight="1" spans="1:11">
      <c r="A285" s="72"/>
      <c r="B285" s="73"/>
      <c r="C285" s="74"/>
      <c r="D285" s="74"/>
      <c r="E285" s="75"/>
      <c r="F285" s="76"/>
      <c r="G285" s="74"/>
      <c r="H285" s="77"/>
      <c r="I285" s="77"/>
      <c r="J285" s="74"/>
      <c r="K285" s="78"/>
    </row>
    <row r="286" customHeight="1" spans="1:11">
      <c r="A286" s="72"/>
      <c r="B286" s="73"/>
      <c r="C286" s="74"/>
      <c r="D286" s="74"/>
      <c r="E286" s="75"/>
      <c r="F286" s="76"/>
      <c r="G286" s="74"/>
      <c r="H286" s="77"/>
      <c r="I286" s="77"/>
      <c r="J286" s="74"/>
      <c r="K286" s="78"/>
    </row>
    <row r="287" customHeight="1" spans="1:11">
      <c r="A287" s="72"/>
      <c r="B287" s="73"/>
      <c r="C287" s="74"/>
      <c r="D287" s="74"/>
      <c r="E287" s="75"/>
      <c r="F287" s="76"/>
      <c r="G287" s="74"/>
      <c r="H287" s="77"/>
      <c r="I287" s="77"/>
      <c r="J287" s="74"/>
      <c r="K287" s="78"/>
    </row>
    <row r="288" customHeight="1" spans="1:11">
      <c r="A288" s="72"/>
      <c r="B288" s="73"/>
      <c r="C288" s="74"/>
      <c r="D288" s="74"/>
      <c r="E288" s="75"/>
      <c r="F288" s="76"/>
      <c r="G288" s="74"/>
      <c r="H288" s="77"/>
      <c r="I288" s="77"/>
      <c r="J288" s="74"/>
      <c r="K288" s="78"/>
    </row>
    <row r="289" customHeight="1" spans="1:11">
      <c r="A289" s="72"/>
      <c r="B289" s="73"/>
      <c r="C289" s="74"/>
      <c r="D289" s="74"/>
      <c r="E289" s="75"/>
      <c r="F289" s="76"/>
      <c r="G289" s="74"/>
      <c r="H289" s="77"/>
      <c r="I289" s="77"/>
      <c r="J289" s="74"/>
      <c r="K289" s="78"/>
    </row>
    <row r="290" customHeight="1" spans="1:11">
      <c r="A290" s="72"/>
      <c r="B290" s="73"/>
      <c r="C290" s="74"/>
      <c r="D290" s="74"/>
      <c r="E290" s="75"/>
      <c r="F290" s="76"/>
      <c r="G290" s="74"/>
      <c r="H290" s="77"/>
      <c r="I290" s="77"/>
      <c r="J290" s="74"/>
      <c r="K290" s="78"/>
    </row>
    <row r="291" customHeight="1" spans="1:11">
      <c r="A291" s="72"/>
      <c r="B291" s="73"/>
      <c r="C291" s="74"/>
      <c r="D291" s="74"/>
      <c r="E291" s="75"/>
      <c r="F291" s="76"/>
      <c r="G291" s="74"/>
      <c r="H291" s="77"/>
      <c r="I291" s="77"/>
      <c r="J291" s="74"/>
      <c r="K291" s="78"/>
    </row>
    <row r="292" customHeight="1" spans="1:11">
      <c r="A292" s="72"/>
      <c r="B292" s="73"/>
      <c r="C292" s="74"/>
      <c r="D292" s="74"/>
      <c r="E292" s="75"/>
      <c r="F292" s="76"/>
      <c r="G292" s="74"/>
      <c r="H292" s="77"/>
      <c r="I292" s="77"/>
      <c r="J292" s="74"/>
      <c r="K292" s="78"/>
    </row>
    <row r="293" customHeight="1" spans="1:11">
      <c r="A293" s="72"/>
      <c r="B293" s="73"/>
      <c r="C293" s="74"/>
      <c r="D293" s="74"/>
      <c r="E293" s="75"/>
      <c r="F293" s="76"/>
      <c r="G293" s="74"/>
      <c r="H293" s="77"/>
      <c r="I293" s="77"/>
      <c r="J293" s="74"/>
      <c r="K293" s="78"/>
    </row>
    <row r="294" customHeight="1" spans="1:11">
      <c r="A294" s="72"/>
      <c r="B294" s="73"/>
      <c r="C294" s="74"/>
      <c r="D294" s="74"/>
      <c r="E294" s="75"/>
      <c r="F294" s="76"/>
      <c r="G294" s="74"/>
      <c r="H294" s="77"/>
      <c r="I294" s="77"/>
      <c r="J294" s="74"/>
      <c r="K294" s="78"/>
    </row>
    <row r="295" customHeight="1" spans="1:11">
      <c r="A295" s="72"/>
      <c r="B295" s="73"/>
      <c r="C295" s="74"/>
      <c r="D295" s="74"/>
      <c r="E295" s="75"/>
      <c r="F295" s="76"/>
      <c r="G295" s="74"/>
      <c r="H295" s="77"/>
      <c r="I295" s="77"/>
      <c r="J295" s="74"/>
      <c r="K295" s="78"/>
    </row>
    <row r="296" customHeight="1" spans="1:11">
      <c r="A296" s="72"/>
      <c r="B296" s="73"/>
      <c r="C296" s="74"/>
      <c r="D296" s="74"/>
      <c r="E296" s="75"/>
      <c r="F296" s="76"/>
      <c r="G296" s="74"/>
      <c r="H296" s="77"/>
      <c r="I296" s="77"/>
      <c r="J296" s="74"/>
      <c r="K296" s="78"/>
    </row>
    <row r="297" customHeight="1" spans="1:11">
      <c r="A297" s="72"/>
      <c r="B297" s="73"/>
      <c r="C297" s="74"/>
      <c r="D297" s="74"/>
      <c r="E297" s="75"/>
      <c r="F297" s="76"/>
      <c r="G297" s="74"/>
      <c r="H297" s="77"/>
      <c r="I297" s="77"/>
      <c r="J297" s="74"/>
      <c r="K297" s="78"/>
    </row>
    <row r="298" customHeight="1" spans="1:11">
      <c r="A298" s="72"/>
      <c r="B298" s="73"/>
      <c r="C298" s="74"/>
      <c r="D298" s="74"/>
      <c r="E298" s="75"/>
      <c r="F298" s="76"/>
      <c r="G298" s="74"/>
      <c r="H298" s="77"/>
      <c r="I298" s="77"/>
      <c r="J298" s="74"/>
      <c r="K298" s="78"/>
    </row>
    <row r="299" customHeight="1" spans="1:11">
      <c r="A299" s="72"/>
      <c r="B299" s="73"/>
      <c r="C299" s="74"/>
      <c r="D299" s="74"/>
      <c r="E299" s="75"/>
      <c r="F299" s="76"/>
      <c r="G299" s="74"/>
      <c r="H299" s="77"/>
      <c r="I299" s="77"/>
      <c r="J299" s="74"/>
      <c r="K299" s="78"/>
    </row>
    <row r="300" customHeight="1" spans="1:11">
      <c r="A300" s="72"/>
      <c r="B300" s="73"/>
      <c r="C300" s="74"/>
      <c r="D300" s="74"/>
      <c r="E300" s="75"/>
      <c r="F300" s="76"/>
      <c r="G300" s="74"/>
      <c r="H300" s="77"/>
      <c r="I300" s="77"/>
      <c r="J300" s="74"/>
      <c r="K300" s="78"/>
    </row>
    <row r="301" customHeight="1" spans="1:11">
      <c r="A301" s="72"/>
      <c r="B301" s="73"/>
      <c r="C301" s="74"/>
      <c r="D301" s="74"/>
      <c r="E301" s="75"/>
      <c r="F301" s="76"/>
      <c r="G301" s="74"/>
      <c r="H301" s="77"/>
      <c r="I301" s="77"/>
      <c r="J301" s="74"/>
      <c r="K301" s="78"/>
    </row>
    <row r="302" customHeight="1" spans="1:11">
      <c r="A302" s="72"/>
      <c r="B302" s="73"/>
      <c r="C302" s="74"/>
      <c r="D302" s="74"/>
      <c r="E302" s="75"/>
      <c r="F302" s="76"/>
      <c r="G302" s="74"/>
      <c r="H302" s="77"/>
      <c r="I302" s="77"/>
      <c r="J302" s="74"/>
      <c r="K302" s="78"/>
    </row>
    <row r="303" customHeight="1" spans="1:11">
      <c r="A303" s="72"/>
      <c r="B303" s="73"/>
      <c r="C303" s="74"/>
      <c r="D303" s="74"/>
      <c r="E303" s="75"/>
      <c r="F303" s="76"/>
      <c r="G303" s="74"/>
      <c r="H303" s="77"/>
      <c r="I303" s="77"/>
      <c r="J303" s="74"/>
      <c r="K303" s="78"/>
    </row>
    <row r="304" customHeight="1" spans="1:11">
      <c r="A304" s="72"/>
      <c r="B304" s="73"/>
      <c r="C304" s="74"/>
      <c r="D304" s="74"/>
      <c r="E304" s="75"/>
      <c r="F304" s="76"/>
      <c r="G304" s="74"/>
      <c r="H304" s="77"/>
      <c r="I304" s="77"/>
      <c r="J304" s="74"/>
      <c r="K304" s="78"/>
    </row>
    <row r="305" customHeight="1" spans="1:11">
      <c r="A305" s="72"/>
      <c r="B305" s="73"/>
      <c r="C305" s="74"/>
      <c r="D305" s="74"/>
      <c r="E305" s="75"/>
      <c r="F305" s="76"/>
      <c r="G305" s="74"/>
      <c r="H305" s="77"/>
      <c r="I305" s="77"/>
      <c r="J305" s="74"/>
      <c r="K305" s="78"/>
    </row>
    <row r="306" customHeight="1" spans="1:11">
      <c r="A306" s="72"/>
      <c r="B306" s="73"/>
      <c r="C306" s="74"/>
      <c r="D306" s="74"/>
      <c r="E306" s="75"/>
      <c r="F306" s="76"/>
      <c r="G306" s="74"/>
      <c r="H306" s="77"/>
      <c r="I306" s="77"/>
      <c r="J306" s="74"/>
      <c r="K306" s="78"/>
    </row>
    <row r="307" customHeight="1" spans="1:11">
      <c r="A307" s="72"/>
      <c r="B307" s="73"/>
      <c r="C307" s="74"/>
      <c r="D307" s="74"/>
      <c r="E307" s="75"/>
      <c r="F307" s="76"/>
      <c r="G307" s="74"/>
      <c r="H307" s="77"/>
      <c r="I307" s="77"/>
      <c r="J307" s="74"/>
      <c r="K307" s="78"/>
    </row>
    <row r="308" customHeight="1" spans="1:11">
      <c r="A308" s="72"/>
      <c r="B308" s="73"/>
      <c r="C308" s="74"/>
      <c r="D308" s="74"/>
      <c r="E308" s="75"/>
      <c r="F308" s="76"/>
      <c r="G308" s="74"/>
      <c r="H308" s="77"/>
      <c r="I308" s="77"/>
      <c r="J308" s="74"/>
      <c r="K308" s="78"/>
    </row>
    <row r="309" customHeight="1" spans="1:11">
      <c r="A309" s="72"/>
      <c r="B309" s="73"/>
      <c r="C309" s="74"/>
      <c r="D309" s="74"/>
      <c r="E309" s="75"/>
      <c r="F309" s="76"/>
      <c r="G309" s="74"/>
      <c r="H309" s="77"/>
      <c r="I309" s="77"/>
      <c r="J309" s="74"/>
      <c r="K309" s="78"/>
    </row>
    <row r="310" customHeight="1" spans="1:11">
      <c r="A310" s="72"/>
      <c r="B310" s="73"/>
      <c r="C310" s="74"/>
      <c r="D310" s="74"/>
      <c r="E310" s="75"/>
      <c r="F310" s="76"/>
      <c r="G310" s="74"/>
      <c r="H310" s="77"/>
      <c r="I310" s="77"/>
      <c r="J310" s="74"/>
      <c r="K310" s="78"/>
    </row>
    <row r="311" customHeight="1" spans="1:11">
      <c r="A311" s="72"/>
      <c r="B311" s="73"/>
      <c r="C311" s="74"/>
      <c r="D311" s="74"/>
      <c r="E311" s="75"/>
      <c r="F311" s="76"/>
      <c r="G311" s="74"/>
      <c r="H311" s="77"/>
      <c r="I311" s="77"/>
      <c r="J311" s="74"/>
      <c r="K311" s="78"/>
    </row>
    <row r="312" customHeight="1" spans="1:11">
      <c r="A312" s="72"/>
      <c r="B312" s="73"/>
      <c r="C312" s="74"/>
      <c r="D312" s="74"/>
      <c r="E312" s="75"/>
      <c r="F312" s="76"/>
      <c r="G312" s="74"/>
      <c r="H312" s="77"/>
      <c r="I312" s="77"/>
      <c r="J312" s="74"/>
      <c r="K312" s="78"/>
    </row>
    <row r="313" customHeight="1" spans="1:11">
      <c r="A313" s="72"/>
      <c r="B313" s="73"/>
      <c r="C313" s="74"/>
      <c r="D313" s="74"/>
      <c r="E313" s="75"/>
      <c r="F313" s="76"/>
      <c r="G313" s="74"/>
      <c r="H313" s="77"/>
      <c r="I313" s="77"/>
      <c r="J313" s="74"/>
      <c r="K313" s="78"/>
    </row>
    <row r="314" customHeight="1" spans="1:11">
      <c r="A314" s="72"/>
      <c r="B314" s="73"/>
      <c r="C314" s="74"/>
      <c r="D314" s="74"/>
      <c r="E314" s="75"/>
      <c r="F314" s="76"/>
      <c r="G314" s="74"/>
      <c r="H314" s="77"/>
      <c r="I314" s="77"/>
      <c r="J314" s="74"/>
      <c r="K314" s="78"/>
    </row>
    <row r="315" customHeight="1" spans="1:11">
      <c r="A315" s="72"/>
      <c r="B315" s="73"/>
      <c r="C315" s="74"/>
      <c r="D315" s="74"/>
      <c r="E315" s="75"/>
      <c r="F315" s="76"/>
      <c r="G315" s="74"/>
      <c r="H315" s="77"/>
      <c r="I315" s="77"/>
      <c r="J315" s="74"/>
      <c r="K315" s="78"/>
    </row>
    <row r="316" customHeight="1" spans="1:11">
      <c r="A316" s="72"/>
      <c r="B316" s="73"/>
      <c r="C316" s="74"/>
      <c r="D316" s="74"/>
      <c r="E316" s="75"/>
      <c r="F316" s="76"/>
      <c r="G316" s="74"/>
      <c r="H316" s="77"/>
      <c r="I316" s="77"/>
      <c r="J316" s="74"/>
      <c r="K316" s="78"/>
    </row>
    <row r="317" customHeight="1" spans="1:11">
      <c r="A317" s="72"/>
      <c r="B317" s="73"/>
      <c r="C317" s="74"/>
      <c r="D317" s="74"/>
      <c r="E317" s="75"/>
      <c r="F317" s="76"/>
      <c r="G317" s="74"/>
      <c r="H317" s="77"/>
      <c r="I317" s="77"/>
      <c r="J317" s="74"/>
      <c r="K317" s="78"/>
    </row>
    <row r="318" customHeight="1" spans="1:11">
      <c r="A318" s="72"/>
      <c r="B318" s="73"/>
      <c r="C318" s="74"/>
      <c r="D318" s="74"/>
      <c r="E318" s="75"/>
      <c r="F318" s="76"/>
      <c r="G318" s="74"/>
      <c r="H318" s="77"/>
      <c r="I318" s="77"/>
      <c r="J318" s="74"/>
      <c r="K318" s="78"/>
    </row>
    <row r="319" customHeight="1" spans="1:11">
      <c r="A319" s="72"/>
      <c r="B319" s="73"/>
      <c r="C319" s="74"/>
      <c r="D319" s="74"/>
      <c r="E319" s="75"/>
      <c r="F319" s="76"/>
      <c r="G319" s="74"/>
      <c r="H319" s="77"/>
      <c r="I319" s="77"/>
      <c r="J319" s="74"/>
      <c r="K319" s="78"/>
    </row>
    <row r="320" customHeight="1" spans="1:11">
      <c r="A320" s="72"/>
      <c r="B320" s="73"/>
      <c r="C320" s="74"/>
      <c r="D320" s="74"/>
      <c r="E320" s="75"/>
      <c r="F320" s="76"/>
      <c r="G320" s="74"/>
      <c r="H320" s="77"/>
      <c r="I320" s="77"/>
      <c r="J320" s="74"/>
      <c r="K320" s="78"/>
    </row>
    <row r="321" customHeight="1" spans="1:11">
      <c r="A321" s="72"/>
      <c r="B321" s="73"/>
      <c r="C321" s="74"/>
      <c r="D321" s="74"/>
      <c r="E321" s="75"/>
      <c r="F321" s="76"/>
      <c r="G321" s="74"/>
      <c r="H321" s="77"/>
      <c r="I321" s="77"/>
      <c r="J321" s="74"/>
      <c r="K321" s="78"/>
    </row>
    <row r="322" customHeight="1" spans="1:11">
      <c r="A322" s="72"/>
      <c r="B322" s="73"/>
      <c r="C322" s="74"/>
      <c r="D322" s="74"/>
      <c r="E322" s="75"/>
      <c r="F322" s="76"/>
      <c r="G322" s="74"/>
      <c r="H322" s="77"/>
      <c r="I322" s="77"/>
      <c r="J322" s="74"/>
      <c r="K322" s="78"/>
    </row>
    <row r="323" customHeight="1" spans="1:11">
      <c r="A323" s="72"/>
      <c r="B323" s="73"/>
      <c r="C323" s="74"/>
      <c r="D323" s="74"/>
      <c r="E323" s="75"/>
      <c r="F323" s="76"/>
      <c r="G323" s="74"/>
      <c r="H323" s="77"/>
      <c r="I323" s="77"/>
      <c r="J323" s="74"/>
      <c r="K323" s="78"/>
    </row>
    <row r="324" customHeight="1" spans="1:11">
      <c r="A324" s="72"/>
      <c r="B324" s="73"/>
      <c r="C324" s="74"/>
      <c r="D324" s="74"/>
      <c r="E324" s="75"/>
      <c r="F324" s="76"/>
      <c r="G324" s="74"/>
      <c r="H324" s="77"/>
      <c r="I324" s="77"/>
      <c r="J324" s="74"/>
      <c r="K324" s="78"/>
    </row>
    <row r="325" customHeight="1" spans="1:11">
      <c r="A325" s="72"/>
      <c r="B325" s="73"/>
      <c r="C325" s="74"/>
      <c r="D325" s="74"/>
      <c r="E325" s="75"/>
      <c r="F325" s="76"/>
      <c r="G325" s="74"/>
      <c r="H325" s="77"/>
      <c r="I325" s="77"/>
      <c r="J325" s="74"/>
      <c r="K325" s="78"/>
    </row>
    <row r="326" customHeight="1" spans="1:11">
      <c r="A326" s="72"/>
      <c r="B326" s="73"/>
      <c r="C326" s="74"/>
      <c r="D326" s="74"/>
      <c r="E326" s="75"/>
      <c r="F326" s="76"/>
      <c r="G326" s="74"/>
      <c r="H326" s="77"/>
      <c r="I326" s="77"/>
      <c r="J326" s="74"/>
      <c r="K326" s="78"/>
    </row>
    <row r="327" customHeight="1" spans="1:11">
      <c r="A327" s="72"/>
      <c r="B327" s="73"/>
      <c r="C327" s="74"/>
      <c r="D327" s="74"/>
      <c r="E327" s="75"/>
      <c r="F327" s="76"/>
      <c r="G327" s="74"/>
      <c r="H327" s="77"/>
      <c r="I327" s="77"/>
      <c r="J327" s="74"/>
      <c r="K327" s="78"/>
    </row>
    <row r="328" customHeight="1" spans="1:11">
      <c r="A328" s="72"/>
      <c r="B328" s="73"/>
      <c r="C328" s="74"/>
      <c r="D328" s="74"/>
      <c r="E328" s="75"/>
      <c r="F328" s="76"/>
      <c r="G328" s="74"/>
      <c r="H328" s="77"/>
      <c r="I328" s="77"/>
      <c r="J328" s="74"/>
      <c r="K328" s="78"/>
    </row>
    <row r="329" customHeight="1" spans="1:11">
      <c r="A329" s="72"/>
      <c r="B329" s="73"/>
      <c r="C329" s="74"/>
      <c r="D329" s="74"/>
      <c r="E329" s="75"/>
      <c r="F329" s="76"/>
      <c r="G329" s="74"/>
      <c r="H329" s="77"/>
      <c r="I329" s="77"/>
      <c r="J329" s="74"/>
      <c r="K329" s="78"/>
    </row>
    <row r="330" s="58" customFormat="1" customHeight="1" spans="1:11">
      <c r="A330" s="79"/>
      <c r="B330" s="80"/>
      <c r="C330" s="38"/>
      <c r="D330" s="85"/>
      <c r="E330" s="75"/>
      <c r="F330" s="77"/>
      <c r="G330" s="85"/>
      <c r="H330" s="77"/>
      <c r="I330" s="77"/>
      <c r="J330" s="75"/>
      <c r="K330" s="78"/>
    </row>
    <row r="331" s="58" customFormat="1" customHeight="1" spans="1:11">
      <c r="A331" s="79"/>
      <c r="B331" s="80"/>
      <c r="C331" s="38"/>
      <c r="D331" s="85"/>
      <c r="E331" s="75"/>
      <c r="F331" s="77"/>
      <c r="G331" s="85"/>
      <c r="H331" s="77"/>
      <c r="I331" s="77"/>
      <c r="J331" s="75"/>
      <c r="K331" s="78"/>
    </row>
    <row r="332" s="58" customFormat="1" customHeight="1" spans="1:11">
      <c r="A332" s="79"/>
      <c r="B332" s="80"/>
      <c r="C332" s="38"/>
      <c r="D332" s="85"/>
      <c r="E332" s="75"/>
      <c r="F332" s="77"/>
      <c r="G332" s="85"/>
      <c r="H332" s="77"/>
      <c r="I332" s="77"/>
      <c r="J332" s="75"/>
      <c r="K332" s="78"/>
    </row>
    <row r="333" s="58" customFormat="1" customHeight="1" spans="1:11">
      <c r="A333" s="79"/>
      <c r="B333" s="80"/>
      <c r="C333" s="38"/>
      <c r="D333" s="85"/>
      <c r="E333" s="75"/>
      <c r="F333" s="77"/>
      <c r="G333" s="85"/>
      <c r="H333" s="77"/>
      <c r="I333" s="77"/>
      <c r="J333" s="75"/>
      <c r="K333" s="78"/>
    </row>
    <row r="334" s="58" customFormat="1" customHeight="1" spans="1:11">
      <c r="A334" s="79"/>
      <c r="B334" s="80"/>
      <c r="C334" s="38"/>
      <c r="D334" s="85"/>
      <c r="E334" s="75"/>
      <c r="F334" s="77"/>
      <c r="G334" s="85"/>
      <c r="H334" s="77"/>
      <c r="I334" s="77"/>
      <c r="J334" s="75"/>
      <c r="K334" s="78"/>
    </row>
    <row r="335" s="58" customFormat="1" customHeight="1" spans="1:11">
      <c r="A335" s="79"/>
      <c r="B335" s="80"/>
      <c r="C335" s="38"/>
      <c r="D335" s="85"/>
      <c r="E335" s="75"/>
      <c r="F335" s="77"/>
      <c r="G335" s="85"/>
      <c r="H335" s="77"/>
      <c r="I335" s="77"/>
      <c r="J335" s="75"/>
      <c r="K335" s="78"/>
    </row>
    <row r="336" s="58" customFormat="1" customHeight="1" spans="1:11">
      <c r="A336" s="79"/>
      <c r="B336" s="80"/>
      <c r="C336" s="38"/>
      <c r="D336" s="85"/>
      <c r="E336" s="75"/>
      <c r="F336" s="77"/>
      <c r="G336" s="85"/>
      <c r="H336" s="77"/>
      <c r="I336" s="77"/>
      <c r="J336" s="75"/>
      <c r="K336" s="78"/>
    </row>
    <row r="337" s="58" customFormat="1" customHeight="1" spans="1:11">
      <c r="A337" s="79"/>
      <c r="B337" s="80"/>
      <c r="C337" s="38"/>
      <c r="D337" s="85"/>
      <c r="E337" s="75"/>
      <c r="F337" s="77"/>
      <c r="G337" s="85"/>
      <c r="H337" s="77"/>
      <c r="I337" s="77"/>
      <c r="J337" s="75"/>
      <c r="K337" s="78"/>
    </row>
    <row r="338" s="58" customFormat="1" customHeight="1" spans="1:11">
      <c r="A338" s="79"/>
      <c r="B338" s="80"/>
      <c r="C338" s="38"/>
      <c r="D338" s="85"/>
      <c r="E338" s="75"/>
      <c r="F338" s="77"/>
      <c r="G338" s="85"/>
      <c r="H338" s="77"/>
      <c r="I338" s="77"/>
      <c r="J338" s="75"/>
      <c r="K338" s="78"/>
    </row>
    <row r="339" s="58" customFormat="1" customHeight="1" spans="1:11">
      <c r="A339" s="79"/>
      <c r="B339" s="80"/>
      <c r="C339" s="38"/>
      <c r="D339" s="85"/>
      <c r="E339" s="75"/>
      <c r="F339" s="77"/>
      <c r="G339" s="85"/>
      <c r="H339" s="77"/>
      <c r="I339" s="77"/>
      <c r="J339" s="75"/>
      <c r="K339" s="78"/>
    </row>
    <row r="340" s="58" customFormat="1" customHeight="1" spans="1:11">
      <c r="A340" s="79"/>
      <c r="B340" s="80"/>
      <c r="C340" s="38"/>
      <c r="D340" s="85"/>
      <c r="E340" s="75"/>
      <c r="F340" s="77"/>
      <c r="G340" s="85"/>
      <c r="H340" s="77"/>
      <c r="I340" s="77"/>
      <c r="J340" s="75"/>
      <c r="K340" s="78"/>
    </row>
    <row r="341" s="58" customFormat="1" customHeight="1" spans="1:11">
      <c r="A341" s="79"/>
      <c r="B341" s="80"/>
      <c r="C341" s="38"/>
      <c r="D341" s="85"/>
      <c r="E341" s="75"/>
      <c r="F341" s="77"/>
      <c r="G341" s="85"/>
      <c r="H341" s="77"/>
      <c r="I341" s="77"/>
      <c r="J341" s="75"/>
      <c r="K341" s="78"/>
    </row>
    <row r="342" s="58" customFormat="1" customHeight="1" spans="1:11">
      <c r="A342" s="79"/>
      <c r="B342" s="80"/>
      <c r="C342" s="38"/>
      <c r="D342" s="85"/>
      <c r="E342" s="75"/>
      <c r="F342" s="77"/>
      <c r="G342" s="85"/>
      <c r="H342" s="77"/>
      <c r="I342" s="77"/>
      <c r="J342" s="75"/>
      <c r="K342" s="78"/>
    </row>
    <row r="343" s="58" customFormat="1" customHeight="1" spans="1:11">
      <c r="A343" s="79"/>
      <c r="B343" s="80"/>
      <c r="C343" s="38"/>
      <c r="D343" s="85"/>
      <c r="E343" s="75"/>
      <c r="F343" s="77"/>
      <c r="G343" s="85"/>
      <c r="H343" s="77"/>
      <c r="I343" s="77"/>
      <c r="J343" s="75"/>
      <c r="K343" s="78"/>
    </row>
    <row r="344" s="58" customFormat="1" customHeight="1" spans="1:11">
      <c r="A344" s="79"/>
      <c r="B344" s="80"/>
      <c r="C344" s="38"/>
      <c r="D344" s="85"/>
      <c r="E344" s="75"/>
      <c r="F344" s="77"/>
      <c r="G344" s="85"/>
      <c r="H344" s="77"/>
      <c r="I344" s="77"/>
      <c r="J344" s="75"/>
      <c r="K344" s="78"/>
    </row>
    <row r="345" s="58" customFormat="1" customHeight="1" spans="1:11">
      <c r="A345" s="79"/>
      <c r="B345" s="80"/>
      <c r="C345" s="38"/>
      <c r="D345" s="85"/>
      <c r="E345" s="75"/>
      <c r="F345" s="77"/>
      <c r="G345" s="85"/>
      <c r="H345" s="77"/>
      <c r="I345" s="77"/>
      <c r="J345" s="75"/>
      <c r="K345" s="78"/>
    </row>
    <row r="346" s="58" customFormat="1" customHeight="1" spans="1:11">
      <c r="A346" s="79"/>
      <c r="B346" s="80"/>
      <c r="C346" s="38"/>
      <c r="D346" s="85"/>
      <c r="E346" s="75"/>
      <c r="F346" s="77"/>
      <c r="G346" s="85"/>
      <c r="H346" s="77"/>
      <c r="I346" s="77"/>
      <c r="J346" s="75"/>
      <c r="K346" s="78"/>
    </row>
    <row r="347" s="58" customFormat="1" customHeight="1" spans="1:11">
      <c r="A347" s="79"/>
      <c r="B347" s="80"/>
      <c r="C347" s="38"/>
      <c r="D347" s="85"/>
      <c r="E347" s="75"/>
      <c r="F347" s="77"/>
      <c r="G347" s="85"/>
      <c r="H347" s="77"/>
      <c r="I347" s="77"/>
      <c r="J347" s="75"/>
      <c r="K347" s="78"/>
    </row>
    <row r="348" s="58" customFormat="1" customHeight="1" spans="1:11">
      <c r="A348" s="79"/>
      <c r="B348" s="80"/>
      <c r="C348" s="38"/>
      <c r="D348" s="85"/>
      <c r="E348" s="75"/>
      <c r="F348" s="77"/>
      <c r="G348" s="85"/>
      <c r="H348" s="77"/>
      <c r="I348" s="77"/>
      <c r="J348" s="75"/>
      <c r="K348" s="78"/>
    </row>
    <row r="349" s="58" customFormat="1" customHeight="1" spans="1:11">
      <c r="A349" s="79"/>
      <c r="B349" s="80"/>
      <c r="C349" s="38"/>
      <c r="D349" s="85"/>
      <c r="E349" s="75"/>
      <c r="F349" s="77"/>
      <c r="G349" s="85"/>
      <c r="H349" s="77"/>
      <c r="I349" s="77"/>
      <c r="J349" s="75"/>
      <c r="K349" s="78"/>
    </row>
    <row r="350" s="58" customFormat="1" customHeight="1" spans="1:11">
      <c r="A350" s="79"/>
      <c r="B350" s="80"/>
      <c r="C350" s="38"/>
      <c r="D350" s="85"/>
      <c r="E350" s="75"/>
      <c r="F350" s="77"/>
      <c r="G350" s="85"/>
      <c r="H350" s="77"/>
      <c r="I350" s="77"/>
      <c r="J350" s="75"/>
      <c r="K350" s="78"/>
    </row>
    <row r="351" s="58" customFormat="1" customHeight="1" spans="1:11">
      <c r="A351" s="79"/>
      <c r="B351" s="80"/>
      <c r="C351" s="38"/>
      <c r="D351" s="85"/>
      <c r="E351" s="75"/>
      <c r="F351" s="77"/>
      <c r="G351" s="85"/>
      <c r="H351" s="77"/>
      <c r="I351" s="77"/>
      <c r="J351" s="75"/>
      <c r="K351" s="78"/>
    </row>
    <row r="352" s="58" customFormat="1" customHeight="1" spans="1:11">
      <c r="A352" s="79"/>
      <c r="B352" s="80"/>
      <c r="C352" s="38"/>
      <c r="D352" s="85"/>
      <c r="E352" s="75"/>
      <c r="F352" s="77"/>
      <c r="G352" s="85"/>
      <c r="H352" s="77"/>
      <c r="I352" s="77"/>
      <c r="J352" s="75"/>
      <c r="K352" s="78"/>
    </row>
    <row r="353" s="58" customFormat="1" customHeight="1" spans="1:11">
      <c r="A353" s="79"/>
      <c r="B353" s="80"/>
      <c r="C353" s="38"/>
      <c r="D353" s="85"/>
      <c r="E353" s="75"/>
      <c r="F353" s="77"/>
      <c r="G353" s="85"/>
      <c r="H353" s="77"/>
      <c r="I353" s="77"/>
      <c r="J353" s="75"/>
      <c r="K353" s="78"/>
    </row>
    <row r="354" s="58" customFormat="1" customHeight="1" spans="1:11">
      <c r="A354" s="79"/>
      <c r="B354" s="80"/>
      <c r="C354" s="38"/>
      <c r="D354" s="85"/>
      <c r="E354" s="75"/>
      <c r="F354" s="77"/>
      <c r="G354" s="85"/>
      <c r="H354" s="77"/>
      <c r="I354" s="77"/>
      <c r="J354" s="75"/>
      <c r="K354" s="78"/>
    </row>
    <row r="355" s="58" customFormat="1" customHeight="1" spans="1:11">
      <c r="A355" s="79"/>
      <c r="B355" s="80"/>
      <c r="C355" s="38"/>
      <c r="D355" s="85"/>
      <c r="E355" s="75"/>
      <c r="F355" s="77"/>
      <c r="G355" s="85"/>
      <c r="H355" s="77"/>
      <c r="I355" s="77"/>
      <c r="J355" s="75"/>
      <c r="K355" s="78"/>
    </row>
    <row r="356" s="58" customFormat="1" customHeight="1" spans="1:11">
      <c r="A356" s="79"/>
      <c r="B356" s="80"/>
      <c r="C356" s="38"/>
      <c r="D356" s="85"/>
      <c r="E356" s="75"/>
      <c r="F356" s="77"/>
      <c r="G356" s="85"/>
      <c r="H356" s="77"/>
      <c r="I356" s="77"/>
      <c r="J356" s="75"/>
      <c r="K356" s="78"/>
    </row>
    <row r="357" s="58" customFormat="1" customHeight="1" spans="1:11">
      <c r="A357" s="79"/>
      <c r="B357" s="80"/>
      <c r="C357" s="38"/>
      <c r="D357" s="85"/>
      <c r="E357" s="75"/>
      <c r="F357" s="77"/>
      <c r="G357" s="85"/>
      <c r="H357" s="77"/>
      <c r="I357" s="77"/>
      <c r="J357" s="75"/>
      <c r="K357" s="78"/>
    </row>
    <row r="358" s="58" customFormat="1" customHeight="1" spans="1:11">
      <c r="A358" s="79"/>
      <c r="B358" s="80"/>
      <c r="C358" s="38"/>
      <c r="D358" s="85"/>
      <c r="E358" s="75"/>
      <c r="F358" s="77"/>
      <c r="G358" s="85"/>
      <c r="H358" s="77"/>
      <c r="I358" s="77"/>
      <c r="J358" s="75"/>
      <c r="K358" s="78"/>
    </row>
    <row r="359" s="58" customFormat="1" customHeight="1" spans="1:11">
      <c r="A359" s="79"/>
      <c r="B359" s="80"/>
      <c r="C359" s="38"/>
      <c r="D359" s="85"/>
      <c r="E359" s="75"/>
      <c r="F359" s="77"/>
      <c r="G359" s="85"/>
      <c r="H359" s="77"/>
      <c r="I359" s="77"/>
      <c r="J359" s="75"/>
      <c r="K359" s="78"/>
    </row>
    <row r="360" s="58" customFormat="1" customHeight="1" spans="1:11">
      <c r="A360" s="79"/>
      <c r="B360" s="80"/>
      <c r="C360" s="38"/>
      <c r="D360" s="85"/>
      <c r="E360" s="75"/>
      <c r="F360" s="77"/>
      <c r="G360" s="85"/>
      <c r="H360" s="77"/>
      <c r="I360" s="77"/>
      <c r="J360" s="75"/>
      <c r="K360" s="78"/>
    </row>
    <row r="361" s="58" customFormat="1" customHeight="1" spans="1:11">
      <c r="A361" s="79"/>
      <c r="B361" s="80"/>
      <c r="C361" s="38"/>
      <c r="D361" s="85"/>
      <c r="E361" s="75"/>
      <c r="F361" s="77"/>
      <c r="G361" s="85"/>
      <c r="H361" s="77"/>
      <c r="I361" s="77"/>
      <c r="J361" s="75"/>
      <c r="K361" s="78"/>
    </row>
    <row r="362" s="58" customFormat="1" customHeight="1" spans="1:11">
      <c r="A362" s="79"/>
      <c r="B362" s="80"/>
      <c r="C362" s="38"/>
      <c r="D362" s="85"/>
      <c r="E362" s="75"/>
      <c r="F362" s="77"/>
      <c r="G362" s="85"/>
      <c r="H362" s="77"/>
      <c r="I362" s="77"/>
      <c r="J362" s="75"/>
      <c r="K362" s="78"/>
    </row>
    <row r="363" s="58" customFormat="1" customHeight="1" spans="1:11">
      <c r="A363" s="79"/>
      <c r="B363" s="80"/>
      <c r="C363" s="38"/>
      <c r="D363" s="85"/>
      <c r="E363" s="75"/>
      <c r="F363" s="77"/>
      <c r="G363" s="85"/>
      <c r="H363" s="77"/>
      <c r="I363" s="77"/>
      <c r="J363" s="75"/>
      <c r="K363" s="78"/>
    </row>
    <row r="364" s="58" customFormat="1" customHeight="1" spans="1:11">
      <c r="A364" s="79"/>
      <c r="B364" s="80"/>
      <c r="C364" s="38"/>
      <c r="D364" s="85"/>
      <c r="E364" s="75"/>
      <c r="F364" s="77"/>
      <c r="G364" s="85"/>
      <c r="H364" s="77"/>
      <c r="I364" s="77"/>
      <c r="J364" s="75"/>
      <c r="K364" s="78"/>
    </row>
    <row r="365" s="58" customFormat="1" customHeight="1" spans="1:11">
      <c r="A365" s="79"/>
      <c r="B365" s="80"/>
      <c r="C365" s="38"/>
      <c r="D365" s="85"/>
      <c r="E365" s="75"/>
      <c r="F365" s="77"/>
      <c r="G365" s="85"/>
      <c r="H365" s="77"/>
      <c r="I365" s="77"/>
      <c r="J365" s="75"/>
      <c r="K365" s="78"/>
    </row>
    <row r="366" s="58" customFormat="1" customHeight="1" spans="1:11">
      <c r="A366" s="79"/>
      <c r="B366" s="80"/>
      <c r="C366" s="38"/>
      <c r="D366" s="85"/>
      <c r="E366" s="75"/>
      <c r="F366" s="77"/>
      <c r="G366" s="85"/>
      <c r="H366" s="77"/>
      <c r="I366" s="77"/>
      <c r="J366" s="75"/>
      <c r="K366" s="78"/>
    </row>
    <row r="367" s="58" customFormat="1" customHeight="1" spans="1:11">
      <c r="A367" s="79"/>
      <c r="B367" s="80"/>
      <c r="C367" s="38"/>
      <c r="D367" s="85"/>
      <c r="E367" s="75"/>
      <c r="F367" s="77"/>
      <c r="G367" s="85"/>
      <c r="H367" s="77"/>
      <c r="I367" s="77"/>
      <c r="J367" s="75"/>
      <c r="K367" s="78"/>
    </row>
    <row r="368" s="58" customFormat="1" customHeight="1" spans="1:11">
      <c r="A368" s="79"/>
      <c r="B368" s="80"/>
      <c r="C368" s="38"/>
      <c r="D368" s="85"/>
      <c r="E368" s="75"/>
      <c r="F368" s="77"/>
      <c r="G368" s="85"/>
      <c r="H368" s="77"/>
      <c r="I368" s="77"/>
      <c r="J368" s="75"/>
      <c r="K368" s="78"/>
    </row>
    <row r="369" s="58" customFormat="1" customHeight="1" spans="1:11">
      <c r="A369" s="79"/>
      <c r="B369" s="80"/>
      <c r="C369" s="38"/>
      <c r="D369" s="85"/>
      <c r="E369" s="75"/>
      <c r="F369" s="77"/>
      <c r="G369" s="85"/>
      <c r="H369" s="77"/>
      <c r="I369" s="77"/>
      <c r="J369" s="75"/>
      <c r="K369" s="78"/>
    </row>
    <row r="370" s="58" customFormat="1" customHeight="1" spans="1:11">
      <c r="A370" s="79"/>
      <c r="B370" s="80"/>
      <c r="C370" s="38"/>
      <c r="D370" s="85"/>
      <c r="E370" s="75"/>
      <c r="F370" s="77"/>
      <c r="G370" s="85"/>
      <c r="H370" s="77"/>
      <c r="I370" s="77"/>
      <c r="J370" s="75"/>
      <c r="K370" s="78"/>
    </row>
    <row r="371" s="58" customFormat="1" customHeight="1" spans="1:11">
      <c r="A371" s="79"/>
      <c r="B371" s="80"/>
      <c r="C371" s="38"/>
      <c r="D371" s="85"/>
      <c r="E371" s="75"/>
      <c r="F371" s="77"/>
      <c r="G371" s="85"/>
      <c r="H371" s="77"/>
      <c r="I371" s="77"/>
      <c r="J371" s="75"/>
      <c r="K371" s="78"/>
    </row>
    <row r="372" s="58" customFormat="1" customHeight="1" spans="1:11">
      <c r="A372" s="79"/>
      <c r="B372" s="80"/>
      <c r="C372" s="38"/>
      <c r="D372" s="85"/>
      <c r="E372" s="75"/>
      <c r="F372" s="77"/>
      <c r="G372" s="85"/>
      <c r="H372" s="77"/>
      <c r="I372" s="77"/>
      <c r="J372" s="75"/>
      <c r="K372" s="78"/>
    </row>
    <row r="373" s="58" customFormat="1" customHeight="1" spans="1:11">
      <c r="A373" s="79"/>
      <c r="B373" s="80"/>
      <c r="C373" s="38"/>
      <c r="D373" s="85"/>
      <c r="E373" s="75"/>
      <c r="F373" s="77"/>
      <c r="G373" s="85"/>
      <c r="H373" s="77"/>
      <c r="I373" s="77"/>
      <c r="J373" s="75"/>
      <c r="K373" s="78"/>
    </row>
    <row r="374" s="58" customFormat="1" customHeight="1" spans="1:11">
      <c r="A374" s="79"/>
      <c r="B374" s="80"/>
      <c r="C374" s="38"/>
      <c r="D374" s="85"/>
      <c r="E374" s="75"/>
      <c r="F374" s="77"/>
      <c r="G374" s="85"/>
      <c r="H374" s="77"/>
      <c r="I374" s="77"/>
      <c r="J374" s="75"/>
      <c r="K374" s="78"/>
    </row>
    <row r="375" s="58" customFormat="1" customHeight="1" spans="1:11">
      <c r="A375" s="79"/>
      <c r="B375" s="80"/>
      <c r="C375" s="38"/>
      <c r="D375" s="85"/>
      <c r="E375" s="75"/>
      <c r="F375" s="77"/>
      <c r="G375" s="85"/>
      <c r="H375" s="77"/>
      <c r="I375" s="77"/>
      <c r="J375" s="75"/>
      <c r="K375" s="78"/>
    </row>
    <row r="376" s="58" customFormat="1" customHeight="1" spans="1:11">
      <c r="A376" s="79"/>
      <c r="B376" s="80"/>
      <c r="C376" s="38"/>
      <c r="D376" s="85"/>
      <c r="E376" s="75"/>
      <c r="F376" s="77"/>
      <c r="G376" s="85"/>
      <c r="H376" s="77"/>
      <c r="I376" s="77"/>
      <c r="J376" s="75"/>
      <c r="K376" s="78"/>
    </row>
    <row r="377" s="58" customFormat="1" customHeight="1" spans="1:11">
      <c r="A377" s="79"/>
      <c r="B377" s="80"/>
      <c r="C377" s="38"/>
      <c r="D377" s="85"/>
      <c r="E377" s="75"/>
      <c r="F377" s="77"/>
      <c r="G377" s="85"/>
      <c r="H377" s="77"/>
      <c r="I377" s="77"/>
      <c r="J377" s="75"/>
      <c r="K377" s="78"/>
    </row>
    <row r="378" s="58" customFormat="1" customHeight="1" spans="1:11">
      <c r="A378" s="79"/>
      <c r="B378" s="80"/>
      <c r="C378" s="38"/>
      <c r="D378" s="75"/>
      <c r="E378" s="75"/>
      <c r="F378" s="77"/>
      <c r="G378" s="85"/>
      <c r="H378" s="77"/>
      <c r="I378" s="77"/>
      <c r="J378" s="75"/>
      <c r="K378" s="78"/>
    </row>
    <row r="379" s="58" customFormat="1" customHeight="1" spans="1:11">
      <c r="A379" s="79"/>
      <c r="B379" s="80"/>
      <c r="C379" s="38"/>
      <c r="D379" s="75"/>
      <c r="E379" s="75"/>
      <c r="F379" s="77"/>
      <c r="G379" s="85"/>
      <c r="H379" s="77"/>
      <c r="I379" s="77"/>
      <c r="J379" s="75"/>
      <c r="K379" s="78"/>
    </row>
    <row r="380" s="58" customFormat="1" customHeight="1" spans="1:11">
      <c r="A380" s="79"/>
      <c r="B380" s="80"/>
      <c r="C380" s="38"/>
      <c r="D380" s="85"/>
      <c r="E380" s="75"/>
      <c r="F380" s="77"/>
      <c r="G380" s="85"/>
      <c r="H380" s="77"/>
      <c r="I380" s="77"/>
      <c r="J380" s="75"/>
      <c r="K380" s="78"/>
    </row>
    <row r="381" s="58" customFormat="1" customHeight="1" spans="1:11">
      <c r="A381" s="79"/>
      <c r="B381" s="80"/>
      <c r="C381" s="38"/>
      <c r="D381" s="85"/>
      <c r="E381" s="75"/>
      <c r="F381" s="77"/>
      <c r="G381" s="85"/>
      <c r="H381" s="77"/>
      <c r="I381" s="77"/>
      <c r="J381" s="75"/>
      <c r="K381" s="78"/>
    </row>
    <row r="382" s="58" customFormat="1" customHeight="1" spans="1:11">
      <c r="A382" s="79"/>
      <c r="B382" s="80"/>
      <c r="C382" s="38"/>
      <c r="D382" s="85"/>
      <c r="E382" s="75"/>
      <c r="F382" s="77"/>
      <c r="G382" s="85"/>
      <c r="H382" s="77"/>
      <c r="I382" s="77"/>
      <c r="J382" s="75"/>
      <c r="K382" s="78"/>
    </row>
    <row r="383" s="58" customFormat="1" customHeight="1" spans="1:11">
      <c r="A383" s="79"/>
      <c r="B383" s="80"/>
      <c r="C383" s="38"/>
      <c r="D383" s="85"/>
      <c r="E383" s="75"/>
      <c r="F383" s="77"/>
      <c r="G383" s="85"/>
      <c r="H383" s="77"/>
      <c r="I383" s="77"/>
      <c r="J383" s="75"/>
      <c r="K383" s="78"/>
    </row>
    <row r="384" s="58" customFormat="1" customHeight="1" spans="1:11">
      <c r="A384" s="79"/>
      <c r="B384" s="80"/>
      <c r="C384" s="38"/>
      <c r="D384" s="85"/>
      <c r="E384" s="75"/>
      <c r="F384" s="77"/>
      <c r="G384" s="85"/>
      <c r="H384" s="77"/>
      <c r="I384" s="77"/>
      <c r="J384" s="75"/>
      <c r="K384" s="78"/>
    </row>
    <row r="385" s="58" customFormat="1" customHeight="1" spans="1:11">
      <c r="A385" s="79"/>
      <c r="B385" s="80"/>
      <c r="C385" s="38"/>
      <c r="D385" s="85"/>
      <c r="E385" s="75"/>
      <c r="F385" s="77"/>
      <c r="G385" s="85"/>
      <c r="H385" s="77"/>
      <c r="I385" s="77"/>
      <c r="J385" s="75"/>
      <c r="K385" s="78"/>
    </row>
    <row r="386" s="58" customFormat="1" customHeight="1" spans="1:11">
      <c r="A386" s="79"/>
      <c r="B386" s="80"/>
      <c r="C386" s="38"/>
      <c r="D386" s="85"/>
      <c r="E386" s="75"/>
      <c r="F386" s="77"/>
      <c r="G386" s="85"/>
      <c r="H386" s="77"/>
      <c r="I386" s="77"/>
      <c r="J386" s="75"/>
      <c r="K386" s="78"/>
    </row>
    <row r="387" s="58" customFormat="1" customHeight="1" spans="1:11">
      <c r="A387" s="79"/>
      <c r="B387" s="80"/>
      <c r="C387" s="38"/>
      <c r="D387" s="85"/>
      <c r="E387" s="75"/>
      <c r="F387" s="77"/>
      <c r="G387" s="85"/>
      <c r="H387" s="77"/>
      <c r="I387" s="77"/>
      <c r="J387" s="75"/>
      <c r="K387" s="78"/>
    </row>
    <row r="388" s="58" customFormat="1" customHeight="1" spans="1:11">
      <c r="A388" s="79"/>
      <c r="B388" s="80"/>
      <c r="C388" s="38"/>
      <c r="D388" s="85"/>
      <c r="E388" s="75"/>
      <c r="F388" s="77"/>
      <c r="G388" s="85"/>
      <c r="H388" s="77"/>
      <c r="I388" s="77"/>
      <c r="J388" s="75"/>
      <c r="K388" s="78"/>
    </row>
    <row r="389" s="58" customFormat="1" customHeight="1" spans="1:11">
      <c r="A389" s="79"/>
      <c r="B389" s="80"/>
      <c r="C389" s="38"/>
      <c r="D389" s="85"/>
      <c r="E389" s="75"/>
      <c r="F389" s="77"/>
      <c r="G389" s="85"/>
      <c r="H389" s="77"/>
      <c r="I389" s="77"/>
      <c r="J389" s="75"/>
      <c r="K389" s="78"/>
    </row>
    <row r="390" s="58" customFormat="1" customHeight="1" spans="1:11">
      <c r="A390" s="79"/>
      <c r="B390" s="80"/>
      <c r="C390" s="38"/>
      <c r="D390" s="85"/>
      <c r="E390" s="75"/>
      <c r="F390" s="77"/>
      <c r="G390" s="85"/>
      <c r="H390" s="77"/>
      <c r="I390" s="77"/>
      <c r="J390" s="75"/>
      <c r="K390" s="78"/>
    </row>
    <row r="391" s="58" customFormat="1" customHeight="1" spans="1:11">
      <c r="A391" s="79"/>
      <c r="B391" s="80"/>
      <c r="C391" s="38"/>
      <c r="D391" s="85"/>
      <c r="E391" s="75"/>
      <c r="F391" s="77"/>
      <c r="G391" s="85"/>
      <c r="H391" s="77"/>
      <c r="I391" s="77"/>
      <c r="J391" s="75"/>
      <c r="K391" s="78"/>
    </row>
    <row r="392" s="58" customFormat="1" customHeight="1" spans="1:11">
      <c r="A392" s="79"/>
      <c r="B392" s="80"/>
      <c r="C392" s="38"/>
      <c r="D392" s="85"/>
      <c r="E392" s="75"/>
      <c r="F392" s="77"/>
      <c r="G392" s="85"/>
      <c r="H392" s="77"/>
      <c r="I392" s="77"/>
      <c r="J392" s="75"/>
      <c r="K392" s="78"/>
    </row>
    <row r="393" s="58" customFormat="1" customHeight="1" spans="1:11">
      <c r="A393" s="79"/>
      <c r="B393" s="80"/>
      <c r="C393" s="38"/>
      <c r="D393" s="85"/>
      <c r="E393" s="75"/>
      <c r="F393" s="77"/>
      <c r="G393" s="85"/>
      <c r="H393" s="77"/>
      <c r="I393" s="77"/>
      <c r="J393" s="75"/>
      <c r="K393" s="78"/>
    </row>
    <row r="394" s="58" customFormat="1" customHeight="1" spans="1:11">
      <c r="A394" s="79"/>
      <c r="B394" s="80"/>
      <c r="C394" s="38"/>
      <c r="D394" s="85"/>
      <c r="E394" s="75"/>
      <c r="F394" s="77"/>
      <c r="G394" s="85"/>
      <c r="H394" s="77"/>
      <c r="I394" s="77"/>
      <c r="J394" s="75"/>
      <c r="K394" s="78"/>
    </row>
    <row r="395" s="58" customFormat="1" customHeight="1" spans="1:11">
      <c r="A395" s="79"/>
      <c r="B395" s="80"/>
      <c r="C395" s="38"/>
      <c r="D395" s="85"/>
      <c r="E395" s="75"/>
      <c r="F395" s="77"/>
      <c r="G395" s="85"/>
      <c r="H395" s="77"/>
      <c r="I395" s="77"/>
      <c r="J395" s="75"/>
      <c r="K395" s="78"/>
    </row>
    <row r="396" s="58" customFormat="1" customHeight="1" spans="1:11">
      <c r="A396" s="79"/>
      <c r="B396" s="80"/>
      <c r="C396" s="38"/>
      <c r="D396" s="85"/>
      <c r="E396" s="75"/>
      <c r="F396" s="77"/>
      <c r="G396" s="85"/>
      <c r="H396" s="77"/>
      <c r="I396" s="77"/>
      <c r="J396" s="75"/>
      <c r="K396" s="78"/>
    </row>
    <row r="397" s="58" customFormat="1" customHeight="1" spans="1:11">
      <c r="A397" s="79"/>
      <c r="B397" s="80"/>
      <c r="C397" s="38"/>
      <c r="D397" s="85"/>
      <c r="E397" s="75"/>
      <c r="F397" s="77"/>
      <c r="G397" s="85"/>
      <c r="H397" s="77"/>
      <c r="I397" s="77"/>
      <c r="J397" s="75"/>
      <c r="K397" s="78"/>
    </row>
    <row r="398" s="58" customFormat="1" customHeight="1" spans="1:11">
      <c r="A398" s="79"/>
      <c r="B398" s="80"/>
      <c r="C398" s="38"/>
      <c r="D398" s="85"/>
      <c r="E398" s="75"/>
      <c r="F398" s="77"/>
      <c r="G398" s="85"/>
      <c r="H398" s="77"/>
      <c r="I398" s="77"/>
      <c r="J398" s="75"/>
      <c r="K398" s="78"/>
    </row>
    <row r="399" s="58" customFormat="1" customHeight="1" spans="1:11">
      <c r="A399" s="79"/>
      <c r="B399" s="80"/>
      <c r="C399" s="38"/>
      <c r="D399" s="85"/>
      <c r="E399" s="75"/>
      <c r="F399" s="77"/>
      <c r="G399" s="85"/>
      <c r="H399" s="77"/>
      <c r="I399" s="77"/>
      <c r="J399" s="75"/>
      <c r="K399" s="78"/>
    </row>
    <row r="400" s="58" customFormat="1" customHeight="1" spans="1:11">
      <c r="A400" s="79"/>
      <c r="B400" s="80"/>
      <c r="C400" s="38"/>
      <c r="D400" s="85"/>
      <c r="E400" s="75"/>
      <c r="F400" s="77"/>
      <c r="G400" s="85"/>
      <c r="H400" s="77"/>
      <c r="I400" s="77"/>
      <c r="J400" s="75"/>
      <c r="K400" s="78"/>
    </row>
    <row r="401" s="58" customFormat="1" customHeight="1" spans="1:11">
      <c r="A401" s="79"/>
      <c r="B401" s="80"/>
      <c r="C401" s="38"/>
      <c r="D401" s="85"/>
      <c r="E401" s="75"/>
      <c r="F401" s="77"/>
      <c r="G401" s="85"/>
      <c r="H401" s="77"/>
      <c r="I401" s="77"/>
      <c r="J401" s="75"/>
      <c r="K401" s="78"/>
    </row>
    <row r="402" s="58" customFormat="1" customHeight="1" spans="1:11">
      <c r="A402" s="79"/>
      <c r="B402" s="80"/>
      <c r="C402" s="38"/>
      <c r="D402" s="85"/>
      <c r="E402" s="75"/>
      <c r="F402" s="77"/>
      <c r="G402" s="85"/>
      <c r="H402" s="77"/>
      <c r="I402" s="77"/>
      <c r="J402" s="75"/>
      <c r="K402" s="78"/>
    </row>
    <row r="403" s="58" customFormat="1" customHeight="1" spans="1:11">
      <c r="A403" s="79"/>
      <c r="B403" s="80"/>
      <c r="C403" s="38"/>
      <c r="D403" s="85"/>
      <c r="E403" s="75"/>
      <c r="F403" s="77"/>
      <c r="G403" s="85"/>
      <c r="H403" s="77"/>
      <c r="I403" s="77"/>
      <c r="J403" s="75"/>
      <c r="K403" s="78"/>
    </row>
    <row r="404" s="58" customFormat="1" customHeight="1" spans="1:11">
      <c r="A404" s="79"/>
      <c r="B404" s="80"/>
      <c r="C404" s="38"/>
      <c r="D404" s="85"/>
      <c r="E404" s="75"/>
      <c r="F404" s="77"/>
      <c r="G404" s="85"/>
      <c r="H404" s="77"/>
      <c r="I404" s="77"/>
      <c r="J404" s="75"/>
      <c r="K404" s="78"/>
    </row>
    <row r="405" s="58" customFormat="1" customHeight="1" spans="1:11">
      <c r="A405" s="79"/>
      <c r="B405" s="80"/>
      <c r="C405" s="38"/>
      <c r="D405" s="85"/>
      <c r="E405" s="75"/>
      <c r="F405" s="77"/>
      <c r="G405" s="85"/>
      <c r="H405" s="77"/>
      <c r="I405" s="77"/>
      <c r="J405" s="75"/>
      <c r="K405" s="78"/>
    </row>
    <row r="406" s="58" customFormat="1" customHeight="1" spans="1:11">
      <c r="A406" s="79"/>
      <c r="B406" s="80"/>
      <c r="C406" s="38"/>
      <c r="D406" s="85"/>
      <c r="E406" s="75"/>
      <c r="F406" s="77"/>
      <c r="G406" s="85"/>
      <c r="H406" s="77"/>
      <c r="I406" s="77"/>
      <c r="J406" s="75"/>
      <c r="K406" s="78"/>
    </row>
    <row r="407" s="58" customFormat="1" customHeight="1" spans="1:11">
      <c r="A407" s="79"/>
      <c r="B407" s="80"/>
      <c r="C407" s="38"/>
      <c r="D407" s="85"/>
      <c r="E407" s="75"/>
      <c r="F407" s="77"/>
      <c r="G407" s="85"/>
      <c r="H407" s="77"/>
      <c r="I407" s="77"/>
      <c r="J407" s="75"/>
      <c r="K407" s="78"/>
    </row>
    <row r="408" s="58" customFormat="1" customHeight="1" spans="1:11">
      <c r="A408" s="79"/>
      <c r="B408" s="80"/>
      <c r="C408" s="38"/>
      <c r="D408" s="85"/>
      <c r="E408" s="75"/>
      <c r="F408" s="77"/>
      <c r="G408" s="85"/>
      <c r="H408" s="77"/>
      <c r="I408" s="77"/>
      <c r="J408" s="75"/>
      <c r="K408" s="78"/>
    </row>
    <row r="409" s="58" customFormat="1" customHeight="1" spans="1:11">
      <c r="A409" s="79"/>
      <c r="B409" s="80"/>
      <c r="C409" s="38"/>
      <c r="D409" s="85"/>
      <c r="E409" s="75"/>
      <c r="F409" s="77"/>
      <c r="G409" s="85"/>
      <c r="H409" s="77"/>
      <c r="I409" s="77"/>
      <c r="J409" s="75"/>
      <c r="K409" s="78"/>
    </row>
    <row r="410" s="58" customFormat="1" customHeight="1" spans="1:11">
      <c r="A410" s="79"/>
      <c r="B410" s="80"/>
      <c r="C410" s="38"/>
      <c r="D410" s="85"/>
      <c r="E410" s="75"/>
      <c r="F410" s="77"/>
      <c r="G410" s="85"/>
      <c r="H410" s="77"/>
      <c r="I410" s="77"/>
      <c r="J410" s="75"/>
      <c r="K410" s="78"/>
    </row>
    <row r="411" s="58" customFormat="1" customHeight="1" spans="1:11">
      <c r="A411" s="79"/>
      <c r="B411" s="80"/>
      <c r="C411" s="38"/>
      <c r="D411" s="85"/>
      <c r="E411" s="75"/>
      <c r="F411" s="77"/>
      <c r="G411" s="85"/>
      <c r="H411" s="77"/>
      <c r="I411" s="77"/>
      <c r="J411" s="75"/>
      <c r="K411" s="78"/>
    </row>
    <row r="412" s="58" customFormat="1" customHeight="1" spans="1:11">
      <c r="A412" s="79"/>
      <c r="B412" s="80"/>
      <c r="C412" s="38"/>
      <c r="D412" s="85"/>
      <c r="E412" s="75"/>
      <c r="F412" s="77"/>
      <c r="G412" s="85"/>
      <c r="H412" s="77"/>
      <c r="I412" s="77"/>
      <c r="J412" s="75"/>
      <c r="K412" s="78"/>
    </row>
    <row r="413" s="58" customFormat="1" customHeight="1" spans="1:11">
      <c r="A413" s="79"/>
      <c r="B413" s="80"/>
      <c r="C413" s="38"/>
      <c r="D413" s="85"/>
      <c r="E413" s="75"/>
      <c r="F413" s="77"/>
      <c r="G413" s="85"/>
      <c r="H413" s="77"/>
      <c r="I413" s="77"/>
      <c r="J413" s="75"/>
      <c r="K413" s="78"/>
    </row>
    <row r="414" s="58" customFormat="1" customHeight="1" spans="1:11">
      <c r="A414" s="79"/>
      <c r="B414" s="80"/>
      <c r="C414" s="38"/>
      <c r="D414" s="85"/>
      <c r="E414" s="75"/>
      <c r="F414" s="77"/>
      <c r="G414" s="85"/>
      <c r="H414" s="77"/>
      <c r="I414" s="77"/>
      <c r="J414" s="75"/>
      <c r="K414" s="78"/>
    </row>
    <row r="415" s="58" customFormat="1" customHeight="1" spans="1:11">
      <c r="A415" s="79"/>
      <c r="B415" s="80"/>
      <c r="C415" s="38"/>
      <c r="D415" s="85"/>
      <c r="E415" s="75"/>
      <c r="F415" s="77"/>
      <c r="G415" s="85"/>
      <c r="H415" s="77"/>
      <c r="I415" s="77"/>
      <c r="J415" s="75"/>
      <c r="K415" s="78"/>
    </row>
    <row r="416" s="58" customFormat="1" customHeight="1" spans="1:11">
      <c r="A416" s="79"/>
      <c r="B416" s="80"/>
      <c r="C416" s="38"/>
      <c r="D416" s="85"/>
      <c r="E416" s="75"/>
      <c r="F416" s="77"/>
      <c r="G416" s="85"/>
      <c r="H416" s="77"/>
      <c r="I416" s="77"/>
      <c r="J416" s="75"/>
      <c r="K416" s="78"/>
    </row>
    <row r="417" s="58" customFormat="1" customHeight="1" spans="1:11">
      <c r="A417" s="79"/>
      <c r="B417" s="80"/>
      <c r="C417" s="38"/>
      <c r="D417" s="85"/>
      <c r="E417" s="75"/>
      <c r="F417" s="77"/>
      <c r="G417" s="85"/>
      <c r="H417" s="77"/>
      <c r="I417" s="77"/>
      <c r="J417" s="75"/>
      <c r="K417" s="78"/>
    </row>
    <row r="418" s="58" customFormat="1" customHeight="1" spans="1:11">
      <c r="A418" s="79"/>
      <c r="B418" s="80"/>
      <c r="C418" s="38"/>
      <c r="D418" s="85"/>
      <c r="E418" s="75"/>
      <c r="F418" s="75"/>
      <c r="G418" s="85"/>
      <c r="H418" s="75"/>
      <c r="I418" s="75"/>
      <c r="J418" s="75"/>
      <c r="K418" s="82"/>
    </row>
    <row r="419" s="58" customFormat="1" customHeight="1" spans="1:11">
      <c r="A419" s="79"/>
      <c r="B419" s="80"/>
      <c r="C419" s="38"/>
      <c r="D419" s="85"/>
      <c r="E419" s="75"/>
      <c r="F419" s="75"/>
      <c r="G419" s="85"/>
      <c r="H419" s="75"/>
      <c r="I419" s="75"/>
      <c r="J419" s="75"/>
      <c r="K419" s="82"/>
    </row>
    <row r="420" s="58" customFormat="1" customHeight="1" spans="1:11">
      <c r="A420" s="79"/>
      <c r="B420" s="80"/>
      <c r="C420" s="38"/>
      <c r="D420" s="85"/>
      <c r="E420" s="75"/>
      <c r="F420" s="75"/>
      <c r="G420" s="85"/>
      <c r="H420" s="75"/>
      <c r="I420" s="75"/>
      <c r="J420" s="75"/>
      <c r="K420" s="82"/>
    </row>
    <row r="421" s="58" customFormat="1" customHeight="1" spans="1:11">
      <c r="A421" s="79"/>
      <c r="B421" s="80"/>
      <c r="C421" s="38"/>
      <c r="D421" s="85"/>
      <c r="E421" s="75"/>
      <c r="F421" s="75"/>
      <c r="G421" s="85"/>
      <c r="H421" s="75"/>
      <c r="I421" s="75"/>
      <c r="J421" s="75"/>
      <c r="K421" s="82"/>
    </row>
    <row r="422" s="58" customFormat="1" customHeight="1" spans="1:11">
      <c r="A422" s="79"/>
      <c r="B422" s="80"/>
      <c r="C422" s="38"/>
      <c r="D422" s="85"/>
      <c r="E422" s="75"/>
      <c r="F422" s="75"/>
      <c r="G422" s="85"/>
      <c r="H422" s="75"/>
      <c r="I422" s="75"/>
      <c r="J422" s="75"/>
      <c r="K422" s="82"/>
    </row>
    <row r="423" s="58" customFormat="1" customHeight="1" spans="1:11">
      <c r="A423" s="79"/>
      <c r="B423" s="80"/>
      <c r="C423" s="38"/>
      <c r="D423" s="85"/>
      <c r="E423" s="75"/>
      <c r="F423" s="75"/>
      <c r="G423" s="85"/>
      <c r="H423" s="75"/>
      <c r="I423" s="75"/>
      <c r="J423" s="75"/>
      <c r="K423" s="82"/>
    </row>
    <row r="424" s="58" customFormat="1" customHeight="1" spans="1:11">
      <c r="A424" s="79"/>
      <c r="B424" s="80"/>
      <c r="C424" s="38"/>
      <c r="D424" s="85"/>
      <c r="E424" s="75"/>
      <c r="F424" s="75"/>
      <c r="G424" s="85"/>
      <c r="H424" s="75"/>
      <c r="I424" s="75"/>
      <c r="J424" s="75"/>
      <c r="K424" s="82"/>
    </row>
    <row r="425" s="58" customFormat="1" customHeight="1" spans="1:11">
      <c r="A425" s="79"/>
      <c r="B425" s="80"/>
      <c r="C425" s="38"/>
      <c r="D425" s="85"/>
      <c r="E425" s="75"/>
      <c r="F425" s="75"/>
      <c r="G425" s="85"/>
      <c r="H425" s="75"/>
      <c r="I425" s="75"/>
      <c r="J425" s="75"/>
      <c r="K425" s="82"/>
    </row>
    <row r="426" s="58" customFormat="1" customHeight="1" spans="1:11">
      <c r="A426" s="79"/>
      <c r="B426" s="80"/>
      <c r="C426" s="38"/>
      <c r="D426" s="85"/>
      <c r="E426" s="75"/>
      <c r="F426" s="75"/>
      <c r="G426" s="85"/>
      <c r="H426" s="75"/>
      <c r="I426" s="75"/>
      <c r="J426" s="75"/>
      <c r="K426" s="82"/>
    </row>
    <row r="427" s="58" customFormat="1" customHeight="1" spans="1:11">
      <c r="A427" s="79"/>
      <c r="B427" s="80"/>
      <c r="C427" s="38"/>
      <c r="D427" s="85"/>
      <c r="E427" s="75"/>
      <c r="F427" s="75"/>
      <c r="G427" s="85"/>
      <c r="H427" s="75"/>
      <c r="I427" s="75"/>
      <c r="J427" s="75"/>
      <c r="K427" s="82"/>
    </row>
    <row r="428" s="58" customFormat="1" customHeight="1" spans="1:11">
      <c r="A428" s="79"/>
      <c r="B428" s="80"/>
      <c r="C428" s="38"/>
      <c r="D428" s="85"/>
      <c r="E428" s="75"/>
      <c r="F428" s="75"/>
      <c r="G428" s="85"/>
      <c r="H428" s="75"/>
      <c r="I428" s="75"/>
      <c r="J428" s="75"/>
      <c r="K428" s="82"/>
    </row>
    <row r="429" s="58" customFormat="1" customHeight="1" spans="1:11">
      <c r="A429" s="79"/>
      <c r="B429" s="80"/>
      <c r="C429" s="38"/>
      <c r="D429" s="85"/>
      <c r="E429" s="75"/>
      <c r="F429" s="75"/>
      <c r="G429" s="85"/>
      <c r="H429" s="75"/>
      <c r="I429" s="75"/>
      <c r="J429" s="75"/>
      <c r="K429" s="82"/>
    </row>
    <row r="430" s="58" customFormat="1" customHeight="1" spans="1:11">
      <c r="A430" s="79"/>
      <c r="B430" s="80"/>
      <c r="C430" s="38"/>
      <c r="D430" s="85"/>
      <c r="E430" s="75"/>
      <c r="F430" s="75"/>
      <c r="G430" s="85"/>
      <c r="H430" s="75"/>
      <c r="I430" s="75"/>
      <c r="J430" s="75"/>
      <c r="K430" s="82"/>
    </row>
    <row r="431" s="58" customFormat="1" customHeight="1" spans="1:11">
      <c r="A431" s="79"/>
      <c r="B431" s="80"/>
      <c r="C431" s="38"/>
      <c r="D431" s="85"/>
      <c r="E431" s="75"/>
      <c r="F431" s="75"/>
      <c r="G431" s="85"/>
      <c r="H431" s="75"/>
      <c r="I431" s="75"/>
      <c r="J431" s="75"/>
      <c r="K431" s="82"/>
    </row>
    <row r="432" s="58" customFormat="1" customHeight="1" spans="1:11">
      <c r="A432" s="79"/>
      <c r="B432" s="80"/>
      <c r="C432" s="38"/>
      <c r="D432" s="85"/>
      <c r="E432" s="75"/>
      <c r="F432" s="75"/>
      <c r="G432" s="85"/>
      <c r="H432" s="75"/>
      <c r="I432" s="75"/>
      <c r="J432" s="75"/>
      <c r="K432" s="82"/>
    </row>
    <row r="433" s="58" customFormat="1" customHeight="1" spans="1:11">
      <c r="A433" s="79"/>
      <c r="B433" s="80"/>
      <c r="C433" s="38"/>
      <c r="D433" s="85"/>
      <c r="E433" s="75"/>
      <c r="F433" s="75"/>
      <c r="G433" s="85"/>
      <c r="H433" s="75"/>
      <c r="I433" s="75"/>
      <c r="J433" s="75"/>
      <c r="K433" s="82"/>
    </row>
    <row r="434" s="58" customFormat="1" customHeight="1" spans="1:11">
      <c r="A434" s="79"/>
      <c r="B434" s="80"/>
      <c r="C434" s="38"/>
      <c r="D434" s="85"/>
      <c r="E434" s="75"/>
      <c r="F434" s="75"/>
      <c r="G434" s="85"/>
      <c r="H434" s="75"/>
      <c r="I434" s="75"/>
      <c r="J434" s="75"/>
      <c r="K434" s="82"/>
    </row>
    <row r="435" s="58" customFormat="1" customHeight="1" spans="1:11">
      <c r="A435" s="79"/>
      <c r="B435" s="80"/>
      <c r="C435" s="38"/>
      <c r="D435" s="85"/>
      <c r="E435" s="75"/>
      <c r="F435" s="75"/>
      <c r="G435" s="85"/>
      <c r="H435" s="75"/>
      <c r="I435" s="75"/>
      <c r="J435" s="75"/>
      <c r="K435" s="82"/>
    </row>
    <row r="436" s="58" customFormat="1" customHeight="1" spans="1:11">
      <c r="A436" s="79"/>
      <c r="B436" s="80"/>
      <c r="C436" s="38"/>
      <c r="D436" s="85"/>
      <c r="E436" s="75"/>
      <c r="F436" s="75"/>
      <c r="G436" s="85"/>
      <c r="H436" s="75"/>
      <c r="I436" s="75"/>
      <c r="J436" s="75"/>
      <c r="K436" s="82"/>
    </row>
    <row r="437" s="58" customFormat="1" customHeight="1" spans="1:11">
      <c r="A437" s="79"/>
      <c r="B437" s="80"/>
      <c r="C437" s="38"/>
      <c r="D437" s="85"/>
      <c r="E437" s="75"/>
      <c r="F437" s="75"/>
      <c r="G437" s="85"/>
      <c r="H437" s="75"/>
      <c r="I437" s="75"/>
      <c r="J437" s="75"/>
      <c r="K437" s="82"/>
    </row>
    <row r="438" s="58" customFormat="1" customHeight="1" spans="1:11">
      <c r="A438" s="79"/>
      <c r="B438" s="80"/>
      <c r="C438" s="38"/>
      <c r="D438" s="85"/>
      <c r="E438" s="75"/>
      <c r="F438" s="75"/>
      <c r="G438" s="85"/>
      <c r="H438" s="75"/>
      <c r="I438" s="75"/>
      <c r="J438" s="75"/>
      <c r="K438" s="82"/>
    </row>
    <row r="439" s="58" customFormat="1" customHeight="1" spans="1:11">
      <c r="A439" s="79"/>
      <c r="B439" s="80"/>
      <c r="C439" s="38"/>
      <c r="D439" s="85"/>
      <c r="E439" s="75"/>
      <c r="F439" s="75"/>
      <c r="G439" s="85"/>
      <c r="H439" s="75"/>
      <c r="I439" s="75"/>
      <c r="J439" s="75"/>
      <c r="K439" s="82"/>
    </row>
    <row r="440" s="58" customFormat="1" customHeight="1" spans="1:11">
      <c r="A440" s="79"/>
      <c r="B440" s="80"/>
      <c r="C440" s="38"/>
      <c r="D440" s="85"/>
      <c r="E440" s="75"/>
      <c r="F440" s="75"/>
      <c r="G440" s="85"/>
      <c r="H440" s="75"/>
      <c r="I440" s="75"/>
      <c r="J440" s="75"/>
      <c r="K440" s="82"/>
    </row>
    <row r="441" s="58" customFormat="1" customHeight="1" spans="1:11">
      <c r="A441" s="79"/>
      <c r="B441" s="80"/>
      <c r="C441" s="38"/>
      <c r="D441" s="85"/>
      <c r="E441" s="75"/>
      <c r="F441" s="75"/>
      <c r="G441" s="85"/>
      <c r="H441" s="75"/>
      <c r="I441" s="75"/>
      <c r="J441" s="75"/>
      <c r="K441" s="82"/>
    </row>
    <row r="442" s="58" customFormat="1" customHeight="1" spans="1:11">
      <c r="A442" s="79"/>
      <c r="B442" s="80"/>
      <c r="C442" s="38"/>
      <c r="D442" s="85"/>
      <c r="E442" s="75"/>
      <c r="F442" s="75"/>
      <c r="G442" s="85"/>
      <c r="H442" s="75"/>
      <c r="I442" s="75"/>
      <c r="J442" s="75"/>
      <c r="K442" s="82"/>
    </row>
    <row r="443" customHeight="1" spans="1:11">
      <c r="A443" s="72"/>
      <c r="B443" s="73"/>
      <c r="C443" s="74"/>
      <c r="D443" s="74"/>
      <c r="E443" s="75"/>
      <c r="F443" s="76"/>
      <c r="G443" s="74"/>
      <c r="H443" s="77"/>
      <c r="I443" s="77"/>
      <c r="J443" s="74"/>
      <c r="K443" s="78"/>
    </row>
    <row r="444" customHeight="1" spans="1:11">
      <c r="A444" s="72"/>
      <c r="B444" s="73"/>
      <c r="C444" s="74"/>
      <c r="D444" s="74"/>
      <c r="E444" s="75"/>
      <c r="F444" s="76"/>
      <c r="G444" s="74"/>
      <c r="H444" s="77"/>
      <c r="I444" s="77"/>
      <c r="J444" s="74"/>
      <c r="K444" s="78"/>
    </row>
    <row r="445" customHeight="1" spans="1:11">
      <c r="A445" s="72"/>
      <c r="B445" s="73"/>
      <c r="C445" s="74"/>
      <c r="D445" s="74"/>
      <c r="E445" s="75"/>
      <c r="F445" s="76"/>
      <c r="G445" s="74"/>
      <c r="H445" s="77"/>
      <c r="I445" s="77"/>
      <c r="J445" s="74"/>
      <c r="K445" s="78"/>
    </row>
    <row r="446" customHeight="1" spans="1:11">
      <c r="A446" s="72"/>
      <c r="B446" s="73"/>
      <c r="C446" s="74"/>
      <c r="D446" s="74"/>
      <c r="E446" s="75"/>
      <c r="F446" s="76"/>
      <c r="G446" s="74"/>
      <c r="H446" s="77"/>
      <c r="I446" s="77"/>
      <c r="J446" s="74"/>
      <c r="K446" s="78"/>
    </row>
    <row r="447" customHeight="1" spans="1:11">
      <c r="A447" s="72"/>
      <c r="B447" s="73"/>
      <c r="C447" s="74"/>
      <c r="D447" s="74"/>
      <c r="E447" s="75"/>
      <c r="F447" s="76"/>
      <c r="G447" s="74"/>
      <c r="H447" s="77"/>
      <c r="I447" s="77"/>
      <c r="J447" s="74"/>
      <c r="K447" s="78"/>
    </row>
    <row r="448" customHeight="1" spans="1:11">
      <c r="A448" s="72"/>
      <c r="B448" s="73"/>
      <c r="C448" s="74"/>
      <c r="D448" s="74"/>
      <c r="E448" s="75"/>
      <c r="F448" s="76"/>
      <c r="G448" s="74"/>
      <c r="H448" s="77"/>
      <c r="I448" s="77"/>
      <c r="J448" s="74"/>
      <c r="K448" s="78"/>
    </row>
    <row r="449" customHeight="1" spans="1:11">
      <c r="A449" s="72"/>
      <c r="B449" s="73"/>
      <c r="C449" s="74"/>
      <c r="D449" s="74"/>
      <c r="E449" s="75"/>
      <c r="F449" s="76"/>
      <c r="G449" s="74"/>
      <c r="H449" s="77"/>
      <c r="I449" s="77"/>
      <c r="J449" s="74"/>
      <c r="K449" s="78"/>
    </row>
    <row r="450" customHeight="1" spans="1:11">
      <c r="A450" s="72"/>
      <c r="B450" s="73"/>
      <c r="C450" s="74"/>
      <c r="D450" s="74"/>
      <c r="E450" s="75"/>
      <c r="F450" s="76"/>
      <c r="G450" s="74"/>
      <c r="H450" s="77"/>
      <c r="I450" s="77"/>
      <c r="J450" s="74"/>
      <c r="K450" s="78"/>
    </row>
    <row r="451" customHeight="1" spans="1:11">
      <c r="A451" s="72"/>
      <c r="B451" s="73"/>
      <c r="C451" s="74"/>
      <c r="D451" s="74"/>
      <c r="E451" s="75"/>
      <c r="F451" s="76"/>
      <c r="G451" s="74"/>
      <c r="H451" s="77"/>
      <c r="I451" s="77"/>
      <c r="J451" s="74"/>
      <c r="K451" s="78"/>
    </row>
    <row r="452" customHeight="1" spans="1:11">
      <c r="A452" s="72"/>
      <c r="B452" s="73"/>
      <c r="C452" s="74"/>
      <c r="D452" s="74"/>
      <c r="E452" s="75"/>
      <c r="F452" s="76"/>
      <c r="G452" s="74"/>
      <c r="H452" s="77"/>
      <c r="I452" s="77"/>
      <c r="J452" s="74"/>
      <c r="K452" s="78"/>
    </row>
    <row r="453" customHeight="1" spans="1:11">
      <c r="A453" s="72"/>
      <c r="B453" s="73"/>
      <c r="C453" s="74"/>
      <c r="D453" s="74"/>
      <c r="E453" s="75"/>
      <c r="F453" s="76"/>
      <c r="G453" s="74"/>
      <c r="H453" s="77"/>
      <c r="I453" s="77"/>
      <c r="J453" s="74"/>
      <c r="K453" s="78"/>
    </row>
    <row r="454" customHeight="1" spans="1:11">
      <c r="A454" s="72"/>
      <c r="B454" s="73"/>
      <c r="C454" s="74"/>
      <c r="D454" s="74"/>
      <c r="E454" s="75"/>
      <c r="F454" s="76"/>
      <c r="G454" s="74"/>
      <c r="H454" s="77"/>
      <c r="I454" s="77"/>
      <c r="J454" s="74"/>
      <c r="K454" s="78"/>
    </row>
    <row r="455" customHeight="1" spans="1:11">
      <c r="A455" s="72"/>
      <c r="B455" s="73"/>
      <c r="C455" s="74"/>
      <c r="D455" s="74"/>
      <c r="E455" s="75"/>
      <c r="F455" s="76"/>
      <c r="G455" s="74"/>
      <c r="H455" s="77"/>
      <c r="I455" s="77"/>
      <c r="J455" s="74"/>
      <c r="K455" s="78"/>
    </row>
    <row r="456" customHeight="1" spans="1:11">
      <c r="A456" s="72"/>
      <c r="B456" s="73"/>
      <c r="C456" s="74"/>
      <c r="D456" s="74"/>
      <c r="E456" s="75"/>
      <c r="F456" s="76"/>
      <c r="G456" s="74"/>
      <c r="H456" s="77"/>
      <c r="I456" s="77"/>
      <c r="J456" s="74"/>
      <c r="K456" s="78"/>
    </row>
    <row r="457" customHeight="1" spans="1:11">
      <c r="A457" s="72"/>
      <c r="B457" s="73"/>
      <c r="C457" s="74"/>
      <c r="D457" s="74"/>
      <c r="E457" s="75"/>
      <c r="F457" s="76"/>
      <c r="G457" s="74"/>
      <c r="H457" s="77"/>
      <c r="I457" s="77"/>
      <c r="J457" s="74"/>
      <c r="K457" s="78"/>
    </row>
    <row r="458" customHeight="1" spans="1:11">
      <c r="A458" s="72"/>
      <c r="B458" s="73"/>
      <c r="C458" s="74"/>
      <c r="D458" s="74"/>
      <c r="E458" s="75"/>
      <c r="F458" s="76"/>
      <c r="G458" s="74"/>
      <c r="H458" s="77"/>
      <c r="I458" s="77"/>
      <c r="J458" s="74"/>
      <c r="K458" s="78"/>
    </row>
    <row r="459" customHeight="1" spans="1:11">
      <c r="A459" s="72"/>
      <c r="B459" s="73"/>
      <c r="C459" s="74"/>
      <c r="D459" s="74"/>
      <c r="E459" s="75"/>
      <c r="F459" s="76"/>
      <c r="G459" s="74"/>
      <c r="H459" s="77"/>
      <c r="I459" s="77"/>
      <c r="J459" s="74"/>
      <c r="K459" s="78"/>
    </row>
    <row r="460" customHeight="1" spans="1:11">
      <c r="A460" s="72"/>
      <c r="B460" s="73"/>
      <c r="C460" s="74"/>
      <c r="D460" s="74"/>
      <c r="E460" s="75"/>
      <c r="F460" s="76"/>
      <c r="G460" s="74"/>
      <c r="H460" s="77"/>
      <c r="I460" s="77"/>
      <c r="J460" s="74"/>
      <c r="K460" s="78"/>
    </row>
    <row r="461" customHeight="1" spans="1:11">
      <c r="A461" s="72"/>
      <c r="B461" s="73"/>
      <c r="C461" s="74"/>
      <c r="D461" s="74"/>
      <c r="E461" s="75"/>
      <c r="F461" s="76"/>
      <c r="G461" s="74"/>
      <c r="H461" s="77"/>
      <c r="I461" s="77"/>
      <c r="J461" s="74"/>
      <c r="K461" s="78"/>
    </row>
    <row r="462" customHeight="1" spans="1:11">
      <c r="A462" s="72"/>
      <c r="B462" s="73"/>
      <c r="C462" s="74"/>
      <c r="D462" s="74"/>
      <c r="E462" s="75"/>
      <c r="F462" s="76"/>
      <c r="G462" s="74"/>
      <c r="H462" s="77"/>
      <c r="I462" s="77"/>
      <c r="J462" s="74"/>
      <c r="K462" s="78"/>
    </row>
    <row r="463" customHeight="1" spans="1:11">
      <c r="A463" s="72"/>
      <c r="B463" s="73"/>
      <c r="C463" s="74"/>
      <c r="D463" s="74"/>
      <c r="E463" s="75"/>
      <c r="F463" s="76"/>
      <c r="G463" s="74"/>
      <c r="H463" s="77"/>
      <c r="I463" s="77"/>
      <c r="J463" s="74"/>
      <c r="K463" s="78"/>
    </row>
    <row r="464" customHeight="1" spans="1:11">
      <c r="A464" s="72"/>
      <c r="B464" s="73"/>
      <c r="C464" s="74"/>
      <c r="D464" s="74"/>
      <c r="E464" s="75"/>
      <c r="F464" s="76"/>
      <c r="G464" s="74"/>
      <c r="H464" s="77"/>
      <c r="I464" s="77"/>
      <c r="J464" s="74"/>
      <c r="K464" s="78"/>
    </row>
    <row r="465" customHeight="1" spans="1:11">
      <c r="A465" s="72"/>
      <c r="B465" s="73"/>
      <c r="C465" s="74"/>
      <c r="D465" s="74"/>
      <c r="E465" s="75"/>
      <c r="F465" s="76"/>
      <c r="G465" s="74"/>
      <c r="H465" s="77"/>
      <c r="I465" s="77"/>
      <c r="J465" s="74"/>
      <c r="K465" s="78"/>
    </row>
    <row r="466" customHeight="1" spans="1:11">
      <c r="A466" s="72"/>
      <c r="B466" s="73"/>
      <c r="C466" s="74"/>
      <c r="D466" s="74"/>
      <c r="E466" s="75"/>
      <c r="F466" s="76"/>
      <c r="G466" s="74"/>
      <c r="H466" s="77"/>
      <c r="I466" s="77"/>
      <c r="J466" s="74"/>
      <c r="K466" s="78"/>
    </row>
    <row r="467" customHeight="1" spans="1:11">
      <c r="A467" s="72"/>
      <c r="B467" s="73"/>
      <c r="C467" s="74"/>
      <c r="D467" s="74"/>
      <c r="E467" s="75"/>
      <c r="F467" s="76"/>
      <c r="G467" s="74"/>
      <c r="H467" s="77"/>
      <c r="I467" s="77"/>
      <c r="J467" s="74"/>
      <c r="K467" s="78"/>
    </row>
    <row r="468" customHeight="1" spans="1:11">
      <c r="A468" s="72"/>
      <c r="B468" s="73"/>
      <c r="C468" s="74"/>
      <c r="D468" s="74"/>
      <c r="E468" s="75"/>
      <c r="F468" s="76"/>
      <c r="G468" s="74"/>
      <c r="H468" s="77"/>
      <c r="I468" s="77"/>
      <c r="J468" s="74"/>
      <c r="K468" s="78"/>
    </row>
    <row r="469" customHeight="1" spans="1:11">
      <c r="A469" s="72"/>
      <c r="B469" s="73"/>
      <c r="C469" s="74"/>
      <c r="D469" s="74"/>
      <c r="E469" s="75"/>
      <c r="F469" s="76"/>
      <c r="G469" s="74"/>
      <c r="H469" s="77"/>
      <c r="I469" s="77"/>
      <c r="J469" s="74"/>
      <c r="K469" s="78"/>
    </row>
    <row r="470" customHeight="1" spans="1:11">
      <c r="A470" s="72"/>
      <c r="B470" s="73"/>
      <c r="C470" s="74"/>
      <c r="D470" s="74"/>
      <c r="E470" s="75"/>
      <c r="F470" s="76"/>
      <c r="G470" s="74"/>
      <c r="H470" s="77"/>
      <c r="I470" s="77"/>
      <c r="J470" s="74"/>
      <c r="K470" s="78"/>
    </row>
    <row r="471" customHeight="1" spans="1:11">
      <c r="A471" s="72"/>
      <c r="B471" s="73"/>
      <c r="C471" s="74"/>
      <c r="D471" s="74"/>
      <c r="E471" s="75"/>
      <c r="F471" s="76"/>
      <c r="G471" s="74"/>
      <c r="H471" s="77"/>
      <c r="I471" s="77"/>
      <c r="J471" s="74"/>
      <c r="K471" s="78"/>
    </row>
    <row r="472" customHeight="1" spans="1:11">
      <c r="A472" s="72"/>
      <c r="B472" s="73"/>
      <c r="C472" s="74"/>
      <c r="D472" s="74"/>
      <c r="E472" s="75"/>
      <c r="F472" s="76"/>
      <c r="G472" s="74"/>
      <c r="H472" s="77"/>
      <c r="I472" s="77"/>
      <c r="J472" s="74"/>
      <c r="K472" s="78"/>
    </row>
    <row r="473" customHeight="1" spans="1:11">
      <c r="A473" s="72"/>
      <c r="B473" s="73"/>
      <c r="C473" s="74"/>
      <c r="D473" s="74"/>
      <c r="E473" s="75"/>
      <c r="F473" s="76"/>
      <c r="G473" s="74"/>
      <c r="H473" s="77"/>
      <c r="I473" s="77"/>
      <c r="J473" s="74"/>
      <c r="K473" s="78"/>
    </row>
    <row r="474" customHeight="1" spans="1:11">
      <c r="A474" s="72"/>
      <c r="B474" s="73"/>
      <c r="C474" s="74"/>
      <c r="D474" s="74"/>
      <c r="E474" s="75"/>
      <c r="F474" s="76"/>
      <c r="G474" s="74"/>
      <c r="H474" s="77"/>
      <c r="I474" s="77"/>
      <c r="J474" s="74"/>
      <c r="K474" s="78"/>
    </row>
    <row r="475" customHeight="1" spans="1:11">
      <c r="A475" s="72"/>
      <c r="B475" s="73"/>
      <c r="C475" s="74"/>
      <c r="D475" s="74"/>
      <c r="E475" s="75"/>
      <c r="F475" s="76"/>
      <c r="G475" s="74"/>
      <c r="H475" s="77"/>
      <c r="I475" s="77"/>
      <c r="J475" s="74"/>
      <c r="K475" s="78"/>
    </row>
    <row r="476" customHeight="1" spans="1:11">
      <c r="A476" s="72"/>
      <c r="B476" s="73"/>
      <c r="C476" s="74"/>
      <c r="D476" s="74"/>
      <c r="E476" s="75"/>
      <c r="F476" s="76"/>
      <c r="G476" s="74"/>
      <c r="H476" s="77"/>
      <c r="I476" s="77"/>
      <c r="J476" s="74"/>
      <c r="K476" s="78"/>
    </row>
    <row r="477" customHeight="1" spans="1:11">
      <c r="A477" s="72"/>
      <c r="B477" s="73"/>
      <c r="C477" s="74"/>
      <c r="D477" s="74"/>
      <c r="E477" s="75"/>
      <c r="F477" s="76"/>
      <c r="G477" s="74"/>
      <c r="H477" s="77"/>
      <c r="I477" s="77"/>
      <c r="J477" s="74"/>
      <c r="K477" s="78"/>
    </row>
    <row r="478" customHeight="1" spans="1:11">
      <c r="A478" s="72"/>
      <c r="B478" s="73"/>
      <c r="C478" s="74"/>
      <c r="D478" s="74"/>
      <c r="E478" s="75"/>
      <c r="F478" s="76"/>
      <c r="G478" s="74"/>
      <c r="H478" s="77"/>
      <c r="I478" s="77"/>
      <c r="J478" s="74"/>
      <c r="K478" s="78"/>
    </row>
    <row r="479" customHeight="1" spans="1:11">
      <c r="A479" s="72"/>
      <c r="B479" s="73"/>
      <c r="C479" s="74"/>
      <c r="D479" s="74"/>
      <c r="E479" s="75"/>
      <c r="F479" s="76"/>
      <c r="G479" s="74"/>
      <c r="H479" s="77"/>
      <c r="I479" s="77"/>
      <c r="J479" s="74"/>
      <c r="K479" s="78"/>
    </row>
    <row r="480" customHeight="1" spans="1:11">
      <c r="A480" s="72"/>
      <c r="B480" s="73"/>
      <c r="C480" s="74"/>
      <c r="D480" s="74"/>
      <c r="E480" s="75"/>
      <c r="F480" s="76"/>
      <c r="G480" s="74"/>
      <c r="H480" s="77"/>
      <c r="I480" s="77"/>
      <c r="J480" s="74"/>
      <c r="K480" s="78"/>
    </row>
    <row r="481" customHeight="1" spans="1:11">
      <c r="A481" s="72"/>
      <c r="B481" s="73"/>
      <c r="C481" s="74"/>
      <c r="D481" s="74"/>
      <c r="E481" s="75"/>
      <c r="F481" s="76"/>
      <c r="G481" s="74"/>
      <c r="H481" s="77"/>
      <c r="I481" s="77"/>
      <c r="J481" s="74"/>
      <c r="K481" s="78"/>
    </row>
    <row r="482" customHeight="1" spans="1:11">
      <c r="A482" s="72"/>
      <c r="B482" s="73"/>
      <c r="C482" s="74"/>
      <c r="D482" s="74"/>
      <c r="E482" s="75"/>
      <c r="F482" s="76"/>
      <c r="G482" s="74"/>
      <c r="H482" s="77"/>
      <c r="I482" s="77"/>
      <c r="J482" s="74"/>
      <c r="K482" s="78"/>
    </row>
    <row r="483" customHeight="1" spans="1:11">
      <c r="A483" s="72"/>
      <c r="B483" s="73"/>
      <c r="C483" s="74"/>
      <c r="D483" s="74"/>
      <c r="E483" s="75"/>
      <c r="F483" s="76"/>
      <c r="G483" s="74"/>
      <c r="H483" s="77"/>
      <c r="I483" s="77"/>
      <c r="J483" s="74"/>
      <c r="K483" s="78"/>
    </row>
    <row r="484" customHeight="1" spans="1:11">
      <c r="A484" s="72"/>
      <c r="B484" s="73"/>
      <c r="C484" s="74"/>
      <c r="D484" s="74"/>
      <c r="E484" s="75"/>
      <c r="F484" s="76"/>
      <c r="G484" s="74"/>
      <c r="H484" s="77"/>
      <c r="I484" s="77"/>
      <c r="J484" s="74"/>
      <c r="K484" s="78"/>
    </row>
    <row r="485" customHeight="1" spans="1:11">
      <c r="A485" s="72"/>
      <c r="B485" s="73"/>
      <c r="C485" s="74"/>
      <c r="D485" s="74"/>
      <c r="E485" s="75"/>
      <c r="F485" s="76"/>
      <c r="G485" s="74"/>
      <c r="H485" s="77"/>
      <c r="I485" s="77"/>
      <c r="J485" s="74"/>
      <c r="K485" s="78"/>
    </row>
    <row r="486" customHeight="1" spans="1:11">
      <c r="A486" s="72"/>
      <c r="B486" s="73"/>
      <c r="C486" s="74"/>
      <c r="D486" s="74"/>
      <c r="E486" s="75"/>
      <c r="F486" s="76"/>
      <c r="G486" s="74"/>
      <c r="H486" s="77"/>
      <c r="I486" s="77"/>
      <c r="J486" s="74"/>
      <c r="K486" s="78"/>
    </row>
    <row r="487" customHeight="1" spans="1:11">
      <c r="A487" s="72"/>
      <c r="B487" s="73"/>
      <c r="C487" s="74"/>
      <c r="D487" s="74"/>
      <c r="E487" s="75"/>
      <c r="F487" s="76"/>
      <c r="G487" s="74"/>
      <c r="H487" s="77"/>
      <c r="I487" s="77"/>
      <c r="J487" s="74"/>
      <c r="K487" s="78"/>
    </row>
    <row r="488" customHeight="1" spans="1:11">
      <c r="A488" s="72"/>
      <c r="B488" s="73"/>
      <c r="C488" s="74"/>
      <c r="D488" s="74"/>
      <c r="E488" s="75"/>
      <c r="F488" s="76"/>
      <c r="G488" s="74"/>
      <c r="H488" s="77"/>
      <c r="I488" s="77"/>
      <c r="J488" s="74"/>
      <c r="K488" s="78"/>
    </row>
    <row r="489" customHeight="1" spans="1:11">
      <c r="A489" s="72"/>
      <c r="B489" s="73"/>
      <c r="C489" s="74"/>
      <c r="D489" s="74"/>
      <c r="E489" s="75"/>
      <c r="F489" s="76"/>
      <c r="G489" s="74"/>
      <c r="H489" s="77"/>
      <c r="I489" s="77"/>
      <c r="J489" s="74"/>
      <c r="K489" s="78"/>
    </row>
    <row r="490" customHeight="1" spans="1:11">
      <c r="A490" s="87"/>
      <c r="B490" s="88"/>
      <c r="C490" s="89"/>
      <c r="D490" s="75"/>
      <c r="E490" s="75"/>
      <c r="F490" s="91"/>
      <c r="G490" s="75"/>
      <c r="H490" s="77"/>
      <c r="I490" s="77"/>
      <c r="J490" s="75"/>
      <c r="K490" s="78"/>
    </row>
    <row r="491" customHeight="1" spans="1:11">
      <c r="A491" s="87"/>
      <c r="B491" s="88"/>
      <c r="C491" s="89"/>
      <c r="D491" s="75"/>
      <c r="E491" s="92"/>
      <c r="F491" s="91"/>
      <c r="G491" s="75"/>
      <c r="H491" s="77"/>
      <c r="I491" s="77"/>
      <c r="J491" s="75"/>
      <c r="K491" s="78"/>
    </row>
    <row r="492" customHeight="1" spans="1:11">
      <c r="A492" s="87"/>
      <c r="B492" s="88"/>
      <c r="C492" s="89"/>
      <c r="D492" s="75"/>
      <c r="E492" s="75"/>
      <c r="F492" s="91"/>
      <c r="G492" s="75"/>
      <c r="H492" s="77"/>
      <c r="I492" s="77"/>
      <c r="J492" s="75"/>
      <c r="K492" s="78"/>
    </row>
    <row r="493" customHeight="1" spans="1:11">
      <c r="A493" s="87"/>
      <c r="B493" s="88"/>
      <c r="C493" s="89"/>
      <c r="D493" s="75"/>
      <c r="E493" s="75"/>
      <c r="F493" s="91"/>
      <c r="G493" s="75"/>
      <c r="H493" s="77"/>
      <c r="I493" s="77"/>
      <c r="J493" s="75"/>
      <c r="K493" s="78"/>
    </row>
    <row r="494" customHeight="1" spans="1:11">
      <c r="A494" s="87"/>
      <c r="B494" s="88"/>
      <c r="C494" s="89"/>
      <c r="D494" s="75"/>
      <c r="E494" s="75"/>
      <c r="F494" s="91"/>
      <c r="G494" s="75"/>
      <c r="H494" s="77"/>
      <c r="I494" s="77"/>
      <c r="J494" s="75"/>
      <c r="K494" s="78"/>
    </row>
    <row r="495" customHeight="1" spans="1:11">
      <c r="A495" s="87"/>
      <c r="B495" s="88"/>
      <c r="C495" s="89"/>
      <c r="D495" s="75"/>
      <c r="E495" s="75"/>
      <c r="F495" s="91"/>
      <c r="G495" s="75"/>
      <c r="H495" s="77"/>
      <c r="I495" s="77"/>
      <c r="J495" s="75"/>
      <c r="K495" s="78"/>
    </row>
    <row r="496" customHeight="1" spans="1:11">
      <c r="A496" s="87"/>
      <c r="B496" s="88"/>
      <c r="C496" s="89"/>
      <c r="D496" s="75"/>
      <c r="E496" s="75"/>
      <c r="F496" s="91"/>
      <c r="G496" s="75"/>
      <c r="H496" s="77"/>
      <c r="I496" s="77"/>
      <c r="J496" s="75"/>
      <c r="K496" s="78"/>
    </row>
    <row r="497" customHeight="1" spans="1:11">
      <c r="A497" s="87"/>
      <c r="B497" s="88"/>
      <c r="C497" s="89"/>
      <c r="D497" s="75"/>
      <c r="E497" s="75"/>
      <c r="F497" s="91"/>
      <c r="G497" s="75"/>
      <c r="H497" s="77"/>
      <c r="I497" s="77"/>
      <c r="J497" s="75"/>
      <c r="K497" s="78"/>
    </row>
    <row r="498" customHeight="1" spans="1:11">
      <c r="A498" s="87"/>
      <c r="B498" s="88"/>
      <c r="C498" s="89"/>
      <c r="D498" s="75"/>
      <c r="E498" s="75"/>
      <c r="F498" s="91"/>
      <c r="G498" s="75"/>
      <c r="H498" s="77"/>
      <c r="I498" s="77"/>
      <c r="J498" s="75"/>
      <c r="K498" s="78"/>
    </row>
    <row r="499" customHeight="1" spans="1:11">
      <c r="A499" s="87"/>
      <c r="B499" s="88"/>
      <c r="C499" s="89"/>
      <c r="D499" s="75"/>
      <c r="E499" s="75"/>
      <c r="F499" s="91"/>
      <c r="G499" s="75"/>
      <c r="H499" s="77"/>
      <c r="I499" s="77"/>
      <c r="J499" s="75"/>
      <c r="K499" s="78"/>
    </row>
    <row r="500" customHeight="1" spans="1:11">
      <c r="A500" s="87"/>
      <c r="B500" s="88"/>
      <c r="C500" s="89"/>
      <c r="D500" s="75"/>
      <c r="E500" s="75"/>
      <c r="F500" s="91"/>
      <c r="G500" s="75"/>
      <c r="H500" s="77"/>
      <c r="I500" s="77"/>
      <c r="J500" s="75"/>
      <c r="K500" s="78"/>
    </row>
    <row r="501" customHeight="1" spans="1:11">
      <c r="A501" s="87"/>
      <c r="B501" s="88"/>
      <c r="C501" s="89"/>
      <c r="D501" s="75"/>
      <c r="E501" s="75"/>
      <c r="F501" s="91"/>
      <c r="G501" s="75"/>
      <c r="H501" s="77"/>
      <c r="I501" s="77"/>
      <c r="J501" s="75"/>
      <c r="K501" s="78"/>
    </row>
    <row r="502" customHeight="1" spans="1:11">
      <c r="A502" s="87"/>
      <c r="B502" s="88"/>
      <c r="C502" s="89"/>
      <c r="D502" s="75"/>
      <c r="E502" s="75"/>
      <c r="F502" s="91"/>
      <c r="G502" s="75"/>
      <c r="H502" s="77"/>
      <c r="I502" s="77"/>
      <c r="J502" s="75"/>
      <c r="K502" s="78"/>
    </row>
    <row r="503" s="59" customFormat="1" customHeight="1" spans="1:11">
      <c r="A503" s="87"/>
      <c r="B503" s="88"/>
      <c r="C503" s="89"/>
      <c r="D503" s="75"/>
      <c r="E503" s="75"/>
      <c r="F503" s="91"/>
      <c r="G503" s="75"/>
      <c r="H503" s="77"/>
      <c r="I503" s="77"/>
      <c r="J503" s="75"/>
      <c r="K503" s="78"/>
    </row>
    <row r="504" s="59" customFormat="1" customHeight="1" spans="1:11">
      <c r="A504" s="87"/>
      <c r="B504" s="88"/>
      <c r="C504" s="89"/>
      <c r="D504" s="75"/>
      <c r="E504" s="75"/>
      <c r="F504" s="91"/>
      <c r="G504" s="75"/>
      <c r="H504" s="77"/>
      <c r="I504" s="77"/>
      <c r="J504" s="75"/>
      <c r="K504" s="78"/>
    </row>
    <row r="505" s="59" customFormat="1" customHeight="1" spans="1:11">
      <c r="A505" s="87"/>
      <c r="B505" s="88"/>
      <c r="C505" s="89"/>
      <c r="D505" s="75"/>
      <c r="E505" s="75"/>
      <c r="F505" s="91"/>
      <c r="G505" s="75"/>
      <c r="H505" s="77"/>
      <c r="I505" s="77"/>
      <c r="J505" s="75"/>
      <c r="K505" s="78"/>
    </row>
    <row r="506" customHeight="1" spans="1:11">
      <c r="A506" s="87"/>
      <c r="B506" s="88"/>
      <c r="C506" s="89"/>
      <c r="D506" s="75"/>
      <c r="E506" s="75"/>
      <c r="F506" s="91"/>
      <c r="G506" s="75"/>
      <c r="H506" s="77"/>
      <c r="I506" s="77"/>
      <c r="J506" s="75"/>
      <c r="K506" s="78"/>
    </row>
    <row r="507" customHeight="1" spans="1:11">
      <c r="A507" s="87"/>
      <c r="B507" s="88"/>
      <c r="C507" s="89"/>
      <c r="D507" s="75"/>
      <c r="E507" s="75"/>
      <c r="F507" s="91"/>
      <c r="G507" s="75"/>
      <c r="H507" s="77"/>
      <c r="I507" s="77"/>
      <c r="J507" s="75"/>
      <c r="K507" s="78"/>
    </row>
    <row r="508" customHeight="1" spans="1:11">
      <c r="A508" s="87"/>
      <c r="B508" s="88"/>
      <c r="C508" s="89"/>
      <c r="D508" s="75"/>
      <c r="E508" s="75"/>
      <c r="F508" s="91"/>
      <c r="G508" s="74"/>
      <c r="H508" s="77"/>
      <c r="I508" s="77"/>
      <c r="J508" s="75"/>
      <c r="K508" s="78"/>
    </row>
    <row r="509" customHeight="1" spans="1:11">
      <c r="A509" s="87"/>
      <c r="B509" s="88"/>
      <c r="C509" s="89"/>
      <c r="D509" s="75"/>
      <c r="E509" s="75"/>
      <c r="F509" s="91"/>
      <c r="G509" s="74"/>
      <c r="H509" s="77"/>
      <c r="I509" s="77"/>
      <c r="J509" s="75"/>
      <c r="K509" s="78"/>
    </row>
    <row r="510" customHeight="1" spans="1:11">
      <c r="A510" s="87"/>
      <c r="B510" s="88"/>
      <c r="C510" s="89"/>
      <c r="D510" s="75"/>
      <c r="E510" s="75"/>
      <c r="F510" s="91"/>
      <c r="G510" s="74"/>
      <c r="H510" s="77"/>
      <c r="I510" s="77"/>
      <c r="J510" s="75"/>
      <c r="K510" s="78"/>
    </row>
    <row r="511" customHeight="1" spans="1:11">
      <c r="A511" s="87"/>
      <c r="B511" s="88"/>
      <c r="C511" s="89"/>
      <c r="D511" s="75"/>
      <c r="E511" s="75"/>
      <c r="F511" s="91"/>
      <c r="G511" s="74"/>
      <c r="H511" s="77"/>
      <c r="I511" s="77"/>
      <c r="J511" s="75"/>
      <c r="K511" s="78"/>
    </row>
    <row r="512" customHeight="1" spans="1:11">
      <c r="A512" s="87"/>
      <c r="B512" s="88"/>
      <c r="C512" s="89"/>
      <c r="D512" s="75"/>
      <c r="E512" s="75"/>
      <c r="F512" s="91"/>
      <c r="G512" s="74"/>
      <c r="H512" s="77"/>
      <c r="I512" s="77"/>
      <c r="J512" s="75"/>
      <c r="K512" s="78"/>
    </row>
    <row r="513" customHeight="1" spans="1:11">
      <c r="A513" s="87"/>
      <c r="B513" s="88"/>
      <c r="C513" s="89"/>
      <c r="D513" s="74"/>
      <c r="E513" s="75"/>
      <c r="F513" s="91"/>
      <c r="G513" s="74"/>
      <c r="H513" s="77"/>
      <c r="I513" s="77"/>
      <c r="J513" s="75"/>
      <c r="K513" s="78"/>
    </row>
    <row r="514" s="59" customFormat="1" customHeight="1" spans="1:11">
      <c r="A514" s="87"/>
      <c r="B514" s="88"/>
      <c r="C514" s="89"/>
      <c r="D514" s="74"/>
      <c r="E514" s="75"/>
      <c r="F514" s="91"/>
      <c r="G514" s="74"/>
      <c r="H514" s="77"/>
      <c r="I514" s="77"/>
      <c r="J514" s="75"/>
      <c r="K514" s="78"/>
    </row>
    <row r="515" customHeight="1" spans="1:11">
      <c r="A515" s="87"/>
      <c r="B515" s="88"/>
      <c r="C515" s="89"/>
      <c r="D515" s="74"/>
      <c r="E515" s="75"/>
      <c r="F515" s="91"/>
      <c r="G515" s="74"/>
      <c r="H515" s="77"/>
      <c r="I515" s="77"/>
      <c r="J515" s="75"/>
      <c r="K515" s="78"/>
    </row>
    <row r="516" customHeight="1" spans="1:11">
      <c r="A516" s="87"/>
      <c r="B516" s="88"/>
      <c r="C516" s="89"/>
      <c r="D516" s="74"/>
      <c r="E516" s="75"/>
      <c r="F516" s="91"/>
      <c r="G516" s="74"/>
      <c r="H516" s="77"/>
      <c r="I516" s="77"/>
      <c r="J516" s="75"/>
      <c r="K516" s="78"/>
    </row>
    <row r="517" customHeight="1" spans="1:11">
      <c r="A517" s="87"/>
      <c r="B517" s="88"/>
      <c r="C517" s="89"/>
      <c r="D517" s="74"/>
      <c r="E517" s="75"/>
      <c r="F517" s="91"/>
      <c r="G517" s="74"/>
      <c r="H517" s="77"/>
      <c r="I517" s="77"/>
      <c r="J517" s="75"/>
      <c r="K517" s="78"/>
    </row>
    <row r="518" customHeight="1" spans="1:11">
      <c r="A518" s="87"/>
      <c r="B518" s="88"/>
      <c r="C518" s="89"/>
      <c r="D518" s="74"/>
      <c r="E518" s="75"/>
      <c r="F518" s="91"/>
      <c r="G518" s="74"/>
      <c r="H518" s="77"/>
      <c r="I518" s="77"/>
      <c r="J518" s="75"/>
      <c r="K518" s="78"/>
    </row>
    <row r="519" customHeight="1" spans="1:11">
      <c r="A519" s="87"/>
      <c r="B519" s="88"/>
      <c r="C519" s="89"/>
      <c r="D519" s="74"/>
      <c r="E519" s="75"/>
      <c r="F519" s="91"/>
      <c r="G519" s="74"/>
      <c r="H519" s="77"/>
      <c r="I519" s="77"/>
      <c r="J519" s="75"/>
      <c r="K519" s="78"/>
    </row>
    <row r="520" customHeight="1" spans="1:11">
      <c r="A520" s="87"/>
      <c r="B520" s="88"/>
      <c r="C520" s="89"/>
      <c r="D520" s="74"/>
      <c r="E520" s="75"/>
      <c r="F520" s="91"/>
      <c r="G520" s="74"/>
      <c r="H520" s="77"/>
      <c r="I520" s="77"/>
      <c r="J520" s="75"/>
      <c r="K520" s="78"/>
    </row>
    <row r="521" customHeight="1" spans="1:11">
      <c r="A521" s="87"/>
      <c r="B521" s="88"/>
      <c r="C521" s="89"/>
      <c r="D521" s="74"/>
      <c r="E521" s="75"/>
      <c r="F521" s="91"/>
      <c r="G521" s="74"/>
      <c r="H521" s="77"/>
      <c r="I521" s="77"/>
      <c r="J521" s="75"/>
      <c r="K521" s="78"/>
    </row>
    <row r="522" customHeight="1" spans="1:11">
      <c r="A522" s="87"/>
      <c r="B522" s="88"/>
      <c r="C522" s="89"/>
      <c r="D522" s="74"/>
      <c r="E522" s="75"/>
      <c r="F522" s="91"/>
      <c r="G522" s="74"/>
      <c r="H522" s="77"/>
      <c r="I522" s="77"/>
      <c r="J522" s="75"/>
      <c r="K522" s="78"/>
    </row>
    <row r="523" customHeight="1" spans="1:11">
      <c r="A523" s="87"/>
      <c r="B523" s="88"/>
      <c r="C523" s="89"/>
      <c r="D523" s="74"/>
      <c r="E523" s="75"/>
      <c r="F523" s="91"/>
      <c r="G523" s="74"/>
      <c r="H523" s="77"/>
      <c r="I523" s="77"/>
      <c r="J523" s="75"/>
      <c r="K523" s="78"/>
    </row>
    <row r="524" customHeight="1" spans="1:11">
      <c r="A524" s="87"/>
      <c r="B524" s="88"/>
      <c r="C524" s="89"/>
      <c r="D524" s="74"/>
      <c r="E524" s="75"/>
      <c r="F524" s="91"/>
      <c r="G524" s="74"/>
      <c r="H524" s="77"/>
      <c r="I524" s="77"/>
      <c r="J524" s="75"/>
      <c r="K524" s="78"/>
    </row>
    <row r="525" customHeight="1" spans="1:11">
      <c r="A525" s="87"/>
      <c r="B525" s="88"/>
      <c r="C525" s="89"/>
      <c r="D525" s="74"/>
      <c r="E525" s="75"/>
      <c r="F525" s="91"/>
      <c r="G525" s="74"/>
      <c r="H525" s="77"/>
      <c r="I525" s="77"/>
      <c r="J525" s="75"/>
      <c r="K525" s="78"/>
    </row>
    <row r="526" customHeight="1" spans="1:11">
      <c r="A526" s="87"/>
      <c r="B526" s="88"/>
      <c r="C526" s="89"/>
      <c r="D526" s="74"/>
      <c r="E526" s="75"/>
      <c r="F526" s="91"/>
      <c r="G526" s="74"/>
      <c r="H526" s="77"/>
      <c r="I526" s="77"/>
      <c r="J526" s="75"/>
      <c r="K526" s="78"/>
    </row>
    <row r="527" customHeight="1" spans="1:11">
      <c r="A527" s="87"/>
      <c r="B527" s="88"/>
      <c r="C527" s="89"/>
      <c r="D527" s="74"/>
      <c r="E527" s="75"/>
      <c r="F527" s="91"/>
      <c r="G527" s="74"/>
      <c r="H527" s="77"/>
      <c r="I527" s="77"/>
      <c r="J527" s="75"/>
      <c r="K527" s="78"/>
    </row>
    <row r="528" customHeight="1" spans="1:11">
      <c r="A528" s="87"/>
      <c r="B528" s="88"/>
      <c r="C528" s="89"/>
      <c r="D528" s="74"/>
      <c r="E528" s="75"/>
      <c r="F528" s="91"/>
      <c r="G528" s="74"/>
      <c r="H528" s="77"/>
      <c r="I528" s="77"/>
      <c r="J528" s="75"/>
      <c r="K528" s="78"/>
    </row>
    <row r="529" customHeight="1" spans="1:1020 1030:2040 2050:2570">
      <c r="A529" s="87"/>
      <c r="B529" s="88"/>
      <c r="C529" s="89"/>
      <c r="D529" s="74"/>
      <c r="E529" s="75"/>
      <c r="F529" s="91"/>
      <c r="G529" s="74"/>
      <c r="H529" s="77"/>
      <c r="I529" s="77"/>
      <c r="J529" s="75"/>
      <c r="K529" s="78"/>
    </row>
    <row r="530" customHeight="1" spans="1:1020 1030:2040 2050:2570">
      <c r="A530" s="87"/>
      <c r="B530" s="88"/>
      <c r="C530" s="89"/>
      <c r="D530" s="74"/>
      <c r="E530" s="75"/>
      <c r="F530" s="91"/>
      <c r="G530" s="74"/>
      <c r="H530" s="77"/>
      <c r="I530" s="77"/>
      <c r="J530" s="75"/>
      <c r="K530" s="78"/>
    </row>
    <row r="531" s="59" customFormat="1" customHeight="1" spans="1:1020 1030:2040 2050:2570">
      <c r="A531" s="87"/>
      <c r="B531" s="88"/>
      <c r="C531" s="89"/>
      <c r="D531" s="74"/>
      <c r="E531" s="75"/>
      <c r="F531" s="91"/>
      <c r="G531" s="74"/>
      <c r="H531" s="77"/>
      <c r="I531" s="77"/>
      <c r="J531" s="74"/>
      <c r="K531" s="78"/>
    </row>
    <row r="532" s="59" customFormat="1" customHeight="1" spans="1:1020 1030:2040 2050:2570">
      <c r="A532" s="87"/>
      <c r="B532" s="88"/>
      <c r="C532" s="89"/>
      <c r="D532" s="74"/>
      <c r="E532" s="75"/>
      <c r="F532" s="91"/>
      <c r="G532" s="74"/>
      <c r="H532" s="77"/>
      <c r="I532" s="77"/>
      <c r="J532" s="75"/>
      <c r="K532" s="78"/>
    </row>
    <row r="533" s="59" customFormat="1" customHeight="1" spans="1:1020 1030:2040 2050:2570">
      <c r="A533" s="87"/>
      <c r="B533" s="88"/>
      <c r="C533" s="89"/>
      <c r="D533" s="74"/>
      <c r="E533" s="75"/>
      <c r="F533" s="91"/>
      <c r="G533" s="74"/>
      <c r="H533" s="77"/>
      <c r="I533" s="77"/>
      <c r="J533" s="75"/>
      <c r="K533" s="78"/>
    </row>
    <row r="534" s="59" customFormat="1" customHeight="1" spans="1:1020 1030:2040 2050:2570">
      <c r="A534" s="87"/>
      <c r="B534" s="88"/>
      <c r="C534" s="89"/>
      <c r="D534" s="74"/>
      <c r="E534" s="75"/>
      <c r="F534" s="91"/>
      <c r="G534" s="74"/>
      <c r="H534" s="77"/>
      <c r="I534" s="77"/>
      <c r="J534" s="75"/>
      <c r="K534" s="78"/>
    </row>
    <row r="535" s="58" customFormat="1" customHeight="1" spans="1:1020 1030:2040 2050:2570">
      <c r="A535" s="87"/>
      <c r="B535" s="94"/>
      <c r="C535" s="95"/>
      <c r="D535" s="75"/>
      <c r="E535" s="75"/>
      <c r="F535" s="76"/>
      <c r="G535" s="75"/>
      <c r="H535" s="76"/>
      <c r="I535" s="76"/>
      <c r="J535" s="75"/>
      <c r="K535" s="78"/>
      <c r="T535" s="83"/>
      <c r="AD535" s="83"/>
      <c r="AN535" s="83"/>
      <c r="AX535" s="83"/>
      <c r="BH535" s="83"/>
      <c r="BR535" s="83"/>
      <c r="CB535" s="83"/>
      <c r="CL535" s="83"/>
      <c r="CV535" s="83"/>
      <c r="DF535" s="83"/>
      <c r="DP535" s="83"/>
      <c r="DZ535" s="83"/>
      <c r="EJ535" s="83"/>
      <c r="ET535" s="83"/>
      <c r="FD535" s="83"/>
      <c r="FN535" s="83"/>
      <c r="FX535" s="83"/>
      <c r="GH535" s="83"/>
      <c r="GR535" s="83"/>
      <c r="HB535" s="83"/>
      <c r="HL535" s="83"/>
      <c r="HV535" s="83"/>
      <c r="IF535" s="83"/>
      <c r="IP535" s="83"/>
      <c r="IZ535" s="83"/>
      <c r="JJ535" s="83"/>
      <c r="JT535" s="83"/>
      <c r="KD535" s="83"/>
      <c r="KN535" s="83"/>
      <c r="KX535" s="83"/>
      <c r="LH535" s="83"/>
      <c r="LR535" s="83"/>
      <c r="MB535" s="83"/>
      <c r="ML535" s="83"/>
      <c r="MV535" s="83"/>
      <c r="NF535" s="83"/>
      <c r="NP535" s="83"/>
      <c r="NZ535" s="83"/>
      <c r="OJ535" s="83"/>
      <c r="OT535" s="83"/>
      <c r="PD535" s="83"/>
      <c r="PN535" s="83"/>
      <c r="PX535" s="83"/>
      <c r="QH535" s="83"/>
      <c r="QR535" s="83"/>
      <c r="RB535" s="83"/>
      <c r="RL535" s="83"/>
      <c r="RV535" s="83"/>
      <c r="SF535" s="83"/>
      <c r="SP535" s="83"/>
      <c r="SZ535" s="83"/>
      <c r="TJ535" s="83"/>
      <c r="TT535" s="83"/>
      <c r="UD535" s="83"/>
      <c r="UN535" s="83"/>
      <c r="UX535" s="83"/>
      <c r="VH535" s="83"/>
      <c r="VR535" s="83"/>
      <c r="WB535" s="83"/>
      <c r="WL535" s="83"/>
      <c r="WV535" s="83"/>
      <c r="XF535" s="83"/>
      <c r="XP535" s="83"/>
      <c r="XZ535" s="83"/>
      <c r="YJ535" s="83"/>
      <c r="YT535" s="83"/>
      <c r="ZD535" s="83"/>
      <c r="ZN535" s="83"/>
      <c r="ZX535" s="83"/>
      <c r="AAH535" s="83"/>
      <c r="AAR535" s="83"/>
      <c r="ABB535" s="83"/>
      <c r="ABL535" s="83"/>
      <c r="ABV535" s="83"/>
      <c r="ACF535" s="83"/>
      <c r="ACP535" s="83"/>
      <c r="ACZ535" s="83"/>
      <c r="ADJ535" s="83"/>
      <c r="ADT535" s="83"/>
      <c r="AED535" s="83"/>
      <c r="AEN535" s="83"/>
      <c r="AEX535" s="83"/>
      <c r="AFH535" s="83"/>
      <c r="AFR535" s="83"/>
      <c r="AGB535" s="83"/>
      <c r="AGL535" s="83"/>
      <c r="AGV535" s="83"/>
      <c r="AHF535" s="83"/>
      <c r="AHP535" s="83"/>
      <c r="AHZ535" s="83"/>
      <c r="AIJ535" s="83"/>
      <c r="AIT535" s="83"/>
      <c r="AJD535" s="83"/>
      <c r="AJN535" s="83"/>
      <c r="AJX535" s="83"/>
      <c r="AKH535" s="83"/>
      <c r="AKR535" s="83"/>
      <c r="ALB535" s="83"/>
      <c r="ALL535" s="83"/>
      <c r="ALV535" s="83"/>
      <c r="AMF535" s="83"/>
      <c r="AMP535" s="83"/>
      <c r="AMZ535" s="83"/>
      <c r="ANJ535" s="83"/>
      <c r="ANT535" s="83"/>
      <c r="AOD535" s="83"/>
      <c r="AON535" s="83"/>
      <c r="AOX535" s="83"/>
      <c r="APH535" s="83"/>
      <c r="APR535" s="83"/>
      <c r="AQB535" s="83"/>
      <c r="AQL535" s="83"/>
      <c r="AQV535" s="83"/>
      <c r="ARF535" s="83"/>
      <c r="ARP535" s="83"/>
      <c r="ARZ535" s="83"/>
      <c r="ASJ535" s="83"/>
      <c r="AST535" s="83"/>
      <c r="ATD535" s="83"/>
      <c r="ATN535" s="83"/>
      <c r="ATX535" s="83"/>
      <c r="AUH535" s="83"/>
      <c r="AUR535" s="83"/>
      <c r="AVB535" s="83"/>
      <c r="AVL535" s="83"/>
      <c r="AVV535" s="83"/>
      <c r="AWF535" s="83"/>
      <c r="AWP535" s="83"/>
      <c r="AWZ535" s="83"/>
      <c r="AXJ535" s="83"/>
      <c r="AXT535" s="83"/>
      <c r="AYD535" s="83"/>
      <c r="AYN535" s="83"/>
      <c r="AYX535" s="83"/>
      <c r="AZH535" s="83"/>
      <c r="AZR535" s="83"/>
      <c r="BAB535" s="83"/>
      <c r="BAL535" s="83"/>
      <c r="BAV535" s="83"/>
      <c r="BBF535" s="83"/>
      <c r="BBP535" s="83"/>
      <c r="BBZ535" s="83"/>
      <c r="BCJ535" s="83"/>
      <c r="BCT535" s="83"/>
      <c r="BDD535" s="83"/>
      <c r="BDN535" s="83"/>
      <c r="BDX535" s="83"/>
      <c r="BEH535" s="83"/>
      <c r="BER535" s="83"/>
      <c r="BFB535" s="83"/>
      <c r="BFL535" s="83"/>
      <c r="BFV535" s="83"/>
      <c r="BGF535" s="83"/>
      <c r="BGP535" s="83"/>
      <c r="BGZ535" s="83"/>
      <c r="BHJ535" s="83"/>
      <c r="BHT535" s="83"/>
      <c r="BID535" s="83"/>
      <c r="BIN535" s="83"/>
      <c r="BIX535" s="83"/>
      <c r="BJH535" s="83"/>
      <c r="BJR535" s="83"/>
      <c r="BKB535" s="83"/>
      <c r="BKL535" s="83"/>
      <c r="BKV535" s="83"/>
      <c r="BLF535" s="83"/>
      <c r="BLP535" s="83"/>
      <c r="BLZ535" s="83"/>
      <c r="BMJ535" s="83"/>
      <c r="BMT535" s="83"/>
      <c r="BND535" s="83"/>
      <c r="BNN535" s="83"/>
      <c r="BNX535" s="83"/>
      <c r="BOH535" s="83"/>
      <c r="BOR535" s="83"/>
      <c r="BPB535" s="83"/>
      <c r="BPL535" s="83"/>
      <c r="BPV535" s="83"/>
      <c r="BQF535" s="83"/>
      <c r="BQP535" s="83"/>
      <c r="BQZ535" s="83"/>
      <c r="BRJ535" s="83"/>
      <c r="BRT535" s="83"/>
      <c r="BSD535" s="83"/>
      <c r="BSN535" s="83"/>
      <c r="BSX535" s="83"/>
      <c r="BTH535" s="83"/>
      <c r="BTR535" s="83"/>
      <c r="BUB535" s="83"/>
      <c r="BUL535" s="83"/>
      <c r="BUV535" s="83"/>
      <c r="BVF535" s="83"/>
      <c r="BVP535" s="83"/>
      <c r="BVZ535" s="83"/>
      <c r="BWJ535" s="83"/>
      <c r="BWT535" s="83"/>
      <c r="BXD535" s="83"/>
      <c r="BXN535" s="83"/>
      <c r="BXX535" s="83"/>
      <c r="BYH535" s="83"/>
      <c r="BYR535" s="83"/>
      <c r="BZB535" s="83"/>
      <c r="BZL535" s="83"/>
      <c r="BZV535" s="83"/>
      <c r="CAF535" s="83"/>
      <c r="CAP535" s="83"/>
      <c r="CAZ535" s="83"/>
      <c r="CBJ535" s="83"/>
      <c r="CBT535" s="83"/>
      <c r="CCD535" s="83"/>
      <c r="CCN535" s="83"/>
      <c r="CCX535" s="83"/>
      <c r="CDH535" s="83"/>
      <c r="CDR535" s="83"/>
      <c r="CEB535" s="83"/>
      <c r="CEL535" s="83"/>
      <c r="CEV535" s="83"/>
      <c r="CFF535" s="83"/>
      <c r="CFP535" s="83"/>
      <c r="CFZ535" s="83"/>
      <c r="CGJ535" s="83"/>
      <c r="CGT535" s="83"/>
      <c r="CHD535" s="83"/>
      <c r="CHN535" s="83"/>
      <c r="CHX535" s="83"/>
      <c r="CIH535" s="83"/>
      <c r="CIR535" s="83"/>
      <c r="CJB535" s="83"/>
      <c r="CJL535" s="83"/>
      <c r="CJV535" s="83"/>
      <c r="CKF535" s="83"/>
      <c r="CKP535" s="83"/>
      <c r="CKZ535" s="83"/>
      <c r="CLJ535" s="83"/>
      <c r="CLT535" s="83"/>
      <c r="CMD535" s="83"/>
      <c r="CMN535" s="83"/>
      <c r="CMX535" s="83"/>
      <c r="CNH535" s="83"/>
      <c r="CNR535" s="83"/>
      <c r="COB535" s="83"/>
      <c r="COL535" s="83"/>
      <c r="COV535" s="83"/>
      <c r="CPF535" s="83"/>
      <c r="CPP535" s="83"/>
      <c r="CPZ535" s="83"/>
      <c r="CQJ535" s="83"/>
      <c r="CQT535" s="83"/>
      <c r="CRD535" s="83"/>
      <c r="CRN535" s="83"/>
      <c r="CRX535" s="83"/>
      <c r="CSH535" s="83"/>
      <c r="CSR535" s="83"/>
      <c r="CTB535" s="83"/>
      <c r="CTL535" s="83"/>
      <c r="CTV535" s="83"/>
    </row>
    <row r="536" s="58" customFormat="1" customHeight="1" spans="1:1020 1030:2040 2050:2570">
      <c r="A536" s="87"/>
      <c r="B536" s="94"/>
      <c r="C536" s="95"/>
      <c r="D536" s="75"/>
      <c r="E536" s="75"/>
      <c r="F536" s="76"/>
      <c r="G536" s="75"/>
      <c r="H536" s="76"/>
      <c r="I536" s="76"/>
      <c r="J536" s="75"/>
      <c r="K536" s="78"/>
      <c r="T536" s="83"/>
      <c r="AD536" s="83"/>
      <c r="AN536" s="83"/>
      <c r="AX536" s="83"/>
      <c r="BH536" s="83"/>
      <c r="BR536" s="83"/>
      <c r="CB536" s="83"/>
      <c r="CL536" s="83"/>
      <c r="CV536" s="83"/>
      <c r="DF536" s="83"/>
      <c r="DP536" s="83"/>
      <c r="DZ536" s="83"/>
      <c r="EJ536" s="83"/>
      <c r="ET536" s="83"/>
      <c r="FD536" s="83"/>
      <c r="FN536" s="83"/>
      <c r="FX536" s="83"/>
      <c r="GH536" s="83"/>
      <c r="GR536" s="83"/>
      <c r="HB536" s="83"/>
      <c r="HL536" s="83"/>
      <c r="HV536" s="83"/>
      <c r="IF536" s="83"/>
      <c r="IP536" s="83"/>
      <c r="IZ536" s="83"/>
      <c r="JJ536" s="83"/>
      <c r="JT536" s="83"/>
      <c r="KD536" s="83"/>
      <c r="KN536" s="83"/>
      <c r="KX536" s="83"/>
      <c r="LH536" s="83"/>
      <c r="LR536" s="83"/>
      <c r="MB536" s="83"/>
      <c r="ML536" s="83"/>
      <c r="MV536" s="83"/>
      <c r="NF536" s="83"/>
      <c r="NP536" s="83"/>
      <c r="NZ536" s="83"/>
      <c r="OJ536" s="83"/>
      <c r="OT536" s="83"/>
      <c r="PD536" s="83"/>
      <c r="PN536" s="83"/>
      <c r="PX536" s="83"/>
      <c r="QH536" s="83"/>
      <c r="QR536" s="83"/>
      <c r="RB536" s="83"/>
      <c r="RL536" s="83"/>
      <c r="RV536" s="83"/>
      <c r="SF536" s="83"/>
      <c r="SP536" s="83"/>
      <c r="SZ536" s="83"/>
      <c r="TJ536" s="83"/>
      <c r="TT536" s="83"/>
      <c r="UD536" s="83"/>
      <c r="UN536" s="83"/>
      <c r="UX536" s="83"/>
      <c r="VH536" s="83"/>
      <c r="VR536" s="83"/>
      <c r="WB536" s="83"/>
      <c r="WL536" s="83"/>
      <c r="WV536" s="83"/>
      <c r="XF536" s="83"/>
      <c r="XP536" s="83"/>
      <c r="XZ536" s="83"/>
      <c r="YJ536" s="83"/>
      <c r="YT536" s="83"/>
      <c r="ZD536" s="83"/>
      <c r="ZN536" s="83"/>
      <c r="ZX536" s="83"/>
      <c r="AAH536" s="83"/>
      <c r="AAR536" s="83"/>
      <c r="ABB536" s="83"/>
      <c r="ABL536" s="83"/>
      <c r="ABV536" s="83"/>
      <c r="ACF536" s="83"/>
      <c r="ACP536" s="83"/>
      <c r="ACZ536" s="83"/>
      <c r="ADJ536" s="83"/>
      <c r="ADT536" s="83"/>
      <c r="AED536" s="83"/>
      <c r="AEN536" s="83"/>
      <c r="AEX536" s="83"/>
      <c r="AFH536" s="83"/>
      <c r="AFR536" s="83"/>
      <c r="AGB536" s="83"/>
      <c r="AGL536" s="83"/>
      <c r="AGV536" s="83"/>
      <c r="AHF536" s="83"/>
      <c r="AHP536" s="83"/>
      <c r="AHZ536" s="83"/>
      <c r="AIJ536" s="83"/>
      <c r="AIT536" s="83"/>
      <c r="AJD536" s="83"/>
      <c r="AJN536" s="83"/>
      <c r="AJX536" s="83"/>
      <c r="AKH536" s="83"/>
      <c r="AKR536" s="83"/>
      <c r="ALB536" s="83"/>
      <c r="ALL536" s="83"/>
      <c r="ALV536" s="83"/>
      <c r="AMF536" s="83"/>
      <c r="AMP536" s="83"/>
      <c r="AMZ536" s="83"/>
      <c r="ANJ536" s="83"/>
      <c r="ANT536" s="83"/>
      <c r="AOD536" s="83"/>
      <c r="AON536" s="83"/>
      <c r="AOX536" s="83"/>
      <c r="APH536" s="83"/>
      <c r="APR536" s="83"/>
      <c r="AQB536" s="83"/>
      <c r="AQL536" s="83"/>
      <c r="AQV536" s="83"/>
      <c r="ARF536" s="83"/>
      <c r="ARP536" s="83"/>
      <c r="ARZ536" s="83"/>
      <c r="ASJ536" s="83"/>
      <c r="AST536" s="83"/>
      <c r="ATD536" s="83"/>
      <c r="ATN536" s="83"/>
      <c r="ATX536" s="83"/>
      <c r="AUH536" s="83"/>
      <c r="AUR536" s="83"/>
      <c r="AVB536" s="83"/>
      <c r="AVL536" s="83"/>
      <c r="AVV536" s="83"/>
      <c r="AWF536" s="83"/>
      <c r="AWP536" s="83"/>
      <c r="AWZ536" s="83"/>
      <c r="AXJ536" s="83"/>
      <c r="AXT536" s="83"/>
      <c r="AYD536" s="83"/>
      <c r="AYN536" s="83"/>
      <c r="AYX536" s="83"/>
      <c r="AZH536" s="83"/>
      <c r="AZR536" s="83"/>
      <c r="BAB536" s="83"/>
      <c r="BAL536" s="83"/>
      <c r="BAV536" s="83"/>
      <c r="BBF536" s="83"/>
      <c r="BBP536" s="83"/>
      <c r="BBZ536" s="83"/>
      <c r="BCJ536" s="83"/>
      <c r="BCT536" s="83"/>
      <c r="BDD536" s="83"/>
      <c r="BDN536" s="83"/>
      <c r="BDX536" s="83"/>
      <c r="BEH536" s="83"/>
      <c r="BER536" s="83"/>
      <c r="BFB536" s="83"/>
      <c r="BFL536" s="83"/>
      <c r="BFV536" s="83"/>
      <c r="BGF536" s="83"/>
      <c r="BGP536" s="83"/>
      <c r="BGZ536" s="83"/>
      <c r="BHJ536" s="83"/>
      <c r="BHT536" s="83"/>
      <c r="BID536" s="83"/>
      <c r="BIN536" s="83"/>
      <c r="BIX536" s="83"/>
      <c r="BJH536" s="83"/>
      <c r="BJR536" s="83"/>
      <c r="BKB536" s="83"/>
      <c r="BKL536" s="83"/>
      <c r="BKV536" s="83"/>
      <c r="BLF536" s="83"/>
      <c r="BLP536" s="83"/>
      <c r="BLZ536" s="83"/>
      <c r="BMJ536" s="83"/>
      <c r="BMT536" s="83"/>
      <c r="BND536" s="83"/>
      <c r="BNN536" s="83"/>
      <c r="BNX536" s="83"/>
      <c r="BOH536" s="83"/>
      <c r="BOR536" s="83"/>
      <c r="BPB536" s="83"/>
      <c r="BPL536" s="83"/>
      <c r="BPV536" s="83"/>
      <c r="BQF536" s="83"/>
      <c r="BQP536" s="83"/>
      <c r="BQZ536" s="83"/>
      <c r="BRJ536" s="83"/>
      <c r="BRT536" s="83"/>
      <c r="BSD536" s="83"/>
      <c r="BSN536" s="83"/>
      <c r="BSX536" s="83"/>
      <c r="BTH536" s="83"/>
      <c r="BTR536" s="83"/>
      <c r="BUB536" s="83"/>
      <c r="BUL536" s="83"/>
      <c r="BUV536" s="83"/>
      <c r="BVF536" s="83"/>
      <c r="BVP536" s="83"/>
      <c r="BVZ536" s="83"/>
      <c r="BWJ536" s="83"/>
      <c r="BWT536" s="83"/>
      <c r="BXD536" s="83"/>
      <c r="BXN536" s="83"/>
      <c r="BXX536" s="83"/>
      <c r="BYH536" s="83"/>
      <c r="BYR536" s="83"/>
      <c r="BZB536" s="83"/>
      <c r="BZL536" s="83"/>
      <c r="BZV536" s="83"/>
      <c r="CAF536" s="83"/>
      <c r="CAP536" s="83"/>
      <c r="CAZ536" s="83"/>
      <c r="CBJ536" s="83"/>
      <c r="CBT536" s="83"/>
      <c r="CCD536" s="83"/>
      <c r="CCN536" s="83"/>
      <c r="CCX536" s="83"/>
      <c r="CDH536" s="83"/>
      <c r="CDR536" s="83"/>
      <c r="CEB536" s="83"/>
      <c r="CEL536" s="83"/>
      <c r="CEV536" s="83"/>
      <c r="CFF536" s="83"/>
      <c r="CFP536" s="83"/>
      <c r="CFZ536" s="83"/>
      <c r="CGJ536" s="83"/>
      <c r="CGT536" s="83"/>
      <c r="CHD536" s="83"/>
      <c r="CHN536" s="83"/>
      <c r="CHX536" s="83"/>
      <c r="CIH536" s="83"/>
      <c r="CIR536" s="83"/>
      <c r="CJB536" s="83"/>
      <c r="CJL536" s="83"/>
      <c r="CJV536" s="83"/>
      <c r="CKF536" s="83"/>
      <c r="CKP536" s="83"/>
      <c r="CKZ536" s="83"/>
      <c r="CLJ536" s="83"/>
      <c r="CLT536" s="83"/>
      <c r="CMD536" s="83"/>
      <c r="CMN536" s="83"/>
      <c r="CMX536" s="83"/>
      <c r="CNH536" s="83"/>
      <c r="CNR536" s="83"/>
      <c r="COB536" s="83"/>
      <c r="COL536" s="83"/>
      <c r="COV536" s="83"/>
      <c r="CPF536" s="83"/>
      <c r="CPP536" s="83"/>
      <c r="CPZ536" s="83"/>
      <c r="CQJ536" s="83"/>
      <c r="CQT536" s="83"/>
      <c r="CRD536" s="83"/>
      <c r="CRN536" s="83"/>
      <c r="CRX536" s="83"/>
      <c r="CSH536" s="83"/>
      <c r="CSR536" s="83"/>
      <c r="CTB536" s="83"/>
      <c r="CTL536" s="83"/>
      <c r="CTV536" s="83"/>
    </row>
    <row r="537" s="58" customFormat="1" customHeight="1" spans="1:1020 1030:2040 2050:2570">
      <c r="A537" s="87"/>
      <c r="B537" s="94"/>
      <c r="C537" s="95"/>
      <c r="D537" s="75"/>
      <c r="E537" s="75"/>
      <c r="F537" s="76"/>
      <c r="G537" s="75"/>
      <c r="H537" s="76"/>
      <c r="I537" s="76"/>
      <c r="J537" s="75"/>
      <c r="K537" s="78"/>
      <c r="T537" s="83"/>
      <c r="AD537" s="83"/>
      <c r="AN537" s="83"/>
      <c r="AX537" s="83"/>
      <c r="BH537" s="83"/>
      <c r="BR537" s="83"/>
      <c r="CB537" s="83"/>
      <c r="CL537" s="83"/>
      <c r="CV537" s="83"/>
      <c r="DF537" s="83"/>
      <c r="DP537" s="83"/>
      <c r="DZ537" s="83"/>
      <c r="EJ537" s="83"/>
      <c r="ET537" s="83"/>
      <c r="FD537" s="83"/>
      <c r="FN537" s="83"/>
      <c r="FX537" s="83"/>
      <c r="GH537" s="83"/>
      <c r="GR537" s="83"/>
      <c r="HB537" s="83"/>
      <c r="HL537" s="83"/>
      <c r="HV537" s="83"/>
      <c r="IF537" s="83"/>
      <c r="IP537" s="83"/>
      <c r="IZ537" s="83"/>
      <c r="JJ537" s="83"/>
      <c r="JT537" s="83"/>
      <c r="KD537" s="83"/>
      <c r="KN537" s="83"/>
      <c r="KX537" s="83"/>
      <c r="LH537" s="83"/>
      <c r="LR537" s="83"/>
      <c r="MB537" s="83"/>
      <c r="ML537" s="83"/>
      <c r="MV537" s="83"/>
      <c r="NF537" s="83"/>
      <c r="NP537" s="83"/>
      <c r="NZ537" s="83"/>
      <c r="OJ537" s="83"/>
      <c r="OT537" s="83"/>
      <c r="PD537" s="83"/>
      <c r="PN537" s="83"/>
      <c r="PX537" s="83"/>
      <c r="QH537" s="83"/>
      <c r="QR537" s="83"/>
      <c r="RB537" s="83"/>
      <c r="RL537" s="83"/>
      <c r="RV537" s="83"/>
      <c r="SF537" s="83"/>
      <c r="SP537" s="83"/>
      <c r="SZ537" s="83"/>
      <c r="TJ537" s="83"/>
      <c r="TT537" s="83"/>
      <c r="UD537" s="83"/>
      <c r="UN537" s="83"/>
      <c r="UX537" s="83"/>
      <c r="VH537" s="83"/>
      <c r="VR537" s="83"/>
      <c r="WB537" s="83"/>
      <c r="WL537" s="83"/>
      <c r="WV537" s="83"/>
      <c r="XF537" s="83"/>
      <c r="XP537" s="83"/>
      <c r="XZ537" s="83"/>
      <c r="YJ537" s="83"/>
      <c r="YT537" s="83"/>
      <c r="ZD537" s="83"/>
      <c r="ZN537" s="83"/>
      <c r="ZX537" s="83"/>
      <c r="AAH537" s="83"/>
      <c r="AAR537" s="83"/>
      <c r="ABB537" s="83"/>
      <c r="ABL537" s="83"/>
      <c r="ABV537" s="83"/>
      <c r="ACF537" s="83"/>
      <c r="ACP537" s="83"/>
      <c r="ACZ537" s="83"/>
      <c r="ADJ537" s="83"/>
      <c r="ADT537" s="83"/>
      <c r="AED537" s="83"/>
      <c r="AEN537" s="83"/>
      <c r="AEX537" s="83"/>
      <c r="AFH537" s="83"/>
      <c r="AFR537" s="83"/>
      <c r="AGB537" s="83"/>
      <c r="AGL537" s="83"/>
      <c r="AGV537" s="83"/>
      <c r="AHF537" s="83"/>
      <c r="AHP537" s="83"/>
      <c r="AHZ537" s="83"/>
      <c r="AIJ537" s="83"/>
      <c r="AIT537" s="83"/>
      <c r="AJD537" s="83"/>
      <c r="AJN537" s="83"/>
      <c r="AJX537" s="83"/>
      <c r="AKH537" s="83"/>
      <c r="AKR537" s="83"/>
      <c r="ALB537" s="83"/>
      <c r="ALL537" s="83"/>
      <c r="ALV537" s="83"/>
      <c r="AMF537" s="83"/>
      <c r="AMP537" s="83"/>
      <c r="AMZ537" s="83"/>
      <c r="ANJ537" s="83"/>
      <c r="ANT537" s="83"/>
      <c r="AOD537" s="83"/>
      <c r="AON537" s="83"/>
      <c r="AOX537" s="83"/>
      <c r="APH537" s="83"/>
      <c r="APR537" s="83"/>
      <c r="AQB537" s="83"/>
      <c r="AQL537" s="83"/>
      <c r="AQV537" s="83"/>
      <c r="ARF537" s="83"/>
      <c r="ARP537" s="83"/>
      <c r="ARZ537" s="83"/>
      <c r="ASJ537" s="83"/>
      <c r="AST537" s="83"/>
      <c r="ATD537" s="83"/>
      <c r="ATN537" s="83"/>
      <c r="ATX537" s="83"/>
      <c r="AUH537" s="83"/>
      <c r="AUR537" s="83"/>
      <c r="AVB537" s="83"/>
      <c r="AVL537" s="83"/>
      <c r="AVV537" s="83"/>
      <c r="AWF537" s="83"/>
      <c r="AWP537" s="83"/>
      <c r="AWZ537" s="83"/>
      <c r="AXJ537" s="83"/>
      <c r="AXT537" s="83"/>
      <c r="AYD537" s="83"/>
      <c r="AYN537" s="83"/>
      <c r="AYX537" s="83"/>
      <c r="AZH537" s="83"/>
      <c r="AZR537" s="83"/>
      <c r="BAB537" s="83"/>
      <c r="BAL537" s="83"/>
      <c r="BAV537" s="83"/>
      <c r="BBF537" s="83"/>
      <c r="BBP537" s="83"/>
      <c r="BBZ537" s="83"/>
      <c r="BCJ537" s="83"/>
      <c r="BCT537" s="83"/>
      <c r="BDD537" s="83"/>
      <c r="BDN537" s="83"/>
      <c r="BDX537" s="83"/>
      <c r="BEH537" s="83"/>
      <c r="BER537" s="83"/>
      <c r="BFB537" s="83"/>
      <c r="BFL537" s="83"/>
      <c r="BFV537" s="83"/>
      <c r="BGF537" s="83"/>
      <c r="BGP537" s="83"/>
      <c r="BGZ537" s="83"/>
      <c r="BHJ537" s="83"/>
      <c r="BHT537" s="83"/>
      <c r="BID537" s="83"/>
      <c r="BIN537" s="83"/>
      <c r="BIX537" s="83"/>
      <c r="BJH537" s="83"/>
      <c r="BJR537" s="83"/>
      <c r="BKB537" s="83"/>
      <c r="BKL537" s="83"/>
      <c r="BKV537" s="83"/>
      <c r="BLF537" s="83"/>
      <c r="BLP537" s="83"/>
      <c r="BLZ537" s="83"/>
      <c r="BMJ537" s="83"/>
      <c r="BMT537" s="83"/>
      <c r="BND537" s="83"/>
      <c r="BNN537" s="83"/>
      <c r="BNX537" s="83"/>
      <c r="BOH537" s="83"/>
      <c r="BOR537" s="83"/>
      <c r="BPB537" s="83"/>
      <c r="BPL537" s="83"/>
      <c r="BPV537" s="83"/>
      <c r="BQF537" s="83"/>
      <c r="BQP537" s="83"/>
      <c r="BQZ537" s="83"/>
      <c r="BRJ537" s="83"/>
      <c r="BRT537" s="83"/>
      <c r="BSD537" s="83"/>
      <c r="BSN537" s="83"/>
      <c r="BSX537" s="83"/>
      <c r="BTH537" s="83"/>
      <c r="BTR537" s="83"/>
      <c r="BUB537" s="83"/>
      <c r="BUL537" s="83"/>
      <c r="BUV537" s="83"/>
      <c r="BVF537" s="83"/>
      <c r="BVP537" s="83"/>
      <c r="BVZ537" s="83"/>
      <c r="BWJ537" s="83"/>
      <c r="BWT537" s="83"/>
      <c r="BXD537" s="83"/>
      <c r="BXN537" s="83"/>
      <c r="BXX537" s="83"/>
      <c r="BYH537" s="83"/>
      <c r="BYR537" s="83"/>
      <c r="BZB537" s="83"/>
      <c r="BZL537" s="83"/>
      <c r="BZV537" s="83"/>
      <c r="CAF537" s="83"/>
      <c r="CAP537" s="83"/>
      <c r="CAZ537" s="83"/>
      <c r="CBJ537" s="83"/>
      <c r="CBT537" s="83"/>
      <c r="CCD537" s="83"/>
      <c r="CCN537" s="83"/>
      <c r="CCX537" s="83"/>
      <c r="CDH537" s="83"/>
      <c r="CDR537" s="83"/>
      <c r="CEB537" s="83"/>
      <c r="CEL537" s="83"/>
      <c r="CEV537" s="83"/>
      <c r="CFF537" s="83"/>
      <c r="CFP537" s="83"/>
      <c r="CFZ537" s="83"/>
      <c r="CGJ537" s="83"/>
      <c r="CGT537" s="83"/>
      <c r="CHD537" s="83"/>
      <c r="CHN537" s="83"/>
      <c r="CHX537" s="83"/>
      <c r="CIH537" s="83"/>
      <c r="CIR537" s="83"/>
      <c r="CJB537" s="83"/>
      <c r="CJL537" s="83"/>
      <c r="CJV537" s="83"/>
      <c r="CKF537" s="83"/>
      <c r="CKP537" s="83"/>
      <c r="CKZ537" s="83"/>
      <c r="CLJ537" s="83"/>
      <c r="CLT537" s="83"/>
      <c r="CMD537" s="83"/>
      <c r="CMN537" s="83"/>
      <c r="CMX537" s="83"/>
      <c r="CNH537" s="83"/>
      <c r="CNR537" s="83"/>
      <c r="COB537" s="83"/>
      <c r="COL537" s="83"/>
      <c r="COV537" s="83"/>
      <c r="CPF537" s="83"/>
      <c r="CPP537" s="83"/>
      <c r="CPZ537" s="83"/>
      <c r="CQJ537" s="83"/>
      <c r="CQT537" s="83"/>
      <c r="CRD537" s="83"/>
      <c r="CRN537" s="83"/>
      <c r="CRX537" s="83"/>
      <c r="CSH537" s="83"/>
      <c r="CSR537" s="83"/>
      <c r="CTB537" s="83"/>
      <c r="CTL537" s="83"/>
      <c r="CTV537" s="83"/>
    </row>
    <row r="538" s="58" customFormat="1" customHeight="1" spans="1:1020 1030:2040 2050:2570">
      <c r="A538" s="87"/>
      <c r="B538" s="94"/>
      <c r="C538" s="95"/>
      <c r="D538" s="75"/>
      <c r="E538" s="75"/>
      <c r="F538" s="76"/>
      <c r="G538" s="75"/>
      <c r="H538" s="76"/>
      <c r="I538" s="76"/>
      <c r="J538" s="75"/>
      <c r="K538" s="78"/>
      <c r="T538" s="83"/>
      <c r="AD538" s="83"/>
      <c r="AN538" s="83"/>
      <c r="AX538" s="83"/>
      <c r="BH538" s="83"/>
      <c r="BR538" s="83"/>
      <c r="CB538" s="83"/>
      <c r="CL538" s="83"/>
      <c r="CV538" s="83"/>
      <c r="DF538" s="83"/>
      <c r="DP538" s="83"/>
      <c r="DZ538" s="83"/>
      <c r="EJ538" s="83"/>
      <c r="ET538" s="83"/>
      <c r="FD538" s="83"/>
      <c r="FN538" s="83"/>
      <c r="FX538" s="83"/>
      <c r="GH538" s="83"/>
      <c r="GR538" s="83"/>
      <c r="HB538" s="83"/>
      <c r="HL538" s="83"/>
      <c r="HV538" s="83"/>
      <c r="IF538" s="83"/>
      <c r="IP538" s="83"/>
      <c r="IZ538" s="83"/>
      <c r="JJ538" s="83"/>
      <c r="JT538" s="83"/>
      <c r="KD538" s="83"/>
      <c r="KN538" s="83"/>
      <c r="KX538" s="83"/>
      <c r="LH538" s="83"/>
      <c r="LR538" s="83"/>
      <c r="MB538" s="83"/>
      <c r="ML538" s="83"/>
      <c r="MV538" s="83"/>
      <c r="NF538" s="83"/>
      <c r="NP538" s="83"/>
      <c r="NZ538" s="83"/>
      <c r="OJ538" s="83"/>
      <c r="OT538" s="83"/>
      <c r="PD538" s="83"/>
      <c r="PN538" s="83"/>
      <c r="PX538" s="83"/>
      <c r="QH538" s="83"/>
      <c r="QR538" s="83"/>
      <c r="RB538" s="83"/>
      <c r="RL538" s="83"/>
      <c r="RV538" s="83"/>
      <c r="SF538" s="83"/>
      <c r="SP538" s="83"/>
      <c r="SZ538" s="83"/>
      <c r="TJ538" s="83"/>
      <c r="TT538" s="83"/>
      <c r="UD538" s="83"/>
      <c r="UN538" s="83"/>
      <c r="UX538" s="83"/>
      <c r="VH538" s="83"/>
      <c r="VR538" s="83"/>
      <c r="WB538" s="83"/>
      <c r="WL538" s="83"/>
      <c r="WV538" s="83"/>
      <c r="XF538" s="83"/>
      <c r="XP538" s="83"/>
      <c r="XZ538" s="83"/>
      <c r="YJ538" s="83"/>
      <c r="YT538" s="83"/>
      <c r="ZD538" s="83"/>
      <c r="ZN538" s="83"/>
      <c r="ZX538" s="83"/>
      <c r="AAH538" s="83"/>
      <c r="AAR538" s="83"/>
      <c r="ABB538" s="83"/>
      <c r="ABL538" s="83"/>
      <c r="ABV538" s="83"/>
      <c r="ACF538" s="83"/>
      <c r="ACP538" s="83"/>
      <c r="ACZ538" s="83"/>
      <c r="ADJ538" s="83"/>
      <c r="ADT538" s="83"/>
      <c r="AED538" s="83"/>
      <c r="AEN538" s="83"/>
      <c r="AEX538" s="83"/>
      <c r="AFH538" s="83"/>
      <c r="AFR538" s="83"/>
      <c r="AGB538" s="83"/>
      <c r="AGL538" s="83"/>
      <c r="AGV538" s="83"/>
      <c r="AHF538" s="83"/>
      <c r="AHP538" s="83"/>
      <c r="AHZ538" s="83"/>
      <c r="AIJ538" s="83"/>
      <c r="AIT538" s="83"/>
      <c r="AJD538" s="83"/>
      <c r="AJN538" s="83"/>
      <c r="AJX538" s="83"/>
      <c r="AKH538" s="83"/>
      <c r="AKR538" s="83"/>
      <c r="ALB538" s="83"/>
      <c r="ALL538" s="83"/>
      <c r="ALV538" s="83"/>
      <c r="AMF538" s="83"/>
      <c r="AMP538" s="83"/>
      <c r="AMZ538" s="83"/>
      <c r="ANJ538" s="83"/>
      <c r="ANT538" s="83"/>
      <c r="AOD538" s="83"/>
      <c r="AON538" s="83"/>
      <c r="AOX538" s="83"/>
      <c r="APH538" s="83"/>
      <c r="APR538" s="83"/>
      <c r="AQB538" s="83"/>
      <c r="AQL538" s="83"/>
      <c r="AQV538" s="83"/>
      <c r="ARF538" s="83"/>
      <c r="ARP538" s="83"/>
      <c r="ARZ538" s="83"/>
      <c r="ASJ538" s="83"/>
      <c r="AST538" s="83"/>
      <c r="ATD538" s="83"/>
      <c r="ATN538" s="83"/>
      <c r="ATX538" s="83"/>
      <c r="AUH538" s="83"/>
      <c r="AUR538" s="83"/>
      <c r="AVB538" s="83"/>
      <c r="AVL538" s="83"/>
      <c r="AVV538" s="83"/>
      <c r="AWF538" s="83"/>
      <c r="AWP538" s="83"/>
      <c r="AWZ538" s="83"/>
      <c r="AXJ538" s="83"/>
      <c r="AXT538" s="83"/>
      <c r="AYD538" s="83"/>
      <c r="AYN538" s="83"/>
      <c r="AYX538" s="83"/>
      <c r="AZH538" s="83"/>
      <c r="AZR538" s="83"/>
      <c r="BAB538" s="83"/>
      <c r="BAL538" s="83"/>
      <c r="BAV538" s="83"/>
      <c r="BBF538" s="83"/>
      <c r="BBP538" s="83"/>
      <c r="BBZ538" s="83"/>
      <c r="BCJ538" s="83"/>
      <c r="BCT538" s="83"/>
      <c r="BDD538" s="83"/>
      <c r="BDN538" s="83"/>
      <c r="BDX538" s="83"/>
      <c r="BEH538" s="83"/>
      <c r="BER538" s="83"/>
      <c r="BFB538" s="83"/>
      <c r="BFL538" s="83"/>
      <c r="BFV538" s="83"/>
      <c r="BGF538" s="83"/>
      <c r="BGP538" s="83"/>
      <c r="BGZ538" s="83"/>
      <c r="BHJ538" s="83"/>
      <c r="BHT538" s="83"/>
      <c r="BID538" s="83"/>
      <c r="BIN538" s="83"/>
      <c r="BIX538" s="83"/>
      <c r="BJH538" s="83"/>
      <c r="BJR538" s="83"/>
      <c r="BKB538" s="83"/>
      <c r="BKL538" s="83"/>
      <c r="BKV538" s="83"/>
      <c r="BLF538" s="83"/>
      <c r="BLP538" s="83"/>
      <c r="BLZ538" s="83"/>
      <c r="BMJ538" s="83"/>
      <c r="BMT538" s="83"/>
      <c r="BND538" s="83"/>
      <c r="BNN538" s="83"/>
      <c r="BNX538" s="83"/>
      <c r="BOH538" s="83"/>
      <c r="BOR538" s="83"/>
      <c r="BPB538" s="83"/>
      <c r="BPL538" s="83"/>
      <c r="BPV538" s="83"/>
      <c r="BQF538" s="83"/>
      <c r="BQP538" s="83"/>
      <c r="BQZ538" s="83"/>
      <c r="BRJ538" s="83"/>
      <c r="BRT538" s="83"/>
      <c r="BSD538" s="83"/>
      <c r="BSN538" s="83"/>
      <c r="BSX538" s="83"/>
      <c r="BTH538" s="83"/>
      <c r="BTR538" s="83"/>
      <c r="BUB538" s="83"/>
      <c r="BUL538" s="83"/>
      <c r="BUV538" s="83"/>
      <c r="BVF538" s="83"/>
      <c r="BVP538" s="83"/>
      <c r="BVZ538" s="83"/>
      <c r="BWJ538" s="83"/>
      <c r="BWT538" s="83"/>
      <c r="BXD538" s="83"/>
      <c r="BXN538" s="83"/>
      <c r="BXX538" s="83"/>
      <c r="BYH538" s="83"/>
      <c r="BYR538" s="83"/>
      <c r="BZB538" s="83"/>
      <c r="BZL538" s="83"/>
      <c r="BZV538" s="83"/>
      <c r="CAF538" s="83"/>
      <c r="CAP538" s="83"/>
      <c r="CAZ538" s="83"/>
      <c r="CBJ538" s="83"/>
      <c r="CBT538" s="83"/>
      <c r="CCD538" s="83"/>
      <c r="CCN538" s="83"/>
      <c r="CCX538" s="83"/>
      <c r="CDH538" s="83"/>
      <c r="CDR538" s="83"/>
      <c r="CEB538" s="83"/>
      <c r="CEL538" s="83"/>
      <c r="CEV538" s="83"/>
      <c r="CFF538" s="83"/>
      <c r="CFP538" s="83"/>
      <c r="CFZ538" s="83"/>
      <c r="CGJ538" s="83"/>
      <c r="CGT538" s="83"/>
      <c r="CHD538" s="83"/>
      <c r="CHN538" s="83"/>
      <c r="CHX538" s="83"/>
      <c r="CIH538" s="83"/>
      <c r="CIR538" s="83"/>
      <c r="CJB538" s="83"/>
      <c r="CJL538" s="83"/>
      <c r="CJV538" s="83"/>
      <c r="CKF538" s="83"/>
      <c r="CKP538" s="83"/>
      <c r="CKZ538" s="83"/>
      <c r="CLJ538" s="83"/>
      <c r="CLT538" s="83"/>
      <c r="CMD538" s="83"/>
      <c r="CMN538" s="83"/>
      <c r="CMX538" s="83"/>
      <c r="CNH538" s="83"/>
      <c r="CNR538" s="83"/>
      <c r="COB538" s="83"/>
      <c r="COL538" s="83"/>
      <c r="COV538" s="83"/>
      <c r="CPF538" s="83"/>
      <c r="CPP538" s="83"/>
      <c r="CPZ538" s="83"/>
      <c r="CQJ538" s="83"/>
      <c r="CQT538" s="83"/>
      <c r="CRD538" s="83"/>
      <c r="CRN538" s="83"/>
      <c r="CRX538" s="83"/>
      <c r="CSH538" s="83"/>
      <c r="CSR538" s="83"/>
      <c r="CTB538" s="83"/>
      <c r="CTL538" s="83"/>
      <c r="CTV538" s="83"/>
    </row>
    <row r="539" s="58" customFormat="1" customHeight="1" spans="1:1020 1030:2040 2050:2570">
      <c r="A539" s="87"/>
      <c r="B539" s="94"/>
      <c r="C539" s="95"/>
      <c r="D539" s="75"/>
      <c r="E539" s="75"/>
      <c r="F539" s="76"/>
      <c r="G539" s="75"/>
      <c r="H539" s="76"/>
      <c r="I539" s="76"/>
      <c r="J539" s="75"/>
      <c r="K539" s="78"/>
      <c r="T539" s="83"/>
      <c r="AD539" s="83"/>
      <c r="AN539" s="83"/>
      <c r="AX539" s="83"/>
      <c r="BH539" s="83"/>
      <c r="BR539" s="83"/>
      <c r="CB539" s="83"/>
      <c r="CL539" s="83"/>
      <c r="CV539" s="83"/>
      <c r="DF539" s="83"/>
      <c r="DP539" s="83"/>
      <c r="DZ539" s="83"/>
      <c r="EJ539" s="83"/>
      <c r="ET539" s="83"/>
      <c r="FD539" s="83"/>
      <c r="FN539" s="83"/>
      <c r="FX539" s="83"/>
      <c r="GH539" s="83"/>
      <c r="GR539" s="83"/>
      <c r="HB539" s="83"/>
      <c r="HL539" s="83"/>
      <c r="HV539" s="83"/>
      <c r="IF539" s="83"/>
      <c r="IP539" s="83"/>
      <c r="IZ539" s="83"/>
      <c r="JJ539" s="83"/>
      <c r="JT539" s="83"/>
      <c r="KD539" s="83"/>
      <c r="KN539" s="83"/>
      <c r="KX539" s="83"/>
      <c r="LH539" s="83"/>
      <c r="LR539" s="83"/>
      <c r="MB539" s="83"/>
      <c r="ML539" s="83"/>
      <c r="MV539" s="83"/>
      <c r="NF539" s="83"/>
      <c r="NP539" s="83"/>
      <c r="NZ539" s="83"/>
      <c r="OJ539" s="83"/>
      <c r="OT539" s="83"/>
      <c r="PD539" s="83"/>
      <c r="PN539" s="83"/>
      <c r="PX539" s="83"/>
      <c r="QH539" s="83"/>
      <c r="QR539" s="83"/>
      <c r="RB539" s="83"/>
      <c r="RL539" s="83"/>
      <c r="RV539" s="83"/>
      <c r="SF539" s="83"/>
      <c r="SP539" s="83"/>
      <c r="SZ539" s="83"/>
      <c r="TJ539" s="83"/>
      <c r="TT539" s="83"/>
      <c r="UD539" s="83"/>
      <c r="UN539" s="83"/>
      <c r="UX539" s="83"/>
      <c r="VH539" s="83"/>
      <c r="VR539" s="83"/>
      <c r="WB539" s="83"/>
      <c r="WL539" s="83"/>
      <c r="WV539" s="83"/>
      <c r="XF539" s="83"/>
      <c r="XP539" s="83"/>
      <c r="XZ539" s="83"/>
      <c r="YJ539" s="83"/>
      <c r="YT539" s="83"/>
      <c r="ZD539" s="83"/>
      <c r="ZN539" s="83"/>
      <c r="ZX539" s="83"/>
      <c r="AAH539" s="83"/>
      <c r="AAR539" s="83"/>
      <c r="ABB539" s="83"/>
      <c r="ABL539" s="83"/>
      <c r="ABV539" s="83"/>
      <c r="ACF539" s="83"/>
      <c r="ACP539" s="83"/>
      <c r="ACZ539" s="83"/>
      <c r="ADJ539" s="83"/>
      <c r="ADT539" s="83"/>
      <c r="AED539" s="83"/>
      <c r="AEN539" s="83"/>
      <c r="AEX539" s="83"/>
      <c r="AFH539" s="83"/>
      <c r="AFR539" s="83"/>
      <c r="AGB539" s="83"/>
      <c r="AGL539" s="83"/>
      <c r="AGV539" s="83"/>
      <c r="AHF539" s="83"/>
      <c r="AHP539" s="83"/>
      <c r="AHZ539" s="83"/>
      <c r="AIJ539" s="83"/>
      <c r="AIT539" s="83"/>
      <c r="AJD539" s="83"/>
      <c r="AJN539" s="83"/>
      <c r="AJX539" s="83"/>
      <c r="AKH539" s="83"/>
      <c r="AKR539" s="83"/>
      <c r="ALB539" s="83"/>
      <c r="ALL539" s="83"/>
      <c r="ALV539" s="83"/>
      <c r="AMF539" s="83"/>
      <c r="AMP539" s="83"/>
      <c r="AMZ539" s="83"/>
      <c r="ANJ539" s="83"/>
      <c r="ANT539" s="83"/>
      <c r="AOD539" s="83"/>
      <c r="AON539" s="83"/>
      <c r="AOX539" s="83"/>
      <c r="APH539" s="83"/>
      <c r="APR539" s="83"/>
      <c r="AQB539" s="83"/>
      <c r="AQL539" s="83"/>
      <c r="AQV539" s="83"/>
      <c r="ARF539" s="83"/>
      <c r="ARP539" s="83"/>
      <c r="ARZ539" s="83"/>
      <c r="ASJ539" s="83"/>
      <c r="AST539" s="83"/>
      <c r="ATD539" s="83"/>
      <c r="ATN539" s="83"/>
      <c r="ATX539" s="83"/>
      <c r="AUH539" s="83"/>
      <c r="AUR539" s="83"/>
      <c r="AVB539" s="83"/>
      <c r="AVL539" s="83"/>
      <c r="AVV539" s="83"/>
      <c r="AWF539" s="83"/>
      <c r="AWP539" s="83"/>
      <c r="AWZ539" s="83"/>
      <c r="AXJ539" s="83"/>
      <c r="AXT539" s="83"/>
      <c r="AYD539" s="83"/>
      <c r="AYN539" s="83"/>
      <c r="AYX539" s="83"/>
      <c r="AZH539" s="83"/>
      <c r="AZR539" s="83"/>
      <c r="BAB539" s="83"/>
      <c r="BAL539" s="83"/>
      <c r="BAV539" s="83"/>
      <c r="BBF539" s="83"/>
      <c r="BBP539" s="83"/>
      <c r="BBZ539" s="83"/>
      <c r="BCJ539" s="83"/>
      <c r="BCT539" s="83"/>
      <c r="BDD539" s="83"/>
      <c r="BDN539" s="83"/>
      <c r="BDX539" s="83"/>
      <c r="BEH539" s="83"/>
      <c r="BER539" s="83"/>
      <c r="BFB539" s="83"/>
      <c r="BFL539" s="83"/>
      <c r="BFV539" s="83"/>
      <c r="BGF539" s="83"/>
      <c r="BGP539" s="83"/>
      <c r="BGZ539" s="83"/>
      <c r="BHJ539" s="83"/>
      <c r="BHT539" s="83"/>
      <c r="BID539" s="83"/>
      <c r="BIN539" s="83"/>
      <c r="BIX539" s="83"/>
      <c r="BJH539" s="83"/>
      <c r="BJR539" s="83"/>
      <c r="BKB539" s="83"/>
      <c r="BKL539" s="83"/>
      <c r="BKV539" s="83"/>
      <c r="BLF539" s="83"/>
      <c r="BLP539" s="83"/>
      <c r="BLZ539" s="83"/>
      <c r="BMJ539" s="83"/>
      <c r="BMT539" s="83"/>
      <c r="BND539" s="83"/>
      <c r="BNN539" s="83"/>
      <c r="BNX539" s="83"/>
      <c r="BOH539" s="83"/>
      <c r="BOR539" s="83"/>
      <c r="BPB539" s="83"/>
      <c r="BPL539" s="83"/>
      <c r="BPV539" s="83"/>
      <c r="BQF539" s="83"/>
      <c r="BQP539" s="83"/>
      <c r="BQZ539" s="83"/>
      <c r="BRJ539" s="83"/>
      <c r="BRT539" s="83"/>
      <c r="BSD539" s="83"/>
      <c r="BSN539" s="83"/>
      <c r="BSX539" s="83"/>
      <c r="BTH539" s="83"/>
      <c r="BTR539" s="83"/>
      <c r="BUB539" s="83"/>
      <c r="BUL539" s="83"/>
      <c r="BUV539" s="83"/>
      <c r="BVF539" s="83"/>
      <c r="BVP539" s="83"/>
      <c r="BVZ539" s="83"/>
      <c r="BWJ539" s="83"/>
      <c r="BWT539" s="83"/>
      <c r="BXD539" s="83"/>
      <c r="BXN539" s="83"/>
      <c r="BXX539" s="83"/>
      <c r="BYH539" s="83"/>
      <c r="BYR539" s="83"/>
      <c r="BZB539" s="83"/>
      <c r="BZL539" s="83"/>
      <c r="BZV539" s="83"/>
      <c r="CAF539" s="83"/>
      <c r="CAP539" s="83"/>
      <c r="CAZ539" s="83"/>
      <c r="CBJ539" s="83"/>
      <c r="CBT539" s="83"/>
      <c r="CCD539" s="83"/>
      <c r="CCN539" s="83"/>
      <c r="CCX539" s="83"/>
      <c r="CDH539" s="83"/>
      <c r="CDR539" s="83"/>
      <c r="CEB539" s="83"/>
      <c r="CEL539" s="83"/>
      <c r="CEV539" s="83"/>
      <c r="CFF539" s="83"/>
      <c r="CFP539" s="83"/>
      <c r="CFZ539" s="83"/>
      <c r="CGJ539" s="83"/>
      <c r="CGT539" s="83"/>
      <c r="CHD539" s="83"/>
      <c r="CHN539" s="83"/>
      <c r="CHX539" s="83"/>
      <c r="CIH539" s="83"/>
      <c r="CIR539" s="83"/>
      <c r="CJB539" s="83"/>
      <c r="CJL539" s="83"/>
      <c r="CJV539" s="83"/>
      <c r="CKF539" s="83"/>
      <c r="CKP539" s="83"/>
      <c r="CKZ539" s="83"/>
      <c r="CLJ539" s="83"/>
      <c r="CLT539" s="83"/>
      <c r="CMD539" s="83"/>
      <c r="CMN539" s="83"/>
      <c r="CMX539" s="83"/>
      <c r="CNH539" s="83"/>
      <c r="CNR539" s="83"/>
      <c r="COB539" s="83"/>
      <c r="COL539" s="83"/>
      <c r="COV539" s="83"/>
      <c r="CPF539" s="83"/>
      <c r="CPP539" s="83"/>
      <c r="CPZ539" s="83"/>
      <c r="CQJ539" s="83"/>
      <c r="CQT539" s="83"/>
      <c r="CRD539" s="83"/>
      <c r="CRN539" s="83"/>
      <c r="CRX539" s="83"/>
      <c r="CSH539" s="83"/>
      <c r="CSR539" s="83"/>
      <c r="CTB539" s="83"/>
      <c r="CTL539" s="83"/>
      <c r="CTV539" s="83"/>
    </row>
    <row r="540" s="58" customFormat="1" customHeight="1" spans="1:1020 1030:2040 2050:2570">
      <c r="A540" s="87"/>
      <c r="B540" s="94"/>
      <c r="C540" s="95"/>
      <c r="D540" s="75"/>
      <c r="E540" s="75"/>
      <c r="F540" s="76"/>
      <c r="G540" s="75"/>
      <c r="H540" s="76"/>
      <c r="I540" s="76"/>
      <c r="J540" s="75"/>
      <c r="K540" s="78"/>
      <c r="T540" s="83"/>
      <c r="AD540" s="83"/>
      <c r="AN540" s="83"/>
      <c r="AX540" s="83"/>
      <c r="BH540" s="83"/>
      <c r="BR540" s="83"/>
      <c r="CB540" s="83"/>
      <c r="CL540" s="83"/>
      <c r="CV540" s="83"/>
      <c r="DF540" s="83"/>
      <c r="DP540" s="83"/>
      <c r="DZ540" s="83"/>
      <c r="EJ540" s="83"/>
      <c r="ET540" s="83"/>
      <c r="FD540" s="83"/>
      <c r="FN540" s="83"/>
      <c r="FX540" s="83"/>
      <c r="GH540" s="83"/>
      <c r="GR540" s="83"/>
      <c r="HB540" s="83"/>
      <c r="HL540" s="83"/>
      <c r="HV540" s="83"/>
      <c r="IF540" s="83"/>
      <c r="IP540" s="83"/>
      <c r="IZ540" s="83"/>
      <c r="JJ540" s="83"/>
      <c r="JT540" s="83"/>
      <c r="KD540" s="83"/>
      <c r="KN540" s="83"/>
      <c r="KX540" s="83"/>
      <c r="LH540" s="83"/>
      <c r="LR540" s="83"/>
      <c r="MB540" s="83"/>
      <c r="ML540" s="83"/>
      <c r="MV540" s="83"/>
      <c r="NF540" s="83"/>
      <c r="NP540" s="83"/>
      <c r="NZ540" s="83"/>
      <c r="OJ540" s="83"/>
      <c r="OT540" s="83"/>
      <c r="PD540" s="83"/>
      <c r="PN540" s="83"/>
      <c r="PX540" s="83"/>
      <c r="QH540" s="83"/>
      <c r="QR540" s="83"/>
      <c r="RB540" s="83"/>
      <c r="RL540" s="83"/>
      <c r="RV540" s="83"/>
      <c r="SF540" s="83"/>
      <c r="SP540" s="83"/>
      <c r="SZ540" s="83"/>
      <c r="TJ540" s="83"/>
      <c r="TT540" s="83"/>
      <c r="UD540" s="83"/>
      <c r="UN540" s="83"/>
      <c r="UX540" s="83"/>
      <c r="VH540" s="83"/>
      <c r="VR540" s="83"/>
      <c r="WB540" s="83"/>
      <c r="WL540" s="83"/>
      <c r="WV540" s="83"/>
      <c r="XF540" s="83"/>
      <c r="XP540" s="83"/>
      <c r="XZ540" s="83"/>
      <c r="YJ540" s="83"/>
      <c r="YT540" s="83"/>
      <c r="ZD540" s="83"/>
      <c r="ZN540" s="83"/>
      <c r="ZX540" s="83"/>
      <c r="AAH540" s="83"/>
      <c r="AAR540" s="83"/>
      <c r="ABB540" s="83"/>
      <c r="ABL540" s="83"/>
      <c r="ABV540" s="83"/>
      <c r="ACF540" s="83"/>
      <c r="ACP540" s="83"/>
      <c r="ACZ540" s="83"/>
      <c r="ADJ540" s="83"/>
      <c r="ADT540" s="83"/>
      <c r="AED540" s="83"/>
      <c r="AEN540" s="83"/>
      <c r="AEX540" s="83"/>
      <c r="AFH540" s="83"/>
      <c r="AFR540" s="83"/>
      <c r="AGB540" s="83"/>
      <c r="AGL540" s="83"/>
      <c r="AGV540" s="83"/>
      <c r="AHF540" s="83"/>
      <c r="AHP540" s="83"/>
      <c r="AHZ540" s="83"/>
      <c r="AIJ540" s="83"/>
      <c r="AIT540" s="83"/>
      <c r="AJD540" s="83"/>
      <c r="AJN540" s="83"/>
      <c r="AJX540" s="83"/>
      <c r="AKH540" s="83"/>
      <c r="AKR540" s="83"/>
      <c r="ALB540" s="83"/>
      <c r="ALL540" s="83"/>
      <c r="ALV540" s="83"/>
      <c r="AMF540" s="83"/>
      <c r="AMP540" s="83"/>
      <c r="AMZ540" s="83"/>
      <c r="ANJ540" s="83"/>
      <c r="ANT540" s="83"/>
      <c r="AOD540" s="83"/>
      <c r="AON540" s="83"/>
      <c r="AOX540" s="83"/>
      <c r="APH540" s="83"/>
      <c r="APR540" s="83"/>
      <c r="AQB540" s="83"/>
      <c r="AQL540" s="83"/>
      <c r="AQV540" s="83"/>
      <c r="ARF540" s="83"/>
      <c r="ARP540" s="83"/>
      <c r="ARZ540" s="83"/>
      <c r="ASJ540" s="83"/>
      <c r="AST540" s="83"/>
      <c r="ATD540" s="83"/>
      <c r="ATN540" s="83"/>
      <c r="ATX540" s="83"/>
      <c r="AUH540" s="83"/>
      <c r="AUR540" s="83"/>
      <c r="AVB540" s="83"/>
      <c r="AVL540" s="83"/>
      <c r="AVV540" s="83"/>
      <c r="AWF540" s="83"/>
      <c r="AWP540" s="83"/>
      <c r="AWZ540" s="83"/>
      <c r="AXJ540" s="83"/>
      <c r="AXT540" s="83"/>
      <c r="AYD540" s="83"/>
      <c r="AYN540" s="83"/>
      <c r="AYX540" s="83"/>
      <c r="AZH540" s="83"/>
      <c r="AZR540" s="83"/>
      <c r="BAB540" s="83"/>
      <c r="BAL540" s="83"/>
      <c r="BAV540" s="83"/>
      <c r="BBF540" s="83"/>
      <c r="BBP540" s="83"/>
      <c r="BBZ540" s="83"/>
      <c r="BCJ540" s="83"/>
      <c r="BCT540" s="83"/>
      <c r="BDD540" s="83"/>
      <c r="BDN540" s="83"/>
      <c r="BDX540" s="83"/>
      <c r="BEH540" s="83"/>
      <c r="BER540" s="83"/>
      <c r="BFB540" s="83"/>
      <c r="BFL540" s="83"/>
      <c r="BFV540" s="83"/>
      <c r="BGF540" s="83"/>
      <c r="BGP540" s="83"/>
      <c r="BGZ540" s="83"/>
      <c r="BHJ540" s="83"/>
      <c r="BHT540" s="83"/>
      <c r="BID540" s="83"/>
      <c r="BIN540" s="83"/>
      <c r="BIX540" s="83"/>
      <c r="BJH540" s="83"/>
      <c r="BJR540" s="83"/>
      <c r="BKB540" s="83"/>
      <c r="BKL540" s="83"/>
      <c r="BKV540" s="83"/>
      <c r="BLF540" s="83"/>
      <c r="BLP540" s="83"/>
      <c r="BLZ540" s="83"/>
      <c r="BMJ540" s="83"/>
      <c r="BMT540" s="83"/>
      <c r="BND540" s="83"/>
      <c r="BNN540" s="83"/>
      <c r="BNX540" s="83"/>
      <c r="BOH540" s="83"/>
      <c r="BOR540" s="83"/>
      <c r="BPB540" s="83"/>
      <c r="BPL540" s="83"/>
      <c r="BPV540" s="83"/>
      <c r="BQF540" s="83"/>
      <c r="BQP540" s="83"/>
      <c r="BQZ540" s="83"/>
      <c r="BRJ540" s="83"/>
      <c r="BRT540" s="83"/>
      <c r="BSD540" s="83"/>
      <c r="BSN540" s="83"/>
      <c r="BSX540" s="83"/>
      <c r="BTH540" s="83"/>
      <c r="BTR540" s="83"/>
      <c r="BUB540" s="83"/>
      <c r="BUL540" s="83"/>
      <c r="BUV540" s="83"/>
      <c r="BVF540" s="83"/>
      <c r="BVP540" s="83"/>
      <c r="BVZ540" s="83"/>
      <c r="BWJ540" s="83"/>
      <c r="BWT540" s="83"/>
      <c r="BXD540" s="83"/>
      <c r="BXN540" s="83"/>
      <c r="BXX540" s="83"/>
      <c r="BYH540" s="83"/>
      <c r="BYR540" s="83"/>
      <c r="BZB540" s="83"/>
      <c r="BZL540" s="83"/>
      <c r="BZV540" s="83"/>
      <c r="CAF540" s="83"/>
      <c r="CAP540" s="83"/>
      <c r="CAZ540" s="83"/>
      <c r="CBJ540" s="83"/>
      <c r="CBT540" s="83"/>
      <c r="CCD540" s="83"/>
      <c r="CCN540" s="83"/>
      <c r="CCX540" s="83"/>
      <c r="CDH540" s="83"/>
      <c r="CDR540" s="83"/>
      <c r="CEB540" s="83"/>
      <c r="CEL540" s="83"/>
      <c r="CEV540" s="83"/>
      <c r="CFF540" s="83"/>
      <c r="CFP540" s="83"/>
      <c r="CFZ540" s="83"/>
      <c r="CGJ540" s="83"/>
      <c r="CGT540" s="83"/>
      <c r="CHD540" s="83"/>
      <c r="CHN540" s="83"/>
      <c r="CHX540" s="83"/>
      <c r="CIH540" s="83"/>
      <c r="CIR540" s="83"/>
      <c r="CJB540" s="83"/>
      <c r="CJL540" s="83"/>
      <c r="CJV540" s="83"/>
      <c r="CKF540" s="83"/>
      <c r="CKP540" s="83"/>
      <c r="CKZ540" s="83"/>
      <c r="CLJ540" s="83"/>
      <c r="CLT540" s="83"/>
      <c r="CMD540" s="83"/>
      <c r="CMN540" s="83"/>
      <c r="CMX540" s="83"/>
      <c r="CNH540" s="83"/>
      <c r="CNR540" s="83"/>
      <c r="COB540" s="83"/>
      <c r="COL540" s="83"/>
      <c r="COV540" s="83"/>
      <c r="CPF540" s="83"/>
      <c r="CPP540" s="83"/>
      <c r="CPZ540" s="83"/>
      <c r="CQJ540" s="83"/>
      <c r="CQT540" s="83"/>
      <c r="CRD540" s="83"/>
      <c r="CRN540" s="83"/>
      <c r="CRX540" s="83"/>
      <c r="CSH540" s="83"/>
      <c r="CSR540" s="83"/>
      <c r="CTB540" s="83"/>
      <c r="CTL540" s="83"/>
      <c r="CTV540" s="83"/>
    </row>
    <row r="541" s="58" customFormat="1" customHeight="1" spans="1:1020 1030:2040 2050:2570">
      <c r="A541" s="87"/>
      <c r="B541" s="94"/>
      <c r="C541" s="95"/>
      <c r="D541" s="75"/>
      <c r="E541" s="75"/>
      <c r="F541" s="76"/>
      <c r="G541" s="75"/>
      <c r="H541" s="76"/>
      <c r="I541" s="76"/>
      <c r="J541" s="75"/>
      <c r="K541" s="78"/>
      <c r="T541" s="83"/>
      <c r="AD541" s="83"/>
      <c r="AN541" s="83"/>
      <c r="AX541" s="83"/>
      <c r="BH541" s="83"/>
      <c r="BR541" s="83"/>
      <c r="CB541" s="83"/>
      <c r="CL541" s="83"/>
      <c r="CV541" s="83"/>
      <c r="DF541" s="83"/>
      <c r="DP541" s="83"/>
      <c r="DZ541" s="83"/>
      <c r="EJ541" s="83"/>
      <c r="ET541" s="83"/>
      <c r="FD541" s="83"/>
      <c r="FN541" s="83"/>
      <c r="FX541" s="83"/>
      <c r="GH541" s="83"/>
      <c r="GR541" s="83"/>
      <c r="HB541" s="83"/>
      <c r="HL541" s="83"/>
      <c r="HV541" s="83"/>
      <c r="IF541" s="83"/>
      <c r="IP541" s="83"/>
      <c r="IZ541" s="83"/>
      <c r="JJ541" s="83"/>
      <c r="JT541" s="83"/>
      <c r="KD541" s="83"/>
      <c r="KN541" s="83"/>
      <c r="KX541" s="83"/>
      <c r="LH541" s="83"/>
      <c r="LR541" s="83"/>
      <c r="MB541" s="83"/>
      <c r="ML541" s="83"/>
      <c r="MV541" s="83"/>
      <c r="NF541" s="83"/>
      <c r="NP541" s="83"/>
      <c r="NZ541" s="83"/>
      <c r="OJ541" s="83"/>
      <c r="OT541" s="83"/>
      <c r="PD541" s="83"/>
      <c r="PN541" s="83"/>
      <c r="PX541" s="83"/>
      <c r="QH541" s="83"/>
      <c r="QR541" s="83"/>
      <c r="RB541" s="83"/>
      <c r="RL541" s="83"/>
      <c r="RV541" s="83"/>
      <c r="SF541" s="83"/>
      <c r="SP541" s="83"/>
      <c r="SZ541" s="83"/>
      <c r="TJ541" s="83"/>
      <c r="TT541" s="83"/>
      <c r="UD541" s="83"/>
      <c r="UN541" s="83"/>
      <c r="UX541" s="83"/>
      <c r="VH541" s="83"/>
      <c r="VR541" s="83"/>
      <c r="WB541" s="83"/>
      <c r="WL541" s="83"/>
      <c r="WV541" s="83"/>
      <c r="XF541" s="83"/>
      <c r="XP541" s="83"/>
      <c r="XZ541" s="83"/>
      <c r="YJ541" s="83"/>
      <c r="YT541" s="83"/>
      <c r="ZD541" s="83"/>
      <c r="ZN541" s="83"/>
      <c r="ZX541" s="83"/>
      <c r="AAH541" s="83"/>
      <c r="AAR541" s="83"/>
      <c r="ABB541" s="83"/>
      <c r="ABL541" s="83"/>
      <c r="ABV541" s="83"/>
      <c r="ACF541" s="83"/>
      <c r="ACP541" s="83"/>
      <c r="ACZ541" s="83"/>
      <c r="ADJ541" s="83"/>
      <c r="ADT541" s="83"/>
      <c r="AED541" s="83"/>
      <c r="AEN541" s="83"/>
      <c r="AEX541" s="83"/>
      <c r="AFH541" s="83"/>
      <c r="AFR541" s="83"/>
      <c r="AGB541" s="83"/>
      <c r="AGL541" s="83"/>
      <c r="AGV541" s="83"/>
      <c r="AHF541" s="83"/>
      <c r="AHP541" s="83"/>
      <c r="AHZ541" s="83"/>
      <c r="AIJ541" s="83"/>
      <c r="AIT541" s="83"/>
      <c r="AJD541" s="83"/>
      <c r="AJN541" s="83"/>
      <c r="AJX541" s="83"/>
      <c r="AKH541" s="83"/>
      <c r="AKR541" s="83"/>
      <c r="ALB541" s="83"/>
      <c r="ALL541" s="83"/>
      <c r="ALV541" s="83"/>
      <c r="AMF541" s="83"/>
      <c r="AMP541" s="83"/>
      <c r="AMZ541" s="83"/>
      <c r="ANJ541" s="83"/>
      <c r="ANT541" s="83"/>
      <c r="AOD541" s="83"/>
      <c r="AON541" s="83"/>
      <c r="AOX541" s="83"/>
      <c r="APH541" s="83"/>
      <c r="APR541" s="83"/>
      <c r="AQB541" s="83"/>
      <c r="AQL541" s="83"/>
      <c r="AQV541" s="83"/>
      <c r="ARF541" s="83"/>
      <c r="ARP541" s="83"/>
      <c r="ARZ541" s="83"/>
      <c r="ASJ541" s="83"/>
      <c r="AST541" s="83"/>
      <c r="ATD541" s="83"/>
      <c r="ATN541" s="83"/>
      <c r="ATX541" s="83"/>
      <c r="AUH541" s="83"/>
      <c r="AUR541" s="83"/>
      <c r="AVB541" s="83"/>
      <c r="AVL541" s="83"/>
      <c r="AVV541" s="83"/>
      <c r="AWF541" s="83"/>
      <c r="AWP541" s="83"/>
      <c r="AWZ541" s="83"/>
      <c r="AXJ541" s="83"/>
      <c r="AXT541" s="83"/>
      <c r="AYD541" s="83"/>
      <c r="AYN541" s="83"/>
      <c r="AYX541" s="83"/>
      <c r="AZH541" s="83"/>
      <c r="AZR541" s="83"/>
      <c r="BAB541" s="83"/>
      <c r="BAL541" s="83"/>
      <c r="BAV541" s="83"/>
      <c r="BBF541" s="83"/>
      <c r="BBP541" s="83"/>
      <c r="BBZ541" s="83"/>
      <c r="BCJ541" s="83"/>
      <c r="BCT541" s="83"/>
      <c r="BDD541" s="83"/>
      <c r="BDN541" s="83"/>
      <c r="BDX541" s="83"/>
      <c r="BEH541" s="83"/>
      <c r="BER541" s="83"/>
      <c r="BFB541" s="83"/>
      <c r="BFL541" s="83"/>
      <c r="BFV541" s="83"/>
      <c r="BGF541" s="83"/>
      <c r="BGP541" s="83"/>
      <c r="BGZ541" s="83"/>
      <c r="BHJ541" s="83"/>
      <c r="BHT541" s="83"/>
      <c r="BID541" s="83"/>
      <c r="BIN541" s="83"/>
      <c r="BIX541" s="83"/>
      <c r="BJH541" s="83"/>
      <c r="BJR541" s="83"/>
      <c r="BKB541" s="83"/>
      <c r="BKL541" s="83"/>
      <c r="BKV541" s="83"/>
      <c r="BLF541" s="83"/>
      <c r="BLP541" s="83"/>
      <c r="BLZ541" s="83"/>
      <c r="BMJ541" s="83"/>
      <c r="BMT541" s="83"/>
      <c r="BND541" s="83"/>
      <c r="BNN541" s="83"/>
      <c r="BNX541" s="83"/>
      <c r="BOH541" s="83"/>
      <c r="BOR541" s="83"/>
      <c r="BPB541" s="83"/>
      <c r="BPL541" s="83"/>
      <c r="BPV541" s="83"/>
      <c r="BQF541" s="83"/>
      <c r="BQP541" s="83"/>
      <c r="BQZ541" s="83"/>
      <c r="BRJ541" s="83"/>
      <c r="BRT541" s="83"/>
      <c r="BSD541" s="83"/>
      <c r="BSN541" s="83"/>
      <c r="BSX541" s="83"/>
      <c r="BTH541" s="83"/>
      <c r="BTR541" s="83"/>
      <c r="BUB541" s="83"/>
      <c r="BUL541" s="83"/>
      <c r="BUV541" s="83"/>
      <c r="BVF541" s="83"/>
      <c r="BVP541" s="83"/>
      <c r="BVZ541" s="83"/>
      <c r="BWJ541" s="83"/>
      <c r="BWT541" s="83"/>
      <c r="BXD541" s="83"/>
      <c r="BXN541" s="83"/>
      <c r="BXX541" s="83"/>
      <c r="BYH541" s="83"/>
      <c r="BYR541" s="83"/>
      <c r="BZB541" s="83"/>
      <c r="BZL541" s="83"/>
      <c r="BZV541" s="83"/>
      <c r="CAF541" s="83"/>
      <c r="CAP541" s="83"/>
      <c r="CAZ541" s="83"/>
      <c r="CBJ541" s="83"/>
      <c r="CBT541" s="83"/>
      <c r="CCD541" s="83"/>
      <c r="CCN541" s="83"/>
      <c r="CCX541" s="83"/>
      <c r="CDH541" s="83"/>
      <c r="CDR541" s="83"/>
      <c r="CEB541" s="83"/>
      <c r="CEL541" s="83"/>
      <c r="CEV541" s="83"/>
      <c r="CFF541" s="83"/>
      <c r="CFP541" s="83"/>
      <c r="CFZ541" s="83"/>
      <c r="CGJ541" s="83"/>
      <c r="CGT541" s="83"/>
      <c r="CHD541" s="83"/>
      <c r="CHN541" s="83"/>
      <c r="CHX541" s="83"/>
      <c r="CIH541" s="83"/>
      <c r="CIR541" s="83"/>
      <c r="CJB541" s="83"/>
      <c r="CJL541" s="83"/>
      <c r="CJV541" s="83"/>
      <c r="CKF541" s="83"/>
      <c r="CKP541" s="83"/>
      <c r="CKZ541" s="83"/>
      <c r="CLJ541" s="83"/>
      <c r="CLT541" s="83"/>
      <c r="CMD541" s="83"/>
      <c r="CMN541" s="83"/>
      <c r="CMX541" s="83"/>
      <c r="CNH541" s="83"/>
      <c r="CNR541" s="83"/>
      <c r="COB541" s="83"/>
      <c r="COL541" s="83"/>
      <c r="COV541" s="83"/>
      <c r="CPF541" s="83"/>
      <c r="CPP541" s="83"/>
      <c r="CPZ541" s="83"/>
      <c r="CQJ541" s="83"/>
      <c r="CQT541" s="83"/>
      <c r="CRD541" s="83"/>
      <c r="CRN541" s="83"/>
      <c r="CRX541" s="83"/>
      <c r="CSH541" s="83"/>
      <c r="CSR541" s="83"/>
      <c r="CTB541" s="83"/>
      <c r="CTL541" s="83"/>
      <c r="CTV541" s="83"/>
    </row>
    <row r="542" s="58" customFormat="1" customHeight="1" spans="1:1020 1030:2040 2050:2570">
      <c r="A542" s="87"/>
      <c r="B542" s="94"/>
      <c r="C542" s="95"/>
      <c r="D542" s="75"/>
      <c r="E542" s="75"/>
      <c r="F542" s="76"/>
      <c r="G542" s="75"/>
      <c r="H542" s="76"/>
      <c r="I542" s="76"/>
      <c r="J542" s="75"/>
      <c r="K542" s="78"/>
      <c r="T542" s="83"/>
      <c r="AD542" s="83"/>
      <c r="AN542" s="83"/>
      <c r="AX542" s="83"/>
      <c r="BH542" s="83"/>
      <c r="BR542" s="83"/>
      <c r="CB542" s="83"/>
      <c r="CL542" s="83"/>
      <c r="CV542" s="83"/>
      <c r="DF542" s="83"/>
      <c r="DP542" s="83"/>
      <c r="DZ542" s="83"/>
      <c r="EJ542" s="83"/>
      <c r="ET542" s="83"/>
      <c r="FD542" s="83"/>
      <c r="FN542" s="83"/>
      <c r="FX542" s="83"/>
      <c r="GH542" s="83"/>
      <c r="GR542" s="83"/>
      <c r="HB542" s="83"/>
      <c r="HL542" s="83"/>
      <c r="HV542" s="83"/>
      <c r="IF542" s="83"/>
      <c r="IP542" s="83"/>
      <c r="IZ542" s="83"/>
      <c r="JJ542" s="83"/>
      <c r="JT542" s="83"/>
      <c r="KD542" s="83"/>
      <c r="KN542" s="83"/>
      <c r="KX542" s="83"/>
      <c r="LH542" s="83"/>
      <c r="LR542" s="83"/>
      <c r="MB542" s="83"/>
      <c r="ML542" s="83"/>
      <c r="MV542" s="83"/>
      <c r="NF542" s="83"/>
      <c r="NP542" s="83"/>
      <c r="NZ542" s="83"/>
      <c r="OJ542" s="83"/>
      <c r="OT542" s="83"/>
      <c r="PD542" s="83"/>
      <c r="PN542" s="83"/>
      <c r="PX542" s="83"/>
      <c r="QH542" s="83"/>
      <c r="QR542" s="83"/>
      <c r="RB542" s="83"/>
      <c r="RL542" s="83"/>
      <c r="RV542" s="83"/>
      <c r="SF542" s="83"/>
      <c r="SP542" s="83"/>
      <c r="SZ542" s="83"/>
      <c r="TJ542" s="83"/>
      <c r="TT542" s="83"/>
      <c r="UD542" s="83"/>
      <c r="UN542" s="83"/>
      <c r="UX542" s="83"/>
      <c r="VH542" s="83"/>
      <c r="VR542" s="83"/>
      <c r="WB542" s="83"/>
      <c r="WL542" s="83"/>
      <c r="WV542" s="83"/>
      <c r="XF542" s="83"/>
      <c r="XP542" s="83"/>
      <c r="XZ542" s="83"/>
      <c r="YJ542" s="83"/>
      <c r="YT542" s="83"/>
      <c r="ZD542" s="83"/>
      <c r="ZN542" s="83"/>
      <c r="ZX542" s="83"/>
      <c r="AAH542" s="83"/>
      <c r="AAR542" s="83"/>
      <c r="ABB542" s="83"/>
      <c r="ABL542" s="83"/>
      <c r="ABV542" s="83"/>
      <c r="ACF542" s="83"/>
      <c r="ACP542" s="83"/>
      <c r="ACZ542" s="83"/>
      <c r="ADJ542" s="83"/>
      <c r="ADT542" s="83"/>
      <c r="AED542" s="83"/>
      <c r="AEN542" s="83"/>
      <c r="AEX542" s="83"/>
      <c r="AFH542" s="83"/>
      <c r="AFR542" s="83"/>
      <c r="AGB542" s="83"/>
      <c r="AGL542" s="83"/>
      <c r="AGV542" s="83"/>
      <c r="AHF542" s="83"/>
      <c r="AHP542" s="83"/>
      <c r="AHZ542" s="83"/>
      <c r="AIJ542" s="83"/>
      <c r="AIT542" s="83"/>
      <c r="AJD542" s="83"/>
      <c r="AJN542" s="83"/>
      <c r="AJX542" s="83"/>
      <c r="AKH542" s="83"/>
      <c r="AKR542" s="83"/>
      <c r="ALB542" s="83"/>
      <c r="ALL542" s="83"/>
      <c r="ALV542" s="83"/>
      <c r="AMF542" s="83"/>
      <c r="AMP542" s="83"/>
      <c r="AMZ542" s="83"/>
      <c r="ANJ542" s="83"/>
      <c r="ANT542" s="83"/>
      <c r="AOD542" s="83"/>
      <c r="AON542" s="83"/>
      <c r="AOX542" s="83"/>
      <c r="APH542" s="83"/>
      <c r="APR542" s="83"/>
      <c r="AQB542" s="83"/>
      <c r="AQL542" s="83"/>
      <c r="AQV542" s="83"/>
      <c r="ARF542" s="83"/>
      <c r="ARP542" s="83"/>
      <c r="ARZ542" s="83"/>
      <c r="ASJ542" s="83"/>
      <c r="AST542" s="83"/>
      <c r="ATD542" s="83"/>
      <c r="ATN542" s="83"/>
      <c r="ATX542" s="83"/>
      <c r="AUH542" s="83"/>
      <c r="AUR542" s="83"/>
      <c r="AVB542" s="83"/>
      <c r="AVL542" s="83"/>
      <c r="AVV542" s="83"/>
      <c r="AWF542" s="83"/>
      <c r="AWP542" s="83"/>
      <c r="AWZ542" s="83"/>
      <c r="AXJ542" s="83"/>
      <c r="AXT542" s="83"/>
      <c r="AYD542" s="83"/>
      <c r="AYN542" s="83"/>
      <c r="AYX542" s="83"/>
      <c r="AZH542" s="83"/>
      <c r="AZR542" s="83"/>
      <c r="BAB542" s="83"/>
      <c r="BAL542" s="83"/>
      <c r="BAV542" s="83"/>
      <c r="BBF542" s="83"/>
      <c r="BBP542" s="83"/>
      <c r="BBZ542" s="83"/>
      <c r="BCJ542" s="83"/>
      <c r="BCT542" s="83"/>
      <c r="BDD542" s="83"/>
      <c r="BDN542" s="83"/>
      <c r="BDX542" s="83"/>
      <c r="BEH542" s="83"/>
      <c r="BER542" s="83"/>
      <c r="BFB542" s="83"/>
      <c r="BFL542" s="83"/>
      <c r="BFV542" s="83"/>
      <c r="BGF542" s="83"/>
      <c r="BGP542" s="83"/>
      <c r="BGZ542" s="83"/>
      <c r="BHJ542" s="83"/>
      <c r="BHT542" s="83"/>
      <c r="BID542" s="83"/>
      <c r="BIN542" s="83"/>
      <c r="BIX542" s="83"/>
      <c r="BJH542" s="83"/>
      <c r="BJR542" s="83"/>
      <c r="BKB542" s="83"/>
      <c r="BKL542" s="83"/>
      <c r="BKV542" s="83"/>
      <c r="BLF542" s="83"/>
      <c r="BLP542" s="83"/>
      <c r="BLZ542" s="83"/>
      <c r="BMJ542" s="83"/>
      <c r="BMT542" s="83"/>
      <c r="BND542" s="83"/>
      <c r="BNN542" s="83"/>
      <c r="BNX542" s="83"/>
      <c r="BOH542" s="83"/>
      <c r="BOR542" s="83"/>
      <c r="BPB542" s="83"/>
      <c r="BPL542" s="83"/>
      <c r="BPV542" s="83"/>
      <c r="BQF542" s="83"/>
      <c r="BQP542" s="83"/>
      <c r="BQZ542" s="83"/>
      <c r="BRJ542" s="83"/>
      <c r="BRT542" s="83"/>
      <c r="BSD542" s="83"/>
      <c r="BSN542" s="83"/>
      <c r="BSX542" s="83"/>
      <c r="BTH542" s="83"/>
      <c r="BTR542" s="83"/>
      <c r="BUB542" s="83"/>
      <c r="BUL542" s="83"/>
      <c r="BUV542" s="83"/>
      <c r="BVF542" s="83"/>
      <c r="BVP542" s="83"/>
      <c r="BVZ542" s="83"/>
      <c r="BWJ542" s="83"/>
      <c r="BWT542" s="83"/>
      <c r="BXD542" s="83"/>
      <c r="BXN542" s="83"/>
      <c r="BXX542" s="83"/>
      <c r="BYH542" s="83"/>
      <c r="BYR542" s="83"/>
      <c r="BZB542" s="83"/>
      <c r="BZL542" s="83"/>
      <c r="BZV542" s="83"/>
      <c r="CAF542" s="83"/>
      <c r="CAP542" s="83"/>
      <c r="CAZ542" s="83"/>
      <c r="CBJ542" s="83"/>
      <c r="CBT542" s="83"/>
      <c r="CCD542" s="83"/>
      <c r="CCN542" s="83"/>
      <c r="CCX542" s="83"/>
      <c r="CDH542" s="83"/>
      <c r="CDR542" s="83"/>
      <c r="CEB542" s="83"/>
      <c r="CEL542" s="83"/>
      <c r="CEV542" s="83"/>
      <c r="CFF542" s="83"/>
      <c r="CFP542" s="83"/>
      <c r="CFZ542" s="83"/>
      <c r="CGJ542" s="83"/>
      <c r="CGT542" s="83"/>
      <c r="CHD542" s="83"/>
      <c r="CHN542" s="83"/>
      <c r="CHX542" s="83"/>
      <c r="CIH542" s="83"/>
      <c r="CIR542" s="83"/>
      <c r="CJB542" s="83"/>
      <c r="CJL542" s="83"/>
      <c r="CJV542" s="83"/>
      <c r="CKF542" s="83"/>
      <c r="CKP542" s="83"/>
      <c r="CKZ542" s="83"/>
      <c r="CLJ542" s="83"/>
      <c r="CLT542" s="83"/>
      <c r="CMD542" s="83"/>
      <c r="CMN542" s="83"/>
      <c r="CMX542" s="83"/>
      <c r="CNH542" s="83"/>
      <c r="CNR542" s="83"/>
      <c r="COB542" s="83"/>
      <c r="COL542" s="83"/>
      <c r="COV542" s="83"/>
      <c r="CPF542" s="83"/>
      <c r="CPP542" s="83"/>
      <c r="CPZ542" s="83"/>
      <c r="CQJ542" s="83"/>
      <c r="CQT542" s="83"/>
      <c r="CRD542" s="83"/>
      <c r="CRN542" s="83"/>
      <c r="CRX542" s="83"/>
      <c r="CSH542" s="83"/>
      <c r="CSR542" s="83"/>
      <c r="CTB542" s="83"/>
      <c r="CTL542" s="83"/>
      <c r="CTV542" s="83"/>
    </row>
    <row r="543" s="58" customFormat="1" customHeight="1" spans="1:1020 1030:2040 2050:2570">
      <c r="A543" s="87"/>
      <c r="B543" s="94"/>
      <c r="C543" s="95"/>
      <c r="D543" s="75"/>
      <c r="E543" s="75"/>
      <c r="F543" s="76"/>
      <c r="G543" s="75"/>
      <c r="H543" s="76"/>
      <c r="I543" s="76"/>
      <c r="J543" s="75"/>
      <c r="K543" s="78"/>
      <c r="T543" s="83"/>
      <c r="AD543" s="83"/>
      <c r="AN543" s="83"/>
      <c r="AX543" s="83"/>
      <c r="BH543" s="83"/>
      <c r="BR543" s="83"/>
      <c r="CB543" s="83"/>
      <c r="CL543" s="83"/>
      <c r="CV543" s="83"/>
      <c r="DF543" s="83"/>
      <c r="DP543" s="83"/>
      <c r="DZ543" s="83"/>
      <c r="EJ543" s="83"/>
      <c r="ET543" s="83"/>
      <c r="FD543" s="83"/>
      <c r="FN543" s="83"/>
      <c r="FX543" s="83"/>
      <c r="GH543" s="83"/>
      <c r="GR543" s="83"/>
      <c r="HB543" s="83"/>
      <c r="HL543" s="83"/>
      <c r="HV543" s="83"/>
      <c r="IF543" s="83"/>
      <c r="IP543" s="83"/>
      <c r="IZ543" s="83"/>
      <c r="JJ543" s="83"/>
      <c r="JT543" s="83"/>
      <c r="KD543" s="83"/>
      <c r="KN543" s="83"/>
      <c r="KX543" s="83"/>
      <c r="LH543" s="83"/>
      <c r="LR543" s="83"/>
      <c r="MB543" s="83"/>
      <c r="ML543" s="83"/>
      <c r="MV543" s="83"/>
      <c r="NF543" s="83"/>
      <c r="NP543" s="83"/>
      <c r="NZ543" s="83"/>
      <c r="OJ543" s="83"/>
      <c r="OT543" s="83"/>
      <c r="PD543" s="83"/>
      <c r="PN543" s="83"/>
      <c r="PX543" s="83"/>
      <c r="QH543" s="83"/>
      <c r="QR543" s="83"/>
      <c r="RB543" s="83"/>
      <c r="RL543" s="83"/>
      <c r="RV543" s="83"/>
      <c r="SF543" s="83"/>
      <c r="SP543" s="83"/>
      <c r="SZ543" s="83"/>
      <c r="TJ543" s="83"/>
      <c r="TT543" s="83"/>
      <c r="UD543" s="83"/>
      <c r="UN543" s="83"/>
      <c r="UX543" s="83"/>
      <c r="VH543" s="83"/>
      <c r="VR543" s="83"/>
      <c r="WB543" s="83"/>
      <c r="WL543" s="83"/>
      <c r="WV543" s="83"/>
      <c r="XF543" s="83"/>
      <c r="XP543" s="83"/>
      <c r="XZ543" s="83"/>
      <c r="YJ543" s="83"/>
      <c r="YT543" s="83"/>
      <c r="ZD543" s="83"/>
      <c r="ZN543" s="83"/>
      <c r="ZX543" s="83"/>
      <c r="AAH543" s="83"/>
      <c r="AAR543" s="83"/>
      <c r="ABB543" s="83"/>
      <c r="ABL543" s="83"/>
      <c r="ABV543" s="83"/>
      <c r="ACF543" s="83"/>
      <c r="ACP543" s="83"/>
      <c r="ACZ543" s="83"/>
      <c r="ADJ543" s="83"/>
      <c r="ADT543" s="83"/>
      <c r="AED543" s="83"/>
      <c r="AEN543" s="83"/>
      <c r="AEX543" s="83"/>
      <c r="AFH543" s="83"/>
      <c r="AFR543" s="83"/>
      <c r="AGB543" s="83"/>
      <c r="AGL543" s="83"/>
      <c r="AGV543" s="83"/>
      <c r="AHF543" s="83"/>
      <c r="AHP543" s="83"/>
      <c r="AHZ543" s="83"/>
      <c r="AIJ543" s="83"/>
      <c r="AIT543" s="83"/>
      <c r="AJD543" s="83"/>
      <c r="AJN543" s="83"/>
      <c r="AJX543" s="83"/>
      <c r="AKH543" s="83"/>
      <c r="AKR543" s="83"/>
      <c r="ALB543" s="83"/>
      <c r="ALL543" s="83"/>
      <c r="ALV543" s="83"/>
      <c r="AMF543" s="83"/>
      <c r="AMP543" s="83"/>
      <c r="AMZ543" s="83"/>
      <c r="ANJ543" s="83"/>
      <c r="ANT543" s="83"/>
      <c r="AOD543" s="83"/>
      <c r="AON543" s="83"/>
      <c r="AOX543" s="83"/>
      <c r="APH543" s="83"/>
      <c r="APR543" s="83"/>
      <c r="AQB543" s="83"/>
      <c r="AQL543" s="83"/>
      <c r="AQV543" s="83"/>
      <c r="ARF543" s="83"/>
      <c r="ARP543" s="83"/>
      <c r="ARZ543" s="83"/>
      <c r="ASJ543" s="83"/>
      <c r="AST543" s="83"/>
      <c r="ATD543" s="83"/>
      <c r="ATN543" s="83"/>
      <c r="ATX543" s="83"/>
      <c r="AUH543" s="83"/>
      <c r="AUR543" s="83"/>
      <c r="AVB543" s="83"/>
      <c r="AVL543" s="83"/>
      <c r="AVV543" s="83"/>
      <c r="AWF543" s="83"/>
      <c r="AWP543" s="83"/>
      <c r="AWZ543" s="83"/>
      <c r="AXJ543" s="83"/>
      <c r="AXT543" s="83"/>
      <c r="AYD543" s="83"/>
      <c r="AYN543" s="83"/>
      <c r="AYX543" s="83"/>
      <c r="AZH543" s="83"/>
      <c r="AZR543" s="83"/>
      <c r="BAB543" s="83"/>
      <c r="BAL543" s="83"/>
      <c r="BAV543" s="83"/>
      <c r="BBF543" s="83"/>
      <c r="BBP543" s="83"/>
      <c r="BBZ543" s="83"/>
      <c r="BCJ543" s="83"/>
      <c r="BCT543" s="83"/>
      <c r="BDD543" s="83"/>
      <c r="BDN543" s="83"/>
      <c r="BDX543" s="83"/>
      <c r="BEH543" s="83"/>
      <c r="BER543" s="83"/>
      <c r="BFB543" s="83"/>
      <c r="BFL543" s="83"/>
      <c r="BFV543" s="83"/>
      <c r="BGF543" s="83"/>
      <c r="BGP543" s="83"/>
      <c r="BGZ543" s="83"/>
      <c r="BHJ543" s="83"/>
      <c r="BHT543" s="83"/>
      <c r="BID543" s="83"/>
      <c r="BIN543" s="83"/>
      <c r="BIX543" s="83"/>
      <c r="BJH543" s="83"/>
      <c r="BJR543" s="83"/>
      <c r="BKB543" s="83"/>
      <c r="BKL543" s="83"/>
      <c r="BKV543" s="83"/>
      <c r="BLF543" s="83"/>
      <c r="BLP543" s="83"/>
      <c r="BLZ543" s="83"/>
      <c r="BMJ543" s="83"/>
      <c r="BMT543" s="83"/>
      <c r="BND543" s="83"/>
      <c r="BNN543" s="83"/>
      <c r="BNX543" s="83"/>
      <c r="BOH543" s="83"/>
      <c r="BOR543" s="83"/>
      <c r="BPB543" s="83"/>
      <c r="BPL543" s="83"/>
      <c r="BPV543" s="83"/>
      <c r="BQF543" s="83"/>
      <c r="BQP543" s="83"/>
      <c r="BQZ543" s="83"/>
      <c r="BRJ543" s="83"/>
      <c r="BRT543" s="83"/>
      <c r="BSD543" s="83"/>
      <c r="BSN543" s="83"/>
      <c r="BSX543" s="83"/>
      <c r="BTH543" s="83"/>
      <c r="BTR543" s="83"/>
      <c r="BUB543" s="83"/>
      <c r="BUL543" s="83"/>
      <c r="BUV543" s="83"/>
      <c r="BVF543" s="83"/>
      <c r="BVP543" s="83"/>
      <c r="BVZ543" s="83"/>
      <c r="BWJ543" s="83"/>
      <c r="BWT543" s="83"/>
      <c r="BXD543" s="83"/>
      <c r="BXN543" s="83"/>
      <c r="BXX543" s="83"/>
      <c r="BYH543" s="83"/>
      <c r="BYR543" s="83"/>
      <c r="BZB543" s="83"/>
      <c r="BZL543" s="83"/>
      <c r="BZV543" s="83"/>
      <c r="CAF543" s="83"/>
      <c r="CAP543" s="83"/>
      <c r="CAZ543" s="83"/>
      <c r="CBJ543" s="83"/>
      <c r="CBT543" s="83"/>
      <c r="CCD543" s="83"/>
      <c r="CCN543" s="83"/>
      <c r="CCX543" s="83"/>
      <c r="CDH543" s="83"/>
      <c r="CDR543" s="83"/>
      <c r="CEB543" s="83"/>
      <c r="CEL543" s="83"/>
      <c r="CEV543" s="83"/>
      <c r="CFF543" s="83"/>
      <c r="CFP543" s="83"/>
      <c r="CFZ543" s="83"/>
      <c r="CGJ543" s="83"/>
      <c r="CGT543" s="83"/>
      <c r="CHD543" s="83"/>
      <c r="CHN543" s="83"/>
      <c r="CHX543" s="83"/>
      <c r="CIH543" s="83"/>
      <c r="CIR543" s="83"/>
      <c r="CJB543" s="83"/>
      <c r="CJL543" s="83"/>
      <c r="CJV543" s="83"/>
      <c r="CKF543" s="83"/>
      <c r="CKP543" s="83"/>
      <c r="CKZ543" s="83"/>
      <c r="CLJ543" s="83"/>
      <c r="CLT543" s="83"/>
      <c r="CMD543" s="83"/>
      <c r="CMN543" s="83"/>
      <c r="CMX543" s="83"/>
      <c r="CNH543" s="83"/>
      <c r="CNR543" s="83"/>
      <c r="COB543" s="83"/>
      <c r="COL543" s="83"/>
      <c r="COV543" s="83"/>
      <c r="CPF543" s="83"/>
      <c r="CPP543" s="83"/>
      <c r="CPZ543" s="83"/>
      <c r="CQJ543" s="83"/>
      <c r="CQT543" s="83"/>
      <c r="CRD543" s="83"/>
      <c r="CRN543" s="83"/>
      <c r="CRX543" s="83"/>
      <c r="CSH543" s="83"/>
      <c r="CSR543" s="83"/>
      <c r="CTB543" s="83"/>
      <c r="CTL543" s="83"/>
      <c r="CTV543" s="83"/>
    </row>
    <row r="544" s="58" customFormat="1" customHeight="1" spans="1:1020 1030:2040 2050:2570">
      <c r="A544" s="87"/>
      <c r="B544" s="94"/>
      <c r="C544" s="95"/>
      <c r="D544" s="75"/>
      <c r="E544" s="75"/>
      <c r="F544" s="76"/>
      <c r="G544" s="75"/>
      <c r="H544" s="76"/>
      <c r="I544" s="76"/>
      <c r="J544" s="75"/>
      <c r="K544" s="78"/>
      <c r="T544" s="83"/>
      <c r="AD544" s="83"/>
      <c r="AN544" s="83"/>
      <c r="AX544" s="83"/>
      <c r="BH544" s="83"/>
      <c r="BR544" s="83"/>
      <c r="CB544" s="83"/>
      <c r="CL544" s="83"/>
      <c r="CV544" s="83"/>
      <c r="DF544" s="83"/>
      <c r="DP544" s="83"/>
      <c r="DZ544" s="83"/>
      <c r="EJ544" s="83"/>
      <c r="ET544" s="83"/>
      <c r="FD544" s="83"/>
      <c r="FN544" s="83"/>
      <c r="FX544" s="83"/>
      <c r="GH544" s="83"/>
      <c r="GR544" s="83"/>
      <c r="HB544" s="83"/>
      <c r="HL544" s="83"/>
      <c r="HV544" s="83"/>
      <c r="IF544" s="83"/>
      <c r="IP544" s="83"/>
      <c r="IZ544" s="83"/>
      <c r="JJ544" s="83"/>
      <c r="JT544" s="83"/>
      <c r="KD544" s="83"/>
      <c r="KN544" s="83"/>
      <c r="KX544" s="83"/>
      <c r="LH544" s="83"/>
      <c r="LR544" s="83"/>
      <c r="MB544" s="83"/>
      <c r="ML544" s="83"/>
      <c r="MV544" s="83"/>
      <c r="NF544" s="83"/>
      <c r="NP544" s="83"/>
      <c r="NZ544" s="83"/>
      <c r="OJ544" s="83"/>
      <c r="OT544" s="83"/>
      <c r="PD544" s="83"/>
      <c r="PN544" s="83"/>
      <c r="PX544" s="83"/>
      <c r="QH544" s="83"/>
      <c r="QR544" s="83"/>
      <c r="RB544" s="83"/>
      <c r="RL544" s="83"/>
      <c r="RV544" s="83"/>
      <c r="SF544" s="83"/>
      <c r="SP544" s="83"/>
      <c r="SZ544" s="83"/>
      <c r="TJ544" s="83"/>
      <c r="TT544" s="83"/>
      <c r="UD544" s="83"/>
      <c r="UN544" s="83"/>
      <c r="UX544" s="83"/>
      <c r="VH544" s="83"/>
      <c r="VR544" s="83"/>
      <c r="WB544" s="83"/>
      <c r="WL544" s="83"/>
      <c r="WV544" s="83"/>
      <c r="XF544" s="83"/>
      <c r="XP544" s="83"/>
      <c r="XZ544" s="83"/>
      <c r="YJ544" s="83"/>
      <c r="YT544" s="83"/>
      <c r="ZD544" s="83"/>
      <c r="ZN544" s="83"/>
      <c r="ZX544" s="83"/>
      <c r="AAH544" s="83"/>
      <c r="AAR544" s="83"/>
      <c r="ABB544" s="83"/>
      <c r="ABL544" s="83"/>
      <c r="ABV544" s="83"/>
      <c r="ACF544" s="83"/>
      <c r="ACP544" s="83"/>
      <c r="ACZ544" s="83"/>
      <c r="ADJ544" s="83"/>
      <c r="ADT544" s="83"/>
      <c r="AED544" s="83"/>
      <c r="AEN544" s="83"/>
      <c r="AEX544" s="83"/>
      <c r="AFH544" s="83"/>
      <c r="AFR544" s="83"/>
      <c r="AGB544" s="83"/>
      <c r="AGL544" s="83"/>
      <c r="AGV544" s="83"/>
      <c r="AHF544" s="83"/>
      <c r="AHP544" s="83"/>
      <c r="AHZ544" s="83"/>
      <c r="AIJ544" s="83"/>
      <c r="AIT544" s="83"/>
      <c r="AJD544" s="83"/>
      <c r="AJN544" s="83"/>
      <c r="AJX544" s="83"/>
      <c r="AKH544" s="83"/>
      <c r="AKR544" s="83"/>
      <c r="ALB544" s="83"/>
      <c r="ALL544" s="83"/>
      <c r="ALV544" s="83"/>
      <c r="AMF544" s="83"/>
      <c r="AMP544" s="83"/>
      <c r="AMZ544" s="83"/>
      <c r="ANJ544" s="83"/>
      <c r="ANT544" s="83"/>
      <c r="AOD544" s="83"/>
      <c r="AON544" s="83"/>
      <c r="AOX544" s="83"/>
      <c r="APH544" s="83"/>
      <c r="APR544" s="83"/>
      <c r="AQB544" s="83"/>
      <c r="AQL544" s="83"/>
      <c r="AQV544" s="83"/>
      <c r="ARF544" s="83"/>
      <c r="ARP544" s="83"/>
      <c r="ARZ544" s="83"/>
      <c r="ASJ544" s="83"/>
      <c r="AST544" s="83"/>
      <c r="ATD544" s="83"/>
      <c r="ATN544" s="83"/>
      <c r="ATX544" s="83"/>
      <c r="AUH544" s="83"/>
      <c r="AUR544" s="83"/>
      <c r="AVB544" s="83"/>
      <c r="AVL544" s="83"/>
      <c r="AVV544" s="83"/>
      <c r="AWF544" s="83"/>
      <c r="AWP544" s="83"/>
      <c r="AWZ544" s="83"/>
      <c r="AXJ544" s="83"/>
      <c r="AXT544" s="83"/>
      <c r="AYD544" s="83"/>
      <c r="AYN544" s="83"/>
      <c r="AYX544" s="83"/>
      <c r="AZH544" s="83"/>
      <c r="AZR544" s="83"/>
      <c r="BAB544" s="83"/>
      <c r="BAL544" s="83"/>
      <c r="BAV544" s="83"/>
      <c r="BBF544" s="83"/>
      <c r="BBP544" s="83"/>
      <c r="BBZ544" s="83"/>
      <c r="BCJ544" s="83"/>
      <c r="BCT544" s="83"/>
      <c r="BDD544" s="83"/>
      <c r="BDN544" s="83"/>
      <c r="BDX544" s="83"/>
      <c r="BEH544" s="83"/>
      <c r="BER544" s="83"/>
      <c r="BFB544" s="83"/>
      <c r="BFL544" s="83"/>
      <c r="BFV544" s="83"/>
      <c r="BGF544" s="83"/>
      <c r="BGP544" s="83"/>
      <c r="BGZ544" s="83"/>
      <c r="BHJ544" s="83"/>
      <c r="BHT544" s="83"/>
      <c r="BID544" s="83"/>
      <c r="BIN544" s="83"/>
      <c r="BIX544" s="83"/>
      <c r="BJH544" s="83"/>
      <c r="BJR544" s="83"/>
      <c r="BKB544" s="83"/>
      <c r="BKL544" s="83"/>
      <c r="BKV544" s="83"/>
      <c r="BLF544" s="83"/>
      <c r="BLP544" s="83"/>
      <c r="BLZ544" s="83"/>
      <c r="BMJ544" s="83"/>
      <c r="BMT544" s="83"/>
      <c r="BND544" s="83"/>
      <c r="BNN544" s="83"/>
      <c r="BNX544" s="83"/>
      <c r="BOH544" s="83"/>
      <c r="BOR544" s="83"/>
      <c r="BPB544" s="83"/>
      <c r="BPL544" s="83"/>
      <c r="BPV544" s="83"/>
      <c r="BQF544" s="83"/>
      <c r="BQP544" s="83"/>
      <c r="BQZ544" s="83"/>
      <c r="BRJ544" s="83"/>
      <c r="BRT544" s="83"/>
      <c r="BSD544" s="83"/>
      <c r="BSN544" s="83"/>
      <c r="BSX544" s="83"/>
      <c r="BTH544" s="83"/>
      <c r="BTR544" s="83"/>
      <c r="BUB544" s="83"/>
      <c r="BUL544" s="83"/>
      <c r="BUV544" s="83"/>
      <c r="BVF544" s="83"/>
      <c r="BVP544" s="83"/>
      <c r="BVZ544" s="83"/>
      <c r="BWJ544" s="83"/>
      <c r="BWT544" s="83"/>
      <c r="BXD544" s="83"/>
      <c r="BXN544" s="83"/>
      <c r="BXX544" s="83"/>
      <c r="BYH544" s="83"/>
      <c r="BYR544" s="83"/>
      <c r="BZB544" s="83"/>
      <c r="BZL544" s="83"/>
      <c r="BZV544" s="83"/>
      <c r="CAF544" s="83"/>
      <c r="CAP544" s="83"/>
      <c r="CAZ544" s="83"/>
      <c r="CBJ544" s="83"/>
      <c r="CBT544" s="83"/>
      <c r="CCD544" s="83"/>
      <c r="CCN544" s="83"/>
      <c r="CCX544" s="83"/>
      <c r="CDH544" s="83"/>
      <c r="CDR544" s="83"/>
      <c r="CEB544" s="83"/>
      <c r="CEL544" s="83"/>
      <c r="CEV544" s="83"/>
      <c r="CFF544" s="83"/>
      <c r="CFP544" s="83"/>
      <c r="CFZ544" s="83"/>
      <c r="CGJ544" s="83"/>
      <c r="CGT544" s="83"/>
      <c r="CHD544" s="83"/>
      <c r="CHN544" s="83"/>
      <c r="CHX544" s="83"/>
      <c r="CIH544" s="83"/>
      <c r="CIR544" s="83"/>
      <c r="CJB544" s="83"/>
      <c r="CJL544" s="83"/>
      <c r="CJV544" s="83"/>
      <c r="CKF544" s="83"/>
      <c r="CKP544" s="83"/>
      <c r="CKZ544" s="83"/>
      <c r="CLJ544" s="83"/>
      <c r="CLT544" s="83"/>
      <c r="CMD544" s="83"/>
      <c r="CMN544" s="83"/>
      <c r="CMX544" s="83"/>
      <c r="CNH544" s="83"/>
      <c r="CNR544" s="83"/>
      <c r="COB544" s="83"/>
      <c r="COL544" s="83"/>
      <c r="COV544" s="83"/>
      <c r="CPF544" s="83"/>
      <c r="CPP544" s="83"/>
      <c r="CPZ544" s="83"/>
      <c r="CQJ544" s="83"/>
      <c r="CQT544" s="83"/>
      <c r="CRD544" s="83"/>
      <c r="CRN544" s="83"/>
      <c r="CRX544" s="83"/>
      <c r="CSH544" s="83"/>
      <c r="CSR544" s="83"/>
      <c r="CTB544" s="83"/>
      <c r="CTL544" s="83"/>
      <c r="CTV544" s="83"/>
    </row>
    <row r="545" s="58" customFormat="1" customHeight="1" spans="1:1020 1030:2040 2050:2570">
      <c r="A545" s="87"/>
      <c r="B545" s="94"/>
      <c r="C545" s="95"/>
      <c r="D545" s="75"/>
      <c r="E545" s="75"/>
      <c r="F545" s="76"/>
      <c r="G545" s="75"/>
      <c r="H545" s="76"/>
      <c r="I545" s="76"/>
      <c r="J545" s="75"/>
      <c r="K545" s="78"/>
      <c r="T545" s="83"/>
      <c r="AD545" s="83"/>
      <c r="AN545" s="83"/>
      <c r="AX545" s="83"/>
      <c r="BH545" s="83"/>
      <c r="BR545" s="83"/>
      <c r="CB545" s="83"/>
      <c r="CL545" s="83"/>
      <c r="CV545" s="83"/>
      <c r="DF545" s="83"/>
      <c r="DP545" s="83"/>
      <c r="DZ545" s="83"/>
      <c r="EJ545" s="83"/>
      <c r="ET545" s="83"/>
      <c r="FD545" s="83"/>
      <c r="FN545" s="83"/>
      <c r="FX545" s="83"/>
      <c r="GH545" s="83"/>
      <c r="GR545" s="83"/>
      <c r="HB545" s="83"/>
      <c r="HL545" s="83"/>
      <c r="HV545" s="83"/>
      <c r="IF545" s="83"/>
      <c r="IP545" s="83"/>
      <c r="IZ545" s="83"/>
      <c r="JJ545" s="83"/>
      <c r="JT545" s="83"/>
      <c r="KD545" s="83"/>
      <c r="KN545" s="83"/>
      <c r="KX545" s="83"/>
      <c r="LH545" s="83"/>
      <c r="LR545" s="83"/>
      <c r="MB545" s="83"/>
      <c r="ML545" s="83"/>
      <c r="MV545" s="83"/>
      <c r="NF545" s="83"/>
      <c r="NP545" s="83"/>
      <c r="NZ545" s="83"/>
      <c r="OJ545" s="83"/>
      <c r="OT545" s="83"/>
      <c r="PD545" s="83"/>
      <c r="PN545" s="83"/>
      <c r="PX545" s="83"/>
      <c r="QH545" s="83"/>
      <c r="QR545" s="83"/>
      <c r="RB545" s="83"/>
      <c r="RL545" s="83"/>
      <c r="RV545" s="83"/>
      <c r="SF545" s="83"/>
      <c r="SP545" s="83"/>
      <c r="SZ545" s="83"/>
      <c r="TJ545" s="83"/>
      <c r="TT545" s="83"/>
      <c r="UD545" s="83"/>
      <c r="UN545" s="83"/>
      <c r="UX545" s="83"/>
      <c r="VH545" s="83"/>
      <c r="VR545" s="83"/>
      <c r="WB545" s="83"/>
      <c r="WL545" s="83"/>
      <c r="WV545" s="83"/>
      <c r="XF545" s="83"/>
      <c r="XP545" s="83"/>
      <c r="XZ545" s="83"/>
      <c r="YJ545" s="83"/>
      <c r="YT545" s="83"/>
      <c r="ZD545" s="83"/>
      <c r="ZN545" s="83"/>
      <c r="ZX545" s="83"/>
      <c r="AAH545" s="83"/>
      <c r="AAR545" s="83"/>
      <c r="ABB545" s="83"/>
      <c r="ABL545" s="83"/>
      <c r="ABV545" s="83"/>
      <c r="ACF545" s="83"/>
      <c r="ACP545" s="83"/>
      <c r="ACZ545" s="83"/>
      <c r="ADJ545" s="83"/>
      <c r="ADT545" s="83"/>
      <c r="AED545" s="83"/>
      <c r="AEN545" s="83"/>
      <c r="AEX545" s="83"/>
      <c r="AFH545" s="83"/>
      <c r="AFR545" s="83"/>
      <c r="AGB545" s="83"/>
      <c r="AGL545" s="83"/>
      <c r="AGV545" s="83"/>
      <c r="AHF545" s="83"/>
      <c r="AHP545" s="83"/>
      <c r="AHZ545" s="83"/>
      <c r="AIJ545" s="83"/>
      <c r="AIT545" s="83"/>
      <c r="AJD545" s="83"/>
      <c r="AJN545" s="83"/>
      <c r="AJX545" s="83"/>
      <c r="AKH545" s="83"/>
      <c r="AKR545" s="83"/>
      <c r="ALB545" s="83"/>
      <c r="ALL545" s="83"/>
      <c r="ALV545" s="83"/>
      <c r="AMF545" s="83"/>
      <c r="AMP545" s="83"/>
      <c r="AMZ545" s="83"/>
      <c r="ANJ545" s="83"/>
      <c r="ANT545" s="83"/>
      <c r="AOD545" s="83"/>
      <c r="AON545" s="83"/>
      <c r="AOX545" s="83"/>
      <c r="APH545" s="83"/>
      <c r="APR545" s="83"/>
      <c r="AQB545" s="83"/>
      <c r="AQL545" s="83"/>
      <c r="AQV545" s="83"/>
      <c r="ARF545" s="83"/>
      <c r="ARP545" s="83"/>
      <c r="ARZ545" s="83"/>
      <c r="ASJ545" s="83"/>
      <c r="AST545" s="83"/>
      <c r="ATD545" s="83"/>
      <c r="ATN545" s="83"/>
      <c r="ATX545" s="83"/>
      <c r="AUH545" s="83"/>
      <c r="AUR545" s="83"/>
      <c r="AVB545" s="83"/>
      <c r="AVL545" s="83"/>
      <c r="AVV545" s="83"/>
      <c r="AWF545" s="83"/>
      <c r="AWP545" s="83"/>
      <c r="AWZ545" s="83"/>
      <c r="AXJ545" s="83"/>
      <c r="AXT545" s="83"/>
      <c r="AYD545" s="83"/>
      <c r="AYN545" s="83"/>
      <c r="AYX545" s="83"/>
      <c r="AZH545" s="83"/>
      <c r="AZR545" s="83"/>
      <c r="BAB545" s="83"/>
      <c r="BAL545" s="83"/>
      <c r="BAV545" s="83"/>
      <c r="BBF545" s="83"/>
      <c r="BBP545" s="83"/>
      <c r="BBZ545" s="83"/>
      <c r="BCJ545" s="83"/>
      <c r="BCT545" s="83"/>
      <c r="BDD545" s="83"/>
      <c r="BDN545" s="83"/>
      <c r="BDX545" s="83"/>
      <c r="BEH545" s="83"/>
      <c r="BER545" s="83"/>
      <c r="BFB545" s="83"/>
      <c r="BFL545" s="83"/>
      <c r="BFV545" s="83"/>
      <c r="BGF545" s="83"/>
      <c r="BGP545" s="83"/>
      <c r="BGZ545" s="83"/>
      <c r="BHJ545" s="83"/>
      <c r="BHT545" s="83"/>
      <c r="BID545" s="83"/>
      <c r="BIN545" s="83"/>
      <c r="BIX545" s="83"/>
      <c r="BJH545" s="83"/>
      <c r="BJR545" s="83"/>
      <c r="BKB545" s="83"/>
      <c r="BKL545" s="83"/>
      <c r="BKV545" s="83"/>
      <c r="BLF545" s="83"/>
      <c r="BLP545" s="83"/>
      <c r="BLZ545" s="83"/>
      <c r="BMJ545" s="83"/>
      <c r="BMT545" s="83"/>
      <c r="BND545" s="83"/>
      <c r="BNN545" s="83"/>
      <c r="BNX545" s="83"/>
      <c r="BOH545" s="83"/>
      <c r="BOR545" s="83"/>
      <c r="BPB545" s="83"/>
      <c r="BPL545" s="83"/>
      <c r="BPV545" s="83"/>
      <c r="BQF545" s="83"/>
      <c r="BQP545" s="83"/>
      <c r="BQZ545" s="83"/>
      <c r="BRJ545" s="83"/>
      <c r="BRT545" s="83"/>
      <c r="BSD545" s="83"/>
      <c r="BSN545" s="83"/>
      <c r="BSX545" s="83"/>
      <c r="BTH545" s="83"/>
      <c r="BTR545" s="83"/>
      <c r="BUB545" s="83"/>
      <c r="BUL545" s="83"/>
      <c r="BUV545" s="83"/>
      <c r="BVF545" s="83"/>
      <c r="BVP545" s="83"/>
      <c r="BVZ545" s="83"/>
      <c r="BWJ545" s="83"/>
      <c r="BWT545" s="83"/>
      <c r="BXD545" s="83"/>
      <c r="BXN545" s="83"/>
      <c r="BXX545" s="83"/>
      <c r="BYH545" s="83"/>
      <c r="BYR545" s="83"/>
      <c r="BZB545" s="83"/>
      <c r="BZL545" s="83"/>
      <c r="BZV545" s="83"/>
      <c r="CAF545" s="83"/>
      <c r="CAP545" s="83"/>
      <c r="CAZ545" s="83"/>
      <c r="CBJ545" s="83"/>
      <c r="CBT545" s="83"/>
      <c r="CCD545" s="83"/>
      <c r="CCN545" s="83"/>
      <c r="CCX545" s="83"/>
      <c r="CDH545" s="83"/>
      <c r="CDR545" s="83"/>
      <c r="CEB545" s="83"/>
      <c r="CEL545" s="83"/>
      <c r="CEV545" s="83"/>
      <c r="CFF545" s="83"/>
      <c r="CFP545" s="83"/>
      <c r="CFZ545" s="83"/>
      <c r="CGJ545" s="83"/>
      <c r="CGT545" s="83"/>
      <c r="CHD545" s="83"/>
      <c r="CHN545" s="83"/>
      <c r="CHX545" s="83"/>
      <c r="CIH545" s="83"/>
      <c r="CIR545" s="83"/>
      <c r="CJB545" s="83"/>
      <c r="CJL545" s="83"/>
      <c r="CJV545" s="83"/>
      <c r="CKF545" s="83"/>
      <c r="CKP545" s="83"/>
      <c r="CKZ545" s="83"/>
      <c r="CLJ545" s="83"/>
      <c r="CLT545" s="83"/>
      <c r="CMD545" s="83"/>
      <c r="CMN545" s="83"/>
      <c r="CMX545" s="83"/>
      <c r="CNH545" s="83"/>
      <c r="CNR545" s="83"/>
      <c r="COB545" s="83"/>
      <c r="COL545" s="83"/>
      <c r="COV545" s="83"/>
      <c r="CPF545" s="83"/>
      <c r="CPP545" s="83"/>
      <c r="CPZ545" s="83"/>
      <c r="CQJ545" s="83"/>
      <c r="CQT545" s="83"/>
      <c r="CRD545" s="83"/>
      <c r="CRN545" s="83"/>
      <c r="CRX545" s="83"/>
      <c r="CSH545" s="83"/>
      <c r="CSR545" s="83"/>
      <c r="CTB545" s="83"/>
      <c r="CTL545" s="83"/>
      <c r="CTV545" s="83"/>
    </row>
    <row r="546" s="58" customFormat="1" customHeight="1" spans="1:1020 1030:2040 2050:2570">
      <c r="A546" s="87"/>
      <c r="B546" s="94"/>
      <c r="C546" s="95"/>
      <c r="D546" s="75"/>
      <c r="E546" s="75"/>
      <c r="F546" s="76"/>
      <c r="G546" s="75"/>
      <c r="H546" s="76"/>
      <c r="I546" s="76"/>
      <c r="J546" s="75"/>
      <c r="K546" s="78"/>
      <c r="T546" s="83"/>
      <c r="AD546" s="83"/>
      <c r="AN546" s="83"/>
      <c r="AX546" s="83"/>
      <c r="BH546" s="83"/>
      <c r="BR546" s="83"/>
      <c r="CB546" s="83"/>
      <c r="CL546" s="83"/>
      <c r="CV546" s="83"/>
      <c r="DF546" s="83"/>
      <c r="DP546" s="83"/>
      <c r="DZ546" s="83"/>
      <c r="EJ546" s="83"/>
      <c r="ET546" s="83"/>
      <c r="FD546" s="83"/>
      <c r="FN546" s="83"/>
      <c r="FX546" s="83"/>
      <c r="GH546" s="83"/>
      <c r="GR546" s="83"/>
      <c r="HB546" s="83"/>
      <c r="HL546" s="83"/>
      <c r="HV546" s="83"/>
      <c r="IF546" s="83"/>
      <c r="IP546" s="83"/>
      <c r="IZ546" s="83"/>
      <c r="JJ546" s="83"/>
      <c r="JT546" s="83"/>
      <c r="KD546" s="83"/>
      <c r="KN546" s="83"/>
      <c r="KX546" s="83"/>
      <c r="LH546" s="83"/>
      <c r="LR546" s="83"/>
      <c r="MB546" s="83"/>
      <c r="ML546" s="83"/>
      <c r="MV546" s="83"/>
      <c r="NF546" s="83"/>
      <c r="NP546" s="83"/>
      <c r="NZ546" s="83"/>
      <c r="OJ546" s="83"/>
      <c r="OT546" s="83"/>
      <c r="PD546" s="83"/>
      <c r="PN546" s="83"/>
      <c r="PX546" s="83"/>
      <c r="QH546" s="83"/>
      <c r="QR546" s="83"/>
      <c r="RB546" s="83"/>
      <c r="RL546" s="83"/>
      <c r="RV546" s="83"/>
      <c r="SF546" s="83"/>
      <c r="SP546" s="83"/>
      <c r="SZ546" s="83"/>
      <c r="TJ546" s="83"/>
      <c r="TT546" s="83"/>
      <c r="UD546" s="83"/>
      <c r="UN546" s="83"/>
      <c r="UX546" s="83"/>
      <c r="VH546" s="83"/>
      <c r="VR546" s="83"/>
      <c r="WB546" s="83"/>
      <c r="WL546" s="83"/>
      <c r="WV546" s="83"/>
      <c r="XF546" s="83"/>
      <c r="XP546" s="83"/>
      <c r="XZ546" s="83"/>
      <c r="YJ546" s="83"/>
      <c r="YT546" s="83"/>
      <c r="ZD546" s="83"/>
      <c r="ZN546" s="83"/>
      <c r="ZX546" s="83"/>
      <c r="AAH546" s="83"/>
      <c r="AAR546" s="83"/>
      <c r="ABB546" s="83"/>
      <c r="ABL546" s="83"/>
      <c r="ABV546" s="83"/>
      <c r="ACF546" s="83"/>
      <c r="ACP546" s="83"/>
      <c r="ACZ546" s="83"/>
      <c r="ADJ546" s="83"/>
      <c r="ADT546" s="83"/>
      <c r="AED546" s="83"/>
      <c r="AEN546" s="83"/>
      <c r="AEX546" s="83"/>
      <c r="AFH546" s="83"/>
      <c r="AFR546" s="83"/>
      <c r="AGB546" s="83"/>
      <c r="AGL546" s="83"/>
      <c r="AGV546" s="83"/>
      <c r="AHF546" s="83"/>
      <c r="AHP546" s="83"/>
      <c r="AHZ546" s="83"/>
      <c r="AIJ546" s="83"/>
      <c r="AIT546" s="83"/>
      <c r="AJD546" s="83"/>
      <c r="AJN546" s="83"/>
      <c r="AJX546" s="83"/>
      <c r="AKH546" s="83"/>
      <c r="AKR546" s="83"/>
      <c r="ALB546" s="83"/>
      <c r="ALL546" s="83"/>
      <c r="ALV546" s="83"/>
      <c r="AMF546" s="83"/>
      <c r="AMP546" s="83"/>
      <c r="AMZ546" s="83"/>
      <c r="ANJ546" s="83"/>
      <c r="ANT546" s="83"/>
      <c r="AOD546" s="83"/>
      <c r="AON546" s="83"/>
      <c r="AOX546" s="83"/>
      <c r="APH546" s="83"/>
      <c r="APR546" s="83"/>
      <c r="AQB546" s="83"/>
      <c r="AQL546" s="83"/>
      <c r="AQV546" s="83"/>
      <c r="ARF546" s="83"/>
      <c r="ARP546" s="83"/>
      <c r="ARZ546" s="83"/>
      <c r="ASJ546" s="83"/>
      <c r="AST546" s="83"/>
      <c r="ATD546" s="83"/>
      <c r="ATN546" s="83"/>
      <c r="ATX546" s="83"/>
      <c r="AUH546" s="83"/>
      <c r="AUR546" s="83"/>
      <c r="AVB546" s="83"/>
      <c r="AVL546" s="83"/>
      <c r="AVV546" s="83"/>
      <c r="AWF546" s="83"/>
      <c r="AWP546" s="83"/>
      <c r="AWZ546" s="83"/>
      <c r="AXJ546" s="83"/>
      <c r="AXT546" s="83"/>
      <c r="AYD546" s="83"/>
      <c r="AYN546" s="83"/>
      <c r="AYX546" s="83"/>
      <c r="AZH546" s="83"/>
      <c r="AZR546" s="83"/>
      <c r="BAB546" s="83"/>
      <c r="BAL546" s="83"/>
      <c r="BAV546" s="83"/>
      <c r="BBF546" s="83"/>
      <c r="BBP546" s="83"/>
      <c r="BBZ546" s="83"/>
      <c r="BCJ546" s="83"/>
      <c r="BCT546" s="83"/>
      <c r="BDD546" s="83"/>
      <c r="BDN546" s="83"/>
      <c r="BDX546" s="83"/>
      <c r="BEH546" s="83"/>
      <c r="BER546" s="83"/>
      <c r="BFB546" s="83"/>
      <c r="BFL546" s="83"/>
      <c r="BFV546" s="83"/>
      <c r="BGF546" s="83"/>
      <c r="BGP546" s="83"/>
      <c r="BGZ546" s="83"/>
      <c r="BHJ546" s="83"/>
      <c r="BHT546" s="83"/>
      <c r="BID546" s="83"/>
      <c r="BIN546" s="83"/>
      <c r="BIX546" s="83"/>
      <c r="BJH546" s="83"/>
      <c r="BJR546" s="83"/>
      <c r="BKB546" s="83"/>
      <c r="BKL546" s="83"/>
      <c r="BKV546" s="83"/>
      <c r="BLF546" s="83"/>
      <c r="BLP546" s="83"/>
      <c r="BLZ546" s="83"/>
      <c r="BMJ546" s="83"/>
      <c r="BMT546" s="83"/>
      <c r="BND546" s="83"/>
      <c r="BNN546" s="83"/>
      <c r="BNX546" s="83"/>
      <c r="BOH546" s="83"/>
      <c r="BOR546" s="83"/>
      <c r="BPB546" s="83"/>
      <c r="BPL546" s="83"/>
      <c r="BPV546" s="83"/>
      <c r="BQF546" s="83"/>
      <c r="BQP546" s="83"/>
      <c r="BQZ546" s="83"/>
      <c r="BRJ546" s="83"/>
      <c r="BRT546" s="83"/>
      <c r="BSD546" s="83"/>
      <c r="BSN546" s="83"/>
      <c r="BSX546" s="83"/>
      <c r="BTH546" s="83"/>
      <c r="BTR546" s="83"/>
      <c r="BUB546" s="83"/>
      <c r="BUL546" s="83"/>
      <c r="BUV546" s="83"/>
      <c r="BVF546" s="83"/>
      <c r="BVP546" s="83"/>
      <c r="BVZ546" s="83"/>
      <c r="BWJ546" s="83"/>
      <c r="BWT546" s="83"/>
      <c r="BXD546" s="83"/>
      <c r="BXN546" s="83"/>
      <c r="BXX546" s="83"/>
      <c r="BYH546" s="83"/>
      <c r="BYR546" s="83"/>
      <c r="BZB546" s="83"/>
      <c r="BZL546" s="83"/>
      <c r="BZV546" s="83"/>
      <c r="CAF546" s="83"/>
      <c r="CAP546" s="83"/>
      <c r="CAZ546" s="83"/>
      <c r="CBJ546" s="83"/>
      <c r="CBT546" s="83"/>
      <c r="CCD546" s="83"/>
      <c r="CCN546" s="83"/>
      <c r="CCX546" s="83"/>
      <c r="CDH546" s="83"/>
      <c r="CDR546" s="83"/>
      <c r="CEB546" s="83"/>
      <c r="CEL546" s="83"/>
      <c r="CEV546" s="83"/>
      <c r="CFF546" s="83"/>
      <c r="CFP546" s="83"/>
      <c r="CFZ546" s="83"/>
      <c r="CGJ546" s="83"/>
      <c r="CGT546" s="83"/>
      <c r="CHD546" s="83"/>
      <c r="CHN546" s="83"/>
      <c r="CHX546" s="83"/>
      <c r="CIH546" s="83"/>
      <c r="CIR546" s="83"/>
      <c r="CJB546" s="83"/>
      <c r="CJL546" s="83"/>
      <c r="CJV546" s="83"/>
      <c r="CKF546" s="83"/>
      <c r="CKP546" s="83"/>
      <c r="CKZ546" s="83"/>
      <c r="CLJ546" s="83"/>
      <c r="CLT546" s="83"/>
      <c r="CMD546" s="83"/>
      <c r="CMN546" s="83"/>
      <c r="CMX546" s="83"/>
      <c r="CNH546" s="83"/>
      <c r="CNR546" s="83"/>
      <c r="COB546" s="83"/>
      <c r="COL546" s="83"/>
      <c r="COV546" s="83"/>
      <c r="CPF546" s="83"/>
      <c r="CPP546" s="83"/>
      <c r="CPZ546" s="83"/>
      <c r="CQJ546" s="83"/>
      <c r="CQT546" s="83"/>
      <c r="CRD546" s="83"/>
      <c r="CRN546" s="83"/>
      <c r="CRX546" s="83"/>
      <c r="CSH546" s="83"/>
      <c r="CSR546" s="83"/>
      <c r="CTB546" s="83"/>
      <c r="CTL546" s="83"/>
      <c r="CTV546" s="83"/>
    </row>
    <row r="547" s="58" customFormat="1" customHeight="1" spans="1:1020 1030:2040 2050:2570">
      <c r="A547" s="87"/>
      <c r="B547" s="94"/>
      <c r="C547" s="95"/>
      <c r="D547" s="75"/>
      <c r="E547" s="75"/>
      <c r="F547" s="76"/>
      <c r="G547" s="75"/>
      <c r="H547" s="76"/>
      <c r="I547" s="76"/>
      <c r="J547" s="75"/>
      <c r="K547" s="78"/>
      <c r="T547" s="83"/>
      <c r="AD547" s="83"/>
      <c r="AN547" s="83"/>
      <c r="AX547" s="83"/>
      <c r="BH547" s="83"/>
      <c r="BR547" s="83"/>
      <c r="CB547" s="83"/>
      <c r="CL547" s="83"/>
      <c r="CV547" s="83"/>
      <c r="DF547" s="83"/>
      <c r="DP547" s="83"/>
      <c r="DZ547" s="83"/>
      <c r="EJ547" s="83"/>
      <c r="ET547" s="83"/>
      <c r="FD547" s="83"/>
      <c r="FN547" s="83"/>
      <c r="FX547" s="83"/>
      <c r="GH547" s="83"/>
      <c r="GR547" s="83"/>
      <c r="HB547" s="83"/>
      <c r="HL547" s="83"/>
      <c r="HV547" s="83"/>
      <c r="IF547" s="83"/>
      <c r="IP547" s="83"/>
      <c r="IZ547" s="83"/>
      <c r="JJ547" s="83"/>
      <c r="JT547" s="83"/>
      <c r="KD547" s="83"/>
      <c r="KN547" s="83"/>
      <c r="KX547" s="83"/>
      <c r="LH547" s="83"/>
      <c r="LR547" s="83"/>
      <c r="MB547" s="83"/>
      <c r="ML547" s="83"/>
      <c r="MV547" s="83"/>
      <c r="NF547" s="83"/>
      <c r="NP547" s="83"/>
      <c r="NZ547" s="83"/>
      <c r="OJ547" s="83"/>
      <c r="OT547" s="83"/>
      <c r="PD547" s="83"/>
      <c r="PN547" s="83"/>
      <c r="PX547" s="83"/>
      <c r="QH547" s="83"/>
      <c r="QR547" s="83"/>
      <c r="RB547" s="83"/>
      <c r="RL547" s="83"/>
      <c r="RV547" s="83"/>
      <c r="SF547" s="83"/>
      <c r="SP547" s="83"/>
      <c r="SZ547" s="83"/>
      <c r="TJ547" s="83"/>
      <c r="TT547" s="83"/>
      <c r="UD547" s="83"/>
      <c r="UN547" s="83"/>
      <c r="UX547" s="83"/>
      <c r="VH547" s="83"/>
      <c r="VR547" s="83"/>
      <c r="WB547" s="83"/>
      <c r="WL547" s="83"/>
      <c r="WV547" s="83"/>
      <c r="XF547" s="83"/>
      <c r="XP547" s="83"/>
      <c r="XZ547" s="83"/>
      <c r="YJ547" s="83"/>
      <c r="YT547" s="83"/>
      <c r="ZD547" s="83"/>
      <c r="ZN547" s="83"/>
      <c r="ZX547" s="83"/>
      <c r="AAH547" s="83"/>
      <c r="AAR547" s="83"/>
      <c r="ABB547" s="83"/>
      <c r="ABL547" s="83"/>
      <c r="ABV547" s="83"/>
      <c r="ACF547" s="83"/>
      <c r="ACP547" s="83"/>
      <c r="ACZ547" s="83"/>
      <c r="ADJ547" s="83"/>
      <c r="ADT547" s="83"/>
      <c r="AED547" s="83"/>
      <c r="AEN547" s="83"/>
      <c r="AEX547" s="83"/>
      <c r="AFH547" s="83"/>
      <c r="AFR547" s="83"/>
      <c r="AGB547" s="83"/>
      <c r="AGL547" s="83"/>
      <c r="AGV547" s="83"/>
      <c r="AHF547" s="83"/>
      <c r="AHP547" s="83"/>
      <c r="AHZ547" s="83"/>
      <c r="AIJ547" s="83"/>
      <c r="AIT547" s="83"/>
      <c r="AJD547" s="83"/>
      <c r="AJN547" s="83"/>
      <c r="AJX547" s="83"/>
      <c r="AKH547" s="83"/>
      <c r="AKR547" s="83"/>
      <c r="ALB547" s="83"/>
      <c r="ALL547" s="83"/>
      <c r="ALV547" s="83"/>
      <c r="AMF547" s="83"/>
      <c r="AMP547" s="83"/>
      <c r="AMZ547" s="83"/>
      <c r="ANJ547" s="83"/>
      <c r="ANT547" s="83"/>
      <c r="AOD547" s="83"/>
      <c r="AON547" s="83"/>
      <c r="AOX547" s="83"/>
      <c r="APH547" s="83"/>
      <c r="APR547" s="83"/>
      <c r="AQB547" s="83"/>
      <c r="AQL547" s="83"/>
      <c r="AQV547" s="83"/>
      <c r="ARF547" s="83"/>
      <c r="ARP547" s="83"/>
      <c r="ARZ547" s="83"/>
      <c r="ASJ547" s="83"/>
      <c r="AST547" s="83"/>
      <c r="ATD547" s="83"/>
      <c r="ATN547" s="83"/>
      <c r="ATX547" s="83"/>
      <c r="AUH547" s="83"/>
      <c r="AUR547" s="83"/>
      <c r="AVB547" s="83"/>
      <c r="AVL547" s="83"/>
      <c r="AVV547" s="83"/>
      <c r="AWF547" s="83"/>
      <c r="AWP547" s="83"/>
      <c r="AWZ547" s="83"/>
      <c r="AXJ547" s="83"/>
      <c r="AXT547" s="83"/>
      <c r="AYD547" s="83"/>
      <c r="AYN547" s="83"/>
      <c r="AYX547" s="83"/>
      <c r="AZH547" s="83"/>
      <c r="AZR547" s="83"/>
      <c r="BAB547" s="83"/>
      <c r="BAL547" s="83"/>
      <c r="BAV547" s="83"/>
      <c r="BBF547" s="83"/>
      <c r="BBP547" s="83"/>
      <c r="BBZ547" s="83"/>
      <c r="BCJ547" s="83"/>
      <c r="BCT547" s="83"/>
      <c r="BDD547" s="83"/>
      <c r="BDN547" s="83"/>
      <c r="BDX547" s="83"/>
      <c r="BEH547" s="83"/>
      <c r="BER547" s="83"/>
      <c r="BFB547" s="83"/>
      <c r="BFL547" s="83"/>
      <c r="BFV547" s="83"/>
      <c r="BGF547" s="83"/>
      <c r="BGP547" s="83"/>
      <c r="BGZ547" s="83"/>
      <c r="BHJ547" s="83"/>
      <c r="BHT547" s="83"/>
      <c r="BID547" s="83"/>
      <c r="BIN547" s="83"/>
      <c r="BIX547" s="83"/>
      <c r="BJH547" s="83"/>
      <c r="BJR547" s="83"/>
      <c r="BKB547" s="83"/>
      <c r="BKL547" s="83"/>
      <c r="BKV547" s="83"/>
      <c r="BLF547" s="83"/>
      <c r="BLP547" s="83"/>
      <c r="BLZ547" s="83"/>
      <c r="BMJ547" s="83"/>
      <c r="BMT547" s="83"/>
      <c r="BND547" s="83"/>
      <c r="BNN547" s="83"/>
      <c r="BNX547" s="83"/>
      <c r="BOH547" s="83"/>
      <c r="BOR547" s="83"/>
      <c r="BPB547" s="83"/>
      <c r="BPL547" s="83"/>
      <c r="BPV547" s="83"/>
      <c r="BQF547" s="83"/>
      <c r="BQP547" s="83"/>
      <c r="BQZ547" s="83"/>
      <c r="BRJ547" s="83"/>
      <c r="BRT547" s="83"/>
      <c r="BSD547" s="83"/>
      <c r="BSN547" s="83"/>
      <c r="BSX547" s="83"/>
      <c r="BTH547" s="83"/>
      <c r="BTR547" s="83"/>
      <c r="BUB547" s="83"/>
      <c r="BUL547" s="83"/>
      <c r="BUV547" s="83"/>
      <c r="BVF547" s="83"/>
      <c r="BVP547" s="83"/>
      <c r="BVZ547" s="83"/>
      <c r="BWJ547" s="83"/>
      <c r="BWT547" s="83"/>
      <c r="BXD547" s="83"/>
      <c r="BXN547" s="83"/>
      <c r="BXX547" s="83"/>
      <c r="BYH547" s="83"/>
      <c r="BYR547" s="83"/>
      <c r="BZB547" s="83"/>
      <c r="BZL547" s="83"/>
      <c r="BZV547" s="83"/>
      <c r="CAF547" s="83"/>
      <c r="CAP547" s="83"/>
      <c r="CAZ547" s="83"/>
      <c r="CBJ547" s="83"/>
      <c r="CBT547" s="83"/>
      <c r="CCD547" s="83"/>
      <c r="CCN547" s="83"/>
      <c r="CCX547" s="83"/>
      <c r="CDH547" s="83"/>
      <c r="CDR547" s="83"/>
      <c r="CEB547" s="83"/>
      <c r="CEL547" s="83"/>
      <c r="CEV547" s="83"/>
      <c r="CFF547" s="83"/>
      <c r="CFP547" s="83"/>
      <c r="CFZ547" s="83"/>
      <c r="CGJ547" s="83"/>
      <c r="CGT547" s="83"/>
      <c r="CHD547" s="83"/>
      <c r="CHN547" s="83"/>
      <c r="CHX547" s="83"/>
      <c r="CIH547" s="83"/>
      <c r="CIR547" s="83"/>
      <c r="CJB547" s="83"/>
      <c r="CJL547" s="83"/>
      <c r="CJV547" s="83"/>
      <c r="CKF547" s="83"/>
      <c r="CKP547" s="83"/>
      <c r="CKZ547" s="83"/>
      <c r="CLJ547" s="83"/>
      <c r="CLT547" s="83"/>
      <c r="CMD547" s="83"/>
      <c r="CMN547" s="83"/>
      <c r="CMX547" s="83"/>
      <c r="CNH547" s="83"/>
      <c r="CNR547" s="83"/>
      <c r="COB547" s="83"/>
      <c r="COL547" s="83"/>
      <c r="COV547" s="83"/>
      <c r="CPF547" s="83"/>
      <c r="CPP547" s="83"/>
      <c r="CPZ547" s="83"/>
      <c r="CQJ547" s="83"/>
      <c r="CQT547" s="83"/>
      <c r="CRD547" s="83"/>
      <c r="CRN547" s="83"/>
      <c r="CRX547" s="83"/>
      <c r="CSH547" s="83"/>
      <c r="CSR547" s="83"/>
      <c r="CTB547" s="83"/>
      <c r="CTL547" s="83"/>
      <c r="CTV547" s="83"/>
    </row>
    <row r="548" s="58" customFormat="1" customHeight="1" spans="1:1020 1030:2040 2050:2570">
      <c r="A548" s="87"/>
      <c r="B548" s="94"/>
      <c r="C548" s="95"/>
      <c r="D548" s="75"/>
      <c r="E548" s="75"/>
      <c r="F548" s="76"/>
      <c r="G548" s="75"/>
      <c r="H548" s="76"/>
      <c r="I548" s="76"/>
      <c r="J548" s="75"/>
      <c r="K548" s="78"/>
      <c r="T548" s="83"/>
      <c r="AD548" s="83"/>
      <c r="AN548" s="83"/>
      <c r="AX548" s="83"/>
      <c r="BH548" s="83"/>
      <c r="BR548" s="83"/>
      <c r="CB548" s="83"/>
      <c r="CL548" s="83"/>
      <c r="CV548" s="83"/>
      <c r="DF548" s="83"/>
      <c r="DP548" s="83"/>
      <c r="DZ548" s="83"/>
      <c r="EJ548" s="83"/>
      <c r="ET548" s="83"/>
      <c r="FD548" s="83"/>
      <c r="FN548" s="83"/>
      <c r="FX548" s="83"/>
      <c r="GH548" s="83"/>
      <c r="GR548" s="83"/>
      <c r="HB548" s="83"/>
      <c r="HL548" s="83"/>
      <c r="HV548" s="83"/>
      <c r="IF548" s="83"/>
      <c r="IP548" s="83"/>
      <c r="IZ548" s="83"/>
      <c r="JJ548" s="83"/>
      <c r="JT548" s="83"/>
      <c r="KD548" s="83"/>
      <c r="KN548" s="83"/>
      <c r="KX548" s="83"/>
      <c r="LH548" s="83"/>
      <c r="LR548" s="83"/>
      <c r="MB548" s="83"/>
      <c r="ML548" s="83"/>
      <c r="MV548" s="83"/>
      <c r="NF548" s="83"/>
      <c r="NP548" s="83"/>
      <c r="NZ548" s="83"/>
      <c r="OJ548" s="83"/>
      <c r="OT548" s="83"/>
      <c r="PD548" s="83"/>
      <c r="PN548" s="83"/>
      <c r="PX548" s="83"/>
      <c r="QH548" s="83"/>
      <c r="QR548" s="83"/>
      <c r="RB548" s="83"/>
      <c r="RL548" s="83"/>
      <c r="RV548" s="83"/>
      <c r="SF548" s="83"/>
      <c r="SP548" s="83"/>
      <c r="SZ548" s="83"/>
      <c r="TJ548" s="83"/>
      <c r="TT548" s="83"/>
      <c r="UD548" s="83"/>
      <c r="UN548" s="83"/>
      <c r="UX548" s="83"/>
      <c r="VH548" s="83"/>
      <c r="VR548" s="83"/>
      <c r="WB548" s="83"/>
      <c r="WL548" s="83"/>
      <c r="WV548" s="83"/>
      <c r="XF548" s="83"/>
      <c r="XP548" s="83"/>
      <c r="XZ548" s="83"/>
      <c r="YJ548" s="83"/>
      <c r="YT548" s="83"/>
      <c r="ZD548" s="83"/>
      <c r="ZN548" s="83"/>
      <c r="ZX548" s="83"/>
      <c r="AAH548" s="83"/>
      <c r="AAR548" s="83"/>
      <c r="ABB548" s="83"/>
      <c r="ABL548" s="83"/>
      <c r="ABV548" s="83"/>
      <c r="ACF548" s="83"/>
      <c r="ACP548" s="83"/>
      <c r="ACZ548" s="83"/>
      <c r="ADJ548" s="83"/>
      <c r="ADT548" s="83"/>
      <c r="AED548" s="83"/>
      <c r="AEN548" s="83"/>
      <c r="AEX548" s="83"/>
      <c r="AFH548" s="83"/>
      <c r="AFR548" s="83"/>
      <c r="AGB548" s="83"/>
      <c r="AGL548" s="83"/>
      <c r="AGV548" s="83"/>
      <c r="AHF548" s="83"/>
      <c r="AHP548" s="83"/>
      <c r="AHZ548" s="83"/>
      <c r="AIJ548" s="83"/>
      <c r="AIT548" s="83"/>
      <c r="AJD548" s="83"/>
      <c r="AJN548" s="83"/>
      <c r="AJX548" s="83"/>
      <c r="AKH548" s="83"/>
      <c r="AKR548" s="83"/>
      <c r="ALB548" s="83"/>
      <c r="ALL548" s="83"/>
      <c r="ALV548" s="83"/>
      <c r="AMF548" s="83"/>
      <c r="AMP548" s="83"/>
      <c r="AMZ548" s="83"/>
      <c r="ANJ548" s="83"/>
      <c r="ANT548" s="83"/>
      <c r="AOD548" s="83"/>
      <c r="AON548" s="83"/>
      <c r="AOX548" s="83"/>
      <c r="APH548" s="83"/>
      <c r="APR548" s="83"/>
      <c r="AQB548" s="83"/>
      <c r="AQL548" s="83"/>
      <c r="AQV548" s="83"/>
      <c r="ARF548" s="83"/>
      <c r="ARP548" s="83"/>
      <c r="ARZ548" s="83"/>
      <c r="ASJ548" s="83"/>
      <c r="AST548" s="83"/>
      <c r="ATD548" s="83"/>
      <c r="ATN548" s="83"/>
      <c r="ATX548" s="83"/>
      <c r="AUH548" s="83"/>
      <c r="AUR548" s="83"/>
      <c r="AVB548" s="83"/>
      <c r="AVL548" s="83"/>
      <c r="AVV548" s="83"/>
      <c r="AWF548" s="83"/>
      <c r="AWP548" s="83"/>
      <c r="AWZ548" s="83"/>
      <c r="AXJ548" s="83"/>
      <c r="AXT548" s="83"/>
      <c r="AYD548" s="83"/>
      <c r="AYN548" s="83"/>
      <c r="AYX548" s="83"/>
      <c r="AZH548" s="83"/>
      <c r="AZR548" s="83"/>
      <c r="BAB548" s="83"/>
      <c r="BAL548" s="83"/>
      <c r="BAV548" s="83"/>
      <c r="BBF548" s="83"/>
      <c r="BBP548" s="83"/>
      <c r="BBZ548" s="83"/>
      <c r="BCJ548" s="83"/>
      <c r="BCT548" s="83"/>
      <c r="BDD548" s="83"/>
      <c r="BDN548" s="83"/>
      <c r="BDX548" s="83"/>
      <c r="BEH548" s="83"/>
      <c r="BER548" s="83"/>
      <c r="BFB548" s="83"/>
      <c r="BFL548" s="83"/>
      <c r="BFV548" s="83"/>
      <c r="BGF548" s="83"/>
      <c r="BGP548" s="83"/>
      <c r="BGZ548" s="83"/>
      <c r="BHJ548" s="83"/>
      <c r="BHT548" s="83"/>
      <c r="BID548" s="83"/>
      <c r="BIN548" s="83"/>
      <c r="BIX548" s="83"/>
      <c r="BJH548" s="83"/>
      <c r="BJR548" s="83"/>
      <c r="BKB548" s="83"/>
      <c r="BKL548" s="83"/>
      <c r="BKV548" s="83"/>
      <c r="BLF548" s="83"/>
      <c r="BLP548" s="83"/>
      <c r="BLZ548" s="83"/>
      <c r="BMJ548" s="83"/>
      <c r="BMT548" s="83"/>
      <c r="BND548" s="83"/>
      <c r="BNN548" s="83"/>
      <c r="BNX548" s="83"/>
      <c r="BOH548" s="83"/>
      <c r="BOR548" s="83"/>
      <c r="BPB548" s="83"/>
      <c r="BPL548" s="83"/>
      <c r="BPV548" s="83"/>
      <c r="BQF548" s="83"/>
      <c r="BQP548" s="83"/>
      <c r="BQZ548" s="83"/>
      <c r="BRJ548" s="83"/>
      <c r="BRT548" s="83"/>
      <c r="BSD548" s="83"/>
      <c r="BSN548" s="83"/>
      <c r="BSX548" s="83"/>
      <c r="BTH548" s="83"/>
      <c r="BTR548" s="83"/>
      <c r="BUB548" s="83"/>
      <c r="BUL548" s="83"/>
      <c r="BUV548" s="83"/>
      <c r="BVF548" s="83"/>
      <c r="BVP548" s="83"/>
      <c r="BVZ548" s="83"/>
      <c r="BWJ548" s="83"/>
      <c r="BWT548" s="83"/>
      <c r="BXD548" s="83"/>
      <c r="BXN548" s="83"/>
      <c r="BXX548" s="83"/>
      <c r="BYH548" s="83"/>
      <c r="BYR548" s="83"/>
      <c r="BZB548" s="83"/>
      <c r="BZL548" s="83"/>
      <c r="BZV548" s="83"/>
      <c r="CAF548" s="83"/>
      <c r="CAP548" s="83"/>
      <c r="CAZ548" s="83"/>
      <c r="CBJ548" s="83"/>
      <c r="CBT548" s="83"/>
      <c r="CCD548" s="83"/>
      <c r="CCN548" s="83"/>
      <c r="CCX548" s="83"/>
      <c r="CDH548" s="83"/>
      <c r="CDR548" s="83"/>
      <c r="CEB548" s="83"/>
      <c r="CEL548" s="83"/>
      <c r="CEV548" s="83"/>
      <c r="CFF548" s="83"/>
      <c r="CFP548" s="83"/>
      <c r="CFZ548" s="83"/>
      <c r="CGJ548" s="83"/>
      <c r="CGT548" s="83"/>
      <c r="CHD548" s="83"/>
      <c r="CHN548" s="83"/>
      <c r="CHX548" s="83"/>
      <c r="CIH548" s="83"/>
      <c r="CIR548" s="83"/>
      <c r="CJB548" s="83"/>
      <c r="CJL548" s="83"/>
      <c r="CJV548" s="83"/>
      <c r="CKF548" s="83"/>
      <c r="CKP548" s="83"/>
      <c r="CKZ548" s="83"/>
      <c r="CLJ548" s="83"/>
      <c r="CLT548" s="83"/>
      <c r="CMD548" s="83"/>
      <c r="CMN548" s="83"/>
      <c r="CMX548" s="83"/>
      <c r="CNH548" s="83"/>
      <c r="CNR548" s="83"/>
      <c r="COB548" s="83"/>
      <c r="COL548" s="83"/>
      <c r="COV548" s="83"/>
      <c r="CPF548" s="83"/>
      <c r="CPP548" s="83"/>
      <c r="CPZ548" s="83"/>
      <c r="CQJ548" s="83"/>
      <c r="CQT548" s="83"/>
      <c r="CRD548" s="83"/>
      <c r="CRN548" s="83"/>
      <c r="CRX548" s="83"/>
      <c r="CSH548" s="83"/>
      <c r="CSR548" s="83"/>
      <c r="CTB548" s="83"/>
      <c r="CTL548" s="83"/>
      <c r="CTV548" s="83"/>
    </row>
    <row r="549" customHeight="1" spans="1:1020 1030:2040 2050:2570">
      <c r="A549" s="72"/>
      <c r="B549" s="73"/>
      <c r="C549" s="74"/>
      <c r="D549" s="74"/>
      <c r="E549" s="75"/>
      <c r="F549" s="76"/>
      <c r="G549" s="74"/>
      <c r="H549" s="77"/>
      <c r="I549" s="77"/>
      <c r="J549" s="74"/>
      <c r="K549" s="78"/>
    </row>
    <row r="550" customHeight="1" spans="1:1020 1030:2040 2050:2570">
      <c r="A550" s="72"/>
      <c r="B550" s="73"/>
      <c r="C550" s="74"/>
      <c r="D550" s="74"/>
      <c r="E550" s="75"/>
      <c r="F550" s="76"/>
      <c r="G550" s="74"/>
      <c r="H550" s="77"/>
      <c r="I550" s="77"/>
      <c r="J550" s="74"/>
      <c r="K550" s="78"/>
    </row>
    <row r="551" s="58" customFormat="1" customHeight="1" spans="1:1020 1030:2040 2050:2570">
      <c r="A551" s="87"/>
      <c r="B551" s="94"/>
      <c r="C551" s="95"/>
      <c r="D551" s="75"/>
      <c r="E551" s="96"/>
      <c r="F551" s="76"/>
      <c r="G551" s="75"/>
      <c r="H551" s="77"/>
      <c r="I551" s="77"/>
      <c r="J551" s="75"/>
      <c r="K551" s="78"/>
      <c r="T551" s="83"/>
      <c r="AD551" s="83"/>
      <c r="AN551" s="83"/>
      <c r="AX551" s="83"/>
      <c r="BH551" s="83"/>
      <c r="BR551" s="83"/>
      <c r="CB551" s="83"/>
      <c r="CL551" s="83"/>
      <c r="CV551" s="83"/>
      <c r="DF551" s="83"/>
      <c r="DP551" s="83"/>
      <c r="DZ551" s="83"/>
      <c r="EJ551" s="83"/>
      <c r="ET551" s="83"/>
      <c r="FD551" s="83"/>
      <c r="FN551" s="83"/>
      <c r="FX551" s="83"/>
      <c r="GH551" s="83"/>
      <c r="GR551" s="83"/>
      <c r="HB551" s="83"/>
      <c r="HL551" s="83"/>
      <c r="HV551" s="83"/>
      <c r="IF551" s="83"/>
      <c r="IP551" s="83"/>
      <c r="IZ551" s="83"/>
      <c r="JJ551" s="83"/>
      <c r="JT551" s="83"/>
      <c r="KD551" s="83"/>
      <c r="KN551" s="83"/>
      <c r="KX551" s="83"/>
      <c r="LH551" s="83"/>
      <c r="LR551" s="83"/>
      <c r="MB551" s="83"/>
      <c r="ML551" s="83"/>
      <c r="MV551" s="83"/>
      <c r="NF551" s="83"/>
      <c r="NP551" s="83"/>
      <c r="NZ551" s="83"/>
      <c r="OJ551" s="83"/>
      <c r="OT551" s="83"/>
      <c r="PD551" s="83"/>
      <c r="PN551" s="83"/>
      <c r="PX551" s="83"/>
      <c r="QH551" s="83"/>
      <c r="QR551" s="83"/>
      <c r="RB551" s="83"/>
      <c r="RL551" s="83"/>
      <c r="RV551" s="83"/>
      <c r="SF551" s="83"/>
      <c r="SP551" s="83"/>
      <c r="SZ551" s="83"/>
      <c r="TJ551" s="83"/>
      <c r="TT551" s="83"/>
      <c r="UD551" s="83"/>
      <c r="UN551" s="83"/>
      <c r="UX551" s="83"/>
      <c r="VH551" s="83"/>
      <c r="VR551" s="83"/>
      <c r="WB551" s="83"/>
      <c r="WL551" s="83"/>
      <c r="WV551" s="83"/>
      <c r="XF551" s="83"/>
      <c r="XP551" s="83"/>
      <c r="XZ551" s="83"/>
      <c r="YJ551" s="83"/>
      <c r="YT551" s="83"/>
      <c r="ZD551" s="83"/>
      <c r="ZN551" s="83"/>
      <c r="ZX551" s="83"/>
      <c r="AAH551" s="83"/>
      <c r="AAR551" s="83"/>
      <c r="ABB551" s="83"/>
      <c r="ABL551" s="83"/>
      <c r="ABV551" s="83"/>
      <c r="ACF551" s="83"/>
      <c r="ACP551" s="83"/>
      <c r="ACZ551" s="83"/>
      <c r="ADJ551" s="83"/>
      <c r="ADT551" s="83"/>
      <c r="AED551" s="83"/>
      <c r="AEN551" s="83"/>
      <c r="AEX551" s="83"/>
      <c r="AFH551" s="83"/>
      <c r="AFR551" s="83"/>
      <c r="AGB551" s="83"/>
      <c r="AGL551" s="83"/>
      <c r="AGV551" s="83"/>
      <c r="AHF551" s="83"/>
      <c r="AHP551" s="83"/>
      <c r="AHZ551" s="83"/>
      <c r="AIJ551" s="83"/>
      <c r="AIT551" s="83"/>
      <c r="AJD551" s="83"/>
      <c r="AJN551" s="83"/>
      <c r="AJX551" s="83"/>
      <c r="AKH551" s="83"/>
      <c r="AKR551" s="83"/>
      <c r="ALB551" s="83"/>
      <c r="ALL551" s="83"/>
      <c r="ALV551" s="83"/>
      <c r="AMF551" s="83"/>
      <c r="AMP551" s="83"/>
      <c r="AMZ551" s="83"/>
      <c r="ANJ551" s="83"/>
      <c r="ANT551" s="83"/>
      <c r="AOD551" s="83"/>
      <c r="AON551" s="83"/>
      <c r="AOX551" s="83"/>
      <c r="APH551" s="83"/>
      <c r="APR551" s="83"/>
      <c r="AQB551" s="83"/>
      <c r="AQL551" s="83"/>
      <c r="AQV551" s="83"/>
      <c r="ARF551" s="83"/>
      <c r="ARP551" s="83"/>
      <c r="ARZ551" s="83"/>
      <c r="ASJ551" s="83"/>
      <c r="AST551" s="83"/>
      <c r="ATD551" s="83"/>
      <c r="ATN551" s="83"/>
      <c r="ATX551" s="83"/>
      <c r="AUH551" s="83"/>
      <c r="AUR551" s="83"/>
      <c r="AVB551" s="83"/>
      <c r="AVL551" s="83"/>
      <c r="AVV551" s="83"/>
      <c r="AWF551" s="83"/>
      <c r="AWP551" s="83"/>
      <c r="AWZ551" s="83"/>
      <c r="AXJ551" s="83"/>
      <c r="AXT551" s="83"/>
      <c r="AYD551" s="83"/>
      <c r="AYN551" s="83"/>
      <c r="AYX551" s="83"/>
      <c r="AZH551" s="83"/>
      <c r="AZR551" s="83"/>
      <c r="BAB551" s="83"/>
      <c r="BAL551" s="83"/>
      <c r="BAV551" s="83"/>
      <c r="BBF551" s="83"/>
      <c r="BBP551" s="83"/>
      <c r="BBZ551" s="83"/>
      <c r="BCJ551" s="83"/>
      <c r="BCT551" s="83"/>
      <c r="BDD551" s="83"/>
      <c r="BDN551" s="83"/>
      <c r="BDX551" s="83"/>
      <c r="BEH551" s="83"/>
      <c r="BER551" s="83"/>
      <c r="BFB551" s="83"/>
      <c r="BFL551" s="83"/>
      <c r="BFV551" s="83"/>
      <c r="BGF551" s="83"/>
      <c r="BGP551" s="83"/>
      <c r="BGZ551" s="83"/>
      <c r="BHJ551" s="83"/>
      <c r="BHT551" s="83"/>
      <c r="BID551" s="83"/>
      <c r="BIN551" s="83"/>
      <c r="BIX551" s="83"/>
      <c r="BJH551" s="83"/>
      <c r="BJR551" s="83"/>
      <c r="BKB551" s="83"/>
      <c r="BKL551" s="83"/>
      <c r="BKV551" s="83"/>
      <c r="BLF551" s="83"/>
      <c r="BLP551" s="83"/>
      <c r="BLZ551" s="83"/>
      <c r="BMJ551" s="83"/>
      <c r="BMT551" s="83"/>
      <c r="BND551" s="83"/>
      <c r="BNN551" s="83"/>
      <c r="BNX551" s="83"/>
      <c r="BOH551" s="83"/>
      <c r="BOR551" s="83"/>
      <c r="BPB551" s="83"/>
      <c r="BPL551" s="83"/>
      <c r="BPV551" s="83"/>
      <c r="BQF551" s="83"/>
      <c r="BQP551" s="83"/>
      <c r="BQZ551" s="83"/>
      <c r="BRJ551" s="83"/>
      <c r="BRT551" s="83"/>
      <c r="BSD551" s="83"/>
      <c r="BSN551" s="83"/>
      <c r="BSX551" s="83"/>
      <c r="BTH551" s="83"/>
      <c r="BTR551" s="83"/>
      <c r="BUB551" s="83"/>
      <c r="BUL551" s="83"/>
      <c r="BUV551" s="83"/>
      <c r="BVF551" s="83"/>
      <c r="BVP551" s="83"/>
      <c r="BVZ551" s="83"/>
      <c r="BWJ551" s="83"/>
      <c r="BWT551" s="83"/>
      <c r="BXD551" s="83"/>
      <c r="BXN551" s="83"/>
      <c r="BXX551" s="83"/>
      <c r="BYH551" s="83"/>
      <c r="BYR551" s="83"/>
      <c r="BZB551" s="83"/>
      <c r="BZL551" s="83"/>
      <c r="BZV551" s="83"/>
      <c r="CAF551" s="83"/>
      <c r="CAP551" s="83"/>
      <c r="CAZ551" s="83"/>
      <c r="CBJ551" s="83"/>
      <c r="CBT551" s="83"/>
      <c r="CCD551" s="83"/>
      <c r="CCN551" s="83"/>
      <c r="CCX551" s="83"/>
      <c r="CDH551" s="83"/>
      <c r="CDR551" s="83"/>
      <c r="CEB551" s="83"/>
      <c r="CEL551" s="83"/>
      <c r="CEV551" s="83"/>
      <c r="CFF551" s="83"/>
      <c r="CFP551" s="83"/>
      <c r="CFZ551" s="83"/>
      <c r="CGJ551" s="83"/>
      <c r="CGT551" s="83"/>
      <c r="CHD551" s="83"/>
      <c r="CHN551" s="83"/>
      <c r="CHX551" s="83"/>
      <c r="CIH551" s="83"/>
      <c r="CIR551" s="83"/>
      <c r="CJB551" s="83"/>
      <c r="CJL551" s="83"/>
      <c r="CJV551" s="83"/>
      <c r="CKF551" s="83"/>
      <c r="CKP551" s="83"/>
      <c r="CKZ551" s="83"/>
      <c r="CLJ551" s="83"/>
      <c r="CLT551" s="83"/>
      <c r="CMD551" s="83"/>
      <c r="CMN551" s="83"/>
      <c r="CMX551" s="83"/>
      <c r="CNH551" s="83"/>
      <c r="CNR551" s="83"/>
      <c r="COB551" s="83"/>
      <c r="COL551" s="83"/>
      <c r="COV551" s="83"/>
      <c r="CPF551" s="83"/>
      <c r="CPP551" s="83"/>
      <c r="CPZ551" s="83"/>
      <c r="CQJ551" s="83"/>
      <c r="CQT551" s="83"/>
      <c r="CRD551" s="83"/>
      <c r="CRN551" s="83"/>
      <c r="CRX551" s="83"/>
      <c r="CSH551" s="83"/>
      <c r="CSR551" s="83"/>
      <c r="CTB551" s="83"/>
      <c r="CTL551" s="83"/>
      <c r="CTV551" s="83"/>
    </row>
    <row r="552" s="58" customFormat="1" customHeight="1" spans="1:1020 1030:2040 2050:2570">
      <c r="A552" s="87"/>
      <c r="B552" s="94"/>
      <c r="C552" s="95"/>
      <c r="D552" s="75"/>
      <c r="E552" s="96"/>
      <c r="F552" s="76"/>
      <c r="G552" s="75"/>
      <c r="H552" s="77"/>
      <c r="I552" s="77"/>
      <c r="J552" s="75"/>
      <c r="K552" s="78"/>
      <c r="T552" s="83"/>
      <c r="AD552" s="83"/>
      <c r="AN552" s="83"/>
      <c r="AX552" s="83"/>
      <c r="BH552" s="83"/>
      <c r="BR552" s="83"/>
      <c r="CB552" s="83"/>
      <c r="CL552" s="83"/>
      <c r="CV552" s="83"/>
      <c r="DF552" s="83"/>
      <c r="DP552" s="83"/>
      <c r="DZ552" s="83"/>
      <c r="EJ552" s="83"/>
      <c r="ET552" s="83"/>
      <c r="FD552" s="83"/>
      <c r="FN552" s="83"/>
      <c r="FX552" s="83"/>
      <c r="GH552" s="83"/>
      <c r="GR552" s="83"/>
      <c r="HB552" s="83"/>
      <c r="HL552" s="83"/>
      <c r="HV552" s="83"/>
      <c r="IF552" s="83"/>
      <c r="IP552" s="83"/>
      <c r="IZ552" s="83"/>
      <c r="JJ552" s="83"/>
      <c r="JT552" s="83"/>
      <c r="KD552" s="83"/>
      <c r="KN552" s="83"/>
      <c r="KX552" s="83"/>
      <c r="LH552" s="83"/>
      <c r="LR552" s="83"/>
      <c r="MB552" s="83"/>
      <c r="ML552" s="83"/>
      <c r="MV552" s="83"/>
      <c r="NF552" s="83"/>
      <c r="NP552" s="83"/>
      <c r="NZ552" s="83"/>
      <c r="OJ552" s="83"/>
      <c r="OT552" s="83"/>
      <c r="PD552" s="83"/>
      <c r="PN552" s="83"/>
      <c r="PX552" s="83"/>
      <c r="QH552" s="83"/>
      <c r="QR552" s="83"/>
      <c r="RB552" s="83"/>
      <c r="RL552" s="83"/>
      <c r="RV552" s="83"/>
      <c r="SF552" s="83"/>
      <c r="SP552" s="83"/>
      <c r="SZ552" s="83"/>
      <c r="TJ552" s="83"/>
      <c r="TT552" s="83"/>
      <c r="UD552" s="83"/>
      <c r="UN552" s="83"/>
      <c r="UX552" s="83"/>
      <c r="VH552" s="83"/>
      <c r="VR552" s="83"/>
      <c r="WB552" s="83"/>
      <c r="WL552" s="83"/>
      <c r="WV552" s="83"/>
      <c r="XF552" s="83"/>
      <c r="XP552" s="83"/>
      <c r="XZ552" s="83"/>
      <c r="YJ552" s="83"/>
      <c r="YT552" s="83"/>
      <c r="ZD552" s="83"/>
      <c r="ZN552" s="83"/>
      <c r="ZX552" s="83"/>
      <c r="AAH552" s="83"/>
      <c r="AAR552" s="83"/>
      <c r="ABB552" s="83"/>
      <c r="ABL552" s="83"/>
      <c r="ABV552" s="83"/>
      <c r="ACF552" s="83"/>
      <c r="ACP552" s="83"/>
      <c r="ACZ552" s="83"/>
      <c r="ADJ552" s="83"/>
      <c r="ADT552" s="83"/>
      <c r="AED552" s="83"/>
      <c r="AEN552" s="83"/>
      <c r="AEX552" s="83"/>
      <c r="AFH552" s="83"/>
      <c r="AFR552" s="83"/>
      <c r="AGB552" s="83"/>
      <c r="AGL552" s="83"/>
      <c r="AGV552" s="83"/>
      <c r="AHF552" s="83"/>
      <c r="AHP552" s="83"/>
      <c r="AHZ552" s="83"/>
      <c r="AIJ552" s="83"/>
      <c r="AIT552" s="83"/>
      <c r="AJD552" s="83"/>
      <c r="AJN552" s="83"/>
      <c r="AJX552" s="83"/>
      <c r="AKH552" s="83"/>
      <c r="AKR552" s="83"/>
      <c r="ALB552" s="83"/>
      <c r="ALL552" s="83"/>
      <c r="ALV552" s="83"/>
      <c r="AMF552" s="83"/>
      <c r="AMP552" s="83"/>
      <c r="AMZ552" s="83"/>
      <c r="ANJ552" s="83"/>
      <c r="ANT552" s="83"/>
      <c r="AOD552" s="83"/>
      <c r="AON552" s="83"/>
      <c r="AOX552" s="83"/>
      <c r="APH552" s="83"/>
      <c r="APR552" s="83"/>
      <c r="AQB552" s="83"/>
      <c r="AQL552" s="83"/>
      <c r="AQV552" s="83"/>
      <c r="ARF552" s="83"/>
      <c r="ARP552" s="83"/>
      <c r="ARZ552" s="83"/>
      <c r="ASJ552" s="83"/>
      <c r="AST552" s="83"/>
      <c r="ATD552" s="83"/>
      <c r="ATN552" s="83"/>
      <c r="ATX552" s="83"/>
      <c r="AUH552" s="83"/>
      <c r="AUR552" s="83"/>
      <c r="AVB552" s="83"/>
      <c r="AVL552" s="83"/>
      <c r="AVV552" s="83"/>
      <c r="AWF552" s="83"/>
      <c r="AWP552" s="83"/>
      <c r="AWZ552" s="83"/>
      <c r="AXJ552" s="83"/>
      <c r="AXT552" s="83"/>
      <c r="AYD552" s="83"/>
      <c r="AYN552" s="83"/>
      <c r="AYX552" s="83"/>
      <c r="AZH552" s="83"/>
      <c r="AZR552" s="83"/>
      <c r="BAB552" s="83"/>
      <c r="BAL552" s="83"/>
      <c r="BAV552" s="83"/>
      <c r="BBF552" s="83"/>
      <c r="BBP552" s="83"/>
      <c r="BBZ552" s="83"/>
      <c r="BCJ552" s="83"/>
      <c r="BCT552" s="83"/>
      <c r="BDD552" s="83"/>
      <c r="BDN552" s="83"/>
      <c r="BDX552" s="83"/>
      <c r="BEH552" s="83"/>
      <c r="BER552" s="83"/>
      <c r="BFB552" s="83"/>
      <c r="BFL552" s="83"/>
      <c r="BFV552" s="83"/>
      <c r="BGF552" s="83"/>
      <c r="BGP552" s="83"/>
      <c r="BGZ552" s="83"/>
      <c r="BHJ552" s="83"/>
      <c r="BHT552" s="83"/>
      <c r="BID552" s="83"/>
      <c r="BIN552" s="83"/>
      <c r="BIX552" s="83"/>
      <c r="BJH552" s="83"/>
      <c r="BJR552" s="83"/>
      <c r="BKB552" s="83"/>
      <c r="BKL552" s="83"/>
      <c r="BKV552" s="83"/>
      <c r="BLF552" s="83"/>
      <c r="BLP552" s="83"/>
      <c r="BLZ552" s="83"/>
      <c r="BMJ552" s="83"/>
      <c r="BMT552" s="83"/>
      <c r="BND552" s="83"/>
      <c r="BNN552" s="83"/>
      <c r="BNX552" s="83"/>
      <c r="BOH552" s="83"/>
      <c r="BOR552" s="83"/>
      <c r="BPB552" s="83"/>
      <c r="BPL552" s="83"/>
      <c r="BPV552" s="83"/>
      <c r="BQF552" s="83"/>
      <c r="BQP552" s="83"/>
      <c r="BQZ552" s="83"/>
      <c r="BRJ552" s="83"/>
      <c r="BRT552" s="83"/>
      <c r="BSD552" s="83"/>
      <c r="BSN552" s="83"/>
      <c r="BSX552" s="83"/>
      <c r="BTH552" s="83"/>
      <c r="BTR552" s="83"/>
      <c r="BUB552" s="83"/>
      <c r="BUL552" s="83"/>
      <c r="BUV552" s="83"/>
      <c r="BVF552" s="83"/>
      <c r="BVP552" s="83"/>
      <c r="BVZ552" s="83"/>
      <c r="BWJ552" s="83"/>
      <c r="BWT552" s="83"/>
      <c r="BXD552" s="83"/>
      <c r="BXN552" s="83"/>
      <c r="BXX552" s="83"/>
      <c r="BYH552" s="83"/>
      <c r="BYR552" s="83"/>
      <c r="BZB552" s="83"/>
      <c r="BZL552" s="83"/>
      <c r="BZV552" s="83"/>
      <c r="CAF552" s="83"/>
      <c r="CAP552" s="83"/>
      <c r="CAZ552" s="83"/>
      <c r="CBJ552" s="83"/>
      <c r="CBT552" s="83"/>
      <c r="CCD552" s="83"/>
      <c r="CCN552" s="83"/>
      <c r="CCX552" s="83"/>
      <c r="CDH552" s="83"/>
      <c r="CDR552" s="83"/>
      <c r="CEB552" s="83"/>
      <c r="CEL552" s="83"/>
      <c r="CEV552" s="83"/>
      <c r="CFF552" s="83"/>
      <c r="CFP552" s="83"/>
      <c r="CFZ552" s="83"/>
      <c r="CGJ552" s="83"/>
      <c r="CGT552" s="83"/>
      <c r="CHD552" s="83"/>
      <c r="CHN552" s="83"/>
      <c r="CHX552" s="83"/>
      <c r="CIH552" s="83"/>
      <c r="CIR552" s="83"/>
      <c r="CJB552" s="83"/>
      <c r="CJL552" s="83"/>
      <c r="CJV552" s="83"/>
      <c r="CKF552" s="83"/>
      <c r="CKP552" s="83"/>
      <c r="CKZ552" s="83"/>
      <c r="CLJ552" s="83"/>
      <c r="CLT552" s="83"/>
      <c r="CMD552" s="83"/>
      <c r="CMN552" s="83"/>
      <c r="CMX552" s="83"/>
      <c r="CNH552" s="83"/>
      <c r="CNR552" s="83"/>
      <c r="COB552" s="83"/>
      <c r="COL552" s="83"/>
      <c r="COV552" s="83"/>
      <c r="CPF552" s="83"/>
      <c r="CPP552" s="83"/>
      <c r="CPZ552" s="83"/>
      <c r="CQJ552" s="83"/>
      <c r="CQT552" s="83"/>
      <c r="CRD552" s="83"/>
      <c r="CRN552" s="83"/>
      <c r="CRX552" s="83"/>
      <c r="CSH552" s="83"/>
      <c r="CSR552" s="83"/>
      <c r="CTB552" s="83"/>
      <c r="CTL552" s="83"/>
      <c r="CTV552" s="83"/>
    </row>
    <row r="553" s="58" customFormat="1" customHeight="1" spans="1:1020 1030:2040 2050:2570">
      <c r="A553" s="87"/>
      <c r="B553" s="94"/>
      <c r="C553" s="95"/>
      <c r="D553" s="75"/>
      <c r="E553" s="96"/>
      <c r="F553" s="76"/>
      <c r="G553" s="75"/>
      <c r="H553" s="77"/>
      <c r="I553" s="77"/>
      <c r="J553" s="75"/>
      <c r="K553" s="78"/>
      <c r="T553" s="83"/>
      <c r="AD553" s="83"/>
      <c r="AN553" s="83"/>
      <c r="AX553" s="83"/>
      <c r="BH553" s="83"/>
      <c r="BR553" s="83"/>
      <c r="CB553" s="83"/>
      <c r="CL553" s="83"/>
      <c r="CV553" s="83"/>
      <c r="DF553" s="83"/>
      <c r="DP553" s="83"/>
      <c r="DZ553" s="83"/>
      <c r="EJ553" s="83"/>
      <c r="ET553" s="83"/>
      <c r="FD553" s="83"/>
      <c r="FN553" s="83"/>
      <c r="FX553" s="83"/>
      <c r="GH553" s="83"/>
      <c r="GR553" s="83"/>
      <c r="HB553" s="83"/>
      <c r="HL553" s="83"/>
      <c r="HV553" s="83"/>
      <c r="IF553" s="83"/>
      <c r="IP553" s="83"/>
      <c r="IZ553" s="83"/>
      <c r="JJ553" s="83"/>
      <c r="JT553" s="83"/>
      <c r="KD553" s="83"/>
      <c r="KN553" s="83"/>
      <c r="KX553" s="83"/>
      <c r="LH553" s="83"/>
      <c r="LR553" s="83"/>
      <c r="MB553" s="83"/>
      <c r="ML553" s="83"/>
      <c r="MV553" s="83"/>
      <c r="NF553" s="83"/>
      <c r="NP553" s="83"/>
      <c r="NZ553" s="83"/>
      <c r="OJ553" s="83"/>
      <c r="OT553" s="83"/>
      <c r="PD553" s="83"/>
      <c r="PN553" s="83"/>
      <c r="PX553" s="83"/>
      <c r="QH553" s="83"/>
      <c r="QR553" s="83"/>
      <c r="RB553" s="83"/>
      <c r="RL553" s="83"/>
      <c r="RV553" s="83"/>
      <c r="SF553" s="83"/>
      <c r="SP553" s="83"/>
      <c r="SZ553" s="83"/>
      <c r="TJ553" s="83"/>
      <c r="TT553" s="83"/>
      <c r="UD553" s="83"/>
      <c r="UN553" s="83"/>
      <c r="UX553" s="83"/>
      <c r="VH553" s="83"/>
      <c r="VR553" s="83"/>
      <c r="WB553" s="83"/>
      <c r="WL553" s="83"/>
      <c r="WV553" s="83"/>
      <c r="XF553" s="83"/>
      <c r="XP553" s="83"/>
      <c r="XZ553" s="83"/>
      <c r="YJ553" s="83"/>
      <c r="YT553" s="83"/>
      <c r="ZD553" s="83"/>
      <c r="ZN553" s="83"/>
      <c r="ZX553" s="83"/>
      <c r="AAH553" s="83"/>
      <c r="AAR553" s="83"/>
      <c r="ABB553" s="83"/>
      <c r="ABL553" s="83"/>
      <c r="ABV553" s="83"/>
      <c r="ACF553" s="83"/>
      <c r="ACP553" s="83"/>
      <c r="ACZ553" s="83"/>
      <c r="ADJ553" s="83"/>
      <c r="ADT553" s="83"/>
      <c r="AED553" s="83"/>
      <c r="AEN553" s="83"/>
      <c r="AEX553" s="83"/>
      <c r="AFH553" s="83"/>
      <c r="AFR553" s="83"/>
      <c r="AGB553" s="83"/>
      <c r="AGL553" s="83"/>
      <c r="AGV553" s="83"/>
      <c r="AHF553" s="83"/>
      <c r="AHP553" s="83"/>
      <c r="AHZ553" s="83"/>
      <c r="AIJ553" s="83"/>
      <c r="AIT553" s="83"/>
      <c r="AJD553" s="83"/>
      <c r="AJN553" s="83"/>
      <c r="AJX553" s="83"/>
      <c r="AKH553" s="83"/>
      <c r="AKR553" s="83"/>
      <c r="ALB553" s="83"/>
      <c r="ALL553" s="83"/>
      <c r="ALV553" s="83"/>
      <c r="AMF553" s="83"/>
      <c r="AMP553" s="83"/>
      <c r="AMZ553" s="83"/>
      <c r="ANJ553" s="83"/>
      <c r="ANT553" s="83"/>
      <c r="AOD553" s="83"/>
      <c r="AON553" s="83"/>
      <c r="AOX553" s="83"/>
      <c r="APH553" s="83"/>
      <c r="APR553" s="83"/>
      <c r="AQB553" s="83"/>
      <c r="AQL553" s="83"/>
      <c r="AQV553" s="83"/>
      <c r="ARF553" s="83"/>
      <c r="ARP553" s="83"/>
      <c r="ARZ553" s="83"/>
      <c r="ASJ553" s="83"/>
      <c r="AST553" s="83"/>
      <c r="ATD553" s="83"/>
      <c r="ATN553" s="83"/>
      <c r="ATX553" s="83"/>
      <c r="AUH553" s="83"/>
      <c r="AUR553" s="83"/>
      <c r="AVB553" s="83"/>
      <c r="AVL553" s="83"/>
      <c r="AVV553" s="83"/>
      <c r="AWF553" s="83"/>
      <c r="AWP553" s="83"/>
      <c r="AWZ553" s="83"/>
      <c r="AXJ553" s="83"/>
      <c r="AXT553" s="83"/>
      <c r="AYD553" s="83"/>
      <c r="AYN553" s="83"/>
      <c r="AYX553" s="83"/>
      <c r="AZH553" s="83"/>
      <c r="AZR553" s="83"/>
      <c r="BAB553" s="83"/>
      <c r="BAL553" s="83"/>
      <c r="BAV553" s="83"/>
      <c r="BBF553" s="83"/>
      <c r="BBP553" s="83"/>
      <c r="BBZ553" s="83"/>
      <c r="BCJ553" s="83"/>
      <c r="BCT553" s="83"/>
      <c r="BDD553" s="83"/>
      <c r="BDN553" s="83"/>
      <c r="BDX553" s="83"/>
      <c r="BEH553" s="83"/>
      <c r="BER553" s="83"/>
      <c r="BFB553" s="83"/>
      <c r="BFL553" s="83"/>
      <c r="BFV553" s="83"/>
      <c r="BGF553" s="83"/>
      <c r="BGP553" s="83"/>
      <c r="BGZ553" s="83"/>
      <c r="BHJ553" s="83"/>
      <c r="BHT553" s="83"/>
      <c r="BID553" s="83"/>
      <c r="BIN553" s="83"/>
      <c r="BIX553" s="83"/>
      <c r="BJH553" s="83"/>
      <c r="BJR553" s="83"/>
      <c r="BKB553" s="83"/>
      <c r="BKL553" s="83"/>
      <c r="BKV553" s="83"/>
      <c r="BLF553" s="83"/>
      <c r="BLP553" s="83"/>
      <c r="BLZ553" s="83"/>
      <c r="BMJ553" s="83"/>
      <c r="BMT553" s="83"/>
      <c r="BND553" s="83"/>
      <c r="BNN553" s="83"/>
      <c r="BNX553" s="83"/>
      <c r="BOH553" s="83"/>
      <c r="BOR553" s="83"/>
      <c r="BPB553" s="83"/>
      <c r="BPL553" s="83"/>
      <c r="BPV553" s="83"/>
      <c r="BQF553" s="83"/>
      <c r="BQP553" s="83"/>
      <c r="BQZ553" s="83"/>
      <c r="BRJ553" s="83"/>
      <c r="BRT553" s="83"/>
      <c r="BSD553" s="83"/>
      <c r="BSN553" s="83"/>
      <c r="BSX553" s="83"/>
      <c r="BTH553" s="83"/>
      <c r="BTR553" s="83"/>
      <c r="BUB553" s="83"/>
      <c r="BUL553" s="83"/>
      <c r="BUV553" s="83"/>
      <c r="BVF553" s="83"/>
      <c r="BVP553" s="83"/>
      <c r="BVZ553" s="83"/>
      <c r="BWJ553" s="83"/>
      <c r="BWT553" s="83"/>
      <c r="BXD553" s="83"/>
      <c r="BXN553" s="83"/>
      <c r="BXX553" s="83"/>
      <c r="BYH553" s="83"/>
      <c r="BYR553" s="83"/>
      <c r="BZB553" s="83"/>
      <c r="BZL553" s="83"/>
      <c r="BZV553" s="83"/>
      <c r="CAF553" s="83"/>
      <c r="CAP553" s="83"/>
      <c r="CAZ553" s="83"/>
      <c r="CBJ553" s="83"/>
      <c r="CBT553" s="83"/>
      <c r="CCD553" s="83"/>
      <c r="CCN553" s="83"/>
      <c r="CCX553" s="83"/>
      <c r="CDH553" s="83"/>
      <c r="CDR553" s="83"/>
      <c r="CEB553" s="83"/>
      <c r="CEL553" s="83"/>
      <c r="CEV553" s="83"/>
      <c r="CFF553" s="83"/>
      <c r="CFP553" s="83"/>
      <c r="CFZ553" s="83"/>
      <c r="CGJ553" s="83"/>
      <c r="CGT553" s="83"/>
      <c r="CHD553" s="83"/>
      <c r="CHN553" s="83"/>
      <c r="CHX553" s="83"/>
      <c r="CIH553" s="83"/>
      <c r="CIR553" s="83"/>
      <c r="CJB553" s="83"/>
      <c r="CJL553" s="83"/>
      <c r="CJV553" s="83"/>
      <c r="CKF553" s="83"/>
      <c r="CKP553" s="83"/>
      <c r="CKZ553" s="83"/>
      <c r="CLJ553" s="83"/>
      <c r="CLT553" s="83"/>
      <c r="CMD553" s="83"/>
      <c r="CMN553" s="83"/>
      <c r="CMX553" s="83"/>
      <c r="CNH553" s="83"/>
      <c r="CNR553" s="83"/>
      <c r="COB553" s="83"/>
      <c r="COL553" s="83"/>
      <c r="COV553" s="83"/>
      <c r="CPF553" s="83"/>
      <c r="CPP553" s="83"/>
      <c r="CPZ553" s="83"/>
      <c r="CQJ553" s="83"/>
      <c r="CQT553" s="83"/>
      <c r="CRD553" s="83"/>
      <c r="CRN553" s="83"/>
      <c r="CRX553" s="83"/>
      <c r="CSH553" s="83"/>
      <c r="CSR553" s="83"/>
      <c r="CTB553" s="83"/>
      <c r="CTL553" s="83"/>
      <c r="CTV553" s="83"/>
    </row>
    <row r="554" s="58" customFormat="1" customHeight="1" spans="1:1020 1030:2040 2050:2570">
      <c r="A554" s="87"/>
      <c r="B554" s="94"/>
      <c r="C554" s="95"/>
      <c r="D554" s="75"/>
      <c r="E554" s="96"/>
      <c r="F554" s="76"/>
      <c r="G554" s="75"/>
      <c r="H554" s="77"/>
      <c r="I554" s="77"/>
      <c r="J554" s="75"/>
      <c r="K554" s="78"/>
      <c r="T554" s="83"/>
      <c r="AD554" s="83"/>
      <c r="AN554" s="83"/>
      <c r="AX554" s="83"/>
      <c r="BH554" s="83"/>
      <c r="BR554" s="83"/>
      <c r="CB554" s="83"/>
      <c r="CL554" s="83"/>
      <c r="CV554" s="83"/>
      <c r="DF554" s="83"/>
      <c r="DP554" s="83"/>
      <c r="DZ554" s="83"/>
      <c r="EJ554" s="83"/>
      <c r="ET554" s="83"/>
      <c r="FD554" s="83"/>
      <c r="FN554" s="83"/>
      <c r="FX554" s="83"/>
      <c r="GH554" s="83"/>
      <c r="GR554" s="83"/>
      <c r="HB554" s="83"/>
      <c r="HL554" s="83"/>
      <c r="HV554" s="83"/>
      <c r="IF554" s="83"/>
      <c r="IP554" s="83"/>
      <c r="IZ554" s="83"/>
      <c r="JJ554" s="83"/>
      <c r="JT554" s="83"/>
      <c r="KD554" s="83"/>
      <c r="KN554" s="83"/>
      <c r="KX554" s="83"/>
      <c r="LH554" s="83"/>
      <c r="LR554" s="83"/>
      <c r="MB554" s="83"/>
      <c r="ML554" s="83"/>
      <c r="MV554" s="83"/>
      <c r="NF554" s="83"/>
      <c r="NP554" s="83"/>
      <c r="NZ554" s="83"/>
      <c r="OJ554" s="83"/>
      <c r="OT554" s="83"/>
      <c r="PD554" s="83"/>
      <c r="PN554" s="83"/>
      <c r="PX554" s="83"/>
      <c r="QH554" s="83"/>
      <c r="QR554" s="83"/>
      <c r="RB554" s="83"/>
      <c r="RL554" s="83"/>
      <c r="RV554" s="83"/>
      <c r="SF554" s="83"/>
      <c r="SP554" s="83"/>
      <c r="SZ554" s="83"/>
      <c r="TJ554" s="83"/>
      <c r="TT554" s="83"/>
      <c r="UD554" s="83"/>
      <c r="UN554" s="83"/>
      <c r="UX554" s="83"/>
      <c r="VH554" s="83"/>
      <c r="VR554" s="83"/>
      <c r="WB554" s="83"/>
      <c r="WL554" s="83"/>
      <c r="WV554" s="83"/>
      <c r="XF554" s="83"/>
      <c r="XP554" s="83"/>
      <c r="XZ554" s="83"/>
      <c r="YJ554" s="83"/>
      <c r="YT554" s="83"/>
      <c r="ZD554" s="83"/>
      <c r="ZN554" s="83"/>
      <c r="ZX554" s="83"/>
      <c r="AAH554" s="83"/>
      <c r="AAR554" s="83"/>
      <c r="ABB554" s="83"/>
      <c r="ABL554" s="83"/>
      <c r="ABV554" s="83"/>
      <c r="ACF554" s="83"/>
      <c r="ACP554" s="83"/>
      <c r="ACZ554" s="83"/>
      <c r="ADJ554" s="83"/>
      <c r="ADT554" s="83"/>
      <c r="AED554" s="83"/>
      <c r="AEN554" s="83"/>
      <c r="AEX554" s="83"/>
      <c r="AFH554" s="83"/>
      <c r="AFR554" s="83"/>
      <c r="AGB554" s="83"/>
      <c r="AGL554" s="83"/>
      <c r="AGV554" s="83"/>
      <c r="AHF554" s="83"/>
      <c r="AHP554" s="83"/>
      <c r="AHZ554" s="83"/>
      <c r="AIJ554" s="83"/>
      <c r="AIT554" s="83"/>
      <c r="AJD554" s="83"/>
      <c r="AJN554" s="83"/>
      <c r="AJX554" s="83"/>
      <c r="AKH554" s="83"/>
      <c r="AKR554" s="83"/>
      <c r="ALB554" s="83"/>
      <c r="ALL554" s="83"/>
      <c r="ALV554" s="83"/>
      <c r="AMF554" s="83"/>
      <c r="AMP554" s="83"/>
      <c r="AMZ554" s="83"/>
      <c r="ANJ554" s="83"/>
      <c r="ANT554" s="83"/>
      <c r="AOD554" s="83"/>
      <c r="AON554" s="83"/>
      <c r="AOX554" s="83"/>
      <c r="APH554" s="83"/>
      <c r="APR554" s="83"/>
      <c r="AQB554" s="83"/>
      <c r="AQL554" s="83"/>
      <c r="AQV554" s="83"/>
      <c r="ARF554" s="83"/>
      <c r="ARP554" s="83"/>
      <c r="ARZ554" s="83"/>
      <c r="ASJ554" s="83"/>
      <c r="AST554" s="83"/>
      <c r="ATD554" s="83"/>
      <c r="ATN554" s="83"/>
      <c r="ATX554" s="83"/>
      <c r="AUH554" s="83"/>
      <c r="AUR554" s="83"/>
      <c r="AVB554" s="83"/>
      <c r="AVL554" s="83"/>
      <c r="AVV554" s="83"/>
      <c r="AWF554" s="83"/>
      <c r="AWP554" s="83"/>
      <c r="AWZ554" s="83"/>
      <c r="AXJ554" s="83"/>
      <c r="AXT554" s="83"/>
      <c r="AYD554" s="83"/>
      <c r="AYN554" s="83"/>
      <c r="AYX554" s="83"/>
      <c r="AZH554" s="83"/>
      <c r="AZR554" s="83"/>
      <c r="BAB554" s="83"/>
      <c r="BAL554" s="83"/>
      <c r="BAV554" s="83"/>
      <c r="BBF554" s="83"/>
      <c r="BBP554" s="83"/>
      <c r="BBZ554" s="83"/>
      <c r="BCJ554" s="83"/>
      <c r="BCT554" s="83"/>
      <c r="BDD554" s="83"/>
      <c r="BDN554" s="83"/>
      <c r="BDX554" s="83"/>
      <c r="BEH554" s="83"/>
      <c r="BER554" s="83"/>
      <c r="BFB554" s="83"/>
      <c r="BFL554" s="83"/>
      <c r="BFV554" s="83"/>
      <c r="BGF554" s="83"/>
      <c r="BGP554" s="83"/>
      <c r="BGZ554" s="83"/>
      <c r="BHJ554" s="83"/>
      <c r="BHT554" s="83"/>
      <c r="BID554" s="83"/>
      <c r="BIN554" s="83"/>
      <c r="BIX554" s="83"/>
      <c r="BJH554" s="83"/>
      <c r="BJR554" s="83"/>
      <c r="BKB554" s="83"/>
      <c r="BKL554" s="83"/>
      <c r="BKV554" s="83"/>
      <c r="BLF554" s="83"/>
      <c r="BLP554" s="83"/>
      <c r="BLZ554" s="83"/>
      <c r="BMJ554" s="83"/>
      <c r="BMT554" s="83"/>
      <c r="BND554" s="83"/>
      <c r="BNN554" s="83"/>
      <c r="BNX554" s="83"/>
      <c r="BOH554" s="83"/>
      <c r="BOR554" s="83"/>
      <c r="BPB554" s="83"/>
      <c r="BPL554" s="83"/>
      <c r="BPV554" s="83"/>
      <c r="BQF554" s="83"/>
      <c r="BQP554" s="83"/>
      <c r="BQZ554" s="83"/>
      <c r="BRJ554" s="83"/>
      <c r="BRT554" s="83"/>
      <c r="BSD554" s="83"/>
      <c r="BSN554" s="83"/>
      <c r="BSX554" s="83"/>
      <c r="BTH554" s="83"/>
      <c r="BTR554" s="83"/>
      <c r="BUB554" s="83"/>
      <c r="BUL554" s="83"/>
      <c r="BUV554" s="83"/>
      <c r="BVF554" s="83"/>
      <c r="BVP554" s="83"/>
      <c r="BVZ554" s="83"/>
      <c r="BWJ554" s="83"/>
      <c r="BWT554" s="83"/>
      <c r="BXD554" s="83"/>
      <c r="BXN554" s="83"/>
      <c r="BXX554" s="83"/>
      <c r="BYH554" s="83"/>
      <c r="BYR554" s="83"/>
      <c r="BZB554" s="83"/>
      <c r="BZL554" s="83"/>
      <c r="BZV554" s="83"/>
      <c r="CAF554" s="83"/>
      <c r="CAP554" s="83"/>
      <c r="CAZ554" s="83"/>
      <c r="CBJ554" s="83"/>
      <c r="CBT554" s="83"/>
      <c r="CCD554" s="83"/>
      <c r="CCN554" s="83"/>
      <c r="CCX554" s="83"/>
      <c r="CDH554" s="83"/>
      <c r="CDR554" s="83"/>
      <c r="CEB554" s="83"/>
      <c r="CEL554" s="83"/>
      <c r="CEV554" s="83"/>
      <c r="CFF554" s="83"/>
      <c r="CFP554" s="83"/>
      <c r="CFZ554" s="83"/>
      <c r="CGJ554" s="83"/>
      <c r="CGT554" s="83"/>
      <c r="CHD554" s="83"/>
      <c r="CHN554" s="83"/>
      <c r="CHX554" s="83"/>
      <c r="CIH554" s="83"/>
      <c r="CIR554" s="83"/>
      <c r="CJB554" s="83"/>
      <c r="CJL554" s="83"/>
      <c r="CJV554" s="83"/>
      <c r="CKF554" s="83"/>
      <c r="CKP554" s="83"/>
      <c r="CKZ554" s="83"/>
      <c r="CLJ554" s="83"/>
      <c r="CLT554" s="83"/>
      <c r="CMD554" s="83"/>
      <c r="CMN554" s="83"/>
      <c r="CMX554" s="83"/>
      <c r="CNH554" s="83"/>
      <c r="CNR554" s="83"/>
      <c r="COB554" s="83"/>
      <c r="COL554" s="83"/>
      <c r="COV554" s="83"/>
      <c r="CPF554" s="83"/>
      <c r="CPP554" s="83"/>
      <c r="CPZ554" s="83"/>
      <c r="CQJ554" s="83"/>
      <c r="CQT554" s="83"/>
      <c r="CRD554" s="83"/>
      <c r="CRN554" s="83"/>
      <c r="CRX554" s="83"/>
      <c r="CSH554" s="83"/>
      <c r="CSR554" s="83"/>
      <c r="CTB554" s="83"/>
      <c r="CTL554" s="83"/>
      <c r="CTV554" s="83"/>
    </row>
    <row r="555" s="60" customFormat="1" ht="19.95" customHeight="1" spans="1:1020 1030:2040 2050:2570">
      <c r="A555" s="79"/>
      <c r="B555" s="85"/>
      <c r="C555" s="85"/>
      <c r="D555" s="85"/>
      <c r="E555" s="85"/>
      <c r="F555" s="101"/>
      <c r="G555" s="85"/>
      <c r="H555" s="102"/>
      <c r="I555" s="101"/>
      <c r="J555" s="103"/>
      <c r="K555" s="104"/>
    </row>
    <row r="556" customHeight="1" spans="1:1020 1030:2040 2050:2570">
      <c r="A556" s="72"/>
      <c r="B556" s="73"/>
      <c r="C556" s="74"/>
      <c r="D556" s="74"/>
      <c r="E556" s="75"/>
      <c r="F556" s="76"/>
      <c r="G556" s="74"/>
      <c r="H556" s="77"/>
      <c r="I556" s="77"/>
      <c r="J556" s="74"/>
      <c r="K556" s="78"/>
    </row>
    <row r="557" customHeight="1" spans="1:1020 1030:2040 2050:2570">
      <c r="A557" s="72"/>
      <c r="B557" s="73"/>
      <c r="C557" s="74"/>
      <c r="D557" s="74"/>
      <c r="E557" s="75"/>
      <c r="F557" s="76"/>
      <c r="G557" s="74"/>
      <c r="H557" s="77"/>
      <c r="I557" s="77"/>
      <c r="J557" s="74"/>
      <c r="K557" s="78"/>
    </row>
    <row r="558" customHeight="1" spans="1:1020 1030:2040 2050:2570">
      <c r="A558" s="72"/>
      <c r="B558" s="73"/>
      <c r="C558" s="74"/>
      <c r="D558" s="74"/>
      <c r="E558" s="75"/>
      <c r="F558" s="76"/>
      <c r="G558" s="74"/>
      <c r="H558" s="77"/>
      <c r="I558" s="77"/>
      <c r="J558" s="74"/>
      <c r="K558" s="78"/>
    </row>
    <row r="559" customHeight="1" spans="1:1020 1030:2040 2050:2570">
      <c r="A559" s="72"/>
      <c r="B559" s="73"/>
      <c r="C559" s="74"/>
      <c r="D559" s="74"/>
      <c r="E559" s="75"/>
      <c r="F559" s="76"/>
      <c r="G559" s="74"/>
      <c r="H559" s="77"/>
      <c r="I559" s="77"/>
      <c r="J559" s="74"/>
      <c r="K559" s="78"/>
    </row>
    <row r="560" customHeight="1" spans="1:1020 1030:2040 2050:2570">
      <c r="A560" s="72"/>
      <c r="B560" s="73"/>
      <c r="C560" s="74"/>
      <c r="D560" s="74"/>
      <c r="E560" s="75"/>
      <c r="F560" s="76"/>
      <c r="G560" s="74"/>
      <c r="H560" s="77"/>
      <c r="I560" s="77"/>
      <c r="J560" s="74"/>
      <c r="K560" s="78"/>
    </row>
    <row r="561" customHeight="1" spans="1:11">
      <c r="A561" s="72"/>
      <c r="B561" s="73"/>
      <c r="C561" s="74"/>
      <c r="D561" s="74"/>
      <c r="E561" s="75"/>
      <c r="F561" s="76"/>
      <c r="G561" s="74"/>
      <c r="H561" s="77"/>
      <c r="I561" s="77"/>
      <c r="J561" s="74"/>
      <c r="K561" s="78"/>
    </row>
    <row r="562" customHeight="1" spans="1:11">
      <c r="A562" s="72"/>
      <c r="B562" s="73"/>
      <c r="C562" s="74"/>
      <c r="D562" s="74"/>
      <c r="E562" s="75"/>
      <c r="F562" s="76"/>
      <c r="G562" s="74"/>
      <c r="H562" s="77"/>
      <c r="I562" s="77"/>
      <c r="J562" s="74"/>
      <c r="K562" s="78"/>
    </row>
    <row r="563" customHeight="1" spans="1:11">
      <c r="A563" s="72"/>
      <c r="B563" s="73"/>
      <c r="C563" s="74"/>
      <c r="D563" s="74"/>
      <c r="E563" s="75"/>
      <c r="F563" s="76"/>
      <c r="G563" s="74"/>
      <c r="H563" s="77"/>
      <c r="I563" s="77"/>
      <c r="J563" s="74"/>
      <c r="K563" s="78"/>
    </row>
    <row r="564" customHeight="1" spans="1:11">
      <c r="A564" s="72"/>
      <c r="B564" s="73"/>
      <c r="C564" s="74"/>
      <c r="D564" s="74"/>
      <c r="E564" s="75"/>
      <c r="F564" s="76"/>
      <c r="G564" s="74"/>
      <c r="H564" s="77"/>
      <c r="I564" s="77"/>
      <c r="J564" s="74"/>
      <c r="K564" s="78"/>
    </row>
    <row r="565" customHeight="1" spans="1:11">
      <c r="A565" s="72"/>
      <c r="B565" s="73"/>
      <c r="C565" s="74"/>
      <c r="D565" s="74"/>
      <c r="E565" s="75"/>
      <c r="F565" s="76"/>
      <c r="G565" s="74"/>
      <c r="H565" s="77"/>
      <c r="I565" s="77"/>
      <c r="J565" s="74"/>
      <c r="K565" s="78"/>
    </row>
    <row r="566" customHeight="1" spans="1:11">
      <c r="A566" s="72"/>
      <c r="B566" s="73"/>
      <c r="C566" s="74"/>
      <c r="D566" s="74"/>
      <c r="E566" s="75"/>
      <c r="F566" s="76"/>
      <c r="G566" s="74"/>
      <c r="H566" s="77"/>
      <c r="I566" s="77"/>
      <c r="J566" s="74"/>
      <c r="K566" s="78"/>
    </row>
    <row r="567" customHeight="1" spans="1:11">
      <c r="A567" s="72"/>
      <c r="B567" s="73"/>
      <c r="C567" s="74"/>
      <c r="D567" s="74"/>
      <c r="E567" s="75"/>
      <c r="F567" s="76"/>
      <c r="G567" s="74"/>
      <c r="H567" s="77"/>
      <c r="I567" s="77"/>
      <c r="J567" s="74"/>
      <c r="K567" s="78"/>
    </row>
    <row r="568" customHeight="1" spans="1:11">
      <c r="A568" s="72"/>
      <c r="B568" s="73"/>
      <c r="C568" s="74"/>
      <c r="D568" s="74"/>
      <c r="E568" s="75"/>
      <c r="F568" s="76"/>
      <c r="G568" s="74"/>
      <c r="H568" s="77"/>
      <c r="I568" s="77"/>
      <c r="J568" s="74"/>
      <c r="K568" s="78"/>
    </row>
    <row r="569" customHeight="1" spans="1:11">
      <c r="A569" s="72"/>
      <c r="B569" s="73"/>
      <c r="C569" s="74"/>
      <c r="D569" s="74"/>
      <c r="E569" s="75"/>
      <c r="F569" s="76"/>
      <c r="G569" s="74"/>
      <c r="H569" s="77"/>
      <c r="I569" s="77"/>
      <c r="J569" s="74"/>
      <c r="K569" s="78"/>
    </row>
    <row r="570" customHeight="1" spans="1:11">
      <c r="A570" s="72"/>
      <c r="B570" s="73"/>
      <c r="C570" s="74"/>
      <c r="D570" s="74"/>
      <c r="E570" s="75"/>
      <c r="F570" s="76"/>
      <c r="G570" s="74"/>
      <c r="H570" s="77"/>
      <c r="I570" s="77"/>
      <c r="J570" s="74"/>
      <c r="K570" s="78"/>
    </row>
    <row r="571" customHeight="1" spans="1:11">
      <c r="A571" s="72"/>
      <c r="B571" s="73"/>
      <c r="C571" s="74"/>
      <c r="D571" s="74"/>
      <c r="E571" s="75"/>
      <c r="F571" s="76"/>
      <c r="G571" s="74"/>
      <c r="H571" s="77"/>
      <c r="I571" s="77"/>
      <c r="J571" s="74"/>
      <c r="K571" s="78"/>
    </row>
    <row r="572" customHeight="1" spans="1:11">
      <c r="A572" s="72"/>
      <c r="B572" s="73"/>
      <c r="C572" s="74"/>
      <c r="D572" s="74"/>
      <c r="E572" s="75"/>
      <c r="F572" s="76"/>
      <c r="G572" s="74"/>
      <c r="H572" s="77"/>
      <c r="I572" s="77"/>
      <c r="J572" s="74"/>
      <c r="K572" s="78"/>
    </row>
    <row r="573" customHeight="1" spans="1:11">
      <c r="A573" s="72"/>
      <c r="B573" s="73"/>
      <c r="C573" s="74"/>
      <c r="D573" s="74"/>
      <c r="E573" s="75"/>
      <c r="F573" s="76"/>
      <c r="G573" s="74"/>
      <c r="H573" s="77"/>
      <c r="I573" s="77"/>
      <c r="J573" s="74"/>
      <c r="K573" s="78"/>
    </row>
    <row r="574" customHeight="1" spans="1:11">
      <c r="A574" s="72"/>
      <c r="B574" s="73"/>
      <c r="C574" s="74"/>
      <c r="D574" s="74"/>
      <c r="E574" s="75"/>
      <c r="F574" s="76"/>
      <c r="G574" s="74"/>
      <c r="H574" s="77"/>
      <c r="I574" s="77"/>
      <c r="J574" s="74"/>
      <c r="K574" s="78"/>
    </row>
    <row r="575" customHeight="1" spans="1:11">
      <c r="A575" s="72"/>
      <c r="B575" s="73"/>
      <c r="C575" s="74"/>
      <c r="D575" s="74"/>
      <c r="E575" s="75"/>
      <c r="F575" s="76"/>
      <c r="G575" s="74"/>
      <c r="H575" s="77"/>
      <c r="I575" s="77"/>
      <c r="J575" s="74"/>
      <c r="K575" s="78"/>
    </row>
    <row r="576" customHeight="1" spans="1:11">
      <c r="A576" s="72"/>
      <c r="B576" s="73"/>
      <c r="C576" s="74"/>
      <c r="D576" s="74"/>
      <c r="E576" s="75"/>
      <c r="F576" s="76"/>
      <c r="G576" s="74"/>
      <c r="H576" s="77"/>
      <c r="I576" s="77"/>
      <c r="J576" s="74"/>
      <c r="K576" s="78"/>
    </row>
    <row r="577" customHeight="1" spans="1:11">
      <c r="A577" s="72"/>
      <c r="B577" s="73"/>
      <c r="C577" s="74"/>
      <c r="D577" s="74"/>
      <c r="E577" s="75"/>
      <c r="F577" s="76"/>
      <c r="G577" s="74"/>
      <c r="H577" s="77"/>
      <c r="I577" s="77"/>
      <c r="J577" s="74"/>
      <c r="K577" s="78"/>
    </row>
    <row r="578" customHeight="1" spans="1:11">
      <c r="A578" s="72"/>
      <c r="B578" s="73"/>
      <c r="C578" s="74"/>
      <c r="D578" s="74"/>
      <c r="E578" s="75"/>
      <c r="F578" s="76"/>
      <c r="G578" s="74"/>
      <c r="H578" s="77"/>
      <c r="I578" s="77"/>
      <c r="J578" s="74"/>
      <c r="K578" s="78"/>
    </row>
    <row r="579" customHeight="1" spans="1:11">
      <c r="A579" s="72"/>
      <c r="B579" s="73"/>
      <c r="C579" s="74"/>
      <c r="D579" s="74"/>
      <c r="E579" s="75"/>
      <c r="F579" s="76"/>
      <c r="G579" s="74"/>
      <c r="H579" s="77"/>
      <c r="I579" s="77"/>
      <c r="J579" s="74"/>
      <c r="K579" s="78"/>
    </row>
    <row r="580" customHeight="1" spans="1:11">
      <c r="A580" s="72"/>
      <c r="B580" s="73"/>
      <c r="C580" s="74"/>
      <c r="D580" s="74"/>
      <c r="E580" s="75"/>
      <c r="F580" s="76"/>
      <c r="G580" s="74"/>
      <c r="H580" s="77"/>
      <c r="I580" s="77"/>
      <c r="J580" s="74"/>
      <c r="K580" s="78"/>
    </row>
    <row r="581" customHeight="1" spans="1:11">
      <c r="A581" s="72"/>
      <c r="B581" s="73"/>
      <c r="C581" s="74"/>
      <c r="D581" s="74"/>
      <c r="E581" s="75"/>
      <c r="F581" s="76"/>
      <c r="G581" s="74"/>
      <c r="H581" s="77"/>
      <c r="I581" s="77"/>
      <c r="J581" s="74"/>
      <c r="K581" s="78"/>
    </row>
    <row r="582" customHeight="1" spans="1:11">
      <c r="A582" s="72"/>
      <c r="B582" s="73"/>
      <c r="C582" s="74"/>
      <c r="D582" s="74"/>
      <c r="E582" s="75"/>
      <c r="F582" s="76"/>
      <c r="G582" s="74"/>
      <c r="H582" s="77"/>
      <c r="I582" s="77"/>
      <c r="J582" s="74"/>
      <c r="K582" s="78"/>
    </row>
    <row r="583" customHeight="1" spans="1:11">
      <c r="A583" s="72"/>
      <c r="B583" s="73"/>
      <c r="C583" s="74"/>
      <c r="D583" s="74"/>
      <c r="E583" s="75"/>
      <c r="F583" s="76"/>
      <c r="G583" s="74"/>
      <c r="H583" s="77"/>
      <c r="I583" s="77"/>
      <c r="J583" s="74"/>
      <c r="K583" s="78"/>
    </row>
    <row r="584" customHeight="1" spans="1:11">
      <c r="A584" s="72"/>
      <c r="B584" s="73"/>
      <c r="C584" s="74"/>
      <c r="D584" s="74"/>
      <c r="E584" s="75"/>
      <c r="F584" s="76"/>
      <c r="G584" s="74"/>
      <c r="H584" s="77"/>
      <c r="I584" s="77"/>
      <c r="J584" s="74"/>
      <c r="K584" s="78"/>
    </row>
    <row r="585" customHeight="1" spans="1:11">
      <c r="A585" s="72"/>
      <c r="B585" s="73"/>
      <c r="C585" s="74"/>
      <c r="D585" s="74"/>
      <c r="E585" s="75"/>
      <c r="F585" s="76"/>
      <c r="G585" s="74"/>
      <c r="H585" s="77"/>
      <c r="I585" s="77"/>
      <c r="J585" s="74"/>
      <c r="K585" s="78"/>
    </row>
    <row r="586" customHeight="1" spans="1:11">
      <c r="A586" s="72"/>
      <c r="B586" s="73"/>
      <c r="C586" s="74"/>
      <c r="D586" s="74"/>
      <c r="E586" s="75"/>
      <c r="F586" s="76"/>
      <c r="G586" s="74"/>
      <c r="H586" s="77"/>
      <c r="I586" s="77"/>
      <c r="J586" s="74"/>
      <c r="K586" s="78"/>
    </row>
    <row r="587" customHeight="1" spans="1:11">
      <c r="A587" s="72"/>
      <c r="B587" s="73"/>
      <c r="C587" s="74"/>
      <c r="D587" s="74"/>
      <c r="E587" s="75"/>
      <c r="F587" s="76"/>
      <c r="G587" s="74"/>
      <c r="H587" s="77"/>
      <c r="I587" s="77"/>
      <c r="J587" s="74"/>
      <c r="K587" s="78"/>
    </row>
    <row r="588" customHeight="1" spans="1:11">
      <c r="A588" s="72"/>
      <c r="B588" s="73"/>
      <c r="C588" s="74"/>
      <c r="D588" s="74"/>
      <c r="E588" s="75"/>
      <c r="F588" s="76"/>
      <c r="G588" s="74"/>
      <c r="H588" s="77"/>
      <c r="I588" s="77"/>
      <c r="J588" s="74"/>
      <c r="K588" s="78"/>
    </row>
    <row r="589" customHeight="1" spans="1:11">
      <c r="A589" s="72"/>
      <c r="B589" s="73"/>
      <c r="C589" s="74"/>
      <c r="D589" s="74"/>
      <c r="E589" s="75"/>
      <c r="F589" s="76"/>
      <c r="G589" s="74"/>
      <c r="H589" s="77"/>
      <c r="I589" s="77"/>
      <c r="J589" s="74"/>
      <c r="K589" s="78"/>
    </row>
    <row r="590" customHeight="1" spans="1:11">
      <c r="A590" s="72"/>
      <c r="B590" s="73"/>
      <c r="C590" s="74"/>
      <c r="D590" s="74"/>
      <c r="E590" s="75"/>
      <c r="F590" s="76"/>
      <c r="G590" s="74"/>
      <c r="H590" s="77"/>
      <c r="I590" s="77"/>
      <c r="J590" s="74"/>
      <c r="K590" s="78"/>
    </row>
    <row r="591" customHeight="1" spans="1:11">
      <c r="A591" s="72"/>
      <c r="B591" s="73"/>
      <c r="C591" s="74"/>
      <c r="D591" s="74"/>
      <c r="E591" s="75"/>
      <c r="F591" s="76"/>
      <c r="G591" s="74"/>
      <c r="H591" s="77"/>
      <c r="I591" s="77"/>
      <c r="J591" s="74"/>
      <c r="K591" s="78"/>
    </row>
    <row r="592" customHeight="1" spans="1:11">
      <c r="A592" s="72"/>
      <c r="B592" s="73"/>
      <c r="C592" s="74"/>
      <c r="D592" s="74"/>
      <c r="E592" s="75"/>
      <c r="F592" s="76"/>
      <c r="G592" s="74"/>
      <c r="H592" s="77"/>
      <c r="I592" s="77"/>
      <c r="J592" s="74"/>
      <c r="K592" s="78"/>
    </row>
    <row r="593" customHeight="1" spans="1:1020 1030:2040 2050:2570">
      <c r="A593" s="72"/>
      <c r="B593" s="73"/>
      <c r="C593" s="74"/>
      <c r="D593" s="74"/>
      <c r="E593" s="75"/>
      <c r="F593" s="76"/>
      <c r="G593" s="74"/>
      <c r="H593" s="77"/>
      <c r="I593" s="77"/>
      <c r="J593" s="74"/>
      <c r="K593" s="78"/>
    </row>
    <row r="594" customHeight="1" spans="1:1020 1030:2040 2050:2570">
      <c r="A594" s="72"/>
      <c r="B594" s="73"/>
      <c r="C594" s="74"/>
      <c r="D594" s="74"/>
      <c r="E594" s="75"/>
      <c r="F594" s="76"/>
      <c r="G594" s="74"/>
      <c r="H594" s="77"/>
      <c r="I594" s="77"/>
      <c r="J594" s="74"/>
      <c r="K594" s="78"/>
    </row>
    <row r="595" customHeight="1" spans="1:1020 1030:2040 2050:2570">
      <c r="A595" s="72"/>
      <c r="B595" s="73"/>
      <c r="C595" s="74"/>
      <c r="D595" s="74"/>
      <c r="E595" s="75"/>
      <c r="F595" s="76"/>
      <c r="G595" s="74"/>
      <c r="H595" s="77"/>
      <c r="I595" s="77"/>
      <c r="J595" s="74"/>
      <c r="K595" s="78"/>
    </row>
    <row r="596" s="58" customFormat="1" customHeight="1" spans="1:1020 1030:2040 2050:2570">
      <c r="A596" s="87"/>
      <c r="B596" s="94"/>
      <c r="C596" s="95"/>
      <c r="D596" s="75"/>
      <c r="E596" s="75"/>
      <c r="F596" s="77"/>
      <c r="G596" s="75"/>
      <c r="H596" s="77"/>
      <c r="I596" s="77"/>
      <c r="J596" s="75"/>
      <c r="K596" s="78"/>
      <c r="T596" s="83"/>
      <c r="AD596" s="83"/>
      <c r="AN596" s="83"/>
      <c r="AX596" s="83"/>
      <c r="BH596" s="83"/>
      <c r="BR596" s="83"/>
      <c r="CB596" s="83"/>
      <c r="CL596" s="83"/>
      <c r="CV596" s="83"/>
      <c r="DF596" s="83"/>
      <c r="DP596" s="83"/>
      <c r="DZ596" s="83"/>
      <c r="EJ596" s="83"/>
      <c r="ET596" s="83"/>
      <c r="FD596" s="83"/>
      <c r="FN596" s="83"/>
      <c r="FX596" s="83"/>
      <c r="GH596" s="83"/>
      <c r="GR596" s="83"/>
      <c r="HB596" s="83"/>
      <c r="HL596" s="83"/>
      <c r="HV596" s="83"/>
      <c r="IF596" s="83"/>
      <c r="IP596" s="83"/>
      <c r="IZ596" s="83"/>
      <c r="JJ596" s="83"/>
      <c r="JT596" s="83"/>
      <c r="KD596" s="83"/>
      <c r="KN596" s="83"/>
      <c r="KX596" s="83"/>
      <c r="LH596" s="83"/>
      <c r="LR596" s="83"/>
      <c r="MB596" s="83"/>
      <c r="ML596" s="83"/>
      <c r="MV596" s="83"/>
      <c r="NF596" s="83"/>
      <c r="NP596" s="83"/>
      <c r="NZ596" s="83"/>
      <c r="OJ596" s="83"/>
      <c r="OT596" s="83"/>
      <c r="PD596" s="83"/>
      <c r="PN596" s="83"/>
      <c r="PX596" s="83"/>
      <c r="QH596" s="83"/>
      <c r="QR596" s="83"/>
      <c r="RB596" s="83"/>
      <c r="RL596" s="83"/>
      <c r="RV596" s="83"/>
      <c r="SF596" s="83"/>
      <c r="SP596" s="83"/>
      <c r="SZ596" s="83"/>
      <c r="TJ596" s="83"/>
      <c r="TT596" s="83"/>
      <c r="UD596" s="83"/>
      <c r="UN596" s="83"/>
      <c r="UX596" s="83"/>
      <c r="VH596" s="83"/>
      <c r="VR596" s="83"/>
      <c r="WB596" s="83"/>
      <c r="WL596" s="83"/>
      <c r="WV596" s="83"/>
      <c r="XF596" s="83"/>
      <c r="XP596" s="83"/>
      <c r="XZ596" s="83"/>
      <c r="YJ596" s="83"/>
      <c r="YT596" s="83"/>
      <c r="ZD596" s="83"/>
      <c r="ZN596" s="83"/>
      <c r="ZX596" s="83"/>
      <c r="AAH596" s="83"/>
      <c r="AAR596" s="83"/>
      <c r="ABB596" s="83"/>
      <c r="ABL596" s="83"/>
      <c r="ABV596" s="83"/>
      <c r="ACF596" s="83"/>
      <c r="ACP596" s="83"/>
      <c r="ACZ596" s="83"/>
      <c r="ADJ596" s="83"/>
      <c r="ADT596" s="83"/>
      <c r="AED596" s="83"/>
      <c r="AEN596" s="83"/>
      <c r="AEX596" s="83"/>
      <c r="AFH596" s="83"/>
      <c r="AFR596" s="83"/>
      <c r="AGB596" s="83"/>
      <c r="AGL596" s="83"/>
      <c r="AGV596" s="83"/>
      <c r="AHF596" s="83"/>
      <c r="AHP596" s="83"/>
      <c r="AHZ596" s="83"/>
      <c r="AIJ596" s="83"/>
      <c r="AIT596" s="83"/>
      <c r="AJD596" s="83"/>
      <c r="AJN596" s="83"/>
      <c r="AJX596" s="83"/>
      <c r="AKH596" s="83"/>
      <c r="AKR596" s="83"/>
      <c r="ALB596" s="83"/>
      <c r="ALL596" s="83"/>
      <c r="ALV596" s="83"/>
      <c r="AMF596" s="83"/>
      <c r="AMP596" s="83"/>
      <c r="AMZ596" s="83"/>
      <c r="ANJ596" s="83"/>
      <c r="ANT596" s="83"/>
      <c r="AOD596" s="83"/>
      <c r="AON596" s="83"/>
      <c r="AOX596" s="83"/>
      <c r="APH596" s="83"/>
      <c r="APR596" s="83"/>
      <c r="AQB596" s="83"/>
      <c r="AQL596" s="83"/>
      <c r="AQV596" s="83"/>
      <c r="ARF596" s="83"/>
      <c r="ARP596" s="83"/>
      <c r="ARZ596" s="83"/>
      <c r="ASJ596" s="83"/>
      <c r="AST596" s="83"/>
      <c r="ATD596" s="83"/>
      <c r="ATN596" s="83"/>
      <c r="ATX596" s="83"/>
      <c r="AUH596" s="83"/>
      <c r="AUR596" s="83"/>
      <c r="AVB596" s="83"/>
      <c r="AVL596" s="83"/>
      <c r="AVV596" s="83"/>
      <c r="AWF596" s="83"/>
      <c r="AWP596" s="83"/>
      <c r="AWZ596" s="83"/>
      <c r="AXJ596" s="83"/>
      <c r="AXT596" s="83"/>
      <c r="AYD596" s="83"/>
      <c r="AYN596" s="83"/>
      <c r="AYX596" s="83"/>
      <c r="AZH596" s="83"/>
      <c r="AZR596" s="83"/>
      <c r="BAB596" s="83"/>
      <c r="BAL596" s="83"/>
      <c r="BAV596" s="83"/>
      <c r="BBF596" s="83"/>
      <c r="BBP596" s="83"/>
      <c r="BBZ596" s="83"/>
      <c r="BCJ596" s="83"/>
      <c r="BCT596" s="83"/>
      <c r="BDD596" s="83"/>
      <c r="BDN596" s="83"/>
      <c r="BDX596" s="83"/>
      <c r="BEH596" s="83"/>
      <c r="BER596" s="83"/>
      <c r="BFB596" s="83"/>
      <c r="BFL596" s="83"/>
      <c r="BFV596" s="83"/>
      <c r="BGF596" s="83"/>
      <c r="BGP596" s="83"/>
      <c r="BGZ596" s="83"/>
      <c r="BHJ596" s="83"/>
      <c r="BHT596" s="83"/>
      <c r="BID596" s="83"/>
      <c r="BIN596" s="83"/>
      <c r="BIX596" s="83"/>
      <c r="BJH596" s="83"/>
      <c r="BJR596" s="83"/>
      <c r="BKB596" s="83"/>
      <c r="BKL596" s="83"/>
      <c r="BKV596" s="83"/>
      <c r="BLF596" s="83"/>
      <c r="BLP596" s="83"/>
      <c r="BLZ596" s="83"/>
      <c r="BMJ596" s="83"/>
      <c r="BMT596" s="83"/>
      <c r="BND596" s="83"/>
      <c r="BNN596" s="83"/>
      <c r="BNX596" s="83"/>
      <c r="BOH596" s="83"/>
      <c r="BOR596" s="83"/>
      <c r="BPB596" s="83"/>
      <c r="BPL596" s="83"/>
      <c r="BPV596" s="83"/>
      <c r="BQF596" s="83"/>
      <c r="BQP596" s="83"/>
      <c r="BQZ596" s="83"/>
      <c r="BRJ596" s="83"/>
      <c r="BRT596" s="83"/>
      <c r="BSD596" s="83"/>
      <c r="BSN596" s="83"/>
      <c r="BSX596" s="83"/>
      <c r="BTH596" s="83"/>
      <c r="BTR596" s="83"/>
      <c r="BUB596" s="83"/>
      <c r="BUL596" s="83"/>
      <c r="BUV596" s="83"/>
      <c r="BVF596" s="83"/>
      <c r="BVP596" s="83"/>
      <c r="BVZ596" s="83"/>
      <c r="BWJ596" s="83"/>
      <c r="BWT596" s="83"/>
      <c r="BXD596" s="83"/>
      <c r="BXN596" s="83"/>
      <c r="BXX596" s="83"/>
      <c r="BYH596" s="83"/>
      <c r="BYR596" s="83"/>
      <c r="BZB596" s="83"/>
      <c r="BZL596" s="83"/>
      <c r="BZV596" s="83"/>
      <c r="CAF596" s="83"/>
      <c r="CAP596" s="83"/>
      <c r="CAZ596" s="83"/>
      <c r="CBJ596" s="83"/>
      <c r="CBT596" s="83"/>
      <c r="CCD596" s="83"/>
      <c r="CCN596" s="83"/>
      <c r="CCX596" s="83"/>
      <c r="CDH596" s="83"/>
      <c r="CDR596" s="83"/>
      <c r="CEB596" s="83"/>
      <c r="CEL596" s="83"/>
      <c r="CEV596" s="83"/>
      <c r="CFF596" s="83"/>
      <c r="CFP596" s="83"/>
      <c r="CFZ596" s="83"/>
      <c r="CGJ596" s="83"/>
      <c r="CGT596" s="83"/>
      <c r="CHD596" s="83"/>
      <c r="CHN596" s="83"/>
      <c r="CHX596" s="83"/>
      <c r="CIH596" s="83"/>
      <c r="CIR596" s="83"/>
      <c r="CJB596" s="83"/>
      <c r="CJL596" s="83"/>
      <c r="CJV596" s="83"/>
      <c r="CKF596" s="83"/>
      <c r="CKP596" s="83"/>
      <c r="CKZ596" s="83"/>
      <c r="CLJ596" s="83"/>
      <c r="CLT596" s="83"/>
      <c r="CMD596" s="83"/>
      <c r="CMN596" s="83"/>
      <c r="CMX596" s="83"/>
      <c r="CNH596" s="83"/>
      <c r="CNR596" s="83"/>
      <c r="COB596" s="83"/>
      <c r="COL596" s="83"/>
      <c r="COV596" s="83"/>
      <c r="CPF596" s="83"/>
      <c r="CPP596" s="83"/>
      <c r="CPZ596" s="83"/>
      <c r="CQJ596" s="83"/>
      <c r="CQT596" s="83"/>
      <c r="CRD596" s="83"/>
      <c r="CRN596" s="83"/>
      <c r="CRX596" s="83"/>
      <c r="CSH596" s="83"/>
      <c r="CSR596" s="83"/>
      <c r="CTB596" s="83"/>
      <c r="CTL596" s="83"/>
      <c r="CTV596" s="83"/>
    </row>
    <row r="597" s="58" customFormat="1" customHeight="1" spans="1:1020 1030:2040 2050:2570">
      <c r="A597" s="87"/>
      <c r="B597" s="94"/>
      <c r="C597" s="95"/>
      <c r="D597" s="75"/>
      <c r="E597" s="75"/>
      <c r="F597" s="77"/>
      <c r="G597" s="75"/>
      <c r="H597" s="77"/>
      <c r="I597" s="77"/>
      <c r="J597" s="75"/>
      <c r="K597" s="78"/>
      <c r="T597" s="83"/>
      <c r="AD597" s="83"/>
      <c r="AN597" s="83"/>
      <c r="AX597" s="83"/>
      <c r="BH597" s="83"/>
      <c r="BR597" s="83"/>
      <c r="CB597" s="83"/>
      <c r="CL597" s="83"/>
      <c r="CV597" s="83"/>
      <c r="DF597" s="83"/>
      <c r="DP597" s="83"/>
      <c r="DZ597" s="83"/>
      <c r="EJ597" s="83"/>
      <c r="ET597" s="83"/>
      <c r="FD597" s="83"/>
      <c r="FN597" s="83"/>
      <c r="FX597" s="83"/>
      <c r="GH597" s="83"/>
      <c r="GR597" s="83"/>
      <c r="HB597" s="83"/>
      <c r="HL597" s="83"/>
      <c r="HV597" s="83"/>
      <c r="IF597" s="83"/>
      <c r="IP597" s="83"/>
      <c r="IZ597" s="83"/>
      <c r="JJ597" s="83"/>
      <c r="JT597" s="83"/>
      <c r="KD597" s="83"/>
      <c r="KN597" s="83"/>
      <c r="KX597" s="83"/>
      <c r="LH597" s="83"/>
      <c r="LR597" s="83"/>
      <c r="MB597" s="83"/>
      <c r="ML597" s="83"/>
      <c r="MV597" s="83"/>
      <c r="NF597" s="83"/>
      <c r="NP597" s="83"/>
      <c r="NZ597" s="83"/>
      <c r="OJ597" s="83"/>
      <c r="OT597" s="83"/>
      <c r="PD597" s="83"/>
      <c r="PN597" s="83"/>
      <c r="PX597" s="83"/>
      <c r="QH597" s="83"/>
      <c r="QR597" s="83"/>
      <c r="RB597" s="83"/>
      <c r="RL597" s="83"/>
      <c r="RV597" s="83"/>
      <c r="SF597" s="83"/>
      <c r="SP597" s="83"/>
      <c r="SZ597" s="83"/>
      <c r="TJ597" s="83"/>
      <c r="TT597" s="83"/>
      <c r="UD597" s="83"/>
      <c r="UN597" s="83"/>
      <c r="UX597" s="83"/>
      <c r="VH597" s="83"/>
      <c r="VR597" s="83"/>
      <c r="WB597" s="83"/>
      <c r="WL597" s="83"/>
      <c r="WV597" s="83"/>
      <c r="XF597" s="83"/>
      <c r="XP597" s="83"/>
      <c r="XZ597" s="83"/>
      <c r="YJ597" s="83"/>
      <c r="YT597" s="83"/>
      <c r="ZD597" s="83"/>
      <c r="ZN597" s="83"/>
      <c r="ZX597" s="83"/>
      <c r="AAH597" s="83"/>
      <c r="AAR597" s="83"/>
      <c r="ABB597" s="83"/>
      <c r="ABL597" s="83"/>
      <c r="ABV597" s="83"/>
      <c r="ACF597" s="83"/>
      <c r="ACP597" s="83"/>
      <c r="ACZ597" s="83"/>
      <c r="ADJ597" s="83"/>
      <c r="ADT597" s="83"/>
      <c r="AED597" s="83"/>
      <c r="AEN597" s="83"/>
      <c r="AEX597" s="83"/>
      <c r="AFH597" s="83"/>
      <c r="AFR597" s="83"/>
      <c r="AGB597" s="83"/>
      <c r="AGL597" s="83"/>
      <c r="AGV597" s="83"/>
      <c r="AHF597" s="83"/>
      <c r="AHP597" s="83"/>
      <c r="AHZ597" s="83"/>
      <c r="AIJ597" s="83"/>
      <c r="AIT597" s="83"/>
      <c r="AJD597" s="83"/>
      <c r="AJN597" s="83"/>
      <c r="AJX597" s="83"/>
      <c r="AKH597" s="83"/>
      <c r="AKR597" s="83"/>
      <c r="ALB597" s="83"/>
      <c r="ALL597" s="83"/>
      <c r="ALV597" s="83"/>
      <c r="AMF597" s="83"/>
      <c r="AMP597" s="83"/>
      <c r="AMZ597" s="83"/>
      <c r="ANJ597" s="83"/>
      <c r="ANT597" s="83"/>
      <c r="AOD597" s="83"/>
      <c r="AON597" s="83"/>
      <c r="AOX597" s="83"/>
      <c r="APH597" s="83"/>
      <c r="APR597" s="83"/>
      <c r="AQB597" s="83"/>
      <c r="AQL597" s="83"/>
      <c r="AQV597" s="83"/>
      <c r="ARF597" s="83"/>
      <c r="ARP597" s="83"/>
      <c r="ARZ597" s="83"/>
      <c r="ASJ597" s="83"/>
      <c r="AST597" s="83"/>
      <c r="ATD597" s="83"/>
      <c r="ATN597" s="83"/>
      <c r="ATX597" s="83"/>
      <c r="AUH597" s="83"/>
      <c r="AUR597" s="83"/>
      <c r="AVB597" s="83"/>
      <c r="AVL597" s="83"/>
      <c r="AVV597" s="83"/>
      <c r="AWF597" s="83"/>
      <c r="AWP597" s="83"/>
      <c r="AWZ597" s="83"/>
      <c r="AXJ597" s="83"/>
      <c r="AXT597" s="83"/>
      <c r="AYD597" s="83"/>
      <c r="AYN597" s="83"/>
      <c r="AYX597" s="83"/>
      <c r="AZH597" s="83"/>
      <c r="AZR597" s="83"/>
      <c r="BAB597" s="83"/>
      <c r="BAL597" s="83"/>
      <c r="BAV597" s="83"/>
      <c r="BBF597" s="83"/>
      <c r="BBP597" s="83"/>
      <c r="BBZ597" s="83"/>
      <c r="BCJ597" s="83"/>
      <c r="BCT597" s="83"/>
      <c r="BDD597" s="83"/>
      <c r="BDN597" s="83"/>
      <c r="BDX597" s="83"/>
      <c r="BEH597" s="83"/>
      <c r="BER597" s="83"/>
      <c r="BFB597" s="83"/>
      <c r="BFL597" s="83"/>
      <c r="BFV597" s="83"/>
      <c r="BGF597" s="83"/>
      <c r="BGP597" s="83"/>
      <c r="BGZ597" s="83"/>
      <c r="BHJ597" s="83"/>
      <c r="BHT597" s="83"/>
      <c r="BID597" s="83"/>
      <c r="BIN597" s="83"/>
      <c r="BIX597" s="83"/>
      <c r="BJH597" s="83"/>
      <c r="BJR597" s="83"/>
      <c r="BKB597" s="83"/>
      <c r="BKL597" s="83"/>
      <c r="BKV597" s="83"/>
      <c r="BLF597" s="83"/>
      <c r="BLP597" s="83"/>
      <c r="BLZ597" s="83"/>
      <c r="BMJ597" s="83"/>
      <c r="BMT597" s="83"/>
      <c r="BND597" s="83"/>
      <c r="BNN597" s="83"/>
      <c r="BNX597" s="83"/>
      <c r="BOH597" s="83"/>
      <c r="BOR597" s="83"/>
      <c r="BPB597" s="83"/>
      <c r="BPL597" s="83"/>
      <c r="BPV597" s="83"/>
      <c r="BQF597" s="83"/>
      <c r="BQP597" s="83"/>
      <c r="BQZ597" s="83"/>
      <c r="BRJ597" s="83"/>
      <c r="BRT597" s="83"/>
      <c r="BSD597" s="83"/>
      <c r="BSN597" s="83"/>
      <c r="BSX597" s="83"/>
      <c r="BTH597" s="83"/>
      <c r="BTR597" s="83"/>
      <c r="BUB597" s="83"/>
      <c r="BUL597" s="83"/>
      <c r="BUV597" s="83"/>
      <c r="BVF597" s="83"/>
      <c r="BVP597" s="83"/>
      <c r="BVZ597" s="83"/>
      <c r="BWJ597" s="83"/>
      <c r="BWT597" s="83"/>
      <c r="BXD597" s="83"/>
      <c r="BXN597" s="83"/>
      <c r="BXX597" s="83"/>
      <c r="BYH597" s="83"/>
      <c r="BYR597" s="83"/>
      <c r="BZB597" s="83"/>
      <c r="BZL597" s="83"/>
      <c r="BZV597" s="83"/>
      <c r="CAF597" s="83"/>
      <c r="CAP597" s="83"/>
      <c r="CAZ597" s="83"/>
      <c r="CBJ597" s="83"/>
      <c r="CBT597" s="83"/>
      <c r="CCD597" s="83"/>
      <c r="CCN597" s="83"/>
      <c r="CCX597" s="83"/>
      <c r="CDH597" s="83"/>
      <c r="CDR597" s="83"/>
      <c r="CEB597" s="83"/>
      <c r="CEL597" s="83"/>
      <c r="CEV597" s="83"/>
      <c r="CFF597" s="83"/>
      <c r="CFP597" s="83"/>
      <c r="CFZ597" s="83"/>
      <c r="CGJ597" s="83"/>
      <c r="CGT597" s="83"/>
      <c r="CHD597" s="83"/>
      <c r="CHN597" s="83"/>
      <c r="CHX597" s="83"/>
      <c r="CIH597" s="83"/>
      <c r="CIR597" s="83"/>
      <c r="CJB597" s="83"/>
      <c r="CJL597" s="83"/>
      <c r="CJV597" s="83"/>
      <c r="CKF597" s="83"/>
      <c r="CKP597" s="83"/>
      <c r="CKZ597" s="83"/>
      <c r="CLJ597" s="83"/>
      <c r="CLT597" s="83"/>
      <c r="CMD597" s="83"/>
      <c r="CMN597" s="83"/>
      <c r="CMX597" s="83"/>
      <c r="CNH597" s="83"/>
      <c r="CNR597" s="83"/>
      <c r="COB597" s="83"/>
      <c r="COL597" s="83"/>
      <c r="COV597" s="83"/>
      <c r="CPF597" s="83"/>
      <c r="CPP597" s="83"/>
      <c r="CPZ597" s="83"/>
      <c r="CQJ597" s="83"/>
      <c r="CQT597" s="83"/>
      <c r="CRD597" s="83"/>
      <c r="CRN597" s="83"/>
      <c r="CRX597" s="83"/>
      <c r="CSH597" s="83"/>
      <c r="CSR597" s="83"/>
      <c r="CTB597" s="83"/>
      <c r="CTL597" s="83"/>
      <c r="CTV597" s="83"/>
    </row>
    <row r="598" s="58" customFormat="1" customHeight="1" spans="1:1020 1030:2040 2050:2570">
      <c r="A598" s="87"/>
      <c r="B598" s="94"/>
      <c r="C598" s="95"/>
      <c r="D598" s="75"/>
      <c r="E598" s="85"/>
      <c r="F598" s="77"/>
      <c r="G598" s="75"/>
      <c r="H598" s="77"/>
      <c r="I598" s="77"/>
      <c r="J598" s="75"/>
      <c r="K598" s="78"/>
      <c r="T598" s="83"/>
      <c r="AD598" s="83"/>
      <c r="AN598" s="83"/>
      <c r="AX598" s="83"/>
      <c r="BH598" s="83"/>
      <c r="BR598" s="83"/>
      <c r="CB598" s="83"/>
      <c r="CL598" s="83"/>
      <c r="CV598" s="83"/>
      <c r="DF598" s="83"/>
      <c r="DP598" s="83"/>
      <c r="DZ598" s="83"/>
      <c r="EJ598" s="83"/>
      <c r="ET598" s="83"/>
      <c r="FD598" s="83"/>
      <c r="FN598" s="83"/>
      <c r="FX598" s="83"/>
      <c r="GH598" s="83"/>
      <c r="GR598" s="83"/>
      <c r="HB598" s="83"/>
      <c r="HL598" s="83"/>
      <c r="HV598" s="83"/>
      <c r="IF598" s="83"/>
      <c r="IP598" s="83"/>
      <c r="IZ598" s="83"/>
      <c r="JJ598" s="83"/>
      <c r="JT598" s="83"/>
      <c r="KD598" s="83"/>
      <c r="KN598" s="83"/>
      <c r="KX598" s="83"/>
      <c r="LH598" s="83"/>
      <c r="LR598" s="83"/>
      <c r="MB598" s="83"/>
      <c r="ML598" s="83"/>
      <c r="MV598" s="83"/>
      <c r="NF598" s="83"/>
      <c r="NP598" s="83"/>
      <c r="NZ598" s="83"/>
      <c r="OJ598" s="83"/>
      <c r="OT598" s="83"/>
      <c r="PD598" s="83"/>
      <c r="PN598" s="83"/>
      <c r="PX598" s="83"/>
      <c r="QH598" s="83"/>
      <c r="QR598" s="83"/>
      <c r="RB598" s="83"/>
      <c r="RL598" s="83"/>
      <c r="RV598" s="83"/>
      <c r="SF598" s="83"/>
      <c r="SP598" s="83"/>
      <c r="SZ598" s="83"/>
      <c r="TJ598" s="83"/>
      <c r="TT598" s="83"/>
      <c r="UD598" s="83"/>
      <c r="UN598" s="83"/>
      <c r="UX598" s="83"/>
      <c r="VH598" s="83"/>
      <c r="VR598" s="83"/>
      <c r="WB598" s="83"/>
      <c r="WL598" s="83"/>
      <c r="WV598" s="83"/>
      <c r="XF598" s="83"/>
      <c r="XP598" s="83"/>
      <c r="XZ598" s="83"/>
      <c r="YJ598" s="83"/>
      <c r="YT598" s="83"/>
      <c r="ZD598" s="83"/>
      <c r="ZN598" s="83"/>
      <c r="ZX598" s="83"/>
      <c r="AAH598" s="83"/>
      <c r="AAR598" s="83"/>
      <c r="ABB598" s="83"/>
      <c r="ABL598" s="83"/>
      <c r="ABV598" s="83"/>
      <c r="ACF598" s="83"/>
      <c r="ACP598" s="83"/>
      <c r="ACZ598" s="83"/>
      <c r="ADJ598" s="83"/>
      <c r="ADT598" s="83"/>
      <c r="AED598" s="83"/>
      <c r="AEN598" s="83"/>
      <c r="AEX598" s="83"/>
      <c r="AFH598" s="83"/>
      <c r="AFR598" s="83"/>
      <c r="AGB598" s="83"/>
      <c r="AGL598" s="83"/>
      <c r="AGV598" s="83"/>
      <c r="AHF598" s="83"/>
      <c r="AHP598" s="83"/>
      <c r="AHZ598" s="83"/>
      <c r="AIJ598" s="83"/>
      <c r="AIT598" s="83"/>
      <c r="AJD598" s="83"/>
      <c r="AJN598" s="83"/>
      <c r="AJX598" s="83"/>
      <c r="AKH598" s="83"/>
      <c r="AKR598" s="83"/>
      <c r="ALB598" s="83"/>
      <c r="ALL598" s="83"/>
      <c r="ALV598" s="83"/>
      <c r="AMF598" s="83"/>
      <c r="AMP598" s="83"/>
      <c r="AMZ598" s="83"/>
      <c r="ANJ598" s="83"/>
      <c r="ANT598" s="83"/>
      <c r="AOD598" s="83"/>
      <c r="AON598" s="83"/>
      <c r="AOX598" s="83"/>
      <c r="APH598" s="83"/>
      <c r="APR598" s="83"/>
      <c r="AQB598" s="83"/>
      <c r="AQL598" s="83"/>
      <c r="AQV598" s="83"/>
      <c r="ARF598" s="83"/>
      <c r="ARP598" s="83"/>
      <c r="ARZ598" s="83"/>
      <c r="ASJ598" s="83"/>
      <c r="AST598" s="83"/>
      <c r="ATD598" s="83"/>
      <c r="ATN598" s="83"/>
      <c r="ATX598" s="83"/>
      <c r="AUH598" s="83"/>
      <c r="AUR598" s="83"/>
      <c r="AVB598" s="83"/>
      <c r="AVL598" s="83"/>
      <c r="AVV598" s="83"/>
      <c r="AWF598" s="83"/>
      <c r="AWP598" s="83"/>
      <c r="AWZ598" s="83"/>
      <c r="AXJ598" s="83"/>
      <c r="AXT598" s="83"/>
      <c r="AYD598" s="83"/>
      <c r="AYN598" s="83"/>
      <c r="AYX598" s="83"/>
      <c r="AZH598" s="83"/>
      <c r="AZR598" s="83"/>
      <c r="BAB598" s="83"/>
      <c r="BAL598" s="83"/>
      <c r="BAV598" s="83"/>
      <c r="BBF598" s="83"/>
      <c r="BBP598" s="83"/>
      <c r="BBZ598" s="83"/>
      <c r="BCJ598" s="83"/>
      <c r="BCT598" s="83"/>
      <c r="BDD598" s="83"/>
      <c r="BDN598" s="83"/>
      <c r="BDX598" s="83"/>
      <c r="BEH598" s="83"/>
      <c r="BER598" s="83"/>
      <c r="BFB598" s="83"/>
      <c r="BFL598" s="83"/>
      <c r="BFV598" s="83"/>
      <c r="BGF598" s="83"/>
      <c r="BGP598" s="83"/>
      <c r="BGZ598" s="83"/>
      <c r="BHJ598" s="83"/>
      <c r="BHT598" s="83"/>
      <c r="BID598" s="83"/>
      <c r="BIN598" s="83"/>
      <c r="BIX598" s="83"/>
      <c r="BJH598" s="83"/>
      <c r="BJR598" s="83"/>
      <c r="BKB598" s="83"/>
      <c r="BKL598" s="83"/>
      <c r="BKV598" s="83"/>
      <c r="BLF598" s="83"/>
      <c r="BLP598" s="83"/>
      <c r="BLZ598" s="83"/>
      <c r="BMJ598" s="83"/>
      <c r="BMT598" s="83"/>
      <c r="BND598" s="83"/>
      <c r="BNN598" s="83"/>
      <c r="BNX598" s="83"/>
      <c r="BOH598" s="83"/>
      <c r="BOR598" s="83"/>
      <c r="BPB598" s="83"/>
      <c r="BPL598" s="83"/>
      <c r="BPV598" s="83"/>
      <c r="BQF598" s="83"/>
      <c r="BQP598" s="83"/>
      <c r="BQZ598" s="83"/>
      <c r="BRJ598" s="83"/>
      <c r="BRT598" s="83"/>
      <c r="BSD598" s="83"/>
      <c r="BSN598" s="83"/>
      <c r="BSX598" s="83"/>
      <c r="BTH598" s="83"/>
      <c r="BTR598" s="83"/>
      <c r="BUB598" s="83"/>
      <c r="BUL598" s="83"/>
      <c r="BUV598" s="83"/>
      <c r="BVF598" s="83"/>
      <c r="BVP598" s="83"/>
      <c r="BVZ598" s="83"/>
      <c r="BWJ598" s="83"/>
      <c r="BWT598" s="83"/>
      <c r="BXD598" s="83"/>
      <c r="BXN598" s="83"/>
      <c r="BXX598" s="83"/>
      <c r="BYH598" s="83"/>
      <c r="BYR598" s="83"/>
      <c r="BZB598" s="83"/>
      <c r="BZL598" s="83"/>
      <c r="BZV598" s="83"/>
      <c r="CAF598" s="83"/>
      <c r="CAP598" s="83"/>
      <c r="CAZ598" s="83"/>
      <c r="CBJ598" s="83"/>
      <c r="CBT598" s="83"/>
      <c r="CCD598" s="83"/>
      <c r="CCN598" s="83"/>
      <c r="CCX598" s="83"/>
      <c r="CDH598" s="83"/>
      <c r="CDR598" s="83"/>
      <c r="CEB598" s="83"/>
      <c r="CEL598" s="83"/>
      <c r="CEV598" s="83"/>
      <c r="CFF598" s="83"/>
      <c r="CFP598" s="83"/>
      <c r="CFZ598" s="83"/>
      <c r="CGJ598" s="83"/>
      <c r="CGT598" s="83"/>
      <c r="CHD598" s="83"/>
      <c r="CHN598" s="83"/>
      <c r="CHX598" s="83"/>
      <c r="CIH598" s="83"/>
      <c r="CIR598" s="83"/>
      <c r="CJB598" s="83"/>
      <c r="CJL598" s="83"/>
      <c r="CJV598" s="83"/>
      <c r="CKF598" s="83"/>
      <c r="CKP598" s="83"/>
      <c r="CKZ598" s="83"/>
      <c r="CLJ598" s="83"/>
      <c r="CLT598" s="83"/>
      <c r="CMD598" s="83"/>
      <c r="CMN598" s="83"/>
      <c r="CMX598" s="83"/>
      <c r="CNH598" s="83"/>
      <c r="CNR598" s="83"/>
      <c r="COB598" s="83"/>
      <c r="COL598" s="83"/>
      <c r="COV598" s="83"/>
      <c r="CPF598" s="83"/>
      <c r="CPP598" s="83"/>
      <c r="CPZ598" s="83"/>
      <c r="CQJ598" s="83"/>
      <c r="CQT598" s="83"/>
      <c r="CRD598" s="83"/>
      <c r="CRN598" s="83"/>
      <c r="CRX598" s="83"/>
      <c r="CSH598" s="83"/>
      <c r="CSR598" s="83"/>
      <c r="CTB598" s="83"/>
      <c r="CTL598" s="83"/>
      <c r="CTV598" s="83"/>
    </row>
    <row r="599" s="58" customFormat="1" customHeight="1" spans="1:1020 1030:2040 2050:2570">
      <c r="A599" s="87"/>
      <c r="B599" s="94"/>
      <c r="C599" s="95"/>
      <c r="D599" s="75"/>
      <c r="E599" s="85"/>
      <c r="F599" s="77"/>
      <c r="G599" s="75"/>
      <c r="H599" s="77"/>
      <c r="I599" s="77"/>
      <c r="J599" s="75"/>
      <c r="K599" s="78"/>
      <c r="T599" s="83"/>
      <c r="AD599" s="83"/>
      <c r="AN599" s="83"/>
      <c r="AX599" s="83"/>
      <c r="BH599" s="83"/>
      <c r="BR599" s="83"/>
      <c r="CB599" s="83"/>
      <c r="CL599" s="83"/>
      <c r="CV599" s="83"/>
      <c r="DF599" s="83"/>
      <c r="DP599" s="83"/>
      <c r="DZ599" s="83"/>
      <c r="EJ599" s="83"/>
      <c r="ET599" s="83"/>
      <c r="FD599" s="83"/>
      <c r="FN599" s="83"/>
      <c r="FX599" s="83"/>
      <c r="GH599" s="83"/>
      <c r="GR599" s="83"/>
      <c r="HB599" s="83"/>
      <c r="HL599" s="83"/>
      <c r="HV599" s="83"/>
      <c r="IF599" s="83"/>
      <c r="IP599" s="83"/>
      <c r="IZ599" s="83"/>
      <c r="JJ599" s="83"/>
      <c r="JT599" s="83"/>
      <c r="KD599" s="83"/>
      <c r="KN599" s="83"/>
      <c r="KX599" s="83"/>
      <c r="LH599" s="83"/>
      <c r="LR599" s="83"/>
      <c r="MB599" s="83"/>
      <c r="ML599" s="83"/>
      <c r="MV599" s="83"/>
      <c r="NF599" s="83"/>
      <c r="NP599" s="83"/>
      <c r="NZ599" s="83"/>
      <c r="OJ599" s="83"/>
      <c r="OT599" s="83"/>
      <c r="PD599" s="83"/>
      <c r="PN599" s="83"/>
      <c r="PX599" s="83"/>
      <c r="QH599" s="83"/>
      <c r="QR599" s="83"/>
      <c r="RB599" s="83"/>
      <c r="RL599" s="83"/>
      <c r="RV599" s="83"/>
      <c r="SF599" s="83"/>
      <c r="SP599" s="83"/>
      <c r="SZ599" s="83"/>
      <c r="TJ599" s="83"/>
      <c r="TT599" s="83"/>
      <c r="UD599" s="83"/>
      <c r="UN599" s="83"/>
      <c r="UX599" s="83"/>
      <c r="VH599" s="83"/>
      <c r="VR599" s="83"/>
      <c r="WB599" s="83"/>
      <c r="WL599" s="83"/>
      <c r="WV599" s="83"/>
      <c r="XF599" s="83"/>
      <c r="XP599" s="83"/>
      <c r="XZ599" s="83"/>
      <c r="YJ599" s="83"/>
      <c r="YT599" s="83"/>
      <c r="ZD599" s="83"/>
      <c r="ZN599" s="83"/>
      <c r="ZX599" s="83"/>
      <c r="AAH599" s="83"/>
      <c r="AAR599" s="83"/>
      <c r="ABB599" s="83"/>
      <c r="ABL599" s="83"/>
      <c r="ABV599" s="83"/>
      <c r="ACF599" s="83"/>
      <c r="ACP599" s="83"/>
      <c r="ACZ599" s="83"/>
      <c r="ADJ599" s="83"/>
      <c r="ADT599" s="83"/>
      <c r="AED599" s="83"/>
      <c r="AEN599" s="83"/>
      <c r="AEX599" s="83"/>
      <c r="AFH599" s="83"/>
      <c r="AFR599" s="83"/>
      <c r="AGB599" s="83"/>
      <c r="AGL599" s="83"/>
      <c r="AGV599" s="83"/>
      <c r="AHF599" s="83"/>
      <c r="AHP599" s="83"/>
      <c r="AHZ599" s="83"/>
      <c r="AIJ599" s="83"/>
      <c r="AIT599" s="83"/>
      <c r="AJD599" s="83"/>
      <c r="AJN599" s="83"/>
      <c r="AJX599" s="83"/>
      <c r="AKH599" s="83"/>
      <c r="AKR599" s="83"/>
      <c r="ALB599" s="83"/>
      <c r="ALL599" s="83"/>
      <c r="ALV599" s="83"/>
      <c r="AMF599" s="83"/>
      <c r="AMP599" s="83"/>
      <c r="AMZ599" s="83"/>
      <c r="ANJ599" s="83"/>
      <c r="ANT599" s="83"/>
      <c r="AOD599" s="83"/>
      <c r="AON599" s="83"/>
      <c r="AOX599" s="83"/>
      <c r="APH599" s="83"/>
      <c r="APR599" s="83"/>
      <c r="AQB599" s="83"/>
      <c r="AQL599" s="83"/>
      <c r="AQV599" s="83"/>
      <c r="ARF599" s="83"/>
      <c r="ARP599" s="83"/>
      <c r="ARZ599" s="83"/>
      <c r="ASJ599" s="83"/>
      <c r="AST599" s="83"/>
      <c r="ATD599" s="83"/>
      <c r="ATN599" s="83"/>
      <c r="ATX599" s="83"/>
      <c r="AUH599" s="83"/>
      <c r="AUR599" s="83"/>
      <c r="AVB599" s="83"/>
      <c r="AVL599" s="83"/>
      <c r="AVV599" s="83"/>
      <c r="AWF599" s="83"/>
      <c r="AWP599" s="83"/>
      <c r="AWZ599" s="83"/>
      <c r="AXJ599" s="83"/>
      <c r="AXT599" s="83"/>
      <c r="AYD599" s="83"/>
      <c r="AYN599" s="83"/>
      <c r="AYX599" s="83"/>
      <c r="AZH599" s="83"/>
      <c r="AZR599" s="83"/>
      <c r="BAB599" s="83"/>
      <c r="BAL599" s="83"/>
      <c r="BAV599" s="83"/>
      <c r="BBF599" s="83"/>
      <c r="BBP599" s="83"/>
      <c r="BBZ599" s="83"/>
      <c r="BCJ599" s="83"/>
      <c r="BCT599" s="83"/>
      <c r="BDD599" s="83"/>
      <c r="BDN599" s="83"/>
      <c r="BDX599" s="83"/>
      <c r="BEH599" s="83"/>
      <c r="BER599" s="83"/>
      <c r="BFB599" s="83"/>
      <c r="BFL599" s="83"/>
      <c r="BFV599" s="83"/>
      <c r="BGF599" s="83"/>
      <c r="BGP599" s="83"/>
      <c r="BGZ599" s="83"/>
      <c r="BHJ599" s="83"/>
      <c r="BHT599" s="83"/>
      <c r="BID599" s="83"/>
      <c r="BIN599" s="83"/>
      <c r="BIX599" s="83"/>
      <c r="BJH599" s="83"/>
      <c r="BJR599" s="83"/>
      <c r="BKB599" s="83"/>
      <c r="BKL599" s="83"/>
      <c r="BKV599" s="83"/>
      <c r="BLF599" s="83"/>
      <c r="BLP599" s="83"/>
      <c r="BLZ599" s="83"/>
      <c r="BMJ599" s="83"/>
      <c r="BMT599" s="83"/>
      <c r="BND599" s="83"/>
      <c r="BNN599" s="83"/>
      <c r="BNX599" s="83"/>
      <c r="BOH599" s="83"/>
      <c r="BOR599" s="83"/>
      <c r="BPB599" s="83"/>
      <c r="BPL599" s="83"/>
      <c r="BPV599" s="83"/>
      <c r="BQF599" s="83"/>
      <c r="BQP599" s="83"/>
      <c r="BQZ599" s="83"/>
      <c r="BRJ599" s="83"/>
      <c r="BRT599" s="83"/>
      <c r="BSD599" s="83"/>
      <c r="BSN599" s="83"/>
      <c r="BSX599" s="83"/>
      <c r="BTH599" s="83"/>
      <c r="BTR599" s="83"/>
      <c r="BUB599" s="83"/>
      <c r="BUL599" s="83"/>
      <c r="BUV599" s="83"/>
      <c r="BVF599" s="83"/>
      <c r="BVP599" s="83"/>
      <c r="BVZ599" s="83"/>
      <c r="BWJ599" s="83"/>
      <c r="BWT599" s="83"/>
      <c r="BXD599" s="83"/>
      <c r="BXN599" s="83"/>
      <c r="BXX599" s="83"/>
      <c r="BYH599" s="83"/>
      <c r="BYR599" s="83"/>
      <c r="BZB599" s="83"/>
      <c r="BZL599" s="83"/>
      <c r="BZV599" s="83"/>
      <c r="CAF599" s="83"/>
      <c r="CAP599" s="83"/>
      <c r="CAZ599" s="83"/>
      <c r="CBJ599" s="83"/>
      <c r="CBT599" s="83"/>
      <c r="CCD599" s="83"/>
      <c r="CCN599" s="83"/>
      <c r="CCX599" s="83"/>
      <c r="CDH599" s="83"/>
      <c r="CDR599" s="83"/>
      <c r="CEB599" s="83"/>
      <c r="CEL599" s="83"/>
      <c r="CEV599" s="83"/>
      <c r="CFF599" s="83"/>
      <c r="CFP599" s="83"/>
      <c r="CFZ599" s="83"/>
      <c r="CGJ599" s="83"/>
      <c r="CGT599" s="83"/>
      <c r="CHD599" s="83"/>
      <c r="CHN599" s="83"/>
      <c r="CHX599" s="83"/>
      <c r="CIH599" s="83"/>
      <c r="CIR599" s="83"/>
      <c r="CJB599" s="83"/>
      <c r="CJL599" s="83"/>
      <c r="CJV599" s="83"/>
      <c r="CKF599" s="83"/>
      <c r="CKP599" s="83"/>
      <c r="CKZ599" s="83"/>
      <c r="CLJ599" s="83"/>
      <c r="CLT599" s="83"/>
      <c r="CMD599" s="83"/>
      <c r="CMN599" s="83"/>
      <c r="CMX599" s="83"/>
      <c r="CNH599" s="83"/>
      <c r="CNR599" s="83"/>
      <c r="COB599" s="83"/>
      <c r="COL599" s="83"/>
      <c r="COV599" s="83"/>
      <c r="CPF599" s="83"/>
      <c r="CPP599" s="83"/>
      <c r="CPZ599" s="83"/>
      <c r="CQJ599" s="83"/>
      <c r="CQT599" s="83"/>
      <c r="CRD599" s="83"/>
      <c r="CRN599" s="83"/>
      <c r="CRX599" s="83"/>
      <c r="CSH599" s="83"/>
      <c r="CSR599" s="83"/>
      <c r="CTB599" s="83"/>
      <c r="CTL599" s="83"/>
      <c r="CTV599" s="83"/>
    </row>
    <row r="600" s="58" customFormat="1" ht="19.8" customHeight="1" spans="1:1020 1030:2040 2050:2570">
      <c r="A600" s="87"/>
      <c r="B600" s="94"/>
      <c r="C600" s="95"/>
      <c r="D600" s="75"/>
      <c r="E600" s="75"/>
      <c r="F600" s="77"/>
      <c r="G600" s="75"/>
      <c r="H600" s="77"/>
      <c r="I600" s="77"/>
      <c r="J600" s="75"/>
      <c r="K600" s="78"/>
      <c r="T600" s="83"/>
      <c r="AD600" s="83"/>
      <c r="AN600" s="83"/>
      <c r="AX600" s="83"/>
      <c r="BH600" s="83"/>
      <c r="BR600" s="83"/>
      <c r="CB600" s="83"/>
      <c r="CL600" s="83"/>
      <c r="CV600" s="83"/>
      <c r="DF600" s="83"/>
      <c r="DP600" s="83"/>
      <c r="DZ600" s="83"/>
      <c r="EJ600" s="83"/>
      <c r="ET600" s="83"/>
      <c r="FD600" s="83"/>
      <c r="FN600" s="83"/>
      <c r="FX600" s="83"/>
      <c r="GH600" s="83"/>
      <c r="GR600" s="83"/>
      <c r="HB600" s="83"/>
      <c r="HL600" s="83"/>
      <c r="HV600" s="83"/>
      <c r="IF600" s="83"/>
      <c r="IP600" s="83"/>
      <c r="IZ600" s="83"/>
      <c r="JJ600" s="83"/>
      <c r="JT600" s="83"/>
      <c r="KD600" s="83"/>
      <c r="KN600" s="83"/>
      <c r="KX600" s="83"/>
      <c r="LH600" s="83"/>
      <c r="LR600" s="83"/>
      <c r="MB600" s="83"/>
      <c r="ML600" s="83"/>
      <c r="MV600" s="83"/>
      <c r="NF600" s="83"/>
      <c r="NP600" s="83"/>
      <c r="NZ600" s="83"/>
      <c r="OJ600" s="83"/>
      <c r="OT600" s="83"/>
      <c r="PD600" s="83"/>
      <c r="PN600" s="83"/>
      <c r="PX600" s="83"/>
      <c r="QH600" s="83"/>
      <c r="QR600" s="83"/>
      <c r="RB600" s="83"/>
      <c r="RL600" s="83"/>
      <c r="RV600" s="83"/>
      <c r="SF600" s="83"/>
      <c r="SP600" s="83"/>
      <c r="SZ600" s="83"/>
      <c r="TJ600" s="83"/>
      <c r="TT600" s="83"/>
      <c r="UD600" s="83"/>
      <c r="UN600" s="83"/>
      <c r="UX600" s="83"/>
      <c r="VH600" s="83"/>
      <c r="VR600" s="83"/>
      <c r="WB600" s="83"/>
      <c r="WL600" s="83"/>
      <c r="WV600" s="83"/>
      <c r="XF600" s="83"/>
      <c r="XP600" s="83"/>
      <c r="XZ600" s="83"/>
      <c r="YJ600" s="83"/>
      <c r="YT600" s="83"/>
      <c r="ZD600" s="83"/>
      <c r="ZN600" s="83"/>
      <c r="ZX600" s="83"/>
      <c r="AAH600" s="83"/>
      <c r="AAR600" s="83"/>
      <c r="ABB600" s="83"/>
      <c r="ABL600" s="83"/>
      <c r="ABV600" s="83"/>
      <c r="ACF600" s="83"/>
      <c r="ACP600" s="83"/>
      <c r="ACZ600" s="83"/>
      <c r="ADJ600" s="83"/>
      <c r="ADT600" s="83"/>
      <c r="AED600" s="83"/>
      <c r="AEN600" s="83"/>
      <c r="AEX600" s="83"/>
      <c r="AFH600" s="83"/>
      <c r="AFR600" s="83"/>
      <c r="AGB600" s="83"/>
      <c r="AGL600" s="83"/>
      <c r="AGV600" s="83"/>
      <c r="AHF600" s="83"/>
      <c r="AHP600" s="83"/>
      <c r="AHZ600" s="83"/>
      <c r="AIJ600" s="83"/>
      <c r="AIT600" s="83"/>
      <c r="AJD600" s="83"/>
      <c r="AJN600" s="83"/>
      <c r="AJX600" s="83"/>
      <c r="AKH600" s="83"/>
      <c r="AKR600" s="83"/>
      <c r="ALB600" s="83"/>
      <c r="ALL600" s="83"/>
      <c r="ALV600" s="83"/>
      <c r="AMF600" s="83"/>
      <c r="AMP600" s="83"/>
      <c r="AMZ600" s="83"/>
      <c r="ANJ600" s="83"/>
      <c r="ANT600" s="83"/>
      <c r="AOD600" s="83"/>
      <c r="AON600" s="83"/>
      <c r="AOX600" s="83"/>
      <c r="APH600" s="83"/>
      <c r="APR600" s="83"/>
      <c r="AQB600" s="83"/>
      <c r="AQL600" s="83"/>
      <c r="AQV600" s="83"/>
      <c r="ARF600" s="83"/>
      <c r="ARP600" s="83"/>
      <c r="ARZ600" s="83"/>
      <c r="ASJ600" s="83"/>
      <c r="AST600" s="83"/>
      <c r="ATD600" s="83"/>
      <c r="ATN600" s="83"/>
      <c r="ATX600" s="83"/>
      <c r="AUH600" s="83"/>
      <c r="AUR600" s="83"/>
      <c r="AVB600" s="83"/>
      <c r="AVL600" s="83"/>
      <c r="AVV600" s="83"/>
      <c r="AWF600" s="83"/>
      <c r="AWP600" s="83"/>
      <c r="AWZ600" s="83"/>
      <c r="AXJ600" s="83"/>
      <c r="AXT600" s="83"/>
      <c r="AYD600" s="83"/>
      <c r="AYN600" s="83"/>
      <c r="AYX600" s="83"/>
      <c r="AZH600" s="83"/>
      <c r="AZR600" s="83"/>
      <c r="BAB600" s="83"/>
      <c r="BAL600" s="83"/>
      <c r="BAV600" s="83"/>
      <c r="BBF600" s="83"/>
      <c r="BBP600" s="83"/>
      <c r="BBZ600" s="83"/>
      <c r="BCJ600" s="83"/>
      <c r="BCT600" s="83"/>
      <c r="BDD600" s="83"/>
      <c r="BDN600" s="83"/>
      <c r="BDX600" s="83"/>
      <c r="BEH600" s="83"/>
      <c r="BER600" s="83"/>
      <c r="BFB600" s="83"/>
      <c r="BFL600" s="83"/>
      <c r="BFV600" s="83"/>
      <c r="BGF600" s="83"/>
      <c r="BGP600" s="83"/>
      <c r="BGZ600" s="83"/>
      <c r="BHJ600" s="83"/>
      <c r="BHT600" s="83"/>
      <c r="BID600" s="83"/>
      <c r="BIN600" s="83"/>
      <c r="BIX600" s="83"/>
      <c r="BJH600" s="83"/>
      <c r="BJR600" s="83"/>
      <c r="BKB600" s="83"/>
      <c r="BKL600" s="83"/>
      <c r="BKV600" s="83"/>
      <c r="BLF600" s="83"/>
      <c r="BLP600" s="83"/>
      <c r="BLZ600" s="83"/>
      <c r="BMJ600" s="83"/>
      <c r="BMT600" s="83"/>
      <c r="BND600" s="83"/>
      <c r="BNN600" s="83"/>
      <c r="BNX600" s="83"/>
      <c r="BOH600" s="83"/>
      <c r="BOR600" s="83"/>
      <c r="BPB600" s="83"/>
      <c r="BPL600" s="83"/>
      <c r="BPV600" s="83"/>
      <c r="BQF600" s="83"/>
      <c r="BQP600" s="83"/>
      <c r="BQZ600" s="83"/>
      <c r="BRJ600" s="83"/>
      <c r="BRT600" s="83"/>
      <c r="BSD600" s="83"/>
      <c r="BSN600" s="83"/>
      <c r="BSX600" s="83"/>
      <c r="BTH600" s="83"/>
      <c r="BTR600" s="83"/>
      <c r="BUB600" s="83"/>
      <c r="BUL600" s="83"/>
      <c r="BUV600" s="83"/>
      <c r="BVF600" s="83"/>
      <c r="BVP600" s="83"/>
      <c r="BVZ600" s="83"/>
      <c r="BWJ600" s="83"/>
      <c r="BWT600" s="83"/>
      <c r="BXD600" s="83"/>
      <c r="BXN600" s="83"/>
      <c r="BXX600" s="83"/>
      <c r="BYH600" s="83"/>
      <c r="BYR600" s="83"/>
      <c r="BZB600" s="83"/>
      <c r="BZL600" s="83"/>
      <c r="BZV600" s="83"/>
      <c r="CAF600" s="83"/>
      <c r="CAP600" s="83"/>
      <c r="CAZ600" s="83"/>
      <c r="CBJ600" s="83"/>
      <c r="CBT600" s="83"/>
      <c r="CCD600" s="83"/>
      <c r="CCN600" s="83"/>
      <c r="CCX600" s="83"/>
      <c r="CDH600" s="83"/>
      <c r="CDR600" s="83"/>
      <c r="CEB600" s="83"/>
      <c r="CEL600" s="83"/>
      <c r="CEV600" s="83"/>
      <c r="CFF600" s="83"/>
      <c r="CFP600" s="83"/>
      <c r="CFZ600" s="83"/>
      <c r="CGJ600" s="83"/>
      <c r="CGT600" s="83"/>
      <c r="CHD600" s="83"/>
      <c r="CHN600" s="83"/>
      <c r="CHX600" s="83"/>
      <c r="CIH600" s="83"/>
      <c r="CIR600" s="83"/>
      <c r="CJB600" s="83"/>
      <c r="CJL600" s="83"/>
      <c r="CJV600" s="83"/>
      <c r="CKF600" s="83"/>
      <c r="CKP600" s="83"/>
      <c r="CKZ600" s="83"/>
      <c r="CLJ600" s="83"/>
      <c r="CLT600" s="83"/>
      <c r="CMD600" s="83"/>
      <c r="CMN600" s="83"/>
      <c r="CMX600" s="83"/>
      <c r="CNH600" s="83"/>
      <c r="CNR600" s="83"/>
      <c r="COB600" s="83"/>
      <c r="COL600" s="83"/>
      <c r="COV600" s="83"/>
      <c r="CPF600" s="83"/>
      <c r="CPP600" s="83"/>
      <c r="CPZ600" s="83"/>
      <c r="CQJ600" s="83"/>
      <c r="CQT600" s="83"/>
      <c r="CRD600" s="83"/>
      <c r="CRN600" s="83"/>
      <c r="CRX600" s="83"/>
      <c r="CSH600" s="83"/>
      <c r="CSR600" s="83"/>
      <c r="CTB600" s="83"/>
      <c r="CTL600" s="83"/>
      <c r="CTV600" s="83"/>
    </row>
    <row r="601" s="58" customFormat="1" customHeight="1" spans="1:1020 1030:2040 2050:2570">
      <c r="A601" s="87"/>
      <c r="B601" s="94"/>
      <c r="C601" s="95"/>
      <c r="D601" s="75"/>
      <c r="E601" s="85"/>
      <c r="F601" s="77"/>
      <c r="G601" s="75"/>
      <c r="H601" s="77"/>
      <c r="I601" s="77"/>
      <c r="J601" s="75"/>
      <c r="K601" s="78"/>
      <c r="T601" s="83"/>
      <c r="AD601" s="83"/>
      <c r="AN601" s="83"/>
      <c r="AX601" s="83"/>
      <c r="BH601" s="83"/>
      <c r="BR601" s="83"/>
      <c r="CB601" s="83"/>
      <c r="CL601" s="83"/>
      <c r="CV601" s="83"/>
      <c r="DF601" s="83"/>
      <c r="DP601" s="83"/>
      <c r="DZ601" s="83"/>
      <c r="EJ601" s="83"/>
      <c r="ET601" s="83"/>
      <c r="FD601" s="83"/>
      <c r="FN601" s="83"/>
      <c r="FX601" s="83"/>
      <c r="GH601" s="83"/>
      <c r="GR601" s="83"/>
      <c r="HB601" s="83"/>
      <c r="HL601" s="83"/>
      <c r="HV601" s="83"/>
      <c r="IF601" s="83"/>
      <c r="IP601" s="83"/>
      <c r="IZ601" s="83"/>
      <c r="JJ601" s="83"/>
      <c r="JT601" s="83"/>
      <c r="KD601" s="83"/>
      <c r="KN601" s="83"/>
      <c r="KX601" s="83"/>
      <c r="LH601" s="83"/>
      <c r="LR601" s="83"/>
      <c r="MB601" s="83"/>
      <c r="ML601" s="83"/>
      <c r="MV601" s="83"/>
      <c r="NF601" s="83"/>
      <c r="NP601" s="83"/>
      <c r="NZ601" s="83"/>
      <c r="OJ601" s="83"/>
      <c r="OT601" s="83"/>
      <c r="PD601" s="83"/>
      <c r="PN601" s="83"/>
      <c r="PX601" s="83"/>
      <c r="QH601" s="83"/>
      <c r="QR601" s="83"/>
      <c r="RB601" s="83"/>
      <c r="RL601" s="83"/>
      <c r="RV601" s="83"/>
      <c r="SF601" s="83"/>
      <c r="SP601" s="83"/>
      <c r="SZ601" s="83"/>
      <c r="TJ601" s="83"/>
      <c r="TT601" s="83"/>
      <c r="UD601" s="83"/>
      <c r="UN601" s="83"/>
      <c r="UX601" s="83"/>
      <c r="VH601" s="83"/>
      <c r="VR601" s="83"/>
      <c r="WB601" s="83"/>
      <c r="WL601" s="83"/>
      <c r="WV601" s="83"/>
      <c r="XF601" s="83"/>
      <c r="XP601" s="83"/>
      <c r="XZ601" s="83"/>
      <c r="YJ601" s="83"/>
      <c r="YT601" s="83"/>
      <c r="ZD601" s="83"/>
      <c r="ZN601" s="83"/>
      <c r="ZX601" s="83"/>
      <c r="AAH601" s="83"/>
      <c r="AAR601" s="83"/>
      <c r="ABB601" s="83"/>
      <c r="ABL601" s="83"/>
      <c r="ABV601" s="83"/>
      <c r="ACF601" s="83"/>
      <c r="ACP601" s="83"/>
      <c r="ACZ601" s="83"/>
      <c r="ADJ601" s="83"/>
      <c r="ADT601" s="83"/>
      <c r="AED601" s="83"/>
      <c r="AEN601" s="83"/>
      <c r="AEX601" s="83"/>
      <c r="AFH601" s="83"/>
      <c r="AFR601" s="83"/>
      <c r="AGB601" s="83"/>
      <c r="AGL601" s="83"/>
      <c r="AGV601" s="83"/>
      <c r="AHF601" s="83"/>
      <c r="AHP601" s="83"/>
      <c r="AHZ601" s="83"/>
      <c r="AIJ601" s="83"/>
      <c r="AIT601" s="83"/>
      <c r="AJD601" s="83"/>
      <c r="AJN601" s="83"/>
      <c r="AJX601" s="83"/>
      <c r="AKH601" s="83"/>
      <c r="AKR601" s="83"/>
      <c r="ALB601" s="83"/>
      <c r="ALL601" s="83"/>
      <c r="ALV601" s="83"/>
      <c r="AMF601" s="83"/>
      <c r="AMP601" s="83"/>
      <c r="AMZ601" s="83"/>
      <c r="ANJ601" s="83"/>
      <c r="ANT601" s="83"/>
      <c r="AOD601" s="83"/>
      <c r="AON601" s="83"/>
      <c r="AOX601" s="83"/>
      <c r="APH601" s="83"/>
      <c r="APR601" s="83"/>
      <c r="AQB601" s="83"/>
      <c r="AQL601" s="83"/>
      <c r="AQV601" s="83"/>
      <c r="ARF601" s="83"/>
      <c r="ARP601" s="83"/>
      <c r="ARZ601" s="83"/>
      <c r="ASJ601" s="83"/>
      <c r="AST601" s="83"/>
      <c r="ATD601" s="83"/>
      <c r="ATN601" s="83"/>
      <c r="ATX601" s="83"/>
      <c r="AUH601" s="83"/>
      <c r="AUR601" s="83"/>
      <c r="AVB601" s="83"/>
      <c r="AVL601" s="83"/>
      <c r="AVV601" s="83"/>
      <c r="AWF601" s="83"/>
      <c r="AWP601" s="83"/>
      <c r="AWZ601" s="83"/>
      <c r="AXJ601" s="83"/>
      <c r="AXT601" s="83"/>
      <c r="AYD601" s="83"/>
      <c r="AYN601" s="83"/>
      <c r="AYX601" s="83"/>
      <c r="AZH601" s="83"/>
      <c r="AZR601" s="83"/>
      <c r="BAB601" s="83"/>
      <c r="BAL601" s="83"/>
      <c r="BAV601" s="83"/>
      <c r="BBF601" s="83"/>
      <c r="BBP601" s="83"/>
      <c r="BBZ601" s="83"/>
      <c r="BCJ601" s="83"/>
      <c r="BCT601" s="83"/>
      <c r="BDD601" s="83"/>
      <c r="BDN601" s="83"/>
      <c r="BDX601" s="83"/>
      <c r="BEH601" s="83"/>
      <c r="BER601" s="83"/>
      <c r="BFB601" s="83"/>
      <c r="BFL601" s="83"/>
      <c r="BFV601" s="83"/>
      <c r="BGF601" s="83"/>
      <c r="BGP601" s="83"/>
      <c r="BGZ601" s="83"/>
      <c r="BHJ601" s="83"/>
      <c r="BHT601" s="83"/>
      <c r="BID601" s="83"/>
      <c r="BIN601" s="83"/>
      <c r="BIX601" s="83"/>
      <c r="BJH601" s="83"/>
      <c r="BJR601" s="83"/>
      <c r="BKB601" s="83"/>
      <c r="BKL601" s="83"/>
      <c r="BKV601" s="83"/>
      <c r="BLF601" s="83"/>
      <c r="BLP601" s="83"/>
      <c r="BLZ601" s="83"/>
      <c r="BMJ601" s="83"/>
      <c r="BMT601" s="83"/>
      <c r="BND601" s="83"/>
      <c r="BNN601" s="83"/>
      <c r="BNX601" s="83"/>
      <c r="BOH601" s="83"/>
      <c r="BOR601" s="83"/>
      <c r="BPB601" s="83"/>
      <c r="BPL601" s="83"/>
      <c r="BPV601" s="83"/>
      <c r="BQF601" s="83"/>
      <c r="BQP601" s="83"/>
      <c r="BQZ601" s="83"/>
      <c r="BRJ601" s="83"/>
      <c r="BRT601" s="83"/>
      <c r="BSD601" s="83"/>
      <c r="BSN601" s="83"/>
      <c r="BSX601" s="83"/>
      <c r="BTH601" s="83"/>
      <c r="BTR601" s="83"/>
      <c r="BUB601" s="83"/>
      <c r="BUL601" s="83"/>
      <c r="BUV601" s="83"/>
      <c r="BVF601" s="83"/>
      <c r="BVP601" s="83"/>
      <c r="BVZ601" s="83"/>
      <c r="BWJ601" s="83"/>
      <c r="BWT601" s="83"/>
      <c r="BXD601" s="83"/>
      <c r="BXN601" s="83"/>
      <c r="BXX601" s="83"/>
      <c r="BYH601" s="83"/>
      <c r="BYR601" s="83"/>
      <c r="BZB601" s="83"/>
      <c r="BZL601" s="83"/>
      <c r="BZV601" s="83"/>
      <c r="CAF601" s="83"/>
      <c r="CAP601" s="83"/>
      <c r="CAZ601" s="83"/>
      <c r="CBJ601" s="83"/>
      <c r="CBT601" s="83"/>
      <c r="CCD601" s="83"/>
      <c r="CCN601" s="83"/>
      <c r="CCX601" s="83"/>
      <c r="CDH601" s="83"/>
      <c r="CDR601" s="83"/>
      <c r="CEB601" s="83"/>
      <c r="CEL601" s="83"/>
      <c r="CEV601" s="83"/>
      <c r="CFF601" s="83"/>
      <c r="CFP601" s="83"/>
      <c r="CFZ601" s="83"/>
      <c r="CGJ601" s="83"/>
      <c r="CGT601" s="83"/>
      <c r="CHD601" s="83"/>
      <c r="CHN601" s="83"/>
      <c r="CHX601" s="83"/>
      <c r="CIH601" s="83"/>
      <c r="CIR601" s="83"/>
      <c r="CJB601" s="83"/>
      <c r="CJL601" s="83"/>
      <c r="CJV601" s="83"/>
      <c r="CKF601" s="83"/>
      <c r="CKP601" s="83"/>
      <c r="CKZ601" s="83"/>
      <c r="CLJ601" s="83"/>
      <c r="CLT601" s="83"/>
      <c r="CMD601" s="83"/>
      <c r="CMN601" s="83"/>
      <c r="CMX601" s="83"/>
      <c r="CNH601" s="83"/>
      <c r="CNR601" s="83"/>
      <c r="COB601" s="83"/>
      <c r="COL601" s="83"/>
      <c r="COV601" s="83"/>
      <c r="CPF601" s="83"/>
      <c r="CPP601" s="83"/>
      <c r="CPZ601" s="83"/>
      <c r="CQJ601" s="83"/>
      <c r="CQT601" s="83"/>
      <c r="CRD601" s="83"/>
      <c r="CRN601" s="83"/>
      <c r="CRX601" s="83"/>
      <c r="CSH601" s="83"/>
      <c r="CSR601" s="83"/>
      <c r="CTB601" s="83"/>
      <c r="CTL601" s="83"/>
      <c r="CTV601" s="83"/>
    </row>
    <row r="602" s="58" customFormat="1" customHeight="1" spans="1:1020 1030:2040 2050:2570">
      <c r="A602" s="87"/>
      <c r="B602" s="94"/>
      <c r="C602" s="95"/>
      <c r="D602" s="75"/>
      <c r="E602" s="85"/>
      <c r="F602" s="77"/>
      <c r="G602" s="75"/>
      <c r="H602" s="77"/>
      <c r="I602" s="77"/>
      <c r="J602" s="75"/>
      <c r="K602" s="78"/>
      <c r="T602" s="83"/>
      <c r="AD602" s="83"/>
      <c r="AN602" s="83"/>
      <c r="AX602" s="83"/>
      <c r="BH602" s="83"/>
      <c r="BR602" s="83"/>
      <c r="CB602" s="83"/>
      <c r="CL602" s="83"/>
      <c r="CV602" s="83"/>
      <c r="DF602" s="83"/>
      <c r="DP602" s="83"/>
      <c r="DZ602" s="83"/>
      <c r="EJ602" s="83"/>
      <c r="ET602" s="83"/>
      <c r="FD602" s="83"/>
      <c r="FN602" s="83"/>
      <c r="FX602" s="83"/>
      <c r="GH602" s="83"/>
      <c r="GR602" s="83"/>
      <c r="HB602" s="83"/>
      <c r="HL602" s="83"/>
      <c r="HV602" s="83"/>
      <c r="IF602" s="83"/>
      <c r="IP602" s="83"/>
      <c r="IZ602" s="83"/>
      <c r="JJ602" s="83"/>
      <c r="JT602" s="83"/>
      <c r="KD602" s="83"/>
      <c r="KN602" s="83"/>
      <c r="KX602" s="83"/>
      <c r="LH602" s="83"/>
      <c r="LR602" s="83"/>
      <c r="MB602" s="83"/>
      <c r="ML602" s="83"/>
      <c r="MV602" s="83"/>
      <c r="NF602" s="83"/>
      <c r="NP602" s="83"/>
      <c r="NZ602" s="83"/>
      <c r="OJ602" s="83"/>
      <c r="OT602" s="83"/>
      <c r="PD602" s="83"/>
      <c r="PN602" s="83"/>
      <c r="PX602" s="83"/>
      <c r="QH602" s="83"/>
      <c r="QR602" s="83"/>
      <c r="RB602" s="83"/>
      <c r="RL602" s="83"/>
      <c r="RV602" s="83"/>
      <c r="SF602" s="83"/>
      <c r="SP602" s="83"/>
      <c r="SZ602" s="83"/>
      <c r="TJ602" s="83"/>
      <c r="TT602" s="83"/>
      <c r="UD602" s="83"/>
      <c r="UN602" s="83"/>
      <c r="UX602" s="83"/>
      <c r="VH602" s="83"/>
      <c r="VR602" s="83"/>
      <c r="WB602" s="83"/>
      <c r="WL602" s="83"/>
      <c r="WV602" s="83"/>
      <c r="XF602" s="83"/>
      <c r="XP602" s="83"/>
      <c r="XZ602" s="83"/>
      <c r="YJ602" s="83"/>
      <c r="YT602" s="83"/>
      <c r="ZD602" s="83"/>
      <c r="ZN602" s="83"/>
      <c r="ZX602" s="83"/>
      <c r="AAH602" s="83"/>
      <c r="AAR602" s="83"/>
      <c r="ABB602" s="83"/>
      <c r="ABL602" s="83"/>
      <c r="ABV602" s="83"/>
      <c r="ACF602" s="83"/>
      <c r="ACP602" s="83"/>
      <c r="ACZ602" s="83"/>
      <c r="ADJ602" s="83"/>
      <c r="ADT602" s="83"/>
      <c r="AED602" s="83"/>
      <c r="AEN602" s="83"/>
      <c r="AEX602" s="83"/>
      <c r="AFH602" s="83"/>
      <c r="AFR602" s="83"/>
      <c r="AGB602" s="83"/>
      <c r="AGL602" s="83"/>
      <c r="AGV602" s="83"/>
      <c r="AHF602" s="83"/>
      <c r="AHP602" s="83"/>
      <c r="AHZ602" s="83"/>
      <c r="AIJ602" s="83"/>
      <c r="AIT602" s="83"/>
      <c r="AJD602" s="83"/>
      <c r="AJN602" s="83"/>
      <c r="AJX602" s="83"/>
      <c r="AKH602" s="83"/>
      <c r="AKR602" s="83"/>
      <c r="ALB602" s="83"/>
      <c r="ALL602" s="83"/>
      <c r="ALV602" s="83"/>
      <c r="AMF602" s="83"/>
      <c r="AMP602" s="83"/>
      <c r="AMZ602" s="83"/>
      <c r="ANJ602" s="83"/>
      <c r="ANT602" s="83"/>
      <c r="AOD602" s="83"/>
      <c r="AON602" s="83"/>
      <c r="AOX602" s="83"/>
      <c r="APH602" s="83"/>
      <c r="APR602" s="83"/>
      <c r="AQB602" s="83"/>
      <c r="AQL602" s="83"/>
      <c r="AQV602" s="83"/>
      <c r="ARF602" s="83"/>
      <c r="ARP602" s="83"/>
      <c r="ARZ602" s="83"/>
      <c r="ASJ602" s="83"/>
      <c r="AST602" s="83"/>
      <c r="ATD602" s="83"/>
      <c r="ATN602" s="83"/>
      <c r="ATX602" s="83"/>
      <c r="AUH602" s="83"/>
      <c r="AUR602" s="83"/>
      <c r="AVB602" s="83"/>
      <c r="AVL602" s="83"/>
      <c r="AVV602" s="83"/>
      <c r="AWF602" s="83"/>
      <c r="AWP602" s="83"/>
      <c r="AWZ602" s="83"/>
      <c r="AXJ602" s="83"/>
      <c r="AXT602" s="83"/>
      <c r="AYD602" s="83"/>
      <c r="AYN602" s="83"/>
      <c r="AYX602" s="83"/>
      <c r="AZH602" s="83"/>
      <c r="AZR602" s="83"/>
      <c r="BAB602" s="83"/>
      <c r="BAL602" s="83"/>
      <c r="BAV602" s="83"/>
      <c r="BBF602" s="83"/>
      <c r="BBP602" s="83"/>
      <c r="BBZ602" s="83"/>
      <c r="BCJ602" s="83"/>
      <c r="BCT602" s="83"/>
      <c r="BDD602" s="83"/>
      <c r="BDN602" s="83"/>
      <c r="BDX602" s="83"/>
      <c r="BEH602" s="83"/>
      <c r="BER602" s="83"/>
      <c r="BFB602" s="83"/>
      <c r="BFL602" s="83"/>
      <c r="BFV602" s="83"/>
      <c r="BGF602" s="83"/>
      <c r="BGP602" s="83"/>
      <c r="BGZ602" s="83"/>
      <c r="BHJ602" s="83"/>
      <c r="BHT602" s="83"/>
      <c r="BID602" s="83"/>
      <c r="BIN602" s="83"/>
      <c r="BIX602" s="83"/>
      <c r="BJH602" s="83"/>
      <c r="BJR602" s="83"/>
      <c r="BKB602" s="83"/>
      <c r="BKL602" s="83"/>
      <c r="BKV602" s="83"/>
      <c r="BLF602" s="83"/>
      <c r="BLP602" s="83"/>
      <c r="BLZ602" s="83"/>
      <c r="BMJ602" s="83"/>
      <c r="BMT602" s="83"/>
      <c r="BND602" s="83"/>
      <c r="BNN602" s="83"/>
      <c r="BNX602" s="83"/>
      <c r="BOH602" s="83"/>
      <c r="BOR602" s="83"/>
      <c r="BPB602" s="83"/>
      <c r="BPL602" s="83"/>
      <c r="BPV602" s="83"/>
      <c r="BQF602" s="83"/>
      <c r="BQP602" s="83"/>
      <c r="BQZ602" s="83"/>
      <c r="BRJ602" s="83"/>
      <c r="BRT602" s="83"/>
      <c r="BSD602" s="83"/>
      <c r="BSN602" s="83"/>
      <c r="BSX602" s="83"/>
      <c r="BTH602" s="83"/>
      <c r="BTR602" s="83"/>
      <c r="BUB602" s="83"/>
      <c r="BUL602" s="83"/>
      <c r="BUV602" s="83"/>
      <c r="BVF602" s="83"/>
      <c r="BVP602" s="83"/>
      <c r="BVZ602" s="83"/>
      <c r="BWJ602" s="83"/>
      <c r="BWT602" s="83"/>
      <c r="BXD602" s="83"/>
      <c r="BXN602" s="83"/>
      <c r="BXX602" s="83"/>
      <c r="BYH602" s="83"/>
      <c r="BYR602" s="83"/>
      <c r="BZB602" s="83"/>
      <c r="BZL602" s="83"/>
      <c r="BZV602" s="83"/>
      <c r="CAF602" s="83"/>
      <c r="CAP602" s="83"/>
      <c r="CAZ602" s="83"/>
      <c r="CBJ602" s="83"/>
      <c r="CBT602" s="83"/>
      <c r="CCD602" s="83"/>
      <c r="CCN602" s="83"/>
      <c r="CCX602" s="83"/>
      <c r="CDH602" s="83"/>
      <c r="CDR602" s="83"/>
      <c r="CEB602" s="83"/>
      <c r="CEL602" s="83"/>
      <c r="CEV602" s="83"/>
      <c r="CFF602" s="83"/>
      <c r="CFP602" s="83"/>
      <c r="CFZ602" s="83"/>
      <c r="CGJ602" s="83"/>
      <c r="CGT602" s="83"/>
      <c r="CHD602" s="83"/>
      <c r="CHN602" s="83"/>
      <c r="CHX602" s="83"/>
      <c r="CIH602" s="83"/>
      <c r="CIR602" s="83"/>
      <c r="CJB602" s="83"/>
      <c r="CJL602" s="83"/>
      <c r="CJV602" s="83"/>
      <c r="CKF602" s="83"/>
      <c r="CKP602" s="83"/>
      <c r="CKZ602" s="83"/>
      <c r="CLJ602" s="83"/>
      <c r="CLT602" s="83"/>
      <c r="CMD602" s="83"/>
      <c r="CMN602" s="83"/>
      <c r="CMX602" s="83"/>
      <c r="CNH602" s="83"/>
      <c r="CNR602" s="83"/>
      <c r="COB602" s="83"/>
      <c r="COL602" s="83"/>
      <c r="COV602" s="83"/>
      <c r="CPF602" s="83"/>
      <c r="CPP602" s="83"/>
      <c r="CPZ602" s="83"/>
      <c r="CQJ602" s="83"/>
      <c r="CQT602" s="83"/>
      <c r="CRD602" s="83"/>
      <c r="CRN602" s="83"/>
      <c r="CRX602" s="83"/>
      <c r="CSH602" s="83"/>
      <c r="CSR602" s="83"/>
      <c r="CTB602" s="83"/>
      <c r="CTL602" s="83"/>
      <c r="CTV602" s="83"/>
    </row>
    <row r="603" s="58" customFormat="1" customHeight="1" spans="1:1020 1030:2040 2050:2570">
      <c r="A603" s="87"/>
      <c r="B603" s="94"/>
      <c r="C603" s="95"/>
      <c r="D603" s="75"/>
      <c r="E603" s="75"/>
      <c r="F603" s="77"/>
      <c r="G603" s="75"/>
      <c r="H603" s="77"/>
      <c r="I603" s="77"/>
      <c r="J603" s="75"/>
      <c r="K603" s="78"/>
      <c r="T603" s="83"/>
      <c r="AD603" s="83"/>
      <c r="AN603" s="83"/>
      <c r="AX603" s="83"/>
      <c r="BH603" s="83"/>
      <c r="BR603" s="83"/>
      <c r="CB603" s="83"/>
      <c r="CL603" s="83"/>
      <c r="CV603" s="83"/>
      <c r="DF603" s="83"/>
      <c r="DP603" s="83"/>
      <c r="DZ603" s="83"/>
      <c r="EJ603" s="83"/>
      <c r="ET603" s="83"/>
      <c r="FD603" s="83"/>
      <c r="FN603" s="83"/>
      <c r="FX603" s="83"/>
      <c r="GH603" s="83"/>
      <c r="GR603" s="83"/>
      <c r="HB603" s="83"/>
      <c r="HL603" s="83"/>
      <c r="HV603" s="83"/>
      <c r="IF603" s="83"/>
      <c r="IP603" s="83"/>
      <c r="IZ603" s="83"/>
      <c r="JJ603" s="83"/>
      <c r="JT603" s="83"/>
      <c r="KD603" s="83"/>
      <c r="KN603" s="83"/>
      <c r="KX603" s="83"/>
      <c r="LH603" s="83"/>
      <c r="LR603" s="83"/>
      <c r="MB603" s="83"/>
      <c r="ML603" s="83"/>
      <c r="MV603" s="83"/>
      <c r="NF603" s="83"/>
      <c r="NP603" s="83"/>
      <c r="NZ603" s="83"/>
      <c r="OJ603" s="83"/>
      <c r="OT603" s="83"/>
      <c r="PD603" s="83"/>
      <c r="PN603" s="83"/>
      <c r="PX603" s="83"/>
      <c r="QH603" s="83"/>
      <c r="QR603" s="83"/>
      <c r="RB603" s="83"/>
      <c r="RL603" s="83"/>
      <c r="RV603" s="83"/>
      <c r="SF603" s="83"/>
      <c r="SP603" s="83"/>
      <c r="SZ603" s="83"/>
      <c r="TJ603" s="83"/>
      <c r="TT603" s="83"/>
      <c r="UD603" s="83"/>
      <c r="UN603" s="83"/>
      <c r="UX603" s="83"/>
      <c r="VH603" s="83"/>
      <c r="VR603" s="83"/>
      <c r="WB603" s="83"/>
      <c r="WL603" s="83"/>
      <c r="WV603" s="83"/>
      <c r="XF603" s="83"/>
      <c r="XP603" s="83"/>
      <c r="XZ603" s="83"/>
      <c r="YJ603" s="83"/>
      <c r="YT603" s="83"/>
      <c r="ZD603" s="83"/>
      <c r="ZN603" s="83"/>
      <c r="ZX603" s="83"/>
      <c r="AAH603" s="83"/>
      <c r="AAR603" s="83"/>
      <c r="ABB603" s="83"/>
      <c r="ABL603" s="83"/>
      <c r="ABV603" s="83"/>
      <c r="ACF603" s="83"/>
      <c r="ACP603" s="83"/>
      <c r="ACZ603" s="83"/>
      <c r="ADJ603" s="83"/>
      <c r="ADT603" s="83"/>
      <c r="AED603" s="83"/>
      <c r="AEN603" s="83"/>
      <c r="AEX603" s="83"/>
      <c r="AFH603" s="83"/>
      <c r="AFR603" s="83"/>
      <c r="AGB603" s="83"/>
      <c r="AGL603" s="83"/>
      <c r="AGV603" s="83"/>
      <c r="AHF603" s="83"/>
      <c r="AHP603" s="83"/>
      <c r="AHZ603" s="83"/>
      <c r="AIJ603" s="83"/>
      <c r="AIT603" s="83"/>
      <c r="AJD603" s="83"/>
      <c r="AJN603" s="83"/>
      <c r="AJX603" s="83"/>
      <c r="AKH603" s="83"/>
      <c r="AKR603" s="83"/>
      <c r="ALB603" s="83"/>
      <c r="ALL603" s="83"/>
      <c r="ALV603" s="83"/>
      <c r="AMF603" s="83"/>
      <c r="AMP603" s="83"/>
      <c r="AMZ603" s="83"/>
      <c r="ANJ603" s="83"/>
      <c r="ANT603" s="83"/>
      <c r="AOD603" s="83"/>
      <c r="AON603" s="83"/>
      <c r="AOX603" s="83"/>
      <c r="APH603" s="83"/>
      <c r="APR603" s="83"/>
      <c r="AQB603" s="83"/>
      <c r="AQL603" s="83"/>
      <c r="AQV603" s="83"/>
      <c r="ARF603" s="83"/>
      <c r="ARP603" s="83"/>
      <c r="ARZ603" s="83"/>
      <c r="ASJ603" s="83"/>
      <c r="AST603" s="83"/>
      <c r="ATD603" s="83"/>
      <c r="ATN603" s="83"/>
      <c r="ATX603" s="83"/>
      <c r="AUH603" s="83"/>
      <c r="AUR603" s="83"/>
      <c r="AVB603" s="83"/>
      <c r="AVL603" s="83"/>
      <c r="AVV603" s="83"/>
      <c r="AWF603" s="83"/>
      <c r="AWP603" s="83"/>
      <c r="AWZ603" s="83"/>
      <c r="AXJ603" s="83"/>
      <c r="AXT603" s="83"/>
      <c r="AYD603" s="83"/>
      <c r="AYN603" s="83"/>
      <c r="AYX603" s="83"/>
      <c r="AZH603" s="83"/>
      <c r="AZR603" s="83"/>
      <c r="BAB603" s="83"/>
      <c r="BAL603" s="83"/>
      <c r="BAV603" s="83"/>
      <c r="BBF603" s="83"/>
      <c r="BBP603" s="83"/>
      <c r="BBZ603" s="83"/>
      <c r="BCJ603" s="83"/>
      <c r="BCT603" s="83"/>
      <c r="BDD603" s="83"/>
      <c r="BDN603" s="83"/>
      <c r="BDX603" s="83"/>
      <c r="BEH603" s="83"/>
      <c r="BER603" s="83"/>
      <c r="BFB603" s="83"/>
      <c r="BFL603" s="83"/>
      <c r="BFV603" s="83"/>
      <c r="BGF603" s="83"/>
      <c r="BGP603" s="83"/>
      <c r="BGZ603" s="83"/>
      <c r="BHJ603" s="83"/>
      <c r="BHT603" s="83"/>
      <c r="BID603" s="83"/>
      <c r="BIN603" s="83"/>
      <c r="BIX603" s="83"/>
      <c r="BJH603" s="83"/>
      <c r="BJR603" s="83"/>
      <c r="BKB603" s="83"/>
      <c r="BKL603" s="83"/>
      <c r="BKV603" s="83"/>
      <c r="BLF603" s="83"/>
      <c r="BLP603" s="83"/>
      <c r="BLZ603" s="83"/>
      <c r="BMJ603" s="83"/>
      <c r="BMT603" s="83"/>
      <c r="BND603" s="83"/>
      <c r="BNN603" s="83"/>
      <c r="BNX603" s="83"/>
      <c r="BOH603" s="83"/>
      <c r="BOR603" s="83"/>
      <c r="BPB603" s="83"/>
      <c r="BPL603" s="83"/>
      <c r="BPV603" s="83"/>
      <c r="BQF603" s="83"/>
      <c r="BQP603" s="83"/>
      <c r="BQZ603" s="83"/>
      <c r="BRJ603" s="83"/>
      <c r="BRT603" s="83"/>
      <c r="BSD603" s="83"/>
      <c r="BSN603" s="83"/>
      <c r="BSX603" s="83"/>
      <c r="BTH603" s="83"/>
      <c r="BTR603" s="83"/>
      <c r="BUB603" s="83"/>
      <c r="BUL603" s="83"/>
      <c r="BUV603" s="83"/>
      <c r="BVF603" s="83"/>
      <c r="BVP603" s="83"/>
      <c r="BVZ603" s="83"/>
      <c r="BWJ603" s="83"/>
      <c r="BWT603" s="83"/>
      <c r="BXD603" s="83"/>
      <c r="BXN603" s="83"/>
      <c r="BXX603" s="83"/>
      <c r="BYH603" s="83"/>
      <c r="BYR603" s="83"/>
      <c r="BZB603" s="83"/>
      <c r="BZL603" s="83"/>
      <c r="BZV603" s="83"/>
      <c r="CAF603" s="83"/>
      <c r="CAP603" s="83"/>
      <c r="CAZ603" s="83"/>
      <c r="CBJ603" s="83"/>
      <c r="CBT603" s="83"/>
      <c r="CCD603" s="83"/>
      <c r="CCN603" s="83"/>
      <c r="CCX603" s="83"/>
      <c r="CDH603" s="83"/>
      <c r="CDR603" s="83"/>
      <c r="CEB603" s="83"/>
      <c r="CEL603" s="83"/>
      <c r="CEV603" s="83"/>
      <c r="CFF603" s="83"/>
      <c r="CFP603" s="83"/>
      <c r="CFZ603" s="83"/>
      <c r="CGJ603" s="83"/>
      <c r="CGT603" s="83"/>
      <c r="CHD603" s="83"/>
      <c r="CHN603" s="83"/>
      <c r="CHX603" s="83"/>
      <c r="CIH603" s="83"/>
      <c r="CIR603" s="83"/>
      <c r="CJB603" s="83"/>
      <c r="CJL603" s="83"/>
      <c r="CJV603" s="83"/>
      <c r="CKF603" s="83"/>
      <c r="CKP603" s="83"/>
      <c r="CKZ603" s="83"/>
      <c r="CLJ603" s="83"/>
      <c r="CLT603" s="83"/>
      <c r="CMD603" s="83"/>
      <c r="CMN603" s="83"/>
      <c r="CMX603" s="83"/>
      <c r="CNH603" s="83"/>
      <c r="CNR603" s="83"/>
      <c r="COB603" s="83"/>
      <c r="COL603" s="83"/>
      <c r="COV603" s="83"/>
      <c r="CPF603" s="83"/>
      <c r="CPP603" s="83"/>
      <c r="CPZ603" s="83"/>
      <c r="CQJ603" s="83"/>
      <c r="CQT603" s="83"/>
      <c r="CRD603" s="83"/>
      <c r="CRN603" s="83"/>
      <c r="CRX603" s="83"/>
      <c r="CSH603" s="83"/>
      <c r="CSR603" s="83"/>
      <c r="CTB603" s="83"/>
      <c r="CTL603" s="83"/>
      <c r="CTV603" s="83"/>
    </row>
    <row r="604" s="58" customFormat="1" customHeight="1" spans="1:1020 1030:2040 2050:2570">
      <c r="A604" s="87"/>
      <c r="B604" s="94"/>
      <c r="C604" s="95"/>
      <c r="D604" s="75"/>
      <c r="E604" s="85"/>
      <c r="F604" s="77"/>
      <c r="G604" s="75"/>
      <c r="H604" s="77"/>
      <c r="I604" s="77"/>
      <c r="J604" s="75"/>
      <c r="K604" s="78"/>
      <c r="T604" s="83"/>
      <c r="AD604" s="83"/>
      <c r="AN604" s="83"/>
      <c r="AX604" s="83"/>
      <c r="BH604" s="83"/>
      <c r="BR604" s="83"/>
      <c r="CB604" s="83"/>
      <c r="CL604" s="83"/>
      <c r="CV604" s="83"/>
      <c r="DF604" s="83"/>
      <c r="DP604" s="83"/>
      <c r="DZ604" s="83"/>
      <c r="EJ604" s="83"/>
      <c r="ET604" s="83"/>
      <c r="FD604" s="83"/>
      <c r="FN604" s="83"/>
      <c r="FX604" s="83"/>
      <c r="GH604" s="83"/>
      <c r="GR604" s="83"/>
      <c r="HB604" s="83"/>
      <c r="HL604" s="83"/>
      <c r="HV604" s="83"/>
      <c r="IF604" s="83"/>
      <c r="IP604" s="83"/>
      <c r="IZ604" s="83"/>
      <c r="JJ604" s="83"/>
      <c r="JT604" s="83"/>
      <c r="KD604" s="83"/>
      <c r="KN604" s="83"/>
      <c r="KX604" s="83"/>
      <c r="LH604" s="83"/>
      <c r="LR604" s="83"/>
      <c r="MB604" s="83"/>
      <c r="ML604" s="83"/>
      <c r="MV604" s="83"/>
      <c r="NF604" s="83"/>
      <c r="NP604" s="83"/>
      <c r="NZ604" s="83"/>
      <c r="OJ604" s="83"/>
      <c r="OT604" s="83"/>
      <c r="PD604" s="83"/>
      <c r="PN604" s="83"/>
      <c r="PX604" s="83"/>
      <c r="QH604" s="83"/>
      <c r="QR604" s="83"/>
      <c r="RB604" s="83"/>
      <c r="RL604" s="83"/>
      <c r="RV604" s="83"/>
      <c r="SF604" s="83"/>
      <c r="SP604" s="83"/>
      <c r="SZ604" s="83"/>
      <c r="TJ604" s="83"/>
      <c r="TT604" s="83"/>
      <c r="UD604" s="83"/>
      <c r="UN604" s="83"/>
      <c r="UX604" s="83"/>
      <c r="VH604" s="83"/>
      <c r="VR604" s="83"/>
      <c r="WB604" s="83"/>
      <c r="WL604" s="83"/>
      <c r="WV604" s="83"/>
      <c r="XF604" s="83"/>
      <c r="XP604" s="83"/>
      <c r="XZ604" s="83"/>
      <c r="YJ604" s="83"/>
      <c r="YT604" s="83"/>
      <c r="ZD604" s="83"/>
      <c r="ZN604" s="83"/>
      <c r="ZX604" s="83"/>
      <c r="AAH604" s="83"/>
      <c r="AAR604" s="83"/>
      <c r="ABB604" s="83"/>
      <c r="ABL604" s="83"/>
      <c r="ABV604" s="83"/>
      <c r="ACF604" s="83"/>
      <c r="ACP604" s="83"/>
      <c r="ACZ604" s="83"/>
      <c r="ADJ604" s="83"/>
      <c r="ADT604" s="83"/>
      <c r="AED604" s="83"/>
      <c r="AEN604" s="83"/>
      <c r="AEX604" s="83"/>
      <c r="AFH604" s="83"/>
      <c r="AFR604" s="83"/>
      <c r="AGB604" s="83"/>
      <c r="AGL604" s="83"/>
      <c r="AGV604" s="83"/>
      <c r="AHF604" s="83"/>
      <c r="AHP604" s="83"/>
      <c r="AHZ604" s="83"/>
      <c r="AIJ604" s="83"/>
      <c r="AIT604" s="83"/>
      <c r="AJD604" s="83"/>
      <c r="AJN604" s="83"/>
      <c r="AJX604" s="83"/>
      <c r="AKH604" s="83"/>
      <c r="AKR604" s="83"/>
      <c r="ALB604" s="83"/>
      <c r="ALL604" s="83"/>
      <c r="ALV604" s="83"/>
      <c r="AMF604" s="83"/>
      <c r="AMP604" s="83"/>
      <c r="AMZ604" s="83"/>
      <c r="ANJ604" s="83"/>
      <c r="ANT604" s="83"/>
      <c r="AOD604" s="83"/>
      <c r="AON604" s="83"/>
      <c r="AOX604" s="83"/>
      <c r="APH604" s="83"/>
      <c r="APR604" s="83"/>
      <c r="AQB604" s="83"/>
      <c r="AQL604" s="83"/>
      <c r="AQV604" s="83"/>
      <c r="ARF604" s="83"/>
      <c r="ARP604" s="83"/>
      <c r="ARZ604" s="83"/>
      <c r="ASJ604" s="83"/>
      <c r="AST604" s="83"/>
      <c r="ATD604" s="83"/>
      <c r="ATN604" s="83"/>
      <c r="ATX604" s="83"/>
      <c r="AUH604" s="83"/>
      <c r="AUR604" s="83"/>
      <c r="AVB604" s="83"/>
      <c r="AVL604" s="83"/>
      <c r="AVV604" s="83"/>
      <c r="AWF604" s="83"/>
      <c r="AWP604" s="83"/>
      <c r="AWZ604" s="83"/>
      <c r="AXJ604" s="83"/>
      <c r="AXT604" s="83"/>
      <c r="AYD604" s="83"/>
      <c r="AYN604" s="83"/>
      <c r="AYX604" s="83"/>
      <c r="AZH604" s="83"/>
      <c r="AZR604" s="83"/>
      <c r="BAB604" s="83"/>
      <c r="BAL604" s="83"/>
      <c r="BAV604" s="83"/>
      <c r="BBF604" s="83"/>
      <c r="BBP604" s="83"/>
      <c r="BBZ604" s="83"/>
      <c r="BCJ604" s="83"/>
      <c r="BCT604" s="83"/>
      <c r="BDD604" s="83"/>
      <c r="BDN604" s="83"/>
      <c r="BDX604" s="83"/>
      <c r="BEH604" s="83"/>
      <c r="BER604" s="83"/>
      <c r="BFB604" s="83"/>
      <c r="BFL604" s="83"/>
      <c r="BFV604" s="83"/>
      <c r="BGF604" s="83"/>
      <c r="BGP604" s="83"/>
      <c r="BGZ604" s="83"/>
      <c r="BHJ604" s="83"/>
      <c r="BHT604" s="83"/>
      <c r="BID604" s="83"/>
      <c r="BIN604" s="83"/>
      <c r="BIX604" s="83"/>
      <c r="BJH604" s="83"/>
      <c r="BJR604" s="83"/>
      <c r="BKB604" s="83"/>
      <c r="BKL604" s="83"/>
      <c r="BKV604" s="83"/>
      <c r="BLF604" s="83"/>
      <c r="BLP604" s="83"/>
      <c r="BLZ604" s="83"/>
      <c r="BMJ604" s="83"/>
      <c r="BMT604" s="83"/>
      <c r="BND604" s="83"/>
      <c r="BNN604" s="83"/>
      <c r="BNX604" s="83"/>
      <c r="BOH604" s="83"/>
      <c r="BOR604" s="83"/>
      <c r="BPB604" s="83"/>
      <c r="BPL604" s="83"/>
      <c r="BPV604" s="83"/>
      <c r="BQF604" s="83"/>
      <c r="BQP604" s="83"/>
      <c r="BQZ604" s="83"/>
      <c r="BRJ604" s="83"/>
      <c r="BRT604" s="83"/>
      <c r="BSD604" s="83"/>
      <c r="BSN604" s="83"/>
      <c r="BSX604" s="83"/>
      <c r="BTH604" s="83"/>
      <c r="BTR604" s="83"/>
      <c r="BUB604" s="83"/>
      <c r="BUL604" s="83"/>
      <c r="BUV604" s="83"/>
      <c r="BVF604" s="83"/>
      <c r="BVP604" s="83"/>
      <c r="BVZ604" s="83"/>
      <c r="BWJ604" s="83"/>
      <c r="BWT604" s="83"/>
      <c r="BXD604" s="83"/>
      <c r="BXN604" s="83"/>
      <c r="BXX604" s="83"/>
      <c r="BYH604" s="83"/>
      <c r="BYR604" s="83"/>
      <c r="BZB604" s="83"/>
      <c r="BZL604" s="83"/>
      <c r="BZV604" s="83"/>
      <c r="CAF604" s="83"/>
      <c r="CAP604" s="83"/>
      <c r="CAZ604" s="83"/>
      <c r="CBJ604" s="83"/>
      <c r="CBT604" s="83"/>
      <c r="CCD604" s="83"/>
      <c r="CCN604" s="83"/>
      <c r="CCX604" s="83"/>
      <c r="CDH604" s="83"/>
      <c r="CDR604" s="83"/>
      <c r="CEB604" s="83"/>
      <c r="CEL604" s="83"/>
      <c r="CEV604" s="83"/>
      <c r="CFF604" s="83"/>
      <c r="CFP604" s="83"/>
      <c r="CFZ604" s="83"/>
      <c r="CGJ604" s="83"/>
      <c r="CGT604" s="83"/>
      <c r="CHD604" s="83"/>
      <c r="CHN604" s="83"/>
      <c r="CHX604" s="83"/>
      <c r="CIH604" s="83"/>
      <c r="CIR604" s="83"/>
      <c r="CJB604" s="83"/>
      <c r="CJL604" s="83"/>
      <c r="CJV604" s="83"/>
      <c r="CKF604" s="83"/>
      <c r="CKP604" s="83"/>
      <c r="CKZ604" s="83"/>
      <c r="CLJ604" s="83"/>
      <c r="CLT604" s="83"/>
      <c r="CMD604" s="83"/>
      <c r="CMN604" s="83"/>
      <c r="CMX604" s="83"/>
      <c r="CNH604" s="83"/>
      <c r="CNR604" s="83"/>
      <c r="COB604" s="83"/>
      <c r="COL604" s="83"/>
      <c r="COV604" s="83"/>
      <c r="CPF604" s="83"/>
      <c r="CPP604" s="83"/>
      <c r="CPZ604" s="83"/>
      <c r="CQJ604" s="83"/>
      <c r="CQT604" s="83"/>
      <c r="CRD604" s="83"/>
      <c r="CRN604" s="83"/>
      <c r="CRX604" s="83"/>
      <c r="CSH604" s="83"/>
      <c r="CSR604" s="83"/>
      <c r="CTB604" s="83"/>
      <c r="CTL604" s="83"/>
      <c r="CTV604" s="83"/>
    </row>
    <row r="605" s="58" customFormat="1" customHeight="1" spans="1:1020 1030:2040 2050:2570">
      <c r="A605" s="87"/>
      <c r="B605" s="94"/>
      <c r="C605" s="95"/>
      <c r="D605" s="75"/>
      <c r="E605" s="85"/>
      <c r="F605" s="77"/>
      <c r="G605" s="75"/>
      <c r="H605" s="77"/>
      <c r="I605" s="77"/>
      <c r="J605" s="75"/>
      <c r="K605" s="78"/>
      <c r="T605" s="83"/>
      <c r="AD605" s="83"/>
      <c r="AN605" s="83"/>
      <c r="AX605" s="83"/>
      <c r="BH605" s="83"/>
      <c r="BR605" s="83"/>
      <c r="CB605" s="83"/>
      <c r="CL605" s="83"/>
      <c r="CV605" s="83"/>
      <c r="DF605" s="83"/>
      <c r="DP605" s="83"/>
      <c r="DZ605" s="83"/>
      <c r="EJ605" s="83"/>
      <c r="ET605" s="83"/>
      <c r="FD605" s="83"/>
      <c r="FN605" s="83"/>
      <c r="FX605" s="83"/>
      <c r="GH605" s="83"/>
      <c r="GR605" s="83"/>
      <c r="HB605" s="83"/>
      <c r="HL605" s="83"/>
      <c r="HV605" s="83"/>
      <c r="IF605" s="83"/>
      <c r="IP605" s="83"/>
      <c r="IZ605" s="83"/>
      <c r="JJ605" s="83"/>
      <c r="JT605" s="83"/>
      <c r="KD605" s="83"/>
      <c r="KN605" s="83"/>
      <c r="KX605" s="83"/>
      <c r="LH605" s="83"/>
      <c r="LR605" s="83"/>
      <c r="MB605" s="83"/>
      <c r="ML605" s="83"/>
      <c r="MV605" s="83"/>
      <c r="NF605" s="83"/>
      <c r="NP605" s="83"/>
      <c r="NZ605" s="83"/>
      <c r="OJ605" s="83"/>
      <c r="OT605" s="83"/>
      <c r="PD605" s="83"/>
      <c r="PN605" s="83"/>
      <c r="PX605" s="83"/>
      <c r="QH605" s="83"/>
      <c r="QR605" s="83"/>
      <c r="RB605" s="83"/>
      <c r="RL605" s="83"/>
      <c r="RV605" s="83"/>
      <c r="SF605" s="83"/>
      <c r="SP605" s="83"/>
      <c r="SZ605" s="83"/>
      <c r="TJ605" s="83"/>
      <c r="TT605" s="83"/>
      <c r="UD605" s="83"/>
      <c r="UN605" s="83"/>
      <c r="UX605" s="83"/>
      <c r="VH605" s="83"/>
      <c r="VR605" s="83"/>
      <c r="WB605" s="83"/>
      <c r="WL605" s="83"/>
      <c r="WV605" s="83"/>
      <c r="XF605" s="83"/>
      <c r="XP605" s="83"/>
      <c r="XZ605" s="83"/>
      <c r="YJ605" s="83"/>
      <c r="YT605" s="83"/>
      <c r="ZD605" s="83"/>
      <c r="ZN605" s="83"/>
      <c r="ZX605" s="83"/>
      <c r="AAH605" s="83"/>
      <c r="AAR605" s="83"/>
      <c r="ABB605" s="83"/>
      <c r="ABL605" s="83"/>
      <c r="ABV605" s="83"/>
      <c r="ACF605" s="83"/>
      <c r="ACP605" s="83"/>
      <c r="ACZ605" s="83"/>
      <c r="ADJ605" s="83"/>
      <c r="ADT605" s="83"/>
      <c r="AED605" s="83"/>
      <c r="AEN605" s="83"/>
      <c r="AEX605" s="83"/>
      <c r="AFH605" s="83"/>
      <c r="AFR605" s="83"/>
      <c r="AGB605" s="83"/>
      <c r="AGL605" s="83"/>
      <c r="AGV605" s="83"/>
      <c r="AHF605" s="83"/>
      <c r="AHP605" s="83"/>
      <c r="AHZ605" s="83"/>
      <c r="AIJ605" s="83"/>
      <c r="AIT605" s="83"/>
      <c r="AJD605" s="83"/>
      <c r="AJN605" s="83"/>
      <c r="AJX605" s="83"/>
      <c r="AKH605" s="83"/>
      <c r="AKR605" s="83"/>
      <c r="ALB605" s="83"/>
      <c r="ALL605" s="83"/>
      <c r="ALV605" s="83"/>
      <c r="AMF605" s="83"/>
      <c r="AMP605" s="83"/>
      <c r="AMZ605" s="83"/>
      <c r="ANJ605" s="83"/>
      <c r="ANT605" s="83"/>
      <c r="AOD605" s="83"/>
      <c r="AON605" s="83"/>
      <c r="AOX605" s="83"/>
      <c r="APH605" s="83"/>
      <c r="APR605" s="83"/>
      <c r="AQB605" s="83"/>
      <c r="AQL605" s="83"/>
      <c r="AQV605" s="83"/>
      <c r="ARF605" s="83"/>
      <c r="ARP605" s="83"/>
      <c r="ARZ605" s="83"/>
      <c r="ASJ605" s="83"/>
      <c r="AST605" s="83"/>
      <c r="ATD605" s="83"/>
      <c r="ATN605" s="83"/>
      <c r="ATX605" s="83"/>
      <c r="AUH605" s="83"/>
      <c r="AUR605" s="83"/>
      <c r="AVB605" s="83"/>
      <c r="AVL605" s="83"/>
      <c r="AVV605" s="83"/>
      <c r="AWF605" s="83"/>
      <c r="AWP605" s="83"/>
      <c r="AWZ605" s="83"/>
      <c r="AXJ605" s="83"/>
      <c r="AXT605" s="83"/>
      <c r="AYD605" s="83"/>
      <c r="AYN605" s="83"/>
      <c r="AYX605" s="83"/>
      <c r="AZH605" s="83"/>
      <c r="AZR605" s="83"/>
      <c r="BAB605" s="83"/>
      <c r="BAL605" s="83"/>
      <c r="BAV605" s="83"/>
      <c r="BBF605" s="83"/>
      <c r="BBP605" s="83"/>
      <c r="BBZ605" s="83"/>
      <c r="BCJ605" s="83"/>
      <c r="BCT605" s="83"/>
      <c r="BDD605" s="83"/>
      <c r="BDN605" s="83"/>
      <c r="BDX605" s="83"/>
      <c r="BEH605" s="83"/>
      <c r="BER605" s="83"/>
      <c r="BFB605" s="83"/>
      <c r="BFL605" s="83"/>
      <c r="BFV605" s="83"/>
      <c r="BGF605" s="83"/>
      <c r="BGP605" s="83"/>
      <c r="BGZ605" s="83"/>
      <c r="BHJ605" s="83"/>
      <c r="BHT605" s="83"/>
      <c r="BID605" s="83"/>
      <c r="BIN605" s="83"/>
      <c r="BIX605" s="83"/>
      <c r="BJH605" s="83"/>
      <c r="BJR605" s="83"/>
      <c r="BKB605" s="83"/>
      <c r="BKL605" s="83"/>
      <c r="BKV605" s="83"/>
      <c r="BLF605" s="83"/>
      <c r="BLP605" s="83"/>
      <c r="BLZ605" s="83"/>
      <c r="BMJ605" s="83"/>
      <c r="BMT605" s="83"/>
      <c r="BND605" s="83"/>
      <c r="BNN605" s="83"/>
      <c r="BNX605" s="83"/>
      <c r="BOH605" s="83"/>
      <c r="BOR605" s="83"/>
      <c r="BPB605" s="83"/>
      <c r="BPL605" s="83"/>
      <c r="BPV605" s="83"/>
      <c r="BQF605" s="83"/>
      <c r="BQP605" s="83"/>
      <c r="BQZ605" s="83"/>
      <c r="BRJ605" s="83"/>
      <c r="BRT605" s="83"/>
      <c r="BSD605" s="83"/>
      <c r="BSN605" s="83"/>
      <c r="BSX605" s="83"/>
      <c r="BTH605" s="83"/>
      <c r="BTR605" s="83"/>
      <c r="BUB605" s="83"/>
      <c r="BUL605" s="83"/>
      <c r="BUV605" s="83"/>
      <c r="BVF605" s="83"/>
      <c r="BVP605" s="83"/>
      <c r="BVZ605" s="83"/>
      <c r="BWJ605" s="83"/>
      <c r="BWT605" s="83"/>
      <c r="BXD605" s="83"/>
      <c r="BXN605" s="83"/>
      <c r="BXX605" s="83"/>
      <c r="BYH605" s="83"/>
      <c r="BYR605" s="83"/>
      <c r="BZB605" s="83"/>
      <c r="BZL605" s="83"/>
      <c r="BZV605" s="83"/>
      <c r="CAF605" s="83"/>
      <c r="CAP605" s="83"/>
      <c r="CAZ605" s="83"/>
      <c r="CBJ605" s="83"/>
      <c r="CBT605" s="83"/>
      <c r="CCD605" s="83"/>
      <c r="CCN605" s="83"/>
      <c r="CCX605" s="83"/>
      <c r="CDH605" s="83"/>
      <c r="CDR605" s="83"/>
      <c r="CEB605" s="83"/>
      <c r="CEL605" s="83"/>
      <c r="CEV605" s="83"/>
      <c r="CFF605" s="83"/>
      <c r="CFP605" s="83"/>
      <c r="CFZ605" s="83"/>
      <c r="CGJ605" s="83"/>
      <c r="CGT605" s="83"/>
      <c r="CHD605" s="83"/>
      <c r="CHN605" s="83"/>
      <c r="CHX605" s="83"/>
      <c r="CIH605" s="83"/>
      <c r="CIR605" s="83"/>
      <c r="CJB605" s="83"/>
      <c r="CJL605" s="83"/>
      <c r="CJV605" s="83"/>
      <c r="CKF605" s="83"/>
      <c r="CKP605" s="83"/>
      <c r="CKZ605" s="83"/>
      <c r="CLJ605" s="83"/>
      <c r="CLT605" s="83"/>
      <c r="CMD605" s="83"/>
      <c r="CMN605" s="83"/>
      <c r="CMX605" s="83"/>
      <c r="CNH605" s="83"/>
      <c r="CNR605" s="83"/>
      <c r="COB605" s="83"/>
      <c r="COL605" s="83"/>
      <c r="COV605" s="83"/>
      <c r="CPF605" s="83"/>
      <c r="CPP605" s="83"/>
      <c r="CPZ605" s="83"/>
      <c r="CQJ605" s="83"/>
      <c r="CQT605" s="83"/>
      <c r="CRD605" s="83"/>
      <c r="CRN605" s="83"/>
      <c r="CRX605" s="83"/>
      <c r="CSH605" s="83"/>
      <c r="CSR605" s="83"/>
      <c r="CTB605" s="83"/>
      <c r="CTL605" s="83"/>
      <c r="CTV605" s="83"/>
    </row>
    <row r="606" s="58" customFormat="1" customHeight="1" spans="1:1020 1030:2040 2050:2570">
      <c r="A606" s="87"/>
      <c r="B606" s="94"/>
      <c r="C606" s="95"/>
      <c r="D606" s="75"/>
      <c r="E606" s="85"/>
      <c r="F606" s="77"/>
      <c r="G606" s="75"/>
      <c r="H606" s="77"/>
      <c r="I606" s="77"/>
      <c r="J606" s="75"/>
      <c r="K606" s="78"/>
      <c r="T606" s="83"/>
      <c r="AD606" s="83"/>
      <c r="AN606" s="83"/>
      <c r="AX606" s="83"/>
      <c r="BH606" s="83"/>
      <c r="BR606" s="83"/>
      <c r="CB606" s="83"/>
      <c r="CL606" s="83"/>
      <c r="CV606" s="83"/>
      <c r="DF606" s="83"/>
      <c r="DP606" s="83"/>
      <c r="DZ606" s="83"/>
      <c r="EJ606" s="83"/>
      <c r="ET606" s="83"/>
      <c r="FD606" s="83"/>
      <c r="FN606" s="83"/>
      <c r="FX606" s="83"/>
      <c r="GH606" s="83"/>
      <c r="GR606" s="83"/>
      <c r="HB606" s="83"/>
      <c r="HL606" s="83"/>
      <c r="HV606" s="83"/>
      <c r="IF606" s="83"/>
      <c r="IP606" s="83"/>
      <c r="IZ606" s="83"/>
      <c r="JJ606" s="83"/>
      <c r="JT606" s="83"/>
      <c r="KD606" s="83"/>
      <c r="KN606" s="83"/>
      <c r="KX606" s="83"/>
      <c r="LH606" s="83"/>
      <c r="LR606" s="83"/>
      <c r="MB606" s="83"/>
      <c r="ML606" s="83"/>
      <c r="MV606" s="83"/>
      <c r="NF606" s="83"/>
      <c r="NP606" s="83"/>
      <c r="NZ606" s="83"/>
      <c r="OJ606" s="83"/>
      <c r="OT606" s="83"/>
      <c r="PD606" s="83"/>
      <c r="PN606" s="83"/>
      <c r="PX606" s="83"/>
      <c r="QH606" s="83"/>
      <c r="QR606" s="83"/>
      <c r="RB606" s="83"/>
      <c r="RL606" s="83"/>
      <c r="RV606" s="83"/>
      <c r="SF606" s="83"/>
      <c r="SP606" s="83"/>
      <c r="SZ606" s="83"/>
      <c r="TJ606" s="83"/>
      <c r="TT606" s="83"/>
      <c r="UD606" s="83"/>
      <c r="UN606" s="83"/>
      <c r="UX606" s="83"/>
      <c r="VH606" s="83"/>
      <c r="VR606" s="83"/>
      <c r="WB606" s="83"/>
      <c r="WL606" s="83"/>
      <c r="WV606" s="83"/>
      <c r="XF606" s="83"/>
      <c r="XP606" s="83"/>
      <c r="XZ606" s="83"/>
      <c r="YJ606" s="83"/>
      <c r="YT606" s="83"/>
      <c r="ZD606" s="83"/>
      <c r="ZN606" s="83"/>
      <c r="ZX606" s="83"/>
      <c r="AAH606" s="83"/>
      <c r="AAR606" s="83"/>
      <c r="ABB606" s="83"/>
      <c r="ABL606" s="83"/>
      <c r="ABV606" s="83"/>
      <c r="ACF606" s="83"/>
      <c r="ACP606" s="83"/>
      <c r="ACZ606" s="83"/>
      <c r="ADJ606" s="83"/>
      <c r="ADT606" s="83"/>
      <c r="AED606" s="83"/>
      <c r="AEN606" s="83"/>
      <c r="AEX606" s="83"/>
      <c r="AFH606" s="83"/>
      <c r="AFR606" s="83"/>
      <c r="AGB606" s="83"/>
      <c r="AGL606" s="83"/>
      <c r="AGV606" s="83"/>
      <c r="AHF606" s="83"/>
      <c r="AHP606" s="83"/>
      <c r="AHZ606" s="83"/>
      <c r="AIJ606" s="83"/>
      <c r="AIT606" s="83"/>
      <c r="AJD606" s="83"/>
      <c r="AJN606" s="83"/>
      <c r="AJX606" s="83"/>
      <c r="AKH606" s="83"/>
      <c r="AKR606" s="83"/>
      <c r="ALB606" s="83"/>
      <c r="ALL606" s="83"/>
      <c r="ALV606" s="83"/>
      <c r="AMF606" s="83"/>
      <c r="AMP606" s="83"/>
      <c r="AMZ606" s="83"/>
      <c r="ANJ606" s="83"/>
      <c r="ANT606" s="83"/>
      <c r="AOD606" s="83"/>
      <c r="AON606" s="83"/>
      <c r="AOX606" s="83"/>
      <c r="APH606" s="83"/>
      <c r="APR606" s="83"/>
      <c r="AQB606" s="83"/>
      <c r="AQL606" s="83"/>
      <c r="AQV606" s="83"/>
      <c r="ARF606" s="83"/>
      <c r="ARP606" s="83"/>
      <c r="ARZ606" s="83"/>
      <c r="ASJ606" s="83"/>
      <c r="AST606" s="83"/>
      <c r="ATD606" s="83"/>
      <c r="ATN606" s="83"/>
      <c r="ATX606" s="83"/>
      <c r="AUH606" s="83"/>
      <c r="AUR606" s="83"/>
      <c r="AVB606" s="83"/>
      <c r="AVL606" s="83"/>
      <c r="AVV606" s="83"/>
      <c r="AWF606" s="83"/>
      <c r="AWP606" s="83"/>
      <c r="AWZ606" s="83"/>
      <c r="AXJ606" s="83"/>
      <c r="AXT606" s="83"/>
      <c r="AYD606" s="83"/>
      <c r="AYN606" s="83"/>
      <c r="AYX606" s="83"/>
      <c r="AZH606" s="83"/>
      <c r="AZR606" s="83"/>
      <c r="BAB606" s="83"/>
      <c r="BAL606" s="83"/>
      <c r="BAV606" s="83"/>
      <c r="BBF606" s="83"/>
      <c r="BBP606" s="83"/>
      <c r="BBZ606" s="83"/>
      <c r="BCJ606" s="83"/>
      <c r="BCT606" s="83"/>
      <c r="BDD606" s="83"/>
      <c r="BDN606" s="83"/>
      <c r="BDX606" s="83"/>
      <c r="BEH606" s="83"/>
      <c r="BER606" s="83"/>
      <c r="BFB606" s="83"/>
      <c r="BFL606" s="83"/>
      <c r="BFV606" s="83"/>
      <c r="BGF606" s="83"/>
      <c r="BGP606" s="83"/>
      <c r="BGZ606" s="83"/>
      <c r="BHJ606" s="83"/>
      <c r="BHT606" s="83"/>
      <c r="BID606" s="83"/>
      <c r="BIN606" s="83"/>
      <c r="BIX606" s="83"/>
      <c r="BJH606" s="83"/>
      <c r="BJR606" s="83"/>
      <c r="BKB606" s="83"/>
      <c r="BKL606" s="83"/>
      <c r="BKV606" s="83"/>
      <c r="BLF606" s="83"/>
      <c r="BLP606" s="83"/>
      <c r="BLZ606" s="83"/>
      <c r="BMJ606" s="83"/>
      <c r="BMT606" s="83"/>
      <c r="BND606" s="83"/>
      <c r="BNN606" s="83"/>
      <c r="BNX606" s="83"/>
      <c r="BOH606" s="83"/>
      <c r="BOR606" s="83"/>
      <c r="BPB606" s="83"/>
      <c r="BPL606" s="83"/>
      <c r="BPV606" s="83"/>
      <c r="BQF606" s="83"/>
      <c r="BQP606" s="83"/>
      <c r="BQZ606" s="83"/>
      <c r="BRJ606" s="83"/>
      <c r="BRT606" s="83"/>
      <c r="BSD606" s="83"/>
      <c r="BSN606" s="83"/>
      <c r="BSX606" s="83"/>
      <c r="BTH606" s="83"/>
      <c r="BTR606" s="83"/>
      <c r="BUB606" s="83"/>
      <c r="BUL606" s="83"/>
      <c r="BUV606" s="83"/>
      <c r="BVF606" s="83"/>
      <c r="BVP606" s="83"/>
      <c r="BVZ606" s="83"/>
      <c r="BWJ606" s="83"/>
      <c r="BWT606" s="83"/>
      <c r="BXD606" s="83"/>
      <c r="BXN606" s="83"/>
      <c r="BXX606" s="83"/>
      <c r="BYH606" s="83"/>
      <c r="BYR606" s="83"/>
      <c r="BZB606" s="83"/>
      <c r="BZL606" s="83"/>
      <c r="BZV606" s="83"/>
      <c r="CAF606" s="83"/>
      <c r="CAP606" s="83"/>
      <c r="CAZ606" s="83"/>
      <c r="CBJ606" s="83"/>
      <c r="CBT606" s="83"/>
      <c r="CCD606" s="83"/>
      <c r="CCN606" s="83"/>
      <c r="CCX606" s="83"/>
      <c r="CDH606" s="83"/>
      <c r="CDR606" s="83"/>
      <c r="CEB606" s="83"/>
      <c r="CEL606" s="83"/>
      <c r="CEV606" s="83"/>
      <c r="CFF606" s="83"/>
      <c r="CFP606" s="83"/>
      <c r="CFZ606" s="83"/>
      <c r="CGJ606" s="83"/>
      <c r="CGT606" s="83"/>
      <c r="CHD606" s="83"/>
      <c r="CHN606" s="83"/>
      <c r="CHX606" s="83"/>
      <c r="CIH606" s="83"/>
      <c r="CIR606" s="83"/>
      <c r="CJB606" s="83"/>
      <c r="CJL606" s="83"/>
      <c r="CJV606" s="83"/>
      <c r="CKF606" s="83"/>
      <c r="CKP606" s="83"/>
      <c r="CKZ606" s="83"/>
      <c r="CLJ606" s="83"/>
      <c r="CLT606" s="83"/>
      <c r="CMD606" s="83"/>
      <c r="CMN606" s="83"/>
      <c r="CMX606" s="83"/>
      <c r="CNH606" s="83"/>
      <c r="CNR606" s="83"/>
      <c r="COB606" s="83"/>
      <c r="COL606" s="83"/>
      <c r="COV606" s="83"/>
      <c r="CPF606" s="83"/>
      <c r="CPP606" s="83"/>
      <c r="CPZ606" s="83"/>
      <c r="CQJ606" s="83"/>
      <c r="CQT606" s="83"/>
      <c r="CRD606" s="83"/>
      <c r="CRN606" s="83"/>
      <c r="CRX606" s="83"/>
      <c r="CSH606" s="83"/>
      <c r="CSR606" s="83"/>
      <c r="CTB606" s="83"/>
      <c r="CTL606" s="83"/>
      <c r="CTV606" s="83"/>
    </row>
    <row r="607" s="58" customFormat="1" customHeight="1" spans="1:1020 1030:2040 2050:2570">
      <c r="A607" s="87"/>
      <c r="B607" s="94"/>
      <c r="C607" s="95"/>
      <c r="D607" s="75"/>
      <c r="E607" s="85"/>
      <c r="F607" s="77"/>
      <c r="G607" s="75"/>
      <c r="H607" s="77"/>
      <c r="I607" s="77"/>
      <c r="J607" s="75"/>
      <c r="K607" s="78"/>
      <c r="T607" s="83"/>
      <c r="AD607" s="83"/>
      <c r="AN607" s="83"/>
      <c r="AX607" s="83"/>
      <c r="BH607" s="83"/>
      <c r="BR607" s="83"/>
      <c r="CB607" s="83"/>
      <c r="CL607" s="83"/>
      <c r="CV607" s="83"/>
      <c r="DF607" s="83"/>
      <c r="DP607" s="83"/>
      <c r="DZ607" s="83"/>
      <c r="EJ607" s="83"/>
      <c r="ET607" s="83"/>
      <c r="FD607" s="83"/>
      <c r="FN607" s="83"/>
      <c r="FX607" s="83"/>
      <c r="GH607" s="83"/>
      <c r="GR607" s="83"/>
      <c r="HB607" s="83"/>
      <c r="HL607" s="83"/>
      <c r="HV607" s="83"/>
      <c r="IF607" s="83"/>
      <c r="IP607" s="83"/>
      <c r="IZ607" s="83"/>
      <c r="JJ607" s="83"/>
      <c r="JT607" s="83"/>
      <c r="KD607" s="83"/>
      <c r="KN607" s="83"/>
      <c r="KX607" s="83"/>
      <c r="LH607" s="83"/>
      <c r="LR607" s="83"/>
      <c r="MB607" s="83"/>
      <c r="ML607" s="83"/>
      <c r="MV607" s="83"/>
      <c r="NF607" s="83"/>
      <c r="NP607" s="83"/>
      <c r="NZ607" s="83"/>
      <c r="OJ607" s="83"/>
      <c r="OT607" s="83"/>
      <c r="PD607" s="83"/>
      <c r="PN607" s="83"/>
      <c r="PX607" s="83"/>
      <c r="QH607" s="83"/>
      <c r="QR607" s="83"/>
      <c r="RB607" s="83"/>
      <c r="RL607" s="83"/>
      <c r="RV607" s="83"/>
      <c r="SF607" s="83"/>
      <c r="SP607" s="83"/>
      <c r="SZ607" s="83"/>
      <c r="TJ607" s="83"/>
      <c r="TT607" s="83"/>
      <c r="UD607" s="83"/>
      <c r="UN607" s="83"/>
      <c r="UX607" s="83"/>
      <c r="VH607" s="83"/>
      <c r="VR607" s="83"/>
      <c r="WB607" s="83"/>
      <c r="WL607" s="83"/>
      <c r="WV607" s="83"/>
      <c r="XF607" s="83"/>
      <c r="XP607" s="83"/>
      <c r="XZ607" s="83"/>
      <c r="YJ607" s="83"/>
      <c r="YT607" s="83"/>
      <c r="ZD607" s="83"/>
      <c r="ZN607" s="83"/>
      <c r="ZX607" s="83"/>
      <c r="AAH607" s="83"/>
      <c r="AAR607" s="83"/>
      <c r="ABB607" s="83"/>
      <c r="ABL607" s="83"/>
      <c r="ABV607" s="83"/>
      <c r="ACF607" s="83"/>
      <c r="ACP607" s="83"/>
      <c r="ACZ607" s="83"/>
      <c r="ADJ607" s="83"/>
      <c r="ADT607" s="83"/>
      <c r="AED607" s="83"/>
      <c r="AEN607" s="83"/>
      <c r="AEX607" s="83"/>
      <c r="AFH607" s="83"/>
      <c r="AFR607" s="83"/>
      <c r="AGB607" s="83"/>
      <c r="AGL607" s="83"/>
      <c r="AGV607" s="83"/>
      <c r="AHF607" s="83"/>
      <c r="AHP607" s="83"/>
      <c r="AHZ607" s="83"/>
      <c r="AIJ607" s="83"/>
      <c r="AIT607" s="83"/>
      <c r="AJD607" s="83"/>
      <c r="AJN607" s="83"/>
      <c r="AJX607" s="83"/>
      <c r="AKH607" s="83"/>
      <c r="AKR607" s="83"/>
      <c r="ALB607" s="83"/>
      <c r="ALL607" s="83"/>
      <c r="ALV607" s="83"/>
      <c r="AMF607" s="83"/>
      <c r="AMP607" s="83"/>
      <c r="AMZ607" s="83"/>
      <c r="ANJ607" s="83"/>
      <c r="ANT607" s="83"/>
      <c r="AOD607" s="83"/>
      <c r="AON607" s="83"/>
      <c r="AOX607" s="83"/>
      <c r="APH607" s="83"/>
      <c r="APR607" s="83"/>
      <c r="AQB607" s="83"/>
      <c r="AQL607" s="83"/>
      <c r="AQV607" s="83"/>
      <c r="ARF607" s="83"/>
      <c r="ARP607" s="83"/>
      <c r="ARZ607" s="83"/>
      <c r="ASJ607" s="83"/>
      <c r="AST607" s="83"/>
      <c r="ATD607" s="83"/>
      <c r="ATN607" s="83"/>
      <c r="ATX607" s="83"/>
      <c r="AUH607" s="83"/>
      <c r="AUR607" s="83"/>
      <c r="AVB607" s="83"/>
      <c r="AVL607" s="83"/>
      <c r="AVV607" s="83"/>
      <c r="AWF607" s="83"/>
      <c r="AWP607" s="83"/>
      <c r="AWZ607" s="83"/>
      <c r="AXJ607" s="83"/>
      <c r="AXT607" s="83"/>
      <c r="AYD607" s="83"/>
      <c r="AYN607" s="83"/>
      <c r="AYX607" s="83"/>
      <c r="AZH607" s="83"/>
      <c r="AZR607" s="83"/>
      <c r="BAB607" s="83"/>
      <c r="BAL607" s="83"/>
      <c r="BAV607" s="83"/>
      <c r="BBF607" s="83"/>
      <c r="BBP607" s="83"/>
      <c r="BBZ607" s="83"/>
      <c r="BCJ607" s="83"/>
      <c r="BCT607" s="83"/>
      <c r="BDD607" s="83"/>
      <c r="BDN607" s="83"/>
      <c r="BDX607" s="83"/>
      <c r="BEH607" s="83"/>
      <c r="BER607" s="83"/>
      <c r="BFB607" s="83"/>
      <c r="BFL607" s="83"/>
      <c r="BFV607" s="83"/>
      <c r="BGF607" s="83"/>
      <c r="BGP607" s="83"/>
      <c r="BGZ607" s="83"/>
      <c r="BHJ607" s="83"/>
      <c r="BHT607" s="83"/>
      <c r="BID607" s="83"/>
      <c r="BIN607" s="83"/>
      <c r="BIX607" s="83"/>
      <c r="BJH607" s="83"/>
      <c r="BJR607" s="83"/>
      <c r="BKB607" s="83"/>
      <c r="BKL607" s="83"/>
      <c r="BKV607" s="83"/>
      <c r="BLF607" s="83"/>
      <c r="BLP607" s="83"/>
      <c r="BLZ607" s="83"/>
      <c r="BMJ607" s="83"/>
      <c r="BMT607" s="83"/>
      <c r="BND607" s="83"/>
      <c r="BNN607" s="83"/>
      <c r="BNX607" s="83"/>
      <c r="BOH607" s="83"/>
      <c r="BOR607" s="83"/>
      <c r="BPB607" s="83"/>
      <c r="BPL607" s="83"/>
      <c r="BPV607" s="83"/>
      <c r="BQF607" s="83"/>
      <c r="BQP607" s="83"/>
      <c r="BQZ607" s="83"/>
      <c r="BRJ607" s="83"/>
      <c r="BRT607" s="83"/>
      <c r="BSD607" s="83"/>
      <c r="BSN607" s="83"/>
      <c r="BSX607" s="83"/>
      <c r="BTH607" s="83"/>
      <c r="BTR607" s="83"/>
      <c r="BUB607" s="83"/>
      <c r="BUL607" s="83"/>
      <c r="BUV607" s="83"/>
      <c r="BVF607" s="83"/>
      <c r="BVP607" s="83"/>
      <c r="BVZ607" s="83"/>
      <c r="BWJ607" s="83"/>
      <c r="BWT607" s="83"/>
      <c r="BXD607" s="83"/>
      <c r="BXN607" s="83"/>
      <c r="BXX607" s="83"/>
      <c r="BYH607" s="83"/>
      <c r="BYR607" s="83"/>
      <c r="BZB607" s="83"/>
      <c r="BZL607" s="83"/>
      <c r="BZV607" s="83"/>
      <c r="CAF607" s="83"/>
      <c r="CAP607" s="83"/>
      <c r="CAZ607" s="83"/>
      <c r="CBJ607" s="83"/>
      <c r="CBT607" s="83"/>
      <c r="CCD607" s="83"/>
      <c r="CCN607" s="83"/>
      <c r="CCX607" s="83"/>
      <c r="CDH607" s="83"/>
      <c r="CDR607" s="83"/>
      <c r="CEB607" s="83"/>
      <c r="CEL607" s="83"/>
      <c r="CEV607" s="83"/>
      <c r="CFF607" s="83"/>
      <c r="CFP607" s="83"/>
      <c r="CFZ607" s="83"/>
      <c r="CGJ607" s="83"/>
      <c r="CGT607" s="83"/>
      <c r="CHD607" s="83"/>
      <c r="CHN607" s="83"/>
      <c r="CHX607" s="83"/>
      <c r="CIH607" s="83"/>
      <c r="CIR607" s="83"/>
      <c r="CJB607" s="83"/>
      <c r="CJL607" s="83"/>
      <c r="CJV607" s="83"/>
      <c r="CKF607" s="83"/>
      <c r="CKP607" s="83"/>
      <c r="CKZ607" s="83"/>
      <c r="CLJ607" s="83"/>
      <c r="CLT607" s="83"/>
      <c r="CMD607" s="83"/>
      <c r="CMN607" s="83"/>
      <c r="CMX607" s="83"/>
      <c r="CNH607" s="83"/>
      <c r="CNR607" s="83"/>
      <c r="COB607" s="83"/>
      <c r="COL607" s="83"/>
      <c r="COV607" s="83"/>
      <c r="CPF607" s="83"/>
      <c r="CPP607" s="83"/>
      <c r="CPZ607" s="83"/>
      <c r="CQJ607" s="83"/>
      <c r="CQT607" s="83"/>
      <c r="CRD607" s="83"/>
      <c r="CRN607" s="83"/>
      <c r="CRX607" s="83"/>
      <c r="CSH607" s="83"/>
      <c r="CSR607" s="83"/>
      <c r="CTB607" s="83"/>
      <c r="CTL607" s="83"/>
      <c r="CTV607" s="83"/>
    </row>
    <row r="608" s="58" customFormat="1" customHeight="1" spans="1:1020 1030:2040 2050:2570">
      <c r="A608" s="87"/>
      <c r="B608" s="94"/>
      <c r="C608" s="95"/>
      <c r="D608" s="75"/>
      <c r="E608" s="75"/>
      <c r="F608" s="77"/>
      <c r="G608" s="75"/>
      <c r="H608" s="77"/>
      <c r="I608" s="77"/>
      <c r="J608" s="75"/>
      <c r="K608" s="78"/>
      <c r="T608" s="83"/>
      <c r="AD608" s="83"/>
      <c r="AN608" s="83"/>
      <c r="AX608" s="83"/>
      <c r="BH608" s="83"/>
      <c r="BR608" s="83"/>
      <c r="CB608" s="83"/>
      <c r="CL608" s="83"/>
      <c r="CV608" s="83"/>
      <c r="DF608" s="83"/>
      <c r="DP608" s="83"/>
      <c r="DZ608" s="83"/>
      <c r="EJ608" s="83"/>
      <c r="ET608" s="83"/>
      <c r="FD608" s="83"/>
      <c r="FN608" s="83"/>
      <c r="FX608" s="83"/>
      <c r="GH608" s="83"/>
      <c r="GR608" s="83"/>
      <c r="HB608" s="83"/>
      <c r="HL608" s="83"/>
      <c r="HV608" s="83"/>
      <c r="IF608" s="83"/>
      <c r="IP608" s="83"/>
      <c r="IZ608" s="83"/>
      <c r="JJ608" s="83"/>
      <c r="JT608" s="83"/>
      <c r="KD608" s="83"/>
      <c r="KN608" s="83"/>
      <c r="KX608" s="83"/>
      <c r="LH608" s="83"/>
      <c r="LR608" s="83"/>
      <c r="MB608" s="83"/>
      <c r="ML608" s="83"/>
      <c r="MV608" s="83"/>
      <c r="NF608" s="83"/>
      <c r="NP608" s="83"/>
      <c r="NZ608" s="83"/>
      <c r="OJ608" s="83"/>
      <c r="OT608" s="83"/>
      <c r="PD608" s="83"/>
      <c r="PN608" s="83"/>
      <c r="PX608" s="83"/>
      <c r="QH608" s="83"/>
      <c r="QR608" s="83"/>
      <c r="RB608" s="83"/>
      <c r="RL608" s="83"/>
      <c r="RV608" s="83"/>
      <c r="SF608" s="83"/>
      <c r="SP608" s="83"/>
      <c r="SZ608" s="83"/>
      <c r="TJ608" s="83"/>
      <c r="TT608" s="83"/>
      <c r="UD608" s="83"/>
      <c r="UN608" s="83"/>
      <c r="UX608" s="83"/>
      <c r="VH608" s="83"/>
      <c r="VR608" s="83"/>
      <c r="WB608" s="83"/>
      <c r="WL608" s="83"/>
      <c r="WV608" s="83"/>
      <c r="XF608" s="83"/>
      <c r="XP608" s="83"/>
      <c r="XZ608" s="83"/>
      <c r="YJ608" s="83"/>
      <c r="YT608" s="83"/>
      <c r="ZD608" s="83"/>
      <c r="ZN608" s="83"/>
      <c r="ZX608" s="83"/>
      <c r="AAH608" s="83"/>
      <c r="AAR608" s="83"/>
      <c r="ABB608" s="83"/>
      <c r="ABL608" s="83"/>
      <c r="ABV608" s="83"/>
      <c r="ACF608" s="83"/>
      <c r="ACP608" s="83"/>
      <c r="ACZ608" s="83"/>
      <c r="ADJ608" s="83"/>
      <c r="ADT608" s="83"/>
      <c r="AED608" s="83"/>
      <c r="AEN608" s="83"/>
      <c r="AEX608" s="83"/>
      <c r="AFH608" s="83"/>
      <c r="AFR608" s="83"/>
      <c r="AGB608" s="83"/>
      <c r="AGL608" s="83"/>
      <c r="AGV608" s="83"/>
      <c r="AHF608" s="83"/>
      <c r="AHP608" s="83"/>
      <c r="AHZ608" s="83"/>
      <c r="AIJ608" s="83"/>
      <c r="AIT608" s="83"/>
      <c r="AJD608" s="83"/>
      <c r="AJN608" s="83"/>
      <c r="AJX608" s="83"/>
      <c r="AKH608" s="83"/>
      <c r="AKR608" s="83"/>
      <c r="ALB608" s="83"/>
      <c r="ALL608" s="83"/>
      <c r="ALV608" s="83"/>
      <c r="AMF608" s="83"/>
      <c r="AMP608" s="83"/>
      <c r="AMZ608" s="83"/>
      <c r="ANJ608" s="83"/>
      <c r="ANT608" s="83"/>
      <c r="AOD608" s="83"/>
      <c r="AON608" s="83"/>
      <c r="AOX608" s="83"/>
      <c r="APH608" s="83"/>
      <c r="APR608" s="83"/>
      <c r="AQB608" s="83"/>
      <c r="AQL608" s="83"/>
      <c r="AQV608" s="83"/>
      <c r="ARF608" s="83"/>
      <c r="ARP608" s="83"/>
      <c r="ARZ608" s="83"/>
      <c r="ASJ608" s="83"/>
      <c r="AST608" s="83"/>
      <c r="ATD608" s="83"/>
      <c r="ATN608" s="83"/>
      <c r="ATX608" s="83"/>
      <c r="AUH608" s="83"/>
      <c r="AUR608" s="83"/>
      <c r="AVB608" s="83"/>
      <c r="AVL608" s="83"/>
      <c r="AVV608" s="83"/>
      <c r="AWF608" s="83"/>
      <c r="AWP608" s="83"/>
      <c r="AWZ608" s="83"/>
      <c r="AXJ608" s="83"/>
      <c r="AXT608" s="83"/>
      <c r="AYD608" s="83"/>
      <c r="AYN608" s="83"/>
      <c r="AYX608" s="83"/>
      <c r="AZH608" s="83"/>
      <c r="AZR608" s="83"/>
      <c r="BAB608" s="83"/>
      <c r="BAL608" s="83"/>
      <c r="BAV608" s="83"/>
      <c r="BBF608" s="83"/>
      <c r="BBP608" s="83"/>
      <c r="BBZ608" s="83"/>
      <c r="BCJ608" s="83"/>
      <c r="BCT608" s="83"/>
      <c r="BDD608" s="83"/>
      <c r="BDN608" s="83"/>
      <c r="BDX608" s="83"/>
      <c r="BEH608" s="83"/>
      <c r="BER608" s="83"/>
      <c r="BFB608" s="83"/>
      <c r="BFL608" s="83"/>
      <c r="BFV608" s="83"/>
      <c r="BGF608" s="83"/>
      <c r="BGP608" s="83"/>
      <c r="BGZ608" s="83"/>
      <c r="BHJ608" s="83"/>
      <c r="BHT608" s="83"/>
      <c r="BID608" s="83"/>
      <c r="BIN608" s="83"/>
      <c r="BIX608" s="83"/>
      <c r="BJH608" s="83"/>
      <c r="BJR608" s="83"/>
      <c r="BKB608" s="83"/>
      <c r="BKL608" s="83"/>
      <c r="BKV608" s="83"/>
      <c r="BLF608" s="83"/>
      <c r="BLP608" s="83"/>
      <c r="BLZ608" s="83"/>
      <c r="BMJ608" s="83"/>
      <c r="BMT608" s="83"/>
      <c r="BND608" s="83"/>
      <c r="BNN608" s="83"/>
      <c r="BNX608" s="83"/>
      <c r="BOH608" s="83"/>
      <c r="BOR608" s="83"/>
      <c r="BPB608" s="83"/>
      <c r="BPL608" s="83"/>
      <c r="BPV608" s="83"/>
      <c r="BQF608" s="83"/>
      <c r="BQP608" s="83"/>
      <c r="BQZ608" s="83"/>
      <c r="BRJ608" s="83"/>
      <c r="BRT608" s="83"/>
      <c r="BSD608" s="83"/>
      <c r="BSN608" s="83"/>
      <c r="BSX608" s="83"/>
      <c r="BTH608" s="83"/>
      <c r="BTR608" s="83"/>
      <c r="BUB608" s="83"/>
      <c r="BUL608" s="83"/>
      <c r="BUV608" s="83"/>
      <c r="BVF608" s="83"/>
      <c r="BVP608" s="83"/>
      <c r="BVZ608" s="83"/>
      <c r="BWJ608" s="83"/>
      <c r="BWT608" s="83"/>
      <c r="BXD608" s="83"/>
      <c r="BXN608" s="83"/>
      <c r="BXX608" s="83"/>
      <c r="BYH608" s="83"/>
      <c r="BYR608" s="83"/>
      <c r="BZB608" s="83"/>
      <c r="BZL608" s="83"/>
      <c r="BZV608" s="83"/>
      <c r="CAF608" s="83"/>
      <c r="CAP608" s="83"/>
      <c r="CAZ608" s="83"/>
      <c r="CBJ608" s="83"/>
      <c r="CBT608" s="83"/>
      <c r="CCD608" s="83"/>
      <c r="CCN608" s="83"/>
      <c r="CCX608" s="83"/>
      <c r="CDH608" s="83"/>
      <c r="CDR608" s="83"/>
      <c r="CEB608" s="83"/>
      <c r="CEL608" s="83"/>
      <c r="CEV608" s="83"/>
      <c r="CFF608" s="83"/>
      <c r="CFP608" s="83"/>
      <c r="CFZ608" s="83"/>
      <c r="CGJ608" s="83"/>
      <c r="CGT608" s="83"/>
      <c r="CHD608" s="83"/>
      <c r="CHN608" s="83"/>
      <c r="CHX608" s="83"/>
      <c r="CIH608" s="83"/>
      <c r="CIR608" s="83"/>
      <c r="CJB608" s="83"/>
      <c r="CJL608" s="83"/>
      <c r="CJV608" s="83"/>
      <c r="CKF608" s="83"/>
      <c r="CKP608" s="83"/>
      <c r="CKZ608" s="83"/>
      <c r="CLJ608" s="83"/>
      <c r="CLT608" s="83"/>
      <c r="CMD608" s="83"/>
      <c r="CMN608" s="83"/>
      <c r="CMX608" s="83"/>
      <c r="CNH608" s="83"/>
      <c r="CNR608" s="83"/>
      <c r="COB608" s="83"/>
      <c r="COL608" s="83"/>
      <c r="COV608" s="83"/>
      <c r="CPF608" s="83"/>
      <c r="CPP608" s="83"/>
      <c r="CPZ608" s="83"/>
      <c r="CQJ608" s="83"/>
      <c r="CQT608" s="83"/>
      <c r="CRD608" s="83"/>
      <c r="CRN608" s="83"/>
      <c r="CRX608" s="83"/>
      <c r="CSH608" s="83"/>
      <c r="CSR608" s="83"/>
      <c r="CTB608" s="83"/>
      <c r="CTL608" s="83"/>
      <c r="CTV608" s="83"/>
    </row>
    <row r="609" s="58" customFormat="1" customHeight="1" spans="1:1020 1030:2040 2050:2570">
      <c r="A609" s="87"/>
      <c r="B609" s="94"/>
      <c r="C609" s="95"/>
      <c r="D609" s="75"/>
      <c r="E609" s="85"/>
      <c r="F609" s="77"/>
      <c r="G609" s="75"/>
      <c r="H609" s="77"/>
      <c r="I609" s="77"/>
      <c r="J609" s="75"/>
      <c r="K609" s="78"/>
      <c r="T609" s="83"/>
      <c r="AD609" s="83"/>
      <c r="AN609" s="83"/>
      <c r="AX609" s="83"/>
      <c r="BH609" s="83"/>
      <c r="BR609" s="83"/>
      <c r="CB609" s="83"/>
      <c r="CL609" s="83"/>
      <c r="CV609" s="83"/>
      <c r="DF609" s="83"/>
      <c r="DP609" s="83"/>
      <c r="DZ609" s="83"/>
      <c r="EJ609" s="83"/>
      <c r="ET609" s="83"/>
      <c r="FD609" s="83"/>
      <c r="FN609" s="83"/>
      <c r="FX609" s="83"/>
      <c r="GH609" s="83"/>
      <c r="GR609" s="83"/>
      <c r="HB609" s="83"/>
      <c r="HL609" s="83"/>
      <c r="HV609" s="83"/>
      <c r="IF609" s="83"/>
      <c r="IP609" s="83"/>
      <c r="IZ609" s="83"/>
      <c r="JJ609" s="83"/>
      <c r="JT609" s="83"/>
      <c r="KD609" s="83"/>
      <c r="KN609" s="83"/>
      <c r="KX609" s="83"/>
      <c r="LH609" s="83"/>
      <c r="LR609" s="83"/>
      <c r="MB609" s="83"/>
      <c r="ML609" s="83"/>
      <c r="MV609" s="83"/>
      <c r="NF609" s="83"/>
      <c r="NP609" s="83"/>
      <c r="NZ609" s="83"/>
      <c r="OJ609" s="83"/>
      <c r="OT609" s="83"/>
      <c r="PD609" s="83"/>
      <c r="PN609" s="83"/>
      <c r="PX609" s="83"/>
      <c r="QH609" s="83"/>
      <c r="QR609" s="83"/>
      <c r="RB609" s="83"/>
      <c r="RL609" s="83"/>
      <c r="RV609" s="83"/>
      <c r="SF609" s="83"/>
      <c r="SP609" s="83"/>
      <c r="SZ609" s="83"/>
      <c r="TJ609" s="83"/>
      <c r="TT609" s="83"/>
      <c r="UD609" s="83"/>
      <c r="UN609" s="83"/>
      <c r="UX609" s="83"/>
      <c r="VH609" s="83"/>
      <c r="VR609" s="83"/>
      <c r="WB609" s="83"/>
      <c r="WL609" s="83"/>
      <c r="WV609" s="83"/>
      <c r="XF609" s="83"/>
      <c r="XP609" s="83"/>
      <c r="XZ609" s="83"/>
      <c r="YJ609" s="83"/>
      <c r="YT609" s="83"/>
      <c r="ZD609" s="83"/>
      <c r="ZN609" s="83"/>
      <c r="ZX609" s="83"/>
      <c r="AAH609" s="83"/>
      <c r="AAR609" s="83"/>
      <c r="ABB609" s="83"/>
      <c r="ABL609" s="83"/>
      <c r="ABV609" s="83"/>
      <c r="ACF609" s="83"/>
      <c r="ACP609" s="83"/>
      <c r="ACZ609" s="83"/>
      <c r="ADJ609" s="83"/>
      <c r="ADT609" s="83"/>
      <c r="AED609" s="83"/>
      <c r="AEN609" s="83"/>
      <c r="AEX609" s="83"/>
      <c r="AFH609" s="83"/>
      <c r="AFR609" s="83"/>
      <c r="AGB609" s="83"/>
      <c r="AGL609" s="83"/>
      <c r="AGV609" s="83"/>
      <c r="AHF609" s="83"/>
      <c r="AHP609" s="83"/>
      <c r="AHZ609" s="83"/>
      <c r="AIJ609" s="83"/>
      <c r="AIT609" s="83"/>
      <c r="AJD609" s="83"/>
      <c r="AJN609" s="83"/>
      <c r="AJX609" s="83"/>
      <c r="AKH609" s="83"/>
      <c r="AKR609" s="83"/>
      <c r="ALB609" s="83"/>
      <c r="ALL609" s="83"/>
      <c r="ALV609" s="83"/>
      <c r="AMF609" s="83"/>
      <c r="AMP609" s="83"/>
      <c r="AMZ609" s="83"/>
      <c r="ANJ609" s="83"/>
      <c r="ANT609" s="83"/>
      <c r="AOD609" s="83"/>
      <c r="AON609" s="83"/>
      <c r="AOX609" s="83"/>
      <c r="APH609" s="83"/>
      <c r="APR609" s="83"/>
      <c r="AQB609" s="83"/>
      <c r="AQL609" s="83"/>
      <c r="AQV609" s="83"/>
      <c r="ARF609" s="83"/>
      <c r="ARP609" s="83"/>
      <c r="ARZ609" s="83"/>
      <c r="ASJ609" s="83"/>
      <c r="AST609" s="83"/>
      <c r="ATD609" s="83"/>
      <c r="ATN609" s="83"/>
      <c r="ATX609" s="83"/>
      <c r="AUH609" s="83"/>
      <c r="AUR609" s="83"/>
      <c r="AVB609" s="83"/>
      <c r="AVL609" s="83"/>
      <c r="AVV609" s="83"/>
      <c r="AWF609" s="83"/>
      <c r="AWP609" s="83"/>
      <c r="AWZ609" s="83"/>
      <c r="AXJ609" s="83"/>
      <c r="AXT609" s="83"/>
      <c r="AYD609" s="83"/>
      <c r="AYN609" s="83"/>
      <c r="AYX609" s="83"/>
      <c r="AZH609" s="83"/>
      <c r="AZR609" s="83"/>
      <c r="BAB609" s="83"/>
      <c r="BAL609" s="83"/>
      <c r="BAV609" s="83"/>
      <c r="BBF609" s="83"/>
      <c r="BBP609" s="83"/>
      <c r="BBZ609" s="83"/>
      <c r="BCJ609" s="83"/>
      <c r="BCT609" s="83"/>
      <c r="BDD609" s="83"/>
      <c r="BDN609" s="83"/>
      <c r="BDX609" s="83"/>
      <c r="BEH609" s="83"/>
      <c r="BER609" s="83"/>
      <c r="BFB609" s="83"/>
      <c r="BFL609" s="83"/>
      <c r="BFV609" s="83"/>
      <c r="BGF609" s="83"/>
      <c r="BGP609" s="83"/>
      <c r="BGZ609" s="83"/>
      <c r="BHJ609" s="83"/>
      <c r="BHT609" s="83"/>
      <c r="BID609" s="83"/>
      <c r="BIN609" s="83"/>
      <c r="BIX609" s="83"/>
      <c r="BJH609" s="83"/>
      <c r="BJR609" s="83"/>
      <c r="BKB609" s="83"/>
      <c r="BKL609" s="83"/>
      <c r="BKV609" s="83"/>
      <c r="BLF609" s="83"/>
      <c r="BLP609" s="83"/>
      <c r="BLZ609" s="83"/>
      <c r="BMJ609" s="83"/>
      <c r="BMT609" s="83"/>
      <c r="BND609" s="83"/>
      <c r="BNN609" s="83"/>
      <c r="BNX609" s="83"/>
      <c r="BOH609" s="83"/>
      <c r="BOR609" s="83"/>
      <c r="BPB609" s="83"/>
      <c r="BPL609" s="83"/>
      <c r="BPV609" s="83"/>
      <c r="BQF609" s="83"/>
      <c r="BQP609" s="83"/>
      <c r="BQZ609" s="83"/>
      <c r="BRJ609" s="83"/>
      <c r="BRT609" s="83"/>
      <c r="BSD609" s="83"/>
      <c r="BSN609" s="83"/>
      <c r="BSX609" s="83"/>
      <c r="BTH609" s="83"/>
      <c r="BTR609" s="83"/>
      <c r="BUB609" s="83"/>
      <c r="BUL609" s="83"/>
      <c r="BUV609" s="83"/>
      <c r="BVF609" s="83"/>
      <c r="BVP609" s="83"/>
      <c r="BVZ609" s="83"/>
      <c r="BWJ609" s="83"/>
      <c r="BWT609" s="83"/>
      <c r="BXD609" s="83"/>
      <c r="BXN609" s="83"/>
      <c r="BXX609" s="83"/>
      <c r="BYH609" s="83"/>
      <c r="BYR609" s="83"/>
      <c r="BZB609" s="83"/>
      <c r="BZL609" s="83"/>
      <c r="BZV609" s="83"/>
      <c r="CAF609" s="83"/>
      <c r="CAP609" s="83"/>
      <c r="CAZ609" s="83"/>
      <c r="CBJ609" s="83"/>
      <c r="CBT609" s="83"/>
      <c r="CCD609" s="83"/>
      <c r="CCN609" s="83"/>
      <c r="CCX609" s="83"/>
      <c r="CDH609" s="83"/>
      <c r="CDR609" s="83"/>
      <c r="CEB609" s="83"/>
      <c r="CEL609" s="83"/>
      <c r="CEV609" s="83"/>
      <c r="CFF609" s="83"/>
      <c r="CFP609" s="83"/>
      <c r="CFZ609" s="83"/>
      <c r="CGJ609" s="83"/>
      <c r="CGT609" s="83"/>
      <c r="CHD609" s="83"/>
      <c r="CHN609" s="83"/>
      <c r="CHX609" s="83"/>
      <c r="CIH609" s="83"/>
      <c r="CIR609" s="83"/>
      <c r="CJB609" s="83"/>
      <c r="CJL609" s="83"/>
      <c r="CJV609" s="83"/>
      <c r="CKF609" s="83"/>
      <c r="CKP609" s="83"/>
      <c r="CKZ609" s="83"/>
      <c r="CLJ609" s="83"/>
      <c r="CLT609" s="83"/>
      <c r="CMD609" s="83"/>
      <c r="CMN609" s="83"/>
      <c r="CMX609" s="83"/>
      <c r="CNH609" s="83"/>
      <c r="CNR609" s="83"/>
      <c r="COB609" s="83"/>
      <c r="COL609" s="83"/>
      <c r="COV609" s="83"/>
      <c r="CPF609" s="83"/>
      <c r="CPP609" s="83"/>
      <c r="CPZ609" s="83"/>
      <c r="CQJ609" s="83"/>
      <c r="CQT609" s="83"/>
      <c r="CRD609" s="83"/>
      <c r="CRN609" s="83"/>
      <c r="CRX609" s="83"/>
      <c r="CSH609" s="83"/>
      <c r="CSR609" s="83"/>
      <c r="CTB609" s="83"/>
      <c r="CTL609" s="83"/>
      <c r="CTV609" s="83"/>
    </row>
    <row r="610" s="58" customFormat="1" customHeight="1" spans="1:1020 1030:2040 2050:2570">
      <c r="A610" s="87"/>
      <c r="B610" s="94"/>
      <c r="C610" s="95"/>
      <c r="D610" s="75"/>
      <c r="E610" s="75"/>
      <c r="F610" s="77"/>
      <c r="G610" s="75"/>
      <c r="H610" s="77"/>
      <c r="I610" s="77"/>
      <c r="J610" s="75"/>
      <c r="K610" s="78"/>
      <c r="T610" s="83"/>
      <c r="AD610" s="83"/>
      <c r="AN610" s="83"/>
      <c r="AX610" s="83"/>
      <c r="BH610" s="83"/>
      <c r="BR610" s="83"/>
      <c r="CB610" s="83"/>
      <c r="CL610" s="83"/>
      <c r="CV610" s="83"/>
      <c r="DF610" s="83"/>
      <c r="DP610" s="83"/>
      <c r="DZ610" s="83"/>
      <c r="EJ610" s="83"/>
      <c r="ET610" s="83"/>
      <c r="FD610" s="83"/>
      <c r="FN610" s="83"/>
      <c r="FX610" s="83"/>
      <c r="GH610" s="83"/>
      <c r="GR610" s="83"/>
      <c r="HB610" s="83"/>
      <c r="HL610" s="83"/>
      <c r="HV610" s="83"/>
      <c r="IF610" s="83"/>
      <c r="IP610" s="83"/>
      <c r="IZ610" s="83"/>
      <c r="JJ610" s="83"/>
      <c r="JT610" s="83"/>
      <c r="KD610" s="83"/>
      <c r="KN610" s="83"/>
      <c r="KX610" s="83"/>
      <c r="LH610" s="83"/>
      <c r="LR610" s="83"/>
      <c r="MB610" s="83"/>
      <c r="ML610" s="83"/>
      <c r="MV610" s="83"/>
      <c r="NF610" s="83"/>
      <c r="NP610" s="83"/>
      <c r="NZ610" s="83"/>
      <c r="OJ610" s="83"/>
      <c r="OT610" s="83"/>
      <c r="PD610" s="83"/>
      <c r="PN610" s="83"/>
      <c r="PX610" s="83"/>
      <c r="QH610" s="83"/>
      <c r="QR610" s="83"/>
      <c r="RB610" s="83"/>
      <c r="RL610" s="83"/>
      <c r="RV610" s="83"/>
      <c r="SF610" s="83"/>
      <c r="SP610" s="83"/>
      <c r="SZ610" s="83"/>
      <c r="TJ610" s="83"/>
      <c r="TT610" s="83"/>
      <c r="UD610" s="83"/>
      <c r="UN610" s="83"/>
      <c r="UX610" s="83"/>
      <c r="VH610" s="83"/>
      <c r="VR610" s="83"/>
      <c r="WB610" s="83"/>
      <c r="WL610" s="83"/>
      <c r="WV610" s="83"/>
      <c r="XF610" s="83"/>
      <c r="XP610" s="83"/>
      <c r="XZ610" s="83"/>
      <c r="YJ610" s="83"/>
      <c r="YT610" s="83"/>
      <c r="ZD610" s="83"/>
      <c r="ZN610" s="83"/>
      <c r="ZX610" s="83"/>
      <c r="AAH610" s="83"/>
      <c r="AAR610" s="83"/>
      <c r="ABB610" s="83"/>
      <c r="ABL610" s="83"/>
      <c r="ABV610" s="83"/>
      <c r="ACF610" s="83"/>
      <c r="ACP610" s="83"/>
      <c r="ACZ610" s="83"/>
      <c r="ADJ610" s="83"/>
      <c r="ADT610" s="83"/>
      <c r="AED610" s="83"/>
      <c r="AEN610" s="83"/>
      <c r="AEX610" s="83"/>
      <c r="AFH610" s="83"/>
      <c r="AFR610" s="83"/>
      <c r="AGB610" s="83"/>
      <c r="AGL610" s="83"/>
      <c r="AGV610" s="83"/>
      <c r="AHF610" s="83"/>
      <c r="AHP610" s="83"/>
      <c r="AHZ610" s="83"/>
      <c r="AIJ610" s="83"/>
      <c r="AIT610" s="83"/>
      <c r="AJD610" s="83"/>
      <c r="AJN610" s="83"/>
      <c r="AJX610" s="83"/>
      <c r="AKH610" s="83"/>
      <c r="AKR610" s="83"/>
      <c r="ALB610" s="83"/>
      <c r="ALL610" s="83"/>
      <c r="ALV610" s="83"/>
      <c r="AMF610" s="83"/>
      <c r="AMP610" s="83"/>
      <c r="AMZ610" s="83"/>
      <c r="ANJ610" s="83"/>
      <c r="ANT610" s="83"/>
      <c r="AOD610" s="83"/>
      <c r="AON610" s="83"/>
      <c r="AOX610" s="83"/>
      <c r="APH610" s="83"/>
      <c r="APR610" s="83"/>
      <c r="AQB610" s="83"/>
      <c r="AQL610" s="83"/>
      <c r="AQV610" s="83"/>
      <c r="ARF610" s="83"/>
      <c r="ARP610" s="83"/>
      <c r="ARZ610" s="83"/>
      <c r="ASJ610" s="83"/>
      <c r="AST610" s="83"/>
      <c r="ATD610" s="83"/>
      <c r="ATN610" s="83"/>
      <c r="ATX610" s="83"/>
      <c r="AUH610" s="83"/>
      <c r="AUR610" s="83"/>
      <c r="AVB610" s="83"/>
      <c r="AVL610" s="83"/>
      <c r="AVV610" s="83"/>
      <c r="AWF610" s="83"/>
      <c r="AWP610" s="83"/>
      <c r="AWZ610" s="83"/>
      <c r="AXJ610" s="83"/>
      <c r="AXT610" s="83"/>
      <c r="AYD610" s="83"/>
      <c r="AYN610" s="83"/>
      <c r="AYX610" s="83"/>
      <c r="AZH610" s="83"/>
      <c r="AZR610" s="83"/>
      <c r="BAB610" s="83"/>
      <c r="BAL610" s="83"/>
      <c r="BAV610" s="83"/>
      <c r="BBF610" s="83"/>
      <c r="BBP610" s="83"/>
      <c r="BBZ610" s="83"/>
      <c r="BCJ610" s="83"/>
      <c r="BCT610" s="83"/>
      <c r="BDD610" s="83"/>
      <c r="BDN610" s="83"/>
      <c r="BDX610" s="83"/>
      <c r="BEH610" s="83"/>
      <c r="BER610" s="83"/>
      <c r="BFB610" s="83"/>
      <c r="BFL610" s="83"/>
      <c r="BFV610" s="83"/>
      <c r="BGF610" s="83"/>
      <c r="BGP610" s="83"/>
      <c r="BGZ610" s="83"/>
      <c r="BHJ610" s="83"/>
      <c r="BHT610" s="83"/>
      <c r="BID610" s="83"/>
      <c r="BIN610" s="83"/>
      <c r="BIX610" s="83"/>
      <c r="BJH610" s="83"/>
      <c r="BJR610" s="83"/>
      <c r="BKB610" s="83"/>
      <c r="BKL610" s="83"/>
      <c r="BKV610" s="83"/>
      <c r="BLF610" s="83"/>
      <c r="BLP610" s="83"/>
      <c r="BLZ610" s="83"/>
      <c r="BMJ610" s="83"/>
      <c r="BMT610" s="83"/>
      <c r="BND610" s="83"/>
      <c r="BNN610" s="83"/>
      <c r="BNX610" s="83"/>
      <c r="BOH610" s="83"/>
      <c r="BOR610" s="83"/>
      <c r="BPB610" s="83"/>
      <c r="BPL610" s="83"/>
      <c r="BPV610" s="83"/>
      <c r="BQF610" s="83"/>
      <c r="BQP610" s="83"/>
      <c r="BQZ610" s="83"/>
      <c r="BRJ610" s="83"/>
      <c r="BRT610" s="83"/>
      <c r="BSD610" s="83"/>
      <c r="BSN610" s="83"/>
      <c r="BSX610" s="83"/>
      <c r="BTH610" s="83"/>
      <c r="BTR610" s="83"/>
      <c r="BUB610" s="83"/>
      <c r="BUL610" s="83"/>
      <c r="BUV610" s="83"/>
      <c r="BVF610" s="83"/>
      <c r="BVP610" s="83"/>
      <c r="BVZ610" s="83"/>
      <c r="BWJ610" s="83"/>
      <c r="BWT610" s="83"/>
      <c r="BXD610" s="83"/>
      <c r="BXN610" s="83"/>
      <c r="BXX610" s="83"/>
      <c r="BYH610" s="83"/>
      <c r="BYR610" s="83"/>
      <c r="BZB610" s="83"/>
      <c r="BZL610" s="83"/>
      <c r="BZV610" s="83"/>
      <c r="CAF610" s="83"/>
      <c r="CAP610" s="83"/>
      <c r="CAZ610" s="83"/>
      <c r="CBJ610" s="83"/>
      <c r="CBT610" s="83"/>
      <c r="CCD610" s="83"/>
      <c r="CCN610" s="83"/>
      <c r="CCX610" s="83"/>
      <c r="CDH610" s="83"/>
      <c r="CDR610" s="83"/>
      <c r="CEB610" s="83"/>
      <c r="CEL610" s="83"/>
      <c r="CEV610" s="83"/>
      <c r="CFF610" s="83"/>
      <c r="CFP610" s="83"/>
      <c r="CFZ610" s="83"/>
      <c r="CGJ610" s="83"/>
      <c r="CGT610" s="83"/>
      <c r="CHD610" s="83"/>
      <c r="CHN610" s="83"/>
      <c r="CHX610" s="83"/>
      <c r="CIH610" s="83"/>
      <c r="CIR610" s="83"/>
      <c r="CJB610" s="83"/>
      <c r="CJL610" s="83"/>
      <c r="CJV610" s="83"/>
      <c r="CKF610" s="83"/>
      <c r="CKP610" s="83"/>
      <c r="CKZ610" s="83"/>
      <c r="CLJ610" s="83"/>
      <c r="CLT610" s="83"/>
      <c r="CMD610" s="83"/>
      <c r="CMN610" s="83"/>
      <c r="CMX610" s="83"/>
      <c r="CNH610" s="83"/>
      <c r="CNR610" s="83"/>
      <c r="COB610" s="83"/>
      <c r="COL610" s="83"/>
      <c r="COV610" s="83"/>
      <c r="CPF610" s="83"/>
      <c r="CPP610" s="83"/>
      <c r="CPZ610" s="83"/>
      <c r="CQJ610" s="83"/>
      <c r="CQT610" s="83"/>
      <c r="CRD610" s="83"/>
      <c r="CRN610" s="83"/>
      <c r="CRX610" s="83"/>
      <c r="CSH610" s="83"/>
      <c r="CSR610" s="83"/>
      <c r="CTB610" s="83"/>
      <c r="CTL610" s="83"/>
      <c r="CTV610" s="83"/>
    </row>
    <row r="611" s="58" customFormat="1" customHeight="1" spans="1:1020 1030:2040 2050:2570">
      <c r="A611" s="87"/>
      <c r="B611" s="94"/>
      <c r="C611" s="95"/>
      <c r="D611" s="75"/>
      <c r="E611" s="75"/>
      <c r="F611" s="77"/>
      <c r="G611" s="75"/>
      <c r="H611" s="77"/>
      <c r="I611" s="77"/>
      <c r="J611" s="75"/>
      <c r="K611" s="78"/>
      <c r="T611" s="83"/>
      <c r="AD611" s="83"/>
      <c r="AN611" s="83"/>
      <c r="AX611" s="83"/>
      <c r="BH611" s="83"/>
      <c r="BR611" s="83"/>
      <c r="CB611" s="83"/>
      <c r="CL611" s="83"/>
      <c r="CV611" s="83"/>
      <c r="DF611" s="83"/>
      <c r="DP611" s="83"/>
      <c r="DZ611" s="83"/>
      <c r="EJ611" s="83"/>
      <c r="ET611" s="83"/>
      <c r="FD611" s="83"/>
      <c r="FN611" s="83"/>
      <c r="FX611" s="83"/>
      <c r="GH611" s="83"/>
      <c r="GR611" s="83"/>
      <c r="HB611" s="83"/>
      <c r="HL611" s="83"/>
      <c r="HV611" s="83"/>
      <c r="IF611" s="83"/>
      <c r="IP611" s="83"/>
      <c r="IZ611" s="83"/>
      <c r="JJ611" s="83"/>
      <c r="JT611" s="83"/>
      <c r="KD611" s="83"/>
      <c r="KN611" s="83"/>
      <c r="KX611" s="83"/>
      <c r="LH611" s="83"/>
      <c r="LR611" s="83"/>
      <c r="MB611" s="83"/>
      <c r="ML611" s="83"/>
      <c r="MV611" s="83"/>
      <c r="NF611" s="83"/>
      <c r="NP611" s="83"/>
      <c r="NZ611" s="83"/>
      <c r="OJ611" s="83"/>
      <c r="OT611" s="83"/>
      <c r="PD611" s="83"/>
      <c r="PN611" s="83"/>
      <c r="PX611" s="83"/>
      <c r="QH611" s="83"/>
      <c r="QR611" s="83"/>
      <c r="RB611" s="83"/>
      <c r="RL611" s="83"/>
      <c r="RV611" s="83"/>
      <c r="SF611" s="83"/>
      <c r="SP611" s="83"/>
      <c r="SZ611" s="83"/>
      <c r="TJ611" s="83"/>
      <c r="TT611" s="83"/>
      <c r="UD611" s="83"/>
      <c r="UN611" s="83"/>
      <c r="UX611" s="83"/>
      <c r="VH611" s="83"/>
      <c r="VR611" s="83"/>
      <c r="WB611" s="83"/>
      <c r="WL611" s="83"/>
      <c r="WV611" s="83"/>
      <c r="XF611" s="83"/>
      <c r="XP611" s="83"/>
      <c r="XZ611" s="83"/>
      <c r="YJ611" s="83"/>
      <c r="YT611" s="83"/>
      <c r="ZD611" s="83"/>
      <c r="ZN611" s="83"/>
      <c r="ZX611" s="83"/>
      <c r="AAH611" s="83"/>
      <c r="AAR611" s="83"/>
      <c r="ABB611" s="83"/>
      <c r="ABL611" s="83"/>
      <c r="ABV611" s="83"/>
      <c r="ACF611" s="83"/>
      <c r="ACP611" s="83"/>
      <c r="ACZ611" s="83"/>
      <c r="ADJ611" s="83"/>
      <c r="ADT611" s="83"/>
      <c r="AED611" s="83"/>
      <c r="AEN611" s="83"/>
      <c r="AEX611" s="83"/>
      <c r="AFH611" s="83"/>
      <c r="AFR611" s="83"/>
      <c r="AGB611" s="83"/>
      <c r="AGL611" s="83"/>
      <c r="AGV611" s="83"/>
      <c r="AHF611" s="83"/>
      <c r="AHP611" s="83"/>
      <c r="AHZ611" s="83"/>
      <c r="AIJ611" s="83"/>
      <c r="AIT611" s="83"/>
      <c r="AJD611" s="83"/>
      <c r="AJN611" s="83"/>
      <c r="AJX611" s="83"/>
      <c r="AKH611" s="83"/>
      <c r="AKR611" s="83"/>
      <c r="ALB611" s="83"/>
      <c r="ALL611" s="83"/>
      <c r="ALV611" s="83"/>
      <c r="AMF611" s="83"/>
      <c r="AMP611" s="83"/>
      <c r="AMZ611" s="83"/>
      <c r="ANJ611" s="83"/>
      <c r="ANT611" s="83"/>
      <c r="AOD611" s="83"/>
      <c r="AON611" s="83"/>
      <c r="AOX611" s="83"/>
      <c r="APH611" s="83"/>
      <c r="APR611" s="83"/>
      <c r="AQB611" s="83"/>
      <c r="AQL611" s="83"/>
      <c r="AQV611" s="83"/>
      <c r="ARF611" s="83"/>
      <c r="ARP611" s="83"/>
      <c r="ARZ611" s="83"/>
      <c r="ASJ611" s="83"/>
      <c r="AST611" s="83"/>
      <c r="ATD611" s="83"/>
      <c r="ATN611" s="83"/>
      <c r="ATX611" s="83"/>
      <c r="AUH611" s="83"/>
      <c r="AUR611" s="83"/>
      <c r="AVB611" s="83"/>
      <c r="AVL611" s="83"/>
      <c r="AVV611" s="83"/>
      <c r="AWF611" s="83"/>
      <c r="AWP611" s="83"/>
      <c r="AWZ611" s="83"/>
      <c r="AXJ611" s="83"/>
      <c r="AXT611" s="83"/>
      <c r="AYD611" s="83"/>
      <c r="AYN611" s="83"/>
      <c r="AYX611" s="83"/>
      <c r="AZH611" s="83"/>
      <c r="AZR611" s="83"/>
      <c r="BAB611" s="83"/>
      <c r="BAL611" s="83"/>
      <c r="BAV611" s="83"/>
      <c r="BBF611" s="83"/>
      <c r="BBP611" s="83"/>
      <c r="BBZ611" s="83"/>
      <c r="BCJ611" s="83"/>
      <c r="BCT611" s="83"/>
      <c r="BDD611" s="83"/>
      <c r="BDN611" s="83"/>
      <c r="BDX611" s="83"/>
      <c r="BEH611" s="83"/>
      <c r="BER611" s="83"/>
      <c r="BFB611" s="83"/>
      <c r="BFL611" s="83"/>
      <c r="BFV611" s="83"/>
      <c r="BGF611" s="83"/>
      <c r="BGP611" s="83"/>
      <c r="BGZ611" s="83"/>
      <c r="BHJ611" s="83"/>
      <c r="BHT611" s="83"/>
      <c r="BID611" s="83"/>
      <c r="BIN611" s="83"/>
      <c r="BIX611" s="83"/>
      <c r="BJH611" s="83"/>
      <c r="BJR611" s="83"/>
      <c r="BKB611" s="83"/>
      <c r="BKL611" s="83"/>
      <c r="BKV611" s="83"/>
      <c r="BLF611" s="83"/>
      <c r="BLP611" s="83"/>
      <c r="BLZ611" s="83"/>
      <c r="BMJ611" s="83"/>
      <c r="BMT611" s="83"/>
      <c r="BND611" s="83"/>
      <c r="BNN611" s="83"/>
      <c r="BNX611" s="83"/>
      <c r="BOH611" s="83"/>
      <c r="BOR611" s="83"/>
      <c r="BPB611" s="83"/>
      <c r="BPL611" s="83"/>
      <c r="BPV611" s="83"/>
      <c r="BQF611" s="83"/>
      <c r="BQP611" s="83"/>
      <c r="BQZ611" s="83"/>
      <c r="BRJ611" s="83"/>
      <c r="BRT611" s="83"/>
      <c r="BSD611" s="83"/>
      <c r="BSN611" s="83"/>
      <c r="BSX611" s="83"/>
      <c r="BTH611" s="83"/>
      <c r="BTR611" s="83"/>
      <c r="BUB611" s="83"/>
      <c r="BUL611" s="83"/>
      <c r="BUV611" s="83"/>
      <c r="BVF611" s="83"/>
      <c r="BVP611" s="83"/>
      <c r="BVZ611" s="83"/>
      <c r="BWJ611" s="83"/>
      <c r="BWT611" s="83"/>
      <c r="BXD611" s="83"/>
      <c r="BXN611" s="83"/>
      <c r="BXX611" s="83"/>
      <c r="BYH611" s="83"/>
      <c r="BYR611" s="83"/>
      <c r="BZB611" s="83"/>
      <c r="BZL611" s="83"/>
      <c r="BZV611" s="83"/>
      <c r="CAF611" s="83"/>
      <c r="CAP611" s="83"/>
      <c r="CAZ611" s="83"/>
      <c r="CBJ611" s="83"/>
      <c r="CBT611" s="83"/>
      <c r="CCD611" s="83"/>
      <c r="CCN611" s="83"/>
      <c r="CCX611" s="83"/>
      <c r="CDH611" s="83"/>
      <c r="CDR611" s="83"/>
      <c r="CEB611" s="83"/>
      <c r="CEL611" s="83"/>
      <c r="CEV611" s="83"/>
      <c r="CFF611" s="83"/>
      <c r="CFP611" s="83"/>
      <c r="CFZ611" s="83"/>
      <c r="CGJ611" s="83"/>
      <c r="CGT611" s="83"/>
      <c r="CHD611" s="83"/>
      <c r="CHN611" s="83"/>
      <c r="CHX611" s="83"/>
      <c r="CIH611" s="83"/>
      <c r="CIR611" s="83"/>
      <c r="CJB611" s="83"/>
      <c r="CJL611" s="83"/>
      <c r="CJV611" s="83"/>
      <c r="CKF611" s="83"/>
      <c r="CKP611" s="83"/>
      <c r="CKZ611" s="83"/>
      <c r="CLJ611" s="83"/>
      <c r="CLT611" s="83"/>
      <c r="CMD611" s="83"/>
      <c r="CMN611" s="83"/>
      <c r="CMX611" s="83"/>
      <c r="CNH611" s="83"/>
      <c r="CNR611" s="83"/>
      <c r="COB611" s="83"/>
      <c r="COL611" s="83"/>
      <c r="COV611" s="83"/>
      <c r="CPF611" s="83"/>
      <c r="CPP611" s="83"/>
      <c r="CPZ611" s="83"/>
      <c r="CQJ611" s="83"/>
      <c r="CQT611" s="83"/>
      <c r="CRD611" s="83"/>
      <c r="CRN611" s="83"/>
      <c r="CRX611" s="83"/>
      <c r="CSH611" s="83"/>
      <c r="CSR611" s="83"/>
      <c r="CTB611" s="83"/>
      <c r="CTL611" s="83"/>
      <c r="CTV611" s="83"/>
    </row>
    <row r="612" s="58" customFormat="1" customHeight="1" spans="1:1020 1030:2040 2050:2570">
      <c r="A612" s="87"/>
      <c r="B612" s="94"/>
      <c r="C612" s="95"/>
      <c r="D612" s="75"/>
      <c r="E612" s="85"/>
      <c r="F612" s="77"/>
      <c r="G612" s="75"/>
      <c r="H612" s="77"/>
      <c r="I612" s="77"/>
      <c r="J612" s="75"/>
      <c r="K612" s="78"/>
      <c r="T612" s="83"/>
      <c r="AD612" s="83"/>
      <c r="AN612" s="83"/>
      <c r="AX612" s="83"/>
      <c r="BH612" s="83"/>
      <c r="BR612" s="83"/>
      <c r="CB612" s="83"/>
      <c r="CL612" s="83"/>
      <c r="CV612" s="83"/>
      <c r="DF612" s="83"/>
      <c r="DP612" s="83"/>
      <c r="DZ612" s="83"/>
      <c r="EJ612" s="83"/>
      <c r="ET612" s="83"/>
      <c r="FD612" s="83"/>
      <c r="FN612" s="83"/>
      <c r="FX612" s="83"/>
      <c r="GH612" s="83"/>
      <c r="GR612" s="83"/>
      <c r="HB612" s="83"/>
      <c r="HL612" s="83"/>
      <c r="HV612" s="83"/>
      <c r="IF612" s="83"/>
      <c r="IP612" s="83"/>
      <c r="IZ612" s="83"/>
      <c r="JJ612" s="83"/>
      <c r="JT612" s="83"/>
      <c r="KD612" s="83"/>
      <c r="KN612" s="83"/>
      <c r="KX612" s="83"/>
      <c r="LH612" s="83"/>
      <c r="LR612" s="83"/>
      <c r="MB612" s="83"/>
      <c r="ML612" s="83"/>
      <c r="MV612" s="83"/>
      <c r="NF612" s="83"/>
      <c r="NP612" s="83"/>
      <c r="NZ612" s="83"/>
      <c r="OJ612" s="83"/>
      <c r="OT612" s="83"/>
      <c r="PD612" s="83"/>
      <c r="PN612" s="83"/>
      <c r="PX612" s="83"/>
      <c r="QH612" s="83"/>
      <c r="QR612" s="83"/>
      <c r="RB612" s="83"/>
      <c r="RL612" s="83"/>
      <c r="RV612" s="83"/>
      <c r="SF612" s="83"/>
      <c r="SP612" s="83"/>
      <c r="SZ612" s="83"/>
      <c r="TJ612" s="83"/>
      <c r="TT612" s="83"/>
      <c r="UD612" s="83"/>
      <c r="UN612" s="83"/>
      <c r="UX612" s="83"/>
      <c r="VH612" s="83"/>
      <c r="VR612" s="83"/>
      <c r="WB612" s="83"/>
      <c r="WL612" s="83"/>
      <c r="WV612" s="83"/>
      <c r="XF612" s="83"/>
      <c r="XP612" s="83"/>
      <c r="XZ612" s="83"/>
      <c r="YJ612" s="83"/>
      <c r="YT612" s="83"/>
      <c r="ZD612" s="83"/>
      <c r="ZN612" s="83"/>
      <c r="ZX612" s="83"/>
      <c r="AAH612" s="83"/>
      <c r="AAR612" s="83"/>
      <c r="ABB612" s="83"/>
      <c r="ABL612" s="83"/>
      <c r="ABV612" s="83"/>
      <c r="ACF612" s="83"/>
      <c r="ACP612" s="83"/>
      <c r="ACZ612" s="83"/>
      <c r="ADJ612" s="83"/>
      <c r="ADT612" s="83"/>
      <c r="AED612" s="83"/>
      <c r="AEN612" s="83"/>
      <c r="AEX612" s="83"/>
      <c r="AFH612" s="83"/>
      <c r="AFR612" s="83"/>
      <c r="AGB612" s="83"/>
      <c r="AGL612" s="83"/>
      <c r="AGV612" s="83"/>
      <c r="AHF612" s="83"/>
      <c r="AHP612" s="83"/>
      <c r="AHZ612" s="83"/>
      <c r="AIJ612" s="83"/>
      <c r="AIT612" s="83"/>
      <c r="AJD612" s="83"/>
      <c r="AJN612" s="83"/>
      <c r="AJX612" s="83"/>
      <c r="AKH612" s="83"/>
      <c r="AKR612" s="83"/>
      <c r="ALB612" s="83"/>
      <c r="ALL612" s="83"/>
      <c r="ALV612" s="83"/>
      <c r="AMF612" s="83"/>
      <c r="AMP612" s="83"/>
      <c r="AMZ612" s="83"/>
      <c r="ANJ612" s="83"/>
      <c r="ANT612" s="83"/>
      <c r="AOD612" s="83"/>
      <c r="AON612" s="83"/>
      <c r="AOX612" s="83"/>
      <c r="APH612" s="83"/>
      <c r="APR612" s="83"/>
      <c r="AQB612" s="83"/>
      <c r="AQL612" s="83"/>
      <c r="AQV612" s="83"/>
      <c r="ARF612" s="83"/>
      <c r="ARP612" s="83"/>
      <c r="ARZ612" s="83"/>
      <c r="ASJ612" s="83"/>
      <c r="AST612" s="83"/>
      <c r="ATD612" s="83"/>
      <c r="ATN612" s="83"/>
      <c r="ATX612" s="83"/>
      <c r="AUH612" s="83"/>
      <c r="AUR612" s="83"/>
      <c r="AVB612" s="83"/>
      <c r="AVL612" s="83"/>
      <c r="AVV612" s="83"/>
      <c r="AWF612" s="83"/>
      <c r="AWP612" s="83"/>
      <c r="AWZ612" s="83"/>
      <c r="AXJ612" s="83"/>
      <c r="AXT612" s="83"/>
      <c r="AYD612" s="83"/>
      <c r="AYN612" s="83"/>
      <c r="AYX612" s="83"/>
      <c r="AZH612" s="83"/>
      <c r="AZR612" s="83"/>
      <c r="BAB612" s="83"/>
      <c r="BAL612" s="83"/>
      <c r="BAV612" s="83"/>
      <c r="BBF612" s="83"/>
      <c r="BBP612" s="83"/>
      <c r="BBZ612" s="83"/>
      <c r="BCJ612" s="83"/>
      <c r="BCT612" s="83"/>
      <c r="BDD612" s="83"/>
      <c r="BDN612" s="83"/>
      <c r="BDX612" s="83"/>
      <c r="BEH612" s="83"/>
      <c r="BER612" s="83"/>
      <c r="BFB612" s="83"/>
      <c r="BFL612" s="83"/>
      <c r="BFV612" s="83"/>
      <c r="BGF612" s="83"/>
      <c r="BGP612" s="83"/>
      <c r="BGZ612" s="83"/>
      <c r="BHJ612" s="83"/>
      <c r="BHT612" s="83"/>
      <c r="BID612" s="83"/>
      <c r="BIN612" s="83"/>
      <c r="BIX612" s="83"/>
      <c r="BJH612" s="83"/>
      <c r="BJR612" s="83"/>
      <c r="BKB612" s="83"/>
      <c r="BKL612" s="83"/>
      <c r="BKV612" s="83"/>
      <c r="BLF612" s="83"/>
      <c r="BLP612" s="83"/>
      <c r="BLZ612" s="83"/>
      <c r="BMJ612" s="83"/>
      <c r="BMT612" s="83"/>
      <c r="BND612" s="83"/>
      <c r="BNN612" s="83"/>
      <c r="BNX612" s="83"/>
      <c r="BOH612" s="83"/>
      <c r="BOR612" s="83"/>
      <c r="BPB612" s="83"/>
      <c r="BPL612" s="83"/>
      <c r="BPV612" s="83"/>
      <c r="BQF612" s="83"/>
      <c r="BQP612" s="83"/>
      <c r="BQZ612" s="83"/>
      <c r="BRJ612" s="83"/>
      <c r="BRT612" s="83"/>
      <c r="BSD612" s="83"/>
      <c r="BSN612" s="83"/>
      <c r="BSX612" s="83"/>
      <c r="BTH612" s="83"/>
      <c r="BTR612" s="83"/>
      <c r="BUB612" s="83"/>
      <c r="BUL612" s="83"/>
      <c r="BUV612" s="83"/>
      <c r="BVF612" s="83"/>
      <c r="BVP612" s="83"/>
      <c r="BVZ612" s="83"/>
      <c r="BWJ612" s="83"/>
      <c r="BWT612" s="83"/>
      <c r="BXD612" s="83"/>
      <c r="BXN612" s="83"/>
      <c r="BXX612" s="83"/>
      <c r="BYH612" s="83"/>
      <c r="BYR612" s="83"/>
      <c r="BZB612" s="83"/>
      <c r="BZL612" s="83"/>
      <c r="BZV612" s="83"/>
      <c r="CAF612" s="83"/>
      <c r="CAP612" s="83"/>
      <c r="CAZ612" s="83"/>
      <c r="CBJ612" s="83"/>
      <c r="CBT612" s="83"/>
      <c r="CCD612" s="83"/>
      <c r="CCN612" s="83"/>
      <c r="CCX612" s="83"/>
      <c r="CDH612" s="83"/>
      <c r="CDR612" s="83"/>
      <c r="CEB612" s="83"/>
      <c r="CEL612" s="83"/>
      <c r="CEV612" s="83"/>
      <c r="CFF612" s="83"/>
      <c r="CFP612" s="83"/>
      <c r="CFZ612" s="83"/>
      <c r="CGJ612" s="83"/>
      <c r="CGT612" s="83"/>
      <c r="CHD612" s="83"/>
      <c r="CHN612" s="83"/>
      <c r="CHX612" s="83"/>
      <c r="CIH612" s="83"/>
      <c r="CIR612" s="83"/>
      <c r="CJB612" s="83"/>
      <c r="CJL612" s="83"/>
      <c r="CJV612" s="83"/>
      <c r="CKF612" s="83"/>
      <c r="CKP612" s="83"/>
      <c r="CKZ612" s="83"/>
      <c r="CLJ612" s="83"/>
      <c r="CLT612" s="83"/>
      <c r="CMD612" s="83"/>
      <c r="CMN612" s="83"/>
      <c r="CMX612" s="83"/>
      <c r="CNH612" s="83"/>
      <c r="CNR612" s="83"/>
      <c r="COB612" s="83"/>
      <c r="COL612" s="83"/>
      <c r="COV612" s="83"/>
      <c r="CPF612" s="83"/>
      <c r="CPP612" s="83"/>
      <c r="CPZ612" s="83"/>
      <c r="CQJ612" s="83"/>
      <c r="CQT612" s="83"/>
      <c r="CRD612" s="83"/>
      <c r="CRN612" s="83"/>
      <c r="CRX612" s="83"/>
      <c r="CSH612" s="83"/>
      <c r="CSR612" s="83"/>
      <c r="CTB612" s="83"/>
      <c r="CTL612" s="83"/>
      <c r="CTV612" s="83"/>
    </row>
    <row r="613" s="58" customFormat="1" customHeight="1" spans="1:1020 1030:2040 2050:2570">
      <c r="A613" s="87"/>
      <c r="B613" s="94"/>
      <c r="C613" s="95"/>
      <c r="D613" s="75"/>
      <c r="E613" s="75"/>
      <c r="F613" s="77"/>
      <c r="G613" s="75"/>
      <c r="H613" s="77"/>
      <c r="I613" s="77"/>
      <c r="J613" s="75"/>
      <c r="K613" s="78"/>
      <c r="T613" s="83"/>
      <c r="AD613" s="83"/>
      <c r="AN613" s="83"/>
      <c r="AX613" s="83"/>
      <c r="BH613" s="83"/>
      <c r="BR613" s="83"/>
      <c r="CB613" s="83"/>
      <c r="CL613" s="83"/>
      <c r="CV613" s="83"/>
      <c r="DF613" s="83"/>
      <c r="DP613" s="83"/>
      <c r="DZ613" s="83"/>
      <c r="EJ613" s="83"/>
      <c r="ET613" s="83"/>
      <c r="FD613" s="83"/>
      <c r="FN613" s="83"/>
      <c r="FX613" s="83"/>
      <c r="GH613" s="83"/>
      <c r="GR613" s="83"/>
      <c r="HB613" s="83"/>
      <c r="HL613" s="83"/>
      <c r="HV613" s="83"/>
      <c r="IF613" s="83"/>
      <c r="IP613" s="83"/>
      <c r="IZ613" s="83"/>
      <c r="JJ613" s="83"/>
      <c r="JT613" s="83"/>
      <c r="KD613" s="83"/>
      <c r="KN613" s="83"/>
      <c r="KX613" s="83"/>
      <c r="LH613" s="83"/>
      <c r="LR613" s="83"/>
      <c r="MB613" s="83"/>
      <c r="ML613" s="83"/>
      <c r="MV613" s="83"/>
      <c r="NF613" s="83"/>
      <c r="NP613" s="83"/>
      <c r="NZ613" s="83"/>
      <c r="OJ613" s="83"/>
      <c r="OT613" s="83"/>
      <c r="PD613" s="83"/>
      <c r="PN613" s="83"/>
      <c r="PX613" s="83"/>
      <c r="QH613" s="83"/>
      <c r="QR613" s="83"/>
      <c r="RB613" s="83"/>
      <c r="RL613" s="83"/>
      <c r="RV613" s="83"/>
      <c r="SF613" s="83"/>
      <c r="SP613" s="83"/>
      <c r="SZ613" s="83"/>
      <c r="TJ613" s="83"/>
      <c r="TT613" s="83"/>
      <c r="UD613" s="83"/>
      <c r="UN613" s="83"/>
      <c r="UX613" s="83"/>
      <c r="VH613" s="83"/>
      <c r="VR613" s="83"/>
      <c r="WB613" s="83"/>
      <c r="WL613" s="83"/>
      <c r="WV613" s="83"/>
      <c r="XF613" s="83"/>
      <c r="XP613" s="83"/>
      <c r="XZ613" s="83"/>
      <c r="YJ613" s="83"/>
      <c r="YT613" s="83"/>
      <c r="ZD613" s="83"/>
      <c r="ZN613" s="83"/>
      <c r="ZX613" s="83"/>
      <c r="AAH613" s="83"/>
      <c r="AAR613" s="83"/>
      <c r="ABB613" s="83"/>
      <c r="ABL613" s="83"/>
      <c r="ABV613" s="83"/>
      <c r="ACF613" s="83"/>
      <c r="ACP613" s="83"/>
      <c r="ACZ613" s="83"/>
      <c r="ADJ613" s="83"/>
      <c r="ADT613" s="83"/>
      <c r="AED613" s="83"/>
      <c r="AEN613" s="83"/>
      <c r="AEX613" s="83"/>
      <c r="AFH613" s="83"/>
      <c r="AFR613" s="83"/>
      <c r="AGB613" s="83"/>
      <c r="AGL613" s="83"/>
      <c r="AGV613" s="83"/>
      <c r="AHF613" s="83"/>
      <c r="AHP613" s="83"/>
      <c r="AHZ613" s="83"/>
      <c r="AIJ613" s="83"/>
      <c r="AIT613" s="83"/>
      <c r="AJD613" s="83"/>
      <c r="AJN613" s="83"/>
      <c r="AJX613" s="83"/>
      <c r="AKH613" s="83"/>
      <c r="AKR613" s="83"/>
      <c r="ALB613" s="83"/>
      <c r="ALL613" s="83"/>
      <c r="ALV613" s="83"/>
      <c r="AMF613" s="83"/>
      <c r="AMP613" s="83"/>
      <c r="AMZ613" s="83"/>
      <c r="ANJ613" s="83"/>
      <c r="ANT613" s="83"/>
      <c r="AOD613" s="83"/>
      <c r="AON613" s="83"/>
      <c r="AOX613" s="83"/>
      <c r="APH613" s="83"/>
      <c r="APR613" s="83"/>
      <c r="AQB613" s="83"/>
      <c r="AQL613" s="83"/>
      <c r="AQV613" s="83"/>
      <c r="ARF613" s="83"/>
      <c r="ARP613" s="83"/>
      <c r="ARZ613" s="83"/>
      <c r="ASJ613" s="83"/>
      <c r="AST613" s="83"/>
      <c r="ATD613" s="83"/>
      <c r="ATN613" s="83"/>
      <c r="ATX613" s="83"/>
      <c r="AUH613" s="83"/>
      <c r="AUR613" s="83"/>
      <c r="AVB613" s="83"/>
      <c r="AVL613" s="83"/>
      <c r="AVV613" s="83"/>
      <c r="AWF613" s="83"/>
      <c r="AWP613" s="83"/>
      <c r="AWZ613" s="83"/>
      <c r="AXJ613" s="83"/>
      <c r="AXT613" s="83"/>
      <c r="AYD613" s="83"/>
      <c r="AYN613" s="83"/>
      <c r="AYX613" s="83"/>
      <c r="AZH613" s="83"/>
      <c r="AZR613" s="83"/>
      <c r="BAB613" s="83"/>
      <c r="BAL613" s="83"/>
      <c r="BAV613" s="83"/>
      <c r="BBF613" s="83"/>
      <c r="BBP613" s="83"/>
      <c r="BBZ613" s="83"/>
      <c r="BCJ613" s="83"/>
      <c r="BCT613" s="83"/>
      <c r="BDD613" s="83"/>
      <c r="BDN613" s="83"/>
      <c r="BDX613" s="83"/>
      <c r="BEH613" s="83"/>
      <c r="BER613" s="83"/>
      <c r="BFB613" s="83"/>
      <c r="BFL613" s="83"/>
      <c r="BFV613" s="83"/>
      <c r="BGF613" s="83"/>
      <c r="BGP613" s="83"/>
      <c r="BGZ613" s="83"/>
      <c r="BHJ613" s="83"/>
      <c r="BHT613" s="83"/>
      <c r="BID613" s="83"/>
      <c r="BIN613" s="83"/>
      <c r="BIX613" s="83"/>
      <c r="BJH613" s="83"/>
      <c r="BJR613" s="83"/>
      <c r="BKB613" s="83"/>
      <c r="BKL613" s="83"/>
      <c r="BKV613" s="83"/>
      <c r="BLF613" s="83"/>
      <c r="BLP613" s="83"/>
      <c r="BLZ613" s="83"/>
      <c r="BMJ613" s="83"/>
      <c r="BMT613" s="83"/>
      <c r="BND613" s="83"/>
      <c r="BNN613" s="83"/>
      <c r="BNX613" s="83"/>
      <c r="BOH613" s="83"/>
      <c r="BOR613" s="83"/>
      <c r="BPB613" s="83"/>
      <c r="BPL613" s="83"/>
      <c r="BPV613" s="83"/>
      <c r="BQF613" s="83"/>
      <c r="BQP613" s="83"/>
      <c r="BQZ613" s="83"/>
      <c r="BRJ613" s="83"/>
      <c r="BRT613" s="83"/>
      <c r="BSD613" s="83"/>
      <c r="BSN613" s="83"/>
      <c r="BSX613" s="83"/>
      <c r="BTH613" s="83"/>
      <c r="BTR613" s="83"/>
      <c r="BUB613" s="83"/>
      <c r="BUL613" s="83"/>
      <c r="BUV613" s="83"/>
      <c r="BVF613" s="83"/>
      <c r="BVP613" s="83"/>
      <c r="BVZ613" s="83"/>
      <c r="BWJ613" s="83"/>
      <c r="BWT613" s="83"/>
      <c r="BXD613" s="83"/>
      <c r="BXN613" s="83"/>
      <c r="BXX613" s="83"/>
      <c r="BYH613" s="83"/>
      <c r="BYR613" s="83"/>
      <c r="BZB613" s="83"/>
      <c r="BZL613" s="83"/>
      <c r="BZV613" s="83"/>
      <c r="CAF613" s="83"/>
      <c r="CAP613" s="83"/>
      <c r="CAZ613" s="83"/>
      <c r="CBJ613" s="83"/>
      <c r="CBT613" s="83"/>
      <c r="CCD613" s="83"/>
      <c r="CCN613" s="83"/>
      <c r="CCX613" s="83"/>
      <c r="CDH613" s="83"/>
      <c r="CDR613" s="83"/>
      <c r="CEB613" s="83"/>
      <c r="CEL613" s="83"/>
      <c r="CEV613" s="83"/>
      <c r="CFF613" s="83"/>
      <c r="CFP613" s="83"/>
      <c r="CFZ613" s="83"/>
      <c r="CGJ613" s="83"/>
      <c r="CGT613" s="83"/>
      <c r="CHD613" s="83"/>
      <c r="CHN613" s="83"/>
      <c r="CHX613" s="83"/>
      <c r="CIH613" s="83"/>
      <c r="CIR613" s="83"/>
      <c r="CJB613" s="83"/>
      <c r="CJL613" s="83"/>
      <c r="CJV613" s="83"/>
      <c r="CKF613" s="83"/>
      <c r="CKP613" s="83"/>
      <c r="CKZ613" s="83"/>
      <c r="CLJ613" s="83"/>
      <c r="CLT613" s="83"/>
      <c r="CMD613" s="83"/>
      <c r="CMN613" s="83"/>
      <c r="CMX613" s="83"/>
      <c r="CNH613" s="83"/>
      <c r="CNR613" s="83"/>
      <c r="COB613" s="83"/>
      <c r="COL613" s="83"/>
      <c r="COV613" s="83"/>
      <c r="CPF613" s="83"/>
      <c r="CPP613" s="83"/>
      <c r="CPZ613" s="83"/>
      <c r="CQJ613" s="83"/>
      <c r="CQT613" s="83"/>
      <c r="CRD613" s="83"/>
      <c r="CRN613" s="83"/>
      <c r="CRX613" s="83"/>
      <c r="CSH613" s="83"/>
      <c r="CSR613" s="83"/>
      <c r="CTB613" s="83"/>
      <c r="CTL613" s="83"/>
      <c r="CTV613" s="83"/>
    </row>
    <row r="614" s="58" customFormat="1" customHeight="1" spans="1:1020 1030:2040 2050:2570">
      <c r="A614" s="87"/>
      <c r="B614" s="94"/>
      <c r="C614" s="95"/>
      <c r="D614" s="75"/>
      <c r="E614" s="75"/>
      <c r="F614" s="77"/>
      <c r="G614" s="75"/>
      <c r="H614" s="77"/>
      <c r="I614" s="77"/>
      <c r="J614" s="75"/>
      <c r="K614" s="78"/>
      <c r="T614" s="83"/>
      <c r="AD614" s="83"/>
      <c r="AN614" s="83"/>
      <c r="AX614" s="83"/>
      <c r="BH614" s="83"/>
      <c r="BR614" s="83"/>
      <c r="CB614" s="83"/>
      <c r="CL614" s="83"/>
      <c r="CV614" s="83"/>
      <c r="DF614" s="83"/>
      <c r="DP614" s="83"/>
      <c r="DZ614" s="83"/>
      <c r="EJ614" s="83"/>
      <c r="ET614" s="83"/>
      <c r="FD614" s="83"/>
      <c r="FN614" s="83"/>
      <c r="FX614" s="83"/>
      <c r="GH614" s="83"/>
      <c r="GR614" s="83"/>
      <c r="HB614" s="83"/>
      <c r="HL614" s="83"/>
      <c r="HV614" s="83"/>
      <c r="IF614" s="83"/>
      <c r="IP614" s="83"/>
      <c r="IZ614" s="83"/>
      <c r="JJ614" s="83"/>
      <c r="JT614" s="83"/>
      <c r="KD614" s="83"/>
      <c r="KN614" s="83"/>
      <c r="KX614" s="83"/>
      <c r="LH614" s="83"/>
      <c r="LR614" s="83"/>
      <c r="MB614" s="83"/>
      <c r="ML614" s="83"/>
      <c r="MV614" s="83"/>
      <c r="NF614" s="83"/>
      <c r="NP614" s="83"/>
      <c r="NZ614" s="83"/>
      <c r="OJ614" s="83"/>
      <c r="OT614" s="83"/>
      <c r="PD614" s="83"/>
      <c r="PN614" s="83"/>
      <c r="PX614" s="83"/>
      <c r="QH614" s="83"/>
      <c r="QR614" s="83"/>
      <c r="RB614" s="83"/>
      <c r="RL614" s="83"/>
      <c r="RV614" s="83"/>
      <c r="SF614" s="83"/>
      <c r="SP614" s="83"/>
      <c r="SZ614" s="83"/>
      <c r="TJ614" s="83"/>
      <c r="TT614" s="83"/>
      <c r="UD614" s="83"/>
      <c r="UN614" s="83"/>
      <c r="UX614" s="83"/>
      <c r="VH614" s="83"/>
      <c r="VR614" s="83"/>
      <c r="WB614" s="83"/>
      <c r="WL614" s="83"/>
      <c r="WV614" s="83"/>
      <c r="XF614" s="83"/>
      <c r="XP614" s="83"/>
      <c r="XZ614" s="83"/>
      <c r="YJ614" s="83"/>
      <c r="YT614" s="83"/>
      <c r="ZD614" s="83"/>
      <c r="ZN614" s="83"/>
      <c r="ZX614" s="83"/>
      <c r="AAH614" s="83"/>
      <c r="AAR614" s="83"/>
      <c r="ABB614" s="83"/>
      <c r="ABL614" s="83"/>
      <c r="ABV614" s="83"/>
      <c r="ACF614" s="83"/>
      <c r="ACP614" s="83"/>
      <c r="ACZ614" s="83"/>
      <c r="ADJ614" s="83"/>
      <c r="ADT614" s="83"/>
      <c r="AED614" s="83"/>
      <c r="AEN614" s="83"/>
      <c r="AEX614" s="83"/>
      <c r="AFH614" s="83"/>
      <c r="AFR614" s="83"/>
      <c r="AGB614" s="83"/>
      <c r="AGL614" s="83"/>
      <c r="AGV614" s="83"/>
      <c r="AHF614" s="83"/>
      <c r="AHP614" s="83"/>
      <c r="AHZ614" s="83"/>
      <c r="AIJ614" s="83"/>
      <c r="AIT614" s="83"/>
      <c r="AJD614" s="83"/>
      <c r="AJN614" s="83"/>
      <c r="AJX614" s="83"/>
      <c r="AKH614" s="83"/>
      <c r="AKR614" s="83"/>
      <c r="ALB614" s="83"/>
      <c r="ALL614" s="83"/>
      <c r="ALV614" s="83"/>
      <c r="AMF614" s="83"/>
      <c r="AMP614" s="83"/>
      <c r="AMZ614" s="83"/>
      <c r="ANJ614" s="83"/>
      <c r="ANT614" s="83"/>
      <c r="AOD614" s="83"/>
      <c r="AON614" s="83"/>
      <c r="AOX614" s="83"/>
      <c r="APH614" s="83"/>
      <c r="APR614" s="83"/>
      <c r="AQB614" s="83"/>
      <c r="AQL614" s="83"/>
      <c r="AQV614" s="83"/>
      <c r="ARF614" s="83"/>
      <c r="ARP614" s="83"/>
      <c r="ARZ614" s="83"/>
      <c r="ASJ614" s="83"/>
      <c r="AST614" s="83"/>
      <c r="ATD614" s="83"/>
      <c r="ATN614" s="83"/>
      <c r="ATX614" s="83"/>
      <c r="AUH614" s="83"/>
      <c r="AUR614" s="83"/>
      <c r="AVB614" s="83"/>
      <c r="AVL614" s="83"/>
      <c r="AVV614" s="83"/>
      <c r="AWF614" s="83"/>
      <c r="AWP614" s="83"/>
      <c r="AWZ614" s="83"/>
      <c r="AXJ614" s="83"/>
      <c r="AXT614" s="83"/>
      <c r="AYD614" s="83"/>
      <c r="AYN614" s="83"/>
      <c r="AYX614" s="83"/>
      <c r="AZH614" s="83"/>
      <c r="AZR614" s="83"/>
      <c r="BAB614" s="83"/>
      <c r="BAL614" s="83"/>
      <c r="BAV614" s="83"/>
      <c r="BBF614" s="83"/>
      <c r="BBP614" s="83"/>
      <c r="BBZ614" s="83"/>
      <c r="BCJ614" s="83"/>
      <c r="BCT614" s="83"/>
      <c r="BDD614" s="83"/>
      <c r="BDN614" s="83"/>
      <c r="BDX614" s="83"/>
      <c r="BEH614" s="83"/>
      <c r="BER614" s="83"/>
      <c r="BFB614" s="83"/>
      <c r="BFL614" s="83"/>
      <c r="BFV614" s="83"/>
      <c r="BGF614" s="83"/>
      <c r="BGP614" s="83"/>
      <c r="BGZ614" s="83"/>
      <c r="BHJ614" s="83"/>
      <c r="BHT614" s="83"/>
      <c r="BID614" s="83"/>
      <c r="BIN614" s="83"/>
      <c r="BIX614" s="83"/>
      <c r="BJH614" s="83"/>
      <c r="BJR614" s="83"/>
      <c r="BKB614" s="83"/>
      <c r="BKL614" s="83"/>
      <c r="BKV614" s="83"/>
      <c r="BLF614" s="83"/>
      <c r="BLP614" s="83"/>
      <c r="BLZ614" s="83"/>
      <c r="BMJ614" s="83"/>
      <c r="BMT614" s="83"/>
      <c r="BND614" s="83"/>
      <c r="BNN614" s="83"/>
      <c r="BNX614" s="83"/>
      <c r="BOH614" s="83"/>
      <c r="BOR614" s="83"/>
      <c r="BPB614" s="83"/>
      <c r="BPL614" s="83"/>
      <c r="BPV614" s="83"/>
      <c r="BQF614" s="83"/>
      <c r="BQP614" s="83"/>
      <c r="BQZ614" s="83"/>
      <c r="BRJ614" s="83"/>
      <c r="BRT614" s="83"/>
      <c r="BSD614" s="83"/>
      <c r="BSN614" s="83"/>
      <c r="BSX614" s="83"/>
      <c r="BTH614" s="83"/>
      <c r="BTR614" s="83"/>
      <c r="BUB614" s="83"/>
      <c r="BUL614" s="83"/>
      <c r="BUV614" s="83"/>
      <c r="BVF614" s="83"/>
      <c r="BVP614" s="83"/>
      <c r="BVZ614" s="83"/>
      <c r="BWJ614" s="83"/>
      <c r="BWT614" s="83"/>
      <c r="BXD614" s="83"/>
      <c r="BXN614" s="83"/>
      <c r="BXX614" s="83"/>
      <c r="BYH614" s="83"/>
      <c r="BYR614" s="83"/>
      <c r="BZB614" s="83"/>
      <c r="BZL614" s="83"/>
      <c r="BZV614" s="83"/>
      <c r="CAF614" s="83"/>
      <c r="CAP614" s="83"/>
      <c r="CAZ614" s="83"/>
      <c r="CBJ614" s="83"/>
      <c r="CBT614" s="83"/>
      <c r="CCD614" s="83"/>
      <c r="CCN614" s="83"/>
      <c r="CCX614" s="83"/>
      <c r="CDH614" s="83"/>
      <c r="CDR614" s="83"/>
      <c r="CEB614" s="83"/>
      <c r="CEL614" s="83"/>
      <c r="CEV614" s="83"/>
      <c r="CFF614" s="83"/>
      <c r="CFP614" s="83"/>
      <c r="CFZ614" s="83"/>
      <c r="CGJ614" s="83"/>
      <c r="CGT614" s="83"/>
      <c r="CHD614" s="83"/>
      <c r="CHN614" s="83"/>
      <c r="CHX614" s="83"/>
      <c r="CIH614" s="83"/>
      <c r="CIR614" s="83"/>
      <c r="CJB614" s="83"/>
      <c r="CJL614" s="83"/>
      <c r="CJV614" s="83"/>
      <c r="CKF614" s="83"/>
      <c r="CKP614" s="83"/>
      <c r="CKZ614" s="83"/>
      <c r="CLJ614" s="83"/>
      <c r="CLT614" s="83"/>
      <c r="CMD614" s="83"/>
      <c r="CMN614" s="83"/>
      <c r="CMX614" s="83"/>
      <c r="CNH614" s="83"/>
      <c r="CNR614" s="83"/>
      <c r="COB614" s="83"/>
      <c r="COL614" s="83"/>
      <c r="COV614" s="83"/>
      <c r="CPF614" s="83"/>
      <c r="CPP614" s="83"/>
      <c r="CPZ614" s="83"/>
      <c r="CQJ614" s="83"/>
      <c r="CQT614" s="83"/>
      <c r="CRD614" s="83"/>
      <c r="CRN614" s="83"/>
      <c r="CRX614" s="83"/>
      <c r="CSH614" s="83"/>
      <c r="CSR614" s="83"/>
      <c r="CTB614" s="83"/>
      <c r="CTL614" s="83"/>
      <c r="CTV614" s="83"/>
    </row>
    <row r="615" s="58" customFormat="1" customHeight="1" spans="1:1020 1030:2040 2050:2570">
      <c r="A615" s="87"/>
      <c r="B615" s="94"/>
      <c r="C615" s="95"/>
      <c r="D615" s="75"/>
      <c r="E615" s="75"/>
      <c r="F615" s="77"/>
      <c r="G615" s="75"/>
      <c r="H615" s="77"/>
      <c r="I615" s="77"/>
      <c r="J615" s="75"/>
      <c r="K615" s="78"/>
      <c r="T615" s="83"/>
      <c r="AD615" s="83"/>
      <c r="AN615" s="83"/>
      <c r="AX615" s="83"/>
      <c r="BH615" s="83"/>
      <c r="BR615" s="83"/>
      <c r="CB615" s="83"/>
      <c r="CL615" s="83"/>
      <c r="CV615" s="83"/>
      <c r="DF615" s="83"/>
      <c r="DP615" s="83"/>
      <c r="DZ615" s="83"/>
      <c r="EJ615" s="83"/>
      <c r="ET615" s="83"/>
      <c r="FD615" s="83"/>
      <c r="FN615" s="83"/>
      <c r="FX615" s="83"/>
      <c r="GH615" s="83"/>
      <c r="GR615" s="83"/>
      <c r="HB615" s="83"/>
      <c r="HL615" s="83"/>
      <c r="HV615" s="83"/>
      <c r="IF615" s="83"/>
      <c r="IP615" s="83"/>
      <c r="IZ615" s="83"/>
      <c r="JJ615" s="83"/>
      <c r="JT615" s="83"/>
      <c r="KD615" s="83"/>
      <c r="KN615" s="83"/>
      <c r="KX615" s="83"/>
      <c r="LH615" s="83"/>
      <c r="LR615" s="83"/>
      <c r="MB615" s="83"/>
      <c r="ML615" s="83"/>
      <c r="MV615" s="83"/>
      <c r="NF615" s="83"/>
      <c r="NP615" s="83"/>
      <c r="NZ615" s="83"/>
      <c r="OJ615" s="83"/>
      <c r="OT615" s="83"/>
      <c r="PD615" s="83"/>
      <c r="PN615" s="83"/>
      <c r="PX615" s="83"/>
      <c r="QH615" s="83"/>
      <c r="QR615" s="83"/>
      <c r="RB615" s="83"/>
      <c r="RL615" s="83"/>
      <c r="RV615" s="83"/>
      <c r="SF615" s="83"/>
      <c r="SP615" s="83"/>
      <c r="SZ615" s="83"/>
      <c r="TJ615" s="83"/>
      <c r="TT615" s="83"/>
      <c r="UD615" s="83"/>
      <c r="UN615" s="83"/>
      <c r="UX615" s="83"/>
      <c r="VH615" s="83"/>
      <c r="VR615" s="83"/>
      <c r="WB615" s="83"/>
      <c r="WL615" s="83"/>
      <c r="WV615" s="83"/>
      <c r="XF615" s="83"/>
      <c r="XP615" s="83"/>
      <c r="XZ615" s="83"/>
      <c r="YJ615" s="83"/>
      <c r="YT615" s="83"/>
      <c r="ZD615" s="83"/>
      <c r="ZN615" s="83"/>
      <c r="ZX615" s="83"/>
      <c r="AAH615" s="83"/>
      <c r="AAR615" s="83"/>
      <c r="ABB615" s="83"/>
      <c r="ABL615" s="83"/>
      <c r="ABV615" s="83"/>
      <c r="ACF615" s="83"/>
      <c r="ACP615" s="83"/>
      <c r="ACZ615" s="83"/>
      <c r="ADJ615" s="83"/>
      <c r="ADT615" s="83"/>
      <c r="AED615" s="83"/>
      <c r="AEN615" s="83"/>
      <c r="AEX615" s="83"/>
      <c r="AFH615" s="83"/>
      <c r="AFR615" s="83"/>
      <c r="AGB615" s="83"/>
      <c r="AGL615" s="83"/>
      <c r="AGV615" s="83"/>
      <c r="AHF615" s="83"/>
      <c r="AHP615" s="83"/>
      <c r="AHZ615" s="83"/>
      <c r="AIJ615" s="83"/>
      <c r="AIT615" s="83"/>
      <c r="AJD615" s="83"/>
      <c r="AJN615" s="83"/>
      <c r="AJX615" s="83"/>
      <c r="AKH615" s="83"/>
      <c r="AKR615" s="83"/>
      <c r="ALB615" s="83"/>
      <c r="ALL615" s="83"/>
      <c r="ALV615" s="83"/>
      <c r="AMF615" s="83"/>
      <c r="AMP615" s="83"/>
      <c r="AMZ615" s="83"/>
      <c r="ANJ615" s="83"/>
      <c r="ANT615" s="83"/>
      <c r="AOD615" s="83"/>
      <c r="AON615" s="83"/>
      <c r="AOX615" s="83"/>
      <c r="APH615" s="83"/>
      <c r="APR615" s="83"/>
      <c r="AQB615" s="83"/>
      <c r="AQL615" s="83"/>
      <c r="AQV615" s="83"/>
      <c r="ARF615" s="83"/>
      <c r="ARP615" s="83"/>
      <c r="ARZ615" s="83"/>
      <c r="ASJ615" s="83"/>
      <c r="AST615" s="83"/>
      <c r="ATD615" s="83"/>
      <c r="ATN615" s="83"/>
      <c r="ATX615" s="83"/>
      <c r="AUH615" s="83"/>
      <c r="AUR615" s="83"/>
      <c r="AVB615" s="83"/>
      <c r="AVL615" s="83"/>
      <c r="AVV615" s="83"/>
      <c r="AWF615" s="83"/>
      <c r="AWP615" s="83"/>
      <c r="AWZ615" s="83"/>
      <c r="AXJ615" s="83"/>
      <c r="AXT615" s="83"/>
      <c r="AYD615" s="83"/>
      <c r="AYN615" s="83"/>
      <c r="AYX615" s="83"/>
      <c r="AZH615" s="83"/>
      <c r="AZR615" s="83"/>
      <c r="BAB615" s="83"/>
      <c r="BAL615" s="83"/>
      <c r="BAV615" s="83"/>
      <c r="BBF615" s="83"/>
      <c r="BBP615" s="83"/>
      <c r="BBZ615" s="83"/>
      <c r="BCJ615" s="83"/>
      <c r="BCT615" s="83"/>
      <c r="BDD615" s="83"/>
      <c r="BDN615" s="83"/>
      <c r="BDX615" s="83"/>
      <c r="BEH615" s="83"/>
      <c r="BER615" s="83"/>
      <c r="BFB615" s="83"/>
      <c r="BFL615" s="83"/>
      <c r="BFV615" s="83"/>
      <c r="BGF615" s="83"/>
      <c r="BGP615" s="83"/>
      <c r="BGZ615" s="83"/>
      <c r="BHJ615" s="83"/>
      <c r="BHT615" s="83"/>
      <c r="BID615" s="83"/>
      <c r="BIN615" s="83"/>
      <c r="BIX615" s="83"/>
      <c r="BJH615" s="83"/>
      <c r="BJR615" s="83"/>
      <c r="BKB615" s="83"/>
      <c r="BKL615" s="83"/>
      <c r="BKV615" s="83"/>
      <c r="BLF615" s="83"/>
      <c r="BLP615" s="83"/>
      <c r="BLZ615" s="83"/>
      <c r="BMJ615" s="83"/>
      <c r="BMT615" s="83"/>
      <c r="BND615" s="83"/>
      <c r="BNN615" s="83"/>
      <c r="BNX615" s="83"/>
      <c r="BOH615" s="83"/>
      <c r="BOR615" s="83"/>
      <c r="BPB615" s="83"/>
      <c r="BPL615" s="83"/>
      <c r="BPV615" s="83"/>
      <c r="BQF615" s="83"/>
      <c r="BQP615" s="83"/>
      <c r="BQZ615" s="83"/>
      <c r="BRJ615" s="83"/>
      <c r="BRT615" s="83"/>
      <c r="BSD615" s="83"/>
      <c r="BSN615" s="83"/>
      <c r="BSX615" s="83"/>
      <c r="BTH615" s="83"/>
      <c r="BTR615" s="83"/>
      <c r="BUB615" s="83"/>
      <c r="BUL615" s="83"/>
      <c r="BUV615" s="83"/>
      <c r="BVF615" s="83"/>
      <c r="BVP615" s="83"/>
      <c r="BVZ615" s="83"/>
      <c r="BWJ615" s="83"/>
      <c r="BWT615" s="83"/>
      <c r="BXD615" s="83"/>
      <c r="BXN615" s="83"/>
      <c r="BXX615" s="83"/>
      <c r="BYH615" s="83"/>
      <c r="BYR615" s="83"/>
      <c r="BZB615" s="83"/>
      <c r="BZL615" s="83"/>
      <c r="BZV615" s="83"/>
      <c r="CAF615" s="83"/>
      <c r="CAP615" s="83"/>
      <c r="CAZ615" s="83"/>
      <c r="CBJ615" s="83"/>
      <c r="CBT615" s="83"/>
      <c r="CCD615" s="83"/>
      <c r="CCN615" s="83"/>
      <c r="CCX615" s="83"/>
      <c r="CDH615" s="83"/>
      <c r="CDR615" s="83"/>
      <c r="CEB615" s="83"/>
      <c r="CEL615" s="83"/>
      <c r="CEV615" s="83"/>
      <c r="CFF615" s="83"/>
      <c r="CFP615" s="83"/>
      <c r="CFZ615" s="83"/>
      <c r="CGJ615" s="83"/>
      <c r="CGT615" s="83"/>
      <c r="CHD615" s="83"/>
      <c r="CHN615" s="83"/>
      <c r="CHX615" s="83"/>
      <c r="CIH615" s="83"/>
      <c r="CIR615" s="83"/>
      <c r="CJB615" s="83"/>
      <c r="CJL615" s="83"/>
      <c r="CJV615" s="83"/>
      <c r="CKF615" s="83"/>
      <c r="CKP615" s="83"/>
      <c r="CKZ615" s="83"/>
      <c r="CLJ615" s="83"/>
      <c r="CLT615" s="83"/>
      <c r="CMD615" s="83"/>
      <c r="CMN615" s="83"/>
      <c r="CMX615" s="83"/>
      <c r="CNH615" s="83"/>
      <c r="CNR615" s="83"/>
      <c r="COB615" s="83"/>
      <c r="COL615" s="83"/>
      <c r="COV615" s="83"/>
      <c r="CPF615" s="83"/>
      <c r="CPP615" s="83"/>
      <c r="CPZ615" s="83"/>
      <c r="CQJ615" s="83"/>
      <c r="CQT615" s="83"/>
      <c r="CRD615" s="83"/>
      <c r="CRN615" s="83"/>
      <c r="CRX615" s="83"/>
      <c r="CSH615" s="83"/>
      <c r="CSR615" s="83"/>
      <c r="CTB615" s="83"/>
      <c r="CTL615" s="83"/>
      <c r="CTV615" s="83"/>
    </row>
    <row r="616" s="58" customFormat="1" customHeight="1" spans="1:1020 1030:2040 2050:2570">
      <c r="A616" s="87"/>
      <c r="B616" s="94"/>
      <c r="C616" s="95"/>
      <c r="D616" s="75"/>
      <c r="E616" s="75"/>
      <c r="F616" s="77"/>
      <c r="G616" s="75"/>
      <c r="H616" s="77"/>
      <c r="I616" s="77"/>
      <c r="J616" s="75"/>
      <c r="K616" s="78"/>
      <c r="T616" s="83"/>
      <c r="AD616" s="83"/>
      <c r="AN616" s="83"/>
      <c r="AX616" s="83"/>
      <c r="BH616" s="83"/>
      <c r="BR616" s="83"/>
      <c r="CB616" s="83"/>
      <c r="CL616" s="83"/>
      <c r="CV616" s="83"/>
      <c r="DF616" s="83"/>
      <c r="DP616" s="83"/>
      <c r="DZ616" s="83"/>
      <c r="EJ616" s="83"/>
      <c r="ET616" s="83"/>
      <c r="FD616" s="83"/>
      <c r="FN616" s="83"/>
      <c r="FX616" s="83"/>
      <c r="GH616" s="83"/>
      <c r="GR616" s="83"/>
      <c r="HB616" s="83"/>
      <c r="HL616" s="83"/>
      <c r="HV616" s="83"/>
      <c r="IF616" s="83"/>
      <c r="IP616" s="83"/>
      <c r="IZ616" s="83"/>
      <c r="JJ616" s="83"/>
      <c r="JT616" s="83"/>
      <c r="KD616" s="83"/>
      <c r="KN616" s="83"/>
      <c r="KX616" s="83"/>
      <c r="LH616" s="83"/>
      <c r="LR616" s="83"/>
      <c r="MB616" s="83"/>
      <c r="ML616" s="83"/>
      <c r="MV616" s="83"/>
      <c r="NF616" s="83"/>
      <c r="NP616" s="83"/>
      <c r="NZ616" s="83"/>
      <c r="OJ616" s="83"/>
      <c r="OT616" s="83"/>
      <c r="PD616" s="83"/>
      <c r="PN616" s="83"/>
      <c r="PX616" s="83"/>
      <c r="QH616" s="83"/>
      <c r="QR616" s="83"/>
      <c r="RB616" s="83"/>
      <c r="RL616" s="83"/>
      <c r="RV616" s="83"/>
      <c r="SF616" s="83"/>
      <c r="SP616" s="83"/>
      <c r="SZ616" s="83"/>
      <c r="TJ616" s="83"/>
      <c r="TT616" s="83"/>
      <c r="UD616" s="83"/>
      <c r="UN616" s="83"/>
      <c r="UX616" s="83"/>
      <c r="VH616" s="83"/>
      <c r="VR616" s="83"/>
      <c r="WB616" s="83"/>
      <c r="WL616" s="83"/>
      <c r="WV616" s="83"/>
      <c r="XF616" s="83"/>
      <c r="XP616" s="83"/>
      <c r="XZ616" s="83"/>
      <c r="YJ616" s="83"/>
      <c r="YT616" s="83"/>
      <c r="ZD616" s="83"/>
      <c r="ZN616" s="83"/>
      <c r="ZX616" s="83"/>
      <c r="AAH616" s="83"/>
      <c r="AAR616" s="83"/>
      <c r="ABB616" s="83"/>
      <c r="ABL616" s="83"/>
      <c r="ABV616" s="83"/>
      <c r="ACF616" s="83"/>
      <c r="ACP616" s="83"/>
      <c r="ACZ616" s="83"/>
      <c r="ADJ616" s="83"/>
      <c r="ADT616" s="83"/>
      <c r="AED616" s="83"/>
      <c r="AEN616" s="83"/>
      <c r="AEX616" s="83"/>
      <c r="AFH616" s="83"/>
      <c r="AFR616" s="83"/>
      <c r="AGB616" s="83"/>
      <c r="AGL616" s="83"/>
      <c r="AGV616" s="83"/>
      <c r="AHF616" s="83"/>
      <c r="AHP616" s="83"/>
      <c r="AHZ616" s="83"/>
      <c r="AIJ616" s="83"/>
      <c r="AIT616" s="83"/>
      <c r="AJD616" s="83"/>
      <c r="AJN616" s="83"/>
      <c r="AJX616" s="83"/>
      <c r="AKH616" s="83"/>
      <c r="AKR616" s="83"/>
      <c r="ALB616" s="83"/>
      <c r="ALL616" s="83"/>
      <c r="ALV616" s="83"/>
      <c r="AMF616" s="83"/>
      <c r="AMP616" s="83"/>
      <c r="AMZ616" s="83"/>
      <c r="ANJ616" s="83"/>
      <c r="ANT616" s="83"/>
      <c r="AOD616" s="83"/>
      <c r="AON616" s="83"/>
      <c r="AOX616" s="83"/>
      <c r="APH616" s="83"/>
      <c r="APR616" s="83"/>
      <c r="AQB616" s="83"/>
      <c r="AQL616" s="83"/>
      <c r="AQV616" s="83"/>
      <c r="ARF616" s="83"/>
      <c r="ARP616" s="83"/>
      <c r="ARZ616" s="83"/>
      <c r="ASJ616" s="83"/>
      <c r="AST616" s="83"/>
      <c r="ATD616" s="83"/>
      <c r="ATN616" s="83"/>
      <c r="ATX616" s="83"/>
      <c r="AUH616" s="83"/>
      <c r="AUR616" s="83"/>
      <c r="AVB616" s="83"/>
      <c r="AVL616" s="83"/>
      <c r="AVV616" s="83"/>
      <c r="AWF616" s="83"/>
      <c r="AWP616" s="83"/>
      <c r="AWZ616" s="83"/>
      <c r="AXJ616" s="83"/>
      <c r="AXT616" s="83"/>
      <c r="AYD616" s="83"/>
      <c r="AYN616" s="83"/>
      <c r="AYX616" s="83"/>
      <c r="AZH616" s="83"/>
      <c r="AZR616" s="83"/>
      <c r="BAB616" s="83"/>
      <c r="BAL616" s="83"/>
      <c r="BAV616" s="83"/>
      <c r="BBF616" s="83"/>
      <c r="BBP616" s="83"/>
      <c r="BBZ616" s="83"/>
      <c r="BCJ616" s="83"/>
      <c r="BCT616" s="83"/>
      <c r="BDD616" s="83"/>
      <c r="BDN616" s="83"/>
      <c r="BDX616" s="83"/>
      <c r="BEH616" s="83"/>
      <c r="BER616" s="83"/>
      <c r="BFB616" s="83"/>
      <c r="BFL616" s="83"/>
      <c r="BFV616" s="83"/>
      <c r="BGF616" s="83"/>
      <c r="BGP616" s="83"/>
      <c r="BGZ616" s="83"/>
      <c r="BHJ616" s="83"/>
      <c r="BHT616" s="83"/>
      <c r="BID616" s="83"/>
      <c r="BIN616" s="83"/>
      <c r="BIX616" s="83"/>
      <c r="BJH616" s="83"/>
      <c r="BJR616" s="83"/>
      <c r="BKB616" s="83"/>
      <c r="BKL616" s="83"/>
      <c r="BKV616" s="83"/>
      <c r="BLF616" s="83"/>
      <c r="BLP616" s="83"/>
      <c r="BLZ616" s="83"/>
      <c r="BMJ616" s="83"/>
      <c r="BMT616" s="83"/>
      <c r="BND616" s="83"/>
      <c r="BNN616" s="83"/>
      <c r="BNX616" s="83"/>
      <c r="BOH616" s="83"/>
      <c r="BOR616" s="83"/>
      <c r="BPB616" s="83"/>
      <c r="BPL616" s="83"/>
      <c r="BPV616" s="83"/>
      <c r="BQF616" s="83"/>
      <c r="BQP616" s="83"/>
      <c r="BQZ616" s="83"/>
      <c r="BRJ616" s="83"/>
      <c r="BRT616" s="83"/>
      <c r="BSD616" s="83"/>
      <c r="BSN616" s="83"/>
      <c r="BSX616" s="83"/>
      <c r="BTH616" s="83"/>
      <c r="BTR616" s="83"/>
      <c r="BUB616" s="83"/>
      <c r="BUL616" s="83"/>
      <c r="BUV616" s="83"/>
      <c r="BVF616" s="83"/>
      <c r="BVP616" s="83"/>
      <c r="BVZ616" s="83"/>
      <c r="BWJ616" s="83"/>
      <c r="BWT616" s="83"/>
      <c r="BXD616" s="83"/>
      <c r="BXN616" s="83"/>
      <c r="BXX616" s="83"/>
      <c r="BYH616" s="83"/>
      <c r="BYR616" s="83"/>
      <c r="BZB616" s="83"/>
      <c r="BZL616" s="83"/>
      <c r="BZV616" s="83"/>
      <c r="CAF616" s="83"/>
      <c r="CAP616" s="83"/>
      <c r="CAZ616" s="83"/>
      <c r="CBJ616" s="83"/>
      <c r="CBT616" s="83"/>
      <c r="CCD616" s="83"/>
      <c r="CCN616" s="83"/>
      <c r="CCX616" s="83"/>
      <c r="CDH616" s="83"/>
      <c r="CDR616" s="83"/>
      <c r="CEB616" s="83"/>
      <c r="CEL616" s="83"/>
      <c r="CEV616" s="83"/>
      <c r="CFF616" s="83"/>
      <c r="CFP616" s="83"/>
      <c r="CFZ616" s="83"/>
      <c r="CGJ616" s="83"/>
      <c r="CGT616" s="83"/>
      <c r="CHD616" s="83"/>
      <c r="CHN616" s="83"/>
      <c r="CHX616" s="83"/>
      <c r="CIH616" s="83"/>
      <c r="CIR616" s="83"/>
      <c r="CJB616" s="83"/>
      <c r="CJL616" s="83"/>
      <c r="CJV616" s="83"/>
      <c r="CKF616" s="83"/>
      <c r="CKP616" s="83"/>
      <c r="CKZ616" s="83"/>
      <c r="CLJ616" s="83"/>
      <c r="CLT616" s="83"/>
      <c r="CMD616" s="83"/>
      <c r="CMN616" s="83"/>
      <c r="CMX616" s="83"/>
      <c r="CNH616" s="83"/>
      <c r="CNR616" s="83"/>
      <c r="COB616" s="83"/>
      <c r="COL616" s="83"/>
      <c r="COV616" s="83"/>
      <c r="CPF616" s="83"/>
      <c r="CPP616" s="83"/>
      <c r="CPZ616" s="83"/>
      <c r="CQJ616" s="83"/>
      <c r="CQT616" s="83"/>
      <c r="CRD616" s="83"/>
      <c r="CRN616" s="83"/>
      <c r="CRX616" s="83"/>
      <c r="CSH616" s="83"/>
      <c r="CSR616" s="83"/>
      <c r="CTB616" s="83"/>
      <c r="CTL616" s="83"/>
      <c r="CTV616" s="83"/>
    </row>
    <row r="617" s="58" customFormat="1" customHeight="1" spans="1:1020 1030:2040 2050:2570">
      <c r="A617" s="87"/>
      <c r="B617" s="94"/>
      <c r="C617" s="95"/>
      <c r="D617" s="75"/>
      <c r="E617" s="75"/>
      <c r="F617" s="77"/>
      <c r="G617" s="75"/>
      <c r="H617" s="77"/>
      <c r="I617" s="77"/>
      <c r="J617" s="75"/>
      <c r="K617" s="78"/>
      <c r="T617" s="83"/>
      <c r="AD617" s="83"/>
      <c r="AN617" s="83"/>
      <c r="AX617" s="83"/>
      <c r="BH617" s="83"/>
      <c r="BR617" s="83"/>
      <c r="CB617" s="83"/>
      <c r="CL617" s="83"/>
      <c r="CV617" s="83"/>
      <c r="DF617" s="83"/>
      <c r="DP617" s="83"/>
      <c r="DZ617" s="83"/>
      <c r="EJ617" s="83"/>
      <c r="ET617" s="83"/>
      <c r="FD617" s="83"/>
      <c r="FN617" s="83"/>
      <c r="FX617" s="83"/>
      <c r="GH617" s="83"/>
      <c r="GR617" s="83"/>
      <c r="HB617" s="83"/>
      <c r="HL617" s="83"/>
      <c r="HV617" s="83"/>
      <c r="IF617" s="83"/>
      <c r="IP617" s="83"/>
      <c r="IZ617" s="83"/>
      <c r="JJ617" s="83"/>
      <c r="JT617" s="83"/>
      <c r="KD617" s="83"/>
      <c r="KN617" s="83"/>
      <c r="KX617" s="83"/>
      <c r="LH617" s="83"/>
      <c r="LR617" s="83"/>
      <c r="MB617" s="83"/>
      <c r="ML617" s="83"/>
      <c r="MV617" s="83"/>
      <c r="NF617" s="83"/>
      <c r="NP617" s="83"/>
      <c r="NZ617" s="83"/>
      <c r="OJ617" s="83"/>
      <c r="OT617" s="83"/>
      <c r="PD617" s="83"/>
      <c r="PN617" s="83"/>
      <c r="PX617" s="83"/>
      <c r="QH617" s="83"/>
      <c r="QR617" s="83"/>
      <c r="RB617" s="83"/>
      <c r="RL617" s="83"/>
      <c r="RV617" s="83"/>
      <c r="SF617" s="83"/>
      <c r="SP617" s="83"/>
      <c r="SZ617" s="83"/>
      <c r="TJ617" s="83"/>
      <c r="TT617" s="83"/>
      <c r="UD617" s="83"/>
      <c r="UN617" s="83"/>
      <c r="UX617" s="83"/>
      <c r="VH617" s="83"/>
      <c r="VR617" s="83"/>
      <c r="WB617" s="83"/>
      <c r="WL617" s="83"/>
      <c r="WV617" s="83"/>
      <c r="XF617" s="83"/>
      <c r="XP617" s="83"/>
      <c r="XZ617" s="83"/>
      <c r="YJ617" s="83"/>
      <c r="YT617" s="83"/>
      <c r="ZD617" s="83"/>
      <c r="ZN617" s="83"/>
      <c r="ZX617" s="83"/>
      <c r="AAH617" s="83"/>
      <c r="AAR617" s="83"/>
      <c r="ABB617" s="83"/>
      <c r="ABL617" s="83"/>
      <c r="ABV617" s="83"/>
      <c r="ACF617" s="83"/>
      <c r="ACP617" s="83"/>
      <c r="ACZ617" s="83"/>
      <c r="ADJ617" s="83"/>
      <c r="ADT617" s="83"/>
      <c r="AED617" s="83"/>
      <c r="AEN617" s="83"/>
      <c r="AEX617" s="83"/>
      <c r="AFH617" s="83"/>
      <c r="AFR617" s="83"/>
      <c r="AGB617" s="83"/>
      <c r="AGL617" s="83"/>
      <c r="AGV617" s="83"/>
      <c r="AHF617" s="83"/>
      <c r="AHP617" s="83"/>
      <c r="AHZ617" s="83"/>
      <c r="AIJ617" s="83"/>
      <c r="AIT617" s="83"/>
      <c r="AJD617" s="83"/>
      <c r="AJN617" s="83"/>
      <c r="AJX617" s="83"/>
      <c r="AKH617" s="83"/>
      <c r="AKR617" s="83"/>
      <c r="ALB617" s="83"/>
      <c r="ALL617" s="83"/>
      <c r="ALV617" s="83"/>
      <c r="AMF617" s="83"/>
      <c r="AMP617" s="83"/>
      <c r="AMZ617" s="83"/>
      <c r="ANJ617" s="83"/>
      <c r="ANT617" s="83"/>
      <c r="AOD617" s="83"/>
      <c r="AON617" s="83"/>
      <c r="AOX617" s="83"/>
      <c r="APH617" s="83"/>
      <c r="APR617" s="83"/>
      <c r="AQB617" s="83"/>
      <c r="AQL617" s="83"/>
      <c r="AQV617" s="83"/>
      <c r="ARF617" s="83"/>
      <c r="ARP617" s="83"/>
      <c r="ARZ617" s="83"/>
      <c r="ASJ617" s="83"/>
      <c r="AST617" s="83"/>
      <c r="ATD617" s="83"/>
      <c r="ATN617" s="83"/>
      <c r="ATX617" s="83"/>
      <c r="AUH617" s="83"/>
      <c r="AUR617" s="83"/>
      <c r="AVB617" s="83"/>
      <c r="AVL617" s="83"/>
      <c r="AVV617" s="83"/>
      <c r="AWF617" s="83"/>
      <c r="AWP617" s="83"/>
      <c r="AWZ617" s="83"/>
      <c r="AXJ617" s="83"/>
      <c r="AXT617" s="83"/>
      <c r="AYD617" s="83"/>
      <c r="AYN617" s="83"/>
      <c r="AYX617" s="83"/>
      <c r="AZH617" s="83"/>
      <c r="AZR617" s="83"/>
      <c r="BAB617" s="83"/>
      <c r="BAL617" s="83"/>
      <c r="BAV617" s="83"/>
      <c r="BBF617" s="83"/>
      <c r="BBP617" s="83"/>
      <c r="BBZ617" s="83"/>
      <c r="BCJ617" s="83"/>
      <c r="BCT617" s="83"/>
      <c r="BDD617" s="83"/>
      <c r="BDN617" s="83"/>
      <c r="BDX617" s="83"/>
      <c r="BEH617" s="83"/>
      <c r="BER617" s="83"/>
      <c r="BFB617" s="83"/>
      <c r="BFL617" s="83"/>
      <c r="BFV617" s="83"/>
      <c r="BGF617" s="83"/>
      <c r="BGP617" s="83"/>
      <c r="BGZ617" s="83"/>
      <c r="BHJ617" s="83"/>
      <c r="BHT617" s="83"/>
      <c r="BID617" s="83"/>
      <c r="BIN617" s="83"/>
      <c r="BIX617" s="83"/>
      <c r="BJH617" s="83"/>
      <c r="BJR617" s="83"/>
      <c r="BKB617" s="83"/>
      <c r="BKL617" s="83"/>
      <c r="BKV617" s="83"/>
      <c r="BLF617" s="83"/>
      <c r="BLP617" s="83"/>
      <c r="BLZ617" s="83"/>
      <c r="BMJ617" s="83"/>
      <c r="BMT617" s="83"/>
      <c r="BND617" s="83"/>
      <c r="BNN617" s="83"/>
      <c r="BNX617" s="83"/>
      <c r="BOH617" s="83"/>
      <c r="BOR617" s="83"/>
      <c r="BPB617" s="83"/>
      <c r="BPL617" s="83"/>
      <c r="BPV617" s="83"/>
      <c r="BQF617" s="83"/>
      <c r="BQP617" s="83"/>
      <c r="BQZ617" s="83"/>
      <c r="BRJ617" s="83"/>
      <c r="BRT617" s="83"/>
      <c r="BSD617" s="83"/>
      <c r="BSN617" s="83"/>
      <c r="BSX617" s="83"/>
      <c r="BTH617" s="83"/>
      <c r="BTR617" s="83"/>
      <c r="BUB617" s="83"/>
      <c r="BUL617" s="83"/>
      <c r="BUV617" s="83"/>
      <c r="BVF617" s="83"/>
      <c r="BVP617" s="83"/>
      <c r="BVZ617" s="83"/>
      <c r="BWJ617" s="83"/>
      <c r="BWT617" s="83"/>
      <c r="BXD617" s="83"/>
      <c r="BXN617" s="83"/>
      <c r="BXX617" s="83"/>
      <c r="BYH617" s="83"/>
      <c r="BYR617" s="83"/>
      <c r="BZB617" s="83"/>
      <c r="BZL617" s="83"/>
      <c r="BZV617" s="83"/>
      <c r="CAF617" s="83"/>
      <c r="CAP617" s="83"/>
      <c r="CAZ617" s="83"/>
      <c r="CBJ617" s="83"/>
      <c r="CBT617" s="83"/>
      <c r="CCD617" s="83"/>
      <c r="CCN617" s="83"/>
      <c r="CCX617" s="83"/>
      <c r="CDH617" s="83"/>
      <c r="CDR617" s="83"/>
      <c r="CEB617" s="83"/>
      <c r="CEL617" s="83"/>
      <c r="CEV617" s="83"/>
      <c r="CFF617" s="83"/>
      <c r="CFP617" s="83"/>
      <c r="CFZ617" s="83"/>
      <c r="CGJ617" s="83"/>
      <c r="CGT617" s="83"/>
      <c r="CHD617" s="83"/>
      <c r="CHN617" s="83"/>
      <c r="CHX617" s="83"/>
      <c r="CIH617" s="83"/>
      <c r="CIR617" s="83"/>
      <c r="CJB617" s="83"/>
      <c r="CJL617" s="83"/>
      <c r="CJV617" s="83"/>
      <c r="CKF617" s="83"/>
      <c r="CKP617" s="83"/>
      <c r="CKZ617" s="83"/>
      <c r="CLJ617" s="83"/>
      <c r="CLT617" s="83"/>
      <c r="CMD617" s="83"/>
      <c r="CMN617" s="83"/>
      <c r="CMX617" s="83"/>
      <c r="CNH617" s="83"/>
      <c r="CNR617" s="83"/>
      <c r="COB617" s="83"/>
      <c r="COL617" s="83"/>
      <c r="COV617" s="83"/>
      <c r="CPF617" s="83"/>
      <c r="CPP617" s="83"/>
      <c r="CPZ617" s="83"/>
      <c r="CQJ617" s="83"/>
      <c r="CQT617" s="83"/>
      <c r="CRD617" s="83"/>
      <c r="CRN617" s="83"/>
      <c r="CRX617" s="83"/>
      <c r="CSH617" s="83"/>
      <c r="CSR617" s="83"/>
      <c r="CTB617" s="83"/>
      <c r="CTL617" s="83"/>
      <c r="CTV617" s="83"/>
    </row>
    <row r="618" s="58" customFormat="1" customHeight="1" spans="1:1020 1030:2040 2050:2570">
      <c r="A618" s="87"/>
      <c r="B618" s="94"/>
      <c r="C618" s="95"/>
      <c r="D618" s="75"/>
      <c r="E618" s="75"/>
      <c r="F618" s="77"/>
      <c r="G618" s="75"/>
      <c r="H618" s="77"/>
      <c r="I618" s="77"/>
      <c r="J618" s="75"/>
      <c r="K618" s="78"/>
      <c r="T618" s="83"/>
      <c r="AD618" s="83"/>
      <c r="AN618" s="83"/>
      <c r="AX618" s="83"/>
      <c r="BH618" s="83"/>
      <c r="BR618" s="83"/>
      <c r="CB618" s="83"/>
      <c r="CL618" s="83"/>
      <c r="CV618" s="83"/>
      <c r="DF618" s="83"/>
      <c r="DP618" s="83"/>
      <c r="DZ618" s="83"/>
      <c r="EJ618" s="83"/>
      <c r="ET618" s="83"/>
      <c r="FD618" s="83"/>
      <c r="FN618" s="83"/>
      <c r="FX618" s="83"/>
      <c r="GH618" s="83"/>
      <c r="GR618" s="83"/>
      <c r="HB618" s="83"/>
      <c r="HL618" s="83"/>
      <c r="HV618" s="83"/>
      <c r="IF618" s="83"/>
      <c r="IP618" s="83"/>
      <c r="IZ618" s="83"/>
      <c r="JJ618" s="83"/>
      <c r="JT618" s="83"/>
      <c r="KD618" s="83"/>
      <c r="KN618" s="83"/>
      <c r="KX618" s="83"/>
      <c r="LH618" s="83"/>
      <c r="LR618" s="83"/>
      <c r="MB618" s="83"/>
      <c r="ML618" s="83"/>
      <c r="MV618" s="83"/>
      <c r="NF618" s="83"/>
      <c r="NP618" s="83"/>
      <c r="NZ618" s="83"/>
      <c r="OJ618" s="83"/>
      <c r="OT618" s="83"/>
      <c r="PD618" s="83"/>
      <c r="PN618" s="83"/>
      <c r="PX618" s="83"/>
      <c r="QH618" s="83"/>
      <c r="QR618" s="83"/>
      <c r="RB618" s="83"/>
      <c r="RL618" s="83"/>
      <c r="RV618" s="83"/>
      <c r="SF618" s="83"/>
      <c r="SP618" s="83"/>
      <c r="SZ618" s="83"/>
      <c r="TJ618" s="83"/>
      <c r="TT618" s="83"/>
      <c r="UD618" s="83"/>
      <c r="UN618" s="83"/>
      <c r="UX618" s="83"/>
      <c r="VH618" s="83"/>
      <c r="VR618" s="83"/>
      <c r="WB618" s="83"/>
      <c r="WL618" s="83"/>
      <c r="WV618" s="83"/>
      <c r="XF618" s="83"/>
      <c r="XP618" s="83"/>
      <c r="XZ618" s="83"/>
      <c r="YJ618" s="83"/>
      <c r="YT618" s="83"/>
      <c r="ZD618" s="83"/>
      <c r="ZN618" s="83"/>
      <c r="ZX618" s="83"/>
      <c r="AAH618" s="83"/>
      <c r="AAR618" s="83"/>
      <c r="ABB618" s="83"/>
      <c r="ABL618" s="83"/>
      <c r="ABV618" s="83"/>
      <c r="ACF618" s="83"/>
      <c r="ACP618" s="83"/>
      <c r="ACZ618" s="83"/>
      <c r="ADJ618" s="83"/>
      <c r="ADT618" s="83"/>
      <c r="AED618" s="83"/>
      <c r="AEN618" s="83"/>
      <c r="AEX618" s="83"/>
      <c r="AFH618" s="83"/>
      <c r="AFR618" s="83"/>
      <c r="AGB618" s="83"/>
      <c r="AGL618" s="83"/>
      <c r="AGV618" s="83"/>
      <c r="AHF618" s="83"/>
      <c r="AHP618" s="83"/>
      <c r="AHZ618" s="83"/>
      <c r="AIJ618" s="83"/>
      <c r="AIT618" s="83"/>
      <c r="AJD618" s="83"/>
      <c r="AJN618" s="83"/>
      <c r="AJX618" s="83"/>
      <c r="AKH618" s="83"/>
      <c r="AKR618" s="83"/>
      <c r="ALB618" s="83"/>
      <c r="ALL618" s="83"/>
      <c r="ALV618" s="83"/>
      <c r="AMF618" s="83"/>
      <c r="AMP618" s="83"/>
      <c r="AMZ618" s="83"/>
      <c r="ANJ618" s="83"/>
      <c r="ANT618" s="83"/>
      <c r="AOD618" s="83"/>
      <c r="AON618" s="83"/>
      <c r="AOX618" s="83"/>
      <c r="APH618" s="83"/>
      <c r="APR618" s="83"/>
      <c r="AQB618" s="83"/>
      <c r="AQL618" s="83"/>
      <c r="AQV618" s="83"/>
      <c r="ARF618" s="83"/>
      <c r="ARP618" s="83"/>
      <c r="ARZ618" s="83"/>
      <c r="ASJ618" s="83"/>
      <c r="AST618" s="83"/>
      <c r="ATD618" s="83"/>
      <c r="ATN618" s="83"/>
      <c r="ATX618" s="83"/>
      <c r="AUH618" s="83"/>
      <c r="AUR618" s="83"/>
      <c r="AVB618" s="83"/>
      <c r="AVL618" s="83"/>
      <c r="AVV618" s="83"/>
      <c r="AWF618" s="83"/>
      <c r="AWP618" s="83"/>
      <c r="AWZ618" s="83"/>
      <c r="AXJ618" s="83"/>
      <c r="AXT618" s="83"/>
      <c r="AYD618" s="83"/>
      <c r="AYN618" s="83"/>
      <c r="AYX618" s="83"/>
      <c r="AZH618" s="83"/>
      <c r="AZR618" s="83"/>
      <c r="BAB618" s="83"/>
      <c r="BAL618" s="83"/>
      <c r="BAV618" s="83"/>
      <c r="BBF618" s="83"/>
      <c r="BBP618" s="83"/>
      <c r="BBZ618" s="83"/>
      <c r="BCJ618" s="83"/>
      <c r="BCT618" s="83"/>
      <c r="BDD618" s="83"/>
      <c r="BDN618" s="83"/>
      <c r="BDX618" s="83"/>
      <c r="BEH618" s="83"/>
      <c r="BER618" s="83"/>
      <c r="BFB618" s="83"/>
      <c r="BFL618" s="83"/>
      <c r="BFV618" s="83"/>
      <c r="BGF618" s="83"/>
      <c r="BGP618" s="83"/>
      <c r="BGZ618" s="83"/>
      <c r="BHJ618" s="83"/>
      <c r="BHT618" s="83"/>
      <c r="BID618" s="83"/>
      <c r="BIN618" s="83"/>
      <c r="BIX618" s="83"/>
      <c r="BJH618" s="83"/>
      <c r="BJR618" s="83"/>
      <c r="BKB618" s="83"/>
      <c r="BKL618" s="83"/>
      <c r="BKV618" s="83"/>
      <c r="BLF618" s="83"/>
      <c r="BLP618" s="83"/>
      <c r="BLZ618" s="83"/>
      <c r="BMJ618" s="83"/>
      <c r="BMT618" s="83"/>
      <c r="BND618" s="83"/>
      <c r="BNN618" s="83"/>
      <c r="BNX618" s="83"/>
      <c r="BOH618" s="83"/>
      <c r="BOR618" s="83"/>
      <c r="BPB618" s="83"/>
      <c r="BPL618" s="83"/>
      <c r="BPV618" s="83"/>
      <c r="BQF618" s="83"/>
      <c r="BQP618" s="83"/>
      <c r="BQZ618" s="83"/>
      <c r="BRJ618" s="83"/>
      <c r="BRT618" s="83"/>
      <c r="BSD618" s="83"/>
      <c r="BSN618" s="83"/>
      <c r="BSX618" s="83"/>
      <c r="BTH618" s="83"/>
      <c r="BTR618" s="83"/>
      <c r="BUB618" s="83"/>
      <c r="BUL618" s="83"/>
      <c r="BUV618" s="83"/>
      <c r="BVF618" s="83"/>
      <c r="BVP618" s="83"/>
      <c r="BVZ618" s="83"/>
      <c r="BWJ618" s="83"/>
      <c r="BWT618" s="83"/>
      <c r="BXD618" s="83"/>
      <c r="BXN618" s="83"/>
      <c r="BXX618" s="83"/>
      <c r="BYH618" s="83"/>
      <c r="BYR618" s="83"/>
      <c r="BZB618" s="83"/>
      <c r="BZL618" s="83"/>
      <c r="BZV618" s="83"/>
      <c r="CAF618" s="83"/>
      <c r="CAP618" s="83"/>
      <c r="CAZ618" s="83"/>
      <c r="CBJ618" s="83"/>
      <c r="CBT618" s="83"/>
      <c r="CCD618" s="83"/>
      <c r="CCN618" s="83"/>
      <c r="CCX618" s="83"/>
      <c r="CDH618" s="83"/>
      <c r="CDR618" s="83"/>
      <c r="CEB618" s="83"/>
      <c r="CEL618" s="83"/>
      <c r="CEV618" s="83"/>
      <c r="CFF618" s="83"/>
      <c r="CFP618" s="83"/>
      <c r="CFZ618" s="83"/>
      <c r="CGJ618" s="83"/>
      <c r="CGT618" s="83"/>
      <c r="CHD618" s="83"/>
      <c r="CHN618" s="83"/>
      <c r="CHX618" s="83"/>
      <c r="CIH618" s="83"/>
      <c r="CIR618" s="83"/>
      <c r="CJB618" s="83"/>
      <c r="CJL618" s="83"/>
      <c r="CJV618" s="83"/>
      <c r="CKF618" s="83"/>
      <c r="CKP618" s="83"/>
      <c r="CKZ618" s="83"/>
      <c r="CLJ618" s="83"/>
      <c r="CLT618" s="83"/>
      <c r="CMD618" s="83"/>
      <c r="CMN618" s="83"/>
      <c r="CMX618" s="83"/>
      <c r="CNH618" s="83"/>
      <c r="CNR618" s="83"/>
      <c r="COB618" s="83"/>
      <c r="COL618" s="83"/>
      <c r="COV618" s="83"/>
      <c r="CPF618" s="83"/>
      <c r="CPP618" s="83"/>
      <c r="CPZ618" s="83"/>
      <c r="CQJ618" s="83"/>
      <c r="CQT618" s="83"/>
      <c r="CRD618" s="83"/>
      <c r="CRN618" s="83"/>
      <c r="CRX618" s="83"/>
      <c r="CSH618" s="83"/>
      <c r="CSR618" s="83"/>
      <c r="CTB618" s="83"/>
      <c r="CTL618" s="83"/>
      <c r="CTV618" s="83"/>
    </row>
    <row r="619" s="58" customFormat="1" customHeight="1" spans="1:1020 1030:2040 2050:2570">
      <c r="A619" s="87"/>
      <c r="B619" s="94"/>
      <c r="C619" s="95"/>
      <c r="D619" s="75"/>
      <c r="E619" s="75"/>
      <c r="F619" s="77"/>
      <c r="G619" s="75"/>
      <c r="H619" s="77"/>
      <c r="I619" s="77"/>
      <c r="J619" s="75"/>
      <c r="K619" s="78"/>
      <c r="T619" s="83"/>
      <c r="AD619" s="83"/>
      <c r="AN619" s="83"/>
      <c r="AX619" s="83"/>
      <c r="BH619" s="83"/>
      <c r="BR619" s="83"/>
      <c r="CB619" s="83"/>
      <c r="CL619" s="83"/>
      <c r="CV619" s="83"/>
      <c r="DF619" s="83"/>
      <c r="DP619" s="83"/>
      <c r="DZ619" s="83"/>
      <c r="EJ619" s="83"/>
      <c r="ET619" s="83"/>
      <c r="FD619" s="83"/>
      <c r="FN619" s="83"/>
      <c r="FX619" s="83"/>
      <c r="GH619" s="83"/>
      <c r="GR619" s="83"/>
      <c r="HB619" s="83"/>
      <c r="HL619" s="83"/>
      <c r="HV619" s="83"/>
      <c r="IF619" s="83"/>
      <c r="IP619" s="83"/>
      <c r="IZ619" s="83"/>
      <c r="JJ619" s="83"/>
      <c r="JT619" s="83"/>
      <c r="KD619" s="83"/>
      <c r="KN619" s="83"/>
      <c r="KX619" s="83"/>
      <c r="LH619" s="83"/>
      <c r="LR619" s="83"/>
      <c r="MB619" s="83"/>
      <c r="ML619" s="83"/>
      <c r="MV619" s="83"/>
      <c r="NF619" s="83"/>
      <c r="NP619" s="83"/>
      <c r="NZ619" s="83"/>
      <c r="OJ619" s="83"/>
      <c r="OT619" s="83"/>
      <c r="PD619" s="83"/>
      <c r="PN619" s="83"/>
      <c r="PX619" s="83"/>
      <c r="QH619" s="83"/>
      <c r="QR619" s="83"/>
      <c r="RB619" s="83"/>
      <c r="RL619" s="83"/>
      <c r="RV619" s="83"/>
      <c r="SF619" s="83"/>
      <c r="SP619" s="83"/>
      <c r="SZ619" s="83"/>
      <c r="TJ619" s="83"/>
      <c r="TT619" s="83"/>
      <c r="UD619" s="83"/>
      <c r="UN619" s="83"/>
      <c r="UX619" s="83"/>
      <c r="VH619" s="83"/>
      <c r="VR619" s="83"/>
      <c r="WB619" s="83"/>
      <c r="WL619" s="83"/>
      <c r="WV619" s="83"/>
      <c r="XF619" s="83"/>
      <c r="XP619" s="83"/>
      <c r="XZ619" s="83"/>
      <c r="YJ619" s="83"/>
      <c r="YT619" s="83"/>
      <c r="ZD619" s="83"/>
      <c r="ZN619" s="83"/>
      <c r="ZX619" s="83"/>
      <c r="AAH619" s="83"/>
      <c r="AAR619" s="83"/>
      <c r="ABB619" s="83"/>
      <c r="ABL619" s="83"/>
      <c r="ABV619" s="83"/>
      <c r="ACF619" s="83"/>
      <c r="ACP619" s="83"/>
      <c r="ACZ619" s="83"/>
      <c r="ADJ619" s="83"/>
      <c r="ADT619" s="83"/>
      <c r="AED619" s="83"/>
      <c r="AEN619" s="83"/>
      <c r="AEX619" s="83"/>
      <c r="AFH619" s="83"/>
      <c r="AFR619" s="83"/>
      <c r="AGB619" s="83"/>
      <c r="AGL619" s="83"/>
      <c r="AGV619" s="83"/>
      <c r="AHF619" s="83"/>
      <c r="AHP619" s="83"/>
      <c r="AHZ619" s="83"/>
      <c r="AIJ619" s="83"/>
      <c r="AIT619" s="83"/>
      <c r="AJD619" s="83"/>
      <c r="AJN619" s="83"/>
      <c r="AJX619" s="83"/>
      <c r="AKH619" s="83"/>
      <c r="AKR619" s="83"/>
      <c r="ALB619" s="83"/>
      <c r="ALL619" s="83"/>
      <c r="ALV619" s="83"/>
      <c r="AMF619" s="83"/>
      <c r="AMP619" s="83"/>
      <c r="AMZ619" s="83"/>
      <c r="ANJ619" s="83"/>
      <c r="ANT619" s="83"/>
      <c r="AOD619" s="83"/>
      <c r="AON619" s="83"/>
      <c r="AOX619" s="83"/>
      <c r="APH619" s="83"/>
      <c r="APR619" s="83"/>
      <c r="AQB619" s="83"/>
      <c r="AQL619" s="83"/>
      <c r="AQV619" s="83"/>
      <c r="ARF619" s="83"/>
      <c r="ARP619" s="83"/>
      <c r="ARZ619" s="83"/>
      <c r="ASJ619" s="83"/>
      <c r="AST619" s="83"/>
      <c r="ATD619" s="83"/>
      <c r="ATN619" s="83"/>
      <c r="ATX619" s="83"/>
      <c r="AUH619" s="83"/>
      <c r="AUR619" s="83"/>
      <c r="AVB619" s="83"/>
      <c r="AVL619" s="83"/>
      <c r="AVV619" s="83"/>
      <c r="AWF619" s="83"/>
      <c r="AWP619" s="83"/>
      <c r="AWZ619" s="83"/>
      <c r="AXJ619" s="83"/>
      <c r="AXT619" s="83"/>
      <c r="AYD619" s="83"/>
      <c r="AYN619" s="83"/>
      <c r="AYX619" s="83"/>
      <c r="AZH619" s="83"/>
      <c r="AZR619" s="83"/>
      <c r="BAB619" s="83"/>
      <c r="BAL619" s="83"/>
      <c r="BAV619" s="83"/>
      <c r="BBF619" s="83"/>
      <c r="BBP619" s="83"/>
      <c r="BBZ619" s="83"/>
      <c r="BCJ619" s="83"/>
      <c r="BCT619" s="83"/>
      <c r="BDD619" s="83"/>
      <c r="BDN619" s="83"/>
      <c r="BDX619" s="83"/>
      <c r="BEH619" s="83"/>
      <c r="BER619" s="83"/>
      <c r="BFB619" s="83"/>
      <c r="BFL619" s="83"/>
      <c r="BFV619" s="83"/>
      <c r="BGF619" s="83"/>
      <c r="BGP619" s="83"/>
      <c r="BGZ619" s="83"/>
      <c r="BHJ619" s="83"/>
      <c r="BHT619" s="83"/>
      <c r="BID619" s="83"/>
      <c r="BIN619" s="83"/>
      <c r="BIX619" s="83"/>
      <c r="BJH619" s="83"/>
      <c r="BJR619" s="83"/>
      <c r="BKB619" s="83"/>
      <c r="BKL619" s="83"/>
      <c r="BKV619" s="83"/>
      <c r="BLF619" s="83"/>
      <c r="BLP619" s="83"/>
      <c r="BLZ619" s="83"/>
      <c r="BMJ619" s="83"/>
      <c r="BMT619" s="83"/>
      <c r="BND619" s="83"/>
      <c r="BNN619" s="83"/>
      <c r="BNX619" s="83"/>
      <c r="BOH619" s="83"/>
      <c r="BOR619" s="83"/>
      <c r="BPB619" s="83"/>
      <c r="BPL619" s="83"/>
      <c r="BPV619" s="83"/>
      <c r="BQF619" s="83"/>
      <c r="BQP619" s="83"/>
      <c r="BQZ619" s="83"/>
      <c r="BRJ619" s="83"/>
      <c r="BRT619" s="83"/>
      <c r="BSD619" s="83"/>
      <c r="BSN619" s="83"/>
      <c r="BSX619" s="83"/>
      <c r="BTH619" s="83"/>
      <c r="BTR619" s="83"/>
      <c r="BUB619" s="83"/>
      <c r="BUL619" s="83"/>
      <c r="BUV619" s="83"/>
      <c r="BVF619" s="83"/>
      <c r="BVP619" s="83"/>
      <c r="BVZ619" s="83"/>
      <c r="BWJ619" s="83"/>
      <c r="BWT619" s="83"/>
      <c r="BXD619" s="83"/>
      <c r="BXN619" s="83"/>
      <c r="BXX619" s="83"/>
      <c r="BYH619" s="83"/>
      <c r="BYR619" s="83"/>
      <c r="BZB619" s="83"/>
      <c r="BZL619" s="83"/>
      <c r="BZV619" s="83"/>
      <c r="CAF619" s="83"/>
      <c r="CAP619" s="83"/>
      <c r="CAZ619" s="83"/>
      <c r="CBJ619" s="83"/>
      <c r="CBT619" s="83"/>
      <c r="CCD619" s="83"/>
      <c r="CCN619" s="83"/>
      <c r="CCX619" s="83"/>
      <c r="CDH619" s="83"/>
      <c r="CDR619" s="83"/>
      <c r="CEB619" s="83"/>
      <c r="CEL619" s="83"/>
      <c r="CEV619" s="83"/>
      <c r="CFF619" s="83"/>
      <c r="CFP619" s="83"/>
      <c r="CFZ619" s="83"/>
      <c r="CGJ619" s="83"/>
      <c r="CGT619" s="83"/>
      <c r="CHD619" s="83"/>
      <c r="CHN619" s="83"/>
      <c r="CHX619" s="83"/>
      <c r="CIH619" s="83"/>
      <c r="CIR619" s="83"/>
      <c r="CJB619" s="83"/>
      <c r="CJL619" s="83"/>
      <c r="CJV619" s="83"/>
      <c r="CKF619" s="83"/>
      <c r="CKP619" s="83"/>
      <c r="CKZ619" s="83"/>
      <c r="CLJ619" s="83"/>
      <c r="CLT619" s="83"/>
      <c r="CMD619" s="83"/>
      <c r="CMN619" s="83"/>
      <c r="CMX619" s="83"/>
      <c r="CNH619" s="83"/>
      <c r="CNR619" s="83"/>
      <c r="COB619" s="83"/>
      <c r="COL619" s="83"/>
      <c r="COV619" s="83"/>
      <c r="CPF619" s="83"/>
      <c r="CPP619" s="83"/>
      <c r="CPZ619" s="83"/>
      <c r="CQJ619" s="83"/>
      <c r="CQT619" s="83"/>
      <c r="CRD619" s="83"/>
      <c r="CRN619" s="83"/>
      <c r="CRX619" s="83"/>
      <c r="CSH619" s="83"/>
      <c r="CSR619" s="83"/>
      <c r="CTB619" s="83"/>
      <c r="CTL619" s="83"/>
      <c r="CTV619" s="83"/>
    </row>
    <row r="620" s="58" customFormat="1" customHeight="1" spans="1:1020 1030:2040 2050:2570">
      <c r="A620" s="87"/>
      <c r="B620" s="94"/>
      <c r="C620" s="95"/>
      <c r="D620" s="75"/>
      <c r="E620" s="75"/>
      <c r="F620" s="77"/>
      <c r="G620" s="75"/>
      <c r="H620" s="77"/>
      <c r="I620" s="77"/>
      <c r="J620" s="75"/>
      <c r="K620" s="78"/>
      <c r="T620" s="83"/>
      <c r="AD620" s="83"/>
      <c r="AN620" s="83"/>
      <c r="AX620" s="83"/>
      <c r="BH620" s="83"/>
      <c r="BR620" s="83"/>
      <c r="CB620" s="83"/>
      <c r="CL620" s="83"/>
      <c r="CV620" s="83"/>
      <c r="DF620" s="83"/>
      <c r="DP620" s="83"/>
      <c r="DZ620" s="83"/>
      <c r="EJ620" s="83"/>
      <c r="ET620" s="83"/>
      <c r="FD620" s="83"/>
      <c r="FN620" s="83"/>
      <c r="FX620" s="83"/>
      <c r="GH620" s="83"/>
      <c r="GR620" s="83"/>
      <c r="HB620" s="83"/>
      <c r="HL620" s="83"/>
      <c r="HV620" s="83"/>
      <c r="IF620" s="83"/>
      <c r="IP620" s="83"/>
      <c r="IZ620" s="83"/>
      <c r="JJ620" s="83"/>
      <c r="JT620" s="83"/>
      <c r="KD620" s="83"/>
      <c r="KN620" s="83"/>
      <c r="KX620" s="83"/>
      <c r="LH620" s="83"/>
      <c r="LR620" s="83"/>
      <c r="MB620" s="83"/>
      <c r="ML620" s="83"/>
      <c r="MV620" s="83"/>
      <c r="NF620" s="83"/>
      <c r="NP620" s="83"/>
      <c r="NZ620" s="83"/>
      <c r="OJ620" s="83"/>
      <c r="OT620" s="83"/>
      <c r="PD620" s="83"/>
      <c r="PN620" s="83"/>
      <c r="PX620" s="83"/>
      <c r="QH620" s="83"/>
      <c r="QR620" s="83"/>
      <c r="RB620" s="83"/>
      <c r="RL620" s="83"/>
      <c r="RV620" s="83"/>
      <c r="SF620" s="83"/>
      <c r="SP620" s="83"/>
      <c r="SZ620" s="83"/>
      <c r="TJ620" s="83"/>
      <c r="TT620" s="83"/>
      <c r="UD620" s="83"/>
      <c r="UN620" s="83"/>
      <c r="UX620" s="83"/>
      <c r="VH620" s="83"/>
      <c r="VR620" s="83"/>
      <c r="WB620" s="83"/>
      <c r="WL620" s="83"/>
      <c r="WV620" s="83"/>
      <c r="XF620" s="83"/>
      <c r="XP620" s="83"/>
      <c r="XZ620" s="83"/>
      <c r="YJ620" s="83"/>
      <c r="YT620" s="83"/>
      <c r="ZD620" s="83"/>
      <c r="ZN620" s="83"/>
      <c r="ZX620" s="83"/>
      <c r="AAH620" s="83"/>
      <c r="AAR620" s="83"/>
      <c r="ABB620" s="83"/>
      <c r="ABL620" s="83"/>
      <c r="ABV620" s="83"/>
      <c r="ACF620" s="83"/>
      <c r="ACP620" s="83"/>
      <c r="ACZ620" s="83"/>
      <c r="ADJ620" s="83"/>
      <c r="ADT620" s="83"/>
      <c r="AED620" s="83"/>
      <c r="AEN620" s="83"/>
      <c r="AEX620" s="83"/>
      <c r="AFH620" s="83"/>
      <c r="AFR620" s="83"/>
      <c r="AGB620" s="83"/>
      <c r="AGL620" s="83"/>
      <c r="AGV620" s="83"/>
      <c r="AHF620" s="83"/>
      <c r="AHP620" s="83"/>
      <c r="AHZ620" s="83"/>
      <c r="AIJ620" s="83"/>
      <c r="AIT620" s="83"/>
      <c r="AJD620" s="83"/>
      <c r="AJN620" s="83"/>
      <c r="AJX620" s="83"/>
      <c r="AKH620" s="83"/>
      <c r="AKR620" s="83"/>
      <c r="ALB620" s="83"/>
      <c r="ALL620" s="83"/>
      <c r="ALV620" s="83"/>
      <c r="AMF620" s="83"/>
      <c r="AMP620" s="83"/>
      <c r="AMZ620" s="83"/>
      <c r="ANJ620" s="83"/>
      <c r="ANT620" s="83"/>
      <c r="AOD620" s="83"/>
      <c r="AON620" s="83"/>
      <c r="AOX620" s="83"/>
      <c r="APH620" s="83"/>
      <c r="APR620" s="83"/>
      <c r="AQB620" s="83"/>
      <c r="AQL620" s="83"/>
      <c r="AQV620" s="83"/>
      <c r="ARF620" s="83"/>
      <c r="ARP620" s="83"/>
      <c r="ARZ620" s="83"/>
      <c r="ASJ620" s="83"/>
      <c r="AST620" s="83"/>
      <c r="ATD620" s="83"/>
      <c r="ATN620" s="83"/>
      <c r="ATX620" s="83"/>
      <c r="AUH620" s="83"/>
      <c r="AUR620" s="83"/>
      <c r="AVB620" s="83"/>
      <c r="AVL620" s="83"/>
      <c r="AVV620" s="83"/>
      <c r="AWF620" s="83"/>
      <c r="AWP620" s="83"/>
      <c r="AWZ620" s="83"/>
      <c r="AXJ620" s="83"/>
      <c r="AXT620" s="83"/>
      <c r="AYD620" s="83"/>
      <c r="AYN620" s="83"/>
      <c r="AYX620" s="83"/>
      <c r="AZH620" s="83"/>
      <c r="AZR620" s="83"/>
      <c r="BAB620" s="83"/>
      <c r="BAL620" s="83"/>
      <c r="BAV620" s="83"/>
      <c r="BBF620" s="83"/>
      <c r="BBP620" s="83"/>
      <c r="BBZ620" s="83"/>
      <c r="BCJ620" s="83"/>
      <c r="BCT620" s="83"/>
      <c r="BDD620" s="83"/>
      <c r="BDN620" s="83"/>
      <c r="BDX620" s="83"/>
      <c r="BEH620" s="83"/>
      <c r="BER620" s="83"/>
      <c r="BFB620" s="83"/>
      <c r="BFL620" s="83"/>
      <c r="BFV620" s="83"/>
      <c r="BGF620" s="83"/>
      <c r="BGP620" s="83"/>
      <c r="BGZ620" s="83"/>
      <c r="BHJ620" s="83"/>
      <c r="BHT620" s="83"/>
      <c r="BID620" s="83"/>
      <c r="BIN620" s="83"/>
      <c r="BIX620" s="83"/>
      <c r="BJH620" s="83"/>
      <c r="BJR620" s="83"/>
      <c r="BKB620" s="83"/>
      <c r="BKL620" s="83"/>
      <c r="BKV620" s="83"/>
      <c r="BLF620" s="83"/>
      <c r="BLP620" s="83"/>
      <c r="BLZ620" s="83"/>
      <c r="BMJ620" s="83"/>
      <c r="BMT620" s="83"/>
      <c r="BND620" s="83"/>
      <c r="BNN620" s="83"/>
      <c r="BNX620" s="83"/>
      <c r="BOH620" s="83"/>
      <c r="BOR620" s="83"/>
      <c r="BPB620" s="83"/>
      <c r="BPL620" s="83"/>
      <c r="BPV620" s="83"/>
      <c r="BQF620" s="83"/>
      <c r="BQP620" s="83"/>
      <c r="BQZ620" s="83"/>
      <c r="BRJ620" s="83"/>
      <c r="BRT620" s="83"/>
      <c r="BSD620" s="83"/>
      <c r="BSN620" s="83"/>
      <c r="BSX620" s="83"/>
      <c r="BTH620" s="83"/>
      <c r="BTR620" s="83"/>
      <c r="BUB620" s="83"/>
      <c r="BUL620" s="83"/>
      <c r="BUV620" s="83"/>
      <c r="BVF620" s="83"/>
      <c r="BVP620" s="83"/>
      <c r="BVZ620" s="83"/>
      <c r="BWJ620" s="83"/>
      <c r="BWT620" s="83"/>
      <c r="BXD620" s="83"/>
      <c r="BXN620" s="83"/>
      <c r="BXX620" s="83"/>
      <c r="BYH620" s="83"/>
      <c r="BYR620" s="83"/>
      <c r="BZB620" s="83"/>
      <c r="BZL620" s="83"/>
      <c r="BZV620" s="83"/>
      <c r="CAF620" s="83"/>
      <c r="CAP620" s="83"/>
      <c r="CAZ620" s="83"/>
      <c r="CBJ620" s="83"/>
      <c r="CBT620" s="83"/>
      <c r="CCD620" s="83"/>
      <c r="CCN620" s="83"/>
      <c r="CCX620" s="83"/>
      <c r="CDH620" s="83"/>
      <c r="CDR620" s="83"/>
      <c r="CEB620" s="83"/>
      <c r="CEL620" s="83"/>
      <c r="CEV620" s="83"/>
      <c r="CFF620" s="83"/>
      <c r="CFP620" s="83"/>
      <c r="CFZ620" s="83"/>
      <c r="CGJ620" s="83"/>
      <c r="CGT620" s="83"/>
      <c r="CHD620" s="83"/>
      <c r="CHN620" s="83"/>
      <c r="CHX620" s="83"/>
      <c r="CIH620" s="83"/>
      <c r="CIR620" s="83"/>
      <c r="CJB620" s="83"/>
      <c r="CJL620" s="83"/>
      <c r="CJV620" s="83"/>
      <c r="CKF620" s="83"/>
      <c r="CKP620" s="83"/>
      <c r="CKZ620" s="83"/>
      <c r="CLJ620" s="83"/>
      <c r="CLT620" s="83"/>
      <c r="CMD620" s="83"/>
      <c r="CMN620" s="83"/>
      <c r="CMX620" s="83"/>
      <c r="CNH620" s="83"/>
      <c r="CNR620" s="83"/>
      <c r="COB620" s="83"/>
      <c r="COL620" s="83"/>
      <c r="COV620" s="83"/>
      <c r="CPF620" s="83"/>
      <c r="CPP620" s="83"/>
      <c r="CPZ620" s="83"/>
      <c r="CQJ620" s="83"/>
      <c r="CQT620" s="83"/>
      <c r="CRD620" s="83"/>
      <c r="CRN620" s="83"/>
      <c r="CRX620" s="83"/>
      <c r="CSH620" s="83"/>
      <c r="CSR620" s="83"/>
      <c r="CTB620" s="83"/>
      <c r="CTL620" s="83"/>
      <c r="CTV620" s="83"/>
    </row>
    <row r="621" s="58" customFormat="1" customHeight="1" spans="1:1020 1030:2040 2050:2570">
      <c r="A621" s="87"/>
      <c r="B621" s="94"/>
      <c r="C621" s="95"/>
      <c r="D621" s="75"/>
      <c r="E621" s="75"/>
      <c r="F621" s="77"/>
      <c r="G621" s="75"/>
      <c r="H621" s="77"/>
      <c r="I621" s="77"/>
      <c r="J621" s="75"/>
      <c r="K621" s="78"/>
      <c r="T621" s="83"/>
      <c r="AD621" s="83"/>
      <c r="AN621" s="83"/>
      <c r="AX621" s="83"/>
      <c r="BH621" s="83"/>
      <c r="BR621" s="83"/>
      <c r="CB621" s="83"/>
      <c r="CL621" s="83"/>
      <c r="CV621" s="83"/>
      <c r="DF621" s="83"/>
      <c r="DP621" s="83"/>
      <c r="DZ621" s="83"/>
      <c r="EJ621" s="83"/>
      <c r="ET621" s="83"/>
      <c r="FD621" s="83"/>
      <c r="FN621" s="83"/>
      <c r="FX621" s="83"/>
      <c r="GH621" s="83"/>
      <c r="GR621" s="83"/>
      <c r="HB621" s="83"/>
      <c r="HL621" s="83"/>
      <c r="HV621" s="83"/>
      <c r="IF621" s="83"/>
      <c r="IP621" s="83"/>
      <c r="IZ621" s="83"/>
      <c r="JJ621" s="83"/>
      <c r="JT621" s="83"/>
      <c r="KD621" s="83"/>
      <c r="KN621" s="83"/>
      <c r="KX621" s="83"/>
      <c r="LH621" s="83"/>
      <c r="LR621" s="83"/>
      <c r="MB621" s="83"/>
      <c r="ML621" s="83"/>
      <c r="MV621" s="83"/>
      <c r="NF621" s="83"/>
      <c r="NP621" s="83"/>
      <c r="NZ621" s="83"/>
      <c r="OJ621" s="83"/>
      <c r="OT621" s="83"/>
      <c r="PD621" s="83"/>
      <c r="PN621" s="83"/>
      <c r="PX621" s="83"/>
      <c r="QH621" s="83"/>
      <c r="QR621" s="83"/>
      <c r="RB621" s="83"/>
      <c r="RL621" s="83"/>
      <c r="RV621" s="83"/>
      <c r="SF621" s="83"/>
      <c r="SP621" s="83"/>
      <c r="SZ621" s="83"/>
      <c r="TJ621" s="83"/>
      <c r="TT621" s="83"/>
      <c r="UD621" s="83"/>
      <c r="UN621" s="83"/>
      <c r="UX621" s="83"/>
      <c r="VH621" s="83"/>
      <c r="VR621" s="83"/>
      <c r="WB621" s="83"/>
      <c r="WL621" s="83"/>
      <c r="WV621" s="83"/>
      <c r="XF621" s="83"/>
      <c r="XP621" s="83"/>
      <c r="XZ621" s="83"/>
      <c r="YJ621" s="83"/>
      <c r="YT621" s="83"/>
      <c r="ZD621" s="83"/>
      <c r="ZN621" s="83"/>
      <c r="ZX621" s="83"/>
      <c r="AAH621" s="83"/>
      <c r="AAR621" s="83"/>
      <c r="ABB621" s="83"/>
      <c r="ABL621" s="83"/>
      <c r="ABV621" s="83"/>
      <c r="ACF621" s="83"/>
      <c r="ACP621" s="83"/>
      <c r="ACZ621" s="83"/>
      <c r="ADJ621" s="83"/>
      <c r="ADT621" s="83"/>
      <c r="AED621" s="83"/>
      <c r="AEN621" s="83"/>
      <c r="AEX621" s="83"/>
      <c r="AFH621" s="83"/>
      <c r="AFR621" s="83"/>
      <c r="AGB621" s="83"/>
      <c r="AGL621" s="83"/>
      <c r="AGV621" s="83"/>
      <c r="AHF621" s="83"/>
      <c r="AHP621" s="83"/>
      <c r="AHZ621" s="83"/>
      <c r="AIJ621" s="83"/>
      <c r="AIT621" s="83"/>
      <c r="AJD621" s="83"/>
      <c r="AJN621" s="83"/>
      <c r="AJX621" s="83"/>
      <c r="AKH621" s="83"/>
      <c r="AKR621" s="83"/>
      <c r="ALB621" s="83"/>
      <c r="ALL621" s="83"/>
      <c r="ALV621" s="83"/>
      <c r="AMF621" s="83"/>
      <c r="AMP621" s="83"/>
      <c r="AMZ621" s="83"/>
      <c r="ANJ621" s="83"/>
      <c r="ANT621" s="83"/>
      <c r="AOD621" s="83"/>
      <c r="AON621" s="83"/>
      <c r="AOX621" s="83"/>
      <c r="APH621" s="83"/>
      <c r="APR621" s="83"/>
      <c r="AQB621" s="83"/>
      <c r="AQL621" s="83"/>
      <c r="AQV621" s="83"/>
      <c r="ARF621" s="83"/>
      <c r="ARP621" s="83"/>
      <c r="ARZ621" s="83"/>
      <c r="ASJ621" s="83"/>
      <c r="AST621" s="83"/>
      <c r="ATD621" s="83"/>
      <c r="ATN621" s="83"/>
      <c r="ATX621" s="83"/>
      <c r="AUH621" s="83"/>
      <c r="AUR621" s="83"/>
      <c r="AVB621" s="83"/>
      <c r="AVL621" s="83"/>
      <c r="AVV621" s="83"/>
      <c r="AWF621" s="83"/>
      <c r="AWP621" s="83"/>
      <c r="AWZ621" s="83"/>
      <c r="AXJ621" s="83"/>
      <c r="AXT621" s="83"/>
      <c r="AYD621" s="83"/>
      <c r="AYN621" s="83"/>
      <c r="AYX621" s="83"/>
      <c r="AZH621" s="83"/>
      <c r="AZR621" s="83"/>
      <c r="BAB621" s="83"/>
      <c r="BAL621" s="83"/>
      <c r="BAV621" s="83"/>
      <c r="BBF621" s="83"/>
      <c r="BBP621" s="83"/>
      <c r="BBZ621" s="83"/>
      <c r="BCJ621" s="83"/>
      <c r="BCT621" s="83"/>
      <c r="BDD621" s="83"/>
      <c r="BDN621" s="83"/>
      <c r="BDX621" s="83"/>
      <c r="BEH621" s="83"/>
      <c r="BER621" s="83"/>
      <c r="BFB621" s="83"/>
      <c r="BFL621" s="83"/>
      <c r="BFV621" s="83"/>
      <c r="BGF621" s="83"/>
      <c r="BGP621" s="83"/>
      <c r="BGZ621" s="83"/>
      <c r="BHJ621" s="83"/>
      <c r="BHT621" s="83"/>
      <c r="BID621" s="83"/>
      <c r="BIN621" s="83"/>
      <c r="BIX621" s="83"/>
      <c r="BJH621" s="83"/>
      <c r="BJR621" s="83"/>
      <c r="BKB621" s="83"/>
      <c r="BKL621" s="83"/>
      <c r="BKV621" s="83"/>
      <c r="BLF621" s="83"/>
      <c r="BLP621" s="83"/>
      <c r="BLZ621" s="83"/>
      <c r="BMJ621" s="83"/>
      <c r="BMT621" s="83"/>
      <c r="BND621" s="83"/>
      <c r="BNN621" s="83"/>
      <c r="BNX621" s="83"/>
      <c r="BOH621" s="83"/>
      <c r="BOR621" s="83"/>
      <c r="BPB621" s="83"/>
      <c r="BPL621" s="83"/>
      <c r="BPV621" s="83"/>
      <c r="BQF621" s="83"/>
      <c r="BQP621" s="83"/>
      <c r="BQZ621" s="83"/>
      <c r="BRJ621" s="83"/>
      <c r="BRT621" s="83"/>
      <c r="BSD621" s="83"/>
      <c r="BSN621" s="83"/>
      <c r="BSX621" s="83"/>
      <c r="BTH621" s="83"/>
      <c r="BTR621" s="83"/>
      <c r="BUB621" s="83"/>
      <c r="BUL621" s="83"/>
      <c r="BUV621" s="83"/>
      <c r="BVF621" s="83"/>
      <c r="BVP621" s="83"/>
      <c r="BVZ621" s="83"/>
      <c r="BWJ621" s="83"/>
      <c r="BWT621" s="83"/>
      <c r="BXD621" s="83"/>
      <c r="BXN621" s="83"/>
      <c r="BXX621" s="83"/>
      <c r="BYH621" s="83"/>
      <c r="BYR621" s="83"/>
      <c r="BZB621" s="83"/>
      <c r="BZL621" s="83"/>
      <c r="BZV621" s="83"/>
      <c r="CAF621" s="83"/>
      <c r="CAP621" s="83"/>
      <c r="CAZ621" s="83"/>
      <c r="CBJ621" s="83"/>
      <c r="CBT621" s="83"/>
      <c r="CCD621" s="83"/>
      <c r="CCN621" s="83"/>
      <c r="CCX621" s="83"/>
      <c r="CDH621" s="83"/>
      <c r="CDR621" s="83"/>
      <c r="CEB621" s="83"/>
      <c r="CEL621" s="83"/>
      <c r="CEV621" s="83"/>
      <c r="CFF621" s="83"/>
      <c r="CFP621" s="83"/>
      <c r="CFZ621" s="83"/>
      <c r="CGJ621" s="83"/>
      <c r="CGT621" s="83"/>
      <c r="CHD621" s="83"/>
      <c r="CHN621" s="83"/>
      <c r="CHX621" s="83"/>
      <c r="CIH621" s="83"/>
      <c r="CIR621" s="83"/>
      <c r="CJB621" s="83"/>
      <c r="CJL621" s="83"/>
      <c r="CJV621" s="83"/>
      <c r="CKF621" s="83"/>
      <c r="CKP621" s="83"/>
      <c r="CKZ621" s="83"/>
      <c r="CLJ621" s="83"/>
      <c r="CLT621" s="83"/>
      <c r="CMD621" s="83"/>
      <c r="CMN621" s="83"/>
      <c r="CMX621" s="83"/>
      <c r="CNH621" s="83"/>
      <c r="CNR621" s="83"/>
      <c r="COB621" s="83"/>
      <c r="COL621" s="83"/>
      <c r="COV621" s="83"/>
      <c r="CPF621" s="83"/>
      <c r="CPP621" s="83"/>
      <c r="CPZ621" s="83"/>
      <c r="CQJ621" s="83"/>
      <c r="CQT621" s="83"/>
      <c r="CRD621" s="83"/>
      <c r="CRN621" s="83"/>
      <c r="CRX621" s="83"/>
      <c r="CSH621" s="83"/>
      <c r="CSR621" s="83"/>
      <c r="CTB621" s="83"/>
      <c r="CTL621" s="83"/>
      <c r="CTV621" s="83"/>
    </row>
    <row r="622" s="58" customFormat="1" customHeight="1" spans="1:1020 1030:2040 2050:2570">
      <c r="A622" s="87"/>
      <c r="B622" s="94"/>
      <c r="C622" s="95"/>
      <c r="D622" s="75"/>
      <c r="E622" s="75"/>
      <c r="F622" s="77"/>
      <c r="G622" s="75"/>
      <c r="H622" s="77"/>
      <c r="I622" s="77"/>
      <c r="J622" s="75"/>
      <c r="K622" s="78"/>
      <c r="T622" s="83"/>
      <c r="AD622" s="83"/>
      <c r="AN622" s="83"/>
      <c r="AX622" s="83"/>
      <c r="BH622" s="83"/>
      <c r="BR622" s="83"/>
      <c r="CB622" s="83"/>
      <c r="CL622" s="83"/>
      <c r="CV622" s="83"/>
      <c r="DF622" s="83"/>
      <c r="DP622" s="83"/>
      <c r="DZ622" s="83"/>
      <c r="EJ622" s="83"/>
      <c r="ET622" s="83"/>
      <c r="FD622" s="83"/>
      <c r="FN622" s="83"/>
      <c r="FX622" s="83"/>
      <c r="GH622" s="83"/>
      <c r="GR622" s="83"/>
      <c r="HB622" s="83"/>
      <c r="HL622" s="83"/>
      <c r="HV622" s="83"/>
      <c r="IF622" s="83"/>
      <c r="IP622" s="83"/>
      <c r="IZ622" s="83"/>
      <c r="JJ622" s="83"/>
      <c r="JT622" s="83"/>
      <c r="KD622" s="83"/>
      <c r="KN622" s="83"/>
      <c r="KX622" s="83"/>
      <c r="LH622" s="83"/>
      <c r="LR622" s="83"/>
      <c r="MB622" s="83"/>
      <c r="ML622" s="83"/>
      <c r="MV622" s="83"/>
      <c r="NF622" s="83"/>
      <c r="NP622" s="83"/>
      <c r="NZ622" s="83"/>
      <c r="OJ622" s="83"/>
      <c r="OT622" s="83"/>
      <c r="PD622" s="83"/>
      <c r="PN622" s="83"/>
      <c r="PX622" s="83"/>
      <c r="QH622" s="83"/>
      <c r="QR622" s="83"/>
      <c r="RB622" s="83"/>
      <c r="RL622" s="83"/>
      <c r="RV622" s="83"/>
      <c r="SF622" s="83"/>
      <c r="SP622" s="83"/>
      <c r="SZ622" s="83"/>
      <c r="TJ622" s="83"/>
      <c r="TT622" s="83"/>
      <c r="UD622" s="83"/>
      <c r="UN622" s="83"/>
      <c r="UX622" s="83"/>
      <c r="VH622" s="83"/>
      <c r="VR622" s="83"/>
      <c r="WB622" s="83"/>
      <c r="WL622" s="83"/>
      <c r="WV622" s="83"/>
      <c r="XF622" s="83"/>
      <c r="XP622" s="83"/>
      <c r="XZ622" s="83"/>
      <c r="YJ622" s="83"/>
      <c r="YT622" s="83"/>
      <c r="ZD622" s="83"/>
      <c r="ZN622" s="83"/>
      <c r="ZX622" s="83"/>
      <c r="AAH622" s="83"/>
      <c r="AAR622" s="83"/>
      <c r="ABB622" s="83"/>
      <c r="ABL622" s="83"/>
      <c r="ABV622" s="83"/>
      <c r="ACF622" s="83"/>
      <c r="ACP622" s="83"/>
      <c r="ACZ622" s="83"/>
      <c r="ADJ622" s="83"/>
      <c r="ADT622" s="83"/>
      <c r="AED622" s="83"/>
      <c r="AEN622" s="83"/>
      <c r="AEX622" s="83"/>
      <c r="AFH622" s="83"/>
      <c r="AFR622" s="83"/>
      <c r="AGB622" s="83"/>
      <c r="AGL622" s="83"/>
      <c r="AGV622" s="83"/>
      <c r="AHF622" s="83"/>
      <c r="AHP622" s="83"/>
      <c r="AHZ622" s="83"/>
      <c r="AIJ622" s="83"/>
      <c r="AIT622" s="83"/>
      <c r="AJD622" s="83"/>
      <c r="AJN622" s="83"/>
      <c r="AJX622" s="83"/>
      <c r="AKH622" s="83"/>
      <c r="AKR622" s="83"/>
      <c r="ALB622" s="83"/>
      <c r="ALL622" s="83"/>
      <c r="ALV622" s="83"/>
      <c r="AMF622" s="83"/>
      <c r="AMP622" s="83"/>
      <c r="AMZ622" s="83"/>
      <c r="ANJ622" s="83"/>
      <c r="ANT622" s="83"/>
      <c r="AOD622" s="83"/>
      <c r="AON622" s="83"/>
      <c r="AOX622" s="83"/>
      <c r="APH622" s="83"/>
      <c r="APR622" s="83"/>
      <c r="AQB622" s="83"/>
      <c r="AQL622" s="83"/>
      <c r="AQV622" s="83"/>
      <c r="ARF622" s="83"/>
      <c r="ARP622" s="83"/>
      <c r="ARZ622" s="83"/>
      <c r="ASJ622" s="83"/>
      <c r="AST622" s="83"/>
      <c r="ATD622" s="83"/>
      <c r="ATN622" s="83"/>
      <c r="ATX622" s="83"/>
      <c r="AUH622" s="83"/>
      <c r="AUR622" s="83"/>
      <c r="AVB622" s="83"/>
      <c r="AVL622" s="83"/>
      <c r="AVV622" s="83"/>
      <c r="AWF622" s="83"/>
      <c r="AWP622" s="83"/>
      <c r="AWZ622" s="83"/>
      <c r="AXJ622" s="83"/>
      <c r="AXT622" s="83"/>
      <c r="AYD622" s="83"/>
      <c r="AYN622" s="83"/>
      <c r="AYX622" s="83"/>
      <c r="AZH622" s="83"/>
      <c r="AZR622" s="83"/>
      <c r="BAB622" s="83"/>
      <c r="BAL622" s="83"/>
      <c r="BAV622" s="83"/>
      <c r="BBF622" s="83"/>
      <c r="BBP622" s="83"/>
      <c r="BBZ622" s="83"/>
      <c r="BCJ622" s="83"/>
      <c r="BCT622" s="83"/>
      <c r="BDD622" s="83"/>
      <c r="BDN622" s="83"/>
      <c r="BDX622" s="83"/>
      <c r="BEH622" s="83"/>
      <c r="BER622" s="83"/>
      <c r="BFB622" s="83"/>
      <c r="BFL622" s="83"/>
      <c r="BFV622" s="83"/>
      <c r="BGF622" s="83"/>
      <c r="BGP622" s="83"/>
      <c r="BGZ622" s="83"/>
      <c r="BHJ622" s="83"/>
      <c r="BHT622" s="83"/>
      <c r="BID622" s="83"/>
      <c r="BIN622" s="83"/>
      <c r="BIX622" s="83"/>
      <c r="BJH622" s="83"/>
      <c r="BJR622" s="83"/>
      <c r="BKB622" s="83"/>
      <c r="BKL622" s="83"/>
      <c r="BKV622" s="83"/>
      <c r="BLF622" s="83"/>
      <c r="BLP622" s="83"/>
      <c r="BLZ622" s="83"/>
      <c r="BMJ622" s="83"/>
      <c r="BMT622" s="83"/>
      <c r="BND622" s="83"/>
      <c r="BNN622" s="83"/>
      <c r="BNX622" s="83"/>
      <c r="BOH622" s="83"/>
      <c r="BOR622" s="83"/>
      <c r="BPB622" s="83"/>
      <c r="BPL622" s="83"/>
      <c r="BPV622" s="83"/>
      <c r="BQF622" s="83"/>
      <c r="BQP622" s="83"/>
      <c r="BQZ622" s="83"/>
      <c r="BRJ622" s="83"/>
      <c r="BRT622" s="83"/>
      <c r="BSD622" s="83"/>
      <c r="BSN622" s="83"/>
      <c r="BSX622" s="83"/>
      <c r="BTH622" s="83"/>
      <c r="BTR622" s="83"/>
      <c r="BUB622" s="83"/>
      <c r="BUL622" s="83"/>
      <c r="BUV622" s="83"/>
      <c r="BVF622" s="83"/>
      <c r="BVP622" s="83"/>
      <c r="BVZ622" s="83"/>
      <c r="BWJ622" s="83"/>
      <c r="BWT622" s="83"/>
      <c r="BXD622" s="83"/>
      <c r="BXN622" s="83"/>
      <c r="BXX622" s="83"/>
      <c r="BYH622" s="83"/>
      <c r="BYR622" s="83"/>
      <c r="BZB622" s="83"/>
      <c r="BZL622" s="83"/>
      <c r="BZV622" s="83"/>
      <c r="CAF622" s="83"/>
      <c r="CAP622" s="83"/>
      <c r="CAZ622" s="83"/>
      <c r="CBJ622" s="83"/>
      <c r="CBT622" s="83"/>
      <c r="CCD622" s="83"/>
      <c r="CCN622" s="83"/>
      <c r="CCX622" s="83"/>
      <c r="CDH622" s="83"/>
      <c r="CDR622" s="83"/>
      <c r="CEB622" s="83"/>
      <c r="CEL622" s="83"/>
      <c r="CEV622" s="83"/>
      <c r="CFF622" s="83"/>
      <c r="CFP622" s="83"/>
      <c r="CFZ622" s="83"/>
      <c r="CGJ622" s="83"/>
      <c r="CGT622" s="83"/>
      <c r="CHD622" s="83"/>
      <c r="CHN622" s="83"/>
      <c r="CHX622" s="83"/>
      <c r="CIH622" s="83"/>
      <c r="CIR622" s="83"/>
      <c r="CJB622" s="83"/>
      <c r="CJL622" s="83"/>
      <c r="CJV622" s="83"/>
      <c r="CKF622" s="83"/>
      <c r="CKP622" s="83"/>
      <c r="CKZ622" s="83"/>
      <c r="CLJ622" s="83"/>
      <c r="CLT622" s="83"/>
      <c r="CMD622" s="83"/>
      <c r="CMN622" s="83"/>
      <c r="CMX622" s="83"/>
      <c r="CNH622" s="83"/>
      <c r="CNR622" s="83"/>
      <c r="COB622" s="83"/>
      <c r="COL622" s="83"/>
      <c r="COV622" s="83"/>
      <c r="CPF622" s="83"/>
      <c r="CPP622" s="83"/>
      <c r="CPZ622" s="83"/>
      <c r="CQJ622" s="83"/>
      <c r="CQT622" s="83"/>
      <c r="CRD622" s="83"/>
      <c r="CRN622" s="83"/>
      <c r="CRX622" s="83"/>
      <c r="CSH622" s="83"/>
      <c r="CSR622" s="83"/>
      <c r="CTB622" s="83"/>
      <c r="CTL622" s="83"/>
      <c r="CTV622" s="83"/>
    </row>
    <row r="623" s="58" customFormat="1" customHeight="1" spans="1:1020 1030:2040 2050:2570">
      <c r="A623" s="87"/>
      <c r="B623" s="94"/>
      <c r="C623" s="95"/>
      <c r="D623" s="75"/>
      <c r="E623" s="75"/>
      <c r="F623" s="77"/>
      <c r="G623" s="75"/>
      <c r="H623" s="77"/>
      <c r="I623" s="77"/>
      <c r="J623" s="75"/>
      <c r="K623" s="78"/>
      <c r="T623" s="83"/>
      <c r="AD623" s="83"/>
      <c r="AN623" s="83"/>
      <c r="AX623" s="83"/>
      <c r="BH623" s="83"/>
      <c r="BR623" s="83"/>
      <c r="CB623" s="83"/>
      <c r="CL623" s="83"/>
      <c r="CV623" s="83"/>
      <c r="DF623" s="83"/>
      <c r="DP623" s="83"/>
      <c r="DZ623" s="83"/>
      <c r="EJ623" s="83"/>
      <c r="ET623" s="83"/>
      <c r="FD623" s="83"/>
      <c r="FN623" s="83"/>
      <c r="FX623" s="83"/>
      <c r="GH623" s="83"/>
      <c r="GR623" s="83"/>
      <c r="HB623" s="83"/>
      <c r="HL623" s="83"/>
      <c r="HV623" s="83"/>
      <c r="IF623" s="83"/>
      <c r="IP623" s="83"/>
      <c r="IZ623" s="83"/>
      <c r="JJ623" s="83"/>
      <c r="JT623" s="83"/>
      <c r="KD623" s="83"/>
      <c r="KN623" s="83"/>
      <c r="KX623" s="83"/>
      <c r="LH623" s="83"/>
      <c r="LR623" s="83"/>
      <c r="MB623" s="83"/>
      <c r="ML623" s="83"/>
      <c r="MV623" s="83"/>
      <c r="NF623" s="83"/>
      <c r="NP623" s="83"/>
      <c r="NZ623" s="83"/>
      <c r="OJ623" s="83"/>
      <c r="OT623" s="83"/>
      <c r="PD623" s="83"/>
      <c r="PN623" s="83"/>
      <c r="PX623" s="83"/>
      <c r="QH623" s="83"/>
      <c r="QR623" s="83"/>
      <c r="RB623" s="83"/>
      <c r="RL623" s="83"/>
      <c r="RV623" s="83"/>
      <c r="SF623" s="83"/>
      <c r="SP623" s="83"/>
      <c r="SZ623" s="83"/>
      <c r="TJ623" s="83"/>
      <c r="TT623" s="83"/>
      <c r="UD623" s="83"/>
      <c r="UN623" s="83"/>
      <c r="UX623" s="83"/>
      <c r="VH623" s="83"/>
      <c r="VR623" s="83"/>
      <c r="WB623" s="83"/>
      <c r="WL623" s="83"/>
      <c r="WV623" s="83"/>
      <c r="XF623" s="83"/>
      <c r="XP623" s="83"/>
      <c r="XZ623" s="83"/>
      <c r="YJ623" s="83"/>
      <c r="YT623" s="83"/>
      <c r="ZD623" s="83"/>
      <c r="ZN623" s="83"/>
      <c r="ZX623" s="83"/>
      <c r="AAH623" s="83"/>
      <c r="AAR623" s="83"/>
      <c r="ABB623" s="83"/>
      <c r="ABL623" s="83"/>
      <c r="ABV623" s="83"/>
      <c r="ACF623" s="83"/>
      <c r="ACP623" s="83"/>
      <c r="ACZ623" s="83"/>
      <c r="ADJ623" s="83"/>
      <c r="ADT623" s="83"/>
      <c r="AED623" s="83"/>
      <c r="AEN623" s="83"/>
      <c r="AEX623" s="83"/>
      <c r="AFH623" s="83"/>
      <c r="AFR623" s="83"/>
      <c r="AGB623" s="83"/>
      <c r="AGL623" s="83"/>
      <c r="AGV623" s="83"/>
      <c r="AHF623" s="83"/>
      <c r="AHP623" s="83"/>
      <c r="AHZ623" s="83"/>
      <c r="AIJ623" s="83"/>
      <c r="AIT623" s="83"/>
      <c r="AJD623" s="83"/>
      <c r="AJN623" s="83"/>
      <c r="AJX623" s="83"/>
      <c r="AKH623" s="83"/>
      <c r="AKR623" s="83"/>
      <c r="ALB623" s="83"/>
      <c r="ALL623" s="83"/>
      <c r="ALV623" s="83"/>
      <c r="AMF623" s="83"/>
      <c r="AMP623" s="83"/>
      <c r="AMZ623" s="83"/>
      <c r="ANJ623" s="83"/>
      <c r="ANT623" s="83"/>
      <c r="AOD623" s="83"/>
      <c r="AON623" s="83"/>
      <c r="AOX623" s="83"/>
      <c r="APH623" s="83"/>
      <c r="APR623" s="83"/>
      <c r="AQB623" s="83"/>
      <c r="AQL623" s="83"/>
      <c r="AQV623" s="83"/>
      <c r="ARF623" s="83"/>
      <c r="ARP623" s="83"/>
      <c r="ARZ623" s="83"/>
      <c r="ASJ623" s="83"/>
      <c r="AST623" s="83"/>
      <c r="ATD623" s="83"/>
      <c r="ATN623" s="83"/>
      <c r="ATX623" s="83"/>
      <c r="AUH623" s="83"/>
      <c r="AUR623" s="83"/>
      <c r="AVB623" s="83"/>
      <c r="AVL623" s="83"/>
      <c r="AVV623" s="83"/>
      <c r="AWF623" s="83"/>
      <c r="AWP623" s="83"/>
      <c r="AWZ623" s="83"/>
      <c r="AXJ623" s="83"/>
      <c r="AXT623" s="83"/>
      <c r="AYD623" s="83"/>
      <c r="AYN623" s="83"/>
      <c r="AYX623" s="83"/>
      <c r="AZH623" s="83"/>
      <c r="AZR623" s="83"/>
      <c r="BAB623" s="83"/>
      <c r="BAL623" s="83"/>
      <c r="BAV623" s="83"/>
      <c r="BBF623" s="83"/>
      <c r="BBP623" s="83"/>
      <c r="BBZ623" s="83"/>
      <c r="BCJ623" s="83"/>
      <c r="BCT623" s="83"/>
      <c r="BDD623" s="83"/>
      <c r="BDN623" s="83"/>
      <c r="BDX623" s="83"/>
      <c r="BEH623" s="83"/>
      <c r="BER623" s="83"/>
      <c r="BFB623" s="83"/>
      <c r="BFL623" s="83"/>
      <c r="BFV623" s="83"/>
      <c r="BGF623" s="83"/>
      <c r="BGP623" s="83"/>
      <c r="BGZ623" s="83"/>
      <c r="BHJ623" s="83"/>
      <c r="BHT623" s="83"/>
      <c r="BID623" s="83"/>
      <c r="BIN623" s="83"/>
      <c r="BIX623" s="83"/>
      <c r="BJH623" s="83"/>
      <c r="BJR623" s="83"/>
      <c r="BKB623" s="83"/>
      <c r="BKL623" s="83"/>
      <c r="BKV623" s="83"/>
      <c r="BLF623" s="83"/>
      <c r="BLP623" s="83"/>
      <c r="BLZ623" s="83"/>
      <c r="BMJ623" s="83"/>
      <c r="BMT623" s="83"/>
      <c r="BND623" s="83"/>
      <c r="BNN623" s="83"/>
      <c r="BNX623" s="83"/>
      <c r="BOH623" s="83"/>
      <c r="BOR623" s="83"/>
      <c r="BPB623" s="83"/>
      <c r="BPL623" s="83"/>
      <c r="BPV623" s="83"/>
      <c r="BQF623" s="83"/>
      <c r="BQP623" s="83"/>
      <c r="BQZ623" s="83"/>
      <c r="BRJ623" s="83"/>
      <c r="BRT623" s="83"/>
      <c r="BSD623" s="83"/>
      <c r="BSN623" s="83"/>
      <c r="BSX623" s="83"/>
      <c r="BTH623" s="83"/>
      <c r="BTR623" s="83"/>
      <c r="BUB623" s="83"/>
      <c r="BUL623" s="83"/>
      <c r="BUV623" s="83"/>
      <c r="BVF623" s="83"/>
      <c r="BVP623" s="83"/>
      <c r="BVZ623" s="83"/>
      <c r="BWJ623" s="83"/>
      <c r="BWT623" s="83"/>
      <c r="BXD623" s="83"/>
      <c r="BXN623" s="83"/>
      <c r="BXX623" s="83"/>
      <c r="BYH623" s="83"/>
      <c r="BYR623" s="83"/>
      <c r="BZB623" s="83"/>
      <c r="BZL623" s="83"/>
      <c r="BZV623" s="83"/>
      <c r="CAF623" s="83"/>
      <c r="CAP623" s="83"/>
      <c r="CAZ623" s="83"/>
      <c r="CBJ623" s="83"/>
      <c r="CBT623" s="83"/>
      <c r="CCD623" s="83"/>
      <c r="CCN623" s="83"/>
      <c r="CCX623" s="83"/>
      <c r="CDH623" s="83"/>
      <c r="CDR623" s="83"/>
      <c r="CEB623" s="83"/>
      <c r="CEL623" s="83"/>
      <c r="CEV623" s="83"/>
      <c r="CFF623" s="83"/>
      <c r="CFP623" s="83"/>
      <c r="CFZ623" s="83"/>
      <c r="CGJ623" s="83"/>
      <c r="CGT623" s="83"/>
      <c r="CHD623" s="83"/>
      <c r="CHN623" s="83"/>
      <c r="CHX623" s="83"/>
      <c r="CIH623" s="83"/>
      <c r="CIR623" s="83"/>
      <c r="CJB623" s="83"/>
      <c r="CJL623" s="83"/>
      <c r="CJV623" s="83"/>
      <c r="CKF623" s="83"/>
      <c r="CKP623" s="83"/>
      <c r="CKZ623" s="83"/>
      <c r="CLJ623" s="83"/>
      <c r="CLT623" s="83"/>
      <c r="CMD623" s="83"/>
      <c r="CMN623" s="83"/>
      <c r="CMX623" s="83"/>
      <c r="CNH623" s="83"/>
      <c r="CNR623" s="83"/>
      <c r="COB623" s="83"/>
      <c r="COL623" s="83"/>
      <c r="COV623" s="83"/>
      <c r="CPF623" s="83"/>
      <c r="CPP623" s="83"/>
      <c r="CPZ623" s="83"/>
      <c r="CQJ623" s="83"/>
      <c r="CQT623" s="83"/>
      <c r="CRD623" s="83"/>
      <c r="CRN623" s="83"/>
      <c r="CRX623" s="83"/>
      <c r="CSH623" s="83"/>
      <c r="CSR623" s="83"/>
      <c r="CTB623" s="83"/>
      <c r="CTL623" s="83"/>
      <c r="CTV623" s="83"/>
    </row>
    <row r="624" s="61" customFormat="1" ht="19.95" customHeight="1" spans="1:1020 1030:2040 2050:2570">
      <c r="A624" s="105"/>
      <c r="B624" s="106"/>
      <c r="C624" s="106"/>
      <c r="D624" s="106"/>
      <c r="E624" s="106"/>
      <c r="F624" s="107"/>
      <c r="G624" s="106"/>
      <c r="H624" s="108"/>
      <c r="I624" s="107"/>
      <c r="J624" s="109"/>
      <c r="K624" s="110"/>
    </row>
    <row r="625" s="61" customFormat="1" ht="19.95" customHeight="1" spans="1:11">
      <c r="A625" s="105"/>
      <c r="B625" s="106"/>
      <c r="C625" s="106"/>
      <c r="D625" s="106"/>
      <c r="E625" s="106"/>
      <c r="F625" s="107"/>
      <c r="G625" s="106"/>
      <c r="H625" s="108"/>
      <c r="I625" s="107"/>
      <c r="J625" s="109"/>
      <c r="K625" s="110"/>
    </row>
    <row r="626" s="61" customFormat="1" ht="19.95" customHeight="1" spans="1:11">
      <c r="A626" s="105"/>
      <c r="B626" s="106"/>
      <c r="C626" s="106"/>
      <c r="D626" s="106"/>
      <c r="E626" s="106"/>
      <c r="F626" s="107"/>
      <c r="G626" s="106"/>
      <c r="H626" s="108"/>
      <c r="I626" s="107"/>
      <c r="J626" s="109"/>
      <c r="K626" s="110"/>
    </row>
    <row r="627" customHeight="1" spans="1:11">
      <c r="A627" s="72"/>
      <c r="B627" s="73"/>
      <c r="C627" s="74"/>
      <c r="D627" s="74"/>
      <c r="E627" s="75"/>
      <c r="F627" s="76"/>
      <c r="G627" s="74"/>
      <c r="H627" s="77"/>
      <c r="I627" s="77"/>
      <c r="J627" s="74"/>
      <c r="K627" s="78"/>
    </row>
    <row r="628" customHeight="1" spans="1:11">
      <c r="A628" s="72"/>
      <c r="B628" s="73"/>
      <c r="C628" s="74"/>
      <c r="D628" s="74"/>
      <c r="E628" s="75"/>
      <c r="F628" s="76"/>
      <c r="G628" s="74"/>
      <c r="H628" s="77"/>
      <c r="I628" s="77"/>
      <c r="J628" s="74"/>
      <c r="K628" s="78"/>
    </row>
    <row r="629" customHeight="1" spans="1:11">
      <c r="A629" s="72"/>
      <c r="B629" s="73"/>
      <c r="C629" s="74"/>
      <c r="D629" s="74"/>
      <c r="E629" s="75"/>
      <c r="F629" s="76"/>
      <c r="G629" s="74"/>
      <c r="H629" s="77"/>
      <c r="I629" s="77"/>
      <c r="J629" s="74"/>
      <c r="K629" s="78"/>
    </row>
    <row r="630" customHeight="1" spans="1:11">
      <c r="A630" s="72"/>
      <c r="B630" s="73"/>
      <c r="C630" s="74"/>
      <c r="D630" s="74"/>
      <c r="E630" s="75"/>
      <c r="F630" s="76"/>
      <c r="G630" s="74"/>
      <c r="H630" s="77"/>
      <c r="I630" s="77"/>
      <c r="J630" s="74"/>
      <c r="K630" s="78"/>
    </row>
    <row r="631" customHeight="1" spans="1:11">
      <c r="A631" s="72"/>
      <c r="B631" s="73"/>
      <c r="C631" s="74"/>
      <c r="D631" s="74"/>
      <c r="E631" s="75"/>
      <c r="F631" s="76"/>
      <c r="G631" s="74"/>
      <c r="H631" s="77"/>
      <c r="I631" s="77"/>
      <c r="J631" s="74"/>
      <c r="K631" s="78"/>
    </row>
    <row r="632" customHeight="1" spans="1:11">
      <c r="A632" s="72"/>
      <c r="B632" s="73"/>
      <c r="C632" s="74"/>
      <c r="D632" s="74"/>
      <c r="E632" s="75"/>
      <c r="F632" s="76"/>
      <c r="G632" s="74"/>
      <c r="H632" s="77"/>
      <c r="I632" s="77"/>
      <c r="J632" s="74"/>
      <c r="K632" s="78"/>
    </row>
    <row r="633" customHeight="1" spans="1:11">
      <c r="A633" s="72"/>
      <c r="B633" s="73"/>
      <c r="C633" s="74"/>
      <c r="D633" s="74"/>
      <c r="E633" s="75"/>
      <c r="F633" s="76"/>
      <c r="G633" s="74"/>
      <c r="H633" s="77"/>
      <c r="I633" s="77"/>
      <c r="J633" s="74"/>
      <c r="K633" s="78"/>
    </row>
    <row r="634" customHeight="1" spans="1:11">
      <c r="A634" s="72"/>
      <c r="B634" s="73"/>
      <c r="C634" s="74"/>
      <c r="D634" s="74"/>
      <c r="E634" s="75"/>
      <c r="F634" s="76"/>
      <c r="G634" s="74"/>
      <c r="H634" s="77"/>
      <c r="I634" s="77"/>
      <c r="J634" s="74"/>
      <c r="K634" s="78"/>
    </row>
    <row r="635" customHeight="1" spans="1:11">
      <c r="A635" s="72"/>
      <c r="B635" s="73"/>
      <c r="C635" s="74"/>
      <c r="D635" s="74"/>
      <c r="E635" s="75"/>
      <c r="F635" s="76"/>
      <c r="G635" s="74"/>
      <c r="H635" s="77"/>
      <c r="I635" s="77"/>
      <c r="J635" s="74"/>
      <c r="K635" s="78"/>
    </row>
    <row r="636" customHeight="1" spans="1:11">
      <c r="A636" s="72"/>
      <c r="B636" s="73"/>
      <c r="C636" s="74"/>
      <c r="D636" s="74"/>
      <c r="E636" s="75"/>
      <c r="F636" s="76"/>
      <c r="G636" s="74"/>
      <c r="H636" s="77"/>
      <c r="I636" s="77"/>
      <c r="J636" s="74"/>
      <c r="K636" s="78"/>
    </row>
    <row r="637" customHeight="1" spans="1:11">
      <c r="A637" s="72"/>
      <c r="B637" s="73"/>
      <c r="C637" s="74"/>
      <c r="D637" s="74"/>
      <c r="E637" s="75"/>
      <c r="F637" s="76"/>
      <c r="G637" s="74"/>
      <c r="H637" s="77"/>
      <c r="I637" s="77"/>
      <c r="J637" s="74"/>
      <c r="K637" s="78"/>
    </row>
    <row r="638" customHeight="1" spans="1:11">
      <c r="A638" s="72"/>
      <c r="B638" s="73"/>
      <c r="C638" s="74"/>
      <c r="D638" s="74"/>
      <c r="E638" s="75"/>
      <c r="F638" s="76"/>
      <c r="G638" s="74"/>
      <c r="H638" s="77"/>
      <c r="I638" s="77"/>
      <c r="J638" s="74"/>
      <c r="K638" s="78"/>
    </row>
    <row r="639" customHeight="1" spans="1:11">
      <c r="A639" s="72"/>
      <c r="B639" s="73"/>
      <c r="C639" s="74"/>
      <c r="D639" s="74"/>
      <c r="E639" s="75"/>
      <c r="F639" s="76"/>
      <c r="G639" s="74"/>
      <c r="H639" s="77"/>
      <c r="I639" s="77"/>
      <c r="J639" s="74"/>
      <c r="K639" s="78"/>
    </row>
    <row r="640" customHeight="1" spans="1:11">
      <c r="A640" s="72"/>
      <c r="B640" s="73"/>
      <c r="C640" s="74"/>
      <c r="D640" s="74"/>
      <c r="E640" s="75"/>
      <c r="F640" s="76"/>
      <c r="G640" s="74"/>
      <c r="H640" s="77"/>
      <c r="I640" s="77"/>
      <c r="J640" s="74"/>
      <c r="K640" s="78"/>
    </row>
    <row r="641" customHeight="1" spans="1:1020 1030:2040 2050:2570">
      <c r="A641" s="72"/>
      <c r="B641" s="73"/>
      <c r="C641" s="74"/>
      <c r="D641" s="74"/>
      <c r="E641" s="75"/>
      <c r="F641" s="76"/>
      <c r="G641" s="74"/>
      <c r="H641" s="77"/>
      <c r="I641" s="77"/>
      <c r="J641" s="74"/>
      <c r="K641" s="78"/>
    </row>
    <row r="642" customHeight="1" spans="1:1020 1030:2040 2050:2570">
      <c r="A642" s="72"/>
      <c r="B642" s="73"/>
      <c r="C642" s="74"/>
      <c r="D642" s="74"/>
      <c r="E642" s="75"/>
      <c r="F642" s="76"/>
      <c r="G642" s="74"/>
      <c r="H642" s="77"/>
      <c r="I642" s="77"/>
      <c r="J642" s="74"/>
      <c r="K642" s="78"/>
    </row>
    <row r="643" customHeight="1" spans="1:1020 1030:2040 2050:2570">
      <c r="A643" s="72"/>
      <c r="B643" s="73"/>
      <c r="C643" s="74"/>
      <c r="D643" s="74"/>
      <c r="E643" s="75"/>
      <c r="F643" s="76"/>
      <c r="G643" s="74"/>
      <c r="H643" s="77"/>
      <c r="I643" s="77"/>
      <c r="J643" s="74"/>
      <c r="K643" s="78"/>
    </row>
    <row r="644" customHeight="1" spans="1:1020 1030:2040 2050:2570">
      <c r="A644" s="72"/>
      <c r="B644" s="73"/>
      <c r="C644" s="74"/>
      <c r="D644" s="74"/>
      <c r="E644" s="75"/>
      <c r="F644" s="76"/>
      <c r="G644" s="74"/>
      <c r="H644" s="77"/>
      <c r="I644" s="77"/>
      <c r="J644" s="74"/>
      <c r="K644" s="78"/>
    </row>
    <row r="645" customHeight="1" spans="1:1020 1030:2040 2050:2570">
      <c r="A645" s="72"/>
      <c r="B645" s="73"/>
      <c r="C645" s="74"/>
      <c r="D645" s="74"/>
      <c r="E645" s="75"/>
      <c r="F645" s="76"/>
      <c r="G645" s="74"/>
      <c r="H645" s="77"/>
      <c r="I645" s="77"/>
      <c r="J645" s="74"/>
      <c r="K645" s="78"/>
    </row>
    <row r="646" customHeight="1" spans="1:1020 1030:2040 2050:2570">
      <c r="A646" s="72"/>
      <c r="B646" s="73"/>
      <c r="C646" s="74"/>
      <c r="D646" s="74"/>
      <c r="E646" s="75"/>
      <c r="F646" s="76"/>
      <c r="G646" s="74"/>
      <c r="H646" s="77"/>
      <c r="I646" s="77"/>
      <c r="J646" s="74"/>
      <c r="K646" s="78"/>
    </row>
    <row r="647" customHeight="1" spans="1:1020 1030:2040 2050:2570">
      <c r="A647" s="72"/>
      <c r="B647" s="73"/>
      <c r="C647" s="74"/>
      <c r="D647" s="74"/>
      <c r="E647" s="75"/>
      <c r="F647" s="76"/>
      <c r="G647" s="74"/>
      <c r="H647" s="77"/>
      <c r="I647" s="77"/>
      <c r="J647" s="74"/>
      <c r="K647" s="78"/>
    </row>
    <row r="648" customHeight="1" spans="1:1020 1030:2040 2050:2570">
      <c r="A648" s="72"/>
      <c r="B648" s="73"/>
      <c r="C648" s="74"/>
      <c r="D648" s="74"/>
      <c r="E648" s="75"/>
      <c r="F648" s="76"/>
      <c r="G648" s="74"/>
      <c r="H648" s="77"/>
      <c r="I648" s="77"/>
      <c r="J648" s="74"/>
      <c r="K648" s="78"/>
    </row>
    <row r="649" customHeight="1" spans="1:1020 1030:2040 2050:2570">
      <c r="A649" s="72"/>
      <c r="B649" s="73"/>
      <c r="C649" s="74"/>
      <c r="D649" s="74"/>
      <c r="E649" s="75"/>
      <c r="F649" s="76"/>
      <c r="G649" s="74"/>
      <c r="H649" s="77"/>
      <c r="I649" s="77"/>
      <c r="J649" s="74"/>
      <c r="K649" s="78"/>
    </row>
    <row r="650" customHeight="1" spans="1:1020 1030:2040 2050:2570">
      <c r="A650" s="72"/>
      <c r="B650" s="73"/>
      <c r="C650" s="74"/>
      <c r="D650" s="74"/>
      <c r="E650" s="75"/>
      <c r="F650" s="76"/>
      <c r="G650" s="74"/>
      <c r="H650" s="77"/>
      <c r="I650" s="77"/>
      <c r="J650" s="74"/>
      <c r="K650" s="78"/>
    </row>
    <row r="651" customHeight="1" spans="1:1020 1030:2040 2050:2570">
      <c r="A651" s="72"/>
      <c r="B651" s="73"/>
      <c r="C651" s="74"/>
      <c r="D651" s="74"/>
      <c r="E651" s="75"/>
      <c r="F651" s="76"/>
      <c r="G651" s="74"/>
      <c r="H651" s="77"/>
      <c r="I651" s="77"/>
      <c r="J651" s="74"/>
      <c r="K651" s="78"/>
    </row>
    <row r="652" customHeight="1" spans="1:1020 1030:2040 2050:2570">
      <c r="A652" s="72"/>
      <c r="B652" s="73"/>
      <c r="C652" s="74"/>
      <c r="D652" s="74"/>
      <c r="E652" s="75"/>
      <c r="F652" s="76"/>
      <c r="G652" s="74"/>
      <c r="H652" s="77"/>
      <c r="I652" s="77"/>
      <c r="J652" s="74"/>
      <c r="K652" s="78"/>
    </row>
    <row r="653" s="58" customFormat="1" customHeight="1" spans="1:1020 1030:2040 2050:2570">
      <c r="A653" s="87"/>
      <c r="B653" s="97"/>
      <c r="C653" s="85"/>
      <c r="D653" s="75"/>
      <c r="E653" s="98"/>
      <c r="F653" s="91"/>
      <c r="G653" s="75"/>
      <c r="H653" s="77"/>
      <c r="I653" s="77"/>
      <c r="J653" s="75"/>
      <c r="K653" s="78"/>
      <c r="T653" s="83"/>
      <c r="AD653" s="83"/>
      <c r="AN653" s="83"/>
      <c r="AX653" s="83"/>
      <c r="BH653" s="83"/>
      <c r="BR653" s="83"/>
      <c r="CB653" s="83"/>
      <c r="CL653" s="83"/>
      <c r="CV653" s="83"/>
      <c r="DF653" s="83"/>
      <c r="DP653" s="83"/>
      <c r="DZ653" s="83"/>
      <c r="EJ653" s="83"/>
      <c r="ET653" s="83"/>
      <c r="FD653" s="83"/>
      <c r="FN653" s="83"/>
      <c r="FX653" s="83"/>
      <c r="GH653" s="83"/>
      <c r="GR653" s="83"/>
      <c r="HB653" s="83"/>
      <c r="HL653" s="83"/>
      <c r="HV653" s="83"/>
      <c r="IF653" s="83"/>
      <c r="IP653" s="83"/>
      <c r="IZ653" s="83"/>
      <c r="JJ653" s="83"/>
      <c r="JT653" s="83"/>
      <c r="KD653" s="83"/>
      <c r="KN653" s="83"/>
      <c r="KX653" s="83"/>
      <c r="LH653" s="83"/>
      <c r="LR653" s="83"/>
      <c r="MB653" s="83"/>
      <c r="ML653" s="83"/>
      <c r="MV653" s="83"/>
      <c r="NF653" s="83"/>
      <c r="NP653" s="83"/>
      <c r="NZ653" s="83"/>
      <c r="OJ653" s="83"/>
      <c r="OT653" s="83"/>
      <c r="PD653" s="83"/>
      <c r="PN653" s="83"/>
      <c r="PX653" s="83"/>
      <c r="QH653" s="83"/>
      <c r="QR653" s="83"/>
      <c r="RB653" s="83"/>
      <c r="RL653" s="83"/>
      <c r="RV653" s="83"/>
      <c r="SF653" s="83"/>
      <c r="SP653" s="83"/>
      <c r="SZ653" s="83"/>
      <c r="TJ653" s="83"/>
      <c r="TT653" s="83"/>
      <c r="UD653" s="83"/>
      <c r="UN653" s="83"/>
      <c r="UX653" s="83"/>
      <c r="VH653" s="83"/>
      <c r="VR653" s="83"/>
      <c r="WB653" s="83"/>
      <c r="WL653" s="83"/>
      <c r="WV653" s="83"/>
      <c r="XF653" s="83"/>
      <c r="XP653" s="83"/>
      <c r="XZ653" s="83"/>
      <c r="YJ653" s="83"/>
      <c r="YT653" s="83"/>
      <c r="ZD653" s="83"/>
      <c r="ZN653" s="83"/>
      <c r="ZX653" s="83"/>
      <c r="AAH653" s="83"/>
      <c r="AAR653" s="83"/>
      <c r="ABB653" s="83"/>
      <c r="ABL653" s="83"/>
      <c r="ABV653" s="83"/>
      <c r="ACF653" s="83"/>
      <c r="ACP653" s="83"/>
      <c r="ACZ653" s="83"/>
      <c r="ADJ653" s="83"/>
      <c r="ADT653" s="83"/>
      <c r="AED653" s="83"/>
      <c r="AEN653" s="83"/>
      <c r="AEX653" s="83"/>
      <c r="AFH653" s="83"/>
      <c r="AFR653" s="83"/>
      <c r="AGB653" s="83"/>
      <c r="AGL653" s="83"/>
      <c r="AGV653" s="83"/>
      <c r="AHF653" s="83"/>
      <c r="AHP653" s="83"/>
      <c r="AHZ653" s="83"/>
      <c r="AIJ653" s="83"/>
      <c r="AIT653" s="83"/>
      <c r="AJD653" s="83"/>
      <c r="AJN653" s="83"/>
      <c r="AJX653" s="83"/>
      <c r="AKH653" s="83"/>
      <c r="AKR653" s="83"/>
      <c r="ALB653" s="83"/>
      <c r="ALL653" s="83"/>
      <c r="ALV653" s="83"/>
      <c r="AMF653" s="83"/>
      <c r="AMP653" s="83"/>
      <c r="AMZ653" s="83"/>
      <c r="ANJ653" s="83"/>
      <c r="ANT653" s="83"/>
      <c r="AOD653" s="83"/>
      <c r="AON653" s="83"/>
      <c r="AOX653" s="83"/>
      <c r="APH653" s="83"/>
      <c r="APR653" s="83"/>
      <c r="AQB653" s="83"/>
      <c r="AQL653" s="83"/>
      <c r="AQV653" s="83"/>
      <c r="ARF653" s="83"/>
      <c r="ARP653" s="83"/>
      <c r="ARZ653" s="83"/>
      <c r="ASJ653" s="83"/>
      <c r="AST653" s="83"/>
      <c r="ATD653" s="83"/>
      <c r="ATN653" s="83"/>
      <c r="ATX653" s="83"/>
      <c r="AUH653" s="83"/>
      <c r="AUR653" s="83"/>
      <c r="AVB653" s="83"/>
      <c r="AVL653" s="83"/>
      <c r="AVV653" s="83"/>
      <c r="AWF653" s="83"/>
      <c r="AWP653" s="83"/>
      <c r="AWZ653" s="83"/>
      <c r="AXJ653" s="83"/>
      <c r="AXT653" s="83"/>
      <c r="AYD653" s="83"/>
      <c r="AYN653" s="83"/>
      <c r="AYX653" s="83"/>
      <c r="AZH653" s="83"/>
      <c r="AZR653" s="83"/>
      <c r="BAB653" s="83"/>
      <c r="BAL653" s="83"/>
      <c r="BAV653" s="83"/>
      <c r="BBF653" s="83"/>
      <c r="BBP653" s="83"/>
      <c r="BBZ653" s="83"/>
      <c r="BCJ653" s="83"/>
      <c r="BCT653" s="83"/>
      <c r="BDD653" s="83"/>
      <c r="BDN653" s="83"/>
      <c r="BDX653" s="83"/>
      <c r="BEH653" s="83"/>
      <c r="BER653" s="83"/>
      <c r="BFB653" s="83"/>
      <c r="BFL653" s="83"/>
      <c r="BFV653" s="83"/>
      <c r="BGF653" s="83"/>
      <c r="BGP653" s="83"/>
      <c r="BGZ653" s="83"/>
      <c r="BHJ653" s="83"/>
      <c r="BHT653" s="83"/>
      <c r="BID653" s="83"/>
      <c r="BIN653" s="83"/>
      <c r="BIX653" s="83"/>
      <c r="BJH653" s="83"/>
      <c r="BJR653" s="83"/>
      <c r="BKB653" s="83"/>
      <c r="BKL653" s="83"/>
      <c r="BKV653" s="83"/>
      <c r="BLF653" s="83"/>
      <c r="BLP653" s="83"/>
      <c r="BLZ653" s="83"/>
      <c r="BMJ653" s="83"/>
      <c r="BMT653" s="83"/>
      <c r="BND653" s="83"/>
      <c r="BNN653" s="83"/>
      <c r="BNX653" s="83"/>
      <c r="BOH653" s="83"/>
      <c r="BOR653" s="83"/>
      <c r="BPB653" s="83"/>
      <c r="BPL653" s="83"/>
      <c r="BPV653" s="83"/>
      <c r="BQF653" s="83"/>
      <c r="BQP653" s="83"/>
      <c r="BQZ653" s="83"/>
      <c r="BRJ653" s="83"/>
      <c r="BRT653" s="83"/>
      <c r="BSD653" s="83"/>
      <c r="BSN653" s="83"/>
      <c r="BSX653" s="83"/>
      <c r="BTH653" s="83"/>
      <c r="BTR653" s="83"/>
      <c r="BUB653" s="83"/>
      <c r="BUL653" s="83"/>
      <c r="BUV653" s="83"/>
      <c r="BVF653" s="83"/>
      <c r="BVP653" s="83"/>
      <c r="BVZ653" s="83"/>
      <c r="BWJ653" s="83"/>
      <c r="BWT653" s="83"/>
      <c r="BXD653" s="83"/>
      <c r="BXN653" s="83"/>
      <c r="BXX653" s="83"/>
      <c r="BYH653" s="83"/>
      <c r="BYR653" s="83"/>
      <c r="BZB653" s="83"/>
      <c r="BZL653" s="83"/>
      <c r="BZV653" s="83"/>
      <c r="CAF653" s="83"/>
      <c r="CAP653" s="83"/>
      <c r="CAZ653" s="83"/>
      <c r="CBJ653" s="83"/>
      <c r="CBT653" s="83"/>
      <c r="CCD653" s="83"/>
      <c r="CCN653" s="83"/>
      <c r="CCX653" s="83"/>
      <c r="CDH653" s="83"/>
      <c r="CDR653" s="83"/>
      <c r="CEB653" s="83"/>
      <c r="CEL653" s="83"/>
      <c r="CEV653" s="83"/>
      <c r="CFF653" s="83"/>
      <c r="CFP653" s="83"/>
      <c r="CFZ653" s="83"/>
      <c r="CGJ653" s="83"/>
      <c r="CGT653" s="83"/>
      <c r="CHD653" s="83"/>
      <c r="CHN653" s="83"/>
      <c r="CHX653" s="83"/>
      <c r="CIH653" s="83"/>
      <c r="CIR653" s="83"/>
      <c r="CJB653" s="83"/>
      <c r="CJL653" s="83"/>
      <c r="CJV653" s="83"/>
      <c r="CKF653" s="83"/>
      <c r="CKP653" s="83"/>
      <c r="CKZ653" s="83"/>
      <c r="CLJ653" s="83"/>
      <c r="CLT653" s="83"/>
      <c r="CMD653" s="83"/>
      <c r="CMN653" s="83"/>
      <c r="CMX653" s="83"/>
      <c r="CNH653" s="83"/>
      <c r="CNR653" s="83"/>
      <c r="COB653" s="83"/>
      <c r="COL653" s="83"/>
      <c r="COV653" s="83"/>
      <c r="CPF653" s="83"/>
      <c r="CPP653" s="83"/>
      <c r="CPZ653" s="83"/>
      <c r="CQJ653" s="83"/>
      <c r="CQT653" s="83"/>
      <c r="CRD653" s="83"/>
      <c r="CRN653" s="83"/>
      <c r="CRX653" s="83"/>
      <c r="CSH653" s="83"/>
      <c r="CSR653" s="83"/>
      <c r="CTB653" s="83"/>
      <c r="CTL653" s="83"/>
      <c r="CTV653" s="83"/>
    </row>
    <row r="654" s="58" customFormat="1" customHeight="1" spans="1:1020 1030:2040 2050:2570">
      <c r="A654" s="87"/>
      <c r="B654" s="97"/>
      <c r="C654" s="85"/>
      <c r="D654" s="75"/>
      <c r="E654" s="98"/>
      <c r="F654" s="91"/>
      <c r="G654" s="75"/>
      <c r="H654" s="77"/>
      <c r="I654" s="77"/>
      <c r="J654" s="75"/>
      <c r="K654" s="78"/>
      <c r="T654" s="83"/>
      <c r="AD654" s="83"/>
      <c r="AN654" s="83"/>
      <c r="AX654" s="83"/>
      <c r="BH654" s="83"/>
      <c r="BR654" s="83"/>
      <c r="CB654" s="83"/>
      <c r="CL654" s="83"/>
      <c r="CV654" s="83"/>
      <c r="DF654" s="83"/>
      <c r="DP654" s="83"/>
      <c r="DZ654" s="83"/>
      <c r="EJ654" s="83"/>
      <c r="ET654" s="83"/>
      <c r="FD654" s="83"/>
      <c r="FN654" s="83"/>
      <c r="FX654" s="83"/>
      <c r="GH654" s="83"/>
      <c r="GR654" s="83"/>
      <c r="HB654" s="83"/>
      <c r="HL654" s="83"/>
      <c r="HV654" s="83"/>
      <c r="IF654" s="83"/>
      <c r="IP654" s="83"/>
      <c r="IZ654" s="83"/>
      <c r="JJ654" s="83"/>
      <c r="JT654" s="83"/>
      <c r="KD654" s="83"/>
      <c r="KN654" s="83"/>
      <c r="KX654" s="83"/>
      <c r="LH654" s="83"/>
      <c r="LR654" s="83"/>
      <c r="MB654" s="83"/>
      <c r="ML654" s="83"/>
      <c r="MV654" s="83"/>
      <c r="NF654" s="83"/>
      <c r="NP654" s="83"/>
      <c r="NZ654" s="83"/>
      <c r="OJ654" s="83"/>
      <c r="OT654" s="83"/>
      <c r="PD654" s="83"/>
      <c r="PN654" s="83"/>
      <c r="PX654" s="83"/>
      <c r="QH654" s="83"/>
      <c r="QR654" s="83"/>
      <c r="RB654" s="83"/>
      <c r="RL654" s="83"/>
      <c r="RV654" s="83"/>
      <c r="SF654" s="83"/>
      <c r="SP654" s="83"/>
      <c r="SZ654" s="83"/>
      <c r="TJ654" s="83"/>
      <c r="TT654" s="83"/>
      <c r="UD654" s="83"/>
      <c r="UN654" s="83"/>
      <c r="UX654" s="83"/>
      <c r="VH654" s="83"/>
      <c r="VR654" s="83"/>
      <c r="WB654" s="83"/>
      <c r="WL654" s="83"/>
      <c r="WV654" s="83"/>
      <c r="XF654" s="83"/>
      <c r="XP654" s="83"/>
      <c r="XZ654" s="83"/>
      <c r="YJ654" s="83"/>
      <c r="YT654" s="83"/>
      <c r="ZD654" s="83"/>
      <c r="ZN654" s="83"/>
      <c r="ZX654" s="83"/>
      <c r="AAH654" s="83"/>
      <c r="AAR654" s="83"/>
      <c r="ABB654" s="83"/>
      <c r="ABL654" s="83"/>
      <c r="ABV654" s="83"/>
      <c r="ACF654" s="83"/>
      <c r="ACP654" s="83"/>
      <c r="ACZ654" s="83"/>
      <c r="ADJ654" s="83"/>
      <c r="ADT654" s="83"/>
      <c r="AED654" s="83"/>
      <c r="AEN654" s="83"/>
      <c r="AEX654" s="83"/>
      <c r="AFH654" s="83"/>
      <c r="AFR654" s="83"/>
      <c r="AGB654" s="83"/>
      <c r="AGL654" s="83"/>
      <c r="AGV654" s="83"/>
      <c r="AHF654" s="83"/>
      <c r="AHP654" s="83"/>
      <c r="AHZ654" s="83"/>
      <c r="AIJ654" s="83"/>
      <c r="AIT654" s="83"/>
      <c r="AJD654" s="83"/>
      <c r="AJN654" s="83"/>
      <c r="AJX654" s="83"/>
      <c r="AKH654" s="83"/>
      <c r="AKR654" s="83"/>
      <c r="ALB654" s="83"/>
      <c r="ALL654" s="83"/>
      <c r="ALV654" s="83"/>
      <c r="AMF654" s="83"/>
      <c r="AMP654" s="83"/>
      <c r="AMZ654" s="83"/>
      <c r="ANJ654" s="83"/>
      <c r="ANT654" s="83"/>
      <c r="AOD654" s="83"/>
      <c r="AON654" s="83"/>
      <c r="AOX654" s="83"/>
      <c r="APH654" s="83"/>
      <c r="APR654" s="83"/>
      <c r="AQB654" s="83"/>
      <c r="AQL654" s="83"/>
      <c r="AQV654" s="83"/>
      <c r="ARF654" s="83"/>
      <c r="ARP654" s="83"/>
      <c r="ARZ654" s="83"/>
      <c r="ASJ654" s="83"/>
      <c r="AST654" s="83"/>
      <c r="ATD654" s="83"/>
      <c r="ATN654" s="83"/>
      <c r="ATX654" s="83"/>
      <c r="AUH654" s="83"/>
      <c r="AUR654" s="83"/>
      <c r="AVB654" s="83"/>
      <c r="AVL654" s="83"/>
      <c r="AVV654" s="83"/>
      <c r="AWF654" s="83"/>
      <c r="AWP654" s="83"/>
      <c r="AWZ654" s="83"/>
      <c r="AXJ654" s="83"/>
      <c r="AXT654" s="83"/>
      <c r="AYD654" s="83"/>
      <c r="AYN654" s="83"/>
      <c r="AYX654" s="83"/>
      <c r="AZH654" s="83"/>
      <c r="AZR654" s="83"/>
      <c r="BAB654" s="83"/>
      <c r="BAL654" s="83"/>
      <c r="BAV654" s="83"/>
      <c r="BBF654" s="83"/>
      <c r="BBP654" s="83"/>
      <c r="BBZ654" s="83"/>
      <c r="BCJ654" s="83"/>
      <c r="BCT654" s="83"/>
      <c r="BDD654" s="83"/>
      <c r="BDN654" s="83"/>
      <c r="BDX654" s="83"/>
      <c r="BEH654" s="83"/>
      <c r="BER654" s="83"/>
      <c r="BFB654" s="83"/>
      <c r="BFL654" s="83"/>
      <c r="BFV654" s="83"/>
      <c r="BGF654" s="83"/>
      <c r="BGP654" s="83"/>
      <c r="BGZ654" s="83"/>
      <c r="BHJ654" s="83"/>
      <c r="BHT654" s="83"/>
      <c r="BID654" s="83"/>
      <c r="BIN654" s="83"/>
      <c r="BIX654" s="83"/>
      <c r="BJH654" s="83"/>
      <c r="BJR654" s="83"/>
      <c r="BKB654" s="83"/>
      <c r="BKL654" s="83"/>
      <c r="BKV654" s="83"/>
      <c r="BLF654" s="83"/>
      <c r="BLP654" s="83"/>
      <c r="BLZ654" s="83"/>
      <c r="BMJ654" s="83"/>
      <c r="BMT654" s="83"/>
      <c r="BND654" s="83"/>
      <c r="BNN654" s="83"/>
      <c r="BNX654" s="83"/>
      <c r="BOH654" s="83"/>
      <c r="BOR654" s="83"/>
      <c r="BPB654" s="83"/>
      <c r="BPL654" s="83"/>
      <c r="BPV654" s="83"/>
      <c r="BQF654" s="83"/>
      <c r="BQP654" s="83"/>
      <c r="BQZ654" s="83"/>
      <c r="BRJ654" s="83"/>
      <c r="BRT654" s="83"/>
      <c r="BSD654" s="83"/>
      <c r="BSN654" s="83"/>
      <c r="BSX654" s="83"/>
      <c r="BTH654" s="83"/>
      <c r="BTR654" s="83"/>
      <c r="BUB654" s="83"/>
      <c r="BUL654" s="83"/>
      <c r="BUV654" s="83"/>
      <c r="BVF654" s="83"/>
      <c r="BVP654" s="83"/>
      <c r="BVZ654" s="83"/>
      <c r="BWJ654" s="83"/>
      <c r="BWT654" s="83"/>
      <c r="BXD654" s="83"/>
      <c r="BXN654" s="83"/>
      <c r="BXX654" s="83"/>
      <c r="BYH654" s="83"/>
      <c r="BYR654" s="83"/>
      <c r="BZB654" s="83"/>
      <c r="BZL654" s="83"/>
      <c r="BZV654" s="83"/>
      <c r="CAF654" s="83"/>
      <c r="CAP654" s="83"/>
      <c r="CAZ654" s="83"/>
      <c r="CBJ654" s="83"/>
      <c r="CBT654" s="83"/>
      <c r="CCD654" s="83"/>
      <c r="CCN654" s="83"/>
      <c r="CCX654" s="83"/>
      <c r="CDH654" s="83"/>
      <c r="CDR654" s="83"/>
      <c r="CEB654" s="83"/>
      <c r="CEL654" s="83"/>
      <c r="CEV654" s="83"/>
      <c r="CFF654" s="83"/>
      <c r="CFP654" s="83"/>
      <c r="CFZ654" s="83"/>
      <c r="CGJ654" s="83"/>
      <c r="CGT654" s="83"/>
      <c r="CHD654" s="83"/>
      <c r="CHN654" s="83"/>
      <c r="CHX654" s="83"/>
      <c r="CIH654" s="83"/>
      <c r="CIR654" s="83"/>
      <c r="CJB654" s="83"/>
      <c r="CJL654" s="83"/>
      <c r="CJV654" s="83"/>
      <c r="CKF654" s="83"/>
      <c r="CKP654" s="83"/>
      <c r="CKZ654" s="83"/>
      <c r="CLJ654" s="83"/>
      <c r="CLT654" s="83"/>
      <c r="CMD654" s="83"/>
      <c r="CMN654" s="83"/>
      <c r="CMX654" s="83"/>
      <c r="CNH654" s="83"/>
      <c r="CNR654" s="83"/>
      <c r="COB654" s="83"/>
      <c r="COL654" s="83"/>
      <c r="COV654" s="83"/>
      <c r="CPF654" s="83"/>
      <c r="CPP654" s="83"/>
      <c r="CPZ654" s="83"/>
      <c r="CQJ654" s="83"/>
      <c r="CQT654" s="83"/>
      <c r="CRD654" s="83"/>
      <c r="CRN654" s="83"/>
      <c r="CRX654" s="83"/>
      <c r="CSH654" s="83"/>
      <c r="CSR654" s="83"/>
      <c r="CTB654" s="83"/>
      <c r="CTL654" s="83"/>
      <c r="CTV654" s="83"/>
    </row>
    <row r="655" s="58" customFormat="1" customHeight="1" spans="1:1020 1030:2040 2050:2570">
      <c r="A655" s="87"/>
      <c r="B655" s="97"/>
      <c r="C655" s="85"/>
      <c r="D655" s="75"/>
      <c r="E655" s="98"/>
      <c r="F655" s="91"/>
      <c r="G655" s="75"/>
      <c r="H655" s="77"/>
      <c r="I655" s="77"/>
      <c r="J655" s="75"/>
      <c r="K655" s="78"/>
      <c r="T655" s="83"/>
      <c r="AD655" s="83"/>
      <c r="AN655" s="83"/>
      <c r="AX655" s="83"/>
      <c r="BH655" s="83"/>
      <c r="BR655" s="83"/>
      <c r="CB655" s="83"/>
      <c r="CL655" s="83"/>
      <c r="CV655" s="83"/>
      <c r="DF655" s="83"/>
      <c r="DP655" s="83"/>
      <c r="DZ655" s="83"/>
      <c r="EJ655" s="83"/>
      <c r="ET655" s="83"/>
      <c r="FD655" s="83"/>
      <c r="FN655" s="83"/>
      <c r="FX655" s="83"/>
      <c r="GH655" s="83"/>
      <c r="GR655" s="83"/>
      <c r="HB655" s="83"/>
      <c r="HL655" s="83"/>
      <c r="HV655" s="83"/>
      <c r="IF655" s="83"/>
      <c r="IP655" s="83"/>
      <c r="IZ655" s="83"/>
      <c r="JJ655" s="83"/>
      <c r="JT655" s="83"/>
      <c r="KD655" s="83"/>
      <c r="KN655" s="83"/>
      <c r="KX655" s="83"/>
      <c r="LH655" s="83"/>
      <c r="LR655" s="83"/>
      <c r="MB655" s="83"/>
      <c r="ML655" s="83"/>
      <c r="MV655" s="83"/>
      <c r="NF655" s="83"/>
      <c r="NP655" s="83"/>
      <c r="NZ655" s="83"/>
      <c r="OJ655" s="83"/>
      <c r="OT655" s="83"/>
      <c r="PD655" s="83"/>
      <c r="PN655" s="83"/>
      <c r="PX655" s="83"/>
      <c r="QH655" s="83"/>
      <c r="QR655" s="83"/>
      <c r="RB655" s="83"/>
      <c r="RL655" s="83"/>
      <c r="RV655" s="83"/>
      <c r="SF655" s="83"/>
      <c r="SP655" s="83"/>
      <c r="SZ655" s="83"/>
      <c r="TJ655" s="83"/>
      <c r="TT655" s="83"/>
      <c r="UD655" s="83"/>
      <c r="UN655" s="83"/>
      <c r="UX655" s="83"/>
      <c r="VH655" s="83"/>
      <c r="VR655" s="83"/>
      <c r="WB655" s="83"/>
      <c r="WL655" s="83"/>
      <c r="WV655" s="83"/>
      <c r="XF655" s="83"/>
      <c r="XP655" s="83"/>
      <c r="XZ655" s="83"/>
      <c r="YJ655" s="83"/>
      <c r="YT655" s="83"/>
      <c r="ZD655" s="83"/>
      <c r="ZN655" s="83"/>
      <c r="ZX655" s="83"/>
      <c r="AAH655" s="83"/>
      <c r="AAR655" s="83"/>
      <c r="ABB655" s="83"/>
      <c r="ABL655" s="83"/>
      <c r="ABV655" s="83"/>
      <c r="ACF655" s="83"/>
      <c r="ACP655" s="83"/>
      <c r="ACZ655" s="83"/>
      <c r="ADJ655" s="83"/>
      <c r="ADT655" s="83"/>
      <c r="AED655" s="83"/>
      <c r="AEN655" s="83"/>
      <c r="AEX655" s="83"/>
      <c r="AFH655" s="83"/>
      <c r="AFR655" s="83"/>
      <c r="AGB655" s="83"/>
      <c r="AGL655" s="83"/>
      <c r="AGV655" s="83"/>
      <c r="AHF655" s="83"/>
      <c r="AHP655" s="83"/>
      <c r="AHZ655" s="83"/>
      <c r="AIJ655" s="83"/>
      <c r="AIT655" s="83"/>
      <c r="AJD655" s="83"/>
      <c r="AJN655" s="83"/>
      <c r="AJX655" s="83"/>
      <c r="AKH655" s="83"/>
      <c r="AKR655" s="83"/>
      <c r="ALB655" s="83"/>
      <c r="ALL655" s="83"/>
      <c r="ALV655" s="83"/>
      <c r="AMF655" s="83"/>
      <c r="AMP655" s="83"/>
      <c r="AMZ655" s="83"/>
      <c r="ANJ655" s="83"/>
      <c r="ANT655" s="83"/>
      <c r="AOD655" s="83"/>
      <c r="AON655" s="83"/>
      <c r="AOX655" s="83"/>
      <c r="APH655" s="83"/>
      <c r="APR655" s="83"/>
      <c r="AQB655" s="83"/>
      <c r="AQL655" s="83"/>
      <c r="AQV655" s="83"/>
      <c r="ARF655" s="83"/>
      <c r="ARP655" s="83"/>
      <c r="ARZ655" s="83"/>
      <c r="ASJ655" s="83"/>
      <c r="AST655" s="83"/>
      <c r="ATD655" s="83"/>
      <c r="ATN655" s="83"/>
      <c r="ATX655" s="83"/>
      <c r="AUH655" s="83"/>
      <c r="AUR655" s="83"/>
      <c r="AVB655" s="83"/>
      <c r="AVL655" s="83"/>
      <c r="AVV655" s="83"/>
      <c r="AWF655" s="83"/>
      <c r="AWP655" s="83"/>
      <c r="AWZ655" s="83"/>
      <c r="AXJ655" s="83"/>
      <c r="AXT655" s="83"/>
      <c r="AYD655" s="83"/>
      <c r="AYN655" s="83"/>
      <c r="AYX655" s="83"/>
      <c r="AZH655" s="83"/>
      <c r="AZR655" s="83"/>
      <c r="BAB655" s="83"/>
      <c r="BAL655" s="83"/>
      <c r="BAV655" s="83"/>
      <c r="BBF655" s="83"/>
      <c r="BBP655" s="83"/>
      <c r="BBZ655" s="83"/>
      <c r="BCJ655" s="83"/>
      <c r="BCT655" s="83"/>
      <c r="BDD655" s="83"/>
      <c r="BDN655" s="83"/>
      <c r="BDX655" s="83"/>
      <c r="BEH655" s="83"/>
      <c r="BER655" s="83"/>
      <c r="BFB655" s="83"/>
      <c r="BFL655" s="83"/>
      <c r="BFV655" s="83"/>
      <c r="BGF655" s="83"/>
      <c r="BGP655" s="83"/>
      <c r="BGZ655" s="83"/>
      <c r="BHJ655" s="83"/>
      <c r="BHT655" s="83"/>
      <c r="BID655" s="83"/>
      <c r="BIN655" s="83"/>
      <c r="BIX655" s="83"/>
      <c r="BJH655" s="83"/>
      <c r="BJR655" s="83"/>
      <c r="BKB655" s="83"/>
      <c r="BKL655" s="83"/>
      <c r="BKV655" s="83"/>
      <c r="BLF655" s="83"/>
      <c r="BLP655" s="83"/>
      <c r="BLZ655" s="83"/>
      <c r="BMJ655" s="83"/>
      <c r="BMT655" s="83"/>
      <c r="BND655" s="83"/>
      <c r="BNN655" s="83"/>
      <c r="BNX655" s="83"/>
      <c r="BOH655" s="83"/>
      <c r="BOR655" s="83"/>
      <c r="BPB655" s="83"/>
      <c r="BPL655" s="83"/>
      <c r="BPV655" s="83"/>
      <c r="BQF655" s="83"/>
      <c r="BQP655" s="83"/>
      <c r="BQZ655" s="83"/>
      <c r="BRJ655" s="83"/>
      <c r="BRT655" s="83"/>
      <c r="BSD655" s="83"/>
      <c r="BSN655" s="83"/>
      <c r="BSX655" s="83"/>
      <c r="BTH655" s="83"/>
      <c r="BTR655" s="83"/>
      <c r="BUB655" s="83"/>
      <c r="BUL655" s="83"/>
      <c r="BUV655" s="83"/>
      <c r="BVF655" s="83"/>
      <c r="BVP655" s="83"/>
      <c r="BVZ655" s="83"/>
      <c r="BWJ655" s="83"/>
      <c r="BWT655" s="83"/>
      <c r="BXD655" s="83"/>
      <c r="BXN655" s="83"/>
      <c r="BXX655" s="83"/>
      <c r="BYH655" s="83"/>
      <c r="BYR655" s="83"/>
      <c r="BZB655" s="83"/>
      <c r="BZL655" s="83"/>
      <c r="BZV655" s="83"/>
      <c r="CAF655" s="83"/>
      <c r="CAP655" s="83"/>
      <c r="CAZ655" s="83"/>
      <c r="CBJ655" s="83"/>
      <c r="CBT655" s="83"/>
      <c r="CCD655" s="83"/>
      <c r="CCN655" s="83"/>
      <c r="CCX655" s="83"/>
      <c r="CDH655" s="83"/>
      <c r="CDR655" s="83"/>
      <c r="CEB655" s="83"/>
      <c r="CEL655" s="83"/>
      <c r="CEV655" s="83"/>
      <c r="CFF655" s="83"/>
      <c r="CFP655" s="83"/>
      <c r="CFZ655" s="83"/>
      <c r="CGJ655" s="83"/>
      <c r="CGT655" s="83"/>
      <c r="CHD655" s="83"/>
      <c r="CHN655" s="83"/>
      <c r="CHX655" s="83"/>
      <c r="CIH655" s="83"/>
      <c r="CIR655" s="83"/>
      <c r="CJB655" s="83"/>
      <c r="CJL655" s="83"/>
      <c r="CJV655" s="83"/>
      <c r="CKF655" s="83"/>
      <c r="CKP655" s="83"/>
      <c r="CKZ655" s="83"/>
      <c r="CLJ655" s="83"/>
      <c r="CLT655" s="83"/>
      <c r="CMD655" s="83"/>
      <c r="CMN655" s="83"/>
      <c r="CMX655" s="83"/>
      <c r="CNH655" s="83"/>
      <c r="CNR655" s="83"/>
      <c r="COB655" s="83"/>
      <c r="COL655" s="83"/>
      <c r="COV655" s="83"/>
      <c r="CPF655" s="83"/>
      <c r="CPP655" s="83"/>
      <c r="CPZ655" s="83"/>
      <c r="CQJ655" s="83"/>
      <c r="CQT655" s="83"/>
      <c r="CRD655" s="83"/>
      <c r="CRN655" s="83"/>
      <c r="CRX655" s="83"/>
      <c r="CSH655" s="83"/>
      <c r="CSR655" s="83"/>
      <c r="CTB655" s="83"/>
      <c r="CTL655" s="83"/>
      <c r="CTV655" s="83"/>
    </row>
    <row r="656" s="58" customFormat="1" customHeight="1" spans="1:1020 1030:2040 2050:2570">
      <c r="A656" s="87"/>
      <c r="B656" s="97"/>
      <c r="C656" s="85"/>
      <c r="D656" s="75"/>
      <c r="E656" s="98"/>
      <c r="F656" s="91"/>
      <c r="G656" s="75"/>
      <c r="H656" s="77"/>
      <c r="I656" s="77"/>
      <c r="J656" s="75"/>
      <c r="K656" s="78"/>
      <c r="T656" s="83"/>
      <c r="AD656" s="83"/>
      <c r="AN656" s="83"/>
      <c r="AX656" s="83"/>
      <c r="BH656" s="83"/>
      <c r="BR656" s="83"/>
      <c r="CB656" s="83"/>
      <c r="CL656" s="83"/>
      <c r="CV656" s="83"/>
      <c r="DF656" s="83"/>
      <c r="DP656" s="83"/>
      <c r="DZ656" s="83"/>
      <c r="EJ656" s="83"/>
      <c r="ET656" s="83"/>
      <c r="FD656" s="83"/>
      <c r="FN656" s="83"/>
      <c r="FX656" s="83"/>
      <c r="GH656" s="83"/>
      <c r="GR656" s="83"/>
      <c r="HB656" s="83"/>
      <c r="HL656" s="83"/>
      <c r="HV656" s="83"/>
      <c r="IF656" s="83"/>
      <c r="IP656" s="83"/>
      <c r="IZ656" s="83"/>
      <c r="JJ656" s="83"/>
      <c r="JT656" s="83"/>
      <c r="KD656" s="83"/>
      <c r="KN656" s="83"/>
      <c r="KX656" s="83"/>
      <c r="LH656" s="83"/>
      <c r="LR656" s="83"/>
      <c r="MB656" s="83"/>
      <c r="ML656" s="83"/>
      <c r="MV656" s="83"/>
      <c r="NF656" s="83"/>
      <c r="NP656" s="83"/>
      <c r="NZ656" s="83"/>
      <c r="OJ656" s="83"/>
      <c r="OT656" s="83"/>
      <c r="PD656" s="83"/>
      <c r="PN656" s="83"/>
      <c r="PX656" s="83"/>
      <c r="QH656" s="83"/>
      <c r="QR656" s="83"/>
      <c r="RB656" s="83"/>
      <c r="RL656" s="83"/>
      <c r="RV656" s="83"/>
      <c r="SF656" s="83"/>
      <c r="SP656" s="83"/>
      <c r="SZ656" s="83"/>
      <c r="TJ656" s="83"/>
      <c r="TT656" s="83"/>
      <c r="UD656" s="83"/>
      <c r="UN656" s="83"/>
      <c r="UX656" s="83"/>
      <c r="VH656" s="83"/>
      <c r="VR656" s="83"/>
      <c r="WB656" s="83"/>
      <c r="WL656" s="83"/>
      <c r="WV656" s="83"/>
      <c r="XF656" s="83"/>
      <c r="XP656" s="83"/>
      <c r="XZ656" s="83"/>
      <c r="YJ656" s="83"/>
      <c r="YT656" s="83"/>
      <c r="ZD656" s="83"/>
      <c r="ZN656" s="83"/>
      <c r="ZX656" s="83"/>
      <c r="AAH656" s="83"/>
      <c r="AAR656" s="83"/>
      <c r="ABB656" s="83"/>
      <c r="ABL656" s="83"/>
      <c r="ABV656" s="83"/>
      <c r="ACF656" s="83"/>
      <c r="ACP656" s="83"/>
      <c r="ACZ656" s="83"/>
      <c r="ADJ656" s="83"/>
      <c r="ADT656" s="83"/>
      <c r="AED656" s="83"/>
      <c r="AEN656" s="83"/>
      <c r="AEX656" s="83"/>
      <c r="AFH656" s="83"/>
      <c r="AFR656" s="83"/>
      <c r="AGB656" s="83"/>
      <c r="AGL656" s="83"/>
      <c r="AGV656" s="83"/>
      <c r="AHF656" s="83"/>
      <c r="AHP656" s="83"/>
      <c r="AHZ656" s="83"/>
      <c r="AIJ656" s="83"/>
      <c r="AIT656" s="83"/>
      <c r="AJD656" s="83"/>
      <c r="AJN656" s="83"/>
      <c r="AJX656" s="83"/>
      <c r="AKH656" s="83"/>
      <c r="AKR656" s="83"/>
      <c r="ALB656" s="83"/>
      <c r="ALL656" s="83"/>
      <c r="ALV656" s="83"/>
      <c r="AMF656" s="83"/>
      <c r="AMP656" s="83"/>
      <c r="AMZ656" s="83"/>
      <c r="ANJ656" s="83"/>
      <c r="ANT656" s="83"/>
      <c r="AOD656" s="83"/>
      <c r="AON656" s="83"/>
      <c r="AOX656" s="83"/>
      <c r="APH656" s="83"/>
      <c r="APR656" s="83"/>
      <c r="AQB656" s="83"/>
      <c r="AQL656" s="83"/>
      <c r="AQV656" s="83"/>
      <c r="ARF656" s="83"/>
      <c r="ARP656" s="83"/>
      <c r="ARZ656" s="83"/>
      <c r="ASJ656" s="83"/>
      <c r="AST656" s="83"/>
      <c r="ATD656" s="83"/>
      <c r="ATN656" s="83"/>
      <c r="ATX656" s="83"/>
      <c r="AUH656" s="83"/>
      <c r="AUR656" s="83"/>
      <c r="AVB656" s="83"/>
      <c r="AVL656" s="83"/>
      <c r="AVV656" s="83"/>
      <c r="AWF656" s="83"/>
      <c r="AWP656" s="83"/>
      <c r="AWZ656" s="83"/>
      <c r="AXJ656" s="83"/>
      <c r="AXT656" s="83"/>
      <c r="AYD656" s="83"/>
      <c r="AYN656" s="83"/>
      <c r="AYX656" s="83"/>
      <c r="AZH656" s="83"/>
      <c r="AZR656" s="83"/>
      <c r="BAB656" s="83"/>
      <c r="BAL656" s="83"/>
      <c r="BAV656" s="83"/>
      <c r="BBF656" s="83"/>
      <c r="BBP656" s="83"/>
      <c r="BBZ656" s="83"/>
      <c r="BCJ656" s="83"/>
      <c r="BCT656" s="83"/>
      <c r="BDD656" s="83"/>
      <c r="BDN656" s="83"/>
      <c r="BDX656" s="83"/>
      <c r="BEH656" s="83"/>
      <c r="BER656" s="83"/>
      <c r="BFB656" s="83"/>
      <c r="BFL656" s="83"/>
      <c r="BFV656" s="83"/>
      <c r="BGF656" s="83"/>
      <c r="BGP656" s="83"/>
      <c r="BGZ656" s="83"/>
      <c r="BHJ656" s="83"/>
      <c r="BHT656" s="83"/>
      <c r="BID656" s="83"/>
      <c r="BIN656" s="83"/>
      <c r="BIX656" s="83"/>
      <c r="BJH656" s="83"/>
      <c r="BJR656" s="83"/>
      <c r="BKB656" s="83"/>
      <c r="BKL656" s="83"/>
      <c r="BKV656" s="83"/>
      <c r="BLF656" s="83"/>
      <c r="BLP656" s="83"/>
      <c r="BLZ656" s="83"/>
      <c r="BMJ656" s="83"/>
      <c r="BMT656" s="83"/>
      <c r="BND656" s="83"/>
      <c r="BNN656" s="83"/>
      <c r="BNX656" s="83"/>
      <c r="BOH656" s="83"/>
      <c r="BOR656" s="83"/>
      <c r="BPB656" s="83"/>
      <c r="BPL656" s="83"/>
      <c r="BPV656" s="83"/>
      <c r="BQF656" s="83"/>
      <c r="BQP656" s="83"/>
      <c r="BQZ656" s="83"/>
      <c r="BRJ656" s="83"/>
      <c r="BRT656" s="83"/>
      <c r="BSD656" s="83"/>
      <c r="BSN656" s="83"/>
      <c r="BSX656" s="83"/>
      <c r="BTH656" s="83"/>
      <c r="BTR656" s="83"/>
      <c r="BUB656" s="83"/>
      <c r="BUL656" s="83"/>
      <c r="BUV656" s="83"/>
      <c r="BVF656" s="83"/>
      <c r="BVP656" s="83"/>
      <c r="BVZ656" s="83"/>
      <c r="BWJ656" s="83"/>
      <c r="BWT656" s="83"/>
      <c r="BXD656" s="83"/>
      <c r="BXN656" s="83"/>
      <c r="BXX656" s="83"/>
      <c r="BYH656" s="83"/>
      <c r="BYR656" s="83"/>
      <c r="BZB656" s="83"/>
      <c r="BZL656" s="83"/>
      <c r="BZV656" s="83"/>
      <c r="CAF656" s="83"/>
      <c r="CAP656" s="83"/>
      <c r="CAZ656" s="83"/>
      <c r="CBJ656" s="83"/>
      <c r="CBT656" s="83"/>
      <c r="CCD656" s="83"/>
      <c r="CCN656" s="83"/>
      <c r="CCX656" s="83"/>
      <c r="CDH656" s="83"/>
      <c r="CDR656" s="83"/>
      <c r="CEB656" s="83"/>
      <c r="CEL656" s="83"/>
      <c r="CEV656" s="83"/>
      <c r="CFF656" s="83"/>
      <c r="CFP656" s="83"/>
      <c r="CFZ656" s="83"/>
      <c r="CGJ656" s="83"/>
      <c r="CGT656" s="83"/>
      <c r="CHD656" s="83"/>
      <c r="CHN656" s="83"/>
      <c r="CHX656" s="83"/>
      <c r="CIH656" s="83"/>
      <c r="CIR656" s="83"/>
      <c r="CJB656" s="83"/>
      <c r="CJL656" s="83"/>
      <c r="CJV656" s="83"/>
      <c r="CKF656" s="83"/>
      <c r="CKP656" s="83"/>
      <c r="CKZ656" s="83"/>
      <c r="CLJ656" s="83"/>
      <c r="CLT656" s="83"/>
      <c r="CMD656" s="83"/>
      <c r="CMN656" s="83"/>
      <c r="CMX656" s="83"/>
      <c r="CNH656" s="83"/>
      <c r="CNR656" s="83"/>
      <c r="COB656" s="83"/>
      <c r="COL656" s="83"/>
      <c r="COV656" s="83"/>
      <c r="CPF656" s="83"/>
      <c r="CPP656" s="83"/>
      <c r="CPZ656" s="83"/>
      <c r="CQJ656" s="83"/>
      <c r="CQT656" s="83"/>
      <c r="CRD656" s="83"/>
      <c r="CRN656" s="83"/>
      <c r="CRX656" s="83"/>
      <c r="CSH656" s="83"/>
      <c r="CSR656" s="83"/>
      <c r="CTB656" s="83"/>
      <c r="CTL656" s="83"/>
      <c r="CTV656" s="83"/>
    </row>
    <row r="657" s="58" customFormat="1" customHeight="1" spans="1:1020 1030:2040 2050:2570">
      <c r="A657" s="87"/>
      <c r="B657" s="97"/>
      <c r="C657" s="85"/>
      <c r="D657" s="75"/>
      <c r="E657" s="98"/>
      <c r="F657" s="91"/>
      <c r="G657" s="75"/>
      <c r="H657" s="77"/>
      <c r="I657" s="77"/>
      <c r="J657" s="75"/>
      <c r="K657" s="78"/>
      <c r="T657" s="83"/>
      <c r="AD657" s="83"/>
      <c r="AN657" s="83"/>
      <c r="AX657" s="83"/>
      <c r="BH657" s="83"/>
      <c r="BR657" s="83"/>
      <c r="CB657" s="83"/>
      <c r="CL657" s="83"/>
      <c r="CV657" s="83"/>
      <c r="DF657" s="83"/>
      <c r="DP657" s="83"/>
      <c r="DZ657" s="83"/>
      <c r="EJ657" s="83"/>
      <c r="ET657" s="83"/>
      <c r="FD657" s="83"/>
      <c r="FN657" s="83"/>
      <c r="FX657" s="83"/>
      <c r="GH657" s="83"/>
      <c r="GR657" s="83"/>
      <c r="HB657" s="83"/>
      <c r="HL657" s="83"/>
      <c r="HV657" s="83"/>
      <c r="IF657" s="83"/>
      <c r="IP657" s="83"/>
      <c r="IZ657" s="83"/>
      <c r="JJ657" s="83"/>
      <c r="JT657" s="83"/>
      <c r="KD657" s="83"/>
      <c r="KN657" s="83"/>
      <c r="KX657" s="83"/>
      <c r="LH657" s="83"/>
      <c r="LR657" s="83"/>
      <c r="MB657" s="83"/>
      <c r="ML657" s="83"/>
      <c r="MV657" s="83"/>
      <c r="NF657" s="83"/>
      <c r="NP657" s="83"/>
      <c r="NZ657" s="83"/>
      <c r="OJ657" s="83"/>
      <c r="OT657" s="83"/>
      <c r="PD657" s="83"/>
      <c r="PN657" s="83"/>
      <c r="PX657" s="83"/>
      <c r="QH657" s="83"/>
      <c r="QR657" s="83"/>
      <c r="RB657" s="83"/>
      <c r="RL657" s="83"/>
      <c r="RV657" s="83"/>
      <c r="SF657" s="83"/>
      <c r="SP657" s="83"/>
      <c r="SZ657" s="83"/>
      <c r="TJ657" s="83"/>
      <c r="TT657" s="83"/>
      <c r="UD657" s="83"/>
      <c r="UN657" s="83"/>
      <c r="UX657" s="83"/>
      <c r="VH657" s="83"/>
      <c r="VR657" s="83"/>
      <c r="WB657" s="83"/>
      <c r="WL657" s="83"/>
      <c r="WV657" s="83"/>
      <c r="XF657" s="83"/>
      <c r="XP657" s="83"/>
      <c r="XZ657" s="83"/>
      <c r="YJ657" s="83"/>
      <c r="YT657" s="83"/>
      <c r="ZD657" s="83"/>
      <c r="ZN657" s="83"/>
      <c r="ZX657" s="83"/>
      <c r="AAH657" s="83"/>
      <c r="AAR657" s="83"/>
      <c r="ABB657" s="83"/>
      <c r="ABL657" s="83"/>
      <c r="ABV657" s="83"/>
      <c r="ACF657" s="83"/>
      <c r="ACP657" s="83"/>
      <c r="ACZ657" s="83"/>
      <c r="ADJ657" s="83"/>
      <c r="ADT657" s="83"/>
      <c r="AED657" s="83"/>
      <c r="AEN657" s="83"/>
      <c r="AEX657" s="83"/>
      <c r="AFH657" s="83"/>
      <c r="AFR657" s="83"/>
      <c r="AGB657" s="83"/>
      <c r="AGL657" s="83"/>
      <c r="AGV657" s="83"/>
      <c r="AHF657" s="83"/>
      <c r="AHP657" s="83"/>
      <c r="AHZ657" s="83"/>
      <c r="AIJ657" s="83"/>
      <c r="AIT657" s="83"/>
      <c r="AJD657" s="83"/>
      <c r="AJN657" s="83"/>
      <c r="AJX657" s="83"/>
      <c r="AKH657" s="83"/>
      <c r="AKR657" s="83"/>
      <c r="ALB657" s="83"/>
      <c r="ALL657" s="83"/>
      <c r="ALV657" s="83"/>
      <c r="AMF657" s="83"/>
      <c r="AMP657" s="83"/>
      <c r="AMZ657" s="83"/>
      <c r="ANJ657" s="83"/>
      <c r="ANT657" s="83"/>
      <c r="AOD657" s="83"/>
      <c r="AON657" s="83"/>
      <c r="AOX657" s="83"/>
      <c r="APH657" s="83"/>
      <c r="APR657" s="83"/>
      <c r="AQB657" s="83"/>
      <c r="AQL657" s="83"/>
      <c r="AQV657" s="83"/>
      <c r="ARF657" s="83"/>
      <c r="ARP657" s="83"/>
      <c r="ARZ657" s="83"/>
      <c r="ASJ657" s="83"/>
      <c r="AST657" s="83"/>
      <c r="ATD657" s="83"/>
      <c r="ATN657" s="83"/>
      <c r="ATX657" s="83"/>
      <c r="AUH657" s="83"/>
      <c r="AUR657" s="83"/>
      <c r="AVB657" s="83"/>
      <c r="AVL657" s="83"/>
      <c r="AVV657" s="83"/>
      <c r="AWF657" s="83"/>
      <c r="AWP657" s="83"/>
      <c r="AWZ657" s="83"/>
      <c r="AXJ657" s="83"/>
      <c r="AXT657" s="83"/>
      <c r="AYD657" s="83"/>
      <c r="AYN657" s="83"/>
      <c r="AYX657" s="83"/>
      <c r="AZH657" s="83"/>
      <c r="AZR657" s="83"/>
      <c r="BAB657" s="83"/>
      <c r="BAL657" s="83"/>
      <c r="BAV657" s="83"/>
      <c r="BBF657" s="83"/>
      <c r="BBP657" s="83"/>
      <c r="BBZ657" s="83"/>
      <c r="BCJ657" s="83"/>
      <c r="BCT657" s="83"/>
      <c r="BDD657" s="83"/>
      <c r="BDN657" s="83"/>
      <c r="BDX657" s="83"/>
      <c r="BEH657" s="83"/>
      <c r="BER657" s="83"/>
      <c r="BFB657" s="83"/>
      <c r="BFL657" s="83"/>
      <c r="BFV657" s="83"/>
      <c r="BGF657" s="83"/>
      <c r="BGP657" s="83"/>
      <c r="BGZ657" s="83"/>
      <c r="BHJ657" s="83"/>
      <c r="BHT657" s="83"/>
      <c r="BID657" s="83"/>
      <c r="BIN657" s="83"/>
      <c r="BIX657" s="83"/>
      <c r="BJH657" s="83"/>
      <c r="BJR657" s="83"/>
      <c r="BKB657" s="83"/>
      <c r="BKL657" s="83"/>
      <c r="BKV657" s="83"/>
      <c r="BLF657" s="83"/>
      <c r="BLP657" s="83"/>
      <c r="BLZ657" s="83"/>
      <c r="BMJ657" s="83"/>
      <c r="BMT657" s="83"/>
      <c r="BND657" s="83"/>
      <c r="BNN657" s="83"/>
      <c r="BNX657" s="83"/>
      <c r="BOH657" s="83"/>
      <c r="BOR657" s="83"/>
      <c r="BPB657" s="83"/>
      <c r="BPL657" s="83"/>
      <c r="BPV657" s="83"/>
      <c r="BQF657" s="83"/>
      <c r="BQP657" s="83"/>
      <c r="BQZ657" s="83"/>
      <c r="BRJ657" s="83"/>
      <c r="BRT657" s="83"/>
      <c r="BSD657" s="83"/>
      <c r="BSN657" s="83"/>
      <c r="BSX657" s="83"/>
      <c r="BTH657" s="83"/>
      <c r="BTR657" s="83"/>
      <c r="BUB657" s="83"/>
      <c r="BUL657" s="83"/>
      <c r="BUV657" s="83"/>
      <c r="BVF657" s="83"/>
      <c r="BVP657" s="83"/>
      <c r="BVZ657" s="83"/>
      <c r="BWJ657" s="83"/>
      <c r="BWT657" s="83"/>
      <c r="BXD657" s="83"/>
      <c r="BXN657" s="83"/>
      <c r="BXX657" s="83"/>
      <c r="BYH657" s="83"/>
      <c r="BYR657" s="83"/>
      <c r="BZB657" s="83"/>
      <c r="BZL657" s="83"/>
      <c r="BZV657" s="83"/>
      <c r="CAF657" s="83"/>
      <c r="CAP657" s="83"/>
      <c r="CAZ657" s="83"/>
      <c r="CBJ657" s="83"/>
      <c r="CBT657" s="83"/>
      <c r="CCD657" s="83"/>
      <c r="CCN657" s="83"/>
      <c r="CCX657" s="83"/>
      <c r="CDH657" s="83"/>
      <c r="CDR657" s="83"/>
      <c r="CEB657" s="83"/>
      <c r="CEL657" s="83"/>
      <c r="CEV657" s="83"/>
      <c r="CFF657" s="83"/>
      <c r="CFP657" s="83"/>
      <c r="CFZ657" s="83"/>
      <c r="CGJ657" s="83"/>
      <c r="CGT657" s="83"/>
      <c r="CHD657" s="83"/>
      <c r="CHN657" s="83"/>
      <c r="CHX657" s="83"/>
      <c r="CIH657" s="83"/>
      <c r="CIR657" s="83"/>
      <c r="CJB657" s="83"/>
      <c r="CJL657" s="83"/>
      <c r="CJV657" s="83"/>
      <c r="CKF657" s="83"/>
      <c r="CKP657" s="83"/>
      <c r="CKZ657" s="83"/>
      <c r="CLJ657" s="83"/>
      <c r="CLT657" s="83"/>
      <c r="CMD657" s="83"/>
      <c r="CMN657" s="83"/>
      <c r="CMX657" s="83"/>
      <c r="CNH657" s="83"/>
      <c r="CNR657" s="83"/>
      <c r="COB657" s="83"/>
      <c r="COL657" s="83"/>
      <c r="COV657" s="83"/>
      <c r="CPF657" s="83"/>
      <c r="CPP657" s="83"/>
      <c r="CPZ657" s="83"/>
      <c r="CQJ657" s="83"/>
      <c r="CQT657" s="83"/>
      <c r="CRD657" s="83"/>
      <c r="CRN657" s="83"/>
      <c r="CRX657" s="83"/>
      <c r="CSH657" s="83"/>
      <c r="CSR657" s="83"/>
      <c r="CTB657" s="83"/>
      <c r="CTL657" s="83"/>
      <c r="CTV657" s="83"/>
    </row>
    <row r="658" s="58" customFormat="1" customHeight="1" spans="1:1020 1030:2040 2050:2570">
      <c r="A658" s="87"/>
      <c r="B658" s="97"/>
      <c r="C658" s="85"/>
      <c r="D658" s="75"/>
      <c r="E658" s="98"/>
      <c r="F658" s="91"/>
      <c r="G658" s="75"/>
      <c r="H658" s="77"/>
      <c r="I658" s="77"/>
      <c r="J658" s="75"/>
      <c r="K658" s="78"/>
      <c r="T658" s="83"/>
      <c r="AD658" s="83"/>
      <c r="AN658" s="83"/>
      <c r="AX658" s="83"/>
      <c r="BH658" s="83"/>
      <c r="BR658" s="83"/>
      <c r="CB658" s="83"/>
      <c r="CL658" s="83"/>
      <c r="CV658" s="83"/>
      <c r="DF658" s="83"/>
      <c r="DP658" s="83"/>
      <c r="DZ658" s="83"/>
      <c r="EJ658" s="83"/>
      <c r="ET658" s="83"/>
      <c r="FD658" s="83"/>
      <c r="FN658" s="83"/>
      <c r="FX658" s="83"/>
      <c r="GH658" s="83"/>
      <c r="GR658" s="83"/>
      <c r="HB658" s="83"/>
      <c r="HL658" s="83"/>
      <c r="HV658" s="83"/>
      <c r="IF658" s="83"/>
      <c r="IP658" s="83"/>
      <c r="IZ658" s="83"/>
      <c r="JJ658" s="83"/>
      <c r="JT658" s="83"/>
      <c r="KD658" s="83"/>
      <c r="KN658" s="83"/>
      <c r="KX658" s="83"/>
      <c r="LH658" s="83"/>
      <c r="LR658" s="83"/>
      <c r="MB658" s="83"/>
      <c r="ML658" s="83"/>
      <c r="MV658" s="83"/>
      <c r="NF658" s="83"/>
      <c r="NP658" s="83"/>
      <c r="NZ658" s="83"/>
      <c r="OJ658" s="83"/>
      <c r="OT658" s="83"/>
      <c r="PD658" s="83"/>
      <c r="PN658" s="83"/>
      <c r="PX658" s="83"/>
      <c r="QH658" s="83"/>
      <c r="QR658" s="83"/>
      <c r="RB658" s="83"/>
      <c r="RL658" s="83"/>
      <c r="RV658" s="83"/>
      <c r="SF658" s="83"/>
      <c r="SP658" s="83"/>
      <c r="SZ658" s="83"/>
      <c r="TJ658" s="83"/>
      <c r="TT658" s="83"/>
      <c r="UD658" s="83"/>
      <c r="UN658" s="83"/>
      <c r="UX658" s="83"/>
      <c r="VH658" s="83"/>
      <c r="VR658" s="83"/>
      <c r="WB658" s="83"/>
      <c r="WL658" s="83"/>
      <c r="WV658" s="83"/>
      <c r="XF658" s="83"/>
      <c r="XP658" s="83"/>
      <c r="XZ658" s="83"/>
      <c r="YJ658" s="83"/>
      <c r="YT658" s="83"/>
      <c r="ZD658" s="83"/>
      <c r="ZN658" s="83"/>
      <c r="ZX658" s="83"/>
      <c r="AAH658" s="83"/>
      <c r="AAR658" s="83"/>
      <c r="ABB658" s="83"/>
      <c r="ABL658" s="83"/>
      <c r="ABV658" s="83"/>
      <c r="ACF658" s="83"/>
      <c r="ACP658" s="83"/>
      <c r="ACZ658" s="83"/>
      <c r="ADJ658" s="83"/>
      <c r="ADT658" s="83"/>
      <c r="AED658" s="83"/>
      <c r="AEN658" s="83"/>
      <c r="AEX658" s="83"/>
      <c r="AFH658" s="83"/>
      <c r="AFR658" s="83"/>
      <c r="AGB658" s="83"/>
      <c r="AGL658" s="83"/>
      <c r="AGV658" s="83"/>
      <c r="AHF658" s="83"/>
      <c r="AHP658" s="83"/>
      <c r="AHZ658" s="83"/>
      <c r="AIJ658" s="83"/>
      <c r="AIT658" s="83"/>
      <c r="AJD658" s="83"/>
      <c r="AJN658" s="83"/>
      <c r="AJX658" s="83"/>
      <c r="AKH658" s="83"/>
      <c r="AKR658" s="83"/>
      <c r="ALB658" s="83"/>
      <c r="ALL658" s="83"/>
      <c r="ALV658" s="83"/>
      <c r="AMF658" s="83"/>
      <c r="AMP658" s="83"/>
      <c r="AMZ658" s="83"/>
      <c r="ANJ658" s="83"/>
      <c r="ANT658" s="83"/>
      <c r="AOD658" s="83"/>
      <c r="AON658" s="83"/>
      <c r="AOX658" s="83"/>
      <c r="APH658" s="83"/>
      <c r="APR658" s="83"/>
      <c r="AQB658" s="83"/>
      <c r="AQL658" s="83"/>
      <c r="AQV658" s="83"/>
      <c r="ARF658" s="83"/>
      <c r="ARP658" s="83"/>
      <c r="ARZ658" s="83"/>
      <c r="ASJ658" s="83"/>
      <c r="AST658" s="83"/>
      <c r="ATD658" s="83"/>
      <c r="ATN658" s="83"/>
      <c r="ATX658" s="83"/>
      <c r="AUH658" s="83"/>
      <c r="AUR658" s="83"/>
      <c r="AVB658" s="83"/>
      <c r="AVL658" s="83"/>
      <c r="AVV658" s="83"/>
      <c r="AWF658" s="83"/>
      <c r="AWP658" s="83"/>
      <c r="AWZ658" s="83"/>
      <c r="AXJ658" s="83"/>
      <c r="AXT658" s="83"/>
      <c r="AYD658" s="83"/>
      <c r="AYN658" s="83"/>
      <c r="AYX658" s="83"/>
      <c r="AZH658" s="83"/>
      <c r="AZR658" s="83"/>
      <c r="BAB658" s="83"/>
      <c r="BAL658" s="83"/>
      <c r="BAV658" s="83"/>
      <c r="BBF658" s="83"/>
      <c r="BBP658" s="83"/>
      <c r="BBZ658" s="83"/>
      <c r="BCJ658" s="83"/>
      <c r="BCT658" s="83"/>
      <c r="BDD658" s="83"/>
      <c r="BDN658" s="83"/>
      <c r="BDX658" s="83"/>
      <c r="BEH658" s="83"/>
      <c r="BER658" s="83"/>
      <c r="BFB658" s="83"/>
      <c r="BFL658" s="83"/>
      <c r="BFV658" s="83"/>
      <c r="BGF658" s="83"/>
      <c r="BGP658" s="83"/>
      <c r="BGZ658" s="83"/>
      <c r="BHJ658" s="83"/>
      <c r="BHT658" s="83"/>
      <c r="BID658" s="83"/>
      <c r="BIN658" s="83"/>
      <c r="BIX658" s="83"/>
      <c r="BJH658" s="83"/>
      <c r="BJR658" s="83"/>
      <c r="BKB658" s="83"/>
      <c r="BKL658" s="83"/>
      <c r="BKV658" s="83"/>
      <c r="BLF658" s="83"/>
      <c r="BLP658" s="83"/>
      <c r="BLZ658" s="83"/>
      <c r="BMJ658" s="83"/>
      <c r="BMT658" s="83"/>
      <c r="BND658" s="83"/>
      <c r="BNN658" s="83"/>
      <c r="BNX658" s="83"/>
      <c r="BOH658" s="83"/>
      <c r="BOR658" s="83"/>
      <c r="BPB658" s="83"/>
      <c r="BPL658" s="83"/>
      <c r="BPV658" s="83"/>
      <c r="BQF658" s="83"/>
      <c r="BQP658" s="83"/>
      <c r="BQZ658" s="83"/>
      <c r="BRJ658" s="83"/>
      <c r="BRT658" s="83"/>
      <c r="BSD658" s="83"/>
      <c r="BSN658" s="83"/>
      <c r="BSX658" s="83"/>
      <c r="BTH658" s="83"/>
      <c r="BTR658" s="83"/>
      <c r="BUB658" s="83"/>
      <c r="BUL658" s="83"/>
      <c r="BUV658" s="83"/>
      <c r="BVF658" s="83"/>
      <c r="BVP658" s="83"/>
      <c r="BVZ658" s="83"/>
      <c r="BWJ658" s="83"/>
      <c r="BWT658" s="83"/>
      <c r="BXD658" s="83"/>
      <c r="BXN658" s="83"/>
      <c r="BXX658" s="83"/>
      <c r="BYH658" s="83"/>
      <c r="BYR658" s="83"/>
      <c r="BZB658" s="83"/>
      <c r="BZL658" s="83"/>
      <c r="BZV658" s="83"/>
      <c r="CAF658" s="83"/>
      <c r="CAP658" s="83"/>
      <c r="CAZ658" s="83"/>
      <c r="CBJ658" s="83"/>
      <c r="CBT658" s="83"/>
      <c r="CCD658" s="83"/>
      <c r="CCN658" s="83"/>
      <c r="CCX658" s="83"/>
      <c r="CDH658" s="83"/>
      <c r="CDR658" s="83"/>
      <c r="CEB658" s="83"/>
      <c r="CEL658" s="83"/>
      <c r="CEV658" s="83"/>
      <c r="CFF658" s="83"/>
      <c r="CFP658" s="83"/>
      <c r="CFZ658" s="83"/>
      <c r="CGJ658" s="83"/>
      <c r="CGT658" s="83"/>
      <c r="CHD658" s="83"/>
      <c r="CHN658" s="83"/>
      <c r="CHX658" s="83"/>
      <c r="CIH658" s="83"/>
      <c r="CIR658" s="83"/>
      <c r="CJB658" s="83"/>
      <c r="CJL658" s="83"/>
      <c r="CJV658" s="83"/>
      <c r="CKF658" s="83"/>
      <c r="CKP658" s="83"/>
      <c r="CKZ658" s="83"/>
      <c r="CLJ658" s="83"/>
      <c r="CLT658" s="83"/>
      <c r="CMD658" s="83"/>
      <c r="CMN658" s="83"/>
      <c r="CMX658" s="83"/>
      <c r="CNH658" s="83"/>
      <c r="CNR658" s="83"/>
      <c r="COB658" s="83"/>
      <c r="COL658" s="83"/>
      <c r="COV658" s="83"/>
      <c r="CPF658" s="83"/>
      <c r="CPP658" s="83"/>
      <c r="CPZ658" s="83"/>
      <c r="CQJ658" s="83"/>
      <c r="CQT658" s="83"/>
      <c r="CRD658" s="83"/>
      <c r="CRN658" s="83"/>
      <c r="CRX658" s="83"/>
      <c r="CSH658" s="83"/>
      <c r="CSR658" s="83"/>
      <c r="CTB658" s="83"/>
      <c r="CTL658" s="83"/>
      <c r="CTV658" s="83"/>
    </row>
    <row r="659" s="58" customFormat="1" customHeight="1" spans="1:1020 1030:2040 2050:2570">
      <c r="A659" s="87"/>
      <c r="B659" s="97"/>
      <c r="C659" s="85"/>
      <c r="D659" s="75"/>
      <c r="E659" s="98"/>
      <c r="F659" s="91"/>
      <c r="G659" s="75"/>
      <c r="H659" s="77"/>
      <c r="I659" s="77"/>
      <c r="J659" s="75"/>
      <c r="K659" s="78"/>
      <c r="T659" s="83"/>
      <c r="AD659" s="83"/>
      <c r="AN659" s="83"/>
      <c r="AX659" s="83"/>
      <c r="BH659" s="83"/>
      <c r="BR659" s="83"/>
      <c r="CB659" s="83"/>
      <c r="CL659" s="83"/>
      <c r="CV659" s="83"/>
      <c r="DF659" s="83"/>
      <c r="DP659" s="83"/>
      <c r="DZ659" s="83"/>
      <c r="EJ659" s="83"/>
      <c r="ET659" s="83"/>
      <c r="FD659" s="83"/>
      <c r="FN659" s="83"/>
      <c r="FX659" s="83"/>
      <c r="GH659" s="83"/>
      <c r="GR659" s="83"/>
      <c r="HB659" s="83"/>
      <c r="HL659" s="83"/>
      <c r="HV659" s="83"/>
      <c r="IF659" s="83"/>
      <c r="IP659" s="83"/>
      <c r="IZ659" s="83"/>
      <c r="JJ659" s="83"/>
      <c r="JT659" s="83"/>
      <c r="KD659" s="83"/>
      <c r="KN659" s="83"/>
      <c r="KX659" s="83"/>
      <c r="LH659" s="83"/>
      <c r="LR659" s="83"/>
      <c r="MB659" s="83"/>
      <c r="ML659" s="83"/>
      <c r="MV659" s="83"/>
      <c r="NF659" s="83"/>
      <c r="NP659" s="83"/>
      <c r="NZ659" s="83"/>
      <c r="OJ659" s="83"/>
      <c r="OT659" s="83"/>
      <c r="PD659" s="83"/>
      <c r="PN659" s="83"/>
      <c r="PX659" s="83"/>
      <c r="QH659" s="83"/>
      <c r="QR659" s="83"/>
      <c r="RB659" s="83"/>
      <c r="RL659" s="83"/>
      <c r="RV659" s="83"/>
      <c r="SF659" s="83"/>
      <c r="SP659" s="83"/>
      <c r="SZ659" s="83"/>
      <c r="TJ659" s="83"/>
      <c r="TT659" s="83"/>
      <c r="UD659" s="83"/>
      <c r="UN659" s="83"/>
      <c r="UX659" s="83"/>
      <c r="VH659" s="83"/>
      <c r="VR659" s="83"/>
      <c r="WB659" s="83"/>
      <c r="WL659" s="83"/>
      <c r="WV659" s="83"/>
      <c r="XF659" s="83"/>
      <c r="XP659" s="83"/>
      <c r="XZ659" s="83"/>
      <c r="YJ659" s="83"/>
      <c r="YT659" s="83"/>
      <c r="ZD659" s="83"/>
      <c r="ZN659" s="83"/>
      <c r="ZX659" s="83"/>
      <c r="AAH659" s="83"/>
      <c r="AAR659" s="83"/>
      <c r="ABB659" s="83"/>
      <c r="ABL659" s="83"/>
      <c r="ABV659" s="83"/>
      <c r="ACF659" s="83"/>
      <c r="ACP659" s="83"/>
      <c r="ACZ659" s="83"/>
      <c r="ADJ659" s="83"/>
      <c r="ADT659" s="83"/>
      <c r="AED659" s="83"/>
      <c r="AEN659" s="83"/>
      <c r="AEX659" s="83"/>
      <c r="AFH659" s="83"/>
      <c r="AFR659" s="83"/>
      <c r="AGB659" s="83"/>
      <c r="AGL659" s="83"/>
      <c r="AGV659" s="83"/>
      <c r="AHF659" s="83"/>
      <c r="AHP659" s="83"/>
      <c r="AHZ659" s="83"/>
      <c r="AIJ659" s="83"/>
      <c r="AIT659" s="83"/>
      <c r="AJD659" s="83"/>
      <c r="AJN659" s="83"/>
      <c r="AJX659" s="83"/>
      <c r="AKH659" s="83"/>
      <c r="AKR659" s="83"/>
      <c r="ALB659" s="83"/>
      <c r="ALL659" s="83"/>
      <c r="ALV659" s="83"/>
      <c r="AMF659" s="83"/>
      <c r="AMP659" s="83"/>
      <c r="AMZ659" s="83"/>
      <c r="ANJ659" s="83"/>
      <c r="ANT659" s="83"/>
      <c r="AOD659" s="83"/>
      <c r="AON659" s="83"/>
      <c r="AOX659" s="83"/>
      <c r="APH659" s="83"/>
      <c r="APR659" s="83"/>
      <c r="AQB659" s="83"/>
      <c r="AQL659" s="83"/>
      <c r="AQV659" s="83"/>
      <c r="ARF659" s="83"/>
      <c r="ARP659" s="83"/>
      <c r="ARZ659" s="83"/>
      <c r="ASJ659" s="83"/>
      <c r="AST659" s="83"/>
      <c r="ATD659" s="83"/>
      <c r="ATN659" s="83"/>
      <c r="ATX659" s="83"/>
      <c r="AUH659" s="83"/>
      <c r="AUR659" s="83"/>
      <c r="AVB659" s="83"/>
      <c r="AVL659" s="83"/>
      <c r="AVV659" s="83"/>
      <c r="AWF659" s="83"/>
      <c r="AWP659" s="83"/>
      <c r="AWZ659" s="83"/>
      <c r="AXJ659" s="83"/>
      <c r="AXT659" s="83"/>
      <c r="AYD659" s="83"/>
      <c r="AYN659" s="83"/>
      <c r="AYX659" s="83"/>
      <c r="AZH659" s="83"/>
      <c r="AZR659" s="83"/>
      <c r="BAB659" s="83"/>
      <c r="BAL659" s="83"/>
      <c r="BAV659" s="83"/>
      <c r="BBF659" s="83"/>
      <c r="BBP659" s="83"/>
      <c r="BBZ659" s="83"/>
      <c r="BCJ659" s="83"/>
      <c r="BCT659" s="83"/>
      <c r="BDD659" s="83"/>
      <c r="BDN659" s="83"/>
      <c r="BDX659" s="83"/>
      <c r="BEH659" s="83"/>
      <c r="BER659" s="83"/>
      <c r="BFB659" s="83"/>
      <c r="BFL659" s="83"/>
      <c r="BFV659" s="83"/>
      <c r="BGF659" s="83"/>
      <c r="BGP659" s="83"/>
      <c r="BGZ659" s="83"/>
      <c r="BHJ659" s="83"/>
      <c r="BHT659" s="83"/>
      <c r="BID659" s="83"/>
      <c r="BIN659" s="83"/>
      <c r="BIX659" s="83"/>
      <c r="BJH659" s="83"/>
      <c r="BJR659" s="83"/>
      <c r="BKB659" s="83"/>
      <c r="BKL659" s="83"/>
      <c r="BKV659" s="83"/>
      <c r="BLF659" s="83"/>
      <c r="BLP659" s="83"/>
      <c r="BLZ659" s="83"/>
      <c r="BMJ659" s="83"/>
      <c r="BMT659" s="83"/>
      <c r="BND659" s="83"/>
      <c r="BNN659" s="83"/>
      <c r="BNX659" s="83"/>
      <c r="BOH659" s="83"/>
      <c r="BOR659" s="83"/>
      <c r="BPB659" s="83"/>
      <c r="BPL659" s="83"/>
      <c r="BPV659" s="83"/>
      <c r="BQF659" s="83"/>
      <c r="BQP659" s="83"/>
      <c r="BQZ659" s="83"/>
      <c r="BRJ659" s="83"/>
      <c r="BRT659" s="83"/>
      <c r="BSD659" s="83"/>
      <c r="BSN659" s="83"/>
      <c r="BSX659" s="83"/>
      <c r="BTH659" s="83"/>
      <c r="BTR659" s="83"/>
      <c r="BUB659" s="83"/>
      <c r="BUL659" s="83"/>
      <c r="BUV659" s="83"/>
      <c r="BVF659" s="83"/>
      <c r="BVP659" s="83"/>
      <c r="BVZ659" s="83"/>
      <c r="BWJ659" s="83"/>
      <c r="BWT659" s="83"/>
      <c r="BXD659" s="83"/>
      <c r="BXN659" s="83"/>
      <c r="BXX659" s="83"/>
      <c r="BYH659" s="83"/>
      <c r="BYR659" s="83"/>
      <c r="BZB659" s="83"/>
      <c r="BZL659" s="83"/>
      <c r="BZV659" s="83"/>
      <c r="CAF659" s="83"/>
      <c r="CAP659" s="83"/>
      <c r="CAZ659" s="83"/>
      <c r="CBJ659" s="83"/>
      <c r="CBT659" s="83"/>
      <c r="CCD659" s="83"/>
      <c r="CCN659" s="83"/>
      <c r="CCX659" s="83"/>
      <c r="CDH659" s="83"/>
      <c r="CDR659" s="83"/>
      <c r="CEB659" s="83"/>
      <c r="CEL659" s="83"/>
      <c r="CEV659" s="83"/>
      <c r="CFF659" s="83"/>
      <c r="CFP659" s="83"/>
      <c r="CFZ659" s="83"/>
      <c r="CGJ659" s="83"/>
      <c r="CGT659" s="83"/>
      <c r="CHD659" s="83"/>
      <c r="CHN659" s="83"/>
      <c r="CHX659" s="83"/>
      <c r="CIH659" s="83"/>
      <c r="CIR659" s="83"/>
      <c r="CJB659" s="83"/>
      <c r="CJL659" s="83"/>
      <c r="CJV659" s="83"/>
      <c r="CKF659" s="83"/>
      <c r="CKP659" s="83"/>
      <c r="CKZ659" s="83"/>
      <c r="CLJ659" s="83"/>
      <c r="CLT659" s="83"/>
      <c r="CMD659" s="83"/>
      <c r="CMN659" s="83"/>
      <c r="CMX659" s="83"/>
      <c r="CNH659" s="83"/>
      <c r="CNR659" s="83"/>
      <c r="COB659" s="83"/>
      <c r="COL659" s="83"/>
      <c r="COV659" s="83"/>
      <c r="CPF659" s="83"/>
      <c r="CPP659" s="83"/>
      <c r="CPZ659" s="83"/>
      <c r="CQJ659" s="83"/>
      <c r="CQT659" s="83"/>
      <c r="CRD659" s="83"/>
      <c r="CRN659" s="83"/>
      <c r="CRX659" s="83"/>
      <c r="CSH659" s="83"/>
      <c r="CSR659" s="83"/>
      <c r="CTB659" s="83"/>
      <c r="CTL659" s="83"/>
      <c r="CTV659" s="83"/>
    </row>
    <row r="660" s="58" customFormat="1" customHeight="1" spans="1:1020 1030:2040 2050:2570">
      <c r="A660" s="87"/>
      <c r="B660" s="97"/>
      <c r="C660" s="85"/>
      <c r="D660" s="75"/>
      <c r="E660" s="98"/>
      <c r="F660" s="91"/>
      <c r="G660" s="75"/>
      <c r="H660" s="77"/>
      <c r="I660" s="77"/>
      <c r="J660" s="75"/>
      <c r="K660" s="78"/>
      <c r="T660" s="83"/>
      <c r="AD660" s="83"/>
      <c r="AN660" s="83"/>
      <c r="AX660" s="83"/>
      <c r="BH660" s="83"/>
      <c r="BR660" s="83"/>
      <c r="CB660" s="83"/>
      <c r="CL660" s="83"/>
      <c r="CV660" s="83"/>
      <c r="DF660" s="83"/>
      <c r="DP660" s="83"/>
      <c r="DZ660" s="83"/>
      <c r="EJ660" s="83"/>
      <c r="ET660" s="83"/>
      <c r="FD660" s="83"/>
      <c r="FN660" s="83"/>
      <c r="FX660" s="83"/>
      <c r="GH660" s="83"/>
      <c r="GR660" s="83"/>
      <c r="HB660" s="83"/>
      <c r="HL660" s="83"/>
      <c r="HV660" s="83"/>
      <c r="IF660" s="83"/>
      <c r="IP660" s="83"/>
      <c r="IZ660" s="83"/>
      <c r="JJ660" s="83"/>
      <c r="JT660" s="83"/>
      <c r="KD660" s="83"/>
      <c r="KN660" s="83"/>
      <c r="KX660" s="83"/>
      <c r="LH660" s="83"/>
      <c r="LR660" s="83"/>
      <c r="MB660" s="83"/>
      <c r="ML660" s="83"/>
      <c r="MV660" s="83"/>
      <c r="NF660" s="83"/>
      <c r="NP660" s="83"/>
      <c r="NZ660" s="83"/>
      <c r="OJ660" s="83"/>
      <c r="OT660" s="83"/>
      <c r="PD660" s="83"/>
      <c r="PN660" s="83"/>
      <c r="PX660" s="83"/>
      <c r="QH660" s="83"/>
      <c r="QR660" s="83"/>
      <c r="RB660" s="83"/>
      <c r="RL660" s="83"/>
      <c r="RV660" s="83"/>
      <c r="SF660" s="83"/>
      <c r="SP660" s="83"/>
      <c r="SZ660" s="83"/>
      <c r="TJ660" s="83"/>
      <c r="TT660" s="83"/>
      <c r="UD660" s="83"/>
      <c r="UN660" s="83"/>
      <c r="UX660" s="83"/>
      <c r="VH660" s="83"/>
      <c r="VR660" s="83"/>
      <c r="WB660" s="83"/>
      <c r="WL660" s="83"/>
      <c r="WV660" s="83"/>
      <c r="XF660" s="83"/>
      <c r="XP660" s="83"/>
      <c r="XZ660" s="83"/>
      <c r="YJ660" s="83"/>
      <c r="YT660" s="83"/>
      <c r="ZD660" s="83"/>
      <c r="ZN660" s="83"/>
      <c r="ZX660" s="83"/>
      <c r="AAH660" s="83"/>
      <c r="AAR660" s="83"/>
      <c r="ABB660" s="83"/>
      <c r="ABL660" s="83"/>
      <c r="ABV660" s="83"/>
      <c r="ACF660" s="83"/>
      <c r="ACP660" s="83"/>
      <c r="ACZ660" s="83"/>
      <c r="ADJ660" s="83"/>
      <c r="ADT660" s="83"/>
      <c r="AED660" s="83"/>
      <c r="AEN660" s="83"/>
      <c r="AEX660" s="83"/>
      <c r="AFH660" s="83"/>
      <c r="AFR660" s="83"/>
      <c r="AGB660" s="83"/>
      <c r="AGL660" s="83"/>
      <c r="AGV660" s="83"/>
      <c r="AHF660" s="83"/>
      <c r="AHP660" s="83"/>
      <c r="AHZ660" s="83"/>
      <c r="AIJ660" s="83"/>
      <c r="AIT660" s="83"/>
      <c r="AJD660" s="83"/>
      <c r="AJN660" s="83"/>
      <c r="AJX660" s="83"/>
      <c r="AKH660" s="83"/>
      <c r="AKR660" s="83"/>
      <c r="ALB660" s="83"/>
      <c r="ALL660" s="83"/>
      <c r="ALV660" s="83"/>
      <c r="AMF660" s="83"/>
      <c r="AMP660" s="83"/>
      <c r="AMZ660" s="83"/>
      <c r="ANJ660" s="83"/>
      <c r="ANT660" s="83"/>
      <c r="AOD660" s="83"/>
      <c r="AON660" s="83"/>
      <c r="AOX660" s="83"/>
      <c r="APH660" s="83"/>
      <c r="APR660" s="83"/>
      <c r="AQB660" s="83"/>
      <c r="AQL660" s="83"/>
      <c r="AQV660" s="83"/>
      <c r="ARF660" s="83"/>
      <c r="ARP660" s="83"/>
      <c r="ARZ660" s="83"/>
      <c r="ASJ660" s="83"/>
      <c r="AST660" s="83"/>
      <c r="ATD660" s="83"/>
      <c r="ATN660" s="83"/>
      <c r="ATX660" s="83"/>
      <c r="AUH660" s="83"/>
      <c r="AUR660" s="83"/>
      <c r="AVB660" s="83"/>
      <c r="AVL660" s="83"/>
      <c r="AVV660" s="83"/>
      <c r="AWF660" s="83"/>
      <c r="AWP660" s="83"/>
      <c r="AWZ660" s="83"/>
      <c r="AXJ660" s="83"/>
      <c r="AXT660" s="83"/>
      <c r="AYD660" s="83"/>
      <c r="AYN660" s="83"/>
      <c r="AYX660" s="83"/>
      <c r="AZH660" s="83"/>
      <c r="AZR660" s="83"/>
      <c r="BAB660" s="83"/>
      <c r="BAL660" s="83"/>
      <c r="BAV660" s="83"/>
      <c r="BBF660" s="83"/>
      <c r="BBP660" s="83"/>
      <c r="BBZ660" s="83"/>
      <c r="BCJ660" s="83"/>
      <c r="BCT660" s="83"/>
      <c r="BDD660" s="83"/>
      <c r="BDN660" s="83"/>
      <c r="BDX660" s="83"/>
      <c r="BEH660" s="83"/>
      <c r="BER660" s="83"/>
      <c r="BFB660" s="83"/>
      <c r="BFL660" s="83"/>
      <c r="BFV660" s="83"/>
      <c r="BGF660" s="83"/>
      <c r="BGP660" s="83"/>
      <c r="BGZ660" s="83"/>
      <c r="BHJ660" s="83"/>
      <c r="BHT660" s="83"/>
      <c r="BID660" s="83"/>
      <c r="BIN660" s="83"/>
      <c r="BIX660" s="83"/>
      <c r="BJH660" s="83"/>
      <c r="BJR660" s="83"/>
      <c r="BKB660" s="83"/>
      <c r="BKL660" s="83"/>
      <c r="BKV660" s="83"/>
      <c r="BLF660" s="83"/>
      <c r="BLP660" s="83"/>
      <c r="BLZ660" s="83"/>
      <c r="BMJ660" s="83"/>
      <c r="BMT660" s="83"/>
      <c r="BND660" s="83"/>
      <c r="BNN660" s="83"/>
      <c r="BNX660" s="83"/>
      <c r="BOH660" s="83"/>
      <c r="BOR660" s="83"/>
      <c r="BPB660" s="83"/>
      <c r="BPL660" s="83"/>
      <c r="BPV660" s="83"/>
      <c r="BQF660" s="83"/>
      <c r="BQP660" s="83"/>
      <c r="BQZ660" s="83"/>
      <c r="BRJ660" s="83"/>
      <c r="BRT660" s="83"/>
      <c r="BSD660" s="83"/>
      <c r="BSN660" s="83"/>
      <c r="BSX660" s="83"/>
      <c r="BTH660" s="83"/>
      <c r="BTR660" s="83"/>
      <c r="BUB660" s="83"/>
      <c r="BUL660" s="83"/>
      <c r="BUV660" s="83"/>
      <c r="BVF660" s="83"/>
      <c r="BVP660" s="83"/>
      <c r="BVZ660" s="83"/>
      <c r="BWJ660" s="83"/>
      <c r="BWT660" s="83"/>
      <c r="BXD660" s="83"/>
      <c r="BXN660" s="83"/>
      <c r="BXX660" s="83"/>
      <c r="BYH660" s="83"/>
      <c r="BYR660" s="83"/>
      <c r="BZB660" s="83"/>
      <c r="BZL660" s="83"/>
      <c r="BZV660" s="83"/>
      <c r="CAF660" s="83"/>
      <c r="CAP660" s="83"/>
      <c r="CAZ660" s="83"/>
      <c r="CBJ660" s="83"/>
      <c r="CBT660" s="83"/>
      <c r="CCD660" s="83"/>
      <c r="CCN660" s="83"/>
      <c r="CCX660" s="83"/>
      <c r="CDH660" s="83"/>
      <c r="CDR660" s="83"/>
      <c r="CEB660" s="83"/>
      <c r="CEL660" s="83"/>
      <c r="CEV660" s="83"/>
      <c r="CFF660" s="83"/>
      <c r="CFP660" s="83"/>
      <c r="CFZ660" s="83"/>
      <c r="CGJ660" s="83"/>
      <c r="CGT660" s="83"/>
      <c r="CHD660" s="83"/>
      <c r="CHN660" s="83"/>
      <c r="CHX660" s="83"/>
      <c r="CIH660" s="83"/>
      <c r="CIR660" s="83"/>
      <c r="CJB660" s="83"/>
      <c r="CJL660" s="83"/>
      <c r="CJV660" s="83"/>
      <c r="CKF660" s="83"/>
      <c r="CKP660" s="83"/>
      <c r="CKZ660" s="83"/>
      <c r="CLJ660" s="83"/>
      <c r="CLT660" s="83"/>
      <c r="CMD660" s="83"/>
      <c r="CMN660" s="83"/>
      <c r="CMX660" s="83"/>
      <c r="CNH660" s="83"/>
      <c r="CNR660" s="83"/>
      <c r="COB660" s="83"/>
      <c r="COL660" s="83"/>
      <c r="COV660" s="83"/>
      <c r="CPF660" s="83"/>
      <c r="CPP660" s="83"/>
      <c r="CPZ660" s="83"/>
      <c r="CQJ660" s="83"/>
      <c r="CQT660" s="83"/>
      <c r="CRD660" s="83"/>
      <c r="CRN660" s="83"/>
      <c r="CRX660" s="83"/>
      <c r="CSH660" s="83"/>
      <c r="CSR660" s="83"/>
      <c r="CTB660" s="83"/>
      <c r="CTL660" s="83"/>
      <c r="CTV660" s="83"/>
    </row>
    <row r="661" s="58" customFormat="1" customHeight="1" spans="1:1020 1030:2040 2050:2570">
      <c r="A661" s="87"/>
      <c r="B661" s="97"/>
      <c r="C661" s="85"/>
      <c r="D661" s="75"/>
      <c r="E661" s="98"/>
      <c r="F661" s="91"/>
      <c r="G661" s="75"/>
      <c r="H661" s="77"/>
      <c r="I661" s="77"/>
      <c r="J661" s="75"/>
      <c r="K661" s="78"/>
      <c r="T661" s="83"/>
      <c r="AD661" s="83"/>
      <c r="AN661" s="83"/>
      <c r="AX661" s="83"/>
      <c r="BH661" s="83"/>
      <c r="BR661" s="83"/>
      <c r="CB661" s="83"/>
      <c r="CL661" s="83"/>
      <c r="CV661" s="83"/>
      <c r="DF661" s="83"/>
      <c r="DP661" s="83"/>
      <c r="DZ661" s="83"/>
      <c r="EJ661" s="83"/>
      <c r="ET661" s="83"/>
      <c r="FD661" s="83"/>
      <c r="FN661" s="83"/>
      <c r="FX661" s="83"/>
      <c r="GH661" s="83"/>
      <c r="GR661" s="83"/>
      <c r="HB661" s="83"/>
      <c r="HL661" s="83"/>
      <c r="HV661" s="83"/>
      <c r="IF661" s="83"/>
      <c r="IP661" s="83"/>
      <c r="IZ661" s="83"/>
      <c r="JJ661" s="83"/>
      <c r="JT661" s="83"/>
      <c r="KD661" s="83"/>
      <c r="KN661" s="83"/>
      <c r="KX661" s="83"/>
      <c r="LH661" s="83"/>
      <c r="LR661" s="83"/>
      <c r="MB661" s="83"/>
      <c r="ML661" s="83"/>
      <c r="MV661" s="83"/>
      <c r="NF661" s="83"/>
      <c r="NP661" s="83"/>
      <c r="NZ661" s="83"/>
      <c r="OJ661" s="83"/>
      <c r="OT661" s="83"/>
      <c r="PD661" s="83"/>
      <c r="PN661" s="83"/>
      <c r="PX661" s="83"/>
      <c r="QH661" s="83"/>
      <c r="QR661" s="83"/>
      <c r="RB661" s="83"/>
      <c r="RL661" s="83"/>
      <c r="RV661" s="83"/>
      <c r="SF661" s="83"/>
      <c r="SP661" s="83"/>
      <c r="SZ661" s="83"/>
      <c r="TJ661" s="83"/>
      <c r="TT661" s="83"/>
      <c r="UD661" s="83"/>
      <c r="UN661" s="83"/>
      <c r="UX661" s="83"/>
      <c r="VH661" s="83"/>
      <c r="VR661" s="83"/>
      <c r="WB661" s="83"/>
      <c r="WL661" s="83"/>
      <c r="WV661" s="83"/>
      <c r="XF661" s="83"/>
      <c r="XP661" s="83"/>
      <c r="XZ661" s="83"/>
      <c r="YJ661" s="83"/>
      <c r="YT661" s="83"/>
      <c r="ZD661" s="83"/>
      <c r="ZN661" s="83"/>
      <c r="ZX661" s="83"/>
      <c r="AAH661" s="83"/>
      <c r="AAR661" s="83"/>
      <c r="ABB661" s="83"/>
      <c r="ABL661" s="83"/>
      <c r="ABV661" s="83"/>
      <c r="ACF661" s="83"/>
      <c r="ACP661" s="83"/>
      <c r="ACZ661" s="83"/>
      <c r="ADJ661" s="83"/>
      <c r="ADT661" s="83"/>
      <c r="AED661" s="83"/>
      <c r="AEN661" s="83"/>
      <c r="AEX661" s="83"/>
      <c r="AFH661" s="83"/>
      <c r="AFR661" s="83"/>
      <c r="AGB661" s="83"/>
      <c r="AGL661" s="83"/>
      <c r="AGV661" s="83"/>
      <c r="AHF661" s="83"/>
      <c r="AHP661" s="83"/>
      <c r="AHZ661" s="83"/>
      <c r="AIJ661" s="83"/>
      <c r="AIT661" s="83"/>
      <c r="AJD661" s="83"/>
      <c r="AJN661" s="83"/>
      <c r="AJX661" s="83"/>
      <c r="AKH661" s="83"/>
      <c r="AKR661" s="83"/>
      <c r="ALB661" s="83"/>
      <c r="ALL661" s="83"/>
      <c r="ALV661" s="83"/>
      <c r="AMF661" s="83"/>
      <c r="AMP661" s="83"/>
      <c r="AMZ661" s="83"/>
      <c r="ANJ661" s="83"/>
      <c r="ANT661" s="83"/>
      <c r="AOD661" s="83"/>
      <c r="AON661" s="83"/>
      <c r="AOX661" s="83"/>
      <c r="APH661" s="83"/>
      <c r="APR661" s="83"/>
      <c r="AQB661" s="83"/>
      <c r="AQL661" s="83"/>
      <c r="AQV661" s="83"/>
      <c r="ARF661" s="83"/>
      <c r="ARP661" s="83"/>
      <c r="ARZ661" s="83"/>
      <c r="ASJ661" s="83"/>
      <c r="AST661" s="83"/>
      <c r="ATD661" s="83"/>
      <c r="ATN661" s="83"/>
      <c r="ATX661" s="83"/>
      <c r="AUH661" s="83"/>
      <c r="AUR661" s="83"/>
      <c r="AVB661" s="83"/>
      <c r="AVL661" s="83"/>
      <c r="AVV661" s="83"/>
      <c r="AWF661" s="83"/>
      <c r="AWP661" s="83"/>
      <c r="AWZ661" s="83"/>
      <c r="AXJ661" s="83"/>
      <c r="AXT661" s="83"/>
      <c r="AYD661" s="83"/>
      <c r="AYN661" s="83"/>
      <c r="AYX661" s="83"/>
      <c r="AZH661" s="83"/>
      <c r="AZR661" s="83"/>
      <c r="BAB661" s="83"/>
      <c r="BAL661" s="83"/>
      <c r="BAV661" s="83"/>
      <c r="BBF661" s="83"/>
      <c r="BBP661" s="83"/>
      <c r="BBZ661" s="83"/>
      <c r="BCJ661" s="83"/>
      <c r="BCT661" s="83"/>
      <c r="BDD661" s="83"/>
      <c r="BDN661" s="83"/>
      <c r="BDX661" s="83"/>
      <c r="BEH661" s="83"/>
      <c r="BER661" s="83"/>
      <c r="BFB661" s="83"/>
      <c r="BFL661" s="83"/>
      <c r="BFV661" s="83"/>
      <c r="BGF661" s="83"/>
      <c r="BGP661" s="83"/>
      <c r="BGZ661" s="83"/>
      <c r="BHJ661" s="83"/>
      <c r="BHT661" s="83"/>
      <c r="BID661" s="83"/>
      <c r="BIN661" s="83"/>
      <c r="BIX661" s="83"/>
      <c r="BJH661" s="83"/>
      <c r="BJR661" s="83"/>
      <c r="BKB661" s="83"/>
      <c r="BKL661" s="83"/>
      <c r="BKV661" s="83"/>
      <c r="BLF661" s="83"/>
      <c r="BLP661" s="83"/>
      <c r="BLZ661" s="83"/>
      <c r="BMJ661" s="83"/>
      <c r="BMT661" s="83"/>
      <c r="BND661" s="83"/>
      <c r="BNN661" s="83"/>
      <c r="BNX661" s="83"/>
      <c r="BOH661" s="83"/>
      <c r="BOR661" s="83"/>
      <c r="BPB661" s="83"/>
      <c r="BPL661" s="83"/>
      <c r="BPV661" s="83"/>
      <c r="BQF661" s="83"/>
      <c r="BQP661" s="83"/>
      <c r="BQZ661" s="83"/>
      <c r="BRJ661" s="83"/>
      <c r="BRT661" s="83"/>
      <c r="BSD661" s="83"/>
      <c r="BSN661" s="83"/>
      <c r="BSX661" s="83"/>
      <c r="BTH661" s="83"/>
      <c r="BTR661" s="83"/>
      <c r="BUB661" s="83"/>
      <c r="BUL661" s="83"/>
      <c r="BUV661" s="83"/>
      <c r="BVF661" s="83"/>
      <c r="BVP661" s="83"/>
      <c r="BVZ661" s="83"/>
      <c r="BWJ661" s="83"/>
      <c r="BWT661" s="83"/>
      <c r="BXD661" s="83"/>
      <c r="BXN661" s="83"/>
      <c r="BXX661" s="83"/>
      <c r="BYH661" s="83"/>
      <c r="BYR661" s="83"/>
      <c r="BZB661" s="83"/>
      <c r="BZL661" s="83"/>
      <c r="BZV661" s="83"/>
      <c r="CAF661" s="83"/>
      <c r="CAP661" s="83"/>
      <c r="CAZ661" s="83"/>
      <c r="CBJ661" s="83"/>
      <c r="CBT661" s="83"/>
      <c r="CCD661" s="83"/>
      <c r="CCN661" s="83"/>
      <c r="CCX661" s="83"/>
      <c r="CDH661" s="83"/>
      <c r="CDR661" s="83"/>
      <c r="CEB661" s="83"/>
      <c r="CEL661" s="83"/>
      <c r="CEV661" s="83"/>
      <c r="CFF661" s="83"/>
      <c r="CFP661" s="83"/>
      <c r="CFZ661" s="83"/>
      <c r="CGJ661" s="83"/>
      <c r="CGT661" s="83"/>
      <c r="CHD661" s="83"/>
      <c r="CHN661" s="83"/>
      <c r="CHX661" s="83"/>
      <c r="CIH661" s="83"/>
      <c r="CIR661" s="83"/>
      <c r="CJB661" s="83"/>
      <c r="CJL661" s="83"/>
      <c r="CJV661" s="83"/>
      <c r="CKF661" s="83"/>
      <c r="CKP661" s="83"/>
      <c r="CKZ661" s="83"/>
      <c r="CLJ661" s="83"/>
      <c r="CLT661" s="83"/>
      <c r="CMD661" s="83"/>
      <c r="CMN661" s="83"/>
      <c r="CMX661" s="83"/>
      <c r="CNH661" s="83"/>
      <c r="CNR661" s="83"/>
      <c r="COB661" s="83"/>
      <c r="COL661" s="83"/>
      <c r="COV661" s="83"/>
      <c r="CPF661" s="83"/>
      <c r="CPP661" s="83"/>
      <c r="CPZ661" s="83"/>
      <c r="CQJ661" s="83"/>
      <c r="CQT661" s="83"/>
      <c r="CRD661" s="83"/>
      <c r="CRN661" s="83"/>
      <c r="CRX661" s="83"/>
      <c r="CSH661" s="83"/>
      <c r="CSR661" s="83"/>
      <c r="CTB661" s="83"/>
      <c r="CTL661" s="83"/>
      <c r="CTV661" s="83"/>
    </row>
    <row r="662" s="58" customFormat="1" customHeight="1" spans="1:1020 1030:2040 2050:2570">
      <c r="A662" s="87"/>
      <c r="B662" s="97"/>
      <c r="C662" s="85"/>
      <c r="D662" s="75"/>
      <c r="E662" s="98"/>
      <c r="F662" s="91"/>
      <c r="G662" s="75"/>
      <c r="H662" s="77"/>
      <c r="I662" s="77"/>
      <c r="J662" s="75"/>
      <c r="K662" s="78"/>
      <c r="T662" s="83"/>
      <c r="AD662" s="83"/>
      <c r="AN662" s="83"/>
      <c r="AX662" s="83"/>
      <c r="BH662" s="83"/>
      <c r="BR662" s="83"/>
      <c r="CB662" s="83"/>
      <c r="CL662" s="83"/>
      <c r="CV662" s="83"/>
      <c r="DF662" s="83"/>
      <c r="DP662" s="83"/>
      <c r="DZ662" s="83"/>
      <c r="EJ662" s="83"/>
      <c r="ET662" s="83"/>
      <c r="FD662" s="83"/>
      <c r="FN662" s="83"/>
      <c r="FX662" s="83"/>
      <c r="GH662" s="83"/>
      <c r="GR662" s="83"/>
      <c r="HB662" s="83"/>
      <c r="HL662" s="83"/>
      <c r="HV662" s="83"/>
      <c r="IF662" s="83"/>
      <c r="IP662" s="83"/>
      <c r="IZ662" s="83"/>
      <c r="JJ662" s="83"/>
      <c r="JT662" s="83"/>
      <c r="KD662" s="83"/>
      <c r="KN662" s="83"/>
      <c r="KX662" s="83"/>
      <c r="LH662" s="83"/>
      <c r="LR662" s="83"/>
      <c r="MB662" s="83"/>
      <c r="ML662" s="83"/>
      <c r="MV662" s="83"/>
      <c r="NF662" s="83"/>
      <c r="NP662" s="83"/>
      <c r="NZ662" s="83"/>
      <c r="OJ662" s="83"/>
      <c r="OT662" s="83"/>
      <c r="PD662" s="83"/>
      <c r="PN662" s="83"/>
      <c r="PX662" s="83"/>
      <c r="QH662" s="83"/>
      <c r="QR662" s="83"/>
      <c r="RB662" s="83"/>
      <c r="RL662" s="83"/>
      <c r="RV662" s="83"/>
      <c r="SF662" s="83"/>
      <c r="SP662" s="83"/>
      <c r="SZ662" s="83"/>
      <c r="TJ662" s="83"/>
      <c r="TT662" s="83"/>
      <c r="UD662" s="83"/>
      <c r="UN662" s="83"/>
      <c r="UX662" s="83"/>
      <c r="VH662" s="83"/>
      <c r="VR662" s="83"/>
      <c r="WB662" s="83"/>
      <c r="WL662" s="83"/>
      <c r="WV662" s="83"/>
      <c r="XF662" s="83"/>
      <c r="XP662" s="83"/>
      <c r="XZ662" s="83"/>
      <c r="YJ662" s="83"/>
      <c r="YT662" s="83"/>
      <c r="ZD662" s="83"/>
      <c r="ZN662" s="83"/>
      <c r="ZX662" s="83"/>
      <c r="AAH662" s="83"/>
      <c r="AAR662" s="83"/>
      <c r="ABB662" s="83"/>
      <c r="ABL662" s="83"/>
      <c r="ABV662" s="83"/>
      <c r="ACF662" s="83"/>
      <c r="ACP662" s="83"/>
      <c r="ACZ662" s="83"/>
      <c r="ADJ662" s="83"/>
      <c r="ADT662" s="83"/>
      <c r="AED662" s="83"/>
      <c r="AEN662" s="83"/>
      <c r="AEX662" s="83"/>
      <c r="AFH662" s="83"/>
      <c r="AFR662" s="83"/>
      <c r="AGB662" s="83"/>
      <c r="AGL662" s="83"/>
      <c r="AGV662" s="83"/>
      <c r="AHF662" s="83"/>
      <c r="AHP662" s="83"/>
      <c r="AHZ662" s="83"/>
      <c r="AIJ662" s="83"/>
      <c r="AIT662" s="83"/>
      <c r="AJD662" s="83"/>
      <c r="AJN662" s="83"/>
      <c r="AJX662" s="83"/>
      <c r="AKH662" s="83"/>
      <c r="AKR662" s="83"/>
      <c r="ALB662" s="83"/>
      <c r="ALL662" s="83"/>
      <c r="ALV662" s="83"/>
      <c r="AMF662" s="83"/>
      <c r="AMP662" s="83"/>
      <c r="AMZ662" s="83"/>
      <c r="ANJ662" s="83"/>
      <c r="ANT662" s="83"/>
      <c r="AOD662" s="83"/>
      <c r="AON662" s="83"/>
      <c r="AOX662" s="83"/>
      <c r="APH662" s="83"/>
      <c r="APR662" s="83"/>
      <c r="AQB662" s="83"/>
      <c r="AQL662" s="83"/>
      <c r="AQV662" s="83"/>
      <c r="ARF662" s="83"/>
      <c r="ARP662" s="83"/>
      <c r="ARZ662" s="83"/>
      <c r="ASJ662" s="83"/>
      <c r="AST662" s="83"/>
      <c r="ATD662" s="83"/>
      <c r="ATN662" s="83"/>
      <c r="ATX662" s="83"/>
      <c r="AUH662" s="83"/>
      <c r="AUR662" s="83"/>
      <c r="AVB662" s="83"/>
      <c r="AVL662" s="83"/>
      <c r="AVV662" s="83"/>
      <c r="AWF662" s="83"/>
      <c r="AWP662" s="83"/>
      <c r="AWZ662" s="83"/>
      <c r="AXJ662" s="83"/>
      <c r="AXT662" s="83"/>
      <c r="AYD662" s="83"/>
      <c r="AYN662" s="83"/>
      <c r="AYX662" s="83"/>
      <c r="AZH662" s="83"/>
      <c r="AZR662" s="83"/>
      <c r="BAB662" s="83"/>
      <c r="BAL662" s="83"/>
      <c r="BAV662" s="83"/>
      <c r="BBF662" s="83"/>
      <c r="BBP662" s="83"/>
      <c r="BBZ662" s="83"/>
      <c r="BCJ662" s="83"/>
      <c r="BCT662" s="83"/>
      <c r="BDD662" s="83"/>
      <c r="BDN662" s="83"/>
      <c r="BDX662" s="83"/>
      <c r="BEH662" s="83"/>
      <c r="BER662" s="83"/>
      <c r="BFB662" s="83"/>
      <c r="BFL662" s="83"/>
      <c r="BFV662" s="83"/>
      <c r="BGF662" s="83"/>
      <c r="BGP662" s="83"/>
      <c r="BGZ662" s="83"/>
      <c r="BHJ662" s="83"/>
      <c r="BHT662" s="83"/>
      <c r="BID662" s="83"/>
      <c r="BIN662" s="83"/>
      <c r="BIX662" s="83"/>
      <c r="BJH662" s="83"/>
      <c r="BJR662" s="83"/>
      <c r="BKB662" s="83"/>
      <c r="BKL662" s="83"/>
      <c r="BKV662" s="83"/>
      <c r="BLF662" s="83"/>
      <c r="BLP662" s="83"/>
      <c r="BLZ662" s="83"/>
      <c r="BMJ662" s="83"/>
      <c r="BMT662" s="83"/>
      <c r="BND662" s="83"/>
      <c r="BNN662" s="83"/>
      <c r="BNX662" s="83"/>
      <c r="BOH662" s="83"/>
      <c r="BOR662" s="83"/>
      <c r="BPB662" s="83"/>
      <c r="BPL662" s="83"/>
      <c r="BPV662" s="83"/>
      <c r="BQF662" s="83"/>
      <c r="BQP662" s="83"/>
      <c r="BQZ662" s="83"/>
      <c r="BRJ662" s="83"/>
      <c r="BRT662" s="83"/>
      <c r="BSD662" s="83"/>
      <c r="BSN662" s="83"/>
      <c r="BSX662" s="83"/>
      <c r="BTH662" s="83"/>
      <c r="BTR662" s="83"/>
      <c r="BUB662" s="83"/>
      <c r="BUL662" s="83"/>
      <c r="BUV662" s="83"/>
      <c r="BVF662" s="83"/>
      <c r="BVP662" s="83"/>
      <c r="BVZ662" s="83"/>
      <c r="BWJ662" s="83"/>
      <c r="BWT662" s="83"/>
      <c r="BXD662" s="83"/>
      <c r="BXN662" s="83"/>
      <c r="BXX662" s="83"/>
      <c r="BYH662" s="83"/>
      <c r="BYR662" s="83"/>
      <c r="BZB662" s="83"/>
      <c r="BZL662" s="83"/>
      <c r="BZV662" s="83"/>
      <c r="CAF662" s="83"/>
      <c r="CAP662" s="83"/>
      <c r="CAZ662" s="83"/>
      <c r="CBJ662" s="83"/>
      <c r="CBT662" s="83"/>
      <c r="CCD662" s="83"/>
      <c r="CCN662" s="83"/>
      <c r="CCX662" s="83"/>
      <c r="CDH662" s="83"/>
      <c r="CDR662" s="83"/>
      <c r="CEB662" s="83"/>
      <c r="CEL662" s="83"/>
      <c r="CEV662" s="83"/>
      <c r="CFF662" s="83"/>
      <c r="CFP662" s="83"/>
      <c r="CFZ662" s="83"/>
      <c r="CGJ662" s="83"/>
      <c r="CGT662" s="83"/>
      <c r="CHD662" s="83"/>
      <c r="CHN662" s="83"/>
      <c r="CHX662" s="83"/>
      <c r="CIH662" s="83"/>
      <c r="CIR662" s="83"/>
      <c r="CJB662" s="83"/>
      <c r="CJL662" s="83"/>
      <c r="CJV662" s="83"/>
      <c r="CKF662" s="83"/>
      <c r="CKP662" s="83"/>
      <c r="CKZ662" s="83"/>
      <c r="CLJ662" s="83"/>
      <c r="CLT662" s="83"/>
      <c r="CMD662" s="83"/>
      <c r="CMN662" s="83"/>
      <c r="CMX662" s="83"/>
      <c r="CNH662" s="83"/>
      <c r="CNR662" s="83"/>
      <c r="COB662" s="83"/>
      <c r="COL662" s="83"/>
      <c r="COV662" s="83"/>
      <c r="CPF662" s="83"/>
      <c r="CPP662" s="83"/>
      <c r="CPZ662" s="83"/>
      <c r="CQJ662" s="83"/>
      <c r="CQT662" s="83"/>
      <c r="CRD662" s="83"/>
      <c r="CRN662" s="83"/>
      <c r="CRX662" s="83"/>
      <c r="CSH662" s="83"/>
      <c r="CSR662" s="83"/>
      <c r="CTB662" s="83"/>
      <c r="CTL662" s="83"/>
      <c r="CTV662" s="83"/>
    </row>
    <row r="663" s="58" customFormat="1" customHeight="1" spans="1:1020 1030:2040 2050:2570">
      <c r="A663" s="87"/>
      <c r="B663" s="97"/>
      <c r="C663" s="85"/>
      <c r="D663" s="75"/>
      <c r="E663" s="98"/>
      <c r="F663" s="91"/>
      <c r="G663" s="75"/>
      <c r="H663" s="77"/>
      <c r="I663" s="77"/>
      <c r="J663" s="75"/>
      <c r="K663" s="78"/>
      <c r="T663" s="83"/>
      <c r="AD663" s="83"/>
      <c r="AN663" s="83"/>
      <c r="AX663" s="83"/>
      <c r="BH663" s="83"/>
      <c r="BR663" s="83"/>
      <c r="CB663" s="83"/>
      <c r="CL663" s="83"/>
      <c r="CV663" s="83"/>
      <c r="DF663" s="83"/>
      <c r="DP663" s="83"/>
      <c r="DZ663" s="83"/>
      <c r="EJ663" s="83"/>
      <c r="ET663" s="83"/>
      <c r="FD663" s="83"/>
      <c r="FN663" s="83"/>
      <c r="FX663" s="83"/>
      <c r="GH663" s="83"/>
      <c r="GR663" s="83"/>
      <c r="HB663" s="83"/>
      <c r="HL663" s="83"/>
      <c r="HV663" s="83"/>
      <c r="IF663" s="83"/>
      <c r="IP663" s="83"/>
      <c r="IZ663" s="83"/>
      <c r="JJ663" s="83"/>
      <c r="JT663" s="83"/>
      <c r="KD663" s="83"/>
      <c r="KN663" s="83"/>
      <c r="KX663" s="83"/>
      <c r="LH663" s="83"/>
      <c r="LR663" s="83"/>
      <c r="MB663" s="83"/>
      <c r="ML663" s="83"/>
      <c r="MV663" s="83"/>
      <c r="NF663" s="83"/>
      <c r="NP663" s="83"/>
      <c r="NZ663" s="83"/>
      <c r="OJ663" s="83"/>
      <c r="OT663" s="83"/>
      <c r="PD663" s="83"/>
      <c r="PN663" s="83"/>
      <c r="PX663" s="83"/>
      <c r="QH663" s="83"/>
      <c r="QR663" s="83"/>
      <c r="RB663" s="83"/>
      <c r="RL663" s="83"/>
      <c r="RV663" s="83"/>
      <c r="SF663" s="83"/>
      <c r="SP663" s="83"/>
      <c r="SZ663" s="83"/>
      <c r="TJ663" s="83"/>
      <c r="TT663" s="83"/>
      <c r="UD663" s="83"/>
      <c r="UN663" s="83"/>
      <c r="UX663" s="83"/>
      <c r="VH663" s="83"/>
      <c r="VR663" s="83"/>
      <c r="WB663" s="83"/>
      <c r="WL663" s="83"/>
      <c r="WV663" s="83"/>
      <c r="XF663" s="83"/>
      <c r="XP663" s="83"/>
      <c r="XZ663" s="83"/>
      <c r="YJ663" s="83"/>
      <c r="YT663" s="83"/>
      <c r="ZD663" s="83"/>
      <c r="ZN663" s="83"/>
      <c r="ZX663" s="83"/>
      <c r="AAH663" s="83"/>
      <c r="AAR663" s="83"/>
      <c r="ABB663" s="83"/>
      <c r="ABL663" s="83"/>
      <c r="ABV663" s="83"/>
      <c r="ACF663" s="83"/>
      <c r="ACP663" s="83"/>
      <c r="ACZ663" s="83"/>
      <c r="ADJ663" s="83"/>
      <c r="ADT663" s="83"/>
      <c r="AED663" s="83"/>
      <c r="AEN663" s="83"/>
      <c r="AEX663" s="83"/>
      <c r="AFH663" s="83"/>
      <c r="AFR663" s="83"/>
      <c r="AGB663" s="83"/>
      <c r="AGL663" s="83"/>
      <c r="AGV663" s="83"/>
      <c r="AHF663" s="83"/>
      <c r="AHP663" s="83"/>
      <c r="AHZ663" s="83"/>
      <c r="AIJ663" s="83"/>
      <c r="AIT663" s="83"/>
      <c r="AJD663" s="83"/>
      <c r="AJN663" s="83"/>
      <c r="AJX663" s="83"/>
      <c r="AKH663" s="83"/>
      <c r="AKR663" s="83"/>
      <c r="ALB663" s="83"/>
      <c r="ALL663" s="83"/>
      <c r="ALV663" s="83"/>
      <c r="AMF663" s="83"/>
      <c r="AMP663" s="83"/>
      <c r="AMZ663" s="83"/>
      <c r="ANJ663" s="83"/>
      <c r="ANT663" s="83"/>
      <c r="AOD663" s="83"/>
      <c r="AON663" s="83"/>
      <c r="AOX663" s="83"/>
      <c r="APH663" s="83"/>
      <c r="APR663" s="83"/>
      <c r="AQB663" s="83"/>
      <c r="AQL663" s="83"/>
      <c r="AQV663" s="83"/>
      <c r="ARF663" s="83"/>
      <c r="ARP663" s="83"/>
      <c r="ARZ663" s="83"/>
      <c r="ASJ663" s="83"/>
      <c r="AST663" s="83"/>
      <c r="ATD663" s="83"/>
      <c r="ATN663" s="83"/>
      <c r="ATX663" s="83"/>
      <c r="AUH663" s="83"/>
      <c r="AUR663" s="83"/>
      <c r="AVB663" s="83"/>
      <c r="AVL663" s="83"/>
      <c r="AVV663" s="83"/>
      <c r="AWF663" s="83"/>
      <c r="AWP663" s="83"/>
      <c r="AWZ663" s="83"/>
      <c r="AXJ663" s="83"/>
      <c r="AXT663" s="83"/>
      <c r="AYD663" s="83"/>
      <c r="AYN663" s="83"/>
      <c r="AYX663" s="83"/>
      <c r="AZH663" s="83"/>
      <c r="AZR663" s="83"/>
      <c r="BAB663" s="83"/>
      <c r="BAL663" s="83"/>
      <c r="BAV663" s="83"/>
      <c r="BBF663" s="83"/>
      <c r="BBP663" s="83"/>
      <c r="BBZ663" s="83"/>
      <c r="BCJ663" s="83"/>
      <c r="BCT663" s="83"/>
      <c r="BDD663" s="83"/>
      <c r="BDN663" s="83"/>
      <c r="BDX663" s="83"/>
      <c r="BEH663" s="83"/>
      <c r="BER663" s="83"/>
      <c r="BFB663" s="83"/>
      <c r="BFL663" s="83"/>
      <c r="BFV663" s="83"/>
      <c r="BGF663" s="83"/>
      <c r="BGP663" s="83"/>
      <c r="BGZ663" s="83"/>
      <c r="BHJ663" s="83"/>
      <c r="BHT663" s="83"/>
      <c r="BID663" s="83"/>
      <c r="BIN663" s="83"/>
      <c r="BIX663" s="83"/>
      <c r="BJH663" s="83"/>
      <c r="BJR663" s="83"/>
      <c r="BKB663" s="83"/>
      <c r="BKL663" s="83"/>
      <c r="BKV663" s="83"/>
      <c r="BLF663" s="83"/>
      <c r="BLP663" s="83"/>
      <c r="BLZ663" s="83"/>
      <c r="BMJ663" s="83"/>
      <c r="BMT663" s="83"/>
      <c r="BND663" s="83"/>
      <c r="BNN663" s="83"/>
      <c r="BNX663" s="83"/>
      <c r="BOH663" s="83"/>
      <c r="BOR663" s="83"/>
      <c r="BPB663" s="83"/>
      <c r="BPL663" s="83"/>
      <c r="BPV663" s="83"/>
      <c r="BQF663" s="83"/>
      <c r="BQP663" s="83"/>
      <c r="BQZ663" s="83"/>
      <c r="BRJ663" s="83"/>
      <c r="BRT663" s="83"/>
      <c r="BSD663" s="83"/>
      <c r="BSN663" s="83"/>
      <c r="BSX663" s="83"/>
      <c r="BTH663" s="83"/>
      <c r="BTR663" s="83"/>
      <c r="BUB663" s="83"/>
      <c r="BUL663" s="83"/>
      <c r="BUV663" s="83"/>
      <c r="BVF663" s="83"/>
      <c r="BVP663" s="83"/>
      <c r="BVZ663" s="83"/>
      <c r="BWJ663" s="83"/>
      <c r="BWT663" s="83"/>
      <c r="BXD663" s="83"/>
      <c r="BXN663" s="83"/>
      <c r="BXX663" s="83"/>
      <c r="BYH663" s="83"/>
      <c r="BYR663" s="83"/>
      <c r="BZB663" s="83"/>
      <c r="BZL663" s="83"/>
      <c r="BZV663" s="83"/>
      <c r="CAF663" s="83"/>
      <c r="CAP663" s="83"/>
      <c r="CAZ663" s="83"/>
      <c r="CBJ663" s="83"/>
      <c r="CBT663" s="83"/>
      <c r="CCD663" s="83"/>
      <c r="CCN663" s="83"/>
      <c r="CCX663" s="83"/>
      <c r="CDH663" s="83"/>
      <c r="CDR663" s="83"/>
      <c r="CEB663" s="83"/>
      <c r="CEL663" s="83"/>
      <c r="CEV663" s="83"/>
      <c r="CFF663" s="83"/>
      <c r="CFP663" s="83"/>
      <c r="CFZ663" s="83"/>
      <c r="CGJ663" s="83"/>
      <c r="CGT663" s="83"/>
      <c r="CHD663" s="83"/>
      <c r="CHN663" s="83"/>
      <c r="CHX663" s="83"/>
      <c r="CIH663" s="83"/>
      <c r="CIR663" s="83"/>
      <c r="CJB663" s="83"/>
      <c r="CJL663" s="83"/>
      <c r="CJV663" s="83"/>
      <c r="CKF663" s="83"/>
      <c r="CKP663" s="83"/>
      <c r="CKZ663" s="83"/>
      <c r="CLJ663" s="83"/>
      <c r="CLT663" s="83"/>
      <c r="CMD663" s="83"/>
      <c r="CMN663" s="83"/>
      <c r="CMX663" s="83"/>
      <c r="CNH663" s="83"/>
      <c r="CNR663" s="83"/>
      <c r="COB663" s="83"/>
      <c r="COL663" s="83"/>
      <c r="COV663" s="83"/>
      <c r="CPF663" s="83"/>
      <c r="CPP663" s="83"/>
      <c r="CPZ663" s="83"/>
      <c r="CQJ663" s="83"/>
      <c r="CQT663" s="83"/>
      <c r="CRD663" s="83"/>
      <c r="CRN663" s="83"/>
      <c r="CRX663" s="83"/>
      <c r="CSH663" s="83"/>
      <c r="CSR663" s="83"/>
      <c r="CTB663" s="83"/>
      <c r="CTL663" s="83"/>
      <c r="CTV663" s="83"/>
    </row>
    <row r="664" s="58" customFormat="1" customHeight="1" spans="1:1020 1030:2040 2050:2570">
      <c r="A664" s="87"/>
      <c r="B664" s="97"/>
      <c r="C664" s="85"/>
      <c r="D664" s="75"/>
      <c r="E664" s="98"/>
      <c r="F664" s="91"/>
      <c r="G664" s="75"/>
      <c r="H664" s="77"/>
      <c r="I664" s="77"/>
      <c r="J664" s="75"/>
      <c r="K664" s="78"/>
      <c r="T664" s="83"/>
      <c r="AD664" s="83"/>
      <c r="AN664" s="83"/>
      <c r="AX664" s="83"/>
      <c r="BH664" s="83"/>
      <c r="BR664" s="83"/>
      <c r="CB664" s="83"/>
      <c r="CL664" s="83"/>
      <c r="CV664" s="83"/>
      <c r="DF664" s="83"/>
      <c r="DP664" s="83"/>
      <c r="DZ664" s="83"/>
      <c r="EJ664" s="83"/>
      <c r="ET664" s="83"/>
      <c r="FD664" s="83"/>
      <c r="FN664" s="83"/>
      <c r="FX664" s="83"/>
      <c r="GH664" s="83"/>
      <c r="GR664" s="83"/>
      <c r="HB664" s="83"/>
      <c r="HL664" s="83"/>
      <c r="HV664" s="83"/>
      <c r="IF664" s="83"/>
      <c r="IP664" s="83"/>
      <c r="IZ664" s="83"/>
      <c r="JJ664" s="83"/>
      <c r="JT664" s="83"/>
      <c r="KD664" s="83"/>
      <c r="KN664" s="83"/>
      <c r="KX664" s="83"/>
      <c r="LH664" s="83"/>
      <c r="LR664" s="83"/>
      <c r="MB664" s="83"/>
      <c r="ML664" s="83"/>
      <c r="MV664" s="83"/>
      <c r="NF664" s="83"/>
      <c r="NP664" s="83"/>
      <c r="NZ664" s="83"/>
      <c r="OJ664" s="83"/>
      <c r="OT664" s="83"/>
      <c r="PD664" s="83"/>
      <c r="PN664" s="83"/>
      <c r="PX664" s="83"/>
      <c r="QH664" s="83"/>
      <c r="QR664" s="83"/>
      <c r="RB664" s="83"/>
      <c r="RL664" s="83"/>
      <c r="RV664" s="83"/>
      <c r="SF664" s="83"/>
      <c r="SP664" s="83"/>
      <c r="SZ664" s="83"/>
      <c r="TJ664" s="83"/>
      <c r="TT664" s="83"/>
      <c r="UD664" s="83"/>
      <c r="UN664" s="83"/>
      <c r="UX664" s="83"/>
      <c r="VH664" s="83"/>
      <c r="VR664" s="83"/>
      <c r="WB664" s="83"/>
      <c r="WL664" s="83"/>
      <c r="WV664" s="83"/>
      <c r="XF664" s="83"/>
      <c r="XP664" s="83"/>
      <c r="XZ664" s="83"/>
      <c r="YJ664" s="83"/>
      <c r="YT664" s="83"/>
      <c r="ZD664" s="83"/>
      <c r="ZN664" s="83"/>
      <c r="ZX664" s="83"/>
      <c r="AAH664" s="83"/>
      <c r="AAR664" s="83"/>
      <c r="ABB664" s="83"/>
      <c r="ABL664" s="83"/>
      <c r="ABV664" s="83"/>
      <c r="ACF664" s="83"/>
      <c r="ACP664" s="83"/>
      <c r="ACZ664" s="83"/>
      <c r="ADJ664" s="83"/>
      <c r="ADT664" s="83"/>
      <c r="AED664" s="83"/>
      <c r="AEN664" s="83"/>
      <c r="AEX664" s="83"/>
      <c r="AFH664" s="83"/>
      <c r="AFR664" s="83"/>
      <c r="AGB664" s="83"/>
      <c r="AGL664" s="83"/>
      <c r="AGV664" s="83"/>
      <c r="AHF664" s="83"/>
      <c r="AHP664" s="83"/>
      <c r="AHZ664" s="83"/>
      <c r="AIJ664" s="83"/>
      <c r="AIT664" s="83"/>
      <c r="AJD664" s="83"/>
      <c r="AJN664" s="83"/>
      <c r="AJX664" s="83"/>
      <c r="AKH664" s="83"/>
      <c r="AKR664" s="83"/>
      <c r="ALB664" s="83"/>
      <c r="ALL664" s="83"/>
      <c r="ALV664" s="83"/>
      <c r="AMF664" s="83"/>
      <c r="AMP664" s="83"/>
      <c r="AMZ664" s="83"/>
      <c r="ANJ664" s="83"/>
      <c r="ANT664" s="83"/>
      <c r="AOD664" s="83"/>
      <c r="AON664" s="83"/>
      <c r="AOX664" s="83"/>
      <c r="APH664" s="83"/>
      <c r="APR664" s="83"/>
      <c r="AQB664" s="83"/>
      <c r="AQL664" s="83"/>
      <c r="AQV664" s="83"/>
      <c r="ARF664" s="83"/>
      <c r="ARP664" s="83"/>
      <c r="ARZ664" s="83"/>
      <c r="ASJ664" s="83"/>
      <c r="AST664" s="83"/>
      <c r="ATD664" s="83"/>
      <c r="ATN664" s="83"/>
      <c r="ATX664" s="83"/>
      <c r="AUH664" s="83"/>
      <c r="AUR664" s="83"/>
      <c r="AVB664" s="83"/>
      <c r="AVL664" s="83"/>
      <c r="AVV664" s="83"/>
      <c r="AWF664" s="83"/>
      <c r="AWP664" s="83"/>
      <c r="AWZ664" s="83"/>
      <c r="AXJ664" s="83"/>
      <c r="AXT664" s="83"/>
      <c r="AYD664" s="83"/>
      <c r="AYN664" s="83"/>
      <c r="AYX664" s="83"/>
      <c r="AZH664" s="83"/>
      <c r="AZR664" s="83"/>
      <c r="BAB664" s="83"/>
      <c r="BAL664" s="83"/>
      <c r="BAV664" s="83"/>
      <c r="BBF664" s="83"/>
      <c r="BBP664" s="83"/>
      <c r="BBZ664" s="83"/>
      <c r="BCJ664" s="83"/>
      <c r="BCT664" s="83"/>
      <c r="BDD664" s="83"/>
      <c r="BDN664" s="83"/>
      <c r="BDX664" s="83"/>
      <c r="BEH664" s="83"/>
      <c r="BER664" s="83"/>
      <c r="BFB664" s="83"/>
      <c r="BFL664" s="83"/>
      <c r="BFV664" s="83"/>
      <c r="BGF664" s="83"/>
      <c r="BGP664" s="83"/>
      <c r="BGZ664" s="83"/>
      <c r="BHJ664" s="83"/>
      <c r="BHT664" s="83"/>
      <c r="BID664" s="83"/>
      <c r="BIN664" s="83"/>
      <c r="BIX664" s="83"/>
      <c r="BJH664" s="83"/>
      <c r="BJR664" s="83"/>
      <c r="BKB664" s="83"/>
      <c r="BKL664" s="83"/>
      <c r="BKV664" s="83"/>
      <c r="BLF664" s="83"/>
      <c r="BLP664" s="83"/>
      <c r="BLZ664" s="83"/>
      <c r="BMJ664" s="83"/>
      <c r="BMT664" s="83"/>
      <c r="BND664" s="83"/>
      <c r="BNN664" s="83"/>
      <c r="BNX664" s="83"/>
      <c r="BOH664" s="83"/>
      <c r="BOR664" s="83"/>
      <c r="BPB664" s="83"/>
      <c r="BPL664" s="83"/>
      <c r="BPV664" s="83"/>
      <c r="BQF664" s="83"/>
      <c r="BQP664" s="83"/>
      <c r="BQZ664" s="83"/>
      <c r="BRJ664" s="83"/>
      <c r="BRT664" s="83"/>
      <c r="BSD664" s="83"/>
      <c r="BSN664" s="83"/>
      <c r="BSX664" s="83"/>
      <c r="BTH664" s="83"/>
      <c r="BTR664" s="83"/>
      <c r="BUB664" s="83"/>
      <c r="BUL664" s="83"/>
      <c r="BUV664" s="83"/>
      <c r="BVF664" s="83"/>
      <c r="BVP664" s="83"/>
      <c r="BVZ664" s="83"/>
      <c r="BWJ664" s="83"/>
      <c r="BWT664" s="83"/>
      <c r="BXD664" s="83"/>
      <c r="BXN664" s="83"/>
      <c r="BXX664" s="83"/>
      <c r="BYH664" s="83"/>
      <c r="BYR664" s="83"/>
      <c r="BZB664" s="83"/>
      <c r="BZL664" s="83"/>
      <c r="BZV664" s="83"/>
      <c r="CAF664" s="83"/>
      <c r="CAP664" s="83"/>
      <c r="CAZ664" s="83"/>
      <c r="CBJ664" s="83"/>
      <c r="CBT664" s="83"/>
      <c r="CCD664" s="83"/>
      <c r="CCN664" s="83"/>
      <c r="CCX664" s="83"/>
      <c r="CDH664" s="83"/>
      <c r="CDR664" s="83"/>
      <c r="CEB664" s="83"/>
      <c r="CEL664" s="83"/>
      <c r="CEV664" s="83"/>
      <c r="CFF664" s="83"/>
      <c r="CFP664" s="83"/>
      <c r="CFZ664" s="83"/>
      <c r="CGJ664" s="83"/>
      <c r="CGT664" s="83"/>
      <c r="CHD664" s="83"/>
      <c r="CHN664" s="83"/>
      <c r="CHX664" s="83"/>
      <c r="CIH664" s="83"/>
      <c r="CIR664" s="83"/>
      <c r="CJB664" s="83"/>
      <c r="CJL664" s="83"/>
      <c r="CJV664" s="83"/>
      <c r="CKF664" s="83"/>
      <c r="CKP664" s="83"/>
      <c r="CKZ664" s="83"/>
      <c r="CLJ664" s="83"/>
      <c r="CLT664" s="83"/>
      <c r="CMD664" s="83"/>
      <c r="CMN664" s="83"/>
      <c r="CMX664" s="83"/>
      <c r="CNH664" s="83"/>
      <c r="CNR664" s="83"/>
      <c r="COB664" s="83"/>
      <c r="COL664" s="83"/>
      <c r="COV664" s="83"/>
      <c r="CPF664" s="83"/>
      <c r="CPP664" s="83"/>
      <c r="CPZ664" s="83"/>
      <c r="CQJ664" s="83"/>
      <c r="CQT664" s="83"/>
      <c r="CRD664" s="83"/>
      <c r="CRN664" s="83"/>
      <c r="CRX664" s="83"/>
      <c r="CSH664" s="83"/>
      <c r="CSR664" s="83"/>
      <c r="CTB664" s="83"/>
      <c r="CTL664" s="83"/>
      <c r="CTV664" s="83"/>
    </row>
    <row r="665" s="58" customFormat="1" customHeight="1" spans="1:1020 1030:2040 2050:2570">
      <c r="A665" s="87"/>
      <c r="B665" s="97"/>
      <c r="C665" s="85"/>
      <c r="D665" s="75"/>
      <c r="E665" s="98"/>
      <c r="F665" s="91"/>
      <c r="G665" s="75"/>
      <c r="H665" s="77"/>
      <c r="I665" s="77"/>
      <c r="J665" s="75"/>
      <c r="K665" s="78"/>
      <c r="T665" s="83"/>
      <c r="AD665" s="83"/>
      <c r="AN665" s="83"/>
      <c r="AX665" s="83"/>
      <c r="BH665" s="83"/>
      <c r="BR665" s="83"/>
      <c r="CB665" s="83"/>
      <c r="CL665" s="83"/>
      <c r="CV665" s="83"/>
      <c r="DF665" s="83"/>
      <c r="DP665" s="83"/>
      <c r="DZ665" s="83"/>
      <c r="EJ665" s="83"/>
      <c r="ET665" s="83"/>
      <c r="FD665" s="83"/>
      <c r="FN665" s="83"/>
      <c r="FX665" s="83"/>
      <c r="GH665" s="83"/>
      <c r="GR665" s="83"/>
      <c r="HB665" s="83"/>
      <c r="HL665" s="83"/>
      <c r="HV665" s="83"/>
      <c r="IF665" s="83"/>
      <c r="IP665" s="83"/>
      <c r="IZ665" s="83"/>
      <c r="JJ665" s="83"/>
      <c r="JT665" s="83"/>
      <c r="KD665" s="83"/>
      <c r="KN665" s="83"/>
      <c r="KX665" s="83"/>
      <c r="LH665" s="83"/>
      <c r="LR665" s="83"/>
      <c r="MB665" s="83"/>
      <c r="ML665" s="83"/>
      <c r="MV665" s="83"/>
      <c r="NF665" s="83"/>
      <c r="NP665" s="83"/>
      <c r="NZ665" s="83"/>
      <c r="OJ665" s="83"/>
      <c r="OT665" s="83"/>
      <c r="PD665" s="83"/>
      <c r="PN665" s="83"/>
      <c r="PX665" s="83"/>
      <c r="QH665" s="83"/>
      <c r="QR665" s="83"/>
      <c r="RB665" s="83"/>
      <c r="RL665" s="83"/>
      <c r="RV665" s="83"/>
      <c r="SF665" s="83"/>
      <c r="SP665" s="83"/>
      <c r="SZ665" s="83"/>
      <c r="TJ665" s="83"/>
      <c r="TT665" s="83"/>
      <c r="UD665" s="83"/>
      <c r="UN665" s="83"/>
      <c r="UX665" s="83"/>
      <c r="VH665" s="83"/>
      <c r="VR665" s="83"/>
      <c r="WB665" s="83"/>
      <c r="WL665" s="83"/>
      <c r="WV665" s="83"/>
      <c r="XF665" s="83"/>
      <c r="XP665" s="83"/>
      <c r="XZ665" s="83"/>
      <c r="YJ665" s="83"/>
      <c r="YT665" s="83"/>
      <c r="ZD665" s="83"/>
      <c r="ZN665" s="83"/>
      <c r="ZX665" s="83"/>
      <c r="AAH665" s="83"/>
      <c r="AAR665" s="83"/>
      <c r="ABB665" s="83"/>
      <c r="ABL665" s="83"/>
      <c r="ABV665" s="83"/>
      <c r="ACF665" s="83"/>
      <c r="ACP665" s="83"/>
      <c r="ACZ665" s="83"/>
      <c r="ADJ665" s="83"/>
      <c r="ADT665" s="83"/>
      <c r="AED665" s="83"/>
      <c r="AEN665" s="83"/>
      <c r="AEX665" s="83"/>
      <c r="AFH665" s="83"/>
      <c r="AFR665" s="83"/>
      <c r="AGB665" s="83"/>
      <c r="AGL665" s="83"/>
      <c r="AGV665" s="83"/>
      <c r="AHF665" s="83"/>
      <c r="AHP665" s="83"/>
      <c r="AHZ665" s="83"/>
      <c r="AIJ665" s="83"/>
      <c r="AIT665" s="83"/>
      <c r="AJD665" s="83"/>
      <c r="AJN665" s="83"/>
      <c r="AJX665" s="83"/>
      <c r="AKH665" s="83"/>
      <c r="AKR665" s="83"/>
      <c r="ALB665" s="83"/>
      <c r="ALL665" s="83"/>
      <c r="ALV665" s="83"/>
      <c r="AMF665" s="83"/>
      <c r="AMP665" s="83"/>
      <c r="AMZ665" s="83"/>
      <c r="ANJ665" s="83"/>
      <c r="ANT665" s="83"/>
      <c r="AOD665" s="83"/>
      <c r="AON665" s="83"/>
      <c r="AOX665" s="83"/>
      <c r="APH665" s="83"/>
      <c r="APR665" s="83"/>
      <c r="AQB665" s="83"/>
      <c r="AQL665" s="83"/>
      <c r="AQV665" s="83"/>
      <c r="ARF665" s="83"/>
      <c r="ARP665" s="83"/>
      <c r="ARZ665" s="83"/>
      <c r="ASJ665" s="83"/>
      <c r="AST665" s="83"/>
      <c r="ATD665" s="83"/>
      <c r="ATN665" s="83"/>
      <c r="ATX665" s="83"/>
      <c r="AUH665" s="83"/>
      <c r="AUR665" s="83"/>
      <c r="AVB665" s="83"/>
      <c r="AVL665" s="83"/>
      <c r="AVV665" s="83"/>
      <c r="AWF665" s="83"/>
      <c r="AWP665" s="83"/>
      <c r="AWZ665" s="83"/>
      <c r="AXJ665" s="83"/>
      <c r="AXT665" s="83"/>
      <c r="AYD665" s="83"/>
      <c r="AYN665" s="83"/>
      <c r="AYX665" s="83"/>
      <c r="AZH665" s="83"/>
      <c r="AZR665" s="83"/>
      <c r="BAB665" s="83"/>
      <c r="BAL665" s="83"/>
      <c r="BAV665" s="83"/>
      <c r="BBF665" s="83"/>
      <c r="BBP665" s="83"/>
      <c r="BBZ665" s="83"/>
      <c r="BCJ665" s="83"/>
      <c r="BCT665" s="83"/>
      <c r="BDD665" s="83"/>
      <c r="BDN665" s="83"/>
      <c r="BDX665" s="83"/>
      <c r="BEH665" s="83"/>
      <c r="BER665" s="83"/>
      <c r="BFB665" s="83"/>
      <c r="BFL665" s="83"/>
      <c r="BFV665" s="83"/>
      <c r="BGF665" s="83"/>
      <c r="BGP665" s="83"/>
      <c r="BGZ665" s="83"/>
      <c r="BHJ665" s="83"/>
      <c r="BHT665" s="83"/>
      <c r="BID665" s="83"/>
      <c r="BIN665" s="83"/>
      <c r="BIX665" s="83"/>
      <c r="BJH665" s="83"/>
      <c r="BJR665" s="83"/>
      <c r="BKB665" s="83"/>
      <c r="BKL665" s="83"/>
      <c r="BKV665" s="83"/>
      <c r="BLF665" s="83"/>
      <c r="BLP665" s="83"/>
      <c r="BLZ665" s="83"/>
      <c r="BMJ665" s="83"/>
      <c r="BMT665" s="83"/>
      <c r="BND665" s="83"/>
      <c r="BNN665" s="83"/>
      <c r="BNX665" s="83"/>
      <c r="BOH665" s="83"/>
      <c r="BOR665" s="83"/>
      <c r="BPB665" s="83"/>
      <c r="BPL665" s="83"/>
      <c r="BPV665" s="83"/>
      <c r="BQF665" s="83"/>
      <c r="BQP665" s="83"/>
      <c r="BQZ665" s="83"/>
      <c r="BRJ665" s="83"/>
      <c r="BRT665" s="83"/>
      <c r="BSD665" s="83"/>
      <c r="BSN665" s="83"/>
      <c r="BSX665" s="83"/>
      <c r="BTH665" s="83"/>
      <c r="BTR665" s="83"/>
      <c r="BUB665" s="83"/>
      <c r="BUL665" s="83"/>
      <c r="BUV665" s="83"/>
      <c r="BVF665" s="83"/>
      <c r="BVP665" s="83"/>
      <c r="BVZ665" s="83"/>
      <c r="BWJ665" s="83"/>
      <c r="BWT665" s="83"/>
      <c r="BXD665" s="83"/>
      <c r="BXN665" s="83"/>
      <c r="BXX665" s="83"/>
      <c r="BYH665" s="83"/>
      <c r="BYR665" s="83"/>
      <c r="BZB665" s="83"/>
      <c r="BZL665" s="83"/>
      <c r="BZV665" s="83"/>
      <c r="CAF665" s="83"/>
      <c r="CAP665" s="83"/>
      <c r="CAZ665" s="83"/>
      <c r="CBJ665" s="83"/>
      <c r="CBT665" s="83"/>
      <c r="CCD665" s="83"/>
      <c r="CCN665" s="83"/>
      <c r="CCX665" s="83"/>
      <c r="CDH665" s="83"/>
      <c r="CDR665" s="83"/>
      <c r="CEB665" s="83"/>
      <c r="CEL665" s="83"/>
      <c r="CEV665" s="83"/>
      <c r="CFF665" s="83"/>
      <c r="CFP665" s="83"/>
      <c r="CFZ665" s="83"/>
      <c r="CGJ665" s="83"/>
      <c r="CGT665" s="83"/>
      <c r="CHD665" s="83"/>
      <c r="CHN665" s="83"/>
      <c r="CHX665" s="83"/>
      <c r="CIH665" s="83"/>
      <c r="CIR665" s="83"/>
      <c r="CJB665" s="83"/>
      <c r="CJL665" s="83"/>
      <c r="CJV665" s="83"/>
      <c r="CKF665" s="83"/>
      <c r="CKP665" s="83"/>
      <c r="CKZ665" s="83"/>
      <c r="CLJ665" s="83"/>
      <c r="CLT665" s="83"/>
      <c r="CMD665" s="83"/>
      <c r="CMN665" s="83"/>
      <c r="CMX665" s="83"/>
      <c r="CNH665" s="83"/>
      <c r="CNR665" s="83"/>
      <c r="COB665" s="83"/>
      <c r="COL665" s="83"/>
      <c r="COV665" s="83"/>
      <c r="CPF665" s="83"/>
      <c r="CPP665" s="83"/>
      <c r="CPZ665" s="83"/>
      <c r="CQJ665" s="83"/>
      <c r="CQT665" s="83"/>
      <c r="CRD665" s="83"/>
      <c r="CRN665" s="83"/>
      <c r="CRX665" s="83"/>
      <c r="CSH665" s="83"/>
      <c r="CSR665" s="83"/>
      <c r="CTB665" s="83"/>
      <c r="CTL665" s="83"/>
      <c r="CTV665" s="83"/>
    </row>
    <row r="666" s="58" customFormat="1" customHeight="1" spans="1:1020 1030:2040 2050:2570">
      <c r="A666" s="87"/>
      <c r="B666" s="97"/>
      <c r="C666" s="85"/>
      <c r="D666" s="75"/>
      <c r="E666" s="98"/>
      <c r="F666" s="91"/>
      <c r="G666" s="75"/>
      <c r="H666" s="77"/>
      <c r="I666" s="77"/>
      <c r="J666" s="75"/>
      <c r="K666" s="78"/>
      <c r="T666" s="83"/>
      <c r="AD666" s="83"/>
      <c r="AN666" s="83"/>
      <c r="AX666" s="83"/>
      <c r="BH666" s="83"/>
      <c r="BR666" s="83"/>
      <c r="CB666" s="83"/>
      <c r="CL666" s="83"/>
      <c r="CV666" s="83"/>
      <c r="DF666" s="83"/>
      <c r="DP666" s="83"/>
      <c r="DZ666" s="83"/>
      <c r="EJ666" s="83"/>
      <c r="ET666" s="83"/>
      <c r="FD666" s="83"/>
      <c r="FN666" s="83"/>
      <c r="FX666" s="83"/>
      <c r="GH666" s="83"/>
      <c r="GR666" s="83"/>
      <c r="HB666" s="83"/>
      <c r="HL666" s="83"/>
      <c r="HV666" s="83"/>
      <c r="IF666" s="83"/>
      <c r="IP666" s="83"/>
      <c r="IZ666" s="83"/>
      <c r="JJ666" s="83"/>
      <c r="JT666" s="83"/>
      <c r="KD666" s="83"/>
      <c r="KN666" s="83"/>
      <c r="KX666" s="83"/>
      <c r="LH666" s="83"/>
      <c r="LR666" s="83"/>
      <c r="MB666" s="83"/>
      <c r="ML666" s="83"/>
      <c r="MV666" s="83"/>
      <c r="NF666" s="83"/>
      <c r="NP666" s="83"/>
      <c r="NZ666" s="83"/>
      <c r="OJ666" s="83"/>
      <c r="OT666" s="83"/>
      <c r="PD666" s="83"/>
      <c r="PN666" s="83"/>
      <c r="PX666" s="83"/>
      <c r="QH666" s="83"/>
      <c r="QR666" s="83"/>
      <c r="RB666" s="83"/>
      <c r="RL666" s="83"/>
      <c r="RV666" s="83"/>
      <c r="SF666" s="83"/>
      <c r="SP666" s="83"/>
      <c r="SZ666" s="83"/>
      <c r="TJ666" s="83"/>
      <c r="TT666" s="83"/>
      <c r="UD666" s="83"/>
      <c r="UN666" s="83"/>
      <c r="UX666" s="83"/>
      <c r="VH666" s="83"/>
      <c r="VR666" s="83"/>
      <c r="WB666" s="83"/>
      <c r="WL666" s="83"/>
      <c r="WV666" s="83"/>
      <c r="XF666" s="83"/>
      <c r="XP666" s="83"/>
      <c r="XZ666" s="83"/>
      <c r="YJ666" s="83"/>
      <c r="YT666" s="83"/>
      <c r="ZD666" s="83"/>
      <c r="ZN666" s="83"/>
      <c r="ZX666" s="83"/>
      <c r="AAH666" s="83"/>
      <c r="AAR666" s="83"/>
      <c r="ABB666" s="83"/>
      <c r="ABL666" s="83"/>
      <c r="ABV666" s="83"/>
      <c r="ACF666" s="83"/>
      <c r="ACP666" s="83"/>
      <c r="ACZ666" s="83"/>
      <c r="ADJ666" s="83"/>
      <c r="ADT666" s="83"/>
      <c r="AED666" s="83"/>
      <c r="AEN666" s="83"/>
      <c r="AEX666" s="83"/>
      <c r="AFH666" s="83"/>
      <c r="AFR666" s="83"/>
      <c r="AGB666" s="83"/>
      <c r="AGL666" s="83"/>
      <c r="AGV666" s="83"/>
      <c r="AHF666" s="83"/>
      <c r="AHP666" s="83"/>
      <c r="AHZ666" s="83"/>
      <c r="AIJ666" s="83"/>
      <c r="AIT666" s="83"/>
      <c r="AJD666" s="83"/>
      <c r="AJN666" s="83"/>
      <c r="AJX666" s="83"/>
      <c r="AKH666" s="83"/>
      <c r="AKR666" s="83"/>
      <c r="ALB666" s="83"/>
      <c r="ALL666" s="83"/>
      <c r="ALV666" s="83"/>
      <c r="AMF666" s="83"/>
      <c r="AMP666" s="83"/>
      <c r="AMZ666" s="83"/>
      <c r="ANJ666" s="83"/>
      <c r="ANT666" s="83"/>
      <c r="AOD666" s="83"/>
      <c r="AON666" s="83"/>
      <c r="AOX666" s="83"/>
      <c r="APH666" s="83"/>
      <c r="APR666" s="83"/>
      <c r="AQB666" s="83"/>
      <c r="AQL666" s="83"/>
      <c r="AQV666" s="83"/>
      <c r="ARF666" s="83"/>
      <c r="ARP666" s="83"/>
      <c r="ARZ666" s="83"/>
      <c r="ASJ666" s="83"/>
      <c r="AST666" s="83"/>
      <c r="ATD666" s="83"/>
      <c r="ATN666" s="83"/>
      <c r="ATX666" s="83"/>
      <c r="AUH666" s="83"/>
      <c r="AUR666" s="83"/>
      <c r="AVB666" s="83"/>
      <c r="AVL666" s="83"/>
      <c r="AVV666" s="83"/>
      <c r="AWF666" s="83"/>
      <c r="AWP666" s="83"/>
      <c r="AWZ666" s="83"/>
      <c r="AXJ666" s="83"/>
      <c r="AXT666" s="83"/>
      <c r="AYD666" s="83"/>
      <c r="AYN666" s="83"/>
      <c r="AYX666" s="83"/>
      <c r="AZH666" s="83"/>
      <c r="AZR666" s="83"/>
      <c r="BAB666" s="83"/>
      <c r="BAL666" s="83"/>
      <c r="BAV666" s="83"/>
      <c r="BBF666" s="83"/>
      <c r="BBP666" s="83"/>
      <c r="BBZ666" s="83"/>
      <c r="BCJ666" s="83"/>
      <c r="BCT666" s="83"/>
      <c r="BDD666" s="83"/>
      <c r="BDN666" s="83"/>
      <c r="BDX666" s="83"/>
      <c r="BEH666" s="83"/>
      <c r="BER666" s="83"/>
      <c r="BFB666" s="83"/>
      <c r="BFL666" s="83"/>
      <c r="BFV666" s="83"/>
      <c r="BGF666" s="83"/>
      <c r="BGP666" s="83"/>
      <c r="BGZ666" s="83"/>
      <c r="BHJ666" s="83"/>
      <c r="BHT666" s="83"/>
      <c r="BID666" s="83"/>
      <c r="BIN666" s="83"/>
      <c r="BIX666" s="83"/>
      <c r="BJH666" s="83"/>
      <c r="BJR666" s="83"/>
      <c r="BKB666" s="83"/>
      <c r="BKL666" s="83"/>
      <c r="BKV666" s="83"/>
      <c r="BLF666" s="83"/>
      <c r="BLP666" s="83"/>
      <c r="BLZ666" s="83"/>
      <c r="BMJ666" s="83"/>
      <c r="BMT666" s="83"/>
      <c r="BND666" s="83"/>
      <c r="BNN666" s="83"/>
      <c r="BNX666" s="83"/>
      <c r="BOH666" s="83"/>
      <c r="BOR666" s="83"/>
      <c r="BPB666" s="83"/>
      <c r="BPL666" s="83"/>
      <c r="BPV666" s="83"/>
      <c r="BQF666" s="83"/>
      <c r="BQP666" s="83"/>
      <c r="BQZ666" s="83"/>
      <c r="BRJ666" s="83"/>
      <c r="BRT666" s="83"/>
      <c r="BSD666" s="83"/>
      <c r="BSN666" s="83"/>
      <c r="BSX666" s="83"/>
      <c r="BTH666" s="83"/>
      <c r="BTR666" s="83"/>
      <c r="BUB666" s="83"/>
      <c r="BUL666" s="83"/>
      <c r="BUV666" s="83"/>
      <c r="BVF666" s="83"/>
      <c r="BVP666" s="83"/>
      <c r="BVZ666" s="83"/>
      <c r="BWJ666" s="83"/>
      <c r="BWT666" s="83"/>
      <c r="BXD666" s="83"/>
      <c r="BXN666" s="83"/>
      <c r="BXX666" s="83"/>
      <c r="BYH666" s="83"/>
      <c r="BYR666" s="83"/>
      <c r="BZB666" s="83"/>
      <c r="BZL666" s="83"/>
      <c r="BZV666" s="83"/>
      <c r="CAF666" s="83"/>
      <c r="CAP666" s="83"/>
      <c r="CAZ666" s="83"/>
      <c r="CBJ666" s="83"/>
      <c r="CBT666" s="83"/>
      <c r="CCD666" s="83"/>
      <c r="CCN666" s="83"/>
      <c r="CCX666" s="83"/>
      <c r="CDH666" s="83"/>
      <c r="CDR666" s="83"/>
      <c r="CEB666" s="83"/>
      <c r="CEL666" s="83"/>
      <c r="CEV666" s="83"/>
      <c r="CFF666" s="83"/>
      <c r="CFP666" s="83"/>
      <c r="CFZ666" s="83"/>
      <c r="CGJ666" s="83"/>
      <c r="CGT666" s="83"/>
      <c r="CHD666" s="83"/>
      <c r="CHN666" s="83"/>
      <c r="CHX666" s="83"/>
      <c r="CIH666" s="83"/>
      <c r="CIR666" s="83"/>
      <c r="CJB666" s="83"/>
      <c r="CJL666" s="83"/>
      <c r="CJV666" s="83"/>
      <c r="CKF666" s="83"/>
      <c r="CKP666" s="83"/>
      <c r="CKZ666" s="83"/>
      <c r="CLJ666" s="83"/>
      <c r="CLT666" s="83"/>
      <c r="CMD666" s="83"/>
      <c r="CMN666" s="83"/>
      <c r="CMX666" s="83"/>
      <c r="CNH666" s="83"/>
      <c r="CNR666" s="83"/>
      <c r="COB666" s="83"/>
      <c r="COL666" s="83"/>
      <c r="COV666" s="83"/>
      <c r="CPF666" s="83"/>
      <c r="CPP666" s="83"/>
      <c r="CPZ666" s="83"/>
      <c r="CQJ666" s="83"/>
      <c r="CQT666" s="83"/>
      <c r="CRD666" s="83"/>
      <c r="CRN666" s="83"/>
      <c r="CRX666" s="83"/>
      <c r="CSH666" s="83"/>
      <c r="CSR666" s="83"/>
      <c r="CTB666" s="83"/>
      <c r="CTL666" s="83"/>
      <c r="CTV666" s="83"/>
    </row>
    <row r="667" s="58" customFormat="1" customHeight="1" spans="1:1020 1030:2040 2050:2570">
      <c r="A667" s="87"/>
      <c r="B667" s="97"/>
      <c r="C667" s="85"/>
      <c r="D667" s="75"/>
      <c r="E667" s="98"/>
      <c r="F667" s="91"/>
      <c r="G667" s="75"/>
      <c r="H667" s="77"/>
      <c r="I667" s="77"/>
      <c r="J667" s="75"/>
      <c r="K667" s="78"/>
      <c r="T667" s="83"/>
      <c r="AD667" s="83"/>
      <c r="AN667" s="83"/>
      <c r="AX667" s="83"/>
      <c r="BH667" s="83"/>
      <c r="BR667" s="83"/>
      <c r="CB667" s="83"/>
      <c r="CL667" s="83"/>
      <c r="CV667" s="83"/>
      <c r="DF667" s="83"/>
      <c r="DP667" s="83"/>
      <c r="DZ667" s="83"/>
      <c r="EJ667" s="83"/>
      <c r="ET667" s="83"/>
      <c r="FD667" s="83"/>
      <c r="FN667" s="83"/>
      <c r="FX667" s="83"/>
      <c r="GH667" s="83"/>
      <c r="GR667" s="83"/>
      <c r="HB667" s="83"/>
      <c r="HL667" s="83"/>
      <c r="HV667" s="83"/>
      <c r="IF667" s="83"/>
      <c r="IP667" s="83"/>
      <c r="IZ667" s="83"/>
      <c r="JJ667" s="83"/>
      <c r="JT667" s="83"/>
      <c r="KD667" s="83"/>
      <c r="KN667" s="83"/>
      <c r="KX667" s="83"/>
      <c r="LH667" s="83"/>
      <c r="LR667" s="83"/>
      <c r="MB667" s="83"/>
      <c r="ML667" s="83"/>
      <c r="MV667" s="83"/>
      <c r="NF667" s="83"/>
      <c r="NP667" s="83"/>
      <c r="NZ667" s="83"/>
      <c r="OJ667" s="83"/>
      <c r="OT667" s="83"/>
      <c r="PD667" s="83"/>
      <c r="PN667" s="83"/>
      <c r="PX667" s="83"/>
      <c r="QH667" s="83"/>
      <c r="QR667" s="83"/>
      <c r="RB667" s="83"/>
      <c r="RL667" s="83"/>
      <c r="RV667" s="83"/>
      <c r="SF667" s="83"/>
      <c r="SP667" s="83"/>
      <c r="SZ667" s="83"/>
      <c r="TJ667" s="83"/>
      <c r="TT667" s="83"/>
      <c r="UD667" s="83"/>
      <c r="UN667" s="83"/>
      <c r="UX667" s="83"/>
      <c r="VH667" s="83"/>
      <c r="VR667" s="83"/>
      <c r="WB667" s="83"/>
      <c r="WL667" s="83"/>
      <c r="WV667" s="83"/>
      <c r="XF667" s="83"/>
      <c r="XP667" s="83"/>
      <c r="XZ667" s="83"/>
      <c r="YJ667" s="83"/>
      <c r="YT667" s="83"/>
      <c r="ZD667" s="83"/>
      <c r="ZN667" s="83"/>
      <c r="ZX667" s="83"/>
      <c r="AAH667" s="83"/>
      <c r="AAR667" s="83"/>
      <c r="ABB667" s="83"/>
      <c r="ABL667" s="83"/>
      <c r="ABV667" s="83"/>
      <c r="ACF667" s="83"/>
      <c r="ACP667" s="83"/>
      <c r="ACZ667" s="83"/>
      <c r="ADJ667" s="83"/>
      <c r="ADT667" s="83"/>
      <c r="AED667" s="83"/>
      <c r="AEN667" s="83"/>
      <c r="AEX667" s="83"/>
      <c r="AFH667" s="83"/>
      <c r="AFR667" s="83"/>
      <c r="AGB667" s="83"/>
      <c r="AGL667" s="83"/>
      <c r="AGV667" s="83"/>
      <c r="AHF667" s="83"/>
      <c r="AHP667" s="83"/>
      <c r="AHZ667" s="83"/>
      <c r="AIJ667" s="83"/>
      <c r="AIT667" s="83"/>
      <c r="AJD667" s="83"/>
      <c r="AJN667" s="83"/>
      <c r="AJX667" s="83"/>
      <c r="AKH667" s="83"/>
      <c r="AKR667" s="83"/>
      <c r="ALB667" s="83"/>
      <c r="ALL667" s="83"/>
      <c r="ALV667" s="83"/>
      <c r="AMF667" s="83"/>
      <c r="AMP667" s="83"/>
      <c r="AMZ667" s="83"/>
      <c r="ANJ667" s="83"/>
      <c r="ANT667" s="83"/>
      <c r="AOD667" s="83"/>
      <c r="AON667" s="83"/>
      <c r="AOX667" s="83"/>
      <c r="APH667" s="83"/>
      <c r="APR667" s="83"/>
      <c r="AQB667" s="83"/>
      <c r="AQL667" s="83"/>
      <c r="AQV667" s="83"/>
      <c r="ARF667" s="83"/>
      <c r="ARP667" s="83"/>
      <c r="ARZ667" s="83"/>
      <c r="ASJ667" s="83"/>
      <c r="AST667" s="83"/>
      <c r="ATD667" s="83"/>
      <c r="ATN667" s="83"/>
      <c r="ATX667" s="83"/>
      <c r="AUH667" s="83"/>
      <c r="AUR667" s="83"/>
      <c r="AVB667" s="83"/>
      <c r="AVL667" s="83"/>
      <c r="AVV667" s="83"/>
      <c r="AWF667" s="83"/>
      <c r="AWP667" s="83"/>
      <c r="AWZ667" s="83"/>
      <c r="AXJ667" s="83"/>
      <c r="AXT667" s="83"/>
      <c r="AYD667" s="83"/>
      <c r="AYN667" s="83"/>
      <c r="AYX667" s="83"/>
      <c r="AZH667" s="83"/>
      <c r="AZR667" s="83"/>
      <c r="BAB667" s="83"/>
      <c r="BAL667" s="83"/>
      <c r="BAV667" s="83"/>
      <c r="BBF667" s="83"/>
      <c r="BBP667" s="83"/>
      <c r="BBZ667" s="83"/>
      <c r="BCJ667" s="83"/>
      <c r="BCT667" s="83"/>
      <c r="BDD667" s="83"/>
      <c r="BDN667" s="83"/>
      <c r="BDX667" s="83"/>
      <c r="BEH667" s="83"/>
      <c r="BER667" s="83"/>
      <c r="BFB667" s="83"/>
      <c r="BFL667" s="83"/>
      <c r="BFV667" s="83"/>
      <c r="BGF667" s="83"/>
      <c r="BGP667" s="83"/>
      <c r="BGZ667" s="83"/>
      <c r="BHJ667" s="83"/>
      <c r="BHT667" s="83"/>
      <c r="BID667" s="83"/>
      <c r="BIN667" s="83"/>
      <c r="BIX667" s="83"/>
      <c r="BJH667" s="83"/>
      <c r="BJR667" s="83"/>
      <c r="BKB667" s="83"/>
      <c r="BKL667" s="83"/>
      <c r="BKV667" s="83"/>
      <c r="BLF667" s="83"/>
      <c r="BLP667" s="83"/>
      <c r="BLZ667" s="83"/>
      <c r="BMJ667" s="83"/>
      <c r="BMT667" s="83"/>
      <c r="BND667" s="83"/>
      <c r="BNN667" s="83"/>
      <c r="BNX667" s="83"/>
      <c r="BOH667" s="83"/>
      <c r="BOR667" s="83"/>
      <c r="BPB667" s="83"/>
      <c r="BPL667" s="83"/>
      <c r="BPV667" s="83"/>
      <c r="BQF667" s="83"/>
      <c r="BQP667" s="83"/>
      <c r="BQZ667" s="83"/>
      <c r="BRJ667" s="83"/>
      <c r="BRT667" s="83"/>
      <c r="BSD667" s="83"/>
      <c r="BSN667" s="83"/>
      <c r="BSX667" s="83"/>
      <c r="BTH667" s="83"/>
      <c r="BTR667" s="83"/>
      <c r="BUB667" s="83"/>
      <c r="BUL667" s="83"/>
      <c r="BUV667" s="83"/>
      <c r="BVF667" s="83"/>
      <c r="BVP667" s="83"/>
      <c r="BVZ667" s="83"/>
      <c r="BWJ667" s="83"/>
      <c r="BWT667" s="83"/>
      <c r="BXD667" s="83"/>
      <c r="BXN667" s="83"/>
      <c r="BXX667" s="83"/>
      <c r="BYH667" s="83"/>
      <c r="BYR667" s="83"/>
      <c r="BZB667" s="83"/>
      <c r="BZL667" s="83"/>
      <c r="BZV667" s="83"/>
      <c r="CAF667" s="83"/>
      <c r="CAP667" s="83"/>
      <c r="CAZ667" s="83"/>
      <c r="CBJ667" s="83"/>
      <c r="CBT667" s="83"/>
      <c r="CCD667" s="83"/>
      <c r="CCN667" s="83"/>
      <c r="CCX667" s="83"/>
      <c r="CDH667" s="83"/>
      <c r="CDR667" s="83"/>
      <c r="CEB667" s="83"/>
      <c r="CEL667" s="83"/>
      <c r="CEV667" s="83"/>
      <c r="CFF667" s="83"/>
      <c r="CFP667" s="83"/>
      <c r="CFZ667" s="83"/>
      <c r="CGJ667" s="83"/>
      <c r="CGT667" s="83"/>
      <c r="CHD667" s="83"/>
      <c r="CHN667" s="83"/>
      <c r="CHX667" s="83"/>
      <c r="CIH667" s="83"/>
      <c r="CIR667" s="83"/>
      <c r="CJB667" s="83"/>
      <c r="CJL667" s="83"/>
      <c r="CJV667" s="83"/>
      <c r="CKF667" s="83"/>
      <c r="CKP667" s="83"/>
      <c r="CKZ667" s="83"/>
      <c r="CLJ667" s="83"/>
      <c r="CLT667" s="83"/>
      <c r="CMD667" s="83"/>
      <c r="CMN667" s="83"/>
      <c r="CMX667" s="83"/>
      <c r="CNH667" s="83"/>
      <c r="CNR667" s="83"/>
      <c r="COB667" s="83"/>
      <c r="COL667" s="83"/>
      <c r="COV667" s="83"/>
      <c r="CPF667" s="83"/>
      <c r="CPP667" s="83"/>
      <c r="CPZ667" s="83"/>
      <c r="CQJ667" s="83"/>
      <c r="CQT667" s="83"/>
      <c r="CRD667" s="83"/>
      <c r="CRN667" s="83"/>
      <c r="CRX667" s="83"/>
      <c r="CSH667" s="83"/>
      <c r="CSR667" s="83"/>
      <c r="CTB667" s="83"/>
      <c r="CTL667" s="83"/>
      <c r="CTV667" s="83"/>
    </row>
    <row r="668" s="58" customFormat="1" customHeight="1" spans="1:1020 1030:2040 2050:2570">
      <c r="A668" s="87"/>
      <c r="B668" s="97"/>
      <c r="C668" s="85"/>
      <c r="D668" s="75"/>
      <c r="E668" s="98"/>
      <c r="F668" s="91"/>
      <c r="G668" s="75"/>
      <c r="H668" s="77"/>
      <c r="I668" s="77"/>
      <c r="J668" s="75"/>
      <c r="K668" s="78"/>
      <c r="T668" s="83"/>
      <c r="AD668" s="83"/>
      <c r="AN668" s="83"/>
      <c r="AX668" s="83"/>
      <c r="BH668" s="83"/>
      <c r="BR668" s="83"/>
      <c r="CB668" s="83"/>
      <c r="CL668" s="83"/>
      <c r="CV668" s="83"/>
      <c r="DF668" s="83"/>
      <c r="DP668" s="83"/>
      <c r="DZ668" s="83"/>
      <c r="EJ668" s="83"/>
      <c r="ET668" s="83"/>
      <c r="FD668" s="83"/>
      <c r="FN668" s="83"/>
      <c r="FX668" s="83"/>
      <c r="GH668" s="83"/>
      <c r="GR668" s="83"/>
      <c r="HB668" s="83"/>
      <c r="HL668" s="83"/>
      <c r="HV668" s="83"/>
      <c r="IF668" s="83"/>
      <c r="IP668" s="83"/>
      <c r="IZ668" s="83"/>
      <c r="JJ668" s="83"/>
      <c r="JT668" s="83"/>
      <c r="KD668" s="83"/>
      <c r="KN668" s="83"/>
      <c r="KX668" s="83"/>
      <c r="LH668" s="83"/>
      <c r="LR668" s="83"/>
      <c r="MB668" s="83"/>
      <c r="ML668" s="83"/>
      <c r="MV668" s="83"/>
      <c r="NF668" s="83"/>
      <c r="NP668" s="83"/>
      <c r="NZ668" s="83"/>
      <c r="OJ668" s="83"/>
      <c r="OT668" s="83"/>
      <c r="PD668" s="83"/>
      <c r="PN668" s="83"/>
      <c r="PX668" s="83"/>
      <c r="QH668" s="83"/>
      <c r="QR668" s="83"/>
      <c r="RB668" s="83"/>
      <c r="RL668" s="83"/>
      <c r="RV668" s="83"/>
      <c r="SF668" s="83"/>
      <c r="SP668" s="83"/>
      <c r="SZ668" s="83"/>
      <c r="TJ668" s="83"/>
      <c r="TT668" s="83"/>
      <c r="UD668" s="83"/>
      <c r="UN668" s="83"/>
      <c r="UX668" s="83"/>
      <c r="VH668" s="83"/>
      <c r="VR668" s="83"/>
      <c r="WB668" s="83"/>
      <c r="WL668" s="83"/>
      <c r="WV668" s="83"/>
      <c r="XF668" s="83"/>
      <c r="XP668" s="83"/>
      <c r="XZ668" s="83"/>
      <c r="YJ668" s="83"/>
      <c r="YT668" s="83"/>
      <c r="ZD668" s="83"/>
      <c r="ZN668" s="83"/>
      <c r="ZX668" s="83"/>
      <c r="AAH668" s="83"/>
      <c r="AAR668" s="83"/>
      <c r="ABB668" s="83"/>
      <c r="ABL668" s="83"/>
      <c r="ABV668" s="83"/>
      <c r="ACF668" s="83"/>
      <c r="ACP668" s="83"/>
      <c r="ACZ668" s="83"/>
      <c r="ADJ668" s="83"/>
      <c r="ADT668" s="83"/>
      <c r="AED668" s="83"/>
      <c r="AEN668" s="83"/>
      <c r="AEX668" s="83"/>
      <c r="AFH668" s="83"/>
      <c r="AFR668" s="83"/>
      <c r="AGB668" s="83"/>
      <c r="AGL668" s="83"/>
      <c r="AGV668" s="83"/>
      <c r="AHF668" s="83"/>
      <c r="AHP668" s="83"/>
      <c r="AHZ668" s="83"/>
      <c r="AIJ668" s="83"/>
      <c r="AIT668" s="83"/>
      <c r="AJD668" s="83"/>
      <c r="AJN668" s="83"/>
      <c r="AJX668" s="83"/>
      <c r="AKH668" s="83"/>
      <c r="AKR668" s="83"/>
      <c r="ALB668" s="83"/>
      <c r="ALL668" s="83"/>
      <c r="ALV668" s="83"/>
      <c r="AMF668" s="83"/>
      <c r="AMP668" s="83"/>
      <c r="AMZ668" s="83"/>
      <c r="ANJ668" s="83"/>
      <c r="ANT668" s="83"/>
      <c r="AOD668" s="83"/>
      <c r="AON668" s="83"/>
      <c r="AOX668" s="83"/>
      <c r="APH668" s="83"/>
      <c r="APR668" s="83"/>
      <c r="AQB668" s="83"/>
      <c r="AQL668" s="83"/>
      <c r="AQV668" s="83"/>
      <c r="ARF668" s="83"/>
      <c r="ARP668" s="83"/>
      <c r="ARZ668" s="83"/>
      <c r="ASJ668" s="83"/>
      <c r="AST668" s="83"/>
      <c r="ATD668" s="83"/>
      <c r="ATN668" s="83"/>
      <c r="ATX668" s="83"/>
      <c r="AUH668" s="83"/>
      <c r="AUR668" s="83"/>
      <c r="AVB668" s="83"/>
      <c r="AVL668" s="83"/>
      <c r="AVV668" s="83"/>
      <c r="AWF668" s="83"/>
      <c r="AWP668" s="83"/>
      <c r="AWZ668" s="83"/>
      <c r="AXJ668" s="83"/>
      <c r="AXT668" s="83"/>
      <c r="AYD668" s="83"/>
      <c r="AYN668" s="83"/>
      <c r="AYX668" s="83"/>
      <c r="AZH668" s="83"/>
      <c r="AZR668" s="83"/>
      <c r="BAB668" s="83"/>
      <c r="BAL668" s="83"/>
      <c r="BAV668" s="83"/>
      <c r="BBF668" s="83"/>
      <c r="BBP668" s="83"/>
      <c r="BBZ668" s="83"/>
      <c r="BCJ668" s="83"/>
      <c r="BCT668" s="83"/>
      <c r="BDD668" s="83"/>
      <c r="BDN668" s="83"/>
      <c r="BDX668" s="83"/>
      <c r="BEH668" s="83"/>
      <c r="BER668" s="83"/>
      <c r="BFB668" s="83"/>
      <c r="BFL668" s="83"/>
      <c r="BFV668" s="83"/>
      <c r="BGF668" s="83"/>
      <c r="BGP668" s="83"/>
      <c r="BGZ668" s="83"/>
      <c r="BHJ668" s="83"/>
      <c r="BHT668" s="83"/>
      <c r="BID668" s="83"/>
      <c r="BIN668" s="83"/>
      <c r="BIX668" s="83"/>
      <c r="BJH668" s="83"/>
      <c r="BJR668" s="83"/>
      <c r="BKB668" s="83"/>
      <c r="BKL668" s="83"/>
      <c r="BKV668" s="83"/>
      <c r="BLF668" s="83"/>
      <c r="BLP668" s="83"/>
      <c r="BLZ668" s="83"/>
      <c r="BMJ668" s="83"/>
      <c r="BMT668" s="83"/>
      <c r="BND668" s="83"/>
      <c r="BNN668" s="83"/>
      <c r="BNX668" s="83"/>
      <c r="BOH668" s="83"/>
      <c r="BOR668" s="83"/>
      <c r="BPB668" s="83"/>
      <c r="BPL668" s="83"/>
      <c r="BPV668" s="83"/>
      <c r="BQF668" s="83"/>
      <c r="BQP668" s="83"/>
      <c r="BQZ668" s="83"/>
      <c r="BRJ668" s="83"/>
      <c r="BRT668" s="83"/>
      <c r="BSD668" s="83"/>
      <c r="BSN668" s="83"/>
      <c r="BSX668" s="83"/>
      <c r="BTH668" s="83"/>
      <c r="BTR668" s="83"/>
      <c r="BUB668" s="83"/>
      <c r="BUL668" s="83"/>
      <c r="BUV668" s="83"/>
      <c r="BVF668" s="83"/>
      <c r="BVP668" s="83"/>
      <c r="BVZ668" s="83"/>
      <c r="BWJ668" s="83"/>
      <c r="BWT668" s="83"/>
      <c r="BXD668" s="83"/>
      <c r="BXN668" s="83"/>
      <c r="BXX668" s="83"/>
      <c r="BYH668" s="83"/>
      <c r="BYR668" s="83"/>
      <c r="BZB668" s="83"/>
      <c r="BZL668" s="83"/>
      <c r="BZV668" s="83"/>
      <c r="CAF668" s="83"/>
      <c r="CAP668" s="83"/>
      <c r="CAZ668" s="83"/>
      <c r="CBJ668" s="83"/>
      <c r="CBT668" s="83"/>
      <c r="CCD668" s="83"/>
      <c r="CCN668" s="83"/>
      <c r="CCX668" s="83"/>
      <c r="CDH668" s="83"/>
      <c r="CDR668" s="83"/>
      <c r="CEB668" s="83"/>
      <c r="CEL668" s="83"/>
      <c r="CEV668" s="83"/>
      <c r="CFF668" s="83"/>
      <c r="CFP668" s="83"/>
      <c r="CFZ668" s="83"/>
      <c r="CGJ668" s="83"/>
      <c r="CGT668" s="83"/>
      <c r="CHD668" s="83"/>
      <c r="CHN668" s="83"/>
      <c r="CHX668" s="83"/>
      <c r="CIH668" s="83"/>
      <c r="CIR668" s="83"/>
      <c r="CJB668" s="83"/>
      <c r="CJL668" s="83"/>
      <c r="CJV668" s="83"/>
      <c r="CKF668" s="83"/>
      <c r="CKP668" s="83"/>
      <c r="CKZ668" s="83"/>
      <c r="CLJ668" s="83"/>
      <c r="CLT668" s="83"/>
      <c r="CMD668" s="83"/>
      <c r="CMN668" s="83"/>
      <c r="CMX668" s="83"/>
      <c r="CNH668" s="83"/>
      <c r="CNR668" s="83"/>
      <c r="COB668" s="83"/>
      <c r="COL668" s="83"/>
      <c r="COV668" s="83"/>
      <c r="CPF668" s="83"/>
      <c r="CPP668" s="83"/>
      <c r="CPZ668" s="83"/>
      <c r="CQJ668" s="83"/>
      <c r="CQT668" s="83"/>
      <c r="CRD668" s="83"/>
      <c r="CRN668" s="83"/>
      <c r="CRX668" s="83"/>
      <c r="CSH668" s="83"/>
      <c r="CSR668" s="83"/>
      <c r="CTB668" s="83"/>
      <c r="CTL668" s="83"/>
      <c r="CTV668" s="83"/>
    </row>
    <row r="669" s="58" customFormat="1" customHeight="1" spans="1:1020 1030:2040 2050:2570">
      <c r="A669" s="87"/>
      <c r="B669" s="97"/>
      <c r="C669" s="85"/>
      <c r="D669" s="75"/>
      <c r="E669" s="98"/>
      <c r="F669" s="91"/>
      <c r="G669" s="75"/>
      <c r="H669" s="77"/>
      <c r="I669" s="77"/>
      <c r="J669" s="75"/>
      <c r="K669" s="78"/>
      <c r="T669" s="83"/>
      <c r="AD669" s="83"/>
      <c r="AN669" s="83"/>
      <c r="AX669" s="83"/>
      <c r="BH669" s="83"/>
      <c r="BR669" s="83"/>
      <c r="CB669" s="83"/>
      <c r="CL669" s="83"/>
      <c r="CV669" s="83"/>
      <c r="DF669" s="83"/>
      <c r="DP669" s="83"/>
      <c r="DZ669" s="83"/>
      <c r="EJ669" s="83"/>
      <c r="ET669" s="83"/>
      <c r="FD669" s="83"/>
      <c r="FN669" s="83"/>
      <c r="FX669" s="83"/>
      <c r="GH669" s="83"/>
      <c r="GR669" s="83"/>
      <c r="HB669" s="83"/>
      <c r="HL669" s="83"/>
      <c r="HV669" s="83"/>
      <c r="IF669" s="83"/>
      <c r="IP669" s="83"/>
      <c r="IZ669" s="83"/>
      <c r="JJ669" s="83"/>
      <c r="JT669" s="83"/>
      <c r="KD669" s="83"/>
      <c r="KN669" s="83"/>
      <c r="KX669" s="83"/>
      <c r="LH669" s="83"/>
      <c r="LR669" s="83"/>
      <c r="MB669" s="83"/>
      <c r="ML669" s="83"/>
      <c r="MV669" s="83"/>
      <c r="NF669" s="83"/>
      <c r="NP669" s="83"/>
      <c r="NZ669" s="83"/>
      <c r="OJ669" s="83"/>
      <c r="OT669" s="83"/>
      <c r="PD669" s="83"/>
      <c r="PN669" s="83"/>
      <c r="PX669" s="83"/>
      <c r="QH669" s="83"/>
      <c r="QR669" s="83"/>
      <c r="RB669" s="83"/>
      <c r="RL669" s="83"/>
      <c r="RV669" s="83"/>
      <c r="SF669" s="83"/>
      <c r="SP669" s="83"/>
      <c r="SZ669" s="83"/>
      <c r="TJ669" s="83"/>
      <c r="TT669" s="83"/>
      <c r="UD669" s="83"/>
      <c r="UN669" s="83"/>
      <c r="UX669" s="83"/>
      <c r="VH669" s="83"/>
      <c r="VR669" s="83"/>
      <c r="WB669" s="83"/>
      <c r="WL669" s="83"/>
      <c r="WV669" s="83"/>
      <c r="XF669" s="83"/>
      <c r="XP669" s="83"/>
      <c r="XZ669" s="83"/>
      <c r="YJ669" s="83"/>
      <c r="YT669" s="83"/>
      <c r="ZD669" s="83"/>
      <c r="ZN669" s="83"/>
      <c r="ZX669" s="83"/>
      <c r="AAH669" s="83"/>
      <c r="AAR669" s="83"/>
      <c r="ABB669" s="83"/>
      <c r="ABL669" s="83"/>
      <c r="ABV669" s="83"/>
      <c r="ACF669" s="83"/>
      <c r="ACP669" s="83"/>
      <c r="ACZ669" s="83"/>
      <c r="ADJ669" s="83"/>
      <c r="ADT669" s="83"/>
      <c r="AED669" s="83"/>
      <c r="AEN669" s="83"/>
      <c r="AEX669" s="83"/>
      <c r="AFH669" s="83"/>
      <c r="AFR669" s="83"/>
      <c r="AGB669" s="83"/>
      <c r="AGL669" s="83"/>
      <c r="AGV669" s="83"/>
      <c r="AHF669" s="83"/>
      <c r="AHP669" s="83"/>
      <c r="AHZ669" s="83"/>
      <c r="AIJ669" s="83"/>
      <c r="AIT669" s="83"/>
      <c r="AJD669" s="83"/>
      <c r="AJN669" s="83"/>
      <c r="AJX669" s="83"/>
      <c r="AKH669" s="83"/>
      <c r="AKR669" s="83"/>
      <c r="ALB669" s="83"/>
      <c r="ALL669" s="83"/>
      <c r="ALV669" s="83"/>
      <c r="AMF669" s="83"/>
      <c r="AMP669" s="83"/>
      <c r="AMZ669" s="83"/>
      <c r="ANJ669" s="83"/>
      <c r="ANT669" s="83"/>
      <c r="AOD669" s="83"/>
      <c r="AON669" s="83"/>
      <c r="AOX669" s="83"/>
      <c r="APH669" s="83"/>
      <c r="APR669" s="83"/>
      <c r="AQB669" s="83"/>
      <c r="AQL669" s="83"/>
      <c r="AQV669" s="83"/>
      <c r="ARF669" s="83"/>
      <c r="ARP669" s="83"/>
      <c r="ARZ669" s="83"/>
      <c r="ASJ669" s="83"/>
      <c r="AST669" s="83"/>
      <c r="ATD669" s="83"/>
      <c r="ATN669" s="83"/>
      <c r="ATX669" s="83"/>
      <c r="AUH669" s="83"/>
      <c r="AUR669" s="83"/>
      <c r="AVB669" s="83"/>
      <c r="AVL669" s="83"/>
      <c r="AVV669" s="83"/>
      <c r="AWF669" s="83"/>
      <c r="AWP669" s="83"/>
      <c r="AWZ669" s="83"/>
      <c r="AXJ669" s="83"/>
      <c r="AXT669" s="83"/>
      <c r="AYD669" s="83"/>
      <c r="AYN669" s="83"/>
      <c r="AYX669" s="83"/>
      <c r="AZH669" s="83"/>
      <c r="AZR669" s="83"/>
      <c r="BAB669" s="83"/>
      <c r="BAL669" s="83"/>
      <c r="BAV669" s="83"/>
      <c r="BBF669" s="83"/>
      <c r="BBP669" s="83"/>
      <c r="BBZ669" s="83"/>
      <c r="BCJ669" s="83"/>
      <c r="BCT669" s="83"/>
      <c r="BDD669" s="83"/>
      <c r="BDN669" s="83"/>
      <c r="BDX669" s="83"/>
      <c r="BEH669" s="83"/>
      <c r="BER669" s="83"/>
      <c r="BFB669" s="83"/>
      <c r="BFL669" s="83"/>
      <c r="BFV669" s="83"/>
      <c r="BGF669" s="83"/>
      <c r="BGP669" s="83"/>
      <c r="BGZ669" s="83"/>
      <c r="BHJ669" s="83"/>
      <c r="BHT669" s="83"/>
      <c r="BID669" s="83"/>
      <c r="BIN669" s="83"/>
      <c r="BIX669" s="83"/>
      <c r="BJH669" s="83"/>
      <c r="BJR669" s="83"/>
      <c r="BKB669" s="83"/>
      <c r="BKL669" s="83"/>
      <c r="BKV669" s="83"/>
      <c r="BLF669" s="83"/>
      <c r="BLP669" s="83"/>
      <c r="BLZ669" s="83"/>
      <c r="BMJ669" s="83"/>
      <c r="BMT669" s="83"/>
      <c r="BND669" s="83"/>
      <c r="BNN669" s="83"/>
      <c r="BNX669" s="83"/>
      <c r="BOH669" s="83"/>
      <c r="BOR669" s="83"/>
      <c r="BPB669" s="83"/>
      <c r="BPL669" s="83"/>
      <c r="BPV669" s="83"/>
      <c r="BQF669" s="83"/>
      <c r="BQP669" s="83"/>
      <c r="BQZ669" s="83"/>
      <c r="BRJ669" s="83"/>
      <c r="BRT669" s="83"/>
      <c r="BSD669" s="83"/>
      <c r="BSN669" s="83"/>
      <c r="BSX669" s="83"/>
      <c r="BTH669" s="83"/>
      <c r="BTR669" s="83"/>
      <c r="BUB669" s="83"/>
      <c r="BUL669" s="83"/>
      <c r="BUV669" s="83"/>
      <c r="BVF669" s="83"/>
      <c r="BVP669" s="83"/>
      <c r="BVZ669" s="83"/>
      <c r="BWJ669" s="83"/>
      <c r="BWT669" s="83"/>
      <c r="BXD669" s="83"/>
      <c r="BXN669" s="83"/>
      <c r="BXX669" s="83"/>
      <c r="BYH669" s="83"/>
      <c r="BYR669" s="83"/>
      <c r="BZB669" s="83"/>
      <c r="BZL669" s="83"/>
      <c r="BZV669" s="83"/>
      <c r="CAF669" s="83"/>
      <c r="CAP669" s="83"/>
      <c r="CAZ669" s="83"/>
      <c r="CBJ669" s="83"/>
      <c r="CBT669" s="83"/>
      <c r="CCD669" s="83"/>
      <c r="CCN669" s="83"/>
      <c r="CCX669" s="83"/>
      <c r="CDH669" s="83"/>
      <c r="CDR669" s="83"/>
      <c r="CEB669" s="83"/>
      <c r="CEL669" s="83"/>
      <c r="CEV669" s="83"/>
      <c r="CFF669" s="83"/>
      <c r="CFP669" s="83"/>
      <c r="CFZ669" s="83"/>
      <c r="CGJ669" s="83"/>
      <c r="CGT669" s="83"/>
      <c r="CHD669" s="83"/>
      <c r="CHN669" s="83"/>
      <c r="CHX669" s="83"/>
      <c r="CIH669" s="83"/>
      <c r="CIR669" s="83"/>
      <c r="CJB669" s="83"/>
      <c r="CJL669" s="83"/>
      <c r="CJV669" s="83"/>
      <c r="CKF669" s="83"/>
      <c r="CKP669" s="83"/>
      <c r="CKZ669" s="83"/>
      <c r="CLJ669" s="83"/>
      <c r="CLT669" s="83"/>
      <c r="CMD669" s="83"/>
      <c r="CMN669" s="83"/>
      <c r="CMX669" s="83"/>
      <c r="CNH669" s="83"/>
      <c r="CNR669" s="83"/>
      <c r="COB669" s="83"/>
      <c r="COL669" s="83"/>
      <c r="COV669" s="83"/>
      <c r="CPF669" s="83"/>
      <c r="CPP669" s="83"/>
      <c r="CPZ669" s="83"/>
      <c r="CQJ669" s="83"/>
      <c r="CQT669" s="83"/>
      <c r="CRD669" s="83"/>
      <c r="CRN669" s="83"/>
      <c r="CRX669" s="83"/>
      <c r="CSH669" s="83"/>
      <c r="CSR669" s="83"/>
      <c r="CTB669" s="83"/>
      <c r="CTL669" s="83"/>
      <c r="CTV669" s="83"/>
    </row>
    <row r="670" s="58" customFormat="1" customHeight="1" spans="1:1020 1030:2040 2050:2570">
      <c r="A670" s="87"/>
      <c r="B670" s="97"/>
      <c r="C670" s="85"/>
      <c r="D670" s="75"/>
      <c r="E670" s="98"/>
      <c r="F670" s="91"/>
      <c r="G670" s="75"/>
      <c r="H670" s="77"/>
      <c r="I670" s="77"/>
      <c r="J670" s="75"/>
      <c r="K670" s="78"/>
      <c r="T670" s="83"/>
      <c r="AD670" s="83"/>
      <c r="AN670" s="83"/>
      <c r="AX670" s="83"/>
      <c r="BH670" s="83"/>
      <c r="BR670" s="83"/>
      <c r="CB670" s="83"/>
      <c r="CL670" s="83"/>
      <c r="CV670" s="83"/>
      <c r="DF670" s="83"/>
      <c r="DP670" s="83"/>
      <c r="DZ670" s="83"/>
      <c r="EJ670" s="83"/>
      <c r="ET670" s="83"/>
      <c r="FD670" s="83"/>
      <c r="FN670" s="83"/>
      <c r="FX670" s="83"/>
      <c r="GH670" s="83"/>
      <c r="GR670" s="83"/>
      <c r="HB670" s="83"/>
      <c r="HL670" s="83"/>
      <c r="HV670" s="83"/>
      <c r="IF670" s="83"/>
      <c r="IP670" s="83"/>
      <c r="IZ670" s="83"/>
      <c r="JJ670" s="83"/>
      <c r="JT670" s="83"/>
      <c r="KD670" s="83"/>
      <c r="KN670" s="83"/>
      <c r="KX670" s="83"/>
      <c r="LH670" s="83"/>
      <c r="LR670" s="83"/>
      <c r="MB670" s="83"/>
      <c r="ML670" s="83"/>
      <c r="MV670" s="83"/>
      <c r="NF670" s="83"/>
      <c r="NP670" s="83"/>
      <c r="NZ670" s="83"/>
      <c r="OJ670" s="83"/>
      <c r="OT670" s="83"/>
      <c r="PD670" s="83"/>
      <c r="PN670" s="83"/>
      <c r="PX670" s="83"/>
      <c r="QH670" s="83"/>
      <c r="QR670" s="83"/>
      <c r="RB670" s="83"/>
      <c r="RL670" s="83"/>
      <c r="RV670" s="83"/>
      <c r="SF670" s="83"/>
      <c r="SP670" s="83"/>
      <c r="SZ670" s="83"/>
      <c r="TJ670" s="83"/>
      <c r="TT670" s="83"/>
      <c r="UD670" s="83"/>
      <c r="UN670" s="83"/>
      <c r="UX670" s="83"/>
      <c r="VH670" s="83"/>
      <c r="VR670" s="83"/>
      <c r="WB670" s="83"/>
      <c r="WL670" s="83"/>
      <c r="WV670" s="83"/>
      <c r="XF670" s="83"/>
      <c r="XP670" s="83"/>
      <c r="XZ670" s="83"/>
      <c r="YJ670" s="83"/>
      <c r="YT670" s="83"/>
      <c r="ZD670" s="83"/>
      <c r="ZN670" s="83"/>
      <c r="ZX670" s="83"/>
      <c r="AAH670" s="83"/>
      <c r="AAR670" s="83"/>
      <c r="ABB670" s="83"/>
      <c r="ABL670" s="83"/>
      <c r="ABV670" s="83"/>
      <c r="ACF670" s="83"/>
      <c r="ACP670" s="83"/>
      <c r="ACZ670" s="83"/>
      <c r="ADJ670" s="83"/>
      <c r="ADT670" s="83"/>
      <c r="AED670" s="83"/>
      <c r="AEN670" s="83"/>
      <c r="AEX670" s="83"/>
      <c r="AFH670" s="83"/>
      <c r="AFR670" s="83"/>
      <c r="AGB670" s="83"/>
      <c r="AGL670" s="83"/>
      <c r="AGV670" s="83"/>
      <c r="AHF670" s="83"/>
      <c r="AHP670" s="83"/>
      <c r="AHZ670" s="83"/>
      <c r="AIJ670" s="83"/>
      <c r="AIT670" s="83"/>
      <c r="AJD670" s="83"/>
      <c r="AJN670" s="83"/>
      <c r="AJX670" s="83"/>
      <c r="AKH670" s="83"/>
      <c r="AKR670" s="83"/>
      <c r="ALB670" s="83"/>
      <c r="ALL670" s="83"/>
      <c r="ALV670" s="83"/>
      <c r="AMF670" s="83"/>
      <c r="AMP670" s="83"/>
      <c r="AMZ670" s="83"/>
      <c r="ANJ670" s="83"/>
      <c r="ANT670" s="83"/>
      <c r="AOD670" s="83"/>
      <c r="AON670" s="83"/>
      <c r="AOX670" s="83"/>
      <c r="APH670" s="83"/>
      <c r="APR670" s="83"/>
      <c r="AQB670" s="83"/>
      <c r="AQL670" s="83"/>
      <c r="AQV670" s="83"/>
      <c r="ARF670" s="83"/>
      <c r="ARP670" s="83"/>
      <c r="ARZ670" s="83"/>
      <c r="ASJ670" s="83"/>
      <c r="AST670" s="83"/>
      <c r="ATD670" s="83"/>
      <c r="ATN670" s="83"/>
      <c r="ATX670" s="83"/>
      <c r="AUH670" s="83"/>
      <c r="AUR670" s="83"/>
      <c r="AVB670" s="83"/>
      <c r="AVL670" s="83"/>
      <c r="AVV670" s="83"/>
      <c r="AWF670" s="83"/>
      <c r="AWP670" s="83"/>
      <c r="AWZ670" s="83"/>
      <c r="AXJ670" s="83"/>
      <c r="AXT670" s="83"/>
      <c r="AYD670" s="83"/>
      <c r="AYN670" s="83"/>
      <c r="AYX670" s="83"/>
      <c r="AZH670" s="83"/>
      <c r="AZR670" s="83"/>
      <c r="BAB670" s="83"/>
      <c r="BAL670" s="83"/>
      <c r="BAV670" s="83"/>
      <c r="BBF670" s="83"/>
      <c r="BBP670" s="83"/>
      <c r="BBZ670" s="83"/>
      <c r="BCJ670" s="83"/>
      <c r="BCT670" s="83"/>
      <c r="BDD670" s="83"/>
      <c r="BDN670" s="83"/>
      <c r="BDX670" s="83"/>
      <c r="BEH670" s="83"/>
      <c r="BER670" s="83"/>
      <c r="BFB670" s="83"/>
      <c r="BFL670" s="83"/>
      <c r="BFV670" s="83"/>
      <c r="BGF670" s="83"/>
      <c r="BGP670" s="83"/>
      <c r="BGZ670" s="83"/>
      <c r="BHJ670" s="83"/>
      <c r="BHT670" s="83"/>
      <c r="BID670" s="83"/>
      <c r="BIN670" s="83"/>
      <c r="BIX670" s="83"/>
      <c r="BJH670" s="83"/>
      <c r="BJR670" s="83"/>
      <c r="BKB670" s="83"/>
      <c r="BKL670" s="83"/>
      <c r="BKV670" s="83"/>
      <c r="BLF670" s="83"/>
      <c r="BLP670" s="83"/>
      <c r="BLZ670" s="83"/>
      <c r="BMJ670" s="83"/>
      <c r="BMT670" s="83"/>
      <c r="BND670" s="83"/>
      <c r="BNN670" s="83"/>
      <c r="BNX670" s="83"/>
      <c r="BOH670" s="83"/>
      <c r="BOR670" s="83"/>
      <c r="BPB670" s="83"/>
      <c r="BPL670" s="83"/>
      <c r="BPV670" s="83"/>
      <c r="BQF670" s="83"/>
      <c r="BQP670" s="83"/>
      <c r="BQZ670" s="83"/>
      <c r="BRJ670" s="83"/>
      <c r="BRT670" s="83"/>
      <c r="BSD670" s="83"/>
      <c r="BSN670" s="83"/>
      <c r="BSX670" s="83"/>
      <c r="BTH670" s="83"/>
      <c r="BTR670" s="83"/>
      <c r="BUB670" s="83"/>
      <c r="BUL670" s="83"/>
      <c r="BUV670" s="83"/>
      <c r="BVF670" s="83"/>
      <c r="BVP670" s="83"/>
      <c r="BVZ670" s="83"/>
      <c r="BWJ670" s="83"/>
      <c r="BWT670" s="83"/>
      <c r="BXD670" s="83"/>
      <c r="BXN670" s="83"/>
      <c r="BXX670" s="83"/>
      <c r="BYH670" s="83"/>
      <c r="BYR670" s="83"/>
      <c r="BZB670" s="83"/>
      <c r="BZL670" s="83"/>
      <c r="BZV670" s="83"/>
      <c r="CAF670" s="83"/>
      <c r="CAP670" s="83"/>
      <c r="CAZ670" s="83"/>
      <c r="CBJ670" s="83"/>
      <c r="CBT670" s="83"/>
      <c r="CCD670" s="83"/>
      <c r="CCN670" s="83"/>
      <c r="CCX670" s="83"/>
      <c r="CDH670" s="83"/>
      <c r="CDR670" s="83"/>
      <c r="CEB670" s="83"/>
      <c r="CEL670" s="83"/>
      <c r="CEV670" s="83"/>
      <c r="CFF670" s="83"/>
      <c r="CFP670" s="83"/>
      <c r="CFZ670" s="83"/>
      <c r="CGJ670" s="83"/>
      <c r="CGT670" s="83"/>
      <c r="CHD670" s="83"/>
      <c r="CHN670" s="83"/>
      <c r="CHX670" s="83"/>
      <c r="CIH670" s="83"/>
      <c r="CIR670" s="83"/>
      <c r="CJB670" s="83"/>
      <c r="CJL670" s="83"/>
      <c r="CJV670" s="83"/>
      <c r="CKF670" s="83"/>
      <c r="CKP670" s="83"/>
      <c r="CKZ670" s="83"/>
      <c r="CLJ670" s="83"/>
      <c r="CLT670" s="83"/>
      <c r="CMD670" s="83"/>
      <c r="CMN670" s="83"/>
      <c r="CMX670" s="83"/>
      <c r="CNH670" s="83"/>
      <c r="CNR670" s="83"/>
      <c r="COB670" s="83"/>
      <c r="COL670" s="83"/>
      <c r="COV670" s="83"/>
      <c r="CPF670" s="83"/>
      <c r="CPP670" s="83"/>
      <c r="CPZ670" s="83"/>
      <c r="CQJ670" s="83"/>
      <c r="CQT670" s="83"/>
      <c r="CRD670" s="83"/>
      <c r="CRN670" s="83"/>
      <c r="CRX670" s="83"/>
      <c r="CSH670" s="83"/>
      <c r="CSR670" s="83"/>
      <c r="CTB670" s="83"/>
      <c r="CTL670" s="83"/>
      <c r="CTV670" s="83"/>
    </row>
    <row r="671" s="58" customFormat="1" customHeight="1" spans="1:1020 1030:2040 2050:2570">
      <c r="A671" s="87"/>
      <c r="B671" s="97"/>
      <c r="C671" s="85"/>
      <c r="D671" s="75"/>
      <c r="E671" s="98"/>
      <c r="F671" s="91"/>
      <c r="G671" s="75"/>
      <c r="H671" s="77"/>
      <c r="I671" s="77"/>
      <c r="J671" s="75"/>
      <c r="K671" s="78"/>
      <c r="T671" s="83"/>
      <c r="AD671" s="83"/>
      <c r="AN671" s="83"/>
      <c r="AX671" s="83"/>
      <c r="BH671" s="83"/>
      <c r="BR671" s="83"/>
      <c r="CB671" s="83"/>
      <c r="CL671" s="83"/>
      <c r="CV671" s="83"/>
      <c r="DF671" s="83"/>
      <c r="DP671" s="83"/>
      <c r="DZ671" s="83"/>
      <c r="EJ671" s="83"/>
      <c r="ET671" s="83"/>
      <c r="FD671" s="83"/>
      <c r="FN671" s="83"/>
      <c r="FX671" s="83"/>
      <c r="GH671" s="83"/>
      <c r="GR671" s="83"/>
      <c r="HB671" s="83"/>
      <c r="HL671" s="83"/>
      <c r="HV671" s="83"/>
      <c r="IF671" s="83"/>
      <c r="IP671" s="83"/>
      <c r="IZ671" s="83"/>
      <c r="JJ671" s="83"/>
      <c r="JT671" s="83"/>
      <c r="KD671" s="83"/>
      <c r="KN671" s="83"/>
      <c r="KX671" s="83"/>
      <c r="LH671" s="83"/>
      <c r="LR671" s="83"/>
      <c r="MB671" s="83"/>
      <c r="ML671" s="83"/>
      <c r="MV671" s="83"/>
      <c r="NF671" s="83"/>
      <c r="NP671" s="83"/>
      <c r="NZ671" s="83"/>
      <c r="OJ671" s="83"/>
      <c r="OT671" s="83"/>
      <c r="PD671" s="83"/>
      <c r="PN671" s="83"/>
      <c r="PX671" s="83"/>
      <c r="QH671" s="83"/>
      <c r="QR671" s="83"/>
      <c r="RB671" s="83"/>
      <c r="RL671" s="83"/>
      <c r="RV671" s="83"/>
      <c r="SF671" s="83"/>
      <c r="SP671" s="83"/>
      <c r="SZ671" s="83"/>
      <c r="TJ671" s="83"/>
      <c r="TT671" s="83"/>
      <c r="UD671" s="83"/>
      <c r="UN671" s="83"/>
      <c r="UX671" s="83"/>
      <c r="VH671" s="83"/>
      <c r="VR671" s="83"/>
      <c r="WB671" s="83"/>
      <c r="WL671" s="83"/>
      <c r="WV671" s="83"/>
      <c r="XF671" s="83"/>
      <c r="XP671" s="83"/>
      <c r="XZ671" s="83"/>
      <c r="YJ671" s="83"/>
      <c r="YT671" s="83"/>
      <c r="ZD671" s="83"/>
      <c r="ZN671" s="83"/>
      <c r="ZX671" s="83"/>
      <c r="AAH671" s="83"/>
      <c r="AAR671" s="83"/>
      <c r="ABB671" s="83"/>
      <c r="ABL671" s="83"/>
      <c r="ABV671" s="83"/>
      <c r="ACF671" s="83"/>
      <c r="ACP671" s="83"/>
      <c r="ACZ671" s="83"/>
      <c r="ADJ671" s="83"/>
      <c r="ADT671" s="83"/>
      <c r="AED671" s="83"/>
      <c r="AEN671" s="83"/>
      <c r="AEX671" s="83"/>
      <c r="AFH671" s="83"/>
      <c r="AFR671" s="83"/>
      <c r="AGB671" s="83"/>
      <c r="AGL671" s="83"/>
      <c r="AGV671" s="83"/>
      <c r="AHF671" s="83"/>
      <c r="AHP671" s="83"/>
      <c r="AHZ671" s="83"/>
      <c r="AIJ671" s="83"/>
      <c r="AIT671" s="83"/>
      <c r="AJD671" s="83"/>
      <c r="AJN671" s="83"/>
      <c r="AJX671" s="83"/>
      <c r="AKH671" s="83"/>
      <c r="AKR671" s="83"/>
      <c r="ALB671" s="83"/>
      <c r="ALL671" s="83"/>
      <c r="ALV671" s="83"/>
      <c r="AMF671" s="83"/>
      <c r="AMP671" s="83"/>
      <c r="AMZ671" s="83"/>
      <c r="ANJ671" s="83"/>
      <c r="ANT671" s="83"/>
      <c r="AOD671" s="83"/>
      <c r="AON671" s="83"/>
      <c r="AOX671" s="83"/>
      <c r="APH671" s="83"/>
      <c r="APR671" s="83"/>
      <c r="AQB671" s="83"/>
      <c r="AQL671" s="83"/>
      <c r="AQV671" s="83"/>
      <c r="ARF671" s="83"/>
      <c r="ARP671" s="83"/>
      <c r="ARZ671" s="83"/>
      <c r="ASJ671" s="83"/>
      <c r="AST671" s="83"/>
      <c r="ATD671" s="83"/>
      <c r="ATN671" s="83"/>
      <c r="ATX671" s="83"/>
      <c r="AUH671" s="83"/>
      <c r="AUR671" s="83"/>
      <c r="AVB671" s="83"/>
      <c r="AVL671" s="83"/>
      <c r="AVV671" s="83"/>
      <c r="AWF671" s="83"/>
      <c r="AWP671" s="83"/>
      <c r="AWZ671" s="83"/>
      <c r="AXJ671" s="83"/>
      <c r="AXT671" s="83"/>
      <c r="AYD671" s="83"/>
      <c r="AYN671" s="83"/>
      <c r="AYX671" s="83"/>
      <c r="AZH671" s="83"/>
      <c r="AZR671" s="83"/>
      <c r="BAB671" s="83"/>
      <c r="BAL671" s="83"/>
      <c r="BAV671" s="83"/>
      <c r="BBF671" s="83"/>
      <c r="BBP671" s="83"/>
      <c r="BBZ671" s="83"/>
      <c r="BCJ671" s="83"/>
      <c r="BCT671" s="83"/>
      <c r="BDD671" s="83"/>
      <c r="BDN671" s="83"/>
      <c r="BDX671" s="83"/>
      <c r="BEH671" s="83"/>
      <c r="BER671" s="83"/>
      <c r="BFB671" s="83"/>
      <c r="BFL671" s="83"/>
      <c r="BFV671" s="83"/>
      <c r="BGF671" s="83"/>
      <c r="BGP671" s="83"/>
      <c r="BGZ671" s="83"/>
      <c r="BHJ671" s="83"/>
      <c r="BHT671" s="83"/>
      <c r="BID671" s="83"/>
      <c r="BIN671" s="83"/>
      <c r="BIX671" s="83"/>
      <c r="BJH671" s="83"/>
      <c r="BJR671" s="83"/>
      <c r="BKB671" s="83"/>
      <c r="BKL671" s="83"/>
      <c r="BKV671" s="83"/>
      <c r="BLF671" s="83"/>
      <c r="BLP671" s="83"/>
      <c r="BLZ671" s="83"/>
      <c r="BMJ671" s="83"/>
      <c r="BMT671" s="83"/>
      <c r="BND671" s="83"/>
      <c r="BNN671" s="83"/>
      <c r="BNX671" s="83"/>
      <c r="BOH671" s="83"/>
      <c r="BOR671" s="83"/>
      <c r="BPB671" s="83"/>
      <c r="BPL671" s="83"/>
      <c r="BPV671" s="83"/>
      <c r="BQF671" s="83"/>
      <c r="BQP671" s="83"/>
      <c r="BQZ671" s="83"/>
      <c r="BRJ671" s="83"/>
      <c r="BRT671" s="83"/>
      <c r="BSD671" s="83"/>
      <c r="BSN671" s="83"/>
      <c r="BSX671" s="83"/>
      <c r="BTH671" s="83"/>
      <c r="BTR671" s="83"/>
      <c r="BUB671" s="83"/>
      <c r="BUL671" s="83"/>
      <c r="BUV671" s="83"/>
      <c r="BVF671" s="83"/>
      <c r="BVP671" s="83"/>
      <c r="BVZ671" s="83"/>
      <c r="BWJ671" s="83"/>
      <c r="BWT671" s="83"/>
      <c r="BXD671" s="83"/>
      <c r="BXN671" s="83"/>
      <c r="BXX671" s="83"/>
      <c r="BYH671" s="83"/>
      <c r="BYR671" s="83"/>
      <c r="BZB671" s="83"/>
      <c r="BZL671" s="83"/>
      <c r="BZV671" s="83"/>
      <c r="CAF671" s="83"/>
      <c r="CAP671" s="83"/>
      <c r="CAZ671" s="83"/>
      <c r="CBJ671" s="83"/>
      <c r="CBT671" s="83"/>
      <c r="CCD671" s="83"/>
      <c r="CCN671" s="83"/>
      <c r="CCX671" s="83"/>
      <c r="CDH671" s="83"/>
      <c r="CDR671" s="83"/>
      <c r="CEB671" s="83"/>
      <c r="CEL671" s="83"/>
      <c r="CEV671" s="83"/>
      <c r="CFF671" s="83"/>
      <c r="CFP671" s="83"/>
      <c r="CFZ671" s="83"/>
      <c r="CGJ671" s="83"/>
      <c r="CGT671" s="83"/>
      <c r="CHD671" s="83"/>
      <c r="CHN671" s="83"/>
      <c r="CHX671" s="83"/>
      <c r="CIH671" s="83"/>
      <c r="CIR671" s="83"/>
      <c r="CJB671" s="83"/>
      <c r="CJL671" s="83"/>
      <c r="CJV671" s="83"/>
      <c r="CKF671" s="83"/>
      <c r="CKP671" s="83"/>
      <c r="CKZ671" s="83"/>
      <c r="CLJ671" s="83"/>
      <c r="CLT671" s="83"/>
      <c r="CMD671" s="83"/>
      <c r="CMN671" s="83"/>
      <c r="CMX671" s="83"/>
      <c r="CNH671" s="83"/>
      <c r="CNR671" s="83"/>
      <c r="COB671" s="83"/>
      <c r="COL671" s="83"/>
      <c r="COV671" s="83"/>
      <c r="CPF671" s="83"/>
      <c r="CPP671" s="83"/>
      <c r="CPZ671" s="83"/>
      <c r="CQJ671" s="83"/>
      <c r="CQT671" s="83"/>
      <c r="CRD671" s="83"/>
      <c r="CRN671" s="83"/>
      <c r="CRX671" s="83"/>
      <c r="CSH671" s="83"/>
      <c r="CSR671" s="83"/>
      <c r="CTB671" s="83"/>
      <c r="CTL671" s="83"/>
      <c r="CTV671" s="83"/>
    </row>
    <row r="672" s="58" customFormat="1" customHeight="1" spans="1:1020 1030:2040 2050:2570">
      <c r="A672" s="87"/>
      <c r="B672" s="97"/>
      <c r="C672" s="85"/>
      <c r="D672" s="75"/>
      <c r="E672" s="98"/>
      <c r="F672" s="91"/>
      <c r="G672" s="75"/>
      <c r="H672" s="77"/>
      <c r="I672" s="77"/>
      <c r="J672" s="75"/>
      <c r="K672" s="78"/>
      <c r="T672" s="83"/>
      <c r="AD672" s="83"/>
      <c r="AN672" s="83"/>
      <c r="AX672" s="83"/>
      <c r="BH672" s="83"/>
      <c r="BR672" s="83"/>
      <c r="CB672" s="83"/>
      <c r="CL672" s="83"/>
      <c r="CV672" s="83"/>
      <c r="DF672" s="83"/>
      <c r="DP672" s="83"/>
      <c r="DZ672" s="83"/>
      <c r="EJ672" s="83"/>
      <c r="ET672" s="83"/>
      <c r="FD672" s="83"/>
      <c r="FN672" s="83"/>
      <c r="FX672" s="83"/>
      <c r="GH672" s="83"/>
      <c r="GR672" s="83"/>
      <c r="HB672" s="83"/>
      <c r="HL672" s="83"/>
      <c r="HV672" s="83"/>
      <c r="IF672" s="83"/>
      <c r="IP672" s="83"/>
      <c r="IZ672" s="83"/>
      <c r="JJ672" s="83"/>
      <c r="JT672" s="83"/>
      <c r="KD672" s="83"/>
      <c r="KN672" s="83"/>
      <c r="KX672" s="83"/>
      <c r="LH672" s="83"/>
      <c r="LR672" s="83"/>
      <c r="MB672" s="83"/>
      <c r="ML672" s="83"/>
      <c r="MV672" s="83"/>
      <c r="NF672" s="83"/>
      <c r="NP672" s="83"/>
      <c r="NZ672" s="83"/>
      <c r="OJ672" s="83"/>
      <c r="OT672" s="83"/>
      <c r="PD672" s="83"/>
      <c r="PN672" s="83"/>
      <c r="PX672" s="83"/>
      <c r="QH672" s="83"/>
      <c r="QR672" s="83"/>
      <c r="RB672" s="83"/>
      <c r="RL672" s="83"/>
      <c r="RV672" s="83"/>
      <c r="SF672" s="83"/>
      <c r="SP672" s="83"/>
      <c r="SZ672" s="83"/>
      <c r="TJ672" s="83"/>
      <c r="TT672" s="83"/>
      <c r="UD672" s="83"/>
      <c r="UN672" s="83"/>
      <c r="UX672" s="83"/>
      <c r="VH672" s="83"/>
      <c r="VR672" s="83"/>
      <c r="WB672" s="83"/>
      <c r="WL672" s="83"/>
      <c r="WV672" s="83"/>
      <c r="XF672" s="83"/>
      <c r="XP672" s="83"/>
      <c r="XZ672" s="83"/>
      <c r="YJ672" s="83"/>
      <c r="YT672" s="83"/>
      <c r="ZD672" s="83"/>
      <c r="ZN672" s="83"/>
      <c r="ZX672" s="83"/>
      <c r="AAH672" s="83"/>
      <c r="AAR672" s="83"/>
      <c r="ABB672" s="83"/>
      <c r="ABL672" s="83"/>
      <c r="ABV672" s="83"/>
      <c r="ACF672" s="83"/>
      <c r="ACP672" s="83"/>
      <c r="ACZ672" s="83"/>
      <c r="ADJ672" s="83"/>
      <c r="ADT672" s="83"/>
      <c r="AED672" s="83"/>
      <c r="AEN672" s="83"/>
      <c r="AEX672" s="83"/>
      <c r="AFH672" s="83"/>
      <c r="AFR672" s="83"/>
      <c r="AGB672" s="83"/>
      <c r="AGL672" s="83"/>
      <c r="AGV672" s="83"/>
      <c r="AHF672" s="83"/>
      <c r="AHP672" s="83"/>
      <c r="AHZ672" s="83"/>
      <c r="AIJ672" s="83"/>
      <c r="AIT672" s="83"/>
      <c r="AJD672" s="83"/>
      <c r="AJN672" s="83"/>
      <c r="AJX672" s="83"/>
      <c r="AKH672" s="83"/>
      <c r="AKR672" s="83"/>
      <c r="ALB672" s="83"/>
      <c r="ALL672" s="83"/>
      <c r="ALV672" s="83"/>
      <c r="AMF672" s="83"/>
      <c r="AMP672" s="83"/>
      <c r="AMZ672" s="83"/>
      <c r="ANJ672" s="83"/>
      <c r="ANT672" s="83"/>
      <c r="AOD672" s="83"/>
      <c r="AON672" s="83"/>
      <c r="AOX672" s="83"/>
      <c r="APH672" s="83"/>
      <c r="APR672" s="83"/>
      <c r="AQB672" s="83"/>
      <c r="AQL672" s="83"/>
      <c r="AQV672" s="83"/>
      <c r="ARF672" s="83"/>
      <c r="ARP672" s="83"/>
      <c r="ARZ672" s="83"/>
      <c r="ASJ672" s="83"/>
      <c r="AST672" s="83"/>
      <c r="ATD672" s="83"/>
      <c r="ATN672" s="83"/>
      <c r="ATX672" s="83"/>
      <c r="AUH672" s="83"/>
      <c r="AUR672" s="83"/>
      <c r="AVB672" s="83"/>
      <c r="AVL672" s="83"/>
      <c r="AVV672" s="83"/>
      <c r="AWF672" s="83"/>
      <c r="AWP672" s="83"/>
      <c r="AWZ672" s="83"/>
      <c r="AXJ672" s="83"/>
      <c r="AXT672" s="83"/>
      <c r="AYD672" s="83"/>
      <c r="AYN672" s="83"/>
      <c r="AYX672" s="83"/>
      <c r="AZH672" s="83"/>
      <c r="AZR672" s="83"/>
      <c r="BAB672" s="83"/>
      <c r="BAL672" s="83"/>
      <c r="BAV672" s="83"/>
      <c r="BBF672" s="83"/>
      <c r="BBP672" s="83"/>
      <c r="BBZ672" s="83"/>
      <c r="BCJ672" s="83"/>
      <c r="BCT672" s="83"/>
      <c r="BDD672" s="83"/>
      <c r="BDN672" s="83"/>
      <c r="BDX672" s="83"/>
      <c r="BEH672" s="83"/>
      <c r="BER672" s="83"/>
      <c r="BFB672" s="83"/>
      <c r="BFL672" s="83"/>
      <c r="BFV672" s="83"/>
      <c r="BGF672" s="83"/>
      <c r="BGP672" s="83"/>
      <c r="BGZ672" s="83"/>
      <c r="BHJ672" s="83"/>
      <c r="BHT672" s="83"/>
      <c r="BID672" s="83"/>
      <c r="BIN672" s="83"/>
      <c r="BIX672" s="83"/>
      <c r="BJH672" s="83"/>
      <c r="BJR672" s="83"/>
      <c r="BKB672" s="83"/>
      <c r="BKL672" s="83"/>
      <c r="BKV672" s="83"/>
      <c r="BLF672" s="83"/>
      <c r="BLP672" s="83"/>
      <c r="BLZ672" s="83"/>
      <c r="BMJ672" s="83"/>
      <c r="BMT672" s="83"/>
      <c r="BND672" s="83"/>
      <c r="BNN672" s="83"/>
      <c r="BNX672" s="83"/>
      <c r="BOH672" s="83"/>
      <c r="BOR672" s="83"/>
      <c r="BPB672" s="83"/>
      <c r="BPL672" s="83"/>
      <c r="BPV672" s="83"/>
      <c r="BQF672" s="83"/>
      <c r="BQP672" s="83"/>
      <c r="BQZ672" s="83"/>
      <c r="BRJ672" s="83"/>
      <c r="BRT672" s="83"/>
      <c r="BSD672" s="83"/>
      <c r="BSN672" s="83"/>
      <c r="BSX672" s="83"/>
      <c r="BTH672" s="83"/>
      <c r="BTR672" s="83"/>
      <c r="BUB672" s="83"/>
      <c r="BUL672" s="83"/>
      <c r="BUV672" s="83"/>
      <c r="BVF672" s="83"/>
      <c r="BVP672" s="83"/>
      <c r="BVZ672" s="83"/>
      <c r="BWJ672" s="83"/>
      <c r="BWT672" s="83"/>
      <c r="BXD672" s="83"/>
      <c r="BXN672" s="83"/>
      <c r="BXX672" s="83"/>
      <c r="BYH672" s="83"/>
      <c r="BYR672" s="83"/>
      <c r="BZB672" s="83"/>
      <c r="BZL672" s="83"/>
      <c r="BZV672" s="83"/>
      <c r="CAF672" s="83"/>
      <c r="CAP672" s="83"/>
      <c r="CAZ672" s="83"/>
      <c r="CBJ672" s="83"/>
      <c r="CBT672" s="83"/>
      <c r="CCD672" s="83"/>
      <c r="CCN672" s="83"/>
      <c r="CCX672" s="83"/>
      <c r="CDH672" s="83"/>
      <c r="CDR672" s="83"/>
      <c r="CEB672" s="83"/>
      <c r="CEL672" s="83"/>
      <c r="CEV672" s="83"/>
      <c r="CFF672" s="83"/>
      <c r="CFP672" s="83"/>
      <c r="CFZ672" s="83"/>
      <c r="CGJ672" s="83"/>
      <c r="CGT672" s="83"/>
      <c r="CHD672" s="83"/>
      <c r="CHN672" s="83"/>
      <c r="CHX672" s="83"/>
      <c r="CIH672" s="83"/>
      <c r="CIR672" s="83"/>
      <c r="CJB672" s="83"/>
      <c r="CJL672" s="83"/>
      <c r="CJV672" s="83"/>
      <c r="CKF672" s="83"/>
      <c r="CKP672" s="83"/>
      <c r="CKZ672" s="83"/>
      <c r="CLJ672" s="83"/>
      <c r="CLT672" s="83"/>
      <c r="CMD672" s="83"/>
      <c r="CMN672" s="83"/>
      <c r="CMX672" s="83"/>
      <c r="CNH672" s="83"/>
      <c r="CNR672" s="83"/>
      <c r="COB672" s="83"/>
      <c r="COL672" s="83"/>
      <c r="COV672" s="83"/>
      <c r="CPF672" s="83"/>
      <c r="CPP672" s="83"/>
      <c r="CPZ672" s="83"/>
      <c r="CQJ672" s="83"/>
      <c r="CQT672" s="83"/>
      <c r="CRD672" s="83"/>
      <c r="CRN672" s="83"/>
      <c r="CRX672" s="83"/>
      <c r="CSH672" s="83"/>
      <c r="CSR672" s="83"/>
      <c r="CTB672" s="83"/>
      <c r="CTL672" s="83"/>
      <c r="CTV672" s="83"/>
    </row>
    <row r="673" s="58" customFormat="1" customHeight="1" spans="1:1020 1030:2040 2050:2570">
      <c r="A673" s="87"/>
      <c r="B673" s="97"/>
      <c r="C673" s="85"/>
      <c r="D673" s="75"/>
      <c r="E673" s="98"/>
      <c r="F673" s="91"/>
      <c r="G673" s="75"/>
      <c r="H673" s="77"/>
      <c r="I673" s="77"/>
      <c r="J673" s="75"/>
      <c r="K673" s="78"/>
      <c r="T673" s="83"/>
      <c r="AD673" s="83"/>
      <c r="AN673" s="83"/>
      <c r="AX673" s="83"/>
      <c r="BH673" s="83"/>
      <c r="BR673" s="83"/>
      <c r="CB673" s="83"/>
      <c r="CL673" s="83"/>
      <c r="CV673" s="83"/>
      <c r="DF673" s="83"/>
      <c r="DP673" s="83"/>
      <c r="DZ673" s="83"/>
      <c r="EJ673" s="83"/>
      <c r="ET673" s="83"/>
      <c r="FD673" s="83"/>
      <c r="FN673" s="83"/>
      <c r="FX673" s="83"/>
      <c r="GH673" s="83"/>
      <c r="GR673" s="83"/>
      <c r="HB673" s="83"/>
      <c r="HL673" s="83"/>
      <c r="HV673" s="83"/>
      <c r="IF673" s="83"/>
      <c r="IP673" s="83"/>
      <c r="IZ673" s="83"/>
      <c r="JJ673" s="83"/>
      <c r="JT673" s="83"/>
      <c r="KD673" s="83"/>
      <c r="KN673" s="83"/>
      <c r="KX673" s="83"/>
      <c r="LH673" s="83"/>
      <c r="LR673" s="83"/>
      <c r="MB673" s="83"/>
      <c r="ML673" s="83"/>
      <c r="MV673" s="83"/>
      <c r="NF673" s="83"/>
      <c r="NP673" s="83"/>
      <c r="NZ673" s="83"/>
      <c r="OJ673" s="83"/>
      <c r="OT673" s="83"/>
      <c r="PD673" s="83"/>
      <c r="PN673" s="83"/>
      <c r="PX673" s="83"/>
      <c r="QH673" s="83"/>
      <c r="QR673" s="83"/>
      <c r="RB673" s="83"/>
      <c r="RL673" s="83"/>
      <c r="RV673" s="83"/>
      <c r="SF673" s="83"/>
      <c r="SP673" s="83"/>
      <c r="SZ673" s="83"/>
      <c r="TJ673" s="83"/>
      <c r="TT673" s="83"/>
      <c r="UD673" s="83"/>
      <c r="UN673" s="83"/>
      <c r="UX673" s="83"/>
      <c r="VH673" s="83"/>
      <c r="VR673" s="83"/>
      <c r="WB673" s="83"/>
      <c r="WL673" s="83"/>
      <c r="WV673" s="83"/>
      <c r="XF673" s="83"/>
      <c r="XP673" s="83"/>
      <c r="XZ673" s="83"/>
      <c r="YJ673" s="83"/>
      <c r="YT673" s="83"/>
      <c r="ZD673" s="83"/>
      <c r="ZN673" s="83"/>
      <c r="ZX673" s="83"/>
      <c r="AAH673" s="83"/>
      <c r="AAR673" s="83"/>
      <c r="ABB673" s="83"/>
      <c r="ABL673" s="83"/>
      <c r="ABV673" s="83"/>
      <c r="ACF673" s="83"/>
      <c r="ACP673" s="83"/>
      <c r="ACZ673" s="83"/>
      <c r="ADJ673" s="83"/>
      <c r="ADT673" s="83"/>
      <c r="AED673" s="83"/>
      <c r="AEN673" s="83"/>
      <c r="AEX673" s="83"/>
      <c r="AFH673" s="83"/>
      <c r="AFR673" s="83"/>
      <c r="AGB673" s="83"/>
      <c r="AGL673" s="83"/>
      <c r="AGV673" s="83"/>
      <c r="AHF673" s="83"/>
      <c r="AHP673" s="83"/>
      <c r="AHZ673" s="83"/>
      <c r="AIJ673" s="83"/>
      <c r="AIT673" s="83"/>
      <c r="AJD673" s="83"/>
      <c r="AJN673" s="83"/>
      <c r="AJX673" s="83"/>
      <c r="AKH673" s="83"/>
      <c r="AKR673" s="83"/>
      <c r="ALB673" s="83"/>
      <c r="ALL673" s="83"/>
      <c r="ALV673" s="83"/>
      <c r="AMF673" s="83"/>
      <c r="AMP673" s="83"/>
      <c r="AMZ673" s="83"/>
      <c r="ANJ673" s="83"/>
      <c r="ANT673" s="83"/>
      <c r="AOD673" s="83"/>
      <c r="AON673" s="83"/>
      <c r="AOX673" s="83"/>
      <c r="APH673" s="83"/>
      <c r="APR673" s="83"/>
      <c r="AQB673" s="83"/>
      <c r="AQL673" s="83"/>
      <c r="AQV673" s="83"/>
      <c r="ARF673" s="83"/>
      <c r="ARP673" s="83"/>
      <c r="ARZ673" s="83"/>
      <c r="ASJ673" s="83"/>
      <c r="AST673" s="83"/>
      <c r="ATD673" s="83"/>
      <c r="ATN673" s="83"/>
      <c r="ATX673" s="83"/>
      <c r="AUH673" s="83"/>
      <c r="AUR673" s="83"/>
      <c r="AVB673" s="83"/>
      <c r="AVL673" s="83"/>
      <c r="AVV673" s="83"/>
      <c r="AWF673" s="83"/>
      <c r="AWP673" s="83"/>
      <c r="AWZ673" s="83"/>
      <c r="AXJ673" s="83"/>
      <c r="AXT673" s="83"/>
      <c r="AYD673" s="83"/>
      <c r="AYN673" s="83"/>
      <c r="AYX673" s="83"/>
      <c r="AZH673" s="83"/>
      <c r="AZR673" s="83"/>
      <c r="BAB673" s="83"/>
      <c r="BAL673" s="83"/>
      <c r="BAV673" s="83"/>
      <c r="BBF673" s="83"/>
      <c r="BBP673" s="83"/>
      <c r="BBZ673" s="83"/>
      <c r="BCJ673" s="83"/>
      <c r="BCT673" s="83"/>
      <c r="BDD673" s="83"/>
      <c r="BDN673" s="83"/>
      <c r="BDX673" s="83"/>
      <c r="BEH673" s="83"/>
      <c r="BER673" s="83"/>
      <c r="BFB673" s="83"/>
      <c r="BFL673" s="83"/>
      <c r="BFV673" s="83"/>
      <c r="BGF673" s="83"/>
      <c r="BGP673" s="83"/>
      <c r="BGZ673" s="83"/>
      <c r="BHJ673" s="83"/>
      <c r="BHT673" s="83"/>
      <c r="BID673" s="83"/>
      <c r="BIN673" s="83"/>
      <c r="BIX673" s="83"/>
      <c r="BJH673" s="83"/>
      <c r="BJR673" s="83"/>
      <c r="BKB673" s="83"/>
      <c r="BKL673" s="83"/>
      <c r="BKV673" s="83"/>
      <c r="BLF673" s="83"/>
      <c r="BLP673" s="83"/>
      <c r="BLZ673" s="83"/>
      <c r="BMJ673" s="83"/>
      <c r="BMT673" s="83"/>
      <c r="BND673" s="83"/>
      <c r="BNN673" s="83"/>
      <c r="BNX673" s="83"/>
      <c r="BOH673" s="83"/>
      <c r="BOR673" s="83"/>
      <c r="BPB673" s="83"/>
      <c r="BPL673" s="83"/>
      <c r="BPV673" s="83"/>
      <c r="BQF673" s="83"/>
      <c r="BQP673" s="83"/>
      <c r="BQZ673" s="83"/>
      <c r="BRJ673" s="83"/>
      <c r="BRT673" s="83"/>
      <c r="BSD673" s="83"/>
      <c r="BSN673" s="83"/>
      <c r="BSX673" s="83"/>
      <c r="BTH673" s="83"/>
      <c r="BTR673" s="83"/>
      <c r="BUB673" s="83"/>
      <c r="BUL673" s="83"/>
      <c r="BUV673" s="83"/>
      <c r="BVF673" s="83"/>
      <c r="BVP673" s="83"/>
      <c r="BVZ673" s="83"/>
      <c r="BWJ673" s="83"/>
      <c r="BWT673" s="83"/>
      <c r="BXD673" s="83"/>
      <c r="BXN673" s="83"/>
      <c r="BXX673" s="83"/>
      <c r="BYH673" s="83"/>
      <c r="BYR673" s="83"/>
      <c r="BZB673" s="83"/>
      <c r="BZL673" s="83"/>
      <c r="BZV673" s="83"/>
      <c r="CAF673" s="83"/>
      <c r="CAP673" s="83"/>
      <c r="CAZ673" s="83"/>
      <c r="CBJ673" s="83"/>
      <c r="CBT673" s="83"/>
      <c r="CCD673" s="83"/>
      <c r="CCN673" s="83"/>
      <c r="CCX673" s="83"/>
      <c r="CDH673" s="83"/>
      <c r="CDR673" s="83"/>
      <c r="CEB673" s="83"/>
      <c r="CEL673" s="83"/>
      <c r="CEV673" s="83"/>
      <c r="CFF673" s="83"/>
      <c r="CFP673" s="83"/>
      <c r="CFZ673" s="83"/>
      <c r="CGJ673" s="83"/>
      <c r="CGT673" s="83"/>
      <c r="CHD673" s="83"/>
      <c r="CHN673" s="83"/>
      <c r="CHX673" s="83"/>
      <c r="CIH673" s="83"/>
      <c r="CIR673" s="83"/>
      <c r="CJB673" s="83"/>
      <c r="CJL673" s="83"/>
      <c r="CJV673" s="83"/>
      <c r="CKF673" s="83"/>
      <c r="CKP673" s="83"/>
      <c r="CKZ673" s="83"/>
      <c r="CLJ673" s="83"/>
      <c r="CLT673" s="83"/>
      <c r="CMD673" s="83"/>
      <c r="CMN673" s="83"/>
      <c r="CMX673" s="83"/>
      <c r="CNH673" s="83"/>
      <c r="CNR673" s="83"/>
      <c r="COB673" s="83"/>
      <c r="COL673" s="83"/>
      <c r="COV673" s="83"/>
      <c r="CPF673" s="83"/>
      <c r="CPP673" s="83"/>
      <c r="CPZ673" s="83"/>
      <c r="CQJ673" s="83"/>
      <c r="CQT673" s="83"/>
      <c r="CRD673" s="83"/>
      <c r="CRN673" s="83"/>
      <c r="CRX673" s="83"/>
      <c r="CSH673" s="83"/>
      <c r="CSR673" s="83"/>
      <c r="CTB673" s="83"/>
      <c r="CTL673" s="83"/>
      <c r="CTV673" s="83"/>
    </row>
    <row r="674" s="58" customFormat="1" customHeight="1" spans="1:1020 1030:2040 2050:2570">
      <c r="A674" s="87"/>
      <c r="B674" s="97"/>
      <c r="C674" s="85"/>
      <c r="D674" s="75"/>
      <c r="E674" s="98"/>
      <c r="F674" s="91"/>
      <c r="G674" s="75"/>
      <c r="H674" s="77"/>
      <c r="I674" s="77"/>
      <c r="J674" s="75"/>
      <c r="K674" s="78"/>
      <c r="T674" s="83"/>
      <c r="AD674" s="83"/>
      <c r="AN674" s="83"/>
      <c r="AX674" s="83"/>
      <c r="BH674" s="83"/>
      <c r="BR674" s="83"/>
      <c r="CB674" s="83"/>
      <c r="CL674" s="83"/>
      <c r="CV674" s="83"/>
      <c r="DF674" s="83"/>
      <c r="DP674" s="83"/>
      <c r="DZ674" s="83"/>
      <c r="EJ674" s="83"/>
      <c r="ET674" s="83"/>
      <c r="FD674" s="83"/>
      <c r="FN674" s="83"/>
      <c r="FX674" s="83"/>
      <c r="GH674" s="83"/>
      <c r="GR674" s="83"/>
      <c r="HB674" s="83"/>
      <c r="HL674" s="83"/>
      <c r="HV674" s="83"/>
      <c r="IF674" s="83"/>
      <c r="IP674" s="83"/>
      <c r="IZ674" s="83"/>
      <c r="JJ674" s="83"/>
      <c r="JT674" s="83"/>
      <c r="KD674" s="83"/>
      <c r="KN674" s="83"/>
      <c r="KX674" s="83"/>
      <c r="LH674" s="83"/>
      <c r="LR674" s="83"/>
      <c r="MB674" s="83"/>
      <c r="ML674" s="83"/>
      <c r="MV674" s="83"/>
      <c r="NF674" s="83"/>
      <c r="NP674" s="83"/>
      <c r="NZ674" s="83"/>
      <c r="OJ674" s="83"/>
      <c r="OT674" s="83"/>
      <c r="PD674" s="83"/>
      <c r="PN674" s="83"/>
      <c r="PX674" s="83"/>
      <c r="QH674" s="83"/>
      <c r="QR674" s="83"/>
      <c r="RB674" s="83"/>
      <c r="RL674" s="83"/>
      <c r="RV674" s="83"/>
      <c r="SF674" s="83"/>
      <c r="SP674" s="83"/>
      <c r="SZ674" s="83"/>
      <c r="TJ674" s="83"/>
      <c r="TT674" s="83"/>
      <c r="UD674" s="83"/>
      <c r="UN674" s="83"/>
      <c r="UX674" s="83"/>
      <c r="VH674" s="83"/>
      <c r="VR674" s="83"/>
      <c r="WB674" s="83"/>
      <c r="WL674" s="83"/>
      <c r="WV674" s="83"/>
      <c r="XF674" s="83"/>
      <c r="XP674" s="83"/>
      <c r="XZ674" s="83"/>
      <c r="YJ674" s="83"/>
      <c r="YT674" s="83"/>
      <c r="ZD674" s="83"/>
      <c r="ZN674" s="83"/>
      <c r="ZX674" s="83"/>
      <c r="AAH674" s="83"/>
      <c r="AAR674" s="83"/>
      <c r="ABB674" s="83"/>
      <c r="ABL674" s="83"/>
      <c r="ABV674" s="83"/>
      <c r="ACF674" s="83"/>
      <c r="ACP674" s="83"/>
      <c r="ACZ674" s="83"/>
      <c r="ADJ674" s="83"/>
      <c r="ADT674" s="83"/>
      <c r="AED674" s="83"/>
      <c r="AEN674" s="83"/>
      <c r="AEX674" s="83"/>
      <c r="AFH674" s="83"/>
      <c r="AFR674" s="83"/>
      <c r="AGB674" s="83"/>
      <c r="AGL674" s="83"/>
      <c r="AGV674" s="83"/>
      <c r="AHF674" s="83"/>
      <c r="AHP674" s="83"/>
      <c r="AHZ674" s="83"/>
      <c r="AIJ674" s="83"/>
      <c r="AIT674" s="83"/>
      <c r="AJD674" s="83"/>
      <c r="AJN674" s="83"/>
      <c r="AJX674" s="83"/>
      <c r="AKH674" s="83"/>
      <c r="AKR674" s="83"/>
      <c r="ALB674" s="83"/>
      <c r="ALL674" s="83"/>
      <c r="ALV674" s="83"/>
      <c r="AMF674" s="83"/>
      <c r="AMP674" s="83"/>
      <c r="AMZ674" s="83"/>
      <c r="ANJ674" s="83"/>
      <c r="ANT674" s="83"/>
      <c r="AOD674" s="83"/>
      <c r="AON674" s="83"/>
      <c r="AOX674" s="83"/>
      <c r="APH674" s="83"/>
      <c r="APR674" s="83"/>
      <c r="AQB674" s="83"/>
      <c r="AQL674" s="83"/>
      <c r="AQV674" s="83"/>
      <c r="ARF674" s="83"/>
      <c r="ARP674" s="83"/>
      <c r="ARZ674" s="83"/>
      <c r="ASJ674" s="83"/>
      <c r="AST674" s="83"/>
      <c r="ATD674" s="83"/>
      <c r="ATN674" s="83"/>
      <c r="ATX674" s="83"/>
      <c r="AUH674" s="83"/>
      <c r="AUR674" s="83"/>
      <c r="AVB674" s="83"/>
      <c r="AVL674" s="83"/>
      <c r="AVV674" s="83"/>
      <c r="AWF674" s="83"/>
      <c r="AWP674" s="83"/>
      <c r="AWZ674" s="83"/>
      <c r="AXJ674" s="83"/>
      <c r="AXT674" s="83"/>
      <c r="AYD674" s="83"/>
      <c r="AYN674" s="83"/>
      <c r="AYX674" s="83"/>
      <c r="AZH674" s="83"/>
      <c r="AZR674" s="83"/>
      <c r="BAB674" s="83"/>
      <c r="BAL674" s="83"/>
      <c r="BAV674" s="83"/>
      <c r="BBF674" s="83"/>
      <c r="BBP674" s="83"/>
      <c r="BBZ674" s="83"/>
      <c r="BCJ674" s="83"/>
      <c r="BCT674" s="83"/>
      <c r="BDD674" s="83"/>
      <c r="BDN674" s="83"/>
      <c r="BDX674" s="83"/>
      <c r="BEH674" s="83"/>
      <c r="BER674" s="83"/>
      <c r="BFB674" s="83"/>
      <c r="BFL674" s="83"/>
      <c r="BFV674" s="83"/>
      <c r="BGF674" s="83"/>
      <c r="BGP674" s="83"/>
      <c r="BGZ674" s="83"/>
      <c r="BHJ674" s="83"/>
      <c r="BHT674" s="83"/>
      <c r="BID674" s="83"/>
      <c r="BIN674" s="83"/>
      <c r="BIX674" s="83"/>
      <c r="BJH674" s="83"/>
      <c r="BJR674" s="83"/>
      <c r="BKB674" s="83"/>
      <c r="BKL674" s="83"/>
      <c r="BKV674" s="83"/>
      <c r="BLF674" s="83"/>
      <c r="BLP674" s="83"/>
      <c r="BLZ674" s="83"/>
      <c r="BMJ674" s="83"/>
      <c r="BMT674" s="83"/>
      <c r="BND674" s="83"/>
      <c r="BNN674" s="83"/>
      <c r="BNX674" s="83"/>
      <c r="BOH674" s="83"/>
      <c r="BOR674" s="83"/>
      <c r="BPB674" s="83"/>
      <c r="BPL674" s="83"/>
      <c r="BPV674" s="83"/>
      <c r="BQF674" s="83"/>
      <c r="BQP674" s="83"/>
      <c r="BQZ674" s="83"/>
      <c r="BRJ674" s="83"/>
      <c r="BRT674" s="83"/>
      <c r="BSD674" s="83"/>
      <c r="BSN674" s="83"/>
      <c r="BSX674" s="83"/>
      <c r="BTH674" s="83"/>
      <c r="BTR674" s="83"/>
      <c r="BUB674" s="83"/>
      <c r="BUL674" s="83"/>
      <c r="BUV674" s="83"/>
      <c r="BVF674" s="83"/>
      <c r="BVP674" s="83"/>
      <c r="BVZ674" s="83"/>
      <c r="BWJ674" s="83"/>
      <c r="BWT674" s="83"/>
      <c r="BXD674" s="83"/>
      <c r="BXN674" s="83"/>
      <c r="BXX674" s="83"/>
      <c r="BYH674" s="83"/>
      <c r="BYR674" s="83"/>
      <c r="BZB674" s="83"/>
      <c r="BZL674" s="83"/>
      <c r="BZV674" s="83"/>
      <c r="CAF674" s="83"/>
      <c r="CAP674" s="83"/>
      <c r="CAZ674" s="83"/>
      <c r="CBJ674" s="83"/>
      <c r="CBT674" s="83"/>
      <c r="CCD674" s="83"/>
      <c r="CCN674" s="83"/>
      <c r="CCX674" s="83"/>
      <c r="CDH674" s="83"/>
      <c r="CDR674" s="83"/>
      <c r="CEB674" s="83"/>
      <c r="CEL674" s="83"/>
      <c r="CEV674" s="83"/>
      <c r="CFF674" s="83"/>
      <c r="CFP674" s="83"/>
      <c r="CFZ674" s="83"/>
      <c r="CGJ674" s="83"/>
      <c r="CGT674" s="83"/>
      <c r="CHD674" s="83"/>
      <c r="CHN674" s="83"/>
      <c r="CHX674" s="83"/>
      <c r="CIH674" s="83"/>
      <c r="CIR674" s="83"/>
      <c r="CJB674" s="83"/>
      <c r="CJL674" s="83"/>
      <c r="CJV674" s="83"/>
      <c r="CKF674" s="83"/>
      <c r="CKP674" s="83"/>
      <c r="CKZ674" s="83"/>
      <c r="CLJ674" s="83"/>
      <c r="CLT674" s="83"/>
      <c r="CMD674" s="83"/>
      <c r="CMN674" s="83"/>
      <c r="CMX674" s="83"/>
      <c r="CNH674" s="83"/>
      <c r="CNR674" s="83"/>
      <c r="COB674" s="83"/>
      <c r="COL674" s="83"/>
      <c r="COV674" s="83"/>
      <c r="CPF674" s="83"/>
      <c r="CPP674" s="83"/>
      <c r="CPZ674" s="83"/>
      <c r="CQJ674" s="83"/>
      <c r="CQT674" s="83"/>
      <c r="CRD674" s="83"/>
      <c r="CRN674" s="83"/>
      <c r="CRX674" s="83"/>
      <c r="CSH674" s="83"/>
      <c r="CSR674" s="83"/>
      <c r="CTB674" s="83"/>
      <c r="CTL674" s="83"/>
      <c r="CTV674" s="83"/>
    </row>
    <row r="675" s="58" customFormat="1" customHeight="1" spans="1:1020 1030:2040 2050:2570">
      <c r="A675" s="87"/>
      <c r="B675" s="97"/>
      <c r="C675" s="85"/>
      <c r="D675" s="75"/>
      <c r="E675" s="98"/>
      <c r="F675" s="91"/>
      <c r="G675" s="75"/>
      <c r="H675" s="77"/>
      <c r="I675" s="77"/>
      <c r="J675" s="75"/>
      <c r="K675" s="78"/>
      <c r="T675" s="83"/>
      <c r="AD675" s="83"/>
      <c r="AN675" s="83"/>
      <c r="AX675" s="83"/>
      <c r="BH675" s="83"/>
      <c r="BR675" s="83"/>
      <c r="CB675" s="83"/>
      <c r="CL675" s="83"/>
      <c r="CV675" s="83"/>
      <c r="DF675" s="83"/>
      <c r="DP675" s="83"/>
      <c r="DZ675" s="83"/>
      <c r="EJ675" s="83"/>
      <c r="ET675" s="83"/>
      <c r="FD675" s="83"/>
      <c r="FN675" s="83"/>
      <c r="FX675" s="83"/>
      <c r="GH675" s="83"/>
      <c r="GR675" s="83"/>
      <c r="HB675" s="83"/>
      <c r="HL675" s="83"/>
      <c r="HV675" s="83"/>
      <c r="IF675" s="83"/>
      <c r="IP675" s="83"/>
      <c r="IZ675" s="83"/>
      <c r="JJ675" s="83"/>
      <c r="JT675" s="83"/>
      <c r="KD675" s="83"/>
      <c r="KN675" s="83"/>
      <c r="KX675" s="83"/>
      <c r="LH675" s="83"/>
      <c r="LR675" s="83"/>
      <c r="MB675" s="83"/>
      <c r="ML675" s="83"/>
      <c r="MV675" s="83"/>
      <c r="NF675" s="83"/>
      <c r="NP675" s="83"/>
      <c r="NZ675" s="83"/>
      <c r="OJ675" s="83"/>
      <c r="OT675" s="83"/>
      <c r="PD675" s="83"/>
      <c r="PN675" s="83"/>
      <c r="PX675" s="83"/>
      <c r="QH675" s="83"/>
      <c r="QR675" s="83"/>
      <c r="RB675" s="83"/>
      <c r="RL675" s="83"/>
      <c r="RV675" s="83"/>
      <c r="SF675" s="83"/>
      <c r="SP675" s="83"/>
      <c r="SZ675" s="83"/>
      <c r="TJ675" s="83"/>
      <c r="TT675" s="83"/>
      <c r="UD675" s="83"/>
      <c r="UN675" s="83"/>
      <c r="UX675" s="83"/>
      <c r="VH675" s="83"/>
      <c r="VR675" s="83"/>
      <c r="WB675" s="83"/>
      <c r="WL675" s="83"/>
      <c r="WV675" s="83"/>
      <c r="XF675" s="83"/>
      <c r="XP675" s="83"/>
      <c r="XZ675" s="83"/>
      <c r="YJ675" s="83"/>
      <c r="YT675" s="83"/>
      <c r="ZD675" s="83"/>
      <c r="ZN675" s="83"/>
      <c r="ZX675" s="83"/>
      <c r="AAH675" s="83"/>
      <c r="AAR675" s="83"/>
      <c r="ABB675" s="83"/>
      <c r="ABL675" s="83"/>
      <c r="ABV675" s="83"/>
      <c r="ACF675" s="83"/>
      <c r="ACP675" s="83"/>
      <c r="ACZ675" s="83"/>
      <c r="ADJ675" s="83"/>
      <c r="ADT675" s="83"/>
      <c r="AED675" s="83"/>
      <c r="AEN675" s="83"/>
      <c r="AEX675" s="83"/>
      <c r="AFH675" s="83"/>
      <c r="AFR675" s="83"/>
      <c r="AGB675" s="83"/>
      <c r="AGL675" s="83"/>
      <c r="AGV675" s="83"/>
      <c r="AHF675" s="83"/>
      <c r="AHP675" s="83"/>
      <c r="AHZ675" s="83"/>
      <c r="AIJ675" s="83"/>
      <c r="AIT675" s="83"/>
      <c r="AJD675" s="83"/>
      <c r="AJN675" s="83"/>
      <c r="AJX675" s="83"/>
      <c r="AKH675" s="83"/>
      <c r="AKR675" s="83"/>
      <c r="ALB675" s="83"/>
      <c r="ALL675" s="83"/>
      <c r="ALV675" s="83"/>
      <c r="AMF675" s="83"/>
      <c r="AMP675" s="83"/>
      <c r="AMZ675" s="83"/>
      <c r="ANJ675" s="83"/>
      <c r="ANT675" s="83"/>
      <c r="AOD675" s="83"/>
      <c r="AON675" s="83"/>
      <c r="AOX675" s="83"/>
      <c r="APH675" s="83"/>
      <c r="APR675" s="83"/>
      <c r="AQB675" s="83"/>
      <c r="AQL675" s="83"/>
      <c r="AQV675" s="83"/>
      <c r="ARF675" s="83"/>
      <c r="ARP675" s="83"/>
      <c r="ARZ675" s="83"/>
      <c r="ASJ675" s="83"/>
      <c r="AST675" s="83"/>
      <c r="ATD675" s="83"/>
      <c r="ATN675" s="83"/>
      <c r="ATX675" s="83"/>
      <c r="AUH675" s="83"/>
      <c r="AUR675" s="83"/>
      <c r="AVB675" s="83"/>
      <c r="AVL675" s="83"/>
      <c r="AVV675" s="83"/>
      <c r="AWF675" s="83"/>
      <c r="AWP675" s="83"/>
      <c r="AWZ675" s="83"/>
      <c r="AXJ675" s="83"/>
      <c r="AXT675" s="83"/>
      <c r="AYD675" s="83"/>
      <c r="AYN675" s="83"/>
      <c r="AYX675" s="83"/>
      <c r="AZH675" s="83"/>
      <c r="AZR675" s="83"/>
      <c r="BAB675" s="83"/>
      <c r="BAL675" s="83"/>
      <c r="BAV675" s="83"/>
      <c r="BBF675" s="83"/>
      <c r="BBP675" s="83"/>
      <c r="BBZ675" s="83"/>
      <c r="BCJ675" s="83"/>
      <c r="BCT675" s="83"/>
      <c r="BDD675" s="83"/>
      <c r="BDN675" s="83"/>
      <c r="BDX675" s="83"/>
      <c r="BEH675" s="83"/>
      <c r="BER675" s="83"/>
      <c r="BFB675" s="83"/>
      <c r="BFL675" s="83"/>
      <c r="BFV675" s="83"/>
      <c r="BGF675" s="83"/>
      <c r="BGP675" s="83"/>
      <c r="BGZ675" s="83"/>
      <c r="BHJ675" s="83"/>
      <c r="BHT675" s="83"/>
      <c r="BID675" s="83"/>
      <c r="BIN675" s="83"/>
      <c r="BIX675" s="83"/>
      <c r="BJH675" s="83"/>
      <c r="BJR675" s="83"/>
      <c r="BKB675" s="83"/>
      <c r="BKL675" s="83"/>
      <c r="BKV675" s="83"/>
      <c r="BLF675" s="83"/>
      <c r="BLP675" s="83"/>
      <c r="BLZ675" s="83"/>
      <c r="BMJ675" s="83"/>
      <c r="BMT675" s="83"/>
      <c r="BND675" s="83"/>
      <c r="BNN675" s="83"/>
      <c r="BNX675" s="83"/>
      <c r="BOH675" s="83"/>
      <c r="BOR675" s="83"/>
      <c r="BPB675" s="83"/>
      <c r="BPL675" s="83"/>
      <c r="BPV675" s="83"/>
      <c r="BQF675" s="83"/>
      <c r="BQP675" s="83"/>
      <c r="BQZ675" s="83"/>
      <c r="BRJ675" s="83"/>
      <c r="BRT675" s="83"/>
      <c r="BSD675" s="83"/>
      <c r="BSN675" s="83"/>
      <c r="BSX675" s="83"/>
      <c r="BTH675" s="83"/>
      <c r="BTR675" s="83"/>
      <c r="BUB675" s="83"/>
      <c r="BUL675" s="83"/>
      <c r="BUV675" s="83"/>
      <c r="BVF675" s="83"/>
      <c r="BVP675" s="83"/>
      <c r="BVZ675" s="83"/>
      <c r="BWJ675" s="83"/>
      <c r="BWT675" s="83"/>
      <c r="BXD675" s="83"/>
      <c r="BXN675" s="83"/>
      <c r="BXX675" s="83"/>
      <c r="BYH675" s="83"/>
      <c r="BYR675" s="83"/>
      <c r="BZB675" s="83"/>
      <c r="BZL675" s="83"/>
      <c r="BZV675" s="83"/>
      <c r="CAF675" s="83"/>
      <c r="CAP675" s="83"/>
      <c r="CAZ675" s="83"/>
      <c r="CBJ675" s="83"/>
      <c r="CBT675" s="83"/>
      <c r="CCD675" s="83"/>
      <c r="CCN675" s="83"/>
      <c r="CCX675" s="83"/>
      <c r="CDH675" s="83"/>
      <c r="CDR675" s="83"/>
      <c r="CEB675" s="83"/>
      <c r="CEL675" s="83"/>
      <c r="CEV675" s="83"/>
      <c r="CFF675" s="83"/>
      <c r="CFP675" s="83"/>
      <c r="CFZ675" s="83"/>
      <c r="CGJ675" s="83"/>
      <c r="CGT675" s="83"/>
      <c r="CHD675" s="83"/>
      <c r="CHN675" s="83"/>
      <c r="CHX675" s="83"/>
      <c r="CIH675" s="83"/>
      <c r="CIR675" s="83"/>
      <c r="CJB675" s="83"/>
      <c r="CJL675" s="83"/>
      <c r="CJV675" s="83"/>
      <c r="CKF675" s="83"/>
      <c r="CKP675" s="83"/>
      <c r="CKZ675" s="83"/>
      <c r="CLJ675" s="83"/>
      <c r="CLT675" s="83"/>
      <c r="CMD675" s="83"/>
      <c r="CMN675" s="83"/>
      <c r="CMX675" s="83"/>
      <c r="CNH675" s="83"/>
      <c r="CNR675" s="83"/>
      <c r="COB675" s="83"/>
      <c r="COL675" s="83"/>
      <c r="COV675" s="83"/>
      <c r="CPF675" s="83"/>
      <c r="CPP675" s="83"/>
      <c r="CPZ675" s="83"/>
      <c r="CQJ675" s="83"/>
      <c r="CQT675" s="83"/>
      <c r="CRD675" s="83"/>
      <c r="CRN675" s="83"/>
      <c r="CRX675" s="83"/>
      <c r="CSH675" s="83"/>
      <c r="CSR675" s="83"/>
      <c r="CTB675" s="83"/>
      <c r="CTL675" s="83"/>
      <c r="CTV675" s="83"/>
    </row>
    <row r="676" customHeight="1" spans="1:1020 1030:2040 2050:2570">
      <c r="A676" s="72"/>
      <c r="B676" s="73"/>
      <c r="C676" s="74"/>
      <c r="D676" s="74"/>
      <c r="E676" s="75"/>
      <c r="F676" s="76"/>
      <c r="G676" s="74"/>
      <c r="H676" s="77"/>
      <c r="I676" s="77"/>
      <c r="J676" s="74"/>
      <c r="K676" s="78"/>
    </row>
    <row r="677" customHeight="1" spans="1:1020 1030:2040 2050:2570">
      <c r="A677" s="72"/>
      <c r="B677" s="73"/>
      <c r="C677" s="74"/>
      <c r="D677" s="74"/>
      <c r="E677" s="75"/>
      <c r="F677" s="76"/>
      <c r="G677" s="74"/>
      <c r="H677" s="77"/>
      <c r="I677" s="77"/>
      <c r="J677" s="74"/>
      <c r="K677" s="78"/>
    </row>
    <row r="678" customHeight="1" spans="1:1020 1030:2040 2050:2570">
      <c r="A678" s="72"/>
      <c r="B678" s="73"/>
      <c r="C678" s="74"/>
      <c r="D678" s="74"/>
      <c r="E678" s="75"/>
      <c r="F678" s="76"/>
      <c r="G678" s="74"/>
      <c r="H678" s="77"/>
      <c r="I678" s="77"/>
      <c r="J678" s="74"/>
      <c r="K678" s="78"/>
    </row>
    <row r="679" customHeight="1" spans="1:1020 1030:2040 2050:2570">
      <c r="A679" s="72"/>
      <c r="B679" s="73"/>
      <c r="C679" s="74"/>
      <c r="D679" s="74"/>
      <c r="E679" s="75"/>
      <c r="F679" s="76"/>
      <c r="G679" s="74"/>
      <c r="H679" s="77"/>
      <c r="I679" s="77"/>
      <c r="J679" s="74"/>
      <c r="K679" s="78"/>
    </row>
    <row r="680" customHeight="1" spans="1:1020 1030:2040 2050:2570">
      <c r="A680" s="72"/>
      <c r="B680" s="73"/>
      <c r="C680" s="74"/>
      <c r="D680" s="74"/>
      <c r="E680" s="75"/>
      <c r="F680" s="76"/>
      <c r="G680" s="74"/>
      <c r="H680" s="77"/>
      <c r="I680" s="77"/>
      <c r="J680" s="74"/>
      <c r="K680" s="78"/>
    </row>
    <row r="681" customHeight="1" spans="1:1020 1030:2040 2050:2570">
      <c r="A681" s="72"/>
      <c r="B681" s="73"/>
      <c r="C681" s="74"/>
      <c r="D681" s="74"/>
      <c r="E681" s="75"/>
      <c r="F681" s="76"/>
      <c r="G681" s="74"/>
      <c r="H681" s="77"/>
      <c r="I681" s="77"/>
      <c r="J681" s="74"/>
      <c r="K681" s="78"/>
    </row>
    <row r="682" customHeight="1" spans="1:1020 1030:2040 2050:2570">
      <c r="A682" s="72"/>
      <c r="B682" s="73"/>
      <c r="C682" s="74"/>
      <c r="D682" s="74"/>
      <c r="E682" s="75"/>
      <c r="F682" s="76"/>
      <c r="G682" s="74"/>
      <c r="H682" s="77"/>
      <c r="I682" s="77"/>
      <c r="J682" s="74"/>
      <c r="K682" s="78"/>
    </row>
    <row r="683" s="58" customFormat="1" customHeight="1" spans="1:1020 1030:2040 2050:2570">
      <c r="A683" s="87"/>
      <c r="B683" s="94"/>
      <c r="C683" s="95"/>
      <c r="D683" s="75"/>
      <c r="E683" s="75"/>
      <c r="F683" s="96"/>
      <c r="G683" s="75"/>
      <c r="H683" s="96"/>
      <c r="I683" s="96"/>
      <c r="J683" s="75"/>
      <c r="K683" s="78"/>
      <c r="T683" s="83"/>
      <c r="AD683" s="83"/>
      <c r="AN683" s="83"/>
      <c r="AX683" s="83"/>
      <c r="BH683" s="83"/>
      <c r="BR683" s="83"/>
      <c r="CB683" s="83"/>
      <c r="CL683" s="83"/>
      <c r="CV683" s="83"/>
      <c r="DF683" s="83"/>
      <c r="DP683" s="83"/>
      <c r="DZ683" s="83"/>
      <c r="EJ683" s="83"/>
      <c r="ET683" s="83"/>
      <c r="FD683" s="83"/>
      <c r="FN683" s="83"/>
      <c r="FX683" s="83"/>
      <c r="GH683" s="83"/>
      <c r="GR683" s="83"/>
      <c r="HB683" s="83"/>
      <c r="HL683" s="83"/>
      <c r="HV683" s="83"/>
      <c r="IF683" s="83"/>
      <c r="IP683" s="83"/>
      <c r="IZ683" s="83"/>
      <c r="JJ683" s="83"/>
      <c r="JT683" s="83"/>
      <c r="KD683" s="83"/>
      <c r="KN683" s="83"/>
      <c r="KX683" s="83"/>
      <c r="LH683" s="83"/>
      <c r="LR683" s="83"/>
      <c r="MB683" s="83"/>
      <c r="ML683" s="83"/>
      <c r="MV683" s="83"/>
      <c r="NF683" s="83"/>
      <c r="NP683" s="83"/>
      <c r="NZ683" s="83"/>
      <c r="OJ683" s="83"/>
      <c r="OT683" s="83"/>
      <c r="PD683" s="83"/>
      <c r="PN683" s="83"/>
      <c r="PX683" s="83"/>
      <c r="QH683" s="83"/>
      <c r="QR683" s="83"/>
      <c r="RB683" s="83"/>
      <c r="RL683" s="83"/>
      <c r="RV683" s="83"/>
      <c r="SF683" s="83"/>
      <c r="SP683" s="83"/>
      <c r="SZ683" s="83"/>
      <c r="TJ683" s="83"/>
      <c r="TT683" s="83"/>
      <c r="UD683" s="83"/>
      <c r="UN683" s="83"/>
      <c r="UX683" s="83"/>
      <c r="VH683" s="83"/>
      <c r="VR683" s="83"/>
      <c r="WB683" s="83"/>
      <c r="WL683" s="83"/>
      <c r="WV683" s="83"/>
      <c r="XF683" s="83"/>
      <c r="XP683" s="83"/>
      <c r="XZ683" s="83"/>
      <c r="YJ683" s="83"/>
      <c r="YT683" s="83"/>
      <c r="ZD683" s="83"/>
      <c r="ZN683" s="83"/>
      <c r="ZX683" s="83"/>
      <c r="AAH683" s="83"/>
      <c r="AAR683" s="83"/>
      <c r="ABB683" s="83"/>
      <c r="ABL683" s="83"/>
      <c r="ABV683" s="83"/>
      <c r="ACF683" s="83"/>
      <c r="ACP683" s="83"/>
      <c r="ACZ683" s="83"/>
      <c r="ADJ683" s="83"/>
      <c r="ADT683" s="83"/>
      <c r="AED683" s="83"/>
      <c r="AEN683" s="83"/>
      <c r="AEX683" s="83"/>
      <c r="AFH683" s="83"/>
      <c r="AFR683" s="83"/>
      <c r="AGB683" s="83"/>
      <c r="AGL683" s="83"/>
      <c r="AGV683" s="83"/>
      <c r="AHF683" s="83"/>
      <c r="AHP683" s="83"/>
      <c r="AHZ683" s="83"/>
      <c r="AIJ683" s="83"/>
      <c r="AIT683" s="83"/>
      <c r="AJD683" s="83"/>
      <c r="AJN683" s="83"/>
      <c r="AJX683" s="83"/>
      <c r="AKH683" s="83"/>
      <c r="AKR683" s="83"/>
      <c r="ALB683" s="83"/>
      <c r="ALL683" s="83"/>
      <c r="ALV683" s="83"/>
      <c r="AMF683" s="83"/>
      <c r="AMP683" s="83"/>
      <c r="AMZ683" s="83"/>
      <c r="ANJ683" s="83"/>
      <c r="ANT683" s="83"/>
      <c r="AOD683" s="83"/>
      <c r="AON683" s="83"/>
      <c r="AOX683" s="83"/>
      <c r="APH683" s="83"/>
      <c r="APR683" s="83"/>
      <c r="AQB683" s="83"/>
      <c r="AQL683" s="83"/>
      <c r="AQV683" s="83"/>
      <c r="ARF683" s="83"/>
      <c r="ARP683" s="83"/>
      <c r="ARZ683" s="83"/>
      <c r="ASJ683" s="83"/>
      <c r="AST683" s="83"/>
      <c r="ATD683" s="83"/>
      <c r="ATN683" s="83"/>
      <c r="ATX683" s="83"/>
      <c r="AUH683" s="83"/>
      <c r="AUR683" s="83"/>
      <c r="AVB683" s="83"/>
      <c r="AVL683" s="83"/>
      <c r="AVV683" s="83"/>
      <c r="AWF683" s="83"/>
      <c r="AWP683" s="83"/>
      <c r="AWZ683" s="83"/>
      <c r="AXJ683" s="83"/>
      <c r="AXT683" s="83"/>
      <c r="AYD683" s="83"/>
      <c r="AYN683" s="83"/>
      <c r="AYX683" s="83"/>
      <c r="AZH683" s="83"/>
      <c r="AZR683" s="83"/>
      <c r="BAB683" s="83"/>
      <c r="BAL683" s="83"/>
      <c r="BAV683" s="83"/>
      <c r="BBF683" s="83"/>
      <c r="BBP683" s="83"/>
      <c r="BBZ683" s="83"/>
      <c r="BCJ683" s="83"/>
      <c r="BCT683" s="83"/>
      <c r="BDD683" s="83"/>
      <c r="BDN683" s="83"/>
      <c r="BDX683" s="83"/>
      <c r="BEH683" s="83"/>
      <c r="BER683" s="83"/>
      <c r="BFB683" s="83"/>
      <c r="BFL683" s="83"/>
      <c r="BFV683" s="83"/>
      <c r="BGF683" s="83"/>
      <c r="BGP683" s="83"/>
      <c r="BGZ683" s="83"/>
      <c r="BHJ683" s="83"/>
      <c r="BHT683" s="83"/>
      <c r="BID683" s="83"/>
      <c r="BIN683" s="83"/>
      <c r="BIX683" s="83"/>
      <c r="BJH683" s="83"/>
      <c r="BJR683" s="83"/>
      <c r="BKB683" s="83"/>
      <c r="BKL683" s="83"/>
      <c r="BKV683" s="83"/>
      <c r="BLF683" s="83"/>
      <c r="BLP683" s="83"/>
      <c r="BLZ683" s="83"/>
      <c r="BMJ683" s="83"/>
      <c r="BMT683" s="83"/>
      <c r="BND683" s="83"/>
      <c r="BNN683" s="83"/>
      <c r="BNX683" s="83"/>
      <c r="BOH683" s="83"/>
      <c r="BOR683" s="83"/>
      <c r="BPB683" s="83"/>
      <c r="BPL683" s="83"/>
      <c r="BPV683" s="83"/>
      <c r="BQF683" s="83"/>
      <c r="BQP683" s="83"/>
      <c r="BQZ683" s="83"/>
      <c r="BRJ683" s="83"/>
      <c r="BRT683" s="83"/>
      <c r="BSD683" s="83"/>
      <c r="BSN683" s="83"/>
      <c r="BSX683" s="83"/>
      <c r="BTH683" s="83"/>
      <c r="BTR683" s="83"/>
      <c r="BUB683" s="83"/>
      <c r="BUL683" s="83"/>
      <c r="BUV683" s="83"/>
      <c r="BVF683" s="83"/>
      <c r="BVP683" s="83"/>
      <c r="BVZ683" s="83"/>
      <c r="BWJ683" s="83"/>
      <c r="BWT683" s="83"/>
      <c r="BXD683" s="83"/>
      <c r="BXN683" s="83"/>
      <c r="BXX683" s="83"/>
      <c r="BYH683" s="83"/>
      <c r="BYR683" s="83"/>
      <c r="BZB683" s="83"/>
      <c r="BZL683" s="83"/>
      <c r="BZV683" s="83"/>
      <c r="CAF683" s="83"/>
      <c r="CAP683" s="83"/>
      <c r="CAZ683" s="83"/>
      <c r="CBJ683" s="83"/>
      <c r="CBT683" s="83"/>
      <c r="CCD683" s="83"/>
      <c r="CCN683" s="83"/>
      <c r="CCX683" s="83"/>
      <c r="CDH683" s="83"/>
      <c r="CDR683" s="83"/>
      <c r="CEB683" s="83"/>
      <c r="CEL683" s="83"/>
      <c r="CEV683" s="83"/>
      <c r="CFF683" s="83"/>
      <c r="CFP683" s="83"/>
      <c r="CFZ683" s="83"/>
      <c r="CGJ683" s="83"/>
      <c r="CGT683" s="83"/>
      <c r="CHD683" s="83"/>
      <c r="CHN683" s="83"/>
      <c r="CHX683" s="83"/>
      <c r="CIH683" s="83"/>
      <c r="CIR683" s="83"/>
      <c r="CJB683" s="83"/>
      <c r="CJL683" s="83"/>
      <c r="CJV683" s="83"/>
      <c r="CKF683" s="83"/>
      <c r="CKP683" s="83"/>
      <c r="CKZ683" s="83"/>
      <c r="CLJ683" s="83"/>
      <c r="CLT683" s="83"/>
      <c r="CMD683" s="83"/>
      <c r="CMN683" s="83"/>
      <c r="CMX683" s="83"/>
      <c r="CNH683" s="83"/>
      <c r="CNR683" s="83"/>
      <c r="COB683" s="83"/>
      <c r="COL683" s="83"/>
      <c r="COV683" s="83"/>
      <c r="CPF683" s="83"/>
      <c r="CPP683" s="83"/>
      <c r="CPZ683" s="83"/>
      <c r="CQJ683" s="83"/>
      <c r="CQT683" s="83"/>
      <c r="CRD683" s="83"/>
      <c r="CRN683" s="83"/>
      <c r="CRX683" s="83"/>
      <c r="CSH683" s="83"/>
      <c r="CSR683" s="83"/>
      <c r="CTB683" s="83"/>
      <c r="CTL683" s="83"/>
      <c r="CTV683" s="83"/>
    </row>
    <row r="684" s="58" customFormat="1" customHeight="1" spans="1:1020 1030:2040 2050:2570">
      <c r="A684" s="87"/>
      <c r="B684" s="94"/>
      <c r="C684" s="95"/>
      <c r="D684" s="75"/>
      <c r="E684" s="75"/>
      <c r="F684" s="96"/>
      <c r="G684" s="75"/>
      <c r="H684" s="96"/>
      <c r="I684" s="96"/>
      <c r="J684" s="75"/>
      <c r="K684" s="78"/>
      <c r="T684" s="83"/>
      <c r="AD684" s="83"/>
      <c r="AN684" s="83"/>
      <c r="AX684" s="83"/>
      <c r="BH684" s="83"/>
      <c r="BR684" s="83"/>
      <c r="CB684" s="83"/>
      <c r="CL684" s="83"/>
      <c r="CV684" s="83"/>
      <c r="DF684" s="83"/>
      <c r="DP684" s="83"/>
      <c r="DZ684" s="83"/>
      <c r="EJ684" s="83"/>
      <c r="ET684" s="83"/>
      <c r="FD684" s="83"/>
      <c r="FN684" s="83"/>
      <c r="FX684" s="83"/>
      <c r="GH684" s="83"/>
      <c r="GR684" s="83"/>
      <c r="HB684" s="83"/>
      <c r="HL684" s="83"/>
      <c r="HV684" s="83"/>
      <c r="IF684" s="83"/>
      <c r="IP684" s="83"/>
      <c r="IZ684" s="83"/>
      <c r="JJ684" s="83"/>
      <c r="JT684" s="83"/>
      <c r="KD684" s="83"/>
      <c r="KN684" s="83"/>
      <c r="KX684" s="83"/>
      <c r="LH684" s="83"/>
      <c r="LR684" s="83"/>
      <c r="MB684" s="83"/>
      <c r="ML684" s="83"/>
      <c r="MV684" s="83"/>
      <c r="NF684" s="83"/>
      <c r="NP684" s="83"/>
      <c r="NZ684" s="83"/>
      <c r="OJ684" s="83"/>
      <c r="OT684" s="83"/>
      <c r="PD684" s="83"/>
      <c r="PN684" s="83"/>
      <c r="PX684" s="83"/>
      <c r="QH684" s="83"/>
      <c r="QR684" s="83"/>
      <c r="RB684" s="83"/>
      <c r="RL684" s="83"/>
      <c r="RV684" s="83"/>
      <c r="SF684" s="83"/>
      <c r="SP684" s="83"/>
      <c r="SZ684" s="83"/>
      <c r="TJ684" s="83"/>
      <c r="TT684" s="83"/>
      <c r="UD684" s="83"/>
      <c r="UN684" s="83"/>
      <c r="UX684" s="83"/>
      <c r="VH684" s="83"/>
      <c r="VR684" s="83"/>
      <c r="WB684" s="83"/>
      <c r="WL684" s="83"/>
      <c r="WV684" s="83"/>
      <c r="XF684" s="83"/>
      <c r="XP684" s="83"/>
      <c r="XZ684" s="83"/>
      <c r="YJ684" s="83"/>
      <c r="YT684" s="83"/>
      <c r="ZD684" s="83"/>
      <c r="ZN684" s="83"/>
      <c r="ZX684" s="83"/>
      <c r="AAH684" s="83"/>
      <c r="AAR684" s="83"/>
      <c r="ABB684" s="83"/>
      <c r="ABL684" s="83"/>
      <c r="ABV684" s="83"/>
      <c r="ACF684" s="83"/>
      <c r="ACP684" s="83"/>
      <c r="ACZ684" s="83"/>
      <c r="ADJ684" s="83"/>
      <c r="ADT684" s="83"/>
      <c r="AED684" s="83"/>
      <c r="AEN684" s="83"/>
      <c r="AEX684" s="83"/>
      <c r="AFH684" s="83"/>
      <c r="AFR684" s="83"/>
      <c r="AGB684" s="83"/>
      <c r="AGL684" s="83"/>
      <c r="AGV684" s="83"/>
      <c r="AHF684" s="83"/>
      <c r="AHP684" s="83"/>
      <c r="AHZ684" s="83"/>
      <c r="AIJ684" s="83"/>
      <c r="AIT684" s="83"/>
      <c r="AJD684" s="83"/>
      <c r="AJN684" s="83"/>
      <c r="AJX684" s="83"/>
      <c r="AKH684" s="83"/>
      <c r="AKR684" s="83"/>
      <c r="ALB684" s="83"/>
      <c r="ALL684" s="83"/>
      <c r="ALV684" s="83"/>
      <c r="AMF684" s="83"/>
      <c r="AMP684" s="83"/>
      <c r="AMZ684" s="83"/>
      <c r="ANJ684" s="83"/>
      <c r="ANT684" s="83"/>
      <c r="AOD684" s="83"/>
      <c r="AON684" s="83"/>
      <c r="AOX684" s="83"/>
      <c r="APH684" s="83"/>
      <c r="APR684" s="83"/>
      <c r="AQB684" s="83"/>
      <c r="AQL684" s="83"/>
      <c r="AQV684" s="83"/>
      <c r="ARF684" s="83"/>
      <c r="ARP684" s="83"/>
      <c r="ARZ684" s="83"/>
      <c r="ASJ684" s="83"/>
      <c r="AST684" s="83"/>
      <c r="ATD684" s="83"/>
      <c r="ATN684" s="83"/>
      <c r="ATX684" s="83"/>
      <c r="AUH684" s="83"/>
      <c r="AUR684" s="83"/>
      <c r="AVB684" s="83"/>
      <c r="AVL684" s="83"/>
      <c r="AVV684" s="83"/>
      <c r="AWF684" s="83"/>
      <c r="AWP684" s="83"/>
      <c r="AWZ684" s="83"/>
      <c r="AXJ684" s="83"/>
      <c r="AXT684" s="83"/>
      <c r="AYD684" s="83"/>
      <c r="AYN684" s="83"/>
      <c r="AYX684" s="83"/>
      <c r="AZH684" s="83"/>
      <c r="AZR684" s="83"/>
      <c r="BAB684" s="83"/>
      <c r="BAL684" s="83"/>
      <c r="BAV684" s="83"/>
      <c r="BBF684" s="83"/>
      <c r="BBP684" s="83"/>
      <c r="BBZ684" s="83"/>
      <c r="BCJ684" s="83"/>
      <c r="BCT684" s="83"/>
      <c r="BDD684" s="83"/>
      <c r="BDN684" s="83"/>
      <c r="BDX684" s="83"/>
      <c r="BEH684" s="83"/>
      <c r="BER684" s="83"/>
      <c r="BFB684" s="83"/>
      <c r="BFL684" s="83"/>
      <c r="BFV684" s="83"/>
      <c r="BGF684" s="83"/>
      <c r="BGP684" s="83"/>
      <c r="BGZ684" s="83"/>
      <c r="BHJ684" s="83"/>
      <c r="BHT684" s="83"/>
      <c r="BID684" s="83"/>
      <c r="BIN684" s="83"/>
      <c r="BIX684" s="83"/>
      <c r="BJH684" s="83"/>
      <c r="BJR684" s="83"/>
      <c r="BKB684" s="83"/>
      <c r="BKL684" s="83"/>
      <c r="BKV684" s="83"/>
      <c r="BLF684" s="83"/>
      <c r="BLP684" s="83"/>
      <c r="BLZ684" s="83"/>
      <c r="BMJ684" s="83"/>
      <c r="BMT684" s="83"/>
      <c r="BND684" s="83"/>
      <c r="BNN684" s="83"/>
      <c r="BNX684" s="83"/>
      <c r="BOH684" s="83"/>
      <c r="BOR684" s="83"/>
      <c r="BPB684" s="83"/>
      <c r="BPL684" s="83"/>
      <c r="BPV684" s="83"/>
      <c r="BQF684" s="83"/>
      <c r="BQP684" s="83"/>
      <c r="BQZ684" s="83"/>
      <c r="BRJ684" s="83"/>
      <c r="BRT684" s="83"/>
      <c r="BSD684" s="83"/>
      <c r="BSN684" s="83"/>
      <c r="BSX684" s="83"/>
      <c r="BTH684" s="83"/>
      <c r="BTR684" s="83"/>
      <c r="BUB684" s="83"/>
      <c r="BUL684" s="83"/>
      <c r="BUV684" s="83"/>
      <c r="BVF684" s="83"/>
      <c r="BVP684" s="83"/>
      <c r="BVZ684" s="83"/>
      <c r="BWJ684" s="83"/>
      <c r="BWT684" s="83"/>
      <c r="BXD684" s="83"/>
      <c r="BXN684" s="83"/>
      <c r="BXX684" s="83"/>
      <c r="BYH684" s="83"/>
      <c r="BYR684" s="83"/>
      <c r="BZB684" s="83"/>
      <c r="BZL684" s="83"/>
      <c r="BZV684" s="83"/>
      <c r="CAF684" s="83"/>
      <c r="CAP684" s="83"/>
      <c r="CAZ684" s="83"/>
      <c r="CBJ684" s="83"/>
      <c r="CBT684" s="83"/>
      <c r="CCD684" s="83"/>
      <c r="CCN684" s="83"/>
      <c r="CCX684" s="83"/>
      <c r="CDH684" s="83"/>
      <c r="CDR684" s="83"/>
      <c r="CEB684" s="83"/>
      <c r="CEL684" s="83"/>
      <c r="CEV684" s="83"/>
      <c r="CFF684" s="83"/>
      <c r="CFP684" s="83"/>
      <c r="CFZ684" s="83"/>
      <c r="CGJ684" s="83"/>
      <c r="CGT684" s="83"/>
      <c r="CHD684" s="83"/>
      <c r="CHN684" s="83"/>
      <c r="CHX684" s="83"/>
      <c r="CIH684" s="83"/>
      <c r="CIR684" s="83"/>
      <c r="CJB684" s="83"/>
      <c r="CJL684" s="83"/>
      <c r="CJV684" s="83"/>
      <c r="CKF684" s="83"/>
      <c r="CKP684" s="83"/>
      <c r="CKZ684" s="83"/>
      <c r="CLJ684" s="83"/>
      <c r="CLT684" s="83"/>
      <c r="CMD684" s="83"/>
      <c r="CMN684" s="83"/>
      <c r="CMX684" s="83"/>
      <c r="CNH684" s="83"/>
      <c r="CNR684" s="83"/>
      <c r="COB684" s="83"/>
      <c r="COL684" s="83"/>
      <c r="COV684" s="83"/>
      <c r="CPF684" s="83"/>
      <c r="CPP684" s="83"/>
      <c r="CPZ684" s="83"/>
      <c r="CQJ684" s="83"/>
      <c r="CQT684" s="83"/>
      <c r="CRD684" s="83"/>
      <c r="CRN684" s="83"/>
      <c r="CRX684" s="83"/>
      <c r="CSH684" s="83"/>
      <c r="CSR684" s="83"/>
      <c r="CTB684" s="83"/>
      <c r="CTL684" s="83"/>
      <c r="CTV684" s="83"/>
    </row>
    <row r="685" s="58" customFormat="1" customHeight="1" spans="1:1020 1030:2040 2050:2570">
      <c r="A685" s="87"/>
      <c r="B685" s="94"/>
      <c r="C685" s="95"/>
      <c r="D685" s="75"/>
      <c r="E685" s="75"/>
      <c r="F685" s="96"/>
      <c r="G685" s="75"/>
      <c r="H685" s="96"/>
      <c r="I685" s="96"/>
      <c r="J685" s="75"/>
      <c r="K685" s="78"/>
      <c r="T685" s="83"/>
      <c r="AD685" s="83"/>
      <c r="AN685" s="83"/>
      <c r="AX685" s="83"/>
      <c r="BH685" s="83"/>
      <c r="BR685" s="83"/>
      <c r="CB685" s="83"/>
      <c r="CL685" s="83"/>
      <c r="CV685" s="83"/>
      <c r="DF685" s="83"/>
      <c r="DP685" s="83"/>
      <c r="DZ685" s="83"/>
      <c r="EJ685" s="83"/>
      <c r="ET685" s="83"/>
      <c r="FD685" s="83"/>
      <c r="FN685" s="83"/>
      <c r="FX685" s="83"/>
      <c r="GH685" s="83"/>
      <c r="GR685" s="83"/>
      <c r="HB685" s="83"/>
      <c r="HL685" s="83"/>
      <c r="HV685" s="83"/>
      <c r="IF685" s="83"/>
      <c r="IP685" s="83"/>
      <c r="IZ685" s="83"/>
      <c r="JJ685" s="83"/>
      <c r="JT685" s="83"/>
      <c r="KD685" s="83"/>
      <c r="KN685" s="83"/>
      <c r="KX685" s="83"/>
      <c r="LH685" s="83"/>
      <c r="LR685" s="83"/>
      <c r="MB685" s="83"/>
      <c r="ML685" s="83"/>
      <c r="MV685" s="83"/>
      <c r="NF685" s="83"/>
      <c r="NP685" s="83"/>
      <c r="NZ685" s="83"/>
      <c r="OJ685" s="83"/>
      <c r="OT685" s="83"/>
      <c r="PD685" s="83"/>
      <c r="PN685" s="83"/>
      <c r="PX685" s="83"/>
      <c r="QH685" s="83"/>
      <c r="QR685" s="83"/>
      <c r="RB685" s="83"/>
      <c r="RL685" s="83"/>
      <c r="RV685" s="83"/>
      <c r="SF685" s="83"/>
      <c r="SP685" s="83"/>
      <c r="SZ685" s="83"/>
      <c r="TJ685" s="83"/>
      <c r="TT685" s="83"/>
      <c r="UD685" s="83"/>
      <c r="UN685" s="83"/>
      <c r="UX685" s="83"/>
      <c r="VH685" s="83"/>
      <c r="VR685" s="83"/>
      <c r="WB685" s="83"/>
      <c r="WL685" s="83"/>
      <c r="WV685" s="83"/>
      <c r="XF685" s="83"/>
      <c r="XP685" s="83"/>
      <c r="XZ685" s="83"/>
      <c r="YJ685" s="83"/>
      <c r="YT685" s="83"/>
      <c r="ZD685" s="83"/>
      <c r="ZN685" s="83"/>
      <c r="ZX685" s="83"/>
      <c r="AAH685" s="83"/>
      <c r="AAR685" s="83"/>
      <c r="ABB685" s="83"/>
      <c r="ABL685" s="83"/>
      <c r="ABV685" s="83"/>
      <c r="ACF685" s="83"/>
      <c r="ACP685" s="83"/>
      <c r="ACZ685" s="83"/>
      <c r="ADJ685" s="83"/>
      <c r="ADT685" s="83"/>
      <c r="AED685" s="83"/>
      <c r="AEN685" s="83"/>
      <c r="AEX685" s="83"/>
      <c r="AFH685" s="83"/>
      <c r="AFR685" s="83"/>
      <c r="AGB685" s="83"/>
      <c r="AGL685" s="83"/>
      <c r="AGV685" s="83"/>
      <c r="AHF685" s="83"/>
      <c r="AHP685" s="83"/>
      <c r="AHZ685" s="83"/>
      <c r="AIJ685" s="83"/>
      <c r="AIT685" s="83"/>
      <c r="AJD685" s="83"/>
      <c r="AJN685" s="83"/>
      <c r="AJX685" s="83"/>
      <c r="AKH685" s="83"/>
      <c r="AKR685" s="83"/>
      <c r="ALB685" s="83"/>
      <c r="ALL685" s="83"/>
      <c r="ALV685" s="83"/>
      <c r="AMF685" s="83"/>
      <c r="AMP685" s="83"/>
      <c r="AMZ685" s="83"/>
      <c r="ANJ685" s="83"/>
      <c r="ANT685" s="83"/>
      <c r="AOD685" s="83"/>
      <c r="AON685" s="83"/>
      <c r="AOX685" s="83"/>
      <c r="APH685" s="83"/>
      <c r="APR685" s="83"/>
      <c r="AQB685" s="83"/>
      <c r="AQL685" s="83"/>
      <c r="AQV685" s="83"/>
      <c r="ARF685" s="83"/>
      <c r="ARP685" s="83"/>
      <c r="ARZ685" s="83"/>
      <c r="ASJ685" s="83"/>
      <c r="AST685" s="83"/>
      <c r="ATD685" s="83"/>
      <c r="ATN685" s="83"/>
      <c r="ATX685" s="83"/>
      <c r="AUH685" s="83"/>
      <c r="AUR685" s="83"/>
      <c r="AVB685" s="83"/>
      <c r="AVL685" s="83"/>
      <c r="AVV685" s="83"/>
      <c r="AWF685" s="83"/>
      <c r="AWP685" s="83"/>
      <c r="AWZ685" s="83"/>
      <c r="AXJ685" s="83"/>
      <c r="AXT685" s="83"/>
      <c r="AYD685" s="83"/>
      <c r="AYN685" s="83"/>
      <c r="AYX685" s="83"/>
      <c r="AZH685" s="83"/>
      <c r="AZR685" s="83"/>
      <c r="BAB685" s="83"/>
      <c r="BAL685" s="83"/>
      <c r="BAV685" s="83"/>
      <c r="BBF685" s="83"/>
      <c r="BBP685" s="83"/>
      <c r="BBZ685" s="83"/>
      <c r="BCJ685" s="83"/>
      <c r="BCT685" s="83"/>
      <c r="BDD685" s="83"/>
      <c r="BDN685" s="83"/>
      <c r="BDX685" s="83"/>
      <c r="BEH685" s="83"/>
      <c r="BER685" s="83"/>
      <c r="BFB685" s="83"/>
      <c r="BFL685" s="83"/>
      <c r="BFV685" s="83"/>
      <c r="BGF685" s="83"/>
      <c r="BGP685" s="83"/>
      <c r="BGZ685" s="83"/>
      <c r="BHJ685" s="83"/>
      <c r="BHT685" s="83"/>
      <c r="BID685" s="83"/>
      <c r="BIN685" s="83"/>
      <c r="BIX685" s="83"/>
      <c r="BJH685" s="83"/>
      <c r="BJR685" s="83"/>
      <c r="BKB685" s="83"/>
      <c r="BKL685" s="83"/>
      <c r="BKV685" s="83"/>
      <c r="BLF685" s="83"/>
      <c r="BLP685" s="83"/>
      <c r="BLZ685" s="83"/>
      <c r="BMJ685" s="83"/>
      <c r="BMT685" s="83"/>
      <c r="BND685" s="83"/>
      <c r="BNN685" s="83"/>
      <c r="BNX685" s="83"/>
      <c r="BOH685" s="83"/>
      <c r="BOR685" s="83"/>
      <c r="BPB685" s="83"/>
      <c r="BPL685" s="83"/>
      <c r="BPV685" s="83"/>
      <c r="BQF685" s="83"/>
      <c r="BQP685" s="83"/>
      <c r="BQZ685" s="83"/>
      <c r="BRJ685" s="83"/>
      <c r="BRT685" s="83"/>
      <c r="BSD685" s="83"/>
      <c r="BSN685" s="83"/>
      <c r="BSX685" s="83"/>
      <c r="BTH685" s="83"/>
      <c r="BTR685" s="83"/>
      <c r="BUB685" s="83"/>
      <c r="BUL685" s="83"/>
      <c r="BUV685" s="83"/>
      <c r="BVF685" s="83"/>
      <c r="BVP685" s="83"/>
      <c r="BVZ685" s="83"/>
      <c r="BWJ685" s="83"/>
      <c r="BWT685" s="83"/>
      <c r="BXD685" s="83"/>
      <c r="BXN685" s="83"/>
      <c r="BXX685" s="83"/>
      <c r="BYH685" s="83"/>
      <c r="BYR685" s="83"/>
      <c r="BZB685" s="83"/>
      <c r="BZL685" s="83"/>
      <c r="BZV685" s="83"/>
      <c r="CAF685" s="83"/>
      <c r="CAP685" s="83"/>
      <c r="CAZ685" s="83"/>
      <c r="CBJ685" s="83"/>
      <c r="CBT685" s="83"/>
      <c r="CCD685" s="83"/>
      <c r="CCN685" s="83"/>
      <c r="CCX685" s="83"/>
      <c r="CDH685" s="83"/>
      <c r="CDR685" s="83"/>
      <c r="CEB685" s="83"/>
      <c r="CEL685" s="83"/>
      <c r="CEV685" s="83"/>
      <c r="CFF685" s="83"/>
      <c r="CFP685" s="83"/>
      <c r="CFZ685" s="83"/>
      <c r="CGJ685" s="83"/>
      <c r="CGT685" s="83"/>
      <c r="CHD685" s="83"/>
      <c r="CHN685" s="83"/>
      <c r="CHX685" s="83"/>
      <c r="CIH685" s="83"/>
      <c r="CIR685" s="83"/>
      <c r="CJB685" s="83"/>
      <c r="CJL685" s="83"/>
      <c r="CJV685" s="83"/>
      <c r="CKF685" s="83"/>
      <c r="CKP685" s="83"/>
      <c r="CKZ685" s="83"/>
      <c r="CLJ685" s="83"/>
      <c r="CLT685" s="83"/>
      <c r="CMD685" s="83"/>
      <c r="CMN685" s="83"/>
      <c r="CMX685" s="83"/>
      <c r="CNH685" s="83"/>
      <c r="CNR685" s="83"/>
      <c r="COB685" s="83"/>
      <c r="COL685" s="83"/>
      <c r="COV685" s="83"/>
      <c r="CPF685" s="83"/>
      <c r="CPP685" s="83"/>
      <c r="CPZ685" s="83"/>
      <c r="CQJ685" s="83"/>
      <c r="CQT685" s="83"/>
      <c r="CRD685" s="83"/>
      <c r="CRN685" s="83"/>
      <c r="CRX685" s="83"/>
      <c r="CSH685" s="83"/>
      <c r="CSR685" s="83"/>
      <c r="CTB685" s="83"/>
      <c r="CTL685" s="83"/>
      <c r="CTV685" s="83"/>
    </row>
    <row r="686" customHeight="1" spans="1:1020 1030:2040 2050:2570">
      <c r="A686" s="72"/>
      <c r="B686" s="73"/>
      <c r="C686" s="74"/>
      <c r="D686" s="74"/>
      <c r="E686" s="75"/>
      <c r="F686" s="76"/>
      <c r="G686" s="74"/>
      <c r="H686" s="77"/>
      <c r="I686" s="77"/>
      <c r="J686" s="74"/>
      <c r="K686" s="78"/>
    </row>
    <row r="687" customHeight="1" spans="1:1020 1030:2040 2050:2570">
      <c r="A687" s="72"/>
      <c r="B687" s="73"/>
      <c r="C687" s="74"/>
      <c r="D687" s="74"/>
      <c r="E687" s="75"/>
      <c r="F687" s="76"/>
      <c r="G687" s="74"/>
      <c r="H687" s="77"/>
      <c r="I687" s="77"/>
      <c r="J687" s="74"/>
      <c r="K687" s="78"/>
    </row>
    <row r="688" customHeight="1" spans="1:1020 1030:2040 2050:2570">
      <c r="A688" s="72"/>
      <c r="B688" s="73"/>
      <c r="C688" s="74"/>
      <c r="D688" s="74"/>
      <c r="E688" s="75"/>
      <c r="F688" s="76"/>
      <c r="G688" s="74"/>
      <c r="H688" s="77"/>
      <c r="I688" s="77"/>
      <c r="J688" s="74"/>
      <c r="K688" s="78"/>
    </row>
    <row r="689" customHeight="1" spans="1:1020 1030:2040 2050:2570">
      <c r="A689" s="72"/>
      <c r="B689" s="73"/>
      <c r="C689" s="74"/>
      <c r="D689" s="74"/>
      <c r="E689" s="75"/>
      <c r="F689" s="76"/>
      <c r="G689" s="74"/>
      <c r="H689" s="77"/>
      <c r="I689" s="77"/>
      <c r="J689" s="74"/>
      <c r="K689" s="78"/>
    </row>
    <row r="690" customHeight="1" spans="1:1020 1030:2040 2050:2570">
      <c r="A690" s="72"/>
      <c r="B690" s="73"/>
      <c r="C690" s="74"/>
      <c r="D690" s="74"/>
      <c r="E690" s="75"/>
      <c r="F690" s="76"/>
      <c r="G690" s="74"/>
      <c r="H690" s="77"/>
      <c r="I690" s="77"/>
      <c r="J690" s="74"/>
      <c r="K690" s="78"/>
    </row>
    <row r="691" customHeight="1" spans="1:1020 1030:2040 2050:2570">
      <c r="A691" s="72"/>
      <c r="B691" s="73"/>
      <c r="C691" s="74"/>
      <c r="D691" s="74"/>
      <c r="E691" s="75"/>
      <c r="F691" s="76"/>
      <c r="G691" s="74"/>
      <c r="H691" s="77"/>
      <c r="I691" s="77"/>
      <c r="J691" s="74"/>
      <c r="K691" s="78"/>
    </row>
    <row r="692" customHeight="1" spans="1:1020 1030:2040 2050:2570">
      <c r="A692" s="72"/>
      <c r="B692" s="73"/>
      <c r="C692" s="74"/>
      <c r="D692" s="74"/>
      <c r="E692" s="75"/>
      <c r="F692" s="76"/>
      <c r="G692" s="74"/>
      <c r="H692" s="77"/>
      <c r="I692" s="77"/>
      <c r="J692" s="74"/>
      <c r="K692" s="78"/>
    </row>
    <row r="693" customHeight="1" spans="1:1020 1030:2040 2050:2570">
      <c r="A693" s="72"/>
      <c r="B693" s="73"/>
      <c r="C693" s="74"/>
      <c r="D693" s="74"/>
      <c r="E693" s="75"/>
      <c r="F693" s="76"/>
      <c r="G693" s="74"/>
      <c r="H693" s="77"/>
      <c r="I693" s="77"/>
      <c r="J693" s="74"/>
      <c r="K693" s="78"/>
    </row>
    <row r="694" customHeight="1" spans="1:1020 1030:2040 2050:2570">
      <c r="A694" s="72"/>
      <c r="B694" s="73"/>
      <c r="C694" s="74"/>
      <c r="D694" s="74"/>
      <c r="E694" s="75"/>
      <c r="F694" s="76"/>
      <c r="G694" s="74"/>
      <c r="H694" s="77"/>
      <c r="I694" s="77"/>
      <c r="J694" s="74"/>
      <c r="K694" s="78"/>
    </row>
    <row r="695" customHeight="1" spans="1:1020 1030:2040 2050:2570">
      <c r="A695" s="72"/>
      <c r="B695" s="73"/>
      <c r="C695" s="74"/>
      <c r="D695" s="74"/>
      <c r="E695" s="75"/>
      <c r="F695" s="76"/>
      <c r="G695" s="74"/>
      <c r="H695" s="77"/>
      <c r="I695" s="77"/>
      <c r="J695" s="74"/>
      <c r="K695" s="78"/>
    </row>
    <row r="696" customHeight="1" spans="1:1020 1030:2040 2050:2570">
      <c r="A696" s="72"/>
      <c r="B696" s="73"/>
      <c r="C696" s="74"/>
      <c r="D696" s="74"/>
      <c r="E696" s="75"/>
      <c r="F696" s="76"/>
      <c r="G696" s="74"/>
      <c r="H696" s="77"/>
      <c r="I696" s="77"/>
      <c r="J696" s="74"/>
      <c r="K696" s="78"/>
    </row>
    <row r="697" s="58" customFormat="1" customHeight="1" spans="1:1020 1030:2040 2050:2570">
      <c r="A697" s="79"/>
      <c r="B697" s="99"/>
      <c r="C697" s="38"/>
      <c r="D697" s="111"/>
      <c r="E697" s="100"/>
      <c r="F697" s="77"/>
      <c r="G697" s="75"/>
      <c r="H697" s="77"/>
      <c r="I697" s="77"/>
      <c r="J697" s="75"/>
      <c r="K697" s="78"/>
      <c r="T697" s="83"/>
      <c r="AD697" s="83"/>
      <c r="AN697" s="83"/>
      <c r="AX697" s="83"/>
      <c r="BH697" s="83"/>
      <c r="BR697" s="83"/>
      <c r="CB697" s="83"/>
      <c r="CL697" s="83"/>
      <c r="CV697" s="83"/>
      <c r="DF697" s="83"/>
      <c r="DP697" s="83"/>
      <c r="DZ697" s="83"/>
      <c r="EJ697" s="83"/>
      <c r="ET697" s="83"/>
      <c r="FD697" s="83"/>
      <c r="FN697" s="83"/>
      <c r="FX697" s="83"/>
      <c r="GH697" s="83"/>
      <c r="GR697" s="83"/>
      <c r="HB697" s="83"/>
      <c r="HL697" s="83"/>
      <c r="HV697" s="83"/>
      <c r="IF697" s="83"/>
      <c r="IP697" s="83"/>
      <c r="IZ697" s="83"/>
      <c r="JJ697" s="83"/>
      <c r="JT697" s="83"/>
      <c r="KD697" s="83"/>
      <c r="KN697" s="83"/>
      <c r="KX697" s="83"/>
      <c r="LH697" s="83"/>
      <c r="LR697" s="83"/>
      <c r="MB697" s="83"/>
      <c r="ML697" s="83"/>
      <c r="MV697" s="83"/>
      <c r="NF697" s="83"/>
      <c r="NP697" s="83"/>
      <c r="NZ697" s="83"/>
      <c r="OJ697" s="83"/>
      <c r="OT697" s="83"/>
      <c r="PD697" s="83"/>
      <c r="PN697" s="83"/>
      <c r="PX697" s="83"/>
      <c r="QH697" s="83"/>
      <c r="QR697" s="83"/>
      <c r="RB697" s="83"/>
      <c r="RL697" s="83"/>
      <c r="RV697" s="83"/>
      <c r="SF697" s="83"/>
      <c r="SP697" s="83"/>
      <c r="SZ697" s="83"/>
      <c r="TJ697" s="83"/>
      <c r="TT697" s="83"/>
      <c r="UD697" s="83"/>
      <c r="UN697" s="83"/>
      <c r="UX697" s="83"/>
      <c r="VH697" s="83"/>
      <c r="VR697" s="83"/>
      <c r="WB697" s="83"/>
      <c r="WL697" s="83"/>
      <c r="WV697" s="83"/>
      <c r="XF697" s="83"/>
      <c r="XP697" s="83"/>
      <c r="XZ697" s="83"/>
      <c r="YJ697" s="83"/>
      <c r="YT697" s="83"/>
      <c r="ZD697" s="83"/>
      <c r="ZN697" s="83"/>
      <c r="ZX697" s="83"/>
      <c r="AAH697" s="83"/>
      <c r="AAR697" s="83"/>
      <c r="ABB697" s="83"/>
      <c r="ABL697" s="83"/>
      <c r="ABV697" s="83"/>
      <c r="ACF697" s="83"/>
      <c r="ACP697" s="83"/>
      <c r="ACZ697" s="83"/>
      <c r="ADJ697" s="83"/>
      <c r="ADT697" s="83"/>
      <c r="AED697" s="83"/>
      <c r="AEN697" s="83"/>
      <c r="AEX697" s="83"/>
      <c r="AFH697" s="83"/>
      <c r="AFR697" s="83"/>
      <c r="AGB697" s="83"/>
      <c r="AGL697" s="83"/>
      <c r="AGV697" s="83"/>
      <c r="AHF697" s="83"/>
      <c r="AHP697" s="83"/>
      <c r="AHZ697" s="83"/>
      <c r="AIJ697" s="83"/>
      <c r="AIT697" s="83"/>
      <c r="AJD697" s="83"/>
      <c r="AJN697" s="83"/>
      <c r="AJX697" s="83"/>
      <c r="AKH697" s="83"/>
      <c r="AKR697" s="83"/>
      <c r="ALB697" s="83"/>
      <c r="ALL697" s="83"/>
      <c r="ALV697" s="83"/>
      <c r="AMF697" s="83"/>
      <c r="AMP697" s="83"/>
      <c r="AMZ697" s="83"/>
      <c r="ANJ697" s="83"/>
      <c r="ANT697" s="83"/>
      <c r="AOD697" s="83"/>
      <c r="AON697" s="83"/>
      <c r="AOX697" s="83"/>
      <c r="APH697" s="83"/>
      <c r="APR697" s="83"/>
      <c r="AQB697" s="83"/>
      <c r="AQL697" s="83"/>
      <c r="AQV697" s="83"/>
      <c r="ARF697" s="83"/>
      <c r="ARP697" s="83"/>
      <c r="ARZ697" s="83"/>
      <c r="ASJ697" s="83"/>
      <c r="AST697" s="83"/>
      <c r="ATD697" s="83"/>
      <c r="ATN697" s="83"/>
      <c r="ATX697" s="83"/>
      <c r="AUH697" s="83"/>
      <c r="AUR697" s="83"/>
      <c r="AVB697" s="83"/>
      <c r="AVL697" s="83"/>
      <c r="AVV697" s="83"/>
      <c r="AWF697" s="83"/>
      <c r="AWP697" s="83"/>
      <c r="AWZ697" s="83"/>
      <c r="AXJ697" s="83"/>
      <c r="AXT697" s="83"/>
      <c r="AYD697" s="83"/>
      <c r="AYN697" s="83"/>
      <c r="AYX697" s="83"/>
      <c r="AZH697" s="83"/>
      <c r="AZR697" s="83"/>
      <c r="BAB697" s="83"/>
      <c r="BAL697" s="83"/>
      <c r="BAV697" s="83"/>
      <c r="BBF697" s="83"/>
      <c r="BBP697" s="83"/>
      <c r="BBZ697" s="83"/>
      <c r="BCJ697" s="83"/>
      <c r="BCT697" s="83"/>
      <c r="BDD697" s="83"/>
      <c r="BDN697" s="83"/>
      <c r="BDX697" s="83"/>
      <c r="BEH697" s="83"/>
      <c r="BER697" s="83"/>
      <c r="BFB697" s="83"/>
      <c r="BFL697" s="83"/>
      <c r="BFV697" s="83"/>
      <c r="BGF697" s="83"/>
      <c r="BGP697" s="83"/>
      <c r="BGZ697" s="83"/>
      <c r="BHJ697" s="83"/>
      <c r="BHT697" s="83"/>
      <c r="BID697" s="83"/>
      <c r="BIN697" s="83"/>
      <c r="BIX697" s="83"/>
      <c r="BJH697" s="83"/>
      <c r="BJR697" s="83"/>
      <c r="BKB697" s="83"/>
      <c r="BKL697" s="83"/>
      <c r="BKV697" s="83"/>
      <c r="BLF697" s="83"/>
      <c r="BLP697" s="83"/>
      <c r="BLZ697" s="83"/>
      <c r="BMJ697" s="83"/>
      <c r="BMT697" s="83"/>
      <c r="BND697" s="83"/>
      <c r="BNN697" s="83"/>
      <c r="BNX697" s="83"/>
      <c r="BOH697" s="83"/>
      <c r="BOR697" s="83"/>
      <c r="BPB697" s="83"/>
      <c r="BPL697" s="83"/>
      <c r="BPV697" s="83"/>
      <c r="BQF697" s="83"/>
      <c r="BQP697" s="83"/>
      <c r="BQZ697" s="83"/>
      <c r="BRJ697" s="83"/>
      <c r="BRT697" s="83"/>
      <c r="BSD697" s="83"/>
      <c r="BSN697" s="83"/>
      <c r="BSX697" s="83"/>
      <c r="BTH697" s="83"/>
      <c r="BTR697" s="83"/>
      <c r="BUB697" s="83"/>
      <c r="BUL697" s="83"/>
      <c r="BUV697" s="83"/>
      <c r="BVF697" s="83"/>
      <c r="BVP697" s="83"/>
      <c r="BVZ697" s="83"/>
      <c r="BWJ697" s="83"/>
      <c r="BWT697" s="83"/>
      <c r="BXD697" s="83"/>
      <c r="BXN697" s="83"/>
      <c r="BXX697" s="83"/>
      <c r="BYH697" s="83"/>
      <c r="BYR697" s="83"/>
      <c r="BZB697" s="83"/>
      <c r="BZL697" s="83"/>
      <c r="BZV697" s="83"/>
      <c r="CAF697" s="83"/>
      <c r="CAP697" s="83"/>
      <c r="CAZ697" s="83"/>
      <c r="CBJ697" s="83"/>
      <c r="CBT697" s="83"/>
      <c r="CCD697" s="83"/>
      <c r="CCN697" s="83"/>
      <c r="CCX697" s="83"/>
      <c r="CDH697" s="83"/>
      <c r="CDR697" s="83"/>
      <c r="CEB697" s="83"/>
      <c r="CEL697" s="83"/>
      <c r="CEV697" s="83"/>
      <c r="CFF697" s="83"/>
      <c r="CFP697" s="83"/>
      <c r="CFZ697" s="83"/>
      <c r="CGJ697" s="83"/>
      <c r="CGT697" s="83"/>
      <c r="CHD697" s="83"/>
      <c r="CHN697" s="83"/>
      <c r="CHX697" s="83"/>
      <c r="CIH697" s="83"/>
      <c r="CIR697" s="83"/>
      <c r="CJB697" s="83"/>
      <c r="CJL697" s="83"/>
      <c r="CJV697" s="83"/>
      <c r="CKF697" s="83"/>
      <c r="CKP697" s="83"/>
      <c r="CKZ697" s="83"/>
      <c r="CLJ697" s="83"/>
      <c r="CLT697" s="83"/>
      <c r="CMD697" s="83"/>
      <c r="CMN697" s="83"/>
      <c r="CMX697" s="83"/>
      <c r="CNH697" s="83"/>
      <c r="CNR697" s="83"/>
      <c r="COB697" s="83"/>
      <c r="COL697" s="83"/>
      <c r="COV697" s="83"/>
      <c r="CPF697" s="83"/>
      <c r="CPP697" s="83"/>
      <c r="CPZ697" s="83"/>
      <c r="CQJ697" s="83"/>
      <c r="CQT697" s="83"/>
      <c r="CRD697" s="83"/>
      <c r="CRN697" s="83"/>
      <c r="CRX697" s="83"/>
      <c r="CSH697" s="83"/>
      <c r="CSR697" s="83"/>
      <c r="CTB697" s="83"/>
      <c r="CTL697" s="83"/>
      <c r="CTV697" s="83"/>
    </row>
    <row r="698" s="58" customFormat="1" customHeight="1" spans="1:1020 1030:2040 2050:2570">
      <c r="A698" s="79"/>
      <c r="B698" s="99"/>
      <c r="C698" s="38"/>
      <c r="D698" s="75"/>
      <c r="E698" s="100"/>
      <c r="F698" s="77"/>
      <c r="G698" s="75"/>
      <c r="H698" s="77"/>
      <c r="I698" s="77"/>
      <c r="J698" s="75"/>
      <c r="K698" s="78"/>
      <c r="T698" s="83"/>
      <c r="AD698" s="83"/>
      <c r="AN698" s="83"/>
      <c r="AX698" s="83"/>
      <c r="BH698" s="83"/>
      <c r="BR698" s="83"/>
      <c r="CB698" s="83"/>
      <c r="CL698" s="83"/>
      <c r="CV698" s="83"/>
      <c r="DF698" s="83"/>
      <c r="DP698" s="83"/>
      <c r="DZ698" s="83"/>
      <c r="EJ698" s="83"/>
      <c r="ET698" s="83"/>
      <c r="FD698" s="83"/>
      <c r="FN698" s="83"/>
      <c r="FX698" s="83"/>
      <c r="GH698" s="83"/>
      <c r="GR698" s="83"/>
      <c r="HB698" s="83"/>
      <c r="HL698" s="83"/>
      <c r="HV698" s="83"/>
      <c r="IF698" s="83"/>
      <c r="IP698" s="83"/>
      <c r="IZ698" s="83"/>
      <c r="JJ698" s="83"/>
      <c r="JT698" s="83"/>
      <c r="KD698" s="83"/>
      <c r="KN698" s="83"/>
      <c r="KX698" s="83"/>
      <c r="LH698" s="83"/>
      <c r="LR698" s="83"/>
      <c r="MB698" s="83"/>
      <c r="ML698" s="83"/>
      <c r="MV698" s="83"/>
      <c r="NF698" s="83"/>
      <c r="NP698" s="83"/>
      <c r="NZ698" s="83"/>
      <c r="OJ698" s="83"/>
      <c r="OT698" s="83"/>
      <c r="PD698" s="83"/>
      <c r="PN698" s="83"/>
      <c r="PX698" s="83"/>
      <c r="QH698" s="83"/>
      <c r="QR698" s="83"/>
      <c r="RB698" s="83"/>
      <c r="RL698" s="83"/>
      <c r="RV698" s="83"/>
      <c r="SF698" s="83"/>
      <c r="SP698" s="83"/>
      <c r="SZ698" s="83"/>
      <c r="TJ698" s="83"/>
      <c r="TT698" s="83"/>
      <c r="UD698" s="83"/>
      <c r="UN698" s="83"/>
      <c r="UX698" s="83"/>
      <c r="VH698" s="83"/>
      <c r="VR698" s="83"/>
      <c r="WB698" s="83"/>
      <c r="WL698" s="83"/>
      <c r="WV698" s="83"/>
      <c r="XF698" s="83"/>
      <c r="XP698" s="83"/>
      <c r="XZ698" s="83"/>
      <c r="YJ698" s="83"/>
      <c r="YT698" s="83"/>
      <c r="ZD698" s="83"/>
      <c r="ZN698" s="83"/>
      <c r="ZX698" s="83"/>
      <c r="AAH698" s="83"/>
      <c r="AAR698" s="83"/>
      <c r="ABB698" s="83"/>
      <c r="ABL698" s="83"/>
      <c r="ABV698" s="83"/>
      <c r="ACF698" s="83"/>
      <c r="ACP698" s="83"/>
      <c r="ACZ698" s="83"/>
      <c r="ADJ698" s="83"/>
      <c r="ADT698" s="83"/>
      <c r="AED698" s="83"/>
      <c r="AEN698" s="83"/>
      <c r="AEX698" s="83"/>
      <c r="AFH698" s="83"/>
      <c r="AFR698" s="83"/>
      <c r="AGB698" s="83"/>
      <c r="AGL698" s="83"/>
      <c r="AGV698" s="83"/>
      <c r="AHF698" s="83"/>
      <c r="AHP698" s="83"/>
      <c r="AHZ698" s="83"/>
      <c r="AIJ698" s="83"/>
      <c r="AIT698" s="83"/>
      <c r="AJD698" s="83"/>
      <c r="AJN698" s="83"/>
      <c r="AJX698" s="83"/>
      <c r="AKH698" s="83"/>
      <c r="AKR698" s="83"/>
      <c r="ALB698" s="83"/>
      <c r="ALL698" s="83"/>
      <c r="ALV698" s="83"/>
      <c r="AMF698" s="83"/>
      <c r="AMP698" s="83"/>
      <c r="AMZ698" s="83"/>
      <c r="ANJ698" s="83"/>
      <c r="ANT698" s="83"/>
      <c r="AOD698" s="83"/>
      <c r="AON698" s="83"/>
      <c r="AOX698" s="83"/>
      <c r="APH698" s="83"/>
      <c r="APR698" s="83"/>
      <c r="AQB698" s="83"/>
      <c r="AQL698" s="83"/>
      <c r="AQV698" s="83"/>
      <c r="ARF698" s="83"/>
      <c r="ARP698" s="83"/>
      <c r="ARZ698" s="83"/>
      <c r="ASJ698" s="83"/>
      <c r="AST698" s="83"/>
      <c r="ATD698" s="83"/>
      <c r="ATN698" s="83"/>
      <c r="ATX698" s="83"/>
      <c r="AUH698" s="83"/>
      <c r="AUR698" s="83"/>
      <c r="AVB698" s="83"/>
      <c r="AVL698" s="83"/>
      <c r="AVV698" s="83"/>
      <c r="AWF698" s="83"/>
      <c r="AWP698" s="83"/>
      <c r="AWZ698" s="83"/>
      <c r="AXJ698" s="83"/>
      <c r="AXT698" s="83"/>
      <c r="AYD698" s="83"/>
      <c r="AYN698" s="83"/>
      <c r="AYX698" s="83"/>
      <c r="AZH698" s="83"/>
      <c r="AZR698" s="83"/>
      <c r="BAB698" s="83"/>
      <c r="BAL698" s="83"/>
      <c r="BAV698" s="83"/>
      <c r="BBF698" s="83"/>
      <c r="BBP698" s="83"/>
      <c r="BBZ698" s="83"/>
      <c r="BCJ698" s="83"/>
      <c r="BCT698" s="83"/>
      <c r="BDD698" s="83"/>
      <c r="BDN698" s="83"/>
      <c r="BDX698" s="83"/>
      <c r="BEH698" s="83"/>
      <c r="BER698" s="83"/>
      <c r="BFB698" s="83"/>
      <c r="BFL698" s="83"/>
      <c r="BFV698" s="83"/>
      <c r="BGF698" s="83"/>
      <c r="BGP698" s="83"/>
      <c r="BGZ698" s="83"/>
      <c r="BHJ698" s="83"/>
      <c r="BHT698" s="83"/>
      <c r="BID698" s="83"/>
      <c r="BIN698" s="83"/>
      <c r="BIX698" s="83"/>
      <c r="BJH698" s="83"/>
      <c r="BJR698" s="83"/>
      <c r="BKB698" s="83"/>
      <c r="BKL698" s="83"/>
      <c r="BKV698" s="83"/>
      <c r="BLF698" s="83"/>
      <c r="BLP698" s="83"/>
      <c r="BLZ698" s="83"/>
      <c r="BMJ698" s="83"/>
      <c r="BMT698" s="83"/>
      <c r="BND698" s="83"/>
      <c r="BNN698" s="83"/>
      <c r="BNX698" s="83"/>
      <c r="BOH698" s="83"/>
      <c r="BOR698" s="83"/>
      <c r="BPB698" s="83"/>
      <c r="BPL698" s="83"/>
      <c r="BPV698" s="83"/>
      <c r="BQF698" s="83"/>
      <c r="BQP698" s="83"/>
      <c r="BQZ698" s="83"/>
      <c r="BRJ698" s="83"/>
      <c r="BRT698" s="83"/>
      <c r="BSD698" s="83"/>
      <c r="BSN698" s="83"/>
      <c r="BSX698" s="83"/>
      <c r="BTH698" s="83"/>
      <c r="BTR698" s="83"/>
      <c r="BUB698" s="83"/>
      <c r="BUL698" s="83"/>
      <c r="BUV698" s="83"/>
      <c r="BVF698" s="83"/>
      <c r="BVP698" s="83"/>
      <c r="BVZ698" s="83"/>
      <c r="BWJ698" s="83"/>
      <c r="BWT698" s="83"/>
      <c r="BXD698" s="83"/>
      <c r="BXN698" s="83"/>
      <c r="BXX698" s="83"/>
      <c r="BYH698" s="83"/>
      <c r="BYR698" s="83"/>
      <c r="BZB698" s="83"/>
      <c r="BZL698" s="83"/>
      <c r="BZV698" s="83"/>
      <c r="CAF698" s="83"/>
      <c r="CAP698" s="83"/>
      <c r="CAZ698" s="83"/>
      <c r="CBJ698" s="83"/>
      <c r="CBT698" s="83"/>
      <c r="CCD698" s="83"/>
      <c r="CCN698" s="83"/>
      <c r="CCX698" s="83"/>
      <c r="CDH698" s="83"/>
      <c r="CDR698" s="83"/>
      <c r="CEB698" s="83"/>
      <c r="CEL698" s="83"/>
      <c r="CEV698" s="83"/>
      <c r="CFF698" s="83"/>
      <c r="CFP698" s="83"/>
      <c r="CFZ698" s="83"/>
      <c r="CGJ698" s="83"/>
      <c r="CGT698" s="83"/>
      <c r="CHD698" s="83"/>
      <c r="CHN698" s="83"/>
      <c r="CHX698" s="83"/>
      <c r="CIH698" s="83"/>
      <c r="CIR698" s="83"/>
      <c r="CJB698" s="83"/>
      <c r="CJL698" s="83"/>
      <c r="CJV698" s="83"/>
      <c r="CKF698" s="83"/>
      <c r="CKP698" s="83"/>
      <c r="CKZ698" s="83"/>
      <c r="CLJ698" s="83"/>
      <c r="CLT698" s="83"/>
      <c r="CMD698" s="83"/>
      <c r="CMN698" s="83"/>
      <c r="CMX698" s="83"/>
      <c r="CNH698" s="83"/>
      <c r="CNR698" s="83"/>
      <c r="COB698" s="83"/>
      <c r="COL698" s="83"/>
      <c r="COV698" s="83"/>
      <c r="CPF698" s="83"/>
      <c r="CPP698" s="83"/>
      <c r="CPZ698" s="83"/>
      <c r="CQJ698" s="83"/>
      <c r="CQT698" s="83"/>
      <c r="CRD698" s="83"/>
      <c r="CRN698" s="83"/>
      <c r="CRX698" s="83"/>
      <c r="CSH698" s="83"/>
      <c r="CSR698" s="83"/>
      <c r="CTB698" s="83"/>
      <c r="CTL698" s="83"/>
      <c r="CTV698" s="83"/>
    </row>
    <row r="699" s="58" customFormat="1" customHeight="1" spans="1:1020 1030:2040 2050:2570">
      <c r="A699" s="79"/>
      <c r="B699" s="99"/>
      <c r="C699" s="38"/>
      <c r="D699" s="111"/>
      <c r="E699" s="100"/>
      <c r="F699" s="77"/>
      <c r="G699" s="75"/>
      <c r="H699" s="77"/>
      <c r="I699" s="77"/>
      <c r="J699" s="75"/>
      <c r="K699" s="78"/>
      <c r="T699" s="83"/>
      <c r="AD699" s="83"/>
      <c r="AN699" s="83"/>
      <c r="AX699" s="83"/>
      <c r="BH699" s="83"/>
      <c r="BR699" s="83"/>
      <c r="CB699" s="83"/>
      <c r="CL699" s="83"/>
      <c r="CV699" s="83"/>
      <c r="DF699" s="83"/>
      <c r="DP699" s="83"/>
      <c r="DZ699" s="83"/>
      <c r="EJ699" s="83"/>
      <c r="ET699" s="83"/>
      <c r="FD699" s="83"/>
      <c r="FN699" s="83"/>
      <c r="FX699" s="83"/>
      <c r="GH699" s="83"/>
      <c r="GR699" s="83"/>
      <c r="HB699" s="83"/>
      <c r="HL699" s="83"/>
      <c r="HV699" s="83"/>
      <c r="IF699" s="83"/>
      <c r="IP699" s="83"/>
      <c r="IZ699" s="83"/>
      <c r="JJ699" s="83"/>
      <c r="JT699" s="83"/>
      <c r="KD699" s="83"/>
      <c r="KN699" s="83"/>
      <c r="KX699" s="83"/>
      <c r="LH699" s="83"/>
      <c r="LR699" s="83"/>
      <c r="MB699" s="83"/>
      <c r="ML699" s="83"/>
      <c r="MV699" s="83"/>
      <c r="NF699" s="83"/>
      <c r="NP699" s="83"/>
      <c r="NZ699" s="83"/>
      <c r="OJ699" s="83"/>
      <c r="OT699" s="83"/>
      <c r="PD699" s="83"/>
      <c r="PN699" s="83"/>
      <c r="PX699" s="83"/>
      <c r="QH699" s="83"/>
      <c r="QR699" s="83"/>
      <c r="RB699" s="83"/>
      <c r="RL699" s="83"/>
      <c r="RV699" s="83"/>
      <c r="SF699" s="83"/>
      <c r="SP699" s="83"/>
      <c r="SZ699" s="83"/>
      <c r="TJ699" s="83"/>
      <c r="TT699" s="83"/>
      <c r="UD699" s="83"/>
      <c r="UN699" s="83"/>
      <c r="UX699" s="83"/>
      <c r="VH699" s="83"/>
      <c r="VR699" s="83"/>
      <c r="WB699" s="83"/>
      <c r="WL699" s="83"/>
      <c r="WV699" s="83"/>
      <c r="XF699" s="83"/>
      <c r="XP699" s="83"/>
      <c r="XZ699" s="83"/>
      <c r="YJ699" s="83"/>
      <c r="YT699" s="83"/>
      <c r="ZD699" s="83"/>
      <c r="ZN699" s="83"/>
      <c r="ZX699" s="83"/>
      <c r="AAH699" s="83"/>
      <c r="AAR699" s="83"/>
      <c r="ABB699" s="83"/>
      <c r="ABL699" s="83"/>
      <c r="ABV699" s="83"/>
      <c r="ACF699" s="83"/>
      <c r="ACP699" s="83"/>
      <c r="ACZ699" s="83"/>
      <c r="ADJ699" s="83"/>
      <c r="ADT699" s="83"/>
      <c r="AED699" s="83"/>
      <c r="AEN699" s="83"/>
      <c r="AEX699" s="83"/>
      <c r="AFH699" s="83"/>
      <c r="AFR699" s="83"/>
      <c r="AGB699" s="83"/>
      <c r="AGL699" s="83"/>
      <c r="AGV699" s="83"/>
      <c r="AHF699" s="83"/>
      <c r="AHP699" s="83"/>
      <c r="AHZ699" s="83"/>
      <c r="AIJ699" s="83"/>
      <c r="AIT699" s="83"/>
      <c r="AJD699" s="83"/>
      <c r="AJN699" s="83"/>
      <c r="AJX699" s="83"/>
      <c r="AKH699" s="83"/>
      <c r="AKR699" s="83"/>
      <c r="ALB699" s="83"/>
      <c r="ALL699" s="83"/>
      <c r="ALV699" s="83"/>
      <c r="AMF699" s="83"/>
      <c r="AMP699" s="83"/>
      <c r="AMZ699" s="83"/>
      <c r="ANJ699" s="83"/>
      <c r="ANT699" s="83"/>
      <c r="AOD699" s="83"/>
      <c r="AON699" s="83"/>
      <c r="AOX699" s="83"/>
      <c r="APH699" s="83"/>
      <c r="APR699" s="83"/>
      <c r="AQB699" s="83"/>
      <c r="AQL699" s="83"/>
      <c r="AQV699" s="83"/>
      <c r="ARF699" s="83"/>
      <c r="ARP699" s="83"/>
      <c r="ARZ699" s="83"/>
      <c r="ASJ699" s="83"/>
      <c r="AST699" s="83"/>
      <c r="ATD699" s="83"/>
      <c r="ATN699" s="83"/>
      <c r="ATX699" s="83"/>
      <c r="AUH699" s="83"/>
      <c r="AUR699" s="83"/>
      <c r="AVB699" s="83"/>
      <c r="AVL699" s="83"/>
      <c r="AVV699" s="83"/>
      <c r="AWF699" s="83"/>
      <c r="AWP699" s="83"/>
      <c r="AWZ699" s="83"/>
      <c r="AXJ699" s="83"/>
      <c r="AXT699" s="83"/>
      <c r="AYD699" s="83"/>
      <c r="AYN699" s="83"/>
      <c r="AYX699" s="83"/>
      <c r="AZH699" s="83"/>
      <c r="AZR699" s="83"/>
      <c r="BAB699" s="83"/>
      <c r="BAL699" s="83"/>
      <c r="BAV699" s="83"/>
      <c r="BBF699" s="83"/>
      <c r="BBP699" s="83"/>
      <c r="BBZ699" s="83"/>
      <c r="BCJ699" s="83"/>
      <c r="BCT699" s="83"/>
      <c r="BDD699" s="83"/>
      <c r="BDN699" s="83"/>
      <c r="BDX699" s="83"/>
      <c r="BEH699" s="83"/>
      <c r="BER699" s="83"/>
      <c r="BFB699" s="83"/>
      <c r="BFL699" s="83"/>
      <c r="BFV699" s="83"/>
      <c r="BGF699" s="83"/>
      <c r="BGP699" s="83"/>
      <c r="BGZ699" s="83"/>
      <c r="BHJ699" s="83"/>
      <c r="BHT699" s="83"/>
      <c r="BID699" s="83"/>
      <c r="BIN699" s="83"/>
      <c r="BIX699" s="83"/>
      <c r="BJH699" s="83"/>
      <c r="BJR699" s="83"/>
      <c r="BKB699" s="83"/>
      <c r="BKL699" s="83"/>
      <c r="BKV699" s="83"/>
      <c r="BLF699" s="83"/>
      <c r="BLP699" s="83"/>
      <c r="BLZ699" s="83"/>
      <c r="BMJ699" s="83"/>
      <c r="BMT699" s="83"/>
      <c r="BND699" s="83"/>
      <c r="BNN699" s="83"/>
      <c r="BNX699" s="83"/>
      <c r="BOH699" s="83"/>
      <c r="BOR699" s="83"/>
      <c r="BPB699" s="83"/>
      <c r="BPL699" s="83"/>
      <c r="BPV699" s="83"/>
      <c r="BQF699" s="83"/>
      <c r="BQP699" s="83"/>
      <c r="BQZ699" s="83"/>
      <c r="BRJ699" s="83"/>
      <c r="BRT699" s="83"/>
      <c r="BSD699" s="83"/>
      <c r="BSN699" s="83"/>
      <c r="BSX699" s="83"/>
      <c r="BTH699" s="83"/>
      <c r="BTR699" s="83"/>
      <c r="BUB699" s="83"/>
      <c r="BUL699" s="83"/>
      <c r="BUV699" s="83"/>
      <c r="BVF699" s="83"/>
      <c r="BVP699" s="83"/>
      <c r="BVZ699" s="83"/>
      <c r="BWJ699" s="83"/>
      <c r="BWT699" s="83"/>
      <c r="BXD699" s="83"/>
      <c r="BXN699" s="83"/>
      <c r="BXX699" s="83"/>
      <c r="BYH699" s="83"/>
      <c r="BYR699" s="83"/>
      <c r="BZB699" s="83"/>
      <c r="BZL699" s="83"/>
      <c r="BZV699" s="83"/>
      <c r="CAF699" s="83"/>
      <c r="CAP699" s="83"/>
      <c r="CAZ699" s="83"/>
      <c r="CBJ699" s="83"/>
      <c r="CBT699" s="83"/>
      <c r="CCD699" s="83"/>
      <c r="CCN699" s="83"/>
      <c r="CCX699" s="83"/>
      <c r="CDH699" s="83"/>
      <c r="CDR699" s="83"/>
      <c r="CEB699" s="83"/>
      <c r="CEL699" s="83"/>
      <c r="CEV699" s="83"/>
      <c r="CFF699" s="83"/>
      <c r="CFP699" s="83"/>
      <c r="CFZ699" s="83"/>
      <c r="CGJ699" s="83"/>
      <c r="CGT699" s="83"/>
      <c r="CHD699" s="83"/>
      <c r="CHN699" s="83"/>
      <c r="CHX699" s="83"/>
      <c r="CIH699" s="83"/>
      <c r="CIR699" s="83"/>
      <c r="CJB699" s="83"/>
      <c r="CJL699" s="83"/>
      <c r="CJV699" s="83"/>
      <c r="CKF699" s="83"/>
      <c r="CKP699" s="83"/>
      <c r="CKZ699" s="83"/>
      <c r="CLJ699" s="83"/>
      <c r="CLT699" s="83"/>
      <c r="CMD699" s="83"/>
      <c r="CMN699" s="83"/>
      <c r="CMX699" s="83"/>
      <c r="CNH699" s="83"/>
      <c r="CNR699" s="83"/>
      <c r="COB699" s="83"/>
      <c r="COL699" s="83"/>
      <c r="COV699" s="83"/>
      <c r="CPF699" s="83"/>
      <c r="CPP699" s="83"/>
      <c r="CPZ699" s="83"/>
      <c r="CQJ699" s="83"/>
      <c r="CQT699" s="83"/>
      <c r="CRD699" s="83"/>
      <c r="CRN699" s="83"/>
      <c r="CRX699" s="83"/>
      <c r="CSH699" s="83"/>
      <c r="CSR699" s="83"/>
      <c r="CTB699" s="83"/>
      <c r="CTL699" s="83"/>
      <c r="CTV699" s="83"/>
    </row>
    <row r="700" s="58" customFormat="1" customHeight="1" spans="1:1020 1030:2040 2050:2570">
      <c r="A700" s="79"/>
      <c r="B700" s="99"/>
      <c r="C700" s="38"/>
      <c r="D700" s="75"/>
      <c r="E700" s="100"/>
      <c r="F700" s="77"/>
      <c r="G700" s="75"/>
      <c r="H700" s="77"/>
      <c r="I700" s="77"/>
      <c r="J700" s="75"/>
      <c r="K700" s="78"/>
      <c r="T700" s="83"/>
      <c r="AD700" s="83"/>
      <c r="AN700" s="83"/>
      <c r="AX700" s="83"/>
      <c r="BH700" s="83"/>
      <c r="BR700" s="83"/>
      <c r="CB700" s="83"/>
      <c r="CL700" s="83"/>
      <c r="CV700" s="83"/>
      <c r="DF700" s="83"/>
      <c r="DP700" s="83"/>
      <c r="DZ700" s="83"/>
      <c r="EJ700" s="83"/>
      <c r="ET700" s="83"/>
      <c r="FD700" s="83"/>
      <c r="FN700" s="83"/>
      <c r="FX700" s="83"/>
      <c r="GH700" s="83"/>
      <c r="GR700" s="83"/>
      <c r="HB700" s="83"/>
      <c r="HL700" s="83"/>
      <c r="HV700" s="83"/>
      <c r="IF700" s="83"/>
      <c r="IP700" s="83"/>
      <c r="IZ700" s="83"/>
      <c r="JJ700" s="83"/>
      <c r="JT700" s="83"/>
      <c r="KD700" s="83"/>
      <c r="KN700" s="83"/>
      <c r="KX700" s="83"/>
      <c r="LH700" s="83"/>
      <c r="LR700" s="83"/>
      <c r="MB700" s="83"/>
      <c r="ML700" s="83"/>
      <c r="MV700" s="83"/>
      <c r="NF700" s="83"/>
      <c r="NP700" s="83"/>
      <c r="NZ700" s="83"/>
      <c r="OJ700" s="83"/>
      <c r="OT700" s="83"/>
      <c r="PD700" s="83"/>
      <c r="PN700" s="83"/>
      <c r="PX700" s="83"/>
      <c r="QH700" s="83"/>
      <c r="QR700" s="83"/>
      <c r="RB700" s="83"/>
      <c r="RL700" s="83"/>
      <c r="RV700" s="83"/>
      <c r="SF700" s="83"/>
      <c r="SP700" s="83"/>
      <c r="SZ700" s="83"/>
      <c r="TJ700" s="83"/>
      <c r="TT700" s="83"/>
      <c r="UD700" s="83"/>
      <c r="UN700" s="83"/>
      <c r="UX700" s="83"/>
      <c r="VH700" s="83"/>
      <c r="VR700" s="83"/>
      <c r="WB700" s="83"/>
      <c r="WL700" s="83"/>
      <c r="WV700" s="83"/>
      <c r="XF700" s="83"/>
      <c r="XP700" s="83"/>
      <c r="XZ700" s="83"/>
      <c r="YJ700" s="83"/>
      <c r="YT700" s="83"/>
      <c r="ZD700" s="83"/>
      <c r="ZN700" s="83"/>
      <c r="ZX700" s="83"/>
      <c r="AAH700" s="83"/>
      <c r="AAR700" s="83"/>
      <c r="ABB700" s="83"/>
      <c r="ABL700" s="83"/>
      <c r="ABV700" s="83"/>
      <c r="ACF700" s="83"/>
      <c r="ACP700" s="83"/>
      <c r="ACZ700" s="83"/>
      <c r="ADJ700" s="83"/>
      <c r="ADT700" s="83"/>
      <c r="AED700" s="83"/>
      <c r="AEN700" s="83"/>
      <c r="AEX700" s="83"/>
      <c r="AFH700" s="83"/>
      <c r="AFR700" s="83"/>
      <c r="AGB700" s="83"/>
      <c r="AGL700" s="83"/>
      <c r="AGV700" s="83"/>
      <c r="AHF700" s="83"/>
      <c r="AHP700" s="83"/>
      <c r="AHZ700" s="83"/>
      <c r="AIJ700" s="83"/>
      <c r="AIT700" s="83"/>
      <c r="AJD700" s="83"/>
      <c r="AJN700" s="83"/>
      <c r="AJX700" s="83"/>
      <c r="AKH700" s="83"/>
      <c r="AKR700" s="83"/>
      <c r="ALB700" s="83"/>
      <c r="ALL700" s="83"/>
      <c r="ALV700" s="83"/>
      <c r="AMF700" s="83"/>
      <c r="AMP700" s="83"/>
      <c r="AMZ700" s="83"/>
      <c r="ANJ700" s="83"/>
      <c r="ANT700" s="83"/>
      <c r="AOD700" s="83"/>
      <c r="AON700" s="83"/>
      <c r="AOX700" s="83"/>
      <c r="APH700" s="83"/>
      <c r="APR700" s="83"/>
      <c r="AQB700" s="83"/>
      <c r="AQL700" s="83"/>
      <c r="AQV700" s="83"/>
      <c r="ARF700" s="83"/>
      <c r="ARP700" s="83"/>
      <c r="ARZ700" s="83"/>
      <c r="ASJ700" s="83"/>
      <c r="AST700" s="83"/>
      <c r="ATD700" s="83"/>
      <c r="ATN700" s="83"/>
      <c r="ATX700" s="83"/>
      <c r="AUH700" s="83"/>
      <c r="AUR700" s="83"/>
      <c r="AVB700" s="83"/>
      <c r="AVL700" s="83"/>
      <c r="AVV700" s="83"/>
      <c r="AWF700" s="83"/>
      <c r="AWP700" s="83"/>
      <c r="AWZ700" s="83"/>
      <c r="AXJ700" s="83"/>
      <c r="AXT700" s="83"/>
      <c r="AYD700" s="83"/>
      <c r="AYN700" s="83"/>
      <c r="AYX700" s="83"/>
      <c r="AZH700" s="83"/>
      <c r="AZR700" s="83"/>
      <c r="BAB700" s="83"/>
      <c r="BAL700" s="83"/>
      <c r="BAV700" s="83"/>
      <c r="BBF700" s="83"/>
      <c r="BBP700" s="83"/>
      <c r="BBZ700" s="83"/>
      <c r="BCJ700" s="83"/>
      <c r="BCT700" s="83"/>
      <c r="BDD700" s="83"/>
      <c r="BDN700" s="83"/>
      <c r="BDX700" s="83"/>
      <c r="BEH700" s="83"/>
      <c r="BER700" s="83"/>
      <c r="BFB700" s="83"/>
      <c r="BFL700" s="83"/>
      <c r="BFV700" s="83"/>
      <c r="BGF700" s="83"/>
      <c r="BGP700" s="83"/>
      <c r="BGZ700" s="83"/>
      <c r="BHJ700" s="83"/>
      <c r="BHT700" s="83"/>
      <c r="BID700" s="83"/>
      <c r="BIN700" s="83"/>
      <c r="BIX700" s="83"/>
      <c r="BJH700" s="83"/>
      <c r="BJR700" s="83"/>
      <c r="BKB700" s="83"/>
      <c r="BKL700" s="83"/>
      <c r="BKV700" s="83"/>
      <c r="BLF700" s="83"/>
      <c r="BLP700" s="83"/>
      <c r="BLZ700" s="83"/>
      <c r="BMJ700" s="83"/>
      <c r="BMT700" s="83"/>
      <c r="BND700" s="83"/>
      <c r="BNN700" s="83"/>
      <c r="BNX700" s="83"/>
      <c r="BOH700" s="83"/>
      <c r="BOR700" s="83"/>
      <c r="BPB700" s="83"/>
      <c r="BPL700" s="83"/>
      <c r="BPV700" s="83"/>
      <c r="BQF700" s="83"/>
      <c r="BQP700" s="83"/>
      <c r="BQZ700" s="83"/>
      <c r="BRJ700" s="83"/>
      <c r="BRT700" s="83"/>
      <c r="BSD700" s="83"/>
      <c r="BSN700" s="83"/>
      <c r="BSX700" s="83"/>
      <c r="BTH700" s="83"/>
      <c r="BTR700" s="83"/>
      <c r="BUB700" s="83"/>
      <c r="BUL700" s="83"/>
      <c r="BUV700" s="83"/>
      <c r="BVF700" s="83"/>
      <c r="BVP700" s="83"/>
      <c r="BVZ700" s="83"/>
      <c r="BWJ700" s="83"/>
      <c r="BWT700" s="83"/>
      <c r="BXD700" s="83"/>
      <c r="BXN700" s="83"/>
      <c r="BXX700" s="83"/>
      <c r="BYH700" s="83"/>
      <c r="BYR700" s="83"/>
      <c r="BZB700" s="83"/>
      <c r="BZL700" s="83"/>
      <c r="BZV700" s="83"/>
      <c r="CAF700" s="83"/>
      <c r="CAP700" s="83"/>
      <c r="CAZ700" s="83"/>
      <c r="CBJ700" s="83"/>
      <c r="CBT700" s="83"/>
      <c r="CCD700" s="83"/>
      <c r="CCN700" s="83"/>
      <c r="CCX700" s="83"/>
      <c r="CDH700" s="83"/>
      <c r="CDR700" s="83"/>
      <c r="CEB700" s="83"/>
      <c r="CEL700" s="83"/>
      <c r="CEV700" s="83"/>
      <c r="CFF700" s="83"/>
      <c r="CFP700" s="83"/>
      <c r="CFZ700" s="83"/>
      <c r="CGJ700" s="83"/>
      <c r="CGT700" s="83"/>
      <c r="CHD700" s="83"/>
      <c r="CHN700" s="83"/>
      <c r="CHX700" s="83"/>
      <c r="CIH700" s="83"/>
      <c r="CIR700" s="83"/>
      <c r="CJB700" s="83"/>
      <c r="CJL700" s="83"/>
      <c r="CJV700" s="83"/>
      <c r="CKF700" s="83"/>
      <c r="CKP700" s="83"/>
      <c r="CKZ700" s="83"/>
      <c r="CLJ700" s="83"/>
      <c r="CLT700" s="83"/>
      <c r="CMD700" s="83"/>
      <c r="CMN700" s="83"/>
      <c r="CMX700" s="83"/>
      <c r="CNH700" s="83"/>
      <c r="CNR700" s="83"/>
      <c r="COB700" s="83"/>
      <c r="COL700" s="83"/>
      <c r="COV700" s="83"/>
      <c r="CPF700" s="83"/>
      <c r="CPP700" s="83"/>
      <c r="CPZ700" s="83"/>
      <c r="CQJ700" s="83"/>
      <c r="CQT700" s="83"/>
      <c r="CRD700" s="83"/>
      <c r="CRN700" s="83"/>
      <c r="CRX700" s="83"/>
      <c r="CSH700" s="83"/>
      <c r="CSR700" s="83"/>
      <c r="CTB700" s="83"/>
      <c r="CTL700" s="83"/>
      <c r="CTV700" s="83"/>
    </row>
    <row r="701" s="58" customFormat="1" customHeight="1" spans="1:1020 1030:2040 2050:2570">
      <c r="A701" s="79"/>
      <c r="B701" s="99"/>
      <c r="C701" s="38"/>
      <c r="D701" s="111"/>
      <c r="E701" s="100"/>
      <c r="F701" s="77"/>
      <c r="G701" s="75"/>
      <c r="H701" s="77"/>
      <c r="I701" s="77"/>
      <c r="J701" s="75"/>
      <c r="K701" s="78"/>
      <c r="T701" s="83"/>
      <c r="AD701" s="83"/>
      <c r="AN701" s="83"/>
      <c r="AX701" s="83"/>
      <c r="BH701" s="83"/>
      <c r="BR701" s="83"/>
      <c r="CB701" s="83"/>
      <c r="CL701" s="83"/>
      <c r="CV701" s="83"/>
      <c r="DF701" s="83"/>
      <c r="DP701" s="83"/>
      <c r="DZ701" s="83"/>
      <c r="EJ701" s="83"/>
      <c r="ET701" s="83"/>
      <c r="FD701" s="83"/>
      <c r="FN701" s="83"/>
      <c r="FX701" s="83"/>
      <c r="GH701" s="83"/>
      <c r="GR701" s="83"/>
      <c r="HB701" s="83"/>
      <c r="HL701" s="83"/>
      <c r="HV701" s="83"/>
      <c r="IF701" s="83"/>
      <c r="IP701" s="83"/>
      <c r="IZ701" s="83"/>
      <c r="JJ701" s="83"/>
      <c r="JT701" s="83"/>
      <c r="KD701" s="83"/>
      <c r="KN701" s="83"/>
      <c r="KX701" s="83"/>
      <c r="LH701" s="83"/>
      <c r="LR701" s="83"/>
      <c r="MB701" s="83"/>
      <c r="ML701" s="83"/>
      <c r="MV701" s="83"/>
      <c r="NF701" s="83"/>
      <c r="NP701" s="83"/>
      <c r="NZ701" s="83"/>
      <c r="OJ701" s="83"/>
      <c r="OT701" s="83"/>
      <c r="PD701" s="83"/>
      <c r="PN701" s="83"/>
      <c r="PX701" s="83"/>
      <c r="QH701" s="83"/>
      <c r="QR701" s="83"/>
      <c r="RB701" s="83"/>
      <c r="RL701" s="83"/>
      <c r="RV701" s="83"/>
      <c r="SF701" s="83"/>
      <c r="SP701" s="83"/>
      <c r="SZ701" s="83"/>
      <c r="TJ701" s="83"/>
      <c r="TT701" s="83"/>
      <c r="UD701" s="83"/>
      <c r="UN701" s="83"/>
      <c r="UX701" s="83"/>
      <c r="VH701" s="83"/>
      <c r="VR701" s="83"/>
      <c r="WB701" s="83"/>
      <c r="WL701" s="83"/>
      <c r="WV701" s="83"/>
      <c r="XF701" s="83"/>
      <c r="XP701" s="83"/>
      <c r="XZ701" s="83"/>
      <c r="YJ701" s="83"/>
      <c r="YT701" s="83"/>
      <c r="ZD701" s="83"/>
      <c r="ZN701" s="83"/>
      <c r="ZX701" s="83"/>
      <c r="AAH701" s="83"/>
      <c r="AAR701" s="83"/>
      <c r="ABB701" s="83"/>
      <c r="ABL701" s="83"/>
      <c r="ABV701" s="83"/>
      <c r="ACF701" s="83"/>
      <c r="ACP701" s="83"/>
      <c r="ACZ701" s="83"/>
      <c r="ADJ701" s="83"/>
      <c r="ADT701" s="83"/>
      <c r="AED701" s="83"/>
      <c r="AEN701" s="83"/>
      <c r="AEX701" s="83"/>
      <c r="AFH701" s="83"/>
      <c r="AFR701" s="83"/>
      <c r="AGB701" s="83"/>
      <c r="AGL701" s="83"/>
      <c r="AGV701" s="83"/>
      <c r="AHF701" s="83"/>
      <c r="AHP701" s="83"/>
      <c r="AHZ701" s="83"/>
      <c r="AIJ701" s="83"/>
      <c r="AIT701" s="83"/>
      <c r="AJD701" s="83"/>
      <c r="AJN701" s="83"/>
      <c r="AJX701" s="83"/>
      <c r="AKH701" s="83"/>
      <c r="AKR701" s="83"/>
      <c r="ALB701" s="83"/>
      <c r="ALL701" s="83"/>
      <c r="ALV701" s="83"/>
      <c r="AMF701" s="83"/>
      <c r="AMP701" s="83"/>
      <c r="AMZ701" s="83"/>
      <c r="ANJ701" s="83"/>
      <c r="ANT701" s="83"/>
      <c r="AOD701" s="83"/>
      <c r="AON701" s="83"/>
      <c r="AOX701" s="83"/>
      <c r="APH701" s="83"/>
      <c r="APR701" s="83"/>
      <c r="AQB701" s="83"/>
      <c r="AQL701" s="83"/>
      <c r="AQV701" s="83"/>
      <c r="ARF701" s="83"/>
      <c r="ARP701" s="83"/>
      <c r="ARZ701" s="83"/>
      <c r="ASJ701" s="83"/>
      <c r="AST701" s="83"/>
      <c r="ATD701" s="83"/>
      <c r="ATN701" s="83"/>
      <c r="ATX701" s="83"/>
      <c r="AUH701" s="83"/>
      <c r="AUR701" s="83"/>
      <c r="AVB701" s="83"/>
      <c r="AVL701" s="83"/>
      <c r="AVV701" s="83"/>
      <c r="AWF701" s="83"/>
      <c r="AWP701" s="83"/>
      <c r="AWZ701" s="83"/>
      <c r="AXJ701" s="83"/>
      <c r="AXT701" s="83"/>
      <c r="AYD701" s="83"/>
      <c r="AYN701" s="83"/>
      <c r="AYX701" s="83"/>
      <c r="AZH701" s="83"/>
      <c r="AZR701" s="83"/>
      <c r="BAB701" s="83"/>
      <c r="BAL701" s="83"/>
      <c r="BAV701" s="83"/>
      <c r="BBF701" s="83"/>
      <c r="BBP701" s="83"/>
      <c r="BBZ701" s="83"/>
      <c r="BCJ701" s="83"/>
      <c r="BCT701" s="83"/>
      <c r="BDD701" s="83"/>
      <c r="BDN701" s="83"/>
      <c r="BDX701" s="83"/>
      <c r="BEH701" s="83"/>
      <c r="BER701" s="83"/>
      <c r="BFB701" s="83"/>
      <c r="BFL701" s="83"/>
      <c r="BFV701" s="83"/>
      <c r="BGF701" s="83"/>
      <c r="BGP701" s="83"/>
      <c r="BGZ701" s="83"/>
      <c r="BHJ701" s="83"/>
      <c r="BHT701" s="83"/>
      <c r="BID701" s="83"/>
      <c r="BIN701" s="83"/>
      <c r="BIX701" s="83"/>
      <c r="BJH701" s="83"/>
      <c r="BJR701" s="83"/>
      <c r="BKB701" s="83"/>
      <c r="BKL701" s="83"/>
      <c r="BKV701" s="83"/>
      <c r="BLF701" s="83"/>
      <c r="BLP701" s="83"/>
      <c r="BLZ701" s="83"/>
      <c r="BMJ701" s="83"/>
      <c r="BMT701" s="83"/>
      <c r="BND701" s="83"/>
      <c r="BNN701" s="83"/>
      <c r="BNX701" s="83"/>
      <c r="BOH701" s="83"/>
      <c r="BOR701" s="83"/>
      <c r="BPB701" s="83"/>
      <c r="BPL701" s="83"/>
      <c r="BPV701" s="83"/>
      <c r="BQF701" s="83"/>
      <c r="BQP701" s="83"/>
      <c r="BQZ701" s="83"/>
      <c r="BRJ701" s="83"/>
      <c r="BRT701" s="83"/>
      <c r="BSD701" s="83"/>
      <c r="BSN701" s="83"/>
      <c r="BSX701" s="83"/>
      <c r="BTH701" s="83"/>
      <c r="BTR701" s="83"/>
      <c r="BUB701" s="83"/>
      <c r="BUL701" s="83"/>
      <c r="BUV701" s="83"/>
      <c r="BVF701" s="83"/>
      <c r="BVP701" s="83"/>
      <c r="BVZ701" s="83"/>
      <c r="BWJ701" s="83"/>
      <c r="BWT701" s="83"/>
      <c r="BXD701" s="83"/>
      <c r="BXN701" s="83"/>
      <c r="BXX701" s="83"/>
      <c r="BYH701" s="83"/>
      <c r="BYR701" s="83"/>
      <c r="BZB701" s="83"/>
      <c r="BZL701" s="83"/>
      <c r="BZV701" s="83"/>
      <c r="CAF701" s="83"/>
      <c r="CAP701" s="83"/>
      <c r="CAZ701" s="83"/>
      <c r="CBJ701" s="83"/>
      <c r="CBT701" s="83"/>
      <c r="CCD701" s="83"/>
      <c r="CCN701" s="83"/>
      <c r="CCX701" s="83"/>
      <c r="CDH701" s="83"/>
      <c r="CDR701" s="83"/>
      <c r="CEB701" s="83"/>
      <c r="CEL701" s="83"/>
      <c r="CEV701" s="83"/>
      <c r="CFF701" s="83"/>
      <c r="CFP701" s="83"/>
      <c r="CFZ701" s="83"/>
      <c r="CGJ701" s="83"/>
      <c r="CGT701" s="83"/>
      <c r="CHD701" s="83"/>
      <c r="CHN701" s="83"/>
      <c r="CHX701" s="83"/>
      <c r="CIH701" s="83"/>
      <c r="CIR701" s="83"/>
      <c r="CJB701" s="83"/>
      <c r="CJL701" s="83"/>
      <c r="CJV701" s="83"/>
      <c r="CKF701" s="83"/>
      <c r="CKP701" s="83"/>
      <c r="CKZ701" s="83"/>
      <c r="CLJ701" s="83"/>
      <c r="CLT701" s="83"/>
      <c r="CMD701" s="83"/>
      <c r="CMN701" s="83"/>
      <c r="CMX701" s="83"/>
      <c r="CNH701" s="83"/>
      <c r="CNR701" s="83"/>
      <c r="COB701" s="83"/>
      <c r="COL701" s="83"/>
      <c r="COV701" s="83"/>
      <c r="CPF701" s="83"/>
      <c r="CPP701" s="83"/>
      <c r="CPZ701" s="83"/>
      <c r="CQJ701" s="83"/>
      <c r="CQT701" s="83"/>
      <c r="CRD701" s="83"/>
      <c r="CRN701" s="83"/>
      <c r="CRX701" s="83"/>
      <c r="CSH701" s="83"/>
      <c r="CSR701" s="83"/>
      <c r="CTB701" s="83"/>
      <c r="CTL701" s="83"/>
      <c r="CTV701" s="83"/>
    </row>
    <row r="702" s="58" customFormat="1" customHeight="1" spans="1:1020 1030:2040 2050:2570">
      <c r="A702" s="79"/>
      <c r="B702" s="99"/>
      <c r="C702" s="38"/>
      <c r="D702" s="75"/>
      <c r="E702" s="100"/>
      <c r="F702" s="77"/>
      <c r="G702" s="75"/>
      <c r="H702" s="77"/>
      <c r="I702" s="77"/>
      <c r="J702" s="75"/>
      <c r="K702" s="78"/>
      <c r="T702" s="83"/>
      <c r="AD702" s="83"/>
      <c r="AN702" s="83"/>
      <c r="AX702" s="83"/>
      <c r="BH702" s="83"/>
      <c r="BR702" s="83"/>
      <c r="CB702" s="83"/>
      <c r="CL702" s="83"/>
      <c r="CV702" s="83"/>
      <c r="DF702" s="83"/>
      <c r="DP702" s="83"/>
      <c r="DZ702" s="83"/>
      <c r="EJ702" s="83"/>
      <c r="ET702" s="83"/>
      <c r="FD702" s="83"/>
      <c r="FN702" s="83"/>
      <c r="FX702" s="83"/>
      <c r="GH702" s="83"/>
      <c r="GR702" s="83"/>
      <c r="HB702" s="83"/>
      <c r="HL702" s="83"/>
      <c r="HV702" s="83"/>
      <c r="IF702" s="83"/>
      <c r="IP702" s="83"/>
      <c r="IZ702" s="83"/>
      <c r="JJ702" s="83"/>
      <c r="JT702" s="83"/>
      <c r="KD702" s="83"/>
      <c r="KN702" s="83"/>
      <c r="KX702" s="83"/>
      <c r="LH702" s="83"/>
      <c r="LR702" s="83"/>
      <c r="MB702" s="83"/>
      <c r="ML702" s="83"/>
      <c r="MV702" s="83"/>
      <c r="NF702" s="83"/>
      <c r="NP702" s="83"/>
      <c r="NZ702" s="83"/>
      <c r="OJ702" s="83"/>
      <c r="OT702" s="83"/>
      <c r="PD702" s="83"/>
      <c r="PN702" s="83"/>
      <c r="PX702" s="83"/>
      <c r="QH702" s="83"/>
      <c r="QR702" s="83"/>
      <c r="RB702" s="83"/>
      <c r="RL702" s="83"/>
      <c r="RV702" s="83"/>
      <c r="SF702" s="83"/>
      <c r="SP702" s="83"/>
      <c r="SZ702" s="83"/>
      <c r="TJ702" s="83"/>
      <c r="TT702" s="83"/>
      <c r="UD702" s="83"/>
      <c r="UN702" s="83"/>
      <c r="UX702" s="83"/>
      <c r="VH702" s="83"/>
      <c r="VR702" s="83"/>
      <c r="WB702" s="83"/>
      <c r="WL702" s="83"/>
      <c r="WV702" s="83"/>
      <c r="XF702" s="83"/>
      <c r="XP702" s="83"/>
      <c r="XZ702" s="83"/>
      <c r="YJ702" s="83"/>
      <c r="YT702" s="83"/>
      <c r="ZD702" s="83"/>
      <c r="ZN702" s="83"/>
      <c r="ZX702" s="83"/>
      <c r="AAH702" s="83"/>
      <c r="AAR702" s="83"/>
      <c r="ABB702" s="83"/>
      <c r="ABL702" s="83"/>
      <c r="ABV702" s="83"/>
      <c r="ACF702" s="83"/>
      <c r="ACP702" s="83"/>
      <c r="ACZ702" s="83"/>
      <c r="ADJ702" s="83"/>
      <c r="ADT702" s="83"/>
      <c r="AED702" s="83"/>
      <c r="AEN702" s="83"/>
      <c r="AEX702" s="83"/>
      <c r="AFH702" s="83"/>
      <c r="AFR702" s="83"/>
      <c r="AGB702" s="83"/>
      <c r="AGL702" s="83"/>
      <c r="AGV702" s="83"/>
      <c r="AHF702" s="83"/>
      <c r="AHP702" s="83"/>
      <c r="AHZ702" s="83"/>
      <c r="AIJ702" s="83"/>
      <c r="AIT702" s="83"/>
      <c r="AJD702" s="83"/>
      <c r="AJN702" s="83"/>
      <c r="AJX702" s="83"/>
      <c r="AKH702" s="83"/>
      <c r="AKR702" s="83"/>
      <c r="ALB702" s="83"/>
      <c r="ALL702" s="83"/>
      <c r="ALV702" s="83"/>
      <c r="AMF702" s="83"/>
      <c r="AMP702" s="83"/>
      <c r="AMZ702" s="83"/>
      <c r="ANJ702" s="83"/>
      <c r="ANT702" s="83"/>
      <c r="AOD702" s="83"/>
      <c r="AON702" s="83"/>
      <c r="AOX702" s="83"/>
      <c r="APH702" s="83"/>
      <c r="APR702" s="83"/>
      <c r="AQB702" s="83"/>
      <c r="AQL702" s="83"/>
      <c r="AQV702" s="83"/>
      <c r="ARF702" s="83"/>
      <c r="ARP702" s="83"/>
      <c r="ARZ702" s="83"/>
      <c r="ASJ702" s="83"/>
      <c r="AST702" s="83"/>
      <c r="ATD702" s="83"/>
      <c r="ATN702" s="83"/>
      <c r="ATX702" s="83"/>
      <c r="AUH702" s="83"/>
      <c r="AUR702" s="83"/>
      <c r="AVB702" s="83"/>
      <c r="AVL702" s="83"/>
      <c r="AVV702" s="83"/>
      <c r="AWF702" s="83"/>
      <c r="AWP702" s="83"/>
      <c r="AWZ702" s="83"/>
      <c r="AXJ702" s="83"/>
      <c r="AXT702" s="83"/>
      <c r="AYD702" s="83"/>
      <c r="AYN702" s="83"/>
      <c r="AYX702" s="83"/>
      <c r="AZH702" s="83"/>
      <c r="AZR702" s="83"/>
      <c r="BAB702" s="83"/>
      <c r="BAL702" s="83"/>
      <c r="BAV702" s="83"/>
      <c r="BBF702" s="83"/>
      <c r="BBP702" s="83"/>
      <c r="BBZ702" s="83"/>
      <c r="BCJ702" s="83"/>
      <c r="BCT702" s="83"/>
      <c r="BDD702" s="83"/>
      <c r="BDN702" s="83"/>
      <c r="BDX702" s="83"/>
      <c r="BEH702" s="83"/>
      <c r="BER702" s="83"/>
      <c r="BFB702" s="83"/>
      <c r="BFL702" s="83"/>
      <c r="BFV702" s="83"/>
      <c r="BGF702" s="83"/>
      <c r="BGP702" s="83"/>
      <c r="BGZ702" s="83"/>
      <c r="BHJ702" s="83"/>
      <c r="BHT702" s="83"/>
      <c r="BID702" s="83"/>
      <c r="BIN702" s="83"/>
      <c r="BIX702" s="83"/>
      <c r="BJH702" s="83"/>
      <c r="BJR702" s="83"/>
      <c r="BKB702" s="83"/>
      <c r="BKL702" s="83"/>
      <c r="BKV702" s="83"/>
      <c r="BLF702" s="83"/>
      <c r="BLP702" s="83"/>
      <c r="BLZ702" s="83"/>
      <c r="BMJ702" s="83"/>
      <c r="BMT702" s="83"/>
      <c r="BND702" s="83"/>
      <c r="BNN702" s="83"/>
      <c r="BNX702" s="83"/>
      <c r="BOH702" s="83"/>
      <c r="BOR702" s="83"/>
      <c r="BPB702" s="83"/>
      <c r="BPL702" s="83"/>
      <c r="BPV702" s="83"/>
      <c r="BQF702" s="83"/>
      <c r="BQP702" s="83"/>
      <c r="BQZ702" s="83"/>
      <c r="BRJ702" s="83"/>
      <c r="BRT702" s="83"/>
      <c r="BSD702" s="83"/>
      <c r="BSN702" s="83"/>
      <c r="BSX702" s="83"/>
      <c r="BTH702" s="83"/>
      <c r="BTR702" s="83"/>
      <c r="BUB702" s="83"/>
      <c r="BUL702" s="83"/>
      <c r="BUV702" s="83"/>
      <c r="BVF702" s="83"/>
      <c r="BVP702" s="83"/>
      <c r="BVZ702" s="83"/>
      <c r="BWJ702" s="83"/>
      <c r="BWT702" s="83"/>
      <c r="BXD702" s="83"/>
      <c r="BXN702" s="83"/>
      <c r="BXX702" s="83"/>
      <c r="BYH702" s="83"/>
      <c r="BYR702" s="83"/>
      <c r="BZB702" s="83"/>
      <c r="BZL702" s="83"/>
      <c r="BZV702" s="83"/>
      <c r="CAF702" s="83"/>
      <c r="CAP702" s="83"/>
      <c r="CAZ702" s="83"/>
      <c r="CBJ702" s="83"/>
      <c r="CBT702" s="83"/>
      <c r="CCD702" s="83"/>
      <c r="CCN702" s="83"/>
      <c r="CCX702" s="83"/>
      <c r="CDH702" s="83"/>
      <c r="CDR702" s="83"/>
      <c r="CEB702" s="83"/>
      <c r="CEL702" s="83"/>
      <c r="CEV702" s="83"/>
      <c r="CFF702" s="83"/>
      <c r="CFP702" s="83"/>
      <c r="CFZ702" s="83"/>
      <c r="CGJ702" s="83"/>
      <c r="CGT702" s="83"/>
      <c r="CHD702" s="83"/>
      <c r="CHN702" s="83"/>
      <c r="CHX702" s="83"/>
      <c r="CIH702" s="83"/>
      <c r="CIR702" s="83"/>
      <c r="CJB702" s="83"/>
      <c r="CJL702" s="83"/>
      <c r="CJV702" s="83"/>
      <c r="CKF702" s="83"/>
      <c r="CKP702" s="83"/>
      <c r="CKZ702" s="83"/>
      <c r="CLJ702" s="83"/>
      <c r="CLT702" s="83"/>
      <c r="CMD702" s="83"/>
      <c r="CMN702" s="83"/>
      <c r="CMX702" s="83"/>
      <c r="CNH702" s="83"/>
      <c r="CNR702" s="83"/>
      <c r="COB702" s="83"/>
      <c r="COL702" s="83"/>
      <c r="COV702" s="83"/>
      <c r="CPF702" s="83"/>
      <c r="CPP702" s="83"/>
      <c r="CPZ702" s="83"/>
      <c r="CQJ702" s="83"/>
      <c r="CQT702" s="83"/>
      <c r="CRD702" s="83"/>
      <c r="CRN702" s="83"/>
      <c r="CRX702" s="83"/>
      <c r="CSH702" s="83"/>
      <c r="CSR702" s="83"/>
      <c r="CTB702" s="83"/>
      <c r="CTL702" s="83"/>
      <c r="CTV702" s="83"/>
    </row>
    <row r="703" s="58" customFormat="1" customHeight="1" spans="1:1020 1030:2040 2050:2570">
      <c r="A703" s="79"/>
      <c r="B703" s="99"/>
      <c r="C703" s="38"/>
      <c r="D703" s="75"/>
      <c r="E703" s="75"/>
      <c r="F703" s="77"/>
      <c r="G703" s="75"/>
      <c r="H703" s="77"/>
      <c r="I703" s="77"/>
      <c r="J703" s="75"/>
      <c r="K703" s="78"/>
      <c r="T703" s="83"/>
      <c r="AD703" s="83"/>
      <c r="AN703" s="83"/>
      <c r="AX703" s="83"/>
      <c r="BH703" s="83"/>
      <c r="BR703" s="83"/>
      <c r="CB703" s="83"/>
      <c r="CL703" s="83"/>
      <c r="CV703" s="83"/>
      <c r="DF703" s="83"/>
      <c r="DP703" s="83"/>
      <c r="DZ703" s="83"/>
      <c r="EJ703" s="83"/>
      <c r="ET703" s="83"/>
      <c r="FD703" s="83"/>
      <c r="FN703" s="83"/>
      <c r="FX703" s="83"/>
      <c r="GH703" s="83"/>
      <c r="GR703" s="83"/>
      <c r="HB703" s="83"/>
      <c r="HL703" s="83"/>
      <c r="HV703" s="83"/>
      <c r="IF703" s="83"/>
      <c r="IP703" s="83"/>
      <c r="IZ703" s="83"/>
      <c r="JJ703" s="83"/>
      <c r="JT703" s="83"/>
      <c r="KD703" s="83"/>
      <c r="KN703" s="83"/>
      <c r="KX703" s="83"/>
      <c r="LH703" s="83"/>
      <c r="LR703" s="83"/>
      <c r="MB703" s="83"/>
      <c r="ML703" s="83"/>
      <c r="MV703" s="83"/>
      <c r="NF703" s="83"/>
      <c r="NP703" s="83"/>
      <c r="NZ703" s="83"/>
      <c r="OJ703" s="83"/>
      <c r="OT703" s="83"/>
      <c r="PD703" s="83"/>
      <c r="PN703" s="83"/>
      <c r="PX703" s="83"/>
      <c r="QH703" s="83"/>
      <c r="QR703" s="83"/>
      <c r="RB703" s="83"/>
      <c r="RL703" s="83"/>
      <c r="RV703" s="83"/>
      <c r="SF703" s="83"/>
      <c r="SP703" s="83"/>
      <c r="SZ703" s="83"/>
      <c r="TJ703" s="83"/>
      <c r="TT703" s="83"/>
      <c r="UD703" s="83"/>
      <c r="UN703" s="83"/>
      <c r="UX703" s="83"/>
      <c r="VH703" s="83"/>
      <c r="VR703" s="83"/>
      <c r="WB703" s="83"/>
      <c r="WL703" s="83"/>
      <c r="WV703" s="83"/>
      <c r="XF703" s="83"/>
      <c r="XP703" s="83"/>
      <c r="XZ703" s="83"/>
      <c r="YJ703" s="83"/>
      <c r="YT703" s="83"/>
      <c r="ZD703" s="83"/>
      <c r="ZN703" s="83"/>
      <c r="ZX703" s="83"/>
      <c r="AAH703" s="83"/>
      <c r="AAR703" s="83"/>
      <c r="ABB703" s="83"/>
      <c r="ABL703" s="83"/>
      <c r="ABV703" s="83"/>
      <c r="ACF703" s="83"/>
      <c r="ACP703" s="83"/>
      <c r="ACZ703" s="83"/>
      <c r="ADJ703" s="83"/>
      <c r="ADT703" s="83"/>
      <c r="AED703" s="83"/>
      <c r="AEN703" s="83"/>
      <c r="AEX703" s="83"/>
      <c r="AFH703" s="83"/>
      <c r="AFR703" s="83"/>
      <c r="AGB703" s="83"/>
      <c r="AGL703" s="83"/>
      <c r="AGV703" s="83"/>
      <c r="AHF703" s="83"/>
      <c r="AHP703" s="83"/>
      <c r="AHZ703" s="83"/>
      <c r="AIJ703" s="83"/>
      <c r="AIT703" s="83"/>
      <c r="AJD703" s="83"/>
      <c r="AJN703" s="83"/>
      <c r="AJX703" s="83"/>
      <c r="AKH703" s="83"/>
      <c r="AKR703" s="83"/>
      <c r="ALB703" s="83"/>
      <c r="ALL703" s="83"/>
      <c r="ALV703" s="83"/>
      <c r="AMF703" s="83"/>
      <c r="AMP703" s="83"/>
      <c r="AMZ703" s="83"/>
      <c r="ANJ703" s="83"/>
      <c r="ANT703" s="83"/>
      <c r="AOD703" s="83"/>
      <c r="AON703" s="83"/>
      <c r="AOX703" s="83"/>
      <c r="APH703" s="83"/>
      <c r="APR703" s="83"/>
      <c r="AQB703" s="83"/>
      <c r="AQL703" s="83"/>
      <c r="AQV703" s="83"/>
      <c r="ARF703" s="83"/>
      <c r="ARP703" s="83"/>
      <c r="ARZ703" s="83"/>
      <c r="ASJ703" s="83"/>
      <c r="AST703" s="83"/>
      <c r="ATD703" s="83"/>
      <c r="ATN703" s="83"/>
      <c r="ATX703" s="83"/>
      <c r="AUH703" s="83"/>
      <c r="AUR703" s="83"/>
      <c r="AVB703" s="83"/>
      <c r="AVL703" s="83"/>
      <c r="AVV703" s="83"/>
      <c r="AWF703" s="83"/>
      <c r="AWP703" s="83"/>
      <c r="AWZ703" s="83"/>
      <c r="AXJ703" s="83"/>
      <c r="AXT703" s="83"/>
      <c r="AYD703" s="83"/>
      <c r="AYN703" s="83"/>
      <c r="AYX703" s="83"/>
      <c r="AZH703" s="83"/>
      <c r="AZR703" s="83"/>
      <c r="BAB703" s="83"/>
      <c r="BAL703" s="83"/>
      <c r="BAV703" s="83"/>
      <c r="BBF703" s="83"/>
      <c r="BBP703" s="83"/>
      <c r="BBZ703" s="83"/>
      <c r="BCJ703" s="83"/>
      <c r="BCT703" s="83"/>
      <c r="BDD703" s="83"/>
      <c r="BDN703" s="83"/>
      <c r="BDX703" s="83"/>
      <c r="BEH703" s="83"/>
      <c r="BER703" s="83"/>
      <c r="BFB703" s="83"/>
      <c r="BFL703" s="83"/>
      <c r="BFV703" s="83"/>
      <c r="BGF703" s="83"/>
      <c r="BGP703" s="83"/>
      <c r="BGZ703" s="83"/>
      <c r="BHJ703" s="83"/>
      <c r="BHT703" s="83"/>
      <c r="BID703" s="83"/>
      <c r="BIN703" s="83"/>
      <c r="BIX703" s="83"/>
      <c r="BJH703" s="83"/>
      <c r="BJR703" s="83"/>
      <c r="BKB703" s="83"/>
      <c r="BKL703" s="83"/>
      <c r="BKV703" s="83"/>
      <c r="BLF703" s="83"/>
      <c r="BLP703" s="83"/>
      <c r="BLZ703" s="83"/>
      <c r="BMJ703" s="83"/>
      <c r="BMT703" s="83"/>
      <c r="BND703" s="83"/>
      <c r="BNN703" s="83"/>
      <c r="BNX703" s="83"/>
      <c r="BOH703" s="83"/>
      <c r="BOR703" s="83"/>
      <c r="BPB703" s="83"/>
      <c r="BPL703" s="83"/>
      <c r="BPV703" s="83"/>
      <c r="BQF703" s="83"/>
      <c r="BQP703" s="83"/>
      <c r="BQZ703" s="83"/>
      <c r="BRJ703" s="83"/>
      <c r="BRT703" s="83"/>
      <c r="BSD703" s="83"/>
      <c r="BSN703" s="83"/>
      <c r="BSX703" s="83"/>
      <c r="BTH703" s="83"/>
      <c r="BTR703" s="83"/>
      <c r="BUB703" s="83"/>
      <c r="BUL703" s="83"/>
      <c r="BUV703" s="83"/>
      <c r="BVF703" s="83"/>
      <c r="BVP703" s="83"/>
      <c r="BVZ703" s="83"/>
      <c r="BWJ703" s="83"/>
      <c r="BWT703" s="83"/>
      <c r="BXD703" s="83"/>
      <c r="BXN703" s="83"/>
      <c r="BXX703" s="83"/>
      <c r="BYH703" s="83"/>
      <c r="BYR703" s="83"/>
      <c r="BZB703" s="83"/>
      <c r="BZL703" s="83"/>
      <c r="BZV703" s="83"/>
      <c r="CAF703" s="83"/>
      <c r="CAP703" s="83"/>
      <c r="CAZ703" s="83"/>
      <c r="CBJ703" s="83"/>
      <c r="CBT703" s="83"/>
      <c r="CCD703" s="83"/>
      <c r="CCN703" s="83"/>
      <c r="CCX703" s="83"/>
      <c r="CDH703" s="83"/>
      <c r="CDR703" s="83"/>
      <c r="CEB703" s="83"/>
      <c r="CEL703" s="83"/>
      <c r="CEV703" s="83"/>
      <c r="CFF703" s="83"/>
      <c r="CFP703" s="83"/>
      <c r="CFZ703" s="83"/>
      <c r="CGJ703" s="83"/>
      <c r="CGT703" s="83"/>
      <c r="CHD703" s="83"/>
      <c r="CHN703" s="83"/>
      <c r="CHX703" s="83"/>
      <c r="CIH703" s="83"/>
      <c r="CIR703" s="83"/>
      <c r="CJB703" s="83"/>
      <c r="CJL703" s="83"/>
      <c r="CJV703" s="83"/>
      <c r="CKF703" s="83"/>
      <c r="CKP703" s="83"/>
      <c r="CKZ703" s="83"/>
      <c r="CLJ703" s="83"/>
      <c r="CLT703" s="83"/>
      <c r="CMD703" s="83"/>
      <c r="CMN703" s="83"/>
      <c r="CMX703" s="83"/>
      <c r="CNH703" s="83"/>
      <c r="CNR703" s="83"/>
      <c r="COB703" s="83"/>
      <c r="COL703" s="83"/>
      <c r="COV703" s="83"/>
      <c r="CPF703" s="83"/>
      <c r="CPP703" s="83"/>
      <c r="CPZ703" s="83"/>
      <c r="CQJ703" s="83"/>
      <c r="CQT703" s="83"/>
      <c r="CRD703" s="83"/>
      <c r="CRN703" s="83"/>
      <c r="CRX703" s="83"/>
      <c r="CSH703" s="83"/>
      <c r="CSR703" s="83"/>
      <c r="CTB703" s="83"/>
      <c r="CTL703" s="83"/>
      <c r="CTV703" s="83"/>
    </row>
    <row r="704" customHeight="1" spans="1:1020 1030:2040 2050:2570">
      <c r="A704" s="72"/>
      <c r="B704" s="73"/>
      <c r="C704" s="74"/>
      <c r="D704" s="74"/>
      <c r="E704" s="75"/>
      <c r="F704" s="76"/>
      <c r="G704" s="74"/>
      <c r="H704" s="77"/>
      <c r="I704" s="77"/>
      <c r="J704" s="74"/>
      <c r="K704" s="78"/>
    </row>
    <row r="705" customHeight="1" spans="1:1020 1030:2040 2050:2570">
      <c r="A705" s="72"/>
      <c r="B705" s="73"/>
      <c r="C705" s="74"/>
      <c r="D705" s="74"/>
      <c r="E705" s="75"/>
      <c r="F705" s="76"/>
      <c r="G705" s="74"/>
      <c r="H705" s="77"/>
      <c r="I705" s="77"/>
      <c r="J705" s="74"/>
      <c r="K705" s="78"/>
    </row>
    <row r="706" customHeight="1" spans="1:1020 1030:2040 2050:2570">
      <c r="A706" s="72"/>
      <c r="B706" s="73"/>
      <c r="C706" s="74"/>
      <c r="D706" s="74"/>
      <c r="E706" s="75"/>
      <c r="F706" s="76"/>
      <c r="G706" s="74"/>
      <c r="H706" s="77"/>
      <c r="I706" s="77"/>
      <c r="J706" s="74"/>
      <c r="K706" s="78"/>
    </row>
    <row r="707" s="58" customFormat="1" customHeight="1" spans="1:1020 1030:2040 2050:2570">
      <c r="A707" s="79"/>
      <c r="B707" s="112"/>
      <c r="C707" s="40"/>
      <c r="D707" s="75"/>
      <c r="E707" s="75"/>
      <c r="F707" s="76"/>
      <c r="G707" s="75"/>
      <c r="H707" s="77"/>
      <c r="I707" s="77"/>
      <c r="J707" s="75"/>
      <c r="K707" s="78"/>
      <c r="T707" s="83"/>
      <c r="AD707" s="83"/>
      <c r="AN707" s="83"/>
      <c r="AX707" s="83"/>
      <c r="BH707" s="83"/>
      <c r="BR707" s="83"/>
      <c r="CB707" s="83"/>
      <c r="CL707" s="83"/>
      <c r="CV707" s="83"/>
      <c r="DF707" s="83"/>
      <c r="DP707" s="83"/>
      <c r="DZ707" s="83"/>
      <c r="EJ707" s="83"/>
      <c r="ET707" s="83"/>
      <c r="FD707" s="83"/>
      <c r="FN707" s="83"/>
      <c r="FX707" s="83"/>
      <c r="GH707" s="83"/>
      <c r="GR707" s="83"/>
      <c r="HB707" s="83"/>
      <c r="HL707" s="83"/>
      <c r="HV707" s="83"/>
      <c r="IF707" s="83"/>
      <c r="IP707" s="83"/>
      <c r="IZ707" s="83"/>
      <c r="JJ707" s="83"/>
      <c r="JT707" s="83"/>
      <c r="KD707" s="83"/>
      <c r="KN707" s="83"/>
      <c r="KX707" s="83"/>
      <c r="LH707" s="83"/>
      <c r="LR707" s="83"/>
      <c r="MB707" s="83"/>
      <c r="ML707" s="83"/>
      <c r="MV707" s="83"/>
      <c r="NF707" s="83"/>
      <c r="NP707" s="83"/>
      <c r="NZ707" s="83"/>
      <c r="OJ707" s="83"/>
      <c r="OT707" s="83"/>
      <c r="PD707" s="83"/>
      <c r="PN707" s="83"/>
      <c r="PX707" s="83"/>
      <c r="QH707" s="83"/>
      <c r="QR707" s="83"/>
      <c r="RB707" s="83"/>
      <c r="RL707" s="83"/>
      <c r="RV707" s="83"/>
      <c r="SF707" s="83"/>
      <c r="SP707" s="83"/>
      <c r="SZ707" s="83"/>
      <c r="TJ707" s="83"/>
      <c r="TT707" s="83"/>
      <c r="UD707" s="83"/>
      <c r="UN707" s="83"/>
      <c r="UX707" s="83"/>
      <c r="VH707" s="83"/>
      <c r="VR707" s="83"/>
      <c r="WB707" s="83"/>
      <c r="WL707" s="83"/>
      <c r="WV707" s="83"/>
      <c r="XF707" s="83"/>
      <c r="XP707" s="83"/>
      <c r="XZ707" s="83"/>
      <c r="YJ707" s="83"/>
      <c r="YT707" s="83"/>
      <c r="ZD707" s="83"/>
      <c r="ZN707" s="83"/>
      <c r="ZX707" s="83"/>
      <c r="AAH707" s="83"/>
      <c r="AAR707" s="83"/>
      <c r="ABB707" s="83"/>
      <c r="ABL707" s="83"/>
      <c r="ABV707" s="83"/>
      <c r="ACF707" s="83"/>
      <c r="ACP707" s="83"/>
      <c r="ACZ707" s="83"/>
      <c r="ADJ707" s="83"/>
      <c r="ADT707" s="83"/>
      <c r="AED707" s="83"/>
      <c r="AEN707" s="83"/>
      <c r="AEX707" s="83"/>
      <c r="AFH707" s="83"/>
      <c r="AFR707" s="83"/>
      <c r="AGB707" s="83"/>
      <c r="AGL707" s="83"/>
      <c r="AGV707" s="83"/>
      <c r="AHF707" s="83"/>
      <c r="AHP707" s="83"/>
      <c r="AHZ707" s="83"/>
      <c r="AIJ707" s="83"/>
      <c r="AIT707" s="83"/>
      <c r="AJD707" s="83"/>
      <c r="AJN707" s="83"/>
      <c r="AJX707" s="83"/>
      <c r="AKH707" s="83"/>
      <c r="AKR707" s="83"/>
      <c r="ALB707" s="83"/>
      <c r="ALL707" s="83"/>
      <c r="ALV707" s="83"/>
      <c r="AMF707" s="83"/>
      <c r="AMP707" s="83"/>
      <c r="AMZ707" s="83"/>
      <c r="ANJ707" s="83"/>
      <c r="ANT707" s="83"/>
      <c r="AOD707" s="83"/>
      <c r="AON707" s="83"/>
      <c r="AOX707" s="83"/>
      <c r="APH707" s="83"/>
      <c r="APR707" s="83"/>
      <c r="AQB707" s="83"/>
      <c r="AQL707" s="83"/>
      <c r="AQV707" s="83"/>
      <c r="ARF707" s="83"/>
      <c r="ARP707" s="83"/>
      <c r="ARZ707" s="83"/>
      <c r="ASJ707" s="83"/>
      <c r="AST707" s="83"/>
      <c r="ATD707" s="83"/>
      <c r="ATN707" s="83"/>
      <c r="ATX707" s="83"/>
      <c r="AUH707" s="83"/>
      <c r="AUR707" s="83"/>
      <c r="AVB707" s="83"/>
      <c r="AVL707" s="83"/>
      <c r="AVV707" s="83"/>
      <c r="AWF707" s="83"/>
      <c r="AWP707" s="83"/>
      <c r="AWZ707" s="83"/>
      <c r="AXJ707" s="83"/>
      <c r="AXT707" s="83"/>
      <c r="AYD707" s="83"/>
      <c r="AYN707" s="83"/>
      <c r="AYX707" s="83"/>
      <c r="AZH707" s="83"/>
      <c r="AZR707" s="83"/>
      <c r="BAB707" s="83"/>
      <c r="BAL707" s="83"/>
      <c r="BAV707" s="83"/>
      <c r="BBF707" s="83"/>
      <c r="BBP707" s="83"/>
      <c r="BBZ707" s="83"/>
      <c r="BCJ707" s="83"/>
      <c r="BCT707" s="83"/>
      <c r="BDD707" s="83"/>
      <c r="BDN707" s="83"/>
      <c r="BDX707" s="83"/>
      <c r="BEH707" s="83"/>
      <c r="BER707" s="83"/>
      <c r="BFB707" s="83"/>
      <c r="BFL707" s="83"/>
      <c r="BFV707" s="83"/>
      <c r="BGF707" s="83"/>
      <c r="BGP707" s="83"/>
      <c r="BGZ707" s="83"/>
      <c r="BHJ707" s="83"/>
      <c r="BHT707" s="83"/>
      <c r="BID707" s="83"/>
      <c r="BIN707" s="83"/>
      <c r="BIX707" s="83"/>
      <c r="BJH707" s="83"/>
      <c r="BJR707" s="83"/>
      <c r="BKB707" s="83"/>
      <c r="BKL707" s="83"/>
      <c r="BKV707" s="83"/>
      <c r="BLF707" s="83"/>
      <c r="BLP707" s="83"/>
      <c r="BLZ707" s="83"/>
      <c r="BMJ707" s="83"/>
      <c r="BMT707" s="83"/>
      <c r="BND707" s="83"/>
      <c r="BNN707" s="83"/>
      <c r="BNX707" s="83"/>
      <c r="BOH707" s="83"/>
      <c r="BOR707" s="83"/>
      <c r="BPB707" s="83"/>
      <c r="BPL707" s="83"/>
      <c r="BPV707" s="83"/>
      <c r="BQF707" s="83"/>
      <c r="BQP707" s="83"/>
      <c r="BQZ707" s="83"/>
      <c r="BRJ707" s="83"/>
      <c r="BRT707" s="83"/>
      <c r="BSD707" s="83"/>
      <c r="BSN707" s="83"/>
      <c r="BSX707" s="83"/>
      <c r="BTH707" s="83"/>
      <c r="BTR707" s="83"/>
      <c r="BUB707" s="83"/>
      <c r="BUL707" s="83"/>
      <c r="BUV707" s="83"/>
      <c r="BVF707" s="83"/>
      <c r="BVP707" s="83"/>
      <c r="BVZ707" s="83"/>
      <c r="BWJ707" s="83"/>
      <c r="BWT707" s="83"/>
      <c r="BXD707" s="83"/>
      <c r="BXN707" s="83"/>
      <c r="BXX707" s="83"/>
      <c r="BYH707" s="83"/>
      <c r="BYR707" s="83"/>
      <c r="BZB707" s="83"/>
      <c r="BZL707" s="83"/>
      <c r="BZV707" s="83"/>
      <c r="CAF707" s="83"/>
      <c r="CAP707" s="83"/>
      <c r="CAZ707" s="83"/>
      <c r="CBJ707" s="83"/>
      <c r="CBT707" s="83"/>
      <c r="CCD707" s="83"/>
      <c r="CCN707" s="83"/>
      <c r="CCX707" s="83"/>
      <c r="CDH707" s="83"/>
      <c r="CDR707" s="83"/>
      <c r="CEB707" s="83"/>
      <c r="CEL707" s="83"/>
      <c r="CEV707" s="83"/>
      <c r="CFF707" s="83"/>
      <c r="CFP707" s="83"/>
      <c r="CFZ707" s="83"/>
      <c r="CGJ707" s="83"/>
      <c r="CGT707" s="83"/>
      <c r="CHD707" s="83"/>
      <c r="CHN707" s="83"/>
      <c r="CHX707" s="83"/>
      <c r="CIH707" s="83"/>
      <c r="CIR707" s="83"/>
      <c r="CJB707" s="83"/>
      <c r="CJL707" s="83"/>
      <c r="CJV707" s="83"/>
      <c r="CKF707" s="83"/>
      <c r="CKP707" s="83"/>
      <c r="CKZ707" s="83"/>
      <c r="CLJ707" s="83"/>
      <c r="CLT707" s="83"/>
      <c r="CMD707" s="83"/>
      <c r="CMN707" s="83"/>
      <c r="CMX707" s="83"/>
      <c r="CNH707" s="83"/>
      <c r="CNR707" s="83"/>
      <c r="COB707" s="83"/>
      <c r="COL707" s="83"/>
      <c r="COV707" s="83"/>
      <c r="CPF707" s="83"/>
      <c r="CPP707" s="83"/>
      <c r="CPZ707" s="83"/>
      <c r="CQJ707" s="83"/>
      <c r="CQT707" s="83"/>
      <c r="CRD707" s="83"/>
      <c r="CRN707" s="83"/>
      <c r="CRX707" s="83"/>
      <c r="CSH707" s="83"/>
      <c r="CSR707" s="83"/>
      <c r="CTB707" s="83"/>
      <c r="CTL707" s="83"/>
      <c r="CTV707" s="83"/>
    </row>
    <row r="708" customHeight="1" spans="1:1020 1030:2040 2050:2570">
      <c r="A708" s="72"/>
      <c r="B708" s="73"/>
      <c r="C708" s="74"/>
      <c r="D708" s="74"/>
      <c r="E708" s="75"/>
      <c r="F708" s="76"/>
      <c r="G708" s="74"/>
      <c r="H708" s="77"/>
      <c r="I708" s="77"/>
      <c r="J708" s="74"/>
      <c r="K708" s="78"/>
    </row>
    <row r="709" customHeight="1" spans="1:1020 1030:2040 2050:2570">
      <c r="A709" s="72"/>
      <c r="B709" s="73"/>
      <c r="C709" s="74"/>
      <c r="D709" s="74"/>
      <c r="E709" s="75"/>
      <c r="F709" s="76"/>
      <c r="G709" s="74"/>
      <c r="H709" s="77"/>
      <c r="I709" s="77"/>
      <c r="J709" s="74"/>
      <c r="K709" s="78"/>
    </row>
    <row r="710" customHeight="1" spans="1:1020 1030:2040 2050:2570">
      <c r="A710" s="72"/>
      <c r="B710" s="73"/>
      <c r="C710" s="74"/>
      <c r="D710" s="74"/>
      <c r="E710" s="75"/>
      <c r="F710" s="76"/>
      <c r="G710" s="74"/>
      <c r="H710" s="77"/>
      <c r="I710" s="77"/>
      <c r="J710" s="74"/>
      <c r="K710" s="78"/>
    </row>
    <row r="711" customHeight="1" spans="1:1020 1030:2040 2050:2570">
      <c r="A711" s="72"/>
      <c r="B711" s="73"/>
      <c r="C711" s="74"/>
      <c r="D711" s="74"/>
      <c r="E711" s="75"/>
      <c r="F711" s="76"/>
      <c r="G711" s="74"/>
      <c r="H711" s="77"/>
      <c r="I711" s="77"/>
      <c r="J711" s="74"/>
      <c r="K711" s="78"/>
    </row>
    <row r="712" customHeight="1" spans="1:1020 1030:2040 2050:2570">
      <c r="A712" s="72"/>
      <c r="B712" s="73"/>
      <c r="C712" s="74"/>
      <c r="D712" s="74"/>
      <c r="E712" s="75"/>
      <c r="F712" s="76"/>
      <c r="G712" s="74"/>
      <c r="H712" s="77"/>
      <c r="I712" s="77"/>
      <c r="J712" s="74"/>
      <c r="K712" s="78"/>
    </row>
    <row r="713" customHeight="1" spans="1:1020 1030:2040 2050:2570">
      <c r="A713" s="72"/>
      <c r="B713" s="73"/>
      <c r="C713" s="74"/>
      <c r="D713" s="74"/>
      <c r="E713" s="75"/>
      <c r="F713" s="76"/>
      <c r="G713" s="74"/>
      <c r="H713" s="77"/>
      <c r="I713" s="77"/>
      <c r="J713" s="74"/>
      <c r="K713" s="78"/>
    </row>
    <row r="714" s="58" customFormat="1" customHeight="1" spans="1:1020 1030:2040 2050:2570">
      <c r="A714" s="87"/>
      <c r="B714" s="99"/>
      <c r="C714" s="113"/>
      <c r="D714" s="75"/>
      <c r="E714" s="114"/>
      <c r="F714" s="114"/>
      <c r="G714" s="75"/>
      <c r="H714" s="40"/>
      <c r="I714" s="77"/>
      <c r="J714" s="75"/>
      <c r="K714" s="78"/>
      <c r="T714" s="83"/>
      <c r="AD714" s="83"/>
      <c r="AN714" s="83"/>
      <c r="AX714" s="83"/>
      <c r="BH714" s="83"/>
      <c r="BR714" s="83"/>
      <c r="CB714" s="83"/>
      <c r="CL714" s="83"/>
      <c r="CV714" s="83"/>
      <c r="DF714" s="83"/>
      <c r="DP714" s="83"/>
      <c r="DZ714" s="83"/>
      <c r="EJ714" s="83"/>
      <c r="ET714" s="83"/>
      <c r="FD714" s="83"/>
      <c r="FN714" s="83"/>
      <c r="FX714" s="83"/>
      <c r="GH714" s="83"/>
      <c r="GR714" s="83"/>
      <c r="HB714" s="83"/>
      <c r="HL714" s="83"/>
      <c r="HV714" s="83"/>
      <c r="IF714" s="83"/>
      <c r="IP714" s="83"/>
      <c r="IZ714" s="83"/>
      <c r="JJ714" s="83"/>
      <c r="JT714" s="83"/>
      <c r="KD714" s="83"/>
      <c r="KN714" s="83"/>
      <c r="KX714" s="83"/>
      <c r="LH714" s="83"/>
      <c r="LR714" s="83"/>
      <c r="MB714" s="83"/>
      <c r="ML714" s="83"/>
      <c r="MV714" s="83"/>
      <c r="NF714" s="83"/>
      <c r="NP714" s="83"/>
      <c r="NZ714" s="83"/>
      <c r="OJ714" s="83"/>
      <c r="OT714" s="83"/>
      <c r="PD714" s="83"/>
      <c r="PN714" s="83"/>
      <c r="PX714" s="83"/>
      <c r="QH714" s="83"/>
      <c r="QR714" s="83"/>
      <c r="RB714" s="83"/>
      <c r="RL714" s="83"/>
      <c r="RV714" s="83"/>
      <c r="SF714" s="83"/>
      <c r="SP714" s="83"/>
      <c r="SZ714" s="83"/>
      <c r="TJ714" s="83"/>
      <c r="TT714" s="83"/>
      <c r="UD714" s="83"/>
      <c r="UN714" s="83"/>
      <c r="UX714" s="83"/>
      <c r="VH714" s="83"/>
      <c r="VR714" s="83"/>
      <c r="WB714" s="83"/>
      <c r="WL714" s="83"/>
      <c r="WV714" s="83"/>
      <c r="XF714" s="83"/>
      <c r="XP714" s="83"/>
      <c r="XZ714" s="83"/>
      <c r="YJ714" s="83"/>
      <c r="YT714" s="83"/>
      <c r="ZD714" s="83"/>
      <c r="ZN714" s="83"/>
      <c r="ZX714" s="83"/>
      <c r="AAH714" s="83"/>
      <c r="AAR714" s="83"/>
      <c r="ABB714" s="83"/>
      <c r="ABL714" s="83"/>
      <c r="ABV714" s="83"/>
      <c r="ACF714" s="83"/>
      <c r="ACP714" s="83"/>
      <c r="ACZ714" s="83"/>
      <c r="ADJ714" s="83"/>
      <c r="ADT714" s="83"/>
      <c r="AED714" s="83"/>
      <c r="AEN714" s="83"/>
      <c r="AEX714" s="83"/>
      <c r="AFH714" s="83"/>
      <c r="AFR714" s="83"/>
      <c r="AGB714" s="83"/>
      <c r="AGL714" s="83"/>
      <c r="AGV714" s="83"/>
      <c r="AHF714" s="83"/>
      <c r="AHP714" s="83"/>
      <c r="AHZ714" s="83"/>
      <c r="AIJ714" s="83"/>
      <c r="AIT714" s="83"/>
      <c r="AJD714" s="83"/>
      <c r="AJN714" s="83"/>
      <c r="AJX714" s="83"/>
      <c r="AKH714" s="83"/>
      <c r="AKR714" s="83"/>
      <c r="ALB714" s="83"/>
      <c r="ALL714" s="83"/>
      <c r="ALV714" s="83"/>
      <c r="AMF714" s="83"/>
      <c r="AMP714" s="83"/>
      <c r="AMZ714" s="83"/>
      <c r="ANJ714" s="83"/>
      <c r="ANT714" s="83"/>
      <c r="AOD714" s="83"/>
      <c r="AON714" s="83"/>
      <c r="AOX714" s="83"/>
      <c r="APH714" s="83"/>
      <c r="APR714" s="83"/>
      <c r="AQB714" s="83"/>
      <c r="AQL714" s="83"/>
      <c r="AQV714" s="83"/>
      <c r="ARF714" s="83"/>
      <c r="ARP714" s="83"/>
      <c r="ARZ714" s="83"/>
      <c r="ASJ714" s="83"/>
      <c r="AST714" s="83"/>
      <c r="ATD714" s="83"/>
      <c r="ATN714" s="83"/>
      <c r="ATX714" s="83"/>
      <c r="AUH714" s="83"/>
      <c r="AUR714" s="83"/>
      <c r="AVB714" s="83"/>
      <c r="AVL714" s="83"/>
      <c r="AVV714" s="83"/>
      <c r="AWF714" s="83"/>
      <c r="AWP714" s="83"/>
      <c r="AWZ714" s="83"/>
      <c r="AXJ714" s="83"/>
      <c r="AXT714" s="83"/>
      <c r="AYD714" s="83"/>
      <c r="AYN714" s="83"/>
      <c r="AYX714" s="83"/>
      <c r="AZH714" s="83"/>
      <c r="AZR714" s="83"/>
      <c r="BAB714" s="83"/>
      <c r="BAL714" s="83"/>
      <c r="BAV714" s="83"/>
      <c r="BBF714" s="83"/>
      <c r="BBP714" s="83"/>
      <c r="BBZ714" s="83"/>
      <c r="BCJ714" s="83"/>
      <c r="BCT714" s="83"/>
      <c r="BDD714" s="83"/>
      <c r="BDN714" s="83"/>
      <c r="BDX714" s="83"/>
      <c r="BEH714" s="83"/>
      <c r="BER714" s="83"/>
      <c r="BFB714" s="83"/>
      <c r="BFL714" s="83"/>
      <c r="BFV714" s="83"/>
      <c r="BGF714" s="83"/>
      <c r="BGP714" s="83"/>
      <c r="BGZ714" s="83"/>
      <c r="BHJ714" s="83"/>
      <c r="BHT714" s="83"/>
      <c r="BID714" s="83"/>
      <c r="BIN714" s="83"/>
      <c r="BIX714" s="83"/>
      <c r="BJH714" s="83"/>
      <c r="BJR714" s="83"/>
      <c r="BKB714" s="83"/>
      <c r="BKL714" s="83"/>
      <c r="BKV714" s="83"/>
      <c r="BLF714" s="83"/>
      <c r="BLP714" s="83"/>
      <c r="BLZ714" s="83"/>
      <c r="BMJ714" s="83"/>
      <c r="BMT714" s="83"/>
      <c r="BND714" s="83"/>
      <c r="BNN714" s="83"/>
      <c r="BNX714" s="83"/>
      <c r="BOH714" s="83"/>
      <c r="BOR714" s="83"/>
      <c r="BPB714" s="83"/>
      <c r="BPL714" s="83"/>
      <c r="BPV714" s="83"/>
      <c r="BQF714" s="83"/>
      <c r="BQP714" s="83"/>
      <c r="BQZ714" s="83"/>
      <c r="BRJ714" s="83"/>
      <c r="BRT714" s="83"/>
      <c r="BSD714" s="83"/>
      <c r="BSN714" s="83"/>
      <c r="BSX714" s="83"/>
      <c r="BTH714" s="83"/>
      <c r="BTR714" s="83"/>
      <c r="BUB714" s="83"/>
      <c r="BUL714" s="83"/>
      <c r="BUV714" s="83"/>
      <c r="BVF714" s="83"/>
      <c r="BVP714" s="83"/>
      <c r="BVZ714" s="83"/>
      <c r="BWJ714" s="83"/>
      <c r="BWT714" s="83"/>
      <c r="BXD714" s="83"/>
      <c r="BXN714" s="83"/>
      <c r="BXX714" s="83"/>
      <c r="BYH714" s="83"/>
      <c r="BYR714" s="83"/>
      <c r="BZB714" s="83"/>
      <c r="BZL714" s="83"/>
      <c r="BZV714" s="83"/>
      <c r="CAF714" s="83"/>
      <c r="CAP714" s="83"/>
      <c r="CAZ714" s="83"/>
      <c r="CBJ714" s="83"/>
      <c r="CBT714" s="83"/>
      <c r="CCD714" s="83"/>
      <c r="CCN714" s="83"/>
      <c r="CCX714" s="83"/>
      <c r="CDH714" s="83"/>
      <c r="CDR714" s="83"/>
      <c r="CEB714" s="83"/>
      <c r="CEL714" s="83"/>
      <c r="CEV714" s="83"/>
      <c r="CFF714" s="83"/>
      <c r="CFP714" s="83"/>
      <c r="CFZ714" s="83"/>
      <c r="CGJ714" s="83"/>
      <c r="CGT714" s="83"/>
      <c r="CHD714" s="83"/>
      <c r="CHN714" s="83"/>
      <c r="CHX714" s="83"/>
      <c r="CIH714" s="83"/>
      <c r="CIR714" s="83"/>
      <c r="CJB714" s="83"/>
      <c r="CJL714" s="83"/>
      <c r="CJV714" s="83"/>
      <c r="CKF714" s="83"/>
      <c r="CKP714" s="83"/>
      <c r="CKZ714" s="83"/>
      <c r="CLJ714" s="83"/>
      <c r="CLT714" s="83"/>
      <c r="CMD714" s="83"/>
      <c r="CMN714" s="83"/>
      <c r="CMX714" s="83"/>
      <c r="CNH714" s="83"/>
      <c r="CNR714" s="83"/>
      <c r="COB714" s="83"/>
      <c r="COL714" s="83"/>
      <c r="COV714" s="83"/>
      <c r="CPF714" s="83"/>
      <c r="CPP714" s="83"/>
      <c r="CPZ714" s="83"/>
      <c r="CQJ714" s="83"/>
      <c r="CQT714" s="83"/>
      <c r="CRD714" s="83"/>
      <c r="CRN714" s="83"/>
      <c r="CRX714" s="83"/>
      <c r="CSH714" s="83"/>
      <c r="CSR714" s="83"/>
      <c r="CTB714" s="83"/>
      <c r="CTL714" s="83"/>
      <c r="CTV714" s="83"/>
    </row>
    <row r="715" s="58" customFormat="1" customHeight="1" spans="1:1020 1030:2040 2050:2570">
      <c r="A715" s="87"/>
      <c r="B715" s="99"/>
      <c r="C715" s="113"/>
      <c r="D715" s="114"/>
      <c r="E715" s="114"/>
      <c r="F715" s="114"/>
      <c r="G715" s="75"/>
      <c r="H715" s="40"/>
      <c r="I715" s="77"/>
      <c r="J715" s="75"/>
      <c r="K715" s="78"/>
      <c r="T715" s="83"/>
      <c r="AD715" s="83"/>
      <c r="AN715" s="83"/>
      <c r="AX715" s="83"/>
      <c r="BH715" s="83"/>
      <c r="BR715" s="83"/>
      <c r="CB715" s="83"/>
      <c r="CL715" s="83"/>
      <c r="CV715" s="83"/>
      <c r="DF715" s="83"/>
      <c r="DP715" s="83"/>
      <c r="DZ715" s="83"/>
      <c r="EJ715" s="83"/>
      <c r="ET715" s="83"/>
      <c r="FD715" s="83"/>
      <c r="FN715" s="83"/>
      <c r="FX715" s="83"/>
      <c r="GH715" s="83"/>
      <c r="GR715" s="83"/>
      <c r="HB715" s="83"/>
      <c r="HL715" s="83"/>
      <c r="HV715" s="83"/>
      <c r="IF715" s="83"/>
      <c r="IP715" s="83"/>
      <c r="IZ715" s="83"/>
      <c r="JJ715" s="83"/>
      <c r="JT715" s="83"/>
      <c r="KD715" s="83"/>
      <c r="KN715" s="83"/>
      <c r="KX715" s="83"/>
      <c r="LH715" s="83"/>
      <c r="LR715" s="83"/>
      <c r="MB715" s="83"/>
      <c r="ML715" s="83"/>
      <c r="MV715" s="83"/>
      <c r="NF715" s="83"/>
      <c r="NP715" s="83"/>
      <c r="NZ715" s="83"/>
      <c r="OJ715" s="83"/>
      <c r="OT715" s="83"/>
      <c r="PD715" s="83"/>
      <c r="PN715" s="83"/>
      <c r="PX715" s="83"/>
      <c r="QH715" s="83"/>
      <c r="QR715" s="83"/>
      <c r="RB715" s="83"/>
      <c r="RL715" s="83"/>
      <c r="RV715" s="83"/>
      <c r="SF715" s="83"/>
      <c r="SP715" s="83"/>
      <c r="SZ715" s="83"/>
      <c r="TJ715" s="83"/>
      <c r="TT715" s="83"/>
      <c r="UD715" s="83"/>
      <c r="UN715" s="83"/>
      <c r="UX715" s="83"/>
      <c r="VH715" s="83"/>
      <c r="VR715" s="83"/>
      <c r="WB715" s="83"/>
      <c r="WL715" s="83"/>
      <c r="WV715" s="83"/>
      <c r="XF715" s="83"/>
      <c r="XP715" s="83"/>
      <c r="XZ715" s="83"/>
      <c r="YJ715" s="83"/>
      <c r="YT715" s="83"/>
      <c r="ZD715" s="83"/>
      <c r="ZN715" s="83"/>
      <c r="ZX715" s="83"/>
      <c r="AAH715" s="83"/>
      <c r="AAR715" s="83"/>
      <c r="ABB715" s="83"/>
      <c r="ABL715" s="83"/>
      <c r="ABV715" s="83"/>
      <c r="ACF715" s="83"/>
      <c r="ACP715" s="83"/>
      <c r="ACZ715" s="83"/>
      <c r="ADJ715" s="83"/>
      <c r="ADT715" s="83"/>
      <c r="AED715" s="83"/>
      <c r="AEN715" s="83"/>
      <c r="AEX715" s="83"/>
      <c r="AFH715" s="83"/>
      <c r="AFR715" s="83"/>
      <c r="AGB715" s="83"/>
      <c r="AGL715" s="83"/>
      <c r="AGV715" s="83"/>
      <c r="AHF715" s="83"/>
      <c r="AHP715" s="83"/>
      <c r="AHZ715" s="83"/>
      <c r="AIJ715" s="83"/>
      <c r="AIT715" s="83"/>
      <c r="AJD715" s="83"/>
      <c r="AJN715" s="83"/>
      <c r="AJX715" s="83"/>
      <c r="AKH715" s="83"/>
      <c r="AKR715" s="83"/>
      <c r="ALB715" s="83"/>
      <c r="ALL715" s="83"/>
      <c r="ALV715" s="83"/>
      <c r="AMF715" s="83"/>
      <c r="AMP715" s="83"/>
      <c r="AMZ715" s="83"/>
      <c r="ANJ715" s="83"/>
      <c r="ANT715" s="83"/>
      <c r="AOD715" s="83"/>
      <c r="AON715" s="83"/>
      <c r="AOX715" s="83"/>
      <c r="APH715" s="83"/>
      <c r="APR715" s="83"/>
      <c r="AQB715" s="83"/>
      <c r="AQL715" s="83"/>
      <c r="AQV715" s="83"/>
      <c r="ARF715" s="83"/>
      <c r="ARP715" s="83"/>
      <c r="ARZ715" s="83"/>
      <c r="ASJ715" s="83"/>
      <c r="AST715" s="83"/>
      <c r="ATD715" s="83"/>
      <c r="ATN715" s="83"/>
      <c r="ATX715" s="83"/>
      <c r="AUH715" s="83"/>
      <c r="AUR715" s="83"/>
      <c r="AVB715" s="83"/>
      <c r="AVL715" s="83"/>
      <c r="AVV715" s="83"/>
      <c r="AWF715" s="83"/>
      <c r="AWP715" s="83"/>
      <c r="AWZ715" s="83"/>
      <c r="AXJ715" s="83"/>
      <c r="AXT715" s="83"/>
      <c r="AYD715" s="83"/>
      <c r="AYN715" s="83"/>
      <c r="AYX715" s="83"/>
      <c r="AZH715" s="83"/>
      <c r="AZR715" s="83"/>
      <c r="BAB715" s="83"/>
      <c r="BAL715" s="83"/>
      <c r="BAV715" s="83"/>
      <c r="BBF715" s="83"/>
      <c r="BBP715" s="83"/>
      <c r="BBZ715" s="83"/>
      <c r="BCJ715" s="83"/>
      <c r="BCT715" s="83"/>
      <c r="BDD715" s="83"/>
      <c r="BDN715" s="83"/>
      <c r="BDX715" s="83"/>
      <c r="BEH715" s="83"/>
      <c r="BER715" s="83"/>
      <c r="BFB715" s="83"/>
      <c r="BFL715" s="83"/>
      <c r="BFV715" s="83"/>
      <c r="BGF715" s="83"/>
      <c r="BGP715" s="83"/>
      <c r="BGZ715" s="83"/>
      <c r="BHJ715" s="83"/>
      <c r="BHT715" s="83"/>
      <c r="BID715" s="83"/>
      <c r="BIN715" s="83"/>
      <c r="BIX715" s="83"/>
      <c r="BJH715" s="83"/>
      <c r="BJR715" s="83"/>
      <c r="BKB715" s="83"/>
      <c r="BKL715" s="83"/>
      <c r="BKV715" s="83"/>
      <c r="BLF715" s="83"/>
      <c r="BLP715" s="83"/>
      <c r="BLZ715" s="83"/>
      <c r="BMJ715" s="83"/>
      <c r="BMT715" s="83"/>
      <c r="BND715" s="83"/>
      <c r="BNN715" s="83"/>
      <c r="BNX715" s="83"/>
      <c r="BOH715" s="83"/>
      <c r="BOR715" s="83"/>
      <c r="BPB715" s="83"/>
      <c r="BPL715" s="83"/>
      <c r="BPV715" s="83"/>
      <c r="BQF715" s="83"/>
      <c r="BQP715" s="83"/>
      <c r="BQZ715" s="83"/>
      <c r="BRJ715" s="83"/>
      <c r="BRT715" s="83"/>
      <c r="BSD715" s="83"/>
      <c r="BSN715" s="83"/>
      <c r="BSX715" s="83"/>
      <c r="BTH715" s="83"/>
      <c r="BTR715" s="83"/>
      <c r="BUB715" s="83"/>
      <c r="BUL715" s="83"/>
      <c r="BUV715" s="83"/>
      <c r="BVF715" s="83"/>
      <c r="BVP715" s="83"/>
      <c r="BVZ715" s="83"/>
      <c r="BWJ715" s="83"/>
      <c r="BWT715" s="83"/>
      <c r="BXD715" s="83"/>
      <c r="BXN715" s="83"/>
      <c r="BXX715" s="83"/>
      <c r="BYH715" s="83"/>
      <c r="BYR715" s="83"/>
      <c r="BZB715" s="83"/>
      <c r="BZL715" s="83"/>
      <c r="BZV715" s="83"/>
      <c r="CAF715" s="83"/>
      <c r="CAP715" s="83"/>
      <c r="CAZ715" s="83"/>
      <c r="CBJ715" s="83"/>
      <c r="CBT715" s="83"/>
      <c r="CCD715" s="83"/>
      <c r="CCN715" s="83"/>
      <c r="CCX715" s="83"/>
      <c r="CDH715" s="83"/>
      <c r="CDR715" s="83"/>
      <c r="CEB715" s="83"/>
      <c r="CEL715" s="83"/>
      <c r="CEV715" s="83"/>
      <c r="CFF715" s="83"/>
      <c r="CFP715" s="83"/>
      <c r="CFZ715" s="83"/>
      <c r="CGJ715" s="83"/>
      <c r="CGT715" s="83"/>
      <c r="CHD715" s="83"/>
      <c r="CHN715" s="83"/>
      <c r="CHX715" s="83"/>
      <c r="CIH715" s="83"/>
      <c r="CIR715" s="83"/>
      <c r="CJB715" s="83"/>
      <c r="CJL715" s="83"/>
      <c r="CJV715" s="83"/>
      <c r="CKF715" s="83"/>
      <c r="CKP715" s="83"/>
      <c r="CKZ715" s="83"/>
      <c r="CLJ715" s="83"/>
      <c r="CLT715" s="83"/>
      <c r="CMD715" s="83"/>
      <c r="CMN715" s="83"/>
      <c r="CMX715" s="83"/>
      <c r="CNH715" s="83"/>
      <c r="CNR715" s="83"/>
      <c r="COB715" s="83"/>
      <c r="COL715" s="83"/>
      <c r="COV715" s="83"/>
      <c r="CPF715" s="83"/>
      <c r="CPP715" s="83"/>
      <c r="CPZ715" s="83"/>
      <c r="CQJ715" s="83"/>
      <c r="CQT715" s="83"/>
      <c r="CRD715" s="83"/>
      <c r="CRN715" s="83"/>
      <c r="CRX715" s="83"/>
      <c r="CSH715" s="83"/>
      <c r="CSR715" s="83"/>
      <c r="CTB715" s="83"/>
      <c r="CTL715" s="83"/>
      <c r="CTV715" s="83"/>
    </row>
    <row r="716" s="58" customFormat="1" customHeight="1" spans="1:1020 1030:2040 2050:2570">
      <c r="A716" s="87"/>
      <c r="B716" s="99"/>
      <c r="C716" s="113"/>
      <c r="D716" s="114"/>
      <c r="E716" s="114"/>
      <c r="F716" s="114"/>
      <c r="G716" s="75"/>
      <c r="H716" s="40"/>
      <c r="I716" s="77"/>
      <c r="J716" s="75"/>
      <c r="K716" s="78"/>
      <c r="T716" s="83"/>
      <c r="AD716" s="83"/>
      <c r="AN716" s="83"/>
      <c r="AX716" s="83"/>
      <c r="BH716" s="83"/>
      <c r="BR716" s="83"/>
      <c r="CB716" s="83"/>
      <c r="CL716" s="83"/>
      <c r="CV716" s="83"/>
      <c r="DF716" s="83"/>
      <c r="DP716" s="83"/>
      <c r="DZ716" s="83"/>
      <c r="EJ716" s="83"/>
      <c r="ET716" s="83"/>
      <c r="FD716" s="83"/>
      <c r="FN716" s="83"/>
      <c r="FX716" s="83"/>
      <c r="GH716" s="83"/>
      <c r="GR716" s="83"/>
      <c r="HB716" s="83"/>
      <c r="HL716" s="83"/>
      <c r="HV716" s="83"/>
      <c r="IF716" s="83"/>
      <c r="IP716" s="83"/>
      <c r="IZ716" s="83"/>
      <c r="JJ716" s="83"/>
      <c r="JT716" s="83"/>
      <c r="KD716" s="83"/>
      <c r="KN716" s="83"/>
      <c r="KX716" s="83"/>
      <c r="LH716" s="83"/>
      <c r="LR716" s="83"/>
      <c r="MB716" s="83"/>
      <c r="ML716" s="83"/>
      <c r="MV716" s="83"/>
      <c r="NF716" s="83"/>
      <c r="NP716" s="83"/>
      <c r="NZ716" s="83"/>
      <c r="OJ716" s="83"/>
      <c r="OT716" s="83"/>
      <c r="PD716" s="83"/>
      <c r="PN716" s="83"/>
      <c r="PX716" s="83"/>
      <c r="QH716" s="83"/>
      <c r="QR716" s="83"/>
      <c r="RB716" s="83"/>
      <c r="RL716" s="83"/>
      <c r="RV716" s="83"/>
      <c r="SF716" s="83"/>
      <c r="SP716" s="83"/>
      <c r="SZ716" s="83"/>
      <c r="TJ716" s="83"/>
      <c r="TT716" s="83"/>
      <c r="UD716" s="83"/>
      <c r="UN716" s="83"/>
      <c r="UX716" s="83"/>
      <c r="VH716" s="83"/>
      <c r="VR716" s="83"/>
      <c r="WB716" s="83"/>
      <c r="WL716" s="83"/>
      <c r="WV716" s="83"/>
      <c r="XF716" s="83"/>
      <c r="XP716" s="83"/>
      <c r="XZ716" s="83"/>
      <c r="YJ716" s="83"/>
      <c r="YT716" s="83"/>
      <c r="ZD716" s="83"/>
      <c r="ZN716" s="83"/>
      <c r="ZX716" s="83"/>
      <c r="AAH716" s="83"/>
      <c r="AAR716" s="83"/>
      <c r="ABB716" s="83"/>
      <c r="ABL716" s="83"/>
      <c r="ABV716" s="83"/>
      <c r="ACF716" s="83"/>
      <c r="ACP716" s="83"/>
      <c r="ACZ716" s="83"/>
      <c r="ADJ716" s="83"/>
      <c r="ADT716" s="83"/>
      <c r="AED716" s="83"/>
      <c r="AEN716" s="83"/>
      <c r="AEX716" s="83"/>
      <c r="AFH716" s="83"/>
      <c r="AFR716" s="83"/>
      <c r="AGB716" s="83"/>
      <c r="AGL716" s="83"/>
      <c r="AGV716" s="83"/>
      <c r="AHF716" s="83"/>
      <c r="AHP716" s="83"/>
      <c r="AHZ716" s="83"/>
      <c r="AIJ716" s="83"/>
      <c r="AIT716" s="83"/>
      <c r="AJD716" s="83"/>
      <c r="AJN716" s="83"/>
      <c r="AJX716" s="83"/>
      <c r="AKH716" s="83"/>
      <c r="AKR716" s="83"/>
      <c r="ALB716" s="83"/>
      <c r="ALL716" s="83"/>
      <c r="ALV716" s="83"/>
      <c r="AMF716" s="83"/>
      <c r="AMP716" s="83"/>
      <c r="AMZ716" s="83"/>
      <c r="ANJ716" s="83"/>
      <c r="ANT716" s="83"/>
      <c r="AOD716" s="83"/>
      <c r="AON716" s="83"/>
      <c r="AOX716" s="83"/>
      <c r="APH716" s="83"/>
      <c r="APR716" s="83"/>
      <c r="AQB716" s="83"/>
      <c r="AQL716" s="83"/>
      <c r="AQV716" s="83"/>
      <c r="ARF716" s="83"/>
      <c r="ARP716" s="83"/>
      <c r="ARZ716" s="83"/>
      <c r="ASJ716" s="83"/>
      <c r="AST716" s="83"/>
      <c r="ATD716" s="83"/>
      <c r="ATN716" s="83"/>
      <c r="ATX716" s="83"/>
      <c r="AUH716" s="83"/>
      <c r="AUR716" s="83"/>
      <c r="AVB716" s="83"/>
      <c r="AVL716" s="83"/>
      <c r="AVV716" s="83"/>
      <c r="AWF716" s="83"/>
      <c r="AWP716" s="83"/>
      <c r="AWZ716" s="83"/>
      <c r="AXJ716" s="83"/>
      <c r="AXT716" s="83"/>
      <c r="AYD716" s="83"/>
      <c r="AYN716" s="83"/>
      <c r="AYX716" s="83"/>
      <c r="AZH716" s="83"/>
      <c r="AZR716" s="83"/>
      <c r="BAB716" s="83"/>
      <c r="BAL716" s="83"/>
      <c r="BAV716" s="83"/>
      <c r="BBF716" s="83"/>
      <c r="BBP716" s="83"/>
      <c r="BBZ716" s="83"/>
      <c r="BCJ716" s="83"/>
      <c r="BCT716" s="83"/>
      <c r="BDD716" s="83"/>
      <c r="BDN716" s="83"/>
      <c r="BDX716" s="83"/>
      <c r="BEH716" s="83"/>
      <c r="BER716" s="83"/>
      <c r="BFB716" s="83"/>
      <c r="BFL716" s="83"/>
      <c r="BFV716" s="83"/>
      <c r="BGF716" s="83"/>
      <c r="BGP716" s="83"/>
      <c r="BGZ716" s="83"/>
      <c r="BHJ716" s="83"/>
      <c r="BHT716" s="83"/>
      <c r="BID716" s="83"/>
      <c r="BIN716" s="83"/>
      <c r="BIX716" s="83"/>
      <c r="BJH716" s="83"/>
      <c r="BJR716" s="83"/>
      <c r="BKB716" s="83"/>
      <c r="BKL716" s="83"/>
      <c r="BKV716" s="83"/>
      <c r="BLF716" s="83"/>
      <c r="BLP716" s="83"/>
      <c r="BLZ716" s="83"/>
      <c r="BMJ716" s="83"/>
      <c r="BMT716" s="83"/>
      <c r="BND716" s="83"/>
      <c r="BNN716" s="83"/>
      <c r="BNX716" s="83"/>
      <c r="BOH716" s="83"/>
      <c r="BOR716" s="83"/>
      <c r="BPB716" s="83"/>
      <c r="BPL716" s="83"/>
      <c r="BPV716" s="83"/>
      <c r="BQF716" s="83"/>
      <c r="BQP716" s="83"/>
      <c r="BQZ716" s="83"/>
      <c r="BRJ716" s="83"/>
      <c r="BRT716" s="83"/>
      <c r="BSD716" s="83"/>
      <c r="BSN716" s="83"/>
      <c r="BSX716" s="83"/>
      <c r="BTH716" s="83"/>
      <c r="BTR716" s="83"/>
      <c r="BUB716" s="83"/>
      <c r="BUL716" s="83"/>
      <c r="BUV716" s="83"/>
      <c r="BVF716" s="83"/>
      <c r="BVP716" s="83"/>
      <c r="BVZ716" s="83"/>
      <c r="BWJ716" s="83"/>
      <c r="BWT716" s="83"/>
      <c r="BXD716" s="83"/>
      <c r="BXN716" s="83"/>
      <c r="BXX716" s="83"/>
      <c r="BYH716" s="83"/>
      <c r="BYR716" s="83"/>
      <c r="BZB716" s="83"/>
      <c r="BZL716" s="83"/>
      <c r="BZV716" s="83"/>
      <c r="CAF716" s="83"/>
      <c r="CAP716" s="83"/>
      <c r="CAZ716" s="83"/>
      <c r="CBJ716" s="83"/>
      <c r="CBT716" s="83"/>
      <c r="CCD716" s="83"/>
      <c r="CCN716" s="83"/>
      <c r="CCX716" s="83"/>
      <c r="CDH716" s="83"/>
      <c r="CDR716" s="83"/>
      <c r="CEB716" s="83"/>
      <c r="CEL716" s="83"/>
      <c r="CEV716" s="83"/>
      <c r="CFF716" s="83"/>
      <c r="CFP716" s="83"/>
      <c r="CFZ716" s="83"/>
      <c r="CGJ716" s="83"/>
      <c r="CGT716" s="83"/>
      <c r="CHD716" s="83"/>
      <c r="CHN716" s="83"/>
      <c r="CHX716" s="83"/>
      <c r="CIH716" s="83"/>
      <c r="CIR716" s="83"/>
      <c r="CJB716" s="83"/>
      <c r="CJL716" s="83"/>
      <c r="CJV716" s="83"/>
      <c r="CKF716" s="83"/>
      <c r="CKP716" s="83"/>
      <c r="CKZ716" s="83"/>
      <c r="CLJ716" s="83"/>
      <c r="CLT716" s="83"/>
      <c r="CMD716" s="83"/>
      <c r="CMN716" s="83"/>
      <c r="CMX716" s="83"/>
      <c r="CNH716" s="83"/>
      <c r="CNR716" s="83"/>
      <c r="COB716" s="83"/>
      <c r="COL716" s="83"/>
      <c r="COV716" s="83"/>
      <c r="CPF716" s="83"/>
      <c r="CPP716" s="83"/>
      <c r="CPZ716" s="83"/>
      <c r="CQJ716" s="83"/>
      <c r="CQT716" s="83"/>
      <c r="CRD716" s="83"/>
      <c r="CRN716" s="83"/>
      <c r="CRX716" s="83"/>
      <c r="CSH716" s="83"/>
      <c r="CSR716" s="83"/>
      <c r="CTB716" s="83"/>
      <c r="CTL716" s="83"/>
      <c r="CTV716" s="83"/>
    </row>
    <row r="717" s="58" customFormat="1" customHeight="1" spans="1:1020 1030:2040 2050:2570">
      <c r="A717" s="87"/>
      <c r="B717" s="99"/>
      <c r="C717" s="113"/>
      <c r="D717" s="114"/>
      <c r="E717" s="114"/>
      <c r="F717" s="114"/>
      <c r="G717" s="75"/>
      <c r="H717" s="40"/>
      <c r="I717" s="77"/>
      <c r="J717" s="75"/>
      <c r="K717" s="78"/>
      <c r="T717" s="83"/>
      <c r="AD717" s="83"/>
      <c r="AN717" s="83"/>
      <c r="AX717" s="83"/>
      <c r="BH717" s="83"/>
      <c r="BR717" s="83"/>
      <c r="CB717" s="83"/>
      <c r="CL717" s="83"/>
      <c r="CV717" s="83"/>
      <c r="DF717" s="83"/>
      <c r="DP717" s="83"/>
      <c r="DZ717" s="83"/>
      <c r="EJ717" s="83"/>
      <c r="ET717" s="83"/>
      <c r="FD717" s="83"/>
      <c r="FN717" s="83"/>
      <c r="FX717" s="83"/>
      <c r="GH717" s="83"/>
      <c r="GR717" s="83"/>
      <c r="HB717" s="83"/>
      <c r="HL717" s="83"/>
      <c r="HV717" s="83"/>
      <c r="IF717" s="83"/>
      <c r="IP717" s="83"/>
      <c r="IZ717" s="83"/>
      <c r="JJ717" s="83"/>
      <c r="JT717" s="83"/>
      <c r="KD717" s="83"/>
      <c r="KN717" s="83"/>
      <c r="KX717" s="83"/>
      <c r="LH717" s="83"/>
      <c r="LR717" s="83"/>
      <c r="MB717" s="83"/>
      <c r="ML717" s="83"/>
      <c r="MV717" s="83"/>
      <c r="NF717" s="83"/>
      <c r="NP717" s="83"/>
      <c r="NZ717" s="83"/>
      <c r="OJ717" s="83"/>
      <c r="OT717" s="83"/>
      <c r="PD717" s="83"/>
      <c r="PN717" s="83"/>
      <c r="PX717" s="83"/>
      <c r="QH717" s="83"/>
      <c r="QR717" s="83"/>
      <c r="RB717" s="83"/>
      <c r="RL717" s="83"/>
      <c r="RV717" s="83"/>
      <c r="SF717" s="83"/>
      <c r="SP717" s="83"/>
      <c r="SZ717" s="83"/>
      <c r="TJ717" s="83"/>
      <c r="TT717" s="83"/>
      <c r="UD717" s="83"/>
      <c r="UN717" s="83"/>
      <c r="UX717" s="83"/>
      <c r="VH717" s="83"/>
      <c r="VR717" s="83"/>
      <c r="WB717" s="83"/>
      <c r="WL717" s="83"/>
      <c r="WV717" s="83"/>
      <c r="XF717" s="83"/>
      <c r="XP717" s="83"/>
      <c r="XZ717" s="83"/>
      <c r="YJ717" s="83"/>
      <c r="YT717" s="83"/>
      <c r="ZD717" s="83"/>
      <c r="ZN717" s="83"/>
      <c r="ZX717" s="83"/>
      <c r="AAH717" s="83"/>
      <c r="AAR717" s="83"/>
      <c r="ABB717" s="83"/>
      <c r="ABL717" s="83"/>
      <c r="ABV717" s="83"/>
      <c r="ACF717" s="83"/>
      <c r="ACP717" s="83"/>
      <c r="ACZ717" s="83"/>
      <c r="ADJ717" s="83"/>
      <c r="ADT717" s="83"/>
      <c r="AED717" s="83"/>
      <c r="AEN717" s="83"/>
      <c r="AEX717" s="83"/>
      <c r="AFH717" s="83"/>
      <c r="AFR717" s="83"/>
      <c r="AGB717" s="83"/>
      <c r="AGL717" s="83"/>
      <c r="AGV717" s="83"/>
      <c r="AHF717" s="83"/>
      <c r="AHP717" s="83"/>
      <c r="AHZ717" s="83"/>
      <c r="AIJ717" s="83"/>
      <c r="AIT717" s="83"/>
      <c r="AJD717" s="83"/>
      <c r="AJN717" s="83"/>
      <c r="AJX717" s="83"/>
      <c r="AKH717" s="83"/>
      <c r="AKR717" s="83"/>
      <c r="ALB717" s="83"/>
      <c r="ALL717" s="83"/>
      <c r="ALV717" s="83"/>
      <c r="AMF717" s="83"/>
      <c r="AMP717" s="83"/>
      <c r="AMZ717" s="83"/>
      <c r="ANJ717" s="83"/>
      <c r="ANT717" s="83"/>
      <c r="AOD717" s="83"/>
      <c r="AON717" s="83"/>
      <c r="AOX717" s="83"/>
      <c r="APH717" s="83"/>
      <c r="APR717" s="83"/>
      <c r="AQB717" s="83"/>
      <c r="AQL717" s="83"/>
      <c r="AQV717" s="83"/>
      <c r="ARF717" s="83"/>
      <c r="ARP717" s="83"/>
      <c r="ARZ717" s="83"/>
      <c r="ASJ717" s="83"/>
      <c r="AST717" s="83"/>
      <c r="ATD717" s="83"/>
      <c r="ATN717" s="83"/>
      <c r="ATX717" s="83"/>
      <c r="AUH717" s="83"/>
      <c r="AUR717" s="83"/>
      <c r="AVB717" s="83"/>
      <c r="AVL717" s="83"/>
      <c r="AVV717" s="83"/>
      <c r="AWF717" s="83"/>
      <c r="AWP717" s="83"/>
      <c r="AWZ717" s="83"/>
      <c r="AXJ717" s="83"/>
      <c r="AXT717" s="83"/>
      <c r="AYD717" s="83"/>
      <c r="AYN717" s="83"/>
      <c r="AYX717" s="83"/>
      <c r="AZH717" s="83"/>
      <c r="AZR717" s="83"/>
      <c r="BAB717" s="83"/>
      <c r="BAL717" s="83"/>
      <c r="BAV717" s="83"/>
      <c r="BBF717" s="83"/>
      <c r="BBP717" s="83"/>
      <c r="BBZ717" s="83"/>
      <c r="BCJ717" s="83"/>
      <c r="BCT717" s="83"/>
      <c r="BDD717" s="83"/>
      <c r="BDN717" s="83"/>
      <c r="BDX717" s="83"/>
      <c r="BEH717" s="83"/>
      <c r="BER717" s="83"/>
      <c r="BFB717" s="83"/>
      <c r="BFL717" s="83"/>
      <c r="BFV717" s="83"/>
      <c r="BGF717" s="83"/>
      <c r="BGP717" s="83"/>
      <c r="BGZ717" s="83"/>
      <c r="BHJ717" s="83"/>
      <c r="BHT717" s="83"/>
      <c r="BID717" s="83"/>
      <c r="BIN717" s="83"/>
      <c r="BIX717" s="83"/>
      <c r="BJH717" s="83"/>
      <c r="BJR717" s="83"/>
      <c r="BKB717" s="83"/>
      <c r="BKL717" s="83"/>
      <c r="BKV717" s="83"/>
      <c r="BLF717" s="83"/>
      <c r="BLP717" s="83"/>
      <c r="BLZ717" s="83"/>
      <c r="BMJ717" s="83"/>
      <c r="BMT717" s="83"/>
      <c r="BND717" s="83"/>
      <c r="BNN717" s="83"/>
      <c r="BNX717" s="83"/>
      <c r="BOH717" s="83"/>
      <c r="BOR717" s="83"/>
      <c r="BPB717" s="83"/>
      <c r="BPL717" s="83"/>
      <c r="BPV717" s="83"/>
      <c r="BQF717" s="83"/>
      <c r="BQP717" s="83"/>
      <c r="BQZ717" s="83"/>
      <c r="BRJ717" s="83"/>
      <c r="BRT717" s="83"/>
      <c r="BSD717" s="83"/>
      <c r="BSN717" s="83"/>
      <c r="BSX717" s="83"/>
      <c r="BTH717" s="83"/>
      <c r="BTR717" s="83"/>
      <c r="BUB717" s="83"/>
      <c r="BUL717" s="83"/>
      <c r="BUV717" s="83"/>
      <c r="BVF717" s="83"/>
      <c r="BVP717" s="83"/>
      <c r="BVZ717" s="83"/>
      <c r="BWJ717" s="83"/>
      <c r="BWT717" s="83"/>
      <c r="BXD717" s="83"/>
      <c r="BXN717" s="83"/>
      <c r="BXX717" s="83"/>
      <c r="BYH717" s="83"/>
      <c r="BYR717" s="83"/>
      <c r="BZB717" s="83"/>
      <c r="BZL717" s="83"/>
      <c r="BZV717" s="83"/>
      <c r="CAF717" s="83"/>
      <c r="CAP717" s="83"/>
      <c r="CAZ717" s="83"/>
      <c r="CBJ717" s="83"/>
      <c r="CBT717" s="83"/>
      <c r="CCD717" s="83"/>
      <c r="CCN717" s="83"/>
      <c r="CCX717" s="83"/>
      <c r="CDH717" s="83"/>
      <c r="CDR717" s="83"/>
      <c r="CEB717" s="83"/>
      <c r="CEL717" s="83"/>
      <c r="CEV717" s="83"/>
      <c r="CFF717" s="83"/>
      <c r="CFP717" s="83"/>
      <c r="CFZ717" s="83"/>
      <c r="CGJ717" s="83"/>
      <c r="CGT717" s="83"/>
      <c r="CHD717" s="83"/>
      <c r="CHN717" s="83"/>
      <c r="CHX717" s="83"/>
      <c r="CIH717" s="83"/>
      <c r="CIR717" s="83"/>
      <c r="CJB717" s="83"/>
      <c r="CJL717" s="83"/>
      <c r="CJV717" s="83"/>
      <c r="CKF717" s="83"/>
      <c r="CKP717" s="83"/>
      <c r="CKZ717" s="83"/>
      <c r="CLJ717" s="83"/>
      <c r="CLT717" s="83"/>
      <c r="CMD717" s="83"/>
      <c r="CMN717" s="83"/>
      <c r="CMX717" s="83"/>
      <c r="CNH717" s="83"/>
      <c r="CNR717" s="83"/>
      <c r="COB717" s="83"/>
      <c r="COL717" s="83"/>
      <c r="COV717" s="83"/>
      <c r="CPF717" s="83"/>
      <c r="CPP717" s="83"/>
      <c r="CPZ717" s="83"/>
      <c r="CQJ717" s="83"/>
      <c r="CQT717" s="83"/>
      <c r="CRD717" s="83"/>
      <c r="CRN717" s="83"/>
      <c r="CRX717" s="83"/>
      <c r="CSH717" s="83"/>
      <c r="CSR717" s="83"/>
      <c r="CTB717" s="83"/>
      <c r="CTL717" s="83"/>
      <c r="CTV717" s="83"/>
    </row>
    <row r="718" s="58" customFormat="1" customHeight="1" spans="1:1020 1030:2040 2050:2570">
      <c r="A718" s="87"/>
      <c r="B718" s="99"/>
      <c r="C718" s="113"/>
      <c r="D718" s="114"/>
      <c r="E718" s="114"/>
      <c r="F718" s="114"/>
      <c r="G718" s="75"/>
      <c r="H718" s="40"/>
      <c r="I718" s="77"/>
      <c r="J718" s="75"/>
      <c r="K718" s="78"/>
      <c r="T718" s="83"/>
      <c r="AD718" s="83"/>
      <c r="AN718" s="83"/>
      <c r="AX718" s="83"/>
      <c r="BH718" s="83"/>
      <c r="BR718" s="83"/>
      <c r="CB718" s="83"/>
      <c r="CL718" s="83"/>
      <c r="CV718" s="83"/>
      <c r="DF718" s="83"/>
      <c r="DP718" s="83"/>
      <c r="DZ718" s="83"/>
      <c r="EJ718" s="83"/>
      <c r="ET718" s="83"/>
      <c r="FD718" s="83"/>
      <c r="FN718" s="83"/>
      <c r="FX718" s="83"/>
      <c r="GH718" s="83"/>
      <c r="GR718" s="83"/>
      <c r="HB718" s="83"/>
      <c r="HL718" s="83"/>
      <c r="HV718" s="83"/>
      <c r="IF718" s="83"/>
      <c r="IP718" s="83"/>
      <c r="IZ718" s="83"/>
      <c r="JJ718" s="83"/>
      <c r="JT718" s="83"/>
      <c r="KD718" s="83"/>
      <c r="KN718" s="83"/>
      <c r="KX718" s="83"/>
      <c r="LH718" s="83"/>
      <c r="LR718" s="83"/>
      <c r="MB718" s="83"/>
      <c r="ML718" s="83"/>
      <c r="MV718" s="83"/>
      <c r="NF718" s="83"/>
      <c r="NP718" s="83"/>
      <c r="NZ718" s="83"/>
      <c r="OJ718" s="83"/>
      <c r="OT718" s="83"/>
      <c r="PD718" s="83"/>
      <c r="PN718" s="83"/>
      <c r="PX718" s="83"/>
      <c r="QH718" s="83"/>
      <c r="QR718" s="83"/>
      <c r="RB718" s="83"/>
      <c r="RL718" s="83"/>
      <c r="RV718" s="83"/>
      <c r="SF718" s="83"/>
      <c r="SP718" s="83"/>
      <c r="SZ718" s="83"/>
      <c r="TJ718" s="83"/>
      <c r="TT718" s="83"/>
      <c r="UD718" s="83"/>
      <c r="UN718" s="83"/>
      <c r="UX718" s="83"/>
      <c r="VH718" s="83"/>
      <c r="VR718" s="83"/>
      <c r="WB718" s="83"/>
      <c r="WL718" s="83"/>
      <c r="WV718" s="83"/>
      <c r="XF718" s="83"/>
      <c r="XP718" s="83"/>
      <c r="XZ718" s="83"/>
      <c r="YJ718" s="83"/>
      <c r="YT718" s="83"/>
      <c r="ZD718" s="83"/>
      <c r="ZN718" s="83"/>
      <c r="ZX718" s="83"/>
      <c r="AAH718" s="83"/>
      <c r="AAR718" s="83"/>
      <c r="ABB718" s="83"/>
      <c r="ABL718" s="83"/>
      <c r="ABV718" s="83"/>
      <c r="ACF718" s="83"/>
      <c r="ACP718" s="83"/>
      <c r="ACZ718" s="83"/>
      <c r="ADJ718" s="83"/>
      <c r="ADT718" s="83"/>
      <c r="AED718" s="83"/>
      <c r="AEN718" s="83"/>
      <c r="AEX718" s="83"/>
      <c r="AFH718" s="83"/>
      <c r="AFR718" s="83"/>
      <c r="AGB718" s="83"/>
      <c r="AGL718" s="83"/>
      <c r="AGV718" s="83"/>
      <c r="AHF718" s="83"/>
      <c r="AHP718" s="83"/>
      <c r="AHZ718" s="83"/>
      <c r="AIJ718" s="83"/>
      <c r="AIT718" s="83"/>
      <c r="AJD718" s="83"/>
      <c r="AJN718" s="83"/>
      <c r="AJX718" s="83"/>
      <c r="AKH718" s="83"/>
      <c r="AKR718" s="83"/>
      <c r="ALB718" s="83"/>
      <c r="ALL718" s="83"/>
      <c r="ALV718" s="83"/>
      <c r="AMF718" s="83"/>
      <c r="AMP718" s="83"/>
      <c r="AMZ718" s="83"/>
      <c r="ANJ718" s="83"/>
      <c r="ANT718" s="83"/>
      <c r="AOD718" s="83"/>
      <c r="AON718" s="83"/>
      <c r="AOX718" s="83"/>
      <c r="APH718" s="83"/>
      <c r="APR718" s="83"/>
      <c r="AQB718" s="83"/>
      <c r="AQL718" s="83"/>
      <c r="AQV718" s="83"/>
      <c r="ARF718" s="83"/>
      <c r="ARP718" s="83"/>
      <c r="ARZ718" s="83"/>
      <c r="ASJ718" s="83"/>
      <c r="AST718" s="83"/>
      <c r="ATD718" s="83"/>
      <c r="ATN718" s="83"/>
      <c r="ATX718" s="83"/>
      <c r="AUH718" s="83"/>
      <c r="AUR718" s="83"/>
      <c r="AVB718" s="83"/>
      <c r="AVL718" s="83"/>
      <c r="AVV718" s="83"/>
      <c r="AWF718" s="83"/>
      <c r="AWP718" s="83"/>
      <c r="AWZ718" s="83"/>
      <c r="AXJ718" s="83"/>
      <c r="AXT718" s="83"/>
      <c r="AYD718" s="83"/>
      <c r="AYN718" s="83"/>
      <c r="AYX718" s="83"/>
      <c r="AZH718" s="83"/>
      <c r="AZR718" s="83"/>
      <c r="BAB718" s="83"/>
      <c r="BAL718" s="83"/>
      <c r="BAV718" s="83"/>
      <c r="BBF718" s="83"/>
      <c r="BBP718" s="83"/>
      <c r="BBZ718" s="83"/>
      <c r="BCJ718" s="83"/>
      <c r="BCT718" s="83"/>
      <c r="BDD718" s="83"/>
      <c r="BDN718" s="83"/>
      <c r="BDX718" s="83"/>
      <c r="BEH718" s="83"/>
      <c r="BER718" s="83"/>
      <c r="BFB718" s="83"/>
      <c r="BFL718" s="83"/>
      <c r="BFV718" s="83"/>
      <c r="BGF718" s="83"/>
      <c r="BGP718" s="83"/>
      <c r="BGZ718" s="83"/>
      <c r="BHJ718" s="83"/>
      <c r="BHT718" s="83"/>
      <c r="BID718" s="83"/>
      <c r="BIN718" s="83"/>
      <c r="BIX718" s="83"/>
      <c r="BJH718" s="83"/>
      <c r="BJR718" s="83"/>
      <c r="BKB718" s="83"/>
      <c r="BKL718" s="83"/>
      <c r="BKV718" s="83"/>
      <c r="BLF718" s="83"/>
      <c r="BLP718" s="83"/>
      <c r="BLZ718" s="83"/>
      <c r="BMJ718" s="83"/>
      <c r="BMT718" s="83"/>
      <c r="BND718" s="83"/>
      <c r="BNN718" s="83"/>
      <c r="BNX718" s="83"/>
      <c r="BOH718" s="83"/>
      <c r="BOR718" s="83"/>
      <c r="BPB718" s="83"/>
      <c r="BPL718" s="83"/>
      <c r="BPV718" s="83"/>
      <c r="BQF718" s="83"/>
      <c r="BQP718" s="83"/>
      <c r="BQZ718" s="83"/>
      <c r="BRJ718" s="83"/>
      <c r="BRT718" s="83"/>
      <c r="BSD718" s="83"/>
      <c r="BSN718" s="83"/>
      <c r="BSX718" s="83"/>
      <c r="BTH718" s="83"/>
      <c r="BTR718" s="83"/>
      <c r="BUB718" s="83"/>
      <c r="BUL718" s="83"/>
      <c r="BUV718" s="83"/>
      <c r="BVF718" s="83"/>
      <c r="BVP718" s="83"/>
      <c r="BVZ718" s="83"/>
      <c r="BWJ718" s="83"/>
      <c r="BWT718" s="83"/>
      <c r="BXD718" s="83"/>
      <c r="BXN718" s="83"/>
      <c r="BXX718" s="83"/>
      <c r="BYH718" s="83"/>
      <c r="BYR718" s="83"/>
      <c r="BZB718" s="83"/>
      <c r="BZL718" s="83"/>
      <c r="BZV718" s="83"/>
      <c r="CAF718" s="83"/>
      <c r="CAP718" s="83"/>
      <c r="CAZ718" s="83"/>
      <c r="CBJ718" s="83"/>
      <c r="CBT718" s="83"/>
      <c r="CCD718" s="83"/>
      <c r="CCN718" s="83"/>
      <c r="CCX718" s="83"/>
      <c r="CDH718" s="83"/>
      <c r="CDR718" s="83"/>
      <c r="CEB718" s="83"/>
      <c r="CEL718" s="83"/>
      <c r="CEV718" s="83"/>
      <c r="CFF718" s="83"/>
      <c r="CFP718" s="83"/>
      <c r="CFZ718" s="83"/>
      <c r="CGJ718" s="83"/>
      <c r="CGT718" s="83"/>
      <c r="CHD718" s="83"/>
      <c r="CHN718" s="83"/>
      <c r="CHX718" s="83"/>
      <c r="CIH718" s="83"/>
      <c r="CIR718" s="83"/>
      <c r="CJB718" s="83"/>
      <c r="CJL718" s="83"/>
      <c r="CJV718" s="83"/>
      <c r="CKF718" s="83"/>
      <c r="CKP718" s="83"/>
      <c r="CKZ718" s="83"/>
      <c r="CLJ718" s="83"/>
      <c r="CLT718" s="83"/>
      <c r="CMD718" s="83"/>
      <c r="CMN718" s="83"/>
      <c r="CMX718" s="83"/>
      <c r="CNH718" s="83"/>
      <c r="CNR718" s="83"/>
      <c r="COB718" s="83"/>
      <c r="COL718" s="83"/>
      <c r="COV718" s="83"/>
      <c r="CPF718" s="83"/>
      <c r="CPP718" s="83"/>
      <c r="CPZ718" s="83"/>
      <c r="CQJ718" s="83"/>
      <c r="CQT718" s="83"/>
      <c r="CRD718" s="83"/>
      <c r="CRN718" s="83"/>
      <c r="CRX718" s="83"/>
      <c r="CSH718" s="83"/>
      <c r="CSR718" s="83"/>
      <c r="CTB718" s="83"/>
      <c r="CTL718" s="83"/>
      <c r="CTV718" s="83"/>
    </row>
    <row r="719" s="58" customFormat="1" customHeight="1" spans="1:1020 1030:2040 2050:2570">
      <c r="A719" s="87"/>
      <c r="B719" s="99"/>
      <c r="C719" s="113"/>
      <c r="D719" s="114"/>
      <c r="E719" s="114"/>
      <c r="F719" s="114"/>
      <c r="G719" s="75"/>
      <c r="H719" s="40"/>
      <c r="I719" s="77"/>
      <c r="J719" s="75"/>
      <c r="K719" s="78"/>
      <c r="T719" s="83"/>
      <c r="AD719" s="83"/>
      <c r="AN719" s="83"/>
      <c r="AX719" s="83"/>
      <c r="BH719" s="83"/>
      <c r="BR719" s="83"/>
      <c r="CB719" s="83"/>
      <c r="CL719" s="83"/>
      <c r="CV719" s="83"/>
      <c r="DF719" s="83"/>
      <c r="DP719" s="83"/>
      <c r="DZ719" s="83"/>
      <c r="EJ719" s="83"/>
      <c r="ET719" s="83"/>
      <c r="FD719" s="83"/>
      <c r="FN719" s="83"/>
      <c r="FX719" s="83"/>
      <c r="GH719" s="83"/>
      <c r="GR719" s="83"/>
      <c r="HB719" s="83"/>
      <c r="HL719" s="83"/>
      <c r="HV719" s="83"/>
      <c r="IF719" s="83"/>
      <c r="IP719" s="83"/>
      <c r="IZ719" s="83"/>
      <c r="JJ719" s="83"/>
      <c r="JT719" s="83"/>
      <c r="KD719" s="83"/>
      <c r="KN719" s="83"/>
      <c r="KX719" s="83"/>
      <c r="LH719" s="83"/>
      <c r="LR719" s="83"/>
      <c r="MB719" s="83"/>
      <c r="ML719" s="83"/>
      <c r="MV719" s="83"/>
      <c r="NF719" s="83"/>
      <c r="NP719" s="83"/>
      <c r="NZ719" s="83"/>
      <c r="OJ719" s="83"/>
      <c r="OT719" s="83"/>
      <c r="PD719" s="83"/>
      <c r="PN719" s="83"/>
      <c r="PX719" s="83"/>
      <c r="QH719" s="83"/>
      <c r="QR719" s="83"/>
      <c r="RB719" s="83"/>
      <c r="RL719" s="83"/>
      <c r="RV719" s="83"/>
      <c r="SF719" s="83"/>
      <c r="SP719" s="83"/>
      <c r="SZ719" s="83"/>
      <c r="TJ719" s="83"/>
      <c r="TT719" s="83"/>
      <c r="UD719" s="83"/>
      <c r="UN719" s="83"/>
      <c r="UX719" s="83"/>
      <c r="VH719" s="83"/>
      <c r="VR719" s="83"/>
      <c r="WB719" s="83"/>
      <c r="WL719" s="83"/>
      <c r="WV719" s="83"/>
      <c r="XF719" s="83"/>
      <c r="XP719" s="83"/>
      <c r="XZ719" s="83"/>
      <c r="YJ719" s="83"/>
      <c r="YT719" s="83"/>
      <c r="ZD719" s="83"/>
      <c r="ZN719" s="83"/>
      <c r="ZX719" s="83"/>
      <c r="AAH719" s="83"/>
      <c r="AAR719" s="83"/>
      <c r="ABB719" s="83"/>
      <c r="ABL719" s="83"/>
      <c r="ABV719" s="83"/>
      <c r="ACF719" s="83"/>
      <c r="ACP719" s="83"/>
      <c r="ACZ719" s="83"/>
      <c r="ADJ719" s="83"/>
      <c r="ADT719" s="83"/>
      <c r="AED719" s="83"/>
      <c r="AEN719" s="83"/>
      <c r="AEX719" s="83"/>
      <c r="AFH719" s="83"/>
      <c r="AFR719" s="83"/>
      <c r="AGB719" s="83"/>
      <c r="AGL719" s="83"/>
      <c r="AGV719" s="83"/>
      <c r="AHF719" s="83"/>
      <c r="AHP719" s="83"/>
      <c r="AHZ719" s="83"/>
      <c r="AIJ719" s="83"/>
      <c r="AIT719" s="83"/>
      <c r="AJD719" s="83"/>
      <c r="AJN719" s="83"/>
      <c r="AJX719" s="83"/>
      <c r="AKH719" s="83"/>
      <c r="AKR719" s="83"/>
      <c r="ALB719" s="83"/>
      <c r="ALL719" s="83"/>
      <c r="ALV719" s="83"/>
      <c r="AMF719" s="83"/>
      <c r="AMP719" s="83"/>
      <c r="AMZ719" s="83"/>
      <c r="ANJ719" s="83"/>
      <c r="ANT719" s="83"/>
      <c r="AOD719" s="83"/>
      <c r="AON719" s="83"/>
      <c r="AOX719" s="83"/>
      <c r="APH719" s="83"/>
      <c r="APR719" s="83"/>
      <c r="AQB719" s="83"/>
      <c r="AQL719" s="83"/>
      <c r="AQV719" s="83"/>
      <c r="ARF719" s="83"/>
      <c r="ARP719" s="83"/>
      <c r="ARZ719" s="83"/>
      <c r="ASJ719" s="83"/>
      <c r="AST719" s="83"/>
      <c r="ATD719" s="83"/>
      <c r="ATN719" s="83"/>
      <c r="ATX719" s="83"/>
      <c r="AUH719" s="83"/>
      <c r="AUR719" s="83"/>
      <c r="AVB719" s="83"/>
      <c r="AVL719" s="83"/>
      <c r="AVV719" s="83"/>
      <c r="AWF719" s="83"/>
      <c r="AWP719" s="83"/>
      <c r="AWZ719" s="83"/>
      <c r="AXJ719" s="83"/>
      <c r="AXT719" s="83"/>
      <c r="AYD719" s="83"/>
      <c r="AYN719" s="83"/>
      <c r="AYX719" s="83"/>
      <c r="AZH719" s="83"/>
      <c r="AZR719" s="83"/>
      <c r="BAB719" s="83"/>
      <c r="BAL719" s="83"/>
      <c r="BAV719" s="83"/>
      <c r="BBF719" s="83"/>
      <c r="BBP719" s="83"/>
      <c r="BBZ719" s="83"/>
      <c r="BCJ719" s="83"/>
      <c r="BCT719" s="83"/>
      <c r="BDD719" s="83"/>
      <c r="BDN719" s="83"/>
      <c r="BDX719" s="83"/>
      <c r="BEH719" s="83"/>
      <c r="BER719" s="83"/>
      <c r="BFB719" s="83"/>
      <c r="BFL719" s="83"/>
      <c r="BFV719" s="83"/>
      <c r="BGF719" s="83"/>
      <c r="BGP719" s="83"/>
      <c r="BGZ719" s="83"/>
      <c r="BHJ719" s="83"/>
      <c r="BHT719" s="83"/>
      <c r="BID719" s="83"/>
      <c r="BIN719" s="83"/>
      <c r="BIX719" s="83"/>
      <c r="BJH719" s="83"/>
      <c r="BJR719" s="83"/>
      <c r="BKB719" s="83"/>
      <c r="BKL719" s="83"/>
      <c r="BKV719" s="83"/>
      <c r="BLF719" s="83"/>
      <c r="BLP719" s="83"/>
      <c r="BLZ719" s="83"/>
      <c r="BMJ719" s="83"/>
      <c r="BMT719" s="83"/>
      <c r="BND719" s="83"/>
      <c r="BNN719" s="83"/>
      <c r="BNX719" s="83"/>
      <c r="BOH719" s="83"/>
      <c r="BOR719" s="83"/>
      <c r="BPB719" s="83"/>
      <c r="BPL719" s="83"/>
      <c r="BPV719" s="83"/>
      <c r="BQF719" s="83"/>
      <c r="BQP719" s="83"/>
      <c r="BQZ719" s="83"/>
      <c r="BRJ719" s="83"/>
      <c r="BRT719" s="83"/>
      <c r="BSD719" s="83"/>
      <c r="BSN719" s="83"/>
      <c r="BSX719" s="83"/>
      <c r="BTH719" s="83"/>
      <c r="BTR719" s="83"/>
      <c r="BUB719" s="83"/>
      <c r="BUL719" s="83"/>
      <c r="BUV719" s="83"/>
      <c r="BVF719" s="83"/>
      <c r="BVP719" s="83"/>
      <c r="BVZ719" s="83"/>
      <c r="BWJ719" s="83"/>
      <c r="BWT719" s="83"/>
      <c r="BXD719" s="83"/>
      <c r="BXN719" s="83"/>
      <c r="BXX719" s="83"/>
      <c r="BYH719" s="83"/>
      <c r="BYR719" s="83"/>
      <c r="BZB719" s="83"/>
      <c r="BZL719" s="83"/>
      <c r="BZV719" s="83"/>
      <c r="CAF719" s="83"/>
      <c r="CAP719" s="83"/>
      <c r="CAZ719" s="83"/>
      <c r="CBJ719" s="83"/>
      <c r="CBT719" s="83"/>
      <c r="CCD719" s="83"/>
      <c r="CCN719" s="83"/>
      <c r="CCX719" s="83"/>
      <c r="CDH719" s="83"/>
      <c r="CDR719" s="83"/>
      <c r="CEB719" s="83"/>
      <c r="CEL719" s="83"/>
      <c r="CEV719" s="83"/>
      <c r="CFF719" s="83"/>
      <c r="CFP719" s="83"/>
      <c r="CFZ719" s="83"/>
      <c r="CGJ719" s="83"/>
      <c r="CGT719" s="83"/>
      <c r="CHD719" s="83"/>
      <c r="CHN719" s="83"/>
      <c r="CHX719" s="83"/>
      <c r="CIH719" s="83"/>
      <c r="CIR719" s="83"/>
      <c r="CJB719" s="83"/>
      <c r="CJL719" s="83"/>
      <c r="CJV719" s="83"/>
      <c r="CKF719" s="83"/>
      <c r="CKP719" s="83"/>
      <c r="CKZ719" s="83"/>
      <c r="CLJ719" s="83"/>
      <c r="CLT719" s="83"/>
      <c r="CMD719" s="83"/>
      <c r="CMN719" s="83"/>
      <c r="CMX719" s="83"/>
      <c r="CNH719" s="83"/>
      <c r="CNR719" s="83"/>
      <c r="COB719" s="83"/>
      <c r="COL719" s="83"/>
      <c r="COV719" s="83"/>
      <c r="CPF719" s="83"/>
      <c r="CPP719" s="83"/>
      <c r="CPZ719" s="83"/>
      <c r="CQJ719" s="83"/>
      <c r="CQT719" s="83"/>
      <c r="CRD719" s="83"/>
      <c r="CRN719" s="83"/>
      <c r="CRX719" s="83"/>
      <c r="CSH719" s="83"/>
      <c r="CSR719" s="83"/>
      <c r="CTB719" s="83"/>
      <c r="CTL719" s="83"/>
      <c r="CTV719" s="83"/>
    </row>
    <row r="720" s="58" customFormat="1" customHeight="1" spans="1:1020 1030:2040 2050:2570">
      <c r="A720" s="87"/>
      <c r="B720" s="99"/>
      <c r="C720" s="113"/>
      <c r="D720" s="114"/>
      <c r="E720" s="114"/>
      <c r="F720" s="114"/>
      <c r="G720" s="75"/>
      <c r="H720" s="40"/>
      <c r="I720" s="77"/>
      <c r="J720" s="75"/>
      <c r="K720" s="78"/>
      <c r="T720" s="83"/>
      <c r="AD720" s="83"/>
      <c r="AN720" s="83"/>
      <c r="AX720" s="83"/>
      <c r="BH720" s="83"/>
      <c r="BR720" s="83"/>
      <c r="CB720" s="83"/>
      <c r="CL720" s="83"/>
      <c r="CV720" s="83"/>
      <c r="DF720" s="83"/>
      <c r="DP720" s="83"/>
      <c r="DZ720" s="83"/>
      <c r="EJ720" s="83"/>
      <c r="ET720" s="83"/>
      <c r="FD720" s="83"/>
      <c r="FN720" s="83"/>
      <c r="FX720" s="83"/>
      <c r="GH720" s="83"/>
      <c r="GR720" s="83"/>
      <c r="HB720" s="83"/>
      <c r="HL720" s="83"/>
      <c r="HV720" s="83"/>
      <c r="IF720" s="83"/>
      <c r="IP720" s="83"/>
      <c r="IZ720" s="83"/>
      <c r="JJ720" s="83"/>
      <c r="JT720" s="83"/>
      <c r="KD720" s="83"/>
      <c r="KN720" s="83"/>
      <c r="KX720" s="83"/>
      <c r="LH720" s="83"/>
      <c r="LR720" s="83"/>
      <c r="MB720" s="83"/>
      <c r="ML720" s="83"/>
      <c r="MV720" s="83"/>
      <c r="NF720" s="83"/>
      <c r="NP720" s="83"/>
      <c r="NZ720" s="83"/>
      <c r="OJ720" s="83"/>
      <c r="OT720" s="83"/>
      <c r="PD720" s="83"/>
      <c r="PN720" s="83"/>
      <c r="PX720" s="83"/>
      <c r="QH720" s="83"/>
      <c r="QR720" s="83"/>
      <c r="RB720" s="83"/>
      <c r="RL720" s="83"/>
      <c r="RV720" s="83"/>
      <c r="SF720" s="83"/>
      <c r="SP720" s="83"/>
      <c r="SZ720" s="83"/>
      <c r="TJ720" s="83"/>
      <c r="TT720" s="83"/>
      <c r="UD720" s="83"/>
      <c r="UN720" s="83"/>
      <c r="UX720" s="83"/>
      <c r="VH720" s="83"/>
      <c r="VR720" s="83"/>
      <c r="WB720" s="83"/>
      <c r="WL720" s="83"/>
      <c r="WV720" s="83"/>
      <c r="XF720" s="83"/>
      <c r="XP720" s="83"/>
      <c r="XZ720" s="83"/>
      <c r="YJ720" s="83"/>
      <c r="YT720" s="83"/>
      <c r="ZD720" s="83"/>
      <c r="ZN720" s="83"/>
      <c r="ZX720" s="83"/>
      <c r="AAH720" s="83"/>
      <c r="AAR720" s="83"/>
      <c r="ABB720" s="83"/>
      <c r="ABL720" s="83"/>
      <c r="ABV720" s="83"/>
      <c r="ACF720" s="83"/>
      <c r="ACP720" s="83"/>
      <c r="ACZ720" s="83"/>
      <c r="ADJ720" s="83"/>
      <c r="ADT720" s="83"/>
      <c r="AED720" s="83"/>
      <c r="AEN720" s="83"/>
      <c r="AEX720" s="83"/>
      <c r="AFH720" s="83"/>
      <c r="AFR720" s="83"/>
      <c r="AGB720" s="83"/>
      <c r="AGL720" s="83"/>
      <c r="AGV720" s="83"/>
      <c r="AHF720" s="83"/>
      <c r="AHP720" s="83"/>
      <c r="AHZ720" s="83"/>
      <c r="AIJ720" s="83"/>
      <c r="AIT720" s="83"/>
      <c r="AJD720" s="83"/>
      <c r="AJN720" s="83"/>
      <c r="AJX720" s="83"/>
      <c r="AKH720" s="83"/>
      <c r="AKR720" s="83"/>
      <c r="ALB720" s="83"/>
      <c r="ALL720" s="83"/>
      <c r="ALV720" s="83"/>
      <c r="AMF720" s="83"/>
      <c r="AMP720" s="83"/>
      <c r="AMZ720" s="83"/>
      <c r="ANJ720" s="83"/>
      <c r="ANT720" s="83"/>
      <c r="AOD720" s="83"/>
      <c r="AON720" s="83"/>
      <c r="AOX720" s="83"/>
      <c r="APH720" s="83"/>
      <c r="APR720" s="83"/>
      <c r="AQB720" s="83"/>
      <c r="AQL720" s="83"/>
      <c r="AQV720" s="83"/>
      <c r="ARF720" s="83"/>
      <c r="ARP720" s="83"/>
      <c r="ARZ720" s="83"/>
      <c r="ASJ720" s="83"/>
      <c r="AST720" s="83"/>
      <c r="ATD720" s="83"/>
      <c r="ATN720" s="83"/>
      <c r="ATX720" s="83"/>
      <c r="AUH720" s="83"/>
      <c r="AUR720" s="83"/>
      <c r="AVB720" s="83"/>
      <c r="AVL720" s="83"/>
      <c r="AVV720" s="83"/>
      <c r="AWF720" s="83"/>
      <c r="AWP720" s="83"/>
      <c r="AWZ720" s="83"/>
      <c r="AXJ720" s="83"/>
      <c r="AXT720" s="83"/>
      <c r="AYD720" s="83"/>
      <c r="AYN720" s="83"/>
      <c r="AYX720" s="83"/>
      <c r="AZH720" s="83"/>
      <c r="AZR720" s="83"/>
      <c r="BAB720" s="83"/>
      <c r="BAL720" s="83"/>
      <c r="BAV720" s="83"/>
      <c r="BBF720" s="83"/>
      <c r="BBP720" s="83"/>
      <c r="BBZ720" s="83"/>
      <c r="BCJ720" s="83"/>
      <c r="BCT720" s="83"/>
      <c r="BDD720" s="83"/>
      <c r="BDN720" s="83"/>
      <c r="BDX720" s="83"/>
      <c r="BEH720" s="83"/>
      <c r="BER720" s="83"/>
      <c r="BFB720" s="83"/>
      <c r="BFL720" s="83"/>
      <c r="BFV720" s="83"/>
      <c r="BGF720" s="83"/>
      <c r="BGP720" s="83"/>
      <c r="BGZ720" s="83"/>
      <c r="BHJ720" s="83"/>
      <c r="BHT720" s="83"/>
      <c r="BID720" s="83"/>
      <c r="BIN720" s="83"/>
      <c r="BIX720" s="83"/>
      <c r="BJH720" s="83"/>
      <c r="BJR720" s="83"/>
      <c r="BKB720" s="83"/>
      <c r="BKL720" s="83"/>
      <c r="BKV720" s="83"/>
      <c r="BLF720" s="83"/>
      <c r="BLP720" s="83"/>
      <c r="BLZ720" s="83"/>
      <c r="BMJ720" s="83"/>
      <c r="BMT720" s="83"/>
      <c r="BND720" s="83"/>
      <c r="BNN720" s="83"/>
      <c r="BNX720" s="83"/>
      <c r="BOH720" s="83"/>
      <c r="BOR720" s="83"/>
      <c r="BPB720" s="83"/>
      <c r="BPL720" s="83"/>
      <c r="BPV720" s="83"/>
      <c r="BQF720" s="83"/>
      <c r="BQP720" s="83"/>
      <c r="BQZ720" s="83"/>
      <c r="BRJ720" s="83"/>
      <c r="BRT720" s="83"/>
      <c r="BSD720" s="83"/>
      <c r="BSN720" s="83"/>
      <c r="BSX720" s="83"/>
      <c r="BTH720" s="83"/>
      <c r="BTR720" s="83"/>
      <c r="BUB720" s="83"/>
      <c r="BUL720" s="83"/>
      <c r="BUV720" s="83"/>
      <c r="BVF720" s="83"/>
      <c r="BVP720" s="83"/>
      <c r="BVZ720" s="83"/>
      <c r="BWJ720" s="83"/>
      <c r="BWT720" s="83"/>
      <c r="BXD720" s="83"/>
      <c r="BXN720" s="83"/>
      <c r="BXX720" s="83"/>
      <c r="BYH720" s="83"/>
      <c r="BYR720" s="83"/>
      <c r="BZB720" s="83"/>
      <c r="BZL720" s="83"/>
      <c r="BZV720" s="83"/>
      <c r="CAF720" s="83"/>
      <c r="CAP720" s="83"/>
      <c r="CAZ720" s="83"/>
      <c r="CBJ720" s="83"/>
      <c r="CBT720" s="83"/>
      <c r="CCD720" s="83"/>
      <c r="CCN720" s="83"/>
      <c r="CCX720" s="83"/>
      <c r="CDH720" s="83"/>
      <c r="CDR720" s="83"/>
      <c r="CEB720" s="83"/>
      <c r="CEL720" s="83"/>
      <c r="CEV720" s="83"/>
      <c r="CFF720" s="83"/>
      <c r="CFP720" s="83"/>
      <c r="CFZ720" s="83"/>
      <c r="CGJ720" s="83"/>
      <c r="CGT720" s="83"/>
      <c r="CHD720" s="83"/>
      <c r="CHN720" s="83"/>
      <c r="CHX720" s="83"/>
      <c r="CIH720" s="83"/>
      <c r="CIR720" s="83"/>
      <c r="CJB720" s="83"/>
      <c r="CJL720" s="83"/>
      <c r="CJV720" s="83"/>
      <c r="CKF720" s="83"/>
      <c r="CKP720" s="83"/>
      <c r="CKZ720" s="83"/>
      <c r="CLJ720" s="83"/>
      <c r="CLT720" s="83"/>
      <c r="CMD720" s="83"/>
      <c r="CMN720" s="83"/>
      <c r="CMX720" s="83"/>
      <c r="CNH720" s="83"/>
      <c r="CNR720" s="83"/>
      <c r="COB720" s="83"/>
      <c r="COL720" s="83"/>
      <c r="COV720" s="83"/>
      <c r="CPF720" s="83"/>
      <c r="CPP720" s="83"/>
      <c r="CPZ720" s="83"/>
      <c r="CQJ720" s="83"/>
      <c r="CQT720" s="83"/>
      <c r="CRD720" s="83"/>
      <c r="CRN720" s="83"/>
      <c r="CRX720" s="83"/>
      <c r="CSH720" s="83"/>
      <c r="CSR720" s="83"/>
      <c r="CTB720" s="83"/>
      <c r="CTL720" s="83"/>
      <c r="CTV720" s="83"/>
    </row>
    <row r="721" s="58" customFormat="1" customHeight="1" spans="1:1020 1030:2040 2050:2570">
      <c r="A721" s="87"/>
      <c r="B721" s="99"/>
      <c r="C721" s="113"/>
      <c r="D721" s="75"/>
      <c r="E721" s="114"/>
      <c r="F721" s="114"/>
      <c r="G721" s="75"/>
      <c r="H721" s="77"/>
      <c r="I721" s="77"/>
      <c r="J721" s="75"/>
      <c r="K721" s="78"/>
      <c r="T721" s="83"/>
      <c r="AD721" s="83"/>
      <c r="AN721" s="83"/>
      <c r="AX721" s="83"/>
      <c r="BH721" s="83"/>
      <c r="BR721" s="83"/>
      <c r="CB721" s="83"/>
      <c r="CL721" s="83"/>
      <c r="CV721" s="83"/>
      <c r="DF721" s="83"/>
      <c r="DP721" s="83"/>
      <c r="DZ721" s="83"/>
      <c r="EJ721" s="83"/>
      <c r="ET721" s="83"/>
      <c r="FD721" s="83"/>
      <c r="FN721" s="83"/>
      <c r="FX721" s="83"/>
      <c r="GH721" s="83"/>
      <c r="GR721" s="83"/>
      <c r="HB721" s="83"/>
      <c r="HL721" s="83"/>
      <c r="HV721" s="83"/>
      <c r="IF721" s="83"/>
      <c r="IP721" s="83"/>
      <c r="IZ721" s="83"/>
      <c r="JJ721" s="83"/>
      <c r="JT721" s="83"/>
      <c r="KD721" s="83"/>
      <c r="KN721" s="83"/>
      <c r="KX721" s="83"/>
      <c r="LH721" s="83"/>
      <c r="LR721" s="83"/>
      <c r="MB721" s="83"/>
      <c r="ML721" s="83"/>
      <c r="MV721" s="83"/>
      <c r="NF721" s="83"/>
      <c r="NP721" s="83"/>
      <c r="NZ721" s="83"/>
      <c r="OJ721" s="83"/>
      <c r="OT721" s="83"/>
      <c r="PD721" s="83"/>
      <c r="PN721" s="83"/>
      <c r="PX721" s="83"/>
      <c r="QH721" s="83"/>
      <c r="QR721" s="83"/>
      <c r="RB721" s="83"/>
      <c r="RL721" s="83"/>
      <c r="RV721" s="83"/>
      <c r="SF721" s="83"/>
      <c r="SP721" s="83"/>
      <c r="SZ721" s="83"/>
      <c r="TJ721" s="83"/>
      <c r="TT721" s="83"/>
      <c r="UD721" s="83"/>
      <c r="UN721" s="83"/>
      <c r="UX721" s="83"/>
      <c r="VH721" s="83"/>
      <c r="VR721" s="83"/>
      <c r="WB721" s="83"/>
      <c r="WL721" s="83"/>
      <c r="WV721" s="83"/>
      <c r="XF721" s="83"/>
      <c r="XP721" s="83"/>
      <c r="XZ721" s="83"/>
      <c r="YJ721" s="83"/>
      <c r="YT721" s="83"/>
      <c r="ZD721" s="83"/>
      <c r="ZN721" s="83"/>
      <c r="ZX721" s="83"/>
      <c r="AAH721" s="83"/>
      <c r="AAR721" s="83"/>
      <c r="ABB721" s="83"/>
      <c r="ABL721" s="83"/>
      <c r="ABV721" s="83"/>
      <c r="ACF721" s="83"/>
      <c r="ACP721" s="83"/>
      <c r="ACZ721" s="83"/>
      <c r="ADJ721" s="83"/>
      <c r="ADT721" s="83"/>
      <c r="AED721" s="83"/>
      <c r="AEN721" s="83"/>
      <c r="AEX721" s="83"/>
      <c r="AFH721" s="83"/>
      <c r="AFR721" s="83"/>
      <c r="AGB721" s="83"/>
      <c r="AGL721" s="83"/>
      <c r="AGV721" s="83"/>
      <c r="AHF721" s="83"/>
      <c r="AHP721" s="83"/>
      <c r="AHZ721" s="83"/>
      <c r="AIJ721" s="83"/>
      <c r="AIT721" s="83"/>
      <c r="AJD721" s="83"/>
      <c r="AJN721" s="83"/>
      <c r="AJX721" s="83"/>
      <c r="AKH721" s="83"/>
      <c r="AKR721" s="83"/>
      <c r="ALB721" s="83"/>
      <c r="ALL721" s="83"/>
      <c r="ALV721" s="83"/>
      <c r="AMF721" s="83"/>
      <c r="AMP721" s="83"/>
      <c r="AMZ721" s="83"/>
      <c r="ANJ721" s="83"/>
      <c r="ANT721" s="83"/>
      <c r="AOD721" s="83"/>
      <c r="AON721" s="83"/>
      <c r="AOX721" s="83"/>
      <c r="APH721" s="83"/>
      <c r="APR721" s="83"/>
      <c r="AQB721" s="83"/>
      <c r="AQL721" s="83"/>
      <c r="AQV721" s="83"/>
      <c r="ARF721" s="83"/>
      <c r="ARP721" s="83"/>
      <c r="ARZ721" s="83"/>
      <c r="ASJ721" s="83"/>
      <c r="AST721" s="83"/>
      <c r="ATD721" s="83"/>
      <c r="ATN721" s="83"/>
      <c r="ATX721" s="83"/>
      <c r="AUH721" s="83"/>
      <c r="AUR721" s="83"/>
      <c r="AVB721" s="83"/>
      <c r="AVL721" s="83"/>
      <c r="AVV721" s="83"/>
      <c r="AWF721" s="83"/>
      <c r="AWP721" s="83"/>
      <c r="AWZ721" s="83"/>
      <c r="AXJ721" s="83"/>
      <c r="AXT721" s="83"/>
      <c r="AYD721" s="83"/>
      <c r="AYN721" s="83"/>
      <c r="AYX721" s="83"/>
      <c r="AZH721" s="83"/>
      <c r="AZR721" s="83"/>
      <c r="BAB721" s="83"/>
      <c r="BAL721" s="83"/>
      <c r="BAV721" s="83"/>
      <c r="BBF721" s="83"/>
      <c r="BBP721" s="83"/>
      <c r="BBZ721" s="83"/>
      <c r="BCJ721" s="83"/>
      <c r="BCT721" s="83"/>
      <c r="BDD721" s="83"/>
      <c r="BDN721" s="83"/>
      <c r="BDX721" s="83"/>
      <c r="BEH721" s="83"/>
      <c r="BER721" s="83"/>
      <c r="BFB721" s="83"/>
      <c r="BFL721" s="83"/>
      <c r="BFV721" s="83"/>
      <c r="BGF721" s="83"/>
      <c r="BGP721" s="83"/>
      <c r="BGZ721" s="83"/>
      <c r="BHJ721" s="83"/>
      <c r="BHT721" s="83"/>
      <c r="BID721" s="83"/>
      <c r="BIN721" s="83"/>
      <c r="BIX721" s="83"/>
      <c r="BJH721" s="83"/>
      <c r="BJR721" s="83"/>
      <c r="BKB721" s="83"/>
      <c r="BKL721" s="83"/>
      <c r="BKV721" s="83"/>
      <c r="BLF721" s="83"/>
      <c r="BLP721" s="83"/>
      <c r="BLZ721" s="83"/>
      <c r="BMJ721" s="83"/>
      <c r="BMT721" s="83"/>
      <c r="BND721" s="83"/>
      <c r="BNN721" s="83"/>
      <c r="BNX721" s="83"/>
      <c r="BOH721" s="83"/>
      <c r="BOR721" s="83"/>
      <c r="BPB721" s="83"/>
      <c r="BPL721" s="83"/>
      <c r="BPV721" s="83"/>
      <c r="BQF721" s="83"/>
      <c r="BQP721" s="83"/>
      <c r="BQZ721" s="83"/>
      <c r="BRJ721" s="83"/>
      <c r="BRT721" s="83"/>
      <c r="BSD721" s="83"/>
      <c r="BSN721" s="83"/>
      <c r="BSX721" s="83"/>
      <c r="BTH721" s="83"/>
      <c r="BTR721" s="83"/>
      <c r="BUB721" s="83"/>
      <c r="BUL721" s="83"/>
      <c r="BUV721" s="83"/>
      <c r="BVF721" s="83"/>
      <c r="BVP721" s="83"/>
      <c r="BVZ721" s="83"/>
      <c r="BWJ721" s="83"/>
      <c r="BWT721" s="83"/>
      <c r="BXD721" s="83"/>
      <c r="BXN721" s="83"/>
      <c r="BXX721" s="83"/>
      <c r="BYH721" s="83"/>
      <c r="BYR721" s="83"/>
      <c r="BZB721" s="83"/>
      <c r="BZL721" s="83"/>
      <c r="BZV721" s="83"/>
      <c r="CAF721" s="83"/>
      <c r="CAP721" s="83"/>
      <c r="CAZ721" s="83"/>
      <c r="CBJ721" s="83"/>
      <c r="CBT721" s="83"/>
      <c r="CCD721" s="83"/>
      <c r="CCN721" s="83"/>
      <c r="CCX721" s="83"/>
      <c r="CDH721" s="83"/>
      <c r="CDR721" s="83"/>
      <c r="CEB721" s="83"/>
      <c r="CEL721" s="83"/>
      <c r="CEV721" s="83"/>
      <c r="CFF721" s="83"/>
      <c r="CFP721" s="83"/>
      <c r="CFZ721" s="83"/>
      <c r="CGJ721" s="83"/>
      <c r="CGT721" s="83"/>
      <c r="CHD721" s="83"/>
      <c r="CHN721" s="83"/>
      <c r="CHX721" s="83"/>
      <c r="CIH721" s="83"/>
      <c r="CIR721" s="83"/>
      <c r="CJB721" s="83"/>
      <c r="CJL721" s="83"/>
      <c r="CJV721" s="83"/>
      <c r="CKF721" s="83"/>
      <c r="CKP721" s="83"/>
      <c r="CKZ721" s="83"/>
      <c r="CLJ721" s="83"/>
      <c r="CLT721" s="83"/>
      <c r="CMD721" s="83"/>
      <c r="CMN721" s="83"/>
      <c r="CMX721" s="83"/>
      <c r="CNH721" s="83"/>
      <c r="CNR721" s="83"/>
      <c r="COB721" s="83"/>
      <c r="COL721" s="83"/>
      <c r="COV721" s="83"/>
      <c r="CPF721" s="83"/>
      <c r="CPP721" s="83"/>
      <c r="CPZ721" s="83"/>
      <c r="CQJ721" s="83"/>
      <c r="CQT721" s="83"/>
      <c r="CRD721" s="83"/>
      <c r="CRN721" s="83"/>
      <c r="CRX721" s="83"/>
      <c r="CSH721" s="83"/>
      <c r="CSR721" s="83"/>
      <c r="CTB721" s="83"/>
      <c r="CTL721" s="83"/>
      <c r="CTV721" s="83"/>
    </row>
    <row r="722" s="58" customFormat="1" customHeight="1" spans="1:1020 1030:2040 2050:2570">
      <c r="A722" s="87"/>
      <c r="B722" s="99"/>
      <c r="C722" s="113"/>
      <c r="D722" s="75"/>
      <c r="E722" s="114"/>
      <c r="F722" s="114"/>
      <c r="G722" s="75"/>
      <c r="H722" s="77"/>
      <c r="I722" s="77"/>
      <c r="J722" s="75"/>
      <c r="K722" s="78"/>
      <c r="T722" s="83"/>
      <c r="AD722" s="83"/>
      <c r="AN722" s="83"/>
      <c r="AX722" s="83"/>
      <c r="BH722" s="83"/>
      <c r="BR722" s="83"/>
      <c r="CB722" s="83"/>
      <c r="CL722" s="83"/>
      <c r="CV722" s="83"/>
      <c r="DF722" s="83"/>
      <c r="DP722" s="83"/>
      <c r="DZ722" s="83"/>
      <c r="EJ722" s="83"/>
      <c r="ET722" s="83"/>
      <c r="FD722" s="83"/>
      <c r="FN722" s="83"/>
      <c r="FX722" s="83"/>
      <c r="GH722" s="83"/>
      <c r="GR722" s="83"/>
      <c r="HB722" s="83"/>
      <c r="HL722" s="83"/>
      <c r="HV722" s="83"/>
      <c r="IF722" s="83"/>
      <c r="IP722" s="83"/>
      <c r="IZ722" s="83"/>
      <c r="JJ722" s="83"/>
      <c r="JT722" s="83"/>
      <c r="KD722" s="83"/>
      <c r="KN722" s="83"/>
      <c r="KX722" s="83"/>
      <c r="LH722" s="83"/>
      <c r="LR722" s="83"/>
      <c r="MB722" s="83"/>
      <c r="ML722" s="83"/>
      <c r="MV722" s="83"/>
      <c r="NF722" s="83"/>
      <c r="NP722" s="83"/>
      <c r="NZ722" s="83"/>
      <c r="OJ722" s="83"/>
      <c r="OT722" s="83"/>
      <c r="PD722" s="83"/>
      <c r="PN722" s="83"/>
      <c r="PX722" s="83"/>
      <c r="QH722" s="83"/>
      <c r="QR722" s="83"/>
      <c r="RB722" s="83"/>
      <c r="RL722" s="83"/>
      <c r="RV722" s="83"/>
      <c r="SF722" s="83"/>
      <c r="SP722" s="83"/>
      <c r="SZ722" s="83"/>
      <c r="TJ722" s="83"/>
      <c r="TT722" s="83"/>
      <c r="UD722" s="83"/>
      <c r="UN722" s="83"/>
      <c r="UX722" s="83"/>
      <c r="VH722" s="83"/>
      <c r="VR722" s="83"/>
      <c r="WB722" s="83"/>
      <c r="WL722" s="83"/>
      <c r="WV722" s="83"/>
      <c r="XF722" s="83"/>
      <c r="XP722" s="83"/>
      <c r="XZ722" s="83"/>
      <c r="YJ722" s="83"/>
      <c r="YT722" s="83"/>
      <c r="ZD722" s="83"/>
      <c r="ZN722" s="83"/>
      <c r="ZX722" s="83"/>
      <c r="AAH722" s="83"/>
      <c r="AAR722" s="83"/>
      <c r="ABB722" s="83"/>
      <c r="ABL722" s="83"/>
      <c r="ABV722" s="83"/>
      <c r="ACF722" s="83"/>
      <c r="ACP722" s="83"/>
      <c r="ACZ722" s="83"/>
      <c r="ADJ722" s="83"/>
      <c r="ADT722" s="83"/>
      <c r="AED722" s="83"/>
      <c r="AEN722" s="83"/>
      <c r="AEX722" s="83"/>
      <c r="AFH722" s="83"/>
      <c r="AFR722" s="83"/>
      <c r="AGB722" s="83"/>
      <c r="AGL722" s="83"/>
      <c r="AGV722" s="83"/>
      <c r="AHF722" s="83"/>
      <c r="AHP722" s="83"/>
      <c r="AHZ722" s="83"/>
      <c r="AIJ722" s="83"/>
      <c r="AIT722" s="83"/>
      <c r="AJD722" s="83"/>
      <c r="AJN722" s="83"/>
      <c r="AJX722" s="83"/>
      <c r="AKH722" s="83"/>
      <c r="AKR722" s="83"/>
      <c r="ALB722" s="83"/>
      <c r="ALL722" s="83"/>
      <c r="ALV722" s="83"/>
      <c r="AMF722" s="83"/>
      <c r="AMP722" s="83"/>
      <c r="AMZ722" s="83"/>
      <c r="ANJ722" s="83"/>
      <c r="ANT722" s="83"/>
      <c r="AOD722" s="83"/>
      <c r="AON722" s="83"/>
      <c r="AOX722" s="83"/>
      <c r="APH722" s="83"/>
      <c r="APR722" s="83"/>
      <c r="AQB722" s="83"/>
      <c r="AQL722" s="83"/>
      <c r="AQV722" s="83"/>
      <c r="ARF722" s="83"/>
      <c r="ARP722" s="83"/>
      <c r="ARZ722" s="83"/>
      <c r="ASJ722" s="83"/>
      <c r="AST722" s="83"/>
      <c r="ATD722" s="83"/>
      <c r="ATN722" s="83"/>
      <c r="ATX722" s="83"/>
      <c r="AUH722" s="83"/>
      <c r="AUR722" s="83"/>
      <c r="AVB722" s="83"/>
      <c r="AVL722" s="83"/>
      <c r="AVV722" s="83"/>
      <c r="AWF722" s="83"/>
      <c r="AWP722" s="83"/>
      <c r="AWZ722" s="83"/>
      <c r="AXJ722" s="83"/>
      <c r="AXT722" s="83"/>
      <c r="AYD722" s="83"/>
      <c r="AYN722" s="83"/>
      <c r="AYX722" s="83"/>
      <c r="AZH722" s="83"/>
      <c r="AZR722" s="83"/>
      <c r="BAB722" s="83"/>
      <c r="BAL722" s="83"/>
      <c r="BAV722" s="83"/>
      <c r="BBF722" s="83"/>
      <c r="BBP722" s="83"/>
      <c r="BBZ722" s="83"/>
      <c r="BCJ722" s="83"/>
      <c r="BCT722" s="83"/>
      <c r="BDD722" s="83"/>
      <c r="BDN722" s="83"/>
      <c r="BDX722" s="83"/>
      <c r="BEH722" s="83"/>
      <c r="BER722" s="83"/>
      <c r="BFB722" s="83"/>
      <c r="BFL722" s="83"/>
      <c r="BFV722" s="83"/>
      <c r="BGF722" s="83"/>
      <c r="BGP722" s="83"/>
      <c r="BGZ722" s="83"/>
      <c r="BHJ722" s="83"/>
      <c r="BHT722" s="83"/>
      <c r="BID722" s="83"/>
      <c r="BIN722" s="83"/>
      <c r="BIX722" s="83"/>
      <c r="BJH722" s="83"/>
      <c r="BJR722" s="83"/>
      <c r="BKB722" s="83"/>
      <c r="BKL722" s="83"/>
      <c r="BKV722" s="83"/>
      <c r="BLF722" s="83"/>
      <c r="BLP722" s="83"/>
      <c r="BLZ722" s="83"/>
      <c r="BMJ722" s="83"/>
      <c r="BMT722" s="83"/>
      <c r="BND722" s="83"/>
      <c r="BNN722" s="83"/>
      <c r="BNX722" s="83"/>
      <c r="BOH722" s="83"/>
      <c r="BOR722" s="83"/>
      <c r="BPB722" s="83"/>
      <c r="BPL722" s="83"/>
      <c r="BPV722" s="83"/>
      <c r="BQF722" s="83"/>
      <c r="BQP722" s="83"/>
      <c r="BQZ722" s="83"/>
      <c r="BRJ722" s="83"/>
      <c r="BRT722" s="83"/>
      <c r="BSD722" s="83"/>
      <c r="BSN722" s="83"/>
      <c r="BSX722" s="83"/>
      <c r="BTH722" s="83"/>
      <c r="BTR722" s="83"/>
      <c r="BUB722" s="83"/>
      <c r="BUL722" s="83"/>
      <c r="BUV722" s="83"/>
      <c r="BVF722" s="83"/>
      <c r="BVP722" s="83"/>
      <c r="BVZ722" s="83"/>
      <c r="BWJ722" s="83"/>
      <c r="BWT722" s="83"/>
      <c r="BXD722" s="83"/>
      <c r="BXN722" s="83"/>
      <c r="BXX722" s="83"/>
      <c r="BYH722" s="83"/>
      <c r="BYR722" s="83"/>
      <c r="BZB722" s="83"/>
      <c r="BZL722" s="83"/>
      <c r="BZV722" s="83"/>
      <c r="CAF722" s="83"/>
      <c r="CAP722" s="83"/>
      <c r="CAZ722" s="83"/>
      <c r="CBJ722" s="83"/>
      <c r="CBT722" s="83"/>
      <c r="CCD722" s="83"/>
      <c r="CCN722" s="83"/>
      <c r="CCX722" s="83"/>
      <c r="CDH722" s="83"/>
      <c r="CDR722" s="83"/>
      <c r="CEB722" s="83"/>
      <c r="CEL722" s="83"/>
      <c r="CEV722" s="83"/>
      <c r="CFF722" s="83"/>
      <c r="CFP722" s="83"/>
      <c r="CFZ722" s="83"/>
      <c r="CGJ722" s="83"/>
      <c r="CGT722" s="83"/>
      <c r="CHD722" s="83"/>
      <c r="CHN722" s="83"/>
      <c r="CHX722" s="83"/>
      <c r="CIH722" s="83"/>
      <c r="CIR722" s="83"/>
      <c r="CJB722" s="83"/>
      <c r="CJL722" s="83"/>
      <c r="CJV722" s="83"/>
      <c r="CKF722" s="83"/>
      <c r="CKP722" s="83"/>
      <c r="CKZ722" s="83"/>
      <c r="CLJ722" s="83"/>
      <c r="CLT722" s="83"/>
      <c r="CMD722" s="83"/>
      <c r="CMN722" s="83"/>
      <c r="CMX722" s="83"/>
      <c r="CNH722" s="83"/>
      <c r="CNR722" s="83"/>
      <c r="COB722" s="83"/>
      <c r="COL722" s="83"/>
      <c r="COV722" s="83"/>
      <c r="CPF722" s="83"/>
      <c r="CPP722" s="83"/>
      <c r="CPZ722" s="83"/>
      <c r="CQJ722" s="83"/>
      <c r="CQT722" s="83"/>
      <c r="CRD722" s="83"/>
      <c r="CRN722" s="83"/>
      <c r="CRX722" s="83"/>
      <c r="CSH722" s="83"/>
      <c r="CSR722" s="83"/>
      <c r="CTB722" s="83"/>
      <c r="CTL722" s="83"/>
      <c r="CTV722" s="83"/>
    </row>
    <row r="723" customHeight="1" spans="1:1020 1030:2040 2050:2570">
      <c r="A723" s="72"/>
      <c r="B723" s="73"/>
      <c r="C723" s="74"/>
      <c r="D723" s="74"/>
      <c r="E723" s="75"/>
      <c r="F723" s="76"/>
      <c r="G723" s="74"/>
      <c r="H723" s="77"/>
      <c r="I723" s="77"/>
      <c r="J723" s="74"/>
      <c r="K723" s="78"/>
    </row>
    <row r="724" customHeight="1" spans="1:1020 1030:2040 2050:2570">
      <c r="A724" s="72"/>
      <c r="B724" s="73"/>
      <c r="C724" s="74"/>
      <c r="D724" s="74"/>
      <c r="E724" s="75"/>
      <c r="F724" s="76"/>
      <c r="G724" s="74"/>
      <c r="H724" s="77"/>
      <c r="I724" s="77"/>
      <c r="J724" s="74"/>
      <c r="K724" s="78"/>
    </row>
    <row r="725" customHeight="1" spans="1:1020 1030:2040 2050:2570">
      <c r="A725" s="72"/>
      <c r="B725" s="73"/>
      <c r="C725" s="74"/>
      <c r="D725" s="74"/>
      <c r="E725" s="75"/>
      <c r="F725" s="76"/>
      <c r="G725" s="74"/>
      <c r="H725" s="77"/>
      <c r="I725" s="77"/>
      <c r="J725" s="74"/>
      <c r="K725" s="78"/>
    </row>
    <row r="726" customHeight="1" spans="1:1020 1030:2040 2050:2570">
      <c r="A726" s="72"/>
      <c r="B726" s="73"/>
      <c r="C726" s="74"/>
      <c r="D726" s="74"/>
      <c r="E726" s="75"/>
      <c r="F726" s="76"/>
      <c r="G726" s="74"/>
      <c r="H726" s="77"/>
      <c r="I726" s="77"/>
      <c r="J726" s="74"/>
      <c r="K726" s="78"/>
    </row>
    <row r="727" customHeight="1" spans="1:1020 1030:2040 2050:2570">
      <c r="A727" s="72"/>
      <c r="B727" s="73"/>
      <c r="C727" s="74"/>
      <c r="D727" s="74"/>
      <c r="E727" s="75"/>
      <c r="F727" s="76"/>
      <c r="G727" s="74"/>
      <c r="H727" s="77"/>
      <c r="I727" s="77"/>
      <c r="J727" s="74"/>
      <c r="K727" s="78"/>
    </row>
    <row r="728" customHeight="1" spans="1:1020 1030:2040 2050:2570">
      <c r="A728" s="72"/>
      <c r="B728" s="73"/>
      <c r="C728" s="74"/>
      <c r="D728" s="74"/>
      <c r="E728" s="75"/>
      <c r="F728" s="76"/>
      <c r="G728" s="74"/>
      <c r="H728" s="77"/>
      <c r="I728" s="77"/>
      <c r="J728" s="74"/>
      <c r="K728" s="78"/>
    </row>
    <row r="729" customHeight="1" spans="1:1020 1030:2040 2050:2570">
      <c r="A729" s="72"/>
      <c r="B729" s="73"/>
      <c r="C729" s="74"/>
      <c r="D729" s="74"/>
      <c r="E729" s="75"/>
      <c r="F729" s="76"/>
      <c r="G729" s="74"/>
      <c r="H729" s="77"/>
      <c r="I729" s="77"/>
      <c r="J729" s="74"/>
      <c r="K729" s="78"/>
    </row>
    <row r="730" customHeight="1" spans="1:1020 1030:2040 2050:2570">
      <c r="A730" s="72"/>
      <c r="B730" s="73"/>
      <c r="C730" s="74"/>
      <c r="D730" s="74"/>
      <c r="E730" s="75"/>
      <c r="F730" s="76"/>
      <c r="G730" s="74"/>
      <c r="H730" s="77"/>
      <c r="I730" s="77"/>
      <c r="J730" s="74"/>
      <c r="K730" s="78"/>
    </row>
    <row r="731" customHeight="1" spans="1:1020 1030:2040 2050:2570">
      <c r="A731" s="72"/>
      <c r="B731" s="73"/>
      <c r="C731" s="74"/>
      <c r="D731" s="74"/>
      <c r="E731" s="75"/>
      <c r="F731" s="76"/>
      <c r="G731" s="74"/>
      <c r="H731" s="77"/>
      <c r="I731" s="77"/>
      <c r="J731" s="74"/>
      <c r="K731" s="78"/>
    </row>
    <row r="732" customHeight="1" spans="1:1020 1030:2040 2050:2570">
      <c r="A732" s="72"/>
      <c r="B732" s="73"/>
      <c r="C732" s="74"/>
      <c r="D732" s="74"/>
      <c r="E732" s="75"/>
      <c r="F732" s="76"/>
      <c r="G732" s="74"/>
      <c r="H732" s="77"/>
      <c r="I732" s="77"/>
      <c r="J732" s="74"/>
      <c r="K732" s="78"/>
    </row>
    <row r="733" customHeight="1" spans="1:1020 1030:2040 2050:2570">
      <c r="A733" s="72"/>
      <c r="B733" s="73"/>
      <c r="C733" s="74"/>
      <c r="D733" s="74"/>
      <c r="E733" s="75"/>
      <c r="F733" s="76"/>
      <c r="G733" s="74"/>
      <c r="H733" s="77"/>
      <c r="I733" s="77"/>
      <c r="J733" s="74"/>
      <c r="K733" s="78"/>
    </row>
    <row r="734" customHeight="1" spans="1:1020 1030:2040 2050:2570">
      <c r="A734" s="72"/>
      <c r="B734" s="73"/>
      <c r="C734" s="74"/>
      <c r="D734" s="74"/>
      <c r="E734" s="75"/>
      <c r="F734" s="76"/>
      <c r="G734" s="74"/>
      <c r="H734" s="77"/>
      <c r="I734" s="77"/>
      <c r="J734" s="74"/>
      <c r="K734" s="78"/>
    </row>
    <row r="735" customHeight="1" spans="1:1020 1030:2040 2050:2570">
      <c r="A735" s="72"/>
      <c r="B735" s="73"/>
      <c r="C735" s="74"/>
      <c r="D735" s="74"/>
      <c r="E735" s="75"/>
      <c r="F735" s="76"/>
      <c r="G735" s="74"/>
      <c r="H735" s="77"/>
      <c r="I735" s="77"/>
      <c r="J735" s="74"/>
      <c r="K735" s="78"/>
    </row>
    <row r="736" customHeight="1" spans="1:1020 1030:2040 2050:2570">
      <c r="A736" s="72"/>
      <c r="B736" s="73"/>
      <c r="C736" s="74"/>
      <c r="D736" s="74"/>
      <c r="E736" s="75"/>
      <c r="F736" s="76"/>
      <c r="G736" s="74"/>
      <c r="H736" s="77"/>
      <c r="I736" s="77"/>
      <c r="J736" s="74"/>
      <c r="K736" s="78"/>
    </row>
    <row r="737" customHeight="1" spans="1:1020 1030:2040 2050:2570">
      <c r="A737" s="72"/>
      <c r="B737" s="73"/>
      <c r="C737" s="74"/>
      <c r="D737" s="74"/>
      <c r="E737" s="75"/>
      <c r="F737" s="76"/>
      <c r="G737" s="74"/>
      <c r="H737" s="77"/>
      <c r="I737" s="77"/>
      <c r="J737" s="74"/>
      <c r="K737" s="78"/>
    </row>
    <row r="738" customHeight="1" spans="1:1020 1030:2040 2050:2570">
      <c r="A738" s="72"/>
      <c r="B738" s="73"/>
      <c r="C738" s="74"/>
      <c r="D738" s="74"/>
      <c r="E738" s="75"/>
      <c r="F738" s="76"/>
      <c r="G738" s="74"/>
      <c r="H738" s="77"/>
      <c r="I738" s="77"/>
      <c r="J738" s="74"/>
      <c r="K738" s="78"/>
    </row>
    <row r="739" customHeight="1" spans="1:1020 1030:2040 2050:2570">
      <c r="A739" s="72"/>
      <c r="B739" s="73"/>
      <c r="C739" s="74"/>
      <c r="D739" s="74"/>
      <c r="E739" s="75"/>
      <c r="F739" s="76"/>
      <c r="G739" s="74"/>
      <c r="H739" s="77"/>
      <c r="I739" s="77"/>
      <c r="J739" s="74"/>
      <c r="K739" s="78"/>
    </row>
    <row r="740" customHeight="1" spans="1:1020 1030:2040 2050:2570">
      <c r="A740" s="72"/>
      <c r="B740" s="73"/>
      <c r="C740" s="74"/>
      <c r="D740" s="74"/>
      <c r="E740" s="75"/>
      <c r="F740" s="76"/>
      <c r="G740" s="74"/>
      <c r="H740" s="77"/>
      <c r="I740" s="77"/>
      <c r="J740" s="74"/>
      <c r="K740" s="78"/>
    </row>
    <row r="741" customHeight="1" spans="1:1020 1030:2040 2050:2570">
      <c r="A741" s="72"/>
      <c r="B741" s="73"/>
      <c r="C741" s="74"/>
      <c r="D741" s="74"/>
      <c r="E741" s="75"/>
      <c r="F741" s="76"/>
      <c r="G741" s="74"/>
      <c r="H741" s="77"/>
      <c r="I741" s="77"/>
      <c r="J741" s="74"/>
      <c r="K741" s="78"/>
    </row>
    <row r="742" customHeight="1" spans="1:1020 1030:2040 2050:2570">
      <c r="A742" s="72"/>
      <c r="B742" s="73"/>
      <c r="C742" s="74"/>
      <c r="D742" s="74"/>
      <c r="E742" s="75"/>
      <c r="F742" s="76"/>
      <c r="G742" s="74"/>
      <c r="H742" s="77"/>
      <c r="I742" s="77"/>
      <c r="J742" s="74"/>
      <c r="K742" s="78"/>
    </row>
    <row r="743" customHeight="1" spans="1:1020 1030:2040 2050:2570">
      <c r="A743" s="72"/>
      <c r="B743" s="73"/>
      <c r="C743" s="74"/>
      <c r="D743" s="74"/>
      <c r="E743" s="75"/>
      <c r="F743" s="76"/>
      <c r="G743" s="74"/>
      <c r="H743" s="77"/>
      <c r="I743" s="77"/>
      <c r="J743" s="74"/>
      <c r="K743" s="78"/>
    </row>
    <row r="744" customHeight="1" spans="1:1020 1030:2040 2050:2570">
      <c r="A744" s="72"/>
      <c r="B744" s="73"/>
      <c r="C744" s="74"/>
      <c r="D744" s="74"/>
      <c r="E744" s="75"/>
      <c r="F744" s="76"/>
      <c r="G744" s="74"/>
      <c r="H744" s="77"/>
      <c r="I744" s="77"/>
      <c r="J744" s="74"/>
      <c r="K744" s="78"/>
    </row>
    <row r="745" customHeight="1" spans="1:1020 1030:2040 2050:2570">
      <c r="A745" s="72"/>
      <c r="B745" s="73"/>
      <c r="C745" s="74"/>
      <c r="D745" s="74"/>
      <c r="E745" s="75"/>
      <c r="F745" s="76"/>
      <c r="G745" s="74"/>
      <c r="H745" s="77"/>
      <c r="I745" s="77"/>
      <c r="J745" s="74"/>
      <c r="K745" s="78"/>
    </row>
    <row r="746" customHeight="1" spans="1:1020 1030:2040 2050:2570">
      <c r="A746" s="72"/>
      <c r="B746" s="73"/>
      <c r="C746" s="74"/>
      <c r="D746" s="74"/>
      <c r="E746" s="75"/>
      <c r="F746" s="76"/>
      <c r="G746" s="74"/>
      <c r="H746" s="77"/>
      <c r="I746" s="77"/>
      <c r="J746" s="74"/>
      <c r="K746" s="78"/>
    </row>
    <row r="747" s="58" customFormat="1" customHeight="1" spans="1:1020 1030:2040 2050:2570">
      <c r="A747" s="87"/>
      <c r="B747" s="99"/>
      <c r="C747" s="115"/>
      <c r="D747" s="75"/>
      <c r="E747" s="75"/>
      <c r="F747" s="76"/>
      <c r="G747" s="75"/>
      <c r="H747" s="77"/>
      <c r="I747" s="77"/>
      <c r="J747" s="75"/>
      <c r="K747" s="78"/>
      <c r="T747" s="83"/>
      <c r="AD747" s="83"/>
      <c r="AN747" s="83"/>
      <c r="AX747" s="83"/>
      <c r="BH747" s="83"/>
      <c r="BR747" s="83"/>
      <c r="CB747" s="83"/>
      <c r="CL747" s="83"/>
      <c r="CV747" s="83"/>
      <c r="DF747" s="83"/>
      <c r="DP747" s="83"/>
      <c r="DZ747" s="83"/>
      <c r="EJ747" s="83"/>
      <c r="ET747" s="83"/>
      <c r="FD747" s="83"/>
      <c r="FN747" s="83"/>
      <c r="FX747" s="83"/>
      <c r="GH747" s="83"/>
      <c r="GR747" s="83"/>
      <c r="HB747" s="83"/>
      <c r="HL747" s="83"/>
      <c r="HV747" s="83"/>
      <c r="IF747" s="83"/>
      <c r="IP747" s="83"/>
      <c r="IZ747" s="83"/>
      <c r="JJ747" s="83"/>
      <c r="JT747" s="83"/>
      <c r="KD747" s="83"/>
      <c r="KN747" s="83"/>
      <c r="KX747" s="83"/>
      <c r="LH747" s="83"/>
      <c r="LR747" s="83"/>
      <c r="MB747" s="83"/>
      <c r="ML747" s="83"/>
      <c r="MV747" s="83"/>
      <c r="NF747" s="83"/>
      <c r="NP747" s="83"/>
      <c r="NZ747" s="83"/>
      <c r="OJ747" s="83"/>
      <c r="OT747" s="83"/>
      <c r="PD747" s="83"/>
      <c r="PN747" s="83"/>
      <c r="PX747" s="83"/>
      <c r="QH747" s="83"/>
      <c r="QR747" s="83"/>
      <c r="RB747" s="83"/>
      <c r="RL747" s="83"/>
      <c r="RV747" s="83"/>
      <c r="SF747" s="83"/>
      <c r="SP747" s="83"/>
      <c r="SZ747" s="83"/>
      <c r="TJ747" s="83"/>
      <c r="TT747" s="83"/>
      <c r="UD747" s="83"/>
      <c r="UN747" s="83"/>
      <c r="UX747" s="83"/>
      <c r="VH747" s="83"/>
      <c r="VR747" s="83"/>
      <c r="WB747" s="83"/>
      <c r="WL747" s="83"/>
      <c r="WV747" s="83"/>
      <c r="XF747" s="83"/>
      <c r="XP747" s="83"/>
      <c r="XZ747" s="83"/>
      <c r="YJ747" s="83"/>
      <c r="YT747" s="83"/>
      <c r="ZD747" s="83"/>
      <c r="ZN747" s="83"/>
      <c r="ZX747" s="83"/>
      <c r="AAH747" s="83"/>
      <c r="AAR747" s="83"/>
      <c r="ABB747" s="83"/>
      <c r="ABL747" s="83"/>
      <c r="ABV747" s="83"/>
      <c r="ACF747" s="83"/>
      <c r="ACP747" s="83"/>
      <c r="ACZ747" s="83"/>
      <c r="ADJ747" s="83"/>
      <c r="ADT747" s="83"/>
      <c r="AED747" s="83"/>
      <c r="AEN747" s="83"/>
      <c r="AEX747" s="83"/>
      <c r="AFH747" s="83"/>
      <c r="AFR747" s="83"/>
      <c r="AGB747" s="83"/>
      <c r="AGL747" s="83"/>
      <c r="AGV747" s="83"/>
      <c r="AHF747" s="83"/>
      <c r="AHP747" s="83"/>
      <c r="AHZ747" s="83"/>
      <c r="AIJ747" s="83"/>
      <c r="AIT747" s="83"/>
      <c r="AJD747" s="83"/>
      <c r="AJN747" s="83"/>
      <c r="AJX747" s="83"/>
      <c r="AKH747" s="83"/>
      <c r="AKR747" s="83"/>
      <c r="ALB747" s="83"/>
      <c r="ALL747" s="83"/>
      <c r="ALV747" s="83"/>
      <c r="AMF747" s="83"/>
      <c r="AMP747" s="83"/>
      <c r="AMZ747" s="83"/>
      <c r="ANJ747" s="83"/>
      <c r="ANT747" s="83"/>
      <c r="AOD747" s="83"/>
      <c r="AON747" s="83"/>
      <c r="AOX747" s="83"/>
      <c r="APH747" s="83"/>
      <c r="APR747" s="83"/>
      <c r="AQB747" s="83"/>
      <c r="AQL747" s="83"/>
      <c r="AQV747" s="83"/>
      <c r="ARF747" s="83"/>
      <c r="ARP747" s="83"/>
      <c r="ARZ747" s="83"/>
      <c r="ASJ747" s="83"/>
      <c r="AST747" s="83"/>
      <c r="ATD747" s="83"/>
      <c r="ATN747" s="83"/>
      <c r="ATX747" s="83"/>
      <c r="AUH747" s="83"/>
      <c r="AUR747" s="83"/>
      <c r="AVB747" s="83"/>
      <c r="AVL747" s="83"/>
      <c r="AVV747" s="83"/>
      <c r="AWF747" s="83"/>
      <c r="AWP747" s="83"/>
      <c r="AWZ747" s="83"/>
      <c r="AXJ747" s="83"/>
      <c r="AXT747" s="83"/>
      <c r="AYD747" s="83"/>
      <c r="AYN747" s="83"/>
      <c r="AYX747" s="83"/>
      <c r="AZH747" s="83"/>
      <c r="AZR747" s="83"/>
      <c r="BAB747" s="83"/>
      <c r="BAL747" s="83"/>
      <c r="BAV747" s="83"/>
      <c r="BBF747" s="83"/>
      <c r="BBP747" s="83"/>
      <c r="BBZ747" s="83"/>
      <c r="BCJ747" s="83"/>
      <c r="BCT747" s="83"/>
      <c r="BDD747" s="83"/>
      <c r="BDN747" s="83"/>
      <c r="BDX747" s="83"/>
      <c r="BEH747" s="83"/>
      <c r="BER747" s="83"/>
      <c r="BFB747" s="83"/>
      <c r="BFL747" s="83"/>
      <c r="BFV747" s="83"/>
      <c r="BGF747" s="83"/>
      <c r="BGP747" s="83"/>
      <c r="BGZ747" s="83"/>
      <c r="BHJ747" s="83"/>
      <c r="BHT747" s="83"/>
      <c r="BID747" s="83"/>
      <c r="BIN747" s="83"/>
      <c r="BIX747" s="83"/>
      <c r="BJH747" s="83"/>
      <c r="BJR747" s="83"/>
      <c r="BKB747" s="83"/>
      <c r="BKL747" s="83"/>
      <c r="BKV747" s="83"/>
      <c r="BLF747" s="83"/>
      <c r="BLP747" s="83"/>
      <c r="BLZ747" s="83"/>
      <c r="BMJ747" s="83"/>
      <c r="BMT747" s="83"/>
      <c r="BND747" s="83"/>
      <c r="BNN747" s="83"/>
      <c r="BNX747" s="83"/>
      <c r="BOH747" s="83"/>
      <c r="BOR747" s="83"/>
      <c r="BPB747" s="83"/>
      <c r="BPL747" s="83"/>
      <c r="BPV747" s="83"/>
      <c r="BQF747" s="83"/>
      <c r="BQP747" s="83"/>
      <c r="BQZ747" s="83"/>
      <c r="BRJ747" s="83"/>
      <c r="BRT747" s="83"/>
      <c r="BSD747" s="83"/>
      <c r="BSN747" s="83"/>
      <c r="BSX747" s="83"/>
      <c r="BTH747" s="83"/>
      <c r="BTR747" s="83"/>
      <c r="BUB747" s="83"/>
      <c r="BUL747" s="83"/>
      <c r="BUV747" s="83"/>
      <c r="BVF747" s="83"/>
      <c r="BVP747" s="83"/>
      <c r="BVZ747" s="83"/>
      <c r="BWJ747" s="83"/>
      <c r="BWT747" s="83"/>
      <c r="BXD747" s="83"/>
      <c r="BXN747" s="83"/>
      <c r="BXX747" s="83"/>
      <c r="BYH747" s="83"/>
      <c r="BYR747" s="83"/>
      <c r="BZB747" s="83"/>
      <c r="BZL747" s="83"/>
      <c r="BZV747" s="83"/>
      <c r="CAF747" s="83"/>
      <c r="CAP747" s="83"/>
      <c r="CAZ747" s="83"/>
      <c r="CBJ747" s="83"/>
      <c r="CBT747" s="83"/>
      <c r="CCD747" s="83"/>
      <c r="CCN747" s="83"/>
      <c r="CCX747" s="83"/>
      <c r="CDH747" s="83"/>
      <c r="CDR747" s="83"/>
      <c r="CEB747" s="83"/>
      <c r="CEL747" s="83"/>
      <c r="CEV747" s="83"/>
      <c r="CFF747" s="83"/>
      <c r="CFP747" s="83"/>
      <c r="CFZ747" s="83"/>
      <c r="CGJ747" s="83"/>
      <c r="CGT747" s="83"/>
      <c r="CHD747" s="83"/>
      <c r="CHN747" s="83"/>
      <c r="CHX747" s="83"/>
      <c r="CIH747" s="83"/>
      <c r="CIR747" s="83"/>
      <c r="CJB747" s="83"/>
      <c r="CJL747" s="83"/>
      <c r="CJV747" s="83"/>
      <c r="CKF747" s="83"/>
      <c r="CKP747" s="83"/>
      <c r="CKZ747" s="83"/>
      <c r="CLJ747" s="83"/>
      <c r="CLT747" s="83"/>
      <c r="CMD747" s="83"/>
      <c r="CMN747" s="83"/>
      <c r="CMX747" s="83"/>
      <c r="CNH747" s="83"/>
      <c r="CNR747" s="83"/>
      <c r="COB747" s="83"/>
      <c r="COL747" s="83"/>
      <c r="COV747" s="83"/>
      <c r="CPF747" s="83"/>
      <c r="CPP747" s="83"/>
      <c r="CPZ747" s="83"/>
      <c r="CQJ747" s="83"/>
      <c r="CQT747" s="83"/>
      <c r="CRD747" s="83"/>
      <c r="CRN747" s="83"/>
      <c r="CRX747" s="83"/>
      <c r="CSH747" s="83"/>
      <c r="CSR747" s="83"/>
      <c r="CTB747" s="83"/>
      <c r="CTL747" s="83"/>
      <c r="CTV747" s="83"/>
    </row>
    <row r="748" s="58" customFormat="1" customHeight="1" spans="1:1020 1030:2040 2050:2570">
      <c r="A748" s="87"/>
      <c r="B748" s="99"/>
      <c r="C748" s="115"/>
      <c r="D748" s="75"/>
      <c r="E748" s="75"/>
      <c r="F748" s="76"/>
      <c r="G748" s="75"/>
      <c r="H748" s="77"/>
      <c r="I748" s="77"/>
      <c r="J748" s="75"/>
      <c r="K748" s="78"/>
      <c r="T748" s="83"/>
      <c r="AD748" s="83"/>
      <c r="AN748" s="83"/>
      <c r="AX748" s="83"/>
      <c r="BH748" s="83"/>
      <c r="BR748" s="83"/>
      <c r="CB748" s="83"/>
      <c r="CL748" s="83"/>
      <c r="CV748" s="83"/>
      <c r="DF748" s="83"/>
      <c r="DP748" s="83"/>
      <c r="DZ748" s="83"/>
      <c r="EJ748" s="83"/>
      <c r="ET748" s="83"/>
      <c r="FD748" s="83"/>
      <c r="FN748" s="83"/>
      <c r="FX748" s="83"/>
      <c r="GH748" s="83"/>
      <c r="GR748" s="83"/>
      <c r="HB748" s="83"/>
      <c r="HL748" s="83"/>
      <c r="HV748" s="83"/>
      <c r="IF748" s="83"/>
      <c r="IP748" s="83"/>
      <c r="IZ748" s="83"/>
      <c r="JJ748" s="83"/>
      <c r="JT748" s="83"/>
      <c r="KD748" s="83"/>
      <c r="KN748" s="83"/>
      <c r="KX748" s="83"/>
      <c r="LH748" s="83"/>
      <c r="LR748" s="83"/>
      <c r="MB748" s="83"/>
      <c r="ML748" s="83"/>
      <c r="MV748" s="83"/>
      <c r="NF748" s="83"/>
      <c r="NP748" s="83"/>
      <c r="NZ748" s="83"/>
      <c r="OJ748" s="83"/>
      <c r="OT748" s="83"/>
      <c r="PD748" s="83"/>
      <c r="PN748" s="83"/>
      <c r="PX748" s="83"/>
      <c r="QH748" s="83"/>
      <c r="QR748" s="83"/>
      <c r="RB748" s="83"/>
      <c r="RL748" s="83"/>
      <c r="RV748" s="83"/>
      <c r="SF748" s="83"/>
      <c r="SP748" s="83"/>
      <c r="SZ748" s="83"/>
      <c r="TJ748" s="83"/>
      <c r="TT748" s="83"/>
      <c r="UD748" s="83"/>
      <c r="UN748" s="83"/>
      <c r="UX748" s="83"/>
      <c r="VH748" s="83"/>
      <c r="VR748" s="83"/>
      <c r="WB748" s="83"/>
      <c r="WL748" s="83"/>
      <c r="WV748" s="83"/>
      <c r="XF748" s="83"/>
      <c r="XP748" s="83"/>
      <c r="XZ748" s="83"/>
      <c r="YJ748" s="83"/>
      <c r="YT748" s="83"/>
      <c r="ZD748" s="83"/>
      <c r="ZN748" s="83"/>
      <c r="ZX748" s="83"/>
      <c r="AAH748" s="83"/>
      <c r="AAR748" s="83"/>
      <c r="ABB748" s="83"/>
      <c r="ABL748" s="83"/>
      <c r="ABV748" s="83"/>
      <c r="ACF748" s="83"/>
      <c r="ACP748" s="83"/>
      <c r="ACZ748" s="83"/>
      <c r="ADJ748" s="83"/>
      <c r="ADT748" s="83"/>
      <c r="AED748" s="83"/>
      <c r="AEN748" s="83"/>
      <c r="AEX748" s="83"/>
      <c r="AFH748" s="83"/>
      <c r="AFR748" s="83"/>
      <c r="AGB748" s="83"/>
      <c r="AGL748" s="83"/>
      <c r="AGV748" s="83"/>
      <c r="AHF748" s="83"/>
      <c r="AHP748" s="83"/>
      <c r="AHZ748" s="83"/>
      <c r="AIJ748" s="83"/>
      <c r="AIT748" s="83"/>
      <c r="AJD748" s="83"/>
      <c r="AJN748" s="83"/>
      <c r="AJX748" s="83"/>
      <c r="AKH748" s="83"/>
      <c r="AKR748" s="83"/>
      <c r="ALB748" s="83"/>
      <c r="ALL748" s="83"/>
      <c r="ALV748" s="83"/>
      <c r="AMF748" s="83"/>
      <c r="AMP748" s="83"/>
      <c r="AMZ748" s="83"/>
      <c r="ANJ748" s="83"/>
      <c r="ANT748" s="83"/>
      <c r="AOD748" s="83"/>
      <c r="AON748" s="83"/>
      <c r="AOX748" s="83"/>
      <c r="APH748" s="83"/>
      <c r="APR748" s="83"/>
      <c r="AQB748" s="83"/>
      <c r="AQL748" s="83"/>
      <c r="AQV748" s="83"/>
      <c r="ARF748" s="83"/>
      <c r="ARP748" s="83"/>
      <c r="ARZ748" s="83"/>
      <c r="ASJ748" s="83"/>
      <c r="AST748" s="83"/>
      <c r="ATD748" s="83"/>
      <c r="ATN748" s="83"/>
      <c r="ATX748" s="83"/>
      <c r="AUH748" s="83"/>
      <c r="AUR748" s="83"/>
      <c r="AVB748" s="83"/>
      <c r="AVL748" s="83"/>
      <c r="AVV748" s="83"/>
      <c r="AWF748" s="83"/>
      <c r="AWP748" s="83"/>
      <c r="AWZ748" s="83"/>
      <c r="AXJ748" s="83"/>
      <c r="AXT748" s="83"/>
      <c r="AYD748" s="83"/>
      <c r="AYN748" s="83"/>
      <c r="AYX748" s="83"/>
      <c r="AZH748" s="83"/>
      <c r="AZR748" s="83"/>
      <c r="BAB748" s="83"/>
      <c r="BAL748" s="83"/>
      <c r="BAV748" s="83"/>
      <c r="BBF748" s="83"/>
      <c r="BBP748" s="83"/>
      <c r="BBZ748" s="83"/>
      <c r="BCJ748" s="83"/>
      <c r="BCT748" s="83"/>
      <c r="BDD748" s="83"/>
      <c r="BDN748" s="83"/>
      <c r="BDX748" s="83"/>
      <c r="BEH748" s="83"/>
      <c r="BER748" s="83"/>
      <c r="BFB748" s="83"/>
      <c r="BFL748" s="83"/>
      <c r="BFV748" s="83"/>
      <c r="BGF748" s="83"/>
      <c r="BGP748" s="83"/>
      <c r="BGZ748" s="83"/>
      <c r="BHJ748" s="83"/>
      <c r="BHT748" s="83"/>
      <c r="BID748" s="83"/>
      <c r="BIN748" s="83"/>
      <c r="BIX748" s="83"/>
      <c r="BJH748" s="83"/>
      <c r="BJR748" s="83"/>
      <c r="BKB748" s="83"/>
      <c r="BKL748" s="83"/>
      <c r="BKV748" s="83"/>
      <c r="BLF748" s="83"/>
      <c r="BLP748" s="83"/>
      <c r="BLZ748" s="83"/>
      <c r="BMJ748" s="83"/>
      <c r="BMT748" s="83"/>
      <c r="BND748" s="83"/>
      <c r="BNN748" s="83"/>
      <c r="BNX748" s="83"/>
      <c r="BOH748" s="83"/>
      <c r="BOR748" s="83"/>
      <c r="BPB748" s="83"/>
      <c r="BPL748" s="83"/>
      <c r="BPV748" s="83"/>
      <c r="BQF748" s="83"/>
      <c r="BQP748" s="83"/>
      <c r="BQZ748" s="83"/>
      <c r="BRJ748" s="83"/>
      <c r="BRT748" s="83"/>
      <c r="BSD748" s="83"/>
      <c r="BSN748" s="83"/>
      <c r="BSX748" s="83"/>
      <c r="BTH748" s="83"/>
      <c r="BTR748" s="83"/>
      <c r="BUB748" s="83"/>
      <c r="BUL748" s="83"/>
      <c r="BUV748" s="83"/>
      <c r="BVF748" s="83"/>
      <c r="BVP748" s="83"/>
      <c r="BVZ748" s="83"/>
      <c r="BWJ748" s="83"/>
      <c r="BWT748" s="83"/>
      <c r="BXD748" s="83"/>
      <c r="BXN748" s="83"/>
      <c r="BXX748" s="83"/>
      <c r="BYH748" s="83"/>
      <c r="BYR748" s="83"/>
      <c r="BZB748" s="83"/>
      <c r="BZL748" s="83"/>
      <c r="BZV748" s="83"/>
      <c r="CAF748" s="83"/>
      <c r="CAP748" s="83"/>
      <c r="CAZ748" s="83"/>
      <c r="CBJ748" s="83"/>
      <c r="CBT748" s="83"/>
      <c r="CCD748" s="83"/>
      <c r="CCN748" s="83"/>
      <c r="CCX748" s="83"/>
      <c r="CDH748" s="83"/>
      <c r="CDR748" s="83"/>
      <c r="CEB748" s="83"/>
      <c r="CEL748" s="83"/>
      <c r="CEV748" s="83"/>
      <c r="CFF748" s="83"/>
      <c r="CFP748" s="83"/>
      <c r="CFZ748" s="83"/>
      <c r="CGJ748" s="83"/>
      <c r="CGT748" s="83"/>
      <c r="CHD748" s="83"/>
      <c r="CHN748" s="83"/>
      <c r="CHX748" s="83"/>
      <c r="CIH748" s="83"/>
      <c r="CIR748" s="83"/>
      <c r="CJB748" s="83"/>
      <c r="CJL748" s="83"/>
      <c r="CJV748" s="83"/>
      <c r="CKF748" s="83"/>
      <c r="CKP748" s="83"/>
      <c r="CKZ748" s="83"/>
      <c r="CLJ748" s="83"/>
      <c r="CLT748" s="83"/>
      <c r="CMD748" s="83"/>
      <c r="CMN748" s="83"/>
      <c r="CMX748" s="83"/>
      <c r="CNH748" s="83"/>
      <c r="CNR748" s="83"/>
      <c r="COB748" s="83"/>
      <c r="COL748" s="83"/>
      <c r="COV748" s="83"/>
      <c r="CPF748" s="83"/>
      <c r="CPP748" s="83"/>
      <c r="CPZ748" s="83"/>
      <c r="CQJ748" s="83"/>
      <c r="CQT748" s="83"/>
      <c r="CRD748" s="83"/>
      <c r="CRN748" s="83"/>
      <c r="CRX748" s="83"/>
      <c r="CSH748" s="83"/>
      <c r="CSR748" s="83"/>
      <c r="CTB748" s="83"/>
      <c r="CTL748" s="83"/>
      <c r="CTV748" s="83"/>
    </row>
    <row r="749" s="58" customFormat="1" customHeight="1" spans="1:1020 1030:2040 2050:2570">
      <c r="A749" s="79"/>
      <c r="B749" s="93"/>
      <c r="C749" s="93"/>
      <c r="D749" s="75"/>
      <c r="E749" s="75"/>
      <c r="F749" s="76"/>
      <c r="G749" s="75"/>
      <c r="H749" s="76"/>
      <c r="I749" s="76"/>
      <c r="J749" s="75"/>
      <c r="K749" s="78"/>
      <c r="T749" s="83"/>
      <c r="AD749" s="83"/>
      <c r="AN749" s="83"/>
      <c r="AX749" s="83"/>
      <c r="BH749" s="83"/>
      <c r="BR749" s="83"/>
      <c r="CB749" s="83"/>
      <c r="CL749" s="83"/>
      <c r="CV749" s="83"/>
      <c r="DF749" s="83"/>
      <c r="DP749" s="83"/>
      <c r="DZ749" s="83"/>
      <c r="EJ749" s="83"/>
      <c r="ET749" s="83"/>
      <c r="FD749" s="83"/>
      <c r="FN749" s="83"/>
      <c r="FX749" s="83"/>
      <c r="GH749" s="83"/>
      <c r="GR749" s="83"/>
      <c r="HB749" s="83"/>
      <c r="HL749" s="83"/>
      <c r="HV749" s="83"/>
      <c r="IF749" s="83"/>
      <c r="IP749" s="83"/>
      <c r="IZ749" s="83"/>
      <c r="JJ749" s="83"/>
      <c r="JT749" s="83"/>
      <c r="KD749" s="83"/>
      <c r="KN749" s="83"/>
      <c r="KX749" s="83"/>
      <c r="LH749" s="83"/>
      <c r="LR749" s="83"/>
      <c r="MB749" s="83"/>
      <c r="ML749" s="83"/>
      <c r="MV749" s="83"/>
      <c r="NF749" s="83"/>
      <c r="NP749" s="83"/>
      <c r="NZ749" s="83"/>
      <c r="OJ749" s="83"/>
      <c r="OT749" s="83"/>
      <c r="PD749" s="83"/>
      <c r="PN749" s="83"/>
      <c r="PX749" s="83"/>
      <c r="QH749" s="83"/>
      <c r="QR749" s="83"/>
      <c r="RB749" s="83"/>
      <c r="RL749" s="83"/>
      <c r="RV749" s="83"/>
      <c r="SF749" s="83"/>
      <c r="SP749" s="83"/>
      <c r="SZ749" s="83"/>
      <c r="TJ749" s="83"/>
      <c r="TT749" s="83"/>
      <c r="UD749" s="83"/>
      <c r="UN749" s="83"/>
      <c r="UX749" s="83"/>
      <c r="VH749" s="83"/>
      <c r="VR749" s="83"/>
      <c r="WB749" s="83"/>
      <c r="WL749" s="83"/>
      <c r="WV749" s="83"/>
      <c r="XF749" s="83"/>
      <c r="XP749" s="83"/>
      <c r="XZ749" s="83"/>
      <c r="YJ749" s="83"/>
      <c r="YT749" s="83"/>
      <c r="ZD749" s="83"/>
      <c r="ZN749" s="83"/>
      <c r="ZX749" s="83"/>
      <c r="AAH749" s="83"/>
      <c r="AAR749" s="83"/>
      <c r="ABB749" s="83"/>
      <c r="ABL749" s="83"/>
      <c r="ABV749" s="83"/>
      <c r="ACF749" s="83"/>
      <c r="ACP749" s="83"/>
      <c r="ACZ749" s="83"/>
      <c r="ADJ749" s="83"/>
      <c r="ADT749" s="83"/>
      <c r="AED749" s="83"/>
      <c r="AEN749" s="83"/>
      <c r="AEX749" s="83"/>
      <c r="AFH749" s="83"/>
      <c r="AFR749" s="83"/>
      <c r="AGB749" s="83"/>
      <c r="AGL749" s="83"/>
      <c r="AGV749" s="83"/>
      <c r="AHF749" s="83"/>
      <c r="AHP749" s="83"/>
      <c r="AHZ749" s="83"/>
      <c r="AIJ749" s="83"/>
      <c r="AIT749" s="83"/>
      <c r="AJD749" s="83"/>
      <c r="AJN749" s="83"/>
      <c r="AJX749" s="83"/>
      <c r="AKH749" s="83"/>
      <c r="AKR749" s="83"/>
      <c r="ALB749" s="83"/>
      <c r="ALL749" s="83"/>
      <c r="ALV749" s="83"/>
      <c r="AMF749" s="83"/>
      <c r="AMP749" s="83"/>
      <c r="AMZ749" s="83"/>
      <c r="ANJ749" s="83"/>
      <c r="ANT749" s="83"/>
      <c r="AOD749" s="83"/>
      <c r="AON749" s="83"/>
      <c r="AOX749" s="83"/>
      <c r="APH749" s="83"/>
      <c r="APR749" s="83"/>
      <c r="AQB749" s="83"/>
      <c r="AQL749" s="83"/>
      <c r="AQV749" s="83"/>
      <c r="ARF749" s="83"/>
      <c r="ARP749" s="83"/>
      <c r="ARZ749" s="83"/>
      <c r="ASJ749" s="83"/>
      <c r="AST749" s="83"/>
      <c r="ATD749" s="83"/>
      <c r="ATN749" s="83"/>
      <c r="ATX749" s="83"/>
      <c r="AUH749" s="83"/>
      <c r="AUR749" s="83"/>
      <c r="AVB749" s="83"/>
      <c r="AVL749" s="83"/>
      <c r="AVV749" s="83"/>
      <c r="AWF749" s="83"/>
      <c r="AWP749" s="83"/>
      <c r="AWZ749" s="83"/>
      <c r="AXJ749" s="83"/>
      <c r="AXT749" s="83"/>
      <c r="AYD749" s="83"/>
      <c r="AYN749" s="83"/>
      <c r="AYX749" s="83"/>
      <c r="AZH749" s="83"/>
      <c r="AZR749" s="83"/>
      <c r="BAB749" s="83"/>
      <c r="BAL749" s="83"/>
      <c r="BAV749" s="83"/>
      <c r="BBF749" s="83"/>
      <c r="BBP749" s="83"/>
      <c r="BBZ749" s="83"/>
      <c r="BCJ749" s="83"/>
      <c r="BCT749" s="83"/>
      <c r="BDD749" s="83"/>
      <c r="BDN749" s="83"/>
      <c r="BDX749" s="83"/>
      <c r="BEH749" s="83"/>
      <c r="BER749" s="83"/>
      <c r="BFB749" s="83"/>
      <c r="BFL749" s="83"/>
      <c r="BFV749" s="83"/>
      <c r="BGF749" s="83"/>
      <c r="BGP749" s="83"/>
      <c r="BGZ749" s="83"/>
      <c r="BHJ749" s="83"/>
      <c r="BHT749" s="83"/>
      <c r="BID749" s="83"/>
      <c r="BIN749" s="83"/>
      <c r="BIX749" s="83"/>
      <c r="BJH749" s="83"/>
      <c r="BJR749" s="83"/>
      <c r="BKB749" s="83"/>
      <c r="BKL749" s="83"/>
      <c r="BKV749" s="83"/>
      <c r="BLF749" s="83"/>
      <c r="BLP749" s="83"/>
      <c r="BLZ749" s="83"/>
      <c r="BMJ749" s="83"/>
      <c r="BMT749" s="83"/>
      <c r="BND749" s="83"/>
      <c r="BNN749" s="83"/>
      <c r="BNX749" s="83"/>
      <c r="BOH749" s="83"/>
      <c r="BOR749" s="83"/>
      <c r="BPB749" s="83"/>
      <c r="BPL749" s="83"/>
      <c r="BPV749" s="83"/>
      <c r="BQF749" s="83"/>
      <c r="BQP749" s="83"/>
      <c r="BQZ749" s="83"/>
      <c r="BRJ749" s="83"/>
      <c r="BRT749" s="83"/>
      <c r="BSD749" s="83"/>
      <c r="BSN749" s="83"/>
      <c r="BSX749" s="83"/>
      <c r="BTH749" s="83"/>
      <c r="BTR749" s="83"/>
      <c r="BUB749" s="83"/>
      <c r="BUL749" s="83"/>
      <c r="BUV749" s="83"/>
      <c r="BVF749" s="83"/>
      <c r="BVP749" s="83"/>
      <c r="BVZ749" s="83"/>
      <c r="BWJ749" s="83"/>
      <c r="BWT749" s="83"/>
      <c r="BXD749" s="83"/>
      <c r="BXN749" s="83"/>
      <c r="BXX749" s="83"/>
      <c r="BYH749" s="83"/>
      <c r="BYR749" s="83"/>
      <c r="BZB749" s="83"/>
      <c r="BZL749" s="83"/>
      <c r="BZV749" s="83"/>
      <c r="CAF749" s="83"/>
      <c r="CAP749" s="83"/>
      <c r="CAZ749" s="83"/>
      <c r="CBJ749" s="83"/>
      <c r="CBT749" s="83"/>
      <c r="CCD749" s="83"/>
      <c r="CCN749" s="83"/>
      <c r="CCX749" s="83"/>
      <c r="CDH749" s="83"/>
      <c r="CDR749" s="83"/>
      <c r="CEB749" s="83"/>
      <c r="CEL749" s="83"/>
      <c r="CEV749" s="83"/>
      <c r="CFF749" s="83"/>
      <c r="CFP749" s="83"/>
      <c r="CFZ749" s="83"/>
      <c r="CGJ749" s="83"/>
      <c r="CGT749" s="83"/>
      <c r="CHD749" s="83"/>
      <c r="CHN749" s="83"/>
      <c r="CHX749" s="83"/>
      <c r="CIH749" s="83"/>
      <c r="CIR749" s="83"/>
      <c r="CJB749" s="83"/>
      <c r="CJL749" s="83"/>
      <c r="CJV749" s="83"/>
      <c r="CKF749" s="83"/>
      <c r="CKP749" s="83"/>
      <c r="CKZ749" s="83"/>
      <c r="CLJ749" s="83"/>
      <c r="CLT749" s="83"/>
      <c r="CMD749" s="83"/>
      <c r="CMN749" s="83"/>
      <c r="CMX749" s="83"/>
      <c r="CNH749" s="83"/>
      <c r="CNR749" s="83"/>
      <c r="COB749" s="83"/>
      <c r="COL749" s="83"/>
      <c r="COV749" s="83"/>
      <c r="CPF749" s="83"/>
      <c r="CPP749" s="83"/>
      <c r="CPZ749" s="83"/>
      <c r="CQJ749" s="83"/>
      <c r="CQT749" s="83"/>
      <c r="CRD749" s="83"/>
      <c r="CRN749" s="83"/>
      <c r="CRX749" s="83"/>
      <c r="CSH749" s="83"/>
      <c r="CSR749" s="83"/>
      <c r="CTB749" s="83"/>
      <c r="CTL749" s="83"/>
      <c r="CTV749" s="83"/>
    </row>
    <row r="750" customHeight="1" spans="1:1020 1030:2040 2050:2570">
      <c r="A750" s="72"/>
      <c r="B750" s="73"/>
      <c r="C750" s="74"/>
      <c r="D750" s="74"/>
      <c r="E750" s="75"/>
      <c r="F750" s="76"/>
      <c r="G750" s="74"/>
      <c r="H750" s="77"/>
      <c r="I750" s="77"/>
      <c r="J750" s="74"/>
      <c r="K750" s="78"/>
    </row>
    <row r="751" customHeight="1" spans="1:1020 1030:2040 2050:2570">
      <c r="A751" s="72"/>
      <c r="B751" s="73"/>
      <c r="C751" s="74"/>
      <c r="D751" s="74"/>
      <c r="E751" s="75"/>
      <c r="F751" s="76"/>
      <c r="G751" s="74"/>
      <c r="H751" s="77"/>
      <c r="I751" s="77"/>
      <c r="J751" s="74"/>
      <c r="K751" s="78"/>
    </row>
    <row r="752" customHeight="1" spans="1:1020 1030:2040 2050:2570">
      <c r="A752" s="72"/>
      <c r="B752" s="73"/>
      <c r="C752" s="74"/>
      <c r="D752" s="74"/>
      <c r="E752" s="75"/>
      <c r="F752" s="76"/>
      <c r="G752" s="74"/>
      <c r="H752" s="77"/>
      <c r="I752" s="77"/>
      <c r="J752" s="74"/>
      <c r="K752" s="78"/>
    </row>
    <row r="753" customHeight="1" spans="1:1020 1030:2040 2050:2570">
      <c r="A753" s="72"/>
      <c r="B753" s="73"/>
      <c r="C753" s="74"/>
      <c r="D753" s="74"/>
      <c r="E753" s="75"/>
      <c r="F753" s="76"/>
      <c r="G753" s="74"/>
      <c r="H753" s="77"/>
      <c r="I753" s="77"/>
      <c r="J753" s="74"/>
      <c r="K753" s="78"/>
    </row>
    <row r="754" s="58" customFormat="1" customHeight="1" spans="1:1020 1030:2040 2050:2570">
      <c r="A754" s="79"/>
      <c r="B754" s="93"/>
      <c r="C754" s="93"/>
      <c r="D754" s="75"/>
      <c r="E754" s="75"/>
      <c r="F754" s="76"/>
      <c r="G754" s="75"/>
      <c r="H754" s="76"/>
      <c r="I754" s="76"/>
      <c r="J754" s="75"/>
      <c r="K754" s="78"/>
      <c r="T754" s="83"/>
      <c r="AD754" s="83"/>
      <c r="AN754" s="83"/>
      <c r="AX754" s="83"/>
      <c r="BH754" s="83"/>
      <c r="BR754" s="83"/>
      <c r="CB754" s="83"/>
      <c r="CL754" s="83"/>
      <c r="CV754" s="83"/>
      <c r="DF754" s="83"/>
      <c r="DP754" s="83"/>
      <c r="DZ754" s="83"/>
      <c r="EJ754" s="83"/>
      <c r="ET754" s="83"/>
      <c r="FD754" s="83"/>
      <c r="FN754" s="83"/>
      <c r="FX754" s="83"/>
      <c r="GH754" s="83"/>
      <c r="GR754" s="83"/>
      <c r="HB754" s="83"/>
      <c r="HL754" s="83"/>
      <c r="HV754" s="83"/>
      <c r="IF754" s="83"/>
      <c r="IP754" s="83"/>
      <c r="IZ754" s="83"/>
      <c r="JJ754" s="83"/>
      <c r="JT754" s="83"/>
      <c r="KD754" s="83"/>
      <c r="KN754" s="83"/>
      <c r="KX754" s="83"/>
      <c r="LH754" s="83"/>
      <c r="LR754" s="83"/>
      <c r="MB754" s="83"/>
      <c r="ML754" s="83"/>
      <c r="MV754" s="83"/>
      <c r="NF754" s="83"/>
      <c r="NP754" s="83"/>
      <c r="NZ754" s="83"/>
      <c r="OJ754" s="83"/>
      <c r="OT754" s="83"/>
      <c r="PD754" s="83"/>
      <c r="PN754" s="83"/>
      <c r="PX754" s="83"/>
      <c r="QH754" s="83"/>
      <c r="QR754" s="83"/>
      <c r="RB754" s="83"/>
      <c r="RL754" s="83"/>
      <c r="RV754" s="83"/>
      <c r="SF754" s="83"/>
      <c r="SP754" s="83"/>
      <c r="SZ754" s="83"/>
      <c r="TJ754" s="83"/>
      <c r="TT754" s="83"/>
      <c r="UD754" s="83"/>
      <c r="UN754" s="83"/>
      <c r="UX754" s="83"/>
      <c r="VH754" s="83"/>
      <c r="VR754" s="83"/>
      <c r="WB754" s="83"/>
      <c r="WL754" s="83"/>
      <c r="WV754" s="83"/>
      <c r="XF754" s="83"/>
      <c r="XP754" s="83"/>
      <c r="XZ754" s="83"/>
      <c r="YJ754" s="83"/>
      <c r="YT754" s="83"/>
      <c r="ZD754" s="83"/>
      <c r="ZN754" s="83"/>
      <c r="ZX754" s="83"/>
      <c r="AAH754" s="83"/>
      <c r="AAR754" s="83"/>
      <c r="ABB754" s="83"/>
      <c r="ABL754" s="83"/>
      <c r="ABV754" s="83"/>
      <c r="ACF754" s="83"/>
      <c r="ACP754" s="83"/>
      <c r="ACZ754" s="83"/>
      <c r="ADJ754" s="83"/>
      <c r="ADT754" s="83"/>
      <c r="AED754" s="83"/>
      <c r="AEN754" s="83"/>
      <c r="AEX754" s="83"/>
      <c r="AFH754" s="83"/>
      <c r="AFR754" s="83"/>
      <c r="AGB754" s="83"/>
      <c r="AGL754" s="83"/>
      <c r="AGV754" s="83"/>
      <c r="AHF754" s="83"/>
      <c r="AHP754" s="83"/>
      <c r="AHZ754" s="83"/>
      <c r="AIJ754" s="83"/>
      <c r="AIT754" s="83"/>
      <c r="AJD754" s="83"/>
      <c r="AJN754" s="83"/>
      <c r="AJX754" s="83"/>
      <c r="AKH754" s="83"/>
      <c r="AKR754" s="83"/>
      <c r="ALB754" s="83"/>
      <c r="ALL754" s="83"/>
      <c r="ALV754" s="83"/>
      <c r="AMF754" s="83"/>
      <c r="AMP754" s="83"/>
      <c r="AMZ754" s="83"/>
      <c r="ANJ754" s="83"/>
      <c r="ANT754" s="83"/>
      <c r="AOD754" s="83"/>
      <c r="AON754" s="83"/>
      <c r="AOX754" s="83"/>
      <c r="APH754" s="83"/>
      <c r="APR754" s="83"/>
      <c r="AQB754" s="83"/>
      <c r="AQL754" s="83"/>
      <c r="AQV754" s="83"/>
      <c r="ARF754" s="83"/>
      <c r="ARP754" s="83"/>
      <c r="ARZ754" s="83"/>
      <c r="ASJ754" s="83"/>
      <c r="AST754" s="83"/>
      <c r="ATD754" s="83"/>
      <c r="ATN754" s="83"/>
      <c r="ATX754" s="83"/>
      <c r="AUH754" s="83"/>
      <c r="AUR754" s="83"/>
      <c r="AVB754" s="83"/>
      <c r="AVL754" s="83"/>
      <c r="AVV754" s="83"/>
      <c r="AWF754" s="83"/>
      <c r="AWP754" s="83"/>
      <c r="AWZ754" s="83"/>
      <c r="AXJ754" s="83"/>
      <c r="AXT754" s="83"/>
      <c r="AYD754" s="83"/>
      <c r="AYN754" s="83"/>
      <c r="AYX754" s="83"/>
      <c r="AZH754" s="83"/>
      <c r="AZR754" s="83"/>
      <c r="BAB754" s="83"/>
      <c r="BAL754" s="83"/>
      <c r="BAV754" s="83"/>
      <c r="BBF754" s="83"/>
      <c r="BBP754" s="83"/>
      <c r="BBZ754" s="83"/>
      <c r="BCJ754" s="83"/>
      <c r="BCT754" s="83"/>
      <c r="BDD754" s="83"/>
      <c r="BDN754" s="83"/>
      <c r="BDX754" s="83"/>
      <c r="BEH754" s="83"/>
      <c r="BER754" s="83"/>
      <c r="BFB754" s="83"/>
      <c r="BFL754" s="83"/>
      <c r="BFV754" s="83"/>
      <c r="BGF754" s="83"/>
      <c r="BGP754" s="83"/>
      <c r="BGZ754" s="83"/>
      <c r="BHJ754" s="83"/>
      <c r="BHT754" s="83"/>
      <c r="BID754" s="83"/>
      <c r="BIN754" s="83"/>
      <c r="BIX754" s="83"/>
      <c r="BJH754" s="83"/>
      <c r="BJR754" s="83"/>
      <c r="BKB754" s="83"/>
      <c r="BKL754" s="83"/>
      <c r="BKV754" s="83"/>
      <c r="BLF754" s="83"/>
      <c r="BLP754" s="83"/>
      <c r="BLZ754" s="83"/>
      <c r="BMJ754" s="83"/>
      <c r="BMT754" s="83"/>
      <c r="BND754" s="83"/>
      <c r="BNN754" s="83"/>
      <c r="BNX754" s="83"/>
      <c r="BOH754" s="83"/>
      <c r="BOR754" s="83"/>
      <c r="BPB754" s="83"/>
      <c r="BPL754" s="83"/>
      <c r="BPV754" s="83"/>
      <c r="BQF754" s="83"/>
      <c r="BQP754" s="83"/>
      <c r="BQZ754" s="83"/>
      <c r="BRJ754" s="83"/>
      <c r="BRT754" s="83"/>
      <c r="BSD754" s="83"/>
      <c r="BSN754" s="83"/>
      <c r="BSX754" s="83"/>
      <c r="BTH754" s="83"/>
      <c r="BTR754" s="83"/>
      <c r="BUB754" s="83"/>
      <c r="BUL754" s="83"/>
      <c r="BUV754" s="83"/>
      <c r="BVF754" s="83"/>
      <c r="BVP754" s="83"/>
      <c r="BVZ754" s="83"/>
      <c r="BWJ754" s="83"/>
      <c r="BWT754" s="83"/>
      <c r="BXD754" s="83"/>
      <c r="BXN754" s="83"/>
      <c r="BXX754" s="83"/>
      <c r="BYH754" s="83"/>
      <c r="BYR754" s="83"/>
      <c r="BZB754" s="83"/>
      <c r="BZL754" s="83"/>
      <c r="BZV754" s="83"/>
      <c r="CAF754" s="83"/>
      <c r="CAP754" s="83"/>
      <c r="CAZ754" s="83"/>
      <c r="CBJ754" s="83"/>
      <c r="CBT754" s="83"/>
      <c r="CCD754" s="83"/>
      <c r="CCN754" s="83"/>
      <c r="CCX754" s="83"/>
      <c r="CDH754" s="83"/>
      <c r="CDR754" s="83"/>
      <c r="CEB754" s="83"/>
      <c r="CEL754" s="83"/>
      <c r="CEV754" s="83"/>
      <c r="CFF754" s="83"/>
      <c r="CFP754" s="83"/>
      <c r="CFZ754" s="83"/>
      <c r="CGJ754" s="83"/>
      <c r="CGT754" s="83"/>
      <c r="CHD754" s="83"/>
      <c r="CHN754" s="83"/>
      <c r="CHX754" s="83"/>
      <c r="CIH754" s="83"/>
      <c r="CIR754" s="83"/>
      <c r="CJB754" s="83"/>
      <c r="CJL754" s="83"/>
      <c r="CJV754" s="83"/>
      <c r="CKF754" s="83"/>
      <c r="CKP754" s="83"/>
      <c r="CKZ754" s="83"/>
      <c r="CLJ754" s="83"/>
      <c r="CLT754" s="83"/>
      <c r="CMD754" s="83"/>
      <c r="CMN754" s="83"/>
      <c r="CMX754" s="83"/>
      <c r="CNH754" s="83"/>
      <c r="CNR754" s="83"/>
      <c r="COB754" s="83"/>
      <c r="COL754" s="83"/>
      <c r="COV754" s="83"/>
      <c r="CPF754" s="83"/>
      <c r="CPP754" s="83"/>
      <c r="CPZ754" s="83"/>
      <c r="CQJ754" s="83"/>
      <c r="CQT754" s="83"/>
      <c r="CRD754" s="83"/>
      <c r="CRN754" s="83"/>
      <c r="CRX754" s="83"/>
      <c r="CSH754" s="83"/>
      <c r="CSR754" s="83"/>
      <c r="CTB754" s="83"/>
      <c r="CTL754" s="83"/>
      <c r="CTV754" s="83"/>
    </row>
    <row r="755" s="58" customFormat="1" customHeight="1" spans="1:1020 1030:2040 2050:2570">
      <c r="A755" s="79"/>
      <c r="B755" s="93"/>
      <c r="C755" s="93"/>
      <c r="D755" s="75"/>
      <c r="E755" s="75"/>
      <c r="F755" s="76"/>
      <c r="G755" s="75"/>
      <c r="H755" s="76"/>
      <c r="I755" s="76"/>
      <c r="J755" s="75"/>
      <c r="K755" s="78"/>
      <c r="T755" s="83"/>
      <c r="AD755" s="83"/>
      <c r="AN755" s="83"/>
      <c r="AX755" s="83"/>
      <c r="BH755" s="83"/>
      <c r="BR755" s="83"/>
      <c r="CB755" s="83"/>
      <c r="CL755" s="83"/>
      <c r="CV755" s="83"/>
      <c r="DF755" s="83"/>
      <c r="DP755" s="83"/>
      <c r="DZ755" s="83"/>
      <c r="EJ755" s="83"/>
      <c r="ET755" s="83"/>
      <c r="FD755" s="83"/>
      <c r="FN755" s="83"/>
      <c r="FX755" s="83"/>
      <c r="GH755" s="83"/>
      <c r="GR755" s="83"/>
      <c r="HB755" s="83"/>
      <c r="HL755" s="83"/>
      <c r="HV755" s="83"/>
      <c r="IF755" s="83"/>
      <c r="IP755" s="83"/>
      <c r="IZ755" s="83"/>
      <c r="JJ755" s="83"/>
      <c r="JT755" s="83"/>
      <c r="KD755" s="83"/>
      <c r="KN755" s="83"/>
      <c r="KX755" s="83"/>
      <c r="LH755" s="83"/>
      <c r="LR755" s="83"/>
      <c r="MB755" s="83"/>
      <c r="ML755" s="83"/>
      <c r="MV755" s="83"/>
      <c r="NF755" s="83"/>
      <c r="NP755" s="83"/>
      <c r="NZ755" s="83"/>
      <c r="OJ755" s="83"/>
      <c r="OT755" s="83"/>
      <c r="PD755" s="83"/>
      <c r="PN755" s="83"/>
      <c r="PX755" s="83"/>
      <c r="QH755" s="83"/>
      <c r="QR755" s="83"/>
      <c r="RB755" s="83"/>
      <c r="RL755" s="83"/>
      <c r="RV755" s="83"/>
      <c r="SF755" s="83"/>
      <c r="SP755" s="83"/>
      <c r="SZ755" s="83"/>
      <c r="TJ755" s="83"/>
      <c r="TT755" s="83"/>
      <c r="UD755" s="83"/>
      <c r="UN755" s="83"/>
      <c r="UX755" s="83"/>
      <c r="VH755" s="83"/>
      <c r="VR755" s="83"/>
      <c r="WB755" s="83"/>
      <c r="WL755" s="83"/>
      <c r="WV755" s="83"/>
      <c r="XF755" s="83"/>
      <c r="XP755" s="83"/>
      <c r="XZ755" s="83"/>
      <c r="YJ755" s="83"/>
      <c r="YT755" s="83"/>
      <c r="ZD755" s="83"/>
      <c r="ZN755" s="83"/>
      <c r="ZX755" s="83"/>
      <c r="AAH755" s="83"/>
      <c r="AAR755" s="83"/>
      <c r="ABB755" s="83"/>
      <c r="ABL755" s="83"/>
      <c r="ABV755" s="83"/>
      <c r="ACF755" s="83"/>
      <c r="ACP755" s="83"/>
      <c r="ACZ755" s="83"/>
      <c r="ADJ755" s="83"/>
      <c r="ADT755" s="83"/>
      <c r="AED755" s="83"/>
      <c r="AEN755" s="83"/>
      <c r="AEX755" s="83"/>
      <c r="AFH755" s="83"/>
      <c r="AFR755" s="83"/>
      <c r="AGB755" s="83"/>
      <c r="AGL755" s="83"/>
      <c r="AGV755" s="83"/>
      <c r="AHF755" s="83"/>
      <c r="AHP755" s="83"/>
      <c r="AHZ755" s="83"/>
      <c r="AIJ755" s="83"/>
      <c r="AIT755" s="83"/>
      <c r="AJD755" s="83"/>
      <c r="AJN755" s="83"/>
      <c r="AJX755" s="83"/>
      <c r="AKH755" s="83"/>
      <c r="AKR755" s="83"/>
      <c r="ALB755" s="83"/>
      <c r="ALL755" s="83"/>
      <c r="ALV755" s="83"/>
      <c r="AMF755" s="83"/>
      <c r="AMP755" s="83"/>
      <c r="AMZ755" s="83"/>
      <c r="ANJ755" s="83"/>
      <c r="ANT755" s="83"/>
      <c r="AOD755" s="83"/>
      <c r="AON755" s="83"/>
      <c r="AOX755" s="83"/>
      <c r="APH755" s="83"/>
      <c r="APR755" s="83"/>
      <c r="AQB755" s="83"/>
      <c r="AQL755" s="83"/>
      <c r="AQV755" s="83"/>
      <c r="ARF755" s="83"/>
      <c r="ARP755" s="83"/>
      <c r="ARZ755" s="83"/>
      <c r="ASJ755" s="83"/>
      <c r="AST755" s="83"/>
      <c r="ATD755" s="83"/>
      <c r="ATN755" s="83"/>
      <c r="ATX755" s="83"/>
      <c r="AUH755" s="83"/>
      <c r="AUR755" s="83"/>
      <c r="AVB755" s="83"/>
      <c r="AVL755" s="83"/>
      <c r="AVV755" s="83"/>
      <c r="AWF755" s="83"/>
      <c r="AWP755" s="83"/>
      <c r="AWZ755" s="83"/>
      <c r="AXJ755" s="83"/>
      <c r="AXT755" s="83"/>
      <c r="AYD755" s="83"/>
      <c r="AYN755" s="83"/>
      <c r="AYX755" s="83"/>
      <c r="AZH755" s="83"/>
      <c r="AZR755" s="83"/>
      <c r="BAB755" s="83"/>
      <c r="BAL755" s="83"/>
      <c r="BAV755" s="83"/>
      <c r="BBF755" s="83"/>
      <c r="BBP755" s="83"/>
      <c r="BBZ755" s="83"/>
      <c r="BCJ755" s="83"/>
      <c r="BCT755" s="83"/>
      <c r="BDD755" s="83"/>
      <c r="BDN755" s="83"/>
      <c r="BDX755" s="83"/>
      <c r="BEH755" s="83"/>
      <c r="BER755" s="83"/>
      <c r="BFB755" s="83"/>
      <c r="BFL755" s="83"/>
      <c r="BFV755" s="83"/>
      <c r="BGF755" s="83"/>
      <c r="BGP755" s="83"/>
      <c r="BGZ755" s="83"/>
      <c r="BHJ755" s="83"/>
      <c r="BHT755" s="83"/>
      <c r="BID755" s="83"/>
      <c r="BIN755" s="83"/>
      <c r="BIX755" s="83"/>
      <c r="BJH755" s="83"/>
      <c r="BJR755" s="83"/>
      <c r="BKB755" s="83"/>
      <c r="BKL755" s="83"/>
      <c r="BKV755" s="83"/>
      <c r="BLF755" s="83"/>
      <c r="BLP755" s="83"/>
      <c r="BLZ755" s="83"/>
      <c r="BMJ755" s="83"/>
      <c r="BMT755" s="83"/>
      <c r="BND755" s="83"/>
      <c r="BNN755" s="83"/>
      <c r="BNX755" s="83"/>
      <c r="BOH755" s="83"/>
      <c r="BOR755" s="83"/>
      <c r="BPB755" s="83"/>
      <c r="BPL755" s="83"/>
      <c r="BPV755" s="83"/>
      <c r="BQF755" s="83"/>
      <c r="BQP755" s="83"/>
      <c r="BQZ755" s="83"/>
      <c r="BRJ755" s="83"/>
      <c r="BRT755" s="83"/>
      <c r="BSD755" s="83"/>
      <c r="BSN755" s="83"/>
      <c r="BSX755" s="83"/>
      <c r="BTH755" s="83"/>
      <c r="BTR755" s="83"/>
      <c r="BUB755" s="83"/>
      <c r="BUL755" s="83"/>
      <c r="BUV755" s="83"/>
      <c r="BVF755" s="83"/>
      <c r="BVP755" s="83"/>
      <c r="BVZ755" s="83"/>
      <c r="BWJ755" s="83"/>
      <c r="BWT755" s="83"/>
      <c r="BXD755" s="83"/>
      <c r="BXN755" s="83"/>
      <c r="BXX755" s="83"/>
      <c r="BYH755" s="83"/>
      <c r="BYR755" s="83"/>
      <c r="BZB755" s="83"/>
      <c r="BZL755" s="83"/>
      <c r="BZV755" s="83"/>
      <c r="CAF755" s="83"/>
      <c r="CAP755" s="83"/>
      <c r="CAZ755" s="83"/>
      <c r="CBJ755" s="83"/>
      <c r="CBT755" s="83"/>
      <c r="CCD755" s="83"/>
      <c r="CCN755" s="83"/>
      <c r="CCX755" s="83"/>
      <c r="CDH755" s="83"/>
      <c r="CDR755" s="83"/>
      <c r="CEB755" s="83"/>
      <c r="CEL755" s="83"/>
      <c r="CEV755" s="83"/>
      <c r="CFF755" s="83"/>
      <c r="CFP755" s="83"/>
      <c r="CFZ755" s="83"/>
      <c r="CGJ755" s="83"/>
      <c r="CGT755" s="83"/>
      <c r="CHD755" s="83"/>
      <c r="CHN755" s="83"/>
      <c r="CHX755" s="83"/>
      <c r="CIH755" s="83"/>
      <c r="CIR755" s="83"/>
      <c r="CJB755" s="83"/>
      <c r="CJL755" s="83"/>
      <c r="CJV755" s="83"/>
      <c r="CKF755" s="83"/>
      <c r="CKP755" s="83"/>
      <c r="CKZ755" s="83"/>
      <c r="CLJ755" s="83"/>
      <c r="CLT755" s="83"/>
      <c r="CMD755" s="83"/>
      <c r="CMN755" s="83"/>
      <c r="CMX755" s="83"/>
      <c r="CNH755" s="83"/>
      <c r="CNR755" s="83"/>
      <c r="COB755" s="83"/>
      <c r="COL755" s="83"/>
      <c r="COV755" s="83"/>
      <c r="CPF755" s="83"/>
      <c r="CPP755" s="83"/>
      <c r="CPZ755" s="83"/>
      <c r="CQJ755" s="83"/>
      <c r="CQT755" s="83"/>
      <c r="CRD755" s="83"/>
      <c r="CRN755" s="83"/>
      <c r="CRX755" s="83"/>
      <c r="CSH755" s="83"/>
      <c r="CSR755" s="83"/>
      <c r="CTB755" s="83"/>
      <c r="CTL755" s="83"/>
      <c r="CTV755" s="83"/>
    </row>
    <row r="756" s="58" customFormat="1" customHeight="1" spans="1:1020 1030:2040 2050:2570">
      <c r="A756" s="79"/>
      <c r="B756" s="93"/>
      <c r="C756" s="93"/>
      <c r="D756" s="75"/>
      <c r="E756" s="75"/>
      <c r="F756" s="76"/>
      <c r="G756" s="75"/>
      <c r="H756" s="76"/>
      <c r="I756" s="76"/>
      <c r="J756" s="75"/>
      <c r="K756" s="78"/>
      <c r="T756" s="83"/>
      <c r="AD756" s="83"/>
      <c r="AN756" s="83"/>
      <c r="AX756" s="83"/>
      <c r="BH756" s="83"/>
      <c r="BR756" s="83"/>
      <c r="CB756" s="83"/>
      <c r="CL756" s="83"/>
      <c r="CV756" s="83"/>
      <c r="DF756" s="83"/>
      <c r="DP756" s="83"/>
      <c r="DZ756" s="83"/>
      <c r="EJ756" s="83"/>
      <c r="ET756" s="83"/>
      <c r="FD756" s="83"/>
      <c r="FN756" s="83"/>
      <c r="FX756" s="83"/>
      <c r="GH756" s="83"/>
      <c r="GR756" s="83"/>
      <c r="HB756" s="83"/>
      <c r="HL756" s="83"/>
      <c r="HV756" s="83"/>
      <c r="IF756" s="83"/>
      <c r="IP756" s="83"/>
      <c r="IZ756" s="83"/>
      <c r="JJ756" s="83"/>
      <c r="JT756" s="83"/>
      <c r="KD756" s="83"/>
      <c r="KN756" s="83"/>
      <c r="KX756" s="83"/>
      <c r="LH756" s="83"/>
      <c r="LR756" s="83"/>
      <c r="MB756" s="83"/>
      <c r="ML756" s="83"/>
      <c r="MV756" s="83"/>
      <c r="NF756" s="83"/>
      <c r="NP756" s="83"/>
      <c r="NZ756" s="83"/>
      <c r="OJ756" s="83"/>
      <c r="OT756" s="83"/>
      <c r="PD756" s="83"/>
      <c r="PN756" s="83"/>
      <c r="PX756" s="83"/>
      <c r="QH756" s="83"/>
      <c r="QR756" s="83"/>
      <c r="RB756" s="83"/>
      <c r="RL756" s="83"/>
      <c r="RV756" s="83"/>
      <c r="SF756" s="83"/>
      <c r="SP756" s="83"/>
      <c r="SZ756" s="83"/>
      <c r="TJ756" s="83"/>
      <c r="TT756" s="83"/>
      <c r="UD756" s="83"/>
      <c r="UN756" s="83"/>
      <c r="UX756" s="83"/>
      <c r="VH756" s="83"/>
      <c r="VR756" s="83"/>
      <c r="WB756" s="83"/>
      <c r="WL756" s="83"/>
      <c r="WV756" s="83"/>
      <c r="XF756" s="83"/>
      <c r="XP756" s="83"/>
      <c r="XZ756" s="83"/>
      <c r="YJ756" s="83"/>
      <c r="YT756" s="83"/>
      <c r="ZD756" s="83"/>
      <c r="ZN756" s="83"/>
      <c r="ZX756" s="83"/>
      <c r="AAH756" s="83"/>
      <c r="AAR756" s="83"/>
      <c r="ABB756" s="83"/>
      <c r="ABL756" s="83"/>
      <c r="ABV756" s="83"/>
      <c r="ACF756" s="83"/>
      <c r="ACP756" s="83"/>
      <c r="ACZ756" s="83"/>
      <c r="ADJ756" s="83"/>
      <c r="ADT756" s="83"/>
      <c r="AED756" s="83"/>
      <c r="AEN756" s="83"/>
      <c r="AEX756" s="83"/>
      <c r="AFH756" s="83"/>
      <c r="AFR756" s="83"/>
      <c r="AGB756" s="83"/>
      <c r="AGL756" s="83"/>
      <c r="AGV756" s="83"/>
      <c r="AHF756" s="83"/>
      <c r="AHP756" s="83"/>
      <c r="AHZ756" s="83"/>
      <c r="AIJ756" s="83"/>
      <c r="AIT756" s="83"/>
      <c r="AJD756" s="83"/>
      <c r="AJN756" s="83"/>
      <c r="AJX756" s="83"/>
      <c r="AKH756" s="83"/>
      <c r="AKR756" s="83"/>
      <c r="ALB756" s="83"/>
      <c r="ALL756" s="83"/>
      <c r="ALV756" s="83"/>
      <c r="AMF756" s="83"/>
      <c r="AMP756" s="83"/>
      <c r="AMZ756" s="83"/>
      <c r="ANJ756" s="83"/>
      <c r="ANT756" s="83"/>
      <c r="AOD756" s="83"/>
      <c r="AON756" s="83"/>
      <c r="AOX756" s="83"/>
      <c r="APH756" s="83"/>
      <c r="APR756" s="83"/>
      <c r="AQB756" s="83"/>
      <c r="AQL756" s="83"/>
      <c r="AQV756" s="83"/>
      <c r="ARF756" s="83"/>
      <c r="ARP756" s="83"/>
      <c r="ARZ756" s="83"/>
      <c r="ASJ756" s="83"/>
      <c r="AST756" s="83"/>
      <c r="ATD756" s="83"/>
      <c r="ATN756" s="83"/>
      <c r="ATX756" s="83"/>
      <c r="AUH756" s="83"/>
      <c r="AUR756" s="83"/>
      <c r="AVB756" s="83"/>
      <c r="AVL756" s="83"/>
      <c r="AVV756" s="83"/>
      <c r="AWF756" s="83"/>
      <c r="AWP756" s="83"/>
      <c r="AWZ756" s="83"/>
      <c r="AXJ756" s="83"/>
      <c r="AXT756" s="83"/>
      <c r="AYD756" s="83"/>
      <c r="AYN756" s="83"/>
      <c r="AYX756" s="83"/>
      <c r="AZH756" s="83"/>
      <c r="AZR756" s="83"/>
      <c r="BAB756" s="83"/>
      <c r="BAL756" s="83"/>
      <c r="BAV756" s="83"/>
      <c r="BBF756" s="83"/>
      <c r="BBP756" s="83"/>
      <c r="BBZ756" s="83"/>
      <c r="BCJ756" s="83"/>
      <c r="BCT756" s="83"/>
      <c r="BDD756" s="83"/>
      <c r="BDN756" s="83"/>
      <c r="BDX756" s="83"/>
      <c r="BEH756" s="83"/>
      <c r="BER756" s="83"/>
      <c r="BFB756" s="83"/>
      <c r="BFL756" s="83"/>
      <c r="BFV756" s="83"/>
      <c r="BGF756" s="83"/>
      <c r="BGP756" s="83"/>
      <c r="BGZ756" s="83"/>
      <c r="BHJ756" s="83"/>
      <c r="BHT756" s="83"/>
      <c r="BID756" s="83"/>
      <c r="BIN756" s="83"/>
      <c r="BIX756" s="83"/>
      <c r="BJH756" s="83"/>
      <c r="BJR756" s="83"/>
      <c r="BKB756" s="83"/>
      <c r="BKL756" s="83"/>
      <c r="BKV756" s="83"/>
      <c r="BLF756" s="83"/>
      <c r="BLP756" s="83"/>
      <c r="BLZ756" s="83"/>
      <c r="BMJ756" s="83"/>
      <c r="BMT756" s="83"/>
      <c r="BND756" s="83"/>
      <c r="BNN756" s="83"/>
      <c r="BNX756" s="83"/>
      <c r="BOH756" s="83"/>
      <c r="BOR756" s="83"/>
      <c r="BPB756" s="83"/>
      <c r="BPL756" s="83"/>
      <c r="BPV756" s="83"/>
      <c r="BQF756" s="83"/>
      <c r="BQP756" s="83"/>
      <c r="BQZ756" s="83"/>
      <c r="BRJ756" s="83"/>
      <c r="BRT756" s="83"/>
      <c r="BSD756" s="83"/>
      <c r="BSN756" s="83"/>
      <c r="BSX756" s="83"/>
      <c r="BTH756" s="83"/>
      <c r="BTR756" s="83"/>
      <c r="BUB756" s="83"/>
      <c r="BUL756" s="83"/>
      <c r="BUV756" s="83"/>
      <c r="BVF756" s="83"/>
      <c r="BVP756" s="83"/>
      <c r="BVZ756" s="83"/>
      <c r="BWJ756" s="83"/>
      <c r="BWT756" s="83"/>
      <c r="BXD756" s="83"/>
      <c r="BXN756" s="83"/>
      <c r="BXX756" s="83"/>
      <c r="BYH756" s="83"/>
      <c r="BYR756" s="83"/>
      <c r="BZB756" s="83"/>
      <c r="BZL756" s="83"/>
      <c r="BZV756" s="83"/>
      <c r="CAF756" s="83"/>
      <c r="CAP756" s="83"/>
      <c r="CAZ756" s="83"/>
      <c r="CBJ756" s="83"/>
      <c r="CBT756" s="83"/>
      <c r="CCD756" s="83"/>
      <c r="CCN756" s="83"/>
      <c r="CCX756" s="83"/>
      <c r="CDH756" s="83"/>
      <c r="CDR756" s="83"/>
      <c r="CEB756" s="83"/>
      <c r="CEL756" s="83"/>
      <c r="CEV756" s="83"/>
      <c r="CFF756" s="83"/>
      <c r="CFP756" s="83"/>
      <c r="CFZ756" s="83"/>
      <c r="CGJ756" s="83"/>
      <c r="CGT756" s="83"/>
      <c r="CHD756" s="83"/>
      <c r="CHN756" s="83"/>
      <c r="CHX756" s="83"/>
      <c r="CIH756" s="83"/>
      <c r="CIR756" s="83"/>
      <c r="CJB756" s="83"/>
      <c r="CJL756" s="83"/>
      <c r="CJV756" s="83"/>
      <c r="CKF756" s="83"/>
      <c r="CKP756" s="83"/>
      <c r="CKZ756" s="83"/>
      <c r="CLJ756" s="83"/>
      <c r="CLT756" s="83"/>
      <c r="CMD756" s="83"/>
      <c r="CMN756" s="83"/>
      <c r="CMX756" s="83"/>
      <c r="CNH756" s="83"/>
      <c r="CNR756" s="83"/>
      <c r="COB756" s="83"/>
      <c r="COL756" s="83"/>
      <c r="COV756" s="83"/>
      <c r="CPF756" s="83"/>
      <c r="CPP756" s="83"/>
      <c r="CPZ756" s="83"/>
      <c r="CQJ756" s="83"/>
      <c r="CQT756" s="83"/>
      <c r="CRD756" s="83"/>
      <c r="CRN756" s="83"/>
      <c r="CRX756" s="83"/>
      <c r="CSH756" s="83"/>
      <c r="CSR756" s="83"/>
      <c r="CTB756" s="83"/>
      <c r="CTL756" s="83"/>
      <c r="CTV756" s="83"/>
    </row>
    <row r="757" s="58" customFormat="1" customHeight="1" spans="1:1020 1030:2040 2050:2570">
      <c r="A757" s="79"/>
      <c r="B757" s="93"/>
      <c r="C757" s="93"/>
      <c r="D757" s="75"/>
      <c r="E757" s="75"/>
      <c r="F757" s="76"/>
      <c r="G757" s="75"/>
      <c r="H757" s="76"/>
      <c r="I757" s="76"/>
      <c r="J757" s="75"/>
      <c r="K757" s="78"/>
      <c r="T757" s="83"/>
      <c r="AD757" s="83"/>
      <c r="AN757" s="83"/>
      <c r="AX757" s="83"/>
      <c r="BH757" s="83"/>
      <c r="BR757" s="83"/>
      <c r="CB757" s="83"/>
      <c r="CL757" s="83"/>
      <c r="CV757" s="83"/>
      <c r="DF757" s="83"/>
      <c r="DP757" s="83"/>
      <c r="DZ757" s="83"/>
      <c r="EJ757" s="83"/>
      <c r="ET757" s="83"/>
      <c r="FD757" s="83"/>
      <c r="FN757" s="83"/>
      <c r="FX757" s="83"/>
      <c r="GH757" s="83"/>
      <c r="GR757" s="83"/>
      <c r="HB757" s="83"/>
      <c r="HL757" s="83"/>
      <c r="HV757" s="83"/>
      <c r="IF757" s="83"/>
      <c r="IP757" s="83"/>
      <c r="IZ757" s="83"/>
      <c r="JJ757" s="83"/>
      <c r="JT757" s="83"/>
      <c r="KD757" s="83"/>
      <c r="KN757" s="83"/>
      <c r="KX757" s="83"/>
      <c r="LH757" s="83"/>
      <c r="LR757" s="83"/>
      <c r="MB757" s="83"/>
      <c r="ML757" s="83"/>
      <c r="MV757" s="83"/>
      <c r="NF757" s="83"/>
      <c r="NP757" s="83"/>
      <c r="NZ757" s="83"/>
      <c r="OJ757" s="83"/>
      <c r="OT757" s="83"/>
      <c r="PD757" s="83"/>
      <c r="PN757" s="83"/>
      <c r="PX757" s="83"/>
      <c r="QH757" s="83"/>
      <c r="QR757" s="83"/>
      <c r="RB757" s="83"/>
      <c r="RL757" s="83"/>
      <c r="RV757" s="83"/>
      <c r="SF757" s="83"/>
      <c r="SP757" s="83"/>
      <c r="SZ757" s="83"/>
      <c r="TJ757" s="83"/>
      <c r="TT757" s="83"/>
      <c r="UD757" s="83"/>
      <c r="UN757" s="83"/>
      <c r="UX757" s="83"/>
      <c r="VH757" s="83"/>
      <c r="VR757" s="83"/>
      <c r="WB757" s="83"/>
      <c r="WL757" s="83"/>
      <c r="WV757" s="83"/>
      <c r="XF757" s="83"/>
      <c r="XP757" s="83"/>
      <c r="XZ757" s="83"/>
      <c r="YJ757" s="83"/>
      <c r="YT757" s="83"/>
      <c r="ZD757" s="83"/>
      <c r="ZN757" s="83"/>
      <c r="ZX757" s="83"/>
      <c r="AAH757" s="83"/>
      <c r="AAR757" s="83"/>
      <c r="ABB757" s="83"/>
      <c r="ABL757" s="83"/>
      <c r="ABV757" s="83"/>
      <c r="ACF757" s="83"/>
      <c r="ACP757" s="83"/>
      <c r="ACZ757" s="83"/>
      <c r="ADJ757" s="83"/>
      <c r="ADT757" s="83"/>
      <c r="AED757" s="83"/>
      <c r="AEN757" s="83"/>
      <c r="AEX757" s="83"/>
      <c r="AFH757" s="83"/>
      <c r="AFR757" s="83"/>
      <c r="AGB757" s="83"/>
      <c r="AGL757" s="83"/>
      <c r="AGV757" s="83"/>
      <c r="AHF757" s="83"/>
      <c r="AHP757" s="83"/>
      <c r="AHZ757" s="83"/>
      <c r="AIJ757" s="83"/>
      <c r="AIT757" s="83"/>
      <c r="AJD757" s="83"/>
      <c r="AJN757" s="83"/>
      <c r="AJX757" s="83"/>
      <c r="AKH757" s="83"/>
      <c r="AKR757" s="83"/>
      <c r="ALB757" s="83"/>
      <c r="ALL757" s="83"/>
      <c r="ALV757" s="83"/>
      <c r="AMF757" s="83"/>
      <c r="AMP757" s="83"/>
      <c r="AMZ757" s="83"/>
      <c r="ANJ757" s="83"/>
      <c r="ANT757" s="83"/>
      <c r="AOD757" s="83"/>
      <c r="AON757" s="83"/>
      <c r="AOX757" s="83"/>
      <c r="APH757" s="83"/>
      <c r="APR757" s="83"/>
      <c r="AQB757" s="83"/>
      <c r="AQL757" s="83"/>
      <c r="AQV757" s="83"/>
      <c r="ARF757" s="83"/>
      <c r="ARP757" s="83"/>
      <c r="ARZ757" s="83"/>
      <c r="ASJ757" s="83"/>
      <c r="AST757" s="83"/>
      <c r="ATD757" s="83"/>
      <c r="ATN757" s="83"/>
      <c r="ATX757" s="83"/>
      <c r="AUH757" s="83"/>
      <c r="AUR757" s="83"/>
      <c r="AVB757" s="83"/>
      <c r="AVL757" s="83"/>
      <c r="AVV757" s="83"/>
      <c r="AWF757" s="83"/>
      <c r="AWP757" s="83"/>
      <c r="AWZ757" s="83"/>
      <c r="AXJ757" s="83"/>
      <c r="AXT757" s="83"/>
      <c r="AYD757" s="83"/>
      <c r="AYN757" s="83"/>
      <c r="AYX757" s="83"/>
      <c r="AZH757" s="83"/>
      <c r="AZR757" s="83"/>
      <c r="BAB757" s="83"/>
      <c r="BAL757" s="83"/>
      <c r="BAV757" s="83"/>
      <c r="BBF757" s="83"/>
      <c r="BBP757" s="83"/>
      <c r="BBZ757" s="83"/>
      <c r="BCJ757" s="83"/>
      <c r="BCT757" s="83"/>
      <c r="BDD757" s="83"/>
      <c r="BDN757" s="83"/>
      <c r="BDX757" s="83"/>
      <c r="BEH757" s="83"/>
      <c r="BER757" s="83"/>
      <c r="BFB757" s="83"/>
      <c r="BFL757" s="83"/>
      <c r="BFV757" s="83"/>
      <c r="BGF757" s="83"/>
      <c r="BGP757" s="83"/>
      <c r="BGZ757" s="83"/>
      <c r="BHJ757" s="83"/>
      <c r="BHT757" s="83"/>
      <c r="BID757" s="83"/>
      <c r="BIN757" s="83"/>
      <c r="BIX757" s="83"/>
      <c r="BJH757" s="83"/>
      <c r="BJR757" s="83"/>
      <c r="BKB757" s="83"/>
      <c r="BKL757" s="83"/>
      <c r="BKV757" s="83"/>
      <c r="BLF757" s="83"/>
      <c r="BLP757" s="83"/>
      <c r="BLZ757" s="83"/>
      <c r="BMJ757" s="83"/>
      <c r="BMT757" s="83"/>
      <c r="BND757" s="83"/>
      <c r="BNN757" s="83"/>
      <c r="BNX757" s="83"/>
      <c r="BOH757" s="83"/>
      <c r="BOR757" s="83"/>
      <c r="BPB757" s="83"/>
      <c r="BPL757" s="83"/>
      <c r="BPV757" s="83"/>
      <c r="BQF757" s="83"/>
      <c r="BQP757" s="83"/>
      <c r="BQZ757" s="83"/>
      <c r="BRJ757" s="83"/>
      <c r="BRT757" s="83"/>
      <c r="BSD757" s="83"/>
      <c r="BSN757" s="83"/>
      <c r="BSX757" s="83"/>
      <c r="BTH757" s="83"/>
      <c r="BTR757" s="83"/>
      <c r="BUB757" s="83"/>
      <c r="BUL757" s="83"/>
      <c r="BUV757" s="83"/>
      <c r="BVF757" s="83"/>
      <c r="BVP757" s="83"/>
      <c r="BVZ757" s="83"/>
      <c r="BWJ757" s="83"/>
      <c r="BWT757" s="83"/>
      <c r="BXD757" s="83"/>
      <c r="BXN757" s="83"/>
      <c r="BXX757" s="83"/>
      <c r="BYH757" s="83"/>
      <c r="BYR757" s="83"/>
      <c r="BZB757" s="83"/>
      <c r="BZL757" s="83"/>
      <c r="BZV757" s="83"/>
      <c r="CAF757" s="83"/>
      <c r="CAP757" s="83"/>
      <c r="CAZ757" s="83"/>
      <c r="CBJ757" s="83"/>
      <c r="CBT757" s="83"/>
      <c r="CCD757" s="83"/>
      <c r="CCN757" s="83"/>
      <c r="CCX757" s="83"/>
      <c r="CDH757" s="83"/>
      <c r="CDR757" s="83"/>
      <c r="CEB757" s="83"/>
      <c r="CEL757" s="83"/>
      <c r="CEV757" s="83"/>
      <c r="CFF757" s="83"/>
      <c r="CFP757" s="83"/>
      <c r="CFZ757" s="83"/>
      <c r="CGJ757" s="83"/>
      <c r="CGT757" s="83"/>
      <c r="CHD757" s="83"/>
      <c r="CHN757" s="83"/>
      <c r="CHX757" s="83"/>
      <c r="CIH757" s="83"/>
      <c r="CIR757" s="83"/>
      <c r="CJB757" s="83"/>
      <c r="CJL757" s="83"/>
      <c r="CJV757" s="83"/>
      <c r="CKF757" s="83"/>
      <c r="CKP757" s="83"/>
      <c r="CKZ757" s="83"/>
      <c r="CLJ757" s="83"/>
      <c r="CLT757" s="83"/>
      <c r="CMD757" s="83"/>
      <c r="CMN757" s="83"/>
      <c r="CMX757" s="83"/>
      <c r="CNH757" s="83"/>
      <c r="CNR757" s="83"/>
      <c r="COB757" s="83"/>
      <c r="COL757" s="83"/>
      <c r="COV757" s="83"/>
      <c r="CPF757" s="83"/>
      <c r="CPP757" s="83"/>
      <c r="CPZ757" s="83"/>
      <c r="CQJ757" s="83"/>
      <c r="CQT757" s="83"/>
      <c r="CRD757" s="83"/>
      <c r="CRN757" s="83"/>
      <c r="CRX757" s="83"/>
      <c r="CSH757" s="83"/>
      <c r="CSR757" s="83"/>
      <c r="CTB757" s="83"/>
      <c r="CTL757" s="83"/>
      <c r="CTV757" s="83"/>
    </row>
    <row r="758" customHeight="1" spans="1:1020 1030:2040 2050:2570">
      <c r="A758" s="72"/>
      <c r="B758" s="73"/>
      <c r="C758" s="74"/>
      <c r="D758" s="74"/>
      <c r="E758" s="75"/>
      <c r="F758" s="76"/>
      <c r="G758" s="74"/>
      <c r="H758" s="77"/>
      <c r="I758" s="77"/>
      <c r="J758" s="74"/>
      <c r="K758" s="78"/>
    </row>
    <row r="759" customHeight="1" spans="1:1020 1030:2040 2050:2570">
      <c r="A759" s="72"/>
      <c r="B759" s="73"/>
      <c r="C759" s="74"/>
      <c r="D759" s="74"/>
      <c r="E759" s="75"/>
      <c r="F759" s="76"/>
      <c r="G759" s="74"/>
      <c r="H759" s="77"/>
      <c r="I759" s="77"/>
      <c r="J759" s="74"/>
      <c r="K759" s="78"/>
    </row>
    <row r="760" customHeight="1" spans="1:1020 1030:2040 2050:2570">
      <c r="A760" s="72"/>
      <c r="B760" s="73"/>
      <c r="C760" s="74"/>
      <c r="D760" s="74"/>
      <c r="E760" s="75"/>
      <c r="F760" s="76"/>
      <c r="G760" s="74"/>
      <c r="H760" s="77"/>
      <c r="I760" s="77"/>
      <c r="J760" s="74"/>
      <c r="K760" s="78"/>
    </row>
    <row r="761" customHeight="1" spans="1:1020 1030:2040 2050:2570">
      <c r="A761" s="72"/>
      <c r="B761" s="73"/>
      <c r="C761" s="74"/>
      <c r="D761" s="74"/>
      <c r="E761" s="75"/>
      <c r="F761" s="76"/>
      <c r="G761" s="74"/>
      <c r="H761" s="77"/>
      <c r="I761" s="77"/>
      <c r="J761" s="74"/>
      <c r="K761" s="78"/>
    </row>
    <row r="762" customHeight="1" spans="1:1020 1030:2040 2050:2570">
      <c r="A762" s="72"/>
      <c r="B762" s="73"/>
      <c r="C762" s="74"/>
      <c r="D762" s="74"/>
      <c r="E762" s="75"/>
      <c r="F762" s="76"/>
      <c r="G762" s="74"/>
      <c r="H762" s="77"/>
      <c r="I762" s="77"/>
      <c r="J762" s="74"/>
      <c r="K762" s="78"/>
    </row>
    <row r="763" customHeight="1" spans="1:1020 1030:2040 2050:2570">
      <c r="A763" s="72"/>
      <c r="B763" s="73"/>
      <c r="C763" s="74"/>
      <c r="D763" s="74"/>
      <c r="E763" s="75"/>
      <c r="F763" s="76"/>
      <c r="G763" s="74"/>
      <c r="H763" s="77"/>
      <c r="I763" s="77"/>
      <c r="J763" s="74"/>
      <c r="K763" s="78"/>
    </row>
    <row r="764" customHeight="1" spans="1:1020 1030:2040 2050:2570">
      <c r="A764" s="72"/>
      <c r="B764" s="73"/>
      <c r="C764" s="74"/>
      <c r="D764" s="74"/>
      <c r="E764" s="75"/>
      <c r="F764" s="76"/>
      <c r="G764" s="74"/>
      <c r="H764" s="77"/>
      <c r="I764" s="77"/>
      <c r="J764" s="74"/>
      <c r="K764" s="78"/>
    </row>
    <row r="765" customHeight="1" spans="1:1020 1030:2040 2050:2570">
      <c r="A765" s="72"/>
      <c r="B765" s="73"/>
      <c r="C765" s="74"/>
      <c r="D765" s="74"/>
      <c r="E765" s="75"/>
      <c r="F765" s="76"/>
      <c r="G765" s="74"/>
      <c r="H765" s="77"/>
      <c r="I765" s="77"/>
      <c r="J765" s="74"/>
      <c r="K765" s="78"/>
    </row>
    <row r="766" customHeight="1" spans="1:1020 1030:2040 2050:2570">
      <c r="A766" s="72"/>
      <c r="B766" s="73"/>
      <c r="C766" s="74"/>
      <c r="D766" s="74"/>
      <c r="E766" s="75"/>
      <c r="F766" s="76"/>
      <c r="G766" s="74"/>
      <c r="H766" s="77"/>
      <c r="I766" s="77"/>
      <c r="J766" s="74"/>
      <c r="K766" s="78"/>
    </row>
    <row r="767" customHeight="1" spans="1:1020 1030:2040 2050:2570">
      <c r="A767" s="72"/>
      <c r="B767" s="73"/>
      <c r="C767" s="74"/>
      <c r="D767" s="74"/>
      <c r="E767" s="75"/>
      <c r="F767" s="76"/>
      <c r="G767" s="74"/>
      <c r="H767" s="77"/>
      <c r="I767" s="77"/>
      <c r="J767" s="74"/>
      <c r="K767" s="78"/>
    </row>
    <row r="768" customHeight="1" spans="1:1020 1030:2040 2050:2570">
      <c r="A768" s="72"/>
      <c r="B768" s="73"/>
      <c r="C768" s="74"/>
      <c r="D768" s="74"/>
      <c r="E768" s="75"/>
      <c r="F768" s="76"/>
      <c r="G768" s="74"/>
      <c r="H768" s="77"/>
      <c r="I768" s="77"/>
      <c r="J768" s="74"/>
      <c r="K768" s="78"/>
    </row>
    <row r="769" s="58" customFormat="1" customHeight="1" spans="1:1020 1030:2040 2050:2570">
      <c r="A769" s="79"/>
      <c r="B769" s="93"/>
      <c r="C769" s="93"/>
      <c r="D769" s="75"/>
      <c r="E769" s="75"/>
      <c r="F769" s="76"/>
      <c r="G769" s="75"/>
      <c r="H769" s="76"/>
      <c r="I769" s="76"/>
      <c r="J769" s="103"/>
      <c r="K769" s="78"/>
      <c r="T769" s="83"/>
      <c r="AD769" s="83"/>
      <c r="AN769" s="83"/>
      <c r="AX769" s="83"/>
      <c r="BH769" s="83"/>
      <c r="BR769" s="83"/>
      <c r="CB769" s="83"/>
      <c r="CL769" s="83"/>
      <c r="CV769" s="83"/>
      <c r="DF769" s="83"/>
      <c r="DP769" s="83"/>
      <c r="DZ769" s="83"/>
      <c r="EJ769" s="83"/>
      <c r="ET769" s="83"/>
      <c r="FD769" s="83"/>
      <c r="FN769" s="83"/>
      <c r="FX769" s="83"/>
      <c r="GH769" s="83"/>
      <c r="GR769" s="83"/>
      <c r="HB769" s="83"/>
      <c r="HL769" s="83"/>
      <c r="HV769" s="83"/>
      <c r="IF769" s="83"/>
      <c r="IP769" s="83"/>
      <c r="IZ769" s="83"/>
      <c r="JJ769" s="83"/>
      <c r="JT769" s="83"/>
      <c r="KD769" s="83"/>
      <c r="KN769" s="83"/>
      <c r="KX769" s="83"/>
      <c r="LH769" s="83"/>
      <c r="LR769" s="83"/>
      <c r="MB769" s="83"/>
      <c r="ML769" s="83"/>
      <c r="MV769" s="83"/>
      <c r="NF769" s="83"/>
      <c r="NP769" s="83"/>
      <c r="NZ769" s="83"/>
      <c r="OJ769" s="83"/>
      <c r="OT769" s="83"/>
      <c r="PD769" s="83"/>
      <c r="PN769" s="83"/>
      <c r="PX769" s="83"/>
      <c r="QH769" s="83"/>
      <c r="QR769" s="83"/>
      <c r="RB769" s="83"/>
      <c r="RL769" s="83"/>
      <c r="RV769" s="83"/>
      <c r="SF769" s="83"/>
      <c r="SP769" s="83"/>
      <c r="SZ769" s="83"/>
      <c r="TJ769" s="83"/>
      <c r="TT769" s="83"/>
      <c r="UD769" s="83"/>
      <c r="UN769" s="83"/>
      <c r="UX769" s="83"/>
      <c r="VH769" s="83"/>
      <c r="VR769" s="83"/>
      <c r="WB769" s="83"/>
      <c r="WL769" s="83"/>
      <c r="WV769" s="83"/>
      <c r="XF769" s="83"/>
      <c r="XP769" s="83"/>
      <c r="XZ769" s="83"/>
      <c r="YJ769" s="83"/>
      <c r="YT769" s="83"/>
      <c r="ZD769" s="83"/>
      <c r="ZN769" s="83"/>
      <c r="ZX769" s="83"/>
      <c r="AAH769" s="83"/>
      <c r="AAR769" s="83"/>
      <c r="ABB769" s="83"/>
      <c r="ABL769" s="83"/>
      <c r="ABV769" s="83"/>
      <c r="ACF769" s="83"/>
      <c r="ACP769" s="83"/>
      <c r="ACZ769" s="83"/>
      <c r="ADJ769" s="83"/>
      <c r="ADT769" s="83"/>
      <c r="AED769" s="83"/>
      <c r="AEN769" s="83"/>
      <c r="AEX769" s="83"/>
      <c r="AFH769" s="83"/>
      <c r="AFR769" s="83"/>
      <c r="AGB769" s="83"/>
      <c r="AGL769" s="83"/>
      <c r="AGV769" s="83"/>
      <c r="AHF769" s="83"/>
      <c r="AHP769" s="83"/>
      <c r="AHZ769" s="83"/>
      <c r="AIJ769" s="83"/>
      <c r="AIT769" s="83"/>
      <c r="AJD769" s="83"/>
      <c r="AJN769" s="83"/>
      <c r="AJX769" s="83"/>
      <c r="AKH769" s="83"/>
      <c r="AKR769" s="83"/>
      <c r="ALB769" s="83"/>
      <c r="ALL769" s="83"/>
      <c r="ALV769" s="83"/>
      <c r="AMF769" s="83"/>
      <c r="AMP769" s="83"/>
      <c r="AMZ769" s="83"/>
      <c r="ANJ769" s="83"/>
      <c r="ANT769" s="83"/>
      <c r="AOD769" s="83"/>
      <c r="AON769" s="83"/>
      <c r="AOX769" s="83"/>
      <c r="APH769" s="83"/>
      <c r="APR769" s="83"/>
      <c r="AQB769" s="83"/>
      <c r="AQL769" s="83"/>
      <c r="AQV769" s="83"/>
      <c r="ARF769" s="83"/>
      <c r="ARP769" s="83"/>
      <c r="ARZ769" s="83"/>
      <c r="ASJ769" s="83"/>
      <c r="AST769" s="83"/>
      <c r="ATD769" s="83"/>
      <c r="ATN769" s="83"/>
      <c r="ATX769" s="83"/>
      <c r="AUH769" s="83"/>
      <c r="AUR769" s="83"/>
      <c r="AVB769" s="83"/>
      <c r="AVL769" s="83"/>
      <c r="AVV769" s="83"/>
      <c r="AWF769" s="83"/>
      <c r="AWP769" s="83"/>
      <c r="AWZ769" s="83"/>
      <c r="AXJ769" s="83"/>
      <c r="AXT769" s="83"/>
      <c r="AYD769" s="83"/>
      <c r="AYN769" s="83"/>
      <c r="AYX769" s="83"/>
      <c r="AZH769" s="83"/>
      <c r="AZR769" s="83"/>
      <c r="BAB769" s="83"/>
      <c r="BAL769" s="83"/>
      <c r="BAV769" s="83"/>
      <c r="BBF769" s="83"/>
      <c r="BBP769" s="83"/>
      <c r="BBZ769" s="83"/>
      <c r="BCJ769" s="83"/>
      <c r="BCT769" s="83"/>
      <c r="BDD769" s="83"/>
      <c r="BDN769" s="83"/>
      <c r="BDX769" s="83"/>
      <c r="BEH769" s="83"/>
      <c r="BER769" s="83"/>
      <c r="BFB769" s="83"/>
      <c r="BFL769" s="83"/>
      <c r="BFV769" s="83"/>
      <c r="BGF769" s="83"/>
      <c r="BGP769" s="83"/>
      <c r="BGZ769" s="83"/>
      <c r="BHJ769" s="83"/>
      <c r="BHT769" s="83"/>
      <c r="BID769" s="83"/>
      <c r="BIN769" s="83"/>
      <c r="BIX769" s="83"/>
      <c r="BJH769" s="83"/>
      <c r="BJR769" s="83"/>
      <c r="BKB769" s="83"/>
      <c r="BKL769" s="83"/>
      <c r="BKV769" s="83"/>
      <c r="BLF769" s="83"/>
      <c r="BLP769" s="83"/>
      <c r="BLZ769" s="83"/>
      <c r="BMJ769" s="83"/>
      <c r="BMT769" s="83"/>
      <c r="BND769" s="83"/>
      <c r="BNN769" s="83"/>
      <c r="BNX769" s="83"/>
      <c r="BOH769" s="83"/>
      <c r="BOR769" s="83"/>
      <c r="BPB769" s="83"/>
      <c r="BPL769" s="83"/>
      <c r="BPV769" s="83"/>
      <c r="BQF769" s="83"/>
      <c r="BQP769" s="83"/>
      <c r="BQZ769" s="83"/>
      <c r="BRJ769" s="83"/>
      <c r="BRT769" s="83"/>
      <c r="BSD769" s="83"/>
      <c r="BSN769" s="83"/>
      <c r="BSX769" s="83"/>
      <c r="BTH769" s="83"/>
      <c r="BTR769" s="83"/>
      <c r="BUB769" s="83"/>
      <c r="BUL769" s="83"/>
      <c r="BUV769" s="83"/>
      <c r="BVF769" s="83"/>
      <c r="BVP769" s="83"/>
      <c r="BVZ769" s="83"/>
      <c r="BWJ769" s="83"/>
      <c r="BWT769" s="83"/>
      <c r="BXD769" s="83"/>
      <c r="BXN769" s="83"/>
      <c r="BXX769" s="83"/>
      <c r="BYH769" s="83"/>
      <c r="BYR769" s="83"/>
      <c r="BZB769" s="83"/>
      <c r="BZL769" s="83"/>
      <c r="BZV769" s="83"/>
      <c r="CAF769" s="83"/>
      <c r="CAP769" s="83"/>
      <c r="CAZ769" s="83"/>
      <c r="CBJ769" s="83"/>
      <c r="CBT769" s="83"/>
      <c r="CCD769" s="83"/>
      <c r="CCN769" s="83"/>
      <c r="CCX769" s="83"/>
      <c r="CDH769" s="83"/>
      <c r="CDR769" s="83"/>
      <c r="CEB769" s="83"/>
      <c r="CEL769" s="83"/>
      <c r="CEV769" s="83"/>
      <c r="CFF769" s="83"/>
      <c r="CFP769" s="83"/>
      <c r="CFZ769" s="83"/>
      <c r="CGJ769" s="83"/>
      <c r="CGT769" s="83"/>
      <c r="CHD769" s="83"/>
      <c r="CHN769" s="83"/>
      <c r="CHX769" s="83"/>
      <c r="CIH769" s="83"/>
      <c r="CIR769" s="83"/>
      <c r="CJB769" s="83"/>
      <c r="CJL769" s="83"/>
      <c r="CJV769" s="83"/>
      <c r="CKF769" s="83"/>
      <c r="CKP769" s="83"/>
      <c r="CKZ769" s="83"/>
      <c r="CLJ769" s="83"/>
      <c r="CLT769" s="83"/>
      <c r="CMD769" s="83"/>
      <c r="CMN769" s="83"/>
      <c r="CMX769" s="83"/>
      <c r="CNH769" s="83"/>
      <c r="CNR769" s="83"/>
      <c r="COB769" s="83"/>
      <c r="COL769" s="83"/>
      <c r="COV769" s="83"/>
      <c r="CPF769" s="83"/>
      <c r="CPP769" s="83"/>
      <c r="CPZ769" s="83"/>
      <c r="CQJ769" s="83"/>
      <c r="CQT769" s="83"/>
      <c r="CRD769" s="83"/>
      <c r="CRN769" s="83"/>
      <c r="CRX769" s="83"/>
      <c r="CSH769" s="83"/>
      <c r="CSR769" s="83"/>
      <c r="CTB769" s="83"/>
      <c r="CTL769" s="83"/>
      <c r="CTV769" s="83"/>
    </row>
    <row r="770" s="58" customFormat="1" customHeight="1" spans="1:1020 1030:2040 2050:2570">
      <c r="A770" s="79"/>
      <c r="B770" s="93"/>
      <c r="C770" s="93"/>
      <c r="D770" s="75"/>
      <c r="E770" s="75"/>
      <c r="F770" s="76"/>
      <c r="G770" s="75"/>
      <c r="H770" s="76"/>
      <c r="I770" s="77"/>
      <c r="J770" s="103"/>
      <c r="K770" s="78"/>
      <c r="T770" s="83"/>
      <c r="AD770" s="83"/>
      <c r="AN770" s="83"/>
      <c r="AX770" s="83"/>
      <c r="BH770" s="83"/>
      <c r="BR770" s="83"/>
      <c r="CB770" s="83"/>
      <c r="CL770" s="83"/>
      <c r="CV770" s="83"/>
      <c r="DF770" s="83"/>
      <c r="DP770" s="83"/>
      <c r="DZ770" s="83"/>
      <c r="EJ770" s="83"/>
      <c r="ET770" s="83"/>
      <c r="FD770" s="83"/>
      <c r="FN770" s="83"/>
      <c r="FX770" s="83"/>
      <c r="GH770" s="83"/>
      <c r="GR770" s="83"/>
      <c r="HB770" s="83"/>
      <c r="HL770" s="83"/>
      <c r="HV770" s="83"/>
      <c r="IF770" s="83"/>
      <c r="IP770" s="83"/>
      <c r="IZ770" s="83"/>
      <c r="JJ770" s="83"/>
      <c r="JT770" s="83"/>
      <c r="KD770" s="83"/>
      <c r="KN770" s="83"/>
      <c r="KX770" s="83"/>
      <c r="LH770" s="83"/>
      <c r="LR770" s="83"/>
      <c r="MB770" s="83"/>
      <c r="ML770" s="83"/>
      <c r="MV770" s="83"/>
      <c r="NF770" s="83"/>
      <c r="NP770" s="83"/>
      <c r="NZ770" s="83"/>
      <c r="OJ770" s="83"/>
      <c r="OT770" s="83"/>
      <c r="PD770" s="83"/>
      <c r="PN770" s="83"/>
      <c r="PX770" s="83"/>
      <c r="QH770" s="83"/>
      <c r="QR770" s="83"/>
      <c r="RB770" s="83"/>
      <c r="RL770" s="83"/>
      <c r="RV770" s="83"/>
      <c r="SF770" s="83"/>
      <c r="SP770" s="83"/>
      <c r="SZ770" s="83"/>
      <c r="TJ770" s="83"/>
      <c r="TT770" s="83"/>
      <c r="UD770" s="83"/>
      <c r="UN770" s="83"/>
      <c r="UX770" s="83"/>
      <c r="VH770" s="83"/>
      <c r="VR770" s="83"/>
      <c r="WB770" s="83"/>
      <c r="WL770" s="83"/>
      <c r="WV770" s="83"/>
      <c r="XF770" s="83"/>
      <c r="XP770" s="83"/>
      <c r="XZ770" s="83"/>
      <c r="YJ770" s="83"/>
      <c r="YT770" s="83"/>
      <c r="ZD770" s="83"/>
      <c r="ZN770" s="83"/>
      <c r="ZX770" s="83"/>
      <c r="AAH770" s="83"/>
      <c r="AAR770" s="83"/>
      <c r="ABB770" s="83"/>
      <c r="ABL770" s="83"/>
      <c r="ABV770" s="83"/>
      <c r="ACF770" s="83"/>
      <c r="ACP770" s="83"/>
      <c r="ACZ770" s="83"/>
      <c r="ADJ770" s="83"/>
      <c r="ADT770" s="83"/>
      <c r="AED770" s="83"/>
      <c r="AEN770" s="83"/>
      <c r="AEX770" s="83"/>
      <c r="AFH770" s="83"/>
      <c r="AFR770" s="83"/>
      <c r="AGB770" s="83"/>
      <c r="AGL770" s="83"/>
      <c r="AGV770" s="83"/>
      <c r="AHF770" s="83"/>
      <c r="AHP770" s="83"/>
      <c r="AHZ770" s="83"/>
      <c r="AIJ770" s="83"/>
      <c r="AIT770" s="83"/>
      <c r="AJD770" s="83"/>
      <c r="AJN770" s="83"/>
      <c r="AJX770" s="83"/>
      <c r="AKH770" s="83"/>
      <c r="AKR770" s="83"/>
      <c r="ALB770" s="83"/>
      <c r="ALL770" s="83"/>
      <c r="ALV770" s="83"/>
      <c r="AMF770" s="83"/>
      <c r="AMP770" s="83"/>
      <c r="AMZ770" s="83"/>
      <c r="ANJ770" s="83"/>
      <c r="ANT770" s="83"/>
      <c r="AOD770" s="83"/>
      <c r="AON770" s="83"/>
      <c r="AOX770" s="83"/>
      <c r="APH770" s="83"/>
      <c r="APR770" s="83"/>
      <c r="AQB770" s="83"/>
      <c r="AQL770" s="83"/>
      <c r="AQV770" s="83"/>
      <c r="ARF770" s="83"/>
      <c r="ARP770" s="83"/>
      <c r="ARZ770" s="83"/>
      <c r="ASJ770" s="83"/>
      <c r="AST770" s="83"/>
      <c r="ATD770" s="83"/>
      <c r="ATN770" s="83"/>
      <c r="ATX770" s="83"/>
      <c r="AUH770" s="83"/>
      <c r="AUR770" s="83"/>
      <c r="AVB770" s="83"/>
      <c r="AVL770" s="83"/>
      <c r="AVV770" s="83"/>
      <c r="AWF770" s="83"/>
      <c r="AWP770" s="83"/>
      <c r="AWZ770" s="83"/>
      <c r="AXJ770" s="83"/>
      <c r="AXT770" s="83"/>
      <c r="AYD770" s="83"/>
      <c r="AYN770" s="83"/>
      <c r="AYX770" s="83"/>
      <c r="AZH770" s="83"/>
      <c r="AZR770" s="83"/>
      <c r="BAB770" s="83"/>
      <c r="BAL770" s="83"/>
      <c r="BAV770" s="83"/>
      <c r="BBF770" s="83"/>
      <c r="BBP770" s="83"/>
      <c r="BBZ770" s="83"/>
      <c r="BCJ770" s="83"/>
      <c r="BCT770" s="83"/>
      <c r="BDD770" s="83"/>
      <c r="BDN770" s="83"/>
      <c r="BDX770" s="83"/>
      <c r="BEH770" s="83"/>
      <c r="BER770" s="83"/>
      <c r="BFB770" s="83"/>
      <c r="BFL770" s="83"/>
      <c r="BFV770" s="83"/>
      <c r="BGF770" s="83"/>
      <c r="BGP770" s="83"/>
      <c r="BGZ770" s="83"/>
      <c r="BHJ770" s="83"/>
      <c r="BHT770" s="83"/>
      <c r="BID770" s="83"/>
      <c r="BIN770" s="83"/>
      <c r="BIX770" s="83"/>
      <c r="BJH770" s="83"/>
      <c r="BJR770" s="83"/>
      <c r="BKB770" s="83"/>
      <c r="BKL770" s="83"/>
      <c r="BKV770" s="83"/>
      <c r="BLF770" s="83"/>
      <c r="BLP770" s="83"/>
      <c r="BLZ770" s="83"/>
      <c r="BMJ770" s="83"/>
      <c r="BMT770" s="83"/>
      <c r="BND770" s="83"/>
      <c r="BNN770" s="83"/>
      <c r="BNX770" s="83"/>
      <c r="BOH770" s="83"/>
      <c r="BOR770" s="83"/>
      <c r="BPB770" s="83"/>
      <c r="BPL770" s="83"/>
      <c r="BPV770" s="83"/>
      <c r="BQF770" s="83"/>
      <c r="BQP770" s="83"/>
      <c r="BQZ770" s="83"/>
      <c r="BRJ770" s="83"/>
      <c r="BRT770" s="83"/>
      <c r="BSD770" s="83"/>
      <c r="BSN770" s="83"/>
      <c r="BSX770" s="83"/>
      <c r="BTH770" s="83"/>
      <c r="BTR770" s="83"/>
      <c r="BUB770" s="83"/>
      <c r="BUL770" s="83"/>
      <c r="BUV770" s="83"/>
      <c r="BVF770" s="83"/>
      <c r="BVP770" s="83"/>
      <c r="BVZ770" s="83"/>
      <c r="BWJ770" s="83"/>
      <c r="BWT770" s="83"/>
      <c r="BXD770" s="83"/>
      <c r="BXN770" s="83"/>
      <c r="BXX770" s="83"/>
      <c r="BYH770" s="83"/>
      <c r="BYR770" s="83"/>
      <c r="BZB770" s="83"/>
      <c r="BZL770" s="83"/>
      <c r="BZV770" s="83"/>
      <c r="CAF770" s="83"/>
      <c r="CAP770" s="83"/>
      <c r="CAZ770" s="83"/>
      <c r="CBJ770" s="83"/>
      <c r="CBT770" s="83"/>
      <c r="CCD770" s="83"/>
      <c r="CCN770" s="83"/>
      <c r="CCX770" s="83"/>
      <c r="CDH770" s="83"/>
      <c r="CDR770" s="83"/>
      <c r="CEB770" s="83"/>
      <c r="CEL770" s="83"/>
      <c r="CEV770" s="83"/>
      <c r="CFF770" s="83"/>
      <c r="CFP770" s="83"/>
      <c r="CFZ770" s="83"/>
      <c r="CGJ770" s="83"/>
      <c r="CGT770" s="83"/>
      <c r="CHD770" s="83"/>
      <c r="CHN770" s="83"/>
      <c r="CHX770" s="83"/>
      <c r="CIH770" s="83"/>
      <c r="CIR770" s="83"/>
      <c r="CJB770" s="83"/>
      <c r="CJL770" s="83"/>
      <c r="CJV770" s="83"/>
      <c r="CKF770" s="83"/>
      <c r="CKP770" s="83"/>
      <c r="CKZ770" s="83"/>
      <c r="CLJ770" s="83"/>
      <c r="CLT770" s="83"/>
      <c r="CMD770" s="83"/>
      <c r="CMN770" s="83"/>
      <c r="CMX770" s="83"/>
      <c r="CNH770" s="83"/>
      <c r="CNR770" s="83"/>
      <c r="COB770" s="83"/>
      <c r="COL770" s="83"/>
      <c r="COV770" s="83"/>
      <c r="CPF770" s="83"/>
      <c r="CPP770" s="83"/>
      <c r="CPZ770" s="83"/>
      <c r="CQJ770" s="83"/>
      <c r="CQT770" s="83"/>
      <c r="CRD770" s="83"/>
      <c r="CRN770" s="83"/>
      <c r="CRX770" s="83"/>
      <c r="CSH770" s="83"/>
      <c r="CSR770" s="83"/>
      <c r="CTB770" s="83"/>
      <c r="CTL770" s="83"/>
      <c r="CTV770" s="83"/>
    </row>
    <row r="771" s="58" customFormat="1" customHeight="1" spans="1:1020 1030:2040 2050:2570">
      <c r="A771" s="79"/>
      <c r="B771" s="93"/>
      <c r="C771" s="93"/>
      <c r="D771" s="75"/>
      <c r="E771" s="75"/>
      <c r="F771" s="76"/>
      <c r="G771" s="75"/>
      <c r="H771" s="76"/>
      <c r="I771" s="77"/>
      <c r="J771" s="103"/>
      <c r="K771" s="78"/>
      <c r="T771" s="83"/>
      <c r="AD771" s="83"/>
      <c r="AN771" s="83"/>
      <c r="AX771" s="83"/>
      <c r="BH771" s="83"/>
      <c r="BR771" s="83"/>
      <c r="CB771" s="83"/>
      <c r="CL771" s="83"/>
      <c r="CV771" s="83"/>
      <c r="DF771" s="83"/>
      <c r="DP771" s="83"/>
      <c r="DZ771" s="83"/>
      <c r="EJ771" s="83"/>
      <c r="ET771" s="83"/>
      <c r="FD771" s="83"/>
      <c r="FN771" s="83"/>
      <c r="FX771" s="83"/>
      <c r="GH771" s="83"/>
      <c r="GR771" s="83"/>
      <c r="HB771" s="83"/>
      <c r="HL771" s="83"/>
      <c r="HV771" s="83"/>
      <c r="IF771" s="83"/>
      <c r="IP771" s="83"/>
      <c r="IZ771" s="83"/>
      <c r="JJ771" s="83"/>
      <c r="JT771" s="83"/>
      <c r="KD771" s="83"/>
      <c r="KN771" s="83"/>
      <c r="KX771" s="83"/>
      <c r="LH771" s="83"/>
      <c r="LR771" s="83"/>
      <c r="MB771" s="83"/>
      <c r="ML771" s="83"/>
      <c r="MV771" s="83"/>
      <c r="NF771" s="83"/>
      <c r="NP771" s="83"/>
      <c r="NZ771" s="83"/>
      <c r="OJ771" s="83"/>
      <c r="OT771" s="83"/>
      <c r="PD771" s="83"/>
      <c r="PN771" s="83"/>
      <c r="PX771" s="83"/>
      <c r="QH771" s="83"/>
      <c r="QR771" s="83"/>
      <c r="RB771" s="83"/>
      <c r="RL771" s="83"/>
      <c r="RV771" s="83"/>
      <c r="SF771" s="83"/>
      <c r="SP771" s="83"/>
      <c r="SZ771" s="83"/>
      <c r="TJ771" s="83"/>
      <c r="TT771" s="83"/>
      <c r="UD771" s="83"/>
      <c r="UN771" s="83"/>
      <c r="UX771" s="83"/>
      <c r="VH771" s="83"/>
      <c r="VR771" s="83"/>
      <c r="WB771" s="83"/>
      <c r="WL771" s="83"/>
      <c r="WV771" s="83"/>
      <c r="XF771" s="83"/>
      <c r="XP771" s="83"/>
      <c r="XZ771" s="83"/>
      <c r="YJ771" s="83"/>
      <c r="YT771" s="83"/>
      <c r="ZD771" s="83"/>
      <c r="ZN771" s="83"/>
      <c r="ZX771" s="83"/>
      <c r="AAH771" s="83"/>
      <c r="AAR771" s="83"/>
      <c r="ABB771" s="83"/>
      <c r="ABL771" s="83"/>
      <c r="ABV771" s="83"/>
      <c r="ACF771" s="83"/>
      <c r="ACP771" s="83"/>
      <c r="ACZ771" s="83"/>
      <c r="ADJ771" s="83"/>
      <c r="ADT771" s="83"/>
      <c r="AED771" s="83"/>
      <c r="AEN771" s="83"/>
      <c r="AEX771" s="83"/>
      <c r="AFH771" s="83"/>
      <c r="AFR771" s="83"/>
      <c r="AGB771" s="83"/>
      <c r="AGL771" s="83"/>
      <c r="AGV771" s="83"/>
      <c r="AHF771" s="83"/>
      <c r="AHP771" s="83"/>
      <c r="AHZ771" s="83"/>
      <c r="AIJ771" s="83"/>
      <c r="AIT771" s="83"/>
      <c r="AJD771" s="83"/>
      <c r="AJN771" s="83"/>
      <c r="AJX771" s="83"/>
      <c r="AKH771" s="83"/>
      <c r="AKR771" s="83"/>
      <c r="ALB771" s="83"/>
      <c r="ALL771" s="83"/>
      <c r="ALV771" s="83"/>
      <c r="AMF771" s="83"/>
      <c r="AMP771" s="83"/>
      <c r="AMZ771" s="83"/>
      <c r="ANJ771" s="83"/>
      <c r="ANT771" s="83"/>
      <c r="AOD771" s="83"/>
      <c r="AON771" s="83"/>
      <c r="AOX771" s="83"/>
      <c r="APH771" s="83"/>
      <c r="APR771" s="83"/>
      <c r="AQB771" s="83"/>
      <c r="AQL771" s="83"/>
      <c r="AQV771" s="83"/>
      <c r="ARF771" s="83"/>
      <c r="ARP771" s="83"/>
      <c r="ARZ771" s="83"/>
      <c r="ASJ771" s="83"/>
      <c r="AST771" s="83"/>
      <c r="ATD771" s="83"/>
      <c r="ATN771" s="83"/>
      <c r="ATX771" s="83"/>
      <c r="AUH771" s="83"/>
      <c r="AUR771" s="83"/>
      <c r="AVB771" s="83"/>
      <c r="AVL771" s="83"/>
      <c r="AVV771" s="83"/>
      <c r="AWF771" s="83"/>
      <c r="AWP771" s="83"/>
      <c r="AWZ771" s="83"/>
      <c r="AXJ771" s="83"/>
      <c r="AXT771" s="83"/>
      <c r="AYD771" s="83"/>
      <c r="AYN771" s="83"/>
      <c r="AYX771" s="83"/>
      <c r="AZH771" s="83"/>
      <c r="AZR771" s="83"/>
      <c r="BAB771" s="83"/>
      <c r="BAL771" s="83"/>
      <c r="BAV771" s="83"/>
      <c r="BBF771" s="83"/>
      <c r="BBP771" s="83"/>
      <c r="BBZ771" s="83"/>
      <c r="BCJ771" s="83"/>
      <c r="BCT771" s="83"/>
      <c r="BDD771" s="83"/>
      <c r="BDN771" s="83"/>
      <c r="BDX771" s="83"/>
      <c r="BEH771" s="83"/>
      <c r="BER771" s="83"/>
      <c r="BFB771" s="83"/>
      <c r="BFL771" s="83"/>
      <c r="BFV771" s="83"/>
      <c r="BGF771" s="83"/>
      <c r="BGP771" s="83"/>
      <c r="BGZ771" s="83"/>
      <c r="BHJ771" s="83"/>
      <c r="BHT771" s="83"/>
      <c r="BID771" s="83"/>
      <c r="BIN771" s="83"/>
      <c r="BIX771" s="83"/>
      <c r="BJH771" s="83"/>
      <c r="BJR771" s="83"/>
      <c r="BKB771" s="83"/>
      <c r="BKL771" s="83"/>
      <c r="BKV771" s="83"/>
      <c r="BLF771" s="83"/>
      <c r="BLP771" s="83"/>
      <c r="BLZ771" s="83"/>
      <c r="BMJ771" s="83"/>
      <c r="BMT771" s="83"/>
      <c r="BND771" s="83"/>
      <c r="BNN771" s="83"/>
      <c r="BNX771" s="83"/>
      <c r="BOH771" s="83"/>
      <c r="BOR771" s="83"/>
      <c r="BPB771" s="83"/>
      <c r="BPL771" s="83"/>
      <c r="BPV771" s="83"/>
      <c r="BQF771" s="83"/>
      <c r="BQP771" s="83"/>
      <c r="BQZ771" s="83"/>
      <c r="BRJ771" s="83"/>
      <c r="BRT771" s="83"/>
      <c r="BSD771" s="83"/>
      <c r="BSN771" s="83"/>
      <c r="BSX771" s="83"/>
      <c r="BTH771" s="83"/>
      <c r="BTR771" s="83"/>
      <c r="BUB771" s="83"/>
      <c r="BUL771" s="83"/>
      <c r="BUV771" s="83"/>
      <c r="BVF771" s="83"/>
      <c r="BVP771" s="83"/>
      <c r="BVZ771" s="83"/>
      <c r="BWJ771" s="83"/>
      <c r="BWT771" s="83"/>
      <c r="BXD771" s="83"/>
      <c r="BXN771" s="83"/>
      <c r="BXX771" s="83"/>
      <c r="BYH771" s="83"/>
      <c r="BYR771" s="83"/>
      <c r="BZB771" s="83"/>
      <c r="BZL771" s="83"/>
      <c r="BZV771" s="83"/>
      <c r="CAF771" s="83"/>
      <c r="CAP771" s="83"/>
      <c r="CAZ771" s="83"/>
      <c r="CBJ771" s="83"/>
      <c r="CBT771" s="83"/>
      <c r="CCD771" s="83"/>
      <c r="CCN771" s="83"/>
      <c r="CCX771" s="83"/>
      <c r="CDH771" s="83"/>
      <c r="CDR771" s="83"/>
      <c r="CEB771" s="83"/>
      <c r="CEL771" s="83"/>
      <c r="CEV771" s="83"/>
      <c r="CFF771" s="83"/>
      <c r="CFP771" s="83"/>
      <c r="CFZ771" s="83"/>
      <c r="CGJ771" s="83"/>
      <c r="CGT771" s="83"/>
      <c r="CHD771" s="83"/>
      <c r="CHN771" s="83"/>
      <c r="CHX771" s="83"/>
      <c r="CIH771" s="83"/>
      <c r="CIR771" s="83"/>
      <c r="CJB771" s="83"/>
      <c r="CJL771" s="83"/>
      <c r="CJV771" s="83"/>
      <c r="CKF771" s="83"/>
      <c r="CKP771" s="83"/>
      <c r="CKZ771" s="83"/>
      <c r="CLJ771" s="83"/>
      <c r="CLT771" s="83"/>
      <c r="CMD771" s="83"/>
      <c r="CMN771" s="83"/>
      <c r="CMX771" s="83"/>
      <c r="CNH771" s="83"/>
      <c r="CNR771" s="83"/>
      <c r="COB771" s="83"/>
      <c r="COL771" s="83"/>
      <c r="COV771" s="83"/>
      <c r="CPF771" s="83"/>
      <c r="CPP771" s="83"/>
      <c r="CPZ771" s="83"/>
      <c r="CQJ771" s="83"/>
      <c r="CQT771" s="83"/>
      <c r="CRD771" s="83"/>
      <c r="CRN771" s="83"/>
      <c r="CRX771" s="83"/>
      <c r="CSH771" s="83"/>
      <c r="CSR771" s="83"/>
      <c r="CTB771" s="83"/>
      <c r="CTL771" s="83"/>
      <c r="CTV771" s="83"/>
    </row>
    <row r="772" customHeight="1" spans="1:1020 1030:2040 2050:2570">
      <c r="A772" s="72"/>
      <c r="B772" s="73"/>
      <c r="C772" s="74"/>
      <c r="D772" s="74"/>
      <c r="E772" s="75"/>
      <c r="F772" s="76"/>
      <c r="G772" s="74"/>
      <c r="H772" s="77"/>
      <c r="I772" s="77"/>
      <c r="J772" s="74"/>
      <c r="K772" s="78"/>
    </row>
    <row r="773" customHeight="1" spans="1:1020 1030:2040 2050:2570">
      <c r="A773" s="72"/>
      <c r="B773" s="73"/>
      <c r="C773" s="74"/>
      <c r="D773" s="74"/>
      <c r="E773" s="75"/>
      <c r="F773" s="76"/>
      <c r="G773" s="74"/>
      <c r="H773" s="77"/>
      <c r="I773" s="77"/>
      <c r="J773" s="74"/>
      <c r="K773" s="78"/>
    </row>
    <row r="774" customHeight="1" spans="1:1020 1030:2040 2050:2570">
      <c r="A774" s="72"/>
      <c r="B774" s="73"/>
      <c r="C774" s="74"/>
      <c r="D774" s="74"/>
      <c r="E774" s="75"/>
      <c r="F774" s="76"/>
      <c r="G774" s="74"/>
      <c r="H774" s="77"/>
      <c r="I774" s="77"/>
      <c r="J774" s="74"/>
      <c r="K774" s="78"/>
    </row>
    <row r="775" customHeight="1" spans="1:1020 1030:2040 2050:2570">
      <c r="A775" s="72"/>
      <c r="B775" s="73"/>
      <c r="C775" s="74"/>
      <c r="D775" s="74"/>
      <c r="E775" s="75"/>
      <c r="F775" s="76"/>
      <c r="G775" s="74"/>
      <c r="H775" s="77"/>
      <c r="I775" s="77"/>
      <c r="J775" s="74"/>
      <c r="K775" s="78"/>
    </row>
    <row r="776" customHeight="1" spans="1:1020 1030:2040 2050:2570">
      <c r="A776" s="72"/>
      <c r="B776" s="73"/>
      <c r="C776" s="74"/>
      <c r="D776" s="74"/>
      <c r="E776" s="75"/>
      <c r="F776" s="76"/>
      <c r="G776" s="74"/>
      <c r="H776" s="77"/>
      <c r="I776" s="77"/>
      <c r="J776" s="74"/>
      <c r="K776" s="78"/>
    </row>
    <row r="777" customHeight="1" spans="1:1020 1030:2040 2050:2570">
      <c r="A777" s="72"/>
      <c r="B777" s="73"/>
      <c r="C777" s="74"/>
      <c r="D777" s="74"/>
      <c r="E777" s="75"/>
      <c r="F777" s="76"/>
      <c r="G777" s="74"/>
      <c r="H777" s="77"/>
      <c r="I777" s="77"/>
      <c r="J777" s="74"/>
      <c r="K777" s="78"/>
    </row>
    <row r="778" customHeight="1" spans="1:1020 1030:2040 2050:2570">
      <c r="A778" s="72"/>
      <c r="B778" s="73"/>
      <c r="C778" s="74"/>
      <c r="D778" s="74"/>
      <c r="E778" s="75"/>
      <c r="F778" s="76"/>
      <c r="G778" s="74"/>
      <c r="H778" s="77"/>
      <c r="I778" s="77"/>
      <c r="J778" s="74"/>
      <c r="K778" s="78"/>
    </row>
    <row r="779" customHeight="1" spans="1:1020 1030:2040 2050:2570">
      <c r="A779" s="72"/>
      <c r="B779" s="73"/>
      <c r="C779" s="74"/>
      <c r="D779" s="74"/>
      <c r="E779" s="75"/>
      <c r="F779" s="76"/>
      <c r="G779" s="74"/>
      <c r="H779" s="77"/>
      <c r="I779" s="77"/>
      <c r="J779" s="74"/>
      <c r="K779" s="78"/>
    </row>
    <row r="780" customHeight="1" spans="1:1020 1030:2040 2050:2570">
      <c r="A780" s="72"/>
      <c r="B780" s="73"/>
      <c r="C780" s="74"/>
      <c r="D780" s="74"/>
      <c r="E780" s="75"/>
      <c r="F780" s="76"/>
      <c r="G780" s="74"/>
      <c r="H780" s="77"/>
      <c r="I780" s="77"/>
      <c r="J780" s="74"/>
      <c r="K780" s="78"/>
    </row>
    <row r="781" customHeight="1" spans="1:1020 1030:2040 2050:2570">
      <c r="A781" s="72"/>
      <c r="B781" s="73"/>
      <c r="C781" s="74"/>
      <c r="D781" s="74"/>
      <c r="E781" s="75"/>
      <c r="F781" s="76"/>
      <c r="G781" s="74"/>
      <c r="H781" s="77"/>
      <c r="I781" s="77"/>
      <c r="J781" s="74"/>
      <c r="K781" s="78"/>
    </row>
    <row r="782" customHeight="1" spans="1:1020 1030:2040 2050:2570">
      <c r="A782" s="72"/>
      <c r="B782" s="73"/>
      <c r="C782" s="74"/>
      <c r="D782" s="74"/>
      <c r="E782" s="75"/>
      <c r="F782" s="76"/>
      <c r="G782" s="74"/>
      <c r="H782" s="77"/>
      <c r="I782" s="77"/>
      <c r="J782" s="74"/>
      <c r="K782" s="78"/>
    </row>
    <row r="783" customHeight="1" spans="1:1020 1030:2040 2050:2570">
      <c r="A783" s="72"/>
      <c r="B783" s="73"/>
      <c r="C783" s="74"/>
      <c r="D783" s="74"/>
      <c r="E783" s="75"/>
      <c r="F783" s="76"/>
      <c r="G783" s="74"/>
      <c r="H783" s="77"/>
      <c r="I783" s="77"/>
      <c r="J783" s="74"/>
      <c r="K783" s="78"/>
    </row>
    <row r="784" customHeight="1" spans="1:1020 1030:2040 2050:2570">
      <c r="A784" s="72"/>
      <c r="B784" s="73"/>
      <c r="C784" s="74"/>
      <c r="D784" s="74"/>
      <c r="E784" s="75"/>
      <c r="F784" s="76"/>
      <c r="G784" s="74"/>
      <c r="H784" s="77"/>
      <c r="I784" s="77"/>
      <c r="J784" s="74"/>
      <c r="K784" s="78"/>
    </row>
    <row r="785" customHeight="1" spans="1:11">
      <c r="A785" s="72"/>
      <c r="B785" s="73"/>
      <c r="C785" s="74"/>
      <c r="D785" s="74"/>
      <c r="E785" s="75"/>
      <c r="F785" s="76"/>
      <c r="G785" s="74"/>
      <c r="H785" s="77"/>
      <c r="I785" s="77"/>
      <c r="J785" s="74"/>
      <c r="K785" s="78"/>
    </row>
    <row r="786" customHeight="1" spans="1:11">
      <c r="A786" s="72"/>
      <c r="B786" s="73"/>
      <c r="C786" s="74"/>
      <c r="D786" s="74"/>
      <c r="E786" s="75"/>
      <c r="F786" s="76"/>
      <c r="G786" s="74"/>
      <c r="H786" s="77"/>
      <c r="I786" s="77"/>
      <c r="J786" s="74"/>
      <c r="K786" s="78"/>
    </row>
    <row r="787" customHeight="1" spans="1:11">
      <c r="A787" s="72"/>
      <c r="B787" s="73"/>
      <c r="C787" s="74"/>
      <c r="D787" s="74"/>
      <c r="E787" s="75"/>
      <c r="F787" s="76"/>
      <c r="G787" s="74"/>
      <c r="H787" s="77"/>
      <c r="I787" s="77"/>
      <c r="J787" s="74"/>
      <c r="K787" s="78"/>
    </row>
    <row r="788" customHeight="1" spans="1:11">
      <c r="A788" s="72"/>
      <c r="B788" s="73"/>
      <c r="C788" s="74"/>
      <c r="D788" s="74"/>
      <c r="E788" s="75"/>
      <c r="F788" s="76"/>
      <c r="G788" s="74"/>
      <c r="H788" s="77"/>
      <c r="I788" s="77"/>
      <c r="J788" s="74"/>
      <c r="K788" s="78"/>
    </row>
    <row r="789" customHeight="1" spans="1:11">
      <c r="A789" s="72"/>
      <c r="B789" s="73"/>
      <c r="C789" s="74"/>
      <c r="D789" s="74"/>
      <c r="E789" s="75"/>
      <c r="F789" s="76"/>
      <c r="G789" s="74"/>
      <c r="H789" s="77"/>
      <c r="I789" s="77"/>
      <c r="J789" s="74"/>
      <c r="K789" s="78"/>
    </row>
    <row r="790" customHeight="1" spans="1:11">
      <c r="A790" s="72"/>
      <c r="B790" s="73"/>
      <c r="C790" s="74"/>
      <c r="D790" s="74"/>
      <c r="E790" s="75"/>
      <c r="F790" s="76"/>
      <c r="G790" s="74"/>
      <c r="H790" s="77"/>
      <c r="I790" s="77"/>
      <c r="J790" s="74"/>
      <c r="K790" s="78"/>
    </row>
    <row r="791" customHeight="1" spans="1:11">
      <c r="A791" s="72"/>
      <c r="B791" s="73"/>
      <c r="C791" s="74"/>
      <c r="D791" s="74"/>
      <c r="E791" s="75"/>
      <c r="F791" s="76"/>
      <c r="G791" s="74"/>
      <c r="H791" s="77"/>
      <c r="I791" s="77"/>
      <c r="J791" s="74"/>
      <c r="K791" s="78"/>
    </row>
    <row r="792" customHeight="1" spans="1:11">
      <c r="A792" s="72"/>
      <c r="B792" s="73"/>
      <c r="C792" s="74"/>
      <c r="D792" s="74"/>
      <c r="E792" s="75"/>
      <c r="F792" s="76"/>
      <c r="G792" s="74"/>
      <c r="H792" s="77"/>
      <c r="I792" s="77"/>
      <c r="J792" s="74"/>
      <c r="K792" s="78"/>
    </row>
    <row r="793" customHeight="1" spans="1:11">
      <c r="A793" s="72"/>
      <c r="B793" s="73"/>
      <c r="C793" s="74"/>
      <c r="D793" s="74"/>
      <c r="E793" s="75"/>
      <c r="F793" s="76"/>
      <c r="G793" s="74"/>
      <c r="H793" s="77"/>
      <c r="I793" s="77"/>
      <c r="J793" s="74"/>
      <c r="K793" s="78"/>
    </row>
    <row r="794" customHeight="1" spans="1:11">
      <c r="A794" s="72"/>
      <c r="B794" s="73"/>
      <c r="C794" s="74"/>
      <c r="D794" s="74"/>
      <c r="E794" s="75"/>
      <c r="F794" s="76"/>
      <c r="G794" s="74"/>
      <c r="H794" s="77"/>
      <c r="I794" s="77"/>
      <c r="J794" s="74"/>
      <c r="K794" s="78"/>
    </row>
    <row r="795" customHeight="1" spans="1:11">
      <c r="A795" s="72"/>
      <c r="B795" s="73"/>
      <c r="C795" s="74"/>
      <c r="D795" s="74"/>
      <c r="E795" s="75"/>
      <c r="F795" s="76"/>
      <c r="G795" s="74"/>
      <c r="H795" s="77"/>
      <c r="I795" s="77"/>
      <c r="J795" s="74"/>
      <c r="K795" s="78"/>
    </row>
    <row r="796" customHeight="1" spans="1:11">
      <c r="A796" s="72"/>
      <c r="B796" s="73"/>
      <c r="C796" s="74"/>
      <c r="D796" s="74"/>
      <c r="E796" s="75"/>
      <c r="F796" s="76"/>
      <c r="G796" s="74"/>
      <c r="H796" s="77"/>
      <c r="I796" s="77"/>
      <c r="J796" s="74"/>
      <c r="K796" s="78"/>
    </row>
    <row r="797" customHeight="1" spans="1:11">
      <c r="A797" s="72"/>
      <c r="B797" s="73"/>
      <c r="C797" s="74"/>
      <c r="D797" s="74"/>
      <c r="E797" s="75"/>
      <c r="F797" s="76"/>
      <c r="G797" s="74"/>
      <c r="H797" s="77"/>
      <c r="I797" s="77"/>
      <c r="J797" s="74"/>
      <c r="K797" s="78"/>
    </row>
    <row r="798" customHeight="1" spans="1:11">
      <c r="A798" s="72"/>
      <c r="B798" s="73"/>
      <c r="C798" s="74"/>
      <c r="D798" s="74"/>
      <c r="E798" s="75"/>
      <c r="F798" s="76"/>
      <c r="G798" s="74"/>
      <c r="H798" s="77"/>
      <c r="I798" s="77"/>
      <c r="J798" s="74"/>
      <c r="K798" s="78"/>
    </row>
    <row r="799" customHeight="1" spans="1:11">
      <c r="A799" s="72"/>
      <c r="B799" s="73"/>
      <c r="C799" s="74"/>
      <c r="D799" s="74"/>
      <c r="E799" s="75"/>
      <c r="F799" s="76"/>
      <c r="G799" s="74"/>
      <c r="H799" s="77"/>
      <c r="I799" s="77"/>
      <c r="J799" s="74"/>
      <c r="K799" s="78"/>
    </row>
    <row r="800" customHeight="1" spans="1:11">
      <c r="A800" s="72"/>
      <c r="B800" s="73"/>
      <c r="C800" s="74"/>
      <c r="D800" s="74"/>
      <c r="E800" s="75"/>
      <c r="F800" s="76"/>
      <c r="G800" s="74"/>
      <c r="H800" s="77"/>
      <c r="I800" s="77"/>
      <c r="J800" s="74"/>
      <c r="K800" s="78"/>
    </row>
    <row r="801" customHeight="1" spans="1:11">
      <c r="A801" s="72"/>
      <c r="B801" s="73"/>
      <c r="C801" s="74"/>
      <c r="D801" s="74"/>
      <c r="E801" s="75"/>
      <c r="F801" s="76"/>
      <c r="G801" s="74"/>
      <c r="H801" s="77"/>
      <c r="I801" s="77"/>
      <c r="J801" s="74"/>
      <c r="K801" s="78"/>
    </row>
    <row r="802" customHeight="1" spans="1:11">
      <c r="A802" s="72"/>
      <c r="B802" s="73"/>
      <c r="C802" s="74"/>
      <c r="D802" s="74"/>
      <c r="E802" s="75"/>
      <c r="F802" s="76"/>
      <c r="G802" s="74"/>
      <c r="H802" s="77"/>
      <c r="I802" s="77"/>
      <c r="J802" s="74"/>
      <c r="K802" s="78"/>
    </row>
    <row r="803" customHeight="1" spans="1:11">
      <c r="A803" s="72"/>
      <c r="B803" s="73"/>
      <c r="C803" s="74"/>
      <c r="D803" s="74"/>
      <c r="E803" s="75"/>
      <c r="F803" s="76"/>
      <c r="G803" s="74"/>
      <c r="H803" s="77"/>
      <c r="I803" s="77"/>
      <c r="J803" s="74"/>
      <c r="K803" s="78"/>
    </row>
  </sheetData>
  <sortState ref="A2:K11842">
    <sortCondition ref="A2:A11842"/>
    <sortCondition ref="D2:D11842"/>
  </sortState>
  <conditionalFormatting sqref="E5">
    <cfRule type="duplicateValues" dxfId="3" priority="147"/>
  </conditionalFormatting>
  <conditionalFormatting sqref="G5">
    <cfRule type="duplicateValues" dxfId="0" priority="156"/>
  </conditionalFormatting>
  <conditionalFormatting sqref="E6">
    <cfRule type="duplicateValues" dxfId="3" priority="146"/>
  </conditionalFormatting>
  <conditionalFormatting sqref="G6">
    <cfRule type="duplicateValues" dxfId="0" priority="155"/>
  </conditionalFormatting>
  <conditionalFormatting sqref="E7">
    <cfRule type="duplicateValues" dxfId="3" priority="150"/>
  </conditionalFormatting>
  <conditionalFormatting sqref="G7">
    <cfRule type="duplicateValues" dxfId="0" priority="154"/>
  </conditionalFormatting>
  <conditionalFormatting sqref="E8">
    <cfRule type="duplicateValues" dxfId="3" priority="149"/>
  </conditionalFormatting>
  <conditionalFormatting sqref="G8">
    <cfRule type="duplicateValues" dxfId="0" priority="153"/>
  </conditionalFormatting>
  <conditionalFormatting sqref="E9">
    <cfRule type="duplicateValues" dxfId="3" priority="148"/>
  </conditionalFormatting>
  <conditionalFormatting sqref="G9">
    <cfRule type="duplicateValues" dxfId="0" priority="152"/>
  </conditionalFormatting>
  <conditionalFormatting sqref="E10">
    <cfRule type="duplicateValues" dxfId="3" priority="145"/>
  </conditionalFormatting>
  <conditionalFormatting sqref="G10">
    <cfRule type="duplicateValues" dxfId="0" priority="151"/>
  </conditionalFormatting>
  <conditionalFormatting sqref="E11">
    <cfRule type="duplicateValues" dxfId="3" priority="144"/>
  </conditionalFormatting>
  <conditionalFormatting sqref="E12">
    <cfRule type="duplicateValues" dxfId="3" priority="136"/>
  </conditionalFormatting>
  <conditionalFormatting sqref="G12">
    <cfRule type="duplicateValues" dxfId="0" priority="142"/>
  </conditionalFormatting>
  <conditionalFormatting sqref="E13">
    <cfRule type="duplicateValues" dxfId="3" priority="135"/>
  </conditionalFormatting>
  <conditionalFormatting sqref="G13">
    <cfRule type="duplicateValues" dxfId="0" priority="141"/>
  </conditionalFormatting>
  <conditionalFormatting sqref="E14">
    <cfRule type="duplicateValues" dxfId="3" priority="134"/>
  </conditionalFormatting>
  <conditionalFormatting sqref="G14">
    <cfRule type="duplicateValues" dxfId="0" priority="140"/>
  </conditionalFormatting>
  <conditionalFormatting sqref="E15">
    <cfRule type="duplicateValues" dxfId="3" priority="133"/>
  </conditionalFormatting>
  <conditionalFormatting sqref="G15">
    <cfRule type="duplicateValues" dxfId="0" priority="139"/>
  </conditionalFormatting>
  <conditionalFormatting sqref="E16">
    <cfRule type="duplicateValues" dxfId="3" priority="132"/>
  </conditionalFormatting>
  <conditionalFormatting sqref="G16">
    <cfRule type="duplicateValues" dxfId="0" priority="138"/>
  </conditionalFormatting>
  <conditionalFormatting sqref="E17">
    <cfRule type="duplicateValues" dxfId="3" priority="131"/>
  </conditionalFormatting>
  <conditionalFormatting sqref="G17">
    <cfRule type="duplicateValues" dxfId="0" priority="137"/>
  </conditionalFormatting>
  <conditionalFormatting sqref="E18">
    <cfRule type="duplicateValues" dxfId="3" priority="128"/>
  </conditionalFormatting>
  <conditionalFormatting sqref="G18">
    <cfRule type="duplicateValues" dxfId="0" priority="130"/>
  </conditionalFormatting>
  <conditionalFormatting sqref="E19">
    <cfRule type="duplicateValues" dxfId="3" priority="127"/>
  </conditionalFormatting>
  <conditionalFormatting sqref="G19">
    <cfRule type="duplicateValues" dxfId="0" priority="129"/>
  </conditionalFormatting>
  <conditionalFormatting sqref="E20">
    <cfRule type="duplicateValues" dxfId="3" priority="114"/>
  </conditionalFormatting>
  <conditionalFormatting sqref="G20">
    <cfRule type="duplicateValues" dxfId="0" priority="123"/>
  </conditionalFormatting>
  <conditionalFormatting sqref="E21">
    <cfRule type="duplicateValues" dxfId="3" priority="113"/>
  </conditionalFormatting>
  <conditionalFormatting sqref="G21">
    <cfRule type="duplicateValues" dxfId="0" priority="122"/>
  </conditionalFormatting>
  <conditionalFormatting sqref="E22">
    <cfRule type="duplicateValues" dxfId="3" priority="112"/>
  </conditionalFormatting>
  <conditionalFormatting sqref="G22">
    <cfRule type="duplicateValues" dxfId="0" priority="121"/>
  </conditionalFormatting>
  <conditionalFormatting sqref="E23">
    <cfRule type="duplicateValues" dxfId="3" priority="111"/>
  </conditionalFormatting>
  <conditionalFormatting sqref="G23">
    <cfRule type="duplicateValues" dxfId="0" priority="120"/>
  </conditionalFormatting>
  <conditionalFormatting sqref="E24">
    <cfRule type="duplicateValues" dxfId="3" priority="110"/>
  </conditionalFormatting>
  <conditionalFormatting sqref="G24">
    <cfRule type="duplicateValues" dxfId="0" priority="119"/>
  </conditionalFormatting>
  <conditionalFormatting sqref="E25">
    <cfRule type="duplicateValues" dxfId="3" priority="109"/>
  </conditionalFormatting>
  <conditionalFormatting sqref="G25">
    <cfRule type="duplicateValues" dxfId="0" priority="118"/>
  </conditionalFormatting>
  <conditionalFormatting sqref="E26">
    <cfRule type="duplicateValues" dxfId="3" priority="108"/>
  </conditionalFormatting>
  <conditionalFormatting sqref="G26">
    <cfRule type="duplicateValues" dxfId="0" priority="117"/>
  </conditionalFormatting>
  <conditionalFormatting sqref="E27">
    <cfRule type="duplicateValues" dxfId="3" priority="107"/>
  </conditionalFormatting>
  <conditionalFormatting sqref="G27">
    <cfRule type="duplicateValues" dxfId="0" priority="116"/>
  </conditionalFormatting>
  <conditionalFormatting sqref="E28">
    <cfRule type="duplicateValues" dxfId="3" priority="106"/>
  </conditionalFormatting>
  <conditionalFormatting sqref="G28">
    <cfRule type="duplicateValues" dxfId="0" priority="115"/>
  </conditionalFormatting>
  <conditionalFormatting sqref="E29">
    <cfRule type="duplicateValues" dxfId="3" priority="104"/>
  </conditionalFormatting>
  <conditionalFormatting sqref="G29">
    <cfRule type="duplicateValues" dxfId="0" priority="105"/>
  </conditionalFormatting>
  <conditionalFormatting sqref="E30">
    <cfRule type="duplicateValues" dxfId="3" priority="98"/>
  </conditionalFormatting>
  <conditionalFormatting sqref="G30">
    <cfRule type="duplicateValues" dxfId="0" priority="103"/>
  </conditionalFormatting>
  <conditionalFormatting sqref="E31">
    <cfRule type="duplicateValues" dxfId="3" priority="97"/>
  </conditionalFormatting>
  <conditionalFormatting sqref="G31">
    <cfRule type="duplicateValues" dxfId="0" priority="102"/>
  </conditionalFormatting>
  <conditionalFormatting sqref="E32">
    <cfRule type="duplicateValues" dxfId="3" priority="96"/>
  </conditionalFormatting>
  <conditionalFormatting sqref="G32">
    <cfRule type="duplicateValues" dxfId="0" priority="101"/>
  </conditionalFormatting>
  <conditionalFormatting sqref="E33">
    <cfRule type="duplicateValues" dxfId="3" priority="95"/>
  </conditionalFormatting>
  <conditionalFormatting sqref="G33">
    <cfRule type="duplicateValues" dxfId="0" priority="100"/>
  </conditionalFormatting>
  <conditionalFormatting sqref="E34">
    <cfRule type="duplicateValues" dxfId="3" priority="94"/>
  </conditionalFormatting>
  <conditionalFormatting sqref="G34">
    <cfRule type="duplicateValues" dxfId="0" priority="99"/>
  </conditionalFormatting>
  <conditionalFormatting sqref="E35">
    <cfRule type="duplicateValues" dxfId="3" priority="78"/>
  </conditionalFormatting>
  <conditionalFormatting sqref="G35">
    <cfRule type="duplicateValues" dxfId="0" priority="88"/>
  </conditionalFormatting>
  <conditionalFormatting sqref="E36">
    <cfRule type="duplicateValues" dxfId="3" priority="77"/>
  </conditionalFormatting>
  <conditionalFormatting sqref="G36">
    <cfRule type="duplicateValues" dxfId="0" priority="87"/>
  </conditionalFormatting>
  <conditionalFormatting sqref="E37">
    <cfRule type="duplicateValues" dxfId="3" priority="76"/>
  </conditionalFormatting>
  <conditionalFormatting sqref="G37">
    <cfRule type="duplicateValues" dxfId="0" priority="86"/>
  </conditionalFormatting>
  <conditionalFormatting sqref="E38">
    <cfRule type="duplicateValues" dxfId="3" priority="75"/>
  </conditionalFormatting>
  <conditionalFormatting sqref="G38">
    <cfRule type="duplicateValues" dxfId="0" priority="85"/>
  </conditionalFormatting>
  <conditionalFormatting sqref="E39">
    <cfRule type="duplicateValues" dxfId="3" priority="74"/>
  </conditionalFormatting>
  <conditionalFormatting sqref="G39">
    <cfRule type="duplicateValues" dxfId="0" priority="84"/>
  </conditionalFormatting>
  <conditionalFormatting sqref="E40">
    <cfRule type="duplicateValues" dxfId="3" priority="73"/>
  </conditionalFormatting>
  <conditionalFormatting sqref="G40">
    <cfRule type="duplicateValues" dxfId="0" priority="83"/>
  </conditionalFormatting>
  <conditionalFormatting sqref="E41">
    <cfRule type="duplicateValues" dxfId="3" priority="72"/>
  </conditionalFormatting>
  <conditionalFormatting sqref="G41">
    <cfRule type="duplicateValues" dxfId="0" priority="82"/>
  </conditionalFormatting>
  <conditionalFormatting sqref="E42">
    <cfRule type="duplicateValues" dxfId="3" priority="71"/>
  </conditionalFormatting>
  <conditionalFormatting sqref="G42">
    <cfRule type="duplicateValues" dxfId="0" priority="81"/>
  </conditionalFormatting>
  <conditionalFormatting sqref="E43">
    <cfRule type="duplicateValues" dxfId="3" priority="70"/>
  </conditionalFormatting>
  <conditionalFormatting sqref="G43">
    <cfRule type="duplicateValues" dxfId="0" priority="80"/>
  </conditionalFormatting>
  <conditionalFormatting sqref="E44">
    <cfRule type="duplicateValues" dxfId="3" priority="69"/>
  </conditionalFormatting>
  <conditionalFormatting sqref="G44">
    <cfRule type="duplicateValues" dxfId="0" priority="79"/>
  </conditionalFormatting>
  <conditionalFormatting sqref="E46">
    <cfRule type="duplicateValues" dxfId="3" priority="68"/>
  </conditionalFormatting>
  <conditionalFormatting sqref="E47">
    <cfRule type="duplicateValues" dxfId="3" priority="67"/>
  </conditionalFormatting>
  <conditionalFormatting sqref="E48">
    <cfRule type="duplicateValues" dxfId="3" priority="66"/>
  </conditionalFormatting>
  <conditionalFormatting sqref="E52">
    <cfRule type="duplicateValues" dxfId="3" priority="64"/>
  </conditionalFormatting>
  <conditionalFormatting sqref="E53">
    <cfRule type="duplicateValues" dxfId="3" priority="63"/>
  </conditionalFormatting>
  <conditionalFormatting sqref="E54">
    <cfRule type="duplicateValues" dxfId="3" priority="62"/>
  </conditionalFormatting>
  <conditionalFormatting sqref="E55">
    <cfRule type="duplicateValues" dxfId="3" priority="61"/>
  </conditionalFormatting>
  <conditionalFormatting sqref="E56">
    <cfRule type="duplicateValues" dxfId="3" priority="60"/>
  </conditionalFormatting>
  <conditionalFormatting sqref="E57">
    <cfRule type="duplicateValues" dxfId="3" priority="59"/>
  </conditionalFormatting>
  <conditionalFormatting sqref="E58">
    <cfRule type="duplicateValues" dxfId="3" priority="58"/>
  </conditionalFormatting>
  <conditionalFormatting sqref="E59">
    <cfRule type="duplicateValues" dxfId="3" priority="55"/>
  </conditionalFormatting>
  <conditionalFormatting sqref="E60">
    <cfRule type="duplicateValues" dxfId="3" priority="57"/>
  </conditionalFormatting>
  <conditionalFormatting sqref="E61">
    <cfRule type="duplicateValues" dxfId="3" priority="56"/>
  </conditionalFormatting>
  <conditionalFormatting sqref="E62">
    <cfRule type="duplicateValues" dxfId="3" priority="54"/>
  </conditionalFormatting>
  <conditionalFormatting sqref="E63">
    <cfRule type="duplicateValues" dxfId="3" priority="53"/>
  </conditionalFormatting>
  <conditionalFormatting sqref="E64">
    <cfRule type="duplicateValues" dxfId="3" priority="52"/>
  </conditionalFormatting>
  <conditionalFormatting sqref="E65">
    <cfRule type="duplicateValues" dxfId="3" priority="51"/>
  </conditionalFormatting>
  <conditionalFormatting sqref="E66">
    <cfRule type="duplicateValues" dxfId="3" priority="50"/>
  </conditionalFormatting>
  <conditionalFormatting sqref="E67">
    <cfRule type="duplicateValues" dxfId="3" priority="48"/>
  </conditionalFormatting>
  <conditionalFormatting sqref="E68">
    <cfRule type="duplicateValues" dxfId="3" priority="47"/>
  </conditionalFormatting>
  <conditionalFormatting sqref="E69">
    <cfRule type="duplicateValues" dxfId="3" priority="46"/>
  </conditionalFormatting>
  <conditionalFormatting sqref="E70">
    <cfRule type="duplicateValues" dxfId="3" priority="38"/>
  </conditionalFormatting>
  <conditionalFormatting sqref="E71">
    <cfRule type="duplicateValues" dxfId="3" priority="37"/>
  </conditionalFormatting>
  <conditionalFormatting sqref="E72">
    <cfRule type="duplicateValues" dxfId="3" priority="36"/>
  </conditionalFormatting>
  <conditionalFormatting sqref="E73">
    <cfRule type="duplicateValues" dxfId="3" priority="35"/>
  </conditionalFormatting>
  <conditionalFormatting sqref="E74">
    <cfRule type="duplicateValues" dxfId="3" priority="34"/>
  </conditionalFormatting>
  <conditionalFormatting sqref="E75">
    <cfRule type="duplicateValues" dxfId="3" priority="33"/>
  </conditionalFormatting>
  <conditionalFormatting sqref="E76">
    <cfRule type="duplicateValues" dxfId="3" priority="32"/>
  </conditionalFormatting>
  <conditionalFormatting sqref="E77">
    <cfRule type="duplicateValues" dxfId="3" priority="31"/>
  </conditionalFormatting>
  <conditionalFormatting sqref="E78">
    <cfRule type="duplicateValues" dxfId="3" priority="30"/>
  </conditionalFormatting>
  <conditionalFormatting sqref="E79">
    <cfRule type="duplicateValues" dxfId="3" priority="29"/>
  </conditionalFormatting>
  <conditionalFormatting sqref="E80">
    <cfRule type="duplicateValues" dxfId="3" priority="28"/>
  </conditionalFormatting>
  <conditionalFormatting sqref="E81">
    <cfRule type="duplicateValues" dxfId="3" priority="27"/>
  </conditionalFormatting>
  <conditionalFormatting sqref="E82">
    <cfRule type="duplicateValues" dxfId="3" priority="26"/>
  </conditionalFormatting>
  <conditionalFormatting sqref="E83">
    <cfRule type="duplicateValues" dxfId="3" priority="25"/>
  </conditionalFormatting>
  <conditionalFormatting sqref="E84">
    <cfRule type="duplicateValues" dxfId="3" priority="24"/>
  </conditionalFormatting>
  <conditionalFormatting sqref="E85">
    <cfRule type="duplicateValues" dxfId="3" priority="21"/>
  </conditionalFormatting>
  <conditionalFormatting sqref="E86">
    <cfRule type="duplicateValues" dxfId="3" priority="20"/>
  </conditionalFormatting>
  <conditionalFormatting sqref="E87">
    <cfRule type="duplicateValues" dxfId="3" priority="19"/>
  </conditionalFormatting>
  <conditionalFormatting sqref="E88">
    <cfRule type="duplicateValues" dxfId="3" priority="18"/>
  </conditionalFormatting>
  <conditionalFormatting sqref="E89">
    <cfRule type="duplicateValues" dxfId="3" priority="17"/>
  </conditionalFormatting>
  <conditionalFormatting sqref="E90">
    <cfRule type="duplicateValues" dxfId="3" priority="16"/>
  </conditionalFormatting>
  <conditionalFormatting sqref="E91">
    <cfRule type="duplicateValues" dxfId="3" priority="15"/>
  </conditionalFormatting>
  <conditionalFormatting sqref="E92">
    <cfRule type="duplicateValues" dxfId="3" priority="14"/>
  </conditionalFormatting>
  <conditionalFormatting sqref="E93">
    <cfRule type="duplicateValues" dxfId="3" priority="13"/>
  </conditionalFormatting>
  <conditionalFormatting sqref="E94">
    <cfRule type="duplicateValues" dxfId="3" priority="12"/>
  </conditionalFormatting>
  <conditionalFormatting sqref="E95">
    <cfRule type="duplicateValues" dxfId="3" priority="11"/>
  </conditionalFormatting>
  <conditionalFormatting sqref="E96">
    <cfRule type="duplicateValues" dxfId="3" priority="10"/>
  </conditionalFormatting>
  <conditionalFormatting sqref="E97">
    <cfRule type="duplicateValues" dxfId="3" priority="9"/>
  </conditionalFormatting>
  <conditionalFormatting sqref="E98">
    <cfRule type="duplicateValues" dxfId="3" priority="8"/>
  </conditionalFormatting>
  <conditionalFormatting sqref="E99">
    <cfRule type="duplicateValues" dxfId="3" priority="7"/>
  </conditionalFormatting>
  <conditionalFormatting sqref="E100">
    <cfRule type="duplicateValues" dxfId="3" priority="6"/>
  </conditionalFormatting>
  <conditionalFormatting sqref="E101">
    <cfRule type="duplicateValues" dxfId="3" priority="5"/>
  </conditionalFormatting>
  <conditionalFormatting sqref="E102">
    <cfRule type="duplicateValues" dxfId="3" priority="4"/>
  </conditionalFormatting>
  <conditionalFormatting sqref="E103">
    <cfRule type="duplicateValues" dxfId="3" priority="3"/>
  </conditionalFormatting>
  <conditionalFormatting sqref="E104">
    <cfRule type="duplicateValues" dxfId="3" priority="2"/>
  </conditionalFormatting>
  <conditionalFormatting sqref="E105">
    <cfRule type="duplicateValues" dxfId="3" priority="1"/>
  </conditionalFormatting>
  <conditionalFormatting sqref="E123">
    <cfRule type="duplicateValues" dxfId="0" priority="143"/>
  </conditionalFormatting>
  <conditionalFormatting sqref="E125">
    <cfRule type="duplicateValues" dxfId="0" priority="91"/>
  </conditionalFormatting>
  <conditionalFormatting sqref="E126">
    <cfRule type="duplicateValues" dxfId="0" priority="90"/>
  </conditionalFormatting>
  <conditionalFormatting sqref="E127">
    <cfRule type="duplicateValues" dxfId="0" priority="93"/>
  </conditionalFormatting>
  <conditionalFormatting sqref="E128">
    <cfRule type="duplicateValues" dxfId="0" priority="92"/>
  </conditionalFormatting>
  <conditionalFormatting sqref="E135">
    <cfRule type="duplicateValues" dxfId="0" priority="49"/>
  </conditionalFormatting>
  <conditionalFormatting sqref="E136">
    <cfRule type="duplicateValues" dxfId="0" priority="45"/>
  </conditionalFormatting>
  <conditionalFormatting sqref="E137">
    <cfRule type="duplicateValues" dxfId="0" priority="44"/>
  </conditionalFormatting>
  <conditionalFormatting sqref="E140">
    <cfRule type="duplicateValues" dxfId="0" priority="39"/>
  </conditionalFormatting>
  <conditionalFormatting sqref="E141">
    <cfRule type="duplicateValues" dxfId="0" priority="43"/>
  </conditionalFormatting>
  <conditionalFormatting sqref="E142">
    <cfRule type="duplicateValues" dxfId="0" priority="42"/>
  </conditionalFormatting>
  <conditionalFormatting sqref="E143">
    <cfRule type="duplicateValues" dxfId="0" priority="41"/>
  </conditionalFormatting>
  <conditionalFormatting sqref="E144">
    <cfRule type="duplicateValues" dxfId="0" priority="40"/>
  </conditionalFormatting>
  <conditionalFormatting sqref="E146">
    <cfRule type="duplicateValues" dxfId="0" priority="22"/>
  </conditionalFormatting>
  <conditionalFormatting sqref="E148">
    <cfRule type="duplicateValues" dxfId="0" priority="23"/>
  </conditionalFormatting>
  <conditionalFormatting sqref="E164">
    <cfRule type="duplicateValues" dxfId="0" priority="126"/>
  </conditionalFormatting>
  <conditionalFormatting sqref="E165">
    <cfRule type="duplicateValues" dxfId="0" priority="125"/>
  </conditionalFormatting>
  <conditionalFormatting sqref="E171">
    <cfRule type="duplicateValues" dxfId="0" priority="124"/>
  </conditionalFormatting>
  <conditionalFormatting sqref="E173">
    <cfRule type="duplicateValues" dxfId="0" priority="89"/>
  </conditionalFormatting>
  <conditionalFormatting sqref="E178">
    <cfRule type="duplicateValues" dxfId="0" priority="65"/>
  </conditionalFormatting>
  <conditionalFormatting sqref="E551">
    <cfRule type="duplicateValues" dxfId="0" priority="169"/>
  </conditionalFormatting>
  <conditionalFormatting sqref="E552">
    <cfRule type="duplicateValues" dxfId="0" priority="164"/>
  </conditionalFormatting>
  <conditionalFormatting sqref="E553">
    <cfRule type="duplicateValues" dxfId="0" priority="163"/>
  </conditionalFormatting>
  <conditionalFormatting sqref="E554">
    <cfRule type="duplicateValues" dxfId="0" priority="161"/>
  </conditionalFormatting>
  <conditionalFormatting sqref="E714">
    <cfRule type="duplicateValues" dxfId="3" priority="168"/>
  </conditionalFormatting>
  <conditionalFormatting sqref="E715">
    <cfRule type="duplicateValues" dxfId="3" priority="167"/>
  </conditionalFormatting>
  <conditionalFormatting sqref="E716">
    <cfRule type="duplicateValues" dxfId="3" priority="166"/>
  </conditionalFormatting>
  <conditionalFormatting sqref="E717">
    <cfRule type="duplicateValues" dxfId="3" priority="165"/>
  </conditionalFormatting>
  <conditionalFormatting sqref="E718">
    <cfRule type="duplicateValues" dxfId="3" priority="162"/>
  </conditionalFormatting>
  <conditionalFormatting sqref="E719">
    <cfRule type="duplicateValues" dxfId="3" priority="158"/>
  </conditionalFormatting>
  <conditionalFormatting sqref="E720">
    <cfRule type="duplicateValues" dxfId="3" priority="157"/>
  </conditionalFormatting>
  <conditionalFormatting sqref="E721">
    <cfRule type="duplicateValues" dxfId="3" priority="160"/>
  </conditionalFormatting>
  <conditionalFormatting sqref="E722">
    <cfRule type="duplicateValues" dxfId="3" priority="159"/>
  </conditionalFormatting>
  <dataValidations count="52">
    <dataValidation type="list" allowBlank="1" showInputMessage="1" showErrorMessage="1" sqref="E29">
      <formula1>[3]日报!#REF!</formula1>
    </dataValidation>
    <dataValidation type="list" allowBlank="1" showInputMessage="1" showErrorMessage="1" sqref="E57 E60 E63:E64">
      <formula1>[5]日报!#REF!</formula1>
    </dataValidation>
    <dataValidation type="list" allowBlank="1" showInputMessage="1" showErrorMessage="1" sqref="E95">
      <formula1>[9]日报!#REF!</formula1>
    </dataValidation>
    <dataValidation type="list" allowBlank="1" showInputMessage="1" showErrorMessage="1" sqref="E108 E118:E119">
      <formula1>[69]日报!#REF!</formula1>
    </dataValidation>
    <dataValidation type="list" allowBlank="1" showInputMessage="1" showErrorMessage="1" sqref="E144">
      <formula1>[15]日报!#REF!</formula1>
    </dataValidation>
    <dataValidation type="list" allowBlank="1" showInputMessage="1" showErrorMessage="1" sqref="E146">
      <formula1>[16]日报!#REF!</formula1>
    </dataValidation>
    <dataValidation type="list" allowBlank="1" showInputMessage="1" showErrorMessage="1" sqref="E151 E153">
      <formula1>[17]日报!#REF!</formula1>
    </dataValidation>
    <dataValidation type="list" allowBlank="1" showInputMessage="1" showErrorMessage="1" sqref="E154">
      <formula1>[18]日报!#REF!</formula1>
    </dataValidation>
    <dataValidation type="list" allowBlank="1" showInputMessage="1" showErrorMessage="1" sqref="E174">
      <formula1>[24]日报!#REF!</formula1>
    </dataValidation>
    <dataValidation type="list" allowBlank="1" showInputMessage="1" showErrorMessage="1" sqref="E186">
      <formula1>[27]日报!#REF!</formula1>
    </dataValidation>
    <dataValidation type="list" allowBlank="1" showInputMessage="1" showErrorMessage="1" sqref="E342">
      <formula1>[31]日报!#REF!</formula1>
    </dataValidation>
    <dataValidation type="list" allowBlank="1" showInputMessage="1" showErrorMessage="1" sqref="E510 E512:E513">
      <formula1>[39]日报!#REF!</formula1>
    </dataValidation>
    <dataValidation type="list" allowBlank="1" showInputMessage="1" showErrorMessage="1" sqref="E514">
      <formula1>[45]日报!#REF!</formula1>
    </dataValidation>
    <dataValidation type="list" allowBlank="1" showInputMessage="1" showErrorMessage="1" sqref="E530">
      <formula1>[56]日报!#REF!</formula1>
    </dataValidation>
    <dataValidation type="list" allowBlank="1" showInputMessage="1" showErrorMessage="1" sqref="E531">
      <formula1>[63]日报!#REF!</formula1>
    </dataValidation>
    <dataValidation type="list" allowBlank="1" showInputMessage="1" showErrorMessage="1" sqref="E544">
      <formula1>[33]日报!#REF!</formula1>
    </dataValidation>
    <dataValidation type="list" allowBlank="1" showInputMessage="1" showErrorMessage="1" sqref="E545">
      <formula1>[41]日报!#REF!</formula1>
    </dataValidation>
    <dataValidation type="list" allowBlank="1" showInputMessage="1" showErrorMessage="1" sqref="E546">
      <formula1>[54]日报!#REF!</formula1>
    </dataValidation>
    <dataValidation type="list" allowBlank="1" showInputMessage="1" showErrorMessage="1" sqref="E547">
      <formula1>[57]日报!#REF!</formula1>
    </dataValidation>
    <dataValidation type="list" allowBlank="1" showInputMessage="1" showErrorMessage="1" sqref="E548">
      <formula1>[64]日报!#REF!</formula1>
    </dataValidation>
    <dataValidation type="list" allowBlank="1" showInputMessage="1" showErrorMessage="1" sqref="F555 F624:F626">
      <formula1>日报!$F:$F</formula1>
    </dataValidation>
    <dataValidation type="list" allowBlank="1" showInputMessage="1" showErrorMessage="1" sqref="E608">
      <formula1>[42]日报!#REF!</formula1>
    </dataValidation>
    <dataValidation type="list" allowBlank="1" showInputMessage="1" showErrorMessage="1" sqref="E613">
      <formula1>[50]日报!#REF!</formula1>
    </dataValidation>
    <dataValidation type="list" allowBlank="1" showInputMessage="1" showErrorMessage="1" sqref="E669">
      <formula1>[59]日报!#REF!</formula1>
    </dataValidation>
    <dataValidation type="list" allowBlank="1" showInputMessage="1" showErrorMessage="1" sqref="E707">
      <formula1>[35]日报!#REF!</formula1>
    </dataValidation>
    <dataValidation type="list" allowBlank="1" showInputMessage="1" showErrorMessage="1" sqref="E749">
      <formula1>[40]日报!#REF!</formula1>
    </dataValidation>
    <dataValidation type="list" allowBlank="1" showInputMessage="1" showErrorMessage="1" sqref="E754">
      <formula1>[37]日报!#REF!</formula1>
    </dataValidation>
    <dataValidation type="list" allowBlank="1" showInputMessage="1" showErrorMessage="1" sqref="E755">
      <formula1>[43]日报!#REF!</formula1>
    </dataValidation>
    <dataValidation type="list" allowBlank="1" showInputMessage="1" showErrorMessage="1" sqref="E756">
      <formula1>[47]日报!#REF!</formula1>
    </dataValidation>
    <dataValidation type="list" allowBlank="1" showInputMessage="1" showErrorMessage="1" sqref="E757">
      <formula1>[61]日报!#REF!</formula1>
    </dataValidation>
    <dataValidation type="list" allowBlank="1" showInputMessage="1" showErrorMessage="1" sqref="E769">
      <formula1>[44]日报!#REF!</formula1>
    </dataValidation>
    <dataValidation type="list" allowBlank="1" showInputMessage="1" showErrorMessage="1" sqref="E770">
      <formula1>[48]日报!#REF!</formula1>
    </dataValidation>
    <dataValidation type="list" allowBlank="1" showInputMessage="1" showErrorMessage="1" sqref="E771">
      <formula1>[62]日报!#REF!</formula1>
    </dataValidation>
    <dataValidation type="list" allowBlank="1" showInputMessage="1" showErrorMessage="1" sqref="E129:E131 E133:E134">
      <formula1>[13]日报!#REF!</formula1>
    </dataValidation>
    <dataValidation type="list" allowBlank="1" showInputMessage="1" showErrorMessage="1" sqref="E337:E341">
      <formula1>[30]日报!#REF!</formula1>
    </dataValidation>
    <dataValidation type="list" allowBlank="1" showInputMessage="1" showErrorMessage="1" sqref="E349:E356">
      <formula1>[32]日报!#REF!</formula1>
    </dataValidation>
    <dataValidation type="list" allowBlank="1" showInputMessage="1" showErrorMessage="1" sqref="E364:E371">
      <formula1>[36]日报!#REF!</formula1>
    </dataValidation>
    <dataValidation type="list" allowBlank="1" showInputMessage="1" showErrorMessage="1" sqref="E377:E379">
      <formula1>[38]日报!#REF!</formula1>
    </dataValidation>
    <dataValidation type="list" allowBlank="1" showInputMessage="1" showErrorMessage="1" sqref="E515:E523">
      <formula1>[49]日报!#REF!</formula1>
    </dataValidation>
    <dataValidation type="list" allowBlank="1" showInputMessage="1" showErrorMessage="1" sqref="E524:E527">
      <formula1>[51]日报!#REF!</formula1>
    </dataValidation>
    <dataValidation type="list" allowBlank="1" showInputMessage="1" showErrorMessage="1" sqref="E528:E529">
      <formula1>[53]日报!#REF!</formula1>
    </dataValidation>
    <dataValidation type="list" allowBlank="1" showInputMessage="1" showErrorMessage="1" sqref="E532:E534">
      <formula1>[67]日报!#REF!</formula1>
    </dataValidation>
    <dataValidation type="list" allowBlank="1" showInputMessage="1" showErrorMessage="1" sqref="E538:E543">
      <formula1>[29]日报!#REF!</formula1>
    </dataValidation>
    <dataValidation type="list" allowBlank="1" showInputMessage="1" showErrorMessage="1" sqref="E598:E599">
      <formula1>[34]日报!#REF!</formula1>
    </dataValidation>
    <dataValidation type="list" allowBlank="1" showInputMessage="1" showErrorMessage="1" sqref="E610:E611">
      <formula1>[46]日报!#REF!</formula1>
    </dataValidation>
    <dataValidation type="list" allowBlank="1" showInputMessage="1" showErrorMessage="1" sqref="E614:E615">
      <formula1>[52]日报!#REF!</formula1>
    </dataValidation>
    <dataValidation type="list" allowBlank="1" showInputMessage="1" showErrorMessage="1" sqref="E616:E619">
      <formula1>[55]日报!#REF!</formula1>
    </dataValidation>
    <dataValidation type="list" allowBlank="1" showInputMessage="1" showErrorMessage="1" sqref="E620:E621">
      <formula1>[58]日报!#REF!</formula1>
    </dataValidation>
    <dataValidation type="list" allowBlank="1" showInputMessage="1" showErrorMessage="1" sqref="E622:E623">
      <formula1>[65]日报!#REF!</formula1>
    </dataValidation>
    <dataValidation type="list" allowBlank="1" showInputMessage="1" showErrorMessage="1" sqref="E670:E671">
      <formula1>[66]日报!#REF!</formula1>
    </dataValidation>
    <dataValidation type="list" allowBlank="1" showInputMessage="1" showErrorMessage="1" sqref="E672:E675">
      <formula1>[68]日报!#REF!</formula1>
    </dataValidation>
    <dataValidation type="list" allowBlank="1" showInputMessage="1" showErrorMessage="1" sqref="E747:E748">
      <formula1>[60]日报!#REF!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F26" sqref="F26"/>
    </sheetView>
  </sheetViews>
  <sheetFormatPr defaultColWidth="15" defaultRowHeight="15.6"/>
  <cols>
    <col min="1" max="1" width="11.7777777777778" style="43" customWidth="1"/>
    <col min="2" max="2" width="11" style="44" customWidth="1"/>
    <col min="3" max="3" width="36.5555555555556" style="43" customWidth="1"/>
    <col min="4" max="4" width="44.5555555555556" style="55" customWidth="1"/>
    <col min="5" max="5" width="20.2222222222222" style="45" customWidth="1"/>
    <col min="6" max="6" width="10.7777777777778" style="45" customWidth="1"/>
    <col min="7" max="7" width="29.7777777777778" style="45" customWidth="1"/>
    <col min="8" max="8" width="23.8888888888889" style="47" customWidth="1"/>
    <col min="9" max="9" width="29.2222222222222" style="47" customWidth="1"/>
    <col min="10" max="16376" width="15" style="47" customWidth="1"/>
    <col min="16377" max="16384" width="15" style="47"/>
  </cols>
  <sheetData>
    <row r="1" s="42" customFormat="1" ht="14.4" spans="1:9">
      <c r="A1" s="48" t="s">
        <v>583</v>
      </c>
      <c r="B1" s="49" t="s">
        <v>297</v>
      </c>
      <c r="C1" s="48" t="s">
        <v>3</v>
      </c>
      <c r="D1" s="56" t="s">
        <v>6</v>
      </c>
      <c r="E1" s="50" t="s">
        <v>584</v>
      </c>
      <c r="F1" s="50" t="s">
        <v>585</v>
      </c>
      <c r="G1" s="50" t="s">
        <v>303</v>
      </c>
      <c r="H1" s="52" t="s">
        <v>586</v>
      </c>
      <c r="I1" s="52" t="s">
        <v>587</v>
      </c>
    </row>
    <row r="2" spans="1:9">
      <c r="A2" s="43">
        <v>46113</v>
      </c>
      <c r="B2" s="44" t="s">
        <v>213</v>
      </c>
      <c r="C2" s="43" t="s">
        <v>214</v>
      </c>
      <c r="D2" s="55" t="s">
        <v>216</v>
      </c>
      <c r="E2" s="45" t="s">
        <v>217</v>
      </c>
      <c r="F2" s="45">
        <v>757</v>
      </c>
      <c r="G2" s="45" t="s">
        <v>588</v>
      </c>
      <c r="H2" s="47" t="s">
        <v>589</v>
      </c>
    </row>
    <row r="3" spans="1:9">
      <c r="A3" s="43">
        <v>46135</v>
      </c>
      <c r="B3" s="44" t="s">
        <v>263</v>
      </c>
      <c r="C3" s="43" t="s">
        <v>264</v>
      </c>
      <c r="D3" s="55" t="s">
        <v>265</v>
      </c>
      <c r="E3" s="45" t="s">
        <v>266</v>
      </c>
      <c r="F3" s="45">
        <v>60</v>
      </c>
      <c r="H3" s="47">
        <v>9485395</v>
      </c>
    </row>
    <row r="4" spans="1:9">
      <c r="D4" s="55" t="str">
        <f>IFERROR(VLOOKUP(#REF!,基础数据!E:F,2,0),"")</f>
        <v/>
      </c>
    </row>
    <row r="5" spans="1:9">
      <c r="D5" s="55" t="str">
        <f>IFERROR(VLOOKUP(#REF!,基础数据!E:F,2,0),"")</f>
        <v/>
      </c>
    </row>
    <row r="6" spans="1:9">
      <c r="D6" s="55" t="str">
        <f>IFERROR(VLOOKUP(#REF!,基础数据!E:F,2,0),"")</f>
        <v/>
      </c>
    </row>
    <row r="7" spans="1:9">
      <c r="D7" s="55" t="str">
        <f>IFERROR(VLOOKUP(#REF!,基础数据!E:F,2,0),"")</f>
        <v/>
      </c>
    </row>
    <row r="8" spans="1:9">
      <c r="D8" s="55" t="str">
        <f>IFERROR(VLOOKUP(#REF!,基础数据!E:F,2,0),"")</f>
        <v/>
      </c>
    </row>
    <row r="9" spans="1:9">
      <c r="D9" s="55" t="str">
        <f>IFERROR(VLOOKUP(#REF!,基础数据!E:F,2,0),"")</f>
        <v/>
      </c>
    </row>
    <row r="10" spans="1:9">
      <c r="D10" s="55" t="str">
        <f>IFERROR(VLOOKUP(#REF!,基础数据!E:F,2,0),"")</f>
        <v/>
      </c>
    </row>
    <row r="11" spans="1:9">
      <c r="D11" s="55" t="str">
        <f>IFERROR(VLOOKUP(#REF!,基础数据!E:F,2,0),"")</f>
        <v/>
      </c>
    </row>
    <row r="12" spans="1:9">
      <c r="D12" s="55" t="str">
        <f>IFERROR(VLOOKUP(#REF!,基础数据!E:F,2,0),"")</f>
        <v/>
      </c>
    </row>
    <row r="13" spans="1:9">
      <c r="D13" s="55" t="str">
        <f>IFERROR(VLOOKUP(#REF!,基础数据!E:F,2,0),"")</f>
        <v/>
      </c>
    </row>
    <row r="14" spans="1:9">
      <c r="D14" s="55" t="str">
        <f>IFERROR(VLOOKUP(#REF!,基础数据!E:F,2,0),"")</f>
        <v/>
      </c>
    </row>
    <row r="15" spans="1:9">
      <c r="D15" s="55" t="str">
        <f>IFERROR(VLOOKUP(#REF!,基础数据!E:F,2,0),"")</f>
        <v/>
      </c>
    </row>
    <row r="16" spans="1:9">
      <c r="D16" s="55" t="str">
        <f>IFERROR(VLOOKUP(#REF!,基础数据!E:F,2,0),"")</f>
        <v/>
      </c>
    </row>
    <row r="17" spans="4:4">
      <c r="D17" s="55" t="str">
        <f>IFERROR(VLOOKUP(#REF!,基础数据!E:F,2,0),"")</f>
        <v/>
      </c>
    </row>
    <row r="18" spans="4:4">
      <c r="D18" s="55" t="str">
        <f>IFERROR(VLOOKUP(#REF!,基础数据!E:F,2,0),"")</f>
        <v/>
      </c>
    </row>
    <row r="19" spans="4:4">
      <c r="D19" s="55" t="str">
        <f>IFERROR(VLOOKUP(#REF!,基础数据!E:F,2,0),"")</f>
        <v/>
      </c>
    </row>
    <row r="20" spans="4:4">
      <c r="D20" s="55" t="str">
        <f>IFERROR(VLOOKUP(#REF!,基础数据!E:F,2,0),"")</f>
        <v/>
      </c>
    </row>
    <row r="21" spans="4:4">
      <c r="D21" s="55" t="str">
        <f>IFERROR(VLOOKUP(#REF!,基础数据!E:F,2,0),"")</f>
        <v/>
      </c>
    </row>
    <row r="22" spans="4:4">
      <c r="D22" s="55" t="str">
        <f>IFERROR(VLOOKUP(#REF!,基础数据!E:F,2,0),"")</f>
        <v/>
      </c>
    </row>
    <row r="23" spans="4:4">
      <c r="D23" s="55" t="str">
        <f>IFERROR(VLOOKUP(#REF!,基础数据!E:F,2,0),"")</f>
        <v/>
      </c>
    </row>
    <row r="24" spans="4:4">
      <c r="D24" s="55" t="str">
        <f>IFERROR(VLOOKUP(#REF!,基础数据!E:F,2,0),"")</f>
        <v/>
      </c>
    </row>
  </sheetData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A2" sqref="$A2:$XFD6"/>
    </sheetView>
  </sheetViews>
  <sheetFormatPr defaultColWidth="15" defaultRowHeight="15.6"/>
  <cols>
    <col min="1" max="1" width="11.7777777777778" style="43" customWidth="1"/>
    <col min="2" max="2" width="11" style="44" customWidth="1"/>
    <col min="3" max="3" width="36.5555555555556" style="43" customWidth="1"/>
    <col min="4" max="4" width="20" style="45" customWidth="1"/>
    <col min="5" max="5" width="44.5555555555556" style="55" customWidth="1"/>
    <col min="6" max="6" width="20.2222222222222" style="45" customWidth="1"/>
    <col min="7" max="7" width="10.7777777777778" style="45" customWidth="1"/>
    <col min="8" max="8" width="29.7777777777778" style="45" customWidth="1"/>
    <col min="9" max="9" width="23.8888888888889" style="47" customWidth="1"/>
    <col min="10" max="10" width="29.2222222222222" style="47" customWidth="1"/>
    <col min="11" max="16377" width="15" style="47" customWidth="1"/>
    <col min="16378" max="16384" width="15" style="47"/>
  </cols>
  <sheetData>
    <row r="1" s="42" customFormat="1" ht="14.4" spans="1:10">
      <c r="A1" s="48" t="s">
        <v>583</v>
      </c>
      <c r="B1" s="49" t="s">
        <v>297</v>
      </c>
      <c r="C1" s="48" t="s">
        <v>3</v>
      </c>
      <c r="D1" s="50" t="s">
        <v>590</v>
      </c>
      <c r="E1" s="56" t="s">
        <v>6</v>
      </c>
      <c r="F1" s="50" t="s">
        <v>584</v>
      </c>
      <c r="G1" s="50" t="s">
        <v>585</v>
      </c>
      <c r="H1" s="50" t="s">
        <v>303</v>
      </c>
      <c r="I1" s="52" t="s">
        <v>586</v>
      </c>
      <c r="J1" s="52" t="s">
        <v>587</v>
      </c>
    </row>
    <row r="2" spans="1:10">
      <c r="B2" s="54"/>
      <c r="E2" s="55" t="str">
        <f>IFERROR(VLOOKUP(D2,基础数据!E:F,2,0),"")</f>
        <v/>
      </c>
    </row>
    <row r="3" spans="1:10">
      <c r="B3" s="54"/>
      <c r="E3" s="55" t="str">
        <f>IFERROR(VLOOKUP(D3,基础数据!E:F,2,0),"")</f>
        <v/>
      </c>
    </row>
    <row r="4" spans="1:10">
      <c r="B4" s="54"/>
      <c r="E4" s="55" t="str">
        <f>IFERROR(VLOOKUP(D4,基础数据!E:F,2,0),"")</f>
        <v/>
      </c>
    </row>
    <row r="5" spans="1:10">
      <c r="B5" s="54"/>
      <c r="E5" s="55" t="str">
        <f>IFERROR(VLOOKUP(D5,基础数据!E:F,2,0),"")</f>
        <v/>
      </c>
    </row>
    <row r="6" spans="1:10">
      <c r="B6" s="54"/>
      <c r="E6" s="55" t="str">
        <f>IFERROR(VLOOKUP(D6,基础数据!E:F,2,0),"")</f>
        <v/>
      </c>
    </row>
    <row r="7" spans="1:10">
      <c r="B7" s="54"/>
      <c r="E7" s="55" t="str">
        <f>IFERROR(VLOOKUP(D7,基础数据!E:F,2,0),"")</f>
        <v/>
      </c>
    </row>
    <row r="8" spans="1:10">
      <c r="E8" s="55" t="str">
        <f>IFERROR(VLOOKUP(D8,基础数据!E:F,2,0),"")</f>
        <v/>
      </c>
    </row>
    <row r="9" spans="1:10">
      <c r="E9" s="55" t="str">
        <f>IFERROR(VLOOKUP(D9,基础数据!E:F,2,0),"")</f>
        <v/>
      </c>
    </row>
    <row r="10" spans="1:10">
      <c r="E10" s="55" t="str">
        <f>IFERROR(VLOOKUP(D10,基础数据!E:F,2,0),"")</f>
        <v/>
      </c>
    </row>
    <row r="11" spans="1:10">
      <c r="E11" s="55" t="str">
        <f>IFERROR(VLOOKUP(D11,基础数据!E:F,2,0),"")</f>
        <v/>
      </c>
    </row>
    <row r="12" spans="1:10">
      <c r="E12" s="55" t="str">
        <f>IFERROR(VLOOKUP(D12,基础数据!E:F,2,0),"")</f>
        <v/>
      </c>
    </row>
    <row r="13" spans="1:10">
      <c r="E13" s="55" t="str">
        <f>IFERROR(VLOOKUP(D13,基础数据!E:F,2,0),"")</f>
        <v/>
      </c>
    </row>
    <row r="14" spans="1:10">
      <c r="E14" s="55" t="str">
        <f>IFERROR(VLOOKUP(D14,基础数据!E:F,2,0),"")</f>
        <v/>
      </c>
    </row>
    <row r="15" spans="1:10">
      <c r="E15" s="55" t="str">
        <f>IFERROR(VLOOKUP(D15,基础数据!E:F,2,0),"")</f>
        <v/>
      </c>
    </row>
    <row r="16" spans="1:10">
      <c r="E16" s="55" t="str">
        <f>IFERROR(VLOOKUP(D16,基础数据!E:F,2,0),"")</f>
        <v/>
      </c>
    </row>
    <row r="17" spans="5:5">
      <c r="E17" s="55" t="str">
        <f>IFERROR(VLOOKUP(D17,基础数据!E:F,2,0),"")</f>
        <v/>
      </c>
    </row>
    <row r="18" spans="5:5">
      <c r="E18" s="55" t="str">
        <f>IFERROR(VLOOKUP(D18,基础数据!E:F,2,0),"")</f>
        <v/>
      </c>
    </row>
    <row r="19" spans="5:5">
      <c r="E19" s="55" t="str">
        <f>IFERROR(VLOOKUP(D19,基础数据!E:F,2,0),"")</f>
        <v/>
      </c>
    </row>
    <row r="20" spans="5:5">
      <c r="E20" s="55" t="str">
        <f>IFERROR(VLOOKUP(D20,基础数据!E:F,2,0),"")</f>
        <v/>
      </c>
    </row>
    <row r="21" spans="5:5">
      <c r="E21" s="55" t="str">
        <f>IFERROR(VLOOKUP(D21,基础数据!E:F,2,0),"")</f>
        <v/>
      </c>
    </row>
    <row r="22" spans="5:5">
      <c r="E22" s="55" t="str">
        <f>IFERROR(VLOOKUP(D22,基础数据!E:F,2,0),"")</f>
        <v/>
      </c>
    </row>
    <row r="23" spans="5:5">
      <c r="E23" s="55" t="str">
        <f>IFERROR(VLOOKUP(D23,基础数据!E:F,2,0),"")</f>
        <v/>
      </c>
    </row>
    <row r="24" spans="5:5">
      <c r="E24" s="55" t="str">
        <f>IFERROR(VLOOKUP(D24,基础数据!E:F,2,0),"")</f>
        <v/>
      </c>
    </row>
    <row r="25" spans="5:5">
      <c r="E25" s="55" t="str">
        <f>IFERROR(VLOOKUP(D25,基础数据!E:F,2,0),"")</f>
        <v/>
      </c>
    </row>
    <row r="26" spans="5:5">
      <c r="E26" s="55" t="str">
        <f>IFERROR(VLOOKUP(D26,基础数据!E:F,2,0),"")</f>
        <v/>
      </c>
    </row>
  </sheetData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A2" sqref="$A2:$XFD2"/>
    </sheetView>
  </sheetViews>
  <sheetFormatPr defaultColWidth="15" defaultRowHeight="15.6"/>
  <cols>
    <col min="1" max="1" width="11.7777777777778" style="43" customWidth="1"/>
    <col min="2" max="2" width="11" style="44" customWidth="1"/>
    <col min="3" max="3" width="36.5555555555556" style="43" customWidth="1"/>
    <col min="4" max="4" width="20" style="45" customWidth="1"/>
    <col min="5" max="5" width="44.5555555555556" style="46" customWidth="1"/>
    <col min="6" max="6" width="20.2222222222222" style="45" customWidth="1"/>
    <col min="7" max="7" width="10.7777777777778" style="45" customWidth="1"/>
    <col min="8" max="8" width="29.7777777777778" style="45" customWidth="1"/>
    <col min="9" max="9" width="23.8888888888889" style="47" customWidth="1"/>
    <col min="10" max="10" width="29.2222222222222" style="47" customWidth="1"/>
    <col min="11" max="16377" width="15" style="47" customWidth="1"/>
    <col min="16378" max="16384" width="15" style="47"/>
  </cols>
  <sheetData>
    <row r="1" s="42" customFormat="1" ht="14.4" spans="1:10">
      <c r="A1" s="48" t="s">
        <v>583</v>
      </c>
      <c r="B1" s="49" t="s">
        <v>297</v>
      </c>
      <c r="C1" s="48" t="s">
        <v>3</v>
      </c>
      <c r="D1" s="50" t="s">
        <v>590</v>
      </c>
      <c r="E1" s="51" t="s">
        <v>6</v>
      </c>
      <c r="F1" s="50" t="s">
        <v>584</v>
      </c>
      <c r="G1" s="50" t="s">
        <v>585</v>
      </c>
      <c r="H1" s="50" t="s">
        <v>303</v>
      </c>
      <c r="I1" s="52" t="s">
        <v>586</v>
      </c>
      <c r="J1" s="52" t="s">
        <v>587</v>
      </c>
    </row>
    <row r="2" ht="17.4" spans="1:10">
      <c r="B2" s="53"/>
      <c r="C2" s="53"/>
      <c r="D2" s="40"/>
      <c r="E2" s="46" t="str">
        <f>IFERROR(VLOOKUP(D2,基础数据!E:F,2,0),"")</f>
        <v/>
      </c>
    </row>
    <row r="3" spans="1:10">
      <c r="B3" s="54"/>
      <c r="E3" s="46" t="str">
        <f>IFERROR(VLOOKUP(D3,基础数据!E:F,2,0),"")</f>
        <v/>
      </c>
    </row>
    <row r="4" spans="1:10">
      <c r="B4" s="54"/>
      <c r="E4" s="46" t="str">
        <f>IFERROR(VLOOKUP(D4,基础数据!E:F,2,0),"")</f>
        <v/>
      </c>
    </row>
    <row r="5" spans="1:10">
      <c r="B5" s="54"/>
      <c r="E5" s="46" t="str">
        <f>IFERROR(VLOOKUP(D5,基础数据!E:F,2,0),"")</f>
        <v/>
      </c>
    </row>
    <row r="6" spans="1:10">
      <c r="B6" s="54"/>
      <c r="E6" s="46" t="str">
        <f>IFERROR(VLOOKUP(D6,基础数据!E:F,2,0),"")</f>
        <v/>
      </c>
    </row>
    <row r="7" spans="1:10">
      <c r="B7" s="54"/>
      <c r="E7" s="46" t="str">
        <f>IFERROR(VLOOKUP(D7,基础数据!E:F,2,0),"")</f>
        <v/>
      </c>
    </row>
    <row r="8" spans="1:10">
      <c r="B8" s="54"/>
      <c r="E8" s="46" t="str">
        <f>IFERROR(VLOOKUP(D8,基础数据!E:F,2,0),"")</f>
        <v/>
      </c>
    </row>
    <row r="9" spans="1:10">
      <c r="B9" s="54"/>
      <c r="E9" s="46" t="str">
        <f>IFERROR(VLOOKUP(D9,基础数据!E:F,2,0),"")</f>
        <v/>
      </c>
    </row>
    <row r="10" spans="1:10">
      <c r="B10" s="54"/>
      <c r="E10" s="46" t="str">
        <f>IFERROR(VLOOKUP(D10,基础数据!E:F,2,0),"")</f>
        <v/>
      </c>
    </row>
    <row r="11" spans="1:10">
      <c r="B11" s="54"/>
      <c r="E11" s="46" t="str">
        <f>IFERROR(VLOOKUP(D11,基础数据!E:F,2,0),"")</f>
        <v/>
      </c>
    </row>
    <row r="12" spans="1:10">
      <c r="B12" s="54"/>
      <c r="E12" s="46" t="str">
        <f>IFERROR(VLOOKUP(D12,基础数据!E:F,2,0),"")</f>
        <v/>
      </c>
    </row>
    <row r="13" spans="1:10">
      <c r="B13" s="54"/>
      <c r="E13" s="46" t="str">
        <f>IFERROR(VLOOKUP(D13,基础数据!E:F,2,0),"")</f>
        <v/>
      </c>
    </row>
    <row r="14" spans="1:10">
      <c r="E14" s="46" t="str">
        <f>IFERROR(VLOOKUP(D14,基础数据!E:F,2,0),"")</f>
        <v/>
      </c>
    </row>
    <row r="15" spans="1:10">
      <c r="E15" s="46" t="str">
        <f>IFERROR(VLOOKUP(D15,基础数据!E:F,2,0),"")</f>
        <v/>
      </c>
    </row>
    <row r="16" spans="1:10">
      <c r="E16" s="46" t="str">
        <f>IFERROR(VLOOKUP(D16,基础数据!E:F,2,0),"")</f>
        <v/>
      </c>
    </row>
    <row r="17" spans="5:5">
      <c r="E17" s="46" t="str">
        <f>IFERROR(VLOOKUP(D17,基础数据!E:F,2,0),"")</f>
        <v/>
      </c>
    </row>
    <row r="18" spans="5:5">
      <c r="E18" s="46" t="str">
        <f>IFERROR(VLOOKUP(D18,基础数据!E:F,2,0),"")</f>
        <v/>
      </c>
    </row>
    <row r="19" spans="5:5">
      <c r="E19" s="46" t="str">
        <f>IFERROR(VLOOKUP(D19,基础数据!E:F,2,0),"")</f>
        <v/>
      </c>
    </row>
    <row r="20" spans="5:5">
      <c r="E20" s="46" t="str">
        <f>IFERROR(VLOOKUP(D20,基础数据!E:F,2,0),"")</f>
        <v/>
      </c>
    </row>
    <row r="21" spans="5:5">
      <c r="E21" s="46" t="str">
        <f>IFERROR(VLOOKUP(D21,基础数据!E:F,2,0),"")</f>
        <v/>
      </c>
    </row>
    <row r="22" spans="5:5">
      <c r="E22" s="46" t="str">
        <f>IFERROR(VLOOKUP(D22,基础数据!E:F,2,0),"")</f>
        <v/>
      </c>
    </row>
    <row r="23" spans="5:5">
      <c r="E23" s="46" t="str">
        <f>IFERROR(VLOOKUP(D23,基础数据!E:F,2,0),"")</f>
        <v/>
      </c>
    </row>
    <row r="24" spans="5:5">
      <c r="E24" s="46" t="str">
        <f>IFERROR(VLOOKUP(D24,基础数据!E:F,2,0),"")</f>
        <v/>
      </c>
    </row>
  </sheetData>
  <conditionalFormatting sqref="D2">
    <cfRule type="duplicateValues" dxfId="0" priority="207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opLeftCell="A3" workbookViewId="0">
      <selection activeCell="B23" sqref="B23"/>
    </sheetView>
  </sheetViews>
  <sheetFormatPr defaultColWidth="8.66666666666667" defaultRowHeight="14.4" outlineLevelCol="7"/>
  <cols>
    <col min="1" max="1" width="6.11111111111111" customWidth="1"/>
    <col min="2" max="2" width="16.2222222222222" customWidth="1"/>
    <col min="3" max="3" width="39.7777777777778" customWidth="1"/>
    <col min="4" max="5" width="20.8888888888889" customWidth="1"/>
    <col min="6" max="6" width="37.4444444444444" customWidth="1"/>
  </cols>
  <sheetData>
    <row r="1" spans="1:8">
      <c r="A1" s="32" t="s">
        <v>1</v>
      </c>
      <c r="B1" s="32" t="s">
        <v>2</v>
      </c>
      <c r="C1" s="32" t="s">
        <v>3</v>
      </c>
      <c r="D1" s="33" t="s">
        <v>4</v>
      </c>
      <c r="E1" s="32" t="s">
        <v>5</v>
      </c>
      <c r="F1" s="34" t="s">
        <v>6</v>
      </c>
      <c r="G1" s="34" t="s">
        <v>7</v>
      </c>
      <c r="H1" s="33" t="s">
        <v>8</v>
      </c>
    </row>
    <row r="2" spans="1:8">
      <c r="A2" s="32"/>
      <c r="B2" s="32"/>
      <c r="C2" s="32"/>
      <c r="D2" s="35"/>
      <c r="E2" s="32"/>
      <c r="F2" s="34"/>
      <c r="G2" s="34"/>
      <c r="H2" s="35"/>
    </row>
    <row r="3" ht="19.2" spans="1:8">
      <c r="A3" s="36">
        <f t="shared" ref="A3:A9" si="0">ROW()-2</f>
        <v>1</v>
      </c>
      <c r="B3" s="37" t="s">
        <v>149</v>
      </c>
      <c r="C3" s="38" t="s">
        <v>150</v>
      </c>
      <c r="D3" s="38"/>
      <c r="E3" s="39" t="s">
        <v>151</v>
      </c>
      <c r="F3" s="36" t="s">
        <v>152</v>
      </c>
      <c r="G3" s="36">
        <v>20</v>
      </c>
      <c r="H3" s="40" t="s">
        <v>27</v>
      </c>
    </row>
    <row r="4" ht="19.2" spans="1:8">
      <c r="A4" s="36">
        <f t="shared" si="0"/>
        <v>2</v>
      </c>
      <c r="B4" s="37" t="s">
        <v>149</v>
      </c>
      <c r="C4" s="38" t="s">
        <v>150</v>
      </c>
      <c r="D4" s="38"/>
      <c r="E4" s="36" t="s">
        <v>153</v>
      </c>
      <c r="F4" s="36" t="s">
        <v>154</v>
      </c>
      <c r="G4" s="36">
        <v>100</v>
      </c>
      <c r="H4" s="40" t="s">
        <v>27</v>
      </c>
    </row>
    <row r="5" ht="19.2" spans="1:8">
      <c r="A5" s="36">
        <f t="shared" si="0"/>
        <v>3</v>
      </c>
      <c r="B5" s="37" t="s">
        <v>149</v>
      </c>
      <c r="C5" s="38" t="s">
        <v>150</v>
      </c>
      <c r="D5" s="38"/>
      <c r="E5" s="39" t="s">
        <v>155</v>
      </c>
      <c r="F5" s="36" t="s">
        <v>156</v>
      </c>
      <c r="G5" s="36">
        <v>100</v>
      </c>
      <c r="H5" s="40" t="s">
        <v>27</v>
      </c>
    </row>
    <row r="6" ht="19.2" spans="1:8">
      <c r="A6" s="36">
        <f t="shared" si="0"/>
        <v>4</v>
      </c>
      <c r="B6" s="37" t="s">
        <v>149</v>
      </c>
      <c r="C6" s="38" t="s">
        <v>150</v>
      </c>
      <c r="D6" s="36"/>
      <c r="E6" s="36" t="s">
        <v>157</v>
      </c>
      <c r="F6" s="36" t="s">
        <v>158</v>
      </c>
      <c r="G6" s="36">
        <v>1500</v>
      </c>
      <c r="H6" s="40" t="s">
        <v>27</v>
      </c>
    </row>
    <row r="7" ht="19.2" spans="1:8">
      <c r="A7" s="36">
        <f t="shared" si="0"/>
        <v>5</v>
      </c>
      <c r="B7" s="37" t="s">
        <v>149</v>
      </c>
      <c r="C7" s="38" t="s">
        <v>150</v>
      </c>
      <c r="D7" s="41"/>
      <c r="E7" s="39" t="s">
        <v>159</v>
      </c>
      <c r="F7" s="36" t="s">
        <v>160</v>
      </c>
      <c r="G7" s="36">
        <v>1500</v>
      </c>
      <c r="H7" s="40" t="s">
        <v>27</v>
      </c>
    </row>
    <row r="8" ht="22.05" customHeight="1" spans="1:8">
      <c r="A8" s="36">
        <f t="shared" si="0"/>
        <v>6</v>
      </c>
      <c r="B8" s="37" t="s">
        <v>149</v>
      </c>
      <c r="C8" s="38" t="s">
        <v>150</v>
      </c>
      <c r="D8" s="41"/>
      <c r="E8" s="36" t="s">
        <v>161</v>
      </c>
      <c r="F8" s="36" t="s">
        <v>162</v>
      </c>
      <c r="G8" s="36">
        <v>30</v>
      </c>
      <c r="H8" s="40" t="s">
        <v>27</v>
      </c>
    </row>
    <row r="9" ht="22.05" customHeight="1" spans="1:8">
      <c r="A9" s="36">
        <f t="shared" si="0"/>
        <v>7</v>
      </c>
      <c r="B9" s="37" t="s">
        <v>149</v>
      </c>
      <c r="C9" s="38" t="s">
        <v>150</v>
      </c>
      <c r="D9" s="41"/>
      <c r="E9" s="36" t="s">
        <v>163</v>
      </c>
      <c r="F9" s="36" t="s">
        <v>164</v>
      </c>
      <c r="G9" s="36">
        <v>50</v>
      </c>
      <c r="H9" s="40" t="s">
        <v>27</v>
      </c>
    </row>
    <row r="10" ht="22.05" customHeight="1" spans="1:8">
      <c r="A10" s="36">
        <f t="shared" ref="A10:A16" si="1">ROW()-2</f>
        <v>8</v>
      </c>
      <c r="B10" s="41"/>
      <c r="C10" s="41"/>
      <c r="D10" s="41"/>
      <c r="E10" s="41"/>
      <c r="F10" s="41"/>
      <c r="G10" s="41"/>
      <c r="H10" s="40" t="s">
        <v>27</v>
      </c>
    </row>
    <row r="11" ht="22.05" customHeight="1" spans="1:8">
      <c r="A11" s="36">
        <f t="shared" si="1"/>
        <v>9</v>
      </c>
      <c r="B11" s="41"/>
      <c r="C11" s="41"/>
      <c r="D11" s="41"/>
      <c r="E11" s="41"/>
      <c r="F11" s="41"/>
      <c r="G11" s="41"/>
      <c r="H11" s="40" t="s">
        <v>27</v>
      </c>
    </row>
    <row r="12" ht="22.05" customHeight="1" spans="1:8">
      <c r="A12" s="36">
        <f t="shared" si="1"/>
        <v>10</v>
      </c>
      <c r="B12" s="41"/>
      <c r="C12" s="41"/>
      <c r="D12" s="41"/>
      <c r="E12" s="41"/>
      <c r="F12" s="41"/>
      <c r="G12" s="41"/>
      <c r="H12" s="40" t="s">
        <v>27</v>
      </c>
    </row>
    <row r="13" ht="22.05" customHeight="1" spans="1:8">
      <c r="A13" s="36">
        <f t="shared" si="1"/>
        <v>11</v>
      </c>
      <c r="B13" s="41"/>
      <c r="C13" s="41"/>
      <c r="D13" s="41"/>
      <c r="E13" s="41"/>
      <c r="F13" s="41"/>
      <c r="G13" s="41"/>
      <c r="H13" s="40" t="s">
        <v>27</v>
      </c>
    </row>
    <row r="14" ht="22.05" customHeight="1" spans="1:8">
      <c r="A14" s="36">
        <f t="shared" si="1"/>
        <v>12</v>
      </c>
      <c r="B14" s="41"/>
      <c r="C14" s="41"/>
      <c r="D14" s="41"/>
      <c r="E14" s="41"/>
      <c r="F14" s="41"/>
      <c r="G14" s="41"/>
      <c r="H14" s="40" t="s">
        <v>27</v>
      </c>
    </row>
    <row r="15" ht="22.05" customHeight="1" spans="1:8">
      <c r="A15" s="36">
        <f t="shared" si="1"/>
        <v>13</v>
      </c>
      <c r="B15" s="41"/>
      <c r="C15" s="41"/>
      <c r="D15" s="41"/>
      <c r="E15" s="41"/>
      <c r="F15" s="41"/>
      <c r="G15" s="41"/>
      <c r="H15" s="40" t="s">
        <v>27</v>
      </c>
    </row>
    <row r="16" ht="22.05" customHeight="1" spans="1:8">
      <c r="A16" s="36">
        <f t="shared" si="1"/>
        <v>14</v>
      </c>
      <c r="B16" s="41"/>
      <c r="C16" s="41"/>
      <c r="D16" s="41"/>
      <c r="E16" s="41"/>
      <c r="F16" s="41"/>
      <c r="G16" s="41"/>
      <c r="H16" s="40" t="s">
        <v>27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conditionalFormatting sqref="E3">
    <cfRule type="duplicateValues" dxfId="0" priority="11"/>
    <cfRule type="duplicateValues" dxfId="0" priority="12"/>
  </conditionalFormatting>
  <conditionalFormatting sqref="F3">
    <cfRule type="duplicateValues" dxfId="0" priority="15"/>
  </conditionalFormatting>
  <conditionalFormatting sqref="E4">
    <cfRule type="duplicateValues" dxfId="0" priority="9"/>
    <cfRule type="duplicateValues" dxfId="0" priority="10"/>
  </conditionalFormatting>
  <conditionalFormatting sqref="E5">
    <cfRule type="duplicateValues" dxfId="0" priority="8"/>
  </conditionalFormatting>
  <conditionalFormatting sqref="E6">
    <cfRule type="duplicateValues" dxfId="0" priority="6"/>
    <cfRule type="duplicateValues" dxfId="0" priority="7"/>
  </conditionalFormatting>
  <conditionalFormatting sqref="E7">
    <cfRule type="duplicateValues" dxfId="0" priority="5"/>
  </conditionalFormatting>
  <conditionalFormatting sqref="E8">
    <cfRule type="duplicateValues" dxfId="0" priority="3"/>
    <cfRule type="duplicateValues" dxfId="0" priority="4"/>
  </conditionalFormatting>
  <conditionalFormatting sqref="E9">
    <cfRule type="duplicateValues" dxfId="0" priority="1"/>
    <cfRule type="duplicateValues" dxfId="0" priority="2"/>
  </conditionalFormatting>
  <conditionalFormatting sqref="D3:D5">
    <cfRule type="duplicateValues" dxfId="0" priority="14"/>
  </conditionalFormatting>
  <conditionalFormatting sqref="E1:E2 D1">
    <cfRule type="duplicateValues" dxfId="3" priority="18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E4" sqref="E4:F5"/>
    </sheetView>
  </sheetViews>
  <sheetFormatPr defaultColWidth="9" defaultRowHeight="12"/>
  <cols>
    <col min="1" max="1" width="15.4444444444444" style="21" customWidth="1"/>
    <col min="2" max="2" width="26.1111111111111" style="21" customWidth="1"/>
    <col min="3" max="3" width="15.4444444444444" style="21" customWidth="1"/>
    <col min="4" max="4" width="24.1111111111111" style="21" customWidth="1"/>
    <col min="5" max="16384" width="9" style="21"/>
  </cols>
  <sheetData>
    <row r="1" s="19" customFormat="1" ht="18" customHeight="1" spans="1:11">
      <c r="A1" s="22" t="s">
        <v>591</v>
      </c>
      <c r="B1" s="23" t="s">
        <v>592</v>
      </c>
      <c r="C1" s="23" t="s">
        <v>593</v>
      </c>
      <c r="D1" s="23" t="s">
        <v>594</v>
      </c>
      <c r="E1" s="23" t="s">
        <v>3</v>
      </c>
      <c r="F1" s="23" t="s">
        <v>595</v>
      </c>
      <c r="G1" s="23" t="s">
        <v>596</v>
      </c>
      <c r="H1" s="24" t="s">
        <v>597</v>
      </c>
      <c r="I1" s="23" t="s">
        <v>598</v>
      </c>
      <c r="J1" s="23" t="s">
        <v>304</v>
      </c>
      <c r="K1" s="23" t="s">
        <v>303</v>
      </c>
    </row>
    <row r="2" s="20" customFormat="1" ht="18" customHeight="1" spans="1:11">
      <c r="A2" s="25"/>
      <c r="B2" s="26"/>
      <c r="C2" s="14"/>
      <c r="D2" s="27" t="e">
        <f>VLOOKUP(C:C,日报!E:F,2,0)</f>
        <v>#N/A</v>
      </c>
      <c r="E2" s="10" t="s">
        <v>599</v>
      </c>
      <c r="F2" s="28"/>
      <c r="G2" s="28"/>
      <c r="H2" s="29"/>
      <c r="I2" s="27" t="e">
        <f>VLOOKUP(C:C,日报!E:I,4,0)</f>
        <v>#N/A</v>
      </c>
      <c r="J2" s="27" t="e">
        <f>G2/I2</f>
        <v>#N/A</v>
      </c>
      <c r="K2" s="27"/>
    </row>
    <row r="3" s="20" customFormat="1" ht="18" customHeight="1" spans="1:11">
      <c r="A3" s="29"/>
      <c r="B3" s="30"/>
      <c r="C3" s="31"/>
      <c r="D3" s="27"/>
      <c r="E3" s="28"/>
      <c r="F3" s="28"/>
      <c r="G3" s="28"/>
      <c r="H3" s="29"/>
      <c r="I3" s="27"/>
      <c r="J3" s="27"/>
      <c r="K3" s="27"/>
    </row>
    <row r="4" s="20" customFormat="1" ht="18" customHeight="1" spans="1:11">
      <c r="A4" s="29"/>
      <c r="B4" s="30"/>
      <c r="C4" s="31"/>
      <c r="D4" s="27"/>
      <c r="E4" s="28"/>
      <c r="F4" s="28"/>
      <c r="G4" s="28"/>
      <c r="H4" s="29"/>
      <c r="I4" s="27"/>
      <c r="J4" s="27"/>
      <c r="K4" s="27"/>
    </row>
    <row r="5" s="20" customFormat="1" ht="18" customHeight="1" spans="1:11">
      <c r="A5" s="29"/>
      <c r="B5" s="30"/>
      <c r="C5" s="31"/>
      <c r="D5" s="27"/>
      <c r="E5" s="28"/>
      <c r="F5" s="28"/>
      <c r="G5" s="28"/>
      <c r="H5" s="29"/>
      <c r="I5" s="27"/>
      <c r="J5" s="27"/>
      <c r="K5" s="27"/>
    </row>
    <row r="6" s="20" customFormat="1" ht="18" customHeight="1" spans="1:11">
      <c r="A6" s="29"/>
      <c r="B6" s="30"/>
      <c r="C6" s="31"/>
      <c r="D6" s="27"/>
      <c r="E6" s="28"/>
      <c r="F6" s="28"/>
      <c r="G6" s="28"/>
      <c r="H6" s="29"/>
      <c r="I6" s="27"/>
      <c r="J6" s="27"/>
      <c r="K6" s="27"/>
    </row>
    <row r="7" s="20" customFormat="1" ht="18" customHeight="1" spans="1:11">
      <c r="A7" s="29"/>
      <c r="B7" s="30"/>
      <c r="C7" s="31"/>
      <c r="D7" s="27"/>
      <c r="E7" s="28"/>
      <c r="F7" s="28"/>
      <c r="G7" s="28"/>
      <c r="H7" s="29"/>
      <c r="I7" s="27"/>
      <c r="J7" s="27"/>
      <c r="K7" s="27"/>
    </row>
    <row r="8" s="20" customFormat="1" ht="18" customHeight="1" spans="1:11">
      <c r="A8" s="29"/>
      <c r="B8" s="30"/>
      <c r="C8" s="31"/>
      <c r="D8" s="27"/>
      <c r="E8" s="28"/>
      <c r="F8" s="28"/>
      <c r="G8" s="28"/>
      <c r="H8" s="29"/>
      <c r="I8" s="27"/>
      <c r="J8" s="27"/>
      <c r="K8" s="27"/>
    </row>
    <row r="9" s="20" customFormat="1" ht="18" customHeight="1" spans="1:11">
      <c r="A9" s="29"/>
      <c r="B9" s="30"/>
      <c r="C9" s="31"/>
      <c r="D9" s="27"/>
      <c r="E9" s="28"/>
      <c r="F9" s="28"/>
      <c r="G9" s="28"/>
      <c r="H9" s="29"/>
      <c r="I9" s="27"/>
      <c r="J9" s="27"/>
      <c r="K9" s="27"/>
    </row>
    <row r="10" s="20" customFormat="1" ht="18" customHeight="1" spans="1:11">
      <c r="A10" s="29"/>
      <c r="B10" s="30"/>
      <c r="C10" s="31"/>
      <c r="D10" s="27"/>
      <c r="E10" s="28"/>
      <c r="F10" s="28"/>
      <c r="G10" s="28"/>
      <c r="H10" s="29"/>
      <c r="I10" s="27"/>
      <c r="J10" s="27"/>
      <c r="K10" s="27"/>
    </row>
    <row r="11" s="20" customFormat="1" ht="18" customHeight="1" spans="1:11">
      <c r="A11" s="29"/>
      <c r="B11" s="30"/>
      <c r="C11" s="31"/>
      <c r="D11" s="27"/>
      <c r="E11" s="28"/>
      <c r="F11" s="28"/>
      <c r="G11" s="28"/>
      <c r="H11" s="29"/>
      <c r="I11" s="27"/>
      <c r="J11" s="27"/>
      <c r="K11" s="27"/>
    </row>
    <row r="12" s="20" customFormat="1" ht="18" customHeight="1" spans="1:11">
      <c r="A12" s="29"/>
      <c r="B12" s="30"/>
      <c r="C12" s="31"/>
      <c r="D12" s="27"/>
      <c r="E12" s="28"/>
      <c r="F12" s="28"/>
      <c r="G12" s="28"/>
      <c r="H12" s="29"/>
      <c r="I12" s="27"/>
      <c r="J12" s="27"/>
      <c r="K12" s="27"/>
    </row>
    <row r="13" s="20" customFormat="1" ht="18" customHeight="1" spans="1:11">
      <c r="A13" s="29"/>
      <c r="B13" s="30"/>
      <c r="C13" s="31"/>
      <c r="D13" s="27"/>
      <c r="E13" s="28"/>
      <c r="F13" s="28"/>
      <c r="G13" s="28"/>
      <c r="H13" s="29"/>
      <c r="I13" s="27"/>
      <c r="J13" s="27"/>
      <c r="K13" s="27"/>
    </row>
    <row r="14" s="20" customFormat="1" ht="18" customHeight="1" spans="1:11">
      <c r="A14" s="29"/>
      <c r="B14" s="30"/>
      <c r="C14" s="31"/>
      <c r="D14" s="27"/>
      <c r="E14" s="28"/>
      <c r="F14" s="28"/>
      <c r="G14" s="28"/>
      <c r="H14" s="29"/>
      <c r="I14" s="27"/>
      <c r="J14" s="27"/>
      <c r="K14" s="27"/>
    </row>
    <row r="15" s="20" customFormat="1" ht="18" customHeight="1" spans="1:11">
      <c r="A15" s="29"/>
      <c r="B15" s="30"/>
      <c r="C15" s="31"/>
      <c r="D15" s="27"/>
      <c r="E15" s="28"/>
      <c r="F15" s="28"/>
      <c r="G15" s="28"/>
      <c r="H15" s="29"/>
      <c r="I15" s="27"/>
      <c r="J15" s="27"/>
      <c r="K15" s="27"/>
    </row>
    <row r="16" s="20" customFormat="1" ht="18" customHeight="1" spans="1:11">
      <c r="A16" s="29"/>
      <c r="B16" s="30"/>
      <c r="C16" s="31"/>
      <c r="D16" s="27"/>
      <c r="E16" s="28"/>
      <c r="F16" s="28"/>
      <c r="G16" s="28"/>
      <c r="H16" s="29"/>
      <c r="I16" s="27"/>
      <c r="J16" s="27"/>
      <c r="K16" s="27"/>
    </row>
    <row r="17" s="20" customFormat="1" ht="18" customHeight="1" spans="1:11">
      <c r="A17" s="29"/>
      <c r="B17" s="30"/>
      <c r="C17" s="31"/>
      <c r="D17" s="27"/>
      <c r="E17" s="28"/>
      <c r="F17" s="28"/>
      <c r="G17" s="28"/>
      <c r="H17" s="29"/>
      <c r="I17" s="27"/>
      <c r="J17" s="27"/>
      <c r="K17" s="27"/>
    </row>
    <row r="18" s="20" customFormat="1" ht="18" customHeight="1" spans="1:11">
      <c r="A18" s="29"/>
      <c r="B18" s="30"/>
      <c r="C18" s="31"/>
      <c r="D18" s="27"/>
      <c r="E18" s="28"/>
      <c r="F18" s="28"/>
      <c r="G18" s="28"/>
      <c r="H18" s="29"/>
      <c r="I18" s="27"/>
      <c r="J18" s="27"/>
      <c r="K18" s="27"/>
    </row>
    <row r="19" s="20" customFormat="1" ht="18" customHeight="1" spans="1:11">
      <c r="A19" s="29"/>
      <c r="B19" s="30"/>
      <c r="C19" s="31"/>
      <c r="D19" s="27"/>
      <c r="E19" s="28"/>
      <c r="F19" s="28"/>
      <c r="G19" s="28"/>
      <c r="H19" s="29"/>
      <c r="I19" s="27"/>
      <c r="J19" s="27"/>
      <c r="K19" s="27"/>
    </row>
    <row r="20" s="20" customFormat="1" ht="18" customHeight="1" spans="1:11">
      <c r="A20" s="29"/>
      <c r="B20" s="30"/>
      <c r="C20" s="31"/>
      <c r="D20" s="27"/>
      <c r="E20" s="28"/>
      <c r="F20" s="28"/>
      <c r="G20" s="28"/>
      <c r="H20" s="29"/>
      <c r="I20" s="27"/>
      <c r="J20" s="27"/>
      <c r="K20" s="27"/>
    </row>
    <row r="21" s="20" customFormat="1" ht="18" customHeight="1" spans="1:11">
      <c r="A21" s="29"/>
      <c r="B21" s="30"/>
      <c r="C21" s="31"/>
      <c r="D21" s="27"/>
      <c r="E21" s="28"/>
      <c r="F21" s="28"/>
      <c r="G21" s="28"/>
      <c r="H21" s="29"/>
      <c r="I21" s="27"/>
      <c r="J21" s="27"/>
      <c r="K21" s="27"/>
    </row>
    <row r="22" s="20" customFormat="1" ht="18" customHeight="1" spans="1:11">
      <c r="A22" s="29"/>
      <c r="B22" s="30"/>
      <c r="C22" s="31"/>
      <c r="D22" s="27"/>
      <c r="E22" s="28"/>
      <c r="F22" s="28"/>
      <c r="G22" s="28"/>
      <c r="H22" s="29"/>
      <c r="I22" s="27"/>
      <c r="J22" s="27"/>
      <c r="K22" s="27"/>
    </row>
    <row r="23" s="20" customFormat="1" ht="18" customHeight="1" spans="1:11">
      <c r="A23" s="29"/>
      <c r="B23" s="30"/>
      <c r="C23" s="31"/>
      <c r="D23" s="27"/>
      <c r="E23" s="28"/>
      <c r="F23" s="28"/>
      <c r="G23" s="28"/>
      <c r="H23" s="29"/>
      <c r="I23" s="27"/>
      <c r="J23" s="27"/>
      <c r="K23" s="27"/>
    </row>
  </sheetData>
  <dataValidations count="1">
    <dataValidation allowBlank="1" showInputMessage="1" showErrorMessage="1" sqref="C2"/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13"/>
  <sheetViews>
    <sheetView showGridLines="0" workbookViewId="0">
      <pane ySplit="1" topLeftCell="A2" activePane="bottomLeft" state="frozen"/>
      <selection/>
      <selection pane="bottomLeft" activeCell="E4" sqref="E4:F5"/>
    </sheetView>
  </sheetViews>
  <sheetFormatPr defaultColWidth="9" defaultRowHeight="14.4"/>
  <sheetData>
    <row r="1" s="18" customFormat="1" ht="33" customHeight="1"/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</sheetData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E4" sqref="E4:F5"/>
    </sheetView>
  </sheetViews>
  <sheetFormatPr defaultColWidth="9" defaultRowHeight="14.4"/>
  <cols>
    <col min="1" max="1" width="12.1111111111111" customWidth="1"/>
    <col min="2" max="2" width="14.7777777777778" style="1" customWidth="1"/>
    <col min="3" max="3" width="14.1111111111111" customWidth="1"/>
    <col min="4" max="4" width="25.7777777777778" customWidth="1"/>
  </cols>
  <sheetData>
    <row r="1" ht="27.6" customHeight="1" spans="1:11">
      <c r="A1" s="2" t="s">
        <v>600</v>
      </c>
      <c r="B1" s="3" t="s">
        <v>601</v>
      </c>
      <c r="C1" s="4" t="s">
        <v>299</v>
      </c>
      <c r="D1" s="4" t="s">
        <v>6</v>
      </c>
      <c r="E1" s="3" t="s">
        <v>17</v>
      </c>
      <c r="F1" s="5">
        <v>43977</v>
      </c>
      <c r="G1" s="5" t="s">
        <v>602</v>
      </c>
      <c r="H1" s="5">
        <v>43978</v>
      </c>
      <c r="I1" s="5" t="s">
        <v>602</v>
      </c>
      <c r="J1" s="5">
        <v>43979</v>
      </c>
      <c r="K1" s="5" t="s">
        <v>602</v>
      </c>
    </row>
    <row r="2" ht="24" customHeight="1" spans="1:11">
      <c r="A2" s="6" t="s">
        <v>603</v>
      </c>
      <c r="B2" s="7">
        <v>12036504</v>
      </c>
      <c r="C2" s="8" t="s">
        <v>604</v>
      </c>
      <c r="D2" s="8" t="s">
        <v>605</v>
      </c>
      <c r="E2" s="7">
        <v>48</v>
      </c>
      <c r="F2" s="7">
        <v>96</v>
      </c>
      <c r="G2" s="9">
        <v>-48</v>
      </c>
      <c r="H2" s="7">
        <v>96</v>
      </c>
      <c r="I2" s="9">
        <v>-144</v>
      </c>
      <c r="J2" s="7">
        <v>96</v>
      </c>
      <c r="K2" s="9">
        <v>-240</v>
      </c>
    </row>
    <row r="3" ht="24" customHeight="1" spans="1:11">
      <c r="A3" s="10" t="s">
        <v>603</v>
      </c>
      <c r="B3" s="11">
        <v>12036505</v>
      </c>
      <c r="C3" s="12" t="s">
        <v>606</v>
      </c>
      <c r="D3" s="12" t="s">
        <v>607</v>
      </c>
      <c r="E3" s="11">
        <v>840</v>
      </c>
      <c r="F3" s="11">
        <v>28</v>
      </c>
      <c r="G3" s="13">
        <v>812</v>
      </c>
      <c r="H3" s="11">
        <v>28</v>
      </c>
      <c r="I3" s="13">
        <v>784</v>
      </c>
      <c r="J3" s="11">
        <v>28</v>
      </c>
      <c r="K3" s="13">
        <v>756</v>
      </c>
    </row>
    <row r="4" ht="24" customHeight="1" spans="1:11">
      <c r="A4" s="10" t="s">
        <v>603</v>
      </c>
      <c r="B4" s="11">
        <v>12036506</v>
      </c>
      <c r="C4" s="12" t="s">
        <v>608</v>
      </c>
      <c r="D4" s="12" t="s">
        <v>609</v>
      </c>
      <c r="E4" s="11">
        <v>756</v>
      </c>
      <c r="F4" s="11">
        <v>28</v>
      </c>
      <c r="G4" s="13">
        <v>728</v>
      </c>
      <c r="H4" s="11">
        <v>28</v>
      </c>
      <c r="I4" s="13">
        <v>700</v>
      </c>
      <c r="J4" s="11">
        <v>28</v>
      </c>
      <c r="K4" s="13">
        <v>672</v>
      </c>
    </row>
    <row r="5" ht="24" customHeight="1" spans="1:11">
      <c r="A5" s="14" t="s">
        <v>610</v>
      </c>
      <c r="B5" s="15">
        <v>12036502</v>
      </c>
      <c r="C5" s="16" t="s">
        <v>611</v>
      </c>
      <c r="D5" s="16" t="s">
        <v>612</v>
      </c>
      <c r="E5" s="15">
        <v>96</v>
      </c>
      <c r="F5" s="15">
        <v>84</v>
      </c>
      <c r="G5" s="17">
        <v>12</v>
      </c>
      <c r="H5" s="15">
        <v>84</v>
      </c>
      <c r="I5" s="17">
        <v>-72</v>
      </c>
      <c r="J5" s="15">
        <v>84</v>
      </c>
      <c r="K5" s="17">
        <v>-156</v>
      </c>
    </row>
    <row r="6" ht="24" customHeight="1" spans="1:11">
      <c r="A6" s="6" t="s">
        <v>610</v>
      </c>
      <c r="B6" s="7">
        <v>12036503</v>
      </c>
      <c r="C6" s="8" t="s">
        <v>613</v>
      </c>
      <c r="D6" s="8" t="s">
        <v>614</v>
      </c>
      <c r="E6" s="7">
        <v>-25</v>
      </c>
      <c r="F6" s="7">
        <v>84</v>
      </c>
      <c r="G6" s="9">
        <v>-109</v>
      </c>
      <c r="H6" s="7">
        <v>84</v>
      </c>
      <c r="I6" s="9">
        <v>-193</v>
      </c>
      <c r="J6" s="7">
        <v>84</v>
      </c>
      <c r="K6" s="9">
        <v>-277</v>
      </c>
    </row>
    <row r="7" ht="24" customHeight="1" spans="1:11">
      <c r="A7" s="6" t="s">
        <v>610</v>
      </c>
      <c r="B7" s="7">
        <v>12036500</v>
      </c>
      <c r="C7" s="8" t="s">
        <v>615</v>
      </c>
      <c r="D7" s="8" t="s">
        <v>616</v>
      </c>
      <c r="E7" s="7">
        <v>-285</v>
      </c>
      <c r="F7" s="7">
        <v>64</v>
      </c>
      <c r="G7" s="9">
        <v>-349</v>
      </c>
      <c r="H7" s="7">
        <v>64</v>
      </c>
      <c r="I7" s="9">
        <v>-413</v>
      </c>
      <c r="J7" s="7">
        <v>64</v>
      </c>
      <c r="K7" s="9">
        <v>-477</v>
      </c>
    </row>
    <row r="8" ht="24" customHeight="1" spans="1:11">
      <c r="A8" s="6" t="s">
        <v>610</v>
      </c>
      <c r="B8" s="7">
        <v>12036501</v>
      </c>
      <c r="C8" s="8" t="s">
        <v>617</v>
      </c>
      <c r="D8" s="8" t="s">
        <v>618</v>
      </c>
      <c r="E8" s="7">
        <v>-267</v>
      </c>
      <c r="F8" s="7">
        <v>64</v>
      </c>
      <c r="G8" s="9">
        <v>-331</v>
      </c>
      <c r="H8" s="7">
        <v>64</v>
      </c>
      <c r="I8" s="9">
        <v>-395</v>
      </c>
      <c r="J8" s="7">
        <v>64</v>
      </c>
      <c r="K8" s="9">
        <v>-459</v>
      </c>
    </row>
    <row r="9" ht="24" customHeight="1" spans="1:11">
      <c r="A9" s="10" t="s">
        <v>619</v>
      </c>
      <c r="B9" s="11">
        <v>11988184</v>
      </c>
      <c r="C9" s="12" t="s">
        <v>620</v>
      </c>
      <c r="D9" s="12" t="s">
        <v>621</v>
      </c>
      <c r="E9" s="11">
        <v>595</v>
      </c>
      <c r="F9" s="11">
        <v>72</v>
      </c>
      <c r="G9" s="13">
        <v>523</v>
      </c>
      <c r="H9" s="11">
        <v>72</v>
      </c>
      <c r="I9" s="13">
        <v>451</v>
      </c>
      <c r="J9" s="11">
        <v>72</v>
      </c>
      <c r="K9" s="13">
        <v>379</v>
      </c>
    </row>
    <row r="10" ht="24" customHeight="1" spans="1:11">
      <c r="A10" s="10" t="s">
        <v>619</v>
      </c>
      <c r="B10" s="11">
        <v>11988185</v>
      </c>
      <c r="C10" s="12" t="s">
        <v>622</v>
      </c>
      <c r="D10" s="12" t="s">
        <v>623</v>
      </c>
      <c r="E10" s="11">
        <v>596</v>
      </c>
      <c r="F10" s="11">
        <v>72</v>
      </c>
      <c r="G10" s="13">
        <v>524</v>
      </c>
      <c r="H10" s="11">
        <v>72</v>
      </c>
      <c r="I10" s="13">
        <v>452</v>
      </c>
      <c r="J10" s="11">
        <v>72</v>
      </c>
      <c r="K10" s="13">
        <v>380</v>
      </c>
    </row>
  </sheetData>
  <conditionalFormatting sqref="G2">
    <cfRule type="cellIs" dxfId="4" priority="27" operator="greaterThan">
      <formula>0</formula>
    </cfRule>
    <cfRule type="cellIs" dxfId="5" priority="28" operator="lessThanOrEqual">
      <formula>0</formula>
    </cfRule>
  </conditionalFormatting>
  <conditionalFormatting sqref="I2">
    <cfRule type="cellIs" dxfId="4" priority="25" operator="greaterThan">
      <formula>0</formula>
    </cfRule>
    <cfRule type="cellIs" dxfId="5" priority="26" operator="lessThanOrEqual">
      <formula>0</formula>
    </cfRule>
  </conditionalFormatting>
  <conditionalFormatting sqref="K2">
    <cfRule type="cellIs" dxfId="4" priority="29" operator="greaterThan">
      <formula>0</formula>
    </cfRule>
    <cfRule type="cellIs" dxfId="5" priority="30" operator="lessThanOrEqual">
      <formula>0</formula>
    </cfRule>
  </conditionalFormatting>
  <conditionalFormatting sqref="G3:G4">
    <cfRule type="cellIs" dxfId="4" priority="21" operator="greaterThan">
      <formula>0</formula>
    </cfRule>
    <cfRule type="cellIs" dxfId="5" priority="22" operator="lessThanOrEqual">
      <formula>0</formula>
    </cfRule>
  </conditionalFormatting>
  <conditionalFormatting sqref="G5:G6">
    <cfRule type="cellIs" dxfId="4" priority="15" operator="greaterThan">
      <formula>0</formula>
    </cfRule>
    <cfRule type="cellIs" dxfId="5" priority="16" operator="lessThanOrEqual">
      <formula>0</formula>
    </cfRule>
  </conditionalFormatting>
  <conditionalFormatting sqref="G7:G8">
    <cfRule type="cellIs" dxfId="4" priority="9" operator="greaterThan">
      <formula>0</formula>
    </cfRule>
    <cfRule type="cellIs" dxfId="5" priority="10" operator="lessThanOrEqual">
      <formula>0</formula>
    </cfRule>
  </conditionalFormatting>
  <conditionalFormatting sqref="G9:G10">
    <cfRule type="cellIs" dxfId="4" priority="3" operator="greaterThan">
      <formula>0</formula>
    </cfRule>
    <cfRule type="cellIs" dxfId="5" priority="4" operator="lessThanOrEqual">
      <formula>0</formula>
    </cfRule>
  </conditionalFormatting>
  <conditionalFormatting sqref="I3:I4">
    <cfRule type="cellIs" dxfId="4" priority="19" operator="greaterThan">
      <formula>0</formula>
    </cfRule>
    <cfRule type="cellIs" dxfId="5" priority="20" operator="lessThanOrEqual">
      <formula>0</formula>
    </cfRule>
  </conditionalFormatting>
  <conditionalFormatting sqref="I5:I6">
    <cfRule type="cellIs" dxfId="4" priority="13" operator="greaterThan">
      <formula>0</formula>
    </cfRule>
    <cfRule type="cellIs" dxfId="5" priority="14" operator="lessThanOrEqual">
      <formula>0</formula>
    </cfRule>
  </conditionalFormatting>
  <conditionalFormatting sqref="I7:I8">
    <cfRule type="cellIs" dxfId="4" priority="7" operator="greaterThan">
      <formula>0</formula>
    </cfRule>
    <cfRule type="cellIs" dxfId="5" priority="8" operator="lessThanOrEqual">
      <formula>0</formula>
    </cfRule>
  </conditionalFormatting>
  <conditionalFormatting sqref="I9:I10">
    <cfRule type="cellIs" dxfId="4" priority="1" operator="greaterThan">
      <formula>0</formula>
    </cfRule>
    <cfRule type="cellIs" dxfId="5" priority="2" operator="lessThanOrEqual">
      <formula>0</formula>
    </cfRule>
  </conditionalFormatting>
  <conditionalFormatting sqref="K3:K4">
    <cfRule type="cellIs" dxfId="4" priority="23" operator="greaterThan">
      <formula>0</formula>
    </cfRule>
    <cfRule type="cellIs" dxfId="5" priority="24" operator="lessThanOrEqual">
      <formula>0</formula>
    </cfRule>
  </conditionalFormatting>
  <conditionalFormatting sqref="K5:K6">
    <cfRule type="cellIs" dxfId="4" priority="17" operator="greaterThan">
      <formula>0</formula>
    </cfRule>
    <cfRule type="cellIs" dxfId="5" priority="18" operator="lessThanOrEqual">
      <formula>0</formula>
    </cfRule>
  </conditionalFormatting>
  <conditionalFormatting sqref="K7:K8">
    <cfRule type="cellIs" dxfId="4" priority="11" operator="greaterThan">
      <formula>0</formula>
    </cfRule>
    <cfRule type="cellIs" dxfId="5" priority="12" operator="lessThanOrEqual">
      <formula>0</formula>
    </cfRule>
  </conditionalFormatting>
  <conditionalFormatting sqref="K9:K10">
    <cfRule type="cellIs" dxfId="4" priority="5" operator="greaterThan">
      <formula>0</formula>
    </cfRule>
    <cfRule type="cellIs" dxfId="5" priority="6" operator="lessThanOrEqual">
      <formula>0</formula>
    </cfRule>
  </conditionalFormatting>
  <pageMargins left="0.699912516150888" right="0.699912516150888" top="0.74990626395218" bottom="0.74990626395218" header="0.299962510274151" footer="0.29996251027415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  <vt:lpstr>售后配件</vt:lpstr>
      <vt:lpstr>预警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xxk</cp:lastModifiedBy>
  <cp:revision>0</cp:revision>
  <dcterms:created xsi:type="dcterms:W3CDTF">2006-09-13T11:21:00Z</dcterms:created>
  <cp:lastPrinted>2022-04-02T09:22:00Z</cp:lastPrinted>
  <dcterms:modified xsi:type="dcterms:W3CDTF">2026-05-19T04:23:56Z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7E30E10DA5CB40BFA10C4555FD0585A8_13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