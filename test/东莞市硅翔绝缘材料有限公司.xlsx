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925"/>
  </bookViews>
  <sheets>
    <sheet name="日报" sheetId="1" r:id="rId1"/>
    <sheet name="合格品入库记录" sheetId="2" r:id="rId2"/>
    <sheet name="合格品出库记录" sheetId="3" r:id="rId3"/>
    <sheet name="领跑良品退回" sheetId="4" r:id="rId4"/>
    <sheet name="不良品库存" sheetId="5" r:id="rId5"/>
  </sheets>
  <externalReferences>
    <externalReference r:id="rId6"/>
  </externalReferences>
  <definedNames>
    <definedName name="_xlnm.Print_Area" localSheetId="0">日报!$D2:$E58</definedName>
    <definedName name="_xlnm.Print_Area" localSheetId="2">合格品出库记录!$A1:$G1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<sst xmlns="http://schemas.openxmlformats.org/spreadsheetml/2006/main" count="2196" uniqueCount="581">
  <si>
    <t>注：“可用结存”列中红色数据代表库存量过低，黄色数据代表超出最高库存量。</t>
  </si>
  <si>
    <t>序号</t>
  </si>
  <si>
    <t>供应商代码</t>
  </si>
  <si>
    <t>供应商名称</t>
  </si>
  <si>
    <t>零件编号</t>
  </si>
  <si>
    <t>零件名称</t>
  </si>
  <si>
    <t>SNP</t>
  </si>
  <si>
    <t>上月结存</t>
  </si>
  <si>
    <t>累进</t>
  </si>
  <si>
    <t>累出</t>
  </si>
  <si>
    <t>零跑退回良品</t>
  </si>
  <si>
    <t>当前库存</t>
  </si>
  <si>
    <t>不合格品库存</t>
  </si>
  <si>
    <t>可用结存</t>
  </si>
  <si>
    <t>最高库存量</t>
  </si>
  <si>
    <t>单车用量</t>
  </si>
  <si>
    <t>入库</t>
  </si>
  <si>
    <t>出库</t>
  </si>
  <si>
    <t>领跑良品退回</t>
  </si>
  <si>
    <t>1DC</t>
  </si>
  <si>
    <t>东莞市硅翔绝缘材料有限公司</t>
  </si>
  <si>
    <t>3.2.49.08.00346-000</t>
  </si>
  <si>
    <t>T03A_PBP-模组（南京国轩电芯）CCS总成1</t>
  </si>
  <si>
    <t>3.2.49.08.00347-000</t>
  </si>
  <si>
    <t>T03A_PBP-模组（南京国轩电芯）CCS总成2</t>
  </si>
  <si>
    <t>3.2.49.08.01246-000</t>
  </si>
  <si>
    <t>LX-B11RE10海外版-CCS总成</t>
  </si>
  <si>
    <t>3.2.49.08.00235-000</t>
  </si>
  <si>
    <t>LPT03A_PBP-模组CCS总成1</t>
  </si>
  <si>
    <t>3.2.49.08.00259-000</t>
  </si>
  <si>
    <t>LPT03A_PBP-模组CCS总成</t>
  </si>
  <si>
    <t>3.2.49.08.00658-000</t>
  </si>
  <si>
    <t>LPT03A_pBP-RP加热膜－L</t>
  </si>
  <si>
    <t>3.2.49.08.00659-000</t>
  </si>
  <si>
    <t>LPT03A_pBP-RP加热膜－R项目</t>
  </si>
  <si>
    <t>3.2.49.08.00660-000</t>
  </si>
  <si>
    <t>LPT03A_pBP-RP加热膜－T1</t>
  </si>
  <si>
    <t>3.2.49.08.00835-000</t>
  </si>
  <si>
    <t>T03-2001P40S-FPC-L</t>
  </si>
  <si>
    <t>3.2.49.08.00836-000</t>
  </si>
  <si>
    <t>T03-2001P40S-FPC-R</t>
  </si>
  <si>
    <t>3.2.49.08.00332-000</t>
  </si>
  <si>
    <t>LP-C11RE0-CCS 总成-21B</t>
  </si>
  <si>
    <t>3.2.49.08.00331-000</t>
  </si>
  <si>
    <t>LP-C11RE0-CCS 总成-21A</t>
  </si>
  <si>
    <t>3.2.49.08.00242-000</t>
  </si>
  <si>
    <t>LPT03A_PBP-加热片-R</t>
  </si>
  <si>
    <t>3.2.49.08.00524-000</t>
  </si>
  <si>
    <t>T03A_PBP-CCS总成-300-R</t>
  </si>
  <si>
    <t>3.2.49.08.00732-000</t>
  </si>
  <si>
    <t>LXC01-模组CCS总成-21B</t>
  </si>
  <si>
    <t>3.2.49.08.00731-000</t>
  </si>
  <si>
    <t>LXC01-模组CCS总成-21A</t>
  </si>
  <si>
    <t>3.2.49.08.00712-000</t>
  </si>
  <si>
    <t>LPT03A-PBP模组CCS总成2-NJ</t>
  </si>
  <si>
    <t>3.2.49.08.00709-000</t>
  </si>
  <si>
    <t>LPT03A-PBP模组CCS总成1-NJ</t>
  </si>
  <si>
    <t>3.2.49.08.00661-000</t>
  </si>
  <si>
    <t>LPT03A_PBP_32S加热片_L</t>
  </si>
  <si>
    <t>3.2.49.08.00662-000</t>
  </si>
  <si>
    <t>LPT03A_PBP_32S加热片_R</t>
  </si>
  <si>
    <t>3.2.49.08.00514-000</t>
  </si>
  <si>
    <t>LPT03A_PBP-RP加热片-R</t>
  </si>
  <si>
    <t>3.2.41.30.00435-000</t>
  </si>
  <si>
    <t>LXC01-21A-电芯间汇流排-1</t>
  </si>
  <si>
    <t>3.2.49.08.00448-000</t>
  </si>
  <si>
    <t>LPT03A_PBP-FPC3-FC小模组</t>
  </si>
  <si>
    <t>3.2.49.08.00610-000</t>
  </si>
  <si>
    <t>LPC11_LFP_FPC233</t>
  </si>
  <si>
    <t>3.2.44.30.00303-000</t>
  </si>
  <si>
    <t>LP-C11三元模组中间铝巴</t>
  </si>
  <si>
    <t>3.2.49.08.00559-000</t>
  </si>
  <si>
    <t>12V-CCS-A0样件</t>
  </si>
  <si>
    <t>3.2.49.08.00611-000</t>
  </si>
  <si>
    <t>LPT03A_FPC_F16</t>
  </si>
  <si>
    <t>3.2.49.08.00612-000</t>
  </si>
  <si>
    <t>LPT03A_FPC_B16</t>
  </si>
  <si>
    <t>3.2.49.08.00566-000</t>
  </si>
  <si>
    <t>LPC11_FPC16B_X</t>
  </si>
  <si>
    <t>3.2.49.08.00609-000</t>
  </si>
  <si>
    <t>LPC11_LFP_FPC232</t>
  </si>
  <si>
    <t>3.2.49.08.00608-000</t>
  </si>
  <si>
    <t>LPC11_LFP_FPC231</t>
  </si>
  <si>
    <t>3.2.49.08.00567-000</t>
  </si>
  <si>
    <t>LPC11_FPC10S_X</t>
  </si>
  <si>
    <t>3.2.49.08.00763-000</t>
  </si>
  <si>
    <t>LP-C11RE0_FPC_A21</t>
  </si>
  <si>
    <t>3.2.49.08.00758-000</t>
  </si>
  <si>
    <t>LXC11-模组CCS总成16A-X</t>
  </si>
  <si>
    <t>3.2.49.08.00759-000</t>
  </si>
  <si>
    <t>LXC11-模组CCS总成16B-X</t>
  </si>
  <si>
    <t>3.2.49.08.00760-000</t>
  </si>
  <si>
    <t>LXC11-模组CCS总成10S-X</t>
  </si>
  <si>
    <t>3.2.49.08.00827-000</t>
  </si>
  <si>
    <t>LXC01Lite-FPC-21A</t>
  </si>
  <si>
    <t>3.2.49.08.00828-000</t>
  </si>
  <si>
    <t>LXC01Lite-FPC-21B</t>
  </si>
  <si>
    <t>3.2.49.08.00764-000</t>
  </si>
  <si>
    <t>LP-C11REO_FPC_B21</t>
  </si>
  <si>
    <t>3.1.02.30.00785</t>
  </si>
  <si>
    <t>LXC11-模组CCS总成22S</t>
  </si>
  <si>
    <t>3.2.49.08.00786-000</t>
  </si>
  <si>
    <t>LXC11-模组CCS总成16S</t>
  </si>
  <si>
    <t>3.2.49.08.00733-000</t>
  </si>
  <si>
    <t>C11铁理增程项目LP-C11RE0-CCS总成-28S</t>
  </si>
  <si>
    <t>3.2.49.08.00742-000</t>
  </si>
  <si>
    <t>LPC11REO-CCS总成-12S</t>
  </si>
  <si>
    <t>3.2.49.08.00968-000</t>
  </si>
  <si>
    <t>LXC11-模组CCS总成16S-H</t>
  </si>
  <si>
    <t>3.2.49.08.00967-000</t>
  </si>
  <si>
    <t>LXC11-模组CCS总成22S-H</t>
  </si>
  <si>
    <t>3.2.49.08.00652-000</t>
  </si>
  <si>
    <t>加热片-L</t>
  </si>
  <si>
    <t>3.2.49.08.00653-000</t>
  </si>
  <si>
    <t>加热片-R</t>
  </si>
  <si>
    <t>3.2.49.08.00654-000</t>
  </si>
  <si>
    <t>加热片-T1</t>
  </si>
  <si>
    <t>3.2.49.08.00814-000</t>
  </si>
  <si>
    <t>LP-B11RE10-CCS总成</t>
  </si>
  <si>
    <t>3.2.41.30.00436-000</t>
  </si>
  <si>
    <t>LP-C11-22S-B-串联排1</t>
  </si>
  <si>
    <t>3.2.49.08.00513-000</t>
  </si>
  <si>
    <t>LPT03A_PBP-RP加热片-L</t>
  </si>
  <si>
    <t>3.2.49.08.00722-000</t>
  </si>
  <si>
    <t>BLXC11-CCS总成-8S-B</t>
  </si>
  <si>
    <t>3.2.49.08.00721-000</t>
  </si>
  <si>
    <t>22S-BLXC11-CCS总成-22S-B</t>
  </si>
  <si>
    <t>3.2.49.08.01057-000</t>
  </si>
  <si>
    <t>LXB11 模组BCCS总成</t>
  </si>
  <si>
    <t>3.2.49.08.01056-000</t>
  </si>
  <si>
    <t>LXB11模组ACCS总成18S650</t>
  </si>
  <si>
    <t>3.2.49.08.01032-000</t>
  </si>
  <si>
    <t>LX-B13EV10A-模组A-CCS</t>
  </si>
  <si>
    <t>3.2.49.08.01033-000</t>
  </si>
  <si>
    <t>LX-B13EV10A-模组B-CCS</t>
  </si>
  <si>
    <t>3.2.49.08.00515-000</t>
  </si>
  <si>
    <t>LXB11_模组BCCS总成_12S</t>
  </si>
  <si>
    <t>3.2.49.08.01089-000</t>
  </si>
  <si>
    <t>串联排二</t>
  </si>
  <si>
    <t>3.2.49.08.00241-000</t>
  </si>
  <si>
    <t>LPT03A_PBP-加热片-L</t>
  </si>
  <si>
    <t>3.2.41.30.00187-000</t>
  </si>
  <si>
    <t>吕排1</t>
  </si>
  <si>
    <t>3.2.53.06.00106-000</t>
  </si>
  <si>
    <t>上层模组加热膜</t>
  </si>
  <si>
    <t>3.2.53.06.00107-000</t>
  </si>
  <si>
    <t>下层模组加热膜</t>
  </si>
  <si>
    <t>3.2.44.30.01701-000</t>
  </si>
  <si>
    <t>LX-B13EV10A-模组A串联铝巴</t>
  </si>
  <si>
    <t>3.2.44.30.01702-000</t>
  </si>
  <si>
    <t>LX-B13EV10A-模组B串联铝巴</t>
  </si>
  <si>
    <t>3.2.49.08.01491-000</t>
  </si>
  <si>
    <t>LX-C11模组CCS总成15SA</t>
  </si>
  <si>
    <t>3.2.49.08.01492-000</t>
  </si>
  <si>
    <t>LX-C11模组CCS总成15SB</t>
  </si>
  <si>
    <t>3.2.49.08.01490-000</t>
  </si>
  <si>
    <t>LX-C11-模组CCS总成15SA</t>
  </si>
  <si>
    <t>3.2.44.30.02022-000</t>
  </si>
  <si>
    <t>铝排;LX-B13EV10A-输出级铝巴1</t>
  </si>
  <si>
    <t>3.2.44.30.02023-000</t>
  </si>
  <si>
    <t>LX-B13EV10A-输出级铝巴2</t>
  </si>
  <si>
    <t>3.2.44.30.02024-000</t>
  </si>
  <si>
    <t>LX-B13EV10A-输出级铝巴3</t>
  </si>
  <si>
    <t>3.2.44.30.02025-000</t>
  </si>
  <si>
    <t>铝排:LX-B13EV10A-输出级铝巴4</t>
  </si>
  <si>
    <t>3.2.44.30.02026-000</t>
  </si>
  <si>
    <t>LX-B13EV10A-输出级铝巴5</t>
  </si>
  <si>
    <t>3.2.44.30.02027-000</t>
  </si>
  <si>
    <t>LX-B13EV10A-输出级铝巴6</t>
  </si>
  <si>
    <t>3.2.44.30.02028-000</t>
  </si>
  <si>
    <t>LX-B13EV10A-模组B串联铝巴2</t>
  </si>
  <si>
    <t>3.2.41.30.01245-000</t>
  </si>
  <si>
    <t>LXC11欣旺达-X16铝巴-1</t>
  </si>
  <si>
    <t>3.2.49.08.00888-000</t>
  </si>
  <si>
    <t>LXB11:CCS-13S-A1</t>
  </si>
  <si>
    <t>3.2.49.08.00889-000</t>
  </si>
  <si>
    <t>LXB11;CCS-13S-A2</t>
  </si>
  <si>
    <t>3.2.49.08.00890-000</t>
  </si>
  <si>
    <t>LXB11;CCS-13S-B1</t>
  </si>
  <si>
    <t>3.2.49.08.00891-000</t>
  </si>
  <si>
    <t>LXB11;CCS-13S-B2</t>
  </si>
  <si>
    <t>3.2.49.08.01389-000</t>
  </si>
  <si>
    <t>LXC11-721-FPC-A</t>
  </si>
  <si>
    <t>3.2.49.08.01390-000</t>
  </si>
  <si>
    <t>LXC11-721-FPC-B</t>
  </si>
  <si>
    <t>3.2.41.30.00433-000</t>
  </si>
  <si>
    <t>TO3-200串联铝排</t>
  </si>
  <si>
    <t>3.2.44.08.00764-000</t>
  </si>
  <si>
    <t>LP-C11RE0_FPC_B21</t>
  </si>
  <si>
    <t>3.2.44.30.01968-000</t>
  </si>
  <si>
    <t>模组CCS零部件输出铝巴-R</t>
  </si>
  <si>
    <t>3.2.44.30.01969-000</t>
  </si>
  <si>
    <t>模组CCS零部件输出铝巴-L</t>
  </si>
  <si>
    <t>3.2.44.30.01970-000</t>
  </si>
  <si>
    <t>模组CCS零部件输出铝巴2-R</t>
  </si>
  <si>
    <t>3.2.44.30.01964-000</t>
  </si>
  <si>
    <t>T03-200km模组CCS串联铝排1</t>
  </si>
  <si>
    <t>3.2.44.30.01965-000</t>
  </si>
  <si>
    <t>模组CCS零部件跨接串联铝排</t>
  </si>
  <si>
    <t>3.2.44.30.01966-000</t>
  </si>
  <si>
    <t>模组CCS等部件串联铝排2</t>
  </si>
  <si>
    <t>3.2.44.30.01971-000</t>
  </si>
  <si>
    <t>T03-200km模组CCS零部件-输出铝巴2-L</t>
  </si>
  <si>
    <t>3.2.49.08.01088-000</t>
  </si>
  <si>
    <t>模组铝巴01-28.4</t>
  </si>
  <si>
    <t>3.2.49.08.01090-000</t>
  </si>
  <si>
    <t>模组铝巴03-28.4</t>
  </si>
  <si>
    <t>3.2.49.08.01091-000</t>
  </si>
  <si>
    <t>模组铝巴04-28.4</t>
  </si>
  <si>
    <t>3.2.49.08.01391-000</t>
  </si>
  <si>
    <t>LXC11-;722-FPC-S;</t>
  </si>
  <si>
    <t>3.2.49.08.01459-000</t>
  </si>
  <si>
    <t>LXC10EV10C-正输出极铝</t>
  </si>
  <si>
    <t>3.2.49.08.01460-000</t>
  </si>
  <si>
    <t>LXC10EV10C-负输出极铝</t>
  </si>
  <si>
    <t>3.2.49.08.01461-000</t>
  </si>
  <si>
    <t>LXC10EV10C-跨接铝巴1</t>
  </si>
  <si>
    <t>3.2.49.08.01462-000</t>
  </si>
  <si>
    <t>LXC10EV10C-跨接铝巴2</t>
  </si>
  <si>
    <t>3.2.49.08.01463-000</t>
  </si>
  <si>
    <t>LXC10EV10C-跨接铝巴3</t>
  </si>
  <si>
    <t>3.2.49.08.01373-000</t>
  </si>
  <si>
    <t>LXC10EV10C-模组B-CCS组件</t>
  </si>
  <si>
    <t>3.2.49.08.01372-000</t>
  </si>
  <si>
    <t>LXCIOEV10C-模组A-CCS组件</t>
  </si>
  <si>
    <t>3.2.49.08.00447-000</t>
  </si>
  <si>
    <t>LPTO3APBP-FPC2-FC大模组</t>
  </si>
  <si>
    <t>3.2.49.08.00446-000</t>
  </si>
  <si>
    <t>LPTO3A PBP-FPC1-FC大模组</t>
  </si>
  <si>
    <t>3.2.49.08.01337-000</t>
  </si>
  <si>
    <t>LXA12EV10-CCS-32S-A</t>
  </si>
  <si>
    <t>3.2.49.08.01338-000</t>
  </si>
  <si>
    <t>LXA12EV10-CCS-32S-B</t>
  </si>
  <si>
    <t>3.1.02.30.00547</t>
  </si>
  <si>
    <t>LXC11EV1A-CCS总成_A</t>
  </si>
  <si>
    <t>3.1.02.30.00548</t>
  </si>
  <si>
    <t>LXC11EV1A-CCS总成_B</t>
  </si>
  <si>
    <t>3.2.44.30.02433-000</t>
  </si>
  <si>
    <t>LXA12EV10-焊前验证镍片-1</t>
  </si>
  <si>
    <t>3.2.41.30.01477-000</t>
  </si>
  <si>
    <t>LXA12EV10-串联铝巴-1</t>
  </si>
  <si>
    <t>3.2.41.30.00437-000</t>
  </si>
  <si>
    <t>LXC11-增程铁锂模组铝巴</t>
  </si>
  <si>
    <t>3.2.49.08.01824-000</t>
  </si>
  <si>
    <t>LXC11EV1A-FPC_A1</t>
  </si>
  <si>
    <t>3.2.49.08.01825-000</t>
  </si>
  <si>
    <t>LXC11EV1A-FPC_A2</t>
  </si>
  <si>
    <t>3.2.49.08.01826-000</t>
  </si>
  <si>
    <t>LXC11EV1A-FPC_B1</t>
  </si>
  <si>
    <t>3.2.49.08.01827-000</t>
  </si>
  <si>
    <t>LXC11EV1A-FPC_B2</t>
  </si>
  <si>
    <t>3.1.02.30.01019</t>
  </si>
  <si>
    <t>LXC11EV1A;CCS-01</t>
  </si>
  <si>
    <t>3.1.02.30.01020</t>
  </si>
  <si>
    <t>LXC11EV1A;CCS-02</t>
  </si>
  <si>
    <t>3.2.49.08.02348-000</t>
  </si>
  <si>
    <t>LXB13EV10A-CCS-A</t>
  </si>
  <si>
    <t>3.2.49.08.02354-000</t>
  </si>
  <si>
    <t>LXB13EV10A-CCS-B</t>
  </si>
  <si>
    <t>3.2.49.08.01560</t>
  </si>
  <si>
    <t>LXC10EV10C-FPC_A1</t>
  </si>
  <si>
    <t>3.2.49.08.01561</t>
  </si>
  <si>
    <t>LXC10EV10C-FPC_A2</t>
  </si>
  <si>
    <t>3.2.49.08.01562</t>
  </si>
  <si>
    <t>LXC10EV10C-FPC_B1</t>
  </si>
  <si>
    <t>3.2.49.08.01563</t>
  </si>
  <si>
    <t>LXC10EV10C-FPC_B2</t>
  </si>
  <si>
    <t>3.2.44.30.02622-000</t>
  </si>
  <si>
    <t>LXC10EV10C-厂内焊接镍片-01</t>
  </si>
  <si>
    <t>3.2.44.30.01769-000</t>
  </si>
  <si>
    <t>LXA12EV10-模组跨接铝排-1</t>
  </si>
  <si>
    <t>3.2.44.30.01770-000</t>
  </si>
  <si>
    <t>LXA12EV10-模组跨接铝排-2</t>
  </si>
  <si>
    <t>3.2.41.30.01906-000</t>
  </si>
  <si>
    <t>LXCU13E01-串联铝巴</t>
  </si>
  <si>
    <t>3.2.44.30.02162-000</t>
  </si>
  <si>
    <t>LXC10EV10C-模组串联铝巴-01</t>
  </si>
  <si>
    <t>3.2.44.30.02163-000</t>
  </si>
  <si>
    <t>LXC10EV10C-模组串联铝巴-0</t>
  </si>
  <si>
    <t>3.2.41.30.01728-000</t>
  </si>
  <si>
    <t>LXD21EV10-输出极铝巴-02</t>
  </si>
  <si>
    <t>3.2.41.30.01727-000</t>
  </si>
  <si>
    <t>LXD21EV10-输出极铝巴-01</t>
  </si>
  <si>
    <t>3.2.41.30.01730</t>
  </si>
  <si>
    <t>LXD21EV10-串联铝巴-02</t>
  </si>
  <si>
    <t>3.1.02.30.01300</t>
  </si>
  <si>
    <t>LXC10EV10C-CCS-A</t>
  </si>
  <si>
    <t>3.1.02.30.01301</t>
  </si>
  <si>
    <t>LXC10EV10C-CCS-B</t>
  </si>
  <si>
    <t>3.1.02.30.01290</t>
  </si>
  <si>
    <t>LXB11RE10A-CCS</t>
  </si>
  <si>
    <t>3.1.02.30.00632</t>
  </si>
  <si>
    <t>LXT05EV20-模组A-CCS-02</t>
  </si>
  <si>
    <t>3.1.02.30.00633</t>
  </si>
  <si>
    <t>LXT05EV20-模组B-CCS-02</t>
  </si>
  <si>
    <t>3.1.02.30.01038</t>
  </si>
  <si>
    <t>LXT05EV20-CCS-C</t>
  </si>
  <si>
    <t>3.1.02.30.00636</t>
  </si>
  <si>
    <t>LXT05EV20B-模组A_CCS-01</t>
  </si>
  <si>
    <t>3.1.02.30.00637</t>
  </si>
  <si>
    <t>LXT05EV20B-模组B_CCS-02</t>
  </si>
  <si>
    <t>3.2.41.30.01758-000</t>
  </si>
  <si>
    <t>LXD21EV10-串联铝巴-03</t>
  </si>
  <si>
    <t>3.1.02.30.01312</t>
  </si>
  <si>
    <t>LXCU13E01.CCS-02</t>
  </si>
  <si>
    <t>3.1.02.30.01484</t>
  </si>
  <si>
    <t>LXC11EV1A-CCS-02</t>
  </si>
  <si>
    <t>3.1.02.30.01485</t>
  </si>
  <si>
    <t>LXTO5EV20-CCS-B-02</t>
  </si>
  <si>
    <t>3.1.02.30.01486</t>
  </si>
  <si>
    <t>LXTO5EV20-CCS-C-02</t>
  </si>
  <si>
    <t>3.1.02.30.01329</t>
  </si>
  <si>
    <t>LXCU12E09EV-CCS-A</t>
  </si>
  <si>
    <t>3.1.02.30.01330</t>
  </si>
  <si>
    <t>LXCU12E09EV-CCS-B</t>
  </si>
  <si>
    <t>3.1.02.30.01331</t>
  </si>
  <si>
    <t>LXCU12E09EV-CCS-C</t>
  </si>
  <si>
    <t>3.1.02.30.01332</t>
  </si>
  <si>
    <t>LXCU12E09EV-CCS-D</t>
  </si>
  <si>
    <t>到货日期</t>
  </si>
  <si>
    <t>厂家代码</t>
  </si>
  <si>
    <t>到货单号</t>
  </si>
  <si>
    <t>收货数量</t>
  </si>
  <si>
    <t>包装类型</t>
  </si>
  <si>
    <t>包装数量</t>
  </si>
  <si>
    <t>备注</t>
  </si>
  <si>
    <t>2811102000043460</t>
  </si>
  <si>
    <t>5143000020/5143000018</t>
  </si>
  <si>
    <t>2811102000043477</t>
  </si>
  <si>
    <t>21z2026043000003/21z2026043000002</t>
  </si>
  <si>
    <t>2811102000043572</t>
  </si>
  <si>
    <t>51421000285142900011/5142800020/5143000017/5142900017</t>
  </si>
  <si>
    <t>2811102000043586</t>
  </si>
  <si>
    <t>5150400023/5150400008/5150400011</t>
  </si>
  <si>
    <t>2811102000043633</t>
  </si>
  <si>
    <t>5142900012/5150400020</t>
  </si>
  <si>
    <t>2811102000043719</t>
  </si>
  <si>
    <t>5143000016/5150500029</t>
  </si>
  <si>
    <t>2811102000043753</t>
  </si>
  <si>
    <t>1150600010</t>
  </si>
  <si>
    <t>2811102000043780</t>
  </si>
  <si>
    <t>51z2026050400019</t>
  </si>
  <si>
    <t>2811102000043779</t>
  </si>
  <si>
    <t>51z2026050700035/51z2026050700034/51z2026050700029/51z2026050700032/51z2026050700017</t>
  </si>
  <si>
    <t>2811102000043845</t>
  </si>
  <si>
    <t>武义调拨</t>
  </si>
  <si>
    <t>2811102000043874</t>
  </si>
  <si>
    <t>LXCU13E01-CCS总成</t>
  </si>
  <si>
    <t>51z2026050700017</t>
  </si>
  <si>
    <t>2811102000043863</t>
  </si>
  <si>
    <t>1150600011</t>
  </si>
  <si>
    <t>2811102000043855</t>
  </si>
  <si>
    <t>5150700027/5150800022/5150800011</t>
  </si>
  <si>
    <t>2811102000043913</t>
  </si>
  <si>
    <t>5150900038/5150900023/5150900021/5150900022/5150900015/5150800019/5150900019/5150900016/5150700028</t>
  </si>
  <si>
    <t>2811102000043991</t>
  </si>
  <si>
    <t>51z051000018/51z051000016/51z051000009/51z051000010/51z051000011/51z051000012/51z050400019</t>
  </si>
  <si>
    <t>2811102000044024</t>
  </si>
  <si>
    <t>供应商直送</t>
  </si>
  <si>
    <t>2811102000044028</t>
  </si>
  <si>
    <t>5151100014/5151200005/5151200002</t>
  </si>
  <si>
    <t>2811102000044025</t>
  </si>
  <si>
    <t>5151100013/5151100018/5151100011/5151100010/5151100009/5151000032/5151100002/5151000025/5151000023/5151000024/5151000026</t>
  </si>
  <si>
    <t>2811102000044051</t>
  </si>
  <si>
    <t>5151000017/5150700025</t>
  </si>
  <si>
    <t>2811102000044058</t>
  </si>
  <si>
    <t>51z202651200012</t>
  </si>
  <si>
    <t>2811102000044081</t>
  </si>
  <si>
    <t>5151200017</t>
  </si>
  <si>
    <t>发货日期</t>
  </si>
  <si>
    <t>装箱单号</t>
  </si>
  <si>
    <t>发货数量</t>
  </si>
  <si>
    <t>2811202000247034</t>
  </si>
  <si>
    <t>1600286</t>
  </si>
  <si>
    <t>转武义仓</t>
  </si>
  <si>
    <t>2811202000247036</t>
  </si>
  <si>
    <t>1600287</t>
  </si>
  <si>
    <t>D2026050200070</t>
  </si>
  <si>
    <t>2811202000247039</t>
  </si>
  <si>
    <t>1600288</t>
  </si>
  <si>
    <t>D2026050300005</t>
  </si>
  <si>
    <t>2811202000247041</t>
  </si>
  <si>
    <t>1600289</t>
  </si>
  <si>
    <t>D2026050300019</t>
  </si>
  <si>
    <t>2811191000016726</t>
  </si>
  <si>
    <t>D2026050200057</t>
  </si>
  <si>
    <t>2811191000016727</t>
  </si>
  <si>
    <t>D2026050200045</t>
  </si>
  <si>
    <t>2811202000247150</t>
  </si>
  <si>
    <t>1600290</t>
  </si>
  <si>
    <t>D2026050300043</t>
  </si>
  <si>
    <t>2811191000016732</t>
  </si>
  <si>
    <t>D2026050300079</t>
  </si>
  <si>
    <t>2811191000016739</t>
  </si>
  <si>
    <t>D2026050300144</t>
  </si>
  <si>
    <t>2811202000247378</t>
  </si>
  <si>
    <t>1600291</t>
  </si>
  <si>
    <t>2811202000247445</t>
  </si>
  <si>
    <t>1600292</t>
  </si>
  <si>
    <t>652337443</t>
  </si>
  <si>
    <t>2811202000247571</t>
  </si>
  <si>
    <t>1600293</t>
  </si>
  <si>
    <t>D2026050400117</t>
  </si>
  <si>
    <t>2811202000247572</t>
  </si>
  <si>
    <t>1600294</t>
  </si>
  <si>
    <t>D2026050400110</t>
  </si>
  <si>
    <t>2811202000247649</t>
  </si>
  <si>
    <t>1600295</t>
  </si>
  <si>
    <t>D2026050500019</t>
  </si>
  <si>
    <t>2811202000247650</t>
  </si>
  <si>
    <t>1600296</t>
  </si>
  <si>
    <t>D2026050500020</t>
  </si>
  <si>
    <t>2811191000016742</t>
  </si>
  <si>
    <t>D2026050400038</t>
  </si>
  <si>
    <t>2811191000016743</t>
  </si>
  <si>
    <t>D2026050400065</t>
  </si>
  <si>
    <t>2811191000016745</t>
  </si>
  <si>
    <t>D2026050400085</t>
  </si>
  <si>
    <t>2811191000016751</t>
  </si>
  <si>
    <t>D2026050400162</t>
  </si>
  <si>
    <t>2811191000016752</t>
  </si>
  <si>
    <t>D2026050500010</t>
  </si>
  <si>
    <t>2811202000247783</t>
  </si>
  <si>
    <t>1600297</t>
  </si>
  <si>
    <t>652343465</t>
  </si>
  <si>
    <t>2811202000247909</t>
  </si>
  <si>
    <t>1600298</t>
  </si>
  <si>
    <t>652345702</t>
  </si>
  <si>
    <t>2811202000247939</t>
  </si>
  <si>
    <t>1600299</t>
  </si>
  <si>
    <t>D2026050500149</t>
  </si>
  <si>
    <t>2811191000016756</t>
  </si>
  <si>
    <t>D2026050500050</t>
  </si>
  <si>
    <t>2811191000016762</t>
  </si>
  <si>
    <t>D2026050500111</t>
  </si>
  <si>
    <t>2811191000016770</t>
  </si>
  <si>
    <t>D2026050500156</t>
  </si>
  <si>
    <t>2811191000016771</t>
  </si>
  <si>
    <t>D2026050600009</t>
  </si>
  <si>
    <t>2811202000248125</t>
  </si>
  <si>
    <t>1600300</t>
  </si>
  <si>
    <t>D2026050600106</t>
  </si>
  <si>
    <t>2811202000248174</t>
  </si>
  <si>
    <t>1600301</t>
  </si>
  <si>
    <t>652351380</t>
  </si>
  <si>
    <t>2811202000248255</t>
  </si>
  <si>
    <t>1600302</t>
  </si>
  <si>
    <t>D2026050700002</t>
  </si>
  <si>
    <t>2811191000016782</t>
  </si>
  <si>
    <t>D2026050600028</t>
  </si>
  <si>
    <t>2811191000016784</t>
  </si>
  <si>
    <t>D2026050600047</t>
  </si>
  <si>
    <t>2811191000016786</t>
  </si>
  <si>
    <t>D2026050600081</t>
  </si>
  <si>
    <t>2811191000016797</t>
  </si>
  <si>
    <t>D2026050700025</t>
  </si>
  <si>
    <t>2811202000248418</t>
  </si>
  <si>
    <t>1600303</t>
  </si>
  <si>
    <t>652356124</t>
  </si>
  <si>
    <t>2811202000248419</t>
  </si>
  <si>
    <t>1600304</t>
  </si>
  <si>
    <t>652357578</t>
  </si>
  <si>
    <t>2811191000016798</t>
  </si>
  <si>
    <t>D2026050700057</t>
  </si>
  <si>
    <t>2811191000016803</t>
  </si>
  <si>
    <t>D2026050700173</t>
  </si>
  <si>
    <t>2811202000248639</t>
  </si>
  <si>
    <t>1600305</t>
  </si>
  <si>
    <t>652362402</t>
  </si>
  <si>
    <t>2811202000248823</t>
  </si>
  <si>
    <t>1600306</t>
  </si>
  <si>
    <t>D2026050800121</t>
  </si>
  <si>
    <t>2811202000248853</t>
  </si>
  <si>
    <t>1600307</t>
  </si>
  <si>
    <t>D2026050800164</t>
  </si>
  <si>
    <t>2811202000248875</t>
  </si>
  <si>
    <t>1600308</t>
  </si>
  <si>
    <t>D2026050900025</t>
  </si>
  <si>
    <t>2811202000248878</t>
  </si>
  <si>
    <t>1600309</t>
  </si>
  <si>
    <t>D2026050800007</t>
  </si>
  <si>
    <t>2811191000016816</t>
  </si>
  <si>
    <t>D2026050800086</t>
  </si>
  <si>
    <t>2811191000016817</t>
  </si>
  <si>
    <t>D2026050800072</t>
  </si>
  <si>
    <t>2811191000016818</t>
  </si>
  <si>
    <t>D2026050800105</t>
  </si>
  <si>
    <t>2811191000016819</t>
  </si>
  <si>
    <t>D2026050800155</t>
  </si>
  <si>
    <t>2811191000016820</t>
  </si>
  <si>
    <t>D2026050900002</t>
  </si>
  <si>
    <t>2811191000016821</t>
  </si>
  <si>
    <t>D2026050900014</t>
  </si>
  <si>
    <t>2811191000016826</t>
  </si>
  <si>
    <t>D2026050900057</t>
  </si>
  <si>
    <t>2811191000016828</t>
  </si>
  <si>
    <t>D2026050900084</t>
  </si>
  <si>
    <t>2811191000016829</t>
  </si>
  <si>
    <t>D2026050900100</t>
  </si>
  <si>
    <t>2811191000016832</t>
  </si>
  <si>
    <t>D2026050900166</t>
  </si>
  <si>
    <t>2811191000016834</t>
  </si>
  <si>
    <t>D2026051000002</t>
  </si>
  <si>
    <t>2811191000016837</t>
  </si>
  <si>
    <t>D2026051000051</t>
  </si>
  <si>
    <t>2811191000016838</t>
  </si>
  <si>
    <t>D2026051000068</t>
  </si>
  <si>
    <t>2811191000016844</t>
  </si>
  <si>
    <t>D2026051000093</t>
  </si>
  <si>
    <t>2811191000016848</t>
  </si>
  <si>
    <t>D2026051000103</t>
  </si>
  <si>
    <t>2811191000016850</t>
  </si>
  <si>
    <t>D2026051000131</t>
  </si>
  <si>
    <t>2811191000016852</t>
  </si>
  <si>
    <t>D2026051100002</t>
  </si>
  <si>
    <t>2811191000016853</t>
  </si>
  <si>
    <t>D2026051100011</t>
  </si>
  <si>
    <t>2811202000249764</t>
  </si>
  <si>
    <t>1600310</t>
  </si>
  <si>
    <t>D2026051200037</t>
  </si>
  <si>
    <t>2811191000016858</t>
  </si>
  <si>
    <t>D2026051100051</t>
  </si>
  <si>
    <t>2811191000016864</t>
  </si>
  <si>
    <t>D2026051100096</t>
  </si>
  <si>
    <t>2811191000016866</t>
  </si>
  <si>
    <t>D2026051100145</t>
  </si>
  <si>
    <t>2811191000016868</t>
  </si>
  <si>
    <t>D2026051200002</t>
  </si>
  <si>
    <t>2811202000249775</t>
  </si>
  <si>
    <t>1600311</t>
  </si>
  <si>
    <t>D2026051200051</t>
  </si>
  <si>
    <t>2811202000249916</t>
  </si>
  <si>
    <t>1600312</t>
  </si>
  <si>
    <t>D2026051200052</t>
  </si>
  <si>
    <t>2811202000249917</t>
  </si>
  <si>
    <t>1600313</t>
  </si>
  <si>
    <t>D2026051200053</t>
  </si>
  <si>
    <t>2811202000249997</t>
  </si>
  <si>
    <t>1600314</t>
  </si>
  <si>
    <t>D2026051200134</t>
  </si>
  <si>
    <t>2811202000250017</t>
  </si>
  <si>
    <t>1600315</t>
  </si>
  <si>
    <t>652391513</t>
  </si>
  <si>
    <t>2811202000250064</t>
  </si>
  <si>
    <t>1600316</t>
  </si>
  <si>
    <t>D2026051300028</t>
  </si>
  <si>
    <t>2811291000005440</t>
  </si>
  <si>
    <t>D2026051200077 出库错误</t>
  </si>
  <si>
    <t>2811291000005441</t>
  </si>
  <si>
    <t>D2026051200108 出库错误</t>
  </si>
  <si>
    <t>2811191000016879</t>
  </si>
  <si>
    <t>D2026051200058</t>
  </si>
  <si>
    <t>2811191000016880</t>
  </si>
  <si>
    <t>D2026051200077</t>
  </si>
  <si>
    <t>2811191000016884</t>
  </si>
  <si>
    <t>D2026051200108</t>
  </si>
  <si>
    <t>2811191000016885</t>
  </si>
  <si>
    <t>D2026051200116</t>
  </si>
  <si>
    <t>2811191000016887</t>
  </si>
  <si>
    <t>D2026051200143</t>
  </si>
  <si>
    <t>2811191000016889</t>
  </si>
  <si>
    <t>D2026051200150</t>
  </si>
  <si>
    <t>2811191000016891</t>
  </si>
  <si>
    <t>D2026051300016</t>
  </si>
  <si>
    <t>日期</t>
  </si>
  <si>
    <t>零件号/空盛具</t>
  </si>
  <si>
    <t>退货数量</t>
  </si>
  <si>
    <t>发货人</t>
  </si>
  <si>
    <t>单号</t>
  </si>
  <si>
    <t>备注2</t>
  </si>
  <si>
    <t>售后退回</t>
  </si>
  <si>
    <t>2811291000000419</t>
  </si>
  <si>
    <t>线服排查不良品</t>
  </si>
  <si>
    <t>2811401000000235</t>
  </si>
  <si>
    <t>驻场排查不良 11.29</t>
  </si>
  <si>
    <t>2811401000000237</t>
  </si>
  <si>
    <t>老状态 隔离暂转</t>
  </si>
  <si>
    <t>2811401000000644</t>
  </si>
  <si>
    <t>2811401000001203</t>
  </si>
  <si>
    <t>盘点调账转不良</t>
  </si>
  <si>
    <t>2811401000001242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</si>
</sst>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m&quot;月&quot;d&quot;日&quot;;@"/>
    <numFmt numFmtId="178" formatCode="0_);[Red]\(0\)"/>
    <numFmt numFmtId="179" formatCode="yyyy&quot;年&quot;m&quot;月&quot;;@"/>
  </numFmts>
  <fonts count="42"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b/>
      <sz val="12"/>
      <color rgb="FF000000"/>
      <name val="宋体"/>
      <charset val="134"/>
    </font>
    <font>
      <b/>
      <sz val="12"/>
      <name val="宋体"/>
      <charset val="134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rgb="FF000000"/>
      <name val="宋体"/>
      <charset val="134"/>
    </font>
    <font>
      <sz val="12"/>
      <color theme="1"/>
      <name val="宋体"/>
      <charset val="134"/>
    </font>
    <font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2"/>
      <name val="宋体"/>
      <charset val="134"/>
      <scheme val="minor"/>
    </font>
    <font>
      <b/>
      <sz val="14"/>
      <color rgb="FF000000"/>
      <name val="宋体"/>
      <charset val="134"/>
    </font>
    <font>
      <b/>
      <sz val="14"/>
      <color rgb="FFFF0000"/>
      <name val="宋体"/>
      <charset val="134"/>
    </font>
    <font>
      <sz val="14"/>
      <color rgb="FF000000"/>
      <name val="宋体"/>
      <charset val="134"/>
    </font>
    <font>
      <sz val="14"/>
      <color rgb="FF0000FF"/>
      <name val="宋体"/>
      <charset val="134"/>
    </font>
    <font>
      <sz val="14"/>
      <name val="宋体"/>
      <charset val="134"/>
    </font>
    <font>
      <sz val="14"/>
      <color theme="0"/>
      <name val="宋体"/>
      <charset val="134"/>
    </font>
    <font>
      <sz val="14"/>
      <color theme="0"/>
      <name val="黑体"/>
      <charset val="134"/>
    </font>
    <font>
      <b/>
      <sz val="14"/>
      <color theme="0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5" borderId="6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6" borderId="9" applyNumberFormat="0" applyAlignment="0" applyProtection="0">
      <alignment vertical="center"/>
    </xf>
    <xf numFmtId="0" fontId="32" fillId="7" borderId="10" applyNumberFormat="0" applyAlignment="0" applyProtection="0">
      <alignment vertical="center"/>
    </xf>
    <xf numFmtId="0" fontId="33" fillId="7" borderId="9" applyNumberFormat="0" applyAlignment="0" applyProtection="0">
      <alignment vertical="center"/>
    </xf>
    <xf numFmtId="0" fontId="34" fillId="8" borderId="11" applyNumberFormat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</cellStyleXfs>
  <cellXfs count="60">
    <xf numFmtId="0" fontId="0" fillId="0" borderId="0" xfId="0"/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1" fillId="2" borderId="2" xfId="0" applyNumberFormat="1" applyFont="1" applyFill="1" applyBorder="1" applyAlignment="1" applyProtection="1">
      <alignment horizontal="center" vertical="center"/>
      <protection locked="0"/>
    </xf>
    <xf numFmtId="177" fontId="4" fillId="3" borderId="1" xfId="0" applyNumberFormat="1" applyFont="1" applyFill="1" applyBorder="1" applyAlignment="1">
      <alignment horizontal="center" vertical="center"/>
    </xf>
    <xf numFmtId="176" fontId="4" fillId="2" borderId="2" xfId="0" applyNumberFormat="1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14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3" fillId="0" borderId="0" xfId="0" applyNumberFormat="1" applyFont="1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21" fontId="2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78" fontId="11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8" fontId="13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79" fontId="14" fillId="0" borderId="1" xfId="0" applyNumberFormat="1" applyFont="1" applyBorder="1" applyAlignment="1" applyProtection="1">
      <alignment horizontal="center" vertical="center" wrapText="1"/>
      <protection hidden="1"/>
    </xf>
    <xf numFmtId="0" fontId="15" fillId="0" borderId="1" xfId="0" applyFont="1" applyBorder="1" applyAlignment="1" applyProtection="1">
      <alignment vertical="center"/>
      <protection hidden="1"/>
    </xf>
    <xf numFmtId="0" fontId="14" fillId="0" borderId="1" xfId="0" applyFont="1" applyBorder="1" applyAlignment="1" applyProtection="1">
      <alignment horizontal="center" vertical="center"/>
      <protection hidden="1"/>
    </xf>
    <xf numFmtId="0" fontId="14" fillId="0" borderId="2" xfId="0" applyFont="1" applyBorder="1" applyAlignment="1" applyProtection="1">
      <alignment horizontal="center" vertical="center"/>
      <protection hidden="1"/>
    </xf>
    <xf numFmtId="0" fontId="14" fillId="0" borderId="1" xfId="0" applyFont="1" applyBorder="1" applyAlignment="1" applyProtection="1">
      <alignment vertical="center" shrinkToFit="1"/>
      <protection hidden="1"/>
    </xf>
    <xf numFmtId="0" fontId="14" fillId="0" borderId="1" xfId="0" applyFont="1" applyBorder="1" applyAlignment="1" applyProtection="1">
      <alignment horizontal="center" vertical="center" shrinkToFit="1"/>
      <protection hidden="1"/>
    </xf>
    <xf numFmtId="0" fontId="14" fillId="0" borderId="1" xfId="0" applyFont="1" applyBorder="1" applyAlignment="1" applyProtection="1">
      <alignment horizontal="center" vertical="center" wrapText="1"/>
      <protection hidden="1"/>
    </xf>
    <xf numFmtId="0" fontId="16" fillId="0" borderId="1" xfId="0" applyFont="1" applyBorder="1" applyAlignment="1" applyProtection="1">
      <alignment horizontal="center" vertical="center"/>
      <protection hidden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 applyProtection="1">
      <alignment horizontal="left" vertical="center"/>
      <protection hidden="1"/>
    </xf>
    <xf numFmtId="0" fontId="16" fillId="0" borderId="1" xfId="0" applyFont="1" applyBorder="1" applyAlignment="1" applyProtection="1">
      <alignment vertical="center"/>
      <protection hidden="1"/>
    </xf>
    <xf numFmtId="0" fontId="16" fillId="4" borderId="1" xfId="0" applyFont="1" applyFill="1" applyBorder="1" applyAlignment="1" applyProtection="1">
      <alignment horizontal="center" vertical="center"/>
      <protection hidden="1"/>
    </xf>
    <xf numFmtId="0" fontId="17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 applyProtection="1">
      <alignment horizontal="left" vertical="center"/>
      <protection hidden="1"/>
    </xf>
    <xf numFmtId="0" fontId="16" fillId="4" borderId="1" xfId="0" applyFont="1" applyFill="1" applyBorder="1" applyAlignment="1" applyProtection="1">
      <alignment vertical="center"/>
      <protection hidden="1"/>
    </xf>
    <xf numFmtId="0" fontId="4" fillId="0" borderId="1" xfId="0" applyFont="1" applyBorder="1" applyAlignment="1" applyProtection="1">
      <alignment horizontal="center" vertical="center" wrapText="1"/>
      <protection hidden="1"/>
    </xf>
    <xf numFmtId="0" fontId="16" fillId="0" borderId="3" xfId="0" applyFont="1" applyBorder="1" applyAlignment="1" applyProtection="1">
      <alignment horizontal="center" vertical="center"/>
      <protection hidden="1"/>
    </xf>
    <xf numFmtId="0" fontId="14" fillId="0" borderId="2" xfId="0" applyFont="1" applyBorder="1" applyAlignment="1" applyProtection="1">
      <alignment horizontal="center" vertical="center" wrapText="1"/>
      <protection hidden="1"/>
    </xf>
    <xf numFmtId="0" fontId="14" fillId="0" borderId="3" xfId="0" applyFont="1" applyBorder="1" applyAlignment="1" applyProtection="1">
      <alignment horizontal="center" vertical="center"/>
      <protection hidden="1"/>
    </xf>
    <xf numFmtId="177" fontId="14" fillId="0" borderId="4" xfId="0" applyNumberFormat="1" applyFont="1" applyBorder="1" applyAlignment="1" applyProtection="1">
      <alignment horizontal="center" vertical="center" wrapText="1" shrinkToFit="1"/>
      <protection hidden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 applyProtection="1">
      <alignment horizontal="center" vertical="center"/>
      <protection hidden="1"/>
    </xf>
    <xf numFmtId="0" fontId="19" fillId="4" borderId="1" xfId="0" applyFont="1" applyFill="1" applyBorder="1" applyAlignment="1" applyProtection="1">
      <alignment horizontal="center" vertical="center"/>
      <protection hidden="1"/>
    </xf>
    <xf numFmtId="0" fontId="20" fillId="0" borderId="1" xfId="0" applyFont="1" applyBorder="1" applyAlignment="1" applyProtection="1">
      <alignment horizontal="center" vertical="center"/>
      <protection hidden="1"/>
    </xf>
    <xf numFmtId="0" fontId="21" fillId="0" borderId="1" xfId="0" applyFont="1" applyBorder="1" applyAlignment="1" applyProtection="1">
      <alignment horizontal="center" vertical="center"/>
      <protection hidden="1"/>
    </xf>
    <xf numFmtId="177" fontId="21" fillId="0" borderId="1" xfId="0" applyNumberFormat="1" applyFont="1" applyBorder="1" applyAlignment="1" applyProtection="1">
      <alignment horizontal="center" vertical="center" wrapText="1"/>
      <protection hidden="1"/>
    </xf>
    <xf numFmtId="0" fontId="20" fillId="0" borderId="1" xfId="0" applyFont="1" applyBorder="1" applyAlignment="1">
      <alignment horizontal="center" vertical="center"/>
    </xf>
    <xf numFmtId="0" fontId="16" fillId="0" borderId="5" xfId="0" applyFont="1" applyBorder="1" applyAlignment="1" applyProtection="1">
      <alignment horizontal="center" vertical="center"/>
      <protection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2522;&#30784;&#20449;&#24687;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FFC000"/>
  </sheetPr>
  <dimension ref="A1:DE152"/>
  <sheetViews>
    <sheetView showGridLines="0" tabSelected="1" zoomScale="85" zoomScaleNormal="85" workbookViewId="0">
      <pane xSplit="2" ySplit="3" topLeftCell="C4" activePane="bottomRight" state="frozen"/>
      <selection/>
      <selection pane="topRight"/>
      <selection pane="bottomLeft"/>
      <selection pane="bottomRight" activeCell="E13" sqref="E13"/>
    </sheetView>
  </sheetViews>
  <sheetFormatPr defaultColWidth="41.6666666666667" defaultRowHeight="17.4" customHeight="1"/>
  <cols>
    <col min="1" max="1" width="7" customWidth="1"/>
    <col min="2" max="2" width="15.5583333333333" customWidth="1"/>
    <col min="3" max="3" width="33.5583333333333" customWidth="1"/>
    <col min="4" max="4" width="29.2166666666667" customWidth="1"/>
    <col min="5" max="5" width="53.4416666666667" style="30" customWidth="1"/>
    <col min="6" max="6" width="21.2166666666667" customWidth="1"/>
    <col min="7" max="7" width="11.775" customWidth="1"/>
    <col min="8" max="8" width="9.66666666666667" customWidth="1"/>
    <col min="9" max="9" width="8.55833333333333" customWidth="1"/>
    <col min="10" max="10" width="8" customWidth="1"/>
    <col min="11" max="11" width="10.8833333333333" customWidth="1"/>
    <col min="12" max="12" width="11.2166666666667" customWidth="1"/>
    <col min="13" max="13" width="10.8833333333333" customWidth="1"/>
    <col min="14" max="14" width="10" customWidth="1"/>
    <col min="15" max="15" width="7.33333333333333" customWidth="1"/>
    <col min="16" max="34" width="7.88333333333333" customWidth="1"/>
    <col min="35" max="35" width="11.8833333333333" customWidth="1"/>
    <col min="36" max="44" width="7.88333333333333" customWidth="1"/>
    <col min="45" max="45" width="8.10833333333333" customWidth="1"/>
    <col min="46" max="46" width="7.88333333333333" customWidth="1"/>
    <col min="47" max="47" width="10.775" customWidth="1"/>
    <col min="48" max="61" width="7.88333333333333" customWidth="1"/>
    <col min="62" max="62" width="11.5583333333333" customWidth="1"/>
    <col min="63" max="63" width="11" customWidth="1"/>
    <col min="64" max="68" width="7.88333333333333" customWidth="1"/>
    <col min="69" max="69" width="8.66666666666667" customWidth="1"/>
    <col min="70" max="74" width="7.88333333333333" customWidth="1"/>
    <col min="75" max="75" width="7.44166666666667" customWidth="1"/>
    <col min="76" max="76" width="8.21666666666667" customWidth="1"/>
    <col min="77" max="77" width="7.10833333333333" customWidth="1"/>
    <col min="78" max="89" width="7.88333333333333" customWidth="1"/>
    <col min="90" max="90" width="7.775" customWidth="1"/>
    <col min="91" max="105" width="7.88333333333333" customWidth="1"/>
    <col min="106" max="106" width="7.44166666666667" customWidth="1"/>
    <col min="107" max="107" width="8.21666666666667" customWidth="1"/>
    <col min="108" max="108" width="8.55833333333333" customWidth="1"/>
    <col min="109" max="109" width="21.8833333333333" customWidth="1"/>
  </cols>
  <sheetData>
    <row r="1" customHeight="1" spans="1:109">
      <c r="A1" s="31">
        <v>46143</v>
      </c>
      <c r="B1" s="31"/>
      <c r="C1" s="31"/>
      <c r="D1" s="31"/>
      <c r="E1" s="32" t="s">
        <v>0</v>
      </c>
      <c r="F1" s="33"/>
      <c r="G1" s="33"/>
      <c r="H1" s="33"/>
      <c r="I1" s="33"/>
      <c r="J1" s="33"/>
      <c r="K1" s="33"/>
      <c r="L1" s="33"/>
      <c r="M1" s="47"/>
      <c r="N1" s="33"/>
      <c r="O1" s="33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8"/>
      <c r="CL1" s="48"/>
      <c r="CM1" s="48"/>
      <c r="CN1" s="48"/>
      <c r="CO1" s="48"/>
      <c r="CP1" s="48"/>
      <c r="CQ1" s="48"/>
      <c r="CR1" s="48"/>
      <c r="CS1" s="48"/>
      <c r="CT1" s="48"/>
      <c r="CU1" s="48"/>
      <c r="CV1" s="48"/>
      <c r="CW1" s="48"/>
      <c r="CX1" s="48"/>
      <c r="CY1" s="48"/>
      <c r="CZ1" s="48"/>
      <c r="DA1" s="48"/>
      <c r="DB1" s="48"/>
      <c r="DC1" s="48"/>
      <c r="DD1" s="48"/>
      <c r="DE1" s="55"/>
    </row>
    <row r="2" customHeight="1" spans="1:109">
      <c r="A2" s="33" t="s">
        <v>1</v>
      </c>
      <c r="B2" s="34" t="s">
        <v>2</v>
      </c>
      <c r="C2" s="33" t="s">
        <v>3</v>
      </c>
      <c r="D2" s="33" t="s">
        <v>4</v>
      </c>
      <c r="E2" s="35" t="s">
        <v>5</v>
      </c>
      <c r="F2" s="36" t="s">
        <v>6</v>
      </c>
      <c r="G2" s="37" t="s">
        <v>7</v>
      </c>
      <c r="H2" s="37" t="s">
        <v>8</v>
      </c>
      <c r="I2" s="37" t="s">
        <v>9</v>
      </c>
      <c r="J2" s="37" t="s">
        <v>10</v>
      </c>
      <c r="K2" s="37" t="s">
        <v>11</v>
      </c>
      <c r="L2" s="37" t="s">
        <v>12</v>
      </c>
      <c r="M2" s="47" t="s">
        <v>13</v>
      </c>
      <c r="N2" s="37" t="s">
        <v>14</v>
      </c>
      <c r="O2" s="49" t="s">
        <v>15</v>
      </c>
      <c r="P2" s="50" t="s">
        <v>16</v>
      </c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33" t="s">
        <v>17</v>
      </c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  <c r="BT2" s="33"/>
      <c r="BU2" s="33"/>
      <c r="BV2" s="33"/>
      <c r="BW2" s="33"/>
      <c r="BX2" s="33"/>
      <c r="BY2" s="33"/>
      <c r="BZ2" s="33" t="s">
        <v>18</v>
      </c>
      <c r="CA2" s="33"/>
      <c r="CB2" s="33"/>
      <c r="CC2" s="33"/>
      <c r="CD2" s="33"/>
      <c r="CE2" s="33"/>
      <c r="CF2" s="33"/>
      <c r="CG2" s="33"/>
      <c r="CH2" s="33"/>
      <c r="CI2" s="33"/>
      <c r="CJ2" s="33"/>
      <c r="CK2" s="33"/>
      <c r="CL2" s="33"/>
      <c r="CM2" s="33"/>
      <c r="CN2" s="33"/>
      <c r="CO2" s="33"/>
      <c r="CP2" s="33"/>
      <c r="CQ2" s="33"/>
      <c r="CR2" s="33"/>
      <c r="CS2" s="33"/>
      <c r="CT2" s="33"/>
      <c r="CU2" s="33"/>
      <c r="CV2" s="33"/>
      <c r="CW2" s="33"/>
      <c r="CX2" s="33"/>
      <c r="CY2" s="33"/>
      <c r="CZ2" s="33"/>
      <c r="DA2" s="33"/>
      <c r="DB2" s="33"/>
      <c r="DC2" s="33"/>
      <c r="DD2" s="33"/>
      <c r="DE2" s="56"/>
    </row>
    <row r="3" customHeight="1" spans="1:109">
      <c r="A3" s="33"/>
      <c r="B3" s="34"/>
      <c r="C3" s="33"/>
      <c r="D3" s="33"/>
      <c r="E3" s="35"/>
      <c r="F3" s="36"/>
      <c r="G3" s="37"/>
      <c r="H3" s="37"/>
      <c r="I3" s="37"/>
      <c r="J3" s="37"/>
      <c r="K3" s="37"/>
      <c r="L3" s="37"/>
      <c r="M3" s="47"/>
      <c r="N3" s="37"/>
      <c r="O3" s="49"/>
      <c r="P3" s="51">
        <v>46143</v>
      </c>
      <c r="Q3" s="51">
        <v>46144</v>
      </c>
      <c r="R3" s="51">
        <v>46145</v>
      </c>
      <c r="S3" s="51">
        <v>46146</v>
      </c>
      <c r="T3" s="51">
        <v>46147</v>
      </c>
      <c r="U3" s="51">
        <v>46148</v>
      </c>
      <c r="V3" s="51">
        <v>46149</v>
      </c>
      <c r="W3" s="51">
        <v>46150</v>
      </c>
      <c r="X3" s="51">
        <v>46151</v>
      </c>
      <c r="Y3" s="51">
        <v>46152</v>
      </c>
      <c r="Z3" s="51">
        <v>46153</v>
      </c>
      <c r="AA3" s="51">
        <v>46154</v>
      </c>
      <c r="AB3" s="51">
        <v>46155</v>
      </c>
      <c r="AC3" s="51">
        <v>46156</v>
      </c>
      <c r="AD3" s="51">
        <v>46157</v>
      </c>
      <c r="AE3" s="51">
        <v>46158</v>
      </c>
      <c r="AF3" s="51">
        <v>46159</v>
      </c>
      <c r="AG3" s="51">
        <v>46160</v>
      </c>
      <c r="AH3" s="51">
        <v>46161</v>
      </c>
      <c r="AI3" s="51">
        <v>46162</v>
      </c>
      <c r="AJ3" s="51">
        <v>46163</v>
      </c>
      <c r="AK3" s="51">
        <v>46164</v>
      </c>
      <c r="AL3" s="51">
        <v>46165</v>
      </c>
      <c r="AM3" s="51">
        <v>46166</v>
      </c>
      <c r="AN3" s="51">
        <v>46167</v>
      </c>
      <c r="AO3" s="51">
        <v>46168</v>
      </c>
      <c r="AP3" s="51">
        <v>46169</v>
      </c>
      <c r="AQ3" s="51">
        <v>46170</v>
      </c>
      <c r="AR3" s="51">
        <v>46171</v>
      </c>
      <c r="AS3" s="51">
        <v>46172</v>
      </c>
      <c r="AT3" s="51">
        <v>46173</v>
      </c>
      <c r="AU3" s="51">
        <v>46143</v>
      </c>
      <c r="AV3" s="51">
        <v>46144</v>
      </c>
      <c r="AW3" s="51">
        <v>46145</v>
      </c>
      <c r="AX3" s="51">
        <v>46146</v>
      </c>
      <c r="AY3" s="51">
        <v>46147</v>
      </c>
      <c r="AZ3" s="51">
        <v>46148</v>
      </c>
      <c r="BA3" s="51">
        <v>46149</v>
      </c>
      <c r="BB3" s="51">
        <v>46150</v>
      </c>
      <c r="BC3" s="51">
        <v>46151</v>
      </c>
      <c r="BD3" s="51">
        <v>46152</v>
      </c>
      <c r="BE3" s="51">
        <v>46153</v>
      </c>
      <c r="BF3" s="51">
        <v>46154</v>
      </c>
      <c r="BG3" s="51">
        <v>46155</v>
      </c>
      <c r="BH3" s="51">
        <v>46156</v>
      </c>
      <c r="BI3" s="51">
        <v>46157</v>
      </c>
      <c r="BJ3" s="51">
        <v>46158</v>
      </c>
      <c r="BK3" s="51">
        <v>46159</v>
      </c>
      <c r="BL3" s="51">
        <v>46160</v>
      </c>
      <c r="BM3" s="51">
        <v>46161</v>
      </c>
      <c r="BN3" s="51">
        <v>46162</v>
      </c>
      <c r="BO3" s="51">
        <v>46163</v>
      </c>
      <c r="BP3" s="51">
        <v>46164</v>
      </c>
      <c r="BQ3" s="51">
        <v>46165</v>
      </c>
      <c r="BR3" s="51">
        <v>46166</v>
      </c>
      <c r="BS3" s="51">
        <v>46167</v>
      </c>
      <c r="BT3" s="51">
        <v>46168</v>
      </c>
      <c r="BU3" s="51">
        <v>46169</v>
      </c>
      <c r="BV3" s="51">
        <v>46170</v>
      </c>
      <c r="BW3" s="51">
        <v>46171</v>
      </c>
      <c r="BX3" s="51">
        <v>46172</v>
      </c>
      <c r="BY3" s="51">
        <v>46173</v>
      </c>
      <c r="BZ3" s="51">
        <v>46143</v>
      </c>
      <c r="CA3" s="51">
        <v>46144</v>
      </c>
      <c r="CB3" s="51">
        <v>46145</v>
      </c>
      <c r="CC3" s="51">
        <v>46146</v>
      </c>
      <c r="CD3" s="51">
        <v>46147</v>
      </c>
      <c r="CE3" s="51">
        <v>46148</v>
      </c>
      <c r="CF3" s="51">
        <v>46149</v>
      </c>
      <c r="CG3" s="51">
        <v>46150</v>
      </c>
      <c r="CH3" s="51">
        <v>46151</v>
      </c>
      <c r="CI3" s="51">
        <v>46152</v>
      </c>
      <c r="CJ3" s="51">
        <v>46153</v>
      </c>
      <c r="CK3" s="51">
        <v>46154</v>
      </c>
      <c r="CL3" s="51">
        <v>46155</v>
      </c>
      <c r="CM3" s="51">
        <v>46156</v>
      </c>
      <c r="CN3" s="51">
        <v>46157</v>
      </c>
      <c r="CO3" s="51">
        <v>46158</v>
      </c>
      <c r="CP3" s="51">
        <v>46159</v>
      </c>
      <c r="CQ3" s="51">
        <v>46160</v>
      </c>
      <c r="CR3" s="51">
        <v>46161</v>
      </c>
      <c r="CS3" s="51">
        <v>46162</v>
      </c>
      <c r="CT3" s="51">
        <v>46163</v>
      </c>
      <c r="CU3" s="51">
        <v>46164</v>
      </c>
      <c r="CV3" s="51">
        <v>46165</v>
      </c>
      <c r="CW3" s="51">
        <v>46166</v>
      </c>
      <c r="CX3" s="51">
        <v>46167</v>
      </c>
      <c r="CY3" s="51">
        <v>46168</v>
      </c>
      <c r="CZ3" s="51">
        <v>46169</v>
      </c>
      <c r="DA3" s="51">
        <v>46170</v>
      </c>
      <c r="DB3" s="51">
        <v>46171</v>
      </c>
      <c r="DC3" s="51">
        <v>46172</v>
      </c>
      <c r="DD3" s="51">
        <v>46173</v>
      </c>
      <c r="DE3" s="57"/>
    </row>
    <row r="4" ht="16.8" customHeight="1" spans="1:109">
      <c r="A4" s="38">
        <v>48</v>
      </c>
      <c r="B4" s="39" t="s">
        <v>19</v>
      </c>
      <c r="C4" s="40" t="s">
        <v>20</v>
      </c>
      <c r="D4" s="38" t="s">
        <v>21</v>
      </c>
      <c r="E4" s="41" t="s">
        <v>22</v>
      </c>
      <c r="F4" s="42" t="str">
        <f>IFERROR(VLOOKUP(D51,'[1]#REF'!D:F,3,FALSE),"0")</f>
        <v>0</v>
      </c>
      <c r="G4" s="38">
        <v>22</v>
      </c>
      <c r="H4" s="43">
        <f>SUMIF(合格品入库记录!E:E,日报!D51,合格品入库记录!G:G)</f>
        <v>0</v>
      </c>
      <c r="I4" s="43">
        <f>SUMIF(合格品出库记录!E:E,日报!D51,合格品出库记录!G:G)</f>
        <v>0</v>
      </c>
      <c r="J4" s="43">
        <f>SUMIF(领跑良品退回!E:E,D51,领跑良品退回!G:G)</f>
        <v>0</v>
      </c>
      <c r="K4" s="43">
        <f t="shared" ref="K4:K63" si="0">M51+L51</f>
        <v>0</v>
      </c>
      <c r="L4" s="43">
        <f>SUMIF(不良品库存!D:D,D:D,不良品库存!F:F)</f>
        <v>0</v>
      </c>
      <c r="M4" s="52">
        <f t="shared" ref="M4:M63" si="1">G51+H51-I51+J51</f>
        <v>0</v>
      </c>
      <c r="N4" s="42" t="e">
        <v>#N/A</v>
      </c>
      <c r="O4" s="39"/>
      <c r="P4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" s="58"/>
    </row>
    <row r="5" ht="16.8" customHeight="1" spans="1:109">
      <c r="A5" s="38">
        <v>49</v>
      </c>
      <c r="B5" s="44" t="s">
        <v>19</v>
      </c>
      <c r="C5" s="45" t="s">
        <v>20</v>
      </c>
      <c r="D5" s="42" t="s">
        <v>23</v>
      </c>
      <c r="E5" s="46" t="s">
        <v>24</v>
      </c>
      <c r="F5" s="42" t="str">
        <f>IFERROR(VLOOKUP(D52,'[1]#REF'!D:F,3,FALSE),"0")</f>
        <v>0</v>
      </c>
      <c r="G5" s="38">
        <v>10</v>
      </c>
      <c r="H5" s="43">
        <f>SUMIF(合格品入库记录!E:E,日报!D52,合格品入库记录!G:G)</f>
        <v>2175</v>
      </c>
      <c r="I5" s="43">
        <f>SUMIF(合格品出库记录!E:E,日报!D52,合格品出库记录!G:G)</f>
        <v>2190</v>
      </c>
      <c r="J5" s="43">
        <f>SUMIF(领跑良品退回!E:E,D52,领跑良品退回!G:G)</f>
        <v>0</v>
      </c>
      <c r="K5" s="43">
        <f t="shared" si="0"/>
        <v>8018</v>
      </c>
      <c r="L5" s="43">
        <f>SUMIF(不良品库存!D:D,D:D,不良品库存!F:F)</f>
        <v>0</v>
      </c>
      <c r="M5" s="52">
        <f t="shared" si="1"/>
        <v>-1636</v>
      </c>
      <c r="N5" s="42">
        <v>0</v>
      </c>
      <c r="O5" s="44"/>
      <c r="P5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" s="58"/>
    </row>
    <row r="6" ht="16.8" customHeight="1" spans="1:109">
      <c r="A6" s="38">
        <v>50</v>
      </c>
      <c r="B6" s="39" t="s">
        <v>19</v>
      </c>
      <c r="C6" s="40" t="s">
        <v>20</v>
      </c>
      <c r="D6" s="38" t="s">
        <v>25</v>
      </c>
      <c r="E6" s="41" t="s">
        <v>26</v>
      </c>
      <c r="F6" s="42" t="str">
        <f>IFERROR(VLOOKUP(D53,'[1]#REF'!D:F,3,FALSE),"0")</f>
        <v>0</v>
      </c>
      <c r="G6" s="38">
        <v>718</v>
      </c>
      <c r="H6" s="43">
        <f>SUMIF(合格品入库记录!E:E,日报!D53,合格品入库记录!G:G)</f>
        <v>0</v>
      </c>
      <c r="I6" s="43">
        <f>SUMIF(合格品出库记录!E:E,日报!D53,合格品出库记录!G:G)</f>
        <v>0</v>
      </c>
      <c r="J6" s="43">
        <f>SUMIF(领跑良品退回!E:E,D53,领跑良品退回!G:G)</f>
        <v>0</v>
      </c>
      <c r="K6" s="43">
        <f t="shared" si="0"/>
        <v>6623</v>
      </c>
      <c r="L6" s="43">
        <f>SUMIF(不良品库存!D:D,D:D,不良品库存!F:F)</f>
        <v>0</v>
      </c>
      <c r="M6" s="52">
        <f t="shared" si="1"/>
        <v>960</v>
      </c>
      <c r="N6" s="42">
        <v>180</v>
      </c>
      <c r="O6" s="39"/>
      <c r="P6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" s="38">
        <f>IF(SUMIFS(合格品出库记录!$G:$G,合格品出库记录!$E:$E,日报!$D:$D,合格品出库记录!$A:$A,日报!AZ$3)&lt;&gt;0,SUMIFS(合格品出库记录!$G:$G,合格品出库记录!$E:$E,日报!$D:$D,合格品出库记录!$A:$A,日报!AZ$3),"")</f>
        <v>330</v>
      </c>
      <c r="BA6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" s="58"/>
    </row>
    <row r="7" ht="16.8" customHeight="1" spans="1:109">
      <c r="A7" s="38">
        <v>51</v>
      </c>
      <c r="B7" s="44" t="s">
        <v>19</v>
      </c>
      <c r="C7" s="45" t="s">
        <v>20</v>
      </c>
      <c r="D7" s="42" t="s">
        <v>27</v>
      </c>
      <c r="E7" s="46" t="s">
        <v>28</v>
      </c>
      <c r="F7" s="42" t="str">
        <f>IFERROR(VLOOKUP(D54,'[1]#REF'!D:F,3,FALSE),"0")</f>
        <v>0</v>
      </c>
      <c r="G7" s="38">
        <v>0</v>
      </c>
      <c r="H7" s="43">
        <f>SUMIF(合格品入库记录!E:E,日报!D54,合格品入库记录!G:G)</f>
        <v>0</v>
      </c>
      <c r="I7" s="43">
        <f>SUMIF(合格品出库记录!E:E,日报!D54,合格品出库记录!G:G)</f>
        <v>0</v>
      </c>
      <c r="J7" s="43">
        <f>SUMIF(领跑良品退回!E:E,D54,领跑良品退回!G:G)</f>
        <v>0</v>
      </c>
      <c r="K7" s="43">
        <f t="shared" si="0"/>
        <v>37332</v>
      </c>
      <c r="L7" s="43">
        <f>SUMIF(不良品库存!D:D,D:D,不良品库存!F:F)</f>
        <v>0</v>
      </c>
      <c r="M7" s="52">
        <f t="shared" si="1"/>
        <v>-10064</v>
      </c>
      <c r="N7" s="42">
        <v>0</v>
      </c>
      <c r="O7" s="44"/>
      <c r="P7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7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7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7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7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7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7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7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7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7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7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7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7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7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7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7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7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7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7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7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7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7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7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7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7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7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7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7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7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7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7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7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7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7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7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7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7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7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7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7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7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7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7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7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7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7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7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7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7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7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7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7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7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7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7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7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7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7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7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7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7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7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7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7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7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7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7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7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7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7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7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7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7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7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7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7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7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7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7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7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7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7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7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7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7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7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7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7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7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7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7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7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7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7" s="58"/>
    </row>
    <row r="8" ht="16.8" customHeight="1" spans="1:109">
      <c r="A8" s="38">
        <v>52</v>
      </c>
      <c r="B8" s="39" t="s">
        <v>19</v>
      </c>
      <c r="C8" s="40" t="s">
        <v>20</v>
      </c>
      <c r="D8" s="38" t="s">
        <v>29</v>
      </c>
      <c r="E8" s="41" t="s">
        <v>30</v>
      </c>
      <c r="F8" s="42" t="str">
        <f>IFERROR(VLOOKUP(D55,'[1]#REF'!D:F,3,FALSE),"0")</f>
        <v>0</v>
      </c>
      <c r="G8" s="38">
        <v>63</v>
      </c>
      <c r="H8" s="43">
        <f>SUMIF(合格品入库记录!E:E,日报!D55,合格品入库记录!G:G)</f>
        <v>0</v>
      </c>
      <c r="I8" s="43">
        <f>SUMIF(合格品出库记录!E:E,日报!D55,合格品出库记录!G:G)</f>
        <v>1</v>
      </c>
      <c r="J8" s="43">
        <f>SUMIF(领跑良品退回!E:E,D55,领跑良品退回!G:G)</f>
        <v>0</v>
      </c>
      <c r="K8" s="43">
        <f t="shared" si="0"/>
        <v>11685</v>
      </c>
      <c r="L8" s="43">
        <f>SUMIF(不良品库存!D:D,D:D,不良品库存!F:F)</f>
        <v>0</v>
      </c>
      <c r="M8" s="52">
        <f t="shared" si="1"/>
        <v>-3596</v>
      </c>
      <c r="N8" s="42">
        <v>0</v>
      </c>
      <c r="O8" s="39"/>
      <c r="P8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8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8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8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8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8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8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8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8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8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8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8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8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8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8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8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8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8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8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8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8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8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8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8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8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8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8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8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8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8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8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8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8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8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8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8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8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8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8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8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8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8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8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8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8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8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8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8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8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8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8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8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8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8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8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8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8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8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8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8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8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8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8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8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8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8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8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8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8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8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8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8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8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8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8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8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8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8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8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8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8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8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8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8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8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8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8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8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8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8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8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8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8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8" s="58"/>
    </row>
    <row r="9" ht="16.8" customHeight="1" spans="1:109">
      <c r="A9" s="38">
        <v>53</v>
      </c>
      <c r="B9" s="44" t="s">
        <v>19</v>
      </c>
      <c r="C9" s="45" t="s">
        <v>20</v>
      </c>
      <c r="D9" s="42" t="s">
        <v>31</v>
      </c>
      <c r="E9" s="46" t="s">
        <v>32</v>
      </c>
      <c r="F9" s="42" t="str">
        <f>IFERROR(VLOOKUP(D56,'[1]#REF'!D:F,3,FALSE),"0")</f>
        <v>0</v>
      </c>
      <c r="G9" s="38">
        <v>36</v>
      </c>
      <c r="H9" s="43">
        <f>SUMIF(合格品入库记录!E:E,日报!D56,合格品入库记录!G:G)</f>
        <v>0</v>
      </c>
      <c r="I9" s="43">
        <f>SUMIF(合格品出库记录!E:E,日报!D56,合格品出库记录!G:G)</f>
        <v>7</v>
      </c>
      <c r="J9" s="43">
        <f>SUMIF(领跑良品退回!E:E,D56,领跑良品退回!G:G)</f>
        <v>0</v>
      </c>
      <c r="K9" s="43">
        <f t="shared" si="0"/>
        <v>7802</v>
      </c>
      <c r="L9" s="43">
        <f>SUMIF(不良品库存!D:D,D:D,不良品库存!F:F)</f>
        <v>0</v>
      </c>
      <c r="M9" s="52">
        <f t="shared" si="1"/>
        <v>-1580</v>
      </c>
      <c r="N9" s="42">
        <v>4000</v>
      </c>
      <c r="O9" s="44"/>
      <c r="P9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9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9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9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9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9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9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9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9" s="42">
        <f>IF(SUMIFS(合格品入库记录!$G:$G,合格品入库记录!$E:$E,日报!$D:$D,合格品入库记录!$A:$A,日报!X$3)&lt;&gt;0,SUMIFS(合格品入库记录!$G:$G,合格品入库记录!$E:$E,日报!$D:$D,合格品入库记录!$A:$A,日报!X$3),"")</f>
        <v>252</v>
      </c>
      <c r="Y9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9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9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9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9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9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9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9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9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9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9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9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9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9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9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9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9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9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9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9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9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9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9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9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9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9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9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9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9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9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9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9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9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9" s="42">
        <f>IF(SUMIFS(合格品出库记录!$G:$G,合格品出库记录!$E:$E,日报!$D:$D,合格品出库记录!$A:$A,日报!BF$3)&lt;&gt;0,SUMIFS(合格品出库记录!$G:$G,合格品出库记录!$E:$E,日报!$D:$D,合格品出库记录!$A:$A,日报!BF$3),"")</f>
        <v>10</v>
      </c>
      <c r="BG9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9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9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9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9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9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9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9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9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9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9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9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9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9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9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9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9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9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9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9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9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9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9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9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9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9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9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9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9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9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9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9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9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9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9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9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9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9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9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9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9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9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9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9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9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9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9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9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9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9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9" s="58"/>
    </row>
    <row r="10" ht="16.8" customHeight="1" spans="1:109">
      <c r="A10" s="38">
        <v>54</v>
      </c>
      <c r="B10" s="39" t="s">
        <v>19</v>
      </c>
      <c r="C10" s="40" t="s">
        <v>20</v>
      </c>
      <c r="D10" s="38" t="s">
        <v>33</v>
      </c>
      <c r="E10" s="41" t="s">
        <v>34</v>
      </c>
      <c r="F10" s="42" t="str">
        <f>IFERROR(VLOOKUP(D57,'[1]#REF'!D:F,3,FALSE),"0")</f>
        <v>0</v>
      </c>
      <c r="G10" s="38">
        <v>0</v>
      </c>
      <c r="H10" s="43">
        <f>SUMIF(合格品入库记录!E:E,日报!D57,合格品入库记录!G:G)</f>
        <v>0</v>
      </c>
      <c r="I10" s="43">
        <f>SUMIF(合格品出库记录!E:E,日报!D57,合格品出库记录!G:G)</f>
        <v>0</v>
      </c>
      <c r="J10" s="43">
        <f>SUMIF(领跑良品退回!E:E,D57,领跑良品退回!G:G)</f>
        <v>0</v>
      </c>
      <c r="K10" s="43">
        <f t="shared" si="0"/>
        <v>2655</v>
      </c>
      <c r="L10" s="43">
        <f>SUMIF(不良品库存!D:D,D:D,不良品库存!F:F)</f>
        <v>0</v>
      </c>
      <c r="M10" s="52">
        <f t="shared" si="1"/>
        <v>-442</v>
      </c>
      <c r="N10" s="42">
        <v>4000</v>
      </c>
      <c r="O10" s="39"/>
      <c r="P10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0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0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0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0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0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0" s="38">
        <f>IF(SUMIFS(合格品入库记录!$G:$G,合格品入库记录!$E:$E,日报!$D:$D,合格品入库记录!$A:$A,日报!V$3)&lt;&gt;0,SUMIFS(合格品入库记录!$G:$G,合格品入库记录!$E:$E,日报!$D:$D,合格品入库记录!$A:$A,日报!V$3),"")</f>
        <v>262</v>
      </c>
      <c r="W10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0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0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0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0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0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0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0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0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0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0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0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0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0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0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0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0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0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0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0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0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0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0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0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0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0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0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0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0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0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0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0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0" s="38">
        <f>IF(SUMIFS(合格品出库记录!$G:$G,合格品出库记录!$E:$E,日报!$D:$D,合格品出库记录!$A:$A,日报!BC$3)&lt;&gt;0,SUMIFS(合格品出库记录!$G:$G,合格品出库记录!$E:$E,日报!$D:$D,合格品出库记录!$A:$A,日报!BC$3),"")</f>
        <v>9</v>
      </c>
      <c r="BD10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0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0" s="38">
        <f>IF(SUMIFS(合格品出库记录!$G:$G,合格品出库记录!$E:$E,日报!$D:$D,合格品出库记录!$A:$A,日报!BF$3)&lt;&gt;0,SUMIFS(合格品出库记录!$G:$G,合格品出库记录!$E:$E,日报!$D:$D,合格品出库记录!$A:$A,日报!BF$3),"")</f>
        <v>224</v>
      </c>
      <c r="BG10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0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0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0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0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0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0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0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0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0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0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0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0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0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0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0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0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0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0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0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0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0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0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0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0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0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0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0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0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0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0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0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0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0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0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0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0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0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0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0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0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0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0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0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0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0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0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0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0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0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0" s="58"/>
    </row>
    <row r="11" ht="16.8" customHeight="1" spans="1:109">
      <c r="A11" s="38">
        <v>55</v>
      </c>
      <c r="B11" s="44" t="s">
        <v>19</v>
      </c>
      <c r="C11" s="45" t="s">
        <v>20</v>
      </c>
      <c r="D11" s="42" t="s">
        <v>35</v>
      </c>
      <c r="E11" s="46" t="s">
        <v>36</v>
      </c>
      <c r="F11" s="42" t="str">
        <f>IFERROR(VLOOKUP(D58,'[1]#REF'!D:F,3,FALSE),"0")</f>
        <v>0</v>
      </c>
      <c r="G11" s="38">
        <v>127</v>
      </c>
      <c r="H11" s="43">
        <f>SUMIF(合格品入库记录!E:E,日报!D58,合格品入库记录!G:G)</f>
        <v>0</v>
      </c>
      <c r="I11" s="43">
        <f>SUMIF(合格品出库记录!E:E,日报!D58,合格品出库记录!G:G)</f>
        <v>0</v>
      </c>
      <c r="J11" s="43">
        <f>SUMIF(领跑良品退回!E:E,D58,领跑良品退回!G:G)</f>
        <v>0</v>
      </c>
      <c r="K11" s="43">
        <f t="shared" si="0"/>
        <v>2576</v>
      </c>
      <c r="L11" s="43">
        <f>SUMIF(不良品库存!D:D,D:D,不良品库存!F:F)</f>
        <v>0</v>
      </c>
      <c r="M11" s="52">
        <f t="shared" si="1"/>
        <v>-353</v>
      </c>
      <c r="N11" s="42">
        <v>2400</v>
      </c>
      <c r="O11" s="44"/>
      <c r="P11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1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1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1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1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1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1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1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1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1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1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1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1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1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1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1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1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1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1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1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1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1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1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1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1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1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1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1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1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1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1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1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1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1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1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1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1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1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1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1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1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1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1" s="42">
        <f>IF(SUMIFS(合格品出库记录!$G:$G,合格品出库记录!$E:$E,日报!$D:$D,合格品出库记录!$A:$A,日报!BF$3)&lt;&gt;0,SUMIFS(合格品出库记录!$G:$G,合格品出库记录!$E:$E,日报!$D:$D,合格品出库记录!$A:$A,日报!BF$3),"")</f>
        <v>3</v>
      </c>
      <c r="BG11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1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1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1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1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1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1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1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1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1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1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1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1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1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1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1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1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1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1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1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1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1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1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1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1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1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1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1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1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1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1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1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1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1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1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1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1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1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1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1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1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1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1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1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1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1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1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1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1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1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1" s="58"/>
    </row>
    <row r="12" ht="16.8" customHeight="1" spans="1:109">
      <c r="A12" s="38">
        <v>56</v>
      </c>
      <c r="B12" s="39" t="s">
        <v>19</v>
      </c>
      <c r="C12" s="40" t="s">
        <v>20</v>
      </c>
      <c r="D12" s="38" t="s">
        <v>37</v>
      </c>
      <c r="E12" s="41" t="s">
        <v>38</v>
      </c>
      <c r="F12" s="42" t="str">
        <f>IFERROR(VLOOKUP(D59,'[1]#REF'!D:F,3,FALSE),"0")</f>
        <v>0</v>
      </c>
      <c r="G12" s="38">
        <v>0</v>
      </c>
      <c r="H12" s="43">
        <f>SUMIF(合格品入库记录!E:E,日报!D59,合格品入库记录!G:G)</f>
        <v>0</v>
      </c>
      <c r="I12" s="43">
        <f>SUMIF(合格品出库记录!E:E,日报!D59,合格品出库记录!G:G)</f>
        <v>0</v>
      </c>
      <c r="J12" s="43">
        <f>SUMIF(领跑良品退回!E:E,D59,领跑良品退回!G:G)</f>
        <v>0</v>
      </c>
      <c r="K12" s="43">
        <f t="shared" si="0"/>
        <v>0</v>
      </c>
      <c r="L12" s="43">
        <f>SUMIF(不良品库存!D:D,D:D,不良品库存!F:F)</f>
        <v>0</v>
      </c>
      <c r="M12" s="52">
        <f t="shared" si="1"/>
        <v>12</v>
      </c>
      <c r="N12" s="42" t="e">
        <v>#N/A</v>
      </c>
      <c r="O12" s="39"/>
      <c r="P12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2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2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2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2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2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2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2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2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2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2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2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2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2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2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2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2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2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2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2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2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2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2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2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2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2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2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2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2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2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2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2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2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2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2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2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2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2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2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2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2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2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2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2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2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2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2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2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2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2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2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2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2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2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2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2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2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2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2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2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2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2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2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2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2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2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2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2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2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2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2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2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2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2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2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2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2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2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2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2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2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2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2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2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2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2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2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2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2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2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2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2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2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2" s="58"/>
    </row>
    <row r="13" ht="16.8" customHeight="1" spans="1:109">
      <c r="A13" s="38">
        <v>57</v>
      </c>
      <c r="B13" s="44" t="s">
        <v>19</v>
      </c>
      <c r="C13" s="45" t="s">
        <v>20</v>
      </c>
      <c r="D13" s="42" t="s">
        <v>39</v>
      </c>
      <c r="E13" s="46" t="s">
        <v>40</v>
      </c>
      <c r="F13" s="42" t="str">
        <f>IFERROR(VLOOKUP(D60,'[1]#REF'!D:F,3,FALSE),"0")</f>
        <v>0</v>
      </c>
      <c r="G13" s="38">
        <v>0</v>
      </c>
      <c r="H13" s="43">
        <f>SUMIF(合格品入库记录!E:E,日报!D60,合格品入库记录!G:G)</f>
        <v>0</v>
      </c>
      <c r="I13" s="43">
        <f>SUMIF(合格品出库记录!E:E,日报!D60,合格品出库记录!G:G)</f>
        <v>0</v>
      </c>
      <c r="J13" s="43">
        <f>SUMIF(领跑良品退回!E:E,D60,领跑良品退回!G:G)</f>
        <v>0</v>
      </c>
      <c r="K13" s="43">
        <f t="shared" si="0"/>
        <v>0</v>
      </c>
      <c r="L13" s="43">
        <f>SUMIF(不良品库存!D:D,D:D,不良品库存!F:F)</f>
        <v>0</v>
      </c>
      <c r="M13" s="52">
        <f t="shared" si="1"/>
        <v>34</v>
      </c>
      <c r="N13" s="42" t="e">
        <v>#N/A</v>
      </c>
      <c r="O13" s="44"/>
      <c r="P13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3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3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3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3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3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3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3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3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3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3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3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3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3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3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3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3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3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3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3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3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3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3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3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3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3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3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3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3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3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3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3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3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3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3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3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3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3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3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3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3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3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3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3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3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3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3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3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3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3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3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3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3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3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3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3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3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3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3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3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3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3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3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3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3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3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3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3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3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3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3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3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3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3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3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3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3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3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3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3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3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3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3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3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3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3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3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3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3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3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3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3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3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3" s="58"/>
    </row>
    <row r="14" ht="16.8" customHeight="1" spans="1:109">
      <c r="A14" s="38">
        <v>58</v>
      </c>
      <c r="B14" s="39" t="s">
        <v>19</v>
      </c>
      <c r="C14" s="40" t="s">
        <v>20</v>
      </c>
      <c r="D14" s="38" t="s">
        <v>41</v>
      </c>
      <c r="E14" s="41" t="s">
        <v>42</v>
      </c>
      <c r="F14" s="42" t="str">
        <f>IFERROR(VLOOKUP(D61,'[1]#REF'!D:F,3,FALSE),"0")</f>
        <v>0</v>
      </c>
      <c r="G14" s="38">
        <v>2</v>
      </c>
      <c r="H14" s="43">
        <f>SUMIF(合格品入库记录!E:E,日报!D61,合格品入库记录!G:G)</f>
        <v>0</v>
      </c>
      <c r="I14" s="43">
        <f>SUMIF(合格品出库记录!E:E,日报!D61,合格品出库记录!G:G)</f>
        <v>0</v>
      </c>
      <c r="J14" s="43">
        <f>SUMIF(领跑良品退回!E:E,D61,领跑良品退回!G:G)</f>
        <v>0</v>
      </c>
      <c r="K14" s="43">
        <f t="shared" si="0"/>
        <v>0</v>
      </c>
      <c r="L14" s="43">
        <f>SUMIF(不良品库存!D:D,D:D,不良品库存!F:F)</f>
        <v>0</v>
      </c>
      <c r="M14" s="52">
        <f t="shared" si="1"/>
        <v>0</v>
      </c>
      <c r="N14" s="42">
        <v>1280</v>
      </c>
      <c r="O14" s="39"/>
      <c r="P14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4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4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4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4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4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4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4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4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4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4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4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4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4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4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4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4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4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4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4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4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4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4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4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4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4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4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4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4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4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4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4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4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4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4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4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4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4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4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4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4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4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4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4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4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4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4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4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4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4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4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4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4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4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4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4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4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4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4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4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4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4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4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4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4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4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4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4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4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4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4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4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4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4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4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4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4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4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4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4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4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4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4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4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4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4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4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4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4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4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4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4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4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4" s="58"/>
    </row>
    <row r="15" ht="16.8" customHeight="1" spans="1:109">
      <c r="A15" s="38">
        <v>59</v>
      </c>
      <c r="B15" s="44" t="s">
        <v>19</v>
      </c>
      <c r="C15" s="45" t="s">
        <v>20</v>
      </c>
      <c r="D15" s="42" t="s">
        <v>43</v>
      </c>
      <c r="E15" s="46" t="s">
        <v>44</v>
      </c>
      <c r="F15" s="42" t="str">
        <f>IFERROR(VLOOKUP(D62,'[1]#REF'!D:F,3,FALSE),"0")</f>
        <v>0</v>
      </c>
      <c r="G15" s="38">
        <v>482</v>
      </c>
      <c r="H15" s="43">
        <f>SUMIF(合格品入库记录!E:E,日报!D62,合格品入库记录!G:G)</f>
        <v>0</v>
      </c>
      <c r="I15" s="43">
        <f>SUMIF(合格品出库记录!E:E,日报!D62,合格品出库记录!G:G)</f>
        <v>700</v>
      </c>
      <c r="J15" s="43">
        <f>SUMIF(领跑良品退回!E:E,D62,领跑良品退回!G:G)</f>
        <v>0</v>
      </c>
      <c r="K15" s="43">
        <f t="shared" si="0"/>
        <v>100</v>
      </c>
      <c r="L15" s="43">
        <f>SUMIF(不良品库存!D:D,D:D,不良品库存!F:F)</f>
        <v>50</v>
      </c>
      <c r="M15" s="52">
        <f t="shared" si="1"/>
        <v>700</v>
      </c>
      <c r="N15" s="42">
        <v>1280</v>
      </c>
      <c r="O15" s="44"/>
      <c r="P15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5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5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5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5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5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5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5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5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5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5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5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5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5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5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5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5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5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5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5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5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5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5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5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5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5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5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5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5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5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5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5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5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5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5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5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5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5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5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5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5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5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5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5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5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5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5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5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5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5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5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5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5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5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5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5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5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5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5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5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5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5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5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5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5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5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5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5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5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5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5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5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5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5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5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5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5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5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5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5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5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5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5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5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5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5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5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5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5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5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5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5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5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5" s="58"/>
    </row>
    <row r="16" ht="16.8" customHeight="1" spans="1:109">
      <c r="A16" s="38">
        <v>60</v>
      </c>
      <c r="B16" s="39" t="s">
        <v>19</v>
      </c>
      <c r="C16" s="40" t="s">
        <v>20</v>
      </c>
      <c r="D16" s="38" t="s">
        <v>45</v>
      </c>
      <c r="E16" s="41" t="s">
        <v>46</v>
      </c>
      <c r="F16" s="42" t="str">
        <f>IFERROR(VLOOKUP(D63,'[1]#REF'!D:F,3,FALSE),"0")</f>
        <v>0</v>
      </c>
      <c r="G16" s="38">
        <v>0</v>
      </c>
      <c r="H16" s="43">
        <f>SUMIF(合格品入库记录!E:E,日报!D63,合格品入库记录!G:G)</f>
        <v>0</v>
      </c>
      <c r="I16" s="43">
        <f>SUMIF(合格品出库记录!E:E,日报!D63,合格品出库记录!G:G)</f>
        <v>0</v>
      </c>
      <c r="J16" s="43">
        <f>SUMIF(领跑良品退回!E:E,D63,领跑良品退回!G:G)</f>
        <v>0</v>
      </c>
      <c r="K16" s="43">
        <f t="shared" si="0"/>
        <v>174</v>
      </c>
      <c r="L16" s="43">
        <f>SUMIF(不良品库存!D:D,D:D,不良品库存!F:F)</f>
        <v>0</v>
      </c>
      <c r="M16" s="52">
        <f t="shared" si="1"/>
        <v>0</v>
      </c>
      <c r="N16" s="42" t="e">
        <v>#N/A</v>
      </c>
      <c r="O16" s="39"/>
      <c r="P16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6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6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6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6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6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6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6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6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6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6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6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6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6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6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6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6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6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6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6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6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6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6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6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6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6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6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6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6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6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6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6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6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6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6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6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6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6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6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6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6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6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6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6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6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6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6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6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6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6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6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6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6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6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6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6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6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6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6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6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6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6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6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6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6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6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6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6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6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6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6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6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6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6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6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6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6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6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6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6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6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6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6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6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6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6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6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6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6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6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6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6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6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6" s="58"/>
    </row>
    <row r="17" ht="16.8" customHeight="1" spans="1:109">
      <c r="A17" s="38">
        <v>61</v>
      </c>
      <c r="B17" s="44" t="s">
        <v>19</v>
      </c>
      <c r="C17" s="45" t="s">
        <v>20</v>
      </c>
      <c r="D17" s="42" t="s">
        <v>47</v>
      </c>
      <c r="E17" s="46" t="s">
        <v>48</v>
      </c>
      <c r="F17" s="42" t="str">
        <f>IFERROR(VLOOKUP(D64,'[1]#REF'!D:F,3,FALSE),"0")</f>
        <v>0</v>
      </c>
      <c r="G17" s="38">
        <v>35</v>
      </c>
      <c r="H17" s="43">
        <f>SUMIF(合格品入库记录!E:E,日报!D64,合格品入库记录!G:G)</f>
        <v>0</v>
      </c>
      <c r="I17" s="43">
        <f>SUMIF(合格品出库记录!E:E,日报!D64,合格品出库记录!G:G)</f>
        <v>0</v>
      </c>
      <c r="J17" s="43">
        <f>SUMIF(领跑良品退回!E:E,D64,领跑良品退回!G:G)</f>
        <v>0</v>
      </c>
      <c r="K17" s="43">
        <f t="shared" si="0"/>
        <v>0</v>
      </c>
      <c r="L17" s="43">
        <f>SUMIF(不良品库存!D:D,D:D,不良品库存!F:F)</f>
        <v>0</v>
      </c>
      <c r="M17" s="52">
        <f t="shared" si="1"/>
        <v>4720</v>
      </c>
      <c r="N17" s="42">
        <v>1920</v>
      </c>
      <c r="O17" s="44"/>
      <c r="P17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7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7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7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7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7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7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7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7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7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7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7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7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7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7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7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7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7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7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7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7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7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7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7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7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7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7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7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7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7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7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7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7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7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7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7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7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7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7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7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7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7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7" s="42">
        <f>IF(SUMIFS(合格品出库记录!$G:$G,合格品出库记录!$E:$E,日报!$D:$D,合格品出库记录!$A:$A,日报!BF$3)&lt;&gt;0,SUMIFS(合格品出库记录!$G:$G,合格品出库记录!$E:$E,日报!$D:$D,合格品出库记录!$A:$A,日报!BF$3),"")</f>
        <v>5</v>
      </c>
      <c r="BG17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7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7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7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7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7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7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7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7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7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7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7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7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7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7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7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7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7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7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7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7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7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7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7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7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7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7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7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7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7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7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7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7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7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7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7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7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7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7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7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7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7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7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7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7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7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7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7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7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7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7" s="58"/>
    </row>
    <row r="18" ht="16.8" customHeight="1" spans="1:109">
      <c r="A18" s="38">
        <v>62</v>
      </c>
      <c r="B18" s="39" t="s">
        <v>19</v>
      </c>
      <c r="C18" s="40" t="s">
        <v>20</v>
      </c>
      <c r="D18" s="38" t="s">
        <v>49</v>
      </c>
      <c r="E18" s="41" t="s">
        <v>50</v>
      </c>
      <c r="F18" s="42" t="str">
        <f>IFERROR(VLOOKUP(D65,'[1]#REF'!D:F,3,FALSE),"0")</f>
        <v>0</v>
      </c>
      <c r="G18" s="38">
        <v>675</v>
      </c>
      <c r="H18" s="43">
        <f>SUMIF(合格品入库记录!E:E,日报!D65,合格品入库记录!G:G)</f>
        <v>0</v>
      </c>
      <c r="I18" s="43">
        <f>SUMIF(合格品出库记录!E:E,日报!D65,合格品出库记录!G:G)</f>
        <v>0</v>
      </c>
      <c r="J18" s="43">
        <f>SUMIF(领跑良品退回!E:E,D65,领跑良品退回!G:G)</f>
        <v>0</v>
      </c>
      <c r="K18" s="43">
        <f t="shared" si="0"/>
        <v>0</v>
      </c>
      <c r="L18" s="43">
        <f>SUMIF(不良品库存!D:D,D:D,不良品库存!F:F)</f>
        <v>0</v>
      </c>
      <c r="M18" s="52">
        <f t="shared" si="1"/>
        <v>33</v>
      </c>
      <c r="N18" s="42">
        <v>0</v>
      </c>
      <c r="O18" s="39"/>
      <c r="P18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8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8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8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8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8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8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8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8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8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8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8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8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8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8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8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8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8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8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8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8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8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8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8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8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8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8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8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8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8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8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8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8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8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8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8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8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8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8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8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8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8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8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8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8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8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8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8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8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8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8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8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8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8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8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8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8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8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8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8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8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8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8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8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8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8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8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8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8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8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8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8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8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8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8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8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8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8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8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8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8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8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8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8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8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8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8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8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8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8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8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8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8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8" s="58"/>
    </row>
    <row r="19" ht="16.8" customHeight="1" spans="1:109">
      <c r="A19" s="38">
        <v>63</v>
      </c>
      <c r="B19" s="44" t="s">
        <v>19</v>
      </c>
      <c r="C19" s="45" t="s">
        <v>20</v>
      </c>
      <c r="D19" s="42" t="s">
        <v>51</v>
      </c>
      <c r="E19" s="46" t="s">
        <v>52</v>
      </c>
      <c r="F19" s="42" t="str">
        <f>IFERROR(VLOOKUP(D66,'[1]#REF'!D:F,3,FALSE),"0")</f>
        <v>0</v>
      </c>
      <c r="G19" s="38">
        <v>1030</v>
      </c>
      <c r="H19" s="43">
        <f>SUMIF(合格品入库记录!E:E,日报!D66,合格品入库记录!G:G)</f>
        <v>0</v>
      </c>
      <c r="I19" s="43">
        <f>SUMIF(合格品出库记录!E:E,日报!D66,合格品出库记录!G:G)</f>
        <v>0</v>
      </c>
      <c r="J19" s="43">
        <f>SUMIF(领跑良品退回!E:E,D66,领跑良品退回!G:G)</f>
        <v>0</v>
      </c>
      <c r="K19" s="43">
        <f t="shared" si="0"/>
        <v>0</v>
      </c>
      <c r="L19" s="43">
        <f>SUMIF(不良品库存!D:D,D:D,不良品库存!F:F)</f>
        <v>0</v>
      </c>
      <c r="M19" s="52">
        <f t="shared" si="1"/>
        <v>33</v>
      </c>
      <c r="N19" s="42">
        <v>0</v>
      </c>
      <c r="O19" s="44"/>
      <c r="P19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9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9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9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9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9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9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9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9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9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9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9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9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9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9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9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9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9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9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9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9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9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9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9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9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9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9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9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9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9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9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9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9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9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9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9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9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9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9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9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9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9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9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9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9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9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9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9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9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9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9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9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9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9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9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9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9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9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9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9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9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9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9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9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9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9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9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9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9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9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9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9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9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9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9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9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9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9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9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9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9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9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9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9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9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9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9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9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9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9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9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9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9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9" s="58"/>
    </row>
    <row r="20" ht="16.8" customHeight="1" spans="1:109">
      <c r="A20" s="38">
        <v>64</v>
      </c>
      <c r="B20" s="39" t="s">
        <v>19</v>
      </c>
      <c r="C20" s="40" t="s">
        <v>20</v>
      </c>
      <c r="D20" s="38" t="s">
        <v>53</v>
      </c>
      <c r="E20" s="41" t="s">
        <v>54</v>
      </c>
      <c r="F20" s="42" t="str">
        <f>IFERROR(VLOOKUP(D67,'[1]#REF'!D:F,3,FALSE),"0")</f>
        <v>0</v>
      </c>
      <c r="G20" s="38">
        <v>0</v>
      </c>
      <c r="H20" s="43">
        <f>SUMIF(合格品入库记录!E:E,日报!D67,合格品入库记录!G:G)</f>
        <v>0</v>
      </c>
      <c r="I20" s="43">
        <f>SUMIF(合格品出库记录!E:E,日报!D67,合格品出库记录!G:G)</f>
        <v>0</v>
      </c>
      <c r="J20" s="43">
        <f>SUMIF(领跑良品退回!E:E,D67,领跑良品退回!G:G)</f>
        <v>0</v>
      </c>
      <c r="K20" s="43">
        <f t="shared" si="0"/>
        <v>0</v>
      </c>
      <c r="L20" s="43">
        <f>SUMIF(不良品库存!D:D,D:D,不良品库存!F:F)</f>
        <v>0</v>
      </c>
      <c r="M20" s="52">
        <f t="shared" si="1"/>
        <v>0</v>
      </c>
      <c r="N20" s="42" t="e">
        <v>#N/A</v>
      </c>
      <c r="O20" s="39"/>
      <c r="P20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0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0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0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0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0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0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0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0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0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0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0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0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0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0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0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0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0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0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0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0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0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0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0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0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0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0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0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0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0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0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0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0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0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0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0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0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0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0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0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0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0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0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0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0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0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0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0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0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0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0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0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0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0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0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0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0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0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0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0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0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0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0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0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0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0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0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0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0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0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0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0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0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0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0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0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0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0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0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0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0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0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0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0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0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0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0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0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0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0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0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0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0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0" s="58"/>
    </row>
    <row r="21" ht="16.8" customHeight="1" spans="1:109">
      <c r="A21" s="38">
        <v>65</v>
      </c>
      <c r="B21" s="44" t="s">
        <v>19</v>
      </c>
      <c r="C21" s="45" t="s">
        <v>20</v>
      </c>
      <c r="D21" s="42" t="s">
        <v>55</v>
      </c>
      <c r="E21" s="46" t="s">
        <v>56</v>
      </c>
      <c r="F21" s="42" t="str">
        <f>IFERROR(VLOOKUP(D68,'[1]#REF'!D:F,3,FALSE),"0")</f>
        <v>0</v>
      </c>
      <c r="G21" s="38">
        <v>42</v>
      </c>
      <c r="H21" s="43">
        <f>SUMIF(合格品入库记录!E:E,日报!D68,合格品入库记录!G:G)</f>
        <v>600</v>
      </c>
      <c r="I21" s="43">
        <f>SUMIF(合格品出库记录!E:E,日报!D68,合格品出库记录!G:G)</f>
        <v>600</v>
      </c>
      <c r="J21" s="43">
        <f>SUMIF(领跑良品退回!E:E,D68,领跑良品退回!G:G)</f>
        <v>0</v>
      </c>
      <c r="K21" s="43">
        <f t="shared" si="0"/>
        <v>0</v>
      </c>
      <c r="L21" s="43">
        <f>SUMIF(不良品库存!D:D,D:D,不良品库存!F:F)</f>
        <v>0</v>
      </c>
      <c r="M21" s="52">
        <f t="shared" si="1"/>
        <v>0</v>
      </c>
      <c r="N21" s="42">
        <v>0</v>
      </c>
      <c r="O21" s="44"/>
      <c r="P21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1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1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1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1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1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1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1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1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1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1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1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1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1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1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1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1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1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1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1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1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1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1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1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1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1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1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1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1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1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1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1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1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1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1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1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1" s="42">
        <f>IF(SUMIFS(合格品出库记录!$G:$G,合格品出库记录!$E:$E,日报!$D:$D,合格品出库记录!$A:$A,日报!AZ$3)&lt;&gt;0,SUMIFS(合格品出库记录!$G:$G,合格品出库记录!$E:$E,日报!$D:$D,合格品出库记录!$A:$A,日报!AZ$3),"")</f>
        <v>4</v>
      </c>
      <c r="BA21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1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1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1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1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1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1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1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1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1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1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1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1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1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1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1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1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1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1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1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1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1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1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1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1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1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1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1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1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1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1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1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1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1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1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1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1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1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1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1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1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1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1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1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1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1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1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1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1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1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1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1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1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1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1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1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1" s="58"/>
    </row>
    <row r="22" ht="16.8" customHeight="1" spans="1:109">
      <c r="A22" s="38">
        <v>66</v>
      </c>
      <c r="B22" s="39" t="s">
        <v>19</v>
      </c>
      <c r="C22" s="40" t="s">
        <v>20</v>
      </c>
      <c r="D22" s="38" t="s">
        <v>57</v>
      </c>
      <c r="E22" s="41" t="s">
        <v>58</v>
      </c>
      <c r="F22" s="42" t="str">
        <f>IFERROR(VLOOKUP(D69,'[1]#REF'!D:F,3,FALSE),"0")</f>
        <v>0</v>
      </c>
      <c r="G22" s="38">
        <v>19</v>
      </c>
      <c r="H22" s="43">
        <f>SUMIF(合格品入库记录!E:E,日报!D69,合格品入库记录!G:G)</f>
        <v>0</v>
      </c>
      <c r="I22" s="43">
        <f>SUMIF(合格品出库记录!E:E,日报!D69,合格品出库记录!G:G)</f>
        <v>0</v>
      </c>
      <c r="J22" s="43">
        <f>SUMIF(领跑良品退回!E:E,D69,领跑良品退回!G:G)</f>
        <v>0</v>
      </c>
      <c r="K22" s="43">
        <f t="shared" si="0"/>
        <v>0</v>
      </c>
      <c r="L22" s="43">
        <f>SUMIF(不良品库存!D:D,D:D,不良品库存!F:F)</f>
        <v>0</v>
      </c>
      <c r="M22" s="52">
        <f t="shared" si="1"/>
        <v>2400</v>
      </c>
      <c r="N22" s="42">
        <v>2400</v>
      </c>
      <c r="O22" s="39"/>
      <c r="P22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2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2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2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2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2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2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2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2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2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2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2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2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2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2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2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2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2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2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2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2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2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2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2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2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2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2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2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2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2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2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2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2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2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2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2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2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2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2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2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2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2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2" s="38">
        <f>IF(SUMIFS(合格品出库记录!$G:$G,合格品出库记录!$E:$E,日报!$D:$D,合格品出库记录!$A:$A,日报!BF$3)&lt;&gt;0,SUMIFS(合格品出库记录!$G:$G,合格品出库记录!$E:$E,日报!$D:$D,合格品出库记录!$A:$A,日报!BF$3),"")</f>
        <v>6</v>
      </c>
      <c r="BG22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2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2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2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2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2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2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2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2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2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2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2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2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2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2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2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2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2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2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2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2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2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2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2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2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2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2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2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2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2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2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2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2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2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2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2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2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2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2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2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2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2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2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2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2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2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2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2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2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2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2" s="58"/>
    </row>
    <row r="23" ht="16.8" customHeight="1" spans="1:109">
      <c r="A23" s="38">
        <v>67</v>
      </c>
      <c r="B23" s="44" t="s">
        <v>19</v>
      </c>
      <c r="C23" s="45" t="s">
        <v>20</v>
      </c>
      <c r="D23" s="42" t="s">
        <v>59</v>
      </c>
      <c r="E23" s="46" t="s">
        <v>60</v>
      </c>
      <c r="F23" s="42" t="str">
        <f>IFERROR(VLOOKUP(D70,'[1]#REF'!D:F,3,FALSE),"0")</f>
        <v>0</v>
      </c>
      <c r="G23" s="38">
        <v>19</v>
      </c>
      <c r="H23" s="43">
        <f>SUMIF(合格品入库记录!E:E,日报!D70,合格品入库记录!G:G)</f>
        <v>0</v>
      </c>
      <c r="I23" s="43">
        <f>SUMIF(合格品出库记录!E:E,日报!D70,合格品出库记录!G:G)</f>
        <v>0</v>
      </c>
      <c r="J23" s="43">
        <f>SUMIF(领跑良品退回!E:E,D70,领跑良品退回!G:G)</f>
        <v>0</v>
      </c>
      <c r="K23" s="43">
        <f t="shared" si="0"/>
        <v>0</v>
      </c>
      <c r="L23" s="43">
        <f>SUMIF(不良品库存!D:D,D:D,不良品库存!F:F)</f>
        <v>0</v>
      </c>
      <c r="M23" s="52">
        <f t="shared" si="1"/>
        <v>2400</v>
      </c>
      <c r="N23" s="42">
        <v>2400</v>
      </c>
      <c r="O23" s="44">
        <v>1</v>
      </c>
      <c r="P23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3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3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3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3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3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3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3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3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3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3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3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3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3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3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3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3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3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3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3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3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3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3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3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3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3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3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3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3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3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3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3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3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3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3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3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3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3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3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3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3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3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3" s="42">
        <f>IF(SUMIFS(合格品出库记录!$G:$G,合格品出库记录!$E:$E,日报!$D:$D,合格品出库记录!$A:$A,日报!BF$3)&lt;&gt;0,SUMIFS(合格品出库记录!$G:$G,合格品出库记录!$E:$E,日报!$D:$D,合格品出库记录!$A:$A,日报!BF$3),"")</f>
        <v>6</v>
      </c>
      <c r="BG23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3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3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3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3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3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3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3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3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3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3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3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3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3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3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3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3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3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3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3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3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3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3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3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3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3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3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3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3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3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3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3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3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3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3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3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3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3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3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3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3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3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3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3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3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3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3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3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3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3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3" s="58"/>
    </row>
    <row r="24" ht="16.8" customHeight="1" spans="1:109">
      <c r="A24" s="38">
        <v>68</v>
      </c>
      <c r="B24" s="39" t="s">
        <v>19</v>
      </c>
      <c r="C24" s="40" t="s">
        <v>20</v>
      </c>
      <c r="D24" s="38" t="s">
        <v>61</v>
      </c>
      <c r="E24" s="41" t="s">
        <v>62</v>
      </c>
      <c r="F24" s="42" t="str">
        <f>IFERROR(VLOOKUP(D71,'[1]#REF'!D:F,3,FALSE),"0")</f>
        <v>0</v>
      </c>
      <c r="G24" s="38">
        <v>0</v>
      </c>
      <c r="H24" s="43">
        <f>SUMIF(合格品入库记录!E:E,日报!D71,合格品入库记录!G:G)</f>
        <v>0</v>
      </c>
      <c r="I24" s="43">
        <f>SUMIF(合格品出库记录!E:E,日报!D71,合格品出库记录!G:G)</f>
        <v>0</v>
      </c>
      <c r="J24" s="43">
        <f>SUMIF(领跑良品退回!E:E,D71,领跑良品退回!G:G)</f>
        <v>0</v>
      </c>
      <c r="K24" s="43">
        <f t="shared" si="0"/>
        <v>0</v>
      </c>
      <c r="L24" s="43">
        <f>SUMIF(不良品库存!D:D,D:D,不良品库存!F:F)</f>
        <v>0</v>
      </c>
      <c r="M24" s="52">
        <f t="shared" si="1"/>
        <v>797</v>
      </c>
      <c r="N24" s="42">
        <v>0</v>
      </c>
      <c r="O24" s="39">
        <v>1</v>
      </c>
      <c r="P24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4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4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4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4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4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4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4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4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4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4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4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4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4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4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4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4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4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4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4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4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4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4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4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4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4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4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4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4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4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4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4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4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4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4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4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4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4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4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4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4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4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4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4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4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4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4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4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4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4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4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4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4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4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4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4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4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4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4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4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4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4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4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4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4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4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4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4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4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4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4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4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4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4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4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4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4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4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4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4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4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4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4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4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4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4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4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4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4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4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4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4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4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4" s="58"/>
    </row>
    <row r="25" ht="16.8" customHeight="1" spans="1:109">
      <c r="A25" s="38">
        <v>69</v>
      </c>
      <c r="B25" s="44" t="s">
        <v>19</v>
      </c>
      <c r="C25" s="45" t="s">
        <v>20</v>
      </c>
      <c r="D25" s="42" t="s">
        <v>63</v>
      </c>
      <c r="E25" s="46" t="s">
        <v>64</v>
      </c>
      <c r="F25" s="42" t="str">
        <f>IFERROR(VLOOKUP(D72,'[1]#REF'!D:F,3,FALSE),"0")</f>
        <v>0</v>
      </c>
      <c r="G25" s="38">
        <v>0</v>
      </c>
      <c r="H25" s="43">
        <f>SUMIF(合格品入库记录!E:E,日报!D72,合格品入库记录!G:G)</f>
        <v>0</v>
      </c>
      <c r="I25" s="43">
        <f>SUMIF(合格品出库记录!E:E,日报!D72,合格品出库记录!G:G)</f>
        <v>0</v>
      </c>
      <c r="J25" s="43">
        <f>SUMIF(领跑良品退回!E:E,D72,领跑良品退回!G:G)</f>
        <v>0</v>
      </c>
      <c r="K25" s="43">
        <f t="shared" si="0"/>
        <v>0</v>
      </c>
      <c r="L25" s="43">
        <f>SUMIF(不良品库存!D:D,D:D,不良品库存!F:F)</f>
        <v>0</v>
      </c>
      <c r="M25" s="52">
        <f t="shared" si="1"/>
        <v>0</v>
      </c>
      <c r="N25" s="42" t="e">
        <v>#N/A</v>
      </c>
      <c r="O25" s="44">
        <v>1</v>
      </c>
      <c r="P25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5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5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5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5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5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5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5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5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5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5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5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5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5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5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5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5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5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5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5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5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5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5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5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5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5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5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5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5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5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5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5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5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5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5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5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5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5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5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5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5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5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5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5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5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5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5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5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5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5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5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5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5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5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5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5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5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5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5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5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5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5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5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5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5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5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5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5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5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5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5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5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5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5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5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5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5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5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5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5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5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5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5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5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5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5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5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5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5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5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5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5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5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5" s="58"/>
    </row>
    <row r="26" ht="16.8" customHeight="1" spans="1:109">
      <c r="A26" s="38">
        <v>70</v>
      </c>
      <c r="B26" s="39" t="s">
        <v>19</v>
      </c>
      <c r="C26" s="40" t="s">
        <v>20</v>
      </c>
      <c r="D26" s="38" t="s">
        <v>65</v>
      </c>
      <c r="E26" s="41" t="s">
        <v>66</v>
      </c>
      <c r="F26" s="42" t="str">
        <f>IFERROR(VLOOKUP(D73,'[1]#REF'!D:F,3,FALSE),"0")</f>
        <v>0</v>
      </c>
      <c r="G26" s="38">
        <v>0</v>
      </c>
      <c r="H26" s="43">
        <f>SUMIF(合格品入库记录!E:E,日报!D73,合格品入库记录!G:G)</f>
        <v>0</v>
      </c>
      <c r="I26" s="43">
        <f>SUMIF(合格品出库记录!E:E,日报!D73,合格品出库记录!G:G)</f>
        <v>0</v>
      </c>
      <c r="J26" s="43">
        <f>SUMIF(领跑良品退回!E:E,D73,领跑良品退回!G:G)</f>
        <v>0</v>
      </c>
      <c r="K26" s="43">
        <f t="shared" si="0"/>
        <v>0</v>
      </c>
      <c r="L26" s="43">
        <f>SUMIF(不良品库存!D:D,D:D,不良品库存!F:F)</f>
        <v>0</v>
      </c>
      <c r="M26" s="52">
        <f t="shared" si="1"/>
        <v>0</v>
      </c>
      <c r="N26" s="42" t="e">
        <v>#N/A</v>
      </c>
      <c r="O26" s="39">
        <v>1</v>
      </c>
      <c r="P26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6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6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6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6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6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6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6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6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6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6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6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6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6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6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6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6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6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6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6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6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6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6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6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6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6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6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6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6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6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6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6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6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6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6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6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6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6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6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6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6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6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6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6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6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6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6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6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6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6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6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6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6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6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6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6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6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6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6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6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6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6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6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6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6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6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6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6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6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6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6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6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6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6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6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6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6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6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6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6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6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6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6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6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6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6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6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6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6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6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6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6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6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6" s="58"/>
    </row>
    <row r="27" ht="16.8" customHeight="1" spans="1:109">
      <c r="A27" s="38">
        <v>71</v>
      </c>
      <c r="B27" s="44" t="s">
        <v>19</v>
      </c>
      <c r="C27" s="45" t="s">
        <v>20</v>
      </c>
      <c r="D27" s="42" t="s">
        <v>67</v>
      </c>
      <c r="E27" s="46" t="s">
        <v>68</v>
      </c>
      <c r="F27" s="42" t="str">
        <f>IFERROR(VLOOKUP(D74,'[1]#REF'!D:F,3,FALSE),"0")</f>
        <v>0</v>
      </c>
      <c r="G27" s="38">
        <v>0</v>
      </c>
      <c r="H27" s="43">
        <f>SUMIF(合格品入库记录!E:E,日报!D74,合格品入库记录!G:G)</f>
        <v>0</v>
      </c>
      <c r="I27" s="43">
        <f>SUMIF(合格品出库记录!E:E,日报!D74,合格品出库记录!G:G)</f>
        <v>0</v>
      </c>
      <c r="J27" s="43">
        <f>SUMIF(领跑良品退回!E:E,D74,领跑良品退回!G:G)</f>
        <v>0</v>
      </c>
      <c r="K27" s="43">
        <f t="shared" si="0"/>
        <v>0</v>
      </c>
      <c r="L27" s="43">
        <f>SUMIF(不良品库存!D:D,D:D,不良品库存!F:F)</f>
        <v>0</v>
      </c>
      <c r="M27" s="52">
        <f t="shared" si="1"/>
        <v>0</v>
      </c>
      <c r="N27" s="42" t="e">
        <v>#N/A</v>
      </c>
      <c r="O27" s="44">
        <v>1</v>
      </c>
      <c r="P27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7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7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7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7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7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7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7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7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7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7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7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7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7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7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7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7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7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7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7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7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7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7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7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7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7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7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7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7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7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7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7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7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7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7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7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7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7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7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7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7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7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7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7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7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7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7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7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7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7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7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7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7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7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7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7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7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7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7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7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7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7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7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7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7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7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7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7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7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7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7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7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7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7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7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7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7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7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7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7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7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7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7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7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7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7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7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7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7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7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7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7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7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7" s="58"/>
    </row>
    <row r="28" ht="16.8" customHeight="1" spans="1:109">
      <c r="A28" s="38">
        <v>72</v>
      </c>
      <c r="B28" s="39" t="s">
        <v>19</v>
      </c>
      <c r="C28" s="40" t="s">
        <v>20</v>
      </c>
      <c r="D28" s="38" t="s">
        <v>69</v>
      </c>
      <c r="E28" s="41" t="s">
        <v>70</v>
      </c>
      <c r="F28" s="42" t="str">
        <f>IFERROR(VLOOKUP(D75,'[1]#REF'!D:F,3,FALSE),"0")</f>
        <v>0</v>
      </c>
      <c r="G28" s="38">
        <v>0</v>
      </c>
      <c r="H28" s="43">
        <f>SUMIF(合格品入库记录!E:E,日报!D75,合格品入库记录!G:G)</f>
        <v>0</v>
      </c>
      <c r="I28" s="43">
        <f>SUMIF(合格品出库记录!E:E,日报!D75,合格品出库记录!G:G)</f>
        <v>0</v>
      </c>
      <c r="J28" s="43">
        <f>SUMIF(领跑良品退回!E:E,D75,领跑良品退回!G:G)</f>
        <v>0</v>
      </c>
      <c r="K28" s="43">
        <f t="shared" si="0"/>
        <v>0</v>
      </c>
      <c r="L28" s="43">
        <f>SUMIF(不良品库存!D:D,D:D,不良品库存!F:F)</f>
        <v>0</v>
      </c>
      <c r="M28" s="52">
        <f t="shared" si="1"/>
        <v>0</v>
      </c>
      <c r="N28" s="42" t="e">
        <v>#N/A</v>
      </c>
      <c r="O28" s="39">
        <v>1</v>
      </c>
      <c r="P28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8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8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8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8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8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8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8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8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8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8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8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8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8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8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8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8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8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8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8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8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8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8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8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8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8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8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8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8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8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8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8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8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8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8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8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8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8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8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8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8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8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8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8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8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8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8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8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8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8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8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8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8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8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8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8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8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8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8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8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8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8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8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8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8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8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8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8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8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8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8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8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8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8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8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8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8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8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8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8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8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8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8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8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8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8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8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8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8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8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8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8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8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8" s="58"/>
    </row>
    <row r="29" ht="16.8" customHeight="1" spans="1:109">
      <c r="A29" s="38">
        <v>73</v>
      </c>
      <c r="B29" s="44" t="s">
        <v>19</v>
      </c>
      <c r="C29" s="45" t="s">
        <v>20</v>
      </c>
      <c r="D29" s="42" t="s">
        <v>71</v>
      </c>
      <c r="E29" s="46" t="s">
        <v>72</v>
      </c>
      <c r="F29" s="42" t="str">
        <f>IFERROR(VLOOKUP(D76,'[1]#REF'!D:F,3,FALSE),"0")</f>
        <v>0</v>
      </c>
      <c r="G29" s="38">
        <v>0</v>
      </c>
      <c r="H29" s="43">
        <f>SUMIF(合格品入库记录!E:E,日报!D76,合格品入库记录!G:G)</f>
        <v>0</v>
      </c>
      <c r="I29" s="43">
        <f>SUMIF(合格品出库记录!E:E,日报!D76,合格品出库记录!G:G)</f>
        <v>0</v>
      </c>
      <c r="J29" s="43">
        <f>SUMIF(领跑良品退回!E:E,D76,领跑良品退回!G:G)</f>
        <v>0</v>
      </c>
      <c r="K29" s="43">
        <f t="shared" si="0"/>
        <v>0</v>
      </c>
      <c r="L29" s="43">
        <f>SUMIF(不良品库存!D:D,D:D,不良品库存!F:F)</f>
        <v>0</v>
      </c>
      <c r="M29" s="52">
        <f t="shared" si="1"/>
        <v>0</v>
      </c>
      <c r="N29" s="42" t="e">
        <v>#N/A</v>
      </c>
      <c r="O29" s="44">
        <v>1</v>
      </c>
      <c r="P29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29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29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29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29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29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29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29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29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29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29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29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29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29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29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29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29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29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29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29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29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29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29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29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29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29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29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29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29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29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29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29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29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29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29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29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29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29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29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29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29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29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29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29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29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29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29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29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29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29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29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29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29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29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29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29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29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29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29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29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29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29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29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29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29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29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29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29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29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29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29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29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29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29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29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29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29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29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29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29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29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29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29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29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29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29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29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29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29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29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29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29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29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29" s="58"/>
    </row>
    <row r="30" ht="16.8" customHeight="1" spans="1:109">
      <c r="A30" s="38">
        <v>74</v>
      </c>
      <c r="B30" s="39" t="s">
        <v>19</v>
      </c>
      <c r="C30" s="40" t="s">
        <v>20</v>
      </c>
      <c r="D30" s="38" t="s">
        <v>73</v>
      </c>
      <c r="E30" s="41" t="s">
        <v>74</v>
      </c>
      <c r="F30" s="42" t="str">
        <f>IFERROR(VLOOKUP(D77,'[1]#REF'!D:F,3,FALSE),"0")</f>
        <v>0</v>
      </c>
      <c r="G30" s="38">
        <v>0</v>
      </c>
      <c r="H30" s="43">
        <f>SUMIF(合格品入库记录!E:E,日报!D77,合格品入库记录!G:G)</f>
        <v>0</v>
      </c>
      <c r="I30" s="43">
        <f>SUMIF(合格品出库记录!E:E,日报!D77,合格品出库记录!G:G)</f>
        <v>0</v>
      </c>
      <c r="J30" s="43">
        <f>SUMIF(领跑良品退回!E:E,D77,领跑良品退回!G:G)</f>
        <v>0</v>
      </c>
      <c r="K30" s="43">
        <f t="shared" si="0"/>
        <v>0</v>
      </c>
      <c r="L30" s="43">
        <f>SUMIF(不良品库存!D:D,D:D,不良品库存!F:F)</f>
        <v>0</v>
      </c>
      <c r="M30" s="52">
        <f t="shared" si="1"/>
        <v>0</v>
      </c>
      <c r="N30" s="42" t="e">
        <v>#N/A</v>
      </c>
      <c r="O30" s="39">
        <v>1</v>
      </c>
      <c r="P30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0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0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0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0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0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0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0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0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0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0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0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0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0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0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0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0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0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0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0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0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0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0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0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0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0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0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0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0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0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0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0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0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0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0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0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0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0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0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0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0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0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0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0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0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0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0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0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0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0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0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0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0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0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0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0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0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0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0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0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0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0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0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0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0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0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0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0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0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0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0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0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0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0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0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0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0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0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0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0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0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0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0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0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0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0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0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0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0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0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0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0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0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0" s="58"/>
    </row>
    <row r="31" ht="16.8" customHeight="1" spans="1:109">
      <c r="A31" s="38">
        <v>75</v>
      </c>
      <c r="B31" s="44" t="s">
        <v>19</v>
      </c>
      <c r="C31" s="45" t="s">
        <v>20</v>
      </c>
      <c r="D31" s="42" t="s">
        <v>75</v>
      </c>
      <c r="E31" s="46" t="s">
        <v>76</v>
      </c>
      <c r="F31" s="42" t="str">
        <f>IFERROR(VLOOKUP(D78,'[1]#REF'!D:F,3,FALSE),"0")</f>
        <v>0</v>
      </c>
      <c r="G31" s="38">
        <v>0</v>
      </c>
      <c r="H31" s="43">
        <f>SUMIF(合格品入库记录!E:E,日报!D78,合格品入库记录!G:G)</f>
        <v>0</v>
      </c>
      <c r="I31" s="43">
        <f>SUMIF(合格品出库记录!E:E,日报!D78,合格品出库记录!G:G)</f>
        <v>0</v>
      </c>
      <c r="J31" s="43">
        <f>SUMIF(领跑良品退回!E:E,D78,领跑良品退回!G:G)</f>
        <v>0</v>
      </c>
      <c r="K31" s="43">
        <f t="shared" si="0"/>
        <v>0</v>
      </c>
      <c r="L31" s="43">
        <f>SUMIF(不良品库存!D:D,D:D,不良品库存!F:F)</f>
        <v>0</v>
      </c>
      <c r="M31" s="52">
        <f t="shared" si="1"/>
        <v>0</v>
      </c>
      <c r="N31" s="42" t="e">
        <v>#N/A</v>
      </c>
      <c r="O31" s="44">
        <v>1</v>
      </c>
      <c r="P31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1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1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1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1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1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1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1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1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1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1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1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1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1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1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1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1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1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1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1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1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1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1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1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1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1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1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1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1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1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1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1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1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1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1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1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1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1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1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1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1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1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1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1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1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1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1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1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1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1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1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1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1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1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1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1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1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1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1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1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1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1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1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1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1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1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1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1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1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1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1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1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1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1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1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1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1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1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1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1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1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1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1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1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1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1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1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1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1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1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1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1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1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1" s="58"/>
    </row>
    <row r="32" ht="16.8" customHeight="1" spans="1:109">
      <c r="A32" s="38">
        <v>76</v>
      </c>
      <c r="B32" s="39" t="s">
        <v>19</v>
      </c>
      <c r="C32" s="40" t="s">
        <v>20</v>
      </c>
      <c r="D32" s="38" t="s">
        <v>77</v>
      </c>
      <c r="E32" s="41" t="s">
        <v>78</v>
      </c>
      <c r="F32" s="42" t="str">
        <f>IFERROR(VLOOKUP(D79,'[1]#REF'!D:F,3,FALSE),"0")</f>
        <v>0</v>
      </c>
      <c r="G32" s="38">
        <v>0</v>
      </c>
      <c r="H32" s="43">
        <f>SUMIF(合格品入库记录!E:E,日报!D79,合格品入库记录!G:G)</f>
        <v>0</v>
      </c>
      <c r="I32" s="43">
        <f>SUMIF(合格品出库记录!E:E,日报!D79,合格品出库记录!G:G)</f>
        <v>0</v>
      </c>
      <c r="J32" s="43">
        <f>SUMIF(领跑良品退回!E:E,D79,领跑良品退回!G:G)</f>
        <v>0</v>
      </c>
      <c r="K32" s="43">
        <f t="shared" si="0"/>
        <v>0</v>
      </c>
      <c r="L32" s="43">
        <f>SUMIF(不良品库存!D:D,D:D,不良品库存!F:F)</f>
        <v>0</v>
      </c>
      <c r="M32" s="52">
        <f t="shared" si="1"/>
        <v>0</v>
      </c>
      <c r="N32" s="42" t="e">
        <v>#N/A</v>
      </c>
      <c r="O32" s="39">
        <v>1</v>
      </c>
      <c r="P32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2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2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2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2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2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2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2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2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2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2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2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2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2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2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2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2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2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2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2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2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2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2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2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2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2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2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2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2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2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2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2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2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2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2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2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2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2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2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2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2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2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2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2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2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2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2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2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2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2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2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2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2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2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2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2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2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2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2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2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2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2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2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2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2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2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2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2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2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2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2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2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2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2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2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2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2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2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2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2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2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2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2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2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2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2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2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2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2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2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2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2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2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2" s="58"/>
    </row>
    <row r="33" ht="16.8" customHeight="1" spans="1:109">
      <c r="A33" s="38">
        <v>77</v>
      </c>
      <c r="B33" s="44" t="s">
        <v>19</v>
      </c>
      <c r="C33" s="45" t="s">
        <v>20</v>
      </c>
      <c r="D33" s="42" t="s">
        <v>79</v>
      </c>
      <c r="E33" s="46" t="s">
        <v>80</v>
      </c>
      <c r="F33" s="42" t="str">
        <f>IFERROR(VLOOKUP(D80,'[1]#REF'!D:F,3,FALSE),"0")</f>
        <v>0</v>
      </c>
      <c r="G33" s="38">
        <v>30</v>
      </c>
      <c r="H33" s="43">
        <f>SUMIF(合格品入库记录!E:E,日报!D80,合格品入库记录!G:G)</f>
        <v>0</v>
      </c>
      <c r="I33" s="43">
        <f>SUMIF(合格品出库记录!E:E,日报!D80,合格品出库记录!G:G)</f>
        <v>0</v>
      </c>
      <c r="J33" s="43">
        <f>SUMIF(领跑良品退回!E:E,D80,领跑良品退回!G:G)</f>
        <v>0</v>
      </c>
      <c r="K33" s="43">
        <f t="shared" si="0"/>
        <v>0</v>
      </c>
      <c r="L33" s="43">
        <f>SUMIF(不良品库存!D:D,D:D,不良品库存!F:F)</f>
        <v>0</v>
      </c>
      <c r="M33" s="52">
        <f t="shared" si="1"/>
        <v>0</v>
      </c>
      <c r="N33" s="42">
        <v>0</v>
      </c>
      <c r="O33" s="44">
        <v>1</v>
      </c>
      <c r="P33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3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3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3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3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3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3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3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3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3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3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3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3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3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3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3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3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3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3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3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3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3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3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3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3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3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3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3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3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3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3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3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3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3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3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3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3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3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3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3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3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3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3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3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3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3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3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3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3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3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3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3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3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3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3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3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3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3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3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3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3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3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3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3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3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3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3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3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3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3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3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3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3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3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3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3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3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3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3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3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3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3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3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3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3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3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3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3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3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3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3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3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3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3" s="58"/>
    </row>
    <row r="34" ht="16.8" customHeight="1" spans="1:109">
      <c r="A34" s="38">
        <v>78</v>
      </c>
      <c r="B34" s="39" t="s">
        <v>19</v>
      </c>
      <c r="C34" s="40" t="s">
        <v>20</v>
      </c>
      <c r="D34" s="38" t="s">
        <v>81</v>
      </c>
      <c r="E34" s="41" t="s">
        <v>82</v>
      </c>
      <c r="F34" s="42" t="str">
        <f>IFERROR(VLOOKUP(D81,'[1]#REF'!D:F,3,FALSE),"0")</f>
        <v>0</v>
      </c>
      <c r="G34" s="38">
        <v>93</v>
      </c>
      <c r="H34" s="43">
        <f>SUMIF(合格品入库记录!E:E,日报!D81,合格品入库记录!G:G)</f>
        <v>0</v>
      </c>
      <c r="I34" s="43">
        <f>SUMIF(合格品出库记录!E:E,日报!D81,合格品出库记录!G:G)</f>
        <v>0</v>
      </c>
      <c r="J34" s="43">
        <f>SUMIF(领跑良品退回!E:E,D81,领跑良品退回!G:G)</f>
        <v>0</v>
      </c>
      <c r="K34" s="43">
        <f t="shared" si="0"/>
        <v>0</v>
      </c>
      <c r="L34" s="43">
        <f>SUMIF(不良品库存!D:D,D:D,不良品库存!F:F)</f>
        <v>0</v>
      </c>
      <c r="M34" s="52">
        <f t="shared" si="1"/>
        <v>0</v>
      </c>
      <c r="N34" s="42">
        <v>0</v>
      </c>
      <c r="O34" s="39">
        <v>1</v>
      </c>
      <c r="P34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4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4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4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4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4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4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4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4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4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4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4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4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4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4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4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4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4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4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4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4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4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4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4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4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4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4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4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4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4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4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4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4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4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4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4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4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4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4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4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4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4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4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4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4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4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4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4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4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4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4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4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4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4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4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4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4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4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4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4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4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4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4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4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4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4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4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4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4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4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4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4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4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4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4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4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4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4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4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4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4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4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4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4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4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4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4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4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4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4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4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4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4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4" s="58"/>
    </row>
    <row r="35" ht="16.8" customHeight="1" spans="1:109">
      <c r="A35" s="38">
        <v>79</v>
      </c>
      <c r="B35" s="44" t="s">
        <v>19</v>
      </c>
      <c r="C35" s="45" t="s">
        <v>20</v>
      </c>
      <c r="D35" s="42" t="s">
        <v>83</v>
      </c>
      <c r="E35" s="46" t="s">
        <v>84</v>
      </c>
      <c r="F35" s="42" t="str">
        <f>IFERROR(VLOOKUP(D82,'[1]#REF'!D:F,3,FALSE),"0")</f>
        <v>0</v>
      </c>
      <c r="G35" s="38">
        <v>0</v>
      </c>
      <c r="H35" s="43">
        <f>SUMIF(合格品入库记录!E:E,日报!D82,合格品入库记录!G:G)</f>
        <v>0</v>
      </c>
      <c r="I35" s="43">
        <f>SUMIF(合格品出库记录!E:E,日报!D82,合格品出库记录!G:G)</f>
        <v>0</v>
      </c>
      <c r="J35" s="43">
        <f>SUMIF(领跑良品退回!E:E,D82,领跑良品退回!G:G)</f>
        <v>0</v>
      </c>
      <c r="K35" s="43">
        <f t="shared" si="0"/>
        <v>0</v>
      </c>
      <c r="L35" s="43">
        <f>SUMIF(不良品库存!D:D,D:D,不良品库存!F:F)</f>
        <v>0</v>
      </c>
      <c r="M35" s="52">
        <f t="shared" si="1"/>
        <v>0</v>
      </c>
      <c r="N35" s="42" t="e">
        <v>#N/A</v>
      </c>
      <c r="O35" s="44">
        <v>1</v>
      </c>
      <c r="P35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5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5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5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5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5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5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5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5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5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5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5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5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5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5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5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5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5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5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5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5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5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5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5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5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5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5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5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5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5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5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5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5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5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5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5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5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5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5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5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5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5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5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5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5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5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5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5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5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5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5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5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5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5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5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5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5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5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5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5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5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5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5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5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5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5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5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5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5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5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5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5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5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5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5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5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5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5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5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5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5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5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5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5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5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5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5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5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5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5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5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5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5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5" s="58"/>
    </row>
    <row r="36" ht="16.8" customHeight="1" spans="1:109">
      <c r="A36" s="38">
        <v>80</v>
      </c>
      <c r="B36" s="39" t="s">
        <v>19</v>
      </c>
      <c r="C36" s="40" t="s">
        <v>20</v>
      </c>
      <c r="D36" s="38" t="s">
        <v>85</v>
      </c>
      <c r="E36" s="41" t="s">
        <v>86</v>
      </c>
      <c r="F36" s="42" t="str">
        <f>IFERROR(VLOOKUP(D83,'[1]#REF'!D:F,3,FALSE),"0")</f>
        <v>0</v>
      </c>
      <c r="G36" s="38">
        <v>0</v>
      </c>
      <c r="H36" s="43">
        <f>SUMIF(合格品入库记录!E:E,日报!D83,合格品入库记录!G:G)</f>
        <v>0</v>
      </c>
      <c r="I36" s="43">
        <f>SUMIF(合格品出库记录!E:E,日报!D83,合格品出库记录!G:G)</f>
        <v>0</v>
      </c>
      <c r="J36" s="43">
        <f>SUMIF(领跑良品退回!E:E,D83,领跑良品退回!G:G)</f>
        <v>0</v>
      </c>
      <c r="K36" s="43">
        <f t="shared" si="0"/>
        <v>0</v>
      </c>
      <c r="L36" s="43">
        <f>SUMIF(不良品库存!D:D,D:D,不良品库存!F:F)</f>
        <v>0</v>
      </c>
      <c r="M36" s="52">
        <f t="shared" si="1"/>
        <v>0</v>
      </c>
      <c r="N36" s="42">
        <v>0</v>
      </c>
      <c r="O36" s="39">
        <v>1</v>
      </c>
      <c r="P36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6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6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6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6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6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6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6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6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6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6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6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6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6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6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6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6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6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6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6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6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6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6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6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6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6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6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6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6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6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6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6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6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6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6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6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6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6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6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6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6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6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6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6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6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6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6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6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6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6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6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6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6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6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6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6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6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6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6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6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6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6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6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6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6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6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6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6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6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6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6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6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6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6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6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6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6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6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6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6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6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6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6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6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6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6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6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6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6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6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6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6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6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6" s="58"/>
    </row>
    <row r="37" ht="16.8" customHeight="1" spans="1:109">
      <c r="A37" s="38">
        <v>81</v>
      </c>
      <c r="B37" s="44" t="s">
        <v>19</v>
      </c>
      <c r="C37" s="45" t="s">
        <v>20</v>
      </c>
      <c r="D37" s="42" t="s">
        <v>87</v>
      </c>
      <c r="E37" s="46" t="s">
        <v>88</v>
      </c>
      <c r="F37" s="42" t="str">
        <f>IFERROR(VLOOKUP(D84,'[1]#REF'!D:F,3,FALSE),"0")</f>
        <v>0</v>
      </c>
      <c r="G37" s="38">
        <v>35</v>
      </c>
      <c r="H37" s="43">
        <f>SUMIF(合格品入库记录!E:E,日报!D84,合格品入库记录!G:G)</f>
        <v>0</v>
      </c>
      <c r="I37" s="43">
        <f>SUMIF(合格品出库记录!E:E,日报!D84,合格品出库记录!G:G)</f>
        <v>0</v>
      </c>
      <c r="J37" s="43">
        <f>SUMIF(领跑良品退回!E:E,D84,领跑良品退回!G:G)</f>
        <v>0</v>
      </c>
      <c r="K37" s="43">
        <f t="shared" si="0"/>
        <v>0</v>
      </c>
      <c r="L37" s="43">
        <f>SUMIF(不良品库存!D:D,D:D,不良品库存!F:F)</f>
        <v>0</v>
      </c>
      <c r="M37" s="52">
        <f t="shared" si="1"/>
        <v>0</v>
      </c>
      <c r="N37" s="42">
        <v>0</v>
      </c>
      <c r="O37" s="44">
        <v>1</v>
      </c>
      <c r="P37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7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7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7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7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7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7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7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7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7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7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7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7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7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7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7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7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7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7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7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7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7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7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7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7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7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7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7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7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7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7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7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7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7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7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7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7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7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7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7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7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7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7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7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7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7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7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7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7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7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7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7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7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7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7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7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7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7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7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7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7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7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7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7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7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7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7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7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7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7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7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7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7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7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7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7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7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7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7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7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7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7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7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7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7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7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7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7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7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7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7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7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7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7" s="58"/>
    </row>
    <row r="38" ht="16.8" customHeight="1" spans="1:109">
      <c r="A38" s="38">
        <v>82</v>
      </c>
      <c r="B38" s="39" t="s">
        <v>19</v>
      </c>
      <c r="C38" s="40" t="s">
        <v>20</v>
      </c>
      <c r="D38" s="38" t="s">
        <v>89</v>
      </c>
      <c r="E38" s="41" t="s">
        <v>90</v>
      </c>
      <c r="F38" s="42" t="str">
        <f>IFERROR(VLOOKUP(D85,'[1]#REF'!D:F,3,FALSE),"0")</f>
        <v>0</v>
      </c>
      <c r="G38" s="38">
        <v>0</v>
      </c>
      <c r="H38" s="43">
        <f>SUMIF(合格品入库记录!E:E,日报!D85,合格品入库记录!G:G)</f>
        <v>0</v>
      </c>
      <c r="I38" s="43">
        <f>SUMIF(合格品出库记录!E:E,日报!D85,合格品出库记录!G:G)</f>
        <v>0</v>
      </c>
      <c r="J38" s="43">
        <f>SUMIF(领跑良品退回!E:E,D85,领跑良品退回!G:G)</f>
        <v>0</v>
      </c>
      <c r="K38" s="43">
        <f t="shared" si="0"/>
        <v>0</v>
      </c>
      <c r="L38" s="43">
        <f>SUMIF(不良品库存!D:D,D:D,不良品库存!F:F)</f>
        <v>0</v>
      </c>
      <c r="M38" s="52">
        <f t="shared" si="1"/>
        <v>0</v>
      </c>
      <c r="N38" s="42">
        <v>0</v>
      </c>
      <c r="O38" s="39">
        <v>1</v>
      </c>
      <c r="P38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8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8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8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8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8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8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8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8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8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8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8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8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8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8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8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8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8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8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8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8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8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8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8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8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8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8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8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8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8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8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8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8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8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8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8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8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8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8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8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8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8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8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8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8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8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8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8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8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8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8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8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8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8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8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8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8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8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8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8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8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8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8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8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8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8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8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8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8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8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8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8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8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8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8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8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8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8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8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8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8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8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8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8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8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8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8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8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8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8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8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8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8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8" s="58"/>
    </row>
    <row r="39" ht="16.8" customHeight="1" spans="1:109">
      <c r="A39" s="38">
        <v>83</v>
      </c>
      <c r="B39" s="44" t="s">
        <v>19</v>
      </c>
      <c r="C39" s="45" t="s">
        <v>20</v>
      </c>
      <c r="D39" s="42" t="s">
        <v>91</v>
      </c>
      <c r="E39" s="46" t="s">
        <v>92</v>
      </c>
      <c r="F39" s="42" t="str">
        <f>IFERROR(VLOOKUP(D86,'[1]#REF'!D:F,3,FALSE),"0")</f>
        <v>0</v>
      </c>
      <c r="G39" s="38">
        <v>25</v>
      </c>
      <c r="H39" s="43">
        <f>SUMIF(合格品入库记录!E:E,日报!D86,合格品入库记录!G:G)</f>
        <v>0</v>
      </c>
      <c r="I39" s="43">
        <f>SUMIF(合格品出库记录!E:E,日报!D86,合格品出库记录!G:G)</f>
        <v>0</v>
      </c>
      <c r="J39" s="43">
        <f>SUMIF(领跑良品退回!E:E,D86,领跑良品退回!G:G)</f>
        <v>0</v>
      </c>
      <c r="K39" s="43">
        <f t="shared" si="0"/>
        <v>0</v>
      </c>
      <c r="L39" s="43">
        <f>SUMIF(不良品库存!D:D,D:D,不良品库存!F:F)</f>
        <v>0</v>
      </c>
      <c r="M39" s="52">
        <f t="shared" si="1"/>
        <v>0</v>
      </c>
      <c r="N39" s="42">
        <v>0</v>
      </c>
      <c r="O39" s="44">
        <v>1</v>
      </c>
      <c r="P39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39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39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39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39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39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39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39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39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39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39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39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39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39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39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39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39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39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39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39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39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39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39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39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39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39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39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39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39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39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39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39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39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39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39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39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39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39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39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39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39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39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39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39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39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39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39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39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39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39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39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39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39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39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39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39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39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39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39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39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39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39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39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39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39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39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39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39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39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39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39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39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39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39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39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39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39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39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39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39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39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39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39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39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39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39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39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39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39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39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39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39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39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39" s="58"/>
    </row>
    <row r="40" ht="16.8" customHeight="1" spans="1:109">
      <c r="A40" s="38">
        <v>84</v>
      </c>
      <c r="B40" s="39" t="s">
        <v>19</v>
      </c>
      <c r="C40" s="40" t="s">
        <v>20</v>
      </c>
      <c r="D40" s="38" t="s">
        <v>93</v>
      </c>
      <c r="E40" s="41" t="s">
        <v>94</v>
      </c>
      <c r="F40" s="42" t="str">
        <f>IFERROR(VLOOKUP(D87,'[1]#REF'!D:F,3,FALSE),"0")</f>
        <v>0</v>
      </c>
      <c r="G40" s="38">
        <v>0</v>
      </c>
      <c r="H40" s="43">
        <f>SUMIF(合格品入库记录!E:E,日报!D87,合格品入库记录!G:G)</f>
        <v>0</v>
      </c>
      <c r="I40" s="43">
        <f>SUMIF(合格品出库记录!E:E,日报!D87,合格品出库记录!G:G)</f>
        <v>0</v>
      </c>
      <c r="J40" s="43">
        <f>SUMIF(领跑良品退回!E:E,D87,领跑良品退回!G:G)</f>
        <v>0</v>
      </c>
      <c r="K40" s="43">
        <f t="shared" si="0"/>
        <v>0</v>
      </c>
      <c r="L40" s="43">
        <f>SUMIF(不良品库存!D:D,D:D,不良品库存!F:F)</f>
        <v>0</v>
      </c>
      <c r="M40" s="52">
        <f t="shared" si="1"/>
        <v>0</v>
      </c>
      <c r="N40" s="42" t="e">
        <v>#N/A</v>
      </c>
      <c r="O40" s="39">
        <v>1</v>
      </c>
      <c r="P40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0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0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0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0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0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0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0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0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0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0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0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0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0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0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0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0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0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0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0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0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0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0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0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0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0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0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0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0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0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0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0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0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0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0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0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0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0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0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0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0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0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0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0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0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0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0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0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0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0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0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0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0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0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0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0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0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0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0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0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0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0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0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0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0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0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0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0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0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0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0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0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0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0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0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0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0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0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0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0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0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0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0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0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0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0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0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0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0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0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0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0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0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0" s="58"/>
    </row>
    <row r="41" ht="16.8" customHeight="1" spans="1:109">
      <c r="A41" s="38">
        <v>85</v>
      </c>
      <c r="B41" s="44" t="s">
        <v>19</v>
      </c>
      <c r="C41" s="45" t="s">
        <v>20</v>
      </c>
      <c r="D41" s="42" t="s">
        <v>95</v>
      </c>
      <c r="E41" s="46" t="s">
        <v>96</v>
      </c>
      <c r="F41" s="42" t="str">
        <f>IFERROR(VLOOKUP(D88,'[1]#REF'!D:F,3,FALSE),"0")</f>
        <v>0</v>
      </c>
      <c r="G41" s="38">
        <v>0</v>
      </c>
      <c r="H41" s="43">
        <f>SUMIF(合格品入库记录!E:E,日报!D88,合格品入库记录!G:G)</f>
        <v>0</v>
      </c>
      <c r="I41" s="43">
        <f>SUMIF(合格品出库记录!E:E,日报!D88,合格品出库记录!G:G)</f>
        <v>0</v>
      </c>
      <c r="J41" s="43">
        <f>SUMIF(领跑良品退回!E:E,D88,领跑良品退回!G:G)</f>
        <v>0</v>
      </c>
      <c r="K41" s="43">
        <f t="shared" si="0"/>
        <v>0</v>
      </c>
      <c r="L41" s="43">
        <f>SUMIF(不良品库存!D:D,D:D,不良品库存!F:F)</f>
        <v>0</v>
      </c>
      <c r="M41" s="52">
        <f t="shared" si="1"/>
        <v>0</v>
      </c>
      <c r="N41" s="42" t="e">
        <v>#N/A</v>
      </c>
      <c r="O41" s="44">
        <v>1</v>
      </c>
      <c r="P41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1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1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1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1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1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1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1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1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1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1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1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1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1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1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1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1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1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1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1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1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1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1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1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1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1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1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1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1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1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1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1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1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1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1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1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1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1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1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1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1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1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1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1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1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1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1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1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1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1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1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1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1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1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1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1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1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1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1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1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1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1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1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1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1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1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1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1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1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1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1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1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1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1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1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1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1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1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1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1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1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1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1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1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1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1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1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1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1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1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1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1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1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1" s="58"/>
    </row>
    <row r="42" ht="16.8" customHeight="1" spans="1:109">
      <c r="A42" s="38">
        <v>86</v>
      </c>
      <c r="B42" s="39" t="s">
        <v>19</v>
      </c>
      <c r="C42" s="40" t="s">
        <v>20</v>
      </c>
      <c r="D42" s="38" t="s">
        <v>97</v>
      </c>
      <c r="E42" s="41" t="s">
        <v>98</v>
      </c>
      <c r="F42" s="42" t="str">
        <f>IFERROR(VLOOKUP(D89,'[1]#REF'!D:F,3,FALSE),"0")</f>
        <v>0</v>
      </c>
      <c r="G42" s="38">
        <v>0</v>
      </c>
      <c r="H42" s="43">
        <f>SUMIF(合格品入库记录!E:E,日报!D89,合格品入库记录!G:G)</f>
        <v>0</v>
      </c>
      <c r="I42" s="43">
        <f>SUMIF(合格品出库记录!E:E,日报!D89,合格品出库记录!G:G)</f>
        <v>0</v>
      </c>
      <c r="J42" s="43">
        <f>SUMIF(领跑良品退回!E:E,D89,领跑良品退回!G:G)</f>
        <v>0</v>
      </c>
      <c r="K42" s="43">
        <f t="shared" si="0"/>
        <v>0</v>
      </c>
      <c r="L42" s="43">
        <f>SUMIF(不良品库存!D:D,D:D,不良品库存!F:F)</f>
        <v>0</v>
      </c>
      <c r="M42" s="52">
        <f t="shared" si="1"/>
        <v>0</v>
      </c>
      <c r="N42" s="42" t="e">
        <v>#N/A</v>
      </c>
      <c r="O42" s="39"/>
      <c r="P42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2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2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2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2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2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2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2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2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2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2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2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2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2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2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2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2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2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2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2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2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2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2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2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2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2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2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2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2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2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2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2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2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2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2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2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2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2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2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2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2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2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2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2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2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2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2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2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2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2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2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2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2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2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2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2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2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2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2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2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2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2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2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2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2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2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2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2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2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2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2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2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2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2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2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2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2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2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2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2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2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2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2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2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2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2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2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2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2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2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2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2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2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2" s="58"/>
    </row>
    <row r="43" ht="16.8" customHeight="1" spans="1:109">
      <c r="A43" s="38">
        <v>87</v>
      </c>
      <c r="B43" s="44" t="s">
        <v>19</v>
      </c>
      <c r="C43" s="45" t="s">
        <v>20</v>
      </c>
      <c r="D43" s="42" t="s">
        <v>99</v>
      </c>
      <c r="E43" s="46" t="s">
        <v>100</v>
      </c>
      <c r="F43" s="42" t="str">
        <f>IFERROR(VLOOKUP(D90,'[1]#REF'!D:F,3,FALSE),"0")</f>
        <v>0</v>
      </c>
      <c r="G43" s="38">
        <v>90</v>
      </c>
      <c r="H43" s="43">
        <f>SUMIF(合格品入库记录!E:E,日报!D90,合格品入库记录!G:G)</f>
        <v>0</v>
      </c>
      <c r="I43" s="43">
        <f>SUMIF(合格品出库记录!E:E,日报!D90,合格品出库记录!G:G)</f>
        <v>0</v>
      </c>
      <c r="J43" s="43">
        <f>SUMIF(领跑良品退回!E:E,D90,领跑良品退回!G:G)</f>
        <v>0</v>
      </c>
      <c r="K43" s="43">
        <f t="shared" si="0"/>
        <v>0</v>
      </c>
      <c r="L43" s="43">
        <f>SUMIF(不良品库存!D:D,D:D,不良品库存!F:F)</f>
        <v>0</v>
      </c>
      <c r="M43" s="52">
        <f t="shared" si="1"/>
        <v>0</v>
      </c>
      <c r="N43" s="42">
        <v>1728</v>
      </c>
      <c r="O43" s="44"/>
      <c r="P43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3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3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3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3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3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3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3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3" s="42">
        <f>IF(SUMIFS(合格品入库记录!$G:$G,合格品入库记录!$E:$E,日报!$D:$D,合格品入库记录!$A:$A,日报!X$3)&lt;&gt;0,SUMIFS(合格品入库记录!$G:$G,合格品入库记录!$E:$E,日报!$D:$D,合格品入库记录!$A:$A,日报!X$3),"")</f>
        <v>185</v>
      </c>
      <c r="Y43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3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3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3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3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3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3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3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3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3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3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3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3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3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3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3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3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3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3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3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3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3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3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3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3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3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3" s="42">
        <f>IF(SUMIFS(合格品出库记录!$G:$G,合格品出库记录!$E:$E,日报!$D:$D,合格品出库记录!$A:$A,日报!AY$3)&lt;&gt;0,SUMIFS(合格品出库记录!$G:$G,合格品出库记录!$E:$E,日报!$D:$D,合格品出库记录!$A:$A,日报!AY$3),"")</f>
        <v>90</v>
      </c>
      <c r="AZ43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3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3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3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3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3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3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3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3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3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3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3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3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3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3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3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3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3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3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3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3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3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3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3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3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3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3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3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3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3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3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3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3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3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3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3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3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3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3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3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3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3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3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3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3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3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3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3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3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3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3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3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3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3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3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3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3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3" s="58"/>
    </row>
    <row r="44" ht="16.8" customHeight="1" spans="1:109">
      <c r="A44" s="38">
        <v>88</v>
      </c>
      <c r="B44" s="39" t="s">
        <v>19</v>
      </c>
      <c r="C44" s="40" t="s">
        <v>20</v>
      </c>
      <c r="D44" s="38" t="s">
        <v>101</v>
      </c>
      <c r="E44" s="41" t="s">
        <v>102</v>
      </c>
      <c r="F44" s="42" t="str">
        <f>IFERROR(VLOOKUP(D91,'[1]#REF'!D:F,3,FALSE),"0")</f>
        <v>0</v>
      </c>
      <c r="G44" s="38">
        <v>0</v>
      </c>
      <c r="H44" s="43">
        <f>SUMIF(合格品入库记录!E:E,日报!D91,合格品入库记录!G:G)</f>
        <v>0</v>
      </c>
      <c r="I44" s="43">
        <f>SUMIF(合格品出库记录!E:E,日报!D91,合格品出库记录!G:G)</f>
        <v>0</v>
      </c>
      <c r="J44" s="43">
        <f>SUMIF(领跑良品退回!E:E,D91,领跑良品退回!G:G)</f>
        <v>0</v>
      </c>
      <c r="K44" s="43">
        <f t="shared" si="0"/>
        <v>0</v>
      </c>
      <c r="L44" s="43">
        <f>SUMIF(不良品库存!D:D,D:D,不良品库存!F:F)</f>
        <v>0</v>
      </c>
      <c r="M44" s="52">
        <f t="shared" si="1"/>
        <v>0</v>
      </c>
      <c r="N44" s="42">
        <v>288</v>
      </c>
      <c r="O44" s="39"/>
      <c r="P44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4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4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4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4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4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4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4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4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4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4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4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4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4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4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4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4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4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4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4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4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4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4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4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4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4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4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4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4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4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4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4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4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4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4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4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4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4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4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4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4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4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4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4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4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4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4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4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4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4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4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4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4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4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4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4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4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4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4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4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4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4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4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4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4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4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4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4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4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4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4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4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4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4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4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4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4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4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4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4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4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4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4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4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4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4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4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4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4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4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4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4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4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4" s="58"/>
    </row>
    <row r="45" ht="16.8" customHeight="1" spans="1:109">
      <c r="A45" s="38">
        <v>89</v>
      </c>
      <c r="B45" s="44" t="s">
        <v>19</v>
      </c>
      <c r="C45" s="45" t="s">
        <v>20</v>
      </c>
      <c r="D45" s="42" t="s">
        <v>103</v>
      </c>
      <c r="E45" s="46" t="s">
        <v>104</v>
      </c>
      <c r="F45" s="42" t="str">
        <f>IFERROR(VLOOKUP(D92,'[1]#REF'!D:F,3,FALSE),"0")</f>
        <v>0</v>
      </c>
      <c r="G45" s="38">
        <v>5</v>
      </c>
      <c r="H45" s="43">
        <f>SUMIF(合格品入库记录!E:E,日报!D92,合格品入库记录!G:G)</f>
        <v>0</v>
      </c>
      <c r="I45" s="43">
        <f>SUMIF(合格品出库记录!E:E,日报!D92,合格品出库记录!G:G)</f>
        <v>0</v>
      </c>
      <c r="J45" s="43">
        <f>SUMIF(领跑良品退回!E:E,D92,领跑良品退回!G:G)</f>
        <v>0</v>
      </c>
      <c r="K45" s="43">
        <f t="shared" si="0"/>
        <v>0</v>
      </c>
      <c r="L45" s="43">
        <f>SUMIF(不良品库存!D:D,D:D,不良品库存!F:F)</f>
        <v>0</v>
      </c>
      <c r="M45" s="52">
        <f t="shared" si="1"/>
        <v>0</v>
      </c>
      <c r="N45" s="42">
        <v>360</v>
      </c>
      <c r="O45" s="44"/>
      <c r="P45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5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5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5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5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5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5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5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5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5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5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5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5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5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5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5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5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5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5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5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5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5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5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5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5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5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5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5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5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5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5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5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5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5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5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5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5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5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5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5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5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5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5" s="42">
        <f>IF(SUMIFS(合格品出库记录!$G:$G,合格品出库记录!$E:$E,日报!$D:$D,合格品出库记录!$A:$A,日报!BF$3)&lt;&gt;0,SUMIFS(合格品出库记录!$G:$G,合格品出库记录!$E:$E,日报!$D:$D,合格品出库记录!$A:$A,日报!BF$3),"")</f>
        <v>1</v>
      </c>
      <c r="BG45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5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5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5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5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5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5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5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5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5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5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5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5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5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5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5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5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5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5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5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5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5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5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5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5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5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5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5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5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5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5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5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5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5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5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5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5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5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5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5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5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5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5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5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5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5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5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5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5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5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5" s="58"/>
    </row>
    <row r="46" ht="16.8" customHeight="1" spans="1:109">
      <c r="A46" s="38">
        <v>90</v>
      </c>
      <c r="B46" s="39" t="s">
        <v>19</v>
      </c>
      <c r="C46" s="40" t="s">
        <v>20</v>
      </c>
      <c r="D46" s="38" t="s">
        <v>105</v>
      </c>
      <c r="E46" s="41" t="s">
        <v>106</v>
      </c>
      <c r="F46" s="42" t="str">
        <f>IFERROR(VLOOKUP(D93,'[1]#REF'!D:F,3,FALSE),"0")</f>
        <v>0</v>
      </c>
      <c r="G46" s="38">
        <v>0</v>
      </c>
      <c r="H46" s="43">
        <f>SUMIF(合格品入库记录!E:E,日报!D93,合格品入库记录!G:G)</f>
        <v>0</v>
      </c>
      <c r="I46" s="43">
        <f>SUMIF(合格品出库记录!E:E,日报!D93,合格品出库记录!G:G)</f>
        <v>0</v>
      </c>
      <c r="J46" s="43">
        <f>SUMIF(领跑良品退回!E:E,D93,领跑良品退回!G:G)</f>
        <v>0</v>
      </c>
      <c r="K46" s="43">
        <f t="shared" si="0"/>
        <v>0</v>
      </c>
      <c r="L46" s="43">
        <f>SUMIF(不良品库存!D:D,D:D,不良品库存!F:F)</f>
        <v>0</v>
      </c>
      <c r="M46" s="52">
        <f t="shared" si="1"/>
        <v>0</v>
      </c>
      <c r="N46" s="42">
        <v>480</v>
      </c>
      <c r="O46" s="39"/>
      <c r="P46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6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6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6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6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6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6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6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6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6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6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6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6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6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6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6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6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6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6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6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6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6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6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6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6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6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6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6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6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6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6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6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6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6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6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6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6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6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6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6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6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6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6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6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6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6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6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6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6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6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6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6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6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6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6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6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6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6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6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6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6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6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6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6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6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6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6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6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6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6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6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6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6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6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6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6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6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6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6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6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6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6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6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6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6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6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6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6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6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6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6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6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6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6" s="58"/>
    </row>
    <row r="47" ht="16.8" customHeight="1" spans="1:109">
      <c r="A47" s="38">
        <v>91</v>
      </c>
      <c r="B47" s="44" t="s">
        <v>19</v>
      </c>
      <c r="C47" s="45" t="s">
        <v>20</v>
      </c>
      <c r="D47" s="42" t="s">
        <v>107</v>
      </c>
      <c r="E47" s="46" t="s">
        <v>108</v>
      </c>
      <c r="F47" s="42" t="str">
        <f>IFERROR(VLOOKUP(D94,'[1]#REF'!D:F,3,FALSE),"0")</f>
        <v>0</v>
      </c>
      <c r="G47" s="38">
        <v>3</v>
      </c>
      <c r="H47" s="43">
        <f>SUMIF(合格品入库记录!E:E,日报!D94,合格品入库记录!G:G)</f>
        <v>0</v>
      </c>
      <c r="I47" s="43">
        <f>SUMIF(合格品出库记录!E:E,日报!D94,合格品出库记录!G:G)</f>
        <v>0</v>
      </c>
      <c r="J47" s="43">
        <f>SUMIF(领跑良品退回!E:E,D94,领跑良品退回!G:G)</f>
        <v>0</v>
      </c>
      <c r="K47" s="43">
        <f t="shared" si="0"/>
        <v>0</v>
      </c>
      <c r="L47" s="43">
        <f>SUMIF(不良品库存!D:D,D:D,不良品库存!F:F)</f>
        <v>0</v>
      </c>
      <c r="M47" s="52">
        <f t="shared" si="1"/>
        <v>0</v>
      </c>
      <c r="N47" s="42" t="e">
        <v>#N/A</v>
      </c>
      <c r="O47" s="44"/>
      <c r="P47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7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7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7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7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7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7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7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7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7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7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7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7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7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7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7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7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7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7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7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7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7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7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7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7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7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7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7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7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7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7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7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7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7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7" s="42">
        <f>IF(SUMIFS(合格品出库记录!$G:$G,合格品出库记录!$E:$E,日报!$D:$D,合格品出库记录!$A:$A,日报!AX$3)&lt;&gt;0,SUMIFS(合格品出库记录!$G:$G,合格品出库记录!$E:$E,日报!$D:$D,合格品出库记录!$A:$A,日报!AX$3),"")</f>
        <v>1</v>
      </c>
      <c r="AY47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7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7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7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7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7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7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7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7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7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7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7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7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7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7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7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7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7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7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7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7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7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7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7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7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7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7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7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7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7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7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7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7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7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7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7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7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7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7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7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7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7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7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7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7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7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7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7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7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7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7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7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7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7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7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7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7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7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7" s="58"/>
    </row>
    <row r="48" ht="16.8" customHeight="1" spans="1:109">
      <c r="A48" s="38">
        <v>92</v>
      </c>
      <c r="B48" s="39" t="s">
        <v>19</v>
      </c>
      <c r="C48" s="40" t="s">
        <v>20</v>
      </c>
      <c r="D48" s="38" t="s">
        <v>109</v>
      </c>
      <c r="E48" s="41" t="s">
        <v>110</v>
      </c>
      <c r="F48" s="42" t="str">
        <f>IFERROR(VLOOKUP(D95,'[1]#REF'!D:F,3,FALSE),"0")</f>
        <v>0</v>
      </c>
      <c r="G48" s="38">
        <v>14</v>
      </c>
      <c r="H48" s="43">
        <f>SUMIF(合格品入库记录!E:E,日报!D95,合格品入库记录!G:G)</f>
        <v>0</v>
      </c>
      <c r="I48" s="43">
        <f>SUMIF(合格品出库记录!E:E,日报!D95,合格品出库记录!G:G)</f>
        <v>0</v>
      </c>
      <c r="J48" s="43">
        <f>SUMIF(领跑良品退回!E:E,D95,领跑良品退回!G:G)</f>
        <v>0</v>
      </c>
      <c r="K48" s="43">
        <f t="shared" si="0"/>
        <v>0</v>
      </c>
      <c r="L48" s="43">
        <f>SUMIF(不良品库存!D:D,D:D,不良品库存!F:F)</f>
        <v>0</v>
      </c>
      <c r="M48" s="52">
        <f t="shared" si="1"/>
        <v>0</v>
      </c>
      <c r="N48" s="42">
        <v>132</v>
      </c>
      <c r="O48" s="39"/>
      <c r="P48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8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8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8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8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8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8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8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8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8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8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8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8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8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8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8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8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8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8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8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8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8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8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8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8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8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8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8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8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8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8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8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8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8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8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8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8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8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8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8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8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8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8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8" s="38">
        <f>IF(SUMIFS(合格品出库记录!$G:$G,合格品出库记录!$E:$E,日报!$D:$D,合格品出库记录!$A:$A,日报!BG$3)&lt;&gt;0,SUMIFS(合格品出库记录!$G:$G,合格品出库记录!$E:$E,日报!$D:$D,合格品出库记录!$A:$A,日报!BG$3),"")</f>
        <v>1</v>
      </c>
      <c r="BH48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8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8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8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8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8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8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8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8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8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8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8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8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8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8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8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8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8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8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8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8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8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8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8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8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8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8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8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8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8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8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8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8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8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8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8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8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8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8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8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8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8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8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8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8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8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8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8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8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8" s="58"/>
    </row>
    <row r="49" ht="16.8" customHeight="1" spans="1:109">
      <c r="A49" s="38">
        <v>93</v>
      </c>
      <c r="B49" s="44" t="s">
        <v>19</v>
      </c>
      <c r="C49" s="45" t="s">
        <v>20</v>
      </c>
      <c r="D49" s="42" t="s">
        <v>111</v>
      </c>
      <c r="E49" s="46" t="s">
        <v>112</v>
      </c>
      <c r="F49" s="42" t="str">
        <f>IFERROR(VLOOKUP(D96,'[1]#REF'!D:F,3,FALSE),"0")</f>
        <v>0</v>
      </c>
      <c r="G49" s="38">
        <v>0</v>
      </c>
      <c r="H49" s="43">
        <f>SUMIF(合格品入库记录!E:E,日报!D96,合格品入库记录!G:G)</f>
        <v>0</v>
      </c>
      <c r="I49" s="43">
        <f>SUMIF(合格品出库记录!E:E,日报!D96,合格品出库记录!G:G)</f>
        <v>0</v>
      </c>
      <c r="J49" s="43">
        <f>SUMIF(领跑良品退回!E:E,D96,领跑良品退回!G:G)</f>
        <v>0</v>
      </c>
      <c r="K49" s="43">
        <f t="shared" si="0"/>
        <v>0</v>
      </c>
      <c r="L49" s="43">
        <f>SUMIF(不良品库存!D:D,D:D,不良品库存!F:F)</f>
        <v>0</v>
      </c>
      <c r="M49" s="52">
        <f t="shared" si="1"/>
        <v>0</v>
      </c>
      <c r="N49" s="42" t="e">
        <v>#N/A</v>
      </c>
      <c r="O49" s="44"/>
      <c r="P49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49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49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49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49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49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49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49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49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49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49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49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49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49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49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49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49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49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49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49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49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49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49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49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49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49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49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49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49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49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49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49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49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49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49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49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49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49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49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49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49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49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49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49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49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49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49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49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49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49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49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49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49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49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49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49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49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49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49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49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49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49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49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49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49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49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49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49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49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49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49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49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49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49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49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49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49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49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49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49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49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49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49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49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49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49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49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49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49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49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49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49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49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49" s="58"/>
    </row>
    <row r="50" ht="16.8" customHeight="1" spans="1:109">
      <c r="A50" s="38">
        <v>94</v>
      </c>
      <c r="B50" s="39" t="s">
        <v>19</v>
      </c>
      <c r="C50" s="40" t="s">
        <v>20</v>
      </c>
      <c r="D50" s="38" t="s">
        <v>113</v>
      </c>
      <c r="E50" s="41" t="s">
        <v>114</v>
      </c>
      <c r="F50" s="42" t="str">
        <f>IFERROR(VLOOKUP(D97,'[1]#REF'!D:F,3,FALSE),"0")</f>
        <v>0</v>
      </c>
      <c r="G50" s="38">
        <v>0</v>
      </c>
      <c r="H50" s="43">
        <f>SUMIF(合格品入库记录!E:E,日报!D97,合格品入库记录!G:G)</f>
        <v>0</v>
      </c>
      <c r="I50" s="43">
        <f>SUMIF(合格品出库记录!E:E,日报!D97,合格品出库记录!G:G)</f>
        <v>0</v>
      </c>
      <c r="J50" s="43">
        <f>SUMIF(领跑良品退回!E:E,D97,领跑良品退回!G:G)</f>
        <v>0</v>
      </c>
      <c r="K50" s="43">
        <f t="shared" si="0"/>
        <v>0</v>
      </c>
      <c r="L50" s="43">
        <f>SUMIF(不良品库存!D:D,D:D,不良品库存!F:F)</f>
        <v>0</v>
      </c>
      <c r="M50" s="52">
        <f t="shared" si="1"/>
        <v>0</v>
      </c>
      <c r="N50" s="42">
        <v>0</v>
      </c>
      <c r="O50" s="39"/>
      <c r="P50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0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0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0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0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0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0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0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0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0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0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0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0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0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0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0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0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0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0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0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0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0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0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0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0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0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0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0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0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0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0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0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0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0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0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0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0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0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0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0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0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0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0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0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0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0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0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0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0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0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0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0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0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0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0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0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0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0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0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0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0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0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0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0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0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0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0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0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0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0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0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0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0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0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0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0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0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0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0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0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0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0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0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0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0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0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0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0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0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0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0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0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0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0" s="58"/>
    </row>
    <row r="51" ht="16.8" customHeight="1" spans="1:109">
      <c r="A51" s="38">
        <v>95</v>
      </c>
      <c r="B51" s="44" t="s">
        <v>19</v>
      </c>
      <c r="C51" s="45" t="s">
        <v>20</v>
      </c>
      <c r="D51" s="42" t="s">
        <v>115</v>
      </c>
      <c r="E51" s="46" t="s">
        <v>116</v>
      </c>
      <c r="F51" s="42" t="str">
        <f>IFERROR(VLOOKUP(D98,'[1]#REF'!D:F,3,FALSE),"0")</f>
        <v>0</v>
      </c>
      <c r="G51" s="38">
        <v>0</v>
      </c>
      <c r="H51" s="43">
        <f>SUMIF(合格品入库记录!E:E,日报!D98,合格品入库记录!G:G)</f>
        <v>0</v>
      </c>
      <c r="I51" s="43">
        <f>SUMIF(合格品出库记录!E:E,日报!D98,合格品出库记录!G:G)</f>
        <v>0</v>
      </c>
      <c r="J51" s="43">
        <f>SUMIF(领跑良品退回!E:E,D98,领跑良品退回!G:G)</f>
        <v>0</v>
      </c>
      <c r="K51" s="43">
        <f t="shared" si="0"/>
        <v>0</v>
      </c>
      <c r="L51" s="43">
        <f>SUMIF(不良品库存!D:D,D:D,不良品库存!F:F)</f>
        <v>0</v>
      </c>
      <c r="M51" s="52">
        <f t="shared" si="1"/>
        <v>0</v>
      </c>
      <c r="N51" s="42" t="e">
        <v>#N/A</v>
      </c>
      <c r="O51" s="44"/>
      <c r="P51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1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1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1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1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1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1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1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1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1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1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1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1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1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1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1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1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1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1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1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1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1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1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1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1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1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1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1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1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1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1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1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1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1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1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1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1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1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1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1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1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1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1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1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1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1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1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1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1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1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1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1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1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1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1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1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1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1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1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1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1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1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1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1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1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1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1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1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1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1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1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1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1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1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1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1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1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1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1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1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1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1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1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1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1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1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1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1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1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1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1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1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1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1" s="58"/>
    </row>
    <row r="52" ht="16.8" customHeight="1" spans="1:109">
      <c r="A52" s="38">
        <v>96</v>
      </c>
      <c r="B52" s="39" t="s">
        <v>19</v>
      </c>
      <c r="C52" s="40" t="s">
        <v>20</v>
      </c>
      <c r="D52" s="38" t="s">
        <v>117</v>
      </c>
      <c r="E52" s="41" t="s">
        <v>118</v>
      </c>
      <c r="F52" s="42" t="str">
        <f>IFERROR(VLOOKUP(D99,'[1]#REF'!D:F,3,FALSE),"0")</f>
        <v>0</v>
      </c>
      <c r="G52" s="38">
        <v>44</v>
      </c>
      <c r="H52" s="43">
        <f>SUMIF(合格品入库记录!E:E,日报!D99,合格品入库记录!G:G)</f>
        <v>0</v>
      </c>
      <c r="I52" s="43">
        <f>SUMIF(合格品出库记录!E:E,日报!D99,合格品出库记录!G:G)</f>
        <v>1680</v>
      </c>
      <c r="J52" s="43">
        <f>SUMIF(领跑良品退回!E:E,D99,领跑良品退回!G:G)</f>
        <v>0</v>
      </c>
      <c r="K52" s="43">
        <f t="shared" si="0"/>
        <v>0</v>
      </c>
      <c r="L52" s="43">
        <f>SUMIF(不良品库存!D:D,D:D,不良品库存!F:F)</f>
        <v>0</v>
      </c>
      <c r="M52" s="52">
        <f t="shared" si="1"/>
        <v>8018</v>
      </c>
      <c r="N52" s="42">
        <v>4320</v>
      </c>
      <c r="O52" s="39"/>
      <c r="P52" s="38">
        <f>IF(SUMIFS(合格品入库记录!$G:$G,合格品入库记录!$E:$E,日报!$D:$D,合格品入库记录!$A:$A,日报!P$3)&lt;&gt;0,SUMIFS(合格品入库记录!$G:$G,合格品入库记录!$E:$E,日报!$D:$D,合格品入库记录!$A:$A,日报!P$3),"")</f>
        <v>600</v>
      </c>
      <c r="Q52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2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2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2" s="38">
        <f>IF(SUMIFS(合格品入库记录!$G:$G,合格品入库记录!$E:$E,日报!$D:$D,合格品入库记录!$A:$A,日报!T$3)&lt;&gt;0,SUMIFS(合格品入库记录!$G:$G,合格品入库记录!$E:$E,日报!$D:$D,合格品入库记录!$A:$A,日报!T$3),"")</f>
        <v>480</v>
      </c>
      <c r="U52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2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2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2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2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2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2" s="38">
        <f>IF(SUMIFS(合格品入库记录!$G:$G,合格品入库记录!$E:$E,日报!$D:$D,合格品入库记录!$A:$A,日报!AA$3)&lt;&gt;0,SUMIFS(合格品入库记录!$G:$G,合格品入库记录!$E:$E,日报!$D:$D,合格品入库记录!$A:$A,日报!AA$3),"")</f>
        <v>720</v>
      </c>
      <c r="AB52" s="38">
        <f>IF(SUMIFS(合格品入库记录!$G:$G,合格品入库记录!$E:$E,日报!$D:$D,合格品入库记录!$A:$A,日报!AB$3)&lt;&gt;0,SUMIFS(合格品入库记录!$G:$G,合格品入库记录!$E:$E,日报!$D:$D,合格品入库记录!$A:$A,日报!AB$3),"")</f>
        <v>375</v>
      </c>
      <c r="AC52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2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2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2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2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2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2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2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2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2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2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2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2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2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2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2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2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2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2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2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2" s="38">
        <f>IF(SUMIFS(合格品出库记录!$G:$G,合格品出库记录!$E:$E,日报!$D:$D,合格品出库记录!$A:$A,日报!AW$3)&lt;&gt;0,SUMIFS(合格品出库记录!$G:$G,合格品出库记录!$E:$E,日报!$D:$D,合格品出库记录!$A:$A,日报!AW$3),"")</f>
        <v>630</v>
      </c>
      <c r="AX52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2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2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2" s="38">
        <f>IF(SUMIFS(合格品出库记录!$G:$G,合格品出库记录!$E:$E,日报!$D:$D,合格品出库记录!$A:$A,日报!BA$3)&lt;&gt;0,SUMIFS(合格品出库记录!$G:$G,合格品出库记录!$E:$E,日报!$D:$D,合格品出库记录!$A:$A,日报!BA$3),"")</f>
        <v>480</v>
      </c>
      <c r="BB52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2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2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2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2" s="38">
        <f>IF(SUMIFS(合格品出库记录!$G:$G,合格品出库记录!$E:$E,日报!$D:$D,合格品出库记录!$A:$A,日报!BF$3)&lt;&gt;0,SUMIFS(合格品出库记录!$G:$G,合格品出库记录!$E:$E,日报!$D:$D,合格品出库记录!$A:$A,日报!BF$3),"")</f>
        <v>720</v>
      </c>
      <c r="BG52" s="38">
        <f>IF(SUMIFS(合格品出库记录!$G:$G,合格品出库记录!$E:$E,日报!$D:$D,合格品出库记录!$A:$A,日报!BG$3)&lt;&gt;0,SUMIFS(合格品出库记录!$G:$G,合格品出库记录!$E:$E,日报!$D:$D,合格品出库记录!$A:$A,日报!BG$3),"")</f>
        <v>360</v>
      </c>
      <c r="BH52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2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2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2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2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2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2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2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2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2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2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2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2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2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2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2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2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2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2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2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2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2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2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2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2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2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2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2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2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2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2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2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2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2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2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2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2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2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2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2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2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2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2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2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2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2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2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2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2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2" s="58"/>
    </row>
    <row r="53" ht="16.8" customHeight="1" spans="1:109">
      <c r="A53" s="38">
        <v>97</v>
      </c>
      <c r="B53" s="44" t="s">
        <v>19</v>
      </c>
      <c r="C53" s="45" t="s">
        <v>20</v>
      </c>
      <c r="D53" s="42" t="s">
        <v>119</v>
      </c>
      <c r="E53" s="46" t="s">
        <v>120</v>
      </c>
      <c r="F53" s="42" t="str">
        <f>IFERROR(VLOOKUP(D100,'[1]#REF'!D:F,3,FALSE),"0")</f>
        <v>0</v>
      </c>
      <c r="G53" s="38">
        <v>1920</v>
      </c>
      <c r="H53" s="43">
        <f>SUMIF(合格品入库记录!E:E,日报!D100,合格品入库记录!G:G)</f>
        <v>0</v>
      </c>
      <c r="I53" s="43">
        <f>SUMIF(合格品出库记录!E:E,日报!D100,合格品出库记录!G:G)</f>
        <v>960</v>
      </c>
      <c r="J53" s="43">
        <f>SUMIF(领跑良品退回!E:E,D100,领跑良品退回!G:G)</f>
        <v>0</v>
      </c>
      <c r="K53" s="43">
        <f t="shared" si="0"/>
        <v>0</v>
      </c>
      <c r="L53" s="43">
        <f>SUMIF(不良品库存!D:D,D:D,不良品库存!F:F)</f>
        <v>0</v>
      </c>
      <c r="M53" s="52">
        <f t="shared" si="1"/>
        <v>6623</v>
      </c>
      <c r="N53" s="42">
        <v>0</v>
      </c>
      <c r="O53" s="44"/>
      <c r="P53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3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3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3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3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3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3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3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3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3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3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3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3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3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3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3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3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3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3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3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3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3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3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3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3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3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3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3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3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3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3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3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3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3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3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3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3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3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3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3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3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3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3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3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3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3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3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3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3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3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3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3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3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3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3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3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3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3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3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3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3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3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3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3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3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3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3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3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3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3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3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3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3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3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3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3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3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3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3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3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3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3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3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3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3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3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3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3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3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3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3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3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3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3" s="58"/>
    </row>
    <row r="54" ht="16.8" customHeight="1" spans="1:109">
      <c r="A54" s="38">
        <v>98</v>
      </c>
      <c r="B54" s="39" t="s">
        <v>19</v>
      </c>
      <c r="C54" s="40" t="s">
        <v>20</v>
      </c>
      <c r="D54" s="38" t="s">
        <v>121</v>
      </c>
      <c r="E54" s="41" t="s">
        <v>122</v>
      </c>
      <c r="F54" s="42" t="str">
        <f>IFERROR(VLOOKUP(D101,'[1]#REF'!D:F,3,FALSE),"0")</f>
        <v>0</v>
      </c>
      <c r="G54" s="38">
        <v>0</v>
      </c>
      <c r="H54" s="43">
        <f>SUMIF(合格品入库记录!E:E,日报!D101,合格品入库记录!G:G)</f>
        <v>3376</v>
      </c>
      <c r="I54" s="43">
        <f>SUMIF(合格品出库记录!E:E,日报!D101,合格品出库记录!G:G)</f>
        <v>13440</v>
      </c>
      <c r="J54" s="43">
        <f>SUMIF(领跑良品退回!E:E,D101,领跑良品退回!G:G)</f>
        <v>0</v>
      </c>
      <c r="K54" s="43">
        <f t="shared" si="0"/>
        <v>0</v>
      </c>
      <c r="L54" s="43">
        <f>SUMIF(不良品库存!D:D,D:D,不良品库存!F:F)</f>
        <v>0</v>
      </c>
      <c r="M54" s="52">
        <f t="shared" si="1"/>
        <v>37332</v>
      </c>
      <c r="N54" s="42">
        <v>0</v>
      </c>
      <c r="O54" s="39"/>
      <c r="P54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4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4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4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4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4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4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4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4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4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4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4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4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4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4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4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4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4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4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4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4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4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4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4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4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4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4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4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4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4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4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4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4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4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4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4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4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4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4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4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4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4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4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4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4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4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4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4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4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4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4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4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4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4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4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4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4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4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4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4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4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4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4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4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4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4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4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4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4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4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4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4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4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4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4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4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4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4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4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4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4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4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4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4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4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4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4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4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4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4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4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4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4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4" s="58"/>
    </row>
    <row r="55" ht="16.8" customHeight="1" spans="1:109">
      <c r="A55" s="38">
        <v>99</v>
      </c>
      <c r="B55" s="44" t="s">
        <v>19</v>
      </c>
      <c r="C55" s="45" t="s">
        <v>20</v>
      </c>
      <c r="D55" s="42" t="s">
        <v>123</v>
      </c>
      <c r="E55" s="46" t="s">
        <v>124</v>
      </c>
      <c r="F55" s="42" t="str">
        <f>IFERROR(VLOOKUP(D102,'[1]#REF'!D:F,3,FALSE),"0")</f>
        <v>0</v>
      </c>
      <c r="G55" s="38">
        <v>4</v>
      </c>
      <c r="H55" s="43">
        <f>SUMIF(合格品入库记录!E:E,日报!D102,合格品入库记录!G:G)</f>
        <v>0</v>
      </c>
      <c r="I55" s="43">
        <f>SUMIF(合格品出库记录!E:E,日报!D102,合格品出库记录!G:G)</f>
        <v>3600</v>
      </c>
      <c r="J55" s="43">
        <f>SUMIF(领跑良品退回!E:E,D102,领跑良品退回!G:G)</f>
        <v>0</v>
      </c>
      <c r="K55" s="43">
        <f t="shared" si="0"/>
        <v>0</v>
      </c>
      <c r="L55" s="43">
        <f>SUMIF(不良品库存!D:D,D:D,不良品库存!F:F)</f>
        <v>0</v>
      </c>
      <c r="M55" s="52">
        <f t="shared" si="1"/>
        <v>11685</v>
      </c>
      <c r="N55" s="42">
        <v>1440</v>
      </c>
      <c r="O55" s="44"/>
      <c r="P55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5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5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5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5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5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5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5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5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5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5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5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5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5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5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5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5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5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5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5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5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5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5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5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5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5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5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5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5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5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5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5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5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5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5" s="42">
        <f>IF(SUMIFS(合格品出库记录!$G:$G,合格品出库记录!$E:$E,日报!$D:$D,合格品出库记录!$A:$A,日报!AX$3)&lt;&gt;0,SUMIFS(合格品出库记录!$G:$G,合格品出库记录!$E:$E,日报!$D:$D,合格品出库记录!$A:$A,日报!AX$3),"")</f>
        <v>1</v>
      </c>
      <c r="AY55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5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5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5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5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5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5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5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5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5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5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5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5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5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5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5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5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5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5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5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5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5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5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5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5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5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5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5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5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5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5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5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5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5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5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5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5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5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5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5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5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5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5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5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5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5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5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5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5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5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5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5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5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5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5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5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5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5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5" s="58"/>
    </row>
    <row r="56" ht="16.8" customHeight="1" spans="1:109">
      <c r="A56" s="38">
        <v>100</v>
      </c>
      <c r="B56" s="39" t="s">
        <v>19</v>
      </c>
      <c r="C56" s="40" t="s">
        <v>20</v>
      </c>
      <c r="D56" s="38" t="s">
        <v>125</v>
      </c>
      <c r="E56" s="41" t="s">
        <v>126</v>
      </c>
      <c r="F56" s="42" t="str">
        <f>IFERROR(VLOOKUP(D103,'[1]#REF'!D:F,3,FALSE),"0")</f>
        <v>0</v>
      </c>
      <c r="G56" s="38">
        <v>20</v>
      </c>
      <c r="H56" s="43">
        <f>SUMIF(合格品入库记录!E:E,日报!D103,合格品入库记录!G:G)</f>
        <v>0</v>
      </c>
      <c r="I56" s="43">
        <f>SUMIF(合格品出库记录!E:E,日报!D103,合格品出库记录!G:G)</f>
        <v>1600</v>
      </c>
      <c r="J56" s="43">
        <f>SUMIF(领跑良品退回!E:E,D103,领跑良品退回!G:G)</f>
        <v>0</v>
      </c>
      <c r="K56" s="43">
        <f t="shared" si="0"/>
        <v>0</v>
      </c>
      <c r="L56" s="43">
        <f>SUMIF(不良品库存!D:D,D:D,不良品库存!F:F)</f>
        <v>0</v>
      </c>
      <c r="M56" s="52">
        <f t="shared" si="1"/>
        <v>7802</v>
      </c>
      <c r="N56" s="42">
        <v>4158</v>
      </c>
      <c r="O56" s="39"/>
      <c r="P56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6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6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6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6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6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6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6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6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6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6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6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6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6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6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6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6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6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6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6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6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6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6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6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6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6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6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6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6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6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6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6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6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6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6" s="38">
        <f>IF(SUMIFS(合格品出库记录!$G:$G,合格品出库记录!$E:$E,日报!$D:$D,合格品出库记录!$A:$A,日报!AX$3)&lt;&gt;0,SUMIFS(合格品出库记录!$G:$G,合格品出库记录!$E:$E,日报!$D:$D,合格品出库记录!$A:$A,日报!AX$3),"")</f>
        <v>7</v>
      </c>
      <c r="AY56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6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6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6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6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6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6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6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6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6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6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6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6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6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6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6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6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6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6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6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6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6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6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6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6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6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6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6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6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6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6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6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6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6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6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6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6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6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6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6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6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6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6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6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6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6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6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6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6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6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6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6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6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6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6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6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6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6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6" s="58"/>
    </row>
    <row r="57" ht="16.8" customHeight="1" spans="1:109">
      <c r="A57" s="38">
        <v>101</v>
      </c>
      <c r="B57" s="44" t="s">
        <v>19</v>
      </c>
      <c r="C57" s="45" t="s">
        <v>20</v>
      </c>
      <c r="D57" s="42" t="s">
        <v>127</v>
      </c>
      <c r="E57" s="46" t="s">
        <v>128</v>
      </c>
      <c r="F57" s="42" t="str">
        <f>IFERROR(VLOOKUP(D104,'[1]#REF'!D:F,3,FALSE),"0")</f>
        <v>0</v>
      </c>
      <c r="G57" s="38">
        <v>23</v>
      </c>
      <c r="H57" s="43">
        <f>SUMIF(合格品入库记录!E:E,日报!D104,合格品入库记录!G:G)</f>
        <v>6555</v>
      </c>
      <c r="I57" s="43">
        <f>SUMIF(合格品出库记录!E:E,日报!D104,合格品出库记录!G:G)</f>
        <v>7020</v>
      </c>
      <c r="J57" s="43">
        <f>SUMIF(领跑良品退回!E:E,D104,领跑良品退回!G:G)</f>
        <v>0</v>
      </c>
      <c r="K57" s="43">
        <f t="shared" si="0"/>
        <v>0</v>
      </c>
      <c r="L57" s="43">
        <f>SUMIF(不良品库存!D:D,D:D,不良品库存!F:F)</f>
        <v>0</v>
      </c>
      <c r="M57" s="52">
        <f t="shared" si="1"/>
        <v>2655</v>
      </c>
      <c r="N57" s="42">
        <v>0</v>
      </c>
      <c r="O57" s="44"/>
      <c r="P57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7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7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7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7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7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7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7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7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7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7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7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7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7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7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7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7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7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7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7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7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7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7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7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7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7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7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7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7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7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7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7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7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7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7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7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7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7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7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7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7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7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7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7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7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7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7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7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7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7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7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7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7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7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7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7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7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7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7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7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7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7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7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7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7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7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7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7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7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7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7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7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7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7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7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7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7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7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7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7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7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7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7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7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7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7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7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7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7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7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7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7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7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7" s="58"/>
    </row>
    <row r="58" ht="16.8" customHeight="1" spans="1:109">
      <c r="A58" s="38">
        <v>102</v>
      </c>
      <c r="B58" s="39" t="s">
        <v>19</v>
      </c>
      <c r="C58" s="40" t="s">
        <v>20</v>
      </c>
      <c r="D58" s="38" t="s">
        <v>129</v>
      </c>
      <c r="E58" s="41" t="s">
        <v>130</v>
      </c>
      <c r="F58" s="42" t="str">
        <f>IFERROR(VLOOKUP(D105,'[1]#REF'!D:F,3,FALSE),"0")</f>
        <v>0</v>
      </c>
      <c r="G58" s="38">
        <v>15</v>
      </c>
      <c r="H58" s="43">
        <f>SUMIF(合格品入库记录!E:E,日报!D105,合格品入库记录!G:G)</f>
        <v>6576</v>
      </c>
      <c r="I58" s="43">
        <f>SUMIF(合格品出库记录!E:E,日报!D105,合格品出库记录!G:G)</f>
        <v>6944</v>
      </c>
      <c r="J58" s="43">
        <f>SUMIF(领跑良品退回!E:E,D105,领跑良品退回!G:G)</f>
        <v>0</v>
      </c>
      <c r="K58" s="43">
        <f t="shared" si="0"/>
        <v>0</v>
      </c>
      <c r="L58" s="43">
        <f>SUMIF(不良品库存!D:D,D:D,不良品库存!F:F)</f>
        <v>0</v>
      </c>
      <c r="M58" s="52">
        <f t="shared" si="1"/>
        <v>2576</v>
      </c>
      <c r="N58" s="42">
        <v>0</v>
      </c>
      <c r="O58" s="39"/>
      <c r="P58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8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8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8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8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8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8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8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8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8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8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8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8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8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8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8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8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8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8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8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8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8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8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8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8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8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8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8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8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8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8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8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8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8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8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8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8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8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8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8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8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8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8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8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8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8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8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8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8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8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8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8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8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8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8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8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8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8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8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8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8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8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8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8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8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8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8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8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8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8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8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8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8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8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8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8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8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8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8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8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8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8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8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8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8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8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8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8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8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8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8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8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8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8" s="58"/>
    </row>
    <row r="59" ht="16.8" customHeight="1" spans="1:109">
      <c r="A59" s="38">
        <v>103</v>
      </c>
      <c r="B59" s="44" t="s">
        <v>19</v>
      </c>
      <c r="C59" s="45" t="s">
        <v>20</v>
      </c>
      <c r="D59" s="42" t="s">
        <v>131</v>
      </c>
      <c r="E59" s="46" t="s">
        <v>132</v>
      </c>
      <c r="F59" s="42" t="str">
        <f>IFERROR(VLOOKUP(D106,'[1]#REF'!D:F,3,FALSE),"0")</f>
        <v>0</v>
      </c>
      <c r="G59" s="38">
        <v>12</v>
      </c>
      <c r="H59" s="43">
        <f>SUMIF(合格品入库记录!E:E,日报!D106,合格品入库记录!G:G)</f>
        <v>0</v>
      </c>
      <c r="I59" s="43">
        <f>SUMIF(合格品出库记录!E:E,日报!D106,合格品出库记录!G:G)</f>
        <v>0</v>
      </c>
      <c r="J59" s="43">
        <f>SUMIF(领跑良品退回!E:E,D106,领跑良品退回!G:G)</f>
        <v>0</v>
      </c>
      <c r="K59" s="43">
        <f t="shared" si="0"/>
        <v>0</v>
      </c>
      <c r="L59" s="43">
        <f>SUMIF(不良品库存!D:D,D:D,不良品库存!F:F)</f>
        <v>0</v>
      </c>
      <c r="M59" s="52">
        <f t="shared" si="1"/>
        <v>0</v>
      </c>
      <c r="N59" s="42">
        <v>2016</v>
      </c>
      <c r="O59" s="44"/>
      <c r="P59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59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59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59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59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59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59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59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59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59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59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59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59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59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59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59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59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59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59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59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59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59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59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59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59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59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59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59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59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59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59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59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59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59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59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59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59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59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59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59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59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59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59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59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59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59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59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59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59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59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59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59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59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59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59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59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59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59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59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59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59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59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59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59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59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59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59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59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59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59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59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59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59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59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59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59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59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59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59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59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59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59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59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59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59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59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59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59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59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59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59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59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59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59" s="58"/>
    </row>
    <row r="60" ht="16.8" customHeight="1" spans="1:109">
      <c r="A60" s="38">
        <v>104</v>
      </c>
      <c r="B60" s="39" t="s">
        <v>19</v>
      </c>
      <c r="C60" s="40" t="s">
        <v>20</v>
      </c>
      <c r="D60" s="38" t="s">
        <v>133</v>
      </c>
      <c r="E60" s="41" t="s">
        <v>134</v>
      </c>
      <c r="F60" s="42" t="str">
        <f>IFERROR(VLOOKUP(D107,'[1]#REF'!D:F,3,FALSE),"0")</f>
        <v>0</v>
      </c>
      <c r="G60" s="38">
        <v>34</v>
      </c>
      <c r="H60" s="43">
        <f>SUMIF(合格品入库记录!E:E,日报!D107,合格品入库记录!G:G)</f>
        <v>0</v>
      </c>
      <c r="I60" s="43">
        <f>SUMIF(合格品出库记录!E:E,日报!D107,合格品出库记录!G:G)</f>
        <v>0</v>
      </c>
      <c r="J60" s="43">
        <f>SUMIF(领跑良品退回!E:E,D107,领跑良品退回!G:G)</f>
        <v>0</v>
      </c>
      <c r="K60" s="43">
        <f t="shared" si="0"/>
        <v>0</v>
      </c>
      <c r="L60" s="43">
        <f>SUMIF(不良品库存!D:D,D:D,不良品库存!F:F)</f>
        <v>0</v>
      </c>
      <c r="M60" s="52">
        <f t="shared" si="1"/>
        <v>0</v>
      </c>
      <c r="N60" s="42">
        <v>2016</v>
      </c>
      <c r="O60" s="39"/>
      <c r="P60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0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0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0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0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0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0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0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0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0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0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0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0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0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0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0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0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0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0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0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0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0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0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0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0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0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0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0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0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0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0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0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0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0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0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0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0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0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0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0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0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0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0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0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0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0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0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0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0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0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0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0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0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0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0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0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0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0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0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0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0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0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0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0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0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0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0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0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0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0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0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0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0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0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0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0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0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0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0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0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0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0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0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0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0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0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0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0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0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0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0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0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0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0" s="58"/>
    </row>
    <row r="61" ht="16.8" customHeight="1" spans="1:109">
      <c r="A61" s="38">
        <v>105</v>
      </c>
      <c r="B61" s="44" t="s">
        <v>19</v>
      </c>
      <c r="C61" s="45" t="s">
        <v>20</v>
      </c>
      <c r="D61" s="42" t="s">
        <v>135</v>
      </c>
      <c r="E61" s="46" t="s">
        <v>136</v>
      </c>
      <c r="F61" s="42" t="str">
        <f>IFERROR(VLOOKUP(D108,'[1]#REF'!D:F,3,FALSE),"0")</f>
        <v>0</v>
      </c>
      <c r="G61" s="38">
        <v>0</v>
      </c>
      <c r="H61" s="43">
        <f>SUMIF(合格品入库记录!E:E,日报!D108,合格品入库记录!G:G)</f>
        <v>0</v>
      </c>
      <c r="I61" s="43">
        <f>SUMIF(合格品出库记录!E:E,日报!D108,合格品出库记录!G:G)</f>
        <v>0</v>
      </c>
      <c r="J61" s="43">
        <f>SUMIF(领跑良品退回!E:E,D108,领跑良品退回!G:G)</f>
        <v>0</v>
      </c>
      <c r="K61" s="43">
        <f t="shared" si="0"/>
        <v>0</v>
      </c>
      <c r="L61" s="43">
        <f>SUMIF(不良品库存!D:D,D:D,不良品库存!F:F)</f>
        <v>0</v>
      </c>
      <c r="M61" s="52">
        <f t="shared" si="1"/>
        <v>0</v>
      </c>
      <c r="N61" s="42">
        <v>0</v>
      </c>
      <c r="O61" s="44"/>
      <c r="P61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1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1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1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1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1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1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1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1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1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1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1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1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1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1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1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1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1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1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1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1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1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1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1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1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1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1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1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1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1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1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1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1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1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1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1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1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1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1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1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1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1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1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1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1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1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1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1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1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1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1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1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1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1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1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1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1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1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1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1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1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1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1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1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1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1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1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1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1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1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1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1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1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1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1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1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1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1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1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1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1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1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1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1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1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1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1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1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1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1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1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1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1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1" s="58"/>
    </row>
    <row r="62" ht="16.8" customHeight="1" spans="1:109">
      <c r="A62" s="38">
        <v>106</v>
      </c>
      <c r="B62" s="39" t="s">
        <v>19</v>
      </c>
      <c r="C62" s="40" t="s">
        <v>20</v>
      </c>
      <c r="D62" s="38" t="s">
        <v>137</v>
      </c>
      <c r="E62" s="41" t="s">
        <v>138</v>
      </c>
      <c r="F62" s="42" t="str">
        <f>IFERROR(VLOOKUP(D109,'[1]#REF'!D:F,3,FALSE),"0")</f>
        <v>0</v>
      </c>
      <c r="G62" s="38">
        <v>700</v>
      </c>
      <c r="H62" s="43">
        <f>SUMIF(合格品入库记录!E:E,日报!D109,合格品入库记录!G:G)</f>
        <v>0</v>
      </c>
      <c r="I62" s="43">
        <f>SUMIF(合格品出库记录!E:E,日报!D109,合格品出库记录!G:G)</f>
        <v>0</v>
      </c>
      <c r="J62" s="43">
        <f>SUMIF(领跑良品退回!E:E,D109,领跑良品退回!G:G)</f>
        <v>0</v>
      </c>
      <c r="K62" s="43">
        <f t="shared" si="0"/>
        <v>0</v>
      </c>
      <c r="L62" s="43">
        <f>SUMIF(不良品库存!D:D,D:D,不良品库存!F:F)</f>
        <v>100</v>
      </c>
      <c r="M62" s="52">
        <f t="shared" si="1"/>
        <v>0</v>
      </c>
      <c r="N62" s="42">
        <v>0</v>
      </c>
      <c r="O62" s="39"/>
      <c r="P62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2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2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2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2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2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2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2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2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2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2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2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2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2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2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2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2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2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2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2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2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2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2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2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2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2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2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2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2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2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2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2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2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2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2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2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2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2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2" s="38">
        <f>IF(SUMIFS(合格品出库记录!$G:$G,合格品出库记录!$E:$E,日报!$D:$D,合格品出库记录!$A:$A,日报!BB$3)&lt;&gt;0,SUMIFS(合格品出库记录!$G:$G,合格品出库记录!$E:$E,日报!$D:$D,合格品出库记录!$A:$A,日报!BB$3),"")</f>
        <v>700</v>
      </c>
      <c r="BC62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2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2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2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2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2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2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2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2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2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2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2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2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2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2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2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2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2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2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2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2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2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2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2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2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2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2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2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2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2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2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2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2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2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2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2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2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2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2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2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2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2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2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2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2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2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2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2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2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2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2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2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2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2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2" s="58"/>
    </row>
    <row r="63" ht="16.8" customHeight="1" spans="1:109">
      <c r="A63" s="38">
        <v>107</v>
      </c>
      <c r="B63" s="44" t="s">
        <v>19</v>
      </c>
      <c r="C63" s="45" t="s">
        <v>20</v>
      </c>
      <c r="D63" s="42" t="s">
        <v>139</v>
      </c>
      <c r="E63" s="46" t="s">
        <v>140</v>
      </c>
      <c r="F63" s="42" t="str">
        <f>IFERROR(VLOOKUP(D110,'[1]#REF'!D:F,3,FALSE),"0")</f>
        <v>0</v>
      </c>
      <c r="G63" s="38">
        <v>0</v>
      </c>
      <c r="H63" s="43">
        <f>SUMIF(合格品入库记录!E:E,日报!D110,合格品入库记录!G:G)</f>
        <v>0</v>
      </c>
      <c r="I63" s="43">
        <f>SUMIF(合格品出库记录!E:E,日报!D110,合格品出库记录!G:G)</f>
        <v>0</v>
      </c>
      <c r="J63" s="43">
        <f>SUMIF(领跑良品退回!E:E,D110,领跑良品退回!G:G)</f>
        <v>0</v>
      </c>
      <c r="K63" s="43">
        <f t="shared" si="0"/>
        <v>0</v>
      </c>
      <c r="L63" s="43">
        <f>SUMIF(不良品库存!D:D,D:D,不良品库存!F:F)</f>
        <v>0</v>
      </c>
      <c r="M63" s="52">
        <f t="shared" si="1"/>
        <v>174</v>
      </c>
      <c r="N63" s="42" t="e">
        <v>#N/A</v>
      </c>
      <c r="O63" s="44"/>
      <c r="P63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3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3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3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3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3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3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3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3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3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3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3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3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3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3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3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3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3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3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3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3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3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3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3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3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3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3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3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3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3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3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3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3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3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3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3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3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3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3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3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3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3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3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3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3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3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3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3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3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3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3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3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3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3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3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3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3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3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3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3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3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3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3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3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3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3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3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3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3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3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3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3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3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3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3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3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3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3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3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3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3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3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3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3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3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3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3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3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3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3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3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3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3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3" s="58"/>
    </row>
    <row r="64" ht="16.8" customHeight="1" spans="1:109">
      <c r="A64" s="38">
        <v>554</v>
      </c>
      <c r="B64" s="39" t="s">
        <v>19</v>
      </c>
      <c r="C64" s="40" t="s">
        <v>20</v>
      </c>
      <c r="D64" s="38" t="s">
        <v>141</v>
      </c>
      <c r="E64" s="41" t="s">
        <v>142</v>
      </c>
      <c r="F64" s="42" t="str">
        <f>IFERROR(VLOOKUP(D532,'[1]#REF'!D:F,3,FALSE),"0")</f>
        <v>0</v>
      </c>
      <c r="G64" s="38">
        <v>4720</v>
      </c>
      <c r="H64" s="43">
        <f>SUMIF(合格品入库记录!E:E,日报!D532,合格品入库记录!G:G)</f>
        <v>0</v>
      </c>
      <c r="I64" s="43">
        <f>SUMIF(合格品出库记录!E:E,日报!D532,合格品出库记录!G:G)</f>
        <v>0</v>
      </c>
      <c r="J64" s="43">
        <f>SUMIF(领跑良品退回!E:E,D532,领跑良品退回!G:G)</f>
        <v>0</v>
      </c>
      <c r="K64" s="43">
        <f>M532+L532</f>
        <v>0</v>
      </c>
      <c r="L64" s="43">
        <f>SUMIF(不良品库存!D:D,D:D,不良品库存!F:F)</f>
        <v>0</v>
      </c>
      <c r="M64" s="52">
        <f>G532+H532-I532+J532</f>
        <v>0</v>
      </c>
      <c r="N64" s="42">
        <v>0</v>
      </c>
      <c r="O64" s="39"/>
      <c r="P64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4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4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4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4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4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4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4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4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4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4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4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4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4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4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4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4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4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4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4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4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4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4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4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4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4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4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4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4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4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4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4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4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4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4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4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4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4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4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4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4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4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4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4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4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4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4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4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4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4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4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4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4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4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4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4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4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4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4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4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4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4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4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4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4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4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4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4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4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4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4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4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4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4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4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4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4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4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4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4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4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4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4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4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4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4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4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4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4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4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4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4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4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4" s="58"/>
    </row>
    <row r="65" ht="16.8" customHeight="1" spans="1:109">
      <c r="A65" s="38">
        <v>555</v>
      </c>
      <c r="B65" s="44" t="s">
        <v>19</v>
      </c>
      <c r="C65" s="45" t="s">
        <v>20</v>
      </c>
      <c r="D65" s="42" t="s">
        <v>143</v>
      </c>
      <c r="E65" s="46" t="s">
        <v>144</v>
      </c>
      <c r="F65" s="42" t="str">
        <f>IFERROR(VLOOKUP(D533,'[1]#REF'!D:F,3,FALSE),"0")</f>
        <v>0</v>
      </c>
      <c r="G65" s="38">
        <v>33</v>
      </c>
      <c r="H65" s="43">
        <f>SUMIF(合格品入库记录!E:E,日报!D533,合格品入库记录!G:G)</f>
        <v>0</v>
      </c>
      <c r="I65" s="43">
        <f>SUMIF(合格品出库记录!E:E,日报!D533,合格品出库记录!G:G)</f>
        <v>0</v>
      </c>
      <c r="J65" s="43">
        <f>SUMIF(领跑良品退回!E:E,D533,领跑良品退回!G:G)</f>
        <v>0</v>
      </c>
      <c r="K65" s="43">
        <f>M533+L533</f>
        <v>0</v>
      </c>
      <c r="L65" s="43">
        <f>SUMIF(不良品库存!D:D,D:D,不良品库存!F:F)</f>
        <v>0</v>
      </c>
      <c r="M65" s="52">
        <f>G533+H533-I533+J533</f>
        <v>0</v>
      </c>
      <c r="N65" s="42" t="e">
        <v>#N/A</v>
      </c>
      <c r="O65" s="44"/>
      <c r="P65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5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5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5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5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5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5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5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5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5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5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5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5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5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5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5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5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5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5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5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5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5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5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5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5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5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5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5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5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5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5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5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5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5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5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5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5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5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5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5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5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5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5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5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5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5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5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5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5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5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5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5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5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5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5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5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5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5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5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5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5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5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5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5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5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5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5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5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5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5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5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5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5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5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5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5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5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5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5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5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5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5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5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5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5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5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5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5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5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5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5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5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5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5" s="58"/>
    </row>
    <row r="66" ht="16.8" customHeight="1" spans="1:109">
      <c r="A66" s="38">
        <v>556</v>
      </c>
      <c r="B66" s="39" t="s">
        <v>19</v>
      </c>
      <c r="C66" s="40" t="s">
        <v>20</v>
      </c>
      <c r="D66" s="38" t="s">
        <v>145</v>
      </c>
      <c r="E66" s="41" t="s">
        <v>146</v>
      </c>
      <c r="F66" s="42" t="str">
        <f>IFERROR(VLOOKUP(D534,'[1]#REF'!D:F,3,FALSE),"0")</f>
        <v>0</v>
      </c>
      <c r="G66" s="38">
        <v>33</v>
      </c>
      <c r="H66" s="43">
        <f>SUMIF(合格品入库记录!E:E,日报!D534,合格品入库记录!G:G)</f>
        <v>0</v>
      </c>
      <c r="I66" s="43">
        <f>SUMIF(合格品出库记录!E:E,日报!D534,合格品出库记录!G:G)</f>
        <v>0</v>
      </c>
      <c r="J66" s="43">
        <f>SUMIF(领跑良品退回!E:E,D534,领跑良品退回!G:G)</f>
        <v>0</v>
      </c>
      <c r="K66" s="43">
        <f>M534+L534</f>
        <v>0</v>
      </c>
      <c r="L66" s="43">
        <f>SUMIF(不良品库存!D:D,D:D,不良品库存!F:F)</f>
        <v>0</v>
      </c>
      <c r="M66" s="52">
        <f>G534+H534-I534+J534</f>
        <v>0</v>
      </c>
      <c r="N66" s="42" t="e">
        <v>#N/A</v>
      </c>
      <c r="O66" s="39"/>
      <c r="P66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6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6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6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6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6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6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6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6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6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6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6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6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6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6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6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6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6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6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6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6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6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6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6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6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6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6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6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6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6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6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6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6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6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6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6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6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6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6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6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6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6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6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6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6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6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6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6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6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6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6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6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6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6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6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6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6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6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6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6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6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6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6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6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6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6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6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6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6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6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6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6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6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6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6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6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6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6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6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6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6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6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6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6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6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6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6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6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6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6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6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6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6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6" s="58"/>
    </row>
    <row r="67" ht="16.8" customHeight="1" spans="1:109">
      <c r="A67" s="38">
        <v>557</v>
      </c>
      <c r="B67" s="44" t="s">
        <v>19</v>
      </c>
      <c r="C67" s="45" t="s">
        <v>20</v>
      </c>
      <c r="D67" s="42" t="s">
        <v>147</v>
      </c>
      <c r="E67" s="46" t="s">
        <v>148</v>
      </c>
      <c r="F67" s="42" t="str">
        <f>IFERROR(VLOOKUP(D535,'[1]#REF'!D:F,3,FALSE),"0")</f>
        <v>0</v>
      </c>
      <c r="G67" s="38">
        <v>0</v>
      </c>
      <c r="H67" s="43">
        <f>SUMIF(合格品入库记录!E:E,日报!D535,合格品入库记录!G:G)</f>
        <v>0</v>
      </c>
      <c r="I67" s="43">
        <f>SUMIF(合格品出库记录!E:E,日报!D535,合格品出库记录!G:G)</f>
        <v>0</v>
      </c>
      <c r="J67" s="43">
        <f>SUMIF(领跑良品退回!E:E,D535,领跑良品退回!G:G)</f>
        <v>0</v>
      </c>
      <c r="K67" s="43">
        <f>M535+L535</f>
        <v>0</v>
      </c>
      <c r="L67" s="43">
        <f>SUMIF(不良品库存!D:D,D:D,不良品库存!F:F)</f>
        <v>0</v>
      </c>
      <c r="M67" s="52">
        <f>G535+H535-I535+J535</f>
        <v>0</v>
      </c>
      <c r="N67" s="42" t="e">
        <v>#N/A</v>
      </c>
      <c r="O67" s="44"/>
      <c r="P67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7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7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7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7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7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7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7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7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7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7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7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7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7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7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7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7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7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7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7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7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7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7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7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7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7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7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7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7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7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7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7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7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7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7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7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7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7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7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7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7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7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7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7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7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7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7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7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7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7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7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7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7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7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7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7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7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7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7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7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7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7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7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7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7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7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7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7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7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7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7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7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7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7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7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7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7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7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7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7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7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7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7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7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7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7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7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7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7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7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7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7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7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7" s="58"/>
    </row>
    <row r="68" ht="16.8" customHeight="1" spans="1:109">
      <c r="A68" s="38">
        <v>558</v>
      </c>
      <c r="B68" s="39" t="s">
        <v>19</v>
      </c>
      <c r="C68" s="40" t="s">
        <v>20</v>
      </c>
      <c r="D68" s="38" t="s">
        <v>149</v>
      </c>
      <c r="E68" s="41" t="s">
        <v>150</v>
      </c>
      <c r="F68" s="42" t="str">
        <f>IFERROR(VLOOKUP(D536,'[1]#REF'!D:F,3,FALSE),"0")</f>
        <v>0</v>
      </c>
      <c r="G68" s="38">
        <v>0</v>
      </c>
      <c r="H68" s="43">
        <f>SUMIF(合格品入库记录!E:E,日报!D536,合格品入库记录!G:G)</f>
        <v>0</v>
      </c>
      <c r="I68" s="43">
        <f>SUMIF(合格品出库记录!E:E,日报!D536,合格品出库记录!G:G)</f>
        <v>0</v>
      </c>
      <c r="J68" s="43">
        <f>SUMIF(领跑良品退回!E:E,D536,领跑良品退回!G:G)</f>
        <v>0</v>
      </c>
      <c r="K68" s="43">
        <f>M536+L536</f>
        <v>0</v>
      </c>
      <c r="L68" s="43">
        <f>SUMIF(不良品库存!D:D,D:D,不良品库存!F:F)</f>
        <v>0</v>
      </c>
      <c r="M68" s="52">
        <f>G536+H536-I536+J536</f>
        <v>0</v>
      </c>
      <c r="N68" s="42" t="e">
        <v>#N/A</v>
      </c>
      <c r="O68" s="39"/>
      <c r="P68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8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8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8" s="38">
        <f>IF(SUMIFS(合格品入库记录!$G:$G,合格品入库记录!$E:$E,日报!$D:$D,合格品入库记录!$A:$A,日报!S$3)&lt;&gt;0,SUMIFS(合格品入库记录!$G:$G,合格品入库记录!$E:$E,日报!$D:$D,合格品入库记录!$A:$A,日报!S$3),"")</f>
        <v>600</v>
      </c>
      <c r="T68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8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8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8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8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8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8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8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8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8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8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8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8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8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8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8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8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8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8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8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8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8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8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8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8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8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8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8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8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8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8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8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8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8" s="38">
        <f>IF(SUMIFS(合格品出库记录!$G:$G,合格品出库记录!$E:$E,日报!$D:$D,合格品出库记录!$A:$A,日报!BA$3)&lt;&gt;0,SUMIFS(合格品出库记录!$G:$G,合格品出库记录!$E:$E,日报!$D:$D,合格品出库记录!$A:$A,日报!BA$3),"")</f>
        <v>600</v>
      </c>
      <c r="BB68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8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8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8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8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8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8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8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8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8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8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8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8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8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8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8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8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8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8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8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8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8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8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8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8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8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8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8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8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8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8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8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8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8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8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8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8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8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8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8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8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8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8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8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8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8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8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8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8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8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8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8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8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8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8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8" s="58"/>
    </row>
    <row r="69" ht="16.8" customHeight="1" spans="1:109">
      <c r="A69" s="38">
        <v>563</v>
      </c>
      <c r="B69" s="44" t="s">
        <v>19</v>
      </c>
      <c r="C69" s="45" t="s">
        <v>20</v>
      </c>
      <c r="D69" s="42" t="s">
        <v>151</v>
      </c>
      <c r="E69" s="46" t="s">
        <v>152</v>
      </c>
      <c r="F69" s="42" t="str">
        <f>IFERROR(VLOOKUP(D541,'[1]#REF'!D:F,3,FALSE),"0")</f>
        <v>0</v>
      </c>
      <c r="G69" s="38">
        <v>2400</v>
      </c>
      <c r="H69" s="43">
        <f>SUMIF(合格品入库记录!E:E,日报!D541,合格品入库记录!G:G)</f>
        <v>0</v>
      </c>
      <c r="I69" s="43">
        <f>SUMIF(合格品出库记录!E:E,日报!D541,合格品出库记录!G:G)</f>
        <v>0</v>
      </c>
      <c r="J69" s="43">
        <f>SUMIF(领跑良品退回!E:E,D541,领跑良品退回!G:G)</f>
        <v>0</v>
      </c>
      <c r="K69" s="43">
        <f t="shared" ref="K69:K78" si="2">M541+L541</f>
        <v>0</v>
      </c>
      <c r="L69" s="43">
        <f>SUMIF(不良品库存!D:D,D:D,不良品库存!F:F)</f>
        <v>0</v>
      </c>
      <c r="M69" s="52">
        <f t="shared" ref="M69:M78" si="3">G541+H541-I541+J541</f>
        <v>0</v>
      </c>
      <c r="N69" s="42">
        <v>640</v>
      </c>
      <c r="O69" s="44"/>
      <c r="P69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69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69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69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69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69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69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69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69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69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69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69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69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69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69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69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69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69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69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69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69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69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69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69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69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69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69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69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69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69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69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69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69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69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69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69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69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69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69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69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69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69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69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69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69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69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69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69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69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69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69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69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69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69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69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69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69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69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69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69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69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69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69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69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69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69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69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69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69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69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69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69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69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69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69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69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69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69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69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69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69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69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69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69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69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69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69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69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69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69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69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69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69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69" s="58"/>
    </row>
    <row r="70" ht="16.8" customHeight="1" spans="1:109">
      <c r="A70" s="38">
        <v>564</v>
      </c>
      <c r="B70" s="39" t="s">
        <v>19</v>
      </c>
      <c r="C70" s="40" t="s">
        <v>20</v>
      </c>
      <c r="D70" s="38" t="s">
        <v>153</v>
      </c>
      <c r="E70" s="41" t="s">
        <v>154</v>
      </c>
      <c r="F70" s="42" t="str">
        <f>IFERROR(VLOOKUP(D542,'[1]#REF'!D:F,3,FALSE),"0")</f>
        <v>0</v>
      </c>
      <c r="G70" s="38">
        <v>2400</v>
      </c>
      <c r="H70" s="43">
        <f>SUMIF(合格品入库记录!E:E,日报!D542,合格品入库记录!G:G)</f>
        <v>0</v>
      </c>
      <c r="I70" s="43">
        <f>SUMIF(合格品出库记录!E:E,日报!D542,合格品出库记录!G:G)</f>
        <v>0</v>
      </c>
      <c r="J70" s="43">
        <f>SUMIF(领跑良品退回!E:E,D542,领跑良品退回!G:G)</f>
        <v>0</v>
      </c>
      <c r="K70" s="43">
        <f t="shared" si="2"/>
        <v>0</v>
      </c>
      <c r="L70" s="43">
        <f>SUMIF(不良品库存!D:D,D:D,不良品库存!F:F)</f>
        <v>0</v>
      </c>
      <c r="M70" s="52">
        <f t="shared" si="3"/>
        <v>0</v>
      </c>
      <c r="N70" s="42">
        <v>640</v>
      </c>
      <c r="O70" s="39"/>
      <c r="P70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70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70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70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70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70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70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70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70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70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70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70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70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70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70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70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70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70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70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70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70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70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70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70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70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70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70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70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70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70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70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70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70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70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70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70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70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70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70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70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70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70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70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70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70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70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70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70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70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70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70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70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70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70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70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70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70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70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70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70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70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70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70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70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70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70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70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70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70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70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70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70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70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70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70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70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70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70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70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70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70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70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70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70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70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70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70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70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70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70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70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70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70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70" s="58"/>
    </row>
    <row r="71" ht="16.8" customHeight="1" spans="1:109">
      <c r="A71" s="38">
        <v>565</v>
      </c>
      <c r="B71" s="44" t="s">
        <v>19</v>
      </c>
      <c r="C71" s="45" t="s">
        <v>20</v>
      </c>
      <c r="D71" s="42" t="s">
        <v>155</v>
      </c>
      <c r="E71" s="46" t="s">
        <v>156</v>
      </c>
      <c r="F71" s="42" t="str">
        <f>IFERROR(VLOOKUP(D543,'[1]#REF'!D:F,3,FALSE),"0")</f>
        <v>0</v>
      </c>
      <c r="G71" s="38">
        <v>797</v>
      </c>
      <c r="H71" s="43">
        <f>SUMIF(合格品入库记录!E:E,日报!D543,合格品入库记录!G:G)</f>
        <v>0</v>
      </c>
      <c r="I71" s="43">
        <f>SUMIF(合格品出库记录!E:E,日报!D543,合格品出库记录!G:G)</f>
        <v>0</v>
      </c>
      <c r="J71" s="43">
        <f>SUMIF(领跑良品退回!E:E,D543,领跑良品退回!G:G)</f>
        <v>0</v>
      </c>
      <c r="K71" s="43">
        <f t="shared" si="2"/>
        <v>0</v>
      </c>
      <c r="L71" s="43">
        <f>SUMIF(不良品库存!D:D,D:D,不良品库存!F:F)</f>
        <v>0</v>
      </c>
      <c r="M71" s="52">
        <f t="shared" si="3"/>
        <v>0</v>
      </c>
      <c r="N71" s="42">
        <v>160</v>
      </c>
      <c r="O71" s="44"/>
      <c r="P71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71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71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71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71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71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71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71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71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71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71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71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71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71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71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71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71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71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71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71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71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71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71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71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71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71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71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71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71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71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71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71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71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71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71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71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71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71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71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71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71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71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71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71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71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71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71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71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71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71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71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71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71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71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71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71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71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71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71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71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71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71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71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71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71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71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71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71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71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71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71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71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71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71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71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71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71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71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71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71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71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71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71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71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71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71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71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71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71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71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71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71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71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71" s="58"/>
    </row>
    <row r="72" ht="16.8" customHeight="1" spans="1:109">
      <c r="A72" s="38">
        <v>566</v>
      </c>
      <c r="B72" s="39" t="s">
        <v>19</v>
      </c>
      <c r="C72" s="40" t="s">
        <v>20</v>
      </c>
      <c r="D72" s="38" t="s">
        <v>157</v>
      </c>
      <c r="E72" s="41" t="s">
        <v>158</v>
      </c>
      <c r="F72" s="42" t="str">
        <f>IFERROR(VLOOKUP(D544,'[1]#REF'!D:F,3,FALSE),"0")</f>
        <v>0</v>
      </c>
      <c r="G72" s="38">
        <v>0</v>
      </c>
      <c r="H72" s="43">
        <f>SUMIF(合格品入库记录!E:E,日报!D544,合格品入库记录!G:G)</f>
        <v>0</v>
      </c>
      <c r="I72" s="43">
        <f>SUMIF(合格品出库记录!E:E,日报!D544,合格品出库记录!G:G)</f>
        <v>0</v>
      </c>
      <c r="J72" s="43">
        <f>SUMIF(领跑良品退回!E:E,D544,领跑良品退回!G:G)</f>
        <v>0</v>
      </c>
      <c r="K72" s="43">
        <f t="shared" si="2"/>
        <v>0</v>
      </c>
      <c r="L72" s="43">
        <f>SUMIF(不良品库存!D:D,D:D,不良品库存!F:F)</f>
        <v>0</v>
      </c>
      <c r="M72" s="52">
        <f t="shared" si="3"/>
        <v>0</v>
      </c>
      <c r="N72" s="42" t="e">
        <v>#N/A</v>
      </c>
      <c r="O72" s="39"/>
      <c r="P72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72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72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72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72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72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72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72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72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72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72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72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72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72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72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72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72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72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72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72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72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72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72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72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72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72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72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72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72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72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72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72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72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72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72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72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72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72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72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72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72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72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72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72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72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72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72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72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72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72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72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72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72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72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72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72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72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72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72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72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72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72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72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72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72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72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72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72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72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72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72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72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72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72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72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72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72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72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72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72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72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72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72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72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72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72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72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72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72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72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72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72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72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72" s="58"/>
    </row>
    <row r="73" ht="16.8" customHeight="1" spans="1:109">
      <c r="A73" s="38">
        <v>567</v>
      </c>
      <c r="B73" s="44" t="s">
        <v>19</v>
      </c>
      <c r="C73" s="45" t="s">
        <v>20</v>
      </c>
      <c r="D73" s="42" t="s">
        <v>159</v>
      </c>
      <c r="E73" s="46" t="s">
        <v>160</v>
      </c>
      <c r="F73" s="42" t="str">
        <f>IFERROR(VLOOKUP(D545,'[1]#REF'!D:F,3,FALSE),"0")</f>
        <v>0</v>
      </c>
      <c r="G73" s="38">
        <v>0</v>
      </c>
      <c r="H73" s="43">
        <f>SUMIF(合格品入库记录!E:E,日报!D545,合格品入库记录!G:G)</f>
        <v>0</v>
      </c>
      <c r="I73" s="43">
        <f>SUMIF(合格品出库记录!E:E,日报!D545,合格品出库记录!G:G)</f>
        <v>0</v>
      </c>
      <c r="J73" s="43">
        <f>SUMIF(领跑良品退回!E:E,D545,领跑良品退回!G:G)</f>
        <v>0</v>
      </c>
      <c r="K73" s="43">
        <f t="shared" si="2"/>
        <v>0</v>
      </c>
      <c r="L73" s="43">
        <f>SUMIF(不良品库存!D:D,D:D,不良品库存!F:F)</f>
        <v>0</v>
      </c>
      <c r="M73" s="52">
        <f t="shared" si="3"/>
        <v>0</v>
      </c>
      <c r="N73" s="42" t="e">
        <v>#N/A</v>
      </c>
      <c r="O73" s="44"/>
      <c r="P73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73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73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73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73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73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73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73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73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73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73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73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73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73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73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73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73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73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73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73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73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73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73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73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73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73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73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73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73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73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73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73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73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73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73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73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73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73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73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73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73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73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73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73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73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73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73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73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73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73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73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73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73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73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73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73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73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73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73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73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73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73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73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73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73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73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73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73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73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73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73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73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73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73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73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73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73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73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73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73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73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73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73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73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73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73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73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73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73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73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73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73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73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73" s="58"/>
    </row>
    <row r="74" ht="16.8" customHeight="1" spans="1:109">
      <c r="A74" s="38">
        <v>568</v>
      </c>
      <c r="B74" s="39" t="s">
        <v>19</v>
      </c>
      <c r="C74" s="40" t="s">
        <v>20</v>
      </c>
      <c r="D74" s="38" t="s">
        <v>161</v>
      </c>
      <c r="E74" s="41" t="s">
        <v>162</v>
      </c>
      <c r="F74" s="42" t="str">
        <f>IFERROR(VLOOKUP(D546,'[1]#REF'!D:F,3,FALSE),"0")</f>
        <v>0</v>
      </c>
      <c r="G74" s="38">
        <v>0</v>
      </c>
      <c r="H74" s="43">
        <f>SUMIF(合格品入库记录!E:E,日报!D546,合格品入库记录!G:G)</f>
        <v>0</v>
      </c>
      <c r="I74" s="43">
        <f>SUMIF(合格品出库记录!E:E,日报!D546,合格品出库记录!G:G)</f>
        <v>0</v>
      </c>
      <c r="J74" s="43">
        <f>SUMIF(领跑良品退回!E:E,D546,领跑良品退回!G:G)</f>
        <v>0</v>
      </c>
      <c r="K74" s="43">
        <f t="shared" si="2"/>
        <v>0</v>
      </c>
      <c r="L74" s="43">
        <f>SUMIF(不良品库存!D:D,D:D,不良品库存!F:F)</f>
        <v>0</v>
      </c>
      <c r="M74" s="52">
        <f t="shared" si="3"/>
        <v>0</v>
      </c>
      <c r="N74" s="42" t="e">
        <v>#N/A</v>
      </c>
      <c r="O74" s="39"/>
      <c r="P74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74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74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74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74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74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74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74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74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74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74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74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74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74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74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74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74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74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74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74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74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74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74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74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74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74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74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74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74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74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74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74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74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74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74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74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74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74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74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74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74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74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74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74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74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74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74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74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74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74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74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74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74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74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74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74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74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74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74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74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74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74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74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74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74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74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74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74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74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74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74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74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74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74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74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74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74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74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74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74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74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74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74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74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74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74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74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74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74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74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74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74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74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74" s="58"/>
    </row>
    <row r="75" ht="16.8" customHeight="1" spans="1:109">
      <c r="A75" s="38">
        <v>569</v>
      </c>
      <c r="B75" s="44" t="s">
        <v>19</v>
      </c>
      <c r="C75" s="45" t="s">
        <v>20</v>
      </c>
      <c r="D75" s="42" t="s">
        <v>163</v>
      </c>
      <c r="E75" s="46" t="s">
        <v>164</v>
      </c>
      <c r="F75" s="42" t="str">
        <f>IFERROR(VLOOKUP(D547,'[1]#REF'!D:F,3,FALSE),"0")</f>
        <v>0</v>
      </c>
      <c r="G75" s="38">
        <v>0</v>
      </c>
      <c r="H75" s="43">
        <f>SUMIF(合格品入库记录!E:E,日报!D547,合格品入库记录!G:G)</f>
        <v>0</v>
      </c>
      <c r="I75" s="43">
        <f>SUMIF(合格品出库记录!E:E,日报!D547,合格品出库记录!G:G)</f>
        <v>0</v>
      </c>
      <c r="J75" s="43">
        <f>SUMIF(领跑良品退回!E:E,D547,领跑良品退回!G:G)</f>
        <v>0</v>
      </c>
      <c r="K75" s="43">
        <f t="shared" si="2"/>
        <v>0</v>
      </c>
      <c r="L75" s="43">
        <f>SUMIF(不良品库存!D:D,D:D,不良品库存!F:F)</f>
        <v>0</v>
      </c>
      <c r="M75" s="52">
        <f t="shared" si="3"/>
        <v>0</v>
      </c>
      <c r="N75" s="42" t="e">
        <v>#N/A</v>
      </c>
      <c r="O75" s="44"/>
      <c r="P75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75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75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75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75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75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75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75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75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75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75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75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75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75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75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75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75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75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75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75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75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75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75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75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75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75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75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75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75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75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75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75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75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75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75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75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75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75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75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75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75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75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75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75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75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75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75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75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75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75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75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75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75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75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75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75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75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75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75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75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75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75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75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75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75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75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75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75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75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75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75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75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75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75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75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75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75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75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75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75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75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75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75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75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75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75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75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75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75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75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75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75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75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75" s="58"/>
    </row>
    <row r="76" ht="16.8" customHeight="1" spans="1:109">
      <c r="A76" s="38">
        <v>570</v>
      </c>
      <c r="B76" s="39" t="s">
        <v>19</v>
      </c>
      <c r="C76" s="40" t="s">
        <v>20</v>
      </c>
      <c r="D76" s="38" t="s">
        <v>165</v>
      </c>
      <c r="E76" s="41" t="s">
        <v>166</v>
      </c>
      <c r="F76" s="42" t="str">
        <f>IFERROR(VLOOKUP(D548,'[1]#REF'!D:F,3,FALSE),"0")</f>
        <v>0</v>
      </c>
      <c r="G76" s="38">
        <v>0</v>
      </c>
      <c r="H76" s="43">
        <f>SUMIF(合格品入库记录!E:E,日报!D548,合格品入库记录!G:G)</f>
        <v>0</v>
      </c>
      <c r="I76" s="43">
        <f>SUMIF(合格品出库记录!E:E,日报!D548,合格品出库记录!G:G)</f>
        <v>0</v>
      </c>
      <c r="J76" s="43">
        <f>SUMIF(领跑良品退回!E:E,D548,领跑良品退回!G:G)</f>
        <v>0</v>
      </c>
      <c r="K76" s="43">
        <f t="shared" si="2"/>
        <v>0</v>
      </c>
      <c r="L76" s="43">
        <f>SUMIF(不良品库存!D:D,D:D,不良品库存!F:F)</f>
        <v>0</v>
      </c>
      <c r="M76" s="52">
        <f t="shared" si="3"/>
        <v>0</v>
      </c>
      <c r="N76" s="42" t="e">
        <v>#N/A</v>
      </c>
      <c r="O76" s="39"/>
      <c r="P76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76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76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76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76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76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76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76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76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76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76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76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76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76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76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76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76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76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76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76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76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76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76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76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76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76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76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76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76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76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76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76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76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76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76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76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76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76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76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76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76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76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76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76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76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76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76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76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76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76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76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76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76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76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76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76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76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76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76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76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76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76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76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76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76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76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76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76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76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76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76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76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76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76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76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76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76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76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76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76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76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76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76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76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76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76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76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76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76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76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76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76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76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76" s="58"/>
    </row>
    <row r="77" ht="16.8" customHeight="1" spans="1:109">
      <c r="A77" s="38">
        <v>571</v>
      </c>
      <c r="B77" s="44" t="s">
        <v>19</v>
      </c>
      <c r="C77" s="45" t="s">
        <v>20</v>
      </c>
      <c r="D77" s="42" t="s">
        <v>167</v>
      </c>
      <c r="E77" s="46" t="s">
        <v>168</v>
      </c>
      <c r="F77" s="42" t="str">
        <f>IFERROR(VLOOKUP(D549,'[1]#REF'!D:F,3,FALSE),"0")</f>
        <v>0</v>
      </c>
      <c r="G77" s="38">
        <v>0</v>
      </c>
      <c r="H77" s="43">
        <f>SUMIF(合格品入库记录!E:E,日报!D549,合格品入库记录!G:G)</f>
        <v>0</v>
      </c>
      <c r="I77" s="43">
        <f>SUMIF(合格品出库记录!E:E,日报!D549,合格品出库记录!G:G)</f>
        <v>0</v>
      </c>
      <c r="J77" s="43">
        <f>SUMIF(领跑良品退回!E:E,D549,领跑良品退回!G:G)</f>
        <v>0</v>
      </c>
      <c r="K77" s="43">
        <f t="shared" si="2"/>
        <v>0</v>
      </c>
      <c r="L77" s="43">
        <f>SUMIF(不良品库存!D:D,D:D,不良品库存!F:F)</f>
        <v>0</v>
      </c>
      <c r="M77" s="52">
        <f t="shared" si="3"/>
        <v>0</v>
      </c>
      <c r="N77" s="42" t="e">
        <v>#N/A</v>
      </c>
      <c r="O77" s="44"/>
      <c r="P77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77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77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77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77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77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77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77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77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77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77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77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77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77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77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77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77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77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77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77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77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77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77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77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77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77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77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77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77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77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77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77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77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77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77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77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77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77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77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77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77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77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77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77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77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77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77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77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77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77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77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77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77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77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77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77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77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77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77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77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77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77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77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77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77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77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77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77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77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77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77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77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77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77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77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77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77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77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77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77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77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77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77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77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77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77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77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77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77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77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77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77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77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77" s="58"/>
    </row>
    <row r="78" ht="16.8" customHeight="1" spans="1:109">
      <c r="A78" s="38">
        <v>572</v>
      </c>
      <c r="B78" s="39" t="s">
        <v>19</v>
      </c>
      <c r="C78" s="40" t="s">
        <v>20</v>
      </c>
      <c r="D78" s="38" t="s">
        <v>169</v>
      </c>
      <c r="E78" s="41" t="s">
        <v>170</v>
      </c>
      <c r="F78" s="42" t="str">
        <f>IFERROR(VLOOKUP(D550,'[1]#REF'!D:F,3,FALSE),"0")</f>
        <v>0</v>
      </c>
      <c r="G78" s="38">
        <v>0</v>
      </c>
      <c r="H78" s="43">
        <f>SUMIF(合格品入库记录!E:E,日报!D550,合格品入库记录!G:G)</f>
        <v>0</v>
      </c>
      <c r="I78" s="43">
        <f>SUMIF(合格品出库记录!E:E,日报!D550,合格品出库记录!G:G)</f>
        <v>0</v>
      </c>
      <c r="J78" s="43">
        <f>SUMIF(领跑良品退回!E:E,D550,领跑良品退回!G:G)</f>
        <v>0</v>
      </c>
      <c r="K78" s="43">
        <f t="shared" si="2"/>
        <v>0</v>
      </c>
      <c r="L78" s="43">
        <f>SUMIF(不良品库存!D:D,D:D,不良品库存!F:F)</f>
        <v>0</v>
      </c>
      <c r="M78" s="52">
        <f t="shared" si="3"/>
        <v>0</v>
      </c>
      <c r="N78" s="42" t="e">
        <v>#N/A</v>
      </c>
      <c r="O78" s="39"/>
      <c r="P78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78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78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78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78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78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78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78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78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78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78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78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78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78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78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78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78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78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78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78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78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78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78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78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78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78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78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78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78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78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78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78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78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78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78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78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78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78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78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78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78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78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78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78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78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78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78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78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78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78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78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78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78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78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78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78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78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78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78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78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78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78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78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78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78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78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78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78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78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78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78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78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78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78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78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78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78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78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78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78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78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78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78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78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78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78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78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78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78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78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78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78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78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78" s="58"/>
    </row>
    <row r="79" ht="16.8" customHeight="1" spans="1:109">
      <c r="A79" s="38">
        <v>578</v>
      </c>
      <c r="B79" s="39" t="s">
        <v>19</v>
      </c>
      <c r="C79" s="40" t="s">
        <v>20</v>
      </c>
      <c r="D79" s="38" t="s">
        <v>171</v>
      </c>
      <c r="E79" s="41" t="s">
        <v>172</v>
      </c>
      <c r="F79" s="42" t="str">
        <f>IFERROR(VLOOKUP(D556,'[1]#REF'!D:F,3,FALSE),"0")</f>
        <v>0</v>
      </c>
      <c r="G79" s="38">
        <v>0</v>
      </c>
      <c r="H79" s="43">
        <f>SUMIF(合格品入库记录!E:E,日报!D556,合格品入库记录!G:G)</f>
        <v>0</v>
      </c>
      <c r="I79" s="43">
        <f>SUMIF(合格品出库记录!E:E,日报!D556,合格品出库记录!G:G)</f>
        <v>0</v>
      </c>
      <c r="J79" s="43">
        <f>SUMIF(领跑良品退回!E:E,D556,领跑良品退回!G:G)</f>
        <v>0</v>
      </c>
      <c r="K79" s="43">
        <f>M556+L556</f>
        <v>0</v>
      </c>
      <c r="L79" s="43">
        <f>SUMIF(不良品库存!D:D,D:D,不良品库存!F:F)</f>
        <v>0</v>
      </c>
      <c r="M79" s="52">
        <f>G556+H556-I556+J556</f>
        <v>0</v>
      </c>
      <c r="N79" s="42" t="e">
        <v>#N/A</v>
      </c>
      <c r="O79" s="39"/>
      <c r="P79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79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79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79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79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79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79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79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79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79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79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79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79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79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79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79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79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79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79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79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79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79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79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79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79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79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79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79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79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79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79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79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79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79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79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79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79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79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79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79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79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79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79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79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79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79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79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79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79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79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79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79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79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79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79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79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79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79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79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79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79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79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79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79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79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79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79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79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79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79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79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79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79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79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79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79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79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79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79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79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79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79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79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79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79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79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79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79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79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79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79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79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79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79" s="58"/>
    </row>
    <row r="80" ht="16.8" customHeight="1" spans="1:109">
      <c r="A80" s="38">
        <v>592</v>
      </c>
      <c r="B80" s="39" t="s">
        <v>19</v>
      </c>
      <c r="C80" s="40" t="s">
        <v>20</v>
      </c>
      <c r="D80" s="38" t="s">
        <v>173</v>
      </c>
      <c r="E80" s="41" t="s">
        <v>174</v>
      </c>
      <c r="F80" s="42" t="str">
        <f>IFERROR(VLOOKUP(D569,'[1]#REF'!D:F,3,FALSE),"0")</f>
        <v>0</v>
      </c>
      <c r="G80" s="38">
        <v>0</v>
      </c>
      <c r="H80" s="43">
        <f>SUMIF(合格品入库记录!E:E,日报!D569,合格品入库记录!G:G)</f>
        <v>0</v>
      </c>
      <c r="I80" s="43">
        <f>SUMIF(合格品出库记录!E:E,日报!D569,合格品出库记录!G:G)</f>
        <v>0</v>
      </c>
      <c r="J80" s="43">
        <f>SUMIF(领跑良品退回!E:E,D569,领跑良品退回!G:G)</f>
        <v>0</v>
      </c>
      <c r="K80" s="43">
        <f>M569+L569</f>
        <v>0</v>
      </c>
      <c r="L80" s="43">
        <f>SUMIF(不良品库存!D:D,D:D,不良品库存!F:F)</f>
        <v>0</v>
      </c>
      <c r="M80" s="52">
        <f>G569+H569-I569+J569</f>
        <v>0</v>
      </c>
      <c r="N80" s="42" t="e">
        <v>#N/A</v>
      </c>
      <c r="O80" s="39"/>
      <c r="P80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80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80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80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80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80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80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80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80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80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80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80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80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80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80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80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80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80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80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80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80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80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80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80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80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80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80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80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80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80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80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80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80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80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80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80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80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80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80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80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80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80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80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80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80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80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80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80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80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80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80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80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80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80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80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80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80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80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80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80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80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80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80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80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80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80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80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80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80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80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80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80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80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80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80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80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80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80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80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80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80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80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80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80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80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80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80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80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80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80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80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80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80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80" s="58"/>
    </row>
    <row r="81" ht="16.8" customHeight="1" spans="1:109">
      <c r="A81" s="38">
        <v>593</v>
      </c>
      <c r="B81" s="44" t="s">
        <v>19</v>
      </c>
      <c r="C81" s="45" t="s">
        <v>20</v>
      </c>
      <c r="D81" s="42" t="s">
        <v>175</v>
      </c>
      <c r="E81" s="46" t="s">
        <v>176</v>
      </c>
      <c r="F81" s="42" t="str">
        <f>IFERROR(VLOOKUP(D570,'[1]#REF'!D:F,3,FALSE),"0")</f>
        <v>0</v>
      </c>
      <c r="G81" s="38">
        <v>0</v>
      </c>
      <c r="H81" s="43">
        <f>SUMIF(合格品入库记录!E:E,日报!D570,合格品入库记录!G:G)</f>
        <v>0</v>
      </c>
      <c r="I81" s="43">
        <f>SUMIF(合格品出库记录!E:E,日报!D570,合格品出库记录!G:G)</f>
        <v>0</v>
      </c>
      <c r="J81" s="43">
        <f>SUMIF(领跑良品退回!E:E,D570,领跑良品退回!G:G)</f>
        <v>0</v>
      </c>
      <c r="K81" s="43">
        <f>M570+L570</f>
        <v>0</v>
      </c>
      <c r="L81" s="43">
        <f>SUMIF(不良品库存!D:D,D:D,不良品库存!F:F)</f>
        <v>0</v>
      </c>
      <c r="M81" s="52">
        <f>G570+H570-I570+J570</f>
        <v>0</v>
      </c>
      <c r="N81" s="42">
        <v>2304</v>
      </c>
      <c r="O81" s="44"/>
      <c r="P81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81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81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81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81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81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81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81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81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81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81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81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81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81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81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81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81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81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81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81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81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81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81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81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81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81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81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81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81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81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81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81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81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81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81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81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81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81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81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81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81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81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81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81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81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81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81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81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81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81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81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81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81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81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81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81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81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81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81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81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81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81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81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81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81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81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81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81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81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81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81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81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81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81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81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81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81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81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81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81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81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81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81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81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81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81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81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81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81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81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81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81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81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81" s="58"/>
    </row>
    <row r="82" ht="16.8" customHeight="1" spans="1:109">
      <c r="A82" s="38">
        <v>594</v>
      </c>
      <c r="B82" s="39" t="s">
        <v>19</v>
      </c>
      <c r="C82" s="40" t="s">
        <v>20</v>
      </c>
      <c r="D82" s="38" t="s">
        <v>177</v>
      </c>
      <c r="E82" s="41" t="s">
        <v>178</v>
      </c>
      <c r="F82" s="42" t="str">
        <f>IFERROR(VLOOKUP(D571,'[1]#REF'!D:F,3,FALSE),"0")</f>
        <v>0</v>
      </c>
      <c r="G82" s="38">
        <v>0</v>
      </c>
      <c r="H82" s="43">
        <f>SUMIF(合格品入库记录!E:E,日报!D571,合格品入库记录!G:G)</f>
        <v>0</v>
      </c>
      <c r="I82" s="43">
        <f>SUMIF(合格品出库记录!E:E,日报!D571,合格品出库记录!G:G)</f>
        <v>0</v>
      </c>
      <c r="J82" s="43">
        <f>SUMIF(领跑良品退回!E:E,D571,领跑良品退回!G:G)</f>
        <v>0</v>
      </c>
      <c r="K82" s="43">
        <f>M571+L571</f>
        <v>0</v>
      </c>
      <c r="L82" s="43">
        <f>SUMIF(不良品库存!D:D,D:D,不良品库存!F:F)</f>
        <v>0</v>
      </c>
      <c r="M82" s="52">
        <f>G571+H571-I571+J571</f>
        <v>0</v>
      </c>
      <c r="N82" s="42">
        <v>1024</v>
      </c>
      <c r="O82" s="39"/>
      <c r="P82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82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82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82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82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82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82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82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82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82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82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82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82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82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82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82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82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82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82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82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82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82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82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82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82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82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82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82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82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82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82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82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82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82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82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82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82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82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82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82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82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82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82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82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82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82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82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82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82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82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82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82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82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82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82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82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82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82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82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82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82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82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82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82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82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82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82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82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82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82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82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82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82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82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82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82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82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82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82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82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82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82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82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82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82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82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82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82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82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82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82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82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82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82" s="58"/>
    </row>
    <row r="83" ht="16.8" customHeight="1" spans="1:109">
      <c r="A83" s="38">
        <v>595</v>
      </c>
      <c r="B83" s="44" t="s">
        <v>19</v>
      </c>
      <c r="C83" s="45" t="s">
        <v>20</v>
      </c>
      <c r="D83" s="42" t="s">
        <v>179</v>
      </c>
      <c r="E83" s="46" t="s">
        <v>180</v>
      </c>
      <c r="F83" s="42" t="str">
        <f>IFERROR(VLOOKUP(D572,'[1]#REF'!D:F,3,FALSE),"0")</f>
        <v>0</v>
      </c>
      <c r="G83" s="38">
        <v>0</v>
      </c>
      <c r="H83" s="43">
        <f>SUMIF(合格品入库记录!E:E,日报!D572,合格品入库记录!G:G)</f>
        <v>0</v>
      </c>
      <c r="I83" s="43">
        <f>SUMIF(合格品出库记录!E:E,日报!D572,合格品出库记录!G:G)</f>
        <v>0</v>
      </c>
      <c r="J83" s="43">
        <f>SUMIF(领跑良品退回!E:E,D572,领跑良品退回!G:G)</f>
        <v>0</v>
      </c>
      <c r="K83" s="43">
        <f>M572+L572</f>
        <v>0</v>
      </c>
      <c r="L83" s="43">
        <f>SUMIF(不良品库存!D:D,D:D,不良品库存!F:F)</f>
        <v>0</v>
      </c>
      <c r="M83" s="52">
        <f>G572+H572-I572+J572</f>
        <v>0</v>
      </c>
      <c r="N83" s="42">
        <v>2304</v>
      </c>
      <c r="O83" s="44"/>
      <c r="P83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83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83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83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83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83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83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83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83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83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83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83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83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83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83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83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83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83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83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83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83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83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83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83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83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83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83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83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83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83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83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83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83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83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83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83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83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83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83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83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83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83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83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83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83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83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83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83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83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83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83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83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83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83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83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83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83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83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83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83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83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83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83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83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83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83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83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83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83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83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83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83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83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83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83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83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83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83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83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83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83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83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83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83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83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83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83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83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83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83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83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83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83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83" s="58"/>
    </row>
    <row r="84" ht="16.8" customHeight="1" spans="1:109">
      <c r="A84" s="38">
        <v>602</v>
      </c>
      <c r="B84" s="39" t="s">
        <v>19</v>
      </c>
      <c r="C84" s="40" t="s">
        <v>20</v>
      </c>
      <c r="D84" s="38" t="s">
        <v>181</v>
      </c>
      <c r="E84" s="41" t="s">
        <v>182</v>
      </c>
      <c r="F84" s="42" t="str">
        <f>IFERROR(VLOOKUP(D579,'[1]#REF'!D:F,3,FALSE),"0")</f>
        <v>0</v>
      </c>
      <c r="G84" s="38">
        <v>0</v>
      </c>
      <c r="H84" s="43">
        <f>SUMIF(合格品入库记录!E:E,日报!D579,合格品入库记录!G:G)</f>
        <v>0</v>
      </c>
      <c r="I84" s="43">
        <f>SUMIF(合格品出库记录!E:E,日报!D579,合格品出库记录!G:G)</f>
        <v>0</v>
      </c>
      <c r="J84" s="43">
        <f>SUMIF(领跑良品退回!E:E,D579,领跑良品退回!G:G)</f>
        <v>0</v>
      </c>
      <c r="K84" s="43">
        <f>M579+L579</f>
        <v>0</v>
      </c>
      <c r="L84" s="43">
        <f>SUMIF(不良品库存!D:D,D:D,不良品库存!F:F)</f>
        <v>0</v>
      </c>
      <c r="M84" s="52">
        <f>G579+H579-I579+J579</f>
        <v>0</v>
      </c>
      <c r="N84" s="42">
        <v>0</v>
      </c>
      <c r="O84" s="39"/>
      <c r="P84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84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84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84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84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84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84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84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84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84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84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84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84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84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84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84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84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84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84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84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84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84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84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84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84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84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84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84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84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84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84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84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84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84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84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84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84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84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84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84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84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84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84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84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84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84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84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84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84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84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84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84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84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84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84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84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84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84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84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84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84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84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84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84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84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84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84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84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84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84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84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84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84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84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84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84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84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84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84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84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84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84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84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84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84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84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84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84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84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84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84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84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84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84" s="58"/>
    </row>
    <row r="85" ht="16.8" customHeight="1" spans="1:109">
      <c r="A85" s="38">
        <v>603</v>
      </c>
      <c r="B85" s="44" t="s">
        <v>19</v>
      </c>
      <c r="C85" s="45" t="s">
        <v>20</v>
      </c>
      <c r="D85" s="42" t="s">
        <v>183</v>
      </c>
      <c r="E85" s="46" t="s">
        <v>184</v>
      </c>
      <c r="F85" s="42" t="str">
        <f>IFERROR(VLOOKUP(D580,'[1]#REF'!D:F,3,FALSE),"0")</f>
        <v>0</v>
      </c>
      <c r="G85" s="38">
        <v>0</v>
      </c>
      <c r="H85" s="43">
        <f>SUMIF(合格品入库记录!E:E,日报!D580,合格品入库记录!G:G)</f>
        <v>0</v>
      </c>
      <c r="I85" s="43">
        <f>SUMIF(合格品出库记录!E:E,日报!D580,合格品出库记录!G:G)</f>
        <v>0</v>
      </c>
      <c r="J85" s="43">
        <f>SUMIF(领跑良品退回!E:E,D580,领跑良品退回!G:G)</f>
        <v>0</v>
      </c>
      <c r="K85" s="43">
        <f>M580+L580</f>
        <v>0</v>
      </c>
      <c r="L85" s="43">
        <f>SUMIF(不良品库存!D:D,D:D,不良品库存!F:F)</f>
        <v>0</v>
      </c>
      <c r="M85" s="52">
        <f>G580+H580-I580+J580</f>
        <v>0</v>
      </c>
      <c r="N85" s="42">
        <v>0</v>
      </c>
      <c r="O85" s="44"/>
      <c r="P85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85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85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85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85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85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85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85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85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85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85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85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85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85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85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85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85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85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85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85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85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85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85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85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85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85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85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85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85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85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85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85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85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85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85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85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85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85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85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85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85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85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85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85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85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85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85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85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85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85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85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85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85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85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85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85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85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85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85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85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85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85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85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85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85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85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85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85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85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85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85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85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85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85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85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85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85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85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85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85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85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85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85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85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85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85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85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85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85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85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85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85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85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85" s="58"/>
    </row>
    <row r="86" ht="16.8" customHeight="1" spans="1:109">
      <c r="A86" s="38">
        <v>613</v>
      </c>
      <c r="B86" s="44" t="s">
        <v>19</v>
      </c>
      <c r="C86" s="45" t="s">
        <v>20</v>
      </c>
      <c r="D86" s="42" t="s">
        <v>185</v>
      </c>
      <c r="E86" s="46" t="s">
        <v>186</v>
      </c>
      <c r="F86" s="42" t="str">
        <f>IFERROR(VLOOKUP(D590,'[1]#REF'!D:F,3,FALSE),"0")</f>
        <v>0</v>
      </c>
      <c r="G86" s="38">
        <v>0</v>
      </c>
      <c r="H86" s="43">
        <f>SUMIF(合格品入库记录!E:E,日报!D590,合格品入库记录!G:G)</f>
        <v>0</v>
      </c>
      <c r="I86" s="43">
        <f>SUMIF(合格品出库记录!E:E,日报!D590,合格品出库记录!G:G)</f>
        <v>0</v>
      </c>
      <c r="J86" s="43">
        <f>SUMIF(领跑良品退回!E:E,D590,领跑良品退回!G:G)</f>
        <v>0</v>
      </c>
      <c r="K86" s="43">
        <f>M590+L590</f>
        <v>0</v>
      </c>
      <c r="L86" s="43">
        <f>SUMIF(不良品库存!D:D,D:D,不良品库存!F:F)</f>
        <v>0</v>
      </c>
      <c r="M86" s="52">
        <f>G590+H590-I590+J590</f>
        <v>0</v>
      </c>
      <c r="N86" s="42" t="e">
        <v>#N/A</v>
      </c>
      <c r="O86" s="44"/>
      <c r="P86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86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86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86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86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86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86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86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86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86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86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86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86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86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86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86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86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86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86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86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86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86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86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86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86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86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86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86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86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86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86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86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86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86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86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86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86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86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86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86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86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86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86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86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86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86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86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86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86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86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86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86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86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86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86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86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86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86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86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86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86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86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86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86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86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86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86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86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86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86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86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86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86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86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86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86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86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86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86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86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86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86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86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86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86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86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86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86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86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86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86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86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86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86" s="58"/>
    </row>
    <row r="87" ht="16.8" customHeight="1" spans="1:109">
      <c r="A87" s="38">
        <v>616</v>
      </c>
      <c r="B87" s="39" t="s">
        <v>19</v>
      </c>
      <c r="C87" s="40" t="s">
        <v>20</v>
      </c>
      <c r="D87" s="38" t="s">
        <v>187</v>
      </c>
      <c r="E87" s="41" t="s">
        <v>188</v>
      </c>
      <c r="F87" s="42" t="str">
        <f>IFERROR(VLOOKUP(D593,'[1]#REF'!D:F,3,FALSE),"0")</f>
        <v>0</v>
      </c>
      <c r="G87" s="38">
        <v>0</v>
      </c>
      <c r="H87" s="43">
        <f>SUMIF(合格品入库记录!E:E,日报!D593,合格品入库记录!G:G)</f>
        <v>0</v>
      </c>
      <c r="I87" s="43">
        <f>SUMIF(合格品出库记录!E:E,日报!D593,合格品出库记录!G:G)</f>
        <v>0</v>
      </c>
      <c r="J87" s="43">
        <f>SUMIF(领跑良品退回!E:E,D593,领跑良品退回!G:G)</f>
        <v>0</v>
      </c>
      <c r="K87" s="43">
        <f t="shared" ref="K87:K93" si="4">M593+L593</f>
        <v>0</v>
      </c>
      <c r="L87" s="43">
        <f>SUMIF(不良品库存!D:D,D:D,不良品库存!F:F)</f>
        <v>0</v>
      </c>
      <c r="M87" s="52">
        <f t="shared" ref="M87:M93" si="5">G593+H593-I593+J593</f>
        <v>0</v>
      </c>
      <c r="N87" s="42" t="e">
        <v>#N/A</v>
      </c>
      <c r="O87" s="39"/>
      <c r="P87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87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87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87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87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87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87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87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87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87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87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87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87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87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87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87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87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87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87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87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87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87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87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87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87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87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87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87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87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87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87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87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87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87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87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87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87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87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87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87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87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87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87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87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87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87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87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87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87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87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87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87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87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87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87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87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87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87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87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87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87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87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87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87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87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87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87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87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87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87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87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87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87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87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87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87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87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87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87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87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87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87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87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87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87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87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87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87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87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87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87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87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87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87" s="58"/>
    </row>
    <row r="88" ht="16.8" customHeight="1" spans="1:109">
      <c r="A88" s="38">
        <v>617</v>
      </c>
      <c r="B88" s="39" t="s">
        <v>19</v>
      </c>
      <c r="C88" s="40" t="s">
        <v>20</v>
      </c>
      <c r="D88" s="38" t="s">
        <v>189</v>
      </c>
      <c r="E88" s="41" t="s">
        <v>190</v>
      </c>
      <c r="F88" s="42" t="str">
        <f>IFERROR(VLOOKUP(D594,'[1]#REF'!D:F,3,FALSE),"0")</f>
        <v>0</v>
      </c>
      <c r="G88" s="38">
        <v>0</v>
      </c>
      <c r="H88" s="43">
        <f>SUMIF(合格品入库记录!E:E,日报!D594,合格品入库记录!G:G)</f>
        <v>0</v>
      </c>
      <c r="I88" s="43">
        <f>SUMIF(合格品出库记录!E:E,日报!D594,合格品出库记录!G:G)</f>
        <v>0</v>
      </c>
      <c r="J88" s="43">
        <f>SUMIF(领跑良品退回!E:E,D594,领跑良品退回!G:G)</f>
        <v>0</v>
      </c>
      <c r="K88" s="43">
        <f t="shared" si="4"/>
        <v>0</v>
      </c>
      <c r="L88" s="43">
        <f>SUMIF(不良品库存!D:D,D:D,不良品库存!F:F)</f>
        <v>0</v>
      </c>
      <c r="M88" s="52">
        <f t="shared" si="5"/>
        <v>0</v>
      </c>
      <c r="N88" s="42" t="e">
        <v>#N/A</v>
      </c>
      <c r="O88" s="39"/>
      <c r="P88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88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88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88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88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88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88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88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88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88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88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88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88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88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88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88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88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88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88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88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88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88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88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88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88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88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88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88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88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88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88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88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88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88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88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88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88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88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88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88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88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88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88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88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88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88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88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88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88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88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88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88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88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88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88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88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88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88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88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88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88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88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88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88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88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88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88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88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88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88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88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88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88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88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88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88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88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88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88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88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88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88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88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88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88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88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88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88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88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88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88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88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88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88" s="58"/>
    </row>
    <row r="89" ht="16.8" customHeight="1" spans="1:109">
      <c r="A89" s="38">
        <v>618</v>
      </c>
      <c r="B89" s="44" t="s">
        <v>19</v>
      </c>
      <c r="C89" s="45" t="s">
        <v>20</v>
      </c>
      <c r="D89" s="42" t="s">
        <v>191</v>
      </c>
      <c r="E89" s="46" t="s">
        <v>192</v>
      </c>
      <c r="F89" s="42" t="str">
        <f>IFERROR(VLOOKUP(D595,'[1]#REF'!D:F,3,FALSE),"0")</f>
        <v>0</v>
      </c>
      <c r="G89" s="38">
        <v>0</v>
      </c>
      <c r="H89" s="43">
        <f>SUMIF(合格品入库记录!E:E,日报!D595,合格品入库记录!G:G)</f>
        <v>0</v>
      </c>
      <c r="I89" s="43">
        <f>SUMIF(合格品出库记录!E:E,日报!D595,合格品出库记录!G:G)</f>
        <v>0</v>
      </c>
      <c r="J89" s="43">
        <f>SUMIF(领跑良品退回!E:E,D595,领跑良品退回!G:G)</f>
        <v>0</v>
      </c>
      <c r="K89" s="43">
        <f t="shared" si="4"/>
        <v>0</v>
      </c>
      <c r="L89" s="43">
        <f>SUMIF(不良品库存!D:D,D:D,不良品库存!F:F)</f>
        <v>0</v>
      </c>
      <c r="M89" s="52">
        <f t="shared" si="5"/>
        <v>0</v>
      </c>
      <c r="N89" s="42" t="e">
        <v>#N/A</v>
      </c>
      <c r="O89" s="44"/>
      <c r="P89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89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89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89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89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89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89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89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89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89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89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89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89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89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89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89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89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89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89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89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89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89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89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89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89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89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89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89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89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89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89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89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89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89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89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89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89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89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89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89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89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89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89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89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89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89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89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89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89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89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89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89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89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89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89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89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89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89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89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89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89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89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89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89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89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89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89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89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89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89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89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89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89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89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89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89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89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89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89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89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89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89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89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89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89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89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89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89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89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89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89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89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89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89" s="58"/>
    </row>
    <row r="90" ht="16.8" customHeight="1" spans="1:109">
      <c r="A90" s="38">
        <v>619</v>
      </c>
      <c r="B90" s="39" t="s">
        <v>19</v>
      </c>
      <c r="C90" s="40" t="s">
        <v>20</v>
      </c>
      <c r="D90" s="38" t="s">
        <v>193</v>
      </c>
      <c r="E90" s="41" t="s">
        <v>194</v>
      </c>
      <c r="F90" s="42" t="str">
        <f>IFERROR(VLOOKUP(D596,'[1]#REF'!D:F,3,FALSE),"0")</f>
        <v>0</v>
      </c>
      <c r="G90" s="38">
        <v>0</v>
      </c>
      <c r="H90" s="43">
        <f>SUMIF(合格品入库记录!E:E,日报!D596,合格品入库记录!G:G)</f>
        <v>0</v>
      </c>
      <c r="I90" s="43">
        <f>SUMIF(合格品出库记录!E:E,日报!D596,合格品出库记录!G:G)</f>
        <v>0</v>
      </c>
      <c r="J90" s="43">
        <f>SUMIF(领跑良品退回!E:E,D596,领跑良品退回!G:G)</f>
        <v>0</v>
      </c>
      <c r="K90" s="43">
        <f t="shared" si="4"/>
        <v>0</v>
      </c>
      <c r="L90" s="43">
        <f>SUMIF(不良品库存!D:D,D:D,不良品库存!F:F)</f>
        <v>0</v>
      </c>
      <c r="M90" s="52">
        <f t="shared" si="5"/>
        <v>0</v>
      </c>
      <c r="N90" s="42" t="e">
        <v>#N/A</v>
      </c>
      <c r="O90" s="39"/>
      <c r="P90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90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90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90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90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90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90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90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90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90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90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90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90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90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90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90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90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90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90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90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90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90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90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90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90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90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90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90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90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90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90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90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90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90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90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90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90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90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90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90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90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90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90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90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90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90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90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90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90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90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90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90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90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90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90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90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90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90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90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90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90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90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90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90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90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90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90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90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90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90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90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90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90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90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90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90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90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90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90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90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90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90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90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90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90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90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90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90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90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90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90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90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90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90" s="58"/>
    </row>
    <row r="91" ht="16.8" customHeight="1" spans="1:109">
      <c r="A91" s="38">
        <v>620</v>
      </c>
      <c r="B91" s="44" t="s">
        <v>19</v>
      </c>
      <c r="C91" s="45" t="s">
        <v>20</v>
      </c>
      <c r="D91" s="42" t="s">
        <v>195</v>
      </c>
      <c r="E91" s="46" t="s">
        <v>196</v>
      </c>
      <c r="F91" s="42" t="str">
        <f>IFERROR(VLOOKUP(D597,'[1]#REF'!D:F,3,FALSE),"0")</f>
        <v>0</v>
      </c>
      <c r="G91" s="38">
        <v>0</v>
      </c>
      <c r="H91" s="43">
        <f>SUMIF(合格品入库记录!E:E,日报!D597,合格品入库记录!G:G)</f>
        <v>0</v>
      </c>
      <c r="I91" s="43">
        <f>SUMIF(合格品出库记录!E:E,日报!D597,合格品出库记录!G:G)</f>
        <v>0</v>
      </c>
      <c r="J91" s="43">
        <f>SUMIF(领跑良品退回!E:E,D597,领跑良品退回!G:G)</f>
        <v>0</v>
      </c>
      <c r="K91" s="43">
        <f t="shared" si="4"/>
        <v>0</v>
      </c>
      <c r="L91" s="43">
        <f>SUMIF(不良品库存!D:D,D:D,不良品库存!F:F)</f>
        <v>0</v>
      </c>
      <c r="M91" s="52">
        <f t="shared" si="5"/>
        <v>0</v>
      </c>
      <c r="N91" s="42" t="e">
        <v>#N/A</v>
      </c>
      <c r="O91" s="44"/>
      <c r="P91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91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91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91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91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91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91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91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91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91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91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91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91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91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91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91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91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91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91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91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91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91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91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91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91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91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91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91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91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91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91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91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91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91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91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91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91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91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91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91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91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91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91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91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91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91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91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91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91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91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91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91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91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91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91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91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91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91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91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91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91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91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91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91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91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91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91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91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91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91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91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91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91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91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91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91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91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91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91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91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91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91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91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91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91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91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91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91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91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91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91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91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91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91" s="58"/>
    </row>
    <row r="92" ht="16.8" customHeight="1" spans="1:109">
      <c r="A92" s="38">
        <v>621</v>
      </c>
      <c r="B92" s="39" t="s">
        <v>19</v>
      </c>
      <c r="C92" s="40" t="s">
        <v>20</v>
      </c>
      <c r="D92" s="38" t="s">
        <v>197</v>
      </c>
      <c r="E92" s="41" t="s">
        <v>198</v>
      </c>
      <c r="F92" s="42" t="str">
        <f>IFERROR(VLOOKUP(D598,'[1]#REF'!D:F,3,FALSE),"0")</f>
        <v>0</v>
      </c>
      <c r="G92" s="38">
        <v>0</v>
      </c>
      <c r="H92" s="43">
        <f>SUMIF(合格品入库记录!E:E,日报!D598,合格品入库记录!G:G)</f>
        <v>0</v>
      </c>
      <c r="I92" s="43">
        <f>SUMIF(合格品出库记录!E:E,日报!D598,合格品出库记录!G:G)</f>
        <v>0</v>
      </c>
      <c r="J92" s="43">
        <f>SUMIF(领跑良品退回!E:E,D598,领跑良品退回!G:G)</f>
        <v>0</v>
      </c>
      <c r="K92" s="43">
        <f t="shared" si="4"/>
        <v>0</v>
      </c>
      <c r="L92" s="43">
        <f>SUMIF(不良品库存!D:D,D:D,不良品库存!F:F)</f>
        <v>0</v>
      </c>
      <c r="M92" s="52">
        <f t="shared" si="5"/>
        <v>0</v>
      </c>
      <c r="N92" s="42" t="e">
        <v>#N/A</v>
      </c>
      <c r="O92" s="39"/>
      <c r="P92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92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92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92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92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92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92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92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92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92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92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92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92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92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92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92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92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92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92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92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92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92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92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92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92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92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92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92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92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92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92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92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92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92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92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92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92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92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92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92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92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92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92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92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92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92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92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92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92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92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92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92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92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92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92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92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92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92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92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92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92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92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92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92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92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92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92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92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92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92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92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92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92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92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92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92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92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92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92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92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92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92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92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92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92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92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92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92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92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92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92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92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92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92" s="58"/>
    </row>
    <row r="93" ht="16.8" customHeight="1" spans="1:109">
      <c r="A93" s="38">
        <v>622</v>
      </c>
      <c r="B93" s="44" t="s">
        <v>19</v>
      </c>
      <c r="C93" s="45" t="s">
        <v>20</v>
      </c>
      <c r="D93" s="42" t="s">
        <v>199</v>
      </c>
      <c r="E93" s="46" t="s">
        <v>200</v>
      </c>
      <c r="F93" s="42" t="str">
        <f>IFERROR(VLOOKUP(D599,'[1]#REF'!D:F,3,FALSE),"0")</f>
        <v>0</v>
      </c>
      <c r="G93" s="38">
        <v>0</v>
      </c>
      <c r="H93" s="43">
        <f>SUMIF(合格品入库记录!E:E,日报!D599,合格品入库记录!G:G)</f>
        <v>0</v>
      </c>
      <c r="I93" s="43">
        <f>SUMIF(合格品出库记录!E:E,日报!D599,合格品出库记录!G:G)</f>
        <v>0</v>
      </c>
      <c r="J93" s="43">
        <f>SUMIF(领跑良品退回!E:E,D599,领跑良品退回!G:G)</f>
        <v>0</v>
      </c>
      <c r="K93" s="43">
        <f t="shared" si="4"/>
        <v>0</v>
      </c>
      <c r="L93" s="43">
        <f>SUMIF(不良品库存!D:D,D:D,不良品库存!F:F)</f>
        <v>0</v>
      </c>
      <c r="M93" s="52">
        <f t="shared" si="5"/>
        <v>0</v>
      </c>
      <c r="N93" s="42" t="e">
        <v>#N/A</v>
      </c>
      <c r="O93" s="44"/>
      <c r="P93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93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93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93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93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93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93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93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93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93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93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93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93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93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93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93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93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93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93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93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93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93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93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93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93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93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93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93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93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93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93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93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93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93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93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93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93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93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93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93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93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93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93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93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93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93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93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93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93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93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93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93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93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93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93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93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93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93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93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93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93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93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93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93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93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93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93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93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93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93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93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93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93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93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93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93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93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93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93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93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93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93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93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93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93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93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93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93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93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93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93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93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93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93" s="58"/>
    </row>
    <row r="94" ht="16.8" customHeight="1" spans="1:109">
      <c r="A94" s="38">
        <v>625</v>
      </c>
      <c r="B94" s="39" t="s">
        <v>19</v>
      </c>
      <c r="C94" s="40" t="s">
        <v>20</v>
      </c>
      <c r="D94" s="38" t="s">
        <v>201</v>
      </c>
      <c r="E94" s="41" t="s">
        <v>202</v>
      </c>
      <c r="F94" s="42" t="str">
        <f>IFERROR(VLOOKUP(D602,'[1]#REF'!D:F,3,FALSE),"0")</f>
        <v>0</v>
      </c>
      <c r="G94" s="38">
        <v>0</v>
      </c>
      <c r="H94" s="43">
        <f>SUMIF(合格品入库记录!E:E,日报!D602,合格品入库记录!G:G)</f>
        <v>0</v>
      </c>
      <c r="I94" s="43">
        <f>SUMIF(合格品出库记录!E:E,日报!D602,合格品出库记录!G:G)</f>
        <v>0</v>
      </c>
      <c r="J94" s="43">
        <f>SUMIF(领跑良品退回!E:E,D602,领跑良品退回!G:G)</f>
        <v>0</v>
      </c>
      <c r="K94" s="43">
        <f>M602+L602</f>
        <v>0</v>
      </c>
      <c r="L94" s="43">
        <f>SUMIF(不良品库存!D:D,D:D,不良品库存!F:F)</f>
        <v>0</v>
      </c>
      <c r="M94" s="52">
        <f>G602+H602-I602+J602</f>
        <v>0</v>
      </c>
      <c r="N94" s="42" t="e">
        <v>#N/A</v>
      </c>
      <c r="O94" s="39"/>
      <c r="P94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94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94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94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94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94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94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94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94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94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94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94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94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94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94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94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94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94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94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94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94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94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94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94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94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94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94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94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94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94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94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94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94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94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94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94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94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94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94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94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94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94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94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94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94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94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94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94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94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94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94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94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94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94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94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94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94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94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94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94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94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94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94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94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94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94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94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94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94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94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94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94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94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94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94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94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94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94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94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94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94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94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94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94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94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94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94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94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94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94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94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94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94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94" s="58"/>
    </row>
    <row r="95" ht="16.8" customHeight="1" spans="1:109">
      <c r="A95" s="38">
        <v>629</v>
      </c>
      <c r="B95" s="39" t="s">
        <v>19</v>
      </c>
      <c r="C95" s="40" t="s">
        <v>20</v>
      </c>
      <c r="D95" s="38" t="s">
        <v>203</v>
      </c>
      <c r="E95" s="41" t="s">
        <v>204</v>
      </c>
      <c r="F95" s="42" t="str">
        <f>IFERROR(VLOOKUP(D606,'[1]#REF'!D:F,3,FALSE),"0")</f>
        <v>0</v>
      </c>
      <c r="G95" s="38">
        <v>0</v>
      </c>
      <c r="H95" s="43">
        <f>SUMIF(合格品入库记录!E:E,日报!D606,合格品入库记录!G:G)</f>
        <v>0</v>
      </c>
      <c r="I95" s="43">
        <f>SUMIF(合格品出库记录!E:E,日报!D606,合格品出库记录!G:G)</f>
        <v>0</v>
      </c>
      <c r="J95" s="43">
        <f>SUMIF(领跑良品退回!E:E,D606,领跑良品退回!G:G)</f>
        <v>0</v>
      </c>
      <c r="K95" s="43">
        <f>M606+L606</f>
        <v>0</v>
      </c>
      <c r="L95" s="43">
        <f>SUMIF(不良品库存!D:D,D:D,不良品库存!F:F)</f>
        <v>0</v>
      </c>
      <c r="M95" s="52">
        <f>G606+H606-I606+J606</f>
        <v>0</v>
      </c>
      <c r="N95" s="42" t="e">
        <v>#N/A</v>
      </c>
      <c r="O95" s="39"/>
      <c r="P95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95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95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95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95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95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95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95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95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95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95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95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95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95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95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95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95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95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95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95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95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95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95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95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95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95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95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95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95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95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95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95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95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95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95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95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95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95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95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95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95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95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95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95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95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95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95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95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95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95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95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95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95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95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95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95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95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95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95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95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95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95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95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95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95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95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95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95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95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95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95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95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95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95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95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95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95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95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95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95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95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95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95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95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95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95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95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95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95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95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95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95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95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95" s="58"/>
    </row>
    <row r="96" ht="16.8" customHeight="1" spans="1:109">
      <c r="A96" s="38">
        <v>630</v>
      </c>
      <c r="B96" s="44" t="s">
        <v>19</v>
      </c>
      <c r="C96" s="45" t="s">
        <v>20</v>
      </c>
      <c r="D96" s="42" t="s">
        <v>205</v>
      </c>
      <c r="E96" s="46" t="s">
        <v>206</v>
      </c>
      <c r="F96" s="42" t="str">
        <f>IFERROR(VLOOKUP(D607,'[1]#REF'!D:F,3,FALSE),"0")</f>
        <v>0</v>
      </c>
      <c r="G96" s="38">
        <v>0</v>
      </c>
      <c r="H96" s="43">
        <f>SUMIF(合格品入库记录!E:E,日报!D607,合格品入库记录!G:G)</f>
        <v>0</v>
      </c>
      <c r="I96" s="43">
        <f>SUMIF(合格品出库记录!E:E,日报!D607,合格品出库记录!G:G)</f>
        <v>0</v>
      </c>
      <c r="J96" s="43">
        <f>SUMIF(领跑良品退回!E:E,D607,领跑良品退回!G:G)</f>
        <v>0</v>
      </c>
      <c r="K96" s="43">
        <f>M607+L607</f>
        <v>0</v>
      </c>
      <c r="L96" s="43">
        <f>SUMIF(不良品库存!D:D,D:D,不良品库存!F:F)</f>
        <v>0</v>
      </c>
      <c r="M96" s="52">
        <f>G607+H607-I607+J607</f>
        <v>0</v>
      </c>
      <c r="N96" s="42" t="e">
        <v>#N/A</v>
      </c>
      <c r="O96" s="44"/>
      <c r="P96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96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96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96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96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96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96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96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96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96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96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96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96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96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96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96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96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96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96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96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96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96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96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96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96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96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96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96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96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96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96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96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96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96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96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96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96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96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96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96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96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96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96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96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96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96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96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96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96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96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96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96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96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96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96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96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96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96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96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96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96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96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96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96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96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96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96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96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96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96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96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96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96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96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96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96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96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96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96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96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96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96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96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96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96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96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96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96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96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96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96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96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96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96" s="58"/>
    </row>
    <row r="97" ht="16.8" customHeight="1" spans="1:109">
      <c r="A97" s="38">
        <v>631</v>
      </c>
      <c r="B97" s="39" t="s">
        <v>19</v>
      </c>
      <c r="C97" s="40" t="s">
        <v>20</v>
      </c>
      <c r="D97" s="38" t="s">
        <v>207</v>
      </c>
      <c r="E97" s="41" t="s">
        <v>208</v>
      </c>
      <c r="F97" s="42" t="str">
        <f>IFERROR(VLOOKUP(D608,'[1]#REF'!D:F,3,FALSE),"0")</f>
        <v>0</v>
      </c>
      <c r="G97" s="38">
        <v>0</v>
      </c>
      <c r="H97" s="43">
        <f>SUMIF(合格品入库记录!E:E,日报!D608,合格品入库记录!G:G)</f>
        <v>0</v>
      </c>
      <c r="I97" s="43">
        <f>SUMIF(合格品出库记录!E:E,日报!D608,合格品出库记录!G:G)</f>
        <v>0</v>
      </c>
      <c r="J97" s="43">
        <f>SUMIF(领跑良品退回!E:E,D608,领跑良品退回!G:G)</f>
        <v>0</v>
      </c>
      <c r="K97" s="43">
        <f>M608+L608</f>
        <v>0</v>
      </c>
      <c r="L97" s="43">
        <f>SUMIF(不良品库存!D:D,D:D,不良品库存!F:F)</f>
        <v>0</v>
      </c>
      <c r="M97" s="52">
        <f>G608+H608-I608+J608</f>
        <v>0</v>
      </c>
      <c r="N97" s="42" t="e">
        <v>#N/A</v>
      </c>
      <c r="O97" s="39"/>
      <c r="P97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97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97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97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97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97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97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97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97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97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97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97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97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97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97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97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97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97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97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97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97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97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97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97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97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97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97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97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97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97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97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97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97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97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97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97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97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97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97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97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97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97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97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97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97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97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97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97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97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97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97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97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97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97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97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97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97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97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97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97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97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97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97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97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97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97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97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97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97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97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97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97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97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97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97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97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97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97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97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97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97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97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97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97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97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97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97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97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97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97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97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97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97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97" s="58"/>
    </row>
    <row r="98" ht="16.8" customHeight="1" spans="1:109">
      <c r="A98" s="38">
        <v>675</v>
      </c>
      <c r="B98" s="39" t="s">
        <v>19</v>
      </c>
      <c r="C98" s="40" t="s">
        <v>20</v>
      </c>
      <c r="D98" s="38" t="s">
        <v>209</v>
      </c>
      <c r="E98" s="41" t="s">
        <v>210</v>
      </c>
      <c r="F98" s="42" t="str">
        <f>IFERROR(VLOOKUP(D652,'[1]#REF'!D:F,3,FALSE),"0")</f>
        <v>0</v>
      </c>
      <c r="G98" s="38">
        <v>0</v>
      </c>
      <c r="H98" s="43">
        <f>SUMIF(合格品入库记录!E:E,日报!D652,合格品入库记录!G:G)</f>
        <v>0</v>
      </c>
      <c r="I98" s="43">
        <f>SUMIF(合格品出库记录!E:E,日报!D652,合格品出库记录!G:G)</f>
        <v>0</v>
      </c>
      <c r="J98" s="43">
        <f>SUMIF(领跑良品退回!E:E,D652,领跑良品退回!G:G)</f>
        <v>0</v>
      </c>
      <c r="K98" s="43">
        <f t="shared" ref="K98:K103" si="6">M652+L652</f>
        <v>0</v>
      </c>
      <c r="L98" s="43">
        <f>SUMIF(不良品库存!D:D,D:D,不良品库存!F:F)</f>
        <v>0</v>
      </c>
      <c r="M98" s="52">
        <f t="shared" ref="M98:M103" si="7">G652+H652-I652+J652</f>
        <v>0</v>
      </c>
      <c r="N98" s="42" t="e">
        <v>#N/A</v>
      </c>
      <c r="O98" s="39"/>
      <c r="P98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98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98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98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98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98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98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98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98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98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98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98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98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98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98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98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98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98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98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98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98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98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98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98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98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98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98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98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98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98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98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98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98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98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98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98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98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98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98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98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98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98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98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98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98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98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98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98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98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98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98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98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98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98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98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98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98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98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98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98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98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98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98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98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98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98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98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98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98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98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98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98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98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98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98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98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98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98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98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98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98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98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98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98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98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98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98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98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98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98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98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98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98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98" s="58"/>
    </row>
    <row r="99" ht="16.8" customHeight="1" spans="1:109">
      <c r="A99" s="38">
        <v>676</v>
      </c>
      <c r="B99" s="44" t="s">
        <v>19</v>
      </c>
      <c r="C99" s="45" t="s">
        <v>20</v>
      </c>
      <c r="D99" s="42" t="s">
        <v>211</v>
      </c>
      <c r="E99" s="46" t="s">
        <v>212</v>
      </c>
      <c r="F99" s="42" t="str">
        <f>IFERROR(VLOOKUP(D653,'[1]#REF'!D:F,3,FALSE),"0")</f>
        <v>0</v>
      </c>
      <c r="G99" s="38">
        <v>8018</v>
      </c>
      <c r="H99" s="43">
        <f>SUMIF(合格品入库记录!E:E,日报!D653,合格品入库记录!G:G)</f>
        <v>0</v>
      </c>
      <c r="I99" s="43">
        <f>SUMIF(合格品出库记录!E:E,日报!D653,合格品出库记录!G:G)</f>
        <v>0</v>
      </c>
      <c r="J99" s="43">
        <f>SUMIF(领跑良品退回!E:E,D653,领跑良品退回!G:G)</f>
        <v>0</v>
      </c>
      <c r="K99" s="43">
        <f t="shared" si="6"/>
        <v>0</v>
      </c>
      <c r="L99" s="43">
        <f>SUMIF(不良品库存!D:D,D:D,不良品库存!F:F)</f>
        <v>0</v>
      </c>
      <c r="M99" s="52">
        <f t="shared" si="7"/>
        <v>0</v>
      </c>
      <c r="N99" s="42">
        <v>0</v>
      </c>
      <c r="O99" s="44"/>
      <c r="P99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99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99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99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99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99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99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99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99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99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99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99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99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99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99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99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99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99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99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99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99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99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99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99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99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99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99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99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99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99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99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99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99" s="42">
        <f>IF(SUMIFS(合格品出库记录!$G:$G,合格品出库记录!$E:$E,日报!$D:$D,合格品出库记录!$A:$A,日报!AV$3)&lt;&gt;0,SUMIFS(合格品出库记录!$G:$G,合格品出库记录!$E:$E,日报!$D:$D,合格品出库记录!$A:$A,日报!AV$3),"")</f>
        <v>720</v>
      </c>
      <c r="AW99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99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99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99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99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99" s="42">
        <f>IF(SUMIFS(合格品出库记录!$G:$G,合格品出库记录!$E:$E,日报!$D:$D,合格品出库记录!$A:$A,日报!BB$3)&lt;&gt;0,SUMIFS(合格品出库记录!$G:$G,合格品出库记录!$E:$E,日报!$D:$D,合格品出库记录!$A:$A,日报!BB$3),"")</f>
        <v>960</v>
      </c>
      <c r="BC99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99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99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99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99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99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99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99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99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99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99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99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99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99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99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99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99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99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99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99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99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99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99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99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99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99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99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99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99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99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99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99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99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99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99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99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99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99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99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99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99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99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99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99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99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99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99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99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99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99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99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99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99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99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99" s="58"/>
    </row>
    <row r="100" ht="16.8" customHeight="1" spans="1:109">
      <c r="A100" s="38">
        <v>677</v>
      </c>
      <c r="B100" s="39" t="s">
        <v>19</v>
      </c>
      <c r="C100" s="40" t="s">
        <v>20</v>
      </c>
      <c r="D100" s="38" t="s">
        <v>213</v>
      </c>
      <c r="E100" s="41" t="s">
        <v>214</v>
      </c>
      <c r="F100" s="42" t="str">
        <f>IFERROR(VLOOKUP(D654,'[1]#REF'!D:F,3,FALSE),"0")</f>
        <v>0</v>
      </c>
      <c r="G100" s="38">
        <v>6623</v>
      </c>
      <c r="H100" s="43">
        <f>SUMIF(合格品入库记录!E:E,日报!D654,合格品入库记录!G:G)</f>
        <v>0</v>
      </c>
      <c r="I100" s="43">
        <f>SUMIF(合格品出库记录!E:E,日报!D654,合格品出库记录!G:G)</f>
        <v>0</v>
      </c>
      <c r="J100" s="43">
        <f>SUMIF(领跑良品退回!E:E,D654,领跑良品退回!G:G)</f>
        <v>0</v>
      </c>
      <c r="K100" s="43">
        <f t="shared" si="6"/>
        <v>0</v>
      </c>
      <c r="L100" s="43">
        <f>SUMIF(不良品库存!D:D,D:D,不良品库存!F:F)</f>
        <v>0</v>
      </c>
      <c r="M100" s="52">
        <f t="shared" si="7"/>
        <v>0</v>
      </c>
      <c r="N100" s="42">
        <v>0</v>
      </c>
      <c r="O100" s="39"/>
      <c r="P100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00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00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00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00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00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00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00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00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00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00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00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00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00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00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00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00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00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00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00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00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00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00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00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00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00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00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00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00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00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00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00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00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00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00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00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00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00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00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00" s="38">
        <f>IF(SUMIFS(合格品出库记录!$G:$G,合格品出库记录!$E:$E,日报!$D:$D,合格品出库记录!$A:$A,日报!BC$3)&lt;&gt;0,SUMIFS(合格品出库记录!$G:$G,合格品出库记录!$E:$E,日报!$D:$D,合格品出库记录!$A:$A,日报!BC$3),"")</f>
        <v>960</v>
      </c>
      <c r="BD100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00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00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00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00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00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00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00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00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00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00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00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00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00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00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00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00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00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00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00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00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00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00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00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00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00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00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00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00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00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00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00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00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00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00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00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00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00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00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00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00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00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00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00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00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00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00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00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00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00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00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00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00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00" s="58"/>
    </row>
    <row r="101" ht="16.8" customHeight="1" spans="1:109">
      <c r="A101" s="38">
        <v>678</v>
      </c>
      <c r="B101" s="44" t="s">
        <v>19</v>
      </c>
      <c r="C101" s="45" t="s">
        <v>20</v>
      </c>
      <c r="D101" s="42" t="s">
        <v>215</v>
      </c>
      <c r="E101" s="46" t="s">
        <v>216</v>
      </c>
      <c r="F101" s="42" t="str">
        <f>IFERROR(VLOOKUP(D655,'[1]#REF'!D:F,3,FALSE),"0")</f>
        <v>0</v>
      </c>
      <c r="G101" s="38">
        <v>37332</v>
      </c>
      <c r="H101" s="43">
        <f>SUMIF(合格品入库记录!E:E,日报!D655,合格品入库记录!G:G)</f>
        <v>0</v>
      </c>
      <c r="I101" s="43">
        <f>SUMIF(合格品出库记录!E:E,日报!D655,合格品出库记录!G:G)</f>
        <v>0</v>
      </c>
      <c r="J101" s="43">
        <f>SUMIF(领跑良品退回!E:E,D655,领跑良品退回!G:G)</f>
        <v>0</v>
      </c>
      <c r="K101" s="43">
        <f t="shared" si="6"/>
        <v>0</v>
      </c>
      <c r="L101" s="43">
        <f>SUMIF(不良品库存!D:D,D:D,不良品库存!F:F)</f>
        <v>0</v>
      </c>
      <c r="M101" s="52">
        <f t="shared" si="7"/>
        <v>0</v>
      </c>
      <c r="N101" s="42">
        <v>0</v>
      </c>
      <c r="O101" s="44"/>
      <c r="P101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01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01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01" s="42">
        <f>IF(SUMIFS(合格品入库记录!$G:$G,合格品入库记录!$E:$E,日报!$D:$D,合格品入库记录!$A:$A,日报!S$3)&lt;&gt;0,SUMIFS(合格品入库记录!$G:$G,合格品入库记录!$E:$E,日报!$D:$D,合格品入库记录!$A:$A,日报!S$3),"")</f>
        <v>3376</v>
      </c>
      <c r="T101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01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01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01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01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01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01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01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01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01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01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01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01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01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01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01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01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01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01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01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01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01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01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01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01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01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01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01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01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01" s="42">
        <f>IF(SUMIFS(合格品出库记录!$G:$G,合格品出库记录!$E:$E,日报!$D:$D,合格品出库记录!$A:$A,日报!AW$3)&lt;&gt;0,SUMIFS(合格品出库记录!$G:$G,合格品出库记录!$E:$E,日报!$D:$D,合格品出库记录!$A:$A,日报!AW$3),"")</f>
        <v>960</v>
      </c>
      <c r="AX101" s="42">
        <f>IF(SUMIFS(合格品出库记录!$G:$G,合格品出库记录!$E:$E,日报!$D:$D,合格品出库记录!$A:$A,日报!AX$3)&lt;&gt;0,SUMIFS(合格品出库记录!$G:$G,合格品出库记录!$E:$E,日报!$D:$D,合格品出库记录!$A:$A,日报!AX$3),"")</f>
        <v>1920</v>
      </c>
      <c r="AY101" s="42">
        <f>IF(SUMIFS(合格品出库记录!$G:$G,合格品出库记录!$E:$E,日报!$D:$D,合格品出库记录!$A:$A,日报!AY$3)&lt;&gt;0,SUMIFS(合格品出库记录!$G:$G,合格品出库记录!$E:$E,日报!$D:$D,合格品出库记录!$A:$A,日报!AY$3),"")</f>
        <v>960</v>
      </c>
      <c r="AZ101" s="42">
        <f>IF(SUMIFS(合格品出库记录!$G:$G,合格品出库记录!$E:$E,日报!$D:$D,合格品出库记录!$A:$A,日报!AZ$3)&lt;&gt;0,SUMIFS(合格品出库记录!$G:$G,合格品出库记录!$E:$E,日报!$D:$D,合格品出库记录!$A:$A,日报!AZ$3),"")</f>
        <v>960</v>
      </c>
      <c r="BA101" s="42">
        <f>IF(SUMIFS(合格品出库记录!$G:$G,合格品出库记录!$E:$E,日报!$D:$D,合格品出库记录!$A:$A,日报!BA$3)&lt;&gt;0,SUMIFS(合格品出库记录!$G:$G,合格品出库记录!$E:$E,日报!$D:$D,合格品出库记录!$A:$A,日报!BA$3),"")</f>
        <v>1920</v>
      </c>
      <c r="BB101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01" s="42">
        <f>IF(SUMIFS(合格品出库记录!$G:$G,合格品出库记录!$E:$E,日报!$D:$D,合格品出库记录!$A:$A,日报!BC$3)&lt;&gt;0,SUMIFS(合格品出库记录!$G:$G,合格品出库记录!$E:$E,日报!$D:$D,合格品出库记录!$A:$A,日报!BC$3),"")</f>
        <v>1920</v>
      </c>
      <c r="BD101" s="42">
        <f>IF(SUMIFS(合格品出库记录!$G:$G,合格品出库记录!$E:$E,日报!$D:$D,合格品出库记录!$A:$A,日报!BD$3)&lt;&gt;0,SUMIFS(合格品出库记录!$G:$G,合格品出库记录!$E:$E,日报!$D:$D,合格品出库记录!$A:$A,日报!BD$3),"")</f>
        <v>960</v>
      </c>
      <c r="BE101" s="42">
        <f>IF(SUMIFS(合格品出库记录!$G:$G,合格品出库记录!$E:$E,日报!$D:$D,合格品出库记录!$A:$A,日报!BE$3)&lt;&gt;0,SUMIFS(合格品出库记录!$G:$G,合格品出库记录!$E:$E,日报!$D:$D,合格品出库记录!$A:$A,日报!BE$3),"")</f>
        <v>1920</v>
      </c>
      <c r="BF101" s="42">
        <f>IF(SUMIFS(合格品出库记录!$G:$G,合格品出库记录!$E:$E,日报!$D:$D,合格品出库记录!$A:$A,日报!BF$3)&lt;&gt;0,SUMIFS(合格品出库记录!$G:$G,合格品出库记录!$E:$E,日报!$D:$D,合格品出库记录!$A:$A,日报!BF$3),"")</f>
        <v>960</v>
      </c>
      <c r="BG101" s="42">
        <f>IF(SUMIFS(合格品出库记录!$G:$G,合格品出库记录!$E:$E,日报!$D:$D,合格品出库记录!$A:$A,日报!BG$3)&lt;&gt;0,SUMIFS(合格品出库记录!$G:$G,合格品出库记录!$E:$E,日报!$D:$D,合格品出库记录!$A:$A,日报!BG$3),"")</f>
        <v>960</v>
      </c>
      <c r="BH101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01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01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01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01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01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01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01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01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01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01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01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01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01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01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01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01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01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01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01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01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01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01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01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01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01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01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01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01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01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01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01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01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01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01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01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01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01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01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01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01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01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01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01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01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01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01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01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01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01" s="58"/>
    </row>
    <row r="102" ht="16.8" customHeight="1" spans="1:109">
      <c r="A102" s="38">
        <v>679</v>
      </c>
      <c r="B102" s="39" t="s">
        <v>19</v>
      </c>
      <c r="C102" s="40" t="s">
        <v>20</v>
      </c>
      <c r="D102" s="38" t="s">
        <v>217</v>
      </c>
      <c r="E102" s="41" t="s">
        <v>218</v>
      </c>
      <c r="F102" s="42" t="str">
        <f>IFERROR(VLOOKUP(D656,'[1]#REF'!D:F,3,FALSE),"0")</f>
        <v>0</v>
      </c>
      <c r="G102" s="38">
        <v>11685</v>
      </c>
      <c r="H102" s="43">
        <f>SUMIF(合格品入库记录!E:E,日报!D656,合格品入库记录!G:G)</f>
        <v>0</v>
      </c>
      <c r="I102" s="43">
        <f>SUMIF(合格品出库记录!E:E,日报!D656,合格品出库记录!G:G)</f>
        <v>0</v>
      </c>
      <c r="J102" s="43">
        <f>SUMIF(领跑良品退回!E:E,D656,领跑良品退回!G:G)</f>
        <v>0</v>
      </c>
      <c r="K102" s="43">
        <f t="shared" si="6"/>
        <v>0</v>
      </c>
      <c r="L102" s="43">
        <f>SUMIF(不良品库存!D:D,D:D,不良品库存!F:F)</f>
        <v>0</v>
      </c>
      <c r="M102" s="52">
        <f t="shared" si="7"/>
        <v>0</v>
      </c>
      <c r="N102" s="42">
        <v>0</v>
      </c>
      <c r="O102" s="39"/>
      <c r="P102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02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02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02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02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02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02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02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02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02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02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02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02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02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02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02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02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02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02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02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02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02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02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02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02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02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02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02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02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02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02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02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02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02" s="38">
        <f>IF(SUMIFS(合格品出库记录!$G:$G,合格品出库记录!$E:$E,日报!$D:$D,合格品出库记录!$A:$A,日报!AW$3)&lt;&gt;0,SUMIFS(合格品出库记录!$G:$G,合格品出库记录!$E:$E,日报!$D:$D,合格品出库记录!$A:$A,日报!AW$3),"")</f>
        <v>720</v>
      </c>
      <c r="AX102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02" s="38">
        <f>IF(SUMIFS(合格品出库记录!$G:$G,合格品出库记录!$E:$E,日报!$D:$D,合格品出库记录!$A:$A,日报!AY$3)&lt;&gt;0,SUMIFS(合格品出库记录!$G:$G,合格品出库记录!$E:$E,日报!$D:$D,合格品出库记录!$A:$A,日报!AY$3),"")</f>
        <v>720</v>
      </c>
      <c r="AZ102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02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02" s="38">
        <f>IF(SUMIFS(合格品出库记录!$G:$G,合格品出库记录!$E:$E,日报!$D:$D,合格品出库记录!$A:$A,日报!BB$3)&lt;&gt;0,SUMIFS(合格品出库记录!$G:$G,合格品出库记录!$E:$E,日报!$D:$D,合格品出库记录!$A:$A,日报!BB$3),"")</f>
        <v>720</v>
      </c>
      <c r="BC102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02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02" s="38">
        <f>IF(SUMIFS(合格品出库记录!$G:$G,合格品出库记录!$E:$E,日报!$D:$D,合格品出库记录!$A:$A,日报!BE$3)&lt;&gt;0,SUMIFS(合格品出库记录!$G:$G,合格品出库记录!$E:$E,日报!$D:$D,合格品出库记录!$A:$A,日报!BE$3),"")</f>
        <v>720</v>
      </c>
      <c r="BF102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02" s="38">
        <f>IF(SUMIFS(合格品出库记录!$G:$G,合格品出库记录!$E:$E,日报!$D:$D,合格品出库记录!$A:$A,日报!BG$3)&lt;&gt;0,SUMIFS(合格品出库记录!$G:$G,合格品出库记录!$E:$E,日报!$D:$D,合格品出库记录!$A:$A,日报!BG$3),"")</f>
        <v>720</v>
      </c>
      <c r="BH102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02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02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02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02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02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02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02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02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02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02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02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02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02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02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02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02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02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02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02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02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02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02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02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02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02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02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02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02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02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02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02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02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02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02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02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02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02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02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02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02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02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02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02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02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02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02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02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02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02" s="58"/>
    </row>
    <row r="103" ht="16.8" customHeight="1" spans="1:109">
      <c r="A103" s="38">
        <v>680</v>
      </c>
      <c r="B103" s="44" t="s">
        <v>19</v>
      </c>
      <c r="C103" s="45" t="s">
        <v>20</v>
      </c>
      <c r="D103" s="42" t="s">
        <v>219</v>
      </c>
      <c r="E103" s="46" t="s">
        <v>220</v>
      </c>
      <c r="F103" s="42" t="str">
        <f>IFERROR(VLOOKUP(D657,'[1]#REF'!D:F,3,FALSE),"0")</f>
        <v>0</v>
      </c>
      <c r="G103" s="38">
        <v>7802</v>
      </c>
      <c r="H103" s="43">
        <f>SUMIF(合格品入库记录!E:E,日报!D657,合格品入库记录!G:G)</f>
        <v>0</v>
      </c>
      <c r="I103" s="43">
        <f>SUMIF(合格品出库记录!E:E,日报!D657,合格品出库记录!G:G)</f>
        <v>0</v>
      </c>
      <c r="J103" s="43">
        <f>SUMIF(领跑良品退回!E:E,D657,领跑良品退回!G:G)</f>
        <v>0</v>
      </c>
      <c r="K103" s="43">
        <f t="shared" si="6"/>
        <v>0</v>
      </c>
      <c r="L103" s="43">
        <f>SUMIF(不良品库存!D:D,D:D,不良品库存!F:F)</f>
        <v>0</v>
      </c>
      <c r="M103" s="52">
        <f t="shared" si="7"/>
        <v>0</v>
      </c>
      <c r="N103" s="42">
        <v>0</v>
      </c>
      <c r="O103" s="44"/>
      <c r="P103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03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03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03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03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03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03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03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03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03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03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03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03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03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03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03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03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03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03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03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03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03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03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03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03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03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03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03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03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03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03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03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03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03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03" s="42">
        <f>IF(SUMIFS(合格品出库记录!$G:$G,合格品出库记录!$E:$E,日报!$D:$D,合格品出库记录!$A:$A,日报!AX$3)&lt;&gt;0,SUMIFS(合格品出库记录!$G:$G,合格品出库记录!$E:$E,日报!$D:$D,合格品出库记录!$A:$A,日报!AX$3),"")</f>
        <v>400</v>
      </c>
      <c r="AY103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03" s="42">
        <f>IF(SUMIFS(合格品出库记录!$G:$G,合格品出库记录!$E:$E,日报!$D:$D,合格品出库记录!$A:$A,日报!AZ$3)&lt;&gt;0,SUMIFS(合格品出库记录!$G:$G,合格品出库记录!$E:$E,日报!$D:$D,合格品出库记录!$A:$A,日报!AZ$3),"")</f>
        <v>400</v>
      </c>
      <c r="BA103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03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03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03" s="42">
        <f>IF(SUMIFS(合格品出库记录!$G:$G,合格品出库记录!$E:$E,日报!$D:$D,合格品出库记录!$A:$A,日报!BD$3)&lt;&gt;0,SUMIFS(合格品出库记录!$G:$G,合格品出库记录!$E:$E,日报!$D:$D,合格品出库记录!$A:$A,日报!BD$3),"")</f>
        <v>400</v>
      </c>
      <c r="BE103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03" s="42">
        <f>IF(SUMIFS(合格品出库记录!$G:$G,合格品出库记录!$E:$E,日报!$D:$D,合格品出库记录!$A:$A,日报!BF$3)&lt;&gt;0,SUMIFS(合格品出库记录!$G:$G,合格品出库记录!$E:$E,日报!$D:$D,合格品出库记录!$A:$A,日报!BF$3),"")</f>
        <v>400</v>
      </c>
      <c r="BG103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03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03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03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03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03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03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03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03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03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03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03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03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03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03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03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03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03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03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03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03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03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03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03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03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03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03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03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03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03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03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03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03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03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03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03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03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03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03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03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03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03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03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03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03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03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03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03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03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03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03" s="58"/>
    </row>
    <row r="104" ht="16.8" customHeight="1" spans="1:109">
      <c r="A104" s="38">
        <v>683</v>
      </c>
      <c r="B104" s="39" t="s">
        <v>19</v>
      </c>
      <c r="C104" s="40" t="s">
        <v>20</v>
      </c>
      <c r="D104" s="38" t="s">
        <v>221</v>
      </c>
      <c r="E104" s="41" t="s">
        <v>222</v>
      </c>
      <c r="F104" s="42" t="str">
        <f>IFERROR(VLOOKUP(D660,'[1]#REF'!D:F,3,FALSE),"0")</f>
        <v>0</v>
      </c>
      <c r="G104" s="38">
        <v>2655</v>
      </c>
      <c r="H104" s="43">
        <f>SUMIF(合格品入库记录!E:E,日报!D660,合格品入库记录!G:G)</f>
        <v>0</v>
      </c>
      <c r="I104" s="43">
        <f>SUMIF(合格品出库记录!E:E,日报!D660,合格品出库记录!G:G)</f>
        <v>0</v>
      </c>
      <c r="J104" s="43">
        <f>SUMIF(领跑良品退回!E:E,D660,领跑良品退回!G:G)</f>
        <v>0</v>
      </c>
      <c r="K104" s="43">
        <f>M660+L660</f>
        <v>0</v>
      </c>
      <c r="L104" s="43">
        <f>SUMIF(不良品库存!D:D,D:D,不良品库存!F:F)</f>
        <v>0</v>
      </c>
      <c r="M104" s="52">
        <f>G660+H660-I660+J660</f>
        <v>0</v>
      </c>
      <c r="N104" s="42">
        <v>0</v>
      </c>
      <c r="O104" s="39"/>
      <c r="P104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04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04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04" s="38">
        <f>IF(SUMIFS(合格品入库记录!$G:$G,合格品入库记录!$E:$E,日报!$D:$D,合格品入库记录!$A:$A,日报!S$3)&lt;&gt;0,SUMIFS(合格品入库记录!$G:$G,合格品入库记录!$E:$E,日报!$D:$D,合格品入库记录!$A:$A,日报!S$3),"")</f>
        <v>960</v>
      </c>
      <c r="T104" s="38">
        <f>IF(SUMIFS(合格品入库记录!$G:$G,合格品入库记录!$E:$E,日报!$D:$D,合格品入库记录!$A:$A,日报!T$3)&lt;&gt;0,SUMIFS(合格品入库记录!$G:$G,合格品入库记录!$E:$E,日报!$D:$D,合格品入库记录!$A:$A,日报!T$3),"")</f>
        <v>825</v>
      </c>
      <c r="U104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04" s="38">
        <f>IF(SUMIFS(合格品入库记录!$G:$G,合格品入库记录!$E:$E,日报!$D:$D,合格品入库记录!$A:$A,日报!V$3)&lt;&gt;0,SUMIFS(合格品入库记录!$G:$G,合格品入库记录!$E:$E,日报!$D:$D,合格品入库记录!$A:$A,日报!V$3),"")</f>
        <v>945</v>
      </c>
      <c r="W104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04" s="38">
        <f>IF(SUMIFS(合格品入库记录!$G:$G,合格品入库记录!$E:$E,日报!$D:$D,合格品入库记录!$A:$A,日报!X$3)&lt;&gt;0,SUMIFS(合格品入库记录!$G:$G,合格品入库记录!$E:$E,日报!$D:$D,合格品入库记录!$A:$A,日报!X$3),"")</f>
        <v>960</v>
      </c>
      <c r="Y104" s="38">
        <f>IF(SUMIFS(合格品入库记录!$G:$G,合格品入库记录!$E:$E,日报!$D:$D,合格品入库记录!$A:$A,日报!Y$3)&lt;&gt;0,SUMIFS(合格品入库记录!$G:$G,合格品入库记录!$E:$E,日报!$D:$D,合格品入库记录!$A:$A,日报!Y$3),"")</f>
        <v>960</v>
      </c>
      <c r="Z104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04" s="38">
        <f>IF(SUMIFS(合格品入库记录!$G:$G,合格品入库记录!$E:$E,日报!$D:$D,合格品入库记录!$A:$A,日报!AA$3)&lt;&gt;0,SUMIFS(合格品入库记录!$G:$G,合格品入库记录!$E:$E,日报!$D:$D,合格品入库记录!$A:$A,日报!AA$3),"")</f>
        <v>1905</v>
      </c>
      <c r="AB104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04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04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04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04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04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04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04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04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04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04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04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04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04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04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04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04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04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04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04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04" s="38">
        <f>IF(SUMIFS(合格品出库记录!$G:$G,合格品出库记录!$E:$E,日报!$D:$D,合格品出库记录!$A:$A,日报!AV$3)&lt;&gt;0,SUMIFS(合格品出库记录!$G:$G,合格品出库记录!$E:$E,日报!$D:$D,合格品出库记录!$A:$A,日报!AV$3),"")</f>
        <v>405</v>
      </c>
      <c r="AW104" s="38">
        <f>IF(SUMIFS(合格品出库记录!$G:$G,合格品出库记录!$E:$E,日报!$D:$D,合格品出库记录!$A:$A,日报!AW$3)&lt;&gt;0,SUMIFS(合格品出库记录!$G:$G,合格品出库记录!$E:$E,日报!$D:$D,合格品出库记录!$A:$A,日报!AW$3),"")</f>
        <v>360</v>
      </c>
      <c r="AX104" s="38">
        <f>IF(SUMIFS(合格品出库记录!$G:$G,合格品出库记录!$E:$E,日报!$D:$D,合格品出库记录!$A:$A,日报!AX$3)&lt;&gt;0,SUMIFS(合格品出库记录!$G:$G,合格品出库记录!$E:$E,日报!$D:$D,合格品出库记录!$A:$A,日报!AX$3),"")</f>
        <v>810</v>
      </c>
      <c r="AY104" s="38">
        <f>IF(SUMIFS(合格品出库记录!$G:$G,合格品出库记录!$E:$E,日报!$D:$D,合格品出库记录!$A:$A,日报!AY$3)&lt;&gt;0,SUMIFS(合格品出库记录!$G:$G,合格品出库记录!$E:$E,日报!$D:$D,合格品出库记录!$A:$A,日报!AY$3),"")</f>
        <v>585</v>
      </c>
      <c r="AZ104" s="38">
        <f>IF(SUMIFS(合格品出库记录!$G:$G,合格品出库记录!$E:$E,日报!$D:$D,合格品出库记录!$A:$A,日报!AZ$3)&lt;&gt;0,SUMIFS(合格品出库记录!$G:$G,合格品出库记录!$E:$E,日报!$D:$D,合格品出库记录!$A:$A,日报!AZ$3),"")</f>
        <v>810</v>
      </c>
      <c r="BA104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04" s="38">
        <f>IF(SUMIFS(合格品出库记录!$G:$G,合格品出库记录!$E:$E,日报!$D:$D,合格品出库记录!$A:$A,日报!BB$3)&lt;&gt;0,SUMIFS(合格品出库记录!$G:$G,合格品出库记录!$E:$E,日报!$D:$D,合格品出库记录!$A:$A,日报!BB$3),"")</f>
        <v>405</v>
      </c>
      <c r="BC104" s="38">
        <f>IF(SUMIFS(合格品出库记录!$G:$G,合格品出库记录!$E:$E,日报!$D:$D,合格品出库记录!$A:$A,日报!BC$3)&lt;&gt;0,SUMIFS(合格品出库记录!$G:$G,合格品出库记录!$E:$E,日报!$D:$D,合格品出库记录!$A:$A,日报!BC$3),"")</f>
        <v>810</v>
      </c>
      <c r="BD104" s="38">
        <f>IF(SUMIFS(合格品出库记录!$G:$G,合格品出库记录!$E:$E,日报!$D:$D,合格品出库记录!$A:$A,日报!BD$3)&lt;&gt;0,SUMIFS(合格品出库记录!$G:$G,合格品出库记录!$E:$E,日报!$D:$D,合格品出库记录!$A:$A,日报!BD$3),"")</f>
        <v>810</v>
      </c>
      <c r="BE104" s="38">
        <f>IF(SUMIFS(合格品出库记录!$G:$G,合格品出库记录!$E:$E,日报!$D:$D,合格品出库记录!$A:$A,日报!BE$3)&lt;&gt;0,SUMIFS(合格品出库记录!$G:$G,合格品出库记录!$E:$E,日报!$D:$D,合格品出库记录!$A:$A,日报!BE$3),"")</f>
        <v>810</v>
      </c>
      <c r="BF104" s="38">
        <f>IF(SUMIFS(合格品出库记录!$G:$G,合格品出库记录!$E:$E,日报!$D:$D,合格品出库记录!$A:$A,日报!BF$3)&lt;&gt;0,SUMIFS(合格品出库记录!$G:$G,合格品出库记录!$E:$E,日报!$D:$D,合格品出库记录!$A:$A,日报!BF$3),"")</f>
        <v>810</v>
      </c>
      <c r="BG104" s="38">
        <f>IF(SUMIFS(合格品出库记录!$G:$G,合格品出库记录!$E:$E,日报!$D:$D,合格品出库记录!$A:$A,日报!BG$3)&lt;&gt;0,SUMIFS(合格品出库记录!$G:$G,合格品出库记录!$E:$E,日报!$D:$D,合格品出库记录!$A:$A,日报!BG$3),"")</f>
        <v>405</v>
      </c>
      <c r="BH104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04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04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04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04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04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04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04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04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04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04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04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04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04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04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04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04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04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04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04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04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04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04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04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04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04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04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04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04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04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04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04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04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04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04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04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04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04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04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04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04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04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04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04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04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04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04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04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04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04" s="58"/>
    </row>
    <row r="105" ht="16.8" customHeight="1" spans="1:109">
      <c r="A105" s="38">
        <v>684</v>
      </c>
      <c r="B105" s="44" t="s">
        <v>19</v>
      </c>
      <c r="C105" s="45" t="s">
        <v>20</v>
      </c>
      <c r="D105" s="42" t="s">
        <v>223</v>
      </c>
      <c r="E105" s="46" t="s">
        <v>224</v>
      </c>
      <c r="F105" s="42" t="str">
        <f>IFERROR(VLOOKUP(D661,'[1]#REF'!D:F,3,FALSE),"0")</f>
        <v>0</v>
      </c>
      <c r="G105" s="38">
        <v>2576</v>
      </c>
      <c r="H105" s="43">
        <f>SUMIF(合格品入库记录!E:E,日报!D661,合格品入库记录!G:G)</f>
        <v>0</v>
      </c>
      <c r="I105" s="43">
        <f>SUMIF(合格品出库记录!E:E,日报!D661,合格品出库记录!G:G)</f>
        <v>0</v>
      </c>
      <c r="J105" s="43">
        <f>SUMIF(领跑良品退回!E:E,D661,领跑良品退回!G:G)</f>
        <v>0</v>
      </c>
      <c r="K105" s="43">
        <f>M661+L661</f>
        <v>0</v>
      </c>
      <c r="L105" s="43">
        <f>SUMIF(不良品库存!D:D,D:D,不良品库存!F:F)</f>
        <v>0</v>
      </c>
      <c r="M105" s="52">
        <f>G661+H661-I661+J661</f>
        <v>0</v>
      </c>
      <c r="N105" s="42">
        <v>0</v>
      </c>
      <c r="O105" s="44"/>
      <c r="P105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05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05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05" s="42">
        <f>IF(SUMIFS(合格品入库记录!$G:$G,合格品入库记录!$E:$E,日报!$D:$D,合格品入库记录!$A:$A,日报!S$3)&lt;&gt;0,SUMIFS(合格品入库记录!$G:$G,合格品入库记录!$E:$E,日报!$D:$D,合格品入库记录!$A:$A,日报!S$3),"")</f>
        <v>480</v>
      </c>
      <c r="T105" s="42">
        <f>IF(SUMIFS(合格品入库记录!$G:$G,合格品入库记录!$E:$E,日报!$D:$D,合格品入库记录!$A:$A,日报!T$3)&lt;&gt;0,SUMIFS(合格品入库记录!$G:$G,合格品入库记录!$E:$E,日报!$D:$D,合格品入库记录!$A:$A,日报!T$3),"")</f>
        <v>960</v>
      </c>
      <c r="U105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05" s="42">
        <f>IF(SUMIFS(合格品入库记录!$G:$G,合格品入库记录!$E:$E,日报!$D:$D,合格品入库记录!$A:$A,日报!V$3)&lt;&gt;0,SUMIFS(合格品入库记录!$G:$G,合格品入库记录!$E:$E,日报!$D:$D,合格品入库记录!$A:$A,日报!V$3),"")</f>
        <v>840</v>
      </c>
      <c r="W105" s="42">
        <f>IF(SUMIFS(合格品入库记录!$G:$G,合格品入库记录!$E:$E,日报!$D:$D,合格品入库记录!$A:$A,日报!W$3)&lt;&gt;0,SUMIFS(合格品入库记录!$G:$G,合格品入库记录!$E:$E,日报!$D:$D,合格品入库记录!$A:$A,日报!W$3),"")</f>
        <v>936</v>
      </c>
      <c r="X105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05" s="42">
        <f>IF(SUMIFS(合格品入库记录!$G:$G,合格品入库记录!$E:$E,日报!$D:$D,合格品入库记录!$A:$A,日报!Y$3)&lt;&gt;0,SUMIFS(合格品入库记录!$G:$G,合格品入库记录!$E:$E,日报!$D:$D,合格品入库记录!$A:$A,日报!Y$3),"")</f>
        <v>984</v>
      </c>
      <c r="Z105" s="42">
        <f>IF(SUMIFS(合格品入库记录!$G:$G,合格品入库记录!$E:$E,日报!$D:$D,合格品入库记录!$A:$A,日报!Z$3)&lt;&gt;0,SUMIFS(合格品入库记录!$G:$G,合格品入库记录!$E:$E,日报!$D:$D,合格品入库记录!$A:$A,日报!Z$3),"")</f>
        <v>936</v>
      </c>
      <c r="AA105" s="42">
        <f>IF(SUMIFS(合格品入库记录!$G:$G,合格品入库记录!$E:$E,日报!$D:$D,合格品入库记录!$A:$A,日报!AA$3)&lt;&gt;0,SUMIFS(合格品入库记录!$G:$G,合格品入库记录!$E:$E,日报!$D:$D,合格品入库记录!$A:$A,日报!AA$3),"")</f>
        <v>1440</v>
      </c>
      <c r="AB105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05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05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05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05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05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05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05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05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05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05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05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05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05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05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05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05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05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05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05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05" s="42">
        <f>IF(SUMIFS(合格品出库记录!$G:$G,合格品出库记录!$E:$E,日报!$D:$D,合格品出库记录!$A:$A,日报!AV$3)&lt;&gt;0,SUMIFS(合格品出库记录!$G:$G,合格品出库记录!$E:$E,日报!$D:$D,合格品出库记录!$A:$A,日报!AV$3),"")</f>
        <v>288</v>
      </c>
      <c r="AW105" s="42">
        <f>IF(SUMIFS(合格品出库记录!$G:$G,合格品出库记录!$E:$E,日报!$D:$D,合格品出库记录!$A:$A,日报!AW$3)&lt;&gt;0,SUMIFS(合格品出库记录!$G:$G,合格品出库记录!$E:$E,日报!$D:$D,合格品出库记录!$A:$A,日报!AW$3),"")</f>
        <v>576</v>
      </c>
      <c r="AX105" s="42">
        <f>IF(SUMIFS(合格品出库记录!$G:$G,合格品出库记录!$E:$E,日报!$D:$D,合格品出库记录!$A:$A,日报!AX$3)&lt;&gt;0,SUMIFS(合格品出库记录!$G:$G,合格品出库记录!$E:$E,日报!$D:$D,合格品出库记录!$A:$A,日报!AX$3),"")</f>
        <v>864</v>
      </c>
      <c r="AY105" s="42">
        <f>IF(SUMIFS(合格品出库记录!$G:$G,合格品出库记录!$E:$E,日报!$D:$D,合格品出库记录!$A:$A,日报!AY$3)&lt;&gt;0,SUMIFS(合格品出库记录!$G:$G,合格品出库记录!$E:$E,日报!$D:$D,合格品出库记录!$A:$A,日报!AY$3),"")</f>
        <v>608</v>
      </c>
      <c r="AZ105" s="42">
        <f>IF(SUMIFS(合格品出库记录!$G:$G,合格品出库记录!$E:$E,日报!$D:$D,合格品出库记录!$A:$A,日报!AZ$3)&lt;&gt;0,SUMIFS(合格品出库记录!$G:$G,合格品出库记录!$E:$E,日报!$D:$D,合格品出库记录!$A:$A,日报!AZ$3),"")</f>
        <v>576</v>
      </c>
      <c r="BA105" s="42">
        <f>IF(SUMIFS(合格品出库记录!$G:$G,合格品出库记录!$E:$E,日报!$D:$D,合格品出库记录!$A:$A,日报!BA$3)&lt;&gt;0,SUMIFS(合格品出库记录!$G:$G,合格品出库记录!$E:$E,日报!$D:$D,合格品出库记录!$A:$A,日报!BA$3),"")</f>
        <v>288</v>
      </c>
      <c r="BB105" s="42">
        <f>IF(SUMIFS(合格品出库记录!$G:$G,合格品出库记录!$E:$E,日报!$D:$D,合格品出库记录!$A:$A,日报!BB$3)&lt;&gt;0,SUMIFS(合格品出库记录!$G:$G,合格品出库记录!$E:$E,日报!$D:$D,合格品出库记录!$A:$A,日报!BB$3),"")</f>
        <v>576</v>
      </c>
      <c r="BC105" s="42">
        <f>IF(SUMIFS(合格品出库记录!$G:$G,合格品出库记录!$E:$E,日报!$D:$D,合格品出库记录!$A:$A,日报!BC$3)&lt;&gt;0,SUMIFS(合格品出库记录!$G:$G,合格品出库记录!$E:$E,日报!$D:$D,合格品出库记录!$A:$A,日报!BC$3),"")</f>
        <v>576</v>
      </c>
      <c r="BD105" s="42">
        <f>IF(SUMIFS(合格品出库记录!$G:$G,合格品出库记录!$E:$E,日报!$D:$D,合格品出库记录!$A:$A,日报!BD$3)&lt;&gt;0,SUMIFS(合格品出库记录!$G:$G,合格品出库记录!$E:$E,日报!$D:$D,合格品出库记录!$A:$A,日报!BD$3),"")</f>
        <v>864</v>
      </c>
      <c r="BE105" s="42">
        <f>IF(SUMIFS(合格品出库记录!$G:$G,合格品出库记录!$E:$E,日报!$D:$D,合格品出库记录!$A:$A,日报!BE$3)&lt;&gt;0,SUMIFS(合格品出库记录!$G:$G,合格品出库记录!$E:$E,日报!$D:$D,合格品出库记录!$A:$A,日报!BE$3),"")</f>
        <v>576</v>
      </c>
      <c r="BF105" s="42">
        <f>IF(SUMIFS(合格品出库记录!$G:$G,合格品出库记录!$E:$E,日报!$D:$D,合格品出库记录!$A:$A,日报!BF$3)&lt;&gt;0,SUMIFS(合格品出库记录!$G:$G,合格品出库记录!$E:$E,日报!$D:$D,合格品出库记录!$A:$A,日报!BF$3),"")</f>
        <v>864</v>
      </c>
      <c r="BG105" s="42">
        <f>IF(SUMIFS(合格品出库记录!$G:$G,合格品出库记录!$E:$E,日报!$D:$D,合格品出库记录!$A:$A,日报!BG$3)&lt;&gt;0,SUMIFS(合格品出库记录!$G:$G,合格品出库记录!$E:$E,日报!$D:$D,合格品出库记录!$A:$A,日报!BG$3),"")</f>
        <v>288</v>
      </c>
      <c r="BH105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05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05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05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05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05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05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05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05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05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05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05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05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05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05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05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05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05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05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05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05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05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05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05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05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05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05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05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05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05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05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05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05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05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05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05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05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05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05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05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05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05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05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05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05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05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05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05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05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05" s="58"/>
    </row>
    <row r="106" ht="16.8" customHeight="1" spans="1:109">
      <c r="A106" s="38">
        <v>686</v>
      </c>
      <c r="B106" s="44" t="s">
        <v>19</v>
      </c>
      <c r="C106" s="45" t="s">
        <v>20</v>
      </c>
      <c r="D106" s="42" t="s">
        <v>225</v>
      </c>
      <c r="E106" s="46" t="s">
        <v>226</v>
      </c>
      <c r="F106" s="42" t="str">
        <f>IFERROR(VLOOKUP(D663,'[1]#REF'!D:F,3,FALSE),"0")</f>
        <v>0</v>
      </c>
      <c r="G106" s="38">
        <v>0</v>
      </c>
      <c r="H106" s="43">
        <f>SUMIF(合格品入库记录!E:E,日报!D663,合格品入库记录!G:G)</f>
        <v>0</v>
      </c>
      <c r="I106" s="43">
        <f>SUMIF(合格品出库记录!E:E,日报!D663,合格品出库记录!G:G)</f>
        <v>0</v>
      </c>
      <c r="J106" s="43">
        <f>SUMIF(领跑良品退回!E:E,D663,领跑良品退回!G:G)</f>
        <v>0</v>
      </c>
      <c r="K106" s="43">
        <f>M663+L663</f>
        <v>0</v>
      </c>
      <c r="L106" s="43">
        <f>SUMIF(不良品库存!D:D,D:D,不良品库存!F:F)</f>
        <v>0</v>
      </c>
      <c r="M106" s="52">
        <f>G663+H663-I663+J663</f>
        <v>0</v>
      </c>
      <c r="N106" s="42">
        <v>0</v>
      </c>
      <c r="O106" s="44"/>
      <c r="P106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06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06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06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06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06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06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06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06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06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06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06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06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06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06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06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06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06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06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06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06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06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06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06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06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06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06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06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06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06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06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06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06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06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06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06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06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06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06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06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06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06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06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06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06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06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06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06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06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06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06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06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06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06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06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06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06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06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06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06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06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06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06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06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06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06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06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06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06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06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06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06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06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06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06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06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06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06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06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06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06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06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06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06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06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06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06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06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06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06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06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06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06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06" s="58"/>
    </row>
    <row r="107" ht="16.8" customHeight="1" spans="1:109">
      <c r="A107" s="38">
        <v>707</v>
      </c>
      <c r="B107" s="39" t="s">
        <v>19</v>
      </c>
      <c r="C107" s="40" t="s">
        <v>20</v>
      </c>
      <c r="D107" s="38" t="s">
        <v>227</v>
      </c>
      <c r="E107" s="41" t="s">
        <v>228</v>
      </c>
      <c r="F107" s="42" t="str">
        <f>IFERROR(VLOOKUP(D684,'[1]#REF'!D:F,3,FALSE),"0")</f>
        <v>0</v>
      </c>
      <c r="G107" s="38">
        <v>0</v>
      </c>
      <c r="H107" s="43">
        <f>SUMIF(合格品入库记录!E:E,日报!D684,合格品入库记录!G:G)</f>
        <v>0</v>
      </c>
      <c r="I107" s="43">
        <f>SUMIF(合格品出库记录!E:E,日报!D684,合格品出库记录!G:G)</f>
        <v>0</v>
      </c>
      <c r="J107" s="43">
        <f>SUMIF(领跑良品退回!E:E,D684,领跑良品退回!G:G)</f>
        <v>0</v>
      </c>
      <c r="K107" s="43">
        <f>M684+L684</f>
        <v>0</v>
      </c>
      <c r="L107" s="43">
        <f>SUMIF(不良品库存!D:D,D:D,不良品库存!F:F)</f>
        <v>0</v>
      </c>
      <c r="M107" s="52">
        <f>G684+H684-I684+J684</f>
        <v>0</v>
      </c>
      <c r="N107" s="42">
        <v>0</v>
      </c>
      <c r="O107" s="39"/>
      <c r="P107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07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07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07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07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07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07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07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07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07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07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07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07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07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07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07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07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07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07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07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07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07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07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07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07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07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07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07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07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07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07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07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07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07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07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07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07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07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07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07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07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07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07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07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07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07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07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07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07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07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07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07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07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07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07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07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07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07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07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07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07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07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07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07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07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07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07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07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07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07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07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07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07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07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07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07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07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07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07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07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07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07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07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07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07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07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07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07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07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07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07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07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07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07" s="58"/>
    </row>
    <row r="108" ht="16.8" customHeight="1" spans="1:109">
      <c r="A108" s="38">
        <v>719</v>
      </c>
      <c r="B108" s="39" t="s">
        <v>19</v>
      </c>
      <c r="C108" s="40" t="s">
        <v>20</v>
      </c>
      <c r="D108" s="38" t="s">
        <v>229</v>
      </c>
      <c r="E108" s="41" t="s">
        <v>230</v>
      </c>
      <c r="F108" s="42" t="str">
        <f>IFERROR(VLOOKUP(D696,'[1]#REF'!D:F,3,FALSE),"0")</f>
        <v>0</v>
      </c>
      <c r="G108" s="38">
        <v>0</v>
      </c>
      <c r="H108" s="43">
        <f>SUMIF(合格品入库记录!E:E,日报!D696,合格品入库记录!G:G)</f>
        <v>0</v>
      </c>
      <c r="I108" s="43">
        <f>SUMIF(合格品出库记录!E:E,日报!D696,合格品出库记录!G:G)</f>
        <v>0</v>
      </c>
      <c r="J108" s="43">
        <f>SUMIF(领跑良品退回!E:E,D696,领跑良品退回!G:G)</f>
        <v>0</v>
      </c>
      <c r="K108" s="43">
        <f>M696+L696</f>
        <v>0</v>
      </c>
      <c r="L108" s="43">
        <f>SUMIF(不良品库存!D:D,D:D,不良品库存!F:F)</f>
        <v>0</v>
      </c>
      <c r="M108" s="52">
        <f>G696+H696-I696+J696</f>
        <v>0</v>
      </c>
      <c r="N108" s="42" t="e">
        <v>#N/A</v>
      </c>
      <c r="O108" s="39"/>
      <c r="P108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08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08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08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08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08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08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08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08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08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08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08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08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08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08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08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08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08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08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08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08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08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08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08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08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08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08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08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08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08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08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08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08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08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08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08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08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08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08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08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08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08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08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08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08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08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08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08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08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08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08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08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08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08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08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08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08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08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08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08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08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08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08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08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08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08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08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08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08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08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08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08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08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08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08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08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08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08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08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08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08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08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08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08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08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08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08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08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08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08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08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08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08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08" s="58"/>
    </row>
    <row r="109" ht="16.8" customHeight="1" spans="1:109">
      <c r="A109" s="38">
        <v>720</v>
      </c>
      <c r="B109" s="44" t="s">
        <v>19</v>
      </c>
      <c r="C109" s="45" t="s">
        <v>20</v>
      </c>
      <c r="D109" s="42" t="s">
        <v>231</v>
      </c>
      <c r="E109" s="46" t="s">
        <v>232</v>
      </c>
      <c r="F109" s="42" t="str">
        <f>IFERROR(VLOOKUP(D697,'[1]#REF'!D:F,3,FALSE),"0")</f>
        <v>0</v>
      </c>
      <c r="G109" s="38">
        <v>0</v>
      </c>
      <c r="H109" s="43">
        <f>SUMIF(合格品入库记录!E:E,日报!D697,合格品入库记录!G:G)</f>
        <v>0</v>
      </c>
      <c r="I109" s="43">
        <f>SUMIF(合格品出库记录!E:E,日报!D697,合格品出库记录!G:G)</f>
        <v>0</v>
      </c>
      <c r="J109" s="43">
        <f>SUMIF(领跑良品退回!E:E,D697,领跑良品退回!G:G)</f>
        <v>0</v>
      </c>
      <c r="K109" s="43">
        <f>M697+L697</f>
        <v>0</v>
      </c>
      <c r="L109" s="43">
        <f>SUMIF(不良品库存!D:D,D:D,不良品库存!F:F)</f>
        <v>0</v>
      </c>
      <c r="M109" s="52">
        <f>G697+H697-I697+J697</f>
        <v>0</v>
      </c>
      <c r="N109" s="42" t="e">
        <v>#N/A</v>
      </c>
      <c r="O109" s="44"/>
      <c r="P109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09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09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09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09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09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09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09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09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09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09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09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09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09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09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09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09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09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09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09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09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09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09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09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09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09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09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09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09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09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09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09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09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09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09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09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09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09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09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09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09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09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09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09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09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09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09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09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09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09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09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09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09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09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09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09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09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09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09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09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09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09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09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09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09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09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09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09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09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09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09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09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09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09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09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09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09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09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09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09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09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09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09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09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09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09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09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09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09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09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09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09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09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09" s="58"/>
    </row>
    <row r="110" ht="16.8" customHeight="1" spans="1:109">
      <c r="A110" s="38">
        <v>736</v>
      </c>
      <c r="B110" s="44" t="s">
        <v>19</v>
      </c>
      <c r="C110" s="45" t="s">
        <v>20</v>
      </c>
      <c r="D110" s="42" t="s">
        <v>233</v>
      </c>
      <c r="E110" s="46" t="s">
        <v>234</v>
      </c>
      <c r="F110" s="42" t="str">
        <f>IFERROR(VLOOKUP(D713,'[1]#REF'!D:F,3,FALSE),"0")</f>
        <v>0</v>
      </c>
      <c r="G110" s="38">
        <v>174</v>
      </c>
      <c r="H110" s="43">
        <f>SUMIF(合格品入库记录!E:E,日报!D713,合格品入库记录!G:G)</f>
        <v>0</v>
      </c>
      <c r="I110" s="43">
        <f>SUMIF(合格品出库记录!E:E,日报!D713,合格品出库记录!G:G)</f>
        <v>0</v>
      </c>
      <c r="J110" s="43">
        <f>SUMIF(领跑良品退回!E:E,D713,领跑良品退回!G:G)</f>
        <v>0</v>
      </c>
      <c r="K110" s="43">
        <f>M713+L713</f>
        <v>0</v>
      </c>
      <c r="L110" s="43">
        <f>SUMIF(不良品库存!D:D,D:D,不良品库存!F:F)</f>
        <v>0</v>
      </c>
      <c r="M110" s="52">
        <f>G713+H713-I713+J713</f>
        <v>0</v>
      </c>
      <c r="N110" s="42">
        <v>120</v>
      </c>
      <c r="O110" s="44"/>
      <c r="P110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10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10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10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10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10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10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10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10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10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10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10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10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10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10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10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10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10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10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10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10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10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10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10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10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10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10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10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10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10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10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10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10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10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10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10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10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10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10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10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10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10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10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10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10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10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10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10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10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10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10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10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10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10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10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10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10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10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10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10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10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10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10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10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10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10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10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10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10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10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10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10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10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10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10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10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10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10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10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10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10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10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10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10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10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10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10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10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10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10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10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10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10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10" s="58"/>
    </row>
    <row r="111" ht="16.8" customHeight="1" spans="1:109">
      <c r="A111" s="38">
        <v>737</v>
      </c>
      <c r="B111" s="39" t="s">
        <v>19</v>
      </c>
      <c r="C111" s="40" t="s">
        <v>20</v>
      </c>
      <c r="D111" s="38" t="s">
        <v>235</v>
      </c>
      <c r="E111" s="41" t="s">
        <v>236</v>
      </c>
      <c r="F111" s="42" t="str">
        <f>IFERROR(VLOOKUP(D714,'[1]#REF'!D:F,3,FALSE),"0")</f>
        <v>0</v>
      </c>
      <c r="G111" s="38">
        <v>5</v>
      </c>
      <c r="H111" s="43">
        <f>SUMIF(合格品入库记录!E:E,日报!D714,合格品入库记录!G:G)</f>
        <v>0</v>
      </c>
      <c r="I111" s="43">
        <f>SUMIF(合格品出库记录!E:E,日报!D714,合格品出库记录!G:G)</f>
        <v>0</v>
      </c>
      <c r="J111" s="43">
        <f>SUMIF(领跑良品退回!E:E,D714,领跑良品退回!G:G)</f>
        <v>0</v>
      </c>
      <c r="K111" s="43">
        <f>M714+L714</f>
        <v>0</v>
      </c>
      <c r="L111" s="43">
        <f>SUMIF(不良品库存!D:D,D:D,不良品库存!F:F)</f>
        <v>0</v>
      </c>
      <c r="M111" s="52">
        <f>G714+H714-I714+J714</f>
        <v>0</v>
      </c>
      <c r="N111" s="42">
        <v>0</v>
      </c>
      <c r="O111" s="39"/>
      <c r="P111" s="38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11" s="38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11" s="38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11" s="38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11" s="38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11" s="38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11" s="38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11" s="38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11" s="38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11" s="38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11" s="38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11" s="38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11" s="38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11" s="38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11" s="38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11" s="38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11" s="38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11" s="38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11" s="38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11" s="38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11" s="38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11" s="38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11" s="38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11" s="38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11" s="38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11" s="38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11" s="38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11" s="38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11" s="38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11" s="38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11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11" s="38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11" s="38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11" s="38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11" s="38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11" s="38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11" s="38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11" s="38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11" s="38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11" s="38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11" s="38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11" s="38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11" s="38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11" s="38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11" s="38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11" s="38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11" s="38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11" s="38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11" s="38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11" s="38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11" s="38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11" s="38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11" s="38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11" s="38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11" s="38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11" s="38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11" s="38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11" s="38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11" s="38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11" s="38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11" s="38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11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11" s="53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11" s="53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11" s="53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11" s="53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11" s="53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11" s="53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11" s="53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11" s="53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11" s="53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11" s="53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11" s="53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11" s="53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11" s="53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11" s="53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11" s="53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11" s="53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11" s="53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11" s="53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11" s="53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11" s="53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11" s="53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11" s="53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11" s="53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11" s="53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11" s="53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11" s="53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11" s="53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11" s="53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11" s="53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11" s="53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11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  <c r="DE111" s="58"/>
    </row>
    <row r="112" ht="16.8" customHeight="1" spans="1:108">
      <c r="A112" s="38">
        <v>1186</v>
      </c>
      <c r="B112" s="44" t="s">
        <v>19</v>
      </c>
      <c r="C112" s="45" t="s">
        <v>20</v>
      </c>
      <c r="D112" s="42" t="s">
        <v>237</v>
      </c>
      <c r="E112" s="46" t="s">
        <v>238</v>
      </c>
      <c r="F112" s="42">
        <v>0</v>
      </c>
      <c r="G112" s="59">
        <v>0</v>
      </c>
      <c r="H112" s="43">
        <f>SUMIF(合格品入库记录!E:E,日报!D1148,合格品入库记录!G:G)</f>
        <v>0</v>
      </c>
      <c r="I112" s="43">
        <f>SUMIF(合格品出库记录!E:E,日报!D1148,合格品出库记录!G:G)</f>
        <v>0</v>
      </c>
      <c r="J112" s="43">
        <f>SUMIF(领跑良品退回!E:E,D1148,领跑良品退回!G:G)</f>
        <v>0</v>
      </c>
      <c r="K112" s="43">
        <f>M1148+L1148</f>
        <v>0</v>
      </c>
      <c r="L112" s="43">
        <f>SUMIF(不良品库存!D:D,D:D,不良品库存!F:F)</f>
        <v>0</v>
      </c>
      <c r="M112" s="52">
        <f>G1148+H1148-I1148+J1148</f>
        <v>0</v>
      </c>
      <c r="N112" s="42">
        <v>0</v>
      </c>
      <c r="O112" s="44"/>
      <c r="P112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12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12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12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12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12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12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12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12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12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12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12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12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12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12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12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12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12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12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12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12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12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12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12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12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12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12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12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12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12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12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12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12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12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12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12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12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12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12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12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12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12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12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12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12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12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12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12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12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12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12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12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12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12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12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12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12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12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12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12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12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12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12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12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12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12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12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12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12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12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12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12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12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12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12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12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12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12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12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12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12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12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12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12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12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12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12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12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12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12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12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12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12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13" ht="16.8" customHeight="1" spans="1:108">
      <c r="A113" s="38">
        <v>1187</v>
      </c>
      <c r="B113" s="44" t="s">
        <v>19</v>
      </c>
      <c r="C113" s="45" t="s">
        <v>20</v>
      </c>
      <c r="D113" s="42" t="s">
        <v>239</v>
      </c>
      <c r="E113" s="46" t="s">
        <v>240</v>
      </c>
      <c r="F113" s="42"/>
      <c r="G113" s="59">
        <v>0</v>
      </c>
      <c r="H113" s="43">
        <f>SUMIF(合格品入库记录!E:E,日报!D1149,合格品入库记录!G:G)</f>
        <v>0</v>
      </c>
      <c r="I113" s="43">
        <f>SUMIF(合格品出库记录!E:E,日报!D1149,合格品出库记录!G:G)</f>
        <v>0</v>
      </c>
      <c r="J113" s="43">
        <f>SUMIF(领跑良品退回!E:E,D1149,领跑良品退回!G:G)</f>
        <v>0</v>
      </c>
      <c r="K113" s="43">
        <f>M1149+L1149</f>
        <v>0</v>
      </c>
      <c r="L113" s="43">
        <f>SUMIF(不良品库存!D:D,D:D,不良品库存!F:F)</f>
        <v>0</v>
      </c>
      <c r="M113" s="52">
        <f>G1149+H1149-I1149+J1149</f>
        <v>0</v>
      </c>
      <c r="N113" s="42">
        <v>0</v>
      </c>
      <c r="O113" s="44"/>
      <c r="P113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13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13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13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13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13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13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13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13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13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13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13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13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13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13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13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13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13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13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13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13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13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13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13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13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13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13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13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13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13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13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13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13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13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13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13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13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13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13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13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13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13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13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13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13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13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13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13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13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13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13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13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13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13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13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13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13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13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13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13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13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13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13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13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13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13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13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13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13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13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13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13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13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13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13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13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13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13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13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13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13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13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13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13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13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13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13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13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13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13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13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13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13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14" ht="16.8" customHeight="1" spans="1:108">
      <c r="A114" s="38">
        <v>1220</v>
      </c>
      <c r="B114" s="44" t="s">
        <v>19</v>
      </c>
      <c r="C114" s="45" t="s">
        <v>20</v>
      </c>
      <c r="D114" s="42" t="s">
        <v>241</v>
      </c>
      <c r="E114" s="46" t="s">
        <v>242</v>
      </c>
      <c r="F114" s="42"/>
      <c r="G114" s="59">
        <v>300</v>
      </c>
      <c r="H114" s="43">
        <f>SUMIF(合格品入库记录!E:E,日报!D1182,合格品入库记录!G:G)</f>
        <v>0</v>
      </c>
      <c r="I114" s="43">
        <f>SUMIF(合格品出库记录!E:E,日报!D1182,合格品出库记录!G:G)</f>
        <v>0</v>
      </c>
      <c r="J114" s="43">
        <f>SUMIF(领跑良品退回!E:E,D1182,领跑良品退回!G:G)</f>
        <v>0</v>
      </c>
      <c r="K114" s="43">
        <f>M1182+L1182</f>
        <v>0</v>
      </c>
      <c r="L114" s="43">
        <f>SUMIF(不良品库存!D:D,D:D,不良品库存!F:F)</f>
        <v>0</v>
      </c>
      <c r="M114" s="52">
        <f>G1182+H1182-I1182+J1182</f>
        <v>0</v>
      </c>
      <c r="N114" s="42">
        <v>0</v>
      </c>
      <c r="O114" s="44"/>
      <c r="P114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14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14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14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14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14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14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14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14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14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14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14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14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14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14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14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14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14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14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14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14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14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14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14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14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14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14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14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14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14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14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14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14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14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14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14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14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14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14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14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14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14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14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14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14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14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14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14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14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14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14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14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14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14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14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14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14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14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14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14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14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14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14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14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14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14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14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14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14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14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14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14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14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14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14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14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14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14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14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14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14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14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14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14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14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14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14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14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14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14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14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14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14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15" ht="16.8" customHeight="1" spans="1:108">
      <c r="A115" s="38">
        <v>1228</v>
      </c>
      <c r="B115" s="44" t="s">
        <v>19</v>
      </c>
      <c r="C115" s="45" t="s">
        <v>20</v>
      </c>
      <c r="D115" s="42" t="s">
        <v>243</v>
      </c>
      <c r="E115" s="46" t="s">
        <v>244</v>
      </c>
      <c r="F115" s="42"/>
      <c r="G115" s="59">
        <v>0</v>
      </c>
      <c r="H115" s="43">
        <f>SUMIF(合格品入库记录!E:E,日报!D1190,合格品入库记录!G:G)</f>
        <v>0</v>
      </c>
      <c r="I115" s="43">
        <f>SUMIF(合格品出库记录!E:E,日报!D1190,合格品出库记录!G:G)</f>
        <v>0</v>
      </c>
      <c r="J115" s="43">
        <f>SUMIF(领跑良品退回!E:E,D1190,领跑良品退回!G:G)</f>
        <v>0</v>
      </c>
      <c r="K115" s="43">
        <f>M1190+L1190</f>
        <v>0</v>
      </c>
      <c r="L115" s="43">
        <f>SUMIF(不良品库存!D:D,D:D,不良品库存!F:F)</f>
        <v>0</v>
      </c>
      <c r="M115" s="52">
        <f>G1190+H1190-I1190+J1190</f>
        <v>0</v>
      </c>
      <c r="N115" s="42" t="e">
        <v>#N/A</v>
      </c>
      <c r="O115" s="44"/>
      <c r="P115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15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15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15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15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15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15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15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15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15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15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15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15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15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15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15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15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15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15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15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15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15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15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15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15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15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15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15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15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15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15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15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15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15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15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15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15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15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15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15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15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15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15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15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15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15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15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15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15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15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15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15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15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15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15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15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15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15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15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15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15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15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15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15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15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15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15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15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15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15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15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15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15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15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15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15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15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15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15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15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15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15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15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15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15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15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15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15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15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15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15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15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15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16" ht="16.8" customHeight="1" spans="1:108">
      <c r="A116" s="38">
        <v>1229</v>
      </c>
      <c r="B116" s="44" t="s">
        <v>19</v>
      </c>
      <c r="C116" s="45" t="s">
        <v>20</v>
      </c>
      <c r="D116" s="42" t="s">
        <v>245</v>
      </c>
      <c r="E116" s="46" t="s">
        <v>246</v>
      </c>
      <c r="F116" s="42"/>
      <c r="G116" s="59">
        <v>0</v>
      </c>
      <c r="H116" s="43">
        <f>SUMIF(合格品入库记录!E:E,日报!D1191,合格品入库记录!G:G)</f>
        <v>0</v>
      </c>
      <c r="I116" s="43">
        <f>SUMIF(合格品出库记录!E:E,日报!D1191,合格品出库记录!G:G)</f>
        <v>0</v>
      </c>
      <c r="J116" s="43">
        <f>SUMIF(领跑良品退回!E:E,D1191,领跑良品退回!G:G)</f>
        <v>0</v>
      </c>
      <c r="K116" s="43">
        <f>M1191+L1191</f>
        <v>0</v>
      </c>
      <c r="L116" s="43">
        <f>SUMIF(不良品库存!D:D,D:D,不良品库存!F:F)</f>
        <v>0</v>
      </c>
      <c r="M116" s="52">
        <f>G1191+H1191-I1191+J1191</f>
        <v>0</v>
      </c>
      <c r="N116" s="42" t="e">
        <v>#N/A</v>
      </c>
      <c r="O116" s="44"/>
      <c r="P116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16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16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16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16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16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16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16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16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16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16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16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16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16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16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16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16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16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16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16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16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16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16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16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16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16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16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16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16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16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16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16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16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16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16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16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16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16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16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16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16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16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16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16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16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16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16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16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16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16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16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16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16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16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16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16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16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16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16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16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16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16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16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16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16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16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16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16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16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16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16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16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16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16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16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16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16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16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16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16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16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16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16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16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16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16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16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16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16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16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16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16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16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17" ht="16.8" customHeight="1" spans="1:108">
      <c r="A117" s="38">
        <v>1230</v>
      </c>
      <c r="B117" s="44" t="s">
        <v>19</v>
      </c>
      <c r="C117" s="45" t="s">
        <v>20</v>
      </c>
      <c r="D117" s="42" t="s">
        <v>247</v>
      </c>
      <c r="E117" s="46" t="s">
        <v>248</v>
      </c>
      <c r="F117" s="42"/>
      <c r="G117" s="59">
        <v>0</v>
      </c>
      <c r="H117" s="43">
        <f>SUMIF(合格品入库记录!E:E,日报!D1192,合格品入库记录!G:G)</f>
        <v>0</v>
      </c>
      <c r="I117" s="43">
        <f>SUMIF(合格品出库记录!E:E,日报!D1192,合格品出库记录!G:G)</f>
        <v>0</v>
      </c>
      <c r="J117" s="43">
        <f>SUMIF(领跑良品退回!E:E,D1192,领跑良品退回!G:G)</f>
        <v>0</v>
      </c>
      <c r="K117" s="43">
        <f>M1192+L1192</f>
        <v>0</v>
      </c>
      <c r="L117" s="43">
        <f>SUMIF(不良品库存!D:D,D:D,不良品库存!F:F)</f>
        <v>0</v>
      </c>
      <c r="M117" s="52">
        <f>G1192+H1192-I1192+J1192</f>
        <v>0</v>
      </c>
      <c r="N117" s="42" t="e">
        <v>#N/A</v>
      </c>
      <c r="O117" s="44"/>
      <c r="P117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17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17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17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17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17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17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17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17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17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17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17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17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17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17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17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17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17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17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17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17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17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17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17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17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17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17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17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17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17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17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17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17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17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17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17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17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17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17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17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17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17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17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17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17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17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17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17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17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17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17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17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17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17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17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17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17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17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17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17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17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17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17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17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17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17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17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17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17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17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17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17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17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17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17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17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17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17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17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17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17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17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17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17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17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17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17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17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17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17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17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17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17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18" ht="16.8" customHeight="1" spans="1:108">
      <c r="A118" s="38">
        <v>1231</v>
      </c>
      <c r="B118" s="44" t="s">
        <v>19</v>
      </c>
      <c r="C118" s="45" t="s">
        <v>20</v>
      </c>
      <c r="D118" s="42" t="s">
        <v>249</v>
      </c>
      <c r="E118" s="46" t="s">
        <v>250</v>
      </c>
      <c r="F118" s="42"/>
      <c r="G118" s="59">
        <v>0</v>
      </c>
      <c r="H118" s="43">
        <f>SUMIF(合格品入库记录!E:E,日报!D1193,合格品入库记录!G:G)</f>
        <v>0</v>
      </c>
      <c r="I118" s="43">
        <f>SUMIF(合格品出库记录!E:E,日报!D1193,合格品出库记录!G:G)</f>
        <v>0</v>
      </c>
      <c r="J118" s="43">
        <f>SUMIF(领跑良品退回!E:E,D1193,领跑良品退回!G:G)</f>
        <v>0</v>
      </c>
      <c r="K118" s="43">
        <f>M1193+L1193</f>
        <v>0</v>
      </c>
      <c r="L118" s="43">
        <f>SUMIF(不良品库存!D:D,D:D,不良品库存!F:F)</f>
        <v>0</v>
      </c>
      <c r="M118" s="52">
        <f>G1193+H1193-I1193+J1193</f>
        <v>0</v>
      </c>
      <c r="N118" s="42" t="e">
        <v>#N/A</v>
      </c>
      <c r="O118" s="44"/>
      <c r="P118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18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18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18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18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18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18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18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18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18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18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18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18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18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18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18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18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18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18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18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18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18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18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18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18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18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18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18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18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18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18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18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18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18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18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18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18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18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18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18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18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18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18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18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18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18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18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18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18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18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18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18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18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18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18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18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18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18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18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18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18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18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18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18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18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18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18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18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18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18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18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18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18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18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18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18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18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18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18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18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18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18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18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18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18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18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18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18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18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18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18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18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18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19" ht="16.8" customHeight="1" spans="1:108">
      <c r="A119" s="38">
        <v>1242</v>
      </c>
      <c r="B119" s="44" t="s">
        <v>19</v>
      </c>
      <c r="C119" s="45" t="s">
        <v>20</v>
      </c>
      <c r="D119" s="42" t="s">
        <v>251</v>
      </c>
      <c r="E119" s="46" t="s">
        <v>252</v>
      </c>
      <c r="F119" s="42">
        <v>8</v>
      </c>
      <c r="G119" s="59">
        <v>576</v>
      </c>
      <c r="H119" s="43">
        <f>SUMIF(合格品入库记录!E:E,日报!D1204,合格品入库记录!G:G)</f>
        <v>0</v>
      </c>
      <c r="I119" s="43">
        <f>SUMIF(合格品出库记录!E:E,日报!D1204,合格品出库记录!G:G)</f>
        <v>0</v>
      </c>
      <c r="J119" s="43">
        <f>SUMIF(领跑良品退回!E:E,D1204,领跑良品退回!G:G)</f>
        <v>0</v>
      </c>
      <c r="K119" s="43">
        <f>M1204+L1204</f>
        <v>0</v>
      </c>
      <c r="L119" s="43">
        <f>SUMIF(不良品库存!D:D,D:D,不良品库存!F:F)</f>
        <v>0</v>
      </c>
      <c r="M119" s="52">
        <f>G1204+H1204-I1204+J1204</f>
        <v>0</v>
      </c>
      <c r="N119" s="42" t="e">
        <v>#N/A</v>
      </c>
      <c r="O119" s="44"/>
      <c r="P119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19" s="42">
        <f>IF(SUMIFS(合格品入库记录!$G:$G,合格品入库记录!$E:$E,日报!$D:$D,合格品入库记录!$A:$A,日报!Q$3)&lt;&gt;0,SUMIFS(合格品入库记录!$G:$G,合格品入库记录!$E:$E,日报!$D:$D,合格品入库记录!$A:$A,日报!Q$3),"")</f>
        <v>432</v>
      </c>
      <c r="R119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19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19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19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19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19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19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19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19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19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19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19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19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19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19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19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19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19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19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19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19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19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19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19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19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19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19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19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19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19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19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19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19" s="42">
        <f>IF(SUMIFS(合格品出库记录!$G:$G,合格品出库记录!$E:$E,日报!$D:$D,合格品出库记录!$A:$A,日报!AX$3)&lt;&gt;0,SUMIFS(合格品出库记录!$G:$G,合格品出库记录!$E:$E,日报!$D:$D,合格品出库记录!$A:$A,日报!AX$3),"")</f>
        <v>1008</v>
      </c>
      <c r="AY119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19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19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19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19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19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19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19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19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19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19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19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19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19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19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19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19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19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19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19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19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19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19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19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19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19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19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19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19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19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19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19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19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19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19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19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19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19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19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19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19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19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19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19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19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19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19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19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19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19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19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19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19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19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19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19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19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19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20" ht="16.8" customHeight="1" spans="1:108">
      <c r="A120" s="38">
        <v>1243</v>
      </c>
      <c r="B120" s="44" t="s">
        <v>19</v>
      </c>
      <c r="C120" s="45" t="s">
        <v>20</v>
      </c>
      <c r="D120" s="42" t="s">
        <v>253</v>
      </c>
      <c r="E120" s="46" t="s">
        <v>254</v>
      </c>
      <c r="F120" s="42">
        <v>8</v>
      </c>
      <c r="G120" s="59">
        <v>576</v>
      </c>
      <c r="H120" s="43">
        <f>SUMIF(合格品入库记录!E:E,日报!D1205,合格品入库记录!G:G)</f>
        <v>0</v>
      </c>
      <c r="I120" s="43">
        <f>SUMIF(合格品出库记录!E:E,日报!D1205,合格品出库记录!G:G)</f>
        <v>0</v>
      </c>
      <c r="J120" s="43">
        <f>SUMIF(领跑良品退回!E:E,D1205,领跑良品退回!G:G)</f>
        <v>0</v>
      </c>
      <c r="K120" s="43">
        <f>M1205+L1205</f>
        <v>0</v>
      </c>
      <c r="L120" s="43">
        <f>SUMIF(不良品库存!D:D,D:D,不良品库存!F:F)</f>
        <v>12</v>
      </c>
      <c r="M120" s="52">
        <f>G1205+H1205-I1205+J1205</f>
        <v>0</v>
      </c>
      <c r="N120" s="42" t="e">
        <v>#N/A</v>
      </c>
      <c r="O120" s="44"/>
      <c r="P120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20" s="42">
        <f>IF(SUMIFS(合格品入库记录!$G:$G,合格品入库记录!$E:$E,日报!$D:$D,合格品入库记录!$A:$A,日报!Q$3)&lt;&gt;0,SUMIFS(合格品入库记录!$G:$G,合格品入库记录!$E:$E,日报!$D:$D,合格品入库记录!$A:$A,日报!Q$3),"")</f>
        <v>432</v>
      </c>
      <c r="R120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20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20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20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20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20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20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20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20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20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20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20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20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20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20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20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20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20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20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20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20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20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20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20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20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20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20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20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20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20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20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20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20" s="42">
        <f>IF(SUMIFS(合格品出库记录!$G:$G,合格品出库记录!$E:$E,日报!$D:$D,合格品出库记录!$A:$A,日报!AX$3)&lt;&gt;0,SUMIFS(合格品出库记录!$G:$G,合格品出库记录!$E:$E,日报!$D:$D,合格品出库记录!$A:$A,日报!AX$3),"")</f>
        <v>1008</v>
      </c>
      <c r="AY120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20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20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20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20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20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20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20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20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20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20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20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20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20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20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20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20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20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20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20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20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20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20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20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20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20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20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20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20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20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20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20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20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20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20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20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20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20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20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20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20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20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20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20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20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20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20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20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20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20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20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20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20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20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20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20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20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20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21" ht="16.8" customHeight="1" spans="1:108">
      <c r="A121" s="38">
        <v>1245</v>
      </c>
      <c r="B121" s="44" t="s">
        <v>19</v>
      </c>
      <c r="C121" s="45" t="s">
        <v>20</v>
      </c>
      <c r="D121" s="42" t="s">
        <v>255</v>
      </c>
      <c r="E121" s="46" t="s">
        <v>256</v>
      </c>
      <c r="F121" s="42"/>
      <c r="G121" s="59">
        <v>2508</v>
      </c>
      <c r="H121" s="43">
        <f>SUMIF(合格品入库记录!E:E,日报!D1207,合格品入库记录!G:G)</f>
        <v>0</v>
      </c>
      <c r="I121" s="43">
        <f>SUMIF(合格品出库记录!E:E,日报!D1207,合格品出库记录!G:G)</f>
        <v>0</v>
      </c>
      <c r="J121" s="43">
        <f>SUMIF(领跑良品退回!E:E,D1207,领跑良品退回!G:G)</f>
        <v>0</v>
      </c>
      <c r="K121" s="43">
        <f>M1207+L1207</f>
        <v>0</v>
      </c>
      <c r="L121" s="43">
        <f>SUMIF(不良品库存!D:D,D:D,不良品库存!F:F)</f>
        <v>0</v>
      </c>
      <c r="M121" s="52">
        <f>G1207+H1207-I1207+J1207</f>
        <v>0</v>
      </c>
      <c r="N121" s="42" t="e">
        <v>#N/A</v>
      </c>
      <c r="O121" s="44"/>
      <c r="P121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21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21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21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21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21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21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21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21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21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21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21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21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21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21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21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21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21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21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21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21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21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21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21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21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21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21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21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21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21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21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21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21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21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21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21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21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21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21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21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21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21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21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21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21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21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21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21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21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21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21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21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21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21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21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21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21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21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21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21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21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21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21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21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21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21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21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21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21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21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21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21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21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21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21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21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21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21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21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21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21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21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21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21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21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21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21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21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21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21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21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21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21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22" ht="16.8" customHeight="1" spans="1:108">
      <c r="A122" s="38">
        <v>1246</v>
      </c>
      <c r="B122" s="44" t="s">
        <v>19</v>
      </c>
      <c r="C122" s="45" t="s">
        <v>20</v>
      </c>
      <c r="D122" s="42" t="s">
        <v>257</v>
      </c>
      <c r="E122" s="46" t="s">
        <v>258</v>
      </c>
      <c r="F122" s="42"/>
      <c r="G122" s="59">
        <v>2756</v>
      </c>
      <c r="H122" s="43">
        <f>SUMIF(合格品入库记录!E:E,日报!D1208,合格品入库记录!G:G)</f>
        <v>0</v>
      </c>
      <c r="I122" s="43">
        <f>SUMIF(合格品出库记录!E:E,日报!D1208,合格品出库记录!G:G)</f>
        <v>0</v>
      </c>
      <c r="J122" s="43">
        <f>SUMIF(领跑良品退回!E:E,D1208,领跑良品退回!G:G)</f>
        <v>0</v>
      </c>
      <c r="K122" s="43">
        <f>M1208+L1208</f>
        <v>0</v>
      </c>
      <c r="L122" s="43">
        <f>SUMIF(不良品库存!D:D,D:D,不良品库存!F:F)</f>
        <v>0</v>
      </c>
      <c r="M122" s="52">
        <f>G1208+H1208-I1208+J1208</f>
        <v>0</v>
      </c>
      <c r="N122" s="42">
        <v>0</v>
      </c>
      <c r="O122" s="44"/>
      <c r="P122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22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22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22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22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22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22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22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22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22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22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22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22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22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22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22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22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22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22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22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22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22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22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22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22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22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22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22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22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22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22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22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22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22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22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22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22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22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22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22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22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22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22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22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22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22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22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22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22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22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22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22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22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22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22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22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22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22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22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22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22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22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22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22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22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22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22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22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22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22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22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22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22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22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22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22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22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22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22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22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22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22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22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22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22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22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22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22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22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22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22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22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22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23" ht="16.8" customHeight="1" spans="1:108">
      <c r="A123" s="38">
        <v>1261</v>
      </c>
      <c r="B123" s="44" t="s">
        <v>19</v>
      </c>
      <c r="C123" s="45" t="s">
        <v>20</v>
      </c>
      <c r="D123" s="42" t="s">
        <v>259</v>
      </c>
      <c r="E123" s="46" t="s">
        <v>260</v>
      </c>
      <c r="F123" s="42">
        <v>20</v>
      </c>
      <c r="G123" s="59">
        <v>20</v>
      </c>
      <c r="H123" s="43">
        <f>SUMIF(合格品入库记录!E:E,日报!D1223,合格品入库记录!G:G)</f>
        <v>0</v>
      </c>
      <c r="I123" s="43">
        <f>SUMIF(合格品出库记录!E:E,日报!D1223,合格品出库记录!G:G)</f>
        <v>0</v>
      </c>
      <c r="J123" s="43">
        <f>SUMIF(领跑良品退回!E:E,D1223,领跑良品退回!G:G)</f>
        <v>0</v>
      </c>
      <c r="K123" s="43">
        <f>M1223+L1223</f>
        <v>0</v>
      </c>
      <c r="L123" s="43">
        <f>SUMIF(不良品库存!D:D,D:D,不良品库存!F:F)</f>
        <v>0</v>
      </c>
      <c r="M123" s="52">
        <f>G1223+H1223-I1223+J1223</f>
        <v>0</v>
      </c>
      <c r="N123" s="42">
        <v>0</v>
      </c>
      <c r="O123" s="44"/>
      <c r="P123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23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23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23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23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23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23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23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23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23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23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23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23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23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23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23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23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23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23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23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23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23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23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23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23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23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23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23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23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23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23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23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23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23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23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23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23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23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23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23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23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23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23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23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23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23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23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23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23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23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23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23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23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23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23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23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23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23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23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23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23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23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23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23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23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23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23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23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23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23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23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23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23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23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23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23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23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23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23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23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23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23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23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23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23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23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23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23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23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23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23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23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23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24" ht="16.8" customHeight="1" spans="1:108">
      <c r="A124" s="38">
        <v>1262</v>
      </c>
      <c r="B124" s="44" t="s">
        <v>19</v>
      </c>
      <c r="C124" s="45" t="s">
        <v>20</v>
      </c>
      <c r="D124" s="42" t="s">
        <v>261</v>
      </c>
      <c r="E124" s="46" t="s">
        <v>262</v>
      </c>
      <c r="F124" s="42">
        <v>20</v>
      </c>
      <c r="G124" s="59">
        <v>20</v>
      </c>
      <c r="H124" s="43">
        <f>SUMIF(合格品入库记录!E:E,日报!D1224,合格品入库记录!G:G)</f>
        <v>0</v>
      </c>
      <c r="I124" s="43">
        <f>SUMIF(合格品出库记录!E:E,日报!D1224,合格品出库记录!G:G)</f>
        <v>0</v>
      </c>
      <c r="J124" s="43">
        <f>SUMIF(领跑良品退回!E:E,D1224,领跑良品退回!G:G)</f>
        <v>0</v>
      </c>
      <c r="K124" s="43">
        <f>M1224+L1224</f>
        <v>0</v>
      </c>
      <c r="L124" s="43">
        <f>SUMIF(不良品库存!D:D,D:D,不良品库存!F:F)</f>
        <v>0</v>
      </c>
      <c r="M124" s="52">
        <f>G1224+H1224-I1224+J1224</f>
        <v>0</v>
      </c>
      <c r="N124" s="42">
        <v>0</v>
      </c>
      <c r="O124" s="44"/>
      <c r="P124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24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24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24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24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24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24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24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24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24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24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24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24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24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24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24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24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24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24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24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24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24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24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24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24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24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24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24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24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24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24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24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24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24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24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24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24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24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24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24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24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24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24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24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24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24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24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24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24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24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24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24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24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24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24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24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24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24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24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24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24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24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24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24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24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24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24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24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24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24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24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24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24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24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24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24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24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24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24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24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24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24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24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24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24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24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24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24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24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24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24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24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24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25" ht="16.8" customHeight="1" spans="1:108">
      <c r="A125" s="38">
        <v>1263</v>
      </c>
      <c r="B125" s="44" t="s">
        <v>19</v>
      </c>
      <c r="C125" s="45" t="s">
        <v>20</v>
      </c>
      <c r="D125" s="42" t="s">
        <v>263</v>
      </c>
      <c r="E125" s="46" t="s">
        <v>264</v>
      </c>
      <c r="F125" s="42">
        <v>20</v>
      </c>
      <c r="G125" s="59">
        <v>20</v>
      </c>
      <c r="H125" s="43">
        <f>SUMIF(合格品入库记录!E:E,日报!D1225,合格品入库记录!G:G)</f>
        <v>0</v>
      </c>
      <c r="I125" s="43">
        <f>SUMIF(合格品出库记录!E:E,日报!D1225,合格品出库记录!G:G)</f>
        <v>0</v>
      </c>
      <c r="J125" s="43">
        <f>SUMIF(领跑良品退回!E:E,D1225,领跑良品退回!G:G)</f>
        <v>0</v>
      </c>
      <c r="K125" s="43">
        <f>M1225+L1225</f>
        <v>0</v>
      </c>
      <c r="L125" s="43">
        <f>SUMIF(不良品库存!D:D,D:D,不良品库存!F:F)</f>
        <v>0</v>
      </c>
      <c r="M125" s="52">
        <f>G1225+H1225-I1225+J1225</f>
        <v>0</v>
      </c>
      <c r="N125" s="42">
        <v>0</v>
      </c>
      <c r="O125" s="44"/>
      <c r="P125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25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25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25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25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25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25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25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25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25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25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25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25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25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25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25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25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25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25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25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25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25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25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25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25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25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25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25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25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25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25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25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25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25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25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25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25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25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25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25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25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25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25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25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25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25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25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25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25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25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25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25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25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25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25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25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25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25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25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25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25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25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25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25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25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25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25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25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25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25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25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25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25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25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25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25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25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25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25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25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25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25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25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25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25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25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25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25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25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25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25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25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25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26" ht="16.8" customHeight="1" spans="1:108">
      <c r="A126" s="38">
        <v>1264</v>
      </c>
      <c r="B126" s="44" t="s">
        <v>19</v>
      </c>
      <c r="C126" s="45" t="s">
        <v>20</v>
      </c>
      <c r="D126" s="42" t="s">
        <v>265</v>
      </c>
      <c r="E126" s="46" t="s">
        <v>266</v>
      </c>
      <c r="F126" s="42">
        <v>20</v>
      </c>
      <c r="G126" s="59">
        <v>20</v>
      </c>
      <c r="H126" s="43">
        <f>SUMIF(合格品入库记录!E:E,日报!D1226,合格品入库记录!G:G)</f>
        <v>0</v>
      </c>
      <c r="I126" s="43">
        <f>SUMIF(合格品出库记录!E:E,日报!D1226,合格品出库记录!G:G)</f>
        <v>0</v>
      </c>
      <c r="J126" s="43">
        <f>SUMIF(领跑良品退回!E:E,D1226,领跑良品退回!G:G)</f>
        <v>0</v>
      </c>
      <c r="K126" s="43">
        <f>M1226+L1226</f>
        <v>0</v>
      </c>
      <c r="L126" s="43">
        <f>SUMIF(不良品库存!D:D,D:D,不良品库存!F:F)</f>
        <v>0</v>
      </c>
      <c r="M126" s="52">
        <f>G1226+H1226-I1226+J1226</f>
        <v>0</v>
      </c>
      <c r="N126" s="42">
        <v>0</v>
      </c>
      <c r="O126" s="44"/>
      <c r="P126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26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26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26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26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26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26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26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26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26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26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26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26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26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26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26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26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26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26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26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26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26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26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26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26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26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26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26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26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26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26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26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26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26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26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26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26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26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26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26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26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26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26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26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26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26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26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26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26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26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26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26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26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26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26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26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26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26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26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26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26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26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26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26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26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26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26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26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26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26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26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26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26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26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26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26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26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26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26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26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26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26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26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26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26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26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26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26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26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26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26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26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26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27" ht="16.8" customHeight="1" spans="1:108">
      <c r="A127" s="38">
        <v>1288</v>
      </c>
      <c r="B127" s="44" t="s">
        <v>19</v>
      </c>
      <c r="C127" s="45" t="s">
        <v>20</v>
      </c>
      <c r="D127" s="42" t="s">
        <v>267</v>
      </c>
      <c r="E127" s="46" t="s">
        <v>268</v>
      </c>
      <c r="F127" s="42"/>
      <c r="G127" s="59">
        <v>2100</v>
      </c>
      <c r="H127" s="43">
        <f>SUMIF(合格品入库记录!E:E,日报!D1250,合格品入库记录!G:G)</f>
        <v>0</v>
      </c>
      <c r="I127" s="43">
        <f>SUMIF(合格品出库记录!E:E,日报!D1250,合格品出库记录!G:G)</f>
        <v>0</v>
      </c>
      <c r="J127" s="43">
        <f>SUMIF(领跑良品退回!E:E,D1250,领跑良品退回!G:G)</f>
        <v>0</v>
      </c>
      <c r="K127" s="43">
        <f>M1250+L1250</f>
        <v>0</v>
      </c>
      <c r="L127" s="43">
        <f>SUMIF(不良品库存!D:D,D:D,不良品库存!F:F)</f>
        <v>0</v>
      </c>
      <c r="M127" s="52">
        <f>G1250+H1250-I1250+J1250</f>
        <v>0</v>
      </c>
      <c r="N127" s="42" t="e">
        <v>#N/A</v>
      </c>
      <c r="O127" s="44"/>
      <c r="P127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27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27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27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27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27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27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27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27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27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27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27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27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27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27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27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27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27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27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27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27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27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27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27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27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27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27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27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27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27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27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27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27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27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27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27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27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27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27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27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27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27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27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27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27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27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27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27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27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27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27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27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27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27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27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27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27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27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27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27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27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27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27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27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27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27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27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27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27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27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27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27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27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27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27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27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27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27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27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27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27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27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27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27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27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27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27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27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27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27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27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27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27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28" ht="16.8" customHeight="1" spans="1:108">
      <c r="A128" s="38">
        <v>1342</v>
      </c>
      <c r="B128" s="44" t="s">
        <v>19</v>
      </c>
      <c r="C128" s="45" t="s">
        <v>20</v>
      </c>
      <c r="D128" s="42" t="s">
        <v>269</v>
      </c>
      <c r="E128" s="46" t="s">
        <v>270</v>
      </c>
      <c r="F128" s="42"/>
      <c r="G128" s="59">
        <v>0</v>
      </c>
      <c r="H128" s="43">
        <f>SUMIF(合格品入库记录!E:E,日报!D1304,合格品入库记录!G:G)</f>
        <v>0</v>
      </c>
      <c r="I128" s="43">
        <f>SUMIF(合格品出库记录!E:E,日报!D1304,合格品出库记录!G:G)</f>
        <v>0</v>
      </c>
      <c r="J128" s="43">
        <f>SUMIF(领跑良品退回!E:E,D1304,领跑良品退回!G:G)</f>
        <v>0</v>
      </c>
      <c r="K128" s="43">
        <f>M1304+L1304</f>
        <v>0</v>
      </c>
      <c r="L128" s="43">
        <f>SUMIF(不良品库存!D:D,D:D,不良品库存!F:F)</f>
        <v>0</v>
      </c>
      <c r="M128" s="52">
        <f>G1304+H1304-I1304+J1304</f>
        <v>0</v>
      </c>
      <c r="N128" s="42"/>
      <c r="O128" s="44"/>
      <c r="P128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28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28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28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28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28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28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28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28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28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28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28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28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28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28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28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28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28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28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28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28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28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28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28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28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28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28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28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28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28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28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28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28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28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28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28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28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28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28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28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28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28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28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28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28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28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28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28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28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28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28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28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28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28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28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28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28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28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28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28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28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28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28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28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28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28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28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28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28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28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28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28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28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28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28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28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28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28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28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28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28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28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28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28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28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28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28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28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28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28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28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28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28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29" ht="16.8" customHeight="1" spans="1:108">
      <c r="A129" s="38">
        <v>1343</v>
      </c>
      <c r="B129" s="44" t="s">
        <v>19</v>
      </c>
      <c r="C129" s="45" t="s">
        <v>20</v>
      </c>
      <c r="D129" s="42" t="s">
        <v>271</v>
      </c>
      <c r="E129" s="46" t="s">
        <v>272</v>
      </c>
      <c r="F129" s="42"/>
      <c r="G129" s="59">
        <v>0</v>
      </c>
      <c r="H129" s="43">
        <f>SUMIF(合格品入库记录!E:E,日报!D1305,合格品入库记录!G:G)</f>
        <v>0</v>
      </c>
      <c r="I129" s="43">
        <f>SUMIF(合格品出库记录!E:E,日报!D1305,合格品出库记录!G:G)</f>
        <v>0</v>
      </c>
      <c r="J129" s="43">
        <f>SUMIF(领跑良品退回!E:E,D1305,领跑良品退回!G:G)</f>
        <v>0</v>
      </c>
      <c r="K129" s="43">
        <f>M1305+L1305</f>
        <v>0</v>
      </c>
      <c r="L129" s="43">
        <f>SUMIF(不良品库存!D:D,D:D,不良品库存!F:F)</f>
        <v>0</v>
      </c>
      <c r="M129" s="52">
        <f>G1305+H1305-I1305+J1305</f>
        <v>0</v>
      </c>
      <c r="N129" s="42"/>
      <c r="O129" s="44"/>
      <c r="P129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29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29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29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29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29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29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29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29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29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29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29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29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29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29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29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29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29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29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29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29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29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29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29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29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29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29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29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29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29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29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29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29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29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29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29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29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29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29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29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29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29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29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29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29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29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29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29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29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29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29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29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29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29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29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29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29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29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29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29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29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29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29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29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29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29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29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29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29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29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29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29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29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29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29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29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29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29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29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29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29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29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29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29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29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29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29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29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29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29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29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29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29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30" ht="16.8" customHeight="1" spans="1:108">
      <c r="A130" s="38">
        <v>1364</v>
      </c>
      <c r="B130" s="44" t="s">
        <v>19</v>
      </c>
      <c r="C130" s="45" t="s">
        <v>20</v>
      </c>
      <c r="D130" s="42" t="s">
        <v>273</v>
      </c>
      <c r="E130" s="46" t="s">
        <v>274</v>
      </c>
      <c r="F130" s="42"/>
      <c r="G130" s="59">
        <v>0</v>
      </c>
      <c r="H130" s="43">
        <f>SUMIF(合格品入库记录!E:E,日报!D1326,合格品入库记录!G:G)</f>
        <v>0</v>
      </c>
      <c r="I130" s="43">
        <f>SUMIF(合格品出库记录!E:E,日报!D1326,合格品出库记录!G:G)</f>
        <v>0</v>
      </c>
      <c r="J130" s="43">
        <f>SUMIF(领跑良品退回!E:E,D1326,领跑良品退回!G:G)</f>
        <v>0</v>
      </c>
      <c r="K130" s="43">
        <f>M1326+L1326</f>
        <v>0</v>
      </c>
      <c r="L130" s="43">
        <f>SUMIF(不良品库存!D:D,D:D,不良品库存!F:F)</f>
        <v>0</v>
      </c>
      <c r="M130" s="52">
        <f>G1326+H1326-I1326+J1326</f>
        <v>0</v>
      </c>
      <c r="N130" s="42"/>
      <c r="O130" s="44"/>
      <c r="P130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30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30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30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30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30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30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30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30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30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30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30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30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30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30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30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30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30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30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30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30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30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30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30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30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30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30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30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30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30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30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30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30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30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30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30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30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30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30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30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30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30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30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30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30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30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30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30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30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30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30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30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30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30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30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30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30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30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30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30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30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30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30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30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30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30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30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30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30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30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30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30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30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30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30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30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30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30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30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30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30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30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30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30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30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30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30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30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30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30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30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30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30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31" ht="16.8" customHeight="1" spans="1:108">
      <c r="A131" s="38">
        <v>1377</v>
      </c>
      <c r="B131" s="44" t="s">
        <v>19</v>
      </c>
      <c r="C131" s="45" t="s">
        <v>20</v>
      </c>
      <c r="D131" s="42" t="s">
        <v>275</v>
      </c>
      <c r="E131" s="46" t="s">
        <v>276</v>
      </c>
      <c r="F131" s="42"/>
      <c r="G131" s="59">
        <v>0</v>
      </c>
      <c r="H131" s="43">
        <f>SUMIF(合格品入库记录!E:E,日报!D1339,合格品入库记录!G:G)</f>
        <v>0</v>
      </c>
      <c r="I131" s="43">
        <f>SUMIF(合格品出库记录!E:E,日报!D1339,合格品出库记录!G:G)</f>
        <v>0</v>
      </c>
      <c r="J131" s="43">
        <f>SUMIF(领跑良品退回!E:E,D1339,领跑良品退回!G:G)</f>
        <v>0</v>
      </c>
      <c r="K131" s="43">
        <f>M1339+L1339</f>
        <v>0</v>
      </c>
      <c r="L131" s="43">
        <f>SUMIF(不良品库存!D:D,D:D,不良品库存!F:F)</f>
        <v>0</v>
      </c>
      <c r="M131" s="52">
        <f>G1339+H1339-I1339+J1339</f>
        <v>0</v>
      </c>
      <c r="N131" s="42"/>
      <c r="O131" s="44"/>
      <c r="P131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31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31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31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31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31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31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31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31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31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31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31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31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31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31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31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31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31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31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31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31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31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31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31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31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31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31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31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31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31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31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31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31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31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31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31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31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31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31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31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31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31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31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31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31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31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31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31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31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31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31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31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31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31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31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31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31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31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31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31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31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31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31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31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31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31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31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31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31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31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31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31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31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31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31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31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31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31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31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31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31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31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31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31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31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31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31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31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31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31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31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31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31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32" ht="16.8" customHeight="1" spans="1:108">
      <c r="A132" s="38">
        <v>1378</v>
      </c>
      <c r="B132" s="44" t="s">
        <v>19</v>
      </c>
      <c r="C132" s="45" t="s">
        <v>20</v>
      </c>
      <c r="D132" s="42" t="s">
        <v>277</v>
      </c>
      <c r="E132" s="46" t="s">
        <v>278</v>
      </c>
      <c r="F132" s="42"/>
      <c r="G132" s="59">
        <v>100</v>
      </c>
      <c r="H132" s="43">
        <f>SUMIF(合格品入库记录!E:E,日报!D1340,合格品入库记录!G:G)</f>
        <v>0</v>
      </c>
      <c r="I132" s="43">
        <f>SUMIF(合格品出库记录!E:E,日报!D1340,合格品出库记录!G:G)</f>
        <v>0</v>
      </c>
      <c r="J132" s="43">
        <f>SUMIF(领跑良品退回!E:E,D1340,领跑良品退回!G:G)</f>
        <v>0</v>
      </c>
      <c r="K132" s="43">
        <f>M1340+L1340</f>
        <v>0</v>
      </c>
      <c r="L132" s="43">
        <f>SUMIF(不良品库存!D:D,D:D,不良品库存!F:F)</f>
        <v>0</v>
      </c>
      <c r="M132" s="52">
        <f>G1340+H1340-I1340+J1340</f>
        <v>0</v>
      </c>
      <c r="N132" s="42"/>
      <c r="O132" s="44"/>
      <c r="P132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32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32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32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32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32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32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32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32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32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32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32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32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32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32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32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32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32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32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32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32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32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32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32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32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32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32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32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32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32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32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32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32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32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32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32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32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32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32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32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32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32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32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32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32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32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32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32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32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32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32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32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32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32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32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32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32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32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32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32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32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32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32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32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32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32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32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32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32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32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32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32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32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32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32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32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32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32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32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32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32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32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32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32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32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32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32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32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32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32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32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32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32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33" ht="16.8" customHeight="1" spans="1:108">
      <c r="A133" s="38">
        <v>1379</v>
      </c>
      <c r="B133" s="44" t="s">
        <v>19</v>
      </c>
      <c r="C133" s="45" t="s">
        <v>20</v>
      </c>
      <c r="D133" s="42" t="s">
        <v>279</v>
      </c>
      <c r="E133" s="46" t="s">
        <v>280</v>
      </c>
      <c r="F133" s="42"/>
      <c r="G133" s="59">
        <v>0</v>
      </c>
      <c r="H133" s="43">
        <f>SUMIF(合格品入库记录!E:E,日报!D1341,合格品入库记录!G:G)</f>
        <v>0</v>
      </c>
      <c r="I133" s="43">
        <f>SUMIF(合格品出库记录!E:E,日报!D1341,合格品出库记录!G:G)</f>
        <v>0</v>
      </c>
      <c r="J133" s="43">
        <f>SUMIF(领跑良品退回!E:E,D1341,领跑良品退回!G:G)</f>
        <v>0</v>
      </c>
      <c r="K133" s="43">
        <f>M1341+L1341</f>
        <v>0</v>
      </c>
      <c r="L133" s="43">
        <f>SUMIF(不良品库存!D:D,D:D,不良品库存!F:F)</f>
        <v>0</v>
      </c>
      <c r="M133" s="52">
        <f>G1341+H1341-I1341+J1341</f>
        <v>0</v>
      </c>
      <c r="N133" s="42"/>
      <c r="O133" s="44"/>
      <c r="P133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33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33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33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33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33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33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33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33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33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33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33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33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33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33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33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33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33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33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33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33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33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33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33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33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33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33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33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33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33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33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33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33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33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33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33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33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33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33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33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33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33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33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33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33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33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33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33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33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33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33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33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33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33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33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33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33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33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33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33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33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33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33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33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33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33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33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33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33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33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33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33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33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33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33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33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33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33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33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33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33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33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33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33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33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33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33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33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33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33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33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33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33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34" ht="16.8" customHeight="1" spans="1:108">
      <c r="A134" s="38">
        <v>1380</v>
      </c>
      <c r="B134" s="44" t="s">
        <v>19</v>
      </c>
      <c r="C134" s="45" t="s">
        <v>20</v>
      </c>
      <c r="D134" s="42" t="s">
        <v>281</v>
      </c>
      <c r="E134" s="46" t="s">
        <v>282</v>
      </c>
      <c r="F134" s="42"/>
      <c r="G134" s="59">
        <v>0</v>
      </c>
      <c r="H134" s="43">
        <f>SUMIF(合格品入库记录!E:E,日报!D1342,合格品入库记录!G:G)</f>
        <v>0</v>
      </c>
      <c r="I134" s="43">
        <f>SUMIF(合格品出库记录!E:E,日报!D1342,合格品出库记录!G:G)</f>
        <v>0</v>
      </c>
      <c r="J134" s="43">
        <f>SUMIF(领跑良品退回!E:E,D1342,领跑良品退回!G:G)</f>
        <v>0</v>
      </c>
      <c r="K134" s="43">
        <f>M1342+L1342</f>
        <v>0</v>
      </c>
      <c r="L134" s="43">
        <f>SUMIF(不良品库存!D:D,D:D,不良品库存!F:F)</f>
        <v>0</v>
      </c>
      <c r="M134" s="52">
        <f>G1342+H1342-I1342+J1342</f>
        <v>0</v>
      </c>
      <c r="N134" s="42"/>
      <c r="O134" s="44"/>
      <c r="P134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34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34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34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34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34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34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34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34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34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34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34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34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34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34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34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34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34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34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34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34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34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34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34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34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34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34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34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34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34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34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34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34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34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34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34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34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34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34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34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34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34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34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34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34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34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34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34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34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34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34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34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34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34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34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34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34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34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34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34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34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34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34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34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34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34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34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34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34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34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34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34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34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34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34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34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34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34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34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34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34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34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34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34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34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34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34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34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34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34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34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34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34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35" ht="16.8" customHeight="1" spans="1:108">
      <c r="A135" s="38">
        <v>1383</v>
      </c>
      <c r="B135" s="44" t="s">
        <v>19</v>
      </c>
      <c r="C135" s="45" t="s">
        <v>20</v>
      </c>
      <c r="D135" s="42" t="s">
        <v>283</v>
      </c>
      <c r="E135" s="46" t="s">
        <v>284</v>
      </c>
      <c r="F135" s="42"/>
      <c r="G135" s="59">
        <v>0</v>
      </c>
      <c r="H135" s="43">
        <f>SUMIF(合格品入库记录!E:E,日报!D1345,合格品入库记录!G:G)</f>
        <v>0</v>
      </c>
      <c r="I135" s="43">
        <f>SUMIF(合格品出库记录!E:E,日报!D1345,合格品出库记录!G:G)</f>
        <v>0</v>
      </c>
      <c r="J135" s="43">
        <f>SUMIF(领跑良品退回!E:E,D1345,领跑良品退回!G:G)</f>
        <v>0</v>
      </c>
      <c r="K135" s="43">
        <f>M1345+L1345</f>
        <v>0</v>
      </c>
      <c r="L135" s="43">
        <f>SUMIF(不良品库存!D:D,D:D,不良品库存!F:F)</f>
        <v>0</v>
      </c>
      <c r="M135" s="52">
        <f>G1345+H1345-I1345+J1345</f>
        <v>0</v>
      </c>
      <c r="N135" s="42"/>
      <c r="O135" s="44"/>
      <c r="P135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35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35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35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35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35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35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35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35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35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35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35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35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35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35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35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35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35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35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35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35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35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35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35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35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35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35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35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35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35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35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35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35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35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35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35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35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35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35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35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35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35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35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35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35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35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35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35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35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35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35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35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35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35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35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35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35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35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35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35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35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35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35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35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35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35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35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35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35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35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35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35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35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35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35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35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35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35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35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35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35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35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35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35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35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35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35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35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35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35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35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35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35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36" ht="16.8" customHeight="1" spans="1:108">
      <c r="A136" s="38">
        <v>1455</v>
      </c>
      <c r="B136" s="44" t="s">
        <v>19</v>
      </c>
      <c r="C136" s="45" t="s">
        <v>20</v>
      </c>
      <c r="D136" s="42" t="s">
        <v>285</v>
      </c>
      <c r="E136" s="46" t="s">
        <v>286</v>
      </c>
      <c r="F136" s="42"/>
      <c r="G136" s="59">
        <v>76</v>
      </c>
      <c r="H136" s="43">
        <f>SUMIF(合格品入库记录!E:E,日报!D1417,合格品入库记录!G:G)</f>
        <v>0</v>
      </c>
      <c r="I136" s="43">
        <f>SUMIF(合格品出库记录!E:E,日报!D1417,合格品出库记录!G:G)</f>
        <v>0</v>
      </c>
      <c r="J136" s="43">
        <f>SUMIF(领跑良品退回!E:E,D1417,领跑良品退回!G:G)</f>
        <v>0</v>
      </c>
      <c r="K136" s="43">
        <f>M1417+L1417</f>
        <v>0</v>
      </c>
      <c r="L136" s="43">
        <f>SUMIF(不良品库存!D:D,D:D,不良品库存!F:F)</f>
        <v>0</v>
      </c>
      <c r="M136" s="52">
        <f>G1417+H1417-I1417+J1417</f>
        <v>0</v>
      </c>
      <c r="N136" s="42"/>
      <c r="O136" s="44"/>
      <c r="P136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36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36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36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36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36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36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36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36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36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36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36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36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36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36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36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36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36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36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36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36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36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36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36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36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36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36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36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36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36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36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36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36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36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36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36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36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36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36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36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36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36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36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36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36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36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36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36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36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36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36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36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36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36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36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36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36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36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36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36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36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36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36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36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36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36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36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36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36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36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36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36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36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36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36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36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36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36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36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36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36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36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36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36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36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36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36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36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36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36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36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36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36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37" ht="16.8" customHeight="1" spans="1:108">
      <c r="A137" s="38">
        <v>1456</v>
      </c>
      <c r="B137" s="44" t="s">
        <v>19</v>
      </c>
      <c r="C137" s="45" t="s">
        <v>20</v>
      </c>
      <c r="D137" s="42" t="s">
        <v>287</v>
      </c>
      <c r="E137" s="46" t="s">
        <v>288</v>
      </c>
      <c r="F137" s="42"/>
      <c r="G137" s="59">
        <v>76</v>
      </c>
      <c r="H137" s="43">
        <f>SUMIF(合格品入库记录!E:E,日报!D1418,合格品入库记录!G:G)</f>
        <v>0</v>
      </c>
      <c r="I137" s="43">
        <f>SUMIF(合格品出库记录!E:E,日报!D1418,合格品出库记录!G:G)</f>
        <v>0</v>
      </c>
      <c r="J137" s="43">
        <f>SUMIF(领跑良品退回!E:E,D1418,领跑良品退回!G:G)</f>
        <v>0</v>
      </c>
      <c r="K137" s="43">
        <f>M1418+L1418</f>
        <v>0</v>
      </c>
      <c r="L137" s="43">
        <f>SUMIF(不良品库存!D:D,D:D,不良品库存!F:F)</f>
        <v>0</v>
      </c>
      <c r="M137" s="52">
        <f>G1418+H1418-I1418+J1418</f>
        <v>0</v>
      </c>
      <c r="N137" s="42"/>
      <c r="O137" s="44"/>
      <c r="P137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37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37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37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37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37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37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37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37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37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37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37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37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37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37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37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37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37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37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37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37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37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37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37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37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37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37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37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37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37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37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37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37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37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37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37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37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37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37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37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37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37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37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37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37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37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37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37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37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37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37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37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37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37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37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37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37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37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37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37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37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37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37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37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37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37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37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37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37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37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37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37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37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37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37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37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37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37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37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37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37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37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37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37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37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37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37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37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37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37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37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37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37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38" ht="16.8" customHeight="1" spans="1:108">
      <c r="A138" s="38">
        <v>1541</v>
      </c>
      <c r="B138" s="44" t="s">
        <v>19</v>
      </c>
      <c r="C138" s="45" t="s">
        <v>20</v>
      </c>
      <c r="D138" s="42" t="s">
        <v>289</v>
      </c>
      <c r="E138" s="46" t="s">
        <v>290</v>
      </c>
      <c r="F138" s="42"/>
      <c r="G138" s="59">
        <v>144</v>
      </c>
      <c r="H138" s="43">
        <f>SUMIF(合格品入库记录!E:E,日报!D1503,合格品入库记录!G:G)</f>
        <v>0</v>
      </c>
      <c r="I138" s="43">
        <f>SUMIF(合格品出库记录!E:E,日报!D1503,合格品出库记录!G:G)</f>
        <v>0</v>
      </c>
      <c r="J138" s="43">
        <f>SUMIF(领跑良品退回!E:E,D1503,领跑良品退回!G:G)</f>
        <v>0</v>
      </c>
      <c r="K138" s="43">
        <f>M1503+L1503</f>
        <v>0</v>
      </c>
      <c r="L138" s="43">
        <f>SUMIF(不良品库存!D:D,D:D,不良品库存!F:F)</f>
        <v>0</v>
      </c>
      <c r="M138" s="52">
        <f>G1503+H1503-I1503+J1503</f>
        <v>0</v>
      </c>
      <c r="N138" s="42"/>
      <c r="O138" s="44"/>
      <c r="P138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38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38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38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38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38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38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38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38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38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38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38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38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38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38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38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38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38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38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38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38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38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38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38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38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38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38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38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38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38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38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38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38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38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38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38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38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38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38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38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38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38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38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38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38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38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38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38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38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38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38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38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38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38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38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38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38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38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38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38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38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38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38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38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38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38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38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38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38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38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38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38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38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38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38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38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38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38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38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38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38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38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38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38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38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38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38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38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38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38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38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38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38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39" ht="16.8" customHeight="1" spans="1:108">
      <c r="A139" s="38">
        <v>1548</v>
      </c>
      <c r="B139" s="44" t="s">
        <v>19</v>
      </c>
      <c r="C139" s="45" t="s">
        <v>20</v>
      </c>
      <c r="D139" s="42" t="s">
        <v>291</v>
      </c>
      <c r="E139" s="46" t="s">
        <v>292</v>
      </c>
      <c r="F139" s="42"/>
      <c r="G139" s="59">
        <v>350</v>
      </c>
      <c r="H139" s="43">
        <f>SUMIF(合格品入库记录!E:E,日报!D1510,合格品入库记录!G:G)</f>
        <v>0</v>
      </c>
      <c r="I139" s="43">
        <f>SUMIF(合格品出库记录!E:E,日报!D1510,合格品出库记录!G:G)</f>
        <v>0</v>
      </c>
      <c r="J139" s="43">
        <f>SUMIF(领跑良品退回!E:E,D1510,领跑良品退回!G:G)</f>
        <v>0</v>
      </c>
      <c r="K139" s="43">
        <f>M1510+L1510</f>
        <v>0</v>
      </c>
      <c r="L139" s="43">
        <f>SUMIF(不良品库存!D:D,D:D,不良品库存!F:F)</f>
        <v>0</v>
      </c>
      <c r="M139" s="52">
        <f>G1510+H1510-I1510+J1510</f>
        <v>0</v>
      </c>
      <c r="N139" s="42"/>
      <c r="O139" s="44"/>
      <c r="P139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39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39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39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39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39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39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39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39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39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39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39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39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39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39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39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39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39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39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39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39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39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39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39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39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39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39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39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39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39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39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39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39" s="42">
        <f>IF(SUMIFS(合格品出库记录!$G:$G,合格品出库记录!$E:$E,日报!$D:$D,合格品出库记录!$A:$A,日报!AV$3)&lt;&gt;0,SUMIFS(合格品出库记录!$G:$G,合格品出库记录!$E:$E,日报!$D:$D,合格品出库记录!$A:$A,日报!AV$3),"")</f>
        <v>168</v>
      </c>
      <c r="AW139" s="42">
        <f>IF(SUMIFS(合格品出库记录!$G:$G,合格品出库记录!$E:$E,日报!$D:$D,合格品出库记录!$A:$A,日报!AW$3)&lt;&gt;0,SUMIFS(合格品出库记录!$G:$G,合格品出库记录!$E:$E,日报!$D:$D,合格品出库记录!$A:$A,日报!AW$3),"")</f>
        <v>98</v>
      </c>
      <c r="AX139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39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39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39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39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39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39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39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39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39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39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39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39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39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39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39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39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39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39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39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39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39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39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39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39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39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39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39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39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39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39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39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39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39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39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39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39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39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39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39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39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39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39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39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39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39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39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39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39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39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39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39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39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39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39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39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39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39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39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40" ht="16.8" customHeight="1" spans="1:108">
      <c r="A140" s="38">
        <v>1549</v>
      </c>
      <c r="B140" s="44" t="s">
        <v>19</v>
      </c>
      <c r="C140" s="45" t="s">
        <v>20</v>
      </c>
      <c r="D140" s="42" t="s">
        <v>293</v>
      </c>
      <c r="E140" s="46" t="s">
        <v>294</v>
      </c>
      <c r="F140" s="42"/>
      <c r="G140" s="59">
        <v>322</v>
      </c>
      <c r="H140" s="43">
        <f>SUMIF(合格品入库记录!E:E,日报!D1511,合格品入库记录!G:G)</f>
        <v>0</v>
      </c>
      <c r="I140" s="43">
        <f>SUMIF(合格品出库记录!E:E,日报!D1511,合格品出库记录!G:G)</f>
        <v>0</v>
      </c>
      <c r="J140" s="43">
        <f>SUMIF(领跑良品退回!E:E,D1511,领跑良品退回!G:G)</f>
        <v>0</v>
      </c>
      <c r="K140" s="43">
        <f>M1511+L1511</f>
        <v>0</v>
      </c>
      <c r="L140" s="43">
        <f>SUMIF(不良品库存!D:D,D:D,不良品库存!F:F)</f>
        <v>0</v>
      </c>
      <c r="M140" s="52">
        <f>G1511+H1511-I1511+J1511</f>
        <v>0</v>
      </c>
      <c r="N140" s="42"/>
      <c r="O140" s="44"/>
      <c r="P140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40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40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40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40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40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40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40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40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40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40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40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40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40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40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40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40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40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40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40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40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40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40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40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40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40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40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40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40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40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40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40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40" s="42">
        <f>IF(SUMIFS(合格品出库记录!$G:$G,合格品出库记录!$E:$E,日报!$D:$D,合格品出库记录!$A:$A,日报!AV$3)&lt;&gt;0,SUMIFS(合格品出库记录!$G:$G,合格品出库记录!$E:$E,日报!$D:$D,合格品出库记录!$A:$A,日报!AV$3),"")</f>
        <v>168</v>
      </c>
      <c r="AW140" s="42">
        <f>IF(SUMIFS(合格品出库记录!$G:$G,合格品出库记录!$E:$E,日报!$D:$D,合格品出库记录!$A:$A,日报!AW$3)&lt;&gt;0,SUMIFS(合格品出库记录!$G:$G,合格品出库记录!$E:$E,日报!$D:$D,合格品出库记录!$A:$A,日报!AW$3),"")</f>
        <v>98</v>
      </c>
      <c r="AX140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40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40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40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40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40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40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40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40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40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40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40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40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40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40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40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40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40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40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40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40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40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40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40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40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40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40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40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40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40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40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40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40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40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40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40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40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40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40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40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40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40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40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40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40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40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40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40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40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40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40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40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40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40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40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40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40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40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40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41" ht="16.8" customHeight="1" spans="1:108">
      <c r="A141" s="38">
        <v>1550</v>
      </c>
      <c r="B141" s="44" t="s">
        <v>19</v>
      </c>
      <c r="C141" s="45" t="s">
        <v>20</v>
      </c>
      <c r="D141" s="42" t="s">
        <v>295</v>
      </c>
      <c r="E141" s="46" t="s">
        <v>296</v>
      </c>
      <c r="F141" s="42"/>
      <c r="G141" s="59">
        <v>98</v>
      </c>
      <c r="H141" s="43">
        <f>SUMIF(合格品入库记录!E:E,日报!D1512,合格品入库记录!G:G)</f>
        <v>0</v>
      </c>
      <c r="I141" s="43">
        <f>SUMIF(合格品出库记录!E:E,日报!D1512,合格品出库记录!G:G)</f>
        <v>0</v>
      </c>
      <c r="J141" s="43">
        <f>SUMIF(领跑良品退回!E:E,D1512,领跑良品退回!G:G)</f>
        <v>0</v>
      </c>
      <c r="K141" s="43">
        <f>M1512+L1512</f>
        <v>0</v>
      </c>
      <c r="L141" s="43">
        <f>SUMIF(不良品库存!D:D,D:D,不良品库存!F:F)</f>
        <v>0</v>
      </c>
      <c r="M141" s="52">
        <f>G1512+H1512-I1512+J1512</f>
        <v>0</v>
      </c>
      <c r="N141" s="42"/>
      <c r="O141" s="44"/>
      <c r="P141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41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41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41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41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41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41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41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41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41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41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41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41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41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41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41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41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41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41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41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41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41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41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41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41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41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41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41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41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41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41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41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41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41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41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41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41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41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41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41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41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41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41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41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41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41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41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41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41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41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41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41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41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41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41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41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41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41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41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41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41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41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41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41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41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41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41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41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41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41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41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41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41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41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41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41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41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41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41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41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41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41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41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41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41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41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41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41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41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41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41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41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41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42" ht="16.2" customHeight="1" spans="1:108">
      <c r="A142" s="38">
        <v>1559</v>
      </c>
      <c r="B142" s="44" t="s">
        <v>19</v>
      </c>
      <c r="C142" s="45" t="s">
        <v>20</v>
      </c>
      <c r="D142" s="42" t="s">
        <v>297</v>
      </c>
      <c r="E142" s="46" t="s">
        <v>298</v>
      </c>
      <c r="F142" s="42"/>
      <c r="G142" s="59">
        <v>860</v>
      </c>
      <c r="H142" s="43">
        <f>SUMIF(合格品入库记录!E:E,日报!D1521,合格品入库记录!G:G)</f>
        <v>0</v>
      </c>
      <c r="I142" s="43">
        <f>SUMIF(合格品出库记录!E:E,日报!D1521,合格品出库记录!G:G)</f>
        <v>0</v>
      </c>
      <c r="J142" s="43">
        <f>SUMIF(领跑良品退回!E:E,D1521,领跑良品退回!G:G)</f>
        <v>0</v>
      </c>
      <c r="K142" s="43">
        <f>M1521+L1521</f>
        <v>0</v>
      </c>
      <c r="L142" s="43">
        <f>SUMIF(不良品库存!D:D,D:D,不良品库存!F:F)</f>
        <v>0</v>
      </c>
      <c r="M142" s="52">
        <f>G1521+H1521-I1521+J1521</f>
        <v>0</v>
      </c>
      <c r="N142" s="42"/>
      <c r="O142" s="44"/>
      <c r="P142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42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42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42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42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42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42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42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42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42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42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42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42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42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42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42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42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42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42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42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42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42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42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42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42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42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42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42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42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42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42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42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42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42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42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42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42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42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42" s="42">
        <f>IF(SUMIFS(合格品出库记录!$G:$G,合格品出库记录!$E:$E,日报!$D:$D,合格品出库记录!$A:$A,日报!BB$3)&lt;&gt;0,SUMIFS(合格品出库记录!$G:$G,合格品出库记录!$E:$E,日报!$D:$D,合格品出库记录!$A:$A,日报!BB$3),"")</f>
        <v>20</v>
      </c>
      <c r="BC142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42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42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42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42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42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42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42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42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42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42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42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42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42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42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42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42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42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42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42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42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42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42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42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42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42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42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42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42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42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42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42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42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42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42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42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42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42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42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42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42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42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42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42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42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42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42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42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42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42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42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42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42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42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43" ht="16.2" customHeight="1" spans="1:108">
      <c r="A143" s="38">
        <v>1560</v>
      </c>
      <c r="B143" s="44" t="s">
        <v>19</v>
      </c>
      <c r="C143" s="45" t="s">
        <v>20</v>
      </c>
      <c r="D143" s="42" t="s">
        <v>299</v>
      </c>
      <c r="E143" s="46" t="s">
        <v>300</v>
      </c>
      <c r="F143" s="42"/>
      <c r="G143" s="59">
        <v>880</v>
      </c>
      <c r="H143" s="43">
        <f>SUMIF(合格品入库记录!E:E,日报!D1522,合格品入库记录!G:G)</f>
        <v>0</v>
      </c>
      <c r="I143" s="43">
        <f>SUMIF(合格品出库记录!E:E,日报!D1522,合格品出库记录!G:G)</f>
        <v>0</v>
      </c>
      <c r="J143" s="43">
        <f>SUMIF(领跑良品退回!E:E,D1522,领跑良品退回!G:G)</f>
        <v>0</v>
      </c>
      <c r="K143" s="43">
        <f>M1522+L1522</f>
        <v>0</v>
      </c>
      <c r="L143" s="43">
        <f>SUMIF(不良品库存!D:D,D:D,不良品库存!F:F)</f>
        <v>0</v>
      </c>
      <c r="M143" s="52">
        <f>G1522+H1522-I1522+J1522</f>
        <v>0</v>
      </c>
      <c r="N143" s="42"/>
      <c r="O143" s="44"/>
      <c r="P143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43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43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43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43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43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43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43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43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43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43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43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43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43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43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43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43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43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43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43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43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43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43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43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43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43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43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43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43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43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43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43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43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43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43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43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43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43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43" s="42">
        <f>IF(SUMIFS(合格品出库记录!$G:$G,合格品出库记录!$E:$E,日报!$D:$D,合格品出库记录!$A:$A,日报!BB$3)&lt;&gt;0,SUMIFS(合格品出库记录!$G:$G,合格品出库记录!$E:$E,日报!$D:$D,合格品出库记录!$A:$A,日报!BB$3),"")</f>
        <v>20</v>
      </c>
      <c r="BC143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43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43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43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43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43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43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43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43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43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43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43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43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43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43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43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43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43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43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43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43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43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43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43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43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43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43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43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43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43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43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43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43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43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43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43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43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43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43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43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43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43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43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43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43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43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43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43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43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43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43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43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43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43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44" ht="16.2" customHeight="1" spans="1:108">
      <c r="A144" s="38">
        <v>1571</v>
      </c>
      <c r="B144" s="44" t="s">
        <v>19</v>
      </c>
      <c r="C144" s="45" t="s">
        <v>20</v>
      </c>
      <c r="D144" s="42" t="s">
        <v>301</v>
      </c>
      <c r="E144" s="46" t="s">
        <v>302</v>
      </c>
      <c r="F144" s="42"/>
      <c r="G144" s="59">
        <v>2000</v>
      </c>
      <c r="H144" s="43">
        <f>SUMIF(合格品入库记录!E:E,日报!D1533,合格品入库记录!G:G)</f>
        <v>0</v>
      </c>
      <c r="I144" s="43">
        <f>SUMIF(合格品出库记录!E:E,日报!D1533,合格品出库记录!G:G)</f>
        <v>0</v>
      </c>
      <c r="J144" s="43">
        <f>SUMIF(领跑良品退回!E:E,D1533,领跑良品退回!G:G)</f>
        <v>0</v>
      </c>
      <c r="K144" s="43">
        <f>M1533+L1533</f>
        <v>0</v>
      </c>
      <c r="L144" s="43">
        <f>SUMIF(不良品库存!D:D,D:D,不良品库存!F:F)</f>
        <v>0</v>
      </c>
      <c r="M144" s="52">
        <f>G1533+H1533-I1533+J1533</f>
        <v>0</v>
      </c>
      <c r="N144" s="42"/>
      <c r="O144" s="44"/>
      <c r="P144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44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44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44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44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44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44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44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44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44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44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44" s="42" t="str">
        <f>IF(SUMIFS(合格品入库记录!$G:$G,合格品入库记录!$E:$E,日报!$D:$D,合格品入库记录!$A:$A,日报!AA$3)&lt;&gt;0,SUMIFS(合格品入库记录!$G:$G,合格品入库记录!$E:$E,日报!$D:$D,合格品入库记录!$A:$A,日报!AA$3),"")</f>
        <v/>
      </c>
      <c r="AB144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44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44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44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44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44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44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44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44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44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44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44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44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44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44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44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44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44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44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44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44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44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44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44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44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44" s="42">
        <f>IF(SUMIFS(合格品出库记录!$G:$G,合格品出库记录!$E:$E,日报!$D:$D,合格品出库记录!$A:$A,日报!BA$3)&lt;&gt;0,SUMIFS(合格品出库记录!$G:$G,合格品出库记录!$E:$E,日报!$D:$D,合格品出库记录!$A:$A,日报!BA$3),"")</f>
        <v>200</v>
      </c>
      <c r="BB144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44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44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44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44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44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44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44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44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44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44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44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44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44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44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44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44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44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44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44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44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44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44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44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44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44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44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44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44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44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44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44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44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44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44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44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44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44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44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44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44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44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44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44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44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44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44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44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44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44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44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44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44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44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44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45" ht="16.2" customHeight="1" spans="1:108">
      <c r="A145" s="38">
        <v>1577</v>
      </c>
      <c r="B145" s="44" t="s">
        <v>19</v>
      </c>
      <c r="C145" s="45" t="s">
        <v>20</v>
      </c>
      <c r="D145" s="42" t="s">
        <v>303</v>
      </c>
      <c r="E145" s="46" t="s">
        <v>304</v>
      </c>
      <c r="F145" s="42"/>
      <c r="G145" s="59">
        <v>0</v>
      </c>
      <c r="H145" s="43">
        <f>SUMIF(合格品入库记录!E:E,日报!D1539,合格品入库记录!G:G)</f>
        <v>0</v>
      </c>
      <c r="I145" s="43">
        <f>SUMIF(合格品出库记录!E:E,日报!D1539,合格品出库记录!G:G)</f>
        <v>0</v>
      </c>
      <c r="J145" s="43">
        <f>SUMIF(领跑良品退回!E:E,D1539,领跑良品退回!G:G)</f>
        <v>0</v>
      </c>
      <c r="K145" s="43">
        <f>M1539+L1539</f>
        <v>0</v>
      </c>
      <c r="L145" s="43">
        <f>SUMIF(不良品库存!D:D,D:D,不良品库存!F:F)</f>
        <v>0</v>
      </c>
      <c r="M145" s="52">
        <f>G1539+H1539-I1539+J1539</f>
        <v>0</v>
      </c>
      <c r="N145" s="42"/>
      <c r="O145" s="44"/>
      <c r="P145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45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45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45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45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45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45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45" s="42">
        <f>IF(SUMIFS(合格品入库记录!$G:$G,合格品入库记录!$E:$E,日报!$D:$D,合格品入库记录!$A:$A,日报!W$3)&lt;&gt;0,SUMIFS(合格品入库记录!$G:$G,合格品入库记录!$E:$E,日报!$D:$D,合格品入库记录!$A:$A,日报!W$3),"")</f>
        <v>216</v>
      </c>
      <c r="X145" s="42">
        <f>IF(SUMIFS(合格品入库记录!$G:$G,合格品入库记录!$E:$E,日报!$D:$D,合格品入库记录!$A:$A,日报!X$3)&lt;&gt;0,SUMIFS(合格品入库记录!$G:$G,合格品入库记录!$E:$E,日报!$D:$D,合格品入库记录!$A:$A,日报!X$3),"")</f>
        <v>639</v>
      </c>
      <c r="Y145" s="42">
        <f>IF(SUMIFS(合格品入库记录!$G:$G,合格品入库记录!$E:$E,日报!$D:$D,合格品入库记录!$A:$A,日报!Y$3)&lt;&gt;0,SUMIFS(合格品入库记录!$G:$G,合格品入库记录!$E:$E,日报!$D:$D,合格品入库记录!$A:$A,日报!Y$3),"")</f>
        <v>1098</v>
      </c>
      <c r="Z145" s="42">
        <f>IF(SUMIFS(合格品入库记录!$G:$G,合格品入库记录!$E:$E,日报!$D:$D,合格品入库记录!$A:$A,日报!Z$3)&lt;&gt;0,SUMIFS(合格品入库记录!$G:$G,合格品入库记录!$E:$E,日报!$D:$D,合格品入库记录!$A:$A,日报!Z$3),"")</f>
        <v>675</v>
      </c>
      <c r="AA145" s="42">
        <f>IF(SUMIFS(合格品入库记录!$G:$G,合格品入库记录!$E:$E,日报!$D:$D,合格品入库记录!$A:$A,日报!AA$3)&lt;&gt;0,SUMIFS(合格品入库记录!$G:$G,合格品入库记录!$E:$E,日报!$D:$D,合格品入库记录!$A:$A,日报!AA$3),"")</f>
        <v>981</v>
      </c>
      <c r="AB145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45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45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45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45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45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45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45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45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45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45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45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45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45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45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45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45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45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45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45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45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45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45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45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45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45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45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45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45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45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45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45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45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45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45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45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45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45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45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45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45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45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45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45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45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45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45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45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45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45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45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45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45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45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45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45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45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45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45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45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45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45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45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45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45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45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45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45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45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45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45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45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45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45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45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45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45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45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45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45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45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46" ht="16.2" customHeight="1" spans="1:108">
      <c r="A146" s="38">
        <v>1578</v>
      </c>
      <c r="B146" s="44" t="s">
        <v>19</v>
      </c>
      <c r="C146" s="45" t="s">
        <v>20</v>
      </c>
      <c r="D146" s="42" t="s">
        <v>305</v>
      </c>
      <c r="E146" s="46" t="s">
        <v>306</v>
      </c>
      <c r="F146" s="42"/>
      <c r="G146" s="59">
        <v>0</v>
      </c>
      <c r="H146" s="43">
        <f>SUMIF(合格品入库记录!E:E,日报!D1540,合格品入库记录!G:G)</f>
        <v>0</v>
      </c>
      <c r="I146" s="43">
        <f>SUMIF(合格品出库记录!E:E,日报!D1540,合格品出库记录!G:G)</f>
        <v>0</v>
      </c>
      <c r="J146" s="43">
        <f>SUMIF(领跑良品退回!E:E,D1540,领跑良品退回!G:G)</f>
        <v>0</v>
      </c>
      <c r="K146" s="43">
        <f>M1540+L1540</f>
        <v>0</v>
      </c>
      <c r="L146" s="43">
        <f>SUMIF(不良品库存!D:D,D:D,不良品库存!F:F)</f>
        <v>0</v>
      </c>
      <c r="M146" s="52">
        <f>G1540+H1540-I1540+J1540</f>
        <v>0</v>
      </c>
      <c r="N146" s="42"/>
      <c r="O146" s="44"/>
      <c r="P146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46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46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46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46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46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46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46" s="42">
        <f>IF(SUMIFS(合格品入库记录!$G:$G,合格品入库记录!$E:$E,日报!$D:$D,合格品入库记录!$A:$A,日报!W$3)&lt;&gt;0,SUMIFS(合格品入库记录!$G:$G,合格品入库记录!$E:$E,日报!$D:$D,合格品入库记录!$A:$A,日报!W$3),"")</f>
        <v>112</v>
      </c>
      <c r="X146" s="42">
        <f>IF(SUMIFS(合格品入库记录!$G:$G,合格品入库记录!$E:$E,日报!$D:$D,合格品入库记录!$A:$A,日报!X$3)&lt;&gt;0,SUMIFS(合格品入库记录!$G:$G,合格品入库记录!$E:$E,日报!$D:$D,合格品入库记录!$A:$A,日报!X$3),"")</f>
        <v>112</v>
      </c>
      <c r="Y146" s="42">
        <f>IF(SUMIFS(合格品入库记录!$G:$G,合格品入库记录!$E:$E,日报!$D:$D,合格品入库记录!$A:$A,日报!Y$3)&lt;&gt;0,SUMIFS(合格品入库记录!$G:$G,合格品入库记录!$E:$E,日报!$D:$D,合格品入库记录!$A:$A,日报!Y$3),"")</f>
        <v>224</v>
      </c>
      <c r="Z146" s="42">
        <f>IF(SUMIFS(合格品入库记录!$G:$G,合格品入库记录!$E:$E,日报!$D:$D,合格品入库记录!$A:$A,日报!Z$3)&lt;&gt;0,SUMIFS(合格品入库记录!$G:$G,合格品入库记录!$E:$E,日报!$D:$D,合格品入库记录!$A:$A,日报!Z$3),"")</f>
        <v>112</v>
      </c>
      <c r="AA146" s="42">
        <f>IF(SUMIFS(合格品入库记录!$G:$G,合格品入库记录!$E:$E,日报!$D:$D,合格品入库记录!$A:$A,日报!AA$3)&lt;&gt;0,SUMIFS(合格品入库记录!$G:$G,合格品入库记录!$E:$E,日报!$D:$D,合格品入库记录!$A:$A,日报!AA$3),"")</f>
        <v>224</v>
      </c>
      <c r="AB146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46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46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46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46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46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46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46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46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46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46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46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46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46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46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46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46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46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46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46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46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46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46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46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46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46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46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46" s="42">
        <f>IF(SUMIFS(合格品出库记录!$G:$G,合格品出库记录!$E:$E,日报!$D:$D,合格品出库记录!$A:$A,日报!BC$3)&lt;&gt;0,SUMIFS(合格品出库记录!$G:$G,合格品出库记录!$E:$E,日报!$D:$D,合格品出库记录!$A:$A,日报!BC$3),"")</f>
        <v>224</v>
      </c>
      <c r="BD146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46" s="42">
        <f>IF(SUMIFS(合格品出库记录!$G:$G,合格品出库记录!$E:$E,日报!$D:$D,合格品出库记录!$A:$A,日报!BE$3)&lt;&gt;0,SUMIFS(合格品出库记录!$G:$G,合格品出库记录!$E:$E,日报!$D:$D,合格品出库记录!$A:$A,日报!BE$3),"")</f>
        <v>140</v>
      </c>
      <c r="BF146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46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46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46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46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46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46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46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46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46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46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46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46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46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46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46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46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46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46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46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46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46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46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46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46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46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46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46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46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46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46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46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46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46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46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46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46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46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46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46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46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46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46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46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46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46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46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46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46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46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46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47" ht="16.2" customHeight="1" spans="1:108">
      <c r="A147" s="38">
        <v>1579</v>
      </c>
      <c r="B147" s="44" t="s">
        <v>19</v>
      </c>
      <c r="C147" s="45" t="s">
        <v>20</v>
      </c>
      <c r="D147" s="42" t="s">
        <v>307</v>
      </c>
      <c r="E147" s="46" t="s">
        <v>308</v>
      </c>
      <c r="F147" s="42"/>
      <c r="G147" s="59">
        <v>0</v>
      </c>
      <c r="H147" s="43">
        <f>SUMIF(合格品入库记录!E:E,日报!D1541,合格品入库记录!G:G)</f>
        <v>0</v>
      </c>
      <c r="I147" s="43">
        <f>SUMIF(合格品出库记录!E:E,日报!D1541,合格品出库记录!G:G)</f>
        <v>0</v>
      </c>
      <c r="J147" s="43">
        <f>SUMIF(领跑良品退回!E:E,D1541,领跑良品退回!G:G)</f>
        <v>0</v>
      </c>
      <c r="K147" s="43">
        <f>M1541+L1541</f>
        <v>0</v>
      </c>
      <c r="L147" s="43">
        <f>SUMIF(不良品库存!D:D,D:D,不良品库存!F:F)</f>
        <v>0</v>
      </c>
      <c r="M147" s="52">
        <f>G1541+H1541-I1541+J1541</f>
        <v>0</v>
      </c>
      <c r="N147" s="42"/>
      <c r="O147" s="44"/>
      <c r="P147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47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47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47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47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47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47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47" s="42">
        <f>IF(SUMIFS(合格品入库记录!$G:$G,合格品入库记录!$E:$E,日报!$D:$D,合格品入库记录!$A:$A,日报!W$3)&lt;&gt;0,SUMIFS(合格品入库记录!$G:$G,合格品入库记录!$E:$E,日报!$D:$D,合格品入库记录!$A:$A,日报!W$3),"")</f>
        <v>112</v>
      </c>
      <c r="X147" s="42">
        <f>IF(SUMIFS(合格品入库记录!$G:$G,合格品入库记录!$E:$E,日报!$D:$D,合格品入库记录!$A:$A,日报!X$3)&lt;&gt;0,SUMIFS(合格品入库记录!$G:$G,合格品入库记录!$E:$E,日报!$D:$D,合格品入库记录!$A:$A,日报!X$3),"")</f>
        <v>112</v>
      </c>
      <c r="Y147" s="42">
        <f>IF(SUMIFS(合格品入库记录!$G:$G,合格品入库记录!$E:$E,日报!$D:$D,合格品入库记录!$A:$A,日报!Y$3)&lt;&gt;0,SUMIFS(合格品入库记录!$G:$G,合格品入库记录!$E:$E,日报!$D:$D,合格品入库记录!$A:$A,日报!Y$3),"")</f>
        <v>224</v>
      </c>
      <c r="Z147" s="42">
        <f>IF(SUMIFS(合格品入库记录!$G:$G,合格品入库记录!$E:$E,日报!$D:$D,合格品入库记录!$A:$A,日报!Z$3)&lt;&gt;0,SUMIFS(合格品入库记录!$G:$G,合格品入库记录!$E:$E,日报!$D:$D,合格品入库记录!$A:$A,日报!Z$3),"")</f>
        <v>112</v>
      </c>
      <c r="AA147" s="42">
        <f>IF(SUMIFS(合格品入库记录!$G:$G,合格品入库记录!$E:$E,日报!$D:$D,合格品入库记录!$A:$A,日报!AA$3)&lt;&gt;0,SUMIFS(合格品入库记录!$G:$G,合格品入库记录!$E:$E,日报!$D:$D,合格品入库记录!$A:$A,日报!AA$3),"")</f>
        <v>224</v>
      </c>
      <c r="AB147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47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47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47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47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47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47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47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47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47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47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47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47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47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47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47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47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47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47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47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47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47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47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47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47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47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47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47" s="42">
        <f>IF(SUMIFS(合格品出库记录!$G:$G,合格品出库记录!$E:$E,日报!$D:$D,合格品出库记录!$A:$A,日报!BC$3)&lt;&gt;0,SUMIFS(合格品出库记录!$G:$G,合格品出库记录!$E:$E,日报!$D:$D,合格品出库记录!$A:$A,日报!BC$3),"")</f>
        <v>224</v>
      </c>
      <c r="BD147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47" s="42">
        <f>IF(SUMIFS(合格品出库记录!$G:$G,合格品出库记录!$E:$E,日报!$D:$D,合格品出库记录!$A:$A,日报!BE$3)&lt;&gt;0,SUMIFS(合格品出库记录!$G:$G,合格品出库记录!$E:$E,日报!$D:$D,合格品出库记录!$A:$A,日报!BE$3),"")</f>
        <v>140</v>
      </c>
      <c r="BF147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47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47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47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47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47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47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47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47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47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47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47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47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47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47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47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47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47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47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47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47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47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47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47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47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47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47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47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47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47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47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47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47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47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47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47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47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47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47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47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47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47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47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47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47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47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47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47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47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47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47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48" ht="16.2" customHeight="1" spans="1:108">
      <c r="A148" s="38">
        <v>1580</v>
      </c>
      <c r="B148" s="44" t="s">
        <v>19</v>
      </c>
      <c r="C148" s="45" t="s">
        <v>20</v>
      </c>
      <c r="D148" s="42" t="s">
        <v>309</v>
      </c>
      <c r="E148" s="46" t="s">
        <v>310</v>
      </c>
      <c r="F148" s="42"/>
      <c r="G148" s="59">
        <v>0</v>
      </c>
      <c r="H148" s="43">
        <f>SUMIF(合格品入库记录!E:E,日报!D1542,合格品入库记录!G:G)</f>
        <v>0</v>
      </c>
      <c r="I148" s="43">
        <f>SUMIF(合格品出库记录!E:E,日报!D1542,合格品出库记录!G:G)</f>
        <v>0</v>
      </c>
      <c r="J148" s="43">
        <f>SUMIF(领跑良品退回!E:E,D1542,领跑良品退回!G:G)</f>
        <v>0</v>
      </c>
      <c r="K148" s="43">
        <f>M1542+L1542</f>
        <v>0</v>
      </c>
      <c r="L148" s="43">
        <f>SUMIF(不良品库存!D:D,D:D,不良品库存!F:F)</f>
        <v>0</v>
      </c>
      <c r="M148" s="52">
        <f>G1542+H1542-I1542+J1542</f>
        <v>0</v>
      </c>
      <c r="N148" s="42"/>
      <c r="O148" s="44"/>
      <c r="P148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48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48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48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48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48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48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48" s="42">
        <f>IF(SUMIFS(合格品入库记录!$G:$G,合格品入库记录!$E:$E,日报!$D:$D,合格品入库记录!$A:$A,日报!W$3)&lt;&gt;0,SUMIFS(合格品入库记录!$G:$G,合格品入库记录!$E:$E,日报!$D:$D,合格品入库记录!$A:$A,日报!W$3),"")</f>
        <v>56</v>
      </c>
      <c r="X148" s="42">
        <f>IF(SUMIFS(合格品入库记录!$G:$G,合格品入库记录!$E:$E,日报!$D:$D,合格品入库记录!$A:$A,日报!X$3)&lt;&gt;0,SUMIFS(合格品入库记录!$G:$G,合格品入库记录!$E:$E,日报!$D:$D,合格品入库记录!$A:$A,日报!X$3),"")</f>
        <v>56</v>
      </c>
      <c r="Y148" s="42">
        <f>IF(SUMIFS(合格品入库记录!$G:$G,合格品入库记录!$E:$E,日报!$D:$D,合格品入库记录!$A:$A,日报!Y$3)&lt;&gt;0,SUMIFS(合格品入库记录!$G:$G,合格品入库记录!$E:$E,日报!$D:$D,合格品入库记录!$A:$A,日报!Y$3),"")</f>
        <v>112</v>
      </c>
      <c r="Z148" s="42">
        <f>IF(SUMIFS(合格品入库记录!$G:$G,合格品入库记录!$E:$E,日报!$D:$D,合格品入库记录!$A:$A,日报!Z$3)&lt;&gt;0,SUMIFS(合格品入库记录!$G:$G,合格品入库记录!$E:$E,日报!$D:$D,合格品入库记录!$A:$A,日报!Z$3),"")</f>
        <v>56</v>
      </c>
      <c r="AA148" s="42">
        <f>IF(SUMIFS(合格品入库记录!$G:$G,合格品入库记录!$E:$E,日报!$D:$D,合格品入库记录!$A:$A,日报!AA$3)&lt;&gt;0,SUMIFS(合格品入库记录!$G:$G,合格品入库记录!$E:$E,日报!$D:$D,合格品入库记录!$A:$A,日报!AA$3),"")</f>
        <v>112</v>
      </c>
      <c r="AB148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48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48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48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48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48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48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48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48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48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48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48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48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48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48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48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48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48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48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48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48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48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48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48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48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48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48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48" s="42">
        <f>IF(SUMIFS(合格品出库记录!$G:$G,合格品出库记录!$E:$E,日报!$D:$D,合格品出库记录!$A:$A,日报!BC$3)&lt;&gt;0,SUMIFS(合格品出库记录!$G:$G,合格品出库记录!$E:$E,日报!$D:$D,合格品出库记录!$A:$A,日报!BC$3),"")</f>
        <v>112</v>
      </c>
      <c r="BD148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48" s="42">
        <f>IF(SUMIFS(合格品出库记录!$G:$G,合格品出库记录!$E:$E,日报!$D:$D,合格品出库记录!$A:$A,日报!BE$3)&lt;&gt;0,SUMIFS(合格品出库记录!$G:$G,合格品出库记录!$E:$E,日报!$D:$D,合格品出库记录!$A:$A,日报!BE$3),"")</f>
        <v>70</v>
      </c>
      <c r="BF148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48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48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48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48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48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48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48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48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48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48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48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48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48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48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48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48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48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48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48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48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48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48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48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48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48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48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48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48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48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48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48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48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48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48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48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48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48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48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48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48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48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48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48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48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48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48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48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48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48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48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49" ht="16.2" customHeight="1" spans="1:108">
      <c r="A149" s="38">
        <v>1596</v>
      </c>
      <c r="B149" s="44" t="s">
        <v>19</v>
      </c>
      <c r="C149" s="45" t="s">
        <v>20</v>
      </c>
      <c r="D149" s="42" t="s">
        <v>311</v>
      </c>
      <c r="E149" s="46" t="s">
        <v>312</v>
      </c>
      <c r="F149" s="42"/>
      <c r="G149" s="59">
        <v>0</v>
      </c>
      <c r="H149" s="43">
        <f>SUMIF(合格品入库记录!E:E,日报!D1558,合格品入库记录!G:G)</f>
        <v>0</v>
      </c>
      <c r="I149" s="43">
        <f>SUMIF(合格品出库记录!E:E,日报!D1558,合格品出库记录!G:G)</f>
        <v>0</v>
      </c>
      <c r="J149" s="43">
        <f>SUMIF(领跑良品退回!E:E,D1558,领跑良品退回!G:G)</f>
        <v>0</v>
      </c>
      <c r="K149" s="43">
        <f>M1558+L1558</f>
        <v>0</v>
      </c>
      <c r="L149" s="43">
        <f>SUMIF(不良品库存!D:D,D:D,不良品库存!F:F)</f>
        <v>0</v>
      </c>
      <c r="M149" s="52">
        <f>G1558+H1558-I1558+J1558</f>
        <v>0</v>
      </c>
      <c r="N149" s="42"/>
      <c r="O149" s="44"/>
      <c r="P149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49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49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49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49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49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49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49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49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49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49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49" s="42">
        <f>IF(SUMIFS(合格品入库记录!$G:$G,合格品入库记录!$E:$E,日报!$D:$D,合格品入库记录!$A:$A,日报!AA$3)&lt;&gt;0,SUMIFS(合格品入库记录!$G:$G,合格品入库记录!$E:$E,日报!$D:$D,合格品入库记录!$A:$A,日报!AA$3),"")</f>
        <v>28</v>
      </c>
      <c r="AB149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49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49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49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49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49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49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49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49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49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49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49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49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49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49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49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49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49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49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49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49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49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49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49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49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49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49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49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49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49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49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49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49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49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49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49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49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49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49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49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49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49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49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49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49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49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49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49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49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49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49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49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49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49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49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49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49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49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49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49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49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49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49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49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49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49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49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49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49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49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49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49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49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49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49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49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49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49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49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49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49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50" ht="16.2" customHeight="1" spans="1:108">
      <c r="A150" s="38">
        <v>1597</v>
      </c>
      <c r="B150" s="44" t="s">
        <v>19</v>
      </c>
      <c r="C150" s="45" t="s">
        <v>20</v>
      </c>
      <c r="D150" s="42" t="s">
        <v>313</v>
      </c>
      <c r="E150" s="46" t="s">
        <v>314</v>
      </c>
      <c r="F150" s="42"/>
      <c r="G150" s="59">
        <v>0</v>
      </c>
      <c r="H150" s="43">
        <f>SUMIF(合格品入库记录!E:E,日报!D1559,合格品入库记录!G:G)</f>
        <v>0</v>
      </c>
      <c r="I150" s="43">
        <f>SUMIF(合格品出库记录!E:E,日报!D1559,合格品出库记录!G:G)</f>
        <v>0</v>
      </c>
      <c r="J150" s="43">
        <f>SUMIF(领跑良品退回!E:E,D1559,领跑良品退回!G:G)</f>
        <v>0</v>
      </c>
      <c r="K150" s="43">
        <f>M1559+L1559</f>
        <v>0</v>
      </c>
      <c r="L150" s="43">
        <f>SUMIF(不良品库存!D:D,D:D,不良品库存!F:F)</f>
        <v>0</v>
      </c>
      <c r="M150" s="52">
        <f>G1559+H1559-I1559+J1559</f>
        <v>0</v>
      </c>
      <c r="N150" s="42"/>
      <c r="O150" s="44"/>
      <c r="P150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50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50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50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50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50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50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50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50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50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50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50" s="42">
        <f>IF(SUMIFS(合格品入库记录!$G:$G,合格品入库记录!$E:$E,日报!$D:$D,合格品入库记录!$A:$A,日报!AA$3)&lt;&gt;0,SUMIFS(合格品入库记录!$G:$G,合格品入库记录!$E:$E,日报!$D:$D,合格品入库记录!$A:$A,日报!AA$3),"")</f>
        <v>30</v>
      </c>
      <c r="AB150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50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50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50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50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50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50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50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50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50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50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50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50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50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50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50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50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50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50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50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50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50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50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50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50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50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50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50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50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50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50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50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50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50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50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50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50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50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50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50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50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50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50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50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50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50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50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50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50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50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50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50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50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50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50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50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50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50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50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50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50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50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50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50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50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50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50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50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50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50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50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50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50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50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50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50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50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50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50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50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50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51" ht="16.2" customHeight="1" spans="1:108">
      <c r="A151" s="38">
        <v>1598</v>
      </c>
      <c r="B151" s="44" t="s">
        <v>19</v>
      </c>
      <c r="C151" s="45" t="s">
        <v>20</v>
      </c>
      <c r="D151" s="42" t="s">
        <v>315</v>
      </c>
      <c r="E151" s="46" t="s">
        <v>316</v>
      </c>
      <c r="F151" s="42"/>
      <c r="G151" s="59">
        <v>0</v>
      </c>
      <c r="H151" s="43">
        <f>SUMIF(合格品入库记录!E:E,日报!D1560,合格品入库记录!G:G)</f>
        <v>0</v>
      </c>
      <c r="I151" s="43">
        <f>SUMIF(合格品出库记录!E:E,日报!D1560,合格品出库记录!G:G)</f>
        <v>0</v>
      </c>
      <c r="J151" s="43">
        <f>SUMIF(领跑良品退回!E:E,D1560,领跑良品退回!G:G)</f>
        <v>0</v>
      </c>
      <c r="K151" s="43">
        <f>M1560+L1560</f>
        <v>0</v>
      </c>
      <c r="L151" s="43">
        <f>SUMIF(不良品库存!D:D,D:D,不良品库存!F:F)</f>
        <v>0</v>
      </c>
      <c r="M151" s="52">
        <f>G1560+H1560-I1560+J1560</f>
        <v>0</v>
      </c>
      <c r="N151" s="42"/>
      <c r="O151" s="44"/>
      <c r="P151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51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51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51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51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51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51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51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51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51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51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51" s="42">
        <f>IF(SUMIFS(合格品入库记录!$G:$G,合格品入库记录!$E:$E,日报!$D:$D,合格品入库记录!$A:$A,日报!AA$3)&lt;&gt;0,SUMIFS(合格品入库记录!$G:$G,合格品入库记录!$E:$E,日报!$D:$D,合格品入库记录!$A:$A,日报!AA$3),"")</f>
        <v>30</v>
      </c>
      <c r="AB151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51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51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51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51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51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51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51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51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51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51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51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51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51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51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51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51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51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51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51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51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51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51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51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51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51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51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51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51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51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51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51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51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51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51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51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51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51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51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51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51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51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51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51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51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51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51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51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51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51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51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51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51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51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51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51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51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51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51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51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51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51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51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51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51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51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51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51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51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51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51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51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51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51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51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51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51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51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51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51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51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  <row r="152" ht="16.2" customHeight="1" spans="1:108">
      <c r="A152" s="38">
        <v>1599</v>
      </c>
      <c r="B152" s="44" t="s">
        <v>19</v>
      </c>
      <c r="C152" s="45" t="s">
        <v>20</v>
      </c>
      <c r="D152" s="42" t="s">
        <v>317</v>
      </c>
      <c r="E152" s="46" t="s">
        <v>318</v>
      </c>
      <c r="F152" s="42"/>
      <c r="G152" s="59">
        <v>0</v>
      </c>
      <c r="H152" s="43">
        <f>SUMIF(合格品入库记录!E:E,日报!D1561,合格品入库记录!G:G)</f>
        <v>0</v>
      </c>
      <c r="I152" s="43">
        <f>SUMIF(合格品出库记录!E:E,日报!D1561,合格品出库记录!G:G)</f>
        <v>0</v>
      </c>
      <c r="J152" s="43">
        <f>SUMIF(领跑良品退回!E:E,D1561,领跑良品退回!G:G)</f>
        <v>0</v>
      </c>
      <c r="K152" s="43">
        <f>M1561+L1561</f>
        <v>0</v>
      </c>
      <c r="L152" s="43">
        <f>SUMIF(不良品库存!D:D,D:D,不良品库存!F:F)</f>
        <v>0</v>
      </c>
      <c r="M152" s="52">
        <f>G1561+H1561-I1561+J1561</f>
        <v>0</v>
      </c>
      <c r="N152" s="42"/>
      <c r="O152" s="44"/>
      <c r="P152" s="42" t="str">
        <f>IF(SUMIFS(合格品入库记录!$G:$G,合格品入库记录!$E:$E,日报!$D:$D,合格品入库记录!$A:$A,日报!P$3)&lt;&gt;0,SUMIFS(合格品入库记录!$G:$G,合格品入库记录!$E:$E,日报!$D:$D,合格品入库记录!$A:$A,日报!P$3),"")</f>
        <v/>
      </c>
      <c r="Q152" s="42" t="str">
        <f>IF(SUMIFS(合格品入库记录!$G:$G,合格品入库记录!$E:$E,日报!$D:$D,合格品入库记录!$A:$A,日报!Q$3)&lt;&gt;0,SUMIFS(合格品入库记录!$G:$G,合格品入库记录!$E:$E,日报!$D:$D,合格品入库记录!$A:$A,日报!Q$3),"")</f>
        <v/>
      </c>
      <c r="R152" s="42" t="str">
        <f>IF(SUMIFS(合格品入库记录!$G:$G,合格品入库记录!$E:$E,日报!$D:$D,合格品入库记录!$A:$A,日报!R$3)&lt;&gt;0,SUMIFS(合格品入库记录!$G:$G,合格品入库记录!$E:$E,日报!$D:$D,合格品入库记录!$A:$A,日报!R$3),"")</f>
        <v/>
      </c>
      <c r="S152" s="42" t="str">
        <f>IF(SUMIFS(合格品入库记录!$G:$G,合格品入库记录!$E:$E,日报!$D:$D,合格品入库记录!$A:$A,日报!S$3)&lt;&gt;0,SUMIFS(合格品入库记录!$G:$G,合格品入库记录!$E:$E,日报!$D:$D,合格品入库记录!$A:$A,日报!S$3),"")</f>
        <v/>
      </c>
      <c r="T152" s="42" t="str">
        <f>IF(SUMIFS(合格品入库记录!$G:$G,合格品入库记录!$E:$E,日报!$D:$D,合格品入库记录!$A:$A,日报!T$3)&lt;&gt;0,SUMIFS(合格品入库记录!$G:$G,合格品入库记录!$E:$E,日报!$D:$D,合格品入库记录!$A:$A,日报!T$3),"")</f>
        <v/>
      </c>
      <c r="U152" s="42" t="str">
        <f>IF(SUMIFS(合格品入库记录!$G:$G,合格品入库记录!$E:$E,日报!$D:$D,合格品入库记录!$A:$A,日报!U$3)&lt;&gt;0,SUMIFS(合格品入库记录!$G:$G,合格品入库记录!$E:$E,日报!$D:$D,合格品入库记录!$A:$A,日报!U$3),"")</f>
        <v/>
      </c>
      <c r="V152" s="42" t="str">
        <f>IF(SUMIFS(合格品入库记录!$G:$G,合格品入库记录!$E:$E,日报!$D:$D,合格品入库记录!$A:$A,日报!V$3)&lt;&gt;0,SUMIFS(合格品入库记录!$G:$G,合格品入库记录!$E:$E,日报!$D:$D,合格品入库记录!$A:$A,日报!V$3),"")</f>
        <v/>
      </c>
      <c r="W152" s="42" t="str">
        <f>IF(SUMIFS(合格品入库记录!$G:$G,合格品入库记录!$E:$E,日报!$D:$D,合格品入库记录!$A:$A,日报!W$3)&lt;&gt;0,SUMIFS(合格品入库记录!$G:$G,合格品入库记录!$E:$E,日报!$D:$D,合格品入库记录!$A:$A,日报!W$3),"")</f>
        <v/>
      </c>
      <c r="X152" s="42" t="str">
        <f>IF(SUMIFS(合格品入库记录!$G:$G,合格品入库记录!$E:$E,日报!$D:$D,合格品入库记录!$A:$A,日报!X$3)&lt;&gt;0,SUMIFS(合格品入库记录!$G:$G,合格品入库记录!$E:$E,日报!$D:$D,合格品入库记录!$A:$A,日报!X$3),"")</f>
        <v/>
      </c>
      <c r="Y152" s="42" t="str">
        <f>IF(SUMIFS(合格品入库记录!$G:$G,合格品入库记录!$E:$E,日报!$D:$D,合格品入库记录!$A:$A,日报!Y$3)&lt;&gt;0,SUMIFS(合格品入库记录!$G:$G,合格品入库记录!$E:$E,日报!$D:$D,合格品入库记录!$A:$A,日报!Y$3),"")</f>
        <v/>
      </c>
      <c r="Z152" s="42" t="str">
        <f>IF(SUMIFS(合格品入库记录!$G:$G,合格品入库记录!$E:$E,日报!$D:$D,合格品入库记录!$A:$A,日报!Z$3)&lt;&gt;0,SUMIFS(合格品入库记录!$G:$G,合格品入库记录!$E:$E,日报!$D:$D,合格品入库记录!$A:$A,日报!Z$3),"")</f>
        <v/>
      </c>
      <c r="AA152" s="42">
        <f>IF(SUMIFS(合格品入库记录!$G:$G,合格品入库记录!$E:$E,日报!$D:$D,合格品入库记录!$A:$A,日报!AA$3)&lt;&gt;0,SUMIFS(合格品入库记录!$G:$G,合格品入库记录!$E:$E,日报!$D:$D,合格品入库记录!$A:$A,日报!AA$3),"")</f>
        <v>30</v>
      </c>
      <c r="AB152" s="42" t="str">
        <f>IF(SUMIFS(合格品入库记录!$G:$G,合格品入库记录!$E:$E,日报!$D:$D,合格品入库记录!$A:$A,日报!AB$3)&lt;&gt;0,SUMIFS(合格品入库记录!$G:$G,合格品入库记录!$E:$E,日报!$D:$D,合格品入库记录!$A:$A,日报!AB$3),"")</f>
        <v/>
      </c>
      <c r="AC152" s="42" t="str">
        <f>IF(SUMIFS(合格品入库记录!$G:$G,合格品入库记录!$E:$E,日报!$D:$D,合格品入库记录!$A:$A,日报!AC$3)&lt;&gt;0,SUMIFS(合格品入库记录!$G:$G,合格品入库记录!$E:$E,日报!$D:$D,合格品入库记录!$A:$A,日报!AC$3),"")</f>
        <v/>
      </c>
      <c r="AD152" s="42" t="str">
        <f>IF(SUMIFS(合格品入库记录!$G:$G,合格品入库记录!$E:$E,日报!$D:$D,合格品入库记录!$A:$A,日报!AD$3)&lt;&gt;0,SUMIFS(合格品入库记录!$G:$G,合格品入库记录!$E:$E,日报!$D:$D,合格品入库记录!$A:$A,日报!AD$3),"")</f>
        <v/>
      </c>
      <c r="AE152" s="42" t="str">
        <f>IF(SUMIFS(合格品入库记录!$G:$G,合格品入库记录!$E:$E,日报!$D:$D,合格品入库记录!$A:$A,日报!AE$3)&lt;&gt;0,SUMIFS(合格品入库记录!$G:$G,合格品入库记录!$E:$E,日报!$D:$D,合格品入库记录!$A:$A,日报!AE$3),"")</f>
        <v/>
      </c>
      <c r="AF152" s="42" t="str">
        <f>IF(SUMIFS(合格品入库记录!$G:$G,合格品入库记录!$E:$E,日报!$D:$D,合格品入库记录!$A:$A,日报!AF$3)&lt;&gt;0,SUMIFS(合格品入库记录!$G:$G,合格品入库记录!$E:$E,日报!$D:$D,合格品入库记录!$A:$A,日报!AF$3),"")</f>
        <v/>
      </c>
      <c r="AG152" s="42" t="str">
        <f>IF(SUMIFS(合格品入库记录!$G:$G,合格品入库记录!$E:$E,日报!$D:$D,合格品入库记录!$A:$A,日报!AG$3)&lt;&gt;0,SUMIFS(合格品入库记录!$G:$G,合格品入库记录!$E:$E,日报!$D:$D,合格品入库记录!$A:$A,日报!AG$3),"")</f>
        <v/>
      </c>
      <c r="AH152" s="42" t="str">
        <f>IF(SUMIFS(合格品入库记录!$G:$G,合格品入库记录!$E:$E,日报!$D:$D,合格品入库记录!$A:$A,日报!AH$3)&lt;&gt;0,SUMIFS(合格品入库记录!$G:$G,合格品入库记录!$E:$E,日报!$D:$D,合格品入库记录!$A:$A,日报!AH$3),"")</f>
        <v/>
      </c>
      <c r="AI152" s="42" t="str">
        <f>IF(SUMIFS(合格品入库记录!$G:$G,合格品入库记录!$E:$E,日报!$D:$D,合格品入库记录!$A:$A,日报!AI$3)&lt;&gt;0,SUMIFS(合格品入库记录!$G:$G,合格品入库记录!$E:$E,日报!$D:$D,合格品入库记录!$A:$A,日报!AI$3),"")</f>
        <v/>
      </c>
      <c r="AJ152" s="42" t="str">
        <f>IF(SUMIFS(合格品入库记录!$G:$G,合格品入库记录!$E:$E,日报!$D:$D,合格品入库记录!$A:$A,日报!AJ$3)&lt;&gt;0,SUMIFS(合格品入库记录!$G:$G,合格品入库记录!$E:$E,日报!$D:$D,合格品入库记录!$A:$A,日报!AJ$3),"")</f>
        <v/>
      </c>
      <c r="AK152" s="42" t="str">
        <f>IF(SUMIFS(合格品入库记录!$G:$G,合格品入库记录!$E:$E,日报!$D:$D,合格品入库记录!$A:$A,日报!AK$3)&lt;&gt;0,SUMIFS(合格品入库记录!$G:$G,合格品入库记录!$E:$E,日报!$D:$D,合格品入库记录!$A:$A,日报!AK$3),"")</f>
        <v/>
      </c>
      <c r="AL152" s="42" t="str">
        <f>IF(SUMIFS(合格品入库记录!$G:$G,合格品入库记录!$E:$E,日报!$D:$D,合格品入库记录!$A:$A,日报!AL$3)&lt;&gt;0,SUMIFS(合格品入库记录!$G:$G,合格品入库记录!$E:$E,日报!$D:$D,合格品入库记录!$A:$A,日报!AL$3),"")</f>
        <v/>
      </c>
      <c r="AM152" s="42" t="str">
        <f>IF(SUMIFS(合格品入库记录!$G:$G,合格品入库记录!$E:$E,日报!$D:$D,合格品入库记录!$A:$A,日报!AM$3)&lt;&gt;0,SUMIFS(合格品入库记录!$G:$G,合格品入库记录!$E:$E,日报!$D:$D,合格品入库记录!$A:$A,日报!AM$3),"")</f>
        <v/>
      </c>
      <c r="AN152" s="42" t="str">
        <f>IF(SUMIFS(合格品入库记录!$G:$G,合格品入库记录!$E:$E,日报!$D:$D,合格品入库记录!$A:$A,日报!AN$3)&lt;&gt;0,SUMIFS(合格品入库记录!$G:$G,合格品入库记录!$E:$E,日报!$D:$D,合格品入库记录!$A:$A,日报!AN$3),"")</f>
        <v/>
      </c>
      <c r="AO152" s="42" t="str">
        <f>IF(SUMIFS(合格品入库记录!$G:$G,合格品入库记录!$E:$E,日报!$D:$D,合格品入库记录!$A:$A,日报!AO$3)&lt;&gt;0,SUMIFS(合格品入库记录!$G:$G,合格品入库记录!$E:$E,日报!$D:$D,合格品入库记录!$A:$A,日报!AO$3),"")</f>
        <v/>
      </c>
      <c r="AP152" s="42" t="str">
        <f>IF(SUMIFS(合格品入库记录!$G:$G,合格品入库记录!$E:$E,日报!$D:$D,合格品入库记录!$A:$A,日报!AP$3)&lt;&gt;0,SUMIFS(合格品入库记录!$G:$G,合格品入库记录!$E:$E,日报!$D:$D,合格品入库记录!$A:$A,日报!AP$3),"")</f>
        <v/>
      </c>
      <c r="AQ152" s="42" t="str">
        <f>IF(SUMIFS(合格品入库记录!$G:$G,合格品入库记录!$E:$E,日报!$D:$D,合格品入库记录!$A:$A,日报!AQ$3)&lt;&gt;0,SUMIFS(合格品入库记录!$G:$G,合格品入库记录!$E:$E,日报!$D:$D,合格品入库记录!$A:$A,日报!AQ$3),"")</f>
        <v/>
      </c>
      <c r="AR152" s="42" t="str">
        <f>IF(SUMIFS(合格品入库记录!$G:$G,合格品入库记录!$E:$E,日报!$D:$D,合格品入库记录!$A:$A,日报!AR$3)&lt;&gt;0,SUMIFS(合格品入库记录!$G:$G,合格品入库记录!$E:$E,日报!$D:$D,合格品入库记录!$A:$A,日报!AR$3),"")</f>
        <v/>
      </c>
      <c r="AS152" s="42" t="str">
        <f>IF(SUMIFS(合格品入库记录!$G:$G,合格品入库记录!$E:$E,日报!$D:$D,合格品入库记录!$A:$A,日报!AS$3)&lt;&gt;0,SUMIFS(合格品入库记录!$G:$G,合格品入库记录!$E:$E,日报!$D:$D,合格品入库记录!$A:$A,日报!AS$3),"")</f>
        <v/>
      </c>
      <c r="AT152" s="42" t="str">
        <f>IF(SUMIFS(合格品入库记录!$G:$G,合格品入库记录!$E:$E,日报!$D:$D,合格品入库记录!$A:$A,日报!AT$3)&lt;&gt;0,SUMIFS(合格品入库记录!$G:$G,合格品入库记录!$E:$E,日报!$D:$D,合格品入库记录!$A:$A,日报!AT$3),"")</f>
        <v/>
      </c>
      <c r="AU152" s="42" t="str">
        <f>IF(SUMIFS(合格品出库记录!$G:$G,合格品出库记录!$E:$E,日报!$D:$D,合格品出库记录!$A:$A,日报!AU$3)&lt;&gt;0,SUMIFS(合格品出库记录!$G:$G,合格品出库记录!$E:$E,日报!$D:$D,合格品出库记录!$A:$A,日报!AU$3),"")</f>
        <v/>
      </c>
      <c r="AV152" s="42" t="str">
        <f>IF(SUMIFS(合格品出库记录!$G:$G,合格品出库记录!$E:$E,日报!$D:$D,合格品出库记录!$A:$A,日报!AV$3)&lt;&gt;0,SUMIFS(合格品出库记录!$G:$G,合格品出库记录!$E:$E,日报!$D:$D,合格品出库记录!$A:$A,日报!AV$3),"")</f>
        <v/>
      </c>
      <c r="AW152" s="42" t="str">
        <f>IF(SUMIFS(合格品出库记录!$G:$G,合格品出库记录!$E:$E,日报!$D:$D,合格品出库记录!$A:$A,日报!AW$3)&lt;&gt;0,SUMIFS(合格品出库记录!$G:$G,合格品出库记录!$E:$E,日报!$D:$D,合格品出库记录!$A:$A,日报!AW$3),"")</f>
        <v/>
      </c>
      <c r="AX152" s="42" t="str">
        <f>IF(SUMIFS(合格品出库记录!$G:$G,合格品出库记录!$E:$E,日报!$D:$D,合格品出库记录!$A:$A,日报!AX$3)&lt;&gt;0,SUMIFS(合格品出库记录!$G:$G,合格品出库记录!$E:$E,日报!$D:$D,合格品出库记录!$A:$A,日报!AX$3),"")</f>
        <v/>
      </c>
      <c r="AY152" s="42" t="str">
        <f>IF(SUMIFS(合格品出库记录!$G:$G,合格品出库记录!$E:$E,日报!$D:$D,合格品出库记录!$A:$A,日报!AY$3)&lt;&gt;0,SUMIFS(合格品出库记录!$G:$G,合格品出库记录!$E:$E,日报!$D:$D,合格品出库记录!$A:$A,日报!AY$3),"")</f>
        <v/>
      </c>
      <c r="AZ152" s="42" t="str">
        <f>IF(SUMIFS(合格品出库记录!$G:$G,合格品出库记录!$E:$E,日报!$D:$D,合格品出库记录!$A:$A,日报!AZ$3)&lt;&gt;0,SUMIFS(合格品出库记录!$G:$G,合格品出库记录!$E:$E,日报!$D:$D,合格品出库记录!$A:$A,日报!AZ$3),"")</f>
        <v/>
      </c>
      <c r="BA152" s="42" t="str">
        <f>IF(SUMIFS(合格品出库记录!$G:$G,合格品出库记录!$E:$E,日报!$D:$D,合格品出库记录!$A:$A,日报!BA$3)&lt;&gt;0,SUMIFS(合格品出库记录!$G:$G,合格品出库记录!$E:$E,日报!$D:$D,合格品出库记录!$A:$A,日报!BA$3),"")</f>
        <v/>
      </c>
      <c r="BB152" s="42" t="str">
        <f>IF(SUMIFS(合格品出库记录!$G:$G,合格品出库记录!$E:$E,日报!$D:$D,合格品出库记录!$A:$A,日报!BB$3)&lt;&gt;0,SUMIFS(合格品出库记录!$G:$G,合格品出库记录!$E:$E,日报!$D:$D,合格品出库记录!$A:$A,日报!BB$3),"")</f>
        <v/>
      </c>
      <c r="BC152" s="42" t="str">
        <f>IF(SUMIFS(合格品出库记录!$G:$G,合格品出库记录!$E:$E,日报!$D:$D,合格品出库记录!$A:$A,日报!BC$3)&lt;&gt;0,SUMIFS(合格品出库记录!$G:$G,合格品出库记录!$E:$E,日报!$D:$D,合格品出库记录!$A:$A,日报!BC$3),"")</f>
        <v/>
      </c>
      <c r="BD152" s="42" t="str">
        <f>IF(SUMIFS(合格品出库记录!$G:$G,合格品出库记录!$E:$E,日报!$D:$D,合格品出库记录!$A:$A,日报!BD$3)&lt;&gt;0,SUMIFS(合格品出库记录!$G:$G,合格品出库记录!$E:$E,日报!$D:$D,合格品出库记录!$A:$A,日报!BD$3),"")</f>
        <v/>
      </c>
      <c r="BE152" s="42" t="str">
        <f>IF(SUMIFS(合格品出库记录!$G:$G,合格品出库记录!$E:$E,日报!$D:$D,合格品出库记录!$A:$A,日报!BE$3)&lt;&gt;0,SUMIFS(合格品出库记录!$G:$G,合格品出库记录!$E:$E,日报!$D:$D,合格品出库记录!$A:$A,日报!BE$3),"")</f>
        <v/>
      </c>
      <c r="BF152" s="42" t="str">
        <f>IF(SUMIFS(合格品出库记录!$G:$G,合格品出库记录!$E:$E,日报!$D:$D,合格品出库记录!$A:$A,日报!BF$3)&lt;&gt;0,SUMIFS(合格品出库记录!$G:$G,合格品出库记录!$E:$E,日报!$D:$D,合格品出库记录!$A:$A,日报!BF$3),"")</f>
        <v/>
      </c>
      <c r="BG152" s="42" t="str">
        <f>IF(SUMIFS(合格品出库记录!$G:$G,合格品出库记录!$E:$E,日报!$D:$D,合格品出库记录!$A:$A,日报!BG$3)&lt;&gt;0,SUMIFS(合格品出库记录!$G:$G,合格品出库记录!$E:$E,日报!$D:$D,合格品出库记录!$A:$A,日报!BG$3),"")</f>
        <v/>
      </c>
      <c r="BH152" s="42" t="str">
        <f>IF(SUMIFS(合格品出库记录!$G:$G,合格品出库记录!$E:$E,日报!$D:$D,合格品出库记录!$A:$A,日报!BH$3)&lt;&gt;0,SUMIFS(合格品出库记录!$G:$G,合格品出库记录!$E:$E,日报!$D:$D,合格品出库记录!$A:$A,日报!BH$3),"")</f>
        <v/>
      </c>
      <c r="BI152" s="42" t="str">
        <f>IF(SUMIFS(合格品出库记录!$G:$G,合格品出库记录!$E:$E,日报!$D:$D,合格品出库记录!$A:$A,日报!BI$3)&lt;&gt;0,SUMIFS(合格品出库记录!$G:$G,合格品出库记录!$E:$E,日报!$D:$D,合格品出库记录!$A:$A,日报!BI$3),"")</f>
        <v/>
      </c>
      <c r="BJ152" s="42" t="str">
        <f>IF(SUMIFS(合格品出库记录!$G:$G,合格品出库记录!$E:$E,日报!$D:$D,合格品出库记录!$A:$A,日报!BJ$3)&lt;&gt;0,SUMIFS(合格品出库记录!$G:$G,合格品出库记录!$E:$E,日报!$D:$D,合格品出库记录!$A:$A,日报!BJ$3),"")</f>
        <v/>
      </c>
      <c r="BK152" s="42" t="str">
        <f>IF(SUMIFS(合格品出库记录!$G:$G,合格品出库记录!$E:$E,日报!$D:$D,合格品出库记录!$A:$A,日报!BK$3)&lt;&gt;0,SUMIFS(合格品出库记录!$G:$G,合格品出库记录!$E:$E,日报!$D:$D,合格品出库记录!$A:$A,日报!BK$3),"")</f>
        <v/>
      </c>
      <c r="BL152" s="42" t="str">
        <f>IF(SUMIFS(合格品出库记录!$G:$G,合格品出库记录!$E:$E,日报!$D:$D,合格品出库记录!$A:$A,日报!BL$3)&lt;&gt;0,SUMIFS(合格品出库记录!$G:$G,合格品出库记录!$E:$E,日报!$D:$D,合格品出库记录!$A:$A,日报!BL$3),"")</f>
        <v/>
      </c>
      <c r="BM152" s="42" t="str">
        <f>IF(SUMIFS(合格品出库记录!$G:$G,合格品出库记录!$E:$E,日报!$D:$D,合格品出库记录!$A:$A,日报!BM$3)&lt;&gt;0,SUMIFS(合格品出库记录!$G:$G,合格品出库记录!$E:$E,日报!$D:$D,合格品出库记录!$A:$A,日报!BM$3),"")</f>
        <v/>
      </c>
      <c r="BN152" s="42" t="str">
        <f>IF(SUMIFS(合格品出库记录!$G:$G,合格品出库记录!$E:$E,日报!$D:$D,合格品出库记录!$A:$A,日报!BN$3)&lt;&gt;0,SUMIFS(合格品出库记录!$G:$G,合格品出库记录!$E:$E,日报!$D:$D,合格品出库记录!$A:$A,日报!BN$3),"")</f>
        <v/>
      </c>
      <c r="BO152" s="42" t="str">
        <f>IF(SUMIFS(合格品出库记录!$G:$G,合格品出库记录!$E:$E,日报!$D:$D,合格品出库记录!$A:$A,日报!BO$3)&lt;&gt;0,SUMIFS(合格品出库记录!$G:$G,合格品出库记录!$E:$E,日报!$D:$D,合格品出库记录!$A:$A,日报!BO$3),"")</f>
        <v/>
      </c>
      <c r="BP152" s="42" t="str">
        <f>IF(SUMIFS(合格品出库记录!$G:$G,合格品出库记录!$E:$E,日报!$D:$D,合格品出库记录!$A:$A,日报!BP$3)&lt;&gt;0,SUMIFS(合格品出库记录!$G:$G,合格品出库记录!$E:$E,日报!$D:$D,合格品出库记录!$A:$A,日报!BP$3),"")</f>
        <v/>
      </c>
      <c r="BQ152" s="42" t="str">
        <f>IF(SUMIFS(合格品出库记录!$G:$G,合格品出库记录!$E:$E,日报!$D:$D,合格品出库记录!$A:$A,日报!BQ$3)&lt;&gt;0,SUMIFS(合格品出库记录!$G:$G,合格品出库记录!$E:$E,日报!$D:$D,合格品出库记录!$A:$A,日报!BQ$3),"")</f>
        <v/>
      </c>
      <c r="BR152" s="42" t="str">
        <f>IF(SUMIFS(合格品出库记录!$G:$G,合格品出库记录!$E:$E,日报!$D:$D,合格品出库记录!$A:$A,日报!BR$3)&lt;&gt;0,SUMIFS(合格品出库记录!$G:$G,合格品出库记录!$E:$E,日报!$D:$D,合格品出库记录!$A:$A,日报!BR$3),"")</f>
        <v/>
      </c>
      <c r="BS152" s="42" t="str">
        <f>IF(SUMIFS(合格品出库记录!$G:$G,合格品出库记录!$E:$E,日报!$D:$D,合格品出库记录!$A:$A,日报!BS$3)&lt;&gt;0,SUMIFS(合格品出库记录!$G:$G,合格品出库记录!$E:$E,日报!$D:$D,合格品出库记录!$A:$A,日报!BS$3),"")</f>
        <v/>
      </c>
      <c r="BT152" s="42" t="str">
        <f>IF(SUMIFS(合格品出库记录!$G:$G,合格品出库记录!$E:$E,日报!$D:$D,合格品出库记录!$A:$A,日报!BT$3)&lt;&gt;0,SUMIFS(合格品出库记录!$G:$G,合格品出库记录!$E:$E,日报!$D:$D,合格品出库记录!$A:$A,日报!BT$3),"")</f>
        <v/>
      </c>
      <c r="BU152" s="42" t="str">
        <f>IF(SUMIFS(合格品出库记录!$G:$G,合格品出库记录!$E:$E,日报!$D:$D,合格品出库记录!$A:$A,日报!BU$3)&lt;&gt;0,SUMIFS(合格品出库记录!$G:$G,合格品出库记录!$E:$E,日报!$D:$D,合格品出库记录!$A:$A,日报!BU$3),"")</f>
        <v/>
      </c>
      <c r="BV152" s="42" t="str">
        <f>IF(SUMIFS(合格品出库记录!$G:$G,合格品出库记录!$E:$E,日报!$D:$D,合格品出库记录!$A:$A,日报!BV$3)&lt;&gt;0,SUMIFS(合格品出库记录!$G:$G,合格品出库记录!$E:$E,日报!$D:$D,合格品出库记录!$A:$A,日报!BV$3),"")</f>
        <v/>
      </c>
      <c r="BW152" s="42" t="str">
        <f>IF(SUMIFS(合格品出库记录!$G:$G,合格品出库记录!$E:$E,日报!$D:$D,合格品出库记录!$A:$A,日报!BW$3)&lt;&gt;0,SUMIFS(合格品出库记录!$G:$G,合格品出库记录!$E:$E,日报!$D:$D,合格品出库记录!$A:$A,日报!BW$3),"")</f>
        <v/>
      </c>
      <c r="BX152" s="42" t="str">
        <f>IF(SUMIFS(合格品出库记录!$G:$G,合格品出库记录!$E:$E,日报!$D:$D,合格品出库记录!$A:$A,日报!BX$3)&lt;&gt;0,SUMIFS(合格品出库记录!$G:$G,合格品出库记录!$E:$E,日报!$D:$D,合格品出库记录!$A:$A,日报!BX$3),"")</f>
        <v/>
      </c>
      <c r="BY152" s="42" t="str">
        <f>IF(SUMIFS(合格品出库记录!$G:$G,合格品出库记录!$E:$E,日报!$D:$D,合格品出库记录!$A:$A,日报!BY$3)&lt;&gt;0,SUMIFS(合格品出库记录!$G:$G,合格品出库记录!$E:$E,日报!$D:$D,合格品出库记录!$A:$A,日报!BY$3),"")</f>
        <v/>
      </c>
      <c r="BZ152" s="54" t="str">
        <f>IF(SUMIFS(领跑良品退回!$G:$G,领跑良品退回!$E:$E,日报!$D:$D,领跑良品退回!$A:$A,日报!BZ$3)&lt;&gt;0,SUMIFS(领跑良品退回!$G:$G,领跑良品退回!$E:$E,日报!$D:$D,领跑良品退回!$A:$A,日报!BZ$3),"")</f>
        <v/>
      </c>
      <c r="CA152" s="54" t="str">
        <f>IF(SUMIFS(领跑良品退回!$G:$G,领跑良品退回!$E:$E,日报!$D:$D,领跑良品退回!$A:$A,日报!CA$3)&lt;&gt;0,SUMIFS(领跑良品退回!$G:$G,领跑良品退回!$E:$E,日报!$D:$D,领跑良品退回!$A:$A,日报!CA$3),"")</f>
        <v/>
      </c>
      <c r="CB152" s="54" t="str">
        <f>IF(SUMIFS(领跑良品退回!$G:$G,领跑良品退回!$E:$E,日报!$D:$D,领跑良品退回!$A:$A,日报!CB$3)&lt;&gt;0,SUMIFS(领跑良品退回!$G:$G,领跑良品退回!$E:$E,日报!$D:$D,领跑良品退回!$A:$A,日报!CB$3),"")</f>
        <v/>
      </c>
      <c r="CC152" s="54" t="str">
        <f>IF(SUMIFS(领跑良品退回!$G:$G,领跑良品退回!$E:$E,日报!$D:$D,领跑良品退回!$A:$A,日报!CC$3)&lt;&gt;0,SUMIFS(领跑良品退回!$G:$G,领跑良品退回!$E:$E,日报!$D:$D,领跑良品退回!$A:$A,日报!CC$3),"")</f>
        <v/>
      </c>
      <c r="CD152" s="54" t="str">
        <f>IF(SUMIFS(领跑良品退回!$G:$G,领跑良品退回!$E:$E,日报!$D:$D,领跑良品退回!$A:$A,日报!CD$3)&lt;&gt;0,SUMIFS(领跑良品退回!$G:$G,领跑良品退回!$E:$E,日报!$D:$D,领跑良品退回!$A:$A,日报!CD$3),"")</f>
        <v/>
      </c>
      <c r="CE152" s="54" t="str">
        <f>IF(SUMIFS(领跑良品退回!$G:$G,领跑良品退回!$E:$E,日报!$D:$D,领跑良品退回!$A:$A,日报!CE$3)&lt;&gt;0,SUMIFS(领跑良品退回!$G:$G,领跑良品退回!$E:$E,日报!$D:$D,领跑良品退回!$A:$A,日报!CE$3),"")</f>
        <v/>
      </c>
      <c r="CF152" s="54" t="str">
        <f>IF(SUMIFS(领跑良品退回!$G:$G,领跑良品退回!$E:$E,日报!$D:$D,领跑良品退回!$A:$A,日报!CF$3)&lt;&gt;0,SUMIFS(领跑良品退回!$G:$G,领跑良品退回!$E:$E,日报!$D:$D,领跑良品退回!$A:$A,日报!CF$3),"")</f>
        <v/>
      </c>
      <c r="CG152" s="54" t="str">
        <f>IF(SUMIFS(领跑良品退回!$G:$G,领跑良品退回!$E:$E,日报!$D:$D,领跑良品退回!$A:$A,日报!CG$3)&lt;&gt;0,SUMIFS(领跑良品退回!$G:$G,领跑良品退回!$E:$E,日报!$D:$D,领跑良品退回!$A:$A,日报!CG$3),"")</f>
        <v/>
      </c>
      <c r="CH152" s="54" t="str">
        <f>IF(SUMIFS(领跑良品退回!$G:$G,领跑良品退回!$E:$E,日报!$D:$D,领跑良品退回!$A:$A,日报!CH$3)&lt;&gt;0,SUMIFS(领跑良品退回!$G:$G,领跑良品退回!$E:$E,日报!$D:$D,领跑良品退回!$A:$A,日报!CH$3),"")</f>
        <v/>
      </c>
      <c r="CI152" s="54" t="str">
        <f>IF(SUMIFS(领跑良品退回!$G:$G,领跑良品退回!$E:$E,日报!$D:$D,领跑良品退回!$A:$A,日报!CI$3)&lt;&gt;0,SUMIFS(领跑良品退回!$G:$G,领跑良品退回!$E:$E,日报!$D:$D,领跑良品退回!$A:$A,日报!CI$3),"")</f>
        <v/>
      </c>
      <c r="CJ152" s="54" t="str">
        <f>IF(SUMIFS(领跑良品退回!$G:$G,领跑良品退回!$E:$E,日报!$D:$D,领跑良品退回!$A:$A,日报!CJ$3)&lt;&gt;0,SUMIFS(领跑良品退回!$G:$G,领跑良品退回!$E:$E,日报!$D:$D,领跑良品退回!$A:$A,日报!CJ$3),"")</f>
        <v/>
      </c>
      <c r="CK152" s="54" t="str">
        <f>IF(SUMIFS(领跑良品退回!$G:$G,领跑良品退回!$E:$E,日报!$D:$D,领跑良品退回!$A:$A,日报!CK$3)&lt;&gt;0,SUMIFS(领跑良品退回!$G:$G,领跑良品退回!$E:$E,日报!$D:$D,领跑良品退回!$A:$A,日报!CK$3),"")</f>
        <v/>
      </c>
      <c r="CL152" s="54" t="str">
        <f>IF(SUMIFS(领跑良品退回!$G:$G,领跑良品退回!$E:$E,日报!$D:$D,领跑良品退回!$A:$A,日报!CL$3)&lt;&gt;0,SUMIFS(领跑良品退回!$G:$G,领跑良品退回!$E:$E,日报!$D:$D,领跑良品退回!$A:$A,日报!CL$3),"")</f>
        <v/>
      </c>
      <c r="CM152" s="54" t="str">
        <f>IF(SUMIFS(领跑良品退回!$G:$G,领跑良品退回!$E:$E,日报!$D:$D,领跑良品退回!$A:$A,日报!CM$3)&lt;&gt;0,SUMIFS(领跑良品退回!$G:$G,领跑良品退回!$E:$E,日报!$D:$D,领跑良品退回!$A:$A,日报!CM$3),"")</f>
        <v/>
      </c>
      <c r="CN152" s="54" t="str">
        <f>IF(SUMIFS(领跑良品退回!$G:$G,领跑良品退回!$E:$E,日报!$D:$D,领跑良品退回!$A:$A,日报!CN$3)&lt;&gt;0,SUMIFS(领跑良品退回!$G:$G,领跑良品退回!$E:$E,日报!$D:$D,领跑良品退回!$A:$A,日报!CN$3),"")</f>
        <v/>
      </c>
      <c r="CO152" s="54" t="str">
        <f>IF(SUMIFS(领跑良品退回!$G:$G,领跑良品退回!$E:$E,日报!$D:$D,领跑良品退回!$A:$A,日报!CO$3)&lt;&gt;0,SUMIFS(领跑良品退回!$G:$G,领跑良品退回!$E:$E,日报!$D:$D,领跑良品退回!$A:$A,日报!CO$3),"")</f>
        <v/>
      </c>
      <c r="CP152" s="54" t="str">
        <f>IF(SUMIFS(领跑良品退回!$G:$G,领跑良品退回!$E:$E,日报!$D:$D,领跑良品退回!$A:$A,日报!CP$3)&lt;&gt;0,SUMIFS(领跑良品退回!$G:$G,领跑良品退回!$E:$E,日报!$D:$D,领跑良品退回!$A:$A,日报!CP$3),"")</f>
        <v/>
      </c>
      <c r="CQ152" s="54" t="str">
        <f>IF(SUMIFS(领跑良品退回!$G:$G,领跑良品退回!$E:$E,日报!$D:$D,领跑良品退回!$A:$A,日报!CQ$3)&lt;&gt;0,SUMIFS(领跑良品退回!$G:$G,领跑良品退回!$E:$E,日报!$D:$D,领跑良品退回!$A:$A,日报!CQ$3),"")</f>
        <v/>
      </c>
      <c r="CR152" s="54" t="str">
        <f>IF(SUMIFS(领跑良品退回!$G:$G,领跑良品退回!$E:$E,日报!$D:$D,领跑良品退回!$A:$A,日报!CR$3)&lt;&gt;0,SUMIFS(领跑良品退回!$G:$G,领跑良品退回!$E:$E,日报!$D:$D,领跑良品退回!$A:$A,日报!CR$3),"")</f>
        <v/>
      </c>
      <c r="CS152" s="54" t="str">
        <f>IF(SUMIFS(领跑良品退回!$G:$G,领跑良品退回!$E:$E,日报!$D:$D,领跑良品退回!$A:$A,日报!CS$3)&lt;&gt;0,SUMIFS(领跑良品退回!$G:$G,领跑良品退回!$E:$E,日报!$D:$D,领跑良品退回!$A:$A,日报!CS$3),"")</f>
        <v/>
      </c>
      <c r="CT152" s="54" t="str">
        <f>IF(SUMIFS(领跑良品退回!$G:$G,领跑良品退回!$E:$E,日报!$D:$D,领跑良品退回!$A:$A,日报!CT$3)&lt;&gt;0,SUMIFS(领跑良品退回!$G:$G,领跑良品退回!$E:$E,日报!$D:$D,领跑良品退回!$A:$A,日报!CT$3),"")</f>
        <v/>
      </c>
      <c r="CU152" s="54" t="str">
        <f>IF(SUMIFS(领跑良品退回!$G:$G,领跑良品退回!$E:$E,日报!$D:$D,领跑良品退回!$A:$A,日报!CU$3)&lt;&gt;0,SUMIFS(领跑良品退回!$G:$G,领跑良品退回!$E:$E,日报!$D:$D,领跑良品退回!$A:$A,日报!CU$3),"")</f>
        <v/>
      </c>
      <c r="CV152" s="54" t="str">
        <f>IF(SUMIFS(领跑良品退回!$G:$G,领跑良品退回!$E:$E,日报!$D:$D,领跑良品退回!$A:$A,日报!CV$3)&lt;&gt;0,SUMIFS(领跑良品退回!$G:$G,领跑良品退回!$E:$E,日报!$D:$D,领跑良品退回!$A:$A,日报!CV$3),"")</f>
        <v/>
      </c>
      <c r="CW152" s="54" t="str">
        <f>IF(SUMIFS(领跑良品退回!$G:$G,领跑良品退回!$E:$E,日报!$D:$D,领跑良品退回!$A:$A,日报!CW$3)&lt;&gt;0,SUMIFS(领跑良品退回!$G:$G,领跑良品退回!$E:$E,日报!$D:$D,领跑良品退回!$A:$A,日报!CW$3),"")</f>
        <v/>
      </c>
      <c r="CX152" s="54" t="str">
        <f>IF(SUMIFS(领跑良品退回!$G:$G,领跑良品退回!$E:$E,日报!$D:$D,领跑良品退回!$A:$A,日报!CX$3)&lt;&gt;0,SUMIFS(领跑良品退回!$G:$G,领跑良品退回!$E:$E,日报!$D:$D,领跑良品退回!$A:$A,日报!CX$3),"")</f>
        <v/>
      </c>
      <c r="CY152" s="54" t="str">
        <f>IF(SUMIFS(领跑良品退回!$G:$G,领跑良品退回!$E:$E,日报!$D:$D,领跑良品退回!$A:$A,日报!CY$3)&lt;&gt;0,SUMIFS(领跑良品退回!$G:$G,领跑良品退回!$E:$E,日报!$D:$D,领跑良品退回!$A:$A,日报!CY$3),"")</f>
        <v/>
      </c>
      <c r="CZ152" s="54" t="str">
        <f>IF(SUMIFS(领跑良品退回!$G:$G,领跑良品退回!$E:$E,日报!$D:$D,领跑良品退回!$A:$A,日报!CZ$3)&lt;&gt;0,SUMIFS(领跑良品退回!$G:$G,领跑良品退回!$E:$E,日报!$D:$D,领跑良品退回!$A:$A,日报!CZ$3),"")</f>
        <v/>
      </c>
      <c r="DA152" s="54" t="str">
        <f>IF(SUMIFS(领跑良品退回!$G:$G,领跑良品退回!$E:$E,日报!$D:$D,领跑良品退回!$A:$A,日报!DA$3)&lt;&gt;0,SUMIFS(领跑良品退回!$G:$G,领跑良品退回!$E:$E,日报!$D:$D,领跑良品退回!$A:$A,日报!DA$3),"")</f>
        <v/>
      </c>
      <c r="DB152" s="54" t="str">
        <f>IF(SUMIFS(领跑良品退回!$G:$G,领跑良品退回!$E:$E,日报!$D:$D,领跑良品退回!$A:$A,日报!DB$3)&lt;&gt;0,SUMIFS(领跑良品退回!$G:$G,领跑良品退回!$E:$E,日报!$D:$D,领跑良品退回!$A:$A,日报!DB$3),"")</f>
        <v/>
      </c>
      <c r="DC152" s="54" t="str">
        <f>IF(SUMIFS(领跑良品退回!$G:$G,领跑良品退回!$E:$E,日报!$D:$D,领跑良品退回!$A:$A,日报!DC$3)&lt;&gt;0,SUMIFS(领跑良品退回!$G:$G,领跑良品退回!$E:$E,日报!$D:$D,领跑良品退回!$A:$A,日报!DC$3),"")</f>
        <v/>
      </c>
      <c r="DD152" s="54" t="str">
        <f>IF(SUMIFS(领跑良品退回!$G:$G,领跑良品退回!$E:$E,日报!$D:$D,领跑良品退回!$A:$A,日报!DD$3)&lt;&gt;0,SUMIFS(领跑良品退回!$G:$G,领跑良品退回!$E:$E,日报!$D:$D,领跑良品退回!$A:$A,日报!DD$3),"")</f>
        <v/>
      </c>
    </row>
  </sheetData>
  <mergeCells count="22">
    <mergeCell ref="A1:D1"/>
    <mergeCell ref="P1:AT1"/>
    <mergeCell ref="AU1:BY1"/>
    <mergeCell ref="BZ1:DD1"/>
    <mergeCell ref="P2:AT2"/>
    <mergeCell ref="AU2:BY2"/>
    <mergeCell ref="BZ2:DD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</mergeCells>
  <pageMargins left="0.708244776162576" right="0.708244776162576" top="0.747823152016467" bottom="0.747823152016467" header="0.315238382872634" footer="0.315238382872634"/>
  <pageSetup paperSize="9" orientation="portrait" useFirstPageNumb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K70"/>
  <sheetViews>
    <sheetView showGridLines="0" zoomScale="85" zoomScaleNormal="85" workbookViewId="0">
      <pane ySplit="1" topLeftCell="A2" activePane="bottomLeft" state="frozen"/>
      <selection/>
      <selection pane="bottomLeft" activeCell="A2372" sqref="A2372"/>
    </sheetView>
  </sheetViews>
  <sheetFormatPr defaultColWidth="11.3333333333333" defaultRowHeight="19.95" customHeight="1"/>
  <cols>
    <col min="1" max="1" width="13.775" style="26" customWidth="1"/>
    <col min="2" max="2" width="10" style="23" customWidth="1"/>
    <col min="3" max="3" width="38.6666666666667" style="23" customWidth="1"/>
    <col min="4" max="4" width="21.775" style="23" customWidth="1"/>
    <col min="5" max="5" width="30.775" style="27" customWidth="1"/>
    <col min="6" max="6" width="30.4416666666667" style="23" customWidth="1"/>
    <col min="7" max="7" width="11" style="23" customWidth="1"/>
    <col min="8" max="8" width="14.8833333333333" style="23" customWidth="1"/>
    <col min="9" max="9" width="9.21666666666667" style="28" customWidth="1"/>
    <col min="10" max="10" width="45.1083333333333" style="23" customWidth="1"/>
    <col min="11" max="11" width="11.3333333333333" style="13" customWidth="1"/>
    <col min="12" max="16384" width="11.3333333333333" style="29" customWidth="1"/>
  </cols>
  <sheetData>
    <row r="1" customHeight="1" spans="1:11">
      <c r="A1" s="26" t="s">
        <v>319</v>
      </c>
      <c r="B1" s="23" t="s">
        <v>320</v>
      </c>
      <c r="C1" s="23" t="s">
        <v>3</v>
      </c>
      <c r="D1" s="23" t="s">
        <v>321</v>
      </c>
      <c r="E1" s="27" t="s">
        <v>4</v>
      </c>
      <c r="F1" s="23" t="s">
        <v>5</v>
      </c>
      <c r="G1" s="23" t="s">
        <v>322</v>
      </c>
      <c r="H1" s="23" t="s">
        <v>323</v>
      </c>
      <c r="I1" s="28" t="s">
        <v>324</v>
      </c>
      <c r="J1" s="23" t="s">
        <v>325</v>
      </c>
      <c r="K1" s="13" t="s">
        <v>325</v>
      </c>
    </row>
    <row r="2" customHeight="1" spans="1:10">
      <c r="A2" s="26">
        <v>46143</v>
      </c>
      <c r="B2" s="23" t="s">
        <v>19</v>
      </c>
      <c r="C2" s="23" t="s">
        <v>20</v>
      </c>
      <c r="D2" s="23" t="s">
        <v>326</v>
      </c>
      <c r="E2" s="27" t="s">
        <v>117</v>
      </c>
      <c r="F2" s="23" t="s">
        <v>118</v>
      </c>
      <c r="G2" s="23">
        <v>480</v>
      </c>
      <c r="J2" s="23" t="s">
        <v>327</v>
      </c>
    </row>
    <row r="3" customHeight="1" spans="1:10">
      <c r="A3" s="26">
        <v>46143</v>
      </c>
      <c r="B3" s="23" t="s">
        <v>19</v>
      </c>
      <c r="C3" s="23" t="s">
        <v>20</v>
      </c>
      <c r="D3" s="23" t="s">
        <v>326</v>
      </c>
      <c r="E3" s="27" t="s">
        <v>117</v>
      </c>
      <c r="F3" s="23" t="s">
        <v>118</v>
      </c>
      <c r="G3" s="23">
        <v>120</v>
      </c>
      <c r="J3" s="23" t="s">
        <v>327</v>
      </c>
    </row>
    <row r="4" customHeight="1" spans="1:10">
      <c r="A4" s="26">
        <v>46144</v>
      </c>
      <c r="B4" s="23" t="s">
        <v>19</v>
      </c>
      <c r="C4" s="23" t="s">
        <v>20</v>
      </c>
      <c r="D4" s="23" t="s">
        <v>328</v>
      </c>
      <c r="E4" s="27" t="s">
        <v>251</v>
      </c>
      <c r="F4" s="23" t="s">
        <v>252</v>
      </c>
      <c r="G4" s="23">
        <v>288</v>
      </c>
      <c r="J4" s="23" t="s">
        <v>329</v>
      </c>
    </row>
    <row r="5" customHeight="1" spans="1:10">
      <c r="A5" s="26">
        <v>46144</v>
      </c>
      <c r="B5" s="23" t="s">
        <v>19</v>
      </c>
      <c r="C5" s="23" t="s">
        <v>20</v>
      </c>
      <c r="D5" s="23" t="s">
        <v>328</v>
      </c>
      <c r="E5" s="27" t="s">
        <v>251</v>
      </c>
      <c r="F5" s="23" t="s">
        <v>252</v>
      </c>
      <c r="G5" s="23">
        <v>144</v>
      </c>
      <c r="J5" s="23" t="s">
        <v>329</v>
      </c>
    </row>
    <row r="6" customHeight="1" spans="1:10">
      <c r="A6" s="26">
        <v>46144</v>
      </c>
      <c r="B6" s="23" t="s">
        <v>19</v>
      </c>
      <c r="C6" s="23" t="s">
        <v>20</v>
      </c>
      <c r="D6" s="23" t="s">
        <v>328</v>
      </c>
      <c r="E6" s="27" t="s">
        <v>253</v>
      </c>
      <c r="F6" s="23" t="s">
        <v>254</v>
      </c>
      <c r="G6" s="23">
        <v>432</v>
      </c>
      <c r="J6" s="23" t="s">
        <v>329</v>
      </c>
    </row>
    <row r="7" customHeight="1" spans="1:10">
      <c r="A7" s="26">
        <v>46146</v>
      </c>
      <c r="B7" s="23" t="s">
        <v>19</v>
      </c>
      <c r="C7" s="23" t="s">
        <v>20</v>
      </c>
      <c r="D7" s="23" t="s">
        <v>330</v>
      </c>
      <c r="E7" s="27" t="s">
        <v>149</v>
      </c>
      <c r="F7" s="23" t="s">
        <v>150</v>
      </c>
      <c r="G7" s="23">
        <v>600</v>
      </c>
      <c r="J7" s="23" t="s">
        <v>331</v>
      </c>
    </row>
    <row r="8" customHeight="1" spans="1:10">
      <c r="A8" s="26">
        <v>46146</v>
      </c>
      <c r="B8" s="23" t="s">
        <v>19</v>
      </c>
      <c r="C8" s="23" t="s">
        <v>20</v>
      </c>
      <c r="D8" s="23" t="s">
        <v>330</v>
      </c>
      <c r="E8" s="27" t="s">
        <v>223</v>
      </c>
      <c r="F8" s="23" t="s">
        <v>224</v>
      </c>
      <c r="G8" s="23">
        <v>480</v>
      </c>
      <c r="J8" s="23" t="s">
        <v>331</v>
      </c>
    </row>
    <row r="9" customHeight="1" spans="1:10">
      <c r="A9" s="26">
        <v>46146</v>
      </c>
      <c r="B9" s="23" t="s">
        <v>19</v>
      </c>
      <c r="C9" s="23" t="s">
        <v>20</v>
      </c>
      <c r="D9" s="23" t="s">
        <v>330</v>
      </c>
      <c r="E9" s="27" t="s">
        <v>221</v>
      </c>
      <c r="F9" s="23" t="s">
        <v>222</v>
      </c>
      <c r="G9" s="23">
        <v>525</v>
      </c>
      <c r="J9" s="23" t="s">
        <v>331</v>
      </c>
    </row>
    <row r="10" customHeight="1" spans="1:10">
      <c r="A10" s="26">
        <v>46146</v>
      </c>
      <c r="B10" s="23" t="s">
        <v>19</v>
      </c>
      <c r="C10" s="23" t="s">
        <v>20</v>
      </c>
      <c r="D10" s="23" t="s">
        <v>330</v>
      </c>
      <c r="E10" s="27" t="s">
        <v>221</v>
      </c>
      <c r="F10" s="23" t="s">
        <v>222</v>
      </c>
      <c r="G10" s="23">
        <v>435</v>
      </c>
      <c r="J10" s="23" t="s">
        <v>331</v>
      </c>
    </row>
    <row r="11" customHeight="1" spans="1:10">
      <c r="A11" s="26">
        <v>46146</v>
      </c>
      <c r="B11" s="23" t="s">
        <v>19</v>
      </c>
      <c r="C11" s="23" t="s">
        <v>20</v>
      </c>
      <c r="D11" s="23" t="s">
        <v>330</v>
      </c>
      <c r="E11" s="27" t="s">
        <v>215</v>
      </c>
      <c r="F11" s="23" t="s">
        <v>216</v>
      </c>
      <c r="G11" s="23">
        <v>3376</v>
      </c>
      <c r="J11" s="23" t="s">
        <v>331</v>
      </c>
    </row>
    <row r="12" customHeight="1" spans="1:10">
      <c r="A12" s="26">
        <v>46147</v>
      </c>
      <c r="B12" s="23" t="s">
        <v>19</v>
      </c>
      <c r="C12" s="23" t="s">
        <v>20</v>
      </c>
      <c r="D12" s="23" t="s">
        <v>332</v>
      </c>
      <c r="E12" s="27" t="s">
        <v>117</v>
      </c>
      <c r="F12" s="23" t="s">
        <v>118</v>
      </c>
      <c r="G12" s="23">
        <v>120</v>
      </c>
      <c r="J12" s="23" t="s">
        <v>333</v>
      </c>
    </row>
    <row r="13" customHeight="1" spans="1:10">
      <c r="A13" s="26">
        <v>46147</v>
      </c>
      <c r="B13" s="23" t="s">
        <v>19</v>
      </c>
      <c r="C13" s="23" t="s">
        <v>20</v>
      </c>
      <c r="D13" s="23" t="s">
        <v>332</v>
      </c>
      <c r="E13" s="27" t="s">
        <v>117</v>
      </c>
      <c r="F13" s="23" t="s">
        <v>118</v>
      </c>
      <c r="G13" s="23">
        <v>180</v>
      </c>
      <c r="J13" s="23" t="s">
        <v>333</v>
      </c>
    </row>
    <row r="14" customHeight="1" spans="1:10">
      <c r="A14" s="26">
        <v>46147</v>
      </c>
      <c r="B14" s="23" t="s">
        <v>19</v>
      </c>
      <c r="C14" s="23" t="s">
        <v>20</v>
      </c>
      <c r="D14" s="23" t="s">
        <v>332</v>
      </c>
      <c r="E14" s="27" t="s">
        <v>117</v>
      </c>
      <c r="F14" s="23" t="s">
        <v>118</v>
      </c>
      <c r="G14" s="23">
        <v>180</v>
      </c>
      <c r="J14" s="23" t="s">
        <v>333</v>
      </c>
    </row>
    <row r="15" customHeight="1" spans="1:10">
      <c r="A15" s="26">
        <v>46147</v>
      </c>
      <c r="B15" s="23" t="s">
        <v>19</v>
      </c>
      <c r="C15" s="23" t="s">
        <v>20</v>
      </c>
      <c r="D15" s="23" t="s">
        <v>334</v>
      </c>
      <c r="E15" s="27" t="s">
        <v>223</v>
      </c>
      <c r="F15" s="23" t="s">
        <v>224</v>
      </c>
      <c r="G15" s="23">
        <v>480</v>
      </c>
      <c r="J15" s="23" t="s">
        <v>335</v>
      </c>
    </row>
    <row r="16" customHeight="1" spans="1:10">
      <c r="A16" s="26">
        <v>46147</v>
      </c>
      <c r="B16" s="23" t="s">
        <v>19</v>
      </c>
      <c r="C16" s="23" t="s">
        <v>20</v>
      </c>
      <c r="D16" s="23" t="s">
        <v>334</v>
      </c>
      <c r="E16" s="27" t="s">
        <v>223</v>
      </c>
      <c r="F16" s="23" t="s">
        <v>224</v>
      </c>
      <c r="G16" s="23">
        <v>480</v>
      </c>
      <c r="J16" s="23" t="s">
        <v>335</v>
      </c>
    </row>
    <row r="17" customHeight="1" spans="1:10">
      <c r="A17" s="26">
        <v>46147</v>
      </c>
      <c r="B17" s="23" t="s">
        <v>19</v>
      </c>
      <c r="C17" s="23" t="s">
        <v>20</v>
      </c>
      <c r="D17" s="23" t="s">
        <v>334</v>
      </c>
      <c r="E17" s="27" t="s">
        <v>221</v>
      </c>
      <c r="F17" s="23" t="s">
        <v>222</v>
      </c>
      <c r="G17" s="23">
        <v>825</v>
      </c>
      <c r="J17" s="23" t="s">
        <v>335</v>
      </c>
    </row>
    <row r="18" customHeight="1" spans="1:10">
      <c r="A18" s="26">
        <v>46149</v>
      </c>
      <c r="B18" s="23" t="s">
        <v>19</v>
      </c>
      <c r="C18" s="23" t="s">
        <v>20</v>
      </c>
      <c r="D18" s="23" t="s">
        <v>336</v>
      </c>
      <c r="E18" s="27" t="s">
        <v>223</v>
      </c>
      <c r="F18" s="23" t="s">
        <v>224</v>
      </c>
      <c r="G18" s="23">
        <v>840</v>
      </c>
      <c r="J18" s="23" t="s">
        <v>337</v>
      </c>
    </row>
    <row r="19" customHeight="1" spans="1:10">
      <c r="A19" s="26">
        <v>46149</v>
      </c>
      <c r="B19" s="23" t="s">
        <v>19</v>
      </c>
      <c r="C19" s="23" t="s">
        <v>20</v>
      </c>
      <c r="D19" s="23" t="s">
        <v>336</v>
      </c>
      <c r="E19" s="27" t="s">
        <v>221</v>
      </c>
      <c r="F19" s="23" t="s">
        <v>222</v>
      </c>
      <c r="G19" s="23">
        <v>945</v>
      </c>
      <c r="J19" s="23" t="s">
        <v>337</v>
      </c>
    </row>
    <row r="20" customHeight="1" spans="1:10">
      <c r="A20" s="26">
        <v>46149</v>
      </c>
      <c r="B20" s="23" t="s">
        <v>19</v>
      </c>
      <c r="C20" s="23" t="s">
        <v>20</v>
      </c>
      <c r="D20" s="23" t="s">
        <v>338</v>
      </c>
      <c r="E20" s="27" t="s">
        <v>33</v>
      </c>
      <c r="F20" s="23" t="s">
        <v>34</v>
      </c>
      <c r="G20" s="23">
        <v>262</v>
      </c>
      <c r="J20" s="23" t="s">
        <v>339</v>
      </c>
    </row>
    <row r="21" customHeight="1" spans="1:10">
      <c r="A21" s="26">
        <v>46150</v>
      </c>
      <c r="B21" s="23" t="s">
        <v>19</v>
      </c>
      <c r="C21" s="23" t="s">
        <v>20</v>
      </c>
      <c r="D21" s="23" t="s">
        <v>340</v>
      </c>
      <c r="E21" s="27" t="s">
        <v>223</v>
      </c>
      <c r="F21" s="23" t="s">
        <v>224</v>
      </c>
      <c r="G21" s="23">
        <v>816</v>
      </c>
      <c r="J21" s="23" t="s">
        <v>341</v>
      </c>
    </row>
    <row r="22" customHeight="1" spans="1:10">
      <c r="A22" s="26">
        <v>46150</v>
      </c>
      <c r="B22" s="23" t="s">
        <v>19</v>
      </c>
      <c r="C22" s="23" t="s">
        <v>20</v>
      </c>
      <c r="D22" s="23" t="s">
        <v>340</v>
      </c>
      <c r="E22" s="27" t="s">
        <v>223</v>
      </c>
      <c r="F22" s="23" t="s">
        <v>224</v>
      </c>
      <c r="G22" s="23">
        <v>120</v>
      </c>
      <c r="J22" s="23" t="s">
        <v>341</v>
      </c>
    </row>
    <row r="23" customHeight="1" spans="1:10">
      <c r="A23" s="26">
        <v>46150</v>
      </c>
      <c r="B23" s="23" t="s">
        <v>19</v>
      </c>
      <c r="C23" s="23" t="s">
        <v>20</v>
      </c>
      <c r="D23" s="23" t="s">
        <v>342</v>
      </c>
      <c r="E23" s="27" t="s">
        <v>303</v>
      </c>
      <c r="F23" s="23" t="s">
        <v>304</v>
      </c>
      <c r="G23" s="23">
        <v>216</v>
      </c>
      <c r="J23" s="23" t="s">
        <v>343</v>
      </c>
    </row>
    <row r="24" customHeight="1" spans="1:10">
      <c r="A24" s="26">
        <v>46150</v>
      </c>
      <c r="B24" s="23" t="s">
        <v>19</v>
      </c>
      <c r="C24" s="23" t="s">
        <v>20</v>
      </c>
      <c r="D24" s="23" t="s">
        <v>342</v>
      </c>
      <c r="E24" s="27" t="s">
        <v>305</v>
      </c>
      <c r="F24" s="23" t="s">
        <v>306</v>
      </c>
      <c r="G24" s="23">
        <v>112</v>
      </c>
      <c r="J24" s="23" t="s">
        <v>343</v>
      </c>
    </row>
    <row r="25" customHeight="1" spans="1:10">
      <c r="A25" s="26">
        <v>46150</v>
      </c>
      <c r="B25" s="23" t="s">
        <v>19</v>
      </c>
      <c r="C25" s="23" t="s">
        <v>20</v>
      </c>
      <c r="D25" s="23" t="s">
        <v>342</v>
      </c>
      <c r="E25" s="27" t="s">
        <v>307</v>
      </c>
      <c r="F25" s="23" t="s">
        <v>308</v>
      </c>
      <c r="G25" s="23">
        <v>112</v>
      </c>
      <c r="J25" s="23" t="s">
        <v>343</v>
      </c>
    </row>
    <row r="26" customHeight="1" spans="1:10">
      <c r="A26" s="26">
        <v>46150</v>
      </c>
      <c r="B26" s="23" t="s">
        <v>19</v>
      </c>
      <c r="C26" s="23" t="s">
        <v>20</v>
      </c>
      <c r="D26" s="23" t="s">
        <v>342</v>
      </c>
      <c r="E26" s="27" t="s">
        <v>309</v>
      </c>
      <c r="F26" s="23" t="s">
        <v>310</v>
      </c>
      <c r="G26" s="23">
        <v>56</v>
      </c>
      <c r="J26" s="23" t="s">
        <v>343</v>
      </c>
    </row>
    <row r="27" customHeight="1" spans="1:10">
      <c r="A27" s="26">
        <v>46151</v>
      </c>
      <c r="B27" s="23" t="s">
        <v>19</v>
      </c>
      <c r="C27" s="23" t="s">
        <v>20</v>
      </c>
      <c r="D27" s="23" t="s">
        <v>344</v>
      </c>
      <c r="E27" s="27" t="s">
        <v>305</v>
      </c>
      <c r="F27" s="23" t="s">
        <v>306</v>
      </c>
      <c r="G27" s="23">
        <v>112</v>
      </c>
      <c r="J27" s="23" t="s">
        <v>345</v>
      </c>
    </row>
    <row r="28" customHeight="1" spans="1:10">
      <c r="A28" s="26">
        <v>46151</v>
      </c>
      <c r="B28" s="23" t="s">
        <v>19</v>
      </c>
      <c r="C28" s="23" t="s">
        <v>20</v>
      </c>
      <c r="D28" s="23" t="s">
        <v>344</v>
      </c>
      <c r="E28" s="27" t="s">
        <v>307</v>
      </c>
      <c r="F28" s="23" t="s">
        <v>308</v>
      </c>
      <c r="G28" s="23">
        <v>112</v>
      </c>
      <c r="J28" s="23" t="s">
        <v>345</v>
      </c>
    </row>
    <row r="29" customHeight="1" spans="1:10">
      <c r="A29" s="26">
        <v>46151</v>
      </c>
      <c r="B29" s="23" t="s">
        <v>19</v>
      </c>
      <c r="C29" s="23" t="s">
        <v>20</v>
      </c>
      <c r="D29" s="23" t="s">
        <v>344</v>
      </c>
      <c r="E29" s="27" t="s">
        <v>309</v>
      </c>
      <c r="F29" s="23" t="s">
        <v>310</v>
      </c>
      <c r="G29" s="23">
        <v>56</v>
      </c>
      <c r="J29" s="23" t="s">
        <v>345</v>
      </c>
    </row>
    <row r="30" customHeight="1" spans="1:10">
      <c r="A30" s="26">
        <v>46151</v>
      </c>
      <c r="B30" s="23" t="s">
        <v>19</v>
      </c>
      <c r="C30" s="23" t="s">
        <v>20</v>
      </c>
      <c r="D30" s="23" t="s">
        <v>346</v>
      </c>
      <c r="E30" s="27" t="s">
        <v>99</v>
      </c>
      <c r="F30" s="23" t="s">
        <v>347</v>
      </c>
      <c r="G30" s="23">
        <v>185</v>
      </c>
      <c r="J30" s="23" t="s">
        <v>348</v>
      </c>
    </row>
    <row r="31" customHeight="1" spans="1:10">
      <c r="A31" s="26">
        <v>46151</v>
      </c>
      <c r="B31" s="23" t="s">
        <v>19</v>
      </c>
      <c r="C31" s="23" t="s">
        <v>20</v>
      </c>
      <c r="D31" s="23" t="s">
        <v>349</v>
      </c>
      <c r="E31" s="27" t="s">
        <v>31</v>
      </c>
      <c r="F31" s="23" t="s">
        <v>32</v>
      </c>
      <c r="G31" s="23">
        <v>252</v>
      </c>
      <c r="J31" s="23" t="s">
        <v>350</v>
      </c>
    </row>
    <row r="32" customHeight="1" spans="1:10">
      <c r="A32" s="26">
        <v>46151</v>
      </c>
      <c r="B32" s="23" t="s">
        <v>19</v>
      </c>
      <c r="C32" s="23" t="s">
        <v>20</v>
      </c>
      <c r="D32" s="23" t="s">
        <v>351</v>
      </c>
      <c r="E32" s="27" t="s">
        <v>303</v>
      </c>
      <c r="F32" s="23" t="s">
        <v>304</v>
      </c>
      <c r="G32" s="23">
        <v>270</v>
      </c>
      <c r="J32" s="23" t="s">
        <v>352</v>
      </c>
    </row>
    <row r="33" customHeight="1" spans="1:10">
      <c r="A33" s="26">
        <v>46151</v>
      </c>
      <c r="B33" s="23" t="s">
        <v>19</v>
      </c>
      <c r="C33" s="23" t="s">
        <v>20</v>
      </c>
      <c r="D33" s="23" t="s">
        <v>351</v>
      </c>
      <c r="E33" s="27" t="s">
        <v>303</v>
      </c>
      <c r="F33" s="23" t="s">
        <v>304</v>
      </c>
      <c r="G33" s="23">
        <v>369</v>
      </c>
      <c r="J33" s="23" t="s">
        <v>352</v>
      </c>
    </row>
    <row r="34" customHeight="1" spans="1:10">
      <c r="A34" s="26">
        <v>46151</v>
      </c>
      <c r="B34" s="23" t="s">
        <v>19</v>
      </c>
      <c r="C34" s="23" t="s">
        <v>20</v>
      </c>
      <c r="D34" s="23" t="s">
        <v>351</v>
      </c>
      <c r="E34" s="27" t="s">
        <v>221</v>
      </c>
      <c r="F34" s="23" t="s">
        <v>222</v>
      </c>
      <c r="G34" s="23">
        <v>960</v>
      </c>
      <c r="J34" s="23" t="s">
        <v>352</v>
      </c>
    </row>
    <row r="35" customHeight="1" spans="1:10">
      <c r="A35" s="26">
        <v>46152</v>
      </c>
      <c r="B35" s="23" t="s">
        <v>19</v>
      </c>
      <c r="C35" s="23" t="s">
        <v>20</v>
      </c>
      <c r="D35" s="23" t="s">
        <v>353</v>
      </c>
      <c r="E35" s="27" t="s">
        <v>303</v>
      </c>
      <c r="F35" s="23" t="s">
        <v>304</v>
      </c>
      <c r="G35" s="23">
        <v>234</v>
      </c>
      <c r="J35" s="23" t="s">
        <v>354</v>
      </c>
    </row>
    <row r="36" customHeight="1" spans="1:10">
      <c r="A36" s="26">
        <v>46152</v>
      </c>
      <c r="B36" s="23" t="s">
        <v>19</v>
      </c>
      <c r="C36" s="23" t="s">
        <v>20</v>
      </c>
      <c r="D36" s="23" t="s">
        <v>353</v>
      </c>
      <c r="E36" s="27" t="s">
        <v>303</v>
      </c>
      <c r="F36" s="23" t="s">
        <v>304</v>
      </c>
      <c r="G36" s="23">
        <v>324</v>
      </c>
      <c r="J36" s="23" t="s">
        <v>354</v>
      </c>
    </row>
    <row r="37" customHeight="1" spans="1:10">
      <c r="A37" s="26">
        <v>46152</v>
      </c>
      <c r="B37" s="23" t="s">
        <v>19</v>
      </c>
      <c r="C37" s="23" t="s">
        <v>20</v>
      </c>
      <c r="D37" s="23" t="s">
        <v>353</v>
      </c>
      <c r="E37" s="27" t="s">
        <v>303</v>
      </c>
      <c r="F37" s="23" t="s">
        <v>304</v>
      </c>
      <c r="G37" s="23">
        <v>540</v>
      </c>
      <c r="J37" s="23" t="s">
        <v>354</v>
      </c>
    </row>
    <row r="38" customHeight="1" spans="1:10">
      <c r="A38" s="26">
        <v>46152</v>
      </c>
      <c r="B38" s="23" t="s">
        <v>19</v>
      </c>
      <c r="C38" s="23" t="s">
        <v>20</v>
      </c>
      <c r="D38" s="23" t="s">
        <v>353</v>
      </c>
      <c r="E38" s="27" t="s">
        <v>305</v>
      </c>
      <c r="F38" s="23" t="s">
        <v>306</v>
      </c>
      <c r="G38" s="23">
        <v>56</v>
      </c>
      <c r="J38" s="23" t="s">
        <v>354</v>
      </c>
    </row>
    <row r="39" customHeight="1" spans="1:10">
      <c r="A39" s="26">
        <v>46152</v>
      </c>
      <c r="B39" s="23" t="s">
        <v>19</v>
      </c>
      <c r="C39" s="23" t="s">
        <v>20</v>
      </c>
      <c r="D39" s="23" t="s">
        <v>353</v>
      </c>
      <c r="E39" s="27" t="s">
        <v>305</v>
      </c>
      <c r="F39" s="23" t="s">
        <v>306</v>
      </c>
      <c r="G39" s="23">
        <v>168</v>
      </c>
      <c r="J39" s="23" t="s">
        <v>354</v>
      </c>
    </row>
    <row r="40" customHeight="1" spans="1:10">
      <c r="A40" s="26">
        <v>46152</v>
      </c>
      <c r="B40" s="23" t="s">
        <v>19</v>
      </c>
      <c r="C40" s="23" t="s">
        <v>20</v>
      </c>
      <c r="D40" s="23" t="s">
        <v>353</v>
      </c>
      <c r="E40" s="27" t="s">
        <v>307</v>
      </c>
      <c r="F40" s="23" t="s">
        <v>308</v>
      </c>
      <c r="G40" s="23">
        <v>56</v>
      </c>
      <c r="J40" s="23" t="s">
        <v>354</v>
      </c>
    </row>
    <row r="41" customHeight="1" spans="1:10">
      <c r="A41" s="26">
        <v>46152</v>
      </c>
      <c r="B41" s="23" t="s">
        <v>19</v>
      </c>
      <c r="C41" s="23" t="s">
        <v>20</v>
      </c>
      <c r="D41" s="23" t="s">
        <v>353</v>
      </c>
      <c r="E41" s="27" t="s">
        <v>307</v>
      </c>
      <c r="F41" s="23" t="s">
        <v>308</v>
      </c>
      <c r="G41" s="23">
        <v>168</v>
      </c>
      <c r="J41" s="23" t="s">
        <v>354</v>
      </c>
    </row>
    <row r="42" customHeight="1" spans="1:10">
      <c r="A42" s="26">
        <v>46152</v>
      </c>
      <c r="B42" s="23" t="s">
        <v>19</v>
      </c>
      <c r="C42" s="23" t="s">
        <v>20</v>
      </c>
      <c r="D42" s="23" t="s">
        <v>353</v>
      </c>
      <c r="E42" s="27" t="s">
        <v>309</v>
      </c>
      <c r="F42" s="23" t="s">
        <v>310</v>
      </c>
      <c r="G42" s="23">
        <v>112</v>
      </c>
      <c r="J42" s="23" t="s">
        <v>354</v>
      </c>
    </row>
    <row r="43" customHeight="1" spans="1:10">
      <c r="A43" s="26">
        <v>46152</v>
      </c>
      <c r="B43" s="23" t="s">
        <v>19</v>
      </c>
      <c r="C43" s="23" t="s">
        <v>20</v>
      </c>
      <c r="D43" s="23" t="s">
        <v>353</v>
      </c>
      <c r="E43" s="27" t="s">
        <v>223</v>
      </c>
      <c r="F43" s="23" t="s">
        <v>224</v>
      </c>
      <c r="G43" s="23">
        <v>984</v>
      </c>
      <c r="J43" s="23" t="s">
        <v>354</v>
      </c>
    </row>
    <row r="44" customHeight="1" spans="1:10">
      <c r="A44" s="26">
        <v>46152</v>
      </c>
      <c r="B44" s="23" t="s">
        <v>19</v>
      </c>
      <c r="C44" s="23" t="s">
        <v>20</v>
      </c>
      <c r="D44" s="23" t="s">
        <v>353</v>
      </c>
      <c r="E44" s="27" t="s">
        <v>221</v>
      </c>
      <c r="F44" s="23" t="s">
        <v>222</v>
      </c>
      <c r="G44" s="23">
        <v>960</v>
      </c>
      <c r="J44" s="23" t="s">
        <v>354</v>
      </c>
    </row>
    <row r="45" customHeight="1" spans="1:10">
      <c r="A45" s="26">
        <v>46153</v>
      </c>
      <c r="B45" s="23" t="s">
        <v>19</v>
      </c>
      <c r="C45" s="23" t="s">
        <v>20</v>
      </c>
      <c r="D45" s="23" t="s">
        <v>355</v>
      </c>
      <c r="E45" s="27" t="s">
        <v>303</v>
      </c>
      <c r="F45" s="23" t="s">
        <v>304</v>
      </c>
      <c r="G45" s="23">
        <v>135</v>
      </c>
      <c r="J45" s="23" t="s">
        <v>356</v>
      </c>
    </row>
    <row r="46" customHeight="1" spans="1:10">
      <c r="A46" s="26">
        <v>46153</v>
      </c>
      <c r="B46" s="23" t="s">
        <v>19</v>
      </c>
      <c r="C46" s="23" t="s">
        <v>20</v>
      </c>
      <c r="D46" s="23" t="s">
        <v>355</v>
      </c>
      <c r="E46" s="27" t="s">
        <v>303</v>
      </c>
      <c r="F46" s="23" t="s">
        <v>304</v>
      </c>
      <c r="G46" s="23">
        <v>270</v>
      </c>
      <c r="J46" s="23" t="s">
        <v>356</v>
      </c>
    </row>
    <row r="47" customHeight="1" spans="1:10">
      <c r="A47" s="26">
        <v>46153</v>
      </c>
      <c r="B47" s="23" t="s">
        <v>19</v>
      </c>
      <c r="C47" s="23" t="s">
        <v>20</v>
      </c>
      <c r="D47" s="23" t="s">
        <v>355</v>
      </c>
      <c r="E47" s="27" t="s">
        <v>303</v>
      </c>
      <c r="F47" s="23" t="s">
        <v>304</v>
      </c>
      <c r="G47" s="23">
        <v>270</v>
      </c>
      <c r="J47" s="23" t="s">
        <v>356</v>
      </c>
    </row>
    <row r="48" customHeight="1" spans="1:10">
      <c r="A48" s="26">
        <v>46153</v>
      </c>
      <c r="B48" s="23" t="s">
        <v>19</v>
      </c>
      <c r="C48" s="23" t="s">
        <v>20</v>
      </c>
      <c r="D48" s="23" t="s">
        <v>355</v>
      </c>
      <c r="E48" s="27" t="s">
        <v>305</v>
      </c>
      <c r="F48" s="23" t="s">
        <v>306</v>
      </c>
      <c r="G48" s="23">
        <v>112</v>
      </c>
      <c r="J48" s="23" t="s">
        <v>356</v>
      </c>
    </row>
    <row r="49" customHeight="1" spans="1:10">
      <c r="A49" s="26">
        <v>46153</v>
      </c>
      <c r="B49" s="23" t="s">
        <v>19</v>
      </c>
      <c r="C49" s="23" t="s">
        <v>20</v>
      </c>
      <c r="D49" s="23" t="s">
        <v>355</v>
      </c>
      <c r="E49" s="27" t="s">
        <v>307</v>
      </c>
      <c r="F49" s="23" t="s">
        <v>308</v>
      </c>
      <c r="G49" s="23">
        <v>112</v>
      </c>
      <c r="J49" s="23" t="s">
        <v>356</v>
      </c>
    </row>
    <row r="50" customHeight="1" spans="1:10">
      <c r="A50" s="26">
        <v>46153</v>
      </c>
      <c r="B50" s="23" t="s">
        <v>19</v>
      </c>
      <c r="C50" s="23" t="s">
        <v>20</v>
      </c>
      <c r="D50" s="23" t="s">
        <v>355</v>
      </c>
      <c r="E50" s="27" t="s">
        <v>309</v>
      </c>
      <c r="F50" s="23" t="s">
        <v>310</v>
      </c>
      <c r="G50" s="23">
        <v>56</v>
      </c>
      <c r="J50" s="23" t="s">
        <v>356</v>
      </c>
    </row>
    <row r="51" customHeight="1" spans="1:10">
      <c r="A51" s="26">
        <v>46153</v>
      </c>
      <c r="B51" s="23" t="s">
        <v>19</v>
      </c>
      <c r="C51" s="23" t="s">
        <v>20</v>
      </c>
      <c r="D51" s="23" t="s">
        <v>355</v>
      </c>
      <c r="E51" s="27" t="s">
        <v>223</v>
      </c>
      <c r="F51" s="23" t="s">
        <v>224</v>
      </c>
      <c r="G51" s="23">
        <v>936</v>
      </c>
      <c r="J51" s="23" t="s">
        <v>356</v>
      </c>
    </row>
    <row r="52" customHeight="1" spans="1:10">
      <c r="A52" s="26">
        <v>46154</v>
      </c>
      <c r="B52" s="23" t="s">
        <v>19</v>
      </c>
      <c r="C52" s="23" t="s">
        <v>20</v>
      </c>
      <c r="D52" s="23" t="s">
        <v>357</v>
      </c>
      <c r="E52" s="27" t="s">
        <v>117</v>
      </c>
      <c r="F52" s="23" t="s">
        <v>118</v>
      </c>
      <c r="G52" s="23">
        <v>315</v>
      </c>
      <c r="J52" s="23" t="s">
        <v>358</v>
      </c>
    </row>
    <row r="53" customHeight="1" spans="1:10">
      <c r="A53" s="26">
        <v>46154</v>
      </c>
      <c r="B53" s="23" t="s">
        <v>19</v>
      </c>
      <c r="C53" s="23" t="s">
        <v>20</v>
      </c>
      <c r="D53" s="23" t="s">
        <v>359</v>
      </c>
      <c r="E53" s="27" t="s">
        <v>223</v>
      </c>
      <c r="F53" s="23" t="s">
        <v>224</v>
      </c>
      <c r="G53" s="23">
        <v>720</v>
      </c>
      <c r="J53" s="23" t="s">
        <v>360</v>
      </c>
    </row>
    <row r="54" customHeight="1" spans="1:10">
      <c r="A54" s="26">
        <v>46154</v>
      </c>
      <c r="B54" s="23" t="s">
        <v>19</v>
      </c>
      <c r="C54" s="23" t="s">
        <v>20</v>
      </c>
      <c r="D54" s="23" t="s">
        <v>359</v>
      </c>
      <c r="E54" s="27" t="s">
        <v>221</v>
      </c>
      <c r="F54" s="23" t="s">
        <v>222</v>
      </c>
      <c r="G54" s="23">
        <v>915</v>
      </c>
      <c r="J54" s="23" t="s">
        <v>360</v>
      </c>
    </row>
    <row r="55" customHeight="1" spans="1:10">
      <c r="A55" s="26">
        <v>46154</v>
      </c>
      <c r="B55" s="23" t="s">
        <v>19</v>
      </c>
      <c r="C55" s="23" t="s">
        <v>20</v>
      </c>
      <c r="D55" s="23" t="s">
        <v>361</v>
      </c>
      <c r="E55" s="27" t="s">
        <v>303</v>
      </c>
      <c r="F55" s="23" t="s">
        <v>304</v>
      </c>
      <c r="G55" s="23">
        <v>135</v>
      </c>
      <c r="J55" s="23" t="s">
        <v>362</v>
      </c>
    </row>
    <row r="56" customHeight="1" spans="1:10">
      <c r="A56" s="26">
        <v>46154</v>
      </c>
      <c r="B56" s="23" t="s">
        <v>19</v>
      </c>
      <c r="C56" s="23" t="s">
        <v>20</v>
      </c>
      <c r="D56" s="23" t="s">
        <v>361</v>
      </c>
      <c r="E56" s="27" t="s">
        <v>303</v>
      </c>
      <c r="F56" s="23" t="s">
        <v>304</v>
      </c>
      <c r="G56" s="23">
        <v>693</v>
      </c>
      <c r="J56" s="23" t="s">
        <v>362</v>
      </c>
    </row>
    <row r="57" customHeight="1" spans="1:10">
      <c r="A57" s="26">
        <v>46154</v>
      </c>
      <c r="B57" s="23" t="s">
        <v>19</v>
      </c>
      <c r="C57" s="23" t="s">
        <v>20</v>
      </c>
      <c r="D57" s="23" t="s">
        <v>361</v>
      </c>
      <c r="E57" s="27" t="s">
        <v>303</v>
      </c>
      <c r="F57" s="23" t="s">
        <v>304</v>
      </c>
      <c r="G57" s="23">
        <v>153</v>
      </c>
      <c r="J57" s="23" t="s">
        <v>362</v>
      </c>
    </row>
    <row r="58" customHeight="1" spans="1:10">
      <c r="A58" s="26">
        <v>46154</v>
      </c>
      <c r="B58" s="23" t="s">
        <v>19</v>
      </c>
      <c r="C58" s="23" t="s">
        <v>20</v>
      </c>
      <c r="D58" s="23" t="s">
        <v>361</v>
      </c>
      <c r="E58" s="27" t="s">
        <v>311</v>
      </c>
      <c r="F58" s="23" t="s">
        <v>312</v>
      </c>
      <c r="G58" s="23">
        <v>28</v>
      </c>
      <c r="J58" s="23" t="s">
        <v>362</v>
      </c>
    </row>
    <row r="59" customHeight="1" spans="1:10">
      <c r="A59" s="26">
        <v>46154</v>
      </c>
      <c r="B59" s="23" t="s">
        <v>19</v>
      </c>
      <c r="C59" s="23" t="s">
        <v>20</v>
      </c>
      <c r="D59" s="23" t="s">
        <v>361</v>
      </c>
      <c r="E59" s="27" t="s">
        <v>313</v>
      </c>
      <c r="F59" s="23" t="s">
        <v>314</v>
      </c>
      <c r="G59" s="23">
        <v>30</v>
      </c>
      <c r="J59" s="23" t="s">
        <v>362</v>
      </c>
    </row>
    <row r="60" customHeight="1" spans="1:10">
      <c r="A60" s="26">
        <v>46154</v>
      </c>
      <c r="B60" s="23" t="s">
        <v>19</v>
      </c>
      <c r="C60" s="23" t="s">
        <v>20</v>
      </c>
      <c r="D60" s="23" t="s">
        <v>361</v>
      </c>
      <c r="E60" s="27" t="s">
        <v>315</v>
      </c>
      <c r="F60" s="23" t="s">
        <v>316</v>
      </c>
      <c r="G60" s="23">
        <v>30</v>
      </c>
      <c r="J60" s="23" t="s">
        <v>362</v>
      </c>
    </row>
    <row r="61" customHeight="1" spans="1:10">
      <c r="A61" s="26">
        <v>46154</v>
      </c>
      <c r="B61" s="23" t="s">
        <v>19</v>
      </c>
      <c r="C61" s="23" t="s">
        <v>20</v>
      </c>
      <c r="D61" s="23" t="s">
        <v>361</v>
      </c>
      <c r="E61" s="27" t="s">
        <v>317</v>
      </c>
      <c r="F61" s="23" t="s">
        <v>318</v>
      </c>
      <c r="G61" s="23">
        <v>30</v>
      </c>
      <c r="J61" s="23" t="s">
        <v>362</v>
      </c>
    </row>
    <row r="62" customHeight="1" spans="1:10">
      <c r="A62" s="26">
        <v>46154</v>
      </c>
      <c r="B62" s="23" t="s">
        <v>19</v>
      </c>
      <c r="C62" s="23" t="s">
        <v>20</v>
      </c>
      <c r="D62" s="23" t="s">
        <v>361</v>
      </c>
      <c r="E62" s="27" t="s">
        <v>305</v>
      </c>
      <c r="F62" s="23" t="s">
        <v>306</v>
      </c>
      <c r="G62" s="23">
        <v>224</v>
      </c>
      <c r="J62" s="23" t="s">
        <v>362</v>
      </c>
    </row>
    <row r="63" customHeight="1" spans="1:10">
      <c r="A63" s="26">
        <v>46154</v>
      </c>
      <c r="B63" s="23" t="s">
        <v>19</v>
      </c>
      <c r="C63" s="23" t="s">
        <v>20</v>
      </c>
      <c r="D63" s="23" t="s">
        <v>361</v>
      </c>
      <c r="E63" s="27" t="s">
        <v>307</v>
      </c>
      <c r="F63" s="23" t="s">
        <v>308</v>
      </c>
      <c r="G63" s="23">
        <v>224</v>
      </c>
      <c r="J63" s="23" t="s">
        <v>362</v>
      </c>
    </row>
    <row r="64" customHeight="1" spans="1:10">
      <c r="A64" s="26">
        <v>46154</v>
      </c>
      <c r="B64" s="23" t="s">
        <v>19</v>
      </c>
      <c r="C64" s="23" t="s">
        <v>20</v>
      </c>
      <c r="D64" s="23" t="s">
        <v>361</v>
      </c>
      <c r="E64" s="27" t="s">
        <v>309</v>
      </c>
      <c r="F64" s="23" t="s">
        <v>310</v>
      </c>
      <c r="G64" s="23">
        <v>112</v>
      </c>
      <c r="J64" s="23" t="s">
        <v>362</v>
      </c>
    </row>
    <row r="65" customHeight="1" spans="1:10">
      <c r="A65" s="26">
        <v>46154</v>
      </c>
      <c r="B65" s="23" t="s">
        <v>19</v>
      </c>
      <c r="C65" s="23" t="s">
        <v>20</v>
      </c>
      <c r="D65" s="23" t="s">
        <v>363</v>
      </c>
      <c r="E65" s="27" t="s">
        <v>223</v>
      </c>
      <c r="F65" s="23" t="s">
        <v>224</v>
      </c>
      <c r="G65" s="23">
        <v>720</v>
      </c>
      <c r="J65" s="23" t="s">
        <v>364</v>
      </c>
    </row>
    <row r="66" customHeight="1" spans="1:10">
      <c r="A66" s="26">
        <v>46154</v>
      </c>
      <c r="B66" s="23" t="s">
        <v>19</v>
      </c>
      <c r="C66" s="23" t="s">
        <v>20</v>
      </c>
      <c r="D66" s="23" t="s">
        <v>363</v>
      </c>
      <c r="E66" s="27" t="s">
        <v>221</v>
      </c>
      <c r="F66" s="23" t="s">
        <v>222</v>
      </c>
      <c r="G66" s="23">
        <v>990</v>
      </c>
      <c r="J66" s="23" t="s">
        <v>364</v>
      </c>
    </row>
    <row r="67" customHeight="1" spans="1:10">
      <c r="A67" s="26">
        <v>46154</v>
      </c>
      <c r="B67" s="23" t="s">
        <v>19</v>
      </c>
      <c r="C67" s="23" t="s">
        <v>20</v>
      </c>
      <c r="D67" s="23" t="s">
        <v>365</v>
      </c>
      <c r="E67" s="27" t="s">
        <v>117</v>
      </c>
      <c r="F67" s="23" t="s">
        <v>118</v>
      </c>
      <c r="G67" s="23">
        <v>360</v>
      </c>
      <c r="J67" s="23" t="s">
        <v>366</v>
      </c>
    </row>
    <row r="68" customHeight="1" spans="1:10">
      <c r="A68" s="26">
        <v>46154</v>
      </c>
      <c r="B68" s="23" t="s">
        <v>19</v>
      </c>
      <c r="C68" s="23" t="s">
        <v>20</v>
      </c>
      <c r="D68" s="23" t="s">
        <v>365</v>
      </c>
      <c r="E68" s="27" t="s">
        <v>117</v>
      </c>
      <c r="F68" s="23" t="s">
        <v>118</v>
      </c>
      <c r="G68" s="23">
        <v>45</v>
      </c>
      <c r="J68" s="23" t="s">
        <v>366</v>
      </c>
    </row>
    <row r="69" customHeight="1" spans="1:10">
      <c r="A69" s="26">
        <v>46155</v>
      </c>
      <c r="B69" s="23" t="s">
        <v>19</v>
      </c>
      <c r="C69" s="23" t="s">
        <v>20</v>
      </c>
      <c r="D69" s="23" t="s">
        <v>367</v>
      </c>
      <c r="E69" s="27" t="s">
        <v>117</v>
      </c>
      <c r="F69" s="23" t="s">
        <v>118</v>
      </c>
      <c r="G69" s="23">
        <v>225</v>
      </c>
      <c r="J69" s="23" t="s">
        <v>368</v>
      </c>
    </row>
    <row r="70" customHeight="1" spans="1:10">
      <c r="A70" s="26">
        <v>46155</v>
      </c>
      <c r="B70" s="23" t="s">
        <v>19</v>
      </c>
      <c r="C70" s="23" t="s">
        <v>20</v>
      </c>
      <c r="D70" s="23" t="s">
        <v>367</v>
      </c>
      <c r="E70" s="27" t="s">
        <v>117</v>
      </c>
      <c r="F70" s="23" t="s">
        <v>118</v>
      </c>
      <c r="G70" s="23">
        <v>150</v>
      </c>
      <c r="J70" s="23" t="s">
        <v>368</v>
      </c>
    </row>
  </sheetData>
  <pageMargins left="0.699912516150888" right="0.699912516150888" top="0.74990626395218" bottom="0.74990626395218" header="0.299962510274151" footer="0.299962510274151"/>
  <pageSetup paperSize="9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K171"/>
  <sheetViews>
    <sheetView zoomScale="85" zoomScaleNormal="85" workbookViewId="0">
      <pane ySplit="1" topLeftCell="A2" activePane="bottomLeft" state="frozen"/>
      <selection/>
      <selection pane="bottomLeft" activeCell="A7847" sqref="A7847"/>
    </sheetView>
  </sheetViews>
  <sheetFormatPr defaultColWidth="9" defaultRowHeight="21" customHeight="1"/>
  <cols>
    <col min="1" max="1" width="13.775" style="20" customWidth="1"/>
    <col min="2" max="2" width="9.10833333333333" style="21" customWidth="1"/>
    <col min="3" max="3" width="33.5583333333333" style="22" customWidth="1"/>
    <col min="4" max="4" width="25.775" style="23" customWidth="1"/>
    <col min="5" max="5" width="23.4416666666667" style="22" customWidth="1"/>
    <col min="6" max="6" width="24.3333333333333" style="22" customWidth="1"/>
    <col min="7" max="7" width="12" style="23" customWidth="1"/>
    <col min="8" max="8" width="14.8833333333333" style="22" customWidth="1"/>
    <col min="9" max="9" width="12.1083333333333" style="24" customWidth="1"/>
    <col min="10" max="10" width="49.6666666666667" style="22" customWidth="1"/>
    <col min="11" max="11" width="17" style="25" customWidth="1"/>
    <col min="12" max="16384" width="9" style="25" customWidth="1"/>
  </cols>
  <sheetData>
    <row r="1" ht="25.05" customHeight="1" spans="1:11">
      <c r="A1" s="26" t="s">
        <v>369</v>
      </c>
      <c r="B1" s="23" t="s">
        <v>320</v>
      </c>
      <c r="C1" s="23" t="s">
        <v>3</v>
      </c>
      <c r="D1" s="23" t="s">
        <v>370</v>
      </c>
      <c r="E1" s="27" t="s">
        <v>4</v>
      </c>
      <c r="F1" s="23" t="s">
        <v>5</v>
      </c>
      <c r="G1" s="23" t="s">
        <v>371</v>
      </c>
      <c r="H1" s="23" t="s">
        <v>323</v>
      </c>
      <c r="I1" s="28" t="s">
        <v>324</v>
      </c>
      <c r="J1" s="22" t="s">
        <v>325</v>
      </c>
      <c r="K1" s="13" t="s">
        <v>325</v>
      </c>
    </row>
    <row r="2" ht="25.05" customHeight="1" spans="1:11">
      <c r="A2" s="26">
        <v>46144</v>
      </c>
      <c r="B2" s="23" t="s">
        <v>19</v>
      </c>
      <c r="C2" s="23" t="s">
        <v>20</v>
      </c>
      <c r="D2" s="23" t="s">
        <v>372</v>
      </c>
      <c r="E2" s="27" t="s">
        <v>291</v>
      </c>
      <c r="F2" s="23" t="s">
        <v>292</v>
      </c>
      <c r="G2" s="23">
        <v>140</v>
      </c>
      <c r="H2" s="23" t="s">
        <v>373</v>
      </c>
      <c r="I2" s="28"/>
      <c r="J2" s="22" t="s">
        <v>374</v>
      </c>
      <c r="K2" s="13"/>
    </row>
    <row r="3" ht="25.05" customHeight="1" spans="1:11">
      <c r="A3" s="26">
        <v>46144</v>
      </c>
      <c r="B3" s="23" t="s">
        <v>19</v>
      </c>
      <c r="C3" s="23" t="s">
        <v>20</v>
      </c>
      <c r="D3" s="23" t="s">
        <v>372</v>
      </c>
      <c r="E3" s="27" t="s">
        <v>291</v>
      </c>
      <c r="F3" s="23" t="s">
        <v>292</v>
      </c>
      <c r="G3" s="23">
        <v>28</v>
      </c>
      <c r="H3" s="23" t="s">
        <v>373</v>
      </c>
      <c r="I3" s="28"/>
      <c r="J3" s="22" t="s">
        <v>374</v>
      </c>
      <c r="K3" s="13"/>
    </row>
    <row r="4" ht="25.05" customHeight="1" spans="1:11">
      <c r="A4" s="26">
        <v>46144</v>
      </c>
      <c r="B4" s="23" t="s">
        <v>19</v>
      </c>
      <c r="C4" s="23" t="s">
        <v>20</v>
      </c>
      <c r="D4" s="23" t="s">
        <v>372</v>
      </c>
      <c r="E4" s="27" t="s">
        <v>293</v>
      </c>
      <c r="F4" s="23" t="s">
        <v>294</v>
      </c>
      <c r="G4" s="23">
        <v>126</v>
      </c>
      <c r="H4" s="23" t="s">
        <v>373</v>
      </c>
      <c r="I4" s="28"/>
      <c r="J4" s="22" t="s">
        <v>374</v>
      </c>
      <c r="K4" s="13"/>
    </row>
    <row r="5" ht="25.05" customHeight="1" spans="1:11">
      <c r="A5" s="26">
        <v>46144</v>
      </c>
      <c r="B5" s="23" t="s">
        <v>19</v>
      </c>
      <c r="C5" s="23" t="s">
        <v>20</v>
      </c>
      <c r="D5" s="23" t="s">
        <v>372</v>
      </c>
      <c r="E5" s="27" t="s">
        <v>293</v>
      </c>
      <c r="F5" s="23" t="s">
        <v>294</v>
      </c>
      <c r="G5" s="23">
        <v>28</v>
      </c>
      <c r="H5" s="23" t="s">
        <v>373</v>
      </c>
      <c r="I5" s="28"/>
      <c r="J5" s="22" t="s">
        <v>374</v>
      </c>
      <c r="K5" s="13"/>
    </row>
    <row r="6" ht="25.05" customHeight="1" spans="1:11">
      <c r="A6" s="26">
        <v>46144</v>
      </c>
      <c r="B6" s="23" t="s">
        <v>19</v>
      </c>
      <c r="C6" s="23" t="s">
        <v>20</v>
      </c>
      <c r="D6" s="23" t="s">
        <v>372</v>
      </c>
      <c r="E6" s="27" t="s">
        <v>293</v>
      </c>
      <c r="F6" s="23" t="s">
        <v>294</v>
      </c>
      <c r="G6" s="23">
        <v>14</v>
      </c>
      <c r="H6" s="23" t="s">
        <v>373</v>
      </c>
      <c r="I6" s="28"/>
      <c r="J6" s="22" t="s">
        <v>374</v>
      </c>
      <c r="K6" s="13"/>
    </row>
    <row r="7" ht="25.05" customHeight="1" spans="1:11">
      <c r="A7" s="26">
        <v>46144</v>
      </c>
      <c r="B7" s="23" t="s">
        <v>19</v>
      </c>
      <c r="C7" s="23" t="s">
        <v>20</v>
      </c>
      <c r="D7" s="23" t="s">
        <v>375</v>
      </c>
      <c r="E7" s="27" t="s">
        <v>221</v>
      </c>
      <c r="F7" s="23" t="s">
        <v>222</v>
      </c>
      <c r="G7" s="23">
        <v>390</v>
      </c>
      <c r="H7" s="23" t="s">
        <v>376</v>
      </c>
      <c r="I7" s="28"/>
      <c r="J7" s="22" t="s">
        <v>377</v>
      </c>
      <c r="K7" s="13"/>
    </row>
    <row r="8" ht="25.05" customHeight="1" spans="1:11">
      <c r="A8" s="26">
        <v>46144</v>
      </c>
      <c r="B8" s="23" t="s">
        <v>19</v>
      </c>
      <c r="C8" s="23" t="s">
        <v>20</v>
      </c>
      <c r="D8" s="23" t="s">
        <v>375</v>
      </c>
      <c r="E8" s="27" t="s">
        <v>221</v>
      </c>
      <c r="F8" s="23" t="s">
        <v>222</v>
      </c>
      <c r="G8" s="23">
        <v>15</v>
      </c>
      <c r="H8" s="23" t="s">
        <v>376</v>
      </c>
      <c r="I8" s="28"/>
      <c r="J8" s="22" t="s">
        <v>377</v>
      </c>
      <c r="K8" s="13"/>
    </row>
    <row r="9" ht="25.05" customHeight="1" spans="1:11">
      <c r="A9" s="26">
        <v>46145</v>
      </c>
      <c r="B9" s="23" t="s">
        <v>19</v>
      </c>
      <c r="C9" s="23" t="s">
        <v>20</v>
      </c>
      <c r="D9" s="23" t="s">
        <v>378</v>
      </c>
      <c r="E9" s="27" t="s">
        <v>215</v>
      </c>
      <c r="F9" s="23" t="s">
        <v>216</v>
      </c>
      <c r="G9" s="23">
        <v>960</v>
      </c>
      <c r="H9" s="23" t="s">
        <v>379</v>
      </c>
      <c r="I9" s="28"/>
      <c r="J9" s="22" t="s">
        <v>380</v>
      </c>
      <c r="K9" s="13"/>
    </row>
    <row r="10" ht="25.05" customHeight="1" spans="1:11">
      <c r="A10" s="26">
        <v>46145</v>
      </c>
      <c r="B10" s="23" t="s">
        <v>19</v>
      </c>
      <c r="C10" s="23" t="s">
        <v>20</v>
      </c>
      <c r="D10" s="23" t="s">
        <v>378</v>
      </c>
      <c r="E10" s="27" t="s">
        <v>217</v>
      </c>
      <c r="F10" s="23" t="s">
        <v>218</v>
      </c>
      <c r="G10" s="23">
        <v>720</v>
      </c>
      <c r="H10" s="23" t="s">
        <v>379</v>
      </c>
      <c r="I10" s="28"/>
      <c r="J10" s="22" t="s">
        <v>380</v>
      </c>
      <c r="K10" s="13"/>
    </row>
    <row r="11" ht="25.05" customHeight="1" spans="1:11">
      <c r="A11" s="26">
        <v>46145</v>
      </c>
      <c r="B11" s="23" t="s">
        <v>19</v>
      </c>
      <c r="C11" s="23" t="s">
        <v>20</v>
      </c>
      <c r="D11" s="23" t="s">
        <v>381</v>
      </c>
      <c r="E11" s="27" t="s">
        <v>223</v>
      </c>
      <c r="F11" s="23" t="s">
        <v>224</v>
      </c>
      <c r="G11" s="23">
        <v>8</v>
      </c>
      <c r="H11" s="23" t="s">
        <v>382</v>
      </c>
      <c r="I11" s="28"/>
      <c r="J11" s="22" t="s">
        <v>383</v>
      </c>
      <c r="K11" s="13"/>
    </row>
    <row r="12" ht="25.05" customHeight="1" spans="1:11">
      <c r="A12" s="26">
        <v>46145</v>
      </c>
      <c r="B12" s="23" t="s">
        <v>19</v>
      </c>
      <c r="C12" s="23" t="s">
        <v>20</v>
      </c>
      <c r="D12" s="23" t="s">
        <v>381</v>
      </c>
      <c r="E12" s="27" t="s">
        <v>223</v>
      </c>
      <c r="F12" s="23" t="s">
        <v>224</v>
      </c>
      <c r="G12" s="23">
        <v>280</v>
      </c>
      <c r="H12" s="23" t="s">
        <v>382</v>
      </c>
      <c r="I12" s="28"/>
      <c r="J12" s="22" t="s">
        <v>383</v>
      </c>
      <c r="K12" s="13"/>
    </row>
    <row r="13" ht="25.05" customHeight="1" spans="1:11">
      <c r="A13" s="26">
        <v>46145</v>
      </c>
      <c r="B13" s="23" t="s">
        <v>19</v>
      </c>
      <c r="C13" s="23" t="s">
        <v>20</v>
      </c>
      <c r="D13" s="23" t="s">
        <v>381</v>
      </c>
      <c r="E13" s="27" t="s">
        <v>221</v>
      </c>
      <c r="F13" s="23" t="s">
        <v>222</v>
      </c>
      <c r="G13" s="23">
        <v>345</v>
      </c>
      <c r="H13" s="23" t="s">
        <v>382</v>
      </c>
      <c r="I13" s="28"/>
      <c r="J13" s="22" t="s">
        <v>383</v>
      </c>
      <c r="K13" s="13"/>
    </row>
    <row r="14" ht="25.05" customHeight="1" spans="1:11">
      <c r="A14" s="26">
        <v>46145</v>
      </c>
      <c r="B14" s="23" t="s">
        <v>19</v>
      </c>
      <c r="C14" s="23" t="s">
        <v>20</v>
      </c>
      <c r="D14" s="23" t="s">
        <v>381</v>
      </c>
      <c r="E14" s="27" t="s">
        <v>221</v>
      </c>
      <c r="F14" s="23" t="s">
        <v>222</v>
      </c>
      <c r="G14" s="23">
        <v>15</v>
      </c>
      <c r="H14" s="23" t="s">
        <v>382</v>
      </c>
      <c r="I14" s="28"/>
      <c r="J14" s="22" t="s">
        <v>383</v>
      </c>
      <c r="K14" s="13"/>
    </row>
    <row r="15" ht="25.05" customHeight="1" spans="1:11">
      <c r="A15" s="26">
        <v>46144</v>
      </c>
      <c r="B15" s="23" t="s">
        <v>19</v>
      </c>
      <c r="C15" s="23" t="s">
        <v>20</v>
      </c>
      <c r="D15" s="23" t="s">
        <v>384</v>
      </c>
      <c r="E15" s="27" t="s">
        <v>211</v>
      </c>
      <c r="F15" s="23" t="s">
        <v>212</v>
      </c>
      <c r="G15" s="23">
        <v>720</v>
      </c>
      <c r="H15" s="23"/>
      <c r="I15" s="28"/>
      <c r="J15" s="22" t="s">
        <v>385</v>
      </c>
      <c r="K15" s="13"/>
    </row>
    <row r="16" ht="25.05" customHeight="1" spans="1:11">
      <c r="A16" s="26">
        <v>46144</v>
      </c>
      <c r="B16" s="23" t="s">
        <v>19</v>
      </c>
      <c r="C16" s="23" t="s">
        <v>20</v>
      </c>
      <c r="D16" s="23" t="s">
        <v>386</v>
      </c>
      <c r="E16" s="27" t="s">
        <v>223</v>
      </c>
      <c r="F16" s="23" t="s">
        <v>224</v>
      </c>
      <c r="G16" s="23">
        <v>176</v>
      </c>
      <c r="H16" s="23"/>
      <c r="I16" s="28"/>
      <c r="J16" s="22" t="s">
        <v>387</v>
      </c>
      <c r="K16" s="13"/>
    </row>
    <row r="17" ht="25.05" customHeight="1" spans="1:11">
      <c r="A17" s="26">
        <v>46144</v>
      </c>
      <c r="B17" s="23" t="s">
        <v>19</v>
      </c>
      <c r="C17" s="23" t="s">
        <v>20</v>
      </c>
      <c r="D17" s="23" t="s">
        <v>386</v>
      </c>
      <c r="E17" s="27" t="s">
        <v>223</v>
      </c>
      <c r="F17" s="23" t="s">
        <v>224</v>
      </c>
      <c r="G17" s="23">
        <v>112</v>
      </c>
      <c r="H17" s="23"/>
      <c r="I17" s="28"/>
      <c r="J17" s="22" t="s">
        <v>387</v>
      </c>
      <c r="K17" s="13"/>
    </row>
    <row r="18" ht="25.05" customHeight="1" spans="1:11">
      <c r="A18" s="26">
        <v>46145</v>
      </c>
      <c r="B18" s="23" t="s">
        <v>19</v>
      </c>
      <c r="C18" s="23" t="s">
        <v>20</v>
      </c>
      <c r="D18" s="23" t="s">
        <v>388</v>
      </c>
      <c r="E18" s="27" t="s">
        <v>291</v>
      </c>
      <c r="F18" s="23" t="s">
        <v>292</v>
      </c>
      <c r="G18" s="23">
        <v>14</v>
      </c>
      <c r="H18" s="23" t="s">
        <v>389</v>
      </c>
      <c r="I18" s="28"/>
      <c r="J18" s="22" t="s">
        <v>390</v>
      </c>
      <c r="K18" s="13"/>
    </row>
    <row r="19" ht="25.05" customHeight="1" spans="1:11">
      <c r="A19" s="26">
        <v>46145</v>
      </c>
      <c r="B19" s="23" t="s">
        <v>19</v>
      </c>
      <c r="C19" s="23" t="s">
        <v>20</v>
      </c>
      <c r="D19" s="23" t="s">
        <v>388</v>
      </c>
      <c r="E19" s="27" t="s">
        <v>291</v>
      </c>
      <c r="F19" s="23" t="s">
        <v>292</v>
      </c>
      <c r="G19" s="23">
        <v>84</v>
      </c>
      <c r="H19" s="23" t="s">
        <v>389</v>
      </c>
      <c r="I19" s="28"/>
      <c r="J19" s="22" t="s">
        <v>390</v>
      </c>
      <c r="K19" s="13"/>
    </row>
    <row r="20" ht="25.05" customHeight="1" spans="1:11">
      <c r="A20" s="26">
        <v>46145</v>
      </c>
      <c r="B20" s="23" t="s">
        <v>19</v>
      </c>
      <c r="C20" s="23" t="s">
        <v>20</v>
      </c>
      <c r="D20" s="23" t="s">
        <v>388</v>
      </c>
      <c r="E20" s="27" t="s">
        <v>293</v>
      </c>
      <c r="F20" s="23" t="s">
        <v>294</v>
      </c>
      <c r="G20" s="23">
        <v>98</v>
      </c>
      <c r="H20" s="23" t="s">
        <v>389</v>
      </c>
      <c r="I20" s="28"/>
      <c r="J20" s="22" t="s">
        <v>390</v>
      </c>
      <c r="K20" s="13"/>
    </row>
    <row r="21" ht="25.05" customHeight="1" spans="1:11">
      <c r="A21" s="26">
        <v>46145</v>
      </c>
      <c r="B21" s="23" t="s">
        <v>19</v>
      </c>
      <c r="C21" s="23" t="s">
        <v>20</v>
      </c>
      <c r="D21" s="23" t="s">
        <v>391</v>
      </c>
      <c r="E21" s="27" t="s">
        <v>117</v>
      </c>
      <c r="F21" s="23" t="s">
        <v>118</v>
      </c>
      <c r="G21" s="23">
        <v>44</v>
      </c>
      <c r="H21" s="23"/>
      <c r="I21" s="28"/>
      <c r="J21" s="22" t="s">
        <v>392</v>
      </c>
      <c r="K21" s="13"/>
    </row>
    <row r="22" ht="25.05" customHeight="1" spans="1:11">
      <c r="A22" s="26">
        <v>46145</v>
      </c>
      <c r="B22" s="23" t="s">
        <v>19</v>
      </c>
      <c r="C22" s="23" t="s">
        <v>20</v>
      </c>
      <c r="D22" s="23" t="s">
        <v>391</v>
      </c>
      <c r="E22" s="27" t="s">
        <v>117</v>
      </c>
      <c r="F22" s="23" t="s">
        <v>118</v>
      </c>
      <c r="G22" s="23">
        <v>586</v>
      </c>
      <c r="H22" s="23"/>
      <c r="I22" s="28"/>
      <c r="J22" s="22" t="s">
        <v>392</v>
      </c>
      <c r="K22" s="13"/>
    </row>
    <row r="23" ht="25.05" customHeight="1" spans="1:11">
      <c r="A23" s="26">
        <v>46145</v>
      </c>
      <c r="B23" s="23" t="s">
        <v>19</v>
      </c>
      <c r="C23" s="23" t="s">
        <v>20</v>
      </c>
      <c r="D23" s="23" t="s">
        <v>391</v>
      </c>
      <c r="E23" s="27" t="s">
        <v>223</v>
      </c>
      <c r="F23" s="23" t="s">
        <v>224</v>
      </c>
      <c r="G23" s="23">
        <v>200</v>
      </c>
      <c r="H23" s="23"/>
      <c r="I23" s="28"/>
      <c r="J23" s="22" t="s">
        <v>392</v>
      </c>
      <c r="K23" s="13"/>
    </row>
    <row r="24" ht="25.05" customHeight="1" spans="1:11">
      <c r="A24" s="26">
        <v>46145</v>
      </c>
      <c r="B24" s="23" t="s">
        <v>19</v>
      </c>
      <c r="C24" s="23" t="s">
        <v>20</v>
      </c>
      <c r="D24" s="23" t="s">
        <v>391</v>
      </c>
      <c r="E24" s="27" t="s">
        <v>223</v>
      </c>
      <c r="F24" s="23" t="s">
        <v>224</v>
      </c>
      <c r="G24" s="23">
        <v>88</v>
      </c>
      <c r="H24" s="23"/>
      <c r="I24" s="28"/>
      <c r="J24" s="22" t="s">
        <v>392</v>
      </c>
      <c r="K24" s="13"/>
    </row>
    <row r="25" ht="25.05" customHeight="1" spans="1:11">
      <c r="A25" s="26">
        <v>46146</v>
      </c>
      <c r="B25" s="23" t="s">
        <v>19</v>
      </c>
      <c r="C25" s="23" t="s">
        <v>20</v>
      </c>
      <c r="D25" s="23" t="s">
        <v>393</v>
      </c>
      <c r="E25" s="27" t="s">
        <v>223</v>
      </c>
      <c r="F25" s="23" t="s">
        <v>224</v>
      </c>
      <c r="G25" s="23">
        <v>32</v>
      </c>
      <c r="H25" s="23"/>
      <c r="I25" s="28"/>
      <c r="J25" s="22" t="s">
        <v>394</v>
      </c>
      <c r="K25" s="13"/>
    </row>
    <row r="26" ht="25.05" customHeight="1" spans="1:11">
      <c r="A26" s="26">
        <v>46146</v>
      </c>
      <c r="B26" s="23" t="s">
        <v>19</v>
      </c>
      <c r="C26" s="23" t="s">
        <v>20</v>
      </c>
      <c r="D26" s="23" t="s">
        <v>393</v>
      </c>
      <c r="E26" s="27" t="s">
        <v>223</v>
      </c>
      <c r="F26" s="23" t="s">
        <v>224</v>
      </c>
      <c r="G26" s="23">
        <v>256</v>
      </c>
      <c r="H26" s="23"/>
      <c r="I26" s="28"/>
      <c r="J26" s="22" t="s">
        <v>394</v>
      </c>
      <c r="K26" s="13"/>
    </row>
    <row r="27" ht="25.05" customHeight="1" spans="1:11">
      <c r="A27" s="26">
        <v>46146</v>
      </c>
      <c r="B27" s="23" t="s">
        <v>19</v>
      </c>
      <c r="C27" s="23" t="s">
        <v>20</v>
      </c>
      <c r="D27" s="23" t="s">
        <v>393</v>
      </c>
      <c r="E27" s="27" t="s">
        <v>221</v>
      </c>
      <c r="F27" s="23" t="s">
        <v>222</v>
      </c>
      <c r="G27" s="23">
        <v>285</v>
      </c>
      <c r="H27" s="23"/>
      <c r="I27" s="28"/>
      <c r="J27" s="22" t="s">
        <v>394</v>
      </c>
      <c r="K27" s="13"/>
    </row>
    <row r="28" ht="25.05" customHeight="1" spans="1:11">
      <c r="A28" s="26">
        <v>46146</v>
      </c>
      <c r="B28" s="23" t="s">
        <v>19</v>
      </c>
      <c r="C28" s="23" t="s">
        <v>20</v>
      </c>
      <c r="D28" s="23" t="s">
        <v>393</v>
      </c>
      <c r="E28" s="27" t="s">
        <v>221</v>
      </c>
      <c r="F28" s="23" t="s">
        <v>222</v>
      </c>
      <c r="G28" s="23">
        <v>120</v>
      </c>
      <c r="H28" s="23"/>
      <c r="I28" s="28"/>
      <c r="J28" s="22" t="s">
        <v>394</v>
      </c>
      <c r="K28" s="13"/>
    </row>
    <row r="29" ht="25.05" customHeight="1" spans="1:11">
      <c r="A29" s="26">
        <v>46146</v>
      </c>
      <c r="B29" s="23" t="s">
        <v>19</v>
      </c>
      <c r="C29" s="23" t="s">
        <v>20</v>
      </c>
      <c r="D29" s="23" t="s">
        <v>393</v>
      </c>
      <c r="E29" s="27" t="s">
        <v>215</v>
      </c>
      <c r="F29" s="23" t="s">
        <v>216</v>
      </c>
      <c r="G29" s="23">
        <v>960</v>
      </c>
      <c r="H29" s="23"/>
      <c r="I29" s="28"/>
      <c r="J29" s="22" t="s">
        <v>394</v>
      </c>
      <c r="K29" s="13"/>
    </row>
    <row r="30" ht="25.05" customHeight="1" spans="1:11">
      <c r="A30" s="26">
        <v>46146</v>
      </c>
      <c r="B30" s="23" t="s">
        <v>19</v>
      </c>
      <c r="C30" s="23" t="s">
        <v>20</v>
      </c>
      <c r="D30" s="23" t="s">
        <v>395</v>
      </c>
      <c r="E30" s="27" t="s">
        <v>251</v>
      </c>
      <c r="F30" s="23" t="s">
        <v>252</v>
      </c>
      <c r="G30" s="23">
        <v>144</v>
      </c>
      <c r="H30" s="23" t="s">
        <v>396</v>
      </c>
      <c r="I30" s="28"/>
      <c r="J30" s="22" t="s">
        <v>374</v>
      </c>
      <c r="K30" s="13"/>
    </row>
    <row r="31" ht="25.05" customHeight="1" spans="1:11">
      <c r="A31" s="26">
        <v>46146</v>
      </c>
      <c r="B31" s="23" t="s">
        <v>19</v>
      </c>
      <c r="C31" s="23" t="s">
        <v>20</v>
      </c>
      <c r="D31" s="23" t="s">
        <v>395</v>
      </c>
      <c r="E31" s="27" t="s">
        <v>251</v>
      </c>
      <c r="F31" s="23" t="s">
        <v>252</v>
      </c>
      <c r="G31" s="23">
        <v>432</v>
      </c>
      <c r="H31" s="23" t="s">
        <v>396</v>
      </c>
      <c r="I31" s="28"/>
      <c r="J31" s="22" t="s">
        <v>374</v>
      </c>
      <c r="K31" s="13"/>
    </row>
    <row r="32" ht="25.05" customHeight="1" spans="1:11">
      <c r="A32" s="26">
        <v>46146</v>
      </c>
      <c r="B32" s="23" t="s">
        <v>19</v>
      </c>
      <c r="C32" s="23" t="s">
        <v>20</v>
      </c>
      <c r="D32" s="23" t="s">
        <v>395</v>
      </c>
      <c r="E32" s="27" t="s">
        <v>251</v>
      </c>
      <c r="F32" s="23" t="s">
        <v>252</v>
      </c>
      <c r="G32" s="23">
        <v>288</v>
      </c>
      <c r="H32" s="23" t="s">
        <v>396</v>
      </c>
      <c r="I32" s="28"/>
      <c r="J32" s="22" t="s">
        <v>374</v>
      </c>
      <c r="K32" s="13"/>
    </row>
    <row r="33" ht="25.05" customHeight="1" spans="1:11">
      <c r="A33" s="26">
        <v>46146</v>
      </c>
      <c r="B33" s="23" t="s">
        <v>19</v>
      </c>
      <c r="C33" s="23" t="s">
        <v>20</v>
      </c>
      <c r="D33" s="23" t="s">
        <v>395</v>
      </c>
      <c r="E33" s="27" t="s">
        <v>251</v>
      </c>
      <c r="F33" s="23" t="s">
        <v>252</v>
      </c>
      <c r="G33" s="23">
        <v>144</v>
      </c>
      <c r="H33" s="23" t="s">
        <v>396</v>
      </c>
      <c r="I33" s="28"/>
      <c r="J33" s="22" t="s">
        <v>374</v>
      </c>
      <c r="K33" s="13"/>
    </row>
    <row r="34" ht="25.05" customHeight="1" spans="1:11">
      <c r="A34" s="26">
        <v>46146</v>
      </c>
      <c r="B34" s="23" t="s">
        <v>19</v>
      </c>
      <c r="C34" s="23" t="s">
        <v>20</v>
      </c>
      <c r="D34" s="23" t="s">
        <v>395</v>
      </c>
      <c r="E34" s="27" t="s">
        <v>253</v>
      </c>
      <c r="F34" s="23" t="s">
        <v>254</v>
      </c>
      <c r="G34" s="23">
        <v>576</v>
      </c>
      <c r="H34" s="23" t="s">
        <v>396</v>
      </c>
      <c r="I34" s="28"/>
      <c r="J34" s="22" t="s">
        <v>374</v>
      </c>
      <c r="K34" s="13"/>
    </row>
    <row r="35" ht="25.05" customHeight="1" spans="1:11">
      <c r="A35" s="26">
        <v>46146</v>
      </c>
      <c r="B35" s="23" t="s">
        <v>19</v>
      </c>
      <c r="C35" s="23" t="s">
        <v>20</v>
      </c>
      <c r="D35" s="23" t="s">
        <v>395</v>
      </c>
      <c r="E35" s="27" t="s">
        <v>253</v>
      </c>
      <c r="F35" s="23" t="s">
        <v>254</v>
      </c>
      <c r="G35" s="23">
        <v>288</v>
      </c>
      <c r="H35" s="23" t="s">
        <v>396</v>
      </c>
      <c r="I35" s="28"/>
      <c r="J35" s="22" t="s">
        <v>374</v>
      </c>
      <c r="K35" s="13"/>
    </row>
    <row r="36" ht="25.05" customHeight="1" spans="1:11">
      <c r="A36" s="26">
        <v>46146</v>
      </c>
      <c r="B36" s="23" t="s">
        <v>19</v>
      </c>
      <c r="C36" s="23" t="s">
        <v>20</v>
      </c>
      <c r="D36" s="23" t="s">
        <v>395</v>
      </c>
      <c r="E36" s="27" t="s">
        <v>253</v>
      </c>
      <c r="F36" s="23" t="s">
        <v>254</v>
      </c>
      <c r="G36" s="23">
        <v>144</v>
      </c>
      <c r="H36" s="23" t="s">
        <v>396</v>
      </c>
      <c r="I36" s="28"/>
      <c r="J36" s="22" t="s">
        <v>374</v>
      </c>
      <c r="K36" s="13"/>
    </row>
    <row r="37" ht="25.05" customHeight="1" spans="1:11">
      <c r="A37" s="26">
        <v>46146</v>
      </c>
      <c r="B37" s="23" t="s">
        <v>19</v>
      </c>
      <c r="C37" s="23" t="s">
        <v>20</v>
      </c>
      <c r="D37" s="23" t="s">
        <v>397</v>
      </c>
      <c r="E37" s="27" t="s">
        <v>107</v>
      </c>
      <c r="F37" s="23" t="s">
        <v>108</v>
      </c>
      <c r="G37" s="23">
        <v>1</v>
      </c>
      <c r="H37" s="23" t="s">
        <v>398</v>
      </c>
      <c r="I37" s="28"/>
      <c r="J37" s="22" t="s">
        <v>399</v>
      </c>
      <c r="K37" s="13"/>
    </row>
    <row r="38" ht="25.05" customHeight="1" spans="1:11">
      <c r="A38" s="26">
        <v>46146</v>
      </c>
      <c r="B38" s="23" t="s">
        <v>19</v>
      </c>
      <c r="C38" s="23" t="s">
        <v>20</v>
      </c>
      <c r="D38" s="23" t="s">
        <v>400</v>
      </c>
      <c r="E38" s="27" t="s">
        <v>223</v>
      </c>
      <c r="F38" s="23" t="s">
        <v>224</v>
      </c>
      <c r="G38" s="23">
        <v>56</v>
      </c>
      <c r="H38" s="23" t="s">
        <v>401</v>
      </c>
      <c r="I38" s="28"/>
      <c r="J38" s="22" t="s">
        <v>402</v>
      </c>
      <c r="K38" s="13"/>
    </row>
    <row r="39" ht="25.05" customHeight="1" spans="1:11">
      <c r="A39" s="26">
        <v>46146</v>
      </c>
      <c r="B39" s="23" t="s">
        <v>19</v>
      </c>
      <c r="C39" s="23" t="s">
        <v>20</v>
      </c>
      <c r="D39" s="23" t="s">
        <v>400</v>
      </c>
      <c r="E39" s="27" t="s">
        <v>223</v>
      </c>
      <c r="F39" s="23" t="s">
        <v>224</v>
      </c>
      <c r="G39" s="23">
        <v>232</v>
      </c>
      <c r="H39" s="23" t="s">
        <v>401</v>
      </c>
      <c r="I39" s="28"/>
      <c r="J39" s="22" t="s">
        <v>402</v>
      </c>
      <c r="K39" s="13"/>
    </row>
    <row r="40" ht="25.05" customHeight="1" spans="1:11">
      <c r="A40" s="26">
        <v>46146</v>
      </c>
      <c r="B40" s="23" t="s">
        <v>19</v>
      </c>
      <c r="C40" s="23" t="s">
        <v>20</v>
      </c>
      <c r="D40" s="23" t="s">
        <v>403</v>
      </c>
      <c r="E40" s="27" t="s">
        <v>125</v>
      </c>
      <c r="F40" s="23" t="s">
        <v>126</v>
      </c>
      <c r="G40" s="23">
        <v>7</v>
      </c>
      <c r="H40" s="23" t="s">
        <v>404</v>
      </c>
      <c r="I40" s="28"/>
      <c r="J40" s="22" t="s">
        <v>405</v>
      </c>
      <c r="K40" s="13"/>
    </row>
    <row r="41" ht="25.05" customHeight="1" spans="1:11">
      <c r="A41" s="26">
        <v>46146</v>
      </c>
      <c r="B41" s="23" t="s">
        <v>19</v>
      </c>
      <c r="C41" s="23" t="s">
        <v>20</v>
      </c>
      <c r="D41" s="23" t="s">
        <v>403</v>
      </c>
      <c r="E41" s="27" t="s">
        <v>123</v>
      </c>
      <c r="F41" s="23" t="s">
        <v>124</v>
      </c>
      <c r="G41" s="23">
        <v>1</v>
      </c>
      <c r="H41" s="23" t="s">
        <v>404</v>
      </c>
      <c r="I41" s="28"/>
      <c r="J41" s="22" t="s">
        <v>405</v>
      </c>
      <c r="K41" s="13"/>
    </row>
    <row r="42" ht="25.05" customHeight="1" spans="1:11">
      <c r="A42" s="26">
        <v>46147</v>
      </c>
      <c r="B42" s="23" t="s">
        <v>19</v>
      </c>
      <c r="C42" s="23" t="s">
        <v>20</v>
      </c>
      <c r="D42" s="23" t="s">
        <v>406</v>
      </c>
      <c r="E42" s="27" t="s">
        <v>223</v>
      </c>
      <c r="F42" s="23" t="s">
        <v>224</v>
      </c>
      <c r="G42" s="23">
        <v>120</v>
      </c>
      <c r="H42" s="23" t="s">
        <v>407</v>
      </c>
      <c r="I42" s="28"/>
      <c r="J42" s="22" t="s">
        <v>408</v>
      </c>
      <c r="K42" s="13"/>
    </row>
    <row r="43" ht="25.05" customHeight="1" spans="1:11">
      <c r="A43" s="26">
        <v>46147</v>
      </c>
      <c r="B43" s="23" t="s">
        <v>19</v>
      </c>
      <c r="C43" s="23" t="s">
        <v>20</v>
      </c>
      <c r="D43" s="23" t="s">
        <v>406</v>
      </c>
      <c r="E43" s="27" t="s">
        <v>223</v>
      </c>
      <c r="F43" s="23" t="s">
        <v>224</v>
      </c>
      <c r="G43" s="23">
        <v>96</v>
      </c>
      <c r="H43" s="23" t="s">
        <v>407</v>
      </c>
      <c r="I43" s="28"/>
      <c r="J43" s="22" t="s">
        <v>408</v>
      </c>
      <c r="K43" s="13"/>
    </row>
    <row r="44" ht="25.05" customHeight="1" spans="1:11">
      <c r="A44" s="26">
        <v>46147</v>
      </c>
      <c r="B44" s="23" t="s">
        <v>19</v>
      </c>
      <c r="C44" s="23" t="s">
        <v>20</v>
      </c>
      <c r="D44" s="23" t="s">
        <v>409</v>
      </c>
      <c r="E44" s="27" t="s">
        <v>221</v>
      </c>
      <c r="F44" s="23" t="s">
        <v>222</v>
      </c>
      <c r="G44" s="23">
        <v>255</v>
      </c>
      <c r="H44" s="23" t="s">
        <v>410</v>
      </c>
      <c r="I44" s="28"/>
      <c r="J44" s="22" t="s">
        <v>411</v>
      </c>
      <c r="K44" s="13"/>
    </row>
    <row r="45" ht="25.05" customHeight="1" spans="1:11">
      <c r="A45" s="26">
        <v>46147</v>
      </c>
      <c r="B45" s="23" t="s">
        <v>19</v>
      </c>
      <c r="C45" s="23" t="s">
        <v>20</v>
      </c>
      <c r="D45" s="23" t="s">
        <v>409</v>
      </c>
      <c r="E45" s="27" t="s">
        <v>221</v>
      </c>
      <c r="F45" s="23" t="s">
        <v>222</v>
      </c>
      <c r="G45" s="23">
        <v>105</v>
      </c>
      <c r="H45" s="23" t="s">
        <v>410</v>
      </c>
      <c r="I45" s="28"/>
      <c r="J45" s="22" t="s">
        <v>411</v>
      </c>
      <c r="K45" s="13"/>
    </row>
    <row r="46" ht="25.05" customHeight="1" spans="1:11">
      <c r="A46" s="26">
        <v>46146</v>
      </c>
      <c r="B46" s="23" t="s">
        <v>19</v>
      </c>
      <c r="C46" s="23" t="s">
        <v>20</v>
      </c>
      <c r="D46" s="23" t="s">
        <v>412</v>
      </c>
      <c r="E46" s="27" t="s">
        <v>223</v>
      </c>
      <c r="F46" s="23" t="s">
        <v>224</v>
      </c>
      <c r="G46" s="23">
        <v>288</v>
      </c>
      <c r="H46" s="23"/>
      <c r="I46" s="28"/>
      <c r="J46" s="22" t="s">
        <v>413</v>
      </c>
      <c r="K46" s="13"/>
    </row>
    <row r="47" ht="25.05" customHeight="1" spans="1:11">
      <c r="A47" s="26">
        <v>46146</v>
      </c>
      <c r="B47" s="23" t="s">
        <v>19</v>
      </c>
      <c r="C47" s="23" t="s">
        <v>20</v>
      </c>
      <c r="D47" s="23" t="s">
        <v>414</v>
      </c>
      <c r="E47" s="27" t="s">
        <v>215</v>
      </c>
      <c r="F47" s="23" t="s">
        <v>216</v>
      </c>
      <c r="G47" s="23">
        <v>810</v>
      </c>
      <c r="H47" s="23"/>
      <c r="I47" s="28"/>
      <c r="J47" s="22" t="s">
        <v>415</v>
      </c>
      <c r="K47" s="13"/>
    </row>
    <row r="48" ht="25.05" customHeight="1" spans="1:11">
      <c r="A48" s="26">
        <v>46146</v>
      </c>
      <c r="B48" s="23" t="s">
        <v>19</v>
      </c>
      <c r="C48" s="23" t="s">
        <v>20</v>
      </c>
      <c r="D48" s="23" t="s">
        <v>414</v>
      </c>
      <c r="E48" s="27" t="s">
        <v>215</v>
      </c>
      <c r="F48" s="23" t="s">
        <v>216</v>
      </c>
      <c r="G48" s="23">
        <v>150</v>
      </c>
      <c r="H48" s="23"/>
      <c r="I48" s="28"/>
      <c r="J48" s="22" t="s">
        <v>415</v>
      </c>
      <c r="K48" s="13"/>
    </row>
    <row r="49" ht="25.05" customHeight="1" spans="1:11">
      <c r="A49" s="26">
        <v>46146</v>
      </c>
      <c r="B49" s="23" t="s">
        <v>19</v>
      </c>
      <c r="C49" s="23" t="s">
        <v>20</v>
      </c>
      <c r="D49" s="23" t="s">
        <v>414</v>
      </c>
      <c r="E49" s="27" t="s">
        <v>219</v>
      </c>
      <c r="F49" s="23" t="s">
        <v>220</v>
      </c>
      <c r="G49" s="23">
        <v>400</v>
      </c>
      <c r="H49" s="23"/>
      <c r="I49" s="28"/>
      <c r="J49" s="22" t="s">
        <v>415</v>
      </c>
      <c r="K49" s="13"/>
    </row>
    <row r="50" ht="25.05" customHeight="1" spans="1:11">
      <c r="A50" s="26">
        <v>46146</v>
      </c>
      <c r="B50" s="23" t="s">
        <v>19</v>
      </c>
      <c r="C50" s="23" t="s">
        <v>20</v>
      </c>
      <c r="D50" s="23" t="s">
        <v>416</v>
      </c>
      <c r="E50" s="27" t="s">
        <v>221</v>
      </c>
      <c r="F50" s="23" t="s">
        <v>222</v>
      </c>
      <c r="G50" s="23">
        <v>225</v>
      </c>
      <c r="H50" s="23"/>
      <c r="I50" s="28"/>
      <c r="J50" s="22" t="s">
        <v>417</v>
      </c>
      <c r="K50" s="13"/>
    </row>
    <row r="51" ht="25.05" customHeight="1" spans="1:11">
      <c r="A51" s="26">
        <v>46146</v>
      </c>
      <c r="B51" s="23" t="s">
        <v>19</v>
      </c>
      <c r="C51" s="23" t="s">
        <v>20</v>
      </c>
      <c r="D51" s="23" t="s">
        <v>416</v>
      </c>
      <c r="E51" s="27" t="s">
        <v>221</v>
      </c>
      <c r="F51" s="23" t="s">
        <v>222</v>
      </c>
      <c r="G51" s="23">
        <v>180</v>
      </c>
      <c r="H51" s="23"/>
      <c r="I51" s="28"/>
      <c r="J51" s="22" t="s">
        <v>417</v>
      </c>
      <c r="K51" s="13"/>
    </row>
    <row r="52" ht="25.05" customHeight="1" spans="1:11">
      <c r="A52" s="26">
        <v>46147</v>
      </c>
      <c r="B52" s="23" t="s">
        <v>19</v>
      </c>
      <c r="C52" s="23" t="s">
        <v>20</v>
      </c>
      <c r="D52" s="23" t="s">
        <v>418</v>
      </c>
      <c r="E52" s="27" t="s">
        <v>221</v>
      </c>
      <c r="F52" s="23" t="s">
        <v>222</v>
      </c>
      <c r="G52" s="23">
        <v>120</v>
      </c>
      <c r="H52" s="23"/>
      <c r="I52" s="28"/>
      <c r="J52" s="22" t="s">
        <v>419</v>
      </c>
      <c r="K52" s="13"/>
    </row>
    <row r="53" ht="25.05" customHeight="1" spans="1:11">
      <c r="A53" s="26">
        <v>46147</v>
      </c>
      <c r="B53" s="23" t="s">
        <v>19</v>
      </c>
      <c r="C53" s="23" t="s">
        <v>20</v>
      </c>
      <c r="D53" s="23" t="s">
        <v>418</v>
      </c>
      <c r="E53" s="27" t="s">
        <v>221</v>
      </c>
      <c r="F53" s="23" t="s">
        <v>222</v>
      </c>
      <c r="G53" s="23">
        <v>105</v>
      </c>
      <c r="H53" s="23"/>
      <c r="I53" s="28"/>
      <c r="J53" s="22" t="s">
        <v>419</v>
      </c>
      <c r="K53" s="13"/>
    </row>
    <row r="54" ht="25.05" customHeight="1" spans="1:11">
      <c r="A54" s="26">
        <v>46147</v>
      </c>
      <c r="B54" s="23" t="s">
        <v>19</v>
      </c>
      <c r="C54" s="23" t="s">
        <v>20</v>
      </c>
      <c r="D54" s="23" t="s">
        <v>420</v>
      </c>
      <c r="E54" s="27" t="s">
        <v>223</v>
      </c>
      <c r="F54" s="23" t="s">
        <v>224</v>
      </c>
      <c r="G54" s="23">
        <v>8</v>
      </c>
      <c r="H54" s="23"/>
      <c r="I54" s="28"/>
      <c r="J54" s="22" t="s">
        <v>421</v>
      </c>
      <c r="K54" s="13"/>
    </row>
    <row r="55" ht="25.05" customHeight="1" spans="1:11">
      <c r="A55" s="26">
        <v>46147</v>
      </c>
      <c r="B55" s="23" t="s">
        <v>19</v>
      </c>
      <c r="C55" s="23" t="s">
        <v>20</v>
      </c>
      <c r="D55" s="23" t="s">
        <v>420</v>
      </c>
      <c r="E55" s="27" t="s">
        <v>223</v>
      </c>
      <c r="F55" s="23" t="s">
        <v>224</v>
      </c>
      <c r="G55" s="23">
        <v>120</v>
      </c>
      <c r="H55" s="23"/>
      <c r="I55" s="28"/>
      <c r="J55" s="22" t="s">
        <v>421</v>
      </c>
      <c r="K55" s="13"/>
    </row>
    <row r="56" ht="25.05" customHeight="1" spans="1:11">
      <c r="A56" s="26">
        <v>46147</v>
      </c>
      <c r="B56" s="23" t="s">
        <v>19</v>
      </c>
      <c r="C56" s="23" t="s">
        <v>20</v>
      </c>
      <c r="D56" s="23" t="s">
        <v>422</v>
      </c>
      <c r="E56" s="27" t="s">
        <v>99</v>
      </c>
      <c r="F56" s="23" t="s">
        <v>100</v>
      </c>
      <c r="G56" s="23">
        <v>63</v>
      </c>
      <c r="H56" s="23" t="s">
        <v>423</v>
      </c>
      <c r="I56" s="28"/>
      <c r="J56" s="22" t="s">
        <v>424</v>
      </c>
      <c r="K56" s="13"/>
    </row>
    <row r="57" ht="25.05" customHeight="1" spans="1:11">
      <c r="A57" s="26">
        <v>46147</v>
      </c>
      <c r="B57" s="23" t="s">
        <v>19</v>
      </c>
      <c r="C57" s="23" t="s">
        <v>20</v>
      </c>
      <c r="D57" s="23" t="s">
        <v>425</v>
      </c>
      <c r="E57" s="27" t="s">
        <v>99</v>
      </c>
      <c r="F57" s="23" t="s">
        <v>100</v>
      </c>
      <c r="G57" s="23">
        <v>27</v>
      </c>
      <c r="H57" s="23" t="s">
        <v>426</v>
      </c>
      <c r="I57" s="28"/>
      <c r="J57" s="22" t="s">
        <v>427</v>
      </c>
      <c r="K57" s="13"/>
    </row>
    <row r="58" ht="25.05" customHeight="1" spans="1:11">
      <c r="A58" s="26">
        <v>46148</v>
      </c>
      <c r="B58" s="23" t="s">
        <v>19</v>
      </c>
      <c r="C58" s="23" t="s">
        <v>20</v>
      </c>
      <c r="D58" s="23" t="s">
        <v>428</v>
      </c>
      <c r="E58" s="27" t="s">
        <v>25</v>
      </c>
      <c r="F58" s="23" t="s">
        <v>26</v>
      </c>
      <c r="G58" s="23">
        <v>33</v>
      </c>
      <c r="H58" s="23" t="s">
        <v>429</v>
      </c>
      <c r="I58" s="28"/>
      <c r="J58" s="22" t="s">
        <v>430</v>
      </c>
      <c r="K58" s="13"/>
    </row>
    <row r="59" ht="25.05" customHeight="1" spans="1:11">
      <c r="A59" s="26">
        <v>46148</v>
      </c>
      <c r="B59" s="23" t="s">
        <v>19</v>
      </c>
      <c r="C59" s="23" t="s">
        <v>20</v>
      </c>
      <c r="D59" s="23" t="s">
        <v>428</v>
      </c>
      <c r="E59" s="27" t="s">
        <v>25</v>
      </c>
      <c r="F59" s="23" t="s">
        <v>26</v>
      </c>
      <c r="G59" s="23">
        <v>192</v>
      </c>
      <c r="H59" s="23" t="s">
        <v>429</v>
      </c>
      <c r="I59" s="28"/>
      <c r="J59" s="22" t="s">
        <v>430</v>
      </c>
      <c r="K59" s="13"/>
    </row>
    <row r="60" ht="25.05" customHeight="1" spans="1:11">
      <c r="A60" s="26">
        <v>46147</v>
      </c>
      <c r="B60" s="23" t="s">
        <v>19</v>
      </c>
      <c r="C60" s="23" t="s">
        <v>20</v>
      </c>
      <c r="D60" s="23" t="s">
        <v>431</v>
      </c>
      <c r="E60" s="27" t="s">
        <v>215</v>
      </c>
      <c r="F60" s="23" t="s">
        <v>216</v>
      </c>
      <c r="G60" s="23">
        <v>960</v>
      </c>
      <c r="H60" s="23"/>
      <c r="I60" s="28"/>
      <c r="J60" s="22" t="s">
        <v>432</v>
      </c>
      <c r="K60" s="13"/>
    </row>
    <row r="61" ht="25.05" customHeight="1" spans="1:11">
      <c r="A61" s="26">
        <v>46147</v>
      </c>
      <c r="B61" s="23" t="s">
        <v>19</v>
      </c>
      <c r="C61" s="23" t="s">
        <v>20</v>
      </c>
      <c r="D61" s="23" t="s">
        <v>431</v>
      </c>
      <c r="E61" s="27" t="s">
        <v>217</v>
      </c>
      <c r="F61" s="23" t="s">
        <v>218</v>
      </c>
      <c r="G61" s="23">
        <v>720</v>
      </c>
      <c r="H61" s="23"/>
      <c r="I61" s="28"/>
      <c r="J61" s="22" t="s">
        <v>432</v>
      </c>
      <c r="K61" s="13"/>
    </row>
    <row r="62" ht="25.05" customHeight="1" spans="1:11">
      <c r="A62" s="26">
        <v>46147</v>
      </c>
      <c r="B62" s="23" t="s">
        <v>19</v>
      </c>
      <c r="C62" s="23" t="s">
        <v>20</v>
      </c>
      <c r="D62" s="23" t="s">
        <v>433</v>
      </c>
      <c r="E62" s="27" t="s">
        <v>223</v>
      </c>
      <c r="F62" s="23" t="s">
        <v>224</v>
      </c>
      <c r="G62" s="23">
        <v>144</v>
      </c>
      <c r="H62" s="23"/>
      <c r="I62" s="28"/>
      <c r="J62" s="22" t="s">
        <v>434</v>
      </c>
      <c r="K62" s="13"/>
    </row>
    <row r="63" ht="25.05" customHeight="1" spans="1:11">
      <c r="A63" s="26">
        <v>46147</v>
      </c>
      <c r="B63" s="23" t="s">
        <v>19</v>
      </c>
      <c r="C63" s="23" t="s">
        <v>20</v>
      </c>
      <c r="D63" s="23" t="s">
        <v>433</v>
      </c>
      <c r="E63" s="27" t="s">
        <v>223</v>
      </c>
      <c r="F63" s="23" t="s">
        <v>224</v>
      </c>
      <c r="G63" s="23">
        <v>120</v>
      </c>
      <c r="H63" s="23"/>
      <c r="I63" s="28"/>
      <c r="J63" s="22" t="s">
        <v>434</v>
      </c>
      <c r="K63" s="13"/>
    </row>
    <row r="64" ht="25.05" customHeight="1" spans="1:11">
      <c r="A64" s="26">
        <v>46148</v>
      </c>
      <c r="B64" s="23" t="s">
        <v>19</v>
      </c>
      <c r="C64" s="23" t="s">
        <v>20</v>
      </c>
      <c r="D64" s="23" t="s">
        <v>435</v>
      </c>
      <c r="E64" s="27" t="s">
        <v>221</v>
      </c>
      <c r="F64" s="23" t="s">
        <v>222</v>
      </c>
      <c r="G64" s="23">
        <v>405</v>
      </c>
      <c r="H64" s="23"/>
      <c r="I64" s="28"/>
      <c r="J64" s="22" t="s">
        <v>436</v>
      </c>
      <c r="K64" s="13"/>
    </row>
    <row r="65" ht="25.05" customHeight="1" spans="1:11">
      <c r="A65" s="26">
        <v>46148</v>
      </c>
      <c r="B65" s="23" t="s">
        <v>19</v>
      </c>
      <c r="C65" s="23" t="s">
        <v>20</v>
      </c>
      <c r="D65" s="23" t="s">
        <v>435</v>
      </c>
      <c r="E65" s="27" t="s">
        <v>215</v>
      </c>
      <c r="F65" s="23" t="s">
        <v>216</v>
      </c>
      <c r="G65" s="23">
        <v>960</v>
      </c>
      <c r="H65" s="23"/>
      <c r="I65" s="28"/>
      <c r="J65" s="22" t="s">
        <v>436</v>
      </c>
      <c r="K65" s="13"/>
    </row>
    <row r="66" ht="25.05" customHeight="1" spans="1:11">
      <c r="A66" s="26">
        <v>46148</v>
      </c>
      <c r="B66" s="23" t="s">
        <v>19</v>
      </c>
      <c r="C66" s="23" t="s">
        <v>20</v>
      </c>
      <c r="D66" s="23" t="s">
        <v>437</v>
      </c>
      <c r="E66" s="27" t="s">
        <v>223</v>
      </c>
      <c r="F66" s="23" t="s">
        <v>224</v>
      </c>
      <c r="G66" s="23">
        <v>240</v>
      </c>
      <c r="H66" s="23"/>
      <c r="I66" s="28"/>
      <c r="J66" s="22" t="s">
        <v>438</v>
      </c>
      <c r="K66" s="13"/>
    </row>
    <row r="67" ht="25.05" customHeight="1" spans="1:11">
      <c r="A67" s="26">
        <v>46148</v>
      </c>
      <c r="B67" s="23" t="s">
        <v>19</v>
      </c>
      <c r="C67" s="23" t="s">
        <v>20</v>
      </c>
      <c r="D67" s="23" t="s">
        <v>437</v>
      </c>
      <c r="E67" s="27" t="s">
        <v>223</v>
      </c>
      <c r="F67" s="23" t="s">
        <v>224</v>
      </c>
      <c r="G67" s="23">
        <v>48</v>
      </c>
      <c r="H67" s="23"/>
      <c r="I67" s="28"/>
      <c r="J67" s="22" t="s">
        <v>438</v>
      </c>
      <c r="K67" s="13"/>
    </row>
    <row r="68" ht="25.05" customHeight="1" spans="1:11">
      <c r="A68" s="26">
        <v>46148</v>
      </c>
      <c r="B68" s="23" t="s">
        <v>19</v>
      </c>
      <c r="C68" s="23" t="s">
        <v>20</v>
      </c>
      <c r="D68" s="23" t="s">
        <v>439</v>
      </c>
      <c r="E68" s="27" t="s">
        <v>221</v>
      </c>
      <c r="F68" s="23" t="s">
        <v>222</v>
      </c>
      <c r="G68" s="23">
        <v>405</v>
      </c>
      <c r="H68" s="23" t="s">
        <v>440</v>
      </c>
      <c r="I68" s="28"/>
      <c r="J68" s="22" t="s">
        <v>441</v>
      </c>
      <c r="K68" s="13"/>
    </row>
    <row r="69" ht="25.05" customHeight="1" spans="1:11">
      <c r="A69" s="26">
        <v>46148</v>
      </c>
      <c r="B69" s="23" t="s">
        <v>19</v>
      </c>
      <c r="C69" s="23" t="s">
        <v>20</v>
      </c>
      <c r="D69" s="23" t="s">
        <v>442</v>
      </c>
      <c r="E69" s="27" t="s">
        <v>55</v>
      </c>
      <c r="F69" s="23" t="s">
        <v>56</v>
      </c>
      <c r="G69" s="23">
        <v>4</v>
      </c>
      <c r="H69" s="23" t="s">
        <v>443</v>
      </c>
      <c r="I69" s="28"/>
      <c r="J69" s="22" t="s">
        <v>444</v>
      </c>
      <c r="K69" s="13"/>
    </row>
    <row r="70" ht="25.05" customHeight="1" spans="1:11">
      <c r="A70" s="26">
        <v>46149</v>
      </c>
      <c r="B70" s="23" t="s">
        <v>19</v>
      </c>
      <c r="C70" s="23" t="s">
        <v>20</v>
      </c>
      <c r="D70" s="23" t="s">
        <v>445</v>
      </c>
      <c r="E70" s="27" t="s">
        <v>117</v>
      </c>
      <c r="F70" s="23" t="s">
        <v>118</v>
      </c>
      <c r="G70" s="23">
        <v>14</v>
      </c>
      <c r="H70" s="23" t="s">
        <v>446</v>
      </c>
      <c r="I70" s="28"/>
      <c r="J70" s="22" t="s">
        <v>447</v>
      </c>
      <c r="K70" s="13"/>
    </row>
    <row r="71" ht="25.05" customHeight="1" spans="1:11">
      <c r="A71" s="26">
        <v>46149</v>
      </c>
      <c r="B71" s="23" t="s">
        <v>19</v>
      </c>
      <c r="C71" s="23" t="s">
        <v>20</v>
      </c>
      <c r="D71" s="23" t="s">
        <v>445</v>
      </c>
      <c r="E71" s="27" t="s">
        <v>117</v>
      </c>
      <c r="F71" s="23" t="s">
        <v>118</v>
      </c>
      <c r="G71" s="23">
        <v>120</v>
      </c>
      <c r="H71" s="23" t="s">
        <v>446</v>
      </c>
      <c r="I71" s="28"/>
      <c r="J71" s="22" t="s">
        <v>447</v>
      </c>
      <c r="K71" s="13"/>
    </row>
    <row r="72" ht="25.05" customHeight="1" spans="1:11">
      <c r="A72" s="26">
        <v>46149</v>
      </c>
      <c r="B72" s="23" t="s">
        <v>19</v>
      </c>
      <c r="C72" s="23" t="s">
        <v>20</v>
      </c>
      <c r="D72" s="23" t="s">
        <v>445</v>
      </c>
      <c r="E72" s="27" t="s">
        <v>117</v>
      </c>
      <c r="F72" s="23" t="s">
        <v>118</v>
      </c>
      <c r="G72" s="23">
        <v>346</v>
      </c>
      <c r="H72" s="23" t="s">
        <v>446</v>
      </c>
      <c r="I72" s="28"/>
      <c r="J72" s="22" t="s">
        <v>447</v>
      </c>
      <c r="K72" s="13"/>
    </row>
    <row r="73" ht="25.05" customHeight="1" spans="1:11">
      <c r="A73" s="26">
        <v>46148</v>
      </c>
      <c r="B73" s="23" t="s">
        <v>19</v>
      </c>
      <c r="C73" s="23" t="s">
        <v>20</v>
      </c>
      <c r="D73" s="23" t="s">
        <v>448</v>
      </c>
      <c r="E73" s="27" t="s">
        <v>25</v>
      </c>
      <c r="F73" s="23" t="s">
        <v>26</v>
      </c>
      <c r="G73" s="23">
        <v>105</v>
      </c>
      <c r="H73" s="23"/>
      <c r="I73" s="28"/>
      <c r="J73" s="22" t="s">
        <v>449</v>
      </c>
      <c r="K73" s="13"/>
    </row>
    <row r="74" ht="25.05" customHeight="1" spans="1:11">
      <c r="A74" s="26">
        <v>46148</v>
      </c>
      <c r="B74" s="23" t="s">
        <v>19</v>
      </c>
      <c r="C74" s="23" t="s">
        <v>20</v>
      </c>
      <c r="D74" s="23" t="s">
        <v>450</v>
      </c>
      <c r="E74" s="27" t="s">
        <v>219</v>
      </c>
      <c r="F74" s="23" t="s">
        <v>220</v>
      </c>
      <c r="G74" s="23">
        <v>400</v>
      </c>
      <c r="H74" s="23"/>
      <c r="I74" s="28"/>
      <c r="J74" s="22" t="s">
        <v>451</v>
      </c>
      <c r="K74" s="13"/>
    </row>
    <row r="75" ht="25.05" customHeight="1" spans="1:11">
      <c r="A75" s="26">
        <v>46148</v>
      </c>
      <c r="B75" s="23" t="s">
        <v>19</v>
      </c>
      <c r="C75" s="23" t="s">
        <v>20</v>
      </c>
      <c r="D75" s="23" t="s">
        <v>452</v>
      </c>
      <c r="E75" s="27" t="s">
        <v>223</v>
      </c>
      <c r="F75" s="23" t="s">
        <v>224</v>
      </c>
      <c r="G75" s="23">
        <v>72</v>
      </c>
      <c r="H75" s="23"/>
      <c r="I75" s="28"/>
      <c r="J75" s="22" t="s">
        <v>453</v>
      </c>
      <c r="K75" s="13"/>
    </row>
    <row r="76" ht="25.05" customHeight="1" spans="1:11">
      <c r="A76" s="26">
        <v>46148</v>
      </c>
      <c r="B76" s="23" t="s">
        <v>19</v>
      </c>
      <c r="C76" s="23" t="s">
        <v>20</v>
      </c>
      <c r="D76" s="23" t="s">
        <v>452</v>
      </c>
      <c r="E76" s="27" t="s">
        <v>223</v>
      </c>
      <c r="F76" s="23" t="s">
        <v>224</v>
      </c>
      <c r="G76" s="23">
        <v>216</v>
      </c>
      <c r="H76" s="23"/>
      <c r="I76" s="28"/>
      <c r="J76" s="22" t="s">
        <v>453</v>
      </c>
      <c r="K76" s="13"/>
    </row>
    <row r="77" ht="25.05" customHeight="1" spans="1:11">
      <c r="A77" s="26">
        <v>46149</v>
      </c>
      <c r="B77" s="23" t="s">
        <v>19</v>
      </c>
      <c r="C77" s="23" t="s">
        <v>20</v>
      </c>
      <c r="D77" s="23" t="s">
        <v>454</v>
      </c>
      <c r="E77" s="27" t="s">
        <v>223</v>
      </c>
      <c r="F77" s="23" t="s">
        <v>224</v>
      </c>
      <c r="G77" s="23">
        <v>144</v>
      </c>
      <c r="H77" s="23"/>
      <c r="I77" s="28"/>
      <c r="J77" s="22" t="s">
        <v>455</v>
      </c>
      <c r="K77" s="13"/>
    </row>
    <row r="78" ht="25.05" customHeight="1" spans="1:11">
      <c r="A78" s="26">
        <v>46149</v>
      </c>
      <c r="B78" s="23" t="s">
        <v>19</v>
      </c>
      <c r="C78" s="23" t="s">
        <v>20</v>
      </c>
      <c r="D78" s="23" t="s">
        <v>454</v>
      </c>
      <c r="E78" s="27" t="s">
        <v>223</v>
      </c>
      <c r="F78" s="23" t="s">
        <v>224</v>
      </c>
      <c r="G78" s="23">
        <v>144</v>
      </c>
      <c r="H78" s="23"/>
      <c r="I78" s="28"/>
      <c r="J78" s="22" t="s">
        <v>455</v>
      </c>
      <c r="K78" s="13"/>
    </row>
    <row r="79" ht="25.05" customHeight="1" spans="1:11">
      <c r="A79" s="26">
        <v>46149</v>
      </c>
      <c r="B79" s="23" t="s">
        <v>19</v>
      </c>
      <c r="C79" s="23" t="s">
        <v>20</v>
      </c>
      <c r="D79" s="23" t="s">
        <v>454</v>
      </c>
      <c r="E79" s="27" t="s">
        <v>215</v>
      </c>
      <c r="F79" s="23" t="s">
        <v>216</v>
      </c>
      <c r="G79" s="23">
        <v>960</v>
      </c>
      <c r="H79" s="23"/>
      <c r="I79" s="28"/>
      <c r="J79" s="22" t="s">
        <v>455</v>
      </c>
      <c r="K79" s="13"/>
    </row>
    <row r="80" customHeight="1" spans="1:10">
      <c r="A80" s="20">
        <v>46149</v>
      </c>
      <c r="B80" s="21" t="s">
        <v>19</v>
      </c>
      <c r="C80" s="22" t="s">
        <v>20</v>
      </c>
      <c r="D80" s="23" t="s">
        <v>456</v>
      </c>
      <c r="E80" s="22" t="s">
        <v>149</v>
      </c>
      <c r="F80" s="23" t="s">
        <v>150</v>
      </c>
      <c r="G80" s="23">
        <v>600</v>
      </c>
      <c r="H80" s="23" t="s">
        <v>457</v>
      </c>
      <c r="J80" s="22" t="s">
        <v>458</v>
      </c>
    </row>
    <row r="81" customHeight="1" spans="1:10">
      <c r="A81" s="20">
        <v>46149</v>
      </c>
      <c r="B81" s="21" t="s">
        <v>19</v>
      </c>
      <c r="C81" s="22" t="s">
        <v>20</v>
      </c>
      <c r="D81" s="23" t="s">
        <v>459</v>
      </c>
      <c r="E81" s="22" t="s">
        <v>301</v>
      </c>
      <c r="F81" s="23" t="s">
        <v>302</v>
      </c>
      <c r="G81" s="23">
        <v>200</v>
      </c>
      <c r="H81" s="23" t="s">
        <v>460</v>
      </c>
      <c r="J81" s="22" t="s">
        <v>461</v>
      </c>
    </row>
    <row r="82" customHeight="1" spans="1:10">
      <c r="A82" s="20">
        <v>46149</v>
      </c>
      <c r="B82" s="21" t="s">
        <v>19</v>
      </c>
      <c r="C82" s="22" t="s">
        <v>20</v>
      </c>
      <c r="D82" s="23" t="s">
        <v>462</v>
      </c>
      <c r="E82" s="22" t="s">
        <v>215</v>
      </c>
      <c r="F82" s="23" t="s">
        <v>216</v>
      </c>
      <c r="G82" s="23">
        <v>960</v>
      </c>
      <c r="H82" s="23"/>
      <c r="J82" s="22" t="s">
        <v>463</v>
      </c>
    </row>
    <row r="83" customHeight="1" spans="1:10">
      <c r="A83" s="20">
        <v>46150</v>
      </c>
      <c r="B83" s="21" t="s">
        <v>19</v>
      </c>
      <c r="C83" s="22" t="s">
        <v>20</v>
      </c>
      <c r="D83" s="23" t="s">
        <v>464</v>
      </c>
      <c r="E83" s="22" t="s">
        <v>223</v>
      </c>
      <c r="F83" s="23" t="s">
        <v>224</v>
      </c>
      <c r="G83" s="23">
        <v>288</v>
      </c>
      <c r="H83" s="23"/>
      <c r="J83" s="22" t="s">
        <v>465</v>
      </c>
    </row>
    <row r="84" customHeight="1" spans="1:10">
      <c r="A84" s="20">
        <v>46150</v>
      </c>
      <c r="B84" s="21" t="s">
        <v>19</v>
      </c>
      <c r="C84" s="22" t="s">
        <v>20</v>
      </c>
      <c r="D84" s="23" t="s">
        <v>464</v>
      </c>
      <c r="E84" s="22" t="s">
        <v>221</v>
      </c>
      <c r="F84" s="23" t="s">
        <v>222</v>
      </c>
      <c r="G84" s="23">
        <v>45</v>
      </c>
      <c r="H84" s="23"/>
      <c r="J84" s="22" t="s">
        <v>465</v>
      </c>
    </row>
    <row r="85" customHeight="1" spans="1:10">
      <c r="A85" s="20">
        <v>46150</v>
      </c>
      <c r="B85" s="21" t="s">
        <v>19</v>
      </c>
      <c r="C85" s="22" t="s">
        <v>20</v>
      </c>
      <c r="D85" s="23" t="s">
        <v>464</v>
      </c>
      <c r="E85" s="22" t="s">
        <v>221</v>
      </c>
      <c r="F85" s="23" t="s">
        <v>222</v>
      </c>
      <c r="G85" s="23">
        <v>165</v>
      </c>
      <c r="H85" s="23"/>
      <c r="J85" s="22" t="s">
        <v>465</v>
      </c>
    </row>
    <row r="86" customHeight="1" spans="1:10">
      <c r="A86" s="20">
        <v>46150</v>
      </c>
      <c r="B86" s="21" t="s">
        <v>19</v>
      </c>
      <c r="C86" s="22" t="s">
        <v>20</v>
      </c>
      <c r="D86" s="23" t="s">
        <v>464</v>
      </c>
      <c r="E86" s="22" t="s">
        <v>221</v>
      </c>
      <c r="F86" s="23" t="s">
        <v>222</v>
      </c>
      <c r="G86" s="23">
        <v>195</v>
      </c>
      <c r="H86" s="23"/>
      <c r="J86" s="22" t="s">
        <v>465</v>
      </c>
    </row>
    <row r="87" customHeight="1" spans="1:10">
      <c r="A87" s="20">
        <v>46150</v>
      </c>
      <c r="B87" s="21" t="s">
        <v>19</v>
      </c>
      <c r="C87" s="22" t="s">
        <v>20</v>
      </c>
      <c r="D87" s="23" t="s">
        <v>466</v>
      </c>
      <c r="E87" s="22" t="s">
        <v>137</v>
      </c>
      <c r="F87" s="22" t="s">
        <v>138</v>
      </c>
      <c r="G87" s="23">
        <v>100</v>
      </c>
      <c r="H87" s="23" t="s">
        <v>467</v>
      </c>
      <c r="J87" s="22" t="s">
        <v>468</v>
      </c>
    </row>
    <row r="88" customHeight="1" spans="1:10">
      <c r="A88" s="20">
        <v>46150</v>
      </c>
      <c r="B88" s="21" t="s">
        <v>19</v>
      </c>
      <c r="C88" s="22" t="s">
        <v>20</v>
      </c>
      <c r="D88" s="23" t="s">
        <v>466</v>
      </c>
      <c r="E88" s="22" t="s">
        <v>137</v>
      </c>
      <c r="F88" s="22" t="s">
        <v>138</v>
      </c>
      <c r="G88" s="23">
        <v>100</v>
      </c>
      <c r="H88" s="23" t="s">
        <v>467</v>
      </c>
      <c r="J88" s="22" t="s">
        <v>468</v>
      </c>
    </row>
    <row r="89" customHeight="1" spans="1:10">
      <c r="A89" s="20">
        <v>46150</v>
      </c>
      <c r="B89" s="21" t="s">
        <v>19</v>
      </c>
      <c r="C89" s="22" t="s">
        <v>20</v>
      </c>
      <c r="D89" s="23" t="s">
        <v>466</v>
      </c>
      <c r="E89" s="22" t="s">
        <v>137</v>
      </c>
      <c r="F89" s="22" t="s">
        <v>138</v>
      </c>
      <c r="G89" s="23">
        <v>500</v>
      </c>
      <c r="H89" s="23" t="s">
        <v>467</v>
      </c>
      <c r="J89" s="22" t="s">
        <v>468</v>
      </c>
    </row>
    <row r="90" customHeight="1" spans="1:10">
      <c r="A90" s="20">
        <v>46150</v>
      </c>
      <c r="B90" s="21" t="s">
        <v>19</v>
      </c>
      <c r="C90" s="22" t="s">
        <v>20</v>
      </c>
      <c r="D90" s="23" t="s">
        <v>469</v>
      </c>
      <c r="E90" s="22" t="s">
        <v>297</v>
      </c>
      <c r="F90" s="22" t="s">
        <v>298</v>
      </c>
      <c r="G90" s="23">
        <v>20</v>
      </c>
      <c r="H90" s="23" t="s">
        <v>470</v>
      </c>
      <c r="J90" s="22" t="s">
        <v>471</v>
      </c>
    </row>
    <row r="91" customHeight="1" spans="1:10">
      <c r="A91" s="20">
        <v>46150</v>
      </c>
      <c r="B91" s="21" t="s">
        <v>19</v>
      </c>
      <c r="C91" s="22" t="s">
        <v>20</v>
      </c>
      <c r="D91" s="23" t="s">
        <v>469</v>
      </c>
      <c r="E91" s="22" t="s">
        <v>299</v>
      </c>
      <c r="F91" s="22" t="s">
        <v>300</v>
      </c>
      <c r="G91" s="23">
        <v>20</v>
      </c>
      <c r="H91" s="23" t="s">
        <v>470</v>
      </c>
      <c r="J91" s="22" t="s">
        <v>471</v>
      </c>
    </row>
    <row r="92" customHeight="1" spans="1:10">
      <c r="A92" s="20">
        <v>46151</v>
      </c>
      <c r="B92" s="21" t="s">
        <v>19</v>
      </c>
      <c r="C92" s="22" t="s">
        <v>20</v>
      </c>
      <c r="D92" s="23" t="s">
        <v>472</v>
      </c>
      <c r="E92" s="22" t="s">
        <v>305</v>
      </c>
      <c r="F92" s="22" t="s">
        <v>306</v>
      </c>
      <c r="G92" s="23">
        <v>112</v>
      </c>
      <c r="H92" s="23" t="s">
        <v>473</v>
      </c>
      <c r="J92" s="22" t="s">
        <v>474</v>
      </c>
    </row>
    <row r="93" customHeight="1" spans="1:10">
      <c r="A93" s="20">
        <v>46151</v>
      </c>
      <c r="B93" s="21" t="s">
        <v>19</v>
      </c>
      <c r="C93" s="22" t="s">
        <v>20</v>
      </c>
      <c r="D93" s="23" t="s">
        <v>472</v>
      </c>
      <c r="E93" s="22" t="s">
        <v>307</v>
      </c>
      <c r="F93" s="22" t="s">
        <v>308</v>
      </c>
      <c r="G93" s="23">
        <v>112</v>
      </c>
      <c r="H93" s="23" t="s">
        <v>473</v>
      </c>
      <c r="J93" s="22" t="s">
        <v>474</v>
      </c>
    </row>
    <row r="94" customHeight="1" spans="1:10">
      <c r="A94" s="20">
        <v>46151</v>
      </c>
      <c r="B94" s="21" t="s">
        <v>19</v>
      </c>
      <c r="C94" s="22" t="s">
        <v>20</v>
      </c>
      <c r="D94" s="23" t="s">
        <v>472</v>
      </c>
      <c r="E94" s="22" t="s">
        <v>309</v>
      </c>
      <c r="F94" s="22" t="s">
        <v>310</v>
      </c>
      <c r="G94" s="23">
        <v>56</v>
      </c>
      <c r="H94" s="23" t="s">
        <v>473</v>
      </c>
      <c r="J94" s="22" t="s">
        <v>474</v>
      </c>
    </row>
    <row r="95" customHeight="1" spans="1:10">
      <c r="A95" s="20">
        <v>46151</v>
      </c>
      <c r="B95" s="21" t="s">
        <v>19</v>
      </c>
      <c r="C95" s="22" t="s">
        <v>20</v>
      </c>
      <c r="D95" s="23" t="s">
        <v>475</v>
      </c>
      <c r="E95" s="22" t="s">
        <v>221</v>
      </c>
      <c r="F95" s="22" t="s">
        <v>222</v>
      </c>
      <c r="G95" s="23">
        <v>405</v>
      </c>
      <c r="H95" s="23" t="s">
        <v>476</v>
      </c>
      <c r="J95" s="22" t="s">
        <v>477</v>
      </c>
    </row>
    <row r="96" customHeight="1" spans="1:10">
      <c r="A96" s="20">
        <v>46151</v>
      </c>
      <c r="B96" s="21" t="s">
        <v>19</v>
      </c>
      <c r="C96" s="22" t="s">
        <v>20</v>
      </c>
      <c r="D96" s="23" t="s">
        <v>478</v>
      </c>
      <c r="E96" s="22" t="s">
        <v>305</v>
      </c>
      <c r="F96" s="22" t="s">
        <v>306</v>
      </c>
      <c r="G96" s="23">
        <v>112</v>
      </c>
      <c r="H96" s="23" t="s">
        <v>479</v>
      </c>
      <c r="J96" s="22" t="s">
        <v>480</v>
      </c>
    </row>
    <row r="97" customHeight="1" spans="1:10">
      <c r="A97" s="20">
        <v>46151</v>
      </c>
      <c r="B97" s="21" t="s">
        <v>19</v>
      </c>
      <c r="C97" s="22" t="s">
        <v>20</v>
      </c>
      <c r="D97" s="23" t="s">
        <v>478</v>
      </c>
      <c r="E97" s="22" t="s">
        <v>307</v>
      </c>
      <c r="F97" s="22" t="s">
        <v>308</v>
      </c>
      <c r="G97" s="23">
        <v>112</v>
      </c>
      <c r="H97" s="23" t="s">
        <v>479</v>
      </c>
      <c r="J97" s="22" t="s">
        <v>480</v>
      </c>
    </row>
    <row r="98" customHeight="1" spans="1:10">
      <c r="A98" s="20">
        <v>46151</v>
      </c>
      <c r="B98" s="21" t="s">
        <v>19</v>
      </c>
      <c r="C98" s="22" t="s">
        <v>20</v>
      </c>
      <c r="D98" s="23" t="s">
        <v>478</v>
      </c>
      <c r="E98" s="22" t="s">
        <v>309</v>
      </c>
      <c r="F98" s="22" t="s">
        <v>310</v>
      </c>
      <c r="G98" s="23">
        <v>56</v>
      </c>
      <c r="H98" s="23" t="s">
        <v>479</v>
      </c>
      <c r="J98" s="22" t="s">
        <v>480</v>
      </c>
    </row>
    <row r="99" customHeight="1" spans="1:10">
      <c r="A99" s="20">
        <v>46150</v>
      </c>
      <c r="B99" s="21" t="s">
        <v>19</v>
      </c>
      <c r="C99" s="22" t="s">
        <v>20</v>
      </c>
      <c r="D99" s="23" t="s">
        <v>481</v>
      </c>
      <c r="E99" s="22" t="s">
        <v>217</v>
      </c>
      <c r="F99" s="22" t="s">
        <v>218</v>
      </c>
      <c r="G99" s="23">
        <v>720</v>
      </c>
      <c r="H99" s="23"/>
      <c r="J99" s="22" t="s">
        <v>482</v>
      </c>
    </row>
    <row r="100" customHeight="1" spans="1:10">
      <c r="A100" s="20">
        <v>46150</v>
      </c>
      <c r="B100" s="21" t="s">
        <v>19</v>
      </c>
      <c r="C100" s="22" t="s">
        <v>20</v>
      </c>
      <c r="D100" s="23" t="s">
        <v>483</v>
      </c>
      <c r="E100" s="22" t="s">
        <v>211</v>
      </c>
      <c r="F100" s="22" t="s">
        <v>212</v>
      </c>
      <c r="G100" s="23">
        <v>323</v>
      </c>
      <c r="H100" s="23"/>
      <c r="J100" s="22" t="s">
        <v>484</v>
      </c>
    </row>
    <row r="101" customHeight="1" spans="1:10">
      <c r="A101" s="20">
        <v>46150</v>
      </c>
      <c r="B101" s="21" t="s">
        <v>19</v>
      </c>
      <c r="C101" s="22" t="s">
        <v>20</v>
      </c>
      <c r="D101" s="23" t="s">
        <v>483</v>
      </c>
      <c r="E101" s="22" t="s">
        <v>211</v>
      </c>
      <c r="F101" s="22" t="s">
        <v>212</v>
      </c>
      <c r="G101" s="23">
        <v>637</v>
      </c>
      <c r="H101" s="23"/>
      <c r="J101" s="22" t="s">
        <v>484</v>
      </c>
    </row>
    <row r="102" customHeight="1" spans="1:10">
      <c r="A102" s="20">
        <v>46150</v>
      </c>
      <c r="B102" s="21" t="s">
        <v>19</v>
      </c>
      <c r="C102" s="22" t="s">
        <v>20</v>
      </c>
      <c r="D102" s="23" t="s">
        <v>485</v>
      </c>
      <c r="E102" s="22" t="s">
        <v>223</v>
      </c>
      <c r="F102" s="22" t="s">
        <v>224</v>
      </c>
      <c r="G102" s="23">
        <v>288</v>
      </c>
      <c r="H102" s="23"/>
      <c r="J102" s="22" t="s">
        <v>486</v>
      </c>
    </row>
    <row r="103" customHeight="1" spans="1:10">
      <c r="A103" s="20">
        <v>46151</v>
      </c>
      <c r="B103" s="21" t="s">
        <v>19</v>
      </c>
      <c r="C103" s="22" t="s">
        <v>20</v>
      </c>
      <c r="D103" s="23" t="s">
        <v>487</v>
      </c>
      <c r="E103" s="22" t="s">
        <v>221</v>
      </c>
      <c r="F103" s="22" t="s">
        <v>222</v>
      </c>
      <c r="G103" s="23">
        <v>240</v>
      </c>
      <c r="H103" s="23"/>
      <c r="J103" s="22" t="s">
        <v>488</v>
      </c>
    </row>
    <row r="104" customHeight="1" spans="1:10">
      <c r="A104" s="20">
        <v>46151</v>
      </c>
      <c r="B104" s="21" t="s">
        <v>19</v>
      </c>
      <c r="C104" s="22" t="s">
        <v>20</v>
      </c>
      <c r="D104" s="23" t="s">
        <v>487</v>
      </c>
      <c r="E104" s="22" t="s">
        <v>221</v>
      </c>
      <c r="F104" s="22" t="s">
        <v>222</v>
      </c>
      <c r="G104" s="23">
        <v>165</v>
      </c>
      <c r="H104" s="23"/>
      <c r="J104" s="22" t="s">
        <v>488</v>
      </c>
    </row>
    <row r="105" customHeight="1" spans="1:10">
      <c r="A105" s="20">
        <v>46151</v>
      </c>
      <c r="B105" s="21" t="s">
        <v>19</v>
      </c>
      <c r="C105" s="22" t="s">
        <v>20</v>
      </c>
      <c r="D105" s="23" t="s">
        <v>487</v>
      </c>
      <c r="E105" s="22" t="s">
        <v>215</v>
      </c>
      <c r="F105" s="22" t="s">
        <v>216</v>
      </c>
      <c r="G105" s="23">
        <v>635</v>
      </c>
      <c r="H105" s="23"/>
      <c r="J105" s="22" t="s">
        <v>488</v>
      </c>
    </row>
    <row r="106" customHeight="1" spans="1:10">
      <c r="A106" s="20">
        <v>46151</v>
      </c>
      <c r="B106" s="21" t="s">
        <v>19</v>
      </c>
      <c r="C106" s="22" t="s">
        <v>20</v>
      </c>
      <c r="D106" s="23" t="s">
        <v>487</v>
      </c>
      <c r="E106" s="22" t="s">
        <v>215</v>
      </c>
      <c r="F106" s="22" t="s">
        <v>216</v>
      </c>
      <c r="G106" s="23">
        <v>325</v>
      </c>
      <c r="H106" s="23"/>
      <c r="J106" s="22" t="s">
        <v>488</v>
      </c>
    </row>
    <row r="107" customHeight="1" spans="1:10">
      <c r="A107" s="20">
        <v>46151</v>
      </c>
      <c r="B107" s="21" t="s">
        <v>19</v>
      </c>
      <c r="C107" s="22" t="s">
        <v>20</v>
      </c>
      <c r="D107" s="23" t="s">
        <v>489</v>
      </c>
      <c r="E107" s="22" t="s">
        <v>213</v>
      </c>
      <c r="F107" s="22" t="s">
        <v>214</v>
      </c>
      <c r="G107" s="23">
        <v>960</v>
      </c>
      <c r="H107" s="23"/>
      <c r="J107" s="22" t="s">
        <v>490</v>
      </c>
    </row>
    <row r="108" customHeight="1" spans="1:10">
      <c r="A108" s="20">
        <v>46151</v>
      </c>
      <c r="B108" s="21" t="s">
        <v>19</v>
      </c>
      <c r="C108" s="22" t="s">
        <v>20</v>
      </c>
      <c r="D108" s="23" t="s">
        <v>491</v>
      </c>
      <c r="E108" s="22" t="s">
        <v>223</v>
      </c>
      <c r="F108" s="22" t="s">
        <v>224</v>
      </c>
      <c r="G108" s="23">
        <v>240</v>
      </c>
      <c r="H108" s="23"/>
      <c r="J108" s="22" t="s">
        <v>492</v>
      </c>
    </row>
    <row r="109" customHeight="1" spans="1:10">
      <c r="A109" s="20">
        <v>46151</v>
      </c>
      <c r="B109" s="21" t="s">
        <v>19</v>
      </c>
      <c r="C109" s="22" t="s">
        <v>20</v>
      </c>
      <c r="D109" s="23" t="s">
        <v>491</v>
      </c>
      <c r="E109" s="22" t="s">
        <v>223</v>
      </c>
      <c r="F109" s="22" t="s">
        <v>224</v>
      </c>
      <c r="G109" s="23">
        <v>48</v>
      </c>
      <c r="H109" s="23"/>
      <c r="J109" s="22" t="s">
        <v>492</v>
      </c>
    </row>
    <row r="110" customHeight="1" spans="1:10">
      <c r="A110" s="20">
        <v>46151</v>
      </c>
      <c r="B110" s="21" t="s">
        <v>19</v>
      </c>
      <c r="C110" s="22" t="s">
        <v>20</v>
      </c>
      <c r="D110" s="23" t="s">
        <v>493</v>
      </c>
      <c r="E110" s="22" t="s">
        <v>33</v>
      </c>
      <c r="F110" s="22" t="s">
        <v>34</v>
      </c>
      <c r="G110" s="23">
        <v>9</v>
      </c>
      <c r="H110" s="23"/>
      <c r="J110" s="22" t="s">
        <v>494</v>
      </c>
    </row>
    <row r="111" customHeight="1" spans="1:10">
      <c r="A111" s="20">
        <v>46151</v>
      </c>
      <c r="B111" s="21" t="s">
        <v>19</v>
      </c>
      <c r="C111" s="22" t="s">
        <v>20</v>
      </c>
      <c r="D111" s="23" t="s">
        <v>495</v>
      </c>
      <c r="E111" s="22" t="s">
        <v>215</v>
      </c>
      <c r="F111" s="22" t="s">
        <v>216</v>
      </c>
      <c r="G111" s="23">
        <v>960</v>
      </c>
      <c r="H111" s="23"/>
      <c r="J111" s="22" t="s">
        <v>496</v>
      </c>
    </row>
    <row r="112" customHeight="1" spans="1:10">
      <c r="A112" s="20">
        <v>46151</v>
      </c>
      <c r="B112" s="21" t="s">
        <v>19</v>
      </c>
      <c r="C112" s="22" t="s">
        <v>20</v>
      </c>
      <c r="D112" s="23" t="s">
        <v>497</v>
      </c>
      <c r="E112" s="22" t="s">
        <v>223</v>
      </c>
      <c r="F112" s="22" t="s">
        <v>224</v>
      </c>
      <c r="G112" s="23">
        <v>288</v>
      </c>
      <c r="H112" s="23"/>
      <c r="J112" s="22" t="s">
        <v>498</v>
      </c>
    </row>
    <row r="113" customHeight="1" spans="1:10">
      <c r="A113" s="20">
        <v>46152</v>
      </c>
      <c r="B113" s="21" t="s">
        <v>19</v>
      </c>
      <c r="C113" s="22" t="s">
        <v>20</v>
      </c>
      <c r="D113" s="23" t="s">
        <v>499</v>
      </c>
      <c r="E113" s="22" t="s">
        <v>223</v>
      </c>
      <c r="F113" s="22" t="s">
        <v>224</v>
      </c>
      <c r="G113" s="23">
        <v>288</v>
      </c>
      <c r="H113" s="23"/>
      <c r="J113" s="22" t="s">
        <v>500</v>
      </c>
    </row>
    <row r="114" customHeight="1" spans="1:10">
      <c r="A114" s="20">
        <v>46152</v>
      </c>
      <c r="B114" s="21" t="s">
        <v>19</v>
      </c>
      <c r="C114" s="22" t="s">
        <v>20</v>
      </c>
      <c r="D114" s="23" t="s">
        <v>499</v>
      </c>
      <c r="E114" s="22" t="s">
        <v>221</v>
      </c>
      <c r="F114" s="22" t="s">
        <v>222</v>
      </c>
      <c r="G114" s="23">
        <v>255</v>
      </c>
      <c r="H114" s="23"/>
      <c r="J114" s="22" t="s">
        <v>500</v>
      </c>
    </row>
    <row r="115" customHeight="1" spans="1:10">
      <c r="A115" s="20">
        <v>46152</v>
      </c>
      <c r="B115" s="21" t="s">
        <v>19</v>
      </c>
      <c r="C115" s="22" t="s">
        <v>20</v>
      </c>
      <c r="D115" s="23" t="s">
        <v>499</v>
      </c>
      <c r="E115" s="22" t="s">
        <v>221</v>
      </c>
      <c r="F115" s="22" t="s">
        <v>222</v>
      </c>
      <c r="G115" s="23">
        <v>150</v>
      </c>
      <c r="H115" s="23"/>
      <c r="J115" s="22" t="s">
        <v>500</v>
      </c>
    </row>
    <row r="116" customHeight="1" spans="1:10">
      <c r="A116" s="20">
        <v>46152</v>
      </c>
      <c r="B116" s="21" t="s">
        <v>19</v>
      </c>
      <c r="C116" s="22" t="s">
        <v>20</v>
      </c>
      <c r="D116" s="23" t="s">
        <v>501</v>
      </c>
      <c r="E116" s="22" t="s">
        <v>219</v>
      </c>
      <c r="F116" s="22" t="s">
        <v>220</v>
      </c>
      <c r="G116" s="23">
        <v>75</v>
      </c>
      <c r="H116" s="23"/>
      <c r="J116" s="22" t="s">
        <v>502</v>
      </c>
    </row>
    <row r="117" customHeight="1" spans="1:10">
      <c r="A117" s="20">
        <v>46152</v>
      </c>
      <c r="B117" s="21" t="s">
        <v>19</v>
      </c>
      <c r="C117" s="22" t="s">
        <v>20</v>
      </c>
      <c r="D117" s="23" t="s">
        <v>501</v>
      </c>
      <c r="E117" s="22" t="s">
        <v>219</v>
      </c>
      <c r="F117" s="22" t="s">
        <v>220</v>
      </c>
      <c r="G117" s="23">
        <v>325</v>
      </c>
      <c r="H117" s="23"/>
      <c r="J117" s="22" t="s">
        <v>502</v>
      </c>
    </row>
    <row r="118" customHeight="1" spans="1:10">
      <c r="A118" s="20">
        <v>46152</v>
      </c>
      <c r="B118" s="21" t="s">
        <v>19</v>
      </c>
      <c r="C118" s="22" t="s">
        <v>20</v>
      </c>
      <c r="D118" s="23" t="s">
        <v>503</v>
      </c>
      <c r="E118" s="22" t="s">
        <v>223</v>
      </c>
      <c r="F118" s="22" t="s">
        <v>224</v>
      </c>
      <c r="G118" s="23">
        <v>216</v>
      </c>
      <c r="H118" s="23"/>
      <c r="J118" s="22" t="s">
        <v>504</v>
      </c>
    </row>
    <row r="119" customHeight="1" spans="1:10">
      <c r="A119" s="20">
        <v>46152</v>
      </c>
      <c r="B119" s="21" t="s">
        <v>19</v>
      </c>
      <c r="C119" s="22" t="s">
        <v>20</v>
      </c>
      <c r="D119" s="23" t="s">
        <v>503</v>
      </c>
      <c r="E119" s="22" t="s">
        <v>223</v>
      </c>
      <c r="F119" s="22" t="s">
        <v>224</v>
      </c>
      <c r="G119" s="23">
        <v>72</v>
      </c>
      <c r="H119" s="23"/>
      <c r="J119" s="22" t="s">
        <v>504</v>
      </c>
    </row>
    <row r="120" customHeight="1" spans="1:10">
      <c r="A120" s="20">
        <v>46152</v>
      </c>
      <c r="B120" s="21" t="s">
        <v>19</v>
      </c>
      <c r="C120" s="22" t="s">
        <v>20</v>
      </c>
      <c r="D120" s="23" t="s">
        <v>503</v>
      </c>
      <c r="E120" s="22" t="s">
        <v>221</v>
      </c>
      <c r="F120" s="22" t="s">
        <v>222</v>
      </c>
      <c r="G120" s="23">
        <v>405</v>
      </c>
      <c r="H120" s="23"/>
      <c r="J120" s="22" t="s">
        <v>504</v>
      </c>
    </row>
    <row r="121" customHeight="1" spans="1:10">
      <c r="A121" s="20">
        <v>46152</v>
      </c>
      <c r="B121" s="21" t="s">
        <v>19</v>
      </c>
      <c r="C121" s="22" t="s">
        <v>20</v>
      </c>
      <c r="D121" s="23" t="s">
        <v>505</v>
      </c>
      <c r="E121" s="22" t="s">
        <v>215</v>
      </c>
      <c r="F121" s="22" t="s">
        <v>216</v>
      </c>
      <c r="G121" s="23">
        <v>315</v>
      </c>
      <c r="H121" s="23"/>
      <c r="J121" s="22" t="s">
        <v>506</v>
      </c>
    </row>
    <row r="122" customHeight="1" spans="1:10">
      <c r="A122" s="20">
        <v>46152</v>
      </c>
      <c r="B122" s="21" t="s">
        <v>19</v>
      </c>
      <c r="C122" s="22" t="s">
        <v>20</v>
      </c>
      <c r="D122" s="23" t="s">
        <v>505</v>
      </c>
      <c r="E122" s="22" t="s">
        <v>215</v>
      </c>
      <c r="F122" s="22" t="s">
        <v>216</v>
      </c>
      <c r="G122" s="23">
        <v>645</v>
      </c>
      <c r="H122" s="23"/>
      <c r="J122" s="22" t="s">
        <v>506</v>
      </c>
    </row>
    <row r="123" customHeight="1" spans="1:10">
      <c r="A123" s="20">
        <v>46152</v>
      </c>
      <c r="B123" s="21" t="s">
        <v>19</v>
      </c>
      <c r="C123" s="22" t="s">
        <v>20</v>
      </c>
      <c r="D123" s="23" t="s">
        <v>507</v>
      </c>
      <c r="E123" s="22" t="s">
        <v>223</v>
      </c>
      <c r="F123" s="22" t="s">
        <v>224</v>
      </c>
      <c r="G123" s="23">
        <v>288</v>
      </c>
      <c r="H123" s="23"/>
      <c r="J123" s="22" t="s">
        <v>508</v>
      </c>
    </row>
    <row r="124" customHeight="1" spans="1:10">
      <c r="A124" s="20">
        <v>46153</v>
      </c>
      <c r="B124" s="21" t="s">
        <v>19</v>
      </c>
      <c r="C124" s="22" t="s">
        <v>20</v>
      </c>
      <c r="D124" s="23" t="s">
        <v>509</v>
      </c>
      <c r="E124" s="22" t="s">
        <v>305</v>
      </c>
      <c r="F124" s="22" t="s">
        <v>306</v>
      </c>
      <c r="G124" s="23">
        <v>56</v>
      </c>
      <c r="H124" s="23"/>
      <c r="J124" s="22" t="s">
        <v>510</v>
      </c>
    </row>
    <row r="125" customHeight="1" spans="1:10">
      <c r="A125" s="20">
        <v>46153</v>
      </c>
      <c r="B125" s="21" t="s">
        <v>19</v>
      </c>
      <c r="C125" s="22" t="s">
        <v>20</v>
      </c>
      <c r="D125" s="23" t="s">
        <v>509</v>
      </c>
      <c r="E125" s="22" t="s">
        <v>305</v>
      </c>
      <c r="F125" s="22" t="s">
        <v>306</v>
      </c>
      <c r="G125" s="23">
        <v>84</v>
      </c>
      <c r="H125" s="23"/>
      <c r="J125" s="22" t="s">
        <v>510</v>
      </c>
    </row>
    <row r="126" customHeight="1" spans="1:10">
      <c r="A126" s="20">
        <v>46153</v>
      </c>
      <c r="B126" s="21" t="s">
        <v>19</v>
      </c>
      <c r="C126" s="22" t="s">
        <v>20</v>
      </c>
      <c r="D126" s="23" t="s">
        <v>509</v>
      </c>
      <c r="E126" s="22" t="s">
        <v>307</v>
      </c>
      <c r="F126" s="22" t="s">
        <v>308</v>
      </c>
      <c r="G126" s="23">
        <v>56</v>
      </c>
      <c r="H126" s="23"/>
      <c r="J126" s="22" t="s">
        <v>510</v>
      </c>
    </row>
    <row r="127" customHeight="1" spans="1:10">
      <c r="A127" s="20">
        <v>46153</v>
      </c>
      <c r="B127" s="21" t="s">
        <v>19</v>
      </c>
      <c r="C127" s="22" t="s">
        <v>20</v>
      </c>
      <c r="D127" s="23" t="s">
        <v>509</v>
      </c>
      <c r="E127" s="22" t="s">
        <v>307</v>
      </c>
      <c r="F127" s="22" t="s">
        <v>308</v>
      </c>
      <c r="G127" s="23">
        <v>84</v>
      </c>
      <c r="H127" s="23"/>
      <c r="J127" s="22" t="s">
        <v>510</v>
      </c>
    </row>
    <row r="128" customHeight="1" spans="1:10">
      <c r="A128" s="20">
        <v>46153</v>
      </c>
      <c r="B128" s="21" t="s">
        <v>19</v>
      </c>
      <c r="C128" s="22" t="s">
        <v>20</v>
      </c>
      <c r="D128" s="23" t="s">
        <v>509</v>
      </c>
      <c r="E128" s="22" t="s">
        <v>309</v>
      </c>
      <c r="F128" s="22" t="s">
        <v>310</v>
      </c>
      <c r="G128" s="23">
        <v>70</v>
      </c>
      <c r="H128" s="23"/>
      <c r="J128" s="22" t="s">
        <v>510</v>
      </c>
    </row>
    <row r="129" customHeight="1" spans="1:10">
      <c r="A129" s="20">
        <v>46153</v>
      </c>
      <c r="B129" s="21" t="s">
        <v>19</v>
      </c>
      <c r="C129" s="22" t="s">
        <v>20</v>
      </c>
      <c r="D129" s="23" t="s">
        <v>511</v>
      </c>
      <c r="E129" s="22" t="s">
        <v>221</v>
      </c>
      <c r="F129" s="22" t="s">
        <v>222</v>
      </c>
      <c r="G129" s="23">
        <v>390</v>
      </c>
      <c r="H129" s="23"/>
      <c r="J129" s="22" t="s">
        <v>512</v>
      </c>
    </row>
    <row r="130" customHeight="1" spans="1:10">
      <c r="A130" s="20">
        <v>46153</v>
      </c>
      <c r="B130" s="21" t="s">
        <v>19</v>
      </c>
      <c r="C130" s="22" t="s">
        <v>20</v>
      </c>
      <c r="D130" s="23" t="s">
        <v>511</v>
      </c>
      <c r="E130" s="22" t="s">
        <v>221</v>
      </c>
      <c r="F130" s="22" t="s">
        <v>222</v>
      </c>
      <c r="G130" s="23">
        <v>15</v>
      </c>
      <c r="H130" s="23"/>
      <c r="J130" s="22" t="s">
        <v>512</v>
      </c>
    </row>
    <row r="131" customHeight="1" spans="1:10">
      <c r="A131" s="20">
        <v>46153</v>
      </c>
      <c r="B131" s="21" t="s">
        <v>19</v>
      </c>
      <c r="C131" s="22" t="s">
        <v>20</v>
      </c>
      <c r="D131" s="23" t="s">
        <v>511</v>
      </c>
      <c r="E131" s="22" t="s">
        <v>215</v>
      </c>
      <c r="F131" s="22" t="s">
        <v>216</v>
      </c>
      <c r="G131" s="23">
        <v>960</v>
      </c>
      <c r="H131" s="23"/>
      <c r="J131" s="22" t="s">
        <v>512</v>
      </c>
    </row>
    <row r="132" customHeight="1" spans="1:10">
      <c r="A132" s="20">
        <v>46153</v>
      </c>
      <c r="B132" s="21" t="s">
        <v>19</v>
      </c>
      <c r="C132" s="22" t="s">
        <v>20</v>
      </c>
      <c r="D132" s="23" t="s">
        <v>513</v>
      </c>
      <c r="E132" s="22" t="s">
        <v>217</v>
      </c>
      <c r="F132" s="22" t="s">
        <v>218</v>
      </c>
      <c r="G132" s="23">
        <v>720</v>
      </c>
      <c r="H132" s="23"/>
      <c r="J132" s="22" t="s">
        <v>514</v>
      </c>
    </row>
    <row r="133" customHeight="1" spans="1:10">
      <c r="A133" s="20">
        <v>46153</v>
      </c>
      <c r="B133" s="21" t="s">
        <v>19</v>
      </c>
      <c r="C133" s="22" t="s">
        <v>20</v>
      </c>
      <c r="D133" s="23" t="s">
        <v>515</v>
      </c>
      <c r="E133" s="22" t="s">
        <v>223</v>
      </c>
      <c r="F133" s="22" t="s">
        <v>224</v>
      </c>
      <c r="G133" s="23">
        <v>288</v>
      </c>
      <c r="H133" s="23"/>
      <c r="J133" s="22" t="s">
        <v>516</v>
      </c>
    </row>
    <row r="134" customHeight="1" spans="1:10">
      <c r="A134" s="20">
        <v>46154</v>
      </c>
      <c r="B134" s="21" t="s">
        <v>19</v>
      </c>
      <c r="C134" s="22" t="s">
        <v>20</v>
      </c>
      <c r="D134" s="23" t="s">
        <v>517</v>
      </c>
      <c r="E134" s="22" t="s">
        <v>223</v>
      </c>
      <c r="F134" s="22" t="s">
        <v>224</v>
      </c>
      <c r="G134" s="23">
        <v>288</v>
      </c>
      <c r="H134" s="23" t="s">
        <v>518</v>
      </c>
      <c r="J134" s="22" t="s">
        <v>519</v>
      </c>
    </row>
    <row r="135" customHeight="1" spans="1:10">
      <c r="A135" s="20">
        <v>46153</v>
      </c>
      <c r="B135" s="21" t="s">
        <v>19</v>
      </c>
      <c r="C135" s="22" t="s">
        <v>20</v>
      </c>
      <c r="D135" s="23" t="s">
        <v>520</v>
      </c>
      <c r="E135" s="22" t="s">
        <v>215</v>
      </c>
      <c r="F135" s="22" t="s">
        <v>216</v>
      </c>
      <c r="G135" s="23">
        <v>960</v>
      </c>
      <c r="H135" s="23"/>
      <c r="J135" s="22" t="s">
        <v>521</v>
      </c>
    </row>
    <row r="136" customHeight="1" spans="1:10">
      <c r="A136" s="20">
        <v>46153</v>
      </c>
      <c r="B136" s="21" t="s">
        <v>19</v>
      </c>
      <c r="C136" s="22" t="s">
        <v>20</v>
      </c>
      <c r="D136" s="23" t="s">
        <v>522</v>
      </c>
      <c r="E136" s="22" t="s">
        <v>223</v>
      </c>
      <c r="F136" s="22" t="s">
        <v>224</v>
      </c>
      <c r="G136" s="23">
        <v>168</v>
      </c>
      <c r="H136" s="23"/>
      <c r="J136" s="22" t="s">
        <v>523</v>
      </c>
    </row>
    <row r="137" customHeight="1" spans="1:10">
      <c r="A137" s="20">
        <v>46153</v>
      </c>
      <c r="B137" s="21" t="s">
        <v>19</v>
      </c>
      <c r="C137" s="22" t="s">
        <v>20</v>
      </c>
      <c r="D137" s="23" t="s">
        <v>522</v>
      </c>
      <c r="E137" s="22" t="s">
        <v>223</v>
      </c>
      <c r="F137" s="22" t="s">
        <v>224</v>
      </c>
      <c r="G137" s="23">
        <v>120</v>
      </c>
      <c r="H137" s="23"/>
      <c r="J137" s="22" t="s">
        <v>523</v>
      </c>
    </row>
    <row r="138" customHeight="1" spans="1:10">
      <c r="A138" s="20">
        <v>46153</v>
      </c>
      <c r="B138" s="21" t="s">
        <v>19</v>
      </c>
      <c r="C138" s="22" t="s">
        <v>20</v>
      </c>
      <c r="D138" s="23" t="s">
        <v>522</v>
      </c>
      <c r="E138" s="22" t="s">
        <v>221</v>
      </c>
      <c r="F138" s="22" t="s">
        <v>222</v>
      </c>
      <c r="G138" s="23">
        <v>405</v>
      </c>
      <c r="H138" s="23"/>
      <c r="J138" s="22" t="s">
        <v>523</v>
      </c>
    </row>
    <row r="139" customHeight="1" spans="1:10">
      <c r="A139" s="20">
        <v>46154</v>
      </c>
      <c r="B139" s="21" t="s">
        <v>19</v>
      </c>
      <c r="C139" s="22" t="s">
        <v>20</v>
      </c>
      <c r="D139" s="23" t="s">
        <v>524</v>
      </c>
      <c r="E139" s="22" t="s">
        <v>223</v>
      </c>
      <c r="F139" s="22" t="s">
        <v>224</v>
      </c>
      <c r="G139" s="23">
        <v>288</v>
      </c>
      <c r="H139" s="23"/>
      <c r="J139" s="22" t="s">
        <v>525</v>
      </c>
    </row>
    <row r="140" customHeight="1" spans="1:10">
      <c r="A140" s="20">
        <v>46154</v>
      </c>
      <c r="B140" s="21" t="s">
        <v>19</v>
      </c>
      <c r="C140" s="22" t="s">
        <v>20</v>
      </c>
      <c r="D140" s="23" t="s">
        <v>526</v>
      </c>
      <c r="E140" s="22" t="s">
        <v>221</v>
      </c>
      <c r="F140" s="22" t="s">
        <v>222</v>
      </c>
      <c r="G140" s="23">
        <v>405</v>
      </c>
      <c r="H140" s="23"/>
      <c r="J140" s="22" t="s">
        <v>527</v>
      </c>
    </row>
    <row r="141" customHeight="1" spans="1:10">
      <c r="A141" s="20">
        <v>46154</v>
      </c>
      <c r="B141" s="21" t="s">
        <v>19</v>
      </c>
      <c r="C141" s="22" t="s">
        <v>20</v>
      </c>
      <c r="D141" s="23" t="s">
        <v>526</v>
      </c>
      <c r="E141" s="22" t="s">
        <v>219</v>
      </c>
      <c r="F141" s="22" t="s">
        <v>220</v>
      </c>
      <c r="G141" s="23">
        <v>400</v>
      </c>
      <c r="H141" s="23"/>
      <c r="J141" s="22" t="s">
        <v>527</v>
      </c>
    </row>
    <row r="142" customHeight="1" spans="1:10">
      <c r="A142" s="20">
        <v>46154</v>
      </c>
      <c r="B142" s="21" t="s">
        <v>19</v>
      </c>
      <c r="C142" s="22" t="s">
        <v>20</v>
      </c>
      <c r="D142" s="23" t="s">
        <v>528</v>
      </c>
      <c r="E142" s="22" t="s">
        <v>117</v>
      </c>
      <c r="F142" s="22" t="s">
        <v>118</v>
      </c>
      <c r="G142" s="23">
        <v>14</v>
      </c>
      <c r="H142" s="23" t="s">
        <v>529</v>
      </c>
      <c r="J142" s="22" t="s">
        <v>530</v>
      </c>
    </row>
    <row r="143" customHeight="1" spans="1:10">
      <c r="A143" s="20">
        <v>46154</v>
      </c>
      <c r="B143" s="21" t="s">
        <v>19</v>
      </c>
      <c r="C143" s="22" t="s">
        <v>20</v>
      </c>
      <c r="D143" s="23" t="s">
        <v>528</v>
      </c>
      <c r="E143" s="22" t="s">
        <v>117</v>
      </c>
      <c r="F143" s="22" t="s">
        <v>118</v>
      </c>
      <c r="G143" s="23">
        <v>301</v>
      </c>
      <c r="H143" s="23" t="s">
        <v>529</v>
      </c>
      <c r="J143" s="22" t="s">
        <v>530</v>
      </c>
    </row>
    <row r="144" customHeight="1" spans="1:10">
      <c r="A144" s="20">
        <v>46154</v>
      </c>
      <c r="B144" s="21" t="s">
        <v>19</v>
      </c>
      <c r="C144" s="22" t="s">
        <v>20</v>
      </c>
      <c r="D144" s="23" t="s">
        <v>531</v>
      </c>
      <c r="E144" s="22" t="s">
        <v>47</v>
      </c>
      <c r="F144" s="22" t="s">
        <v>48</v>
      </c>
      <c r="G144" s="23">
        <v>5</v>
      </c>
      <c r="H144" s="23" t="s">
        <v>532</v>
      </c>
      <c r="J144" s="22" t="s">
        <v>533</v>
      </c>
    </row>
    <row r="145" customHeight="1" spans="1:10">
      <c r="A145" s="20">
        <v>46154</v>
      </c>
      <c r="B145" s="21" t="s">
        <v>19</v>
      </c>
      <c r="C145" s="22" t="s">
        <v>20</v>
      </c>
      <c r="D145" s="23" t="s">
        <v>534</v>
      </c>
      <c r="E145" s="22" t="s">
        <v>57</v>
      </c>
      <c r="F145" s="22" t="s">
        <v>58</v>
      </c>
      <c r="G145" s="23">
        <v>6</v>
      </c>
      <c r="H145" s="23" t="s">
        <v>535</v>
      </c>
      <c r="J145" s="22" t="s">
        <v>536</v>
      </c>
    </row>
    <row r="146" customHeight="1" spans="1:10">
      <c r="A146" s="20">
        <v>46154</v>
      </c>
      <c r="B146" s="21" t="s">
        <v>19</v>
      </c>
      <c r="C146" s="22" t="s">
        <v>20</v>
      </c>
      <c r="D146" s="23" t="s">
        <v>534</v>
      </c>
      <c r="E146" s="22" t="s">
        <v>59</v>
      </c>
      <c r="F146" s="22" t="s">
        <v>60</v>
      </c>
      <c r="G146" s="23">
        <v>6</v>
      </c>
      <c r="H146" s="23" t="s">
        <v>535</v>
      </c>
      <c r="J146" s="22" t="s">
        <v>536</v>
      </c>
    </row>
    <row r="147" customHeight="1" spans="1:10">
      <c r="A147" s="20">
        <v>46154</v>
      </c>
      <c r="B147" s="21" t="s">
        <v>19</v>
      </c>
      <c r="C147" s="22" t="s">
        <v>20</v>
      </c>
      <c r="D147" s="23" t="s">
        <v>534</v>
      </c>
      <c r="E147" s="22" t="s">
        <v>103</v>
      </c>
      <c r="F147" s="22" t="s">
        <v>104</v>
      </c>
      <c r="G147" s="23">
        <v>1</v>
      </c>
      <c r="H147" s="23" t="s">
        <v>535</v>
      </c>
      <c r="J147" s="22" t="s">
        <v>536</v>
      </c>
    </row>
    <row r="148" customHeight="1" spans="1:10">
      <c r="A148" s="20">
        <v>46154</v>
      </c>
      <c r="B148" s="21" t="s">
        <v>19</v>
      </c>
      <c r="C148" s="22" t="s">
        <v>20</v>
      </c>
      <c r="D148" s="23" t="s">
        <v>537</v>
      </c>
      <c r="E148" s="22" t="s">
        <v>117</v>
      </c>
      <c r="F148" s="22" t="s">
        <v>118</v>
      </c>
      <c r="G148" s="23">
        <v>374</v>
      </c>
      <c r="H148" s="23" t="s">
        <v>538</v>
      </c>
      <c r="J148" s="22" t="s">
        <v>539</v>
      </c>
    </row>
    <row r="149" customHeight="1" spans="1:10">
      <c r="A149" s="20">
        <v>46154</v>
      </c>
      <c r="B149" s="21" t="s">
        <v>19</v>
      </c>
      <c r="C149" s="22" t="s">
        <v>20</v>
      </c>
      <c r="D149" s="23" t="s">
        <v>537</v>
      </c>
      <c r="E149" s="22" t="s">
        <v>117</v>
      </c>
      <c r="F149" s="22" t="s">
        <v>118</v>
      </c>
      <c r="G149" s="23">
        <v>31</v>
      </c>
      <c r="H149" s="23" t="s">
        <v>538</v>
      </c>
      <c r="J149" s="22" t="s">
        <v>539</v>
      </c>
    </row>
    <row r="150" customHeight="1" spans="1:10">
      <c r="A150" s="20">
        <v>46155</v>
      </c>
      <c r="B150" s="21" t="s">
        <v>19</v>
      </c>
      <c r="C150" s="22" t="s">
        <v>20</v>
      </c>
      <c r="D150" s="23" t="s">
        <v>540</v>
      </c>
      <c r="E150" s="22" t="s">
        <v>109</v>
      </c>
      <c r="F150" s="22" t="s">
        <v>110</v>
      </c>
      <c r="G150" s="23">
        <v>1</v>
      </c>
      <c r="H150" s="23" t="s">
        <v>541</v>
      </c>
      <c r="J150" s="22" t="s">
        <v>542</v>
      </c>
    </row>
    <row r="151" customHeight="1" spans="1:10">
      <c r="A151" s="20">
        <v>46155</v>
      </c>
      <c r="B151" s="21" t="s">
        <v>19</v>
      </c>
      <c r="C151" s="22" t="s">
        <v>20</v>
      </c>
      <c r="D151" s="23" t="s">
        <v>543</v>
      </c>
      <c r="E151" s="22" t="s">
        <v>117</v>
      </c>
      <c r="F151" s="22" t="s">
        <v>118</v>
      </c>
      <c r="G151" s="23">
        <v>14</v>
      </c>
      <c r="H151" s="23" t="s">
        <v>544</v>
      </c>
      <c r="J151" s="22" t="s">
        <v>545</v>
      </c>
    </row>
    <row r="152" customHeight="1" spans="1:10">
      <c r="A152" s="20">
        <v>46155</v>
      </c>
      <c r="B152" s="21" t="s">
        <v>19</v>
      </c>
      <c r="C152" s="22" t="s">
        <v>20</v>
      </c>
      <c r="D152" s="23" t="s">
        <v>543</v>
      </c>
      <c r="E152" s="22" t="s">
        <v>117</v>
      </c>
      <c r="F152" s="22" t="s">
        <v>118</v>
      </c>
      <c r="G152" s="23">
        <v>225</v>
      </c>
      <c r="H152" s="23" t="s">
        <v>544</v>
      </c>
      <c r="J152" s="22" t="s">
        <v>545</v>
      </c>
    </row>
    <row r="153" customHeight="1" spans="1:10">
      <c r="A153" s="20">
        <v>46155</v>
      </c>
      <c r="B153" s="21" t="s">
        <v>19</v>
      </c>
      <c r="C153" s="22" t="s">
        <v>20</v>
      </c>
      <c r="D153" s="23" t="s">
        <v>543</v>
      </c>
      <c r="E153" s="22" t="s">
        <v>117</v>
      </c>
      <c r="F153" s="22" t="s">
        <v>118</v>
      </c>
      <c r="G153" s="23">
        <v>121</v>
      </c>
      <c r="H153" s="23" t="s">
        <v>544</v>
      </c>
      <c r="J153" s="22" t="s">
        <v>545</v>
      </c>
    </row>
    <row r="154" customHeight="1" spans="1:10">
      <c r="A154" s="20">
        <v>46155</v>
      </c>
      <c r="B154" s="21" t="s">
        <v>19</v>
      </c>
      <c r="C154" s="22" t="s">
        <v>20</v>
      </c>
      <c r="D154" s="23" t="s">
        <v>543</v>
      </c>
      <c r="E154" s="22" t="s">
        <v>221</v>
      </c>
      <c r="F154" s="22" t="s">
        <v>222</v>
      </c>
      <c r="G154" s="23">
        <v>405</v>
      </c>
      <c r="H154" s="23" t="s">
        <v>544</v>
      </c>
      <c r="J154" s="22" t="s">
        <v>545</v>
      </c>
    </row>
    <row r="155" customHeight="1" spans="1:10">
      <c r="A155" s="17">
        <v>46154</v>
      </c>
      <c r="B155" s="3" t="s">
        <v>19</v>
      </c>
      <c r="C155" s="3" t="s">
        <v>20</v>
      </c>
      <c r="D155" s="3" t="s">
        <v>546</v>
      </c>
      <c r="E155" s="18" t="s">
        <v>255</v>
      </c>
      <c r="F155" s="3" t="s">
        <v>256</v>
      </c>
      <c r="G155" s="3">
        <v>-576</v>
      </c>
      <c r="H155" s="3"/>
      <c r="I155" s="19"/>
      <c r="J155" s="3" t="s">
        <v>547</v>
      </c>
    </row>
    <row r="156" customHeight="1" spans="1:10">
      <c r="A156" s="17">
        <v>46154</v>
      </c>
      <c r="B156" s="3" t="s">
        <v>19</v>
      </c>
      <c r="C156" s="3" t="s">
        <v>20</v>
      </c>
      <c r="D156" s="3" t="s">
        <v>548</v>
      </c>
      <c r="E156" s="18" t="s">
        <v>257</v>
      </c>
      <c r="F156" s="3" t="s">
        <v>258</v>
      </c>
      <c r="G156" s="3">
        <v>-624</v>
      </c>
      <c r="H156" s="3"/>
      <c r="I156" s="19"/>
      <c r="J156" s="3" t="s">
        <v>549</v>
      </c>
    </row>
    <row r="157" customHeight="1" spans="1:10">
      <c r="A157" s="20">
        <v>46154</v>
      </c>
      <c r="B157" s="21" t="s">
        <v>19</v>
      </c>
      <c r="C157" s="22" t="s">
        <v>20</v>
      </c>
      <c r="D157" s="23" t="s">
        <v>550</v>
      </c>
      <c r="E157" s="22" t="s">
        <v>215</v>
      </c>
      <c r="F157" s="22" t="s">
        <v>216</v>
      </c>
      <c r="G157" s="23">
        <v>960</v>
      </c>
      <c r="H157" s="23"/>
      <c r="J157" s="22" t="s">
        <v>551</v>
      </c>
    </row>
    <row r="158" customHeight="1" spans="1:10">
      <c r="A158" s="20">
        <v>46154</v>
      </c>
      <c r="B158" s="21" t="s">
        <v>19</v>
      </c>
      <c r="C158" s="22" t="s">
        <v>20</v>
      </c>
      <c r="D158" s="23" t="s">
        <v>552</v>
      </c>
      <c r="E158" s="22" t="s">
        <v>255</v>
      </c>
      <c r="F158" s="22" t="s">
        <v>256</v>
      </c>
      <c r="G158" s="23">
        <v>501</v>
      </c>
      <c r="H158" s="23"/>
      <c r="J158" s="22" t="s">
        <v>553</v>
      </c>
    </row>
    <row r="159" customHeight="1" spans="1:10">
      <c r="A159" s="20">
        <v>46154</v>
      </c>
      <c r="B159" s="21" t="s">
        <v>19</v>
      </c>
      <c r="C159" s="22" t="s">
        <v>20</v>
      </c>
      <c r="D159" s="23" t="s">
        <v>552</v>
      </c>
      <c r="E159" s="22" t="s">
        <v>255</v>
      </c>
      <c r="F159" s="22" t="s">
        <v>256</v>
      </c>
      <c r="G159" s="23">
        <v>75</v>
      </c>
      <c r="H159" s="23"/>
      <c r="J159" s="22" t="s">
        <v>553</v>
      </c>
    </row>
    <row r="160" customHeight="1" spans="1:10">
      <c r="A160" s="20">
        <v>46154</v>
      </c>
      <c r="B160" s="21" t="s">
        <v>19</v>
      </c>
      <c r="C160" s="22" t="s">
        <v>20</v>
      </c>
      <c r="D160" s="23" t="s">
        <v>554</v>
      </c>
      <c r="E160" s="22" t="s">
        <v>223</v>
      </c>
      <c r="F160" s="22" t="s">
        <v>224</v>
      </c>
      <c r="G160" s="23">
        <v>288</v>
      </c>
      <c r="H160" s="23"/>
      <c r="J160" s="22" t="s">
        <v>555</v>
      </c>
    </row>
    <row r="161" customHeight="1" spans="1:10">
      <c r="A161" s="20">
        <v>46154</v>
      </c>
      <c r="B161" s="21" t="s">
        <v>19</v>
      </c>
      <c r="C161" s="22" t="s">
        <v>20</v>
      </c>
      <c r="D161" s="23" t="s">
        <v>554</v>
      </c>
      <c r="E161" s="22" t="s">
        <v>221</v>
      </c>
      <c r="F161" s="22" t="s">
        <v>222</v>
      </c>
      <c r="G161" s="23">
        <v>135</v>
      </c>
      <c r="H161" s="23"/>
      <c r="J161" s="22" t="s">
        <v>555</v>
      </c>
    </row>
    <row r="162" customHeight="1" spans="1:10">
      <c r="A162" s="20">
        <v>46154</v>
      </c>
      <c r="B162" s="21" t="s">
        <v>19</v>
      </c>
      <c r="C162" s="22" t="s">
        <v>20</v>
      </c>
      <c r="D162" s="23" t="s">
        <v>554</v>
      </c>
      <c r="E162" s="22" t="s">
        <v>221</v>
      </c>
      <c r="F162" s="22" t="s">
        <v>222</v>
      </c>
      <c r="G162" s="23">
        <v>270</v>
      </c>
      <c r="H162" s="23"/>
      <c r="J162" s="22" t="s">
        <v>555</v>
      </c>
    </row>
    <row r="163" customHeight="1" spans="1:10">
      <c r="A163" s="20">
        <v>46154</v>
      </c>
      <c r="B163" s="21" t="s">
        <v>19</v>
      </c>
      <c r="C163" s="22" t="s">
        <v>20</v>
      </c>
      <c r="D163" s="23" t="s">
        <v>554</v>
      </c>
      <c r="E163" s="22" t="s">
        <v>257</v>
      </c>
      <c r="F163" s="22" t="s">
        <v>258</v>
      </c>
      <c r="G163" s="23">
        <v>530</v>
      </c>
      <c r="H163" s="23"/>
      <c r="J163" s="22" t="s">
        <v>555</v>
      </c>
    </row>
    <row r="164" customHeight="1" spans="1:10">
      <c r="A164" s="20">
        <v>46154</v>
      </c>
      <c r="B164" s="21" t="s">
        <v>19</v>
      </c>
      <c r="C164" s="22" t="s">
        <v>20</v>
      </c>
      <c r="D164" s="23" t="s">
        <v>554</v>
      </c>
      <c r="E164" s="22" t="s">
        <v>257</v>
      </c>
      <c r="F164" s="22" t="s">
        <v>258</v>
      </c>
      <c r="G164" s="23">
        <v>94</v>
      </c>
      <c r="H164" s="23"/>
      <c r="J164" s="22" t="s">
        <v>555</v>
      </c>
    </row>
    <row r="165" customHeight="1" spans="1:10">
      <c r="A165" s="20">
        <v>46154</v>
      </c>
      <c r="B165" s="21" t="s">
        <v>19</v>
      </c>
      <c r="C165" s="22" t="s">
        <v>20</v>
      </c>
      <c r="D165" s="23" t="s">
        <v>556</v>
      </c>
      <c r="E165" s="22" t="s">
        <v>35</v>
      </c>
      <c r="F165" s="22" t="s">
        <v>36</v>
      </c>
      <c r="G165" s="23">
        <v>3</v>
      </c>
      <c r="H165" s="23"/>
      <c r="J165" s="22" t="s">
        <v>557</v>
      </c>
    </row>
    <row r="166" customHeight="1" spans="1:10">
      <c r="A166" s="20">
        <v>46154</v>
      </c>
      <c r="B166" s="21" t="s">
        <v>19</v>
      </c>
      <c r="C166" s="22" t="s">
        <v>20</v>
      </c>
      <c r="D166" s="23" t="s">
        <v>558</v>
      </c>
      <c r="E166" s="22" t="s">
        <v>31</v>
      </c>
      <c r="F166" s="22" t="s">
        <v>32</v>
      </c>
      <c r="G166" s="23">
        <v>10</v>
      </c>
      <c r="H166" s="23"/>
      <c r="J166" s="22" t="s">
        <v>559</v>
      </c>
    </row>
    <row r="167" customHeight="1" spans="1:10">
      <c r="A167" s="20">
        <v>46154</v>
      </c>
      <c r="B167" s="21" t="s">
        <v>19</v>
      </c>
      <c r="C167" s="22" t="s">
        <v>20</v>
      </c>
      <c r="D167" s="23" t="s">
        <v>558</v>
      </c>
      <c r="E167" s="22" t="s">
        <v>33</v>
      </c>
      <c r="F167" s="22" t="s">
        <v>34</v>
      </c>
      <c r="G167" s="23">
        <v>224</v>
      </c>
      <c r="H167" s="23"/>
      <c r="J167" s="22" t="s">
        <v>559</v>
      </c>
    </row>
    <row r="168" customHeight="1" spans="1:10">
      <c r="A168" s="20">
        <v>46155</v>
      </c>
      <c r="B168" s="21" t="s">
        <v>19</v>
      </c>
      <c r="C168" s="22" t="s">
        <v>20</v>
      </c>
      <c r="D168" s="23" t="s">
        <v>560</v>
      </c>
      <c r="E168" s="22" t="s">
        <v>215</v>
      </c>
      <c r="F168" s="22" t="s">
        <v>216</v>
      </c>
      <c r="G168" s="23">
        <v>960</v>
      </c>
      <c r="H168" s="23"/>
      <c r="J168" s="22" t="s">
        <v>561</v>
      </c>
    </row>
    <row r="169" customHeight="1" spans="1:10">
      <c r="A169" s="20">
        <v>46155</v>
      </c>
      <c r="B169" s="21" t="s">
        <v>19</v>
      </c>
      <c r="C169" s="22" t="s">
        <v>20</v>
      </c>
      <c r="D169" s="23" t="s">
        <v>560</v>
      </c>
      <c r="E169" s="22" t="s">
        <v>217</v>
      </c>
      <c r="F169" s="22" t="s">
        <v>218</v>
      </c>
      <c r="G169" s="23">
        <v>720</v>
      </c>
      <c r="H169" s="23"/>
      <c r="J169" s="22" t="s">
        <v>561</v>
      </c>
    </row>
    <row r="170" customHeight="1" spans="1:10">
      <c r="A170" s="20">
        <v>46155</v>
      </c>
      <c r="B170" s="21" t="s">
        <v>19</v>
      </c>
      <c r="C170" s="22" t="s">
        <v>20</v>
      </c>
      <c r="D170" s="23" t="s">
        <v>562</v>
      </c>
      <c r="E170" s="22" t="s">
        <v>223</v>
      </c>
      <c r="F170" s="22" t="s">
        <v>224</v>
      </c>
      <c r="G170" s="23">
        <v>120</v>
      </c>
      <c r="H170" s="23"/>
      <c r="J170" s="22" t="s">
        <v>563</v>
      </c>
    </row>
    <row r="171" customHeight="1" spans="1:10">
      <c r="A171" s="20">
        <v>46155</v>
      </c>
      <c r="B171" s="21" t="s">
        <v>19</v>
      </c>
      <c r="C171" s="22" t="s">
        <v>20</v>
      </c>
      <c r="D171" s="23" t="s">
        <v>562</v>
      </c>
      <c r="E171" s="22" t="s">
        <v>223</v>
      </c>
      <c r="F171" s="22" t="s">
        <v>224</v>
      </c>
      <c r="G171" s="23">
        <v>168</v>
      </c>
      <c r="H171" s="23"/>
      <c r="J171" s="22" t="s">
        <v>563</v>
      </c>
    </row>
  </sheetData>
  <pageMargins left="0.699912516150888" right="0.699912516150888" top="0.74990626395218" bottom="0.74990626395218" header="0.299962510274151" footer="0.299962510274151"/>
  <pageSetup paperSize="9" orientation="portrait" useFirstPageNumb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K1"/>
  <sheetViews>
    <sheetView zoomScale="85" zoomScaleNormal="85" workbookViewId="0">
      <pane ySplit="1" topLeftCell="A2" activePane="bottomLeft" state="frozen"/>
      <selection/>
      <selection pane="bottomLeft" activeCell="A11" sqref="A11"/>
    </sheetView>
  </sheetViews>
  <sheetFormatPr defaultColWidth="11.8833333333333" defaultRowHeight="14.4" customHeight="1"/>
  <cols>
    <col min="1" max="1" width="13.4416666666667" style="16" customWidth="1"/>
    <col min="3" max="3" width="31.5583333333333" customWidth="1"/>
    <col min="4" max="4" width="21.3333333333333" customWidth="1"/>
    <col min="5" max="5" width="24.3333333333333" customWidth="1"/>
    <col min="6" max="6" width="37.1083333333333" customWidth="1"/>
    <col min="8" max="8" width="16.8833333333333" customWidth="1"/>
    <col min="9" max="9" width="9.33333333333333" customWidth="1"/>
    <col min="10" max="10" width="46.8833333333333" customWidth="1"/>
    <col min="11" max="11" width="10.5583333333333" customWidth="1"/>
  </cols>
  <sheetData>
    <row r="1" ht="25.05" customHeight="1" spans="1:11">
      <c r="A1" s="17" t="s">
        <v>319</v>
      </c>
      <c r="B1" s="3" t="s">
        <v>320</v>
      </c>
      <c r="C1" s="3" t="s">
        <v>3</v>
      </c>
      <c r="D1" s="3" t="s">
        <v>321</v>
      </c>
      <c r="E1" s="18" t="s">
        <v>4</v>
      </c>
      <c r="F1" s="3" t="s">
        <v>5</v>
      </c>
      <c r="G1" s="3" t="s">
        <v>322</v>
      </c>
      <c r="H1" s="3" t="s">
        <v>323</v>
      </c>
      <c r="I1" s="19" t="s">
        <v>324</v>
      </c>
      <c r="J1" s="3" t="s">
        <v>325</v>
      </c>
      <c r="K1" s="4" t="s">
        <v>325</v>
      </c>
    </row>
  </sheetData>
  <pageMargins left="0.75" right="0.75" top="1" bottom="1" header="0.5" footer="0.5"/>
  <pageSetup paperSize="9" orientation="portrait" useFirstPageNumb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J7"/>
  <sheetViews>
    <sheetView showGridLines="0" zoomScale="70" zoomScaleNormal="70" workbookViewId="0">
      <pane xSplit="1" ySplit="1" topLeftCell="B1557" activePane="bottomRight" state="frozen"/>
      <selection/>
      <selection pane="topRight"/>
      <selection pane="bottomLeft"/>
      <selection pane="bottomRight" activeCell="D1541" sqref="D1541"/>
    </sheetView>
  </sheetViews>
  <sheetFormatPr defaultColWidth="15" defaultRowHeight="30" customHeight="1" outlineLevelRow="6"/>
  <cols>
    <col min="1" max="1" width="13.8833333333333" style="1" customWidth="1"/>
    <col min="2" max="2" width="11" style="2" customWidth="1"/>
    <col min="3" max="3" width="32.4416666666667" style="1" customWidth="1"/>
    <col min="4" max="4" width="23.6666666666667" style="3" customWidth="1"/>
    <col min="5" max="5" width="34.3333333333333" style="4" customWidth="1"/>
    <col min="6" max="6" width="15" style="4" customWidth="1"/>
    <col min="7" max="7" width="12.1083333333333" style="4" customWidth="1"/>
    <col min="8" max="8" width="36.5583333333333" style="5" customWidth="1"/>
    <col min="9" max="9" width="24.5583333333333" style="3" customWidth="1"/>
    <col min="10" max="10" width="29.2166666666667" style="5" customWidth="1"/>
    <col min="11" max="16384" width="15" style="6" customWidth="1"/>
  </cols>
  <sheetData>
    <row r="1" customHeight="1" spans="1:10">
      <c r="A1" s="7" t="s">
        <v>564</v>
      </c>
      <c r="B1" s="8" t="s">
        <v>320</v>
      </c>
      <c r="C1" s="9" t="s">
        <v>3</v>
      </c>
      <c r="D1" s="10" t="s">
        <v>565</v>
      </c>
      <c r="E1" s="11" t="s">
        <v>5</v>
      </c>
      <c r="F1" s="11" t="s">
        <v>566</v>
      </c>
      <c r="G1" s="4" t="s">
        <v>567</v>
      </c>
      <c r="H1" s="5" t="s">
        <v>325</v>
      </c>
      <c r="I1" s="3" t="s">
        <v>568</v>
      </c>
      <c r="J1" s="11" t="s">
        <v>569</v>
      </c>
    </row>
    <row r="2" customHeight="1" spans="1:9">
      <c r="A2" s="12">
        <v>45248</v>
      </c>
      <c r="B2" s="13" t="s">
        <v>19</v>
      </c>
      <c r="C2" s="1" t="s">
        <v>20</v>
      </c>
      <c r="D2" s="4" t="s">
        <v>43</v>
      </c>
      <c r="E2" s="4" t="s">
        <v>44</v>
      </c>
      <c r="F2" s="14">
        <v>2</v>
      </c>
      <c r="H2" s="5" t="s">
        <v>570</v>
      </c>
      <c r="I2" s="3" t="s">
        <v>571</v>
      </c>
    </row>
    <row r="3" customHeight="1" spans="1:9">
      <c r="A3" s="12">
        <v>45254</v>
      </c>
      <c r="B3" s="13" t="s">
        <v>19</v>
      </c>
      <c r="C3" s="1" t="s">
        <v>20</v>
      </c>
      <c r="D3" s="4" t="s">
        <v>43</v>
      </c>
      <c r="E3" s="4" t="s">
        <v>44</v>
      </c>
      <c r="F3" s="15">
        <v>1</v>
      </c>
      <c r="H3" s="5" t="s">
        <v>572</v>
      </c>
      <c r="I3" s="3" t="s">
        <v>573</v>
      </c>
    </row>
    <row r="4" customHeight="1" spans="1:9">
      <c r="A4" s="12">
        <v>45259</v>
      </c>
      <c r="B4" s="13" t="s">
        <v>19</v>
      </c>
      <c r="C4" s="1" t="s">
        <v>20</v>
      </c>
      <c r="D4" s="4" t="s">
        <v>43</v>
      </c>
      <c r="E4" s="15" t="s">
        <v>44</v>
      </c>
      <c r="F4" s="4">
        <v>1</v>
      </c>
      <c r="H4" s="5" t="s">
        <v>574</v>
      </c>
      <c r="I4" s="3" t="s">
        <v>575</v>
      </c>
    </row>
    <row r="5" customHeight="1" spans="1:9">
      <c r="A5" s="12">
        <v>45642</v>
      </c>
      <c r="B5" s="13" t="s">
        <v>19</v>
      </c>
      <c r="C5" s="1" t="s">
        <v>20</v>
      </c>
      <c r="D5" s="4" t="s">
        <v>43</v>
      </c>
      <c r="E5" s="4" t="s">
        <v>44</v>
      </c>
      <c r="F5" s="4">
        <v>46</v>
      </c>
      <c r="H5" s="5" t="s">
        <v>576</v>
      </c>
      <c r="I5" s="3" t="s">
        <v>577</v>
      </c>
    </row>
    <row r="6" customHeight="1" spans="1:9">
      <c r="A6" s="1">
        <v>46005</v>
      </c>
      <c r="B6" s="2" t="s">
        <v>19</v>
      </c>
      <c r="C6" s="1" t="s">
        <v>20</v>
      </c>
      <c r="D6" s="4" t="s">
        <v>137</v>
      </c>
      <c r="E6" s="4" t="s">
        <v>138</v>
      </c>
      <c r="F6" s="4">
        <v>100</v>
      </c>
      <c r="I6" s="3" t="s">
        <v>578</v>
      </c>
    </row>
    <row r="7" customHeight="1" spans="1:9">
      <c r="A7" s="1">
        <v>46029</v>
      </c>
      <c r="B7" s="2" t="s">
        <v>19</v>
      </c>
      <c r="C7" s="1" t="s">
        <v>20</v>
      </c>
      <c r="D7" s="4" t="s">
        <v>253</v>
      </c>
      <c r="E7" s="4" t="s">
        <v>254</v>
      </c>
      <c r="F7" s="4">
        <v>12</v>
      </c>
      <c r="H7" s="5" t="s">
        <v>579</v>
      </c>
      <c r="I7" s="3" t="s">
        <v>580</v>
      </c>
    </row>
  </sheetData>
  <pageMargins left="0.699912516150888" right="0.699912516150888" top="0.74990626395218" bottom="0.74990626395218" header="0.299962510274151" footer="0.299962510274151"/>
  <pageSetup paperSize="9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日报</vt:lpstr>
      <vt:lpstr>合格品入库记录</vt:lpstr>
      <vt:lpstr>合格品出库记录</vt:lpstr>
      <vt:lpstr>领跑良品退回</vt:lpstr>
      <vt:lpstr>不良品库存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xxk</cp:lastModifiedBy>
  <dcterms:created xsi:type="dcterms:W3CDTF">2026-05-16T09:39:00Z</dcterms:created>
  <dcterms:modified xsi:type="dcterms:W3CDTF">2026-05-16T10:09:22Z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14F60B938934458E94251EB1849009E8_13</vt:lpwstr>
  </property>
  <property fmtid="{D5CDD505-2E9C-101B-9397-08002B2CF9AE}" pid="3" name="KSOProductBuildVer">
    <vt:lpwstr>2052-12.1.0.22175</vt:lpwstr>
  </property>
</Properties>
</file>