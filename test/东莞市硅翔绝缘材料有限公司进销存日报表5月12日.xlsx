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8800" windowHeight="11925" tabRatio="582"/>
  </bookViews>
  <sheets>
    <sheet name="日报" sheetId="5" r:id="rId1"/>
    <sheet name="样品" sheetId="19" r:id="rId2"/>
    <sheet name="合格品入货记录" sheetId="1" r:id="rId3"/>
    <sheet name="合格品出库记录" sheetId="2" r:id="rId4"/>
    <sheet name="售后配件" sheetId="8" state="hidden" r:id="rId5"/>
    <sheet name="不良品库存" sheetId="11" r:id="rId6"/>
    <sheet name="预警" sheetId="15" state="hidden" r:id="rId7"/>
    <sheet name="基础信息" sheetId="16" r:id="rId8"/>
    <sheet name="Sheet1" sheetId="17" state="hidden" r:id="rId9"/>
  </sheets>
  <definedNames>
    <definedName name="_xlnm._FilterDatabase" localSheetId="0" hidden="1">日报!$A$3:$CD$85</definedName>
    <definedName name="_xlnm._FilterDatabase" localSheetId="1" hidden="1">样品!$A$3:$CD$60</definedName>
    <definedName name="_xlnm._FilterDatabase" localSheetId="2" hidden="1">合格品入货记录!$A$1:$K$1202</definedName>
    <definedName name="_xlnm._FilterDatabase" localSheetId="5" hidden="1">不良品库存!$A$1:$J$63</definedName>
    <definedName name="_xlnm._FilterDatabase" localSheetId="7" hidden="1">基础信息!$A$1:$J$198</definedName>
    <definedName name="_xlnm._FilterDatabase" localSheetId="3" hidden="1">合格品出库记录!$A$1:$J$9709</definedName>
    <definedName name="_xlnm.Print_Area" localSheetId="3">合格品出库记录!$A$1:$G$1</definedName>
    <definedName name="_xlnm.Print_Area" localSheetId="0">日报!$E$2:$F$20</definedName>
    <definedName name="_xlnm.Print_Area" localSheetId="1">样品!$E$2:$F$3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<sst xmlns="http://schemas.openxmlformats.org/spreadsheetml/2006/main" count="2879" uniqueCount="785">
  <si>
    <t>注：“可用结存”列中红色数据代表库存量过低，黄色数据代表超出最高库存量。</t>
  </si>
  <si>
    <t>序号</t>
  </si>
  <si>
    <t>供应商代码</t>
  </si>
  <si>
    <t>供应商名称</t>
  </si>
  <si>
    <t>硅翔料号</t>
  </si>
  <si>
    <t>零件编号</t>
  </si>
  <si>
    <t>零件名称</t>
  </si>
  <si>
    <t>车型</t>
  </si>
  <si>
    <t>上月结存</t>
  </si>
  <si>
    <t>累进</t>
  </si>
  <si>
    <t>累出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</si>
  <si>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</si>
  <si>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</si>
  <si>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</si>
  <si>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</si>
  <si>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</si>
  <si>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</si>
  <si>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</si>
  <si>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，</t>
  </si>
  <si>
    <t>1DC</t>
  </si>
  <si>
    <t>东莞市硅翔绝缘材料有限公司</t>
  </si>
  <si>
    <t>F01001001117</t>
  </si>
  <si>
    <t>3.2.49.08.01246-000</t>
  </si>
  <si>
    <t>LX-B11RE10海外版-CCS总成</t>
  </si>
  <si>
    <t>F01001000763</t>
  </si>
  <si>
    <t>3.2.49.08.00235-000</t>
  </si>
  <si>
    <t>LPT03A_PBP-模组CCS总成1</t>
  </si>
  <si>
    <t>F01001000765</t>
  </si>
  <si>
    <t>3.2.49.08.00259-000</t>
  </si>
  <si>
    <t>LPT03A_PBP-模组CCS总成</t>
  </si>
  <si>
    <t>F02001000532</t>
  </si>
  <si>
    <t>3.2.49.08.00658-000</t>
  </si>
  <si>
    <t>LPT03A_pBP-RP加热膜－L</t>
  </si>
  <si>
    <t>F02001000533</t>
  </si>
  <si>
    <t>3.2.49.08.00659-000</t>
  </si>
  <si>
    <t>LPT03A_pBP-RP加热膜－R项目</t>
  </si>
  <si>
    <t>F02001000534</t>
  </si>
  <si>
    <t>3.2.49.08.00660-000</t>
  </si>
  <si>
    <t>LPT03A_pBP-RP加热膜－T1</t>
  </si>
  <si>
    <t>F01001000118</t>
  </si>
  <si>
    <t>3.2.49.08.00332-000</t>
  </si>
  <si>
    <t>LP-C11RE0-CCS 总成-21B</t>
  </si>
  <si>
    <t>F01001000117</t>
  </si>
  <si>
    <t>3.2.49.08.00331-000</t>
  </si>
  <si>
    <t>LP-C11RE0-CCS 总成-21A</t>
  </si>
  <si>
    <t>F02001000530</t>
  </si>
  <si>
    <t>3.2.49.08.00242-000</t>
  </si>
  <si>
    <t>LPT03A_PBP-加热片-R</t>
  </si>
  <si>
    <t>F01001000348</t>
  </si>
  <si>
    <t>3.2.49.08.00524-000</t>
  </si>
  <si>
    <t>T03A_PBP-CCS总成-300-R</t>
  </si>
  <si>
    <t>F01001000350</t>
  </si>
  <si>
    <t>3.2.49.08.00732-000</t>
  </si>
  <si>
    <t>LXC01-模组CCS总成-21B</t>
  </si>
  <si>
    <t>F01001000349</t>
  </si>
  <si>
    <t>3.2.49.08.00731-000</t>
  </si>
  <si>
    <t>LXC01-模组CCS总成-21A</t>
  </si>
  <si>
    <t>F01001000352</t>
  </si>
  <si>
    <t>3.2.49.08.00712-000</t>
  </si>
  <si>
    <t>LPT03A-PBP模组CCS总成2-NJ</t>
  </si>
  <si>
    <t>F01001000351</t>
  </si>
  <si>
    <t>3.2.49.08.00709-000</t>
  </si>
  <si>
    <t>LPT03A-PBP模组CCS总成1-NJ</t>
  </si>
  <si>
    <t>F02001000538</t>
  </si>
  <si>
    <t>3.2.49.08.00661-000</t>
  </si>
  <si>
    <t>LPT03A_PBP_32S加热片_L</t>
  </si>
  <si>
    <t>F02001000539</t>
  </si>
  <si>
    <t>3.2.49.08.00662-000</t>
  </si>
  <si>
    <t>LPT03A_PBP_32S加热片_R</t>
  </si>
  <si>
    <t>F02001000528</t>
  </si>
  <si>
    <t>3.2.49.08.00514-000</t>
  </si>
  <si>
    <t>LPT03A_PBP-RP加热片-R</t>
  </si>
  <si>
    <t>F01001000357</t>
  </si>
  <si>
    <t>3.2.49.08.00758-000</t>
  </si>
  <si>
    <t>LXC11-模组CCS总成16A-X</t>
  </si>
  <si>
    <t>F01001000358</t>
  </si>
  <si>
    <t>3.2.49.08.00759-000</t>
  </si>
  <si>
    <t>LXC11-模组CCS总成16B-X</t>
  </si>
  <si>
    <t>F01001000359</t>
  </si>
  <si>
    <t>3.2.49.08.00760-000</t>
  </si>
  <si>
    <t>LXC11-模组CCS总成10S-X</t>
  </si>
  <si>
    <t>F01001002242</t>
  </si>
  <si>
    <t>3.1.02.30.00785</t>
  </si>
  <si>
    <t>LXCU13E01-CCS总成;CCS总成</t>
  </si>
  <si>
    <t>F01001000372</t>
  </si>
  <si>
    <t>3.2.49.08.00786-000</t>
  </si>
  <si>
    <t>LXC11-模组CCS总成16S</t>
  </si>
  <si>
    <t>F01001000353</t>
  </si>
  <si>
    <t>3.2.49.08.00733-000</t>
  </si>
  <si>
    <t>C11铁理增程项目LP-C11RE0-CCS总成-28S</t>
  </si>
  <si>
    <t>F01001000354</t>
  </si>
  <si>
    <t>3.2.49.08.00742-000</t>
  </si>
  <si>
    <t>LPC11REO-CCS总成-12S</t>
  </si>
  <si>
    <t>F01001000374</t>
  </si>
  <si>
    <t>3.2.49.08.00968-000</t>
  </si>
  <si>
    <t>LXC11-模组CCS总成16S-H</t>
  </si>
  <si>
    <t>F01001000373</t>
  </si>
  <si>
    <t>3.2.49.08.00967-000</t>
  </si>
  <si>
    <t>LXC11-模组CCS总成22S-H</t>
  </si>
  <si>
    <t>F02001000535</t>
  </si>
  <si>
    <t>3.2.49.08.00652-000</t>
  </si>
  <si>
    <t>加热片-L</t>
  </si>
  <si>
    <t>F02001000536</t>
  </si>
  <si>
    <t>3.2.49.08.00653-000</t>
  </si>
  <si>
    <t>加热片-R</t>
  </si>
  <si>
    <t>F02001000537</t>
  </si>
  <si>
    <t>3.2.49.08.00654-000</t>
  </si>
  <si>
    <t>加热片-T1</t>
  </si>
  <si>
    <t>F01001000370</t>
  </si>
  <si>
    <t>3.2.49.08.00814-000</t>
  </si>
  <si>
    <t>LP-B11RE10-CCS总成</t>
  </si>
  <si>
    <t>F02001000527</t>
  </si>
  <si>
    <t>3.2.49.08.00513-000</t>
  </si>
  <si>
    <t>LPT03A_PBP-RP加热片-L</t>
  </si>
  <si>
    <t>F01001000361</t>
  </si>
  <si>
    <t>3.2.49.08.00722-000</t>
  </si>
  <si>
    <t>BLXC11-CCS总成-8S-B</t>
  </si>
  <si>
    <t>F01001000360</t>
  </si>
  <si>
    <t>3.2.49.08.00721-000</t>
  </si>
  <si>
    <t>22S-BLXC11-CCS总成-22S-B</t>
  </si>
  <si>
    <t>F01001001245</t>
  </si>
  <si>
    <t>3.2.49.08.01057-000</t>
  </si>
  <si>
    <t>LXB11 模组BCCS总成</t>
  </si>
  <si>
    <t>F01001001244</t>
  </si>
  <si>
    <t>3.2.49.08.01056-000</t>
  </si>
  <si>
    <t>LXB11模组ACCS总成18S650</t>
  </si>
  <si>
    <t>F01001000378</t>
  </si>
  <si>
    <t>3.2.49.08.01032-000</t>
  </si>
  <si>
    <t>LX-B13EV10A-模组A-CCS</t>
  </si>
  <si>
    <t>F01001000379</t>
  </si>
  <si>
    <t>3.2.49.08.01033-000</t>
  </si>
  <si>
    <t>LX-B13EV10A-模组B-CCS</t>
  </si>
  <si>
    <t>F02001000985</t>
  </si>
  <si>
    <t>3.2.49.08.00515-000</t>
  </si>
  <si>
    <t>LXB11_模组BCCS总成_12S</t>
  </si>
  <si>
    <t>F02001000529</t>
  </si>
  <si>
    <t>3.2.49.08.00241-000</t>
  </si>
  <si>
    <t>LPT03A_PBP-加热片-L</t>
  </si>
  <si>
    <t>F01001001467</t>
  </si>
  <si>
    <t>3.2.49.08.00888-000</t>
  </si>
  <si>
    <t>LXB11:CCS-13S-A1</t>
  </si>
  <si>
    <t>F01001001468</t>
  </si>
  <si>
    <t>3.2.49.08.00889-000</t>
  </si>
  <si>
    <t>LXB11;CCS-13S-A2</t>
  </si>
  <si>
    <t>F01001001469</t>
  </si>
  <si>
    <t>3.2.49.08.00890-000</t>
  </si>
  <si>
    <t>LXB11;CCS-13S-B1</t>
  </si>
  <si>
    <t>F01001001470</t>
  </si>
  <si>
    <t>3.2.49.08.00891-000</t>
  </si>
  <si>
    <t>LXB11;CCS-13S-B2</t>
  </si>
  <si>
    <t>F01001001465</t>
  </si>
  <si>
    <t>3.2.49.08.01491-000</t>
  </si>
  <si>
    <t>LX-C11模组CCS总成15SA</t>
  </si>
  <si>
    <t>F01001001466</t>
  </si>
  <si>
    <t>3.2.49.08.01492-000</t>
  </si>
  <si>
    <t>LX-C11模组CCS总成15SB</t>
  </si>
  <si>
    <t>F01001001464</t>
  </si>
  <si>
    <t>3.2.49.08.01490-000</t>
  </si>
  <si>
    <t>LX-C11-模组CCS总成15SA</t>
  </si>
  <si>
    <t>F01001002013</t>
  </si>
  <si>
    <t>3.1.02.30.00547</t>
  </si>
  <si>
    <t>LXC11EV1A-CCS总成_A</t>
  </si>
  <si>
    <t>F01001002014</t>
  </si>
  <si>
    <t>3.1.02.30.00548</t>
  </si>
  <si>
    <t>LXC11EV1A-CCS总成_B</t>
  </si>
  <si>
    <t>F06001000446</t>
  </si>
  <si>
    <t>3.2.49.08.01459-000</t>
  </si>
  <si>
    <t>LXC10EV10C-正输出极铝</t>
  </si>
  <si>
    <t>F06001000447</t>
  </si>
  <si>
    <t>3.2.49.08.01460-000</t>
  </si>
  <si>
    <t>LXC10EV10C-负输出极铝</t>
  </si>
  <si>
    <t>F06001000448</t>
  </si>
  <si>
    <t>3.2.49.08.01461-000</t>
  </si>
  <si>
    <t>LXC10EV10C-跨接铝巴1</t>
  </si>
  <si>
    <t>F06001000449</t>
  </si>
  <si>
    <t>3.2.49.08.01462-000</t>
  </si>
  <si>
    <t>LXC10EV10C-跨接铝巴2</t>
  </si>
  <si>
    <t>F06001000450</t>
  </si>
  <si>
    <t>3.2.49.08.01463-000</t>
  </si>
  <si>
    <t>LXC10EV10C-跨接铝巴3</t>
  </si>
  <si>
    <t>F01001001608</t>
  </si>
  <si>
    <t>3.2.49.08.01373-000</t>
  </si>
  <si>
    <t>LXC10EV10C-模组B-CCS组件</t>
  </si>
  <si>
    <t>F01001001607</t>
  </si>
  <si>
    <t>3.2.49.08.01372-000</t>
  </si>
  <si>
    <t>LXCIOEV10C-模组A-CCS组件</t>
  </si>
  <si>
    <t>F01001002458</t>
  </si>
  <si>
    <t>3.1.02.30.01019</t>
  </si>
  <si>
    <t>LXC11EV1A;CCS-01</t>
  </si>
  <si>
    <t>F01001002459</t>
  </si>
  <si>
    <t>3.1.02.30.01020</t>
  </si>
  <si>
    <t>LXC11EV1A;CCS-02</t>
  </si>
  <si>
    <t>F01001002456</t>
  </si>
  <si>
    <t>3.2.49.08.02348-000</t>
  </si>
  <si>
    <t>LXB13EV10A-CCS-A</t>
  </si>
  <si>
    <t>F01001002457</t>
  </si>
  <si>
    <t>3.2.49.08.02354-000</t>
  </si>
  <si>
    <t>LXB13EV10A-CCS-B</t>
  </si>
  <si>
    <t>F06001000861</t>
  </si>
  <si>
    <t>3.2.41.30.01906-000</t>
  </si>
  <si>
    <t>LXCU13E01-串联铝巴</t>
  </si>
  <si>
    <t>F06001000579</t>
  </si>
  <si>
    <t>3.2.44.30.02162-000</t>
  </si>
  <si>
    <t>LXC10EV10C-模组串联铝巴-01</t>
  </si>
  <si>
    <t>F06001000814</t>
  </si>
  <si>
    <t>3.2.44.30.02163-000</t>
  </si>
  <si>
    <t>LXC10EV10C-模组串联铝巴-0</t>
  </si>
  <si>
    <t>F06001000720</t>
  </si>
  <si>
    <t>3.2.41.30.01727-000</t>
  </si>
  <si>
    <t>LXD21EV10-输出极铝巴-01</t>
  </si>
  <si>
    <t>F06001000721</t>
  </si>
  <si>
    <t>3.2.41.30.01728-000</t>
  </si>
  <si>
    <t>LXD21EV10-输出极铝巴-02</t>
  </si>
  <si>
    <t>F06001000723</t>
  </si>
  <si>
    <t>3.2.41.30.01730</t>
  </si>
  <si>
    <t>LXD21EV10-串联铝巴-02</t>
  </si>
  <si>
    <t>F01001002816</t>
  </si>
  <si>
    <t>3.1.02.30.01300</t>
  </si>
  <si>
    <t>LXC10EV10C-CCS-A</t>
  </si>
  <si>
    <t>F01001002817</t>
  </si>
  <si>
    <t>3.1.02.30.01301</t>
  </si>
  <si>
    <t>LXC10EV10C-CCS-B</t>
  </si>
  <si>
    <t>F01001002784</t>
  </si>
  <si>
    <t>3.1.02.30.01290</t>
  </si>
  <si>
    <t>LXB11RE10A-CCS</t>
  </si>
  <si>
    <t>F01001002160</t>
  </si>
  <si>
    <t>3.1.02.30.00632</t>
  </si>
  <si>
    <t>LXT05EV20-模组A-CCS-02</t>
  </si>
  <si>
    <t>F01001002161</t>
  </si>
  <si>
    <t>3.1.02.30.00633</t>
  </si>
  <si>
    <t>LXT05EV20-模组B-CCS-02</t>
  </si>
  <si>
    <t>F01001002473</t>
  </si>
  <si>
    <t>3.1.02.30.01038</t>
  </si>
  <si>
    <t>LXT05EV20-CCS-C</t>
  </si>
  <si>
    <t>F01001002123</t>
  </si>
  <si>
    <t>3.1.02.30.00636</t>
  </si>
  <si>
    <t>LXT05EV20B-模组A_CCS-01</t>
  </si>
  <si>
    <t>F01001002124</t>
  </si>
  <si>
    <t>3.1.02.30.00637</t>
  </si>
  <si>
    <t>LXT05EV20B-模组B_CCS-02</t>
  </si>
  <si>
    <t>F06001000849</t>
  </si>
  <si>
    <t>3.2.41.30.01758-000</t>
  </si>
  <si>
    <t>LXD21EV10-串联铝巴-03</t>
  </si>
  <si>
    <t>F01001002831</t>
  </si>
  <si>
    <t>3.1.02.30.01312</t>
  </si>
  <si>
    <t>LXCU13E01.CCS-02</t>
  </si>
  <si>
    <t xml:space="preserve">F01001003093  </t>
  </si>
  <si>
    <t>3.1.02.30.01484</t>
  </si>
  <si>
    <t>LXC11EV1A-CCS-02</t>
  </si>
  <si>
    <t>F01001003094</t>
  </si>
  <si>
    <t>3.1.02.30.01485</t>
  </si>
  <si>
    <t>LXTO5EV20-CCS-B-02</t>
  </si>
  <si>
    <t>F01001003095</t>
  </si>
  <si>
    <t>3.1.02.30.01486</t>
  </si>
  <si>
    <t>LXTO5EV20-CCS-C-02</t>
  </si>
  <si>
    <t>3.1.02.30.01329</t>
  </si>
  <si>
    <t>LXCU12E09EV-CCS-A</t>
  </si>
  <si>
    <t>3.1.02.30.01330</t>
  </si>
  <si>
    <t>LXCU12E09EV-CCS-B</t>
  </si>
  <si>
    <t>3.1.02.30.01331</t>
  </si>
  <si>
    <t>LXCU12E09EV-CCS-C</t>
  </si>
  <si>
    <t>3.1.02.30.01332</t>
  </si>
  <si>
    <t>LXCU12E09EV-CCS-D</t>
  </si>
  <si>
    <t>F01001000346</t>
  </si>
  <si>
    <t>3.2.49.08.00346-000</t>
  </si>
  <si>
    <t>T03A_PBP-模组（南京国轩电芯）CCS总成1</t>
  </si>
  <si>
    <t>F01001000347</t>
  </si>
  <si>
    <t>3.2.49.08.00347-000</t>
  </si>
  <si>
    <t>T03A_PBP-模组（南京国轩电芯）CCS总成2</t>
  </si>
  <si>
    <t>801001002226</t>
  </si>
  <si>
    <t>3.2.49.08.00610-000</t>
  </si>
  <si>
    <t>LPC11_LFP_FPC233</t>
  </si>
  <si>
    <t>F06001000569</t>
  </si>
  <si>
    <t>3.2.44.30.00303-000</t>
  </si>
  <si>
    <t>LP-C11三元模组中间铝巴</t>
  </si>
  <si>
    <t>3.2.49.08.00609-000</t>
  </si>
  <si>
    <t>LPC11_LFP_FPC232</t>
  </si>
  <si>
    <t>3.2.49.08.00608-000</t>
  </si>
  <si>
    <t>LPC11_LFP_FPC231</t>
  </si>
  <si>
    <t>F06001000390</t>
  </si>
  <si>
    <t>3.2.41.30.00436-000</t>
  </si>
  <si>
    <t>LP-C11-22S-B-串联排1</t>
  </si>
  <si>
    <t>F06001000151</t>
  </si>
  <si>
    <t>3.2.49.08.01089-000</t>
  </si>
  <si>
    <t>串联排二</t>
  </si>
  <si>
    <t>F06001000091</t>
  </si>
  <si>
    <t>3.2.41.30.00187-000</t>
  </si>
  <si>
    <t>吕排1</t>
  </si>
  <si>
    <t>F02002000735</t>
  </si>
  <si>
    <t>3.2.53.06.00106-000</t>
  </si>
  <si>
    <t>上层模组加热膜</t>
  </si>
  <si>
    <t>F02002000734</t>
  </si>
  <si>
    <t>3.2.53.06.00107-000</t>
  </si>
  <si>
    <t>下层模组加热膜</t>
  </si>
  <si>
    <t>F06001000399</t>
  </si>
  <si>
    <t>3.2.44.30.02022-000</t>
  </si>
  <si>
    <t>铝排;LX-B13EV10A-输出级铝巴1</t>
  </si>
  <si>
    <t>F06001000395</t>
  </si>
  <si>
    <t>3.2.44.30.02023-000</t>
  </si>
  <si>
    <t>LX-B13EV10A-输出级铝巴2</t>
  </si>
  <si>
    <t>F06001000397</t>
  </si>
  <si>
    <t>3.2.44.30.02024-000</t>
  </si>
  <si>
    <t>LX-B13EV10A-输出级铝巴3</t>
  </si>
  <si>
    <t>F06001000400</t>
  </si>
  <si>
    <t>3.2.44.30.02025-000</t>
  </si>
  <si>
    <t>铝排:LX-B13EV10A-输出级铝巴4</t>
  </si>
  <si>
    <t>F06001000394</t>
  </si>
  <si>
    <t>3.2.44.30.02026-000</t>
  </si>
  <si>
    <t>LX-B13EV10A-输出级铝巴5</t>
  </si>
  <si>
    <t>F06001000398</t>
  </si>
  <si>
    <t>3.2.44.30.02027-000</t>
  </si>
  <si>
    <t>LX-B13EV10A-输出级铝巴6</t>
  </si>
  <si>
    <t>F06001000396</t>
  </si>
  <si>
    <t>3.2.44.30.02028-000</t>
  </si>
  <si>
    <t>LX-B13EV10A-模组B串联铝巴2</t>
  </si>
  <si>
    <t>3.2.49.08.01389-000</t>
  </si>
  <si>
    <t>LXC11-721-FPC-A</t>
  </si>
  <si>
    <t>801001003167</t>
  </si>
  <si>
    <t>3.2.49.08.01390-000</t>
  </si>
  <si>
    <t>LXC11-721-FPC-B</t>
  </si>
  <si>
    <t>F06001000140</t>
  </si>
  <si>
    <t>3.2.41.30.00433-000</t>
  </si>
  <si>
    <t>TO3-200串联铝排</t>
  </si>
  <si>
    <t>F06001000523</t>
  </si>
  <si>
    <t>3.2.44.30.01968-000</t>
  </si>
  <si>
    <t>模组CCS零部件输出铝巴-R</t>
  </si>
  <si>
    <t>F06001000524</t>
  </si>
  <si>
    <t>3.2.44.30.01969-000</t>
  </si>
  <si>
    <t>模组CCS零部件输出铝巴-L</t>
  </si>
  <si>
    <t>F06001000525</t>
  </si>
  <si>
    <t>3.2.44.30.01970-000</t>
  </si>
  <si>
    <t>模组CCS零部件输出铝巴2-R</t>
  </si>
  <si>
    <t>F06001000520</t>
  </si>
  <si>
    <t>3.2.44.30.01964-000</t>
  </si>
  <si>
    <t>T03-200km模组CCS串联铝排1</t>
  </si>
  <si>
    <t>F06001000521</t>
  </si>
  <si>
    <t>3.2.44.30.01965-000</t>
  </si>
  <si>
    <t>模组CCS零部件跨接串联铝排</t>
  </si>
  <si>
    <t>F06001000522</t>
  </si>
  <si>
    <t>3.2.44.30.01966-000</t>
  </si>
  <si>
    <t>模组CCS等部件串联铝排2</t>
  </si>
  <si>
    <t>F06001000526</t>
  </si>
  <si>
    <t>3.2.44.30.01971-000</t>
  </si>
  <si>
    <t>T03-200km模组CCS零部件-输出铝巴2-L</t>
  </si>
  <si>
    <t>F06001000555</t>
  </si>
  <si>
    <t>3.2.49.08.01088-000</t>
  </si>
  <si>
    <t>模组铝巴01-28.4</t>
  </si>
  <si>
    <t>F06001000557</t>
  </si>
  <si>
    <t>3.2.49.08.01090-000</t>
  </si>
  <si>
    <t>模组铝巴03-28.4</t>
  </si>
  <si>
    <t>F06001000556</t>
  </si>
  <si>
    <t>3.2.49.08.01091-000</t>
  </si>
  <si>
    <t>模组铝巴04-28.4</t>
  </si>
  <si>
    <t>F06001000153</t>
  </si>
  <si>
    <t>3.2.44.30.01701-000</t>
  </si>
  <si>
    <t>LX-B13EV10A-模组A串联铝巴</t>
  </si>
  <si>
    <t>F06001000152</t>
  </si>
  <si>
    <t>3.2.44.30.01702-000</t>
  </si>
  <si>
    <t>LX-B13EV10A-模组B串联铝巴</t>
  </si>
  <si>
    <t>F06001000422</t>
  </si>
  <si>
    <t>3.2.41.30.01245-000</t>
  </si>
  <si>
    <t>LXC11欣旺达-X16铝巴-1</t>
  </si>
  <si>
    <t>3.2.49.08.01391-000</t>
  </si>
  <si>
    <t>LXC11-;722-FPC-S;</t>
  </si>
  <si>
    <t>3.2.49.08.00447-000</t>
  </si>
  <si>
    <t>LPTO3APBP-FPC2-FC大模组</t>
  </si>
  <si>
    <t>F06001000376</t>
  </si>
  <si>
    <t>3.2.41.30.00435-000</t>
  </si>
  <si>
    <t>LXC01-21A-电芯间汇流排-1</t>
  </si>
  <si>
    <t>3.2.49.08.00446-000</t>
  </si>
  <si>
    <t>LPTO3A PBP-FPC1-FC大模组</t>
  </si>
  <si>
    <t>F01001001480</t>
  </si>
  <si>
    <t>3.2.49.08.01337-000</t>
  </si>
  <si>
    <t>LXA12EV10-CCS-32S-A</t>
  </si>
  <si>
    <t>F01001001481</t>
  </si>
  <si>
    <t>3.2.49.08.01338-000</t>
  </si>
  <si>
    <t>LXA12EV10-CCS-32S-B</t>
  </si>
  <si>
    <t>F06001000490</t>
  </si>
  <si>
    <t>3.2.44.30.02433-000</t>
  </si>
  <si>
    <t>LXA12EV10-焊前验证镍片-1</t>
  </si>
  <si>
    <t>F06001000489</t>
  </si>
  <si>
    <t>3.2.41.30.01477-000</t>
  </si>
  <si>
    <t>LXA12EV10-串联铝巴-1</t>
  </si>
  <si>
    <t>F06001000794</t>
  </si>
  <si>
    <t>3.2.41.30.00437-000</t>
  </si>
  <si>
    <t>LXC11-增程铁锂模组铝巴</t>
  </si>
  <si>
    <t>3.2.49.08.01824-000</t>
  </si>
  <si>
    <t>LXC11EV1A-FPC_A1</t>
  </si>
  <si>
    <t>3.2.49.08.01825-000</t>
  </si>
  <si>
    <t>LXC11EV1A-FPC_A2</t>
  </si>
  <si>
    <t>3.2.49.08.01826-000</t>
  </si>
  <si>
    <t>LXC11EV1A-FPC_B1</t>
  </si>
  <si>
    <t>3.2.49.08.01827-000</t>
  </si>
  <si>
    <t>LXC11EV1A-FPC_B2</t>
  </si>
  <si>
    <t>3.2.49.08.00763-000</t>
  </si>
  <si>
    <t>LP-C11RE0_FPC_A21</t>
  </si>
  <si>
    <t>3.2.49.08.00611-000</t>
  </si>
  <si>
    <t>LPT03A_FPC_F16</t>
  </si>
  <si>
    <t>3.2.49.08.00612-000</t>
  </si>
  <si>
    <t>LPT03A_FPC_B16</t>
  </si>
  <si>
    <t>3.2.49.08.01560</t>
  </si>
  <si>
    <t>LXC10EV10C-FPC_A1</t>
  </si>
  <si>
    <t>3.2.49.08.01561</t>
  </si>
  <si>
    <t>LXC10EV10C-FPC_A2</t>
  </si>
  <si>
    <t>3.2.49.08.01562</t>
  </si>
  <si>
    <t>LXC10EV10C-FPC_B1</t>
  </si>
  <si>
    <t>3.2.49.08.01563</t>
  </si>
  <si>
    <t>LXC10EV10C-FPC_B2</t>
  </si>
  <si>
    <t>F06001000580</t>
  </si>
  <si>
    <t>3.2.44.30.02622-000</t>
  </si>
  <si>
    <t>LXC10EV10C-厂内焊接镍片-01</t>
  </si>
  <si>
    <t>F06001000377</t>
  </si>
  <si>
    <t>3.2.44.30.01769-000</t>
  </si>
  <si>
    <t>LXA12EV10-模组跨接铝排-1</t>
  </si>
  <si>
    <t>F06001000378</t>
  </si>
  <si>
    <t>3.2.44.30.01770-000</t>
  </si>
  <si>
    <t>LXA12EV10-模组跨接铝排-2</t>
  </si>
  <si>
    <t>到货日期</t>
  </si>
  <si>
    <t>厂家代码</t>
  </si>
  <si>
    <t>到货单号</t>
  </si>
  <si>
    <t>收货数量</t>
  </si>
  <si>
    <t>包装数量</t>
  </si>
  <si>
    <t>备注</t>
  </si>
  <si>
    <t>2811102000043572</t>
  </si>
  <si>
    <t>51421000285142900011/5142800020/5143000017/5142900017</t>
  </si>
  <si>
    <t>2811102000043586</t>
  </si>
  <si>
    <t>5150400023/5150400008/5150400011</t>
  </si>
  <si>
    <t>2811102000043460</t>
  </si>
  <si>
    <t>5143000020/5143000018</t>
  </si>
  <si>
    <t>2811102000043477</t>
  </si>
  <si>
    <t>21z2026043000003/21z2026043000002</t>
  </si>
  <si>
    <t>2811102000043633</t>
  </si>
  <si>
    <t>5142900012/5150400020</t>
  </si>
  <si>
    <t>2811102000043719</t>
  </si>
  <si>
    <t>5143000016/5150500029</t>
  </si>
  <si>
    <t>2811102000043753</t>
  </si>
  <si>
    <t>1150600010</t>
  </si>
  <si>
    <t>2811102000043780</t>
  </si>
  <si>
    <t>51z2026050400019</t>
  </si>
  <si>
    <t>2811102000043779</t>
  </si>
  <si>
    <t>51z2026050700035/51z2026050700034/51z2026050700029/51z2026050700032/51z2026050700017</t>
  </si>
  <si>
    <t>2811102000043845</t>
  </si>
  <si>
    <t>武义调拨</t>
  </si>
  <si>
    <t>2811102000043874</t>
  </si>
  <si>
    <t>LXCU13E01-CCS总成</t>
  </si>
  <si>
    <t>51z2026050700017</t>
  </si>
  <si>
    <t>2811102000043863</t>
  </si>
  <si>
    <t>1150600011</t>
  </si>
  <si>
    <t>2811102000043855</t>
  </si>
  <si>
    <t>5150700027/5150800022/5150800011</t>
  </si>
  <si>
    <t>2811102000043913</t>
  </si>
  <si>
    <t>5150900038/5150900023/5150900021/5150900022/5150900015/5150800019/5150900019/5150900016/5150700028</t>
  </si>
  <si>
    <t>2811102000043991</t>
  </si>
  <si>
    <t>51z051000018/51z051000016/51z051000009/51z051000010/51z051000011/51z051000012/51z050400019</t>
  </si>
  <si>
    <t>2811102000044024</t>
  </si>
  <si>
    <t>51Z2026051200002</t>
  </si>
  <si>
    <t>2811102000044028</t>
  </si>
  <si>
    <t>5151100014/5151200005/5151200002</t>
  </si>
  <si>
    <t>2811102000044025</t>
  </si>
  <si>
    <t>5151100013/5151100018/5151100011/5151100010/5151100009/5151000032/5151100002/5151000025/5151000023/5151000024/5151000026</t>
  </si>
  <si>
    <t>2811102000044051</t>
  </si>
  <si>
    <t>5151000017/5150700025</t>
  </si>
  <si>
    <t>2811102000044058</t>
  </si>
  <si>
    <t>51z202651200012</t>
  </si>
  <si>
    <t>2811102000044081</t>
  </si>
  <si>
    <t>5151200017</t>
  </si>
  <si>
    <t>发货日期</t>
  </si>
  <si>
    <t>装箱单号</t>
  </si>
  <si>
    <t>发货数量</t>
  </si>
  <si>
    <t>2811191000016726</t>
  </si>
  <si>
    <t>D2026050200057</t>
  </si>
  <si>
    <t>2811191000016727</t>
  </si>
  <si>
    <t>D2026050200045</t>
  </si>
  <si>
    <t>2811202000247034</t>
  </si>
  <si>
    <t>转武义仓</t>
  </si>
  <si>
    <t>2811202000247036</t>
  </si>
  <si>
    <t>D2026050200070</t>
  </si>
  <si>
    <t>2811202000247039</t>
  </si>
  <si>
    <t>D2026050300005</t>
  </si>
  <si>
    <t>2811202000247041</t>
  </si>
  <si>
    <t>D2026050300019</t>
  </si>
  <si>
    <t>2811202000247150</t>
  </si>
  <si>
    <t>D2026050300043</t>
  </si>
  <si>
    <t>2811191000016732</t>
  </si>
  <si>
    <t>D2026050300079</t>
  </si>
  <si>
    <t>2811191000016739</t>
  </si>
  <si>
    <t>D2026050300144</t>
  </si>
  <si>
    <t>2811202000247378</t>
  </si>
  <si>
    <t>2811202000247445</t>
  </si>
  <si>
    <t>652337443</t>
  </si>
  <si>
    <t>2811191000016742</t>
  </si>
  <si>
    <t>D2026050400038</t>
  </si>
  <si>
    <t>2811191000016743</t>
  </si>
  <si>
    <t>D2026050400065</t>
  </si>
  <si>
    <t>2811191000016745</t>
  </si>
  <si>
    <t>D2026050400085</t>
  </si>
  <si>
    <t>2811202000247571</t>
  </si>
  <si>
    <t>D2026050400117</t>
  </si>
  <si>
    <t>2811202000247572</t>
  </si>
  <si>
    <t>D2026050400110</t>
  </si>
  <si>
    <t>2811191000016751</t>
  </si>
  <si>
    <t>D2026050400162</t>
  </si>
  <si>
    <t>2811191000016752</t>
  </si>
  <si>
    <t>D2026050500010</t>
  </si>
  <si>
    <t>2811202000247649</t>
  </si>
  <si>
    <t>D2026050500019</t>
  </si>
  <si>
    <t>2811202000247650</t>
  </si>
  <si>
    <t>D2026050500020</t>
  </si>
  <si>
    <t>2811202000247783</t>
  </si>
  <si>
    <t>LXC11-模组CCS总成22S</t>
  </si>
  <si>
    <t>652343465</t>
  </si>
  <si>
    <t>2811191000016756</t>
  </si>
  <si>
    <t>D2026050500050</t>
  </si>
  <si>
    <t>2811191000016762</t>
  </si>
  <si>
    <t>D2026050500111</t>
  </si>
  <si>
    <t>2811202000247909</t>
  </si>
  <si>
    <t>652345702</t>
  </si>
  <si>
    <t>2811191000016770</t>
  </si>
  <si>
    <t>D2026050500156</t>
  </si>
  <si>
    <t>2811202000247939</t>
  </si>
  <si>
    <t>D2026050500149</t>
  </si>
  <si>
    <t>2811191000016771</t>
  </si>
  <si>
    <t>D2026050600009</t>
  </si>
  <si>
    <t>2811191000016782</t>
  </si>
  <si>
    <t>D2026050600028</t>
  </si>
  <si>
    <t>2811191000016784</t>
  </si>
  <si>
    <t>D2026050600047</t>
  </si>
  <si>
    <t>2811191000016786</t>
  </si>
  <si>
    <t>D2026050600081</t>
  </si>
  <si>
    <t>2811202000248125</t>
  </si>
  <si>
    <t>D2026050600106</t>
  </si>
  <si>
    <t>2811202000248174</t>
  </si>
  <si>
    <t>652351380</t>
  </si>
  <si>
    <t>2811202000248255</t>
  </si>
  <si>
    <t>D2026050700002</t>
  </si>
  <si>
    <t>2811191000016797</t>
  </si>
  <si>
    <t>D2026050700025</t>
  </si>
  <si>
    <t>2811191000016798</t>
  </si>
  <si>
    <t>D2026050700057</t>
  </si>
  <si>
    <t>2811202000248418</t>
  </si>
  <si>
    <t>652356124</t>
  </si>
  <si>
    <t>2811202000248419</t>
  </si>
  <si>
    <t>652357578</t>
  </si>
  <si>
    <t>2811191000016803</t>
  </si>
  <si>
    <t>D2026050700173</t>
  </si>
  <si>
    <t>2811202000248639</t>
  </si>
  <si>
    <t>652362402</t>
  </si>
  <si>
    <t>2811191000016816</t>
  </si>
  <si>
    <t>D2026050800086</t>
  </si>
  <si>
    <t>2811191000016817</t>
  </si>
  <si>
    <t>D2026050800072</t>
  </si>
  <si>
    <t>2811191000016818</t>
  </si>
  <si>
    <t>D2026050800105</t>
  </si>
  <si>
    <t>2811202000248823</t>
  </si>
  <si>
    <t>D2026050800121</t>
  </si>
  <si>
    <t>2811191000016819</t>
  </si>
  <si>
    <t>D2026050800155</t>
  </si>
  <si>
    <t>2811191000016820</t>
  </si>
  <si>
    <t>D2026050900002</t>
  </si>
  <si>
    <t>2811202000248853</t>
  </si>
  <si>
    <t>D2026050800164</t>
  </si>
  <si>
    <t>2811202000248875</t>
  </si>
  <si>
    <t>D2026050900025</t>
  </si>
  <si>
    <t>2811191000016821</t>
  </si>
  <si>
    <t>D2026050900014</t>
  </si>
  <si>
    <t>2811202000248878</t>
  </si>
  <si>
    <t>D2026050800007</t>
  </si>
  <si>
    <t>2811191000016826</t>
  </si>
  <si>
    <t>D2026050900057</t>
  </si>
  <si>
    <t>2811191000016828</t>
  </si>
  <si>
    <t>D2026050900084</t>
  </si>
  <si>
    <t>2811191000016829</t>
  </si>
  <si>
    <t>D2026050900100</t>
  </si>
  <si>
    <t>2811191000016832</t>
  </si>
  <si>
    <t>D2026050900166</t>
  </si>
  <si>
    <t>2811191000016834</t>
  </si>
  <si>
    <t>D2026051000002</t>
  </si>
  <si>
    <t>2811191000016837</t>
  </si>
  <si>
    <t>D2026051000051</t>
  </si>
  <si>
    <t>2811191000016838</t>
  </si>
  <si>
    <t>D2026051000068</t>
  </si>
  <si>
    <t>2811191000016844</t>
  </si>
  <si>
    <t>D2026051000093</t>
  </si>
  <si>
    <t>2811191000016848</t>
  </si>
  <si>
    <t>D2026051000103</t>
  </si>
  <si>
    <t>2811191000016850</t>
  </si>
  <si>
    <t>D2026051000131</t>
  </si>
  <si>
    <t>2811191000016852</t>
  </si>
  <si>
    <t>D2026051100002</t>
  </si>
  <si>
    <t>2811191000016853</t>
  </si>
  <si>
    <t>D2026051100011</t>
  </si>
  <si>
    <t>2811191000016858</t>
  </si>
  <si>
    <t>D2026051100051</t>
  </si>
  <si>
    <t>2811191000016864</t>
  </si>
  <si>
    <t>D2026051100096</t>
  </si>
  <si>
    <t>2811191000016866</t>
  </si>
  <si>
    <t>D2026051100145</t>
  </si>
  <si>
    <t>2811191000016868</t>
  </si>
  <si>
    <t>D2026051200002</t>
  </si>
  <si>
    <t>2811202000249764</t>
  </si>
  <si>
    <t>D2026051200037</t>
  </si>
  <si>
    <t>2811202000249775</t>
  </si>
  <si>
    <t>D2026051200051</t>
  </si>
  <si>
    <t>2811191000016879</t>
  </si>
  <si>
    <t>D2026051200058</t>
  </si>
  <si>
    <t>2811202000249916</t>
  </si>
  <si>
    <t>D2026051200052</t>
  </si>
  <si>
    <t>2811202000249917</t>
  </si>
  <si>
    <t>D2026051200053</t>
  </si>
  <si>
    <t>2811191000016884</t>
  </si>
  <si>
    <t>D2026051200108</t>
  </si>
  <si>
    <t>2811191000016885</t>
  </si>
  <si>
    <t>D2026051200116</t>
  </si>
  <si>
    <t>2811202000249997</t>
  </si>
  <si>
    <t>D2026051200134</t>
  </si>
  <si>
    <t>2811191000016887</t>
  </si>
  <si>
    <t>D2026051200143</t>
  </si>
  <si>
    <t>2811202000250017</t>
  </si>
  <si>
    <t>652391513</t>
  </si>
  <si>
    <t>2811191000016889</t>
  </si>
  <si>
    <t>D2026051200150</t>
  </si>
  <si>
    <t>2811191000016891</t>
  </si>
  <si>
    <t>D2026051300016</t>
  </si>
  <si>
    <t>2811202000250064</t>
  </si>
  <si>
    <t>D2026051300028</t>
  </si>
  <si>
    <t>计划生产日期</t>
  </si>
  <si>
    <t>订单号</t>
  </si>
  <si>
    <t>物料</t>
  </si>
  <si>
    <t>物料名称</t>
  </si>
  <si>
    <t>指示数量</t>
  </si>
  <si>
    <t>实发</t>
  </si>
  <si>
    <t>签收日期</t>
  </si>
  <si>
    <t>发货SNP</t>
  </si>
  <si>
    <t>箱数</t>
  </si>
  <si>
    <t>安徽晨阳</t>
  </si>
  <si>
    <t>日期</t>
  </si>
  <si>
    <t>零件号/空盛具</t>
  </si>
  <si>
    <t>退货数量</t>
  </si>
  <si>
    <t>发货人</t>
  </si>
  <si>
    <t>单号</t>
  </si>
  <si>
    <t>备注2</t>
  </si>
  <si>
    <t>喜百年转入不良品</t>
  </si>
  <si>
    <t>2811102000000040</t>
  </si>
  <si>
    <t>售后退回</t>
  </si>
  <si>
    <t>2811291000000419</t>
  </si>
  <si>
    <t>线服排查不良品</t>
  </si>
  <si>
    <t>2811401000000235</t>
  </si>
  <si>
    <t>驻场排查不良 11.29</t>
  </si>
  <si>
    <t>2811401000000237</t>
  </si>
  <si>
    <t>12.17驻厂排查不良</t>
  </si>
  <si>
    <t>2811401000000255</t>
  </si>
  <si>
    <t>转合格品</t>
  </si>
  <si>
    <t>2811401000000473</t>
  </si>
  <si>
    <t>不良品零跑退货</t>
  </si>
  <si>
    <t>2811291000002036</t>
  </si>
  <si>
    <t>老状态 隔离暂转</t>
  </si>
  <si>
    <t>2811401000000644</t>
  </si>
  <si>
    <t>供应商通知转良品</t>
  </si>
  <si>
    <t>2811401000000771</t>
  </si>
  <si>
    <t>不良退回</t>
  </si>
  <si>
    <t>2811191000006403</t>
  </si>
  <si>
    <t>2811191000006408</t>
  </si>
  <si>
    <t>不良品</t>
  </si>
  <si>
    <t>2811401000001114</t>
  </si>
  <si>
    <t>不良退回供应商</t>
  </si>
  <si>
    <t>2811191000013971</t>
  </si>
  <si>
    <t>硅翔沟通挂不良品账</t>
  </si>
  <si>
    <t>2811401000001152</t>
  </si>
  <si>
    <t>供应商要求转良品</t>
  </si>
  <si>
    <t>2811401000001155</t>
  </si>
  <si>
    <t>2811401000001203</t>
  </si>
  <si>
    <t>盘点调账转不良</t>
  </si>
  <si>
    <t>2811401000001242</t>
  </si>
  <si>
    <t>零件号</t>
  </si>
  <si>
    <t>包装代码</t>
  </si>
  <si>
    <t>数量SNP</t>
  </si>
  <si>
    <t>交付地点</t>
  </si>
  <si>
    <t>3.2.49.08.00785-000</t>
  </si>
  <si>
    <t>801001003168</t>
  </si>
  <si>
    <t>3.2.49.08.01032-000(验证)</t>
  </si>
  <si>
    <t>F01001002172</t>
  </si>
  <si>
    <t>3.2.49.08.01033-000(验证)</t>
  </si>
  <si>
    <t>F01001002173</t>
  </si>
  <si>
    <t>3.1.02.30.00622</t>
  </si>
  <si>
    <t>F01001002271</t>
  </si>
  <si>
    <t>3.1.02.30.00623</t>
  </si>
  <si>
    <t>F01001002272</t>
  </si>
  <si>
    <t>3.2.49.08.01665-000</t>
  </si>
  <si>
    <t>F01004000334</t>
  </si>
  <si>
    <t>3.2.49.08.01666-000</t>
  </si>
  <si>
    <t xml:space="preserve"> F01004000335</t>
  </si>
  <si>
    <t>3.2.49.08.02347-000</t>
  </si>
  <si>
    <t xml:space="preserve"> F01004000336</t>
  </si>
  <si>
    <t>3.1.02.30.01190</t>
  </si>
  <si>
    <t>F01001002796</t>
  </si>
  <si>
    <t>3.1.02.30.01189</t>
  </si>
  <si>
    <t>F01001002795</t>
  </si>
  <si>
    <t>3.1.02.30.01188</t>
  </si>
  <si>
    <t>F01001002794</t>
  </si>
  <si>
    <t>3.2.49.08.01675-000</t>
  </si>
  <si>
    <t>F02002000948</t>
  </si>
  <si>
    <t>3.2.49.08.01676-000</t>
  </si>
  <si>
    <t>F02002000949</t>
  </si>
  <si>
    <t>3.2.49.08.02372-000</t>
  </si>
  <si>
    <t>F01004000492</t>
  </si>
  <si>
    <t xml:space="preserve">3.2.49.08.02373-000 </t>
  </si>
  <si>
    <t>F01004000493</t>
  </si>
  <si>
    <t xml:space="preserve">3.2.49.08.02374-000 </t>
  </si>
  <si>
    <t>F01004000494</t>
  </si>
  <si>
    <t xml:space="preserve">3.2.49.08.02375-000 </t>
  </si>
  <si>
    <t>F01004000495</t>
  </si>
  <si>
    <t>3.2.44.30.02162</t>
  </si>
  <si>
    <t>3.1.02.30.00639</t>
  </si>
  <si>
    <t>F01001002126</t>
  </si>
  <si>
    <t>3.1.02.30.00638</t>
  </si>
  <si>
    <t>F01001002125</t>
  </si>
  <si>
    <t>3.2.49.08.01930-000</t>
  </si>
  <si>
    <t>F01004000483</t>
  </si>
  <si>
    <t>3.2.49.08.01929-000</t>
  </si>
  <si>
    <t>F01004000482</t>
  </si>
  <si>
    <t>3.2.49.08.00524</t>
  </si>
  <si>
    <t>3.2.41.30.00435</t>
  </si>
  <si>
    <t>3.1.02.30.00934</t>
  </si>
  <si>
    <t>3.1.02.30.00935</t>
  </si>
  <si>
    <t>3.1.02.30.00937</t>
  </si>
  <si>
    <t>3.1.02.30.00936</t>
  </si>
  <si>
    <t>3.2.44.30.02842-000</t>
  </si>
  <si>
    <t>3.2.44.30.02844-000</t>
  </si>
  <si>
    <t>3.2.44.30.02845-000</t>
  </si>
  <si>
    <t>3.2.49.08.01743-000</t>
  </si>
  <si>
    <t>3.1.02.30.00709</t>
  </si>
  <si>
    <t>3.1.02.30.00711</t>
  </si>
  <si>
    <t>3.1.02.30.00710</t>
  </si>
  <si>
    <t>3.2.49.08.01742</t>
  </si>
  <si>
    <t>3.2.49.08.02411-000</t>
  </si>
  <si>
    <t>3.2.49.08.02412-000</t>
  </si>
  <si>
    <t>3.2.49.08.01320-000</t>
  </si>
  <si>
    <t>3.2.49.08.01322-000</t>
  </si>
  <si>
    <t>3.2.41.30.01365-000</t>
  </si>
  <si>
    <t>3.2.41.30.01360-000</t>
  </si>
  <si>
    <t>F01001000371</t>
  </si>
  <si>
    <t>3.2.41.30.01361-000</t>
  </si>
  <si>
    <t>3.2.49.08.01702-000</t>
  </si>
  <si>
    <t>3.1.02.30.00818</t>
  </si>
  <si>
    <t>3.1.02.30.00819</t>
  </si>
  <si>
    <t>3.1.02.30.00820</t>
  </si>
  <si>
    <t>3.1.02.30.00821</t>
  </si>
  <si>
    <t>3.2.41.30.01759-000</t>
  </si>
  <si>
    <t>3.2.41.30.01729-000</t>
  </si>
  <si>
    <t>3.2.41.30.01730-000</t>
  </si>
  <si>
    <t>3.1.02.30.00625</t>
  </si>
  <si>
    <t>3.1.02.30.00624</t>
  </si>
  <si>
    <t>3.2.41.30.01955-000</t>
  </si>
  <si>
    <t>3.2.41.30.01273-000</t>
  </si>
  <si>
    <t>3.2.41.30.01274-000</t>
  </si>
  <si>
    <t>3.2.41.30.01749-000</t>
  </si>
  <si>
    <t>3.2.41.30.01275-000</t>
  </si>
  <si>
    <t>3.2.49.08.01915-000</t>
  </si>
  <si>
    <t>3.2.49.08.01916-000</t>
  </si>
  <si>
    <t>3.2.49.08.01917-000</t>
  </si>
  <si>
    <t>3.2.41.30.01758</t>
  </si>
  <si>
    <t>供应商</t>
  </si>
  <si>
    <t>零件代码</t>
  </si>
  <si>
    <t>差异</t>
  </si>
  <si>
    <t>华通</t>
  </si>
  <si>
    <t>KK7B17C871AA</t>
  </si>
  <si>
    <t>CD539C MCA中支架总成</t>
  </si>
  <si>
    <t>KK7B17D995AA</t>
  </si>
  <si>
    <t>CD539C MCA刚度支架总成-左</t>
  </si>
  <si>
    <t>KK7B17D995BA</t>
  </si>
  <si>
    <t>CD539C MCA刚度支架总成-右</t>
  </si>
  <si>
    <t>翰氏</t>
  </si>
  <si>
    <t>KK7B17D948AB</t>
  </si>
  <si>
    <t>CD539C MCA尾灯支架总成-右</t>
  </si>
  <si>
    <t>KK7B17D949AB</t>
  </si>
  <si>
    <t>CD539C MCA尾灯支架总成-左</t>
  </si>
  <si>
    <t>KK7B17E850AB</t>
  </si>
  <si>
    <t>CD539C MCA侧围支架总成-右</t>
  </si>
  <si>
    <t>KK7B17E851AB</t>
  </si>
  <si>
    <t>CD539C MCA侧围支架总成-左</t>
  </si>
  <si>
    <t>塑源</t>
  </si>
  <si>
    <t>KK7B17D995VB</t>
  </si>
  <si>
    <t>CD539C MCA刚度支架总成-左-高配</t>
  </si>
  <si>
    <t>KK7B17D995XB</t>
  </si>
  <si>
    <t>CD539C MCA刚度支架总成-右-高配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</si>
</sst>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m&quot;月&quot;d&quot;日&quot;;@"/>
    <numFmt numFmtId="179" formatCode="yyyy&quot;年&quot;m&quot;月&quot;;@"/>
  </numFmts>
  <fonts count="62"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黑体"/>
      <charset val="134"/>
    </font>
    <font>
      <sz val="11"/>
      <color rgb="FF000000"/>
      <name val="黑体"/>
      <charset val="134"/>
    </font>
    <font>
      <sz val="12"/>
      <color rgb="FF000000"/>
      <name val="黑体"/>
      <charset val="134"/>
    </font>
    <font>
      <sz val="12"/>
      <color theme="1"/>
      <name val="黑体"/>
      <charset val="134"/>
    </font>
    <font>
      <sz val="11"/>
      <name val="黑体"/>
      <charset val="134"/>
    </font>
    <font>
      <sz val="14"/>
      <color rgb="FF000000"/>
      <name val="宋体"/>
      <charset val="134"/>
    </font>
    <font>
      <sz val="11"/>
      <color theme="1"/>
      <name val="黑体"/>
      <charset val="134"/>
    </font>
    <font>
      <sz val="12"/>
      <name val="黑体"/>
      <charset val="134"/>
    </font>
    <font>
      <sz val="14"/>
      <name val="黑体"/>
      <charset val="134"/>
    </font>
    <font>
      <sz val="11"/>
      <color rgb="FF000000"/>
      <name val="Microsoft YaHei"/>
      <charset val="134"/>
    </font>
    <font>
      <sz val="8"/>
      <color rgb="FF000000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2"/>
      <name val="宋体"/>
      <charset val="134"/>
      <scheme val="minor"/>
    </font>
    <font>
      <sz val="14"/>
      <color rgb="FF000000"/>
      <name val="黑体"/>
      <charset val="134"/>
    </font>
    <font>
      <sz val="14"/>
      <color theme="1"/>
      <name val="黑体"/>
      <charset val="134"/>
    </font>
    <font>
      <b/>
      <sz val="14"/>
      <color rgb="FF000000"/>
      <name val="黑体"/>
      <charset val="134"/>
    </font>
    <font>
      <b/>
      <sz val="14"/>
      <color rgb="FF000000"/>
      <name val="宋体"/>
      <charset val="134"/>
    </font>
    <font>
      <b/>
      <sz val="14"/>
      <color rgb="FFFF0000"/>
      <name val="宋体"/>
      <charset val="134"/>
    </font>
    <font>
      <sz val="14"/>
      <color rgb="FF0000FF"/>
      <name val="宋体"/>
      <charset val="134"/>
    </font>
    <font>
      <sz val="14"/>
      <name val="宋体"/>
      <charset val="134"/>
    </font>
    <font>
      <sz val="14"/>
      <color theme="0"/>
      <name val="黑体"/>
      <charset val="134"/>
    </font>
    <font>
      <b/>
      <sz val="14"/>
      <color theme="0"/>
      <name val="宋体"/>
      <charset val="134"/>
    </font>
    <font>
      <b/>
      <sz val="14"/>
      <color theme="0"/>
      <name val="黑体"/>
      <charset val="134"/>
    </font>
    <font>
      <sz val="14"/>
      <color theme="0"/>
      <name val="宋体"/>
      <charset val="134"/>
    </font>
    <font>
      <sz val="14"/>
      <color rgb="FFC00000"/>
      <name val="黑体"/>
      <charset val="134"/>
    </font>
    <font>
      <b/>
      <sz val="14"/>
      <color rgb="FFC0000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color rgb="FFFFFFFF"/>
      <name val="宋体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93CD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2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2" borderId="8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3" borderId="11" applyNumberFormat="0" applyAlignment="0" applyProtection="0">
      <alignment vertical="center"/>
    </xf>
    <xf numFmtId="0" fontId="42" fillId="14" borderId="12" applyNumberFormat="0" applyAlignment="0" applyProtection="0">
      <alignment vertical="center"/>
    </xf>
    <xf numFmtId="0" fontId="43" fillId="14" borderId="11" applyNumberFormat="0" applyAlignment="0" applyProtection="0">
      <alignment vertical="center"/>
    </xf>
    <xf numFmtId="0" fontId="44" fillId="15" borderId="13" applyNumberFormat="0" applyAlignment="0" applyProtection="0">
      <alignment vertical="center"/>
    </xf>
    <xf numFmtId="0" fontId="45" fillId="0" borderId="14" applyNumberFormat="0" applyFill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2" fillId="43" borderId="0" applyProtection="0">
      <alignment vertical="center"/>
    </xf>
    <xf numFmtId="0" fontId="52" fillId="44" borderId="0" applyProtection="0">
      <alignment vertical="center"/>
    </xf>
    <xf numFmtId="0" fontId="52" fillId="45" borderId="0" applyProtection="0">
      <alignment vertical="center"/>
    </xf>
    <xf numFmtId="0" fontId="52" fillId="46" borderId="0" applyProtection="0">
      <alignment vertical="center"/>
    </xf>
    <xf numFmtId="0" fontId="52" fillId="47" borderId="0" applyProtection="0">
      <alignment vertical="center"/>
    </xf>
    <xf numFmtId="0" fontId="52" fillId="48" borderId="0" applyProtection="0">
      <alignment vertical="center"/>
    </xf>
    <xf numFmtId="0" fontId="52" fillId="49" borderId="0" applyProtection="0">
      <alignment vertical="center"/>
    </xf>
    <xf numFmtId="0" fontId="52" fillId="50" borderId="0" applyProtection="0">
      <alignment vertical="center"/>
    </xf>
    <xf numFmtId="0" fontId="52" fillId="51" borderId="0" applyProtection="0">
      <alignment vertical="center"/>
    </xf>
    <xf numFmtId="0" fontId="52" fillId="52" borderId="0" applyProtection="0">
      <alignment vertical="center"/>
    </xf>
    <xf numFmtId="0" fontId="52" fillId="53" borderId="0" applyProtection="0">
      <alignment vertical="center"/>
    </xf>
    <xf numFmtId="0" fontId="52" fillId="54" borderId="0" applyProtection="0">
      <alignment vertical="center"/>
    </xf>
    <xf numFmtId="0" fontId="53" fillId="55" borderId="0" applyProtection="0">
      <alignment vertical="center"/>
    </xf>
    <xf numFmtId="0" fontId="53" fillId="56" borderId="0" applyProtection="0">
      <alignment vertical="center"/>
    </xf>
    <xf numFmtId="0" fontId="53" fillId="57" borderId="0" applyProtection="0">
      <alignment vertical="center"/>
    </xf>
    <xf numFmtId="0" fontId="53" fillId="58" borderId="0" applyProtection="0">
      <alignment vertical="center"/>
    </xf>
    <xf numFmtId="0" fontId="53" fillId="2" borderId="0" applyProtection="0">
      <alignment vertical="center"/>
    </xf>
    <xf numFmtId="0" fontId="53" fillId="59" borderId="0" applyProtection="0">
      <alignment vertical="center"/>
    </xf>
    <xf numFmtId="0" fontId="54" fillId="0" borderId="16" applyProtection="0">
      <alignment vertical="center"/>
    </xf>
    <xf numFmtId="0" fontId="55" fillId="0" borderId="17" applyProtection="0">
      <alignment vertical="center"/>
    </xf>
    <xf numFmtId="0" fontId="56" fillId="0" borderId="18" applyProtection="0">
      <alignment vertical="center"/>
    </xf>
    <xf numFmtId="0" fontId="57" fillId="0" borderId="0" applyProtection="0">
      <alignment vertical="center"/>
    </xf>
    <xf numFmtId="0" fontId="58" fillId="0" borderId="0"/>
    <xf numFmtId="0" fontId="59" fillId="0" borderId="0"/>
    <xf numFmtId="0" fontId="60" fillId="0" borderId="0" applyProtection="0"/>
    <xf numFmtId="0" fontId="61" fillId="0" borderId="0">
      <alignment vertical="center"/>
    </xf>
    <xf numFmtId="0" fontId="52" fillId="0" borderId="0"/>
    <xf numFmtId="0" fontId="53" fillId="60" borderId="0" applyProtection="0">
      <alignment vertical="center"/>
    </xf>
    <xf numFmtId="0" fontId="53" fillId="61" borderId="0" applyProtection="0">
      <alignment vertical="center"/>
    </xf>
    <xf numFmtId="0" fontId="53" fillId="62" borderId="0" applyProtection="0">
      <alignment vertical="center"/>
    </xf>
    <xf numFmtId="0" fontId="53" fillId="63" borderId="0" applyProtection="0">
      <alignment vertical="center"/>
    </xf>
    <xf numFmtId="0" fontId="53" fillId="64" borderId="0" applyProtection="0">
      <alignment vertical="center"/>
    </xf>
    <xf numFmtId="0" fontId="53" fillId="65" borderId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9" fillId="9" borderId="1" xfId="0" applyNumberFormat="1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9" borderId="1" xfId="0" applyFont="1" applyFill="1" applyBorder="1" applyAlignment="1" applyProtection="1">
      <alignment horizontal="center" vertical="center"/>
      <protection hidden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10" borderId="0" xfId="0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1" fillId="10" borderId="2" xfId="0" applyNumberFormat="1" applyFont="1" applyFill="1" applyBorder="1" applyAlignment="1" applyProtection="1">
      <alignment horizontal="center" vertical="center"/>
      <protection locked="0"/>
    </xf>
    <xf numFmtId="178" fontId="3" fillId="10" borderId="1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 applyProtection="1">
      <alignment horizontal="center" vertical="center"/>
      <protection locked="0"/>
    </xf>
    <xf numFmtId="14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176" fontId="17" fillId="4" borderId="1" xfId="0" applyNumberFormat="1" applyFont="1" applyFill="1" applyBorder="1" applyAlignment="1">
      <alignment horizontal="center" vertical="center" wrapText="1"/>
    </xf>
    <xf numFmtId="176" fontId="17" fillId="4" borderId="2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21" fontId="12" fillId="0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176" fontId="12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21" fontId="12" fillId="11" borderId="1" xfId="0" applyNumberFormat="1" applyFont="1" applyFill="1" applyBorder="1" applyAlignment="1">
      <alignment horizontal="center" vertical="center"/>
    </xf>
    <xf numFmtId="21" fontId="12" fillId="5" borderId="1" xfId="0" applyNumberFormat="1" applyFont="1" applyFill="1" applyBorder="1" applyAlignment="1">
      <alignment horizontal="center" vertical="center"/>
    </xf>
    <xf numFmtId="176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21" fontId="20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21" fontId="8" fillId="0" borderId="1" xfId="0" applyNumberFormat="1" applyFont="1" applyBorder="1" applyAlignment="1">
      <alignment horizontal="center" vertical="center"/>
    </xf>
    <xf numFmtId="0" fontId="5" fillId="0" borderId="0" xfId="0" applyFont="1">
      <alignment vertical="center"/>
    </xf>
    <xf numFmtId="0" fontId="19" fillId="0" borderId="1" xfId="0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center" vertical="center"/>
      <protection hidden="1"/>
    </xf>
    <xf numFmtId="178" fontId="21" fillId="0" borderId="1" xfId="0" applyNumberFormat="1" applyFont="1" applyBorder="1" applyAlignment="1" applyProtection="1">
      <alignment horizontal="center" vertical="center" wrapText="1"/>
      <protection hidden="1"/>
    </xf>
    <xf numFmtId="0" fontId="19" fillId="0" borderId="1" xfId="0" applyFont="1" applyBorder="1" applyAlignment="1">
      <alignment horizontal="center" vertical="center"/>
    </xf>
    <xf numFmtId="179" fontId="22" fillId="0" borderId="1" xfId="0" applyNumberFormat="1" applyFont="1" applyBorder="1" applyAlignment="1" applyProtection="1">
      <alignment horizontal="center" vertical="center" wrapText="1"/>
      <protection hidden="1"/>
    </xf>
    <xf numFmtId="179" fontId="22" fillId="0" borderId="1" xfId="0" applyNumberFormat="1" applyFont="1" applyBorder="1" applyAlignment="1" applyProtection="1">
      <alignment horizontal="left" vertical="center" wrapText="1"/>
      <protection hidden="1"/>
    </xf>
    <xf numFmtId="179" fontId="22" fillId="0" borderId="1" xfId="0" applyNumberFormat="1" applyFont="1" applyBorder="1" applyAlignment="1" applyProtection="1">
      <alignment horizontal="center" vertical="center"/>
      <protection hidden="1"/>
    </xf>
    <xf numFmtId="0" fontId="23" fillId="0" borderId="1" xfId="0" applyFont="1" applyBorder="1" applyAlignment="1" applyProtection="1">
      <alignment horizontal="left" vertical="center"/>
      <protection hidden="1"/>
    </xf>
    <xf numFmtId="0" fontId="22" fillId="0" borderId="1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/>
      <protection hidden="1"/>
    </xf>
    <xf numFmtId="0" fontId="22" fillId="0" borderId="1" xfId="0" applyFont="1" applyBorder="1" applyAlignment="1" applyProtection="1">
      <alignment horizontal="left" vertical="center"/>
      <protection hidden="1"/>
    </xf>
    <xf numFmtId="0" fontId="22" fillId="0" borderId="1" xfId="0" applyFont="1" applyBorder="1" applyAlignment="1" applyProtection="1">
      <alignment horizontal="left" vertical="center" shrinkToFit="1"/>
      <protection hidden="1"/>
    </xf>
    <xf numFmtId="0" fontId="22" fillId="0" borderId="1" xfId="0" applyFont="1" applyBorder="1" applyAlignment="1" applyProtection="1">
      <alignment horizontal="center" vertical="center" shrinkToFit="1"/>
      <protection hidden="1"/>
    </xf>
    <xf numFmtId="0" fontId="22" fillId="0" borderId="1" xfId="0" applyFont="1" applyBorder="1" applyAlignment="1" applyProtection="1">
      <alignment horizontal="center" vertical="center" wrapText="1"/>
      <protection hidden="1"/>
    </xf>
    <xf numFmtId="0" fontId="22" fillId="0" borderId="3" xfId="0" applyFont="1" applyBorder="1" applyAlignment="1" applyProtection="1">
      <alignment horizontal="center" vertical="center"/>
      <protection hidden="1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 applyProtection="1">
      <alignment horizontal="left" vertical="center"/>
      <protection hidden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left" vertical="center"/>
      <protection hidden="1"/>
    </xf>
    <xf numFmtId="0" fontId="24" fillId="0" borderId="1" xfId="0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hidden="1"/>
    </xf>
    <xf numFmtId="0" fontId="22" fillId="0" borderId="2" xfId="0" applyFont="1" applyBorder="1" applyAlignment="1" applyProtection="1">
      <alignment horizontal="center" vertical="center" wrapText="1"/>
      <protection hidden="1"/>
    </xf>
    <xf numFmtId="0" fontId="22" fillId="0" borderId="4" xfId="0" applyFont="1" applyBorder="1" applyAlignment="1" applyProtection="1">
      <alignment horizontal="center" vertical="center"/>
      <protection hidden="1"/>
    </xf>
    <xf numFmtId="0" fontId="22" fillId="0" borderId="3" xfId="0" applyFont="1" applyBorder="1" applyAlignment="1" applyProtection="1">
      <alignment horizontal="center" vertical="center" wrapText="1"/>
      <protection hidden="1"/>
    </xf>
    <xf numFmtId="178" fontId="22" fillId="0" borderId="5" xfId="0" applyNumberFormat="1" applyFont="1" applyBorder="1" applyAlignment="1" applyProtection="1">
      <alignment horizontal="center" vertical="center" wrapText="1" shrinkToFit="1"/>
      <protection hidden="1"/>
    </xf>
    <xf numFmtId="0" fontId="24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9" fillId="0" borderId="6" xfId="0" applyFont="1" applyBorder="1" applyAlignment="1" applyProtection="1">
      <alignment horizontal="center" vertical="center"/>
      <protection hidden="1"/>
    </xf>
    <xf numFmtId="0" fontId="22" fillId="0" borderId="6" xfId="0" applyFont="1" applyBorder="1" applyAlignment="1" applyProtection="1">
      <alignment horizontal="center" vertical="center"/>
      <protection hidden="1"/>
    </xf>
    <xf numFmtId="0" fontId="9" fillId="0" borderId="7" xfId="0" applyFont="1" applyBorder="1" applyAlignment="1" applyProtection="1">
      <alignment horizontal="center" vertical="center"/>
      <protection hidden="1"/>
    </xf>
    <xf numFmtId="0" fontId="22" fillId="0" borderId="7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 applyProtection="1">
      <alignment horizontal="center" vertical="center"/>
      <protection hidden="1"/>
    </xf>
    <xf numFmtId="0" fontId="27" fillId="0" borderId="1" xfId="0" applyFont="1" applyBorder="1" applyAlignment="1" applyProtection="1">
      <alignment horizontal="center" vertical="center"/>
      <protection hidden="1"/>
    </xf>
    <xf numFmtId="0" fontId="28" fillId="0" borderId="1" xfId="0" applyFont="1" applyBorder="1" applyAlignment="1" applyProtection="1">
      <alignment horizontal="center" vertical="center"/>
      <protection hidden="1"/>
    </xf>
    <xf numFmtId="178" fontId="27" fillId="0" borderId="5" xfId="0" applyNumberFormat="1" applyFont="1" applyBorder="1" applyAlignment="1" applyProtection="1">
      <alignment horizontal="center" vertical="center" wrapText="1" shrinkToFit="1"/>
      <protection hidden="1"/>
    </xf>
    <xf numFmtId="178" fontId="28" fillId="0" borderId="1" xfId="0" applyNumberFormat="1" applyFont="1" applyBorder="1" applyAlignment="1" applyProtection="1">
      <alignment horizontal="center" vertical="center" wrapText="1"/>
      <protection hidden="1"/>
    </xf>
    <xf numFmtId="0" fontId="29" fillId="9" borderId="1" xfId="0" applyFont="1" applyFill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horizontal="center" vertical="center"/>
      <protection hidden="1"/>
    </xf>
    <xf numFmtId="0" fontId="2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 applyProtection="1">
      <alignment horizontal="center"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178" fontId="31" fillId="0" borderId="1" xfId="0" applyNumberFormat="1" applyFont="1" applyBorder="1" applyAlignment="1" applyProtection="1">
      <alignment horizontal="center" vertical="center" wrapText="1"/>
      <protection hidden="1"/>
    </xf>
    <xf numFmtId="0" fontId="30" fillId="0" borderId="1" xfId="0" applyFont="1" applyBorder="1" applyAlignment="1">
      <alignment horizontal="center" vertical="center"/>
    </xf>
    <xf numFmtId="179" fontId="22" fillId="0" borderId="4" xfId="0" applyNumberFormat="1" applyFont="1" applyBorder="1" applyAlignment="1" applyProtection="1">
      <alignment vertical="center" wrapText="1"/>
      <protection hidden="1"/>
    </xf>
    <xf numFmtId="179" fontId="22" fillId="0" borderId="6" xfId="0" applyNumberFormat="1" applyFont="1" applyBorder="1" applyAlignment="1" applyProtection="1">
      <alignment vertical="center" wrapText="1"/>
      <protection hidden="1"/>
    </xf>
    <xf numFmtId="179" fontId="22" fillId="0" borderId="7" xfId="0" applyNumberFormat="1" applyFont="1" applyBorder="1" applyAlignment="1" applyProtection="1">
      <alignment vertical="center"/>
      <protection hidden="1"/>
    </xf>
    <xf numFmtId="0" fontId="9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6" fillId="0" borderId="1" xfId="0" applyFont="1" applyBorder="1" applyAlignment="1" quotePrefix="1">
      <alignment horizontal="center" vertical="center"/>
    </xf>
    <xf numFmtId="176" fontId="2" fillId="0" borderId="1" xfId="0" applyNumberFormat="1" applyFont="1" applyBorder="1" applyAlignment="1" quotePrefix="1">
      <alignment horizontal="center" vertical="center"/>
    </xf>
    <xf numFmtId="0" fontId="2" fillId="0" borderId="1" xfId="0" applyFont="1" applyBorder="1" applyAlignment="1" quotePrefix="1">
      <alignment horizontal="center" vertical="center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标题 1 2" xfId="67"/>
    <cellStyle name="标题 2 2" xfId="68"/>
    <cellStyle name="标题 3 2" xfId="69"/>
    <cellStyle name="标题 6" xfId="70"/>
    <cellStyle name="常规 10 3" xfId="71"/>
    <cellStyle name="常规 100 2" xfId="72"/>
    <cellStyle name="常规 3" xfId="73"/>
    <cellStyle name="常规 4 11 2" xfId="74"/>
    <cellStyle name="常规 49" xfId="75"/>
    <cellStyle name="强调文字颜色 1 2" xfId="76"/>
    <cellStyle name="强调文字颜色 2 2" xfId="77"/>
    <cellStyle name="强调文字颜色 3 2" xfId="78"/>
    <cellStyle name="强调文字颜色 4 2" xfId="79"/>
    <cellStyle name="强调文字颜色 5 2" xfId="80"/>
    <cellStyle name="强调文字颜色 6 2" xfId="81"/>
  </cellStyles>
  <dxfs count="7"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Medium9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3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4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5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6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7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8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6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6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6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6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7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8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9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0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1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2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19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0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1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2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3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4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25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2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3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4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5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6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7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8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39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0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1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2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3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4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5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6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7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8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49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4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5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6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7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8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09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10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11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12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14</xdr:row>
      <xdr:rowOff>0</xdr:rowOff>
    </xdr:from>
    <xdr:to>
      <xdr:col>5</xdr:col>
      <xdr:colOff>9525</xdr:colOff>
      <xdr:row>14</xdr:row>
      <xdr:rowOff>4763</xdr:rowOff>
    </xdr:to>
    <xdr:sp>
      <xdr:nvSpPr>
        <xdr:cNvPr id="513" name="文字 55"/>
        <xdr:cNvSpPr txBox="1">
          <a:spLocks noChangeArrowheads="1"/>
        </xdr:cNvSpPr>
      </xdr:nvSpPr>
      <xdr:spPr>
        <a:xfrm>
          <a:off x="7780655" y="33147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1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1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1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1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1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1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2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3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4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5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6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7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8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59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0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1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2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2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3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4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5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6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7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8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39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40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5</xdr:col>
      <xdr:colOff>0</xdr:colOff>
      <xdr:row>25</xdr:row>
      <xdr:rowOff>0</xdr:rowOff>
    </xdr:from>
    <xdr:to>
      <xdr:col>5</xdr:col>
      <xdr:colOff>9525</xdr:colOff>
      <xdr:row>25</xdr:row>
      <xdr:rowOff>4763</xdr:rowOff>
    </xdr:to>
    <xdr:sp>
      <xdr:nvSpPr>
        <xdr:cNvPr id="641" name="文字 55"/>
        <xdr:cNvSpPr txBox="1">
          <a:spLocks noChangeArrowheads="1"/>
        </xdr:cNvSpPr>
      </xdr:nvSpPr>
      <xdr:spPr>
        <a:xfrm>
          <a:off x="7890510" y="5829300"/>
          <a:ext cx="9525" cy="4445"/>
        </a:xfrm>
        <a:prstGeom prst="rect">
          <a:avLst/>
        </a:prstGeom>
        <a:solidFill>
          <a:srgbClr val="FFFFFF"/>
        </a:solidFill>
        <a:ln w="9525" cmpd="sng">
          <a:noFill/>
          <a:miter lim="800000"/>
        </a:ln>
      </xdr:spPr>
      <xdr:txBody>
        <a:bodyPr vertOverflow="clip" wrap="square" lIns="27432" tIns="18288" rIns="27432" bIns="18288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风扇</a:t>
          </a:r>
          <a:endParaRPr lang="zh-CN" altLang="en-US" sz="9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A1:CD85"/>
  <sheetViews>
    <sheetView showGridLines="0" tabSelected="1" zoomScale="80" zoomScaleNormal="80" workbookViewId="0">
      <pane xSplit="2" ySplit="3" topLeftCell="C4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8" customHeight="1"/>
  <cols>
    <col min="1" max="1" width="7.66666666666667" customWidth="1"/>
    <col min="2" max="2" width="6.775" customWidth="1"/>
    <col min="3" max="3" width="39.4416666666667" customWidth="1"/>
    <col min="4" max="4" width="18.5583333333333" customWidth="1"/>
    <col min="5" max="5" width="29.6666666666667" customWidth="1"/>
    <col min="6" max="6" width="44.5583333333333" customWidth="1"/>
    <col min="7" max="7" width="11.4416666666667" customWidth="1"/>
    <col min="8" max="8" width="8.44166666666667" customWidth="1"/>
    <col min="9" max="9" width="9.10833333333333" customWidth="1"/>
    <col min="10" max="10" width="14.775" customWidth="1"/>
    <col min="11" max="11" width="15" customWidth="1"/>
    <col min="12" max="12" width="6.66666666666667" customWidth="1"/>
    <col min="13" max="13" width="14.8833333333333" customWidth="1"/>
    <col min="14" max="14" width="10" customWidth="1"/>
    <col min="15" max="15" width="7.33333333333333" customWidth="1"/>
    <col min="16" max="24" width="16.1083333333333" customWidth="1"/>
    <col min="25" max="45" width="17.6666666666667" customWidth="1"/>
    <col min="46" max="46" width="16.5583333333333" customWidth="1"/>
    <col min="47" max="55" width="16.1083333333333" customWidth="1"/>
    <col min="56" max="76" width="17.6666666666667" customWidth="1"/>
    <col min="77" max="77" width="16.775" customWidth="1"/>
    <col min="78" max="78" width="14.2166666666667" customWidth="1"/>
    <col min="79" max="79" width="14.6666666666667" customWidth="1"/>
    <col min="80" max="80" width="16.1083333333333" customWidth="1"/>
  </cols>
  <sheetData>
    <row r="1" s="87" customFormat="1" ht="25.05" customHeight="1" spans="1:82">
      <c r="A1" s="131">
        <v>46143</v>
      </c>
      <c r="B1" s="132"/>
      <c r="C1" s="132"/>
      <c r="D1" s="132"/>
      <c r="E1" s="133"/>
      <c r="F1" s="94" t="s">
        <v>0</v>
      </c>
      <c r="G1" s="95"/>
      <c r="H1" s="95"/>
      <c r="I1" s="95"/>
      <c r="J1" s="95"/>
      <c r="K1" s="95"/>
      <c r="L1" s="95"/>
      <c r="M1" s="95"/>
      <c r="N1" s="95"/>
      <c r="O1" s="95"/>
      <c r="P1" s="107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6"/>
      <c r="AU1" s="107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6"/>
      <c r="CB1" s="118"/>
      <c r="CC1" s="118"/>
      <c r="CD1" s="127"/>
    </row>
    <row r="2" s="88" customFormat="1" customHeight="1" spans="1:82">
      <c r="A2" s="95" t="s">
        <v>1</v>
      </c>
      <c r="B2" s="96" t="s">
        <v>2</v>
      </c>
      <c r="C2" s="97" t="s">
        <v>3</v>
      </c>
      <c r="D2" s="95" t="s">
        <v>4</v>
      </c>
      <c r="E2" s="95" t="s">
        <v>5</v>
      </c>
      <c r="F2" s="98" t="s">
        <v>6</v>
      </c>
      <c r="G2" s="99" t="s">
        <v>7</v>
      </c>
      <c r="H2" s="100" t="s">
        <v>8</v>
      </c>
      <c r="I2" s="95" t="s">
        <v>9</v>
      </c>
      <c r="J2" s="95" t="s">
        <v>10</v>
      </c>
      <c r="K2" s="100" t="s">
        <v>11</v>
      </c>
      <c r="L2" s="100" t="s">
        <v>12</v>
      </c>
      <c r="M2" s="100" t="s">
        <v>13</v>
      </c>
      <c r="N2" s="100" t="s">
        <v>14</v>
      </c>
      <c r="O2" s="108" t="s">
        <v>15</v>
      </c>
      <c r="P2" s="109" t="s">
        <v>16</v>
      </c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7"/>
      <c r="AU2" s="95" t="s">
        <v>17</v>
      </c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119"/>
      <c r="BZ2" s="119"/>
      <c r="CA2" s="119"/>
      <c r="CB2" s="120"/>
      <c r="CC2" s="120"/>
      <c r="CD2" s="128"/>
    </row>
    <row r="3" s="89" customFormat="1" ht="19.95" customHeight="1" spans="1:82">
      <c r="A3" s="95"/>
      <c r="B3" s="101"/>
      <c r="C3" s="97"/>
      <c r="D3" s="95"/>
      <c r="E3" s="95"/>
      <c r="F3" s="98"/>
      <c r="G3" s="99"/>
      <c r="H3" s="100"/>
      <c r="I3" s="95"/>
      <c r="J3" s="95"/>
      <c r="K3" s="100"/>
      <c r="L3" s="100"/>
      <c r="M3" s="100"/>
      <c r="N3" s="100"/>
      <c r="O3" s="110"/>
      <c r="P3" s="111">
        <v>46143</v>
      </c>
      <c r="Q3" s="111">
        <v>46144</v>
      </c>
      <c r="R3" s="111">
        <v>46145</v>
      </c>
      <c r="S3" s="111">
        <v>46146</v>
      </c>
      <c r="T3" s="111">
        <v>46147</v>
      </c>
      <c r="U3" s="111">
        <v>46148</v>
      </c>
      <c r="V3" s="111">
        <v>46149</v>
      </c>
      <c r="W3" s="111">
        <v>46150</v>
      </c>
      <c r="X3" s="111">
        <v>46151</v>
      </c>
      <c r="Y3" s="111">
        <v>46152</v>
      </c>
      <c r="Z3" s="111">
        <v>46153</v>
      </c>
      <c r="AA3" s="111">
        <v>46154</v>
      </c>
      <c r="AB3" s="111">
        <v>46155</v>
      </c>
      <c r="AC3" s="111">
        <v>46156</v>
      </c>
      <c r="AD3" s="111">
        <v>46157</v>
      </c>
      <c r="AE3" s="111">
        <v>46158</v>
      </c>
      <c r="AF3" s="111">
        <v>46159</v>
      </c>
      <c r="AG3" s="111">
        <v>46160</v>
      </c>
      <c r="AH3" s="111">
        <v>46161</v>
      </c>
      <c r="AI3" s="111">
        <v>46162</v>
      </c>
      <c r="AJ3" s="111">
        <v>46163</v>
      </c>
      <c r="AK3" s="111">
        <v>46164</v>
      </c>
      <c r="AL3" s="111">
        <v>46165</v>
      </c>
      <c r="AM3" s="111">
        <v>46166</v>
      </c>
      <c r="AN3" s="111">
        <v>46167</v>
      </c>
      <c r="AO3" s="111">
        <v>46168</v>
      </c>
      <c r="AP3" s="111">
        <v>46169</v>
      </c>
      <c r="AQ3" s="111">
        <v>46170</v>
      </c>
      <c r="AR3" s="111">
        <v>46171</v>
      </c>
      <c r="AS3" s="111">
        <v>46172</v>
      </c>
      <c r="AT3" s="111">
        <v>46173</v>
      </c>
      <c r="AU3" s="111">
        <v>46143</v>
      </c>
      <c r="AV3" s="111">
        <v>46144</v>
      </c>
      <c r="AW3" s="111">
        <v>46145</v>
      </c>
      <c r="AX3" s="111">
        <v>46146</v>
      </c>
      <c r="AY3" s="111">
        <v>46147</v>
      </c>
      <c r="AZ3" s="111">
        <v>46148</v>
      </c>
      <c r="BA3" s="111">
        <v>46149</v>
      </c>
      <c r="BB3" s="111">
        <v>46150</v>
      </c>
      <c r="BC3" s="111">
        <v>46151</v>
      </c>
      <c r="BD3" s="111">
        <v>46152</v>
      </c>
      <c r="BE3" s="111">
        <v>46153</v>
      </c>
      <c r="BF3" s="111">
        <v>46154</v>
      </c>
      <c r="BG3" s="111">
        <v>46155</v>
      </c>
      <c r="BH3" s="111">
        <v>46156</v>
      </c>
      <c r="BI3" s="111">
        <v>46157</v>
      </c>
      <c r="BJ3" s="111">
        <v>46158</v>
      </c>
      <c r="BK3" s="111">
        <v>46159</v>
      </c>
      <c r="BL3" s="111">
        <v>46160</v>
      </c>
      <c r="BM3" s="111">
        <v>46161</v>
      </c>
      <c r="BN3" s="111">
        <v>46162</v>
      </c>
      <c r="BO3" s="111">
        <v>46163</v>
      </c>
      <c r="BP3" s="111">
        <v>46164</v>
      </c>
      <c r="BQ3" s="111">
        <v>46165</v>
      </c>
      <c r="BR3" s="111">
        <v>46166</v>
      </c>
      <c r="BS3" s="111">
        <v>46167</v>
      </c>
      <c r="BT3" s="111">
        <v>46168</v>
      </c>
      <c r="BU3" s="111">
        <v>46169</v>
      </c>
      <c r="BV3" s="111">
        <v>46170</v>
      </c>
      <c r="BW3" s="111">
        <v>46171</v>
      </c>
      <c r="BX3" s="111">
        <v>46172</v>
      </c>
      <c r="BY3" s="111">
        <v>46173</v>
      </c>
      <c r="BZ3" s="121"/>
      <c r="CA3" s="121"/>
      <c r="CB3" s="122" t="s">
        <v>18</v>
      </c>
      <c r="CC3" s="122"/>
      <c r="CD3" s="129"/>
    </row>
    <row r="4" s="90" customFormat="1" customHeight="1" spans="1:81">
      <c r="A4" s="31">
        <v>1</v>
      </c>
      <c r="B4" s="102" t="s">
        <v>19</v>
      </c>
      <c r="C4" s="103" t="s">
        <v>20</v>
      </c>
      <c r="D4" s="32" t="s">
        <v>21</v>
      </c>
      <c r="E4" s="32" t="s">
        <v>22</v>
      </c>
      <c r="F4" s="103" t="s">
        <v>23</v>
      </c>
      <c r="G4" s="32"/>
      <c r="H4" s="32">
        <v>718</v>
      </c>
      <c r="I4" s="106">
        <f>SUMIF(合格品入货记录!E:E,日报!E4,合格品入货记录!G:G)</f>
        <v>0</v>
      </c>
      <c r="J4" s="112">
        <f>SUMIF(合格品出库记录!E:E,日报!E4,合格品出库记录!G:G)</f>
        <v>330</v>
      </c>
      <c r="K4" s="102">
        <f t="shared" ref="K4:K35" si="0">H4+I4-J4+L4</f>
        <v>388</v>
      </c>
      <c r="L4" s="102">
        <f>SUMIF(不良品库存!D:D,E4:E49,不良品库存!F:F)</f>
        <v>0</v>
      </c>
      <c r="M4" s="113">
        <f t="shared" ref="M4:M35" si="1">H4+I4-J4</f>
        <v>388</v>
      </c>
      <c r="N4" s="102"/>
      <c r="O4" s="102"/>
      <c r="P4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32">
        <f>IF(SUMIFS(合格品出库记录!$G:$G,合格品出库记录!$E:$E,日报!$E:$E,合格品出库记录!$A:$A,日报!AZ$3)&lt;&gt;0,SUMIFS(合格品出库记录!$G:$G,合格品出库记录!$E:$E,日报!$E:$E,合格品出库记录!$A:$A,日报!AZ$3),"")</f>
        <v>330</v>
      </c>
      <c r="BA4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123"/>
      <c r="CA4" s="123"/>
      <c r="CB4" s="125"/>
      <c r="CC4" s="125"/>
    </row>
    <row r="5" s="90" customFormat="1" customHeight="1" spans="1:81">
      <c r="A5" s="31">
        <v>2</v>
      </c>
      <c r="B5" s="104" t="s">
        <v>19</v>
      </c>
      <c r="C5" s="105" t="s">
        <v>20</v>
      </c>
      <c r="D5" s="31" t="s">
        <v>24</v>
      </c>
      <c r="E5" s="31" t="s">
        <v>25</v>
      </c>
      <c r="F5" s="105" t="s">
        <v>26</v>
      </c>
      <c r="G5" s="31"/>
      <c r="H5" s="31">
        <v>0</v>
      </c>
      <c r="I5" s="106">
        <f>SUMIF(合格品入货记录!E:E,日报!E5,合格品入货记录!G:G)</f>
        <v>0</v>
      </c>
      <c r="J5" s="112">
        <f>SUMIF(合格品出库记录!E:E,日报!E5,合格品出库记录!G:G)</f>
        <v>0</v>
      </c>
      <c r="K5" s="102">
        <f t="shared" si="0"/>
        <v>0</v>
      </c>
      <c r="L5" s="102">
        <f>SUMIF(不良品库存!D:D,E:E,不良品库存!F:F)</f>
        <v>0</v>
      </c>
      <c r="M5" s="113">
        <f t="shared" si="1"/>
        <v>0</v>
      </c>
      <c r="N5" s="31"/>
      <c r="O5" s="104"/>
      <c r="P5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5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5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" s="124"/>
      <c r="CA5" s="124"/>
      <c r="CB5" s="125"/>
      <c r="CC5" s="125"/>
    </row>
    <row r="6" s="90" customFormat="1" customHeight="1" spans="1:81">
      <c r="A6" s="31">
        <v>3</v>
      </c>
      <c r="B6" s="102" t="s">
        <v>19</v>
      </c>
      <c r="C6" s="103" t="s">
        <v>20</v>
      </c>
      <c r="D6" s="32" t="s">
        <v>27</v>
      </c>
      <c r="E6" s="32" t="s">
        <v>28</v>
      </c>
      <c r="F6" s="103" t="s">
        <v>29</v>
      </c>
      <c r="G6" s="32"/>
      <c r="H6" s="32">
        <v>63</v>
      </c>
      <c r="I6" s="106">
        <f>SUMIF(合格品入货记录!E:E,日报!E6,合格品入货记录!G:G)</f>
        <v>0</v>
      </c>
      <c r="J6" s="112">
        <f>SUMIF(合格品出库记录!E:E,日报!E6,合格品出库记录!G:G)</f>
        <v>0</v>
      </c>
      <c r="K6" s="102">
        <f t="shared" si="0"/>
        <v>63</v>
      </c>
      <c r="L6" s="102">
        <f>SUMIF(不良品库存!D:D,E:E,不良品库存!F:F)</f>
        <v>0</v>
      </c>
      <c r="M6" s="113">
        <f t="shared" si="1"/>
        <v>63</v>
      </c>
      <c r="N6" s="102"/>
      <c r="O6" s="102"/>
      <c r="P6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" s="123"/>
      <c r="CA6" s="123"/>
      <c r="CB6" s="125"/>
      <c r="CC6" s="125"/>
    </row>
    <row r="7" s="90" customFormat="1" customHeight="1" spans="1:81">
      <c r="A7" s="31">
        <v>4</v>
      </c>
      <c r="B7" s="104" t="s">
        <v>19</v>
      </c>
      <c r="C7" s="105" t="s">
        <v>20</v>
      </c>
      <c r="D7" s="31" t="s">
        <v>30</v>
      </c>
      <c r="E7" s="31" t="s">
        <v>31</v>
      </c>
      <c r="F7" s="105" t="s">
        <v>32</v>
      </c>
      <c r="G7" s="31"/>
      <c r="H7" s="31">
        <v>36</v>
      </c>
      <c r="I7" s="106">
        <f>SUMIF(合格品入货记录!E:E,日报!E7,合格品入货记录!G:G)</f>
        <v>252</v>
      </c>
      <c r="J7" s="112">
        <f>SUMIF(合格品出库记录!E:E,日报!E7,合格品出库记录!G:G)</f>
        <v>10</v>
      </c>
      <c r="K7" s="102">
        <f t="shared" si="0"/>
        <v>278</v>
      </c>
      <c r="L7" s="102">
        <f>SUMIF(不良品库存!D:D,E:E,不良品库存!F:F)</f>
        <v>0</v>
      </c>
      <c r="M7" s="113">
        <f t="shared" si="1"/>
        <v>278</v>
      </c>
      <c r="N7" s="31"/>
      <c r="O7" s="104"/>
      <c r="P7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" s="31">
        <f>IF(SUMIFS(合格品入货记录!$G:$G,合格品入货记录!$E:$E,日报!$E:$E,合格品入货记录!$A:$A,日报!X$3)&lt;&gt;0,SUMIFS(合格品入货记录!$G:$G,合格品入货记录!$E:$E,日报!$E:$E,合格品入货记录!$A:$A,日报!X$3),"")</f>
        <v>252</v>
      </c>
      <c r="Y7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10</v>
      </c>
      <c r="BG7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" s="124"/>
      <c r="CA7" s="124"/>
      <c r="CB7" s="125"/>
      <c r="CC7" s="125"/>
    </row>
    <row r="8" s="90" customFormat="1" customHeight="1" spans="1:81">
      <c r="A8" s="31">
        <v>5</v>
      </c>
      <c r="B8" s="102" t="s">
        <v>19</v>
      </c>
      <c r="C8" s="103" t="s">
        <v>20</v>
      </c>
      <c r="D8" s="32" t="s">
        <v>33</v>
      </c>
      <c r="E8" s="32" t="s">
        <v>34</v>
      </c>
      <c r="F8" s="103" t="s">
        <v>35</v>
      </c>
      <c r="G8" s="32"/>
      <c r="H8" s="32">
        <v>0</v>
      </c>
      <c r="I8" s="106">
        <f>SUMIF(合格品入货记录!E:E,日报!E8,合格品入货记录!G:G)</f>
        <v>262</v>
      </c>
      <c r="J8" s="112">
        <f>SUMIF(合格品出库记录!E:E,日报!E8,合格品出库记录!G:G)</f>
        <v>233</v>
      </c>
      <c r="K8" s="102">
        <f t="shared" si="0"/>
        <v>29</v>
      </c>
      <c r="L8" s="102"/>
      <c r="M8" s="113">
        <f t="shared" si="1"/>
        <v>29</v>
      </c>
      <c r="N8" s="102"/>
      <c r="O8" s="102"/>
      <c r="P8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8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8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8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8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" s="32">
        <f>IF(SUMIFS(合格品入货记录!$G:$G,合格品入货记录!$E:$E,日报!$E:$E,合格品入货记录!$A:$A,日报!V$3)&lt;&gt;0,SUMIFS(合格品入货记录!$G:$G,合格品入货记录!$E:$E,日报!$E:$E,合格品入货记录!$A:$A,日报!V$3),"")</f>
        <v>262</v>
      </c>
      <c r="W8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8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8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8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8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8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" s="32">
        <f>IF(SUMIFS(合格品出库记录!$G:$G,合格品出库记录!$E:$E,日报!$E:$E,合格品出库记录!$A:$A,日报!BC$3)&lt;&gt;0,SUMIFS(合格品出库记录!$G:$G,合格品出库记录!$E:$E,日报!$E:$E,合格品出库记录!$A:$A,日报!BC$3),"")</f>
        <v>9</v>
      </c>
      <c r="BD8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" s="32">
        <f>IF(SUMIFS(合格品出库记录!$G:$G,合格品出库记录!$E:$E,日报!$E:$E,合格品出库记录!$A:$A,日报!BF$3)&lt;&gt;0,SUMIFS(合格品出库记录!$G:$G,合格品出库记录!$E:$E,日报!$E:$E,合格品出库记录!$A:$A,日报!BF$3),"")</f>
        <v>224</v>
      </c>
      <c r="BG8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8" s="123"/>
      <c r="CA8" s="123"/>
      <c r="CB8" s="125"/>
      <c r="CC8" s="125"/>
    </row>
    <row r="9" s="90" customFormat="1" customHeight="1" spans="1:81">
      <c r="A9" s="31">
        <v>6</v>
      </c>
      <c r="B9" s="104" t="s">
        <v>19</v>
      </c>
      <c r="C9" s="105" t="s">
        <v>20</v>
      </c>
      <c r="D9" s="31" t="s">
        <v>36</v>
      </c>
      <c r="E9" s="31" t="s">
        <v>37</v>
      </c>
      <c r="F9" s="105" t="s">
        <v>38</v>
      </c>
      <c r="G9" s="31"/>
      <c r="H9" s="31">
        <v>127</v>
      </c>
      <c r="I9" s="106">
        <f>SUMIF(合格品入货记录!E:E,日报!E9,合格品入货记录!G:G)</f>
        <v>0</v>
      </c>
      <c r="J9" s="112">
        <f>SUMIF(合格品出库记录!E:E,日报!E9,合格品出库记录!G:G)</f>
        <v>3</v>
      </c>
      <c r="K9" s="102">
        <f t="shared" si="0"/>
        <v>124</v>
      </c>
      <c r="L9" s="102">
        <f>SUMIF(不良品库存!D:D,E:E,不良品库存!F:F)</f>
        <v>0</v>
      </c>
      <c r="M9" s="113">
        <f t="shared" si="1"/>
        <v>124</v>
      </c>
      <c r="N9" s="31"/>
      <c r="O9" s="104"/>
      <c r="P9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9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9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9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9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9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9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9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9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9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9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9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9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9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9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9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9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9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9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9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9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9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9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9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9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9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9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9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9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9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9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9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9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9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9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9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9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9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9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9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9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9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9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3</v>
      </c>
      <c r="BG9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9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9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9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9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9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9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9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9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9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9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9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9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9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9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9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9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9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9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9" s="124"/>
      <c r="CA9" s="124"/>
      <c r="CB9" s="125"/>
      <c r="CC9" s="125"/>
    </row>
    <row r="10" s="90" customFormat="1" customHeight="1" spans="1:77">
      <c r="A10" s="31">
        <v>7</v>
      </c>
      <c r="B10" s="104" t="s">
        <v>19</v>
      </c>
      <c r="C10" s="105" t="s">
        <v>20</v>
      </c>
      <c r="D10" s="31" t="s">
        <v>39</v>
      </c>
      <c r="E10" s="31" t="s">
        <v>40</v>
      </c>
      <c r="F10" s="105" t="s">
        <v>41</v>
      </c>
      <c r="G10" s="31"/>
      <c r="H10" s="31">
        <v>2</v>
      </c>
      <c r="I10" s="106">
        <f>SUMIF(合格品入货记录!E:E,日报!E10,合格品入货记录!G:G)</f>
        <v>0</v>
      </c>
      <c r="J10" s="112">
        <f>SUMIF(合格品出库记录!E:E,日报!E10,合格品出库记录!G:G)</f>
        <v>0</v>
      </c>
      <c r="K10" s="102">
        <f t="shared" si="0"/>
        <v>2</v>
      </c>
      <c r="L10" s="102">
        <f>SUMIF(不良品库存!D:D,E:E,不良品库存!F:F)</f>
        <v>0</v>
      </c>
      <c r="M10" s="113">
        <f t="shared" si="1"/>
        <v>2</v>
      </c>
      <c r="N10" s="31"/>
      <c r="O10" s="31"/>
      <c r="P10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0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0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0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0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0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0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0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0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0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0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0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0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0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0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0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0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0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0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0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0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0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0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0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0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0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0" s="124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0" s="124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0" s="12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0" s="12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0" s="90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0" s="90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0" s="90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0" s="90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0" s="90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0" s="90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0" s="90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0" s="90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0" s="90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0" s="90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0" s="90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0" s="90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0" s="90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0" s="90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0" s="90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0" s="90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0" s="90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0" s="90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0" s="90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0" s="90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0" s="90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0" s="90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0" s="90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0" s="90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0" s="90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0" s="90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0" s="90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0" s="90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0" s="90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0" s="90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0" s="90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0" s="90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</row>
    <row r="11" s="90" customFormat="1" customHeight="1" spans="1:81">
      <c r="A11" s="31">
        <v>8</v>
      </c>
      <c r="B11" s="104" t="s">
        <v>19</v>
      </c>
      <c r="C11" s="105" t="s">
        <v>20</v>
      </c>
      <c r="D11" s="31" t="s">
        <v>42</v>
      </c>
      <c r="E11" s="31" t="s">
        <v>43</v>
      </c>
      <c r="F11" s="105" t="s">
        <v>44</v>
      </c>
      <c r="G11" s="31"/>
      <c r="H11" s="31">
        <v>482</v>
      </c>
      <c r="I11" s="106">
        <f>SUMIF(合格品入货记录!E:E,日报!E11,合格品入货记录!G:G)</f>
        <v>0</v>
      </c>
      <c r="J11" s="112">
        <f>SUMIF(合格品出库记录!E:E,日报!E11,合格品出库记录!G:G)</f>
        <v>0</v>
      </c>
      <c r="K11" s="102">
        <f t="shared" si="0"/>
        <v>532</v>
      </c>
      <c r="L11" s="102">
        <f>SUMIF(不良品库存!D:D,E:E,不良品库存!F:F)</f>
        <v>50</v>
      </c>
      <c r="M11" s="113">
        <f t="shared" si="1"/>
        <v>482</v>
      </c>
      <c r="N11" s="31"/>
      <c r="O11" s="104"/>
      <c r="P11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1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1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1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1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1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1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1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1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1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1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1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1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1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1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1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1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1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1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1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1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1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1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1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1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1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1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1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1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1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1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1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1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1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1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1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1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1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1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1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1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1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1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1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1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1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1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1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1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1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1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1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1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1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1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1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1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1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1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1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1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1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1" s="124"/>
      <c r="CA11" s="124"/>
      <c r="CB11" s="125"/>
      <c r="CC11" s="125"/>
    </row>
    <row r="12" s="90" customFormat="1" customHeight="1" spans="1:81">
      <c r="A12" s="31">
        <v>9</v>
      </c>
      <c r="B12" s="102" t="s">
        <v>19</v>
      </c>
      <c r="C12" s="103" t="s">
        <v>20</v>
      </c>
      <c r="D12" s="32" t="s">
        <v>45</v>
      </c>
      <c r="E12" s="32" t="s">
        <v>46</v>
      </c>
      <c r="F12" s="103" t="s">
        <v>47</v>
      </c>
      <c r="G12" s="32"/>
      <c r="H12" s="32">
        <v>0</v>
      </c>
      <c r="I12" s="106">
        <f>SUMIF(合格品入货记录!E:E,日报!E12,合格品入货记录!G:G)</f>
        <v>0</v>
      </c>
      <c r="J12" s="112">
        <f>SUMIF(合格品出库记录!E:E,日报!E12,合格品出库记录!G:G)</f>
        <v>0</v>
      </c>
      <c r="K12" s="102">
        <f t="shared" si="0"/>
        <v>0</v>
      </c>
      <c r="L12" s="102">
        <f>SUMIF(不良品库存!D:D,E:E,不良品库存!F:F)</f>
        <v>0</v>
      </c>
      <c r="M12" s="113">
        <f t="shared" si="1"/>
        <v>0</v>
      </c>
      <c r="N12" s="102"/>
      <c r="O12" s="102"/>
      <c r="P12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2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2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2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2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2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2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2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2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2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2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2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2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2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2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2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2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2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2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2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2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2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2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2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2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2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2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2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2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2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2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2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2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2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2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2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2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2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2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2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2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2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2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2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2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2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2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2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2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2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2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2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2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2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2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2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2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2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2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2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2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2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2" s="123"/>
      <c r="CA12" s="123"/>
      <c r="CB12" s="125"/>
      <c r="CC12" s="125"/>
    </row>
    <row r="13" s="90" customFormat="1" customHeight="1" spans="1:81">
      <c r="A13" s="31">
        <v>10</v>
      </c>
      <c r="B13" s="104" t="s">
        <v>19</v>
      </c>
      <c r="C13" s="105" t="s">
        <v>20</v>
      </c>
      <c r="D13" s="31" t="s">
        <v>48</v>
      </c>
      <c r="E13" s="31" t="s">
        <v>49</v>
      </c>
      <c r="F13" s="105" t="s">
        <v>50</v>
      </c>
      <c r="G13" s="31"/>
      <c r="H13" s="31">
        <v>35</v>
      </c>
      <c r="I13" s="106">
        <f>SUMIF(合格品入货记录!E:E,日报!E13,合格品入货记录!G:G)</f>
        <v>0</v>
      </c>
      <c r="J13" s="112">
        <f>SUMIF(合格品出库记录!E:E,日报!E13,合格品出库记录!G:G)</f>
        <v>5</v>
      </c>
      <c r="K13" s="102">
        <f t="shared" si="0"/>
        <v>30</v>
      </c>
      <c r="L13" s="102">
        <f>SUMIF(不良品库存!D:D,E:E,不良品库存!F:F)</f>
        <v>0</v>
      </c>
      <c r="M13" s="113">
        <f t="shared" si="1"/>
        <v>30</v>
      </c>
      <c r="N13" s="31"/>
      <c r="O13" s="104"/>
      <c r="P13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3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3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3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3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3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3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3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3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3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3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3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3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3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3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3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3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3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3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3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3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3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3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3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3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3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3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3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3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3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3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3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3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3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3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3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3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3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3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3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3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3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3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5</v>
      </c>
      <c r="BG13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3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3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3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3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3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3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3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3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3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3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3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3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3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3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3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3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3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3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3" s="124"/>
      <c r="CA13" s="124"/>
      <c r="CB13" s="125"/>
      <c r="CC13" s="125"/>
    </row>
    <row r="14" s="90" customFormat="1" customHeight="1" spans="1:81">
      <c r="A14" s="31">
        <v>11</v>
      </c>
      <c r="B14" s="102" t="s">
        <v>19</v>
      </c>
      <c r="C14" s="103" t="s">
        <v>20</v>
      </c>
      <c r="D14" s="32" t="s">
        <v>51</v>
      </c>
      <c r="E14" s="32" t="s">
        <v>52</v>
      </c>
      <c r="F14" s="103" t="s">
        <v>53</v>
      </c>
      <c r="G14" s="32"/>
      <c r="H14" s="32">
        <v>675</v>
      </c>
      <c r="I14" s="106">
        <f>SUMIF(合格品入货记录!E:E,日报!E14,合格品入货记录!G:G)</f>
        <v>0</v>
      </c>
      <c r="J14" s="112">
        <f>SUMIF(合格品出库记录!E:E,日报!E14,合格品出库记录!G:G)</f>
        <v>0</v>
      </c>
      <c r="K14" s="102">
        <f t="shared" si="0"/>
        <v>675</v>
      </c>
      <c r="L14" s="102">
        <f>SUMIF(不良品库存!D:D,E:E,不良品库存!F:F)</f>
        <v>0</v>
      </c>
      <c r="M14" s="113">
        <f t="shared" si="1"/>
        <v>675</v>
      </c>
      <c r="N14" s="102"/>
      <c r="O14" s="102"/>
      <c r="P14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4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4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4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4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4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4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4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4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4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4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4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4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4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4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4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4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4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4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4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4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4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4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4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4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4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4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4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4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4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4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4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4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4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4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4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4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4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4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4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4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4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4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4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4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4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4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4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4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4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4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4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4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4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4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4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4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4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4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4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4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4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4" s="123"/>
      <c r="CA14" s="123"/>
      <c r="CB14" s="125"/>
      <c r="CC14" s="125"/>
    </row>
    <row r="15" s="90" customFormat="1" customHeight="1" spans="1:81">
      <c r="A15" s="31">
        <v>12</v>
      </c>
      <c r="B15" s="104" t="s">
        <v>19</v>
      </c>
      <c r="C15" s="105" t="s">
        <v>20</v>
      </c>
      <c r="D15" s="31" t="s">
        <v>54</v>
      </c>
      <c r="E15" s="31" t="s">
        <v>55</v>
      </c>
      <c r="F15" s="105" t="s">
        <v>56</v>
      </c>
      <c r="G15" s="31"/>
      <c r="H15" s="31">
        <v>1030</v>
      </c>
      <c r="I15" s="106">
        <f>SUMIF(合格品入货记录!E:E,日报!E15,合格品入货记录!G:G)</f>
        <v>0</v>
      </c>
      <c r="J15" s="112">
        <f>SUMIF(合格品出库记录!E:E,日报!E15,合格品出库记录!G:G)</f>
        <v>0</v>
      </c>
      <c r="K15" s="102">
        <f t="shared" si="0"/>
        <v>1030</v>
      </c>
      <c r="L15" s="102">
        <f>SUMIF(不良品库存!D:D,E:E,不良品库存!F:F)</f>
        <v>0</v>
      </c>
      <c r="M15" s="113">
        <f t="shared" si="1"/>
        <v>1030</v>
      </c>
      <c r="N15" s="31"/>
      <c r="O15" s="104"/>
      <c r="P15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5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5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5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5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5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5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5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5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5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5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5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5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5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5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5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5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5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5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5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5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5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5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5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5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5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5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5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5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5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5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5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5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5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5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5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5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5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5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5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5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5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5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5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5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5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5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5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5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5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5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5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5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5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5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5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5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5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5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5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5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5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5" s="124"/>
      <c r="CA15" s="124"/>
      <c r="CB15" s="125"/>
      <c r="CC15" s="125"/>
    </row>
    <row r="16" s="90" customFormat="1" customHeight="1" spans="1:81">
      <c r="A16" s="31">
        <v>13</v>
      </c>
      <c r="B16" s="102" t="s">
        <v>19</v>
      </c>
      <c r="C16" s="103" t="s">
        <v>20</v>
      </c>
      <c r="D16" s="32" t="s">
        <v>57</v>
      </c>
      <c r="E16" s="32" t="s">
        <v>58</v>
      </c>
      <c r="F16" s="103" t="s">
        <v>59</v>
      </c>
      <c r="G16" s="32"/>
      <c r="H16" s="32">
        <v>0</v>
      </c>
      <c r="I16" s="106">
        <f>SUMIF(合格品入货记录!E:E,日报!E16,合格品入货记录!G:G)</f>
        <v>0</v>
      </c>
      <c r="J16" s="112">
        <f>SUMIF(合格品出库记录!E:E,日报!E16,合格品出库记录!G:G)</f>
        <v>0</v>
      </c>
      <c r="K16" s="102">
        <f t="shared" si="0"/>
        <v>0</v>
      </c>
      <c r="L16" s="102">
        <f>SUMIF(不良品库存!D:D,E:E,不良品库存!F:F)</f>
        <v>0</v>
      </c>
      <c r="M16" s="113">
        <f t="shared" si="1"/>
        <v>0</v>
      </c>
      <c r="N16" s="102"/>
      <c r="O16" s="102"/>
      <c r="P16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6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6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6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6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6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6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6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6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6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6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6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6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6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6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6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6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6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6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6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6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6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6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6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6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6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6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6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6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6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6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6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6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6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6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6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6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6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6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6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6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6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6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6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6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6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6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6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6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6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6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6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6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6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6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6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6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6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6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6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6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6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6" s="123"/>
      <c r="CA16" s="123"/>
      <c r="CB16" s="125"/>
      <c r="CC16" s="125"/>
    </row>
    <row r="17" s="90" customFormat="1" customHeight="1" spans="1:81">
      <c r="A17" s="31">
        <v>14</v>
      </c>
      <c r="B17" s="104" t="s">
        <v>19</v>
      </c>
      <c r="C17" s="105" t="s">
        <v>20</v>
      </c>
      <c r="D17" s="31" t="s">
        <v>60</v>
      </c>
      <c r="E17" s="31" t="s">
        <v>61</v>
      </c>
      <c r="F17" s="105" t="s">
        <v>62</v>
      </c>
      <c r="G17" s="31"/>
      <c r="H17" s="31">
        <v>42</v>
      </c>
      <c r="I17" s="106">
        <f>SUMIF(合格品入货记录!E:E,日报!E17,合格品入货记录!G:G)</f>
        <v>0</v>
      </c>
      <c r="J17" s="112">
        <f>SUMIF(合格品出库记录!E:E,日报!E17,合格品出库记录!G:G)</f>
        <v>4</v>
      </c>
      <c r="K17" s="102">
        <f t="shared" si="0"/>
        <v>38</v>
      </c>
      <c r="L17" s="102">
        <f>SUMIF(不良品库存!D:D,E:E,不良品库存!F:F)</f>
        <v>0</v>
      </c>
      <c r="M17" s="113">
        <f t="shared" si="1"/>
        <v>38</v>
      </c>
      <c r="N17" s="31"/>
      <c r="O17" s="104"/>
      <c r="P17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7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7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7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7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7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7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7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7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7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7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7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7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7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7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7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7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7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7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7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7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7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7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7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7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7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7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7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7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7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7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7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7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7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7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7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7" s="31">
        <f>IF(SUMIFS(合格品出库记录!$G:$G,合格品出库记录!$E:$E,日报!$E:$E,合格品出库记录!$A:$A,日报!AZ$3)&lt;&gt;0,SUMIFS(合格品出库记录!$G:$G,合格品出库记录!$E:$E,日报!$E:$E,合格品出库记录!$A:$A,日报!AZ$3),"")</f>
        <v>4</v>
      </c>
      <c r="BA17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7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7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7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7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7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17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7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7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7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7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7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7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7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7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7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7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7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7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7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7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7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7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7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7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7" s="124"/>
      <c r="CA17" s="124"/>
      <c r="CB17" s="125"/>
      <c r="CC17" s="125"/>
    </row>
    <row r="18" s="90" customFormat="1" customHeight="1" spans="1:81">
      <c r="A18" s="31">
        <v>15</v>
      </c>
      <c r="B18" s="102" t="s">
        <v>19</v>
      </c>
      <c r="C18" s="103" t="s">
        <v>20</v>
      </c>
      <c r="D18" s="32" t="s">
        <v>63</v>
      </c>
      <c r="E18" s="32" t="s">
        <v>64</v>
      </c>
      <c r="F18" s="103" t="s">
        <v>65</v>
      </c>
      <c r="G18" s="32"/>
      <c r="H18" s="32">
        <v>19</v>
      </c>
      <c r="I18" s="106">
        <f>SUMIF(合格品入货记录!E:E,日报!E18,合格品入货记录!G:G)</f>
        <v>0</v>
      </c>
      <c r="J18" s="112">
        <f>SUMIF(合格品出库记录!E:E,日报!E18,合格品出库记录!G:G)</f>
        <v>6</v>
      </c>
      <c r="K18" s="102">
        <f t="shared" si="0"/>
        <v>13</v>
      </c>
      <c r="L18" s="102">
        <f>SUMIF(不良品库存!D:D,E:E,不良品库存!F:F)</f>
        <v>0</v>
      </c>
      <c r="M18" s="113">
        <f t="shared" si="1"/>
        <v>13</v>
      </c>
      <c r="N18" s="102"/>
      <c r="O18" s="102"/>
      <c r="P18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8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8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8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8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8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8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8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8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8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8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8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8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8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8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8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8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8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8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8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8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8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8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8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8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8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8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8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8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8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8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8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8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8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8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8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8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8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8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8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8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8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8" s="32">
        <f>IF(SUMIFS(合格品出库记录!$G:$G,合格品出库记录!$E:$E,日报!$E:$E,合格品出库记录!$A:$A,日报!BF$3)&lt;&gt;0,SUMIFS(合格品出库记录!$G:$G,合格品出库记录!$E:$E,日报!$E:$E,合格品出库记录!$A:$A,日报!BF$3),"")</f>
        <v>6</v>
      </c>
      <c r="BG18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8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8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8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8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8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8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8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8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8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8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8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8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8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8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8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8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8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8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8" s="123"/>
      <c r="CA18" s="123"/>
      <c r="CB18" s="125"/>
      <c r="CC18" s="125"/>
    </row>
    <row r="19" s="90" customFormat="1" customHeight="1" spans="1:81">
      <c r="A19" s="31">
        <v>16</v>
      </c>
      <c r="B19" s="104" t="s">
        <v>19</v>
      </c>
      <c r="C19" s="105" t="s">
        <v>20</v>
      </c>
      <c r="D19" s="31" t="s">
        <v>66</v>
      </c>
      <c r="E19" s="31" t="s">
        <v>67</v>
      </c>
      <c r="F19" s="105" t="s">
        <v>68</v>
      </c>
      <c r="G19" s="31"/>
      <c r="H19" s="31">
        <v>19</v>
      </c>
      <c r="I19" s="106">
        <f>SUMIF(合格品入货记录!E:E,日报!E19,合格品入货记录!G:G)</f>
        <v>0</v>
      </c>
      <c r="J19" s="112">
        <f>SUMIF(合格品出库记录!E:E,日报!E19,合格品出库记录!G:G)</f>
        <v>6</v>
      </c>
      <c r="K19" s="102">
        <f t="shared" si="0"/>
        <v>13</v>
      </c>
      <c r="L19" s="102">
        <f>SUMIF(不良品库存!D:D,E:E,不良品库存!F:F)</f>
        <v>0</v>
      </c>
      <c r="M19" s="113">
        <f t="shared" si="1"/>
        <v>13</v>
      </c>
      <c r="N19" s="31"/>
      <c r="O19" s="104"/>
      <c r="P19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19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19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19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19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19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19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19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19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19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19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19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19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19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19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19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19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19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19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19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19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19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19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19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19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19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19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19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19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19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19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19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19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19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19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19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19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19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19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19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19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19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19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6</v>
      </c>
      <c r="BG19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19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19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19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19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19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19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19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19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19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19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19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19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19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19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19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19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19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19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19" s="124"/>
      <c r="CA19" s="124"/>
      <c r="CB19" s="125"/>
      <c r="CC19" s="125"/>
    </row>
    <row r="20" s="90" customFormat="1" customHeight="1" spans="1:81">
      <c r="A20" s="31">
        <v>17</v>
      </c>
      <c r="B20" s="102" t="s">
        <v>19</v>
      </c>
      <c r="C20" s="103" t="s">
        <v>20</v>
      </c>
      <c r="D20" s="32" t="s">
        <v>69</v>
      </c>
      <c r="E20" s="32" t="s">
        <v>70</v>
      </c>
      <c r="F20" s="103" t="s">
        <v>71</v>
      </c>
      <c r="G20" s="32"/>
      <c r="H20" s="32">
        <v>0</v>
      </c>
      <c r="I20" s="106">
        <f>SUMIF(合格品入货记录!E:E,日报!E20,合格品入货记录!G:G)</f>
        <v>0</v>
      </c>
      <c r="J20" s="112">
        <f>SUMIF(合格品出库记录!E:E,日报!E20,合格品出库记录!G:G)</f>
        <v>0</v>
      </c>
      <c r="K20" s="102">
        <f t="shared" si="0"/>
        <v>0</v>
      </c>
      <c r="L20" s="102">
        <f>SUMIF(不良品库存!D:D,E:E,不良品库存!F:F)</f>
        <v>0</v>
      </c>
      <c r="M20" s="113">
        <f t="shared" si="1"/>
        <v>0</v>
      </c>
      <c r="N20" s="102"/>
      <c r="O20" s="102"/>
      <c r="P20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0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0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0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0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0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0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0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0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0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0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0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0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0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0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0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0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0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0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0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0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0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0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0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0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0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0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0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0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0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0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0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0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0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0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0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0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0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0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0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0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0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0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0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0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0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0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0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0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0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0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0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0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0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0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0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0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0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0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0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0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0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0" s="123"/>
      <c r="CA20" s="123"/>
      <c r="CB20" s="125"/>
      <c r="CC20" s="125"/>
    </row>
    <row r="21" s="90" customFormat="1" customHeight="1" spans="1:81">
      <c r="A21" s="31">
        <v>19</v>
      </c>
      <c r="B21" s="104" t="s">
        <v>19</v>
      </c>
      <c r="C21" s="105" t="s">
        <v>20</v>
      </c>
      <c r="D21" s="31" t="s">
        <v>72</v>
      </c>
      <c r="E21" s="31" t="s">
        <v>73</v>
      </c>
      <c r="F21" s="105" t="s">
        <v>74</v>
      </c>
      <c r="G21" s="31"/>
      <c r="H21" s="31">
        <v>35</v>
      </c>
      <c r="I21" s="106">
        <f>SUMIF(合格品入货记录!E:E,日报!E21,合格品入货记录!G:G)</f>
        <v>0</v>
      </c>
      <c r="J21" s="112">
        <f>SUMIF(合格品出库记录!E:E,日报!E21,合格品出库记录!G:G)</f>
        <v>0</v>
      </c>
      <c r="K21" s="102">
        <f t="shared" si="0"/>
        <v>35</v>
      </c>
      <c r="L21" s="102">
        <f>SUMIF(不良品库存!D:D,E:E,不良品库存!F:F)</f>
        <v>0</v>
      </c>
      <c r="M21" s="113">
        <f t="shared" si="1"/>
        <v>35</v>
      </c>
      <c r="N21" s="31"/>
      <c r="O21" s="104"/>
      <c r="P21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1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1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1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1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1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1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1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1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1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1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1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1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1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1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1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1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1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1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1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1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1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1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1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1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1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1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1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1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1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1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1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1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1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1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1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1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1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1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1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1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1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1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1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1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1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1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1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1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1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1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1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1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1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1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1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1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1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1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1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1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1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1" s="124"/>
      <c r="CA21" s="124"/>
      <c r="CB21" s="125"/>
      <c r="CC21" s="125"/>
    </row>
    <row r="22" s="90" customFormat="1" customHeight="1" spans="1:81">
      <c r="A22" s="31">
        <v>20</v>
      </c>
      <c r="B22" s="102" t="s">
        <v>19</v>
      </c>
      <c r="C22" s="103" t="s">
        <v>20</v>
      </c>
      <c r="D22" s="32" t="s">
        <v>75</v>
      </c>
      <c r="E22" s="32" t="s">
        <v>76</v>
      </c>
      <c r="F22" s="103" t="s">
        <v>77</v>
      </c>
      <c r="G22" s="32"/>
      <c r="H22" s="32">
        <v>0</v>
      </c>
      <c r="I22" s="106">
        <f>SUMIF(合格品入货记录!E:E,日报!E22,合格品入货记录!G:G)</f>
        <v>0</v>
      </c>
      <c r="J22" s="112">
        <f>SUMIF(合格品出库记录!E:E,日报!E22,合格品出库记录!G:G)</f>
        <v>0</v>
      </c>
      <c r="K22" s="102">
        <f t="shared" si="0"/>
        <v>0</v>
      </c>
      <c r="L22" s="102">
        <f>SUMIF(不良品库存!D:D,E:E,不良品库存!F:F)</f>
        <v>0</v>
      </c>
      <c r="M22" s="113">
        <f t="shared" si="1"/>
        <v>0</v>
      </c>
      <c r="N22" s="102"/>
      <c r="O22" s="102"/>
      <c r="P22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2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2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2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2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2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2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2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2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2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2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2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2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2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2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2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2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2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2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2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2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2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2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2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2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2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2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2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2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2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2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2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2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2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2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2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2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2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2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2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2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2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2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2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2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2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2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2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2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2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2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2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2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2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2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2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2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2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2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2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2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2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2" s="123"/>
      <c r="CA22" s="123"/>
      <c r="CB22" s="125"/>
      <c r="CC22" s="125"/>
    </row>
    <row r="23" s="90" customFormat="1" customHeight="1" spans="1:81">
      <c r="A23" s="31">
        <v>21</v>
      </c>
      <c r="B23" s="104" t="s">
        <v>19</v>
      </c>
      <c r="C23" s="105" t="s">
        <v>20</v>
      </c>
      <c r="D23" s="31" t="s">
        <v>78</v>
      </c>
      <c r="E23" s="31" t="s">
        <v>79</v>
      </c>
      <c r="F23" s="105" t="s">
        <v>80</v>
      </c>
      <c r="G23" s="31"/>
      <c r="H23" s="31">
        <v>25</v>
      </c>
      <c r="I23" s="106">
        <f>SUMIF(合格品入货记录!E:E,日报!E23,合格品入货记录!G:G)</f>
        <v>0</v>
      </c>
      <c r="J23" s="112">
        <f>SUMIF(合格品出库记录!E:E,日报!E23,合格品出库记录!G:G)</f>
        <v>0</v>
      </c>
      <c r="K23" s="102">
        <f t="shared" si="0"/>
        <v>25</v>
      </c>
      <c r="L23" s="102">
        <f>SUMIF(不良品库存!D:D,E:E,不良品库存!F:F)</f>
        <v>0</v>
      </c>
      <c r="M23" s="113">
        <f t="shared" si="1"/>
        <v>25</v>
      </c>
      <c r="N23" s="31"/>
      <c r="O23" s="104"/>
      <c r="P23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3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3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3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3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3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3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3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3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3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3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3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3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3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3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3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3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3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3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3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3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3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3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3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3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3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3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3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3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3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3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3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3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3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3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3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3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3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3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3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3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3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3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3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3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3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3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3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3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3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3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3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3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3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3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3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3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3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3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3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3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3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3" s="124"/>
      <c r="CA23" s="124"/>
      <c r="CB23" s="125"/>
      <c r="CC23" s="125"/>
    </row>
    <row r="24" s="90" customFormat="1" customHeight="1" spans="1:81">
      <c r="A24" s="31">
        <v>22</v>
      </c>
      <c r="B24" s="104" t="s">
        <v>19</v>
      </c>
      <c r="C24" s="105" t="s">
        <v>20</v>
      </c>
      <c r="D24" s="31" t="s">
        <v>81</v>
      </c>
      <c r="E24" s="31" t="s">
        <v>82</v>
      </c>
      <c r="F24" s="105" t="s">
        <v>83</v>
      </c>
      <c r="G24" s="31"/>
      <c r="H24" s="31">
        <v>90</v>
      </c>
      <c r="I24" s="106">
        <f>SUMIF(合格品入货记录!E:E,日报!E24,合格品入货记录!G:G)</f>
        <v>185</v>
      </c>
      <c r="J24" s="112">
        <f>SUMIF(合格品出库记录!E:E,日报!E24,合格品出库记录!G:G)</f>
        <v>90</v>
      </c>
      <c r="K24" s="102">
        <f t="shared" si="0"/>
        <v>185</v>
      </c>
      <c r="L24" s="102">
        <f>SUMIF(不良品库存!D:D,E:E,不良品库存!F:F)</f>
        <v>0</v>
      </c>
      <c r="M24" s="113">
        <f t="shared" si="1"/>
        <v>185</v>
      </c>
      <c r="N24" s="31"/>
      <c r="O24" s="104"/>
      <c r="P24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4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4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4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4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4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4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4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4" s="31">
        <f>IF(SUMIFS(合格品入货记录!$G:$G,合格品入货记录!$E:$E,日报!$E:$E,合格品入货记录!$A:$A,日报!X$3)&lt;&gt;0,SUMIFS(合格品入货记录!$G:$G,合格品入货记录!$E:$E,日报!$E:$E,合格品入货记录!$A:$A,日报!X$3),"")</f>
        <v>185</v>
      </c>
      <c r="Y24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4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4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4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4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4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4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4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4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4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4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4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4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4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4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4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4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4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4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4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4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4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4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4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4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4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4" s="31">
        <f>IF(SUMIFS(合格品出库记录!$G:$G,合格品出库记录!$E:$E,日报!$E:$E,合格品出库记录!$A:$A,日报!AY$3)&lt;&gt;0,SUMIFS(合格品出库记录!$G:$G,合格品出库记录!$E:$E,日报!$E:$E,合格品出库记录!$A:$A,日报!AY$3),"")</f>
        <v>90</v>
      </c>
      <c r="AZ24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4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4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4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4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4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4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4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4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4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4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4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4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4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4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4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4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4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4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4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4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4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4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4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4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4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4" s="124"/>
      <c r="CA24" s="124"/>
      <c r="CB24" s="125"/>
      <c r="CC24" s="125"/>
    </row>
    <row r="25" s="90" customFormat="1" customHeight="1" spans="1:81">
      <c r="A25" s="31">
        <v>23</v>
      </c>
      <c r="B25" s="102" t="s">
        <v>19</v>
      </c>
      <c r="C25" s="103" t="s">
        <v>20</v>
      </c>
      <c r="D25" s="32" t="s">
        <v>84</v>
      </c>
      <c r="E25" s="32" t="s">
        <v>85</v>
      </c>
      <c r="F25" s="103" t="s">
        <v>86</v>
      </c>
      <c r="G25" s="32"/>
      <c r="H25" s="32">
        <v>0</v>
      </c>
      <c r="I25" s="106">
        <f>SUMIF(合格品入货记录!E:E,日报!E25,合格品入货记录!G:G)</f>
        <v>0</v>
      </c>
      <c r="J25" s="112">
        <f>SUMIF(合格品出库记录!E:E,日报!E25,合格品出库记录!G:G)</f>
        <v>0</v>
      </c>
      <c r="K25" s="102">
        <f t="shared" si="0"/>
        <v>0</v>
      </c>
      <c r="L25" s="102">
        <f>SUMIF(不良品库存!D:D,E:E,不良品库存!F:F)</f>
        <v>0</v>
      </c>
      <c r="M25" s="113">
        <f t="shared" si="1"/>
        <v>0</v>
      </c>
      <c r="N25" s="102"/>
      <c r="O25" s="102"/>
      <c r="P25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5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5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5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5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5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5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5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5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5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5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5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5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5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5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5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5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5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5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5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5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5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5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5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5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5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5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5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5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5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5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5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5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5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5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5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5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5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5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5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5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5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5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5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5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5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5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5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5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5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5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5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5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5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5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5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5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5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5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5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5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5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5" s="123"/>
      <c r="CA25" s="123"/>
      <c r="CB25" s="125"/>
      <c r="CC25" s="125"/>
    </row>
    <row r="26" s="90" customFormat="1" customHeight="1" spans="1:81">
      <c r="A26" s="31">
        <v>24</v>
      </c>
      <c r="B26" s="104" t="s">
        <v>19</v>
      </c>
      <c r="C26" s="105" t="s">
        <v>20</v>
      </c>
      <c r="D26" s="32" t="s">
        <v>87</v>
      </c>
      <c r="E26" s="31" t="s">
        <v>88</v>
      </c>
      <c r="F26" s="105" t="s">
        <v>89</v>
      </c>
      <c r="G26" s="31"/>
      <c r="H26" s="31">
        <v>5</v>
      </c>
      <c r="I26" s="106">
        <f>SUMIF(合格品入货记录!E:E,日报!E26,合格品入货记录!G:G)</f>
        <v>0</v>
      </c>
      <c r="J26" s="112">
        <f>SUMIF(合格品出库记录!E:E,日报!E26,合格品出库记录!G:G)</f>
        <v>1</v>
      </c>
      <c r="K26" s="102">
        <f t="shared" si="0"/>
        <v>4</v>
      </c>
      <c r="L26" s="102">
        <f>SUMIF(不良品库存!D:D,E:E,不良品库存!F:F)</f>
        <v>0</v>
      </c>
      <c r="M26" s="113">
        <f t="shared" si="1"/>
        <v>4</v>
      </c>
      <c r="N26" s="31"/>
      <c r="O26" s="104"/>
      <c r="P26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6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6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6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6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6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6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6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6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6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6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6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6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6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6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6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6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6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6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6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6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6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6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6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6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6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6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6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6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6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6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6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6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6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6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6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6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6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6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6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6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6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6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1</v>
      </c>
      <c r="BG26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6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6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6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6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6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6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6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6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6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6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6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6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6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6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6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6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6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6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6" s="124"/>
      <c r="CA26" s="124"/>
      <c r="CB26" s="125"/>
      <c r="CC26" s="125"/>
    </row>
    <row r="27" s="90" customFormat="1" customHeight="1" spans="1:81">
      <c r="A27" s="31">
        <v>25</v>
      </c>
      <c r="B27" s="102" t="s">
        <v>19</v>
      </c>
      <c r="C27" s="103" t="s">
        <v>20</v>
      </c>
      <c r="D27" s="32" t="s">
        <v>90</v>
      </c>
      <c r="E27" s="32" t="s">
        <v>91</v>
      </c>
      <c r="F27" s="103" t="s">
        <v>92</v>
      </c>
      <c r="G27" s="32"/>
      <c r="H27" s="32">
        <v>0</v>
      </c>
      <c r="I27" s="106">
        <f>SUMIF(合格品入货记录!E:E,日报!E27,合格品入货记录!G:G)</f>
        <v>0</v>
      </c>
      <c r="J27" s="112">
        <f>SUMIF(合格品出库记录!E:E,日报!E27,合格品出库记录!G:G)</f>
        <v>0</v>
      </c>
      <c r="K27" s="102">
        <f t="shared" si="0"/>
        <v>0</v>
      </c>
      <c r="L27" s="102">
        <f>SUMIF(不良品库存!D:D,E:E,不良品库存!F:F)</f>
        <v>0</v>
      </c>
      <c r="M27" s="113">
        <f t="shared" si="1"/>
        <v>0</v>
      </c>
      <c r="N27" s="102"/>
      <c r="O27" s="102"/>
      <c r="P27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7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7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7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7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7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7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7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7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7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7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7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7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7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7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7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7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7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7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7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7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7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7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7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7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7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7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7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7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7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7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7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7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7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7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7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7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7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7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7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7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7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7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7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7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7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7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7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7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7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7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7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7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7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7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7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7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7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7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7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7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7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7" s="123"/>
      <c r="CA27" s="123"/>
      <c r="CB27" s="125"/>
      <c r="CC27" s="125"/>
    </row>
    <row r="28" s="90" customFormat="1" customHeight="1" spans="1:81">
      <c r="A28" s="31">
        <v>26</v>
      </c>
      <c r="B28" s="104" t="s">
        <v>19</v>
      </c>
      <c r="C28" s="105" t="s">
        <v>20</v>
      </c>
      <c r="D28" s="31" t="s">
        <v>93</v>
      </c>
      <c r="E28" s="31" t="s">
        <v>94</v>
      </c>
      <c r="F28" s="105" t="s">
        <v>95</v>
      </c>
      <c r="G28" s="31"/>
      <c r="H28" s="31">
        <v>3</v>
      </c>
      <c r="I28" s="106">
        <f>SUMIF(合格品入货记录!E:E,日报!E28,合格品入货记录!G:G)</f>
        <v>0</v>
      </c>
      <c r="J28" s="112">
        <f>SUMIF(合格品出库记录!E:E,日报!E28,合格品出库记录!G:G)</f>
        <v>1</v>
      </c>
      <c r="K28" s="102">
        <f t="shared" si="0"/>
        <v>2</v>
      </c>
      <c r="L28" s="102">
        <f>SUMIF(不良品库存!D:D,E:E,不良品库存!F:F)</f>
        <v>0</v>
      </c>
      <c r="M28" s="113">
        <f t="shared" si="1"/>
        <v>2</v>
      </c>
      <c r="N28" s="31"/>
      <c r="O28" s="104"/>
      <c r="P28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8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8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8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8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8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8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8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8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8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8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8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8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8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8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8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8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8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8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8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8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8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8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8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8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8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8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8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8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8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8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8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8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8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8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1</v>
      </c>
      <c r="AY28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8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8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8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8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8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8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8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8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28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8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8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8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8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8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8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8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8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8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8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8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8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8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8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8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8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8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8" s="124"/>
      <c r="CA28" s="124"/>
      <c r="CB28" s="125"/>
      <c r="CC28" s="125"/>
    </row>
    <row r="29" s="90" customFormat="1" customHeight="1" spans="1:81">
      <c r="A29" s="31">
        <v>27</v>
      </c>
      <c r="B29" s="102" t="s">
        <v>19</v>
      </c>
      <c r="C29" s="103" t="s">
        <v>20</v>
      </c>
      <c r="D29" s="32" t="s">
        <v>96</v>
      </c>
      <c r="E29" s="32" t="s">
        <v>97</v>
      </c>
      <c r="F29" s="103" t="s">
        <v>98</v>
      </c>
      <c r="G29" s="32"/>
      <c r="H29" s="32">
        <v>14</v>
      </c>
      <c r="I29" s="106">
        <f>SUMIF(合格品入货记录!E:E,日报!E29,合格品入货记录!G:G)</f>
        <v>0</v>
      </c>
      <c r="J29" s="112">
        <f>SUMIF(合格品出库记录!E:E,日报!E29,合格品出库记录!G:G)</f>
        <v>1</v>
      </c>
      <c r="K29" s="102">
        <f t="shared" si="0"/>
        <v>13</v>
      </c>
      <c r="L29" s="102">
        <f>SUMIF(不良品库存!D:D,E:E,不良品库存!F:F)</f>
        <v>0</v>
      </c>
      <c r="M29" s="113">
        <f t="shared" si="1"/>
        <v>13</v>
      </c>
      <c r="N29" s="102"/>
      <c r="O29" s="102"/>
      <c r="P29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29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29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29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29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29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29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29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29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29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29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29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29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29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29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29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29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29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29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29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29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29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29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29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29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29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29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29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29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29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29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29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29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29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29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29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29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29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29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29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29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29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29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29" s="32">
        <f>IF(SUMIFS(合格品出库记录!$G:$G,合格品出库记录!$E:$E,日报!$E:$E,合格品出库记录!$A:$A,日报!BG$3)&lt;&gt;0,SUMIFS(合格品出库记录!$G:$G,合格品出库记录!$E:$E,日报!$E:$E,合格品出库记录!$A:$A,日报!BG$3),"")</f>
        <v>1</v>
      </c>
      <c r="BH29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29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29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29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29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29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29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29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29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29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29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29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29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29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29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29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29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29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29" s="123"/>
      <c r="CA29" s="123"/>
      <c r="CB29" s="125"/>
      <c r="CC29" s="125"/>
    </row>
    <row r="30" s="90" customFormat="1" customHeight="1" spans="1:81">
      <c r="A30" s="31">
        <v>28</v>
      </c>
      <c r="B30" s="104" t="s">
        <v>19</v>
      </c>
      <c r="C30" s="105" t="s">
        <v>20</v>
      </c>
      <c r="D30" s="31" t="s">
        <v>99</v>
      </c>
      <c r="E30" s="31" t="s">
        <v>100</v>
      </c>
      <c r="F30" s="105" t="s">
        <v>101</v>
      </c>
      <c r="G30" s="31"/>
      <c r="H30" s="31">
        <v>0</v>
      </c>
      <c r="I30" s="106">
        <f>SUMIF(合格品入货记录!E:E,日报!E30,合格品入货记录!G:G)</f>
        <v>0</v>
      </c>
      <c r="J30" s="112">
        <f>SUMIF(合格品出库记录!E:E,日报!E30,合格品出库记录!G:G)</f>
        <v>0</v>
      </c>
      <c r="K30" s="102">
        <f t="shared" si="0"/>
        <v>0</v>
      </c>
      <c r="L30" s="102">
        <f>SUMIF(不良品库存!D:D,E:E,不良品库存!F:F)</f>
        <v>0</v>
      </c>
      <c r="M30" s="113">
        <f t="shared" si="1"/>
        <v>0</v>
      </c>
      <c r="N30" s="31"/>
      <c r="O30" s="104"/>
      <c r="P30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0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0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0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0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0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0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0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0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0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0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0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0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0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0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0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0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0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0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0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0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0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0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0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0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0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0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0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0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0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0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0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0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0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0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0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0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0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0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0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0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0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0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0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0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0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0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0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0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0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0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0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0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0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0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0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0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0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0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0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0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0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0" s="124"/>
      <c r="CA30" s="124"/>
      <c r="CB30" s="125"/>
      <c r="CC30" s="125"/>
    </row>
    <row r="31" s="90" customFormat="1" customHeight="1" spans="1:81">
      <c r="A31" s="31">
        <v>29</v>
      </c>
      <c r="B31" s="102" t="s">
        <v>19</v>
      </c>
      <c r="C31" s="103" t="s">
        <v>20</v>
      </c>
      <c r="D31" s="32" t="s">
        <v>102</v>
      </c>
      <c r="E31" s="32" t="s">
        <v>103</v>
      </c>
      <c r="F31" s="103" t="s">
        <v>104</v>
      </c>
      <c r="G31" s="32"/>
      <c r="H31" s="32">
        <v>0</v>
      </c>
      <c r="I31" s="106">
        <f>SUMIF(合格品入货记录!E:E,日报!E31,合格品入货记录!G:G)</f>
        <v>0</v>
      </c>
      <c r="J31" s="112">
        <f>SUMIF(合格品出库记录!E:E,日报!E31,合格品出库记录!G:G)</f>
        <v>0</v>
      </c>
      <c r="K31" s="102">
        <f t="shared" si="0"/>
        <v>0</v>
      </c>
      <c r="L31" s="102">
        <f>SUMIF(不良品库存!D:D,E:E,不良品库存!F:F)</f>
        <v>0</v>
      </c>
      <c r="M31" s="113">
        <f t="shared" si="1"/>
        <v>0</v>
      </c>
      <c r="N31" s="102"/>
      <c r="O31" s="102"/>
      <c r="P31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1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1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1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1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1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1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1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1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1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1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1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1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1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1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1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1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1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1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1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1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1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1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1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1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1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1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1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1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1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1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1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1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1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1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1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1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1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1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1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1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1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1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1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1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1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1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1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1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1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1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1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1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1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1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1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1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1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1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1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1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1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1" s="123"/>
      <c r="CA31" s="123"/>
      <c r="CB31" s="125"/>
      <c r="CC31" s="125"/>
    </row>
    <row r="32" s="90" customFormat="1" customHeight="1" spans="1:81">
      <c r="A32" s="31">
        <v>30</v>
      </c>
      <c r="B32" s="104" t="s">
        <v>19</v>
      </c>
      <c r="C32" s="105" t="s">
        <v>20</v>
      </c>
      <c r="D32" s="31" t="s">
        <v>105</v>
      </c>
      <c r="E32" s="31" t="s">
        <v>106</v>
      </c>
      <c r="F32" s="105" t="s">
        <v>107</v>
      </c>
      <c r="G32" s="31"/>
      <c r="H32" s="31">
        <v>0</v>
      </c>
      <c r="I32" s="106">
        <f>SUMIF(合格品入货记录!E:E,日报!E32,合格品入货记录!G:G)</f>
        <v>0</v>
      </c>
      <c r="J32" s="112">
        <f>SUMIF(合格品出库记录!E:E,日报!E32,合格品出库记录!G:G)</f>
        <v>0</v>
      </c>
      <c r="K32" s="102">
        <f t="shared" si="0"/>
        <v>0</v>
      </c>
      <c r="L32" s="102">
        <f>SUMIF(不良品库存!D:D,E:E,不良品库存!F:F)</f>
        <v>0</v>
      </c>
      <c r="M32" s="113">
        <f t="shared" si="1"/>
        <v>0</v>
      </c>
      <c r="N32" s="31"/>
      <c r="O32" s="104"/>
      <c r="P32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2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2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2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2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2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2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2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2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2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2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2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2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2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2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2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2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2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2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2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2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2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2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2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2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2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2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2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2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2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2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2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2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2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2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2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2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2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2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2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2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2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2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2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2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2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2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2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2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2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2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2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2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2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2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2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2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2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2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2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2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2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2" s="124"/>
      <c r="CA32" s="124"/>
      <c r="CB32" s="125"/>
      <c r="CC32" s="125"/>
    </row>
    <row r="33" s="90" customFormat="1" customHeight="1" spans="1:81">
      <c r="A33" s="31">
        <v>31</v>
      </c>
      <c r="B33" s="102" t="s">
        <v>19</v>
      </c>
      <c r="C33" s="103" t="s">
        <v>20</v>
      </c>
      <c r="D33" s="32" t="s">
        <v>108</v>
      </c>
      <c r="E33" s="32" t="s">
        <v>109</v>
      </c>
      <c r="F33" s="103" t="s">
        <v>110</v>
      </c>
      <c r="G33" s="32"/>
      <c r="H33" s="32">
        <v>44</v>
      </c>
      <c r="I33" s="106">
        <f>SUMIF(合格品入货记录!E:E,日报!E33,合格品入货记录!G:G)</f>
        <v>2175</v>
      </c>
      <c r="J33" s="112">
        <f>SUMIF(合格品出库记录!E:E,日报!E33,合格品出库记录!G:G)</f>
        <v>2190</v>
      </c>
      <c r="K33" s="102">
        <f t="shared" si="0"/>
        <v>29</v>
      </c>
      <c r="L33" s="102">
        <f>SUMIF(不良品库存!D:D,E:E,不良品库存!F:F)</f>
        <v>0</v>
      </c>
      <c r="M33" s="113">
        <f t="shared" si="1"/>
        <v>29</v>
      </c>
      <c r="N33" s="102"/>
      <c r="O33" s="102"/>
      <c r="P33" s="32">
        <f>IF(SUMIFS(合格品入货记录!$G:$G,合格品入货记录!$E:$E,日报!$E:$E,合格品入货记录!$A:$A,日报!P$3)&lt;&gt;0,SUMIFS(合格品入货记录!$G:$G,合格品入货记录!$E:$E,日报!$E:$E,合格品入货记录!$A:$A,日报!P$3),"")</f>
        <v>600</v>
      </c>
      <c r="Q33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3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3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3" s="32">
        <f>IF(SUMIFS(合格品入货记录!$G:$G,合格品入货记录!$E:$E,日报!$E:$E,合格品入货记录!$A:$A,日报!T$3)&lt;&gt;0,SUMIFS(合格品入货记录!$G:$G,合格品入货记录!$E:$E,日报!$E:$E,合格品入货记录!$A:$A,日报!T$3),"")</f>
        <v>480</v>
      </c>
      <c r="U33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3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3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3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3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3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3" s="32">
        <f>IF(SUMIFS(合格品入货记录!$G:$G,合格品入货记录!$E:$E,日报!$E:$E,合格品入货记录!$A:$A,日报!AA$3)&lt;&gt;0,SUMIFS(合格品入货记录!$G:$G,合格品入货记录!$E:$E,日报!$E:$E,合格品入货记录!$A:$A,日报!AA$3),"")</f>
        <v>720</v>
      </c>
      <c r="AB33" s="32">
        <f>IF(SUMIFS(合格品入货记录!$G:$G,合格品入货记录!$E:$E,日报!$E:$E,合格品入货记录!$A:$A,日报!AB$3)&lt;&gt;0,SUMIFS(合格品入货记录!$G:$G,合格品入货记录!$E:$E,日报!$E:$E,合格品入货记录!$A:$A,日报!AB$3),"")</f>
        <v>375</v>
      </c>
      <c r="AC33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3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3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3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3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3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3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3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3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3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3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3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3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3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3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3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3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3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3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3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3" s="32">
        <f>IF(SUMIFS(合格品出库记录!$G:$G,合格品出库记录!$E:$E,日报!$E:$E,合格品出库记录!$A:$A,日报!AW$3)&lt;&gt;0,SUMIFS(合格品出库记录!$G:$G,合格品出库记录!$E:$E,日报!$E:$E,合格品出库记录!$A:$A,日报!AW$3),"")</f>
        <v>630</v>
      </c>
      <c r="AX33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3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3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3" s="32">
        <f>IF(SUMIFS(合格品出库记录!$G:$G,合格品出库记录!$E:$E,日报!$E:$E,合格品出库记录!$A:$A,日报!BA$3)&lt;&gt;0,SUMIFS(合格品出库记录!$G:$G,合格品出库记录!$E:$E,日报!$E:$E,合格品出库记录!$A:$A,日报!BA$3),"")</f>
        <v>480</v>
      </c>
      <c r="BB33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3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3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3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3" s="32">
        <f>IF(SUMIFS(合格品出库记录!$G:$G,合格品出库记录!$E:$E,日报!$E:$E,合格品出库记录!$A:$A,日报!BF$3)&lt;&gt;0,SUMIFS(合格品出库记录!$G:$G,合格品出库记录!$E:$E,日报!$E:$E,合格品出库记录!$A:$A,日报!BF$3),"")</f>
        <v>720</v>
      </c>
      <c r="BG33" s="32">
        <f>IF(SUMIFS(合格品出库记录!$G:$G,合格品出库记录!$E:$E,日报!$E:$E,合格品出库记录!$A:$A,日报!BG$3)&lt;&gt;0,SUMIFS(合格品出库记录!$G:$G,合格品出库记录!$E:$E,日报!$E:$E,合格品出库记录!$A:$A,日报!BG$3),"")</f>
        <v>360</v>
      </c>
      <c r="BH33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3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3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3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3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3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3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3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3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3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3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3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3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3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3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3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3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3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3" s="123"/>
      <c r="CA33" s="123"/>
      <c r="CB33" s="125"/>
      <c r="CC33" s="125"/>
    </row>
    <row r="34" s="90" customFormat="1" customHeight="1" spans="1:81">
      <c r="A34" s="31">
        <v>32</v>
      </c>
      <c r="B34" s="102" t="s">
        <v>19</v>
      </c>
      <c r="C34" s="103" t="s">
        <v>20</v>
      </c>
      <c r="D34" s="32" t="s">
        <v>111</v>
      </c>
      <c r="E34" s="32" t="s">
        <v>112</v>
      </c>
      <c r="F34" s="103" t="s">
        <v>113</v>
      </c>
      <c r="G34" s="32"/>
      <c r="H34" s="32">
        <v>0</v>
      </c>
      <c r="I34" s="106">
        <f>SUMIF(合格品入货记录!E:E,日报!E34,合格品入货记录!G:G)</f>
        <v>0</v>
      </c>
      <c r="J34" s="112">
        <f>SUMIF(合格品出库记录!E:E,日报!E34,合格品出库记录!G:G)</f>
        <v>0</v>
      </c>
      <c r="K34" s="102">
        <f t="shared" si="0"/>
        <v>0</v>
      </c>
      <c r="L34" s="102">
        <f>SUMIF(不良品库存!D:D,E:E,不良品库存!F:F)</f>
        <v>0</v>
      </c>
      <c r="M34" s="113">
        <f t="shared" si="1"/>
        <v>0</v>
      </c>
      <c r="N34" s="102"/>
      <c r="O34" s="102"/>
      <c r="P34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4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4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4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4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4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4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4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4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4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4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4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4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4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4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4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4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4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4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4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4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4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4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4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4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4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4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4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4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4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4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4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4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4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4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4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4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4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4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4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4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4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4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4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4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4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4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4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4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4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4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4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4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4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4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4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4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4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4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4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4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4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4" s="123"/>
      <c r="CA34" s="123"/>
      <c r="CB34" s="125"/>
      <c r="CC34" s="125"/>
    </row>
    <row r="35" s="90" customFormat="1" customHeight="1" spans="1:81">
      <c r="A35" s="31">
        <v>33</v>
      </c>
      <c r="B35" s="104" t="s">
        <v>19</v>
      </c>
      <c r="C35" s="105" t="s">
        <v>20</v>
      </c>
      <c r="D35" s="31" t="s">
        <v>114</v>
      </c>
      <c r="E35" s="31" t="s">
        <v>115</v>
      </c>
      <c r="F35" s="105" t="s">
        <v>116</v>
      </c>
      <c r="G35" s="31"/>
      <c r="H35" s="31">
        <v>4</v>
      </c>
      <c r="I35" s="106">
        <f>SUMIF(合格品入货记录!E:E,日报!E35,合格品入货记录!G:G)</f>
        <v>0</v>
      </c>
      <c r="J35" s="112">
        <f>SUMIF(合格品出库记录!E:E,日报!E35,合格品出库记录!G:G)</f>
        <v>1</v>
      </c>
      <c r="K35" s="102">
        <f t="shared" si="0"/>
        <v>3</v>
      </c>
      <c r="L35" s="102">
        <f>SUMIF(不良品库存!D:D,E:E,不良品库存!F:F)</f>
        <v>0</v>
      </c>
      <c r="M35" s="113">
        <f t="shared" si="1"/>
        <v>3</v>
      </c>
      <c r="N35" s="31"/>
      <c r="O35" s="104"/>
      <c r="P35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5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5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5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5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5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5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5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5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5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5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5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5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5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5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5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5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5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5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5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5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5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5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5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5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5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5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5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5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5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5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5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5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5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5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1</v>
      </c>
      <c r="AY35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5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5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5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5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5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5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5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5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5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5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5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5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5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5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5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5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5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5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5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5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5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5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5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5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5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5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5" s="124"/>
      <c r="CA35" s="124"/>
      <c r="CB35" s="125"/>
      <c r="CC35" s="125"/>
    </row>
    <row r="36" s="90" customFormat="1" customHeight="1" spans="1:82">
      <c r="A36" s="31">
        <v>34</v>
      </c>
      <c r="B36" s="104" t="s">
        <v>19</v>
      </c>
      <c r="C36" s="134" t="s">
        <v>20</v>
      </c>
      <c r="D36" s="104" t="s">
        <v>117</v>
      </c>
      <c r="E36" s="106" t="s">
        <v>118</v>
      </c>
      <c r="F36" s="135" t="s">
        <v>119</v>
      </c>
      <c r="G36" s="106"/>
      <c r="H36" s="104">
        <v>20</v>
      </c>
      <c r="I36" s="106">
        <f>SUMIF(合格品入货记录!E:E,日报!E36,合格品入货记录!G:G)</f>
        <v>0</v>
      </c>
      <c r="J36" s="112">
        <f>SUMIF(合格品出库记录!E:E,日报!E36,合格品出库记录!G:G)</f>
        <v>7</v>
      </c>
      <c r="K36" s="102">
        <f t="shared" ref="K36:K67" si="2">H36+I36-J36+L36</f>
        <v>13</v>
      </c>
      <c r="L36" s="102">
        <f>SUMIF(不良品库存!D:D,E:E,不良品库存!F:F)</f>
        <v>0</v>
      </c>
      <c r="M36" s="113">
        <f t="shared" ref="M36:M67" si="3">H36+I36-J36</f>
        <v>13</v>
      </c>
      <c r="N36" s="104"/>
      <c r="O36" s="104"/>
      <c r="P36" s="104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6" s="104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6" s="104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6" s="104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6" s="104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6" s="104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6" s="104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6" s="104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6" s="104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6" s="104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6" s="104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6" s="104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6" s="104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6" s="104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6" s="104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6" s="104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6" s="104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6" s="104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6" s="104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6" s="104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6" s="104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6" s="104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6" s="104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6" s="104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6" s="104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6" s="104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6" s="104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6" s="104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6" s="104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6" s="104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6" s="104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6" s="104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6" s="104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6" s="104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6" s="104">
        <f>IF(SUMIFS(合格品出库记录!$G:$G,合格品出库记录!$E:$E,日报!$E:$E,合格品出库记录!$A:$A,日报!AX$3)&lt;&gt;0,SUMIFS(合格品出库记录!$G:$G,合格品出库记录!$E:$E,日报!$E:$E,合格品出库记录!$A:$A,日报!AX$3),"")</f>
        <v>7</v>
      </c>
      <c r="AY36" s="104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6" s="104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6" s="104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6" s="104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6" s="104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6" s="104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6" s="104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6" s="104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6" s="104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6" s="104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6" s="104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6" s="104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6" s="104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6" s="104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6" s="104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6" s="104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6" s="104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6" s="104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6" s="104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6" s="104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6" s="104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6" s="104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6" s="104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6" s="104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6" s="104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6" s="104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6" s="126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6" s="126"/>
      <c r="CA36" s="126"/>
      <c r="CB36" s="125"/>
      <c r="CC36" s="125"/>
      <c r="CD36" s="130"/>
    </row>
    <row r="37" s="90" customFormat="1" customHeight="1" spans="1:81">
      <c r="A37" s="31">
        <v>35</v>
      </c>
      <c r="B37" s="104" t="s">
        <v>19</v>
      </c>
      <c r="C37" s="105" t="s">
        <v>20</v>
      </c>
      <c r="D37" s="31" t="s">
        <v>120</v>
      </c>
      <c r="E37" s="31" t="s">
        <v>121</v>
      </c>
      <c r="F37" s="105" t="s">
        <v>122</v>
      </c>
      <c r="G37" s="31"/>
      <c r="H37" s="31">
        <v>23</v>
      </c>
      <c r="I37" s="106">
        <f>SUMIF(合格品入货记录!E:E,日报!E37,合格品入货记录!G:G)</f>
        <v>0</v>
      </c>
      <c r="J37" s="112">
        <f>SUMIF(合格品出库记录!E:E,日报!E37,合格品出库记录!G:G)</f>
        <v>0</v>
      </c>
      <c r="K37" s="102">
        <f t="shared" si="2"/>
        <v>23</v>
      </c>
      <c r="L37" s="102">
        <f>SUMIF(不良品库存!D:D,E:E,不良品库存!F:F)</f>
        <v>0</v>
      </c>
      <c r="M37" s="113">
        <f t="shared" si="3"/>
        <v>23</v>
      </c>
      <c r="N37" s="31"/>
      <c r="O37" s="104"/>
      <c r="P37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7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7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7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7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7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7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7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7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7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7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7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7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7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7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7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7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7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7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7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7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7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7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7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7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7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7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7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7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7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7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7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7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7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7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7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7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7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7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7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7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7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7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7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7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7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7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7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7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7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7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7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7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7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7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7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7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7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7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7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7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7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7" s="124"/>
      <c r="CA37" s="124"/>
      <c r="CB37" s="125"/>
      <c r="CC37" s="125"/>
    </row>
    <row r="38" s="90" customFormat="1" customHeight="1" spans="1:81">
      <c r="A38" s="31">
        <v>36</v>
      </c>
      <c r="B38" s="102" t="s">
        <v>19</v>
      </c>
      <c r="C38" s="103" t="s">
        <v>20</v>
      </c>
      <c r="D38" s="32" t="s">
        <v>123</v>
      </c>
      <c r="E38" s="32" t="s">
        <v>124</v>
      </c>
      <c r="F38" s="103" t="s">
        <v>125</v>
      </c>
      <c r="G38" s="32"/>
      <c r="H38" s="32">
        <v>15</v>
      </c>
      <c r="I38" s="106">
        <f>SUMIF(合格品入货记录!E:E,日报!E38,合格品入货记录!G:G)</f>
        <v>0</v>
      </c>
      <c r="J38" s="112">
        <f>SUMIF(合格品出库记录!E:E,日报!E38,合格品出库记录!G:G)</f>
        <v>0</v>
      </c>
      <c r="K38" s="102">
        <f t="shared" si="2"/>
        <v>15</v>
      </c>
      <c r="L38" s="102">
        <f>SUMIF(不良品库存!D:D,E:E,不良品库存!F:F)</f>
        <v>0</v>
      </c>
      <c r="M38" s="113">
        <f t="shared" si="3"/>
        <v>15</v>
      </c>
      <c r="N38" s="102"/>
      <c r="O38" s="102"/>
      <c r="P38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8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8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8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8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8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8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8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8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8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8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8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8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8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8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8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8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8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8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8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8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8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8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8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8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8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8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8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8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8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8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8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8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8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8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8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8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8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8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8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8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8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8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8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8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8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8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8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8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8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8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8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8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8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8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8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8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8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8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8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8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8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8" s="123"/>
      <c r="CA38" s="123"/>
      <c r="CB38" s="125"/>
      <c r="CC38" s="125"/>
    </row>
    <row r="39" s="90" customFormat="1" customHeight="1" spans="1:81">
      <c r="A39" s="31">
        <v>37</v>
      </c>
      <c r="B39" s="104" t="s">
        <v>19</v>
      </c>
      <c r="C39" s="105" t="s">
        <v>20</v>
      </c>
      <c r="D39" s="31" t="s">
        <v>126</v>
      </c>
      <c r="E39" s="31" t="s">
        <v>127</v>
      </c>
      <c r="F39" s="105" t="s">
        <v>128</v>
      </c>
      <c r="G39" s="31"/>
      <c r="H39" s="31">
        <v>12</v>
      </c>
      <c r="I39" s="106">
        <f>SUMIF(合格品入货记录!E:E,日报!E39,合格品入货记录!G:G)</f>
        <v>0</v>
      </c>
      <c r="J39" s="112">
        <f>SUMIF(合格品出库记录!E:E,日报!E39,合格品出库记录!G:G)</f>
        <v>0</v>
      </c>
      <c r="K39" s="102">
        <f t="shared" si="2"/>
        <v>12</v>
      </c>
      <c r="L39" s="102">
        <f>SUMIF(不良品库存!D:D,E:E,不良品库存!F:F)</f>
        <v>0</v>
      </c>
      <c r="M39" s="113">
        <f t="shared" si="3"/>
        <v>12</v>
      </c>
      <c r="N39" s="31"/>
      <c r="O39" s="104"/>
      <c r="P39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39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39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39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39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39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39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39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39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39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39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39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39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39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39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39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39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39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39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39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39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39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39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39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39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39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39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39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39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39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39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39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39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39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39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39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39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39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39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39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39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39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39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39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39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39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39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39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39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39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39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39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39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39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39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39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39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39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39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39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39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39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39" s="124"/>
      <c r="CA39" s="124"/>
      <c r="CB39" s="125"/>
      <c r="CC39" s="125"/>
    </row>
    <row r="40" s="90" customFormat="1" customHeight="1" spans="1:77">
      <c r="A40" s="31">
        <v>38</v>
      </c>
      <c r="B40" s="104" t="s">
        <v>19</v>
      </c>
      <c r="C40" s="134" t="s">
        <v>20</v>
      </c>
      <c r="D40" s="104" t="s">
        <v>129</v>
      </c>
      <c r="E40" s="106" t="s">
        <v>130</v>
      </c>
      <c r="F40" s="135" t="s">
        <v>131</v>
      </c>
      <c r="G40" s="106"/>
      <c r="H40" s="104">
        <v>34</v>
      </c>
      <c r="I40" s="106">
        <f>SUMIF(合格品入货记录!E:E,日报!E40,合格品入货记录!G:G)</f>
        <v>0</v>
      </c>
      <c r="J40" s="112">
        <f>SUMIF(合格品出库记录!E:E,日报!E40,合格品出库记录!G:G)</f>
        <v>0</v>
      </c>
      <c r="K40" s="102">
        <f t="shared" si="2"/>
        <v>34</v>
      </c>
      <c r="L40" s="102">
        <f>SUMIF(不良品库存!D:D,E:E,不良品库存!F:F)</f>
        <v>0</v>
      </c>
      <c r="M40" s="113">
        <f t="shared" si="3"/>
        <v>34</v>
      </c>
      <c r="N40" s="104"/>
      <c r="O40" s="104"/>
      <c r="P40" s="104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0" s="104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0" s="104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0" s="104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0" s="104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0" s="104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0" s="104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0" s="104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0" s="104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0" s="104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0" s="104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0" s="104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0" s="104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0" s="104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0" s="104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0" s="104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0" s="104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0" s="104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0" s="104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0" s="104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0" s="104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0" s="104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0" s="104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0" s="104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0" s="104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0" s="126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0" s="126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0" s="126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0" s="125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0" s="125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0" s="130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0" s="90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0" s="90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0" s="90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0" s="90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0" s="90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0" s="90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0" s="90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0" s="90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0" s="90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0" s="90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0" s="90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0" s="90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0" s="90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0" s="90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0" s="90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0" s="90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0" s="90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0" s="90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0" s="90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0" s="90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0" s="90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0" s="90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0" s="90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0" s="90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0" s="90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0" s="90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0" s="90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0" s="90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0" s="90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0" s="90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0" s="90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</row>
    <row r="41" s="90" customFormat="1" customHeight="1" spans="1:81">
      <c r="A41" s="31">
        <v>39</v>
      </c>
      <c r="B41" s="104" t="s">
        <v>19</v>
      </c>
      <c r="C41" s="105" t="s">
        <v>20</v>
      </c>
      <c r="D41" s="104" t="s">
        <v>132</v>
      </c>
      <c r="E41" s="31" t="s">
        <v>133</v>
      </c>
      <c r="F41" s="105" t="s">
        <v>134</v>
      </c>
      <c r="G41" s="31"/>
      <c r="H41" s="31">
        <v>0</v>
      </c>
      <c r="I41" s="106">
        <f>SUMIF(合格品入货记录!E:E,日报!E41,合格品入货记录!G:G)</f>
        <v>0</v>
      </c>
      <c r="J41" s="112">
        <f>SUMIF(合格品出库记录!E:E,日报!E41,合格品出库记录!G:G)</f>
        <v>0</v>
      </c>
      <c r="K41" s="102">
        <f t="shared" si="2"/>
        <v>0</v>
      </c>
      <c r="L41" s="102">
        <f>SUMIF(不良品库存!D:D,E:E,不良品库存!F:F)</f>
        <v>0</v>
      </c>
      <c r="M41" s="113">
        <f t="shared" si="3"/>
        <v>0</v>
      </c>
      <c r="N41" s="31"/>
      <c r="O41" s="104"/>
      <c r="P41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1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1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1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1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1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1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1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1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1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1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1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1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1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1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1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1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1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1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1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1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1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1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1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1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1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1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1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1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1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1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1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1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1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1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1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1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1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1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1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1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1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1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1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1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1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1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1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1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1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1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1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1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1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1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1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1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1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1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1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1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1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1" s="124"/>
      <c r="CA41" s="124"/>
      <c r="CB41" s="125"/>
      <c r="CC41" s="125"/>
    </row>
    <row r="42" s="90" customFormat="1" customHeight="1" spans="1:81">
      <c r="A42" s="31">
        <v>40</v>
      </c>
      <c r="B42" s="104" t="s">
        <v>19</v>
      </c>
      <c r="C42" s="105" t="s">
        <v>20</v>
      </c>
      <c r="D42" s="31" t="s">
        <v>135</v>
      </c>
      <c r="E42" s="31" t="s">
        <v>136</v>
      </c>
      <c r="F42" s="105" t="s">
        <v>137</v>
      </c>
      <c r="G42" s="31"/>
      <c r="H42" s="31">
        <v>0</v>
      </c>
      <c r="I42" s="106">
        <f>SUMIF(合格品入货记录!E:E,日报!E42,合格品入货记录!G:G)</f>
        <v>0</v>
      </c>
      <c r="J42" s="112">
        <f>SUMIF(合格品出库记录!E:E,日报!E42,合格品出库记录!G:G)</f>
        <v>0</v>
      </c>
      <c r="K42" s="102">
        <f t="shared" si="2"/>
        <v>0</v>
      </c>
      <c r="L42" s="102">
        <f>SUMIF(不良品库存!D:D,E:E,不良品库存!F:F)</f>
        <v>0</v>
      </c>
      <c r="M42" s="113">
        <f t="shared" si="3"/>
        <v>0</v>
      </c>
      <c r="N42" s="31"/>
      <c r="O42" s="104"/>
      <c r="P42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2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2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2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2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2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2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2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2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2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2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2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2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2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2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2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2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2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2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2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2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2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2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2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2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2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2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2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2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2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2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2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2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2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2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2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2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2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2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2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2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2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2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2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2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2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2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2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2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2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2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2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2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2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2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2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2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2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2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2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2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2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2" s="124"/>
      <c r="CA42" s="124"/>
      <c r="CB42" s="125"/>
      <c r="CC42" s="125"/>
    </row>
    <row r="43" s="90" customFormat="1" customHeight="1" spans="1:81">
      <c r="A43" s="31">
        <v>41</v>
      </c>
      <c r="B43" s="102" t="s">
        <v>19</v>
      </c>
      <c r="C43" s="103" t="s">
        <v>20</v>
      </c>
      <c r="D43" s="32" t="s">
        <v>138</v>
      </c>
      <c r="E43" s="32" t="s">
        <v>139</v>
      </c>
      <c r="F43" s="103" t="s">
        <v>140</v>
      </c>
      <c r="G43" s="32"/>
      <c r="H43" s="32">
        <v>0</v>
      </c>
      <c r="I43" s="106">
        <f>SUMIF(合格品入货记录!E:E,日报!E43,合格品入货记录!G:G)</f>
        <v>0</v>
      </c>
      <c r="J43" s="112">
        <f>SUMIF(合格品出库记录!E:E,日报!E43,合格品出库记录!G:G)</f>
        <v>0</v>
      </c>
      <c r="K43" s="102">
        <f t="shared" si="2"/>
        <v>0</v>
      </c>
      <c r="L43" s="102">
        <f>SUMIF(不良品库存!D:D,E:E,不良品库存!F:F)</f>
        <v>0</v>
      </c>
      <c r="M43" s="113">
        <f t="shared" si="3"/>
        <v>0</v>
      </c>
      <c r="N43" s="102"/>
      <c r="O43" s="102"/>
      <c r="P43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3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3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3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3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3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3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3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3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3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3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3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3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3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3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3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3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3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3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3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3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3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3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3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3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3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3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3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3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3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3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3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3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3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3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3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3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3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3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3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3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3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3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3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3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3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3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3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3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3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3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3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3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3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3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3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3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3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3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3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3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3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3" s="123"/>
      <c r="CA43" s="123"/>
      <c r="CB43" s="125"/>
      <c r="CC43" s="125"/>
    </row>
    <row r="44" s="90" customFormat="1" customHeight="1" spans="1:81">
      <c r="A44" s="31">
        <v>42</v>
      </c>
      <c r="B44" s="104" t="s">
        <v>19</v>
      </c>
      <c r="C44" s="105" t="s">
        <v>20</v>
      </c>
      <c r="D44" s="31" t="s">
        <v>141</v>
      </c>
      <c r="E44" s="31" t="s">
        <v>142</v>
      </c>
      <c r="F44" s="105" t="s">
        <v>143</v>
      </c>
      <c r="G44" s="31"/>
      <c r="H44" s="31">
        <v>0</v>
      </c>
      <c r="I44" s="106">
        <f>SUMIF(合格品入货记录!E:E,日报!E44,合格品入货记录!G:G)</f>
        <v>0</v>
      </c>
      <c r="J44" s="112">
        <f>SUMIF(合格品出库记录!E:E,日报!E44,合格品出库记录!G:G)</f>
        <v>0</v>
      </c>
      <c r="K44" s="102">
        <f t="shared" si="2"/>
        <v>0</v>
      </c>
      <c r="L44" s="102">
        <f>SUMIF(不良品库存!D:D,E:E,不良品库存!F:F)</f>
        <v>0</v>
      </c>
      <c r="M44" s="113">
        <f t="shared" si="3"/>
        <v>0</v>
      </c>
      <c r="N44" s="31"/>
      <c r="O44" s="104"/>
      <c r="P44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4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4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4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4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4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4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4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4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4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4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4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4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4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4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4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4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4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4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4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4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4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4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4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4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4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4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4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4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4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4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4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4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4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4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4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4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4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4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4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4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4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4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4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4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4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4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4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4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4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4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4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4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4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4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4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4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4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4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4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4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4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4" s="124"/>
      <c r="CA44" s="124"/>
      <c r="CB44" s="125"/>
      <c r="CC44" s="125"/>
    </row>
    <row r="45" s="90" customFormat="1" customHeight="1" spans="1:81">
      <c r="A45" s="31">
        <v>43</v>
      </c>
      <c r="B45" s="102" t="s">
        <v>19</v>
      </c>
      <c r="C45" s="103" t="s">
        <v>20</v>
      </c>
      <c r="D45" s="32" t="s">
        <v>144</v>
      </c>
      <c r="E45" s="32" t="s">
        <v>145</v>
      </c>
      <c r="F45" s="103" t="s">
        <v>146</v>
      </c>
      <c r="G45" s="32"/>
      <c r="H45" s="32">
        <v>0</v>
      </c>
      <c r="I45" s="106">
        <f>SUMIF(合格品入货记录!E:E,日报!E45,合格品入货记录!G:G)</f>
        <v>0</v>
      </c>
      <c r="J45" s="112">
        <f>SUMIF(合格品出库记录!E:E,日报!E45,合格品出库记录!G:G)</f>
        <v>0</v>
      </c>
      <c r="K45" s="102">
        <f t="shared" si="2"/>
        <v>0</v>
      </c>
      <c r="L45" s="102">
        <f>SUMIF(不良品库存!D:D,E:E,不良品库存!F:F)</f>
        <v>0</v>
      </c>
      <c r="M45" s="113">
        <f t="shared" si="3"/>
        <v>0</v>
      </c>
      <c r="N45" s="102"/>
      <c r="O45" s="102"/>
      <c r="P45" s="32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5" s="32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5" s="32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5" s="32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5" s="32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5" s="32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5" s="32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5" s="32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5" s="32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5" s="32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5" s="32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5" s="32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5" s="32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5" s="32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5" s="32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5" s="32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5" s="32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5" s="32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5" s="32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5" s="32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5" s="32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5" s="32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5" s="32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5" s="32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5" s="32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5" s="32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5" s="32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5" s="32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5" s="32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5" s="32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5" s="32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5" s="32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5" s="32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5" s="32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5" s="32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5" s="32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5" s="32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5" s="32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5" s="32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5" s="32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5" s="32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5" s="32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5" s="32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5" s="32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5" s="32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5" s="32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5" s="32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5" s="32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5" s="32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5" s="32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5" s="32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5" s="32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5" s="32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5" s="32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5" s="32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5" s="32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5" s="32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5" s="32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5" s="32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5" s="32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5" s="32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5" s="32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5" s="123"/>
      <c r="CA45" s="123"/>
      <c r="CB45" s="125"/>
      <c r="CC45" s="125"/>
    </row>
    <row r="46" s="90" customFormat="1" customHeight="1" spans="1:81">
      <c r="A46" s="31">
        <v>44</v>
      </c>
      <c r="B46" s="104" t="s">
        <v>19</v>
      </c>
      <c r="C46" s="105" t="s">
        <v>20</v>
      </c>
      <c r="D46" s="31" t="s">
        <v>147</v>
      </c>
      <c r="E46" s="31" t="s">
        <v>148</v>
      </c>
      <c r="F46" s="105" t="s">
        <v>149</v>
      </c>
      <c r="G46" s="31"/>
      <c r="H46" s="31">
        <v>0</v>
      </c>
      <c r="I46" s="106">
        <f>SUMIF(合格品入货记录!E:E,日报!E46,合格品入货记录!G:G)</f>
        <v>0</v>
      </c>
      <c r="J46" s="112">
        <f>SUMIF(合格品出库记录!E:E,日报!E46,合格品出库记录!G:G)</f>
        <v>0</v>
      </c>
      <c r="K46" s="102">
        <f t="shared" si="2"/>
        <v>0</v>
      </c>
      <c r="L46" s="102">
        <f>SUMIF(不良品库存!D:D,E:E,不良品库存!F:F)</f>
        <v>0</v>
      </c>
      <c r="M46" s="113">
        <f t="shared" si="3"/>
        <v>0</v>
      </c>
      <c r="N46" s="31"/>
      <c r="O46" s="104"/>
      <c r="P46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6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6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6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6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6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6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6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6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6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6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6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6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6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6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6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6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6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6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6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6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6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6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6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6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6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6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6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6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6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6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6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6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6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6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6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6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6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6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6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6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6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6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6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6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6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6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6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6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6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6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6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6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6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6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6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6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6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6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6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6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6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6" s="124"/>
      <c r="CA46" s="124"/>
      <c r="CB46" s="125"/>
      <c r="CC46" s="125"/>
    </row>
    <row r="47" s="90" customFormat="1" customHeight="1" spans="1:81">
      <c r="A47" s="31">
        <v>45</v>
      </c>
      <c r="B47" s="104" t="s">
        <v>19</v>
      </c>
      <c r="C47" s="105" t="s">
        <v>20</v>
      </c>
      <c r="D47" s="31" t="s">
        <v>150</v>
      </c>
      <c r="E47" s="31" t="s">
        <v>151</v>
      </c>
      <c r="F47" s="105" t="s">
        <v>152</v>
      </c>
      <c r="G47" s="31"/>
      <c r="H47" s="31">
        <v>2400</v>
      </c>
      <c r="I47" s="106">
        <f>SUMIF(合格品入货记录!E:E,日报!E47,合格品入货记录!G:G)</f>
        <v>0</v>
      </c>
      <c r="J47" s="112">
        <f>SUMIF(合格品出库记录!E:E,日报!E47,合格品出库记录!G:G)</f>
        <v>0</v>
      </c>
      <c r="K47" s="102">
        <f t="shared" si="2"/>
        <v>2400</v>
      </c>
      <c r="L47" s="102">
        <f>SUMIF(不良品库存!D:D,E:E,不良品库存!F:F)</f>
        <v>0</v>
      </c>
      <c r="M47" s="113">
        <f t="shared" si="3"/>
        <v>2400</v>
      </c>
      <c r="N47" s="31"/>
      <c r="O47" s="104"/>
      <c r="P47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7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7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7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7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7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7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7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7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7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7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7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7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7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7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7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7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7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7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7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7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7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7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7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7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7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7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7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7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7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7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7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7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7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7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7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7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7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7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7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7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7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7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7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7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7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7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7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7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7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7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7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7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7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7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7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7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7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7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7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7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7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7" s="124"/>
      <c r="CA47" s="124"/>
      <c r="CB47" s="125"/>
      <c r="CC47" s="125"/>
    </row>
    <row r="48" s="90" customFormat="1" customHeight="1" spans="1:81">
      <c r="A48" s="31">
        <v>46</v>
      </c>
      <c r="B48" s="104" t="s">
        <v>19</v>
      </c>
      <c r="C48" s="105" t="s">
        <v>20</v>
      </c>
      <c r="D48" s="31" t="s">
        <v>153</v>
      </c>
      <c r="E48" s="31" t="s">
        <v>154</v>
      </c>
      <c r="F48" s="105" t="s">
        <v>155</v>
      </c>
      <c r="G48" s="31"/>
      <c r="H48" s="31">
        <v>2400</v>
      </c>
      <c r="I48" s="106">
        <f>SUMIF(合格品入货记录!E:E,日报!E48,合格品入货记录!G:G)</f>
        <v>0</v>
      </c>
      <c r="J48" s="112">
        <f>SUMIF(合格品出库记录!E:E,日报!E48,合格品出库记录!G:G)</f>
        <v>0</v>
      </c>
      <c r="K48" s="102">
        <f t="shared" si="2"/>
        <v>2400</v>
      </c>
      <c r="L48" s="102">
        <f>SUMIF(不良品库存!D:D,E:E,不良品库存!F:F)</f>
        <v>0</v>
      </c>
      <c r="M48" s="113">
        <f t="shared" si="3"/>
        <v>2400</v>
      </c>
      <c r="N48" s="31"/>
      <c r="O48" s="104"/>
      <c r="P48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8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8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8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8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8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8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8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8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8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8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8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8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8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8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8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8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8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8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8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8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8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8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8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8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8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8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8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8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8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8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8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8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8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8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8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8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8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8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8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8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8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8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8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8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8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8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8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8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8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8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8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8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8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8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8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8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8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8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8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8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8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8" s="124"/>
      <c r="CA48" s="124"/>
      <c r="CB48" s="125"/>
      <c r="CC48" s="125"/>
    </row>
    <row r="49" s="90" customFormat="1" customHeight="1" spans="1:81">
      <c r="A49" s="31">
        <v>47</v>
      </c>
      <c r="B49" s="104" t="s">
        <v>19</v>
      </c>
      <c r="C49" s="105" t="s">
        <v>20</v>
      </c>
      <c r="D49" s="31" t="s">
        <v>156</v>
      </c>
      <c r="E49" s="31" t="s">
        <v>157</v>
      </c>
      <c r="F49" s="105" t="s">
        <v>158</v>
      </c>
      <c r="G49" s="31"/>
      <c r="H49" s="31">
        <v>797</v>
      </c>
      <c r="I49" s="106">
        <f>SUMIF(合格品入货记录!E:E,日报!E49,合格品入货记录!G:G)</f>
        <v>0</v>
      </c>
      <c r="J49" s="112">
        <f>SUMIF(合格品出库记录!E:E,日报!E49,合格品出库记录!G:G)</f>
        <v>0</v>
      </c>
      <c r="K49" s="102">
        <f t="shared" si="2"/>
        <v>797</v>
      </c>
      <c r="L49" s="102">
        <f>SUMIF(不良品库存!D:D,E:E,不良品库存!F:F)</f>
        <v>0</v>
      </c>
      <c r="M49" s="113">
        <f t="shared" si="3"/>
        <v>797</v>
      </c>
      <c r="N49" s="31"/>
      <c r="O49" s="104"/>
      <c r="P49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49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49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49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49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9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9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9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9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49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9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9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49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9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9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9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9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9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9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9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9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9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9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9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9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9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9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9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9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9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9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9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49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49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49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49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9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9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49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9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9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9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9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9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9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9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9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9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49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9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9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9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9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9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9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9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9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9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9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9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9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9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9" s="124"/>
      <c r="CA49" s="124"/>
      <c r="CB49" s="125"/>
      <c r="CC49" s="125"/>
    </row>
    <row r="50" s="90" customFormat="1" customHeight="1" spans="1:81">
      <c r="A50" s="31">
        <v>48</v>
      </c>
      <c r="B50" s="104" t="s">
        <v>19</v>
      </c>
      <c r="C50" s="105" t="s">
        <v>20</v>
      </c>
      <c r="D50" s="31" t="s">
        <v>159</v>
      </c>
      <c r="E50" s="31" t="s">
        <v>160</v>
      </c>
      <c r="F50" s="105" t="s">
        <v>161</v>
      </c>
      <c r="G50" s="31"/>
      <c r="H50" s="31">
        <v>174</v>
      </c>
      <c r="I50" s="106">
        <f>SUMIF(合格品入货记录!E:E,日报!E50,合格品入货记录!G:G)</f>
        <v>0</v>
      </c>
      <c r="J50" s="112">
        <f>SUMIF(合格品出库记录!E:E,日报!E50,合格品出库记录!G:G)</f>
        <v>0</v>
      </c>
      <c r="K50" s="102">
        <f t="shared" si="2"/>
        <v>174</v>
      </c>
      <c r="L50" s="102">
        <f>SUMIF(不良品库存!D:D,E:E,不良品库存!F:F)</f>
        <v>0</v>
      </c>
      <c r="M50" s="113">
        <f t="shared" si="3"/>
        <v>174</v>
      </c>
      <c r="N50" s="31"/>
      <c r="O50" s="104"/>
      <c r="P50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0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0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0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0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0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0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0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0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0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0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0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0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0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0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0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0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0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0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0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0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0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0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0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0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0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0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0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0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0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0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0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0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0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50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50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0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0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0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0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0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0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0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0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0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0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0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0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0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0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0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0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0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0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0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0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0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0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0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0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0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0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0" s="124"/>
      <c r="CA50" s="124"/>
      <c r="CB50" s="125"/>
      <c r="CC50" s="125"/>
    </row>
    <row r="51" s="90" customFormat="1" customHeight="1" spans="1:81">
      <c r="A51" s="31">
        <v>49</v>
      </c>
      <c r="B51" s="104" t="s">
        <v>19</v>
      </c>
      <c r="C51" s="105" t="s">
        <v>20</v>
      </c>
      <c r="D51" s="31" t="s">
        <v>162</v>
      </c>
      <c r="E51" s="31" t="s">
        <v>163</v>
      </c>
      <c r="F51" s="105" t="s">
        <v>164</v>
      </c>
      <c r="G51" s="31"/>
      <c r="H51" s="31">
        <v>5</v>
      </c>
      <c r="I51" s="106">
        <f>SUMIF(合格品入货记录!E:E,日报!E51,合格品入货记录!G:G)</f>
        <v>0</v>
      </c>
      <c r="J51" s="112">
        <f>SUMIF(合格品出库记录!E:E,日报!E51,合格品出库记录!G:G)</f>
        <v>0</v>
      </c>
      <c r="K51" s="102">
        <f t="shared" si="2"/>
        <v>5</v>
      </c>
      <c r="L51" s="102">
        <f>SUMIF(不良品库存!D:D,E:E,不良品库存!F:F)</f>
        <v>0</v>
      </c>
      <c r="M51" s="113">
        <f t="shared" si="3"/>
        <v>5</v>
      </c>
      <c r="N51" s="31"/>
      <c r="O51" s="104"/>
      <c r="P51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1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1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1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1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1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1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1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1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1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1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1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1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1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1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1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1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1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1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1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1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1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1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1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1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1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1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1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1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1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1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1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1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1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51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51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1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1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1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1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1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1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1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1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1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1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1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1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1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1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1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1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1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1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1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1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1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1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1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1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1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1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1" s="124"/>
      <c r="CA51" s="124"/>
      <c r="CB51" s="125"/>
      <c r="CC51" s="125"/>
    </row>
    <row r="52" s="90" customFormat="1" customHeight="1" spans="1:82">
      <c r="A52" s="31">
        <v>50</v>
      </c>
      <c r="B52" s="104" t="s">
        <v>19</v>
      </c>
      <c r="C52" s="105" t="s">
        <v>20</v>
      </c>
      <c r="D52" s="32" t="s">
        <v>165</v>
      </c>
      <c r="E52" s="31" t="s">
        <v>166</v>
      </c>
      <c r="F52" s="105" t="s">
        <v>167</v>
      </c>
      <c r="G52" s="106"/>
      <c r="H52" s="104">
        <v>8018</v>
      </c>
      <c r="I52" s="106">
        <f>SUMIF(合格品入货记录!E:E,日报!E52,合格品入货记录!G:G)</f>
        <v>0</v>
      </c>
      <c r="J52" s="112">
        <f>SUMIF(合格品出库记录!E:E,日报!E52,合格品出库记录!G:G)</f>
        <v>1680</v>
      </c>
      <c r="K52" s="102">
        <f t="shared" si="2"/>
        <v>6338</v>
      </c>
      <c r="L52" s="102">
        <f>SUMIF(不良品库存!D:D,E:E,不良品库存!F:F)</f>
        <v>0</v>
      </c>
      <c r="M52" s="113">
        <f t="shared" si="3"/>
        <v>6338</v>
      </c>
      <c r="N52" s="104"/>
      <c r="O52" s="104"/>
      <c r="P52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2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2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2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2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2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2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2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2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2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2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2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2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2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2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2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2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2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2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2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2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2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2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2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2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2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2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2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2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2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2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2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2" s="31">
        <f>IF(SUMIFS(合格品出库记录!$G:$G,合格品出库记录!$E:$E,日报!$E:$E,合格品出库记录!$A:$A,日报!AV$3)&lt;&gt;0,SUMIFS(合格品出库记录!$G:$G,合格品出库记录!$E:$E,日报!$E:$E,合格品出库记录!$A:$A,日报!AV$3),"")</f>
        <v>720</v>
      </c>
      <c r="AW52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52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52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2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2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2" s="31">
        <f>IF(SUMIFS(合格品出库记录!$G:$G,合格品出库记录!$E:$E,日报!$E:$E,合格品出库记录!$A:$A,日报!BB$3)&lt;&gt;0,SUMIFS(合格品出库记录!$G:$G,合格品出库记录!$E:$E,日报!$E:$E,合格品出库记录!$A:$A,日报!BB$3),"")</f>
        <v>960</v>
      </c>
      <c r="BC52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2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2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2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2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2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2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2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2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2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2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2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2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2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2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2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2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2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2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2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2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2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2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2" s="126"/>
      <c r="CA52" s="126"/>
      <c r="CB52" s="125"/>
      <c r="CC52" s="125"/>
      <c r="CD52" s="130"/>
    </row>
    <row r="53" s="90" customFormat="1" customHeight="1" spans="1:82">
      <c r="A53" s="31">
        <v>51</v>
      </c>
      <c r="B53" s="104" t="s">
        <v>19</v>
      </c>
      <c r="C53" s="105" t="s">
        <v>20</v>
      </c>
      <c r="D53" s="32" t="s">
        <v>168</v>
      </c>
      <c r="E53" s="31" t="s">
        <v>169</v>
      </c>
      <c r="F53" s="105" t="s">
        <v>170</v>
      </c>
      <c r="G53" s="106"/>
      <c r="H53" s="104">
        <v>6623</v>
      </c>
      <c r="I53" s="106">
        <f>SUMIF(合格品入货记录!E:E,日报!E53,合格品入货记录!G:G)</f>
        <v>0</v>
      </c>
      <c r="J53" s="112">
        <f>SUMIF(合格品出库记录!E:E,日报!E53,合格品出库记录!G:G)</f>
        <v>960</v>
      </c>
      <c r="K53" s="102">
        <f t="shared" si="2"/>
        <v>5663</v>
      </c>
      <c r="L53" s="102">
        <f>SUMIF(不良品库存!D:D,E:E,不良品库存!F:F)</f>
        <v>0</v>
      </c>
      <c r="M53" s="113">
        <f t="shared" si="3"/>
        <v>5663</v>
      </c>
      <c r="N53" s="104"/>
      <c r="O53" s="104"/>
      <c r="P53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3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3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3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3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3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3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3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3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3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3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3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3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3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3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3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3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3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3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3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3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3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3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3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3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3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3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3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3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3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3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3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3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3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53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53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3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3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3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3" s="3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960</v>
      </c>
      <c r="BD53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3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3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3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3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3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3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3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3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3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3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3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3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3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3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3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3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3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3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3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3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3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3" s="126"/>
      <c r="CA53" s="126"/>
      <c r="CB53" s="125"/>
      <c r="CC53" s="125"/>
      <c r="CD53" s="130"/>
    </row>
    <row r="54" s="90" customFormat="1" customHeight="1" spans="1:82">
      <c r="A54" s="31">
        <v>52</v>
      </c>
      <c r="B54" s="104" t="s">
        <v>19</v>
      </c>
      <c r="C54" s="105" t="s">
        <v>20</v>
      </c>
      <c r="D54" s="32" t="s">
        <v>171</v>
      </c>
      <c r="E54" s="31" t="s">
        <v>172</v>
      </c>
      <c r="F54" s="105" t="s">
        <v>173</v>
      </c>
      <c r="G54" s="106"/>
      <c r="H54" s="104">
        <v>37332</v>
      </c>
      <c r="I54" s="106">
        <f>SUMIF(合格品入货记录!E:E,日报!E54,合格品入货记录!G:G)</f>
        <v>3376</v>
      </c>
      <c r="J54" s="112">
        <f>SUMIF(合格品出库记录!E:E,日报!E54,合格品出库记录!G:G)</f>
        <v>13440</v>
      </c>
      <c r="K54" s="102">
        <f t="shared" si="2"/>
        <v>27268</v>
      </c>
      <c r="L54" s="102">
        <f>SUMIF(不良品库存!D:D,E:E,不良品库存!F:F)</f>
        <v>0</v>
      </c>
      <c r="M54" s="113">
        <f t="shared" si="3"/>
        <v>27268</v>
      </c>
      <c r="N54" s="104"/>
      <c r="O54" s="104"/>
      <c r="P54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4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4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4" s="31">
        <f>IF(SUMIFS(合格品入货记录!$G:$G,合格品入货记录!$E:$E,日报!$E:$E,合格品入货记录!$A:$A,日报!S$3)&lt;&gt;0,SUMIFS(合格品入货记录!$G:$G,合格品入货记录!$E:$E,日报!$E:$E,合格品入货记录!$A:$A,日报!S$3),"")</f>
        <v>3376</v>
      </c>
      <c r="T54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4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4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4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4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4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4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4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4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4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4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4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4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4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4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4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4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4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4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4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4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4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4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4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4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4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4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4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4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4" s="31">
        <f>IF(SUMIFS(合格品出库记录!$G:$G,合格品出库记录!$E:$E,日报!$E:$E,合格品出库记录!$A:$A,日报!AW$3)&lt;&gt;0,SUMIFS(合格品出库记录!$G:$G,合格品出库记录!$E:$E,日报!$E:$E,合格品出库记录!$A:$A,日报!AW$3),"")</f>
        <v>960</v>
      </c>
      <c r="AX54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1920</v>
      </c>
      <c r="AY54" s="31">
        <f>IF(SUMIFS(合格品出库记录!$G:$G,合格品出库记录!$E:$E,日报!$E:$E,合格品出库记录!$A:$A,日报!AY$3)&lt;&gt;0,SUMIFS(合格品出库记录!$G:$G,合格品出库记录!$E:$E,日报!$E:$E,合格品出库记录!$A:$A,日报!AY$3),"")</f>
        <v>960</v>
      </c>
      <c r="AZ54" s="31">
        <f>IF(SUMIFS(合格品出库记录!$G:$G,合格品出库记录!$E:$E,日报!$E:$E,合格品出库记录!$A:$A,日报!AZ$3)&lt;&gt;0,SUMIFS(合格品出库记录!$G:$G,合格品出库记录!$E:$E,日报!$E:$E,合格品出库记录!$A:$A,日报!AZ$3),"")</f>
        <v>960</v>
      </c>
      <c r="BA54" s="31">
        <f>IF(SUMIFS(合格品出库记录!$G:$G,合格品出库记录!$E:$E,日报!$E:$E,合格品出库记录!$A:$A,日报!BA$3)&lt;&gt;0,SUMIFS(合格品出库记录!$G:$G,合格品出库记录!$E:$E,日报!$E:$E,合格品出库记录!$A:$A,日报!BA$3),"")</f>
        <v>1920</v>
      </c>
      <c r="BB54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4" s="3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1920</v>
      </c>
      <c r="BD54" s="31">
        <f>IF(SUMIFS(合格品出库记录!$G:$G,合格品出库记录!$E:$E,日报!$E:$E,合格品出库记录!$A:$A,日报!BD$3)&lt;&gt;0,SUMIFS(合格品出库记录!$G:$G,合格品出库记录!$E:$E,日报!$E:$E,合格品出库记录!$A:$A,日报!BD$3),"")</f>
        <v>960</v>
      </c>
      <c r="BE54" s="31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1920</v>
      </c>
      <c r="BF54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960</v>
      </c>
      <c r="BG54" s="31">
        <f>IF(SUMIFS(合格品出库记录!$G:$G,合格品出库记录!$E:$E,日报!$E:$E,合格品出库记录!$A:$A,日报!BG$3)&lt;&gt;0,SUMIFS(合格品出库记录!$G:$G,合格品出库记录!$E:$E,日报!$E:$E,合格品出库记录!$A:$A,日报!BG$3),"")</f>
        <v>960</v>
      </c>
      <c r="BH54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4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4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4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4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4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4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4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4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4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4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4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4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4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4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4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4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4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4" s="126"/>
      <c r="CA54" s="126"/>
      <c r="CB54" s="125"/>
      <c r="CC54" s="125"/>
      <c r="CD54" s="130"/>
    </row>
    <row r="55" s="90" customFormat="1" customHeight="1" spans="1:82">
      <c r="A55" s="31">
        <v>53</v>
      </c>
      <c r="B55" s="104" t="s">
        <v>19</v>
      </c>
      <c r="C55" s="105" t="s">
        <v>20</v>
      </c>
      <c r="D55" s="32" t="s">
        <v>174</v>
      </c>
      <c r="E55" s="31" t="s">
        <v>175</v>
      </c>
      <c r="F55" s="105" t="s">
        <v>176</v>
      </c>
      <c r="G55" s="106"/>
      <c r="H55" s="104">
        <v>11685</v>
      </c>
      <c r="I55" s="106">
        <f>SUMIF(合格品入货记录!E:E,日报!E55,合格品入货记录!G:G)</f>
        <v>0</v>
      </c>
      <c r="J55" s="112">
        <f>SUMIF(合格品出库记录!E:E,日报!E55,合格品出库记录!G:G)</f>
        <v>3600</v>
      </c>
      <c r="K55" s="102">
        <f t="shared" si="2"/>
        <v>8085</v>
      </c>
      <c r="L55" s="102">
        <f>SUMIF(不良品库存!D:D,E:E,不良品库存!F:F)</f>
        <v>0</v>
      </c>
      <c r="M55" s="113">
        <f t="shared" si="3"/>
        <v>8085</v>
      </c>
      <c r="N55" s="104"/>
      <c r="O55" s="104"/>
      <c r="P55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5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5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5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5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5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5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5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5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5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5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5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5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5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5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5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5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5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5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5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5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5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5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5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5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5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5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5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5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5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5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5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5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5" s="31">
        <f>IF(SUMIFS(合格品出库记录!$G:$G,合格品出库记录!$E:$E,日报!$E:$E,合格品出库记录!$A:$A,日报!AW$3)&lt;&gt;0,SUMIFS(合格品出库记录!$G:$G,合格品出库记录!$E:$E,日报!$E:$E,合格品出库记录!$A:$A,日报!AW$3),"")</f>
        <v>720</v>
      </c>
      <c r="AX55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55" s="31">
        <f>IF(SUMIFS(合格品出库记录!$G:$G,合格品出库记录!$E:$E,日报!$E:$E,合格品出库记录!$A:$A,日报!AY$3)&lt;&gt;0,SUMIFS(合格品出库记录!$G:$G,合格品出库记录!$E:$E,日报!$E:$E,合格品出库记录!$A:$A,日报!AY$3),"")</f>
        <v>720</v>
      </c>
      <c r="AZ55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5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5" s="31">
        <f>IF(SUMIFS(合格品出库记录!$G:$G,合格品出库记录!$E:$E,日报!$E:$E,合格品出库记录!$A:$A,日报!BB$3)&lt;&gt;0,SUMIFS(合格品出库记录!$G:$G,合格品出库记录!$E:$E,日报!$E:$E,合格品出库记录!$A:$A,日报!BB$3),"")</f>
        <v>720</v>
      </c>
      <c r="BC55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5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5" s="31">
        <f>IF(SUMIFS(合格品出库记录!$G:$G,合格品出库记录!$E:$E,日报!$E:$E,合格品出库记录!$A:$A,日报!BE$3)&lt;&gt;0,SUMIFS(合格品出库记录!$G:$G,合格品出库记录!$E:$E,日报!$E:$E,合格品出库记录!$A:$A,日报!BE$3),"")</f>
        <v>720</v>
      </c>
      <c r="BF55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5" s="31">
        <f>IF(SUMIFS(合格品出库记录!$G:$G,合格品出库记录!$E:$E,日报!$E:$E,合格品出库记录!$A:$A,日报!BG$3)&lt;&gt;0,SUMIFS(合格品出库记录!$G:$G,合格品出库记录!$E:$E,日报!$E:$E,合格品出库记录!$A:$A,日报!BG$3),"")</f>
        <v>720</v>
      </c>
      <c r="BH55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5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5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5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5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5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5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5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5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5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5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5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5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5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5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5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5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5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5" s="126"/>
      <c r="CA55" s="126"/>
      <c r="CB55" s="125"/>
      <c r="CC55" s="125"/>
      <c r="CD55" s="130"/>
    </row>
    <row r="56" s="90" customFormat="1" customHeight="1" spans="1:82">
      <c r="A56" s="31">
        <v>54</v>
      </c>
      <c r="B56" s="104" t="s">
        <v>19</v>
      </c>
      <c r="C56" s="105" t="s">
        <v>20</v>
      </c>
      <c r="D56" s="32" t="s">
        <v>177</v>
      </c>
      <c r="E56" s="31" t="s">
        <v>178</v>
      </c>
      <c r="F56" s="105" t="s">
        <v>179</v>
      </c>
      <c r="G56" s="106"/>
      <c r="H56" s="104">
        <v>7802</v>
      </c>
      <c r="I56" s="106">
        <f>SUMIF(合格品入货记录!E:E,日报!E56,合格品入货记录!G:G)</f>
        <v>0</v>
      </c>
      <c r="J56" s="112">
        <f>SUMIF(合格品出库记录!E:E,日报!E56,合格品出库记录!G:G)</f>
        <v>1600</v>
      </c>
      <c r="K56" s="102">
        <f t="shared" si="2"/>
        <v>6202</v>
      </c>
      <c r="L56" s="102">
        <f>SUMIF(不良品库存!D:D,E:E,不良品库存!F:F)</f>
        <v>0</v>
      </c>
      <c r="M56" s="113">
        <f t="shared" si="3"/>
        <v>6202</v>
      </c>
      <c r="N56" s="104"/>
      <c r="O56" s="104"/>
      <c r="P56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6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6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6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6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6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6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6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6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6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6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6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6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6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6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6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6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6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6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6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6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6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6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6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6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6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6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6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6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6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6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6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6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6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56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400</v>
      </c>
      <c r="AY56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6" s="31">
        <f>IF(SUMIFS(合格品出库记录!$G:$G,合格品出库记录!$E:$E,日报!$E:$E,合格品出库记录!$A:$A,日报!AZ$3)&lt;&gt;0,SUMIFS(合格品出库记录!$G:$G,合格品出库记录!$E:$E,日报!$E:$E,合格品出库记录!$A:$A,日报!AZ$3),"")</f>
        <v>400</v>
      </c>
      <c r="BA56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6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6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6" s="31">
        <f>IF(SUMIFS(合格品出库记录!$G:$G,合格品出库记录!$E:$E,日报!$E:$E,合格品出库记录!$A:$A,日报!BD$3)&lt;&gt;0,SUMIFS(合格品出库记录!$G:$G,合格品出库记录!$E:$E,日报!$E:$E,合格品出库记录!$A:$A,日报!BD$3),"")</f>
        <v>400</v>
      </c>
      <c r="BE56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6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400</v>
      </c>
      <c r="BG56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6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6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6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6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6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6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6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6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6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6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6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6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6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6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6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6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6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6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6" s="126"/>
      <c r="CA56" s="126"/>
      <c r="CB56" s="125"/>
      <c r="CC56" s="125"/>
      <c r="CD56" s="130"/>
    </row>
    <row r="57" s="90" customFormat="1" customHeight="1" spans="1:82">
      <c r="A57" s="31">
        <v>55</v>
      </c>
      <c r="B57" s="104" t="s">
        <v>19</v>
      </c>
      <c r="C57" s="105" t="s">
        <v>20</v>
      </c>
      <c r="D57" s="32" t="s">
        <v>180</v>
      </c>
      <c r="E57" s="31" t="s">
        <v>181</v>
      </c>
      <c r="F57" s="105" t="s">
        <v>182</v>
      </c>
      <c r="G57" s="106"/>
      <c r="H57" s="104">
        <v>2655</v>
      </c>
      <c r="I57" s="106">
        <f>SUMIF(合格品入货记录!E:E,日报!E57,合格品入货记录!G:G)</f>
        <v>6555</v>
      </c>
      <c r="J57" s="112">
        <f>SUMIF(合格品出库记录!E:E,日报!E57,合格品出库记录!G:G)</f>
        <v>7020</v>
      </c>
      <c r="K57" s="102">
        <f t="shared" si="2"/>
        <v>2190</v>
      </c>
      <c r="L57" s="102">
        <f>SUMIF(不良品库存!D:D,E:E,不良品库存!F:F)</f>
        <v>0</v>
      </c>
      <c r="M57" s="113">
        <f t="shared" si="3"/>
        <v>2190</v>
      </c>
      <c r="N57" s="104"/>
      <c r="O57" s="104"/>
      <c r="P57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7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7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7" s="31">
        <f>IF(SUMIFS(合格品入货记录!$G:$G,合格品入货记录!$E:$E,日报!$E:$E,合格品入货记录!$A:$A,日报!S$3)&lt;&gt;0,SUMIFS(合格品入货记录!$G:$G,合格品入货记录!$E:$E,日报!$E:$E,合格品入货记录!$A:$A,日报!S$3),"")</f>
        <v>960</v>
      </c>
      <c r="T57" s="31">
        <f>IF(SUMIFS(合格品入货记录!$G:$G,合格品入货记录!$E:$E,日报!$E:$E,合格品入货记录!$A:$A,日报!T$3)&lt;&gt;0,SUMIFS(合格品入货记录!$G:$G,合格品入货记录!$E:$E,日报!$E:$E,合格品入货记录!$A:$A,日报!T$3),"")</f>
        <v>825</v>
      </c>
      <c r="U57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7" s="31">
        <f>IF(SUMIFS(合格品入货记录!$G:$G,合格品入货记录!$E:$E,日报!$E:$E,合格品入货记录!$A:$A,日报!V$3)&lt;&gt;0,SUMIFS(合格品入货记录!$G:$G,合格品入货记录!$E:$E,日报!$E:$E,合格品入货记录!$A:$A,日报!V$3),"")</f>
        <v>945</v>
      </c>
      <c r="W57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7" s="31">
        <f>IF(SUMIFS(合格品入货记录!$G:$G,合格品入货记录!$E:$E,日报!$E:$E,合格品入货记录!$A:$A,日报!X$3)&lt;&gt;0,SUMIFS(合格品入货记录!$G:$G,合格品入货记录!$E:$E,日报!$E:$E,合格品入货记录!$A:$A,日报!X$3),"")</f>
        <v>960</v>
      </c>
      <c r="Y57" s="31">
        <f>IF(SUMIFS(合格品入货记录!$G:$G,合格品入货记录!$E:$E,日报!$E:$E,合格品入货记录!$A:$A,日报!Y$3)&lt;&gt;0,SUMIFS(合格品入货记录!$G:$G,合格品入货记录!$E:$E,日报!$E:$E,合格品入货记录!$A:$A,日报!Y$3),"")</f>
        <v>960</v>
      </c>
      <c r="Z57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7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1905</v>
      </c>
      <c r="AB57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7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7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7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7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7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7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7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7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7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7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7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7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7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7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7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7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7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7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7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7" s="31">
        <f>IF(SUMIFS(合格品出库记录!$G:$G,合格品出库记录!$E:$E,日报!$E:$E,合格品出库记录!$A:$A,日报!AV$3)&lt;&gt;0,SUMIFS(合格品出库记录!$G:$G,合格品出库记录!$E:$E,日报!$E:$E,合格品出库记录!$A:$A,日报!AV$3),"")</f>
        <v>405</v>
      </c>
      <c r="AW57" s="31">
        <f>IF(SUMIFS(合格品出库记录!$G:$G,合格品出库记录!$E:$E,日报!$E:$E,合格品出库记录!$A:$A,日报!AW$3)&lt;&gt;0,SUMIFS(合格品出库记录!$G:$G,合格品出库记录!$E:$E,日报!$E:$E,合格品出库记录!$A:$A,日报!AW$3),"")</f>
        <v>360</v>
      </c>
      <c r="AX57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810</v>
      </c>
      <c r="AY57" s="31">
        <f>IF(SUMIFS(合格品出库记录!$G:$G,合格品出库记录!$E:$E,日报!$E:$E,合格品出库记录!$A:$A,日报!AY$3)&lt;&gt;0,SUMIFS(合格品出库记录!$G:$G,合格品出库记录!$E:$E,日报!$E:$E,合格品出库记录!$A:$A,日报!AY$3),"")</f>
        <v>585</v>
      </c>
      <c r="AZ57" s="31">
        <f>IF(SUMIFS(合格品出库记录!$G:$G,合格品出库记录!$E:$E,日报!$E:$E,合格品出库记录!$A:$A,日报!AZ$3)&lt;&gt;0,SUMIFS(合格品出库记录!$G:$G,合格品出库记录!$E:$E,日报!$E:$E,合格品出库记录!$A:$A,日报!AZ$3),"")</f>
        <v>810</v>
      </c>
      <c r="BA57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7" s="31">
        <f>IF(SUMIFS(合格品出库记录!$G:$G,合格品出库记录!$E:$E,日报!$E:$E,合格品出库记录!$A:$A,日报!BB$3)&lt;&gt;0,SUMIFS(合格品出库记录!$G:$G,合格品出库记录!$E:$E,日报!$E:$E,合格品出库记录!$A:$A,日报!BB$3),"")</f>
        <v>405</v>
      </c>
      <c r="BC57" s="3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810</v>
      </c>
      <c r="BD57" s="31">
        <f>IF(SUMIFS(合格品出库记录!$G:$G,合格品出库记录!$E:$E,日报!$E:$E,合格品出库记录!$A:$A,日报!BD$3)&lt;&gt;0,SUMIFS(合格品出库记录!$G:$G,合格品出库记录!$E:$E,日报!$E:$E,合格品出库记录!$A:$A,日报!BD$3),"")</f>
        <v>810</v>
      </c>
      <c r="BE57" s="31">
        <f>IF(SUMIFS(合格品出库记录!$G:$G,合格品出库记录!$E:$E,日报!$E:$E,合格品出库记录!$A:$A,日报!BE$3)&lt;&gt;0,SUMIFS(合格品出库记录!$G:$G,合格品出库记录!$E:$E,日报!$E:$E,合格品出库记录!$A:$A,日报!BE$3),"")</f>
        <v>810</v>
      </c>
      <c r="BF57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810</v>
      </c>
      <c r="BG57" s="31">
        <f>IF(SUMIFS(合格品出库记录!$G:$G,合格品出库记录!$E:$E,日报!$E:$E,合格品出库记录!$A:$A,日报!BG$3)&lt;&gt;0,SUMIFS(合格品出库记录!$G:$G,合格品出库记录!$E:$E,日报!$E:$E,合格品出库记录!$A:$A,日报!BG$3),"")</f>
        <v>405</v>
      </c>
      <c r="BH57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7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7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7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7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7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7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7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7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7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7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7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7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7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7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7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7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7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7" s="126"/>
      <c r="CA57" s="126"/>
      <c r="CB57" s="125"/>
      <c r="CC57" s="125"/>
      <c r="CD57" s="130"/>
    </row>
    <row r="58" s="90" customFormat="1" customHeight="1" spans="1:82">
      <c r="A58" s="31">
        <v>56</v>
      </c>
      <c r="B58" s="104" t="s">
        <v>19</v>
      </c>
      <c r="C58" s="105" t="s">
        <v>20</v>
      </c>
      <c r="D58" s="32" t="s">
        <v>183</v>
      </c>
      <c r="E58" s="31" t="s">
        <v>184</v>
      </c>
      <c r="F58" s="105" t="s">
        <v>185</v>
      </c>
      <c r="G58" s="106"/>
      <c r="H58" s="104">
        <v>2576</v>
      </c>
      <c r="I58" s="106">
        <f>SUMIF(合格品入货记录!E:E,日报!E58,合格品入货记录!G:G)</f>
        <v>6576</v>
      </c>
      <c r="J58" s="112">
        <f>SUMIF(合格品出库记录!E:E,日报!E58,合格品出库记录!G:G)</f>
        <v>6944</v>
      </c>
      <c r="K58" s="102">
        <f t="shared" si="2"/>
        <v>2208</v>
      </c>
      <c r="L58" s="102">
        <f>SUMIF(不良品库存!D:D,E:E,不良品库存!F:F)</f>
        <v>0</v>
      </c>
      <c r="M58" s="113">
        <f t="shared" si="3"/>
        <v>2208</v>
      </c>
      <c r="N58" s="104"/>
      <c r="O58" s="104"/>
      <c r="P58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8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58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8" s="31">
        <f>IF(SUMIFS(合格品入货记录!$G:$G,合格品入货记录!$E:$E,日报!$E:$E,合格品入货记录!$A:$A,日报!S$3)&lt;&gt;0,SUMIFS(合格品入货记录!$G:$G,合格品入货记录!$E:$E,日报!$E:$E,合格品入货记录!$A:$A,日报!S$3),"")</f>
        <v>480</v>
      </c>
      <c r="T58" s="31">
        <f>IF(SUMIFS(合格品入货记录!$G:$G,合格品入货记录!$E:$E,日报!$E:$E,合格品入货记录!$A:$A,日报!T$3)&lt;&gt;0,SUMIFS(合格品入货记录!$G:$G,合格品入货记录!$E:$E,日报!$E:$E,合格品入货记录!$A:$A,日报!T$3),"")</f>
        <v>960</v>
      </c>
      <c r="U58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8" s="31">
        <f>IF(SUMIFS(合格品入货记录!$G:$G,合格品入货记录!$E:$E,日报!$E:$E,合格品入货记录!$A:$A,日报!V$3)&lt;&gt;0,SUMIFS(合格品入货记录!$G:$G,合格品入货记录!$E:$E,日报!$E:$E,合格品入货记录!$A:$A,日报!V$3),"")</f>
        <v>840</v>
      </c>
      <c r="W58" s="31">
        <f>IF(SUMIFS(合格品入货记录!$G:$G,合格品入货记录!$E:$E,日报!$E:$E,合格品入货记录!$A:$A,日报!W$3)&lt;&gt;0,SUMIFS(合格品入货记录!$G:$G,合格品入货记录!$E:$E,日报!$E:$E,合格品入货记录!$A:$A,日报!W$3),"")</f>
        <v>936</v>
      </c>
      <c r="X58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8" s="31">
        <f>IF(SUMIFS(合格品入货记录!$G:$G,合格品入货记录!$E:$E,日报!$E:$E,合格品入货记录!$A:$A,日报!Y$3)&lt;&gt;0,SUMIFS(合格品入货记录!$G:$G,合格品入货记录!$E:$E,日报!$E:$E,合格品入货记录!$A:$A,日报!Y$3),"")</f>
        <v>984</v>
      </c>
      <c r="Z58" s="31">
        <f>IF(SUMIFS(合格品入货记录!$G:$G,合格品入货记录!$E:$E,日报!$E:$E,合格品入货记录!$A:$A,日报!Z$3)&lt;&gt;0,SUMIFS(合格品入货记录!$G:$G,合格品入货记录!$E:$E,日报!$E:$E,合格品入货记录!$A:$A,日报!Z$3),"")</f>
        <v>936</v>
      </c>
      <c r="AA58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1440</v>
      </c>
      <c r="AB58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8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8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8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8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8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8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8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8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8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8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8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8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8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8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8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8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8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8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8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8" s="31">
        <f>IF(SUMIFS(合格品出库记录!$G:$G,合格品出库记录!$E:$E,日报!$E:$E,合格品出库记录!$A:$A,日报!AV$3)&lt;&gt;0,SUMIFS(合格品出库记录!$G:$G,合格品出库记录!$E:$E,日报!$E:$E,合格品出库记录!$A:$A,日报!AV$3),"")</f>
        <v>288</v>
      </c>
      <c r="AW58" s="31">
        <f>IF(SUMIFS(合格品出库记录!$G:$G,合格品出库记录!$E:$E,日报!$E:$E,合格品出库记录!$A:$A,日报!AW$3)&lt;&gt;0,SUMIFS(合格品出库记录!$G:$G,合格品出库记录!$E:$E,日报!$E:$E,合格品出库记录!$A:$A,日报!AW$3),"")</f>
        <v>576</v>
      </c>
      <c r="AX58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864</v>
      </c>
      <c r="AY58" s="31">
        <f>IF(SUMIFS(合格品出库记录!$G:$G,合格品出库记录!$E:$E,日报!$E:$E,合格品出库记录!$A:$A,日报!AY$3)&lt;&gt;0,SUMIFS(合格品出库记录!$G:$G,合格品出库记录!$E:$E,日报!$E:$E,合格品出库记录!$A:$A,日报!AY$3),"")</f>
        <v>608</v>
      </c>
      <c r="AZ58" s="31">
        <f>IF(SUMIFS(合格品出库记录!$G:$G,合格品出库记录!$E:$E,日报!$E:$E,合格品出库记录!$A:$A,日报!AZ$3)&lt;&gt;0,SUMIFS(合格品出库记录!$G:$G,合格品出库记录!$E:$E,日报!$E:$E,合格品出库记录!$A:$A,日报!AZ$3),"")</f>
        <v>576</v>
      </c>
      <c r="BA58" s="31">
        <f>IF(SUMIFS(合格品出库记录!$G:$G,合格品出库记录!$E:$E,日报!$E:$E,合格品出库记录!$A:$A,日报!BA$3)&lt;&gt;0,SUMIFS(合格品出库记录!$G:$G,合格品出库记录!$E:$E,日报!$E:$E,合格品出库记录!$A:$A,日报!BA$3),"")</f>
        <v>288</v>
      </c>
      <c r="BB58" s="31">
        <f>IF(SUMIFS(合格品出库记录!$G:$G,合格品出库记录!$E:$E,日报!$E:$E,合格品出库记录!$A:$A,日报!BB$3)&lt;&gt;0,SUMIFS(合格品出库记录!$G:$G,合格品出库记录!$E:$E,日报!$E:$E,合格品出库记录!$A:$A,日报!BB$3),"")</f>
        <v>576</v>
      </c>
      <c r="BC58" s="3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576</v>
      </c>
      <c r="BD58" s="31">
        <f>IF(SUMIFS(合格品出库记录!$G:$G,合格品出库记录!$E:$E,日报!$E:$E,合格品出库记录!$A:$A,日报!BD$3)&lt;&gt;0,SUMIFS(合格品出库记录!$G:$G,合格品出库记录!$E:$E,日报!$E:$E,合格品出库记录!$A:$A,日报!BD$3),"")</f>
        <v>864</v>
      </c>
      <c r="BE58" s="31">
        <f>IF(SUMIFS(合格品出库记录!$G:$G,合格品出库记录!$E:$E,日报!$E:$E,合格品出库记录!$A:$A,日报!BE$3)&lt;&gt;0,SUMIFS(合格品出库记录!$G:$G,合格品出库记录!$E:$E,日报!$E:$E,合格品出库记录!$A:$A,日报!BE$3),"")</f>
        <v>576</v>
      </c>
      <c r="BF58" s="31">
        <f>IF(SUMIFS(合格品出库记录!$G:$G,合格品出库记录!$E:$E,日报!$E:$E,合格品出库记录!$A:$A,日报!BF$3)&lt;&gt;0,SUMIFS(合格品出库记录!$G:$G,合格品出库记录!$E:$E,日报!$E:$E,合格品出库记录!$A:$A,日报!BF$3),"")</f>
        <v>864</v>
      </c>
      <c r="BG58" s="31">
        <f>IF(SUMIFS(合格品出库记录!$G:$G,合格品出库记录!$E:$E,日报!$E:$E,合格品出库记录!$A:$A,日报!BG$3)&lt;&gt;0,SUMIFS(合格品出库记录!$G:$G,合格品出库记录!$E:$E,日报!$E:$E,合格品出库记录!$A:$A,日报!BG$3),"")</f>
        <v>288</v>
      </c>
      <c r="BH58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8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8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8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8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8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8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8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8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8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8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8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8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8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8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8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8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8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8" s="126"/>
      <c r="CA58" s="126"/>
      <c r="CB58" s="125"/>
      <c r="CC58" s="125"/>
      <c r="CD58" s="130"/>
    </row>
    <row r="59" s="90" customFormat="1" customHeight="1" spans="1:82">
      <c r="A59" s="31">
        <v>57</v>
      </c>
      <c r="B59" s="104" t="s">
        <v>19</v>
      </c>
      <c r="C59" s="105" t="s">
        <v>20</v>
      </c>
      <c r="D59" s="32" t="s">
        <v>186</v>
      </c>
      <c r="E59" s="31" t="s">
        <v>187</v>
      </c>
      <c r="F59" s="105" t="s">
        <v>188</v>
      </c>
      <c r="G59" s="106"/>
      <c r="H59" s="104">
        <v>576</v>
      </c>
      <c r="I59" s="106">
        <f>SUMIF(合格品入货记录!E:E,日报!E59,合格品入货记录!G:G)</f>
        <v>432</v>
      </c>
      <c r="J59" s="112">
        <f>SUMIF(合格品出库记录!E:E,日报!E59,合格品出库记录!G:G)</f>
        <v>1008</v>
      </c>
      <c r="K59" s="102">
        <f t="shared" si="2"/>
        <v>0</v>
      </c>
      <c r="L59" s="102">
        <f>SUMIF(不良品库存!D:D,E:E,不良品库存!F:F)</f>
        <v>0</v>
      </c>
      <c r="M59" s="113">
        <f t="shared" si="3"/>
        <v>0</v>
      </c>
      <c r="N59" s="104"/>
      <c r="O59" s="104"/>
      <c r="P59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59" s="31">
        <f>IF(SUMIFS(合格品入货记录!$G:$G,合格品入货记录!$E:$E,日报!$E:$E,合格品入货记录!$A:$A,日报!Q$3)&lt;&gt;0,SUMIFS(合格品入货记录!$G:$G,合格品入货记录!$E:$E,日报!$E:$E,合格品入货记录!$A:$A,日报!Q$3),"")</f>
        <v>432</v>
      </c>
      <c r="R59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59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59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59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59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59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59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59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59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59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59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59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59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59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59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59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59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59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59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59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59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59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59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59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59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59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59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59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59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59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59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59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59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1008</v>
      </c>
      <c r="AY59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59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59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59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59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59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59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59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59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59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59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59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59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59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59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59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59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59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59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59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59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59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59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59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59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59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59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59" s="126"/>
      <c r="CA59" s="126"/>
      <c r="CB59" s="125"/>
      <c r="CC59" s="125"/>
      <c r="CD59" s="130"/>
    </row>
    <row r="60" s="90" customFormat="1" customHeight="1" spans="1:82">
      <c r="A60" s="31">
        <v>58</v>
      </c>
      <c r="B60" s="104" t="s">
        <v>19</v>
      </c>
      <c r="C60" s="105" t="s">
        <v>20</v>
      </c>
      <c r="D60" s="32" t="s">
        <v>189</v>
      </c>
      <c r="E60" s="31" t="s">
        <v>190</v>
      </c>
      <c r="F60" s="105" t="s">
        <v>191</v>
      </c>
      <c r="G60" s="106"/>
      <c r="H60" s="104">
        <v>576</v>
      </c>
      <c r="I60" s="106">
        <f>SUMIF(合格品入货记录!E:E,日报!E60,合格品入货记录!G:G)</f>
        <v>432</v>
      </c>
      <c r="J60" s="112">
        <f>SUMIF(合格品出库记录!E:E,日报!E60,合格品出库记录!G:G)</f>
        <v>1008</v>
      </c>
      <c r="K60" s="102">
        <f t="shared" si="2"/>
        <v>12</v>
      </c>
      <c r="L60" s="102">
        <f>SUMIF(不良品库存!D:D,E:E,不良品库存!F:F)</f>
        <v>12</v>
      </c>
      <c r="M60" s="113">
        <f t="shared" si="3"/>
        <v>0</v>
      </c>
      <c r="N60" s="104"/>
      <c r="O60" s="104"/>
      <c r="P60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0" s="31">
        <f>IF(SUMIFS(合格品入货记录!$G:$G,合格品入货记录!$E:$E,日报!$E:$E,合格品入货记录!$A:$A,日报!Q$3)&lt;&gt;0,SUMIFS(合格品入货记录!$G:$G,合格品入货记录!$E:$E,日报!$E:$E,合格品入货记录!$A:$A,日报!Q$3),"")</f>
        <v>432</v>
      </c>
      <c r="R60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0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0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0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0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0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0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0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0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0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0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0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0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0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0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0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0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0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0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0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0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0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0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0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0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0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0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0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0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0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0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0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0" s="31">
        <f>IF(SUMIFS(合格品出库记录!$G:$G,合格品出库记录!$E:$E,日报!$E:$E,合格品出库记录!$A:$A,日报!AX$3)&lt;&gt;0,SUMIFS(合格品出库记录!$G:$G,合格品出库记录!$E:$E,日报!$E:$E,合格品出库记录!$A:$A,日报!AX$3),"")</f>
        <v>1008</v>
      </c>
      <c r="AY60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0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0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0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0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0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0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0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0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0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0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0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0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0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0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0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0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0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0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0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0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0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0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0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0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0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0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0" s="126"/>
      <c r="CA60" s="126"/>
      <c r="CB60" s="125"/>
      <c r="CC60" s="125"/>
      <c r="CD60" s="130"/>
    </row>
    <row r="61" s="90" customFormat="1" customHeight="1" spans="1:82">
      <c r="A61" s="31">
        <v>59</v>
      </c>
      <c r="B61" s="104" t="s">
        <v>19</v>
      </c>
      <c r="C61" s="105" t="s">
        <v>20</v>
      </c>
      <c r="D61" s="32" t="s">
        <v>192</v>
      </c>
      <c r="E61" s="31" t="s">
        <v>193</v>
      </c>
      <c r="F61" s="105" t="s">
        <v>194</v>
      </c>
      <c r="G61" s="106"/>
      <c r="H61" s="104">
        <v>2508</v>
      </c>
      <c r="I61" s="106">
        <f>SUMIF(合格品入货记录!E:E,日报!E61,合格品入货记录!G:G)</f>
        <v>0</v>
      </c>
      <c r="J61" s="112">
        <f>SUMIF(合格品出库记录!E:E,日报!E61,合格品出库记录!G:G)</f>
        <v>0</v>
      </c>
      <c r="K61" s="102">
        <f t="shared" si="2"/>
        <v>2508</v>
      </c>
      <c r="L61" s="102">
        <f>SUMIF(不良品库存!D:D,E:E,不良品库存!F:F)</f>
        <v>0</v>
      </c>
      <c r="M61" s="113">
        <f t="shared" si="3"/>
        <v>2508</v>
      </c>
      <c r="N61" s="104"/>
      <c r="O61" s="104"/>
      <c r="P61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1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1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1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1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1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1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1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1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1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1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1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1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1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1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1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1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1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1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1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1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1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1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1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1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1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1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1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1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1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1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1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1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1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1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1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1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1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1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1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1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1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1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1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1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1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1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1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1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1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1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1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1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1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1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1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1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1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1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1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1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1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1" s="126"/>
      <c r="CA61" s="126"/>
      <c r="CB61" s="125"/>
      <c r="CC61" s="125"/>
      <c r="CD61" s="130"/>
    </row>
    <row r="62" s="90" customFormat="1" customHeight="1" spans="1:82">
      <c r="A62" s="31">
        <v>60</v>
      </c>
      <c r="B62" s="104" t="s">
        <v>19</v>
      </c>
      <c r="C62" s="105" t="s">
        <v>20</v>
      </c>
      <c r="D62" s="32" t="s">
        <v>195</v>
      </c>
      <c r="E62" s="31" t="s">
        <v>196</v>
      </c>
      <c r="F62" s="105" t="s">
        <v>197</v>
      </c>
      <c r="G62" s="106"/>
      <c r="H62" s="104">
        <v>2756</v>
      </c>
      <c r="I62" s="106">
        <f>SUMIF(合格品入货记录!E:E,日报!E62,合格品入货记录!G:G)</f>
        <v>0</v>
      </c>
      <c r="J62" s="112">
        <f>SUMIF(合格品出库记录!E:E,日报!E62,合格品出库记录!G:G)</f>
        <v>0</v>
      </c>
      <c r="K62" s="102">
        <f t="shared" si="2"/>
        <v>2756</v>
      </c>
      <c r="L62" s="102">
        <f>SUMIF(不良品库存!D:D,E:E,不良品库存!F:F)</f>
        <v>0</v>
      </c>
      <c r="M62" s="113">
        <f t="shared" si="3"/>
        <v>2756</v>
      </c>
      <c r="N62" s="104"/>
      <c r="O62" s="104"/>
      <c r="P62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2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2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2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2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2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2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2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2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2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2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2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2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2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2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2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2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2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2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2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2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2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2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2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2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2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2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2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2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2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2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2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2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2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2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2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2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2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2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2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2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2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2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2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2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2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2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2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2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2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2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2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2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2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2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2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2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2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2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2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2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2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2" s="126"/>
      <c r="CA62" s="126"/>
      <c r="CB62" s="125"/>
      <c r="CC62" s="125"/>
      <c r="CD62" s="130"/>
    </row>
    <row r="63" s="90" customFormat="1" customHeight="1" spans="1:82">
      <c r="A63" s="31">
        <v>61</v>
      </c>
      <c r="B63" s="104" t="s">
        <v>19</v>
      </c>
      <c r="C63" s="105" t="s">
        <v>20</v>
      </c>
      <c r="D63" s="32" t="s">
        <v>198</v>
      </c>
      <c r="E63" s="31" t="s">
        <v>199</v>
      </c>
      <c r="F63" s="105" t="s">
        <v>200</v>
      </c>
      <c r="G63" s="106"/>
      <c r="H63" s="104">
        <v>0</v>
      </c>
      <c r="I63" s="106">
        <f>SUMIF(合格品入货记录!E:E,日报!E63,合格品入货记录!G:G)</f>
        <v>0</v>
      </c>
      <c r="J63" s="112">
        <f>SUMIF(合格品出库记录!E:E,日报!E63,合格品出库记录!G:G)</f>
        <v>0</v>
      </c>
      <c r="K63" s="102">
        <f t="shared" si="2"/>
        <v>0</v>
      </c>
      <c r="L63" s="102">
        <f>SUMIF(不良品库存!D:D,E:E,不良品库存!F:F)</f>
        <v>0</v>
      </c>
      <c r="M63" s="113">
        <f t="shared" si="3"/>
        <v>0</v>
      </c>
      <c r="N63" s="104"/>
      <c r="O63" s="104"/>
      <c r="P63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3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3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3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3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3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3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3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3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3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3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3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3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3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3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3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3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3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3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3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3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3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3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3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3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3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3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3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3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3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3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3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3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3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3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3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3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3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3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3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3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3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3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3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3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3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3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3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3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3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3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3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3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3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3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3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3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3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3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3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3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3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3" s="126"/>
      <c r="CA63" s="126"/>
      <c r="CB63" s="125"/>
      <c r="CC63" s="125"/>
      <c r="CD63" s="130"/>
    </row>
    <row r="64" s="90" customFormat="1" customHeight="1" spans="1:82">
      <c r="A64" s="31">
        <v>62</v>
      </c>
      <c r="B64" s="104" t="s">
        <v>19</v>
      </c>
      <c r="C64" s="105" t="s">
        <v>20</v>
      </c>
      <c r="D64" s="32" t="s">
        <v>201</v>
      </c>
      <c r="E64" s="31" t="s">
        <v>202</v>
      </c>
      <c r="F64" s="105" t="s">
        <v>203</v>
      </c>
      <c r="G64" s="106"/>
      <c r="H64" s="104">
        <v>0</v>
      </c>
      <c r="I64" s="106">
        <f>SUMIF(合格品入货记录!E:E,日报!E64,合格品入货记录!G:G)</f>
        <v>0</v>
      </c>
      <c r="J64" s="112">
        <f>SUMIF(合格品出库记录!E:E,日报!E64,合格品出库记录!G:G)</f>
        <v>0</v>
      </c>
      <c r="K64" s="102">
        <f t="shared" si="2"/>
        <v>0</v>
      </c>
      <c r="L64" s="102">
        <f>SUMIF(不良品库存!D:D,E:E,不良品库存!F:F)</f>
        <v>0</v>
      </c>
      <c r="M64" s="113">
        <f t="shared" si="3"/>
        <v>0</v>
      </c>
      <c r="N64" s="104"/>
      <c r="O64" s="104"/>
      <c r="P64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4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4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4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4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4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4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4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4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4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4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4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4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4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4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4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4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4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4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4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4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4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4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4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4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4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4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4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4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4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4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4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4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4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4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4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4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4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4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4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4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4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4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4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4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4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4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4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4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4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4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4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4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4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4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4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4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4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4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4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4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4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4" s="126"/>
      <c r="CA64" s="126"/>
      <c r="CB64" s="125"/>
      <c r="CC64" s="125"/>
      <c r="CD64" s="130"/>
    </row>
    <row r="65" s="90" customFormat="1" customHeight="1" spans="1:82">
      <c r="A65" s="31">
        <v>63</v>
      </c>
      <c r="B65" s="104" t="s">
        <v>19</v>
      </c>
      <c r="C65" s="105" t="s">
        <v>20</v>
      </c>
      <c r="D65" s="32" t="s">
        <v>204</v>
      </c>
      <c r="E65" s="31" t="s">
        <v>205</v>
      </c>
      <c r="F65" s="105" t="s">
        <v>206</v>
      </c>
      <c r="G65" s="106"/>
      <c r="H65" s="104">
        <v>100</v>
      </c>
      <c r="I65" s="106">
        <f>SUMIF(合格品入货记录!E:E,日报!E65,合格品入货记录!G:G)</f>
        <v>0</v>
      </c>
      <c r="J65" s="112">
        <f>SUMIF(合格品出库记录!E:E,日报!E65,合格品出库记录!G:G)</f>
        <v>0</v>
      </c>
      <c r="K65" s="102">
        <f t="shared" si="2"/>
        <v>100</v>
      </c>
      <c r="L65" s="102">
        <f>SUMIF(不良品库存!D:D,E:E,不良品库存!F:F)</f>
        <v>0</v>
      </c>
      <c r="M65" s="113">
        <f t="shared" si="3"/>
        <v>100</v>
      </c>
      <c r="N65" s="104"/>
      <c r="O65" s="104"/>
      <c r="P65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5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5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5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5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5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5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5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5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5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5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5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5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5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5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5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5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5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5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5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5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5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5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5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5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5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5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5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5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5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5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5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5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5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5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5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5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5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5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5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5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5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5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5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5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5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5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5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5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5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5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5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5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5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5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5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5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5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5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5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5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5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5" s="126"/>
      <c r="CA65" s="126"/>
      <c r="CB65" s="125"/>
      <c r="CC65" s="125"/>
      <c r="CD65" s="130"/>
    </row>
    <row r="66" s="90" customFormat="1" customHeight="1" spans="1:82">
      <c r="A66" s="31">
        <v>64</v>
      </c>
      <c r="B66" s="104" t="s">
        <v>19</v>
      </c>
      <c r="C66" s="105" t="s">
        <v>20</v>
      </c>
      <c r="D66" s="32" t="s">
        <v>207</v>
      </c>
      <c r="E66" s="31" t="s">
        <v>208</v>
      </c>
      <c r="F66" s="105" t="s">
        <v>209</v>
      </c>
      <c r="G66" s="106"/>
      <c r="H66" s="104">
        <v>0</v>
      </c>
      <c r="I66" s="106">
        <f>SUMIF(合格品入货记录!E:E,日报!E66,合格品入货记录!G:G)</f>
        <v>0</v>
      </c>
      <c r="J66" s="112">
        <f>SUMIF(合格品出库记录!E:E,日报!E66,合格品出库记录!G:G)</f>
        <v>0</v>
      </c>
      <c r="K66" s="102">
        <f t="shared" si="2"/>
        <v>0</v>
      </c>
      <c r="L66" s="102">
        <f>SUMIF(不良品库存!D:D,E:E,不良品库存!F:F)</f>
        <v>0</v>
      </c>
      <c r="M66" s="113">
        <f t="shared" si="3"/>
        <v>0</v>
      </c>
      <c r="N66" s="104"/>
      <c r="O66" s="104"/>
      <c r="P66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6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6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6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6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6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6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6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6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6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6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6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6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6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6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6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6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6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6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6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6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6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6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6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6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6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6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6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6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6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6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6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6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6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6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6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6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6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6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6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6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6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6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6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6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6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6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6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6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6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6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6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6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6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6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6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6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6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6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6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6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6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6" s="126"/>
      <c r="CA66" s="126"/>
      <c r="CB66" s="125"/>
      <c r="CC66" s="125"/>
      <c r="CD66" s="130"/>
    </row>
    <row r="67" s="90" customFormat="1" customHeight="1" spans="1:82">
      <c r="A67" s="31">
        <v>65</v>
      </c>
      <c r="B67" s="104" t="s">
        <v>19</v>
      </c>
      <c r="C67" s="105" t="s">
        <v>20</v>
      </c>
      <c r="D67" s="32" t="s">
        <v>210</v>
      </c>
      <c r="E67" s="31" t="s">
        <v>211</v>
      </c>
      <c r="F67" s="105" t="s">
        <v>212</v>
      </c>
      <c r="G67" s="106"/>
      <c r="H67" s="104">
        <v>0</v>
      </c>
      <c r="I67" s="106">
        <f>SUMIF(合格品入货记录!E:E,日报!E67,合格品入货记录!G:G)</f>
        <v>0</v>
      </c>
      <c r="J67" s="112">
        <f>SUMIF(合格品出库记录!E:E,日报!E67,合格品出库记录!G:G)</f>
        <v>0</v>
      </c>
      <c r="K67" s="102">
        <f t="shared" si="2"/>
        <v>0</v>
      </c>
      <c r="L67" s="102">
        <f>SUMIF(不良品库存!D:D,E:E,不良品库存!F:F)</f>
        <v>0</v>
      </c>
      <c r="M67" s="113">
        <f t="shared" si="3"/>
        <v>0</v>
      </c>
      <c r="N67" s="104"/>
      <c r="O67" s="104"/>
      <c r="P67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7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7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7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7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7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7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7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7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7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7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7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7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7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7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7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7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7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7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7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7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7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7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7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7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7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7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7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7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7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7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7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7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7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7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7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7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7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7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7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7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7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7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7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7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7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7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7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7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7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7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7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7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7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7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7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7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7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7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7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7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7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7" s="126"/>
      <c r="CA67" s="126"/>
      <c r="CB67" s="125"/>
      <c r="CC67" s="125"/>
      <c r="CD67" s="130"/>
    </row>
    <row r="68" s="90" customFormat="1" customHeight="1" spans="1:82">
      <c r="A68" s="31">
        <v>66</v>
      </c>
      <c r="B68" s="104" t="s">
        <v>19</v>
      </c>
      <c r="C68" s="105" t="s">
        <v>20</v>
      </c>
      <c r="D68" s="32" t="s">
        <v>213</v>
      </c>
      <c r="E68" s="31" t="s">
        <v>214</v>
      </c>
      <c r="F68" s="105" t="s">
        <v>215</v>
      </c>
      <c r="G68" s="106"/>
      <c r="H68" s="104">
        <v>0</v>
      </c>
      <c r="I68" s="106">
        <f>SUMIF(合格品入货记录!E:E,日报!E68,合格品入货记录!G:G)</f>
        <v>0</v>
      </c>
      <c r="J68" s="112">
        <f>SUMIF(合格品出库记录!E:E,日报!E68,合格品出库记录!G:G)</f>
        <v>0</v>
      </c>
      <c r="K68" s="102">
        <f t="shared" ref="K68:K74" si="4">H68+I68-J68+L68</f>
        <v>0</v>
      </c>
      <c r="L68" s="102">
        <f>SUMIF(不良品库存!D:D,E:E,不良品库存!F:F)</f>
        <v>0</v>
      </c>
      <c r="M68" s="113">
        <f t="shared" ref="M68:M74" si="5">H68+I68-J68</f>
        <v>0</v>
      </c>
      <c r="N68" s="104"/>
      <c r="O68" s="104"/>
      <c r="P68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8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8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8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8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8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8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8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8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8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8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8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8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8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8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8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8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8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8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8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8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8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8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8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8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8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8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8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8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8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8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8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8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8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8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8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8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8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8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8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8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8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8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8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8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8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8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8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8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8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8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8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8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8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8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8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8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8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8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8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8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8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8" s="126"/>
      <c r="CA68" s="126"/>
      <c r="CB68" s="125"/>
      <c r="CC68" s="125"/>
      <c r="CD68" s="130"/>
    </row>
    <row r="69" s="90" customFormat="1" customHeight="1" spans="1:82">
      <c r="A69" s="31">
        <v>67</v>
      </c>
      <c r="B69" s="104" t="s">
        <v>19</v>
      </c>
      <c r="C69" s="105" t="s">
        <v>20</v>
      </c>
      <c r="D69" s="32" t="s">
        <v>216</v>
      </c>
      <c r="E69" s="31" t="s">
        <v>217</v>
      </c>
      <c r="F69" s="105" t="s">
        <v>218</v>
      </c>
      <c r="G69" s="106"/>
      <c r="H69" s="104">
        <v>76</v>
      </c>
      <c r="I69" s="106">
        <f>SUMIF(合格品入货记录!E:E,日报!E69,合格品入货记录!G:G)</f>
        <v>0</v>
      </c>
      <c r="J69" s="112">
        <f>SUMIF(合格品出库记录!E:E,日报!E69,合格品出库记录!G:G)</f>
        <v>0</v>
      </c>
      <c r="K69" s="102">
        <f t="shared" si="4"/>
        <v>76</v>
      </c>
      <c r="L69" s="102">
        <f>SUMIF(不良品库存!D:D,E:E,不良品库存!F:F)</f>
        <v>0</v>
      </c>
      <c r="M69" s="113">
        <f t="shared" si="5"/>
        <v>76</v>
      </c>
      <c r="N69" s="104"/>
      <c r="O69" s="104"/>
      <c r="P69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69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69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69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69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69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69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69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69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69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69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69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69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69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69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69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69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69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69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69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69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69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69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69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69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69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69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69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69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69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69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69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69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69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69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69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69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69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69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69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69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69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69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69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69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69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69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69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69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69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69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69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69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69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69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69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69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69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69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69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69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69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69" s="126"/>
      <c r="CA69" s="126"/>
      <c r="CB69" s="125"/>
      <c r="CC69" s="125"/>
      <c r="CD69" s="130"/>
    </row>
    <row r="70" s="90" customFormat="1" customHeight="1" spans="1:82">
      <c r="A70" s="31">
        <v>68</v>
      </c>
      <c r="B70" s="104" t="s">
        <v>19</v>
      </c>
      <c r="C70" s="105" t="s">
        <v>20</v>
      </c>
      <c r="D70" s="32" t="s">
        <v>219</v>
      </c>
      <c r="E70" s="31" t="s">
        <v>220</v>
      </c>
      <c r="F70" s="105" t="s">
        <v>221</v>
      </c>
      <c r="G70" s="106"/>
      <c r="H70" s="104">
        <v>76</v>
      </c>
      <c r="I70" s="106">
        <f>SUMIF(合格品入货记录!E:E,日报!E70,合格品入货记录!G:G)</f>
        <v>0</v>
      </c>
      <c r="J70" s="112">
        <f>SUMIF(合格品出库记录!E:E,日报!E70,合格品出库记录!G:G)</f>
        <v>0</v>
      </c>
      <c r="K70" s="102">
        <f t="shared" si="4"/>
        <v>76</v>
      </c>
      <c r="L70" s="102">
        <f>SUMIF(不良品库存!D:D,E:E,不良品库存!F:F)</f>
        <v>0</v>
      </c>
      <c r="M70" s="113">
        <f t="shared" si="5"/>
        <v>76</v>
      </c>
      <c r="N70" s="104"/>
      <c r="O70" s="104"/>
      <c r="P70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0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0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0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0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0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0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0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0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0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0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0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0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0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0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0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0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0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0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0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0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0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0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0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0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0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0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0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0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0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0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0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0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0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0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0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0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0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0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0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0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0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0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0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0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0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0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0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0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0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0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0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0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0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0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0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0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0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0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0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0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0" s="31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70" s="126"/>
      <c r="CA70" s="126"/>
      <c r="CB70" s="125"/>
      <c r="CC70" s="125"/>
      <c r="CD70" s="130"/>
    </row>
    <row r="71" s="90" customFormat="1" customHeight="1" spans="1:82">
      <c r="A71" s="31">
        <v>69</v>
      </c>
      <c r="B71" s="104" t="s">
        <v>19</v>
      </c>
      <c r="C71" s="105" t="s">
        <v>20</v>
      </c>
      <c r="D71" s="32" t="s">
        <v>222</v>
      </c>
      <c r="E71" s="31" t="s">
        <v>223</v>
      </c>
      <c r="F71" s="105" t="s">
        <v>224</v>
      </c>
      <c r="G71" s="106"/>
      <c r="H71" s="104">
        <v>144</v>
      </c>
      <c r="I71" s="106">
        <f>SUMIF(合格品入货记录!E:E,日报!E71,合格品入货记录!G:G)</f>
        <v>0</v>
      </c>
      <c r="J71" s="112">
        <f>SUMIF(合格品出库记录!E:E,日报!E71,合格品出库记录!G:G)</f>
        <v>0</v>
      </c>
      <c r="K71" s="102">
        <f t="shared" si="4"/>
        <v>144</v>
      </c>
      <c r="L71" s="102">
        <f>SUMIF(不良品库存!D:D,E:E,不良品库存!F:F)</f>
        <v>0</v>
      </c>
      <c r="M71" s="113">
        <f t="shared" si="5"/>
        <v>144</v>
      </c>
      <c r="N71" s="104"/>
      <c r="O71" s="104"/>
      <c r="P71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1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1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1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1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1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1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1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1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1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1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1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1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1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1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1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1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1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1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1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1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1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1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1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1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1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1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1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1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1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1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1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1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1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1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1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1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1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1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1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1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1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1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1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1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1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1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1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1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1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1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1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1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1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1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1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1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1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1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1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1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1" s="31"/>
      <c r="BZ71" s="126"/>
      <c r="CA71" s="126"/>
      <c r="CB71" s="125"/>
      <c r="CC71" s="125"/>
      <c r="CD71" s="130"/>
    </row>
    <row r="72" s="90" customFormat="1" customHeight="1" spans="1:82">
      <c r="A72" s="31">
        <v>70</v>
      </c>
      <c r="B72" s="104" t="s">
        <v>19</v>
      </c>
      <c r="C72" s="105" t="s">
        <v>20</v>
      </c>
      <c r="D72" s="32" t="s">
        <v>225</v>
      </c>
      <c r="E72" s="31" t="s">
        <v>226</v>
      </c>
      <c r="F72" s="105" t="s">
        <v>227</v>
      </c>
      <c r="G72" s="106"/>
      <c r="H72" s="104">
        <v>350</v>
      </c>
      <c r="I72" s="106">
        <f>SUMIF(合格品入货记录!E:E,日报!E72,合格品入货记录!G:G)</f>
        <v>0</v>
      </c>
      <c r="J72" s="112">
        <f>SUMIF(合格品出库记录!E:E,日报!E72,合格品出库记录!G:G)</f>
        <v>266</v>
      </c>
      <c r="K72" s="102">
        <f t="shared" si="4"/>
        <v>84</v>
      </c>
      <c r="L72" s="102">
        <f>SUMIF(不良品库存!D:D,E:E,不良品库存!F:F)</f>
        <v>0</v>
      </c>
      <c r="M72" s="113">
        <f t="shared" si="5"/>
        <v>84</v>
      </c>
      <c r="N72" s="104"/>
      <c r="O72" s="104"/>
      <c r="P72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2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2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2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2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2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2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2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2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2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2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2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2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2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2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2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2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2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2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2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2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2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2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2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2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2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2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2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2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2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2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2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2" s="31">
        <f>IF(SUMIFS(合格品出库记录!$G:$G,合格品出库记录!$E:$E,日报!$E:$E,合格品出库记录!$A:$A,日报!AV$3)&lt;&gt;0,SUMIFS(合格品出库记录!$G:$G,合格品出库记录!$E:$E,日报!$E:$E,合格品出库记录!$A:$A,日报!AV$3),"")</f>
        <v>168</v>
      </c>
      <c r="AW72" s="31">
        <f>IF(SUMIFS(合格品出库记录!$G:$G,合格品出库记录!$E:$E,日报!$E:$E,合格品出库记录!$A:$A,日报!AW$3)&lt;&gt;0,SUMIFS(合格品出库记录!$G:$G,合格品出库记录!$E:$E,日报!$E:$E,合格品出库记录!$A:$A,日报!AW$3),"")</f>
        <v>98</v>
      </c>
      <c r="AX72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2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2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2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2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2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2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2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2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2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2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2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2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2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2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2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2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2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2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2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2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2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2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2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2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2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2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2" s="31"/>
      <c r="BZ72" s="126"/>
      <c r="CA72" s="126"/>
      <c r="CB72" s="125"/>
      <c r="CC72" s="125"/>
      <c r="CD72" s="130"/>
    </row>
    <row r="73" s="90" customFormat="1" customHeight="1" spans="1:82">
      <c r="A73" s="31">
        <v>71</v>
      </c>
      <c r="B73" s="104" t="s">
        <v>19</v>
      </c>
      <c r="C73" s="105" t="s">
        <v>20</v>
      </c>
      <c r="D73" s="32" t="s">
        <v>228</v>
      </c>
      <c r="E73" s="31" t="s">
        <v>229</v>
      </c>
      <c r="F73" s="105" t="s">
        <v>230</v>
      </c>
      <c r="G73" s="106"/>
      <c r="H73" s="104">
        <v>322</v>
      </c>
      <c r="I73" s="106">
        <f>SUMIF(合格品入货记录!E:E,日报!E73,合格品入货记录!G:G)</f>
        <v>0</v>
      </c>
      <c r="J73" s="112">
        <f>SUMIF(合格品出库记录!E:E,日报!E73,合格品出库记录!G:G)</f>
        <v>266</v>
      </c>
      <c r="K73" s="102">
        <f t="shared" si="4"/>
        <v>56</v>
      </c>
      <c r="L73" s="102">
        <f>SUMIF(不良品库存!D:D,E:E,不良品库存!F:F)</f>
        <v>0</v>
      </c>
      <c r="M73" s="113">
        <f t="shared" si="5"/>
        <v>56</v>
      </c>
      <c r="N73" s="104"/>
      <c r="O73" s="104"/>
      <c r="P73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3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3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3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3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3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3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3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3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3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3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3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3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3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3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3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3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3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3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3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3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3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3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3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3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3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3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3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3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3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3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3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3" s="31">
        <f>IF(SUMIFS(合格品出库记录!$G:$G,合格品出库记录!$E:$E,日报!$E:$E,合格品出库记录!$A:$A,日报!AV$3)&lt;&gt;0,SUMIFS(合格品出库记录!$G:$G,合格品出库记录!$E:$E,日报!$E:$E,合格品出库记录!$A:$A,日报!AV$3),"")</f>
        <v>168</v>
      </c>
      <c r="AW73" s="31">
        <f>IF(SUMIFS(合格品出库记录!$G:$G,合格品出库记录!$E:$E,日报!$E:$E,合格品出库记录!$A:$A,日报!AW$3)&lt;&gt;0,SUMIFS(合格品出库记录!$G:$G,合格品出库记录!$E:$E,日报!$E:$E,合格品出库记录!$A:$A,日报!AW$3),"")</f>
        <v>98</v>
      </c>
      <c r="AX73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3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3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3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3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3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3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3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3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3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3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3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3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3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3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3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3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3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3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3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3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3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3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3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3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3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3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3" s="31"/>
      <c r="BZ73" s="126"/>
      <c r="CA73" s="126"/>
      <c r="CB73" s="125"/>
      <c r="CC73" s="125"/>
      <c r="CD73" s="130"/>
    </row>
    <row r="74" s="90" customFormat="1" customHeight="1" spans="1:82">
      <c r="A74" s="31">
        <v>72</v>
      </c>
      <c r="B74" s="104" t="s">
        <v>19</v>
      </c>
      <c r="C74" s="105" t="s">
        <v>20</v>
      </c>
      <c r="D74" s="32" t="s">
        <v>231</v>
      </c>
      <c r="E74" s="31" t="s">
        <v>232</v>
      </c>
      <c r="F74" s="105" t="s">
        <v>233</v>
      </c>
      <c r="G74" s="106"/>
      <c r="H74" s="104">
        <v>98</v>
      </c>
      <c r="I74" s="106">
        <f>SUMIF(合格品入货记录!E:E,日报!E74,合格品入货记录!G:G)</f>
        <v>0</v>
      </c>
      <c r="J74" s="112">
        <f>SUMIF(合格品出库记录!E:E,日报!E74,合格品出库记录!G:G)</f>
        <v>0</v>
      </c>
      <c r="K74" s="102">
        <f t="shared" si="4"/>
        <v>98</v>
      </c>
      <c r="L74" s="102">
        <f>SUMIF(不良品库存!D:D,E:E,不良品库存!F:F)</f>
        <v>0</v>
      </c>
      <c r="M74" s="113">
        <f t="shared" si="5"/>
        <v>98</v>
      </c>
      <c r="N74" s="104"/>
      <c r="O74" s="104"/>
      <c r="P74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4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4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4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4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4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4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4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4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4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4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4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4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4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4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4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4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4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4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4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4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4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4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4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4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4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4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4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4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4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4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4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4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4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4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4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4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4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4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4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4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4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4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4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4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4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4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4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4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4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4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4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4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4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4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4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4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4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4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4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4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4" s="31"/>
      <c r="BZ74" s="126"/>
      <c r="CA74" s="126"/>
      <c r="CB74" s="125"/>
      <c r="CC74" s="125"/>
      <c r="CD74" s="130"/>
    </row>
    <row r="75" s="90" customFormat="1" customHeight="1" spans="1:82">
      <c r="A75" s="31">
        <v>73</v>
      </c>
      <c r="B75" s="104" t="s">
        <v>19</v>
      </c>
      <c r="C75" s="105" t="s">
        <v>20</v>
      </c>
      <c r="D75" s="32" t="s">
        <v>234</v>
      </c>
      <c r="E75" s="31" t="s">
        <v>235</v>
      </c>
      <c r="F75" s="105" t="s">
        <v>236</v>
      </c>
      <c r="G75" s="106"/>
      <c r="H75" s="104">
        <v>860</v>
      </c>
      <c r="I75" s="106">
        <f>SUMIF(合格品入货记录!E:E,日报!E75,合格品入货记录!G:G)</f>
        <v>0</v>
      </c>
      <c r="J75" s="112">
        <f>SUMIF(合格品出库记录!E:E,日报!E75,合格品出库记录!G:G)</f>
        <v>20</v>
      </c>
      <c r="K75" s="102">
        <f t="shared" ref="K75:K76" si="6">H75+I75-J75+L75</f>
        <v>840</v>
      </c>
      <c r="L75" s="102">
        <f>SUMIF(不良品库存!D:D,E:E,不良品库存!F:F)</f>
        <v>0</v>
      </c>
      <c r="M75" s="113">
        <f t="shared" ref="M75:M76" si="7">H75+I75-J75</f>
        <v>840</v>
      </c>
      <c r="N75" s="104"/>
      <c r="O75" s="104"/>
      <c r="P75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5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5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5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5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5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5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5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5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5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5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5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5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5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5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5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5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5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5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5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5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5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5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5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5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5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5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5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5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5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5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5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5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5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5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5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5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5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5" s="31">
        <f>IF(SUMIFS(合格品出库记录!$G:$G,合格品出库记录!$E:$E,日报!$E:$E,合格品出库记录!$A:$A,日报!BB$3)&lt;&gt;0,SUMIFS(合格品出库记录!$G:$G,合格品出库记录!$E:$E,日报!$E:$E,合格品出库记录!$A:$A,日报!BB$3),"")</f>
        <v>20</v>
      </c>
      <c r="BC75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5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5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5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5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5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5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5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5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5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5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5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5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5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5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5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5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5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5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5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5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5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5" s="31"/>
      <c r="BZ75" s="126"/>
      <c r="CA75" s="126"/>
      <c r="CB75" s="125"/>
      <c r="CC75" s="125"/>
      <c r="CD75" s="130"/>
    </row>
    <row r="76" s="90" customFormat="1" customHeight="1" spans="1:82">
      <c r="A76" s="31">
        <v>74</v>
      </c>
      <c r="B76" s="104" t="s">
        <v>19</v>
      </c>
      <c r="C76" s="105" t="s">
        <v>20</v>
      </c>
      <c r="D76" s="32" t="s">
        <v>237</v>
      </c>
      <c r="E76" s="31" t="s">
        <v>238</v>
      </c>
      <c r="F76" s="105" t="s">
        <v>239</v>
      </c>
      <c r="G76" s="106"/>
      <c r="H76" s="104">
        <v>880</v>
      </c>
      <c r="I76" s="106">
        <f>SUMIF(合格品入货记录!E:E,日报!E76,合格品入货记录!G:G)</f>
        <v>0</v>
      </c>
      <c r="J76" s="112">
        <f>SUMIF(合格品出库记录!E:E,日报!E76,合格品出库记录!G:G)</f>
        <v>20</v>
      </c>
      <c r="K76" s="102">
        <f t="shared" si="6"/>
        <v>860</v>
      </c>
      <c r="L76" s="102">
        <f>SUMIF(不良品库存!D:D,E:E,不良品库存!F:F)</f>
        <v>0</v>
      </c>
      <c r="M76" s="113">
        <f t="shared" si="7"/>
        <v>860</v>
      </c>
      <c r="N76" s="104"/>
      <c r="O76" s="104"/>
      <c r="P76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6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6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6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6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6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6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6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6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6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6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6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6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6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6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6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6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6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6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6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6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6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6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6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6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6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6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6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6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6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6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6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6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6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6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6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6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6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6" s="31">
        <f>IF(SUMIFS(合格品出库记录!$G:$G,合格品出库记录!$E:$E,日报!$E:$E,合格品出库记录!$A:$A,日报!BB$3)&lt;&gt;0,SUMIFS(合格品出库记录!$G:$G,合格品出库记录!$E:$E,日报!$E:$E,合格品出库记录!$A:$A,日报!BB$3),"")</f>
        <v>20</v>
      </c>
      <c r="BC76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6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6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6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6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6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6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6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6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6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6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6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6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6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6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6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6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6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6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6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6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6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6" s="31"/>
      <c r="BZ76" s="126"/>
      <c r="CA76" s="126"/>
      <c r="CB76" s="125"/>
      <c r="CC76" s="125"/>
      <c r="CD76" s="130"/>
    </row>
    <row r="77" s="90" customFormat="1" ht="19.8" customHeight="1" spans="1:82">
      <c r="A77" s="31">
        <v>75</v>
      </c>
      <c r="B77" s="104" t="s">
        <v>19</v>
      </c>
      <c r="C77" s="105" t="s">
        <v>20</v>
      </c>
      <c r="D77" s="32" t="s">
        <v>240</v>
      </c>
      <c r="E77" s="31" t="s">
        <v>241</v>
      </c>
      <c r="F77" s="105" t="s">
        <v>242</v>
      </c>
      <c r="G77" s="106"/>
      <c r="H77" s="104">
        <v>2000</v>
      </c>
      <c r="I77" s="106">
        <f>SUMIF(合格品入货记录!E:E,日报!E77,合格品入货记录!G:G)</f>
        <v>0</v>
      </c>
      <c r="J77" s="112">
        <f>SUMIF(合格品出库记录!E:E,日报!E77,合格品出库记录!G:G)</f>
        <v>200</v>
      </c>
      <c r="K77" s="102">
        <f t="shared" ref="K77" si="8">H77+I77-J77+L77</f>
        <v>1800</v>
      </c>
      <c r="L77" s="102">
        <f>SUMIF(不良品库存!D:D,E:E,不良品库存!F:F)</f>
        <v>0</v>
      </c>
      <c r="M77" s="113">
        <f t="shared" ref="M77" si="9">H77+I77-J77</f>
        <v>1800</v>
      </c>
      <c r="N77" s="104"/>
      <c r="O77" s="104"/>
      <c r="P77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7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7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7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7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7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7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7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77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77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77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77" s="31" t="str">
        <f>IF(SUMIFS(合格品入货记录!$G:$G,合格品入货记录!$E:$E,日报!$E:$E,合格品入货记录!$A:$A,日报!AA$3)&lt;&gt;0,SUMIFS(合格品入货记录!$G:$G,合格品入货记录!$E:$E,日报!$E:$E,合格品入货记录!$A:$A,日报!AA$3),"")</f>
        <v/>
      </c>
      <c r="AB77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7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7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7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7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7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7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7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7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7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7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7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7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7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7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7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7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7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7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7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7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7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7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7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7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7" s="31">
        <f>IF(SUMIFS(合格品出库记录!$G:$G,合格品出库记录!$E:$E,日报!$E:$E,合格品出库记录!$A:$A,日报!BA$3)&lt;&gt;0,SUMIFS(合格品出库记录!$G:$G,合格品出库记录!$E:$E,日报!$E:$E,合格品出库记录!$A:$A,日报!BA$3),"")</f>
        <v>200</v>
      </c>
      <c r="BB77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7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7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7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7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7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7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7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7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7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7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7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7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7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7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7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7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7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7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7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7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7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7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7" s="31"/>
      <c r="BZ77" s="126"/>
      <c r="CA77" s="126"/>
      <c r="CB77" s="125"/>
      <c r="CC77" s="125"/>
      <c r="CD77" s="130"/>
    </row>
    <row r="78" s="90" customFormat="1" customHeight="1" spans="1:82">
      <c r="A78" s="31">
        <v>76</v>
      </c>
      <c r="B78" s="104" t="s">
        <v>19</v>
      </c>
      <c r="C78" s="105" t="s">
        <v>20</v>
      </c>
      <c r="D78" s="32" t="s">
        <v>243</v>
      </c>
      <c r="E78" s="31" t="s">
        <v>244</v>
      </c>
      <c r="F78" s="105" t="s">
        <v>245</v>
      </c>
      <c r="G78" s="106"/>
      <c r="H78" s="104">
        <v>0</v>
      </c>
      <c r="I78" s="106">
        <f>SUMIF(合格品入货记录!E:E,日报!E78,合格品入货记录!G:G)</f>
        <v>3609</v>
      </c>
      <c r="J78" s="112">
        <f>SUMIF(合格品出库记录!E:E,日报!E78,合格品出库记录!G:G)</f>
        <v>0</v>
      </c>
      <c r="K78" s="102">
        <f t="shared" ref="K78:K81" si="10">H78+I78-J78+L78</f>
        <v>3609</v>
      </c>
      <c r="L78" s="102">
        <f>SUMIF(不良品库存!D:D,E:E,不良品库存!F:F)</f>
        <v>0</v>
      </c>
      <c r="M78" s="113">
        <f t="shared" ref="M78:M81" si="11">H78+I78-J78</f>
        <v>3609</v>
      </c>
      <c r="N78" s="104"/>
      <c r="O78" s="104"/>
      <c r="P78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8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8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8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8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8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8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8" s="31">
        <f>IF(SUMIFS(合格品入货记录!$G:$G,合格品入货记录!$E:$E,日报!$E:$E,合格品入货记录!$A:$A,日报!W$3)&lt;&gt;0,SUMIFS(合格品入货记录!$G:$G,合格品入货记录!$E:$E,日报!$E:$E,合格品入货记录!$A:$A,日报!W$3),"")</f>
        <v>216</v>
      </c>
      <c r="X78" s="31">
        <f>IF(SUMIFS(合格品入货记录!$G:$G,合格品入货记录!$E:$E,日报!$E:$E,合格品入货记录!$A:$A,日报!X$3)&lt;&gt;0,SUMIFS(合格品入货记录!$G:$G,合格品入货记录!$E:$E,日报!$E:$E,合格品入货记录!$A:$A,日报!X$3),"")</f>
        <v>639</v>
      </c>
      <c r="Y78" s="31">
        <f>IF(SUMIFS(合格品入货记录!$G:$G,合格品入货记录!$E:$E,日报!$E:$E,合格品入货记录!$A:$A,日报!Y$3)&lt;&gt;0,SUMIFS(合格品入货记录!$G:$G,合格品入货记录!$E:$E,日报!$E:$E,合格品入货记录!$A:$A,日报!Y$3),"")</f>
        <v>1098</v>
      </c>
      <c r="Z78" s="31">
        <f>IF(SUMIFS(合格品入货记录!$G:$G,合格品入货记录!$E:$E,日报!$E:$E,合格品入货记录!$A:$A,日报!Z$3)&lt;&gt;0,SUMIFS(合格品入货记录!$G:$G,合格品入货记录!$E:$E,日报!$E:$E,合格品入货记录!$A:$A,日报!Z$3),"")</f>
        <v>675</v>
      </c>
      <c r="AA78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981</v>
      </c>
      <c r="AB78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8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8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8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8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8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8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8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8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8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8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8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8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8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8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8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8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8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8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8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8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8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8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8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8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8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8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8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78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8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78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8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8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8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8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8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8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8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8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8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8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8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8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8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8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8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8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8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8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8" s="31"/>
      <c r="BZ78" s="126"/>
      <c r="CA78" s="126"/>
      <c r="CB78" s="125"/>
      <c r="CC78" s="125"/>
      <c r="CD78" s="130"/>
    </row>
    <row r="79" s="90" customFormat="1" customHeight="1" spans="1:82">
      <c r="A79" s="31">
        <v>77</v>
      </c>
      <c r="B79" s="104" t="s">
        <v>19</v>
      </c>
      <c r="C79" s="105" t="s">
        <v>20</v>
      </c>
      <c r="D79" s="32" t="s">
        <v>246</v>
      </c>
      <c r="E79" s="31" t="s">
        <v>247</v>
      </c>
      <c r="F79" s="105" t="s">
        <v>248</v>
      </c>
      <c r="G79" s="106"/>
      <c r="H79" s="104">
        <v>0</v>
      </c>
      <c r="I79" s="106">
        <f>SUMIF(合格品入货记录!E:E,日报!E79,合格品入货记录!G:G)</f>
        <v>784</v>
      </c>
      <c r="J79" s="112">
        <f>SUMIF(合格品出库记录!E:E,日报!E79,合格品出库记录!G:G)</f>
        <v>364</v>
      </c>
      <c r="K79" s="102">
        <f t="shared" si="10"/>
        <v>420</v>
      </c>
      <c r="L79" s="102">
        <f>SUMIF(不良品库存!D:D,E:E,不良品库存!F:F)</f>
        <v>0</v>
      </c>
      <c r="M79" s="113">
        <f t="shared" si="11"/>
        <v>420</v>
      </c>
      <c r="N79" s="104"/>
      <c r="O79" s="104"/>
      <c r="P79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79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79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79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79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79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79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79" s="31">
        <f>IF(SUMIFS(合格品入货记录!$G:$G,合格品入货记录!$E:$E,日报!$E:$E,合格品入货记录!$A:$A,日报!W$3)&lt;&gt;0,SUMIFS(合格品入货记录!$G:$G,合格品入货记录!$E:$E,日报!$E:$E,合格品入货记录!$A:$A,日报!W$3),"")</f>
        <v>112</v>
      </c>
      <c r="X79" s="31">
        <f>IF(SUMIFS(合格品入货记录!$G:$G,合格品入货记录!$E:$E,日报!$E:$E,合格品入货记录!$A:$A,日报!X$3)&lt;&gt;0,SUMIFS(合格品入货记录!$G:$G,合格品入货记录!$E:$E,日报!$E:$E,合格品入货记录!$A:$A,日报!X$3),"")</f>
        <v>112</v>
      </c>
      <c r="Y79" s="31">
        <f>IF(SUMIFS(合格品入货记录!$G:$G,合格品入货记录!$E:$E,日报!$E:$E,合格品入货记录!$A:$A,日报!Y$3)&lt;&gt;0,SUMIFS(合格品入货记录!$G:$G,合格品入货记录!$E:$E,日报!$E:$E,合格品入货记录!$A:$A,日报!Y$3),"")</f>
        <v>224</v>
      </c>
      <c r="Z79" s="31">
        <f>IF(SUMIFS(合格品入货记录!$G:$G,合格品入货记录!$E:$E,日报!$E:$E,合格品入货记录!$A:$A,日报!Z$3)&lt;&gt;0,SUMIFS(合格品入货记录!$G:$G,合格品入货记录!$E:$E,日报!$E:$E,合格品入货记录!$A:$A,日报!Z$3),"")</f>
        <v>112</v>
      </c>
      <c r="AA79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224</v>
      </c>
      <c r="AB79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79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79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79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79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79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79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79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79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79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79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79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79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79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79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79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79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79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79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79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79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79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79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79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79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79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79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79" s="3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224</v>
      </c>
      <c r="BD79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79" s="31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140</v>
      </c>
      <c r="BF79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79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79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79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79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79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79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79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79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79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79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79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79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79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79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79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79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79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79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79" s="31"/>
      <c r="BZ79" s="126"/>
      <c r="CA79" s="126"/>
      <c r="CB79" s="125"/>
      <c r="CC79" s="125"/>
      <c r="CD79" s="130"/>
    </row>
    <row r="80" s="90" customFormat="1" customHeight="1" spans="1:82">
      <c r="A80" s="31">
        <v>78</v>
      </c>
      <c r="B80" s="104" t="s">
        <v>19</v>
      </c>
      <c r="C80" s="105" t="s">
        <v>20</v>
      </c>
      <c r="D80" s="32" t="s">
        <v>249</v>
      </c>
      <c r="E80" s="31" t="s">
        <v>250</v>
      </c>
      <c r="F80" s="105" t="s">
        <v>251</v>
      </c>
      <c r="G80" s="106"/>
      <c r="H80" s="104">
        <v>0</v>
      </c>
      <c r="I80" s="106">
        <f>SUMIF(合格品入货记录!E:E,日报!E80,合格品入货记录!G:G)</f>
        <v>784</v>
      </c>
      <c r="J80" s="112">
        <f>SUMIF(合格品出库记录!E:E,日报!E80,合格品出库记录!G:G)</f>
        <v>364</v>
      </c>
      <c r="K80" s="102">
        <f t="shared" si="10"/>
        <v>420</v>
      </c>
      <c r="L80" s="102">
        <f>SUMIF(不良品库存!D:D,E:E,不良品库存!F:F)</f>
        <v>0</v>
      </c>
      <c r="M80" s="113">
        <f t="shared" si="11"/>
        <v>420</v>
      </c>
      <c r="N80" s="104"/>
      <c r="O80" s="104"/>
      <c r="P80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80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80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80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80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0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0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0" s="31">
        <f>IF(SUMIFS(合格品入货记录!$G:$G,合格品入货记录!$E:$E,日报!$E:$E,合格品入货记录!$A:$A,日报!W$3)&lt;&gt;0,SUMIFS(合格品入货记录!$G:$G,合格品入货记录!$E:$E,日报!$E:$E,合格品入货记录!$A:$A,日报!W$3),"")</f>
        <v>112</v>
      </c>
      <c r="X80" s="31">
        <f>IF(SUMIFS(合格品入货记录!$G:$G,合格品入货记录!$E:$E,日报!$E:$E,合格品入货记录!$A:$A,日报!X$3)&lt;&gt;0,SUMIFS(合格品入货记录!$G:$G,合格品入货记录!$E:$E,日报!$E:$E,合格品入货记录!$A:$A,日报!X$3),"")</f>
        <v>112</v>
      </c>
      <c r="Y80" s="31">
        <f>IF(SUMIFS(合格品入货记录!$G:$G,合格品入货记录!$E:$E,日报!$E:$E,合格品入货记录!$A:$A,日报!Y$3)&lt;&gt;0,SUMIFS(合格品入货记录!$G:$G,合格品入货记录!$E:$E,日报!$E:$E,合格品入货记录!$A:$A,日报!Y$3),"")</f>
        <v>224</v>
      </c>
      <c r="Z80" s="31">
        <f>IF(SUMIFS(合格品入货记录!$G:$G,合格品入货记录!$E:$E,日报!$E:$E,合格品入货记录!$A:$A,日报!Z$3)&lt;&gt;0,SUMIFS(合格品入货记录!$G:$G,合格品入货记录!$E:$E,日报!$E:$E,合格品入货记录!$A:$A,日报!Z$3),"")</f>
        <v>112</v>
      </c>
      <c r="AA80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224</v>
      </c>
      <c r="AB80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0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0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0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0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0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0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0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0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0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0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0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0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0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0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0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0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0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0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0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80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80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80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80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0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0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0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0" s="3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224</v>
      </c>
      <c r="BD80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0" s="31">
        <f>IF(SUMIFS(合格品出库记录!$G:$G,合格品出库记录!$E:$E,日报!$E:$E,合格品出库记录!$A:$A,日报!BE$3)&lt;&gt;0,SUMIFS(合格品出库记录!$G:$G,合格品出库记录!$E:$E,日报!$E:$E,合格品出库记录!$A:$A,日报!BE$3),"")</f>
        <v>140</v>
      </c>
      <c r="BF80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0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0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0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0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0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0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0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0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0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0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0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0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0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0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0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0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0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0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0" s="31"/>
      <c r="BZ80" s="126"/>
      <c r="CA80" s="126"/>
      <c r="CB80" s="125"/>
      <c r="CC80" s="125"/>
      <c r="CD80" s="130"/>
    </row>
    <row r="81" s="90" customFormat="1" customHeight="1" spans="1:82">
      <c r="A81" s="31">
        <v>79</v>
      </c>
      <c r="B81" s="104" t="s">
        <v>19</v>
      </c>
      <c r="C81" s="105" t="s">
        <v>20</v>
      </c>
      <c r="D81" s="32" t="s">
        <v>252</v>
      </c>
      <c r="E81" s="31" t="s">
        <v>253</v>
      </c>
      <c r="F81" s="105" t="s">
        <v>254</v>
      </c>
      <c r="G81" s="106"/>
      <c r="H81" s="104">
        <v>0</v>
      </c>
      <c r="I81" s="106">
        <f>SUMIF(合格品入货记录!E:E,日报!E81,合格品入货记录!G:G)</f>
        <v>392</v>
      </c>
      <c r="J81" s="112">
        <f>SUMIF(合格品出库记录!E:E,日报!E81,合格品出库记录!G:G)</f>
        <v>182</v>
      </c>
      <c r="K81" s="102">
        <f>H82+I81-J81+L81</f>
        <v>210</v>
      </c>
      <c r="L81" s="102">
        <f>SUMIF(不良品库存!D:D,E:E,不良品库存!F:F)</f>
        <v>0</v>
      </c>
      <c r="M81" s="113">
        <f>H82+I81-J81</f>
        <v>210</v>
      </c>
      <c r="N81" s="104"/>
      <c r="O81" s="104"/>
      <c r="P81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81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81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81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81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1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1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1" s="31">
        <f>IF(SUMIFS(合格品入货记录!$G:$G,合格品入货记录!$E:$E,日报!$E:$E,合格品入货记录!$A:$A,日报!W$3)&lt;&gt;0,SUMIFS(合格品入货记录!$G:$G,合格品入货记录!$E:$E,日报!$E:$E,合格品入货记录!$A:$A,日报!W$3),"")</f>
        <v>56</v>
      </c>
      <c r="X81" s="31">
        <f>IF(SUMIFS(合格品入货记录!$G:$G,合格品入货记录!$E:$E,日报!$E:$E,合格品入货记录!$A:$A,日报!X$3)&lt;&gt;0,SUMIFS(合格品入货记录!$G:$G,合格品入货记录!$E:$E,日报!$E:$E,合格品入货记录!$A:$A,日报!X$3),"")</f>
        <v>56</v>
      </c>
      <c r="Y81" s="31">
        <f>IF(SUMIFS(合格品入货记录!$G:$G,合格品入货记录!$E:$E,日报!$E:$E,合格品入货记录!$A:$A,日报!Y$3)&lt;&gt;0,SUMIFS(合格品入货记录!$G:$G,合格品入货记录!$E:$E,日报!$E:$E,合格品入货记录!$A:$A,日报!Y$3),"")</f>
        <v>112</v>
      </c>
      <c r="Z81" s="31">
        <f>IF(SUMIFS(合格品入货记录!$G:$G,合格品入货记录!$E:$E,日报!$E:$E,合格品入货记录!$A:$A,日报!Z$3)&lt;&gt;0,SUMIFS(合格品入货记录!$G:$G,合格品入货记录!$E:$E,日报!$E:$E,合格品入货记录!$A:$A,日报!Z$3),"")</f>
        <v>56</v>
      </c>
      <c r="AA81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112</v>
      </c>
      <c r="AB81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1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1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1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1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1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1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1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1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1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1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1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1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1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1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1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1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1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1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1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81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81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81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81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1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1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1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1" s="31">
        <f>IF(SUMIFS(合格品出库记录!$G:$G,合格品出库记录!$E:$E,日报!$E:$E,合格品出库记录!$A:$A,日报!BC$3)&lt;&gt;0,SUMIFS(合格品出库记录!$G:$G,合格品出库记录!$E:$E,日报!$E:$E,合格品出库记录!$A:$A,日报!BC$3),"")</f>
        <v>112</v>
      </c>
      <c r="BD81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1" s="31">
        <f>IF(SUMIFS(合格品出库记录!$G:$G,合格品出库记录!$E:$E,日报!$E:$E,合格品出库记录!$A:$A,日报!BE$3)&lt;&gt;0,SUMIFS(合格品出库记录!$G:$G,合格品出库记录!$E:$E,日报!$E:$E,合格品出库记录!$A:$A,日报!BE$3),"")</f>
        <v>70</v>
      </c>
      <c r="BF81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1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1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1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1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1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1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1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1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1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1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1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1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1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1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1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1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1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1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1" s="31"/>
      <c r="BZ81" s="126"/>
      <c r="CA81" s="126"/>
      <c r="CB81" s="125"/>
      <c r="CC81" s="125"/>
      <c r="CD81" s="130"/>
    </row>
    <row r="82" s="90" customFormat="1" customHeight="1" spans="1:82">
      <c r="A82" s="31">
        <v>80</v>
      </c>
      <c r="B82" s="104" t="s">
        <v>19</v>
      </c>
      <c r="C82" s="105" t="s">
        <v>20</v>
      </c>
      <c r="D82" s="32"/>
      <c r="E82" s="31" t="s">
        <v>255</v>
      </c>
      <c r="F82" s="105" t="s">
        <v>256</v>
      </c>
      <c r="G82" s="106"/>
      <c r="H82" s="104">
        <v>0</v>
      </c>
      <c r="I82" s="106">
        <f>SUMIF(合格品入货记录!E:E,日报!E82,合格品入货记录!G:G)</f>
        <v>28</v>
      </c>
      <c r="J82" s="112">
        <f>SUMIF(合格品出库记录!E:E,日报!E82,合格品出库记录!G:G)</f>
        <v>0</v>
      </c>
      <c r="K82" s="102">
        <f t="shared" ref="K82:K85" si="12">H83+I82-J82+L82</f>
        <v>28</v>
      </c>
      <c r="L82" s="102">
        <f>SUMIF(不良品库存!D:D,E:E,不良品库存!F:F)</f>
        <v>0</v>
      </c>
      <c r="M82" s="113">
        <f t="shared" ref="M82:M85" si="13">H83+I82-J82</f>
        <v>28</v>
      </c>
      <c r="N82" s="104"/>
      <c r="O82" s="104"/>
      <c r="P82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82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82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82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82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2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2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2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2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2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2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2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28</v>
      </c>
      <c r="AB82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2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2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2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2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2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2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2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2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2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2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2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2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2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2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2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2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2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2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2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82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82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82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82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2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2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2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2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2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2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2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2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2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2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2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2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2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2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2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2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2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2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2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2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2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2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2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2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2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2" s="31"/>
      <c r="BZ82" s="126"/>
      <c r="CA82" s="126"/>
      <c r="CB82" s="125"/>
      <c r="CC82" s="125"/>
      <c r="CD82" s="130"/>
    </row>
    <row r="83" s="90" customFormat="1" customHeight="1" spans="1:82">
      <c r="A83" s="31">
        <v>81</v>
      </c>
      <c r="B83" s="104" t="s">
        <v>19</v>
      </c>
      <c r="C83" s="105" t="s">
        <v>20</v>
      </c>
      <c r="D83" s="32"/>
      <c r="E83" s="31" t="s">
        <v>257</v>
      </c>
      <c r="F83" s="105" t="s">
        <v>258</v>
      </c>
      <c r="G83" s="106"/>
      <c r="H83" s="104">
        <v>0</v>
      </c>
      <c r="I83" s="106">
        <f>SUMIF(合格品入货记录!E:E,日报!E83,合格品入货记录!G:G)</f>
        <v>30</v>
      </c>
      <c r="J83" s="112">
        <f>SUMIF(合格品出库记录!E:E,日报!E83,合格品出库记录!G:G)</f>
        <v>0</v>
      </c>
      <c r="K83" s="102">
        <f t="shared" si="12"/>
        <v>30</v>
      </c>
      <c r="L83" s="102">
        <f>SUMIF(不良品库存!D:D,E:E,不良品库存!F:F)</f>
        <v>0</v>
      </c>
      <c r="M83" s="113">
        <f t="shared" si="13"/>
        <v>30</v>
      </c>
      <c r="N83" s="104"/>
      <c r="O83" s="104"/>
      <c r="P83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83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83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83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83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3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3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3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3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3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3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3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30</v>
      </c>
      <c r="AB83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3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3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3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3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3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3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3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3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3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3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3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3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3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3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3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3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3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3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3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83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83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83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83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3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3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3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3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3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3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3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3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3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3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3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3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3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3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3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3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3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3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3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3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3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3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3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3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3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3" s="31"/>
      <c r="BZ83" s="126"/>
      <c r="CA83" s="126"/>
      <c r="CB83" s="125"/>
      <c r="CC83" s="125"/>
      <c r="CD83" s="130"/>
    </row>
    <row r="84" s="90" customFormat="1" customHeight="1" spans="1:82">
      <c r="A84" s="31">
        <v>82</v>
      </c>
      <c r="B84" s="104" t="s">
        <v>19</v>
      </c>
      <c r="C84" s="105" t="s">
        <v>20</v>
      </c>
      <c r="D84" s="32"/>
      <c r="E84" s="31" t="s">
        <v>259</v>
      </c>
      <c r="F84" s="105" t="s">
        <v>260</v>
      </c>
      <c r="G84" s="106"/>
      <c r="H84" s="104">
        <v>0</v>
      </c>
      <c r="I84" s="106">
        <f>SUMIF(合格品入货记录!E:E,日报!E84,合格品入货记录!G:G)</f>
        <v>30</v>
      </c>
      <c r="J84" s="112">
        <f>SUMIF(合格品出库记录!E:E,日报!E84,合格品出库记录!G:G)</f>
        <v>0</v>
      </c>
      <c r="K84" s="102">
        <f t="shared" si="12"/>
        <v>30</v>
      </c>
      <c r="L84" s="102">
        <f>SUMIF(不良品库存!D:D,E:E,不良品库存!F:F)</f>
        <v>0</v>
      </c>
      <c r="M84" s="113">
        <f t="shared" si="13"/>
        <v>30</v>
      </c>
      <c r="N84" s="104"/>
      <c r="O84" s="104"/>
      <c r="P84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84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84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84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84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4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4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4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4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4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4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4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30</v>
      </c>
      <c r="AB84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4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4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4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4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4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4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4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4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4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4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4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4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4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4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4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4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4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4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4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84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84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84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84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4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4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4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4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4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4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4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4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4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4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4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4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4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4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4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4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4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4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4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4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4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4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4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4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4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4" s="31"/>
      <c r="BZ84" s="126"/>
      <c r="CA84" s="126"/>
      <c r="CB84" s="125"/>
      <c r="CC84" s="125"/>
      <c r="CD84" s="130"/>
    </row>
    <row r="85" s="90" customFormat="1" customHeight="1" spans="1:82">
      <c r="A85" s="31">
        <v>83</v>
      </c>
      <c r="B85" s="104" t="s">
        <v>19</v>
      </c>
      <c r="C85" s="105" t="s">
        <v>20</v>
      </c>
      <c r="D85" s="32"/>
      <c r="E85" s="31" t="s">
        <v>261</v>
      </c>
      <c r="F85" s="105" t="s">
        <v>262</v>
      </c>
      <c r="G85" s="106"/>
      <c r="H85" s="104">
        <v>0</v>
      </c>
      <c r="I85" s="106">
        <f>SUMIF(合格品入货记录!E:E,日报!E85,合格品入货记录!G:G)</f>
        <v>30</v>
      </c>
      <c r="J85" s="112">
        <f>SUMIF(合格品出库记录!E:E,日报!E85,合格品出库记录!G:G)</f>
        <v>0</v>
      </c>
      <c r="K85" s="102">
        <f t="shared" si="12"/>
        <v>30</v>
      </c>
      <c r="L85" s="102">
        <f>SUMIF(不良品库存!D:D,E:E,不良品库存!F:F)</f>
        <v>0</v>
      </c>
      <c r="M85" s="113">
        <f t="shared" si="13"/>
        <v>30</v>
      </c>
      <c r="N85" s="104"/>
      <c r="O85" s="104"/>
      <c r="P85" s="31" t="str">
        <f>IF(SUMIFS(合格品入货记录!$G:$G,合格品入货记录!$E:$E,日报!$E:$E,合格品入货记录!$A:$A,日报!P$3)&lt;&gt;0,SUMIFS(合格品入货记录!$G:$G,合格品入货记录!$E:$E,日报!$E:$E,合格品入货记录!$A:$A,日报!P$3),"")</f>
        <v/>
      </c>
      <c r="Q85" s="31" t="str">
        <f>IF(SUMIFS(合格品入货记录!$G:$G,合格品入货记录!$E:$E,日报!$E:$E,合格品入货记录!$A:$A,日报!Q$3)&lt;&gt;0,SUMIFS(合格品入货记录!$G:$G,合格品入货记录!$E:$E,日报!$E:$E,合格品入货记录!$A:$A,日报!Q$3),"")</f>
        <v/>
      </c>
      <c r="R85" s="31" t="str">
        <f>IF(SUMIFS(合格品入货记录!$G:$G,合格品入货记录!$E:$E,日报!$E:$E,合格品入货记录!$A:$A,日报!R$3)&lt;&gt;0,SUMIFS(合格品入货记录!$G:$G,合格品入货记录!$E:$E,日报!$E:$E,合格品入货记录!$A:$A,日报!R$3),"")</f>
        <v/>
      </c>
      <c r="S85" s="31" t="str">
        <f>IF(SUMIFS(合格品入货记录!$G:$G,合格品入货记录!$E:$E,日报!$E:$E,合格品入货记录!$A:$A,日报!S$3)&lt;&gt;0,SUMIFS(合格品入货记录!$G:$G,合格品入货记录!$E:$E,日报!$E:$E,合格品入货记录!$A:$A,日报!S$3),"")</f>
        <v/>
      </c>
      <c r="T85" s="31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85" s="31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85" s="31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85" s="31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85" s="31" t="str">
        <f>IF(SUMIFS(合格品入货记录!$G:$G,合格品入货记录!$E:$E,日报!$E:$E,合格品入货记录!$A:$A,日报!X$3)&lt;&gt;0,SUMIFS(合格品入货记录!$G:$G,合格品入货记录!$E:$E,日报!$E:$E,合格品入货记录!$A:$A,日报!X$3),"")</f>
        <v/>
      </c>
      <c r="Y85" s="31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85" s="31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85" s="31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30</v>
      </c>
      <c r="AB85" s="31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85" s="31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85" s="31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85" s="31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85" s="31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85" s="31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85" s="31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85" s="31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85" s="31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85" s="31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85" s="31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85" s="31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85" s="31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85" s="31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85" s="31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85" s="31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85" s="31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85" s="31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85" s="31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85" s="31" t="str">
        <f>IF(SUMIFS(合格品出库记录!$G:$G,合格品出库记录!$E:$E,日报!$E:$E,合格品出库记录!$A:$A,日报!AU$3)&lt;&gt;0,SUMIFS(合格品出库记录!$G:$G,合格品出库记录!$E:$E,日报!$E:$E,合格品出库记录!$A:$A,日报!AU$3),"")</f>
        <v/>
      </c>
      <c r="AV85" s="31" t="str">
        <f>IF(SUMIFS(合格品出库记录!$G:$G,合格品出库记录!$E:$E,日报!$E:$E,合格品出库记录!$A:$A,日报!AV$3)&lt;&gt;0,SUMIFS(合格品出库记录!$G:$G,合格品出库记录!$E:$E,日报!$E:$E,合格品出库记录!$A:$A,日报!AV$3),"")</f>
        <v/>
      </c>
      <c r="AW85" s="31" t="str">
        <f>IF(SUMIFS(合格品出库记录!$G:$G,合格品出库记录!$E:$E,日报!$E:$E,合格品出库记录!$A:$A,日报!AW$3)&lt;&gt;0,SUMIFS(合格品出库记录!$G:$G,合格品出库记录!$E:$E,日报!$E:$E,合格品出库记录!$A:$A,日报!AW$3),"")</f>
        <v/>
      </c>
      <c r="AX85" s="31" t="str">
        <f>IF(SUMIFS(合格品出库记录!$G:$G,合格品出库记录!$E:$E,日报!$E:$E,合格品出库记录!$A:$A,日报!AX$3)&lt;&gt;0,SUMIFS(合格品出库记录!$G:$G,合格品出库记录!$E:$E,日报!$E:$E,合格品出库记录!$A:$A,日报!AX$3),"")</f>
        <v/>
      </c>
      <c r="AY85" s="31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85" s="31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85" s="31" t="str">
        <f>IF(SUMIFS(合格品出库记录!$G:$G,合格品出库记录!$E:$E,日报!$E:$E,合格品出库记录!$A:$A,日报!BA$3)&lt;&gt;0,SUMIFS(合格品出库记录!$G:$G,合格品出库记录!$E:$E,日报!$E:$E,合格品出库记录!$A:$A,日报!BA$3),"")</f>
        <v/>
      </c>
      <c r="BB85" s="31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85" s="31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85" s="31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85" s="31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85" s="31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85" s="31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85" s="31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85" s="31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85" s="31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85" s="31" t="str">
        <f>IF(SUMIFS(合格品出库记录!$G:$G,合格品出库记录!$E:$E,日报!$E:$E,合格品出库记录!$A:$A,日报!BK$3)&lt;&gt;0,SUMIFS(合格品出库记录!$G:$G,合格品出库记录!$E:$E,日报!$E:$E,合格品出库记录!$A:$A,日报!BK$3),"")</f>
        <v/>
      </c>
      <c r="BL85" s="31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85" s="31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85" s="31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85" s="31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85" s="31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85" s="31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85" s="31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85" s="31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85" s="31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85" s="31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85" s="31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85" s="31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85" s="31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85" s="31"/>
      <c r="BZ85" s="126"/>
      <c r="CA85" s="126"/>
      <c r="CB85" s="125"/>
      <c r="CC85" s="125"/>
      <c r="CD85" s="130"/>
    </row>
  </sheetData>
  <sheetProtection selectLockedCells="1" selectUnlockedCells="1"/>
  <autoFilter xmlns:etc="http://www.wps.cn/officeDocument/2017/etCustomData" ref="A3:CD85" etc:filterBottomFollowUsedRange="0">
    <extLst/>
  </autoFilter>
  <mergeCells count="20">
    <mergeCell ref="A1:E1"/>
    <mergeCell ref="P1:AT1"/>
    <mergeCell ref="AU1:CA1"/>
    <mergeCell ref="P2:AT2"/>
    <mergeCell ref="AU2:BY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E10">
    <cfRule type="duplicateValues" dxfId="0" priority="85"/>
  </conditionalFormatting>
  <conditionalFormatting sqref="XDX10">
    <cfRule type="duplicateValues" dxfId="0" priority="84"/>
  </conditionalFormatting>
  <conditionalFormatting sqref="XEB10:XEF10">
    <cfRule type="cellIs" dxfId="1" priority="78" stopIfTrue="1" operator="equal">
      <formula>0</formula>
    </cfRule>
  </conditionalFormatting>
  <conditionalFormatting sqref="XEG10">
    <cfRule type="cellIs" dxfId="2" priority="74" operator="lessThan">
      <formula>100</formula>
    </cfRule>
    <cfRule type="cellIs" dxfId="3" priority="76" operator="greaterThan">
      <formula>170</formula>
    </cfRule>
  </conditionalFormatting>
  <conditionalFormatting sqref="E11">
    <cfRule type="duplicateValues" dxfId="0" priority="740"/>
  </conditionalFormatting>
  <conditionalFormatting sqref="E20">
    <cfRule type="duplicateValues" dxfId="0" priority="14424"/>
  </conditionalFormatting>
  <conditionalFormatting sqref="E21">
    <cfRule type="duplicateValues" dxfId="0" priority="729"/>
  </conditionalFormatting>
  <conditionalFormatting sqref="E24">
    <cfRule type="duplicateValues" dxfId="0" priority="726"/>
  </conditionalFormatting>
  <conditionalFormatting sqref="E33">
    <cfRule type="duplicateValues" dxfId="0" priority="721"/>
  </conditionalFormatting>
  <conditionalFormatting sqref="E36">
    <cfRule type="duplicateValues" dxfId="4" priority="88"/>
  </conditionalFormatting>
  <conditionalFormatting sqref="E37">
    <cfRule type="duplicateValues" dxfId="0" priority="719"/>
  </conditionalFormatting>
  <conditionalFormatting sqref="E40">
    <cfRule type="duplicateValues" dxfId="4" priority="87"/>
  </conditionalFormatting>
  <conditionalFormatting sqref="XDX40">
    <cfRule type="duplicateValues" dxfId="4" priority="86"/>
  </conditionalFormatting>
  <conditionalFormatting sqref="E41">
    <cfRule type="duplicateValues" dxfId="0" priority="717"/>
  </conditionalFormatting>
  <conditionalFormatting sqref="E42">
    <cfRule type="duplicateValues" dxfId="0" priority="716"/>
  </conditionalFormatting>
  <conditionalFormatting sqref="E71">
    <cfRule type="duplicateValues" dxfId="0" priority="23"/>
  </conditionalFormatting>
  <conditionalFormatting sqref="E2:E3">
    <cfRule type="duplicateValues" dxfId="0" priority="14414"/>
  </conditionalFormatting>
  <conditionalFormatting sqref="E4:E5">
    <cfRule type="duplicateValues" dxfId="0" priority="744"/>
  </conditionalFormatting>
  <conditionalFormatting sqref="E6:E7">
    <cfRule type="duplicateValues" dxfId="0" priority="743"/>
  </conditionalFormatting>
  <conditionalFormatting sqref="E8:E9">
    <cfRule type="duplicateValues" dxfId="0" priority="742"/>
  </conditionalFormatting>
  <conditionalFormatting sqref="E12:E13">
    <cfRule type="duplicateValues" dxfId="0" priority="739"/>
  </conditionalFormatting>
  <conditionalFormatting sqref="E14:E15">
    <cfRule type="duplicateValues" dxfId="0" priority="738"/>
  </conditionalFormatting>
  <conditionalFormatting sqref="E16:E17">
    <cfRule type="duplicateValues" dxfId="0" priority="737"/>
  </conditionalFormatting>
  <conditionalFormatting sqref="E18:E19">
    <cfRule type="duplicateValues" dxfId="0" priority="736"/>
  </conditionalFormatting>
  <conditionalFormatting sqref="E22:E23">
    <cfRule type="duplicateValues" dxfId="0" priority="728"/>
  </conditionalFormatting>
  <conditionalFormatting sqref="E25:E26">
    <cfRule type="duplicateValues" dxfId="0" priority="725"/>
  </conditionalFormatting>
  <conditionalFormatting sqref="E27:E28">
    <cfRule type="duplicateValues" dxfId="0" priority="724"/>
  </conditionalFormatting>
  <conditionalFormatting sqref="E29:E30">
    <cfRule type="duplicateValues" dxfId="0" priority="723"/>
  </conditionalFormatting>
  <conditionalFormatting sqref="E31:E32">
    <cfRule type="duplicateValues" dxfId="0" priority="722"/>
  </conditionalFormatting>
  <conditionalFormatting sqref="E34:E35">
    <cfRule type="duplicateValues" dxfId="0" priority="720"/>
  </conditionalFormatting>
  <conditionalFormatting sqref="E38:E39">
    <cfRule type="duplicateValues" dxfId="0" priority="718"/>
  </conditionalFormatting>
  <conditionalFormatting sqref="E43:E44">
    <cfRule type="duplicateValues" dxfId="0" priority="707"/>
  </conditionalFormatting>
  <conditionalFormatting sqref="E45:E46">
    <cfRule type="duplicateValues" dxfId="0" priority="706"/>
  </conditionalFormatting>
  <conditionalFormatting sqref="E47:E49">
    <cfRule type="duplicateValues" dxfId="0" priority="14417"/>
  </conditionalFormatting>
  <conditionalFormatting sqref="E50:E51">
    <cfRule type="duplicateValues" dxfId="0" priority="57"/>
  </conditionalFormatting>
  <conditionalFormatting sqref="E52:E56">
    <cfRule type="duplicateValues" dxfId="0" priority="49"/>
  </conditionalFormatting>
  <conditionalFormatting sqref="E57:E62">
    <cfRule type="duplicateValues" dxfId="0" priority="47"/>
  </conditionalFormatting>
  <conditionalFormatting sqref="E63:E67">
    <cfRule type="duplicateValues" dxfId="0" priority="34"/>
  </conditionalFormatting>
  <conditionalFormatting sqref="E68:E77">
    <cfRule type="duplicateValues" dxfId="0" priority="28"/>
  </conditionalFormatting>
  <conditionalFormatting sqref="E78:E85">
    <cfRule type="duplicateValues" dxfId="0" priority="12"/>
  </conditionalFormatting>
  <conditionalFormatting sqref="M4:M62">
    <cfRule type="cellIs" dxfId="2" priority="53" operator="lessThan">
      <formula>100</formula>
    </cfRule>
    <cfRule type="cellIs" dxfId="3" priority="54" operator="greaterThan">
      <formula>170</formula>
    </cfRule>
  </conditionalFormatting>
  <conditionalFormatting sqref="M63:M67">
    <cfRule type="cellIs" dxfId="2" priority="36" operator="lessThan">
      <formula>100</formula>
    </cfRule>
    <cfRule type="cellIs" dxfId="3" priority="37" operator="greaterThan">
      <formula>170</formula>
    </cfRule>
  </conditionalFormatting>
  <conditionalFormatting sqref="M68:M77">
    <cfRule type="cellIs" dxfId="2" priority="30" operator="lessThan">
      <formula>100</formula>
    </cfRule>
    <cfRule type="cellIs" dxfId="3" priority="31" operator="greaterThan">
      <formula>170</formula>
    </cfRule>
  </conditionalFormatting>
  <conditionalFormatting sqref="M71:M77">
    <cfRule type="cellIs" dxfId="2" priority="25" operator="lessThan">
      <formula>100</formula>
    </cfRule>
    <cfRule type="cellIs" dxfId="3" priority="26" operator="greaterThan">
      <formula>170</formula>
    </cfRule>
  </conditionalFormatting>
  <conditionalFormatting sqref="M78:M85">
    <cfRule type="cellIs" dxfId="2" priority="13" operator="lessThan">
      <formula>100</formula>
    </cfRule>
    <cfRule type="cellIs" dxfId="3" priority="14" operator="greaterThan">
      <formula>170</formula>
    </cfRule>
    <cfRule type="cellIs" dxfId="2" priority="9" operator="lessThan">
      <formula>100</formula>
    </cfRule>
    <cfRule type="cellIs" dxfId="3" priority="10" operator="greaterThan">
      <formula>170</formula>
    </cfRule>
  </conditionalFormatting>
  <conditionalFormatting sqref="I4:L4 I5:J77">
    <cfRule type="cellIs" dxfId="1" priority="534" stopIfTrue="1" operator="equal">
      <formula>0</formula>
    </cfRule>
  </conditionalFormatting>
  <conditionalFormatting sqref="K5:L62">
    <cfRule type="cellIs" dxfId="1" priority="55" stopIfTrue="1" operator="equal">
      <formula>0</formula>
    </cfRule>
  </conditionalFormatting>
  <conditionalFormatting sqref="K63:L67">
    <cfRule type="cellIs" dxfId="1" priority="38" stopIfTrue="1" operator="equal">
      <formula>0</formula>
    </cfRule>
  </conditionalFormatting>
  <conditionalFormatting sqref="K68:L77">
    <cfRule type="cellIs" dxfId="1" priority="32" stopIfTrue="1" operator="equal">
      <formula>0</formula>
    </cfRule>
  </conditionalFormatting>
  <conditionalFormatting sqref="K71:L77">
    <cfRule type="cellIs" dxfId="1" priority="27" stopIfTrue="1" operator="equal">
      <formula>0</formula>
    </cfRule>
  </conditionalFormatting>
  <conditionalFormatting sqref="I78:J85">
    <cfRule type="cellIs" dxfId="1" priority="16" stopIfTrue="1" operator="equal">
      <formula>0</formula>
    </cfRule>
  </conditionalFormatting>
  <conditionalFormatting sqref="K78:L85">
    <cfRule type="cellIs" dxfId="1" priority="15" stopIfTrue="1" operator="equal">
      <formula>0</formula>
    </cfRule>
    <cfRule type="cellIs" dxfId="1" priority="11" stopIfTrue="1" operator="equal">
      <formula>0</formula>
    </cfRule>
  </conditionalFormatting>
  <pageMargins left="0.708244776162576" right="0.708244776162576" top="0.747823152016467" bottom="0.747823152016467" header="0.315238382872634" footer="0.315238382872634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C000"/>
  </sheetPr>
  <dimension ref="A1:CD60"/>
  <sheetViews>
    <sheetView showGridLines="0" zoomScale="85" zoomScaleNormal="85" workbookViewId="0">
      <pane xSplit="2" ySplit="3" topLeftCell="C37" activePane="bottomRight" state="frozen"/>
      <selection/>
      <selection pane="topRight"/>
      <selection pane="bottomLeft"/>
      <selection pane="bottomRight" activeCell="E4" sqref="E$1:E$1048576"/>
    </sheetView>
  </sheetViews>
  <sheetFormatPr defaultColWidth="9" defaultRowHeight="18" customHeight="1"/>
  <cols>
    <col min="1" max="1" width="7.66666666666667" customWidth="1"/>
    <col min="2" max="2" width="6.775" customWidth="1"/>
    <col min="3" max="3" width="39.4416666666667" customWidth="1"/>
    <col min="4" max="4" width="20" customWidth="1"/>
    <col min="5" max="5" width="29.6666666666667" customWidth="1"/>
    <col min="6" max="6" width="44.5583333333333" customWidth="1"/>
    <col min="7" max="7" width="11.4416666666667" customWidth="1"/>
    <col min="8" max="8" width="8.44166666666667" customWidth="1"/>
    <col min="9" max="9" width="9.10833333333333" customWidth="1"/>
    <col min="10" max="10" width="9.66666666666667" customWidth="1"/>
    <col min="11" max="11" width="11.1083333333333" customWidth="1"/>
    <col min="12" max="12" width="6.66666666666667" customWidth="1"/>
    <col min="13" max="13" width="14.8833333333333" customWidth="1"/>
    <col min="14" max="14" width="10" customWidth="1"/>
    <col min="15" max="15" width="7.33333333333333" customWidth="1"/>
    <col min="16" max="24" width="15.4416666666667" customWidth="1"/>
    <col min="25" max="45" width="17" customWidth="1"/>
    <col min="46" max="46" width="12.8833333333333" customWidth="1"/>
    <col min="47" max="55" width="15.4416666666667" customWidth="1"/>
    <col min="56" max="77" width="17" customWidth="1"/>
    <col min="78" max="78" width="14.2166666666667" customWidth="1"/>
    <col min="79" max="79" width="14.6666666666667" customWidth="1"/>
    <col min="80" max="80" width="16.1083333333333" customWidth="1"/>
  </cols>
  <sheetData>
    <row r="1" s="87" customFormat="1" ht="25.05" customHeight="1" spans="1:82">
      <c r="A1" s="91">
        <v>46143</v>
      </c>
      <c r="B1" s="91"/>
      <c r="C1" s="92"/>
      <c r="D1" s="92"/>
      <c r="E1" s="93"/>
      <c r="F1" s="94" t="s">
        <v>0</v>
      </c>
      <c r="G1" s="95"/>
      <c r="H1" s="95"/>
      <c r="I1" s="95"/>
      <c r="J1" s="95"/>
      <c r="K1" s="95"/>
      <c r="L1" s="95"/>
      <c r="M1" s="95"/>
      <c r="N1" s="95"/>
      <c r="O1" s="95"/>
      <c r="P1" s="107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6"/>
      <c r="AU1" s="107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6"/>
      <c r="CB1" s="118"/>
      <c r="CC1" s="118"/>
      <c r="CD1" s="127"/>
    </row>
    <row r="2" s="88" customFormat="1" customHeight="1" spans="1:82">
      <c r="A2" s="95" t="s">
        <v>1</v>
      </c>
      <c r="B2" s="96" t="s">
        <v>2</v>
      </c>
      <c r="C2" s="97" t="s">
        <v>3</v>
      </c>
      <c r="D2" s="95" t="s">
        <v>4</v>
      </c>
      <c r="E2" s="95" t="s">
        <v>5</v>
      </c>
      <c r="F2" s="98" t="s">
        <v>6</v>
      </c>
      <c r="G2" s="99" t="s">
        <v>7</v>
      </c>
      <c r="H2" s="100" t="s">
        <v>8</v>
      </c>
      <c r="I2" s="95" t="s">
        <v>9</v>
      </c>
      <c r="J2" s="95" t="s">
        <v>10</v>
      </c>
      <c r="K2" s="100" t="s">
        <v>11</v>
      </c>
      <c r="L2" s="100" t="s">
        <v>12</v>
      </c>
      <c r="M2" s="100" t="s">
        <v>13</v>
      </c>
      <c r="N2" s="100" t="s">
        <v>14</v>
      </c>
      <c r="O2" s="108" t="s">
        <v>15</v>
      </c>
      <c r="P2" s="109" t="s">
        <v>16</v>
      </c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7"/>
      <c r="AU2" s="95" t="s">
        <v>17</v>
      </c>
      <c r="AV2" s="95"/>
      <c r="AW2" s="95"/>
      <c r="AX2" s="95"/>
      <c r="AY2" s="95"/>
      <c r="AZ2" s="95"/>
      <c r="BA2" s="95"/>
      <c r="BB2" s="95"/>
      <c r="BC2" s="95"/>
      <c r="BD2" s="95"/>
      <c r="BE2" s="95"/>
      <c r="BF2" s="95"/>
      <c r="BG2" s="95"/>
      <c r="BH2" s="95"/>
      <c r="BI2" s="95"/>
      <c r="BJ2" s="95"/>
      <c r="BK2" s="95"/>
      <c r="BL2" s="95"/>
      <c r="BM2" s="95"/>
      <c r="BN2" s="95"/>
      <c r="BO2" s="95"/>
      <c r="BP2" s="95"/>
      <c r="BQ2" s="95"/>
      <c r="BR2" s="95"/>
      <c r="BS2" s="95"/>
      <c r="BT2" s="95"/>
      <c r="BU2" s="95"/>
      <c r="BV2" s="95"/>
      <c r="BW2" s="95"/>
      <c r="BX2" s="95"/>
      <c r="BY2" s="119"/>
      <c r="BZ2" s="119"/>
      <c r="CA2" s="119"/>
      <c r="CB2" s="120"/>
      <c r="CC2" s="120"/>
      <c r="CD2" s="128"/>
    </row>
    <row r="3" s="89" customFormat="1" ht="19.95" customHeight="1" spans="1:82">
      <c r="A3" s="95"/>
      <c r="B3" s="101"/>
      <c r="C3" s="97"/>
      <c r="D3" s="95"/>
      <c r="E3" s="95"/>
      <c r="F3" s="98"/>
      <c r="G3" s="99"/>
      <c r="H3" s="100"/>
      <c r="I3" s="95"/>
      <c r="J3" s="95"/>
      <c r="K3" s="100"/>
      <c r="L3" s="100"/>
      <c r="M3" s="100"/>
      <c r="N3" s="100"/>
      <c r="O3" s="110"/>
      <c r="P3" s="111">
        <v>46143</v>
      </c>
      <c r="Q3" s="111">
        <v>46144</v>
      </c>
      <c r="R3" s="111">
        <v>46145</v>
      </c>
      <c r="S3" s="111">
        <v>46146</v>
      </c>
      <c r="T3" s="111">
        <v>46147</v>
      </c>
      <c r="U3" s="111">
        <v>46148</v>
      </c>
      <c r="V3" s="111">
        <v>46149</v>
      </c>
      <c r="W3" s="111">
        <v>46150</v>
      </c>
      <c r="X3" s="111">
        <v>46151</v>
      </c>
      <c r="Y3" s="111">
        <v>46152</v>
      </c>
      <c r="Z3" s="111">
        <v>46153</v>
      </c>
      <c r="AA3" s="111">
        <v>46154</v>
      </c>
      <c r="AB3" s="111">
        <v>46155</v>
      </c>
      <c r="AC3" s="111">
        <v>46156</v>
      </c>
      <c r="AD3" s="111">
        <v>46157</v>
      </c>
      <c r="AE3" s="111">
        <v>46158</v>
      </c>
      <c r="AF3" s="111">
        <v>46159</v>
      </c>
      <c r="AG3" s="111">
        <v>46160</v>
      </c>
      <c r="AH3" s="111">
        <v>46161</v>
      </c>
      <c r="AI3" s="111">
        <v>46162</v>
      </c>
      <c r="AJ3" s="111">
        <v>46163</v>
      </c>
      <c r="AK3" s="111">
        <v>46164</v>
      </c>
      <c r="AL3" s="111">
        <v>46165</v>
      </c>
      <c r="AM3" s="111">
        <v>46166</v>
      </c>
      <c r="AN3" s="111">
        <v>46167</v>
      </c>
      <c r="AO3" s="111">
        <v>46168</v>
      </c>
      <c r="AP3" s="111">
        <v>46169</v>
      </c>
      <c r="AQ3" s="111">
        <v>46170</v>
      </c>
      <c r="AR3" s="111">
        <v>46171</v>
      </c>
      <c r="AS3" s="111">
        <v>46172</v>
      </c>
      <c r="AT3" s="111">
        <v>46173</v>
      </c>
      <c r="AU3" s="111">
        <v>46143</v>
      </c>
      <c r="AV3" s="111">
        <v>46144</v>
      </c>
      <c r="AW3" s="111">
        <v>46145</v>
      </c>
      <c r="AX3" s="111">
        <v>46146</v>
      </c>
      <c r="AY3" s="111">
        <v>46147</v>
      </c>
      <c r="AZ3" s="111">
        <v>46148</v>
      </c>
      <c r="BA3" s="111">
        <v>46149</v>
      </c>
      <c r="BB3" s="111">
        <v>46150</v>
      </c>
      <c r="BC3" s="111">
        <v>46151</v>
      </c>
      <c r="BD3" s="111">
        <v>46152</v>
      </c>
      <c r="BE3" s="111">
        <v>46153</v>
      </c>
      <c r="BF3" s="111">
        <v>46154</v>
      </c>
      <c r="BG3" s="111">
        <v>46155</v>
      </c>
      <c r="BH3" s="111">
        <v>46156</v>
      </c>
      <c r="BI3" s="111">
        <v>46157</v>
      </c>
      <c r="BJ3" s="111">
        <v>46158</v>
      </c>
      <c r="BK3" s="111">
        <v>46159</v>
      </c>
      <c r="BL3" s="111">
        <v>46160</v>
      </c>
      <c r="BM3" s="111">
        <v>46161</v>
      </c>
      <c r="BN3" s="111">
        <v>46162</v>
      </c>
      <c r="BO3" s="111">
        <v>46163</v>
      </c>
      <c r="BP3" s="111">
        <v>46164</v>
      </c>
      <c r="BQ3" s="111">
        <v>46165</v>
      </c>
      <c r="BR3" s="111">
        <v>46166</v>
      </c>
      <c r="BS3" s="111">
        <v>46167</v>
      </c>
      <c r="BT3" s="111">
        <v>46168</v>
      </c>
      <c r="BU3" s="111">
        <v>46169</v>
      </c>
      <c r="BV3" s="111">
        <v>46170</v>
      </c>
      <c r="BW3" s="111">
        <v>46171</v>
      </c>
      <c r="BX3" s="111">
        <v>46172</v>
      </c>
      <c r="BY3" s="111">
        <v>46173</v>
      </c>
      <c r="BZ3" s="121"/>
      <c r="CA3" s="121"/>
      <c r="CB3" s="122" t="s">
        <v>18</v>
      </c>
      <c r="CC3" s="122"/>
      <c r="CD3" s="129"/>
    </row>
    <row r="4" customHeight="1" spans="1:82">
      <c r="A4" s="31">
        <v>1</v>
      </c>
      <c r="B4" s="102" t="s">
        <v>19</v>
      </c>
      <c r="C4" s="103" t="s">
        <v>20</v>
      </c>
      <c r="D4" s="32" t="s">
        <v>263</v>
      </c>
      <c r="E4" s="32" t="s">
        <v>264</v>
      </c>
      <c r="F4" s="103" t="s">
        <v>265</v>
      </c>
      <c r="G4" s="32"/>
      <c r="H4" s="32">
        <v>22</v>
      </c>
      <c r="I4" s="112">
        <f>SUMIF(合格品入货记录!E:E,样品!E4,合格品入货记录!G:G)</f>
        <v>0</v>
      </c>
      <c r="J4" s="112">
        <f>SUMIF(合格品出库记录!E:E,样品!E4,合格品出库记录!G:G)</f>
        <v>0</v>
      </c>
      <c r="K4" s="102">
        <f t="shared" ref="K4:K35" si="0">H4+I4-J4+L4</f>
        <v>22</v>
      </c>
      <c r="L4" s="102">
        <f>SUMIF(不良品库存!D:D,E4:E43,不良品库存!F:F)</f>
        <v>0</v>
      </c>
      <c r="M4" s="113">
        <f t="shared" ref="M4:M35" si="1">H4+I4-J4</f>
        <v>22</v>
      </c>
      <c r="N4" s="102"/>
      <c r="O4" s="102"/>
      <c r="P4" s="32">
        <f>IFERROR(SUMIFS(合格品入货记录!$G:$G,合格品入货记录!$A:$A,样品!P$3,合格品入货记录!$E:$E,样品!$E4)," ")</f>
        <v>0</v>
      </c>
      <c r="Q4" s="32">
        <f>SUMIFS(合格品入货记录!$G:$G,合格品入货记录!$A:$A,样品!Q$3,合格品入货记录!$E:$E,样品!$E4)</f>
        <v>0</v>
      </c>
      <c r="R4" s="32">
        <f>SUMIFS(合格品入货记录!$G:$G,合格品入货记录!$A:$A,样品!R$3,合格品入货记录!$E:$E,样品!$E4)</f>
        <v>0</v>
      </c>
      <c r="S4" s="32">
        <f>SUMIFS(合格品入货记录!$G:$G,合格品入货记录!$A:$A,样品!S$3,合格品入货记录!$E:$E,样品!$E4)</f>
        <v>0</v>
      </c>
      <c r="T4" s="32">
        <f>SUMIFS(合格品入货记录!$G:$G,合格品入货记录!$A:$A,样品!T$3,合格品入货记录!$E:$E,样品!$E4)</f>
        <v>0</v>
      </c>
      <c r="U4" s="32">
        <f>SUMIFS(合格品入货记录!$G:$G,合格品入货记录!$A:$A,样品!U$3,合格品入货记录!$E:$E,样品!$E4)</f>
        <v>0</v>
      </c>
      <c r="V4" s="32">
        <f>SUMIFS(合格品入货记录!$G:$G,合格品入货记录!$A:$A,样品!V$3,合格品入货记录!$E:$E,样品!$E4)</f>
        <v>0</v>
      </c>
      <c r="W4" s="32">
        <f>SUMIFS(合格品入货记录!$G:$G,合格品入货记录!$A:$A,样品!W$3,合格品入货记录!$E:$E,样品!$E4)</f>
        <v>0</v>
      </c>
      <c r="X4" s="32">
        <f>SUMIFS(合格品入货记录!$G:$G,合格品入货记录!$A:$A,样品!X$3,合格品入货记录!$E:$E,样品!$E4)</f>
        <v>0</v>
      </c>
      <c r="Y4" s="32">
        <f>SUMIFS(合格品入货记录!$G:$G,合格品入货记录!$A:$A,样品!Y$3,合格品入货记录!$E:$E,样品!$E4)</f>
        <v>0</v>
      </c>
      <c r="Z4" s="32">
        <f>SUMIFS(合格品入货记录!$G:$G,合格品入货记录!$A:$A,样品!Z$3,合格品入货记录!$E:$E,样品!$E4)</f>
        <v>0</v>
      </c>
      <c r="AA4" s="32">
        <f>SUMIFS(合格品入货记录!$G:$G,合格品入货记录!$A:$A,样品!AA$3,合格品入货记录!$E:$E,样品!$E4)</f>
        <v>0</v>
      </c>
      <c r="AB4" s="32">
        <f>SUMIFS(合格品入货记录!$G:$G,合格品入货记录!$A:$A,样品!AB$3,合格品入货记录!$E:$E,样品!$E4)</f>
        <v>0</v>
      </c>
      <c r="AC4" s="32">
        <f>SUMIFS(合格品入货记录!$G:$G,合格品入货记录!$A:$A,样品!AC$3,合格品入货记录!$E:$E,样品!$E4)</f>
        <v>0</v>
      </c>
      <c r="AD4" s="32">
        <f>SUMIFS(合格品入货记录!$G:$G,合格品入货记录!$A:$A,样品!AD$3,合格品入货记录!$E:$E,样品!$E4)</f>
        <v>0</v>
      </c>
      <c r="AE4" s="32">
        <f>SUMIFS(合格品入货记录!$G:$G,合格品入货记录!$A:$A,样品!AE$3,合格品入货记录!$E:$E,样品!$E4)</f>
        <v>0</v>
      </c>
      <c r="AF4" s="32">
        <f>SUMIFS(合格品入货记录!$G:$G,合格品入货记录!$A:$A,样品!AF$3,合格品入货记录!$E:$E,样品!$E4)</f>
        <v>0</v>
      </c>
      <c r="AG4" s="32">
        <f>SUMIFS(合格品入货记录!$G:$G,合格品入货记录!$A:$A,样品!AG$3,合格品入货记录!$E:$E,样品!$E4)</f>
        <v>0</v>
      </c>
      <c r="AH4" s="32">
        <f>SUMIFS(合格品入货记录!$G:$G,合格品入货记录!$A:$A,样品!AH$3,合格品入货记录!$E:$E,样品!$E4)</f>
        <v>0</v>
      </c>
      <c r="AI4" s="32">
        <f>SUMIFS(合格品入货记录!$G:$G,合格品入货记录!$A:$A,样品!AI$3,合格品入货记录!$E:$E,样品!$E4)</f>
        <v>0</v>
      </c>
      <c r="AJ4" s="32">
        <f>SUMIFS(合格品入货记录!$G:$G,合格品入货记录!$A:$A,样品!AJ$3,合格品入货记录!$E:$E,样品!$E4)</f>
        <v>0</v>
      </c>
      <c r="AK4" s="32">
        <f>SUMIFS(合格品入货记录!$G:$G,合格品入货记录!$A:$A,样品!AK$3,合格品入货记录!$E:$E,样品!$E4)</f>
        <v>0</v>
      </c>
      <c r="AL4" s="32">
        <f>SUMIFS(合格品入货记录!$G:$G,合格品入货记录!$A:$A,样品!AL$3,合格品入货记录!$E:$E,样品!$E4)</f>
        <v>0</v>
      </c>
      <c r="AM4" s="32">
        <f>SUMIFS(合格品入货记录!$G:$G,合格品入货记录!$A:$A,样品!AM$3,合格品入货记录!$E:$E,样品!$E4)</f>
        <v>0</v>
      </c>
      <c r="AN4" s="32">
        <f>SUMIFS(合格品入货记录!$G:$G,合格品入货记录!$A:$A,样品!AN$3,合格品入货记录!$E:$E,样品!$E4)</f>
        <v>0</v>
      </c>
      <c r="AO4" s="32">
        <f>SUMIFS(合格品入货记录!$G:$G,合格品入货记录!$A:$A,样品!AO$3,合格品入货记录!$E:$E,样品!$E4)</f>
        <v>0</v>
      </c>
      <c r="AP4" s="32">
        <f>SUMIFS(合格品入货记录!$G:$G,合格品入货记录!$A:$A,样品!AP$3,合格品入货记录!$E:$E,样品!$E4)</f>
        <v>0</v>
      </c>
      <c r="AQ4" s="32">
        <f>SUMIFS(合格品入货记录!$G:$G,合格品入货记录!$A:$A,样品!AQ$3,合格品入货记录!$E:$E,样品!$E4)</f>
        <v>0</v>
      </c>
      <c r="AR4" s="32">
        <f>SUMIFS(合格品入货记录!$G:$G,合格品入货记录!$A:$A,样品!AR$3,合格品入货记录!$E:$E,样品!$E4)</f>
        <v>0</v>
      </c>
      <c r="AS4" s="32">
        <f>SUMIFS(合格品入货记录!$G:$G,合格品入货记录!$A:$A,样品!AS$3,合格品入货记录!$E:$E,样品!$E4)</f>
        <v>0</v>
      </c>
      <c r="AT4" s="32">
        <f>SUMIFS(合格品入货记录!$G:$G,合格品入货记录!$A:$A,样品!AT$3,合格品入货记录!$E:$E,样品!$E4)</f>
        <v>0</v>
      </c>
      <c r="AU4" s="32">
        <f>SUMIFS(合格品入货记录!$G:$G,合格品入货记录!$A:$A,样品!AU$3,合格品入货记录!$E:$E,样品!$E4)</f>
        <v>0</v>
      </c>
      <c r="AV4" s="32">
        <f>SUMIFS(合格品入货记录!$G:$G,合格品入货记录!$A:$A,样品!AV$3,合格品入货记录!$E:$E,样品!$E4)</f>
        <v>0</v>
      </c>
      <c r="AW4" s="32">
        <f>SUMIFS(合格品入货记录!$G:$G,合格品入货记录!$A:$A,样品!AW$3,合格品入货记录!$E:$E,样品!$E4)</f>
        <v>0</v>
      </c>
      <c r="AX4" s="32">
        <f>SUMIFS(合格品入货记录!$G:$G,合格品入货记录!$A:$A,样品!AX$3,合格品入货记录!$E:$E,样品!$E4)</f>
        <v>0</v>
      </c>
      <c r="AY4" s="32">
        <f>SUMIFS(合格品入货记录!$G:$G,合格品入货记录!$A:$A,样品!AY$3,合格品入货记录!$E:$E,样品!$E4)</f>
        <v>0</v>
      </c>
      <c r="AZ4" s="32">
        <f>SUMIFS(合格品入货记录!$G:$G,合格品入货记录!$A:$A,样品!AZ$3,合格品入货记录!$E:$E,样品!$E4)</f>
        <v>0</v>
      </c>
      <c r="BA4" s="32">
        <f>SUMIFS(合格品入货记录!$G:$G,合格品入货记录!$A:$A,样品!BA$3,合格品入货记录!$E:$E,样品!$E4)</f>
        <v>0</v>
      </c>
      <c r="BB4" s="32">
        <f>SUMIFS(合格品入货记录!$G:$G,合格品入货记录!$A:$A,样品!BB$3,合格品入货记录!$E:$E,样品!$E4)</f>
        <v>0</v>
      </c>
      <c r="BC4" s="32">
        <f>SUMIFS(合格品入货记录!$G:$G,合格品入货记录!$A:$A,样品!BC$3,合格品入货记录!$E:$E,样品!$E4)</f>
        <v>0</v>
      </c>
      <c r="BD4" s="32">
        <f>SUMIFS(合格品入货记录!$G:$G,合格品入货记录!$A:$A,样品!BD$3,合格品入货记录!$E:$E,样品!$E4)</f>
        <v>0</v>
      </c>
      <c r="BE4" s="32">
        <f>SUMIFS(合格品入货记录!$G:$G,合格品入货记录!$A:$A,样品!BE$3,合格品入货记录!$E:$E,样品!$E4)</f>
        <v>0</v>
      </c>
      <c r="BF4" s="32">
        <f>SUMIFS(合格品入货记录!$G:$G,合格品入货记录!$A:$A,样品!BF$3,合格品入货记录!$E:$E,样品!$E4)</f>
        <v>0</v>
      </c>
      <c r="BG4" s="32">
        <f>SUMIFS(合格品入货记录!$G:$G,合格品入货记录!$A:$A,样品!BG$3,合格品入货记录!$E:$E,样品!$E4)</f>
        <v>0</v>
      </c>
      <c r="BH4" s="32">
        <f>SUMIFS(合格品入货记录!$G:$G,合格品入货记录!$A:$A,样品!BH$3,合格品入货记录!$E:$E,样品!$E4)</f>
        <v>0</v>
      </c>
      <c r="BI4" s="32">
        <f>SUMIFS(合格品入货记录!$G:$G,合格品入货记录!$A:$A,样品!BI$3,合格品入货记录!$E:$E,样品!$E4)</f>
        <v>0</v>
      </c>
      <c r="BJ4" s="32">
        <f>SUMIFS(合格品入货记录!$G:$G,合格品入货记录!$A:$A,样品!BJ$3,合格品入货记录!$E:$E,样品!$E4)</f>
        <v>0</v>
      </c>
      <c r="BK4" s="32">
        <f>SUMIFS(合格品入货记录!$G:$G,合格品入货记录!$A:$A,样品!BK$3,合格品入货记录!$E:$E,样品!$E4)</f>
        <v>0</v>
      </c>
      <c r="BL4" s="32">
        <f>SUMIFS(合格品入货记录!$G:$G,合格品入货记录!$A:$A,样品!BL$3,合格品入货记录!$E:$E,样品!$E4)</f>
        <v>0</v>
      </c>
      <c r="BM4" s="32">
        <f>SUMIFS(合格品入货记录!$G:$G,合格品入货记录!$A:$A,样品!BM$3,合格品入货记录!$E:$E,样品!$E4)</f>
        <v>0</v>
      </c>
      <c r="BN4" s="32">
        <f>SUMIFS(合格品入货记录!$G:$G,合格品入货记录!$A:$A,样品!BN$3,合格品入货记录!$E:$E,样品!$E4)</f>
        <v>0</v>
      </c>
      <c r="BO4" s="32">
        <f>SUMIFS(合格品入货记录!$G:$G,合格品入货记录!$A:$A,样品!BO$3,合格品入货记录!$E:$E,样品!$E4)</f>
        <v>0</v>
      </c>
      <c r="BP4" s="32">
        <f>SUMIFS(合格品入货记录!$G:$G,合格品入货记录!$A:$A,样品!BP$3,合格品入货记录!$E:$E,样品!$E4)</f>
        <v>0</v>
      </c>
      <c r="BQ4" s="32">
        <f>SUMIFS(合格品入货记录!$G:$G,合格品入货记录!$A:$A,样品!BQ$3,合格品入货记录!$E:$E,样品!$E4)</f>
        <v>0</v>
      </c>
      <c r="BR4" s="32">
        <f>SUMIFS(合格品入货记录!$G:$G,合格品入货记录!$A:$A,样品!BR$3,合格品入货记录!$E:$E,样品!$E4)</f>
        <v>0</v>
      </c>
      <c r="BS4" s="32">
        <f>SUMIFS(合格品入货记录!$G:$G,合格品入货记录!$A:$A,样品!BS$3,合格品入货记录!$E:$E,样品!$E4)</f>
        <v>0</v>
      </c>
      <c r="BT4" s="32">
        <f>SUMIFS(合格品入货记录!$G:$G,合格品入货记录!$A:$A,样品!BT$3,合格品入货记录!$E:$E,样品!$E4)</f>
        <v>0</v>
      </c>
      <c r="BU4" s="32">
        <f>SUMIFS(合格品入货记录!$G:$G,合格品入货记录!$A:$A,样品!BU$3,合格品入货记录!$E:$E,样品!$E4)</f>
        <v>0</v>
      </c>
      <c r="BV4" s="32">
        <f>SUMIFS(合格品入货记录!$G:$G,合格品入货记录!$A:$A,样品!BV$3,合格品入货记录!$E:$E,样品!$E4)</f>
        <v>0</v>
      </c>
      <c r="BW4" s="32">
        <f>SUMIFS(合格品入货记录!$G:$G,合格品入货记录!$A:$A,样品!BW$3,合格品入货记录!$E:$E,样品!$E4)</f>
        <v>0</v>
      </c>
      <c r="BX4" s="32">
        <f>SUMIFS(合格品入货记录!$G:$G,合格品入货记录!$A:$A,样品!BX$3,合格品入货记录!$E:$E,样品!$E4)</f>
        <v>0</v>
      </c>
      <c r="BY4" s="32">
        <f>SUMIFS(合格品入货记录!$G:$G,合格品入货记录!$A:$A,样品!BY$3,合格品入货记录!$E:$E,样品!$E4)</f>
        <v>0</v>
      </c>
      <c r="BZ4" s="123"/>
      <c r="CA4" s="123"/>
      <c r="CD4" s="90"/>
    </row>
    <row r="5" customHeight="1" spans="1:82">
      <c r="A5" s="31">
        <v>2</v>
      </c>
      <c r="B5" s="104" t="s">
        <v>19</v>
      </c>
      <c r="C5" s="105" t="s">
        <v>20</v>
      </c>
      <c r="D5" s="32" t="s">
        <v>266</v>
      </c>
      <c r="E5" s="31" t="s">
        <v>267</v>
      </c>
      <c r="F5" s="105" t="s">
        <v>268</v>
      </c>
      <c r="G5" s="31"/>
      <c r="H5" s="31">
        <v>10</v>
      </c>
      <c r="I5" s="106">
        <f>SUMIF(合格品入货记录!E:E,样品!E5,合格品入货记录!G:G)</f>
        <v>0</v>
      </c>
      <c r="J5" s="106">
        <f>SUMIF(合格品出库记录!E:E,样品!E5,合格品出库记录!G:G)</f>
        <v>0</v>
      </c>
      <c r="K5" s="102">
        <f t="shared" si="0"/>
        <v>10</v>
      </c>
      <c r="L5" s="102">
        <f>SUMIF(不良品库存!D:D,E5:E44,不良品库存!F:F)</f>
        <v>0</v>
      </c>
      <c r="M5" s="113">
        <f t="shared" si="1"/>
        <v>10</v>
      </c>
      <c r="N5" s="31"/>
      <c r="P5" s="32">
        <f>IFERROR(SUMIFS(合格品入货记录!$G:$G,合格品入货记录!$A:$A,样品!P$3,合格品入货记录!$E:$E,样品!$E5)," ")</f>
        <v>0</v>
      </c>
      <c r="Q5" s="32">
        <f>SUMIFS(合格品入货记录!$G:$G,合格品入货记录!$A:$A,样品!Q$3,合格品入货记录!$E:$E,样品!$E5)</f>
        <v>0</v>
      </c>
      <c r="R5" s="32">
        <f>SUMIFS(合格品入货记录!$G:$G,合格品入货记录!$A:$A,样品!R$3,合格品入货记录!$E:$E,样品!$E5)</f>
        <v>0</v>
      </c>
      <c r="S5" s="32">
        <f>SUMIFS(合格品入货记录!$G:$G,合格品入货记录!$A:$A,样品!S$3,合格品入货记录!$E:$E,样品!$E5)</f>
        <v>0</v>
      </c>
      <c r="T5" s="32">
        <f>SUMIFS(合格品入货记录!$G:$G,合格品入货记录!$A:$A,样品!T$3,合格品入货记录!$E:$E,样品!$E5)</f>
        <v>0</v>
      </c>
      <c r="U5" s="32">
        <f>SUMIFS(合格品入货记录!$G:$G,合格品入货记录!$A:$A,样品!U$3,合格品入货记录!$E:$E,样品!$E5)</f>
        <v>0</v>
      </c>
      <c r="V5" s="32">
        <f>SUMIFS(合格品入货记录!$G:$G,合格品入货记录!$A:$A,样品!V$3,合格品入货记录!$E:$E,样品!$E5)</f>
        <v>0</v>
      </c>
      <c r="W5" s="32">
        <f>SUMIFS(合格品入货记录!$G:$G,合格品入货记录!$A:$A,样品!W$3,合格品入货记录!$E:$E,样品!$E5)</f>
        <v>0</v>
      </c>
      <c r="X5" s="32">
        <f>SUMIFS(合格品入货记录!$G:$G,合格品入货记录!$A:$A,样品!X$3,合格品入货记录!$E:$E,样品!$E5)</f>
        <v>0</v>
      </c>
      <c r="Y5" s="32">
        <f>SUMIFS(合格品入货记录!$G:$G,合格品入货记录!$A:$A,样品!Y$3,合格品入货记录!$E:$E,样品!$E5)</f>
        <v>0</v>
      </c>
      <c r="Z5" s="32">
        <f>SUMIFS(合格品入货记录!$G:$G,合格品入货记录!$A:$A,样品!Z$3,合格品入货记录!$E:$E,样品!$E5)</f>
        <v>0</v>
      </c>
      <c r="AA5" s="32">
        <f>SUMIFS(合格品入货记录!$G:$G,合格品入货记录!$A:$A,样品!AA$3,合格品入货记录!$E:$E,样品!$E5)</f>
        <v>0</v>
      </c>
      <c r="AB5" s="32">
        <f>SUMIFS(合格品入货记录!$G:$G,合格品入货记录!$A:$A,样品!AB$3,合格品入货记录!$E:$E,样品!$E5)</f>
        <v>0</v>
      </c>
      <c r="AC5" s="32">
        <f>SUMIFS(合格品入货记录!$G:$G,合格品入货记录!$A:$A,样品!AC$3,合格品入货记录!$E:$E,样品!$E5)</f>
        <v>0</v>
      </c>
      <c r="AD5" s="32">
        <f>SUMIFS(合格品入货记录!$G:$G,合格品入货记录!$A:$A,样品!AD$3,合格品入货记录!$E:$E,样品!$E5)</f>
        <v>0</v>
      </c>
      <c r="AE5" s="32">
        <f>SUMIFS(合格品入货记录!$G:$G,合格品入货记录!$A:$A,样品!AE$3,合格品入货记录!$E:$E,样品!$E5)</f>
        <v>0</v>
      </c>
      <c r="AF5" s="32">
        <f>SUMIFS(合格品入货记录!$G:$G,合格品入货记录!$A:$A,样品!AF$3,合格品入货记录!$E:$E,样品!$E5)</f>
        <v>0</v>
      </c>
      <c r="AG5" s="32">
        <f>SUMIFS(合格品入货记录!$G:$G,合格品入货记录!$A:$A,样品!AG$3,合格品入货记录!$E:$E,样品!$E5)</f>
        <v>0</v>
      </c>
      <c r="AH5" s="32">
        <f>SUMIFS(合格品入货记录!$G:$G,合格品入货记录!$A:$A,样品!AH$3,合格品入货记录!$E:$E,样品!$E5)</f>
        <v>0</v>
      </c>
      <c r="AI5" s="32">
        <f>SUMIFS(合格品入货记录!$G:$G,合格品入货记录!$A:$A,样品!AI$3,合格品入货记录!$E:$E,样品!$E5)</f>
        <v>0</v>
      </c>
      <c r="AJ5" s="32">
        <f>SUMIFS(合格品入货记录!$G:$G,合格品入货记录!$A:$A,样品!AJ$3,合格品入货记录!$E:$E,样品!$E5)</f>
        <v>0</v>
      </c>
      <c r="AK5" s="32">
        <f>SUMIFS(合格品入货记录!$G:$G,合格品入货记录!$A:$A,样品!AK$3,合格品入货记录!$E:$E,样品!$E5)</f>
        <v>0</v>
      </c>
      <c r="AL5" s="32">
        <f>SUMIFS(合格品入货记录!$G:$G,合格品入货记录!$A:$A,样品!AL$3,合格品入货记录!$E:$E,样品!$E5)</f>
        <v>0</v>
      </c>
      <c r="AM5" s="32">
        <f>SUMIFS(合格品入货记录!$G:$G,合格品入货记录!$A:$A,样品!AM$3,合格品入货记录!$E:$E,样品!$E5)</f>
        <v>0</v>
      </c>
      <c r="AN5" s="32">
        <f>SUMIFS(合格品入货记录!$G:$G,合格品入货记录!$A:$A,样品!AN$3,合格品入货记录!$E:$E,样品!$E5)</f>
        <v>0</v>
      </c>
      <c r="AO5" s="32">
        <f>SUMIFS(合格品入货记录!$G:$G,合格品入货记录!$A:$A,样品!AO$3,合格品入货记录!$E:$E,样品!$E5)</f>
        <v>0</v>
      </c>
      <c r="AP5" s="32">
        <f>SUMIFS(合格品入货记录!$G:$G,合格品入货记录!$A:$A,样品!AP$3,合格品入货记录!$E:$E,样品!$E5)</f>
        <v>0</v>
      </c>
      <c r="AQ5" s="32">
        <f>SUMIFS(合格品入货记录!$G:$G,合格品入货记录!$A:$A,样品!AQ$3,合格品入货记录!$E:$E,样品!$E5)</f>
        <v>0</v>
      </c>
      <c r="AR5" s="32">
        <f>SUMIFS(合格品入货记录!$G:$G,合格品入货记录!$A:$A,样品!AR$3,合格品入货记录!$E:$E,样品!$E5)</f>
        <v>0</v>
      </c>
      <c r="AS5" s="32">
        <f>SUMIFS(合格品入货记录!$G:$G,合格品入货记录!$A:$A,样品!AS$3,合格品入货记录!$E:$E,样品!$E5)</f>
        <v>0</v>
      </c>
      <c r="AT5" s="32">
        <f>SUMIFS(合格品入货记录!$G:$G,合格品入货记录!$A:$A,样品!AT$3,合格品入货记录!$E:$E,样品!$E5)</f>
        <v>0</v>
      </c>
      <c r="AU5" s="32">
        <f>SUMIFS(合格品入货记录!$G:$G,合格品入货记录!$A:$A,样品!AU$3,合格品入货记录!$E:$E,样品!$E5)</f>
        <v>0</v>
      </c>
      <c r="AV5" s="32">
        <f>SUMIFS(合格品入货记录!$G:$G,合格品入货记录!$A:$A,样品!AV$3,合格品入货记录!$E:$E,样品!$E5)</f>
        <v>0</v>
      </c>
      <c r="AW5" s="32">
        <f>SUMIFS(合格品入货记录!$G:$G,合格品入货记录!$A:$A,样品!AW$3,合格品入货记录!$E:$E,样品!$E5)</f>
        <v>0</v>
      </c>
      <c r="AX5" s="32">
        <f>SUMIFS(合格品入货记录!$G:$G,合格品入货记录!$A:$A,样品!AX$3,合格品入货记录!$E:$E,样品!$E5)</f>
        <v>0</v>
      </c>
      <c r="AY5" s="32">
        <f>SUMIFS(合格品入货记录!$G:$G,合格品入货记录!$A:$A,样品!AY$3,合格品入货记录!$E:$E,样品!$E5)</f>
        <v>0</v>
      </c>
      <c r="AZ5" s="32">
        <f>SUMIFS(合格品入货记录!$G:$G,合格品入货记录!$A:$A,样品!AZ$3,合格品入货记录!$E:$E,样品!$E5)</f>
        <v>0</v>
      </c>
      <c r="BA5" s="32">
        <f>SUMIFS(合格品入货记录!$G:$G,合格品入货记录!$A:$A,样品!BA$3,合格品入货记录!$E:$E,样品!$E5)</f>
        <v>0</v>
      </c>
      <c r="BB5" s="32">
        <f>SUMIFS(合格品入货记录!$G:$G,合格品入货记录!$A:$A,样品!BB$3,合格品入货记录!$E:$E,样品!$E5)</f>
        <v>0</v>
      </c>
      <c r="BC5" s="32">
        <f>SUMIFS(合格品入货记录!$G:$G,合格品入货记录!$A:$A,样品!BC$3,合格品入货记录!$E:$E,样品!$E5)</f>
        <v>0</v>
      </c>
      <c r="BD5" s="32">
        <f>SUMIFS(合格品入货记录!$G:$G,合格品入货记录!$A:$A,样品!BD$3,合格品入货记录!$E:$E,样品!$E5)</f>
        <v>0</v>
      </c>
      <c r="BE5" s="32">
        <f>SUMIFS(合格品入货记录!$G:$G,合格品入货记录!$A:$A,样品!BE$3,合格品入货记录!$E:$E,样品!$E5)</f>
        <v>0</v>
      </c>
      <c r="BF5" s="32">
        <f>SUMIFS(合格品入货记录!$G:$G,合格品入货记录!$A:$A,样品!BF$3,合格品入货记录!$E:$E,样品!$E5)</f>
        <v>0</v>
      </c>
      <c r="BG5" s="32">
        <f>SUMIFS(合格品入货记录!$G:$G,合格品入货记录!$A:$A,样品!BG$3,合格品入货记录!$E:$E,样品!$E5)</f>
        <v>0</v>
      </c>
      <c r="BH5" s="32">
        <f>SUMIFS(合格品入货记录!$G:$G,合格品入货记录!$A:$A,样品!BH$3,合格品入货记录!$E:$E,样品!$E5)</f>
        <v>0</v>
      </c>
      <c r="BI5" s="32">
        <f>SUMIFS(合格品入货记录!$G:$G,合格品入货记录!$A:$A,样品!BI$3,合格品入货记录!$E:$E,样品!$E5)</f>
        <v>0</v>
      </c>
      <c r="BJ5" s="32">
        <f>SUMIFS(合格品入货记录!$G:$G,合格品入货记录!$A:$A,样品!BJ$3,合格品入货记录!$E:$E,样品!$E5)</f>
        <v>0</v>
      </c>
      <c r="BK5" s="32">
        <f>SUMIFS(合格品入货记录!$G:$G,合格品入货记录!$A:$A,样品!BK$3,合格品入货记录!$E:$E,样品!$E5)</f>
        <v>0</v>
      </c>
      <c r="BL5" s="32">
        <f>SUMIFS(合格品入货记录!$G:$G,合格品入货记录!$A:$A,样品!BL$3,合格品入货记录!$E:$E,样品!$E5)</f>
        <v>0</v>
      </c>
      <c r="BM5" s="32">
        <f>SUMIFS(合格品入货记录!$G:$G,合格品入货记录!$A:$A,样品!BM$3,合格品入货记录!$E:$E,样品!$E5)</f>
        <v>0</v>
      </c>
      <c r="BN5" s="32">
        <f>SUMIFS(合格品入货记录!$G:$G,合格品入货记录!$A:$A,样品!BN$3,合格品入货记录!$E:$E,样品!$E5)</f>
        <v>0</v>
      </c>
      <c r="BO5" s="32">
        <f>SUMIFS(合格品入货记录!$G:$G,合格品入货记录!$A:$A,样品!BO$3,合格品入货记录!$E:$E,样品!$E5)</f>
        <v>0</v>
      </c>
      <c r="BP5" s="32">
        <f>SUMIFS(合格品入货记录!$G:$G,合格品入货记录!$A:$A,样品!BP$3,合格品入货记录!$E:$E,样品!$E5)</f>
        <v>0</v>
      </c>
      <c r="BQ5" s="32">
        <f>SUMIFS(合格品入货记录!$G:$G,合格品入货记录!$A:$A,样品!BQ$3,合格品入货记录!$E:$E,样品!$E5)</f>
        <v>0</v>
      </c>
      <c r="BR5" s="32">
        <f>SUMIFS(合格品入货记录!$G:$G,合格品入货记录!$A:$A,样品!BR$3,合格品入货记录!$E:$E,样品!$E5)</f>
        <v>0</v>
      </c>
      <c r="BS5" s="32">
        <f>SUMIFS(合格品入货记录!$G:$G,合格品入货记录!$A:$A,样品!BS$3,合格品入货记录!$E:$E,样品!$E5)</f>
        <v>0</v>
      </c>
      <c r="BT5" s="32">
        <f>SUMIFS(合格品入货记录!$G:$G,合格品入货记录!$A:$A,样品!BT$3,合格品入货记录!$E:$E,样品!$E5)</f>
        <v>0</v>
      </c>
      <c r="BU5" s="32">
        <f>SUMIFS(合格品入货记录!$G:$G,合格品入货记录!$A:$A,样品!BU$3,合格品入货记录!$E:$E,样品!$E5)</f>
        <v>0</v>
      </c>
      <c r="BV5" s="32">
        <f>SUMIFS(合格品入货记录!$G:$G,合格品入货记录!$A:$A,样品!BV$3,合格品入货记录!$E:$E,样品!$E5)</f>
        <v>0</v>
      </c>
      <c r="BW5" s="32">
        <f>SUMIFS(合格品入货记录!$G:$G,合格品入货记录!$A:$A,样品!BW$3,合格品入货记录!$E:$E,样品!$E5)</f>
        <v>0</v>
      </c>
      <c r="BX5" s="32">
        <f>SUMIFS(合格品入货记录!$G:$G,合格品入货记录!$A:$A,样品!BX$3,合格品入货记录!$E:$E,样品!$E5)</f>
        <v>0</v>
      </c>
      <c r="BY5" s="32">
        <f>SUMIFS(合格品入货记录!$G:$G,合格品入货记录!$A:$A,样品!BY$3,合格品入货记录!$E:$E,样品!$E5)</f>
        <v>0</v>
      </c>
      <c r="BZ5" s="124"/>
      <c r="CA5" s="124"/>
      <c r="CD5" s="90"/>
    </row>
    <row r="6" s="90" customFormat="1" customHeight="1" spans="1:81">
      <c r="A6" s="31">
        <v>3</v>
      </c>
      <c r="B6" s="104" t="s">
        <v>19</v>
      </c>
      <c r="C6" s="105" t="s">
        <v>20</v>
      </c>
      <c r="D6" s="32" t="s">
        <v>269</v>
      </c>
      <c r="E6" s="31" t="s">
        <v>270</v>
      </c>
      <c r="F6" s="105" t="s">
        <v>271</v>
      </c>
      <c r="G6" s="31"/>
      <c r="H6" s="31">
        <v>0</v>
      </c>
      <c r="I6" s="106">
        <f>SUMIF(合格品入货记录!E:E,样品!E6,合格品入货记录!G:G)</f>
        <v>0</v>
      </c>
      <c r="J6" s="106">
        <f>SUMIF(合格品出库记录!E:E,样品!E6,合格品出库记录!G:G)</f>
        <v>0</v>
      </c>
      <c r="K6" s="102">
        <f t="shared" si="0"/>
        <v>0</v>
      </c>
      <c r="L6" s="102">
        <f>SUMIF(不良品库存!D:D,E6:E45,不良品库存!F:F)</f>
        <v>0</v>
      </c>
      <c r="M6" s="113">
        <f t="shared" si="1"/>
        <v>0</v>
      </c>
      <c r="N6" s="31"/>
      <c r="O6" s="104"/>
      <c r="P6" s="32">
        <f>IFERROR(SUMIFS(合格品入货记录!$G:$G,合格品入货记录!$A:$A,样品!P$3,合格品入货记录!$E:$E,样品!$E6)," ")</f>
        <v>0</v>
      </c>
      <c r="Q6" s="32">
        <f>SUMIFS(合格品入货记录!$G:$G,合格品入货记录!$A:$A,样品!Q$3,合格品入货记录!$E:$E,样品!$E6)</f>
        <v>0</v>
      </c>
      <c r="R6" s="32">
        <f>SUMIFS(合格品入货记录!$G:$G,合格品入货记录!$A:$A,样品!R$3,合格品入货记录!$E:$E,样品!$E6)</f>
        <v>0</v>
      </c>
      <c r="S6" s="32">
        <f>SUMIFS(合格品入货记录!$G:$G,合格品入货记录!$A:$A,样品!S$3,合格品入货记录!$E:$E,样品!$E6)</f>
        <v>0</v>
      </c>
      <c r="T6" s="32">
        <f>SUMIFS(合格品入货记录!$G:$G,合格品入货记录!$A:$A,样品!T$3,合格品入货记录!$E:$E,样品!$E6)</f>
        <v>0</v>
      </c>
      <c r="U6" s="32">
        <f>SUMIFS(合格品入货记录!$G:$G,合格品入货记录!$A:$A,样品!U$3,合格品入货记录!$E:$E,样品!$E6)</f>
        <v>0</v>
      </c>
      <c r="V6" s="32">
        <f>SUMIFS(合格品入货记录!$G:$G,合格品入货记录!$A:$A,样品!V$3,合格品入货记录!$E:$E,样品!$E6)</f>
        <v>0</v>
      </c>
      <c r="W6" s="32">
        <f>SUMIFS(合格品入货记录!$G:$G,合格品入货记录!$A:$A,样品!W$3,合格品入货记录!$E:$E,样品!$E6)</f>
        <v>0</v>
      </c>
      <c r="X6" s="32">
        <f>SUMIFS(合格品入货记录!$G:$G,合格品入货记录!$A:$A,样品!X$3,合格品入货记录!$E:$E,样品!$E6)</f>
        <v>0</v>
      </c>
      <c r="Y6" s="32">
        <f>SUMIFS(合格品入货记录!$G:$G,合格品入货记录!$A:$A,样品!Y$3,合格品入货记录!$E:$E,样品!$E6)</f>
        <v>0</v>
      </c>
      <c r="Z6" s="32">
        <f>SUMIFS(合格品入货记录!$G:$G,合格品入货记录!$A:$A,样品!Z$3,合格品入货记录!$E:$E,样品!$E6)</f>
        <v>0</v>
      </c>
      <c r="AA6" s="32">
        <f>SUMIFS(合格品入货记录!$G:$G,合格品入货记录!$A:$A,样品!AA$3,合格品入货记录!$E:$E,样品!$E6)</f>
        <v>0</v>
      </c>
      <c r="AB6" s="32">
        <f>SUMIFS(合格品入货记录!$G:$G,合格品入货记录!$A:$A,样品!AB$3,合格品入货记录!$E:$E,样品!$E6)</f>
        <v>0</v>
      </c>
      <c r="AC6" s="32">
        <f>SUMIFS(合格品入货记录!$G:$G,合格品入货记录!$A:$A,样品!AC$3,合格品入货记录!$E:$E,样品!$E6)</f>
        <v>0</v>
      </c>
      <c r="AD6" s="32">
        <f>SUMIFS(合格品入货记录!$G:$G,合格品入货记录!$A:$A,样品!AD$3,合格品入货记录!$E:$E,样品!$E6)</f>
        <v>0</v>
      </c>
      <c r="AE6" s="32">
        <f>SUMIFS(合格品入货记录!$G:$G,合格品入货记录!$A:$A,样品!AE$3,合格品入货记录!$E:$E,样品!$E6)</f>
        <v>0</v>
      </c>
      <c r="AF6" s="32">
        <f>SUMIFS(合格品入货记录!$G:$G,合格品入货记录!$A:$A,样品!AF$3,合格品入货记录!$E:$E,样品!$E6)</f>
        <v>0</v>
      </c>
      <c r="AG6" s="32">
        <f>SUMIFS(合格品入货记录!$G:$G,合格品入货记录!$A:$A,样品!AG$3,合格品入货记录!$E:$E,样品!$E6)</f>
        <v>0</v>
      </c>
      <c r="AH6" s="32">
        <f>SUMIFS(合格品入货记录!$G:$G,合格品入货记录!$A:$A,样品!AH$3,合格品入货记录!$E:$E,样品!$E6)</f>
        <v>0</v>
      </c>
      <c r="AI6" s="32">
        <f>SUMIFS(合格品入货记录!$G:$G,合格品入货记录!$A:$A,样品!AI$3,合格品入货记录!$E:$E,样品!$E6)</f>
        <v>0</v>
      </c>
      <c r="AJ6" s="32">
        <f>SUMIFS(合格品入货记录!$G:$G,合格品入货记录!$A:$A,样品!AJ$3,合格品入货记录!$E:$E,样品!$E6)</f>
        <v>0</v>
      </c>
      <c r="AK6" s="32">
        <f>SUMIFS(合格品入货记录!$G:$G,合格品入货记录!$A:$A,样品!AK$3,合格品入货记录!$E:$E,样品!$E6)</f>
        <v>0</v>
      </c>
      <c r="AL6" s="32">
        <f>SUMIFS(合格品入货记录!$G:$G,合格品入货记录!$A:$A,样品!AL$3,合格品入货记录!$E:$E,样品!$E6)</f>
        <v>0</v>
      </c>
      <c r="AM6" s="32">
        <f>SUMIFS(合格品入货记录!$G:$G,合格品入货记录!$A:$A,样品!AM$3,合格品入货记录!$E:$E,样品!$E6)</f>
        <v>0</v>
      </c>
      <c r="AN6" s="32">
        <f>SUMIFS(合格品入货记录!$G:$G,合格品入货记录!$A:$A,样品!AN$3,合格品入货记录!$E:$E,样品!$E6)</f>
        <v>0</v>
      </c>
      <c r="AO6" s="32">
        <f>SUMIFS(合格品入货记录!$G:$G,合格品入货记录!$A:$A,样品!AO$3,合格品入货记录!$E:$E,样品!$E6)</f>
        <v>0</v>
      </c>
      <c r="AP6" s="32">
        <f>SUMIFS(合格品入货记录!$G:$G,合格品入货记录!$A:$A,样品!AP$3,合格品入货记录!$E:$E,样品!$E6)</f>
        <v>0</v>
      </c>
      <c r="AQ6" s="32">
        <f>SUMIFS(合格品入货记录!$G:$G,合格品入货记录!$A:$A,样品!AQ$3,合格品入货记录!$E:$E,样品!$E6)</f>
        <v>0</v>
      </c>
      <c r="AR6" s="32">
        <f>SUMIFS(合格品入货记录!$G:$G,合格品入货记录!$A:$A,样品!AR$3,合格品入货记录!$E:$E,样品!$E6)</f>
        <v>0</v>
      </c>
      <c r="AS6" s="32">
        <f>SUMIFS(合格品入货记录!$G:$G,合格品入货记录!$A:$A,样品!AS$3,合格品入货记录!$E:$E,样品!$E6)</f>
        <v>0</v>
      </c>
      <c r="AT6" s="32">
        <f>SUMIFS(合格品入货记录!$G:$G,合格品入货记录!$A:$A,样品!AT$3,合格品入货记录!$E:$E,样品!$E6)</f>
        <v>0</v>
      </c>
      <c r="AU6" s="32">
        <f>SUMIFS(合格品入货记录!$G:$G,合格品入货记录!$A:$A,样品!AU$3,合格品入货记录!$E:$E,样品!$E6)</f>
        <v>0</v>
      </c>
      <c r="AV6" s="32">
        <f>SUMIFS(合格品入货记录!$G:$G,合格品入货记录!$A:$A,样品!AV$3,合格品入货记录!$E:$E,样品!$E6)</f>
        <v>0</v>
      </c>
      <c r="AW6" s="32">
        <f>SUMIFS(合格品入货记录!$G:$G,合格品入货记录!$A:$A,样品!AW$3,合格品入货记录!$E:$E,样品!$E6)</f>
        <v>0</v>
      </c>
      <c r="AX6" s="32">
        <f>SUMIFS(合格品入货记录!$G:$G,合格品入货记录!$A:$A,样品!AX$3,合格品入货记录!$E:$E,样品!$E6)</f>
        <v>0</v>
      </c>
      <c r="AY6" s="32">
        <f>SUMIFS(合格品入货记录!$G:$G,合格品入货记录!$A:$A,样品!AY$3,合格品入货记录!$E:$E,样品!$E6)</f>
        <v>0</v>
      </c>
      <c r="AZ6" s="32">
        <f>SUMIFS(合格品入货记录!$G:$G,合格品入货记录!$A:$A,样品!AZ$3,合格品入货记录!$E:$E,样品!$E6)</f>
        <v>0</v>
      </c>
      <c r="BA6" s="32">
        <f>SUMIFS(合格品入货记录!$G:$G,合格品入货记录!$A:$A,样品!BA$3,合格品入货记录!$E:$E,样品!$E6)</f>
        <v>0</v>
      </c>
      <c r="BB6" s="32">
        <f>SUMIFS(合格品入货记录!$G:$G,合格品入货记录!$A:$A,样品!BB$3,合格品入货记录!$E:$E,样品!$E6)</f>
        <v>0</v>
      </c>
      <c r="BC6" s="32">
        <f>SUMIFS(合格品入货记录!$G:$G,合格品入货记录!$A:$A,样品!BC$3,合格品入货记录!$E:$E,样品!$E6)</f>
        <v>0</v>
      </c>
      <c r="BD6" s="32">
        <f>SUMIFS(合格品入货记录!$G:$G,合格品入货记录!$A:$A,样品!BD$3,合格品入货记录!$E:$E,样品!$E6)</f>
        <v>0</v>
      </c>
      <c r="BE6" s="32">
        <f>SUMIFS(合格品入货记录!$G:$G,合格品入货记录!$A:$A,样品!BE$3,合格品入货记录!$E:$E,样品!$E6)</f>
        <v>0</v>
      </c>
      <c r="BF6" s="32">
        <f>SUMIFS(合格品入货记录!$G:$G,合格品入货记录!$A:$A,样品!BF$3,合格品入货记录!$E:$E,样品!$E6)</f>
        <v>0</v>
      </c>
      <c r="BG6" s="32">
        <f>SUMIFS(合格品入货记录!$G:$G,合格品入货记录!$A:$A,样品!BG$3,合格品入货记录!$E:$E,样品!$E6)</f>
        <v>0</v>
      </c>
      <c r="BH6" s="32">
        <f>SUMIFS(合格品入货记录!$G:$G,合格品入货记录!$A:$A,样品!BH$3,合格品入货记录!$E:$E,样品!$E6)</f>
        <v>0</v>
      </c>
      <c r="BI6" s="32">
        <f>SUMIFS(合格品入货记录!$G:$G,合格品入货记录!$A:$A,样品!BI$3,合格品入货记录!$E:$E,样品!$E6)</f>
        <v>0</v>
      </c>
      <c r="BJ6" s="32">
        <f>SUMIFS(合格品入货记录!$G:$G,合格品入货记录!$A:$A,样品!BJ$3,合格品入货记录!$E:$E,样品!$E6)</f>
        <v>0</v>
      </c>
      <c r="BK6" s="32">
        <f>SUMIFS(合格品入货记录!$G:$G,合格品入货记录!$A:$A,样品!BK$3,合格品入货记录!$E:$E,样品!$E6)</f>
        <v>0</v>
      </c>
      <c r="BL6" s="32">
        <f>SUMIFS(合格品入货记录!$G:$G,合格品入货记录!$A:$A,样品!BL$3,合格品入货记录!$E:$E,样品!$E6)</f>
        <v>0</v>
      </c>
      <c r="BM6" s="32">
        <f>SUMIFS(合格品入货记录!$G:$G,合格品入货记录!$A:$A,样品!BM$3,合格品入货记录!$E:$E,样品!$E6)</f>
        <v>0</v>
      </c>
      <c r="BN6" s="32">
        <f>SUMIFS(合格品入货记录!$G:$G,合格品入货记录!$A:$A,样品!BN$3,合格品入货记录!$E:$E,样品!$E6)</f>
        <v>0</v>
      </c>
      <c r="BO6" s="32">
        <f>SUMIFS(合格品入货记录!$G:$G,合格品入货记录!$A:$A,样品!BO$3,合格品入货记录!$E:$E,样品!$E6)</f>
        <v>0</v>
      </c>
      <c r="BP6" s="32">
        <f>SUMIFS(合格品入货记录!$G:$G,合格品入货记录!$A:$A,样品!BP$3,合格品入货记录!$E:$E,样品!$E6)</f>
        <v>0</v>
      </c>
      <c r="BQ6" s="32">
        <f>SUMIFS(合格品入货记录!$G:$G,合格品入货记录!$A:$A,样品!BQ$3,合格品入货记录!$E:$E,样品!$E6)</f>
        <v>0</v>
      </c>
      <c r="BR6" s="32">
        <f>SUMIFS(合格品入货记录!$G:$G,合格品入货记录!$A:$A,样品!BR$3,合格品入货记录!$E:$E,样品!$E6)</f>
        <v>0</v>
      </c>
      <c r="BS6" s="32">
        <f>SUMIFS(合格品入货记录!$G:$G,合格品入货记录!$A:$A,样品!BS$3,合格品入货记录!$E:$E,样品!$E6)</f>
        <v>0</v>
      </c>
      <c r="BT6" s="32">
        <f>SUMIFS(合格品入货记录!$G:$G,合格品入货记录!$A:$A,样品!BT$3,合格品入货记录!$E:$E,样品!$E6)</f>
        <v>0</v>
      </c>
      <c r="BU6" s="32">
        <f>SUMIFS(合格品入货记录!$G:$G,合格品入货记录!$A:$A,样品!BU$3,合格品入货记录!$E:$E,样品!$E6)</f>
        <v>0</v>
      </c>
      <c r="BV6" s="32">
        <f>SUMIFS(合格品入货记录!$G:$G,合格品入货记录!$A:$A,样品!BV$3,合格品入货记录!$E:$E,样品!$E6)</f>
        <v>0</v>
      </c>
      <c r="BW6" s="32">
        <f>SUMIFS(合格品入货记录!$G:$G,合格品入货记录!$A:$A,样品!BW$3,合格品入货记录!$E:$E,样品!$E6)</f>
        <v>0</v>
      </c>
      <c r="BX6" s="32">
        <f>SUMIFS(合格品入货记录!$G:$G,合格品入货记录!$A:$A,样品!BX$3,合格品入货记录!$E:$E,样品!$E6)</f>
        <v>0</v>
      </c>
      <c r="BY6" s="32">
        <f>SUMIFS(合格品入货记录!$G:$G,合格品入货记录!$A:$A,样品!BY$3,合格品入货记录!$E:$E,样品!$E6)</f>
        <v>0</v>
      </c>
      <c r="BZ6" s="124"/>
      <c r="CA6" s="124"/>
      <c r="CB6" s="125"/>
      <c r="CC6" s="125"/>
    </row>
    <row r="7" s="90" customFormat="1" customHeight="1" spans="1:81">
      <c r="A7" s="31">
        <v>4</v>
      </c>
      <c r="B7" s="102" t="s">
        <v>19</v>
      </c>
      <c r="C7" s="103" t="s">
        <v>20</v>
      </c>
      <c r="D7" s="32" t="s">
        <v>272</v>
      </c>
      <c r="E7" s="32" t="s">
        <v>273</v>
      </c>
      <c r="F7" s="103" t="s">
        <v>274</v>
      </c>
      <c r="G7" s="32"/>
      <c r="H7" s="32">
        <v>0</v>
      </c>
      <c r="I7" s="112">
        <f>SUMIF(合格品入货记录!E:E,样品!E7,合格品入货记录!G:G)</f>
        <v>0</v>
      </c>
      <c r="J7" s="112">
        <f>SUMIF(合格品出库记录!E:E,样品!E7,合格品出库记录!G:G)</f>
        <v>0</v>
      </c>
      <c r="K7" s="102">
        <f t="shared" si="0"/>
        <v>0</v>
      </c>
      <c r="L7" s="102">
        <f>SUMIF(不良品库存!D:D,E7:E46,不良品库存!F:F)</f>
        <v>0</v>
      </c>
      <c r="M7" s="113">
        <f t="shared" si="1"/>
        <v>0</v>
      </c>
      <c r="N7" s="102"/>
      <c r="O7" s="102"/>
      <c r="P7" s="32">
        <f>IFERROR(SUMIFS(合格品入货记录!$G:$G,合格品入货记录!$A:$A,样品!P$3,合格品入货记录!$E:$E,样品!$E7)," ")</f>
        <v>0</v>
      </c>
      <c r="Q7" s="32">
        <f>SUMIFS(合格品入货记录!$G:$G,合格品入货记录!$A:$A,样品!Q$3,合格品入货记录!$E:$E,样品!$E7)</f>
        <v>0</v>
      </c>
      <c r="R7" s="32">
        <f>SUMIFS(合格品入货记录!$G:$G,合格品入货记录!$A:$A,样品!R$3,合格品入货记录!$E:$E,样品!$E7)</f>
        <v>0</v>
      </c>
      <c r="S7" s="32">
        <f>SUMIFS(合格品入货记录!$G:$G,合格品入货记录!$A:$A,样品!S$3,合格品入货记录!$E:$E,样品!$E7)</f>
        <v>0</v>
      </c>
      <c r="T7" s="32">
        <f>SUMIFS(合格品入货记录!$G:$G,合格品入货记录!$A:$A,样品!T$3,合格品入货记录!$E:$E,样品!$E7)</f>
        <v>0</v>
      </c>
      <c r="U7" s="32">
        <f>SUMIFS(合格品入货记录!$G:$G,合格品入货记录!$A:$A,样品!U$3,合格品入货记录!$E:$E,样品!$E7)</f>
        <v>0</v>
      </c>
      <c r="V7" s="32">
        <f>SUMIFS(合格品入货记录!$G:$G,合格品入货记录!$A:$A,样品!V$3,合格品入货记录!$E:$E,样品!$E7)</f>
        <v>0</v>
      </c>
      <c r="W7" s="32">
        <f>SUMIFS(合格品入货记录!$G:$G,合格品入货记录!$A:$A,样品!W$3,合格品入货记录!$E:$E,样品!$E7)</f>
        <v>0</v>
      </c>
      <c r="X7" s="32">
        <f>SUMIFS(合格品入货记录!$G:$G,合格品入货记录!$A:$A,样品!X$3,合格品入货记录!$E:$E,样品!$E7)</f>
        <v>0</v>
      </c>
      <c r="Y7" s="32">
        <f>SUMIFS(合格品入货记录!$G:$G,合格品入货记录!$A:$A,样品!Y$3,合格品入货记录!$E:$E,样品!$E7)</f>
        <v>0</v>
      </c>
      <c r="Z7" s="32">
        <f>SUMIFS(合格品入货记录!$G:$G,合格品入货记录!$A:$A,样品!Z$3,合格品入货记录!$E:$E,样品!$E7)</f>
        <v>0</v>
      </c>
      <c r="AA7" s="32">
        <f>SUMIFS(合格品入货记录!$G:$G,合格品入货记录!$A:$A,样品!AA$3,合格品入货记录!$E:$E,样品!$E7)</f>
        <v>0</v>
      </c>
      <c r="AB7" s="32">
        <f>SUMIFS(合格品入货记录!$G:$G,合格品入货记录!$A:$A,样品!AB$3,合格品入货记录!$E:$E,样品!$E7)</f>
        <v>0</v>
      </c>
      <c r="AC7" s="32">
        <f>SUMIFS(合格品入货记录!$G:$G,合格品入货记录!$A:$A,样品!AC$3,合格品入货记录!$E:$E,样品!$E7)</f>
        <v>0</v>
      </c>
      <c r="AD7" s="32">
        <f>SUMIFS(合格品入货记录!$G:$G,合格品入货记录!$A:$A,样品!AD$3,合格品入货记录!$E:$E,样品!$E7)</f>
        <v>0</v>
      </c>
      <c r="AE7" s="32">
        <f>SUMIFS(合格品入货记录!$G:$G,合格品入货记录!$A:$A,样品!AE$3,合格品入货记录!$E:$E,样品!$E7)</f>
        <v>0</v>
      </c>
      <c r="AF7" s="32">
        <f>SUMIFS(合格品入货记录!$G:$G,合格品入货记录!$A:$A,样品!AF$3,合格品入货记录!$E:$E,样品!$E7)</f>
        <v>0</v>
      </c>
      <c r="AG7" s="32">
        <f>SUMIFS(合格品入货记录!$G:$G,合格品入货记录!$A:$A,样品!AG$3,合格品入货记录!$E:$E,样品!$E7)</f>
        <v>0</v>
      </c>
      <c r="AH7" s="32">
        <f>SUMIFS(合格品入货记录!$G:$G,合格品入货记录!$A:$A,样品!AH$3,合格品入货记录!$E:$E,样品!$E7)</f>
        <v>0</v>
      </c>
      <c r="AI7" s="32">
        <f>SUMIFS(合格品入货记录!$G:$G,合格品入货记录!$A:$A,样品!AI$3,合格品入货记录!$E:$E,样品!$E7)</f>
        <v>0</v>
      </c>
      <c r="AJ7" s="32">
        <f>SUMIFS(合格品入货记录!$G:$G,合格品入货记录!$A:$A,样品!AJ$3,合格品入货记录!$E:$E,样品!$E7)</f>
        <v>0</v>
      </c>
      <c r="AK7" s="32">
        <f>SUMIFS(合格品入货记录!$G:$G,合格品入货记录!$A:$A,样品!AK$3,合格品入货记录!$E:$E,样品!$E7)</f>
        <v>0</v>
      </c>
      <c r="AL7" s="32">
        <f>SUMIFS(合格品入货记录!$G:$G,合格品入货记录!$A:$A,样品!AL$3,合格品入货记录!$E:$E,样品!$E7)</f>
        <v>0</v>
      </c>
      <c r="AM7" s="32">
        <f>SUMIFS(合格品入货记录!$G:$G,合格品入货记录!$A:$A,样品!AM$3,合格品入货记录!$E:$E,样品!$E7)</f>
        <v>0</v>
      </c>
      <c r="AN7" s="32">
        <f>SUMIFS(合格品入货记录!$G:$G,合格品入货记录!$A:$A,样品!AN$3,合格品入货记录!$E:$E,样品!$E7)</f>
        <v>0</v>
      </c>
      <c r="AO7" s="32">
        <f>SUMIFS(合格品入货记录!$G:$G,合格品入货记录!$A:$A,样品!AO$3,合格品入货记录!$E:$E,样品!$E7)</f>
        <v>0</v>
      </c>
      <c r="AP7" s="32">
        <f>SUMIFS(合格品入货记录!$G:$G,合格品入货记录!$A:$A,样品!AP$3,合格品入货记录!$E:$E,样品!$E7)</f>
        <v>0</v>
      </c>
      <c r="AQ7" s="32">
        <f>SUMIFS(合格品入货记录!$G:$G,合格品入货记录!$A:$A,样品!AQ$3,合格品入货记录!$E:$E,样品!$E7)</f>
        <v>0</v>
      </c>
      <c r="AR7" s="32">
        <f>SUMIFS(合格品入货记录!$G:$G,合格品入货记录!$A:$A,样品!AR$3,合格品入货记录!$E:$E,样品!$E7)</f>
        <v>0</v>
      </c>
      <c r="AS7" s="32">
        <f>SUMIFS(合格品入货记录!$G:$G,合格品入货记录!$A:$A,样品!AS$3,合格品入货记录!$E:$E,样品!$E7)</f>
        <v>0</v>
      </c>
      <c r="AT7" s="32">
        <f>SUMIFS(合格品入货记录!$G:$G,合格品入货记录!$A:$A,样品!AT$3,合格品入货记录!$E:$E,样品!$E7)</f>
        <v>0</v>
      </c>
      <c r="AU7" s="32">
        <f>SUMIFS(合格品入货记录!$G:$G,合格品入货记录!$A:$A,样品!AU$3,合格品入货记录!$E:$E,样品!$E7)</f>
        <v>0</v>
      </c>
      <c r="AV7" s="32">
        <f>SUMIFS(合格品入货记录!$G:$G,合格品入货记录!$A:$A,样品!AV$3,合格品入货记录!$E:$E,样品!$E7)</f>
        <v>0</v>
      </c>
      <c r="AW7" s="32">
        <f>SUMIFS(合格品入货记录!$G:$G,合格品入货记录!$A:$A,样品!AW$3,合格品入货记录!$E:$E,样品!$E7)</f>
        <v>0</v>
      </c>
      <c r="AX7" s="32">
        <f>SUMIFS(合格品入货记录!$G:$G,合格品入货记录!$A:$A,样品!AX$3,合格品入货记录!$E:$E,样品!$E7)</f>
        <v>0</v>
      </c>
      <c r="AY7" s="32">
        <f>SUMIFS(合格品入货记录!$G:$G,合格品入货记录!$A:$A,样品!AY$3,合格品入货记录!$E:$E,样品!$E7)</f>
        <v>0</v>
      </c>
      <c r="AZ7" s="32">
        <f>SUMIFS(合格品入货记录!$G:$G,合格品入货记录!$A:$A,样品!AZ$3,合格品入货记录!$E:$E,样品!$E7)</f>
        <v>0</v>
      </c>
      <c r="BA7" s="32">
        <f>SUMIFS(合格品入货记录!$G:$G,合格品入货记录!$A:$A,样品!BA$3,合格品入货记录!$E:$E,样品!$E7)</f>
        <v>0</v>
      </c>
      <c r="BB7" s="32">
        <f>SUMIFS(合格品入货记录!$G:$G,合格品入货记录!$A:$A,样品!BB$3,合格品入货记录!$E:$E,样品!$E7)</f>
        <v>0</v>
      </c>
      <c r="BC7" s="32">
        <f>SUMIFS(合格品入货记录!$G:$G,合格品入货记录!$A:$A,样品!BC$3,合格品入货记录!$E:$E,样品!$E7)</f>
        <v>0</v>
      </c>
      <c r="BD7" s="32">
        <f>SUMIFS(合格品入货记录!$G:$G,合格品入货记录!$A:$A,样品!BD$3,合格品入货记录!$E:$E,样品!$E7)</f>
        <v>0</v>
      </c>
      <c r="BE7" s="32">
        <f>SUMIFS(合格品入货记录!$G:$G,合格品入货记录!$A:$A,样品!BE$3,合格品入货记录!$E:$E,样品!$E7)</f>
        <v>0</v>
      </c>
      <c r="BF7" s="32">
        <f>SUMIFS(合格品入货记录!$G:$G,合格品入货记录!$A:$A,样品!BF$3,合格品入货记录!$E:$E,样品!$E7)</f>
        <v>0</v>
      </c>
      <c r="BG7" s="32">
        <f>SUMIFS(合格品入货记录!$G:$G,合格品入货记录!$A:$A,样品!BG$3,合格品入货记录!$E:$E,样品!$E7)</f>
        <v>0</v>
      </c>
      <c r="BH7" s="32">
        <f>SUMIFS(合格品入货记录!$G:$G,合格品入货记录!$A:$A,样品!BH$3,合格品入货记录!$E:$E,样品!$E7)</f>
        <v>0</v>
      </c>
      <c r="BI7" s="32">
        <f>SUMIFS(合格品入货记录!$G:$G,合格品入货记录!$A:$A,样品!BI$3,合格品入货记录!$E:$E,样品!$E7)</f>
        <v>0</v>
      </c>
      <c r="BJ7" s="32">
        <f>SUMIFS(合格品入货记录!$G:$G,合格品入货记录!$A:$A,样品!BJ$3,合格品入货记录!$E:$E,样品!$E7)</f>
        <v>0</v>
      </c>
      <c r="BK7" s="32">
        <f>SUMIFS(合格品入货记录!$G:$G,合格品入货记录!$A:$A,样品!BK$3,合格品入货记录!$E:$E,样品!$E7)</f>
        <v>0</v>
      </c>
      <c r="BL7" s="32">
        <f>SUMIFS(合格品入货记录!$G:$G,合格品入货记录!$A:$A,样品!BL$3,合格品入货记录!$E:$E,样品!$E7)</f>
        <v>0</v>
      </c>
      <c r="BM7" s="32">
        <f>SUMIFS(合格品入货记录!$G:$G,合格品入货记录!$A:$A,样品!BM$3,合格品入货记录!$E:$E,样品!$E7)</f>
        <v>0</v>
      </c>
      <c r="BN7" s="32">
        <f>SUMIFS(合格品入货记录!$G:$G,合格品入货记录!$A:$A,样品!BN$3,合格品入货记录!$E:$E,样品!$E7)</f>
        <v>0</v>
      </c>
      <c r="BO7" s="32">
        <f>SUMIFS(合格品入货记录!$G:$G,合格品入货记录!$A:$A,样品!BO$3,合格品入货记录!$E:$E,样品!$E7)</f>
        <v>0</v>
      </c>
      <c r="BP7" s="32">
        <f>SUMIFS(合格品入货记录!$G:$G,合格品入货记录!$A:$A,样品!BP$3,合格品入货记录!$E:$E,样品!$E7)</f>
        <v>0</v>
      </c>
      <c r="BQ7" s="32">
        <f>SUMIFS(合格品入货记录!$G:$G,合格品入货记录!$A:$A,样品!BQ$3,合格品入货记录!$E:$E,样品!$E7)</f>
        <v>0</v>
      </c>
      <c r="BR7" s="32">
        <f>SUMIFS(合格品入货记录!$G:$G,合格品入货记录!$A:$A,样品!BR$3,合格品入货记录!$E:$E,样品!$E7)</f>
        <v>0</v>
      </c>
      <c r="BS7" s="32">
        <f>SUMIFS(合格品入货记录!$G:$G,合格品入货记录!$A:$A,样品!BS$3,合格品入货记录!$E:$E,样品!$E7)</f>
        <v>0</v>
      </c>
      <c r="BT7" s="32">
        <f>SUMIFS(合格品入货记录!$G:$G,合格品入货记录!$A:$A,样品!BT$3,合格品入货记录!$E:$E,样品!$E7)</f>
        <v>0</v>
      </c>
      <c r="BU7" s="32">
        <f>SUMIFS(合格品入货记录!$G:$G,合格品入货记录!$A:$A,样品!BU$3,合格品入货记录!$E:$E,样品!$E7)</f>
        <v>0</v>
      </c>
      <c r="BV7" s="32">
        <f>SUMIFS(合格品入货记录!$G:$G,合格品入货记录!$A:$A,样品!BV$3,合格品入货记录!$E:$E,样品!$E7)</f>
        <v>0</v>
      </c>
      <c r="BW7" s="32">
        <f>SUMIFS(合格品入货记录!$G:$G,合格品入货记录!$A:$A,样品!BW$3,合格品入货记录!$E:$E,样品!$E7)</f>
        <v>0</v>
      </c>
      <c r="BX7" s="32">
        <f>SUMIFS(合格品入货记录!$G:$G,合格品入货记录!$A:$A,样品!BX$3,合格品入货记录!$E:$E,样品!$E7)</f>
        <v>0</v>
      </c>
      <c r="BY7" s="32">
        <f>SUMIFS(合格品入货记录!$G:$G,合格品入货记录!$A:$A,样品!BY$3,合格品入货记录!$E:$E,样品!$E7)</f>
        <v>0</v>
      </c>
      <c r="BZ7" s="123"/>
      <c r="CA7" s="123"/>
      <c r="CB7" s="125"/>
      <c r="CC7" s="125"/>
    </row>
    <row r="8" s="90" customFormat="1" customHeight="1" spans="1:81">
      <c r="A8" s="31">
        <v>5</v>
      </c>
      <c r="B8" s="104" t="s">
        <v>19</v>
      </c>
      <c r="C8" s="105" t="s">
        <v>20</v>
      </c>
      <c r="D8" s="30">
        <v>801001003682</v>
      </c>
      <c r="E8" s="31" t="s">
        <v>275</v>
      </c>
      <c r="F8" s="105" t="s">
        <v>276</v>
      </c>
      <c r="G8" s="31"/>
      <c r="H8" s="31">
        <v>30</v>
      </c>
      <c r="I8" s="106">
        <f>SUMIF(合格品入货记录!E:E,样品!E8,合格品入货记录!G:G)</f>
        <v>0</v>
      </c>
      <c r="J8" s="106">
        <f>SUMIF(合格品出库记录!E:E,样品!E8,合格品出库记录!G:G)</f>
        <v>0</v>
      </c>
      <c r="K8" s="102">
        <f t="shared" si="0"/>
        <v>30</v>
      </c>
      <c r="L8" s="102">
        <f>SUMIF(不良品库存!D:D,E8:E47,不良品库存!F:F)</f>
        <v>0</v>
      </c>
      <c r="M8" s="113">
        <f t="shared" si="1"/>
        <v>30</v>
      </c>
      <c r="N8" s="31"/>
      <c r="O8" s="104"/>
      <c r="P8" s="32">
        <f>IFERROR(SUMIFS(合格品入货记录!$G:$G,合格品入货记录!$A:$A,样品!P$3,合格品入货记录!$E:$E,样品!$E8)," ")</f>
        <v>0</v>
      </c>
      <c r="Q8" s="32">
        <f>SUMIFS(合格品入货记录!$G:$G,合格品入货记录!$A:$A,样品!Q$3,合格品入货记录!$E:$E,样品!$E8)</f>
        <v>0</v>
      </c>
      <c r="R8" s="32">
        <f>SUMIFS(合格品入货记录!$G:$G,合格品入货记录!$A:$A,样品!R$3,合格品入货记录!$E:$E,样品!$E8)</f>
        <v>0</v>
      </c>
      <c r="S8" s="32">
        <f>SUMIFS(合格品入货记录!$G:$G,合格品入货记录!$A:$A,样品!S$3,合格品入货记录!$E:$E,样品!$E8)</f>
        <v>0</v>
      </c>
      <c r="T8" s="32">
        <f>SUMIFS(合格品入货记录!$G:$G,合格品入货记录!$A:$A,样品!T$3,合格品入货记录!$E:$E,样品!$E8)</f>
        <v>0</v>
      </c>
      <c r="U8" s="32">
        <f>SUMIFS(合格品入货记录!$G:$G,合格品入货记录!$A:$A,样品!U$3,合格品入货记录!$E:$E,样品!$E8)</f>
        <v>0</v>
      </c>
      <c r="V8" s="32">
        <f>SUMIFS(合格品入货记录!$G:$G,合格品入货记录!$A:$A,样品!V$3,合格品入货记录!$E:$E,样品!$E8)</f>
        <v>0</v>
      </c>
      <c r="W8" s="32">
        <f>SUMIFS(合格品入货记录!$G:$G,合格品入货记录!$A:$A,样品!W$3,合格品入货记录!$E:$E,样品!$E8)</f>
        <v>0</v>
      </c>
      <c r="X8" s="32">
        <f>SUMIFS(合格品入货记录!$G:$G,合格品入货记录!$A:$A,样品!X$3,合格品入货记录!$E:$E,样品!$E8)</f>
        <v>0</v>
      </c>
      <c r="Y8" s="32">
        <f>SUMIFS(合格品入货记录!$G:$G,合格品入货记录!$A:$A,样品!Y$3,合格品入货记录!$E:$E,样品!$E8)</f>
        <v>0</v>
      </c>
      <c r="Z8" s="32">
        <f>SUMIFS(合格品入货记录!$G:$G,合格品入货记录!$A:$A,样品!Z$3,合格品入货记录!$E:$E,样品!$E8)</f>
        <v>0</v>
      </c>
      <c r="AA8" s="32">
        <f>SUMIFS(合格品入货记录!$G:$G,合格品入货记录!$A:$A,样品!AA$3,合格品入货记录!$E:$E,样品!$E8)</f>
        <v>0</v>
      </c>
      <c r="AB8" s="32">
        <f>SUMIFS(合格品入货记录!$G:$G,合格品入货记录!$A:$A,样品!AB$3,合格品入货记录!$E:$E,样品!$E8)</f>
        <v>0</v>
      </c>
      <c r="AC8" s="32">
        <f>SUMIFS(合格品入货记录!$G:$G,合格品入货记录!$A:$A,样品!AC$3,合格品入货记录!$E:$E,样品!$E8)</f>
        <v>0</v>
      </c>
      <c r="AD8" s="32">
        <f>SUMIFS(合格品入货记录!$G:$G,合格品入货记录!$A:$A,样品!AD$3,合格品入货记录!$E:$E,样品!$E8)</f>
        <v>0</v>
      </c>
      <c r="AE8" s="32">
        <f>SUMIFS(合格品入货记录!$G:$G,合格品入货记录!$A:$A,样品!AE$3,合格品入货记录!$E:$E,样品!$E8)</f>
        <v>0</v>
      </c>
      <c r="AF8" s="32">
        <f>SUMIFS(合格品入货记录!$G:$G,合格品入货记录!$A:$A,样品!AF$3,合格品入货记录!$E:$E,样品!$E8)</f>
        <v>0</v>
      </c>
      <c r="AG8" s="32">
        <f>SUMIFS(合格品入货记录!$G:$G,合格品入货记录!$A:$A,样品!AG$3,合格品入货记录!$E:$E,样品!$E8)</f>
        <v>0</v>
      </c>
      <c r="AH8" s="32">
        <f>SUMIFS(合格品入货记录!$G:$G,合格品入货记录!$A:$A,样品!AH$3,合格品入货记录!$E:$E,样品!$E8)</f>
        <v>0</v>
      </c>
      <c r="AI8" s="32">
        <f>SUMIFS(合格品入货记录!$G:$G,合格品入货记录!$A:$A,样品!AI$3,合格品入货记录!$E:$E,样品!$E8)</f>
        <v>0</v>
      </c>
      <c r="AJ8" s="32">
        <f>SUMIFS(合格品入货记录!$G:$G,合格品入货记录!$A:$A,样品!AJ$3,合格品入货记录!$E:$E,样品!$E8)</f>
        <v>0</v>
      </c>
      <c r="AK8" s="32">
        <f>SUMIFS(合格品入货记录!$G:$G,合格品入货记录!$A:$A,样品!AK$3,合格品入货记录!$E:$E,样品!$E8)</f>
        <v>0</v>
      </c>
      <c r="AL8" s="32">
        <f>SUMIFS(合格品入货记录!$G:$G,合格品入货记录!$A:$A,样品!AL$3,合格品入货记录!$E:$E,样品!$E8)</f>
        <v>0</v>
      </c>
      <c r="AM8" s="32">
        <f>SUMIFS(合格品入货记录!$G:$G,合格品入货记录!$A:$A,样品!AM$3,合格品入货记录!$E:$E,样品!$E8)</f>
        <v>0</v>
      </c>
      <c r="AN8" s="32">
        <f>SUMIFS(合格品入货记录!$G:$G,合格品入货记录!$A:$A,样品!AN$3,合格品入货记录!$E:$E,样品!$E8)</f>
        <v>0</v>
      </c>
      <c r="AO8" s="32">
        <f>SUMIFS(合格品入货记录!$G:$G,合格品入货记录!$A:$A,样品!AO$3,合格品入货记录!$E:$E,样品!$E8)</f>
        <v>0</v>
      </c>
      <c r="AP8" s="32">
        <f>SUMIFS(合格品入货记录!$G:$G,合格品入货记录!$A:$A,样品!AP$3,合格品入货记录!$E:$E,样品!$E8)</f>
        <v>0</v>
      </c>
      <c r="AQ8" s="32">
        <f>SUMIFS(合格品入货记录!$G:$G,合格品入货记录!$A:$A,样品!AQ$3,合格品入货记录!$E:$E,样品!$E8)</f>
        <v>0</v>
      </c>
      <c r="AR8" s="32">
        <f>SUMIFS(合格品入货记录!$G:$G,合格品入货记录!$A:$A,样品!AR$3,合格品入货记录!$E:$E,样品!$E8)</f>
        <v>0</v>
      </c>
      <c r="AS8" s="32">
        <f>SUMIFS(合格品入货记录!$G:$G,合格品入货记录!$A:$A,样品!AS$3,合格品入货记录!$E:$E,样品!$E8)</f>
        <v>0</v>
      </c>
      <c r="AT8" s="32">
        <f>SUMIFS(合格品入货记录!$G:$G,合格品入货记录!$A:$A,样品!AT$3,合格品入货记录!$E:$E,样品!$E8)</f>
        <v>0</v>
      </c>
      <c r="AU8" s="32">
        <f>SUMIFS(合格品入货记录!$G:$G,合格品入货记录!$A:$A,样品!AU$3,合格品入货记录!$E:$E,样品!$E8)</f>
        <v>0</v>
      </c>
      <c r="AV8" s="32">
        <f>SUMIFS(合格品入货记录!$G:$G,合格品入货记录!$A:$A,样品!AV$3,合格品入货记录!$E:$E,样品!$E8)</f>
        <v>0</v>
      </c>
      <c r="AW8" s="32">
        <f>SUMIFS(合格品入货记录!$G:$G,合格品入货记录!$A:$A,样品!AW$3,合格品入货记录!$E:$E,样品!$E8)</f>
        <v>0</v>
      </c>
      <c r="AX8" s="32">
        <f>SUMIFS(合格品入货记录!$G:$G,合格品入货记录!$A:$A,样品!AX$3,合格品入货记录!$E:$E,样品!$E8)</f>
        <v>0</v>
      </c>
      <c r="AY8" s="32">
        <f>SUMIFS(合格品入货记录!$G:$G,合格品入货记录!$A:$A,样品!AY$3,合格品入货记录!$E:$E,样品!$E8)</f>
        <v>0</v>
      </c>
      <c r="AZ8" s="32">
        <f>SUMIFS(合格品入货记录!$G:$G,合格品入货记录!$A:$A,样品!AZ$3,合格品入货记录!$E:$E,样品!$E8)</f>
        <v>0</v>
      </c>
      <c r="BA8" s="32">
        <f>SUMIFS(合格品入货记录!$G:$G,合格品入货记录!$A:$A,样品!BA$3,合格品入货记录!$E:$E,样品!$E8)</f>
        <v>0</v>
      </c>
      <c r="BB8" s="32">
        <f>SUMIFS(合格品入货记录!$G:$G,合格品入货记录!$A:$A,样品!BB$3,合格品入货记录!$E:$E,样品!$E8)</f>
        <v>0</v>
      </c>
      <c r="BC8" s="32">
        <f>SUMIFS(合格品入货记录!$G:$G,合格品入货记录!$A:$A,样品!BC$3,合格品入货记录!$E:$E,样品!$E8)</f>
        <v>0</v>
      </c>
      <c r="BD8" s="32">
        <f>SUMIFS(合格品入货记录!$G:$G,合格品入货记录!$A:$A,样品!BD$3,合格品入货记录!$E:$E,样品!$E8)</f>
        <v>0</v>
      </c>
      <c r="BE8" s="32">
        <f>SUMIFS(合格品入货记录!$G:$G,合格品入货记录!$A:$A,样品!BE$3,合格品入货记录!$E:$E,样品!$E8)</f>
        <v>0</v>
      </c>
      <c r="BF8" s="32">
        <f>SUMIFS(合格品入货记录!$G:$G,合格品入货记录!$A:$A,样品!BF$3,合格品入货记录!$E:$E,样品!$E8)</f>
        <v>0</v>
      </c>
      <c r="BG8" s="32">
        <f>SUMIFS(合格品入货记录!$G:$G,合格品入货记录!$A:$A,样品!BG$3,合格品入货记录!$E:$E,样品!$E8)</f>
        <v>0</v>
      </c>
      <c r="BH8" s="32">
        <f>SUMIFS(合格品入货记录!$G:$G,合格品入货记录!$A:$A,样品!BH$3,合格品入货记录!$E:$E,样品!$E8)</f>
        <v>0</v>
      </c>
      <c r="BI8" s="32">
        <f>SUMIFS(合格品入货记录!$G:$G,合格品入货记录!$A:$A,样品!BI$3,合格品入货记录!$E:$E,样品!$E8)</f>
        <v>0</v>
      </c>
      <c r="BJ8" s="32">
        <f>SUMIFS(合格品入货记录!$G:$G,合格品入货记录!$A:$A,样品!BJ$3,合格品入货记录!$E:$E,样品!$E8)</f>
        <v>0</v>
      </c>
      <c r="BK8" s="32">
        <f>SUMIFS(合格品入货记录!$G:$G,合格品入货记录!$A:$A,样品!BK$3,合格品入货记录!$E:$E,样品!$E8)</f>
        <v>0</v>
      </c>
      <c r="BL8" s="32">
        <f>SUMIFS(合格品入货记录!$G:$G,合格品入货记录!$A:$A,样品!BL$3,合格品入货记录!$E:$E,样品!$E8)</f>
        <v>0</v>
      </c>
      <c r="BM8" s="32">
        <f>SUMIFS(合格品入货记录!$G:$G,合格品入货记录!$A:$A,样品!BM$3,合格品入货记录!$E:$E,样品!$E8)</f>
        <v>0</v>
      </c>
      <c r="BN8" s="32">
        <f>SUMIFS(合格品入货记录!$G:$G,合格品入货记录!$A:$A,样品!BN$3,合格品入货记录!$E:$E,样品!$E8)</f>
        <v>0</v>
      </c>
      <c r="BO8" s="32">
        <f>SUMIFS(合格品入货记录!$G:$G,合格品入货记录!$A:$A,样品!BO$3,合格品入货记录!$E:$E,样品!$E8)</f>
        <v>0</v>
      </c>
      <c r="BP8" s="32">
        <f>SUMIFS(合格品入货记录!$G:$G,合格品入货记录!$A:$A,样品!BP$3,合格品入货记录!$E:$E,样品!$E8)</f>
        <v>0</v>
      </c>
      <c r="BQ8" s="32">
        <f>SUMIFS(合格品入货记录!$G:$G,合格品入货记录!$A:$A,样品!BQ$3,合格品入货记录!$E:$E,样品!$E8)</f>
        <v>0</v>
      </c>
      <c r="BR8" s="32">
        <f>SUMIFS(合格品入货记录!$G:$G,合格品入货记录!$A:$A,样品!BR$3,合格品入货记录!$E:$E,样品!$E8)</f>
        <v>0</v>
      </c>
      <c r="BS8" s="32">
        <f>SUMIFS(合格品入货记录!$G:$G,合格品入货记录!$A:$A,样品!BS$3,合格品入货记录!$E:$E,样品!$E8)</f>
        <v>0</v>
      </c>
      <c r="BT8" s="32">
        <f>SUMIFS(合格品入货记录!$G:$G,合格品入货记录!$A:$A,样品!BT$3,合格品入货记录!$E:$E,样品!$E8)</f>
        <v>0</v>
      </c>
      <c r="BU8" s="32">
        <f>SUMIFS(合格品入货记录!$G:$G,合格品入货记录!$A:$A,样品!BU$3,合格品入货记录!$E:$E,样品!$E8)</f>
        <v>0</v>
      </c>
      <c r="BV8" s="32">
        <f>SUMIFS(合格品入货记录!$G:$G,合格品入货记录!$A:$A,样品!BV$3,合格品入货记录!$E:$E,样品!$E8)</f>
        <v>0</v>
      </c>
      <c r="BW8" s="32">
        <f>SUMIFS(合格品入货记录!$G:$G,合格品入货记录!$A:$A,样品!BW$3,合格品入货记录!$E:$E,样品!$E8)</f>
        <v>0</v>
      </c>
      <c r="BX8" s="32">
        <f>SUMIFS(合格品入货记录!$G:$G,合格品入货记录!$A:$A,样品!BX$3,合格品入货记录!$E:$E,样品!$E8)</f>
        <v>0</v>
      </c>
      <c r="BY8" s="32">
        <f>SUMIFS(合格品入货记录!$G:$G,合格品入货记录!$A:$A,样品!BY$3,合格品入货记录!$E:$E,样品!$E8)</f>
        <v>0</v>
      </c>
      <c r="BZ8" s="124"/>
      <c r="CA8" s="124"/>
      <c r="CB8" s="125"/>
      <c r="CC8" s="125"/>
    </row>
    <row r="9" s="90" customFormat="1" customHeight="1" spans="1:81">
      <c r="A9" s="31">
        <v>6</v>
      </c>
      <c r="B9" s="102" t="s">
        <v>19</v>
      </c>
      <c r="C9" s="103" t="s">
        <v>20</v>
      </c>
      <c r="D9" s="30">
        <v>801001003681</v>
      </c>
      <c r="E9" s="32" t="s">
        <v>277</v>
      </c>
      <c r="F9" s="103" t="s">
        <v>278</v>
      </c>
      <c r="G9" s="32"/>
      <c r="H9" s="32">
        <v>93</v>
      </c>
      <c r="I9" s="112">
        <f>SUMIF(合格品入货记录!E:E,样品!E9,合格品入货记录!G:G)</f>
        <v>0</v>
      </c>
      <c r="J9" s="112">
        <f>SUMIF(合格品出库记录!E:E,样品!E9,合格品出库记录!G:G)</f>
        <v>0</v>
      </c>
      <c r="K9" s="102">
        <f t="shared" si="0"/>
        <v>93</v>
      </c>
      <c r="L9" s="102">
        <f>SUMIF(不良品库存!D:D,E9:E48,不良品库存!F:F)</f>
        <v>0</v>
      </c>
      <c r="M9" s="113">
        <f t="shared" si="1"/>
        <v>93</v>
      </c>
      <c r="N9" s="102"/>
      <c r="O9" s="102"/>
      <c r="P9" s="32">
        <f>IFERROR(SUMIFS(合格品入货记录!$G:$G,合格品入货记录!$A:$A,样品!P$3,合格品入货记录!$E:$E,样品!$E9)," ")</f>
        <v>0</v>
      </c>
      <c r="Q9" s="32">
        <f>SUMIFS(合格品入货记录!$G:$G,合格品入货记录!$A:$A,样品!Q$3,合格品入货记录!$E:$E,样品!$E9)</f>
        <v>0</v>
      </c>
      <c r="R9" s="32">
        <f>SUMIFS(合格品入货记录!$G:$G,合格品入货记录!$A:$A,样品!R$3,合格品入货记录!$E:$E,样品!$E9)</f>
        <v>0</v>
      </c>
      <c r="S9" s="32">
        <f>SUMIFS(合格品入货记录!$G:$G,合格品入货记录!$A:$A,样品!S$3,合格品入货记录!$E:$E,样品!$E9)</f>
        <v>0</v>
      </c>
      <c r="T9" s="32">
        <f>SUMIFS(合格品入货记录!$G:$G,合格品入货记录!$A:$A,样品!T$3,合格品入货记录!$E:$E,样品!$E9)</f>
        <v>0</v>
      </c>
      <c r="U9" s="32">
        <f>SUMIFS(合格品入货记录!$G:$G,合格品入货记录!$A:$A,样品!U$3,合格品入货记录!$E:$E,样品!$E9)</f>
        <v>0</v>
      </c>
      <c r="V9" s="32">
        <f>SUMIFS(合格品入货记录!$G:$G,合格品入货记录!$A:$A,样品!V$3,合格品入货记录!$E:$E,样品!$E9)</f>
        <v>0</v>
      </c>
      <c r="W9" s="32">
        <f>SUMIFS(合格品入货记录!$G:$G,合格品入货记录!$A:$A,样品!W$3,合格品入货记录!$E:$E,样品!$E9)</f>
        <v>0</v>
      </c>
      <c r="X9" s="32">
        <f>SUMIFS(合格品入货记录!$G:$G,合格品入货记录!$A:$A,样品!X$3,合格品入货记录!$E:$E,样品!$E9)</f>
        <v>0</v>
      </c>
      <c r="Y9" s="32">
        <f>SUMIFS(合格品入货记录!$G:$G,合格品入货记录!$A:$A,样品!Y$3,合格品入货记录!$E:$E,样品!$E9)</f>
        <v>0</v>
      </c>
      <c r="Z9" s="32">
        <f>SUMIFS(合格品入货记录!$G:$G,合格品入货记录!$A:$A,样品!Z$3,合格品入货记录!$E:$E,样品!$E9)</f>
        <v>0</v>
      </c>
      <c r="AA9" s="32">
        <f>SUMIFS(合格品入货记录!$G:$G,合格品入货记录!$A:$A,样品!AA$3,合格品入货记录!$E:$E,样品!$E9)</f>
        <v>0</v>
      </c>
      <c r="AB9" s="32">
        <f>SUMIFS(合格品入货记录!$G:$G,合格品入货记录!$A:$A,样品!AB$3,合格品入货记录!$E:$E,样品!$E9)</f>
        <v>0</v>
      </c>
      <c r="AC9" s="32">
        <f>SUMIFS(合格品入货记录!$G:$G,合格品入货记录!$A:$A,样品!AC$3,合格品入货记录!$E:$E,样品!$E9)</f>
        <v>0</v>
      </c>
      <c r="AD9" s="32">
        <f>SUMIFS(合格品入货记录!$G:$G,合格品入货记录!$A:$A,样品!AD$3,合格品入货记录!$E:$E,样品!$E9)</f>
        <v>0</v>
      </c>
      <c r="AE9" s="32">
        <f>SUMIFS(合格品入货记录!$G:$G,合格品入货记录!$A:$A,样品!AE$3,合格品入货记录!$E:$E,样品!$E9)</f>
        <v>0</v>
      </c>
      <c r="AF9" s="32">
        <f>SUMIFS(合格品入货记录!$G:$G,合格品入货记录!$A:$A,样品!AF$3,合格品入货记录!$E:$E,样品!$E9)</f>
        <v>0</v>
      </c>
      <c r="AG9" s="32">
        <f>SUMIFS(合格品入货记录!$G:$G,合格品入货记录!$A:$A,样品!AG$3,合格品入货记录!$E:$E,样品!$E9)</f>
        <v>0</v>
      </c>
      <c r="AH9" s="32">
        <f>SUMIFS(合格品入货记录!$G:$G,合格品入货记录!$A:$A,样品!AH$3,合格品入货记录!$E:$E,样品!$E9)</f>
        <v>0</v>
      </c>
      <c r="AI9" s="32">
        <f>SUMIFS(合格品入货记录!$G:$G,合格品入货记录!$A:$A,样品!AI$3,合格品入货记录!$E:$E,样品!$E9)</f>
        <v>0</v>
      </c>
      <c r="AJ9" s="32">
        <f>SUMIFS(合格品入货记录!$G:$G,合格品入货记录!$A:$A,样品!AJ$3,合格品入货记录!$E:$E,样品!$E9)</f>
        <v>0</v>
      </c>
      <c r="AK9" s="32">
        <f>SUMIFS(合格品入货记录!$G:$G,合格品入货记录!$A:$A,样品!AK$3,合格品入货记录!$E:$E,样品!$E9)</f>
        <v>0</v>
      </c>
      <c r="AL9" s="32">
        <f>SUMIFS(合格品入货记录!$G:$G,合格品入货记录!$A:$A,样品!AL$3,合格品入货记录!$E:$E,样品!$E9)</f>
        <v>0</v>
      </c>
      <c r="AM9" s="32">
        <f>SUMIFS(合格品入货记录!$G:$G,合格品入货记录!$A:$A,样品!AM$3,合格品入货记录!$E:$E,样品!$E9)</f>
        <v>0</v>
      </c>
      <c r="AN9" s="32">
        <f>SUMIFS(合格品入货记录!$G:$G,合格品入货记录!$A:$A,样品!AN$3,合格品入货记录!$E:$E,样品!$E9)</f>
        <v>0</v>
      </c>
      <c r="AO9" s="32">
        <f>SUMIFS(合格品入货记录!$G:$G,合格品入货记录!$A:$A,样品!AO$3,合格品入货记录!$E:$E,样品!$E9)</f>
        <v>0</v>
      </c>
      <c r="AP9" s="32">
        <f>SUMIFS(合格品入货记录!$G:$G,合格品入货记录!$A:$A,样品!AP$3,合格品入货记录!$E:$E,样品!$E9)</f>
        <v>0</v>
      </c>
      <c r="AQ9" s="32">
        <f>SUMIFS(合格品入货记录!$G:$G,合格品入货记录!$A:$A,样品!AQ$3,合格品入货记录!$E:$E,样品!$E9)</f>
        <v>0</v>
      </c>
      <c r="AR9" s="32">
        <f>SUMIFS(合格品入货记录!$G:$G,合格品入货记录!$A:$A,样品!AR$3,合格品入货记录!$E:$E,样品!$E9)</f>
        <v>0</v>
      </c>
      <c r="AS9" s="32">
        <f>SUMIFS(合格品入货记录!$G:$G,合格品入货记录!$A:$A,样品!AS$3,合格品入货记录!$E:$E,样品!$E9)</f>
        <v>0</v>
      </c>
      <c r="AT9" s="32">
        <f>SUMIFS(合格品入货记录!$G:$G,合格品入货记录!$A:$A,样品!AT$3,合格品入货记录!$E:$E,样品!$E9)</f>
        <v>0</v>
      </c>
      <c r="AU9" s="32">
        <f>SUMIFS(合格品入货记录!$G:$G,合格品入货记录!$A:$A,样品!AU$3,合格品入货记录!$E:$E,样品!$E9)</f>
        <v>0</v>
      </c>
      <c r="AV9" s="32">
        <f>SUMIFS(合格品入货记录!$G:$G,合格品入货记录!$A:$A,样品!AV$3,合格品入货记录!$E:$E,样品!$E9)</f>
        <v>0</v>
      </c>
      <c r="AW9" s="32">
        <f>SUMIFS(合格品入货记录!$G:$G,合格品入货记录!$A:$A,样品!AW$3,合格品入货记录!$E:$E,样品!$E9)</f>
        <v>0</v>
      </c>
      <c r="AX9" s="32">
        <f>SUMIFS(合格品入货记录!$G:$G,合格品入货记录!$A:$A,样品!AX$3,合格品入货记录!$E:$E,样品!$E9)</f>
        <v>0</v>
      </c>
      <c r="AY9" s="32">
        <f>SUMIFS(合格品入货记录!$G:$G,合格品入货记录!$A:$A,样品!AY$3,合格品入货记录!$E:$E,样品!$E9)</f>
        <v>0</v>
      </c>
      <c r="AZ9" s="32">
        <f>SUMIFS(合格品入货记录!$G:$G,合格品入货记录!$A:$A,样品!AZ$3,合格品入货记录!$E:$E,样品!$E9)</f>
        <v>0</v>
      </c>
      <c r="BA9" s="32">
        <f>SUMIFS(合格品入货记录!$G:$G,合格品入货记录!$A:$A,样品!BA$3,合格品入货记录!$E:$E,样品!$E9)</f>
        <v>0</v>
      </c>
      <c r="BB9" s="32">
        <f>SUMIFS(合格品入货记录!$G:$G,合格品入货记录!$A:$A,样品!BB$3,合格品入货记录!$E:$E,样品!$E9)</f>
        <v>0</v>
      </c>
      <c r="BC9" s="32">
        <f>SUMIFS(合格品入货记录!$G:$G,合格品入货记录!$A:$A,样品!BC$3,合格品入货记录!$E:$E,样品!$E9)</f>
        <v>0</v>
      </c>
      <c r="BD9" s="32">
        <f>SUMIFS(合格品入货记录!$G:$G,合格品入货记录!$A:$A,样品!BD$3,合格品入货记录!$E:$E,样品!$E9)</f>
        <v>0</v>
      </c>
      <c r="BE9" s="32">
        <f>SUMIFS(合格品入货记录!$G:$G,合格品入货记录!$A:$A,样品!BE$3,合格品入货记录!$E:$E,样品!$E9)</f>
        <v>0</v>
      </c>
      <c r="BF9" s="32">
        <f>SUMIFS(合格品入货记录!$G:$G,合格品入货记录!$A:$A,样品!BF$3,合格品入货记录!$E:$E,样品!$E9)</f>
        <v>0</v>
      </c>
      <c r="BG9" s="32">
        <f>SUMIFS(合格品入货记录!$G:$G,合格品入货记录!$A:$A,样品!BG$3,合格品入货记录!$E:$E,样品!$E9)</f>
        <v>0</v>
      </c>
      <c r="BH9" s="32">
        <f>SUMIFS(合格品入货记录!$G:$G,合格品入货记录!$A:$A,样品!BH$3,合格品入货记录!$E:$E,样品!$E9)</f>
        <v>0</v>
      </c>
      <c r="BI9" s="32">
        <f>SUMIFS(合格品入货记录!$G:$G,合格品入货记录!$A:$A,样品!BI$3,合格品入货记录!$E:$E,样品!$E9)</f>
        <v>0</v>
      </c>
      <c r="BJ9" s="32">
        <f>SUMIFS(合格品入货记录!$G:$G,合格品入货记录!$A:$A,样品!BJ$3,合格品入货记录!$E:$E,样品!$E9)</f>
        <v>0</v>
      </c>
      <c r="BK9" s="32">
        <f>SUMIFS(合格品入货记录!$G:$G,合格品入货记录!$A:$A,样品!BK$3,合格品入货记录!$E:$E,样品!$E9)</f>
        <v>0</v>
      </c>
      <c r="BL9" s="32">
        <f>SUMIFS(合格品入货记录!$G:$G,合格品入货记录!$A:$A,样品!BL$3,合格品入货记录!$E:$E,样品!$E9)</f>
        <v>0</v>
      </c>
      <c r="BM9" s="32">
        <f>SUMIFS(合格品入货记录!$G:$G,合格品入货记录!$A:$A,样品!BM$3,合格品入货记录!$E:$E,样品!$E9)</f>
        <v>0</v>
      </c>
      <c r="BN9" s="32">
        <f>SUMIFS(合格品入货记录!$G:$G,合格品入货记录!$A:$A,样品!BN$3,合格品入货记录!$E:$E,样品!$E9)</f>
        <v>0</v>
      </c>
      <c r="BO9" s="32">
        <f>SUMIFS(合格品入货记录!$G:$G,合格品入货记录!$A:$A,样品!BO$3,合格品入货记录!$E:$E,样品!$E9)</f>
        <v>0</v>
      </c>
      <c r="BP9" s="32">
        <f>SUMIFS(合格品入货记录!$G:$G,合格品入货记录!$A:$A,样品!BP$3,合格品入货记录!$E:$E,样品!$E9)</f>
        <v>0</v>
      </c>
      <c r="BQ9" s="32">
        <f>SUMIFS(合格品入货记录!$G:$G,合格品入货记录!$A:$A,样品!BQ$3,合格品入货记录!$E:$E,样品!$E9)</f>
        <v>0</v>
      </c>
      <c r="BR9" s="32">
        <f>SUMIFS(合格品入货记录!$G:$G,合格品入货记录!$A:$A,样品!BR$3,合格品入货记录!$E:$E,样品!$E9)</f>
        <v>0</v>
      </c>
      <c r="BS9" s="32">
        <f>SUMIFS(合格品入货记录!$G:$G,合格品入货记录!$A:$A,样品!BS$3,合格品入货记录!$E:$E,样品!$E9)</f>
        <v>0</v>
      </c>
      <c r="BT9" s="32">
        <f>SUMIFS(合格品入货记录!$G:$G,合格品入货记录!$A:$A,样品!BT$3,合格品入货记录!$E:$E,样品!$E9)</f>
        <v>0</v>
      </c>
      <c r="BU9" s="32">
        <f>SUMIFS(合格品入货记录!$G:$G,合格品入货记录!$A:$A,样品!BU$3,合格品入货记录!$E:$E,样品!$E9)</f>
        <v>0</v>
      </c>
      <c r="BV9" s="32">
        <f>SUMIFS(合格品入货记录!$G:$G,合格品入货记录!$A:$A,样品!BV$3,合格品入货记录!$E:$E,样品!$E9)</f>
        <v>0</v>
      </c>
      <c r="BW9" s="32">
        <f>SUMIFS(合格品入货记录!$G:$G,合格品入货记录!$A:$A,样品!BW$3,合格品入货记录!$E:$E,样品!$E9)</f>
        <v>0</v>
      </c>
      <c r="BX9" s="32">
        <f>SUMIFS(合格品入货记录!$G:$G,合格品入货记录!$A:$A,样品!BX$3,合格品入货记录!$E:$E,样品!$E9)</f>
        <v>0</v>
      </c>
      <c r="BY9" s="32">
        <f>SUMIFS(合格品入货记录!$G:$G,合格品入货记录!$A:$A,样品!BY$3,合格品入货记录!$E:$E,样品!$E9)</f>
        <v>0</v>
      </c>
      <c r="BZ9" s="123"/>
      <c r="CA9" s="123"/>
      <c r="CB9" s="125"/>
      <c r="CC9" s="125"/>
    </row>
    <row r="10" s="90" customFormat="1" customHeight="1" spans="1:81">
      <c r="A10" s="31">
        <v>7</v>
      </c>
      <c r="B10" s="104" t="s">
        <v>19</v>
      </c>
      <c r="C10" s="105" t="s">
        <v>20</v>
      </c>
      <c r="D10" s="32" t="s">
        <v>279</v>
      </c>
      <c r="E10" s="31" t="s">
        <v>280</v>
      </c>
      <c r="F10" s="105" t="s">
        <v>281</v>
      </c>
      <c r="G10" s="31"/>
      <c r="H10" s="31">
        <v>1920</v>
      </c>
      <c r="I10" s="106">
        <f>SUMIF(合格品入货记录!E:E,样品!E10,合格品入货记录!G:G)</f>
        <v>0</v>
      </c>
      <c r="J10" s="106">
        <f>SUMIF(合格品出库记录!E:E,样品!E10,合格品出库记录!G:G)</f>
        <v>0</v>
      </c>
      <c r="K10" s="102">
        <f t="shared" si="0"/>
        <v>1920</v>
      </c>
      <c r="L10" s="102">
        <f>SUMIF(不良品库存!D:D,E10:E49,不良品库存!F:F)</f>
        <v>0</v>
      </c>
      <c r="M10" s="113">
        <f t="shared" si="1"/>
        <v>1920</v>
      </c>
      <c r="N10" s="31"/>
      <c r="O10" s="104"/>
      <c r="P10" s="32">
        <f>IFERROR(SUMIFS(合格品入货记录!$G:$G,合格品入货记录!$A:$A,样品!P$3,合格品入货记录!$E:$E,样品!$E10)," ")</f>
        <v>0</v>
      </c>
      <c r="Q10" s="32">
        <f>SUMIFS(合格品入货记录!$G:$G,合格品入货记录!$A:$A,样品!Q$3,合格品入货记录!$E:$E,样品!$E10)</f>
        <v>0</v>
      </c>
      <c r="R10" s="32">
        <f>SUMIFS(合格品入货记录!$G:$G,合格品入货记录!$A:$A,样品!R$3,合格品入货记录!$E:$E,样品!$E10)</f>
        <v>0</v>
      </c>
      <c r="S10" s="32">
        <f>SUMIFS(合格品入货记录!$G:$G,合格品入货记录!$A:$A,样品!S$3,合格品入货记录!$E:$E,样品!$E10)</f>
        <v>0</v>
      </c>
      <c r="T10" s="32">
        <f>SUMIFS(合格品入货记录!$G:$G,合格品入货记录!$A:$A,样品!T$3,合格品入货记录!$E:$E,样品!$E10)</f>
        <v>0</v>
      </c>
      <c r="U10" s="32">
        <f>SUMIFS(合格品入货记录!$G:$G,合格品入货记录!$A:$A,样品!U$3,合格品入货记录!$E:$E,样品!$E10)</f>
        <v>0</v>
      </c>
      <c r="V10" s="32">
        <f>SUMIFS(合格品入货记录!$G:$G,合格品入货记录!$A:$A,样品!V$3,合格品入货记录!$E:$E,样品!$E10)</f>
        <v>0</v>
      </c>
      <c r="W10" s="32">
        <f>SUMIFS(合格品入货记录!$G:$G,合格品入货记录!$A:$A,样品!W$3,合格品入货记录!$E:$E,样品!$E10)</f>
        <v>0</v>
      </c>
      <c r="X10" s="32">
        <f>SUMIFS(合格品入货记录!$G:$G,合格品入货记录!$A:$A,样品!X$3,合格品入货记录!$E:$E,样品!$E10)</f>
        <v>0</v>
      </c>
      <c r="Y10" s="32">
        <f>SUMIFS(合格品入货记录!$G:$G,合格品入货记录!$A:$A,样品!Y$3,合格品入货记录!$E:$E,样品!$E10)</f>
        <v>0</v>
      </c>
      <c r="Z10" s="32">
        <f>SUMIFS(合格品入货记录!$G:$G,合格品入货记录!$A:$A,样品!Z$3,合格品入货记录!$E:$E,样品!$E10)</f>
        <v>0</v>
      </c>
      <c r="AA10" s="32">
        <f>SUMIFS(合格品入货记录!$G:$G,合格品入货记录!$A:$A,样品!AA$3,合格品入货记录!$E:$E,样品!$E10)</f>
        <v>0</v>
      </c>
      <c r="AB10" s="32">
        <f>SUMIFS(合格品入货记录!$G:$G,合格品入货记录!$A:$A,样品!AB$3,合格品入货记录!$E:$E,样品!$E10)</f>
        <v>0</v>
      </c>
      <c r="AC10" s="32">
        <f>SUMIFS(合格品入货记录!$G:$G,合格品入货记录!$A:$A,样品!AC$3,合格品入货记录!$E:$E,样品!$E10)</f>
        <v>0</v>
      </c>
      <c r="AD10" s="32">
        <f>SUMIFS(合格品入货记录!$G:$G,合格品入货记录!$A:$A,样品!AD$3,合格品入货记录!$E:$E,样品!$E10)</f>
        <v>0</v>
      </c>
      <c r="AE10" s="32">
        <f>SUMIFS(合格品入货记录!$G:$G,合格品入货记录!$A:$A,样品!AE$3,合格品入货记录!$E:$E,样品!$E10)</f>
        <v>0</v>
      </c>
      <c r="AF10" s="32">
        <f>SUMIFS(合格品入货记录!$G:$G,合格品入货记录!$A:$A,样品!AF$3,合格品入货记录!$E:$E,样品!$E10)</f>
        <v>0</v>
      </c>
      <c r="AG10" s="32">
        <f>SUMIFS(合格品入货记录!$G:$G,合格品入货记录!$A:$A,样品!AG$3,合格品入货记录!$E:$E,样品!$E10)</f>
        <v>0</v>
      </c>
      <c r="AH10" s="32">
        <f>SUMIFS(合格品入货记录!$G:$G,合格品入货记录!$A:$A,样品!AH$3,合格品入货记录!$E:$E,样品!$E10)</f>
        <v>0</v>
      </c>
      <c r="AI10" s="32">
        <f>SUMIFS(合格品入货记录!$G:$G,合格品入货记录!$A:$A,样品!AI$3,合格品入货记录!$E:$E,样品!$E10)</f>
        <v>0</v>
      </c>
      <c r="AJ10" s="32">
        <f>SUMIFS(合格品入货记录!$G:$G,合格品入货记录!$A:$A,样品!AJ$3,合格品入货记录!$E:$E,样品!$E10)</f>
        <v>0</v>
      </c>
      <c r="AK10" s="32">
        <f>SUMIFS(合格品入货记录!$G:$G,合格品入货记录!$A:$A,样品!AK$3,合格品入货记录!$E:$E,样品!$E10)</f>
        <v>0</v>
      </c>
      <c r="AL10" s="32">
        <f>SUMIFS(合格品入货记录!$G:$G,合格品入货记录!$A:$A,样品!AL$3,合格品入货记录!$E:$E,样品!$E10)</f>
        <v>0</v>
      </c>
      <c r="AM10" s="32">
        <f>SUMIFS(合格品入货记录!$G:$G,合格品入货记录!$A:$A,样品!AM$3,合格品入货记录!$E:$E,样品!$E10)</f>
        <v>0</v>
      </c>
      <c r="AN10" s="32">
        <f>SUMIFS(合格品入货记录!$G:$G,合格品入货记录!$A:$A,样品!AN$3,合格品入货记录!$E:$E,样品!$E10)</f>
        <v>0</v>
      </c>
      <c r="AO10" s="32">
        <f>SUMIFS(合格品入货记录!$G:$G,合格品入货记录!$A:$A,样品!AO$3,合格品入货记录!$E:$E,样品!$E10)</f>
        <v>0</v>
      </c>
      <c r="AP10" s="32">
        <f>SUMIFS(合格品入货记录!$G:$G,合格品入货记录!$A:$A,样品!AP$3,合格品入货记录!$E:$E,样品!$E10)</f>
        <v>0</v>
      </c>
      <c r="AQ10" s="32">
        <f>SUMIFS(合格品入货记录!$G:$G,合格品入货记录!$A:$A,样品!AQ$3,合格品入货记录!$E:$E,样品!$E10)</f>
        <v>0</v>
      </c>
      <c r="AR10" s="32">
        <f>SUMIFS(合格品入货记录!$G:$G,合格品入货记录!$A:$A,样品!AR$3,合格品入货记录!$E:$E,样品!$E10)</f>
        <v>0</v>
      </c>
      <c r="AS10" s="32">
        <f>SUMIFS(合格品入货记录!$G:$G,合格品入货记录!$A:$A,样品!AS$3,合格品入货记录!$E:$E,样品!$E10)</f>
        <v>0</v>
      </c>
      <c r="AT10" s="32">
        <f>SUMIFS(合格品入货记录!$G:$G,合格品入货记录!$A:$A,样品!AT$3,合格品入货记录!$E:$E,样品!$E10)</f>
        <v>0</v>
      </c>
      <c r="AU10" s="32">
        <f>SUMIFS(合格品入货记录!$G:$G,合格品入货记录!$A:$A,样品!AU$3,合格品入货记录!$E:$E,样品!$E10)</f>
        <v>0</v>
      </c>
      <c r="AV10" s="32">
        <f>SUMIFS(合格品入货记录!$G:$G,合格品入货记录!$A:$A,样品!AV$3,合格品入货记录!$E:$E,样品!$E10)</f>
        <v>0</v>
      </c>
      <c r="AW10" s="32">
        <f>SUMIFS(合格品入货记录!$G:$G,合格品入货记录!$A:$A,样品!AW$3,合格品入货记录!$E:$E,样品!$E10)</f>
        <v>0</v>
      </c>
      <c r="AX10" s="32">
        <f>SUMIFS(合格品入货记录!$G:$G,合格品入货记录!$A:$A,样品!AX$3,合格品入货记录!$E:$E,样品!$E10)</f>
        <v>0</v>
      </c>
      <c r="AY10" s="32">
        <f>SUMIFS(合格品入货记录!$G:$G,合格品入货记录!$A:$A,样品!AY$3,合格品入货记录!$E:$E,样品!$E10)</f>
        <v>0</v>
      </c>
      <c r="AZ10" s="32">
        <f>SUMIFS(合格品入货记录!$G:$G,合格品入货记录!$A:$A,样品!AZ$3,合格品入货记录!$E:$E,样品!$E10)</f>
        <v>0</v>
      </c>
      <c r="BA10" s="32">
        <f>SUMIFS(合格品入货记录!$G:$G,合格品入货记录!$A:$A,样品!BA$3,合格品入货记录!$E:$E,样品!$E10)</f>
        <v>0</v>
      </c>
      <c r="BB10" s="32">
        <f>SUMIFS(合格品入货记录!$G:$G,合格品入货记录!$A:$A,样品!BB$3,合格品入货记录!$E:$E,样品!$E10)</f>
        <v>0</v>
      </c>
      <c r="BC10" s="32">
        <f>SUMIFS(合格品入货记录!$G:$G,合格品入货记录!$A:$A,样品!BC$3,合格品入货记录!$E:$E,样品!$E10)</f>
        <v>0</v>
      </c>
      <c r="BD10" s="32">
        <f>SUMIFS(合格品入货记录!$G:$G,合格品入货记录!$A:$A,样品!BD$3,合格品入货记录!$E:$E,样品!$E10)</f>
        <v>0</v>
      </c>
      <c r="BE10" s="32">
        <f>SUMIFS(合格品入货记录!$G:$G,合格品入货记录!$A:$A,样品!BE$3,合格品入货记录!$E:$E,样品!$E10)</f>
        <v>0</v>
      </c>
      <c r="BF10" s="32">
        <f>SUMIFS(合格品入货记录!$G:$G,合格品入货记录!$A:$A,样品!BF$3,合格品入货记录!$E:$E,样品!$E10)</f>
        <v>0</v>
      </c>
      <c r="BG10" s="32">
        <f>SUMIFS(合格品入货记录!$G:$G,合格品入货记录!$A:$A,样品!BG$3,合格品入货记录!$E:$E,样品!$E10)</f>
        <v>0</v>
      </c>
      <c r="BH10" s="32">
        <f>SUMIFS(合格品入货记录!$G:$G,合格品入货记录!$A:$A,样品!BH$3,合格品入货记录!$E:$E,样品!$E10)</f>
        <v>0</v>
      </c>
      <c r="BI10" s="32">
        <f>SUMIFS(合格品入货记录!$G:$G,合格品入货记录!$A:$A,样品!BI$3,合格品入货记录!$E:$E,样品!$E10)</f>
        <v>0</v>
      </c>
      <c r="BJ10" s="32">
        <f>SUMIFS(合格品入货记录!$G:$G,合格品入货记录!$A:$A,样品!BJ$3,合格品入货记录!$E:$E,样品!$E10)</f>
        <v>0</v>
      </c>
      <c r="BK10" s="32">
        <f>SUMIFS(合格品入货记录!$G:$G,合格品入货记录!$A:$A,样品!BK$3,合格品入货记录!$E:$E,样品!$E10)</f>
        <v>0</v>
      </c>
      <c r="BL10" s="32">
        <f>SUMIFS(合格品入货记录!$G:$G,合格品入货记录!$A:$A,样品!BL$3,合格品入货记录!$E:$E,样品!$E10)</f>
        <v>0</v>
      </c>
      <c r="BM10" s="32">
        <f>SUMIFS(合格品入货记录!$G:$G,合格品入货记录!$A:$A,样品!BM$3,合格品入货记录!$E:$E,样品!$E10)</f>
        <v>0</v>
      </c>
      <c r="BN10" s="32">
        <f>SUMIFS(合格品入货记录!$G:$G,合格品入货记录!$A:$A,样品!BN$3,合格品入货记录!$E:$E,样品!$E10)</f>
        <v>0</v>
      </c>
      <c r="BO10" s="32">
        <f>SUMIFS(合格品入货记录!$G:$G,合格品入货记录!$A:$A,样品!BO$3,合格品入货记录!$E:$E,样品!$E10)</f>
        <v>0</v>
      </c>
      <c r="BP10" s="32">
        <f>SUMIFS(合格品入货记录!$G:$G,合格品入货记录!$A:$A,样品!BP$3,合格品入货记录!$E:$E,样品!$E10)</f>
        <v>0</v>
      </c>
      <c r="BQ10" s="32">
        <f>SUMIFS(合格品入货记录!$G:$G,合格品入货记录!$A:$A,样品!BQ$3,合格品入货记录!$E:$E,样品!$E10)</f>
        <v>0</v>
      </c>
      <c r="BR10" s="32">
        <f>SUMIFS(合格品入货记录!$G:$G,合格品入货记录!$A:$A,样品!BR$3,合格品入货记录!$E:$E,样品!$E10)</f>
        <v>0</v>
      </c>
      <c r="BS10" s="32">
        <f>SUMIFS(合格品入货记录!$G:$G,合格品入货记录!$A:$A,样品!BS$3,合格品入货记录!$E:$E,样品!$E10)</f>
        <v>0</v>
      </c>
      <c r="BT10" s="32">
        <f>SUMIFS(合格品入货记录!$G:$G,合格品入货记录!$A:$A,样品!BT$3,合格品入货记录!$E:$E,样品!$E10)</f>
        <v>0</v>
      </c>
      <c r="BU10" s="32">
        <f>SUMIFS(合格品入货记录!$G:$G,合格品入货记录!$A:$A,样品!BU$3,合格品入货记录!$E:$E,样品!$E10)</f>
        <v>0</v>
      </c>
      <c r="BV10" s="32">
        <f>SUMIFS(合格品入货记录!$G:$G,合格品入货记录!$A:$A,样品!BV$3,合格品入货记录!$E:$E,样品!$E10)</f>
        <v>0</v>
      </c>
      <c r="BW10" s="32">
        <f>SUMIFS(合格品入货记录!$G:$G,合格品入货记录!$A:$A,样品!BW$3,合格品入货记录!$E:$E,样品!$E10)</f>
        <v>0</v>
      </c>
      <c r="BX10" s="32">
        <f>SUMIFS(合格品入货记录!$G:$G,合格品入货记录!$A:$A,样品!BX$3,合格品入货记录!$E:$E,样品!$E10)</f>
        <v>0</v>
      </c>
      <c r="BY10" s="32">
        <f>SUMIFS(合格品入货记录!$G:$G,合格品入货记录!$A:$A,样品!BY$3,合格品入货记录!$E:$E,样品!$E10)</f>
        <v>0</v>
      </c>
      <c r="BZ10" s="124"/>
      <c r="CA10" s="124"/>
      <c r="CB10" s="125"/>
      <c r="CC10" s="125"/>
    </row>
    <row r="11" s="90" customFormat="1" customHeight="1" spans="1:81">
      <c r="A11" s="31">
        <v>8</v>
      </c>
      <c r="B11" s="102" t="s">
        <v>19</v>
      </c>
      <c r="C11" s="103" t="s">
        <v>20</v>
      </c>
      <c r="D11" s="32" t="s">
        <v>282</v>
      </c>
      <c r="E11" s="32" t="s">
        <v>283</v>
      </c>
      <c r="F11" s="103" t="s">
        <v>284</v>
      </c>
      <c r="G11" s="32"/>
      <c r="H11" s="32">
        <v>700</v>
      </c>
      <c r="I11" s="112">
        <f>SUMIF(合格品入货记录!E:E,样品!E11,合格品入货记录!G:G)</f>
        <v>0</v>
      </c>
      <c r="J11" s="112">
        <f>SUMIF(合格品出库记录!E:E,样品!E11,合格品出库记录!G:G)</f>
        <v>700</v>
      </c>
      <c r="K11" s="102">
        <f t="shared" si="0"/>
        <v>100</v>
      </c>
      <c r="L11" s="102">
        <f>SUMIF(不良品库存!D:D,E11:E50,不良品库存!F:F)</f>
        <v>100</v>
      </c>
      <c r="M11" s="113">
        <f t="shared" si="1"/>
        <v>0</v>
      </c>
      <c r="N11" s="102"/>
      <c r="O11" s="102"/>
      <c r="P11" s="32">
        <f>IFERROR(SUMIFS(合格品入货记录!$G:$G,合格品入货记录!$A:$A,样品!P$3,合格品入货记录!$E:$E,样品!$E11)," ")</f>
        <v>0</v>
      </c>
      <c r="Q11" s="32">
        <f>SUMIFS(合格品入货记录!$G:$G,合格品入货记录!$A:$A,样品!Q$3,合格品入货记录!$E:$E,样品!$E11)</f>
        <v>0</v>
      </c>
      <c r="R11" s="32">
        <f>SUMIFS(合格品入货记录!$G:$G,合格品入货记录!$A:$A,样品!R$3,合格品入货记录!$E:$E,样品!$E11)</f>
        <v>0</v>
      </c>
      <c r="S11" s="32">
        <f>SUMIFS(合格品入货记录!$G:$G,合格品入货记录!$A:$A,样品!S$3,合格品入货记录!$E:$E,样品!$E11)</f>
        <v>0</v>
      </c>
      <c r="T11" s="32">
        <f>SUMIFS(合格品入货记录!$G:$G,合格品入货记录!$A:$A,样品!T$3,合格品入货记录!$E:$E,样品!$E11)</f>
        <v>0</v>
      </c>
      <c r="U11" s="32">
        <f>SUMIFS(合格品入货记录!$G:$G,合格品入货记录!$A:$A,样品!U$3,合格品入货记录!$E:$E,样品!$E11)</f>
        <v>0</v>
      </c>
      <c r="V11" s="32">
        <f>SUMIFS(合格品入货记录!$G:$G,合格品入货记录!$A:$A,样品!V$3,合格品入货记录!$E:$E,样品!$E11)</f>
        <v>0</v>
      </c>
      <c r="W11" s="32">
        <f>SUMIFS(合格品入货记录!$G:$G,合格品入货记录!$A:$A,样品!W$3,合格品入货记录!$E:$E,样品!$E11)</f>
        <v>0</v>
      </c>
      <c r="X11" s="32">
        <f>SUMIFS(合格品入货记录!$G:$G,合格品入货记录!$A:$A,样品!X$3,合格品入货记录!$E:$E,样品!$E11)</f>
        <v>0</v>
      </c>
      <c r="Y11" s="32">
        <f>SUMIFS(合格品入货记录!$G:$G,合格品入货记录!$A:$A,样品!Y$3,合格品入货记录!$E:$E,样品!$E11)</f>
        <v>0</v>
      </c>
      <c r="Z11" s="32">
        <f>SUMIFS(合格品入货记录!$G:$G,合格品入货记录!$A:$A,样品!Z$3,合格品入货记录!$E:$E,样品!$E11)</f>
        <v>0</v>
      </c>
      <c r="AA11" s="32">
        <f>SUMIFS(合格品入货记录!$G:$G,合格品入货记录!$A:$A,样品!AA$3,合格品入货记录!$E:$E,样品!$E11)</f>
        <v>0</v>
      </c>
      <c r="AB11" s="32">
        <f>SUMIFS(合格品入货记录!$G:$G,合格品入货记录!$A:$A,样品!AB$3,合格品入货记录!$E:$E,样品!$E11)</f>
        <v>0</v>
      </c>
      <c r="AC11" s="32">
        <f>SUMIFS(合格品入货记录!$G:$G,合格品入货记录!$A:$A,样品!AC$3,合格品入货记录!$E:$E,样品!$E11)</f>
        <v>0</v>
      </c>
      <c r="AD11" s="32">
        <f>SUMIFS(合格品入货记录!$G:$G,合格品入货记录!$A:$A,样品!AD$3,合格品入货记录!$E:$E,样品!$E11)</f>
        <v>0</v>
      </c>
      <c r="AE11" s="32">
        <f>SUMIFS(合格品入货记录!$G:$G,合格品入货记录!$A:$A,样品!AE$3,合格品入货记录!$E:$E,样品!$E11)</f>
        <v>0</v>
      </c>
      <c r="AF11" s="32">
        <f>SUMIFS(合格品入货记录!$G:$G,合格品入货记录!$A:$A,样品!AF$3,合格品入货记录!$E:$E,样品!$E11)</f>
        <v>0</v>
      </c>
      <c r="AG11" s="32">
        <f>SUMIFS(合格品入货记录!$G:$G,合格品入货记录!$A:$A,样品!AG$3,合格品入货记录!$E:$E,样品!$E11)</f>
        <v>0</v>
      </c>
      <c r="AH11" s="32">
        <f>SUMIFS(合格品入货记录!$G:$G,合格品入货记录!$A:$A,样品!AH$3,合格品入货记录!$E:$E,样品!$E11)</f>
        <v>0</v>
      </c>
      <c r="AI11" s="32">
        <f>SUMIFS(合格品入货记录!$G:$G,合格品入货记录!$A:$A,样品!AI$3,合格品入货记录!$E:$E,样品!$E11)</f>
        <v>0</v>
      </c>
      <c r="AJ11" s="32">
        <f>SUMIFS(合格品入货记录!$G:$G,合格品入货记录!$A:$A,样品!AJ$3,合格品入货记录!$E:$E,样品!$E11)</f>
        <v>0</v>
      </c>
      <c r="AK11" s="32">
        <f>SUMIFS(合格品入货记录!$G:$G,合格品入货记录!$A:$A,样品!AK$3,合格品入货记录!$E:$E,样品!$E11)</f>
        <v>0</v>
      </c>
      <c r="AL11" s="32">
        <f>SUMIFS(合格品入货记录!$G:$G,合格品入货记录!$A:$A,样品!AL$3,合格品入货记录!$E:$E,样品!$E11)</f>
        <v>0</v>
      </c>
      <c r="AM11" s="32">
        <f>SUMIFS(合格品入货记录!$G:$G,合格品入货记录!$A:$A,样品!AM$3,合格品入货记录!$E:$E,样品!$E11)</f>
        <v>0</v>
      </c>
      <c r="AN11" s="32">
        <f>SUMIFS(合格品入货记录!$G:$G,合格品入货记录!$A:$A,样品!AN$3,合格品入货记录!$E:$E,样品!$E11)</f>
        <v>0</v>
      </c>
      <c r="AO11" s="32">
        <f>SUMIFS(合格品入货记录!$G:$G,合格品入货记录!$A:$A,样品!AO$3,合格品入货记录!$E:$E,样品!$E11)</f>
        <v>0</v>
      </c>
      <c r="AP11" s="32">
        <f>SUMIFS(合格品入货记录!$G:$G,合格品入货记录!$A:$A,样品!AP$3,合格品入货记录!$E:$E,样品!$E11)</f>
        <v>0</v>
      </c>
      <c r="AQ11" s="32">
        <f>SUMIFS(合格品入货记录!$G:$G,合格品入货记录!$A:$A,样品!AQ$3,合格品入货记录!$E:$E,样品!$E11)</f>
        <v>0</v>
      </c>
      <c r="AR11" s="32">
        <f>SUMIFS(合格品入货记录!$G:$G,合格品入货记录!$A:$A,样品!AR$3,合格品入货记录!$E:$E,样品!$E11)</f>
        <v>0</v>
      </c>
      <c r="AS11" s="32">
        <f>SUMIFS(合格品入货记录!$G:$G,合格品入货记录!$A:$A,样品!AS$3,合格品入货记录!$E:$E,样品!$E11)</f>
        <v>0</v>
      </c>
      <c r="AT11" s="32">
        <f>SUMIFS(合格品入货记录!$G:$G,合格品入货记录!$A:$A,样品!AT$3,合格品入货记录!$E:$E,样品!$E11)</f>
        <v>0</v>
      </c>
      <c r="AU11" s="32">
        <f>SUMIFS(合格品入货记录!$G:$G,合格品入货记录!$A:$A,样品!AU$3,合格品入货记录!$E:$E,样品!$E11)</f>
        <v>0</v>
      </c>
      <c r="AV11" s="32">
        <f>SUMIFS(合格品入货记录!$G:$G,合格品入货记录!$A:$A,样品!AV$3,合格品入货记录!$E:$E,样品!$E11)</f>
        <v>0</v>
      </c>
      <c r="AW11" s="32">
        <f>SUMIFS(合格品入货记录!$G:$G,合格品入货记录!$A:$A,样品!AW$3,合格品入货记录!$E:$E,样品!$E11)</f>
        <v>0</v>
      </c>
      <c r="AX11" s="32">
        <f>SUMIFS(合格品入货记录!$G:$G,合格品入货记录!$A:$A,样品!AX$3,合格品入货记录!$E:$E,样品!$E11)</f>
        <v>0</v>
      </c>
      <c r="AY11" s="32">
        <f>SUMIFS(合格品入货记录!$G:$G,合格品入货记录!$A:$A,样品!AY$3,合格品入货记录!$E:$E,样品!$E11)</f>
        <v>0</v>
      </c>
      <c r="AZ11" s="32">
        <f>SUMIFS(合格品入货记录!$G:$G,合格品入货记录!$A:$A,样品!AZ$3,合格品入货记录!$E:$E,样品!$E11)</f>
        <v>0</v>
      </c>
      <c r="BA11" s="32">
        <f>SUMIFS(合格品入货记录!$G:$G,合格品入货记录!$A:$A,样品!BA$3,合格品入货记录!$E:$E,样品!$E11)</f>
        <v>0</v>
      </c>
      <c r="BB11" s="32">
        <f>SUMIFS(合格品入货记录!$G:$G,合格品入货记录!$A:$A,样品!BB$3,合格品入货记录!$E:$E,样品!$E11)</f>
        <v>0</v>
      </c>
      <c r="BC11" s="32">
        <f>SUMIFS(合格品入货记录!$G:$G,合格品入货记录!$A:$A,样品!BC$3,合格品入货记录!$E:$E,样品!$E11)</f>
        <v>0</v>
      </c>
      <c r="BD11" s="32">
        <f>SUMIFS(合格品入货记录!$G:$G,合格品入货记录!$A:$A,样品!BD$3,合格品入货记录!$E:$E,样品!$E11)</f>
        <v>0</v>
      </c>
      <c r="BE11" s="32">
        <f>SUMIFS(合格品入货记录!$G:$G,合格品入货记录!$A:$A,样品!BE$3,合格品入货记录!$E:$E,样品!$E11)</f>
        <v>0</v>
      </c>
      <c r="BF11" s="32">
        <f>SUMIFS(合格品入货记录!$G:$G,合格品入货记录!$A:$A,样品!BF$3,合格品入货记录!$E:$E,样品!$E11)</f>
        <v>0</v>
      </c>
      <c r="BG11" s="32">
        <f>SUMIFS(合格品入货记录!$G:$G,合格品入货记录!$A:$A,样品!BG$3,合格品入货记录!$E:$E,样品!$E11)</f>
        <v>0</v>
      </c>
      <c r="BH11" s="32">
        <f>SUMIFS(合格品入货记录!$G:$G,合格品入货记录!$A:$A,样品!BH$3,合格品入货记录!$E:$E,样品!$E11)</f>
        <v>0</v>
      </c>
      <c r="BI11" s="32">
        <f>SUMIFS(合格品入货记录!$G:$G,合格品入货记录!$A:$A,样品!BI$3,合格品入货记录!$E:$E,样品!$E11)</f>
        <v>0</v>
      </c>
      <c r="BJ11" s="32">
        <f>SUMIFS(合格品入货记录!$G:$G,合格品入货记录!$A:$A,样品!BJ$3,合格品入货记录!$E:$E,样品!$E11)</f>
        <v>0</v>
      </c>
      <c r="BK11" s="32">
        <f>SUMIFS(合格品入货记录!$G:$G,合格品入货记录!$A:$A,样品!BK$3,合格品入货记录!$E:$E,样品!$E11)</f>
        <v>0</v>
      </c>
      <c r="BL11" s="32">
        <f>SUMIFS(合格品入货记录!$G:$G,合格品入货记录!$A:$A,样品!BL$3,合格品入货记录!$E:$E,样品!$E11)</f>
        <v>0</v>
      </c>
      <c r="BM11" s="32">
        <f>SUMIFS(合格品入货记录!$G:$G,合格品入货记录!$A:$A,样品!BM$3,合格品入货记录!$E:$E,样品!$E11)</f>
        <v>0</v>
      </c>
      <c r="BN11" s="32">
        <f>SUMIFS(合格品入货记录!$G:$G,合格品入货记录!$A:$A,样品!BN$3,合格品入货记录!$E:$E,样品!$E11)</f>
        <v>0</v>
      </c>
      <c r="BO11" s="32">
        <f>SUMIFS(合格品入货记录!$G:$G,合格品入货记录!$A:$A,样品!BO$3,合格品入货记录!$E:$E,样品!$E11)</f>
        <v>0</v>
      </c>
      <c r="BP11" s="32">
        <f>SUMIFS(合格品入货记录!$G:$G,合格品入货记录!$A:$A,样品!BP$3,合格品入货记录!$E:$E,样品!$E11)</f>
        <v>0</v>
      </c>
      <c r="BQ11" s="32">
        <f>SUMIFS(合格品入货记录!$G:$G,合格品入货记录!$A:$A,样品!BQ$3,合格品入货记录!$E:$E,样品!$E11)</f>
        <v>0</v>
      </c>
      <c r="BR11" s="32">
        <f>SUMIFS(合格品入货记录!$G:$G,合格品入货记录!$A:$A,样品!BR$3,合格品入货记录!$E:$E,样品!$E11)</f>
        <v>0</v>
      </c>
      <c r="BS11" s="32">
        <f>SUMIFS(合格品入货记录!$G:$G,合格品入货记录!$A:$A,样品!BS$3,合格品入货记录!$E:$E,样品!$E11)</f>
        <v>0</v>
      </c>
      <c r="BT11" s="32">
        <f>SUMIFS(合格品入货记录!$G:$G,合格品入货记录!$A:$A,样品!BT$3,合格品入货记录!$E:$E,样品!$E11)</f>
        <v>0</v>
      </c>
      <c r="BU11" s="32">
        <f>SUMIFS(合格品入货记录!$G:$G,合格品入货记录!$A:$A,样品!BU$3,合格品入货记录!$E:$E,样品!$E11)</f>
        <v>0</v>
      </c>
      <c r="BV11" s="32">
        <f>SUMIFS(合格品入货记录!$G:$G,合格品入货记录!$A:$A,样品!BV$3,合格品入货记录!$E:$E,样品!$E11)</f>
        <v>0</v>
      </c>
      <c r="BW11" s="32">
        <f>SUMIFS(合格品入货记录!$G:$G,合格品入货记录!$A:$A,样品!BW$3,合格品入货记录!$E:$E,样品!$E11)</f>
        <v>0</v>
      </c>
      <c r="BX11" s="32">
        <f>SUMIFS(合格品入货记录!$G:$G,合格品入货记录!$A:$A,样品!BX$3,合格品入货记录!$E:$E,样品!$E11)</f>
        <v>0</v>
      </c>
      <c r="BY11" s="32">
        <f>SUMIFS(合格品入货记录!$G:$G,合格品入货记录!$A:$A,样品!BY$3,合格品入货记录!$E:$E,样品!$E11)</f>
        <v>0</v>
      </c>
      <c r="BZ11" s="123"/>
      <c r="CA11" s="123"/>
      <c r="CB11" s="125"/>
      <c r="CC11" s="125"/>
    </row>
    <row r="12" s="90" customFormat="1" customHeight="1" spans="1:81">
      <c r="A12" s="31">
        <v>9</v>
      </c>
      <c r="B12" s="102" t="s">
        <v>19</v>
      </c>
      <c r="C12" s="103" t="s">
        <v>20</v>
      </c>
      <c r="D12" s="32" t="s">
        <v>285</v>
      </c>
      <c r="E12" s="32" t="s">
        <v>286</v>
      </c>
      <c r="F12" s="103" t="s">
        <v>287</v>
      </c>
      <c r="G12" s="32"/>
      <c r="H12" s="32">
        <v>4720</v>
      </c>
      <c r="I12" s="112">
        <f>SUMIF(合格品入货记录!E:E,样品!E12,合格品入货记录!G:G)</f>
        <v>0</v>
      </c>
      <c r="J12" s="112">
        <f>SUMIF(合格品出库记录!E:E,样品!E12,合格品出库记录!G:G)</f>
        <v>0</v>
      </c>
      <c r="K12" s="102">
        <f t="shared" si="0"/>
        <v>4720</v>
      </c>
      <c r="L12" s="102">
        <f>SUMIF(不良品库存!D:D,E12:E50,不良品库存!F:F)</f>
        <v>0</v>
      </c>
      <c r="M12" s="113">
        <f t="shared" si="1"/>
        <v>4720</v>
      </c>
      <c r="N12" s="102"/>
      <c r="O12" s="102"/>
      <c r="P12" s="32">
        <f>IFERROR(SUMIFS(合格品入货记录!$G:$G,合格品入货记录!$A:$A,样品!P$3,合格品入货记录!$E:$E,样品!$E12)," ")</f>
        <v>0</v>
      </c>
      <c r="Q12" s="32">
        <f>SUMIFS(合格品入货记录!$G:$G,合格品入货记录!$A:$A,样品!Q$3,合格品入货记录!$E:$E,样品!$E12)</f>
        <v>0</v>
      </c>
      <c r="R12" s="32">
        <f>SUMIFS(合格品入货记录!$G:$G,合格品入货记录!$A:$A,样品!R$3,合格品入货记录!$E:$E,样品!$E12)</f>
        <v>0</v>
      </c>
      <c r="S12" s="32">
        <f>SUMIFS(合格品入货记录!$G:$G,合格品入货记录!$A:$A,样品!S$3,合格品入货记录!$E:$E,样品!$E12)</f>
        <v>0</v>
      </c>
      <c r="T12" s="32">
        <f>SUMIFS(合格品入货记录!$G:$G,合格品入货记录!$A:$A,样品!T$3,合格品入货记录!$E:$E,样品!$E12)</f>
        <v>0</v>
      </c>
      <c r="U12" s="32">
        <f>SUMIFS(合格品入货记录!$G:$G,合格品入货记录!$A:$A,样品!U$3,合格品入货记录!$E:$E,样品!$E12)</f>
        <v>0</v>
      </c>
      <c r="V12" s="32">
        <f>SUMIFS(合格品入货记录!$G:$G,合格品入货记录!$A:$A,样品!V$3,合格品入货记录!$E:$E,样品!$E12)</f>
        <v>0</v>
      </c>
      <c r="W12" s="32">
        <f>SUMIFS(合格品入货记录!$G:$G,合格品入货记录!$A:$A,样品!W$3,合格品入货记录!$E:$E,样品!$E12)</f>
        <v>0</v>
      </c>
      <c r="X12" s="32">
        <f>SUMIFS(合格品入货记录!$G:$G,合格品入货记录!$A:$A,样品!X$3,合格品入货记录!$E:$E,样品!$E12)</f>
        <v>0</v>
      </c>
      <c r="Y12" s="32">
        <f>SUMIFS(合格品入货记录!$G:$G,合格品入货记录!$A:$A,样品!Y$3,合格品入货记录!$E:$E,样品!$E12)</f>
        <v>0</v>
      </c>
      <c r="Z12" s="32">
        <f>SUMIFS(合格品入货记录!$G:$G,合格品入货记录!$A:$A,样品!Z$3,合格品入货记录!$E:$E,样品!$E12)</f>
        <v>0</v>
      </c>
      <c r="AA12" s="32">
        <f>SUMIFS(合格品入货记录!$G:$G,合格品入货记录!$A:$A,样品!AA$3,合格品入货记录!$E:$E,样品!$E12)</f>
        <v>0</v>
      </c>
      <c r="AB12" s="32">
        <f>SUMIFS(合格品入货记录!$G:$G,合格品入货记录!$A:$A,样品!AB$3,合格品入货记录!$E:$E,样品!$E12)</f>
        <v>0</v>
      </c>
      <c r="AC12" s="32">
        <f>SUMIFS(合格品入货记录!$G:$G,合格品入货记录!$A:$A,样品!AC$3,合格品入货记录!$E:$E,样品!$E12)</f>
        <v>0</v>
      </c>
      <c r="AD12" s="32">
        <f>SUMIFS(合格品入货记录!$G:$G,合格品入货记录!$A:$A,样品!AD$3,合格品入货记录!$E:$E,样品!$E12)</f>
        <v>0</v>
      </c>
      <c r="AE12" s="32">
        <f>SUMIFS(合格品入货记录!$G:$G,合格品入货记录!$A:$A,样品!AE$3,合格品入货记录!$E:$E,样品!$E12)</f>
        <v>0</v>
      </c>
      <c r="AF12" s="32">
        <f>SUMIFS(合格品入货记录!$G:$G,合格品入货记录!$A:$A,样品!AF$3,合格品入货记录!$E:$E,样品!$E12)</f>
        <v>0</v>
      </c>
      <c r="AG12" s="32">
        <f>SUMIFS(合格品入货记录!$G:$G,合格品入货记录!$A:$A,样品!AG$3,合格品入货记录!$E:$E,样品!$E12)</f>
        <v>0</v>
      </c>
      <c r="AH12" s="32">
        <f>SUMIFS(合格品入货记录!$G:$G,合格品入货记录!$A:$A,样品!AH$3,合格品入货记录!$E:$E,样品!$E12)</f>
        <v>0</v>
      </c>
      <c r="AI12" s="32">
        <f>SUMIFS(合格品入货记录!$G:$G,合格品入货记录!$A:$A,样品!AI$3,合格品入货记录!$E:$E,样品!$E12)</f>
        <v>0</v>
      </c>
      <c r="AJ12" s="32">
        <f>SUMIFS(合格品入货记录!$G:$G,合格品入货记录!$A:$A,样品!AJ$3,合格品入货记录!$E:$E,样品!$E12)</f>
        <v>0</v>
      </c>
      <c r="AK12" s="32">
        <f>SUMIFS(合格品入货记录!$G:$G,合格品入货记录!$A:$A,样品!AK$3,合格品入货记录!$E:$E,样品!$E12)</f>
        <v>0</v>
      </c>
      <c r="AL12" s="32">
        <f>SUMIFS(合格品入货记录!$G:$G,合格品入货记录!$A:$A,样品!AL$3,合格品入货记录!$E:$E,样品!$E12)</f>
        <v>0</v>
      </c>
      <c r="AM12" s="32">
        <f>SUMIFS(合格品入货记录!$G:$G,合格品入货记录!$A:$A,样品!AM$3,合格品入货记录!$E:$E,样品!$E12)</f>
        <v>0</v>
      </c>
      <c r="AN12" s="32">
        <f>SUMIFS(合格品入货记录!$G:$G,合格品入货记录!$A:$A,样品!AN$3,合格品入货记录!$E:$E,样品!$E12)</f>
        <v>0</v>
      </c>
      <c r="AO12" s="32">
        <f>SUMIFS(合格品入货记录!$G:$G,合格品入货记录!$A:$A,样品!AO$3,合格品入货记录!$E:$E,样品!$E12)</f>
        <v>0</v>
      </c>
      <c r="AP12" s="32">
        <f>SUMIFS(合格品入货记录!$G:$G,合格品入货记录!$A:$A,样品!AP$3,合格品入货记录!$E:$E,样品!$E12)</f>
        <v>0</v>
      </c>
      <c r="AQ12" s="32">
        <f>SUMIFS(合格品入货记录!$G:$G,合格品入货记录!$A:$A,样品!AQ$3,合格品入货记录!$E:$E,样品!$E12)</f>
        <v>0</v>
      </c>
      <c r="AR12" s="32">
        <f>SUMIFS(合格品入货记录!$G:$G,合格品入货记录!$A:$A,样品!AR$3,合格品入货记录!$E:$E,样品!$E12)</f>
        <v>0</v>
      </c>
      <c r="AS12" s="32">
        <f>SUMIFS(合格品入货记录!$G:$G,合格品入货记录!$A:$A,样品!AS$3,合格品入货记录!$E:$E,样品!$E12)</f>
        <v>0</v>
      </c>
      <c r="AT12" s="32">
        <f>SUMIFS(合格品入货记录!$G:$G,合格品入货记录!$A:$A,样品!AT$3,合格品入货记录!$E:$E,样品!$E12)</f>
        <v>0</v>
      </c>
      <c r="AU12" s="32">
        <f>SUMIFS(合格品入货记录!$G:$G,合格品入货记录!$A:$A,样品!AU$3,合格品入货记录!$E:$E,样品!$E12)</f>
        <v>0</v>
      </c>
      <c r="AV12" s="32">
        <f>SUMIFS(合格品入货记录!$G:$G,合格品入货记录!$A:$A,样品!AV$3,合格品入货记录!$E:$E,样品!$E12)</f>
        <v>0</v>
      </c>
      <c r="AW12" s="32">
        <f>SUMIFS(合格品入货记录!$G:$G,合格品入货记录!$A:$A,样品!AW$3,合格品入货记录!$E:$E,样品!$E12)</f>
        <v>0</v>
      </c>
      <c r="AX12" s="32">
        <f>SUMIFS(合格品入货记录!$G:$G,合格品入货记录!$A:$A,样品!AX$3,合格品入货记录!$E:$E,样品!$E12)</f>
        <v>0</v>
      </c>
      <c r="AY12" s="32">
        <f>SUMIFS(合格品入货记录!$G:$G,合格品入货记录!$A:$A,样品!AY$3,合格品入货记录!$E:$E,样品!$E12)</f>
        <v>0</v>
      </c>
      <c r="AZ12" s="32">
        <f>SUMIFS(合格品入货记录!$G:$G,合格品入货记录!$A:$A,样品!AZ$3,合格品入货记录!$E:$E,样品!$E12)</f>
        <v>0</v>
      </c>
      <c r="BA12" s="32">
        <f>SUMIFS(合格品入货记录!$G:$G,合格品入货记录!$A:$A,样品!BA$3,合格品入货记录!$E:$E,样品!$E12)</f>
        <v>0</v>
      </c>
      <c r="BB12" s="32">
        <f>SUMIFS(合格品入货记录!$G:$G,合格品入货记录!$A:$A,样品!BB$3,合格品入货记录!$E:$E,样品!$E12)</f>
        <v>0</v>
      </c>
      <c r="BC12" s="32">
        <f>SUMIFS(合格品入货记录!$G:$G,合格品入货记录!$A:$A,样品!BC$3,合格品入货记录!$E:$E,样品!$E12)</f>
        <v>0</v>
      </c>
      <c r="BD12" s="32">
        <f>SUMIFS(合格品入货记录!$G:$G,合格品入货记录!$A:$A,样品!BD$3,合格品入货记录!$E:$E,样品!$E12)</f>
        <v>0</v>
      </c>
      <c r="BE12" s="32">
        <f>SUMIFS(合格品入货记录!$G:$G,合格品入货记录!$A:$A,样品!BE$3,合格品入货记录!$E:$E,样品!$E12)</f>
        <v>0</v>
      </c>
      <c r="BF12" s="32">
        <f>SUMIFS(合格品入货记录!$G:$G,合格品入货记录!$A:$A,样品!BF$3,合格品入货记录!$E:$E,样品!$E12)</f>
        <v>0</v>
      </c>
      <c r="BG12" s="32">
        <f>SUMIFS(合格品入货记录!$G:$G,合格品入货记录!$A:$A,样品!BG$3,合格品入货记录!$E:$E,样品!$E12)</f>
        <v>0</v>
      </c>
      <c r="BH12" s="32">
        <f>SUMIFS(合格品入货记录!$G:$G,合格品入货记录!$A:$A,样品!BH$3,合格品入货记录!$E:$E,样品!$E12)</f>
        <v>0</v>
      </c>
      <c r="BI12" s="32">
        <f>SUMIFS(合格品入货记录!$G:$G,合格品入货记录!$A:$A,样品!BI$3,合格品入货记录!$E:$E,样品!$E12)</f>
        <v>0</v>
      </c>
      <c r="BJ12" s="32">
        <f>SUMIFS(合格品入货记录!$G:$G,合格品入货记录!$A:$A,样品!BJ$3,合格品入货记录!$E:$E,样品!$E12)</f>
        <v>0</v>
      </c>
      <c r="BK12" s="32">
        <f>SUMIFS(合格品入货记录!$G:$G,合格品入货记录!$A:$A,样品!BK$3,合格品入货记录!$E:$E,样品!$E12)</f>
        <v>0</v>
      </c>
      <c r="BL12" s="32">
        <f>SUMIFS(合格品入货记录!$G:$G,合格品入货记录!$A:$A,样品!BL$3,合格品入货记录!$E:$E,样品!$E12)</f>
        <v>0</v>
      </c>
      <c r="BM12" s="32">
        <f>SUMIFS(合格品入货记录!$G:$G,合格品入货记录!$A:$A,样品!BM$3,合格品入货记录!$E:$E,样品!$E12)</f>
        <v>0</v>
      </c>
      <c r="BN12" s="32">
        <f>SUMIFS(合格品入货记录!$G:$G,合格品入货记录!$A:$A,样品!BN$3,合格品入货记录!$E:$E,样品!$E12)</f>
        <v>0</v>
      </c>
      <c r="BO12" s="32">
        <f>SUMIFS(合格品入货记录!$G:$G,合格品入货记录!$A:$A,样品!BO$3,合格品入货记录!$E:$E,样品!$E12)</f>
        <v>0</v>
      </c>
      <c r="BP12" s="32">
        <f>SUMIFS(合格品入货记录!$G:$G,合格品入货记录!$A:$A,样品!BP$3,合格品入货记录!$E:$E,样品!$E12)</f>
        <v>0</v>
      </c>
      <c r="BQ12" s="32">
        <f>SUMIFS(合格品入货记录!$G:$G,合格品入货记录!$A:$A,样品!BQ$3,合格品入货记录!$E:$E,样品!$E12)</f>
        <v>0</v>
      </c>
      <c r="BR12" s="32">
        <f>SUMIFS(合格品入货记录!$G:$G,合格品入货记录!$A:$A,样品!BR$3,合格品入货记录!$E:$E,样品!$E12)</f>
        <v>0</v>
      </c>
      <c r="BS12" s="32">
        <f>SUMIFS(合格品入货记录!$G:$G,合格品入货记录!$A:$A,样品!BS$3,合格品入货记录!$E:$E,样品!$E12)</f>
        <v>0</v>
      </c>
      <c r="BT12" s="32">
        <f>SUMIFS(合格品入货记录!$G:$G,合格品入货记录!$A:$A,样品!BT$3,合格品入货记录!$E:$E,样品!$E12)</f>
        <v>0</v>
      </c>
      <c r="BU12" s="32">
        <f>SUMIFS(合格品入货记录!$G:$G,合格品入货记录!$A:$A,样品!BU$3,合格品入货记录!$E:$E,样品!$E12)</f>
        <v>0</v>
      </c>
      <c r="BV12" s="32">
        <f>SUMIFS(合格品入货记录!$G:$G,合格品入货记录!$A:$A,样品!BV$3,合格品入货记录!$E:$E,样品!$E12)</f>
        <v>0</v>
      </c>
      <c r="BW12" s="32">
        <f>SUMIFS(合格品入货记录!$G:$G,合格品入货记录!$A:$A,样品!BW$3,合格品入货记录!$E:$E,样品!$E12)</f>
        <v>0</v>
      </c>
      <c r="BX12" s="32">
        <f>SUMIFS(合格品入货记录!$G:$G,合格品入货记录!$A:$A,样品!BX$3,合格品入货记录!$E:$E,样品!$E12)</f>
        <v>0</v>
      </c>
      <c r="BY12" s="32">
        <f>SUMIFS(合格品入货记录!$G:$G,合格品入货记录!$A:$A,样品!BY$3,合格品入货记录!$E:$E,样品!$E12)</f>
        <v>0</v>
      </c>
      <c r="BZ12" s="123"/>
      <c r="CA12" s="123"/>
      <c r="CB12" s="125"/>
      <c r="CC12" s="125"/>
    </row>
    <row r="13" s="90" customFormat="1" customHeight="1" spans="1:81">
      <c r="A13" s="31">
        <v>10</v>
      </c>
      <c r="B13" s="104" t="s">
        <v>19</v>
      </c>
      <c r="C13" s="105" t="s">
        <v>20</v>
      </c>
      <c r="D13" s="32" t="s">
        <v>288</v>
      </c>
      <c r="E13" s="31" t="s">
        <v>289</v>
      </c>
      <c r="F13" s="105" t="s">
        <v>290</v>
      </c>
      <c r="G13" s="31"/>
      <c r="H13" s="31">
        <v>33</v>
      </c>
      <c r="I13" s="106">
        <f>SUMIF(合格品入货记录!E:E,样品!E13,合格品入货记录!G:G)</f>
        <v>0</v>
      </c>
      <c r="J13" s="106">
        <f>SUMIF(合格品出库记录!E:E,样品!E13,合格品出库记录!G:G)</f>
        <v>0</v>
      </c>
      <c r="K13" s="102">
        <f t="shared" si="0"/>
        <v>33</v>
      </c>
      <c r="L13" s="102">
        <f>SUMIF(不良品库存!D:D,E13:E50,不良品库存!F:F)</f>
        <v>0</v>
      </c>
      <c r="M13" s="113">
        <f t="shared" si="1"/>
        <v>33</v>
      </c>
      <c r="N13" s="31"/>
      <c r="O13" s="104"/>
      <c r="P13" s="32">
        <f>IFERROR(SUMIFS(合格品入货记录!$G:$G,合格品入货记录!$A:$A,样品!P$3,合格品入货记录!$E:$E,样品!$E13)," ")</f>
        <v>0</v>
      </c>
      <c r="Q13" s="32">
        <f>SUMIFS(合格品入货记录!$G:$G,合格品入货记录!$A:$A,样品!Q$3,合格品入货记录!$E:$E,样品!$E13)</f>
        <v>0</v>
      </c>
      <c r="R13" s="32">
        <f>SUMIFS(合格品入货记录!$G:$G,合格品入货记录!$A:$A,样品!R$3,合格品入货记录!$E:$E,样品!$E13)</f>
        <v>0</v>
      </c>
      <c r="S13" s="32">
        <f>SUMIFS(合格品入货记录!$G:$G,合格品入货记录!$A:$A,样品!S$3,合格品入货记录!$E:$E,样品!$E13)</f>
        <v>0</v>
      </c>
      <c r="T13" s="32">
        <f>SUMIFS(合格品入货记录!$G:$G,合格品入货记录!$A:$A,样品!T$3,合格品入货记录!$E:$E,样品!$E13)</f>
        <v>0</v>
      </c>
      <c r="U13" s="32">
        <f>SUMIFS(合格品入货记录!$G:$G,合格品入货记录!$A:$A,样品!U$3,合格品入货记录!$E:$E,样品!$E13)</f>
        <v>0</v>
      </c>
      <c r="V13" s="32">
        <f>SUMIFS(合格品入货记录!$G:$G,合格品入货记录!$A:$A,样品!V$3,合格品入货记录!$E:$E,样品!$E13)</f>
        <v>0</v>
      </c>
      <c r="W13" s="32">
        <f>SUMIFS(合格品入货记录!$G:$G,合格品入货记录!$A:$A,样品!W$3,合格品入货记录!$E:$E,样品!$E13)</f>
        <v>0</v>
      </c>
      <c r="X13" s="32">
        <f>SUMIFS(合格品入货记录!$G:$G,合格品入货记录!$A:$A,样品!X$3,合格品入货记录!$E:$E,样品!$E13)</f>
        <v>0</v>
      </c>
      <c r="Y13" s="32">
        <f>SUMIFS(合格品入货记录!$G:$G,合格品入货记录!$A:$A,样品!Y$3,合格品入货记录!$E:$E,样品!$E13)</f>
        <v>0</v>
      </c>
      <c r="Z13" s="32">
        <f>SUMIFS(合格品入货记录!$G:$G,合格品入货记录!$A:$A,样品!Z$3,合格品入货记录!$E:$E,样品!$E13)</f>
        <v>0</v>
      </c>
      <c r="AA13" s="32">
        <f>SUMIFS(合格品入货记录!$G:$G,合格品入货记录!$A:$A,样品!AA$3,合格品入货记录!$E:$E,样品!$E13)</f>
        <v>0</v>
      </c>
      <c r="AB13" s="32">
        <f>SUMIFS(合格品入货记录!$G:$G,合格品入货记录!$A:$A,样品!AB$3,合格品入货记录!$E:$E,样品!$E13)</f>
        <v>0</v>
      </c>
      <c r="AC13" s="32">
        <f>SUMIFS(合格品入货记录!$G:$G,合格品入货记录!$A:$A,样品!AC$3,合格品入货记录!$E:$E,样品!$E13)</f>
        <v>0</v>
      </c>
      <c r="AD13" s="32">
        <f>SUMIFS(合格品入货记录!$G:$G,合格品入货记录!$A:$A,样品!AD$3,合格品入货记录!$E:$E,样品!$E13)</f>
        <v>0</v>
      </c>
      <c r="AE13" s="32">
        <f>SUMIFS(合格品入货记录!$G:$G,合格品入货记录!$A:$A,样品!AE$3,合格品入货记录!$E:$E,样品!$E13)</f>
        <v>0</v>
      </c>
      <c r="AF13" s="32">
        <f>SUMIFS(合格品入货记录!$G:$G,合格品入货记录!$A:$A,样品!AF$3,合格品入货记录!$E:$E,样品!$E13)</f>
        <v>0</v>
      </c>
      <c r="AG13" s="32">
        <f>SUMIFS(合格品入货记录!$G:$G,合格品入货记录!$A:$A,样品!AG$3,合格品入货记录!$E:$E,样品!$E13)</f>
        <v>0</v>
      </c>
      <c r="AH13" s="32">
        <f>SUMIFS(合格品入货记录!$G:$G,合格品入货记录!$A:$A,样品!AH$3,合格品入货记录!$E:$E,样品!$E13)</f>
        <v>0</v>
      </c>
      <c r="AI13" s="32">
        <f>SUMIFS(合格品入货记录!$G:$G,合格品入货记录!$A:$A,样品!AI$3,合格品入货记录!$E:$E,样品!$E13)</f>
        <v>0</v>
      </c>
      <c r="AJ13" s="32">
        <f>SUMIFS(合格品入货记录!$G:$G,合格品入货记录!$A:$A,样品!AJ$3,合格品入货记录!$E:$E,样品!$E13)</f>
        <v>0</v>
      </c>
      <c r="AK13" s="32">
        <f>SUMIFS(合格品入货记录!$G:$G,合格品入货记录!$A:$A,样品!AK$3,合格品入货记录!$E:$E,样品!$E13)</f>
        <v>0</v>
      </c>
      <c r="AL13" s="32">
        <f>SUMIFS(合格品入货记录!$G:$G,合格品入货记录!$A:$A,样品!AL$3,合格品入货记录!$E:$E,样品!$E13)</f>
        <v>0</v>
      </c>
      <c r="AM13" s="32">
        <f>SUMIFS(合格品入货记录!$G:$G,合格品入货记录!$A:$A,样品!AM$3,合格品入货记录!$E:$E,样品!$E13)</f>
        <v>0</v>
      </c>
      <c r="AN13" s="32">
        <f>SUMIFS(合格品入货记录!$G:$G,合格品入货记录!$A:$A,样品!AN$3,合格品入货记录!$E:$E,样品!$E13)</f>
        <v>0</v>
      </c>
      <c r="AO13" s="32">
        <f>SUMIFS(合格品入货记录!$G:$G,合格品入货记录!$A:$A,样品!AO$3,合格品入货记录!$E:$E,样品!$E13)</f>
        <v>0</v>
      </c>
      <c r="AP13" s="32">
        <f>SUMIFS(合格品入货记录!$G:$G,合格品入货记录!$A:$A,样品!AP$3,合格品入货记录!$E:$E,样品!$E13)</f>
        <v>0</v>
      </c>
      <c r="AQ13" s="32">
        <f>SUMIFS(合格品入货记录!$G:$G,合格品入货记录!$A:$A,样品!AQ$3,合格品入货记录!$E:$E,样品!$E13)</f>
        <v>0</v>
      </c>
      <c r="AR13" s="32">
        <f>SUMIFS(合格品入货记录!$G:$G,合格品入货记录!$A:$A,样品!AR$3,合格品入货记录!$E:$E,样品!$E13)</f>
        <v>0</v>
      </c>
      <c r="AS13" s="32">
        <f>SUMIFS(合格品入货记录!$G:$G,合格品入货记录!$A:$A,样品!AS$3,合格品入货记录!$E:$E,样品!$E13)</f>
        <v>0</v>
      </c>
      <c r="AT13" s="32">
        <f>SUMIFS(合格品入货记录!$G:$G,合格品入货记录!$A:$A,样品!AT$3,合格品入货记录!$E:$E,样品!$E13)</f>
        <v>0</v>
      </c>
      <c r="AU13" s="32">
        <f>SUMIFS(合格品入货记录!$G:$G,合格品入货记录!$A:$A,样品!AU$3,合格品入货记录!$E:$E,样品!$E13)</f>
        <v>0</v>
      </c>
      <c r="AV13" s="32">
        <f>SUMIFS(合格品入货记录!$G:$G,合格品入货记录!$A:$A,样品!AV$3,合格品入货记录!$E:$E,样品!$E13)</f>
        <v>0</v>
      </c>
      <c r="AW13" s="32">
        <f>SUMIFS(合格品入货记录!$G:$G,合格品入货记录!$A:$A,样品!AW$3,合格品入货记录!$E:$E,样品!$E13)</f>
        <v>0</v>
      </c>
      <c r="AX13" s="32">
        <f>SUMIFS(合格品入货记录!$G:$G,合格品入货记录!$A:$A,样品!AX$3,合格品入货记录!$E:$E,样品!$E13)</f>
        <v>0</v>
      </c>
      <c r="AY13" s="32">
        <f>SUMIFS(合格品入货记录!$G:$G,合格品入货记录!$A:$A,样品!AY$3,合格品入货记录!$E:$E,样品!$E13)</f>
        <v>0</v>
      </c>
      <c r="AZ13" s="32">
        <f>SUMIFS(合格品入货记录!$G:$G,合格品入货记录!$A:$A,样品!AZ$3,合格品入货记录!$E:$E,样品!$E13)</f>
        <v>0</v>
      </c>
      <c r="BA13" s="32">
        <f>SUMIFS(合格品入货记录!$G:$G,合格品入货记录!$A:$A,样品!BA$3,合格品入货记录!$E:$E,样品!$E13)</f>
        <v>0</v>
      </c>
      <c r="BB13" s="32">
        <f>SUMIFS(合格品入货记录!$G:$G,合格品入货记录!$A:$A,样品!BB$3,合格品入货记录!$E:$E,样品!$E13)</f>
        <v>0</v>
      </c>
      <c r="BC13" s="32">
        <f>SUMIFS(合格品入货记录!$G:$G,合格品入货记录!$A:$A,样品!BC$3,合格品入货记录!$E:$E,样品!$E13)</f>
        <v>0</v>
      </c>
      <c r="BD13" s="32">
        <f>SUMIFS(合格品入货记录!$G:$G,合格品入货记录!$A:$A,样品!BD$3,合格品入货记录!$E:$E,样品!$E13)</f>
        <v>0</v>
      </c>
      <c r="BE13" s="32">
        <f>SUMIFS(合格品入货记录!$G:$G,合格品入货记录!$A:$A,样品!BE$3,合格品入货记录!$E:$E,样品!$E13)</f>
        <v>0</v>
      </c>
      <c r="BF13" s="32">
        <f>SUMIFS(合格品入货记录!$G:$G,合格品入货记录!$A:$A,样品!BF$3,合格品入货记录!$E:$E,样品!$E13)</f>
        <v>0</v>
      </c>
      <c r="BG13" s="32">
        <f>SUMIFS(合格品入货记录!$G:$G,合格品入货记录!$A:$A,样品!BG$3,合格品入货记录!$E:$E,样品!$E13)</f>
        <v>0</v>
      </c>
      <c r="BH13" s="32">
        <f>SUMIFS(合格品入货记录!$G:$G,合格品入货记录!$A:$A,样品!BH$3,合格品入货记录!$E:$E,样品!$E13)</f>
        <v>0</v>
      </c>
      <c r="BI13" s="32">
        <f>SUMIFS(合格品入货记录!$G:$G,合格品入货记录!$A:$A,样品!BI$3,合格品入货记录!$E:$E,样品!$E13)</f>
        <v>0</v>
      </c>
      <c r="BJ13" s="32">
        <f>SUMIFS(合格品入货记录!$G:$G,合格品入货记录!$A:$A,样品!BJ$3,合格品入货记录!$E:$E,样品!$E13)</f>
        <v>0</v>
      </c>
      <c r="BK13" s="32">
        <f>SUMIFS(合格品入货记录!$G:$G,合格品入货记录!$A:$A,样品!BK$3,合格品入货记录!$E:$E,样品!$E13)</f>
        <v>0</v>
      </c>
      <c r="BL13" s="32">
        <f>SUMIFS(合格品入货记录!$G:$G,合格品入货记录!$A:$A,样品!BL$3,合格品入货记录!$E:$E,样品!$E13)</f>
        <v>0</v>
      </c>
      <c r="BM13" s="32">
        <f>SUMIFS(合格品入货记录!$G:$G,合格品入货记录!$A:$A,样品!BM$3,合格品入货记录!$E:$E,样品!$E13)</f>
        <v>0</v>
      </c>
      <c r="BN13" s="32">
        <f>SUMIFS(合格品入货记录!$G:$G,合格品入货记录!$A:$A,样品!BN$3,合格品入货记录!$E:$E,样品!$E13)</f>
        <v>0</v>
      </c>
      <c r="BO13" s="32">
        <f>SUMIFS(合格品入货记录!$G:$G,合格品入货记录!$A:$A,样品!BO$3,合格品入货记录!$E:$E,样品!$E13)</f>
        <v>0</v>
      </c>
      <c r="BP13" s="32">
        <f>SUMIFS(合格品入货记录!$G:$G,合格品入货记录!$A:$A,样品!BP$3,合格品入货记录!$E:$E,样品!$E13)</f>
        <v>0</v>
      </c>
      <c r="BQ13" s="32">
        <f>SUMIFS(合格品入货记录!$G:$G,合格品入货记录!$A:$A,样品!BQ$3,合格品入货记录!$E:$E,样品!$E13)</f>
        <v>0</v>
      </c>
      <c r="BR13" s="32">
        <f>SUMIFS(合格品入货记录!$G:$G,合格品入货记录!$A:$A,样品!BR$3,合格品入货记录!$E:$E,样品!$E13)</f>
        <v>0</v>
      </c>
      <c r="BS13" s="32">
        <f>SUMIFS(合格品入货记录!$G:$G,合格品入货记录!$A:$A,样品!BS$3,合格品入货记录!$E:$E,样品!$E13)</f>
        <v>0</v>
      </c>
      <c r="BT13" s="32">
        <f>SUMIFS(合格品入货记录!$G:$G,合格品入货记录!$A:$A,样品!BT$3,合格品入货记录!$E:$E,样品!$E13)</f>
        <v>0</v>
      </c>
      <c r="BU13" s="32">
        <f>SUMIFS(合格品入货记录!$G:$G,合格品入货记录!$A:$A,样品!BU$3,合格品入货记录!$E:$E,样品!$E13)</f>
        <v>0</v>
      </c>
      <c r="BV13" s="32">
        <f>SUMIFS(合格品入货记录!$G:$G,合格品入货记录!$A:$A,样品!BV$3,合格品入货记录!$E:$E,样品!$E13)</f>
        <v>0</v>
      </c>
      <c r="BW13" s="32">
        <f>SUMIFS(合格品入货记录!$G:$G,合格品入货记录!$A:$A,样品!BW$3,合格品入货记录!$E:$E,样品!$E13)</f>
        <v>0</v>
      </c>
      <c r="BX13" s="32">
        <f>SUMIFS(合格品入货记录!$G:$G,合格品入货记录!$A:$A,样品!BX$3,合格品入货记录!$E:$E,样品!$E13)</f>
        <v>0</v>
      </c>
      <c r="BY13" s="32">
        <f>SUMIFS(合格品入货记录!$G:$G,合格品入货记录!$A:$A,样品!BY$3,合格品入货记录!$E:$E,样品!$E13)</f>
        <v>0</v>
      </c>
      <c r="BZ13" s="124"/>
      <c r="CA13" s="124"/>
      <c r="CB13" s="125"/>
      <c r="CC13" s="125"/>
    </row>
    <row r="14" s="90" customFormat="1" customHeight="1" spans="1:81">
      <c r="A14" s="31">
        <v>11</v>
      </c>
      <c r="B14" s="102" t="s">
        <v>19</v>
      </c>
      <c r="C14" s="103" t="s">
        <v>20</v>
      </c>
      <c r="D14" s="32" t="s">
        <v>291</v>
      </c>
      <c r="E14" s="32" t="s">
        <v>292</v>
      </c>
      <c r="F14" s="103" t="s">
        <v>293</v>
      </c>
      <c r="G14" s="32"/>
      <c r="H14" s="32">
        <v>33</v>
      </c>
      <c r="I14" s="112">
        <f>SUMIF(合格品入货记录!E:E,样品!E14,合格品入货记录!G:G)</f>
        <v>0</v>
      </c>
      <c r="J14" s="112">
        <f>SUMIF(合格品出库记录!E:E,样品!E14,合格品出库记录!G:G)</f>
        <v>0</v>
      </c>
      <c r="K14" s="102">
        <f t="shared" si="0"/>
        <v>33</v>
      </c>
      <c r="L14" s="102">
        <f>SUMIF(不良品库存!D:D,E14:E50,不良品库存!F:F)</f>
        <v>0</v>
      </c>
      <c r="M14" s="113">
        <f t="shared" si="1"/>
        <v>33</v>
      </c>
      <c r="N14" s="102"/>
      <c r="O14" s="102"/>
      <c r="P14" s="32">
        <f>IFERROR(SUMIFS(合格品入货记录!$G:$G,合格品入货记录!$A:$A,样品!P$3,合格品入货记录!$E:$E,样品!$E14)," ")</f>
        <v>0</v>
      </c>
      <c r="Q14" s="32">
        <f>IFERROR(SUMIFS(合格品入货记录!$G:$G,合格品入货记录!$A:$A,样品!Q$3,合格品入货记录!$E:$E,样品!$E14)," ")</f>
        <v>0</v>
      </c>
      <c r="R14" s="32">
        <f>IFERROR(SUMIFS(合格品入货记录!$G:$G,合格品入货记录!$A:$A,样品!R$3,合格品入货记录!$E:$E,样品!$E14)," ")</f>
        <v>0</v>
      </c>
      <c r="S14" s="32">
        <f>IFERROR(SUMIFS(合格品入货记录!$G:$G,合格品入货记录!$A:$A,样品!S$3,合格品入货记录!$E:$E,样品!$E14)," ")</f>
        <v>0</v>
      </c>
      <c r="T14" s="32">
        <f>IFERROR(SUMIFS(合格品入货记录!$G:$G,合格品入货记录!$A:$A,样品!T$3,合格品入货记录!$E:$E,样品!$E14)," ")</f>
        <v>0</v>
      </c>
      <c r="U14" s="32">
        <f>IFERROR(SUMIFS(合格品入货记录!$G:$G,合格品入货记录!$A:$A,样品!U$3,合格品入货记录!$E:$E,样品!$E14)," ")</f>
        <v>0</v>
      </c>
      <c r="V14" s="32">
        <f>IFERROR(SUMIFS(合格品入货记录!$G:$G,合格品入货记录!$A:$A,样品!V$3,合格品入货记录!$E:$E,样品!$E14)," ")</f>
        <v>0</v>
      </c>
      <c r="W14" s="32">
        <f>IFERROR(SUMIFS(合格品入货记录!$G:$G,合格品入货记录!$A:$A,样品!W$3,合格品入货记录!$E:$E,样品!$E14)," ")</f>
        <v>0</v>
      </c>
      <c r="X14" s="32">
        <f>IFERROR(SUMIFS(合格品入货记录!$G:$G,合格品入货记录!$A:$A,样品!X$3,合格品入货记录!$E:$E,样品!$E14)," ")</f>
        <v>0</v>
      </c>
      <c r="Y14" s="32">
        <f>IFERROR(SUMIFS(合格品入货记录!$G:$G,合格品入货记录!$A:$A,样品!Y$3,合格品入货记录!$E:$E,样品!$E14)," ")</f>
        <v>0</v>
      </c>
      <c r="Z14" s="32">
        <f>IFERROR(SUMIFS(合格品入货记录!$G:$G,合格品入货记录!$A:$A,样品!Z$3,合格品入货记录!$E:$E,样品!$E14)," ")</f>
        <v>0</v>
      </c>
      <c r="AA14" s="32">
        <f>IFERROR(SUMIFS(合格品入货记录!$G:$G,合格品入货记录!$A:$A,样品!AA$3,合格品入货记录!$E:$E,样品!$E14)," ")</f>
        <v>0</v>
      </c>
      <c r="AB14" s="32">
        <f>IFERROR(SUMIFS(合格品入货记录!$G:$G,合格品入货记录!$A:$A,样品!AB$3,合格品入货记录!$E:$E,样品!$E14)," ")</f>
        <v>0</v>
      </c>
      <c r="AC14" s="32">
        <f>IFERROR(SUMIFS(合格品入货记录!$G:$G,合格品入货记录!$A:$A,样品!AC$3,合格品入货记录!$E:$E,样品!$E14)," ")</f>
        <v>0</v>
      </c>
      <c r="AD14" s="32">
        <f>IFERROR(SUMIFS(合格品入货记录!$G:$G,合格品入货记录!$A:$A,样品!AD$3,合格品入货记录!$E:$E,样品!$E14)," ")</f>
        <v>0</v>
      </c>
      <c r="AE14" s="32">
        <f>IFERROR(SUMIFS(合格品入货记录!$G:$G,合格品入货记录!$A:$A,样品!AE$3,合格品入货记录!$E:$E,样品!$E14)," ")</f>
        <v>0</v>
      </c>
      <c r="AF14" s="32">
        <f>IFERROR(SUMIFS(合格品入货记录!$G:$G,合格品入货记录!$A:$A,样品!AF$3,合格品入货记录!$E:$E,样品!$E14)," ")</f>
        <v>0</v>
      </c>
      <c r="AG14" s="32">
        <f>IFERROR(SUMIFS(合格品入货记录!$G:$G,合格品入货记录!$A:$A,样品!AG$3,合格品入货记录!$E:$E,样品!$E14)," ")</f>
        <v>0</v>
      </c>
      <c r="AH14" s="32">
        <f>IFERROR(SUMIFS(合格品入货记录!$G:$G,合格品入货记录!$A:$A,样品!AH$3,合格品入货记录!$E:$E,样品!$E14)," ")</f>
        <v>0</v>
      </c>
      <c r="AI14" s="32">
        <f>IFERROR(SUMIFS(合格品入货记录!$G:$G,合格品入货记录!$A:$A,样品!AI$3,合格品入货记录!$E:$E,样品!$E14)," ")</f>
        <v>0</v>
      </c>
      <c r="AJ14" s="32">
        <f>IFERROR(SUMIFS(合格品入货记录!$G:$G,合格品入货记录!$A:$A,样品!AJ$3,合格品入货记录!$E:$E,样品!$E14)," ")</f>
        <v>0</v>
      </c>
      <c r="AK14" s="32">
        <f>IFERROR(SUMIFS(合格品入货记录!$G:$G,合格品入货记录!$A:$A,样品!AK$3,合格品入货记录!$E:$E,样品!$E14)," ")</f>
        <v>0</v>
      </c>
      <c r="AL14" s="32">
        <f>IFERROR(SUMIFS(合格品入货记录!$G:$G,合格品入货记录!$A:$A,样品!AL$3,合格品入货记录!$E:$E,样品!$E14)," ")</f>
        <v>0</v>
      </c>
      <c r="AM14" s="32">
        <f>IFERROR(SUMIFS(合格品入货记录!$G:$G,合格品入货记录!$A:$A,样品!AM$3,合格品入货记录!$E:$E,样品!$E14)," ")</f>
        <v>0</v>
      </c>
      <c r="AN14" s="32">
        <f>IFERROR(SUMIFS(合格品入货记录!$G:$G,合格品入货记录!$A:$A,样品!AN$3,合格品入货记录!$E:$E,样品!$E14)," ")</f>
        <v>0</v>
      </c>
      <c r="AO14" s="32">
        <f>IFERROR(SUMIFS(合格品入货记录!$G:$G,合格品入货记录!$A:$A,样品!AO$3,合格品入货记录!$E:$E,样品!$E14)," ")</f>
        <v>0</v>
      </c>
      <c r="AP14" s="32">
        <f>IFERROR(SUMIFS(合格品入货记录!$G:$G,合格品入货记录!$A:$A,样品!AP$3,合格品入货记录!$E:$E,样品!$E14)," ")</f>
        <v>0</v>
      </c>
      <c r="AQ14" s="32">
        <f>IFERROR(SUMIFS(合格品入货记录!$G:$G,合格品入货记录!$A:$A,样品!AQ$3,合格品入货记录!$E:$E,样品!$E14)," ")</f>
        <v>0</v>
      </c>
      <c r="AR14" s="32">
        <f>IFERROR(SUMIFS(合格品入货记录!$G:$G,合格品入货记录!$A:$A,样品!AR$3,合格品入货记录!$E:$E,样品!$E14)," ")</f>
        <v>0</v>
      </c>
      <c r="AS14" s="32">
        <f>IFERROR(SUMIFS(合格品入货记录!$G:$G,合格品入货记录!$A:$A,样品!AS$3,合格品入货记录!$E:$E,样品!$E14)," ")</f>
        <v>0</v>
      </c>
      <c r="AT14" s="32">
        <f>IFERROR(SUMIFS(合格品入货记录!$G:$G,合格品入货记录!$A:$A,样品!AT$3,合格品入货记录!$E:$E,样品!$E14)," ")</f>
        <v>0</v>
      </c>
      <c r="AU14" s="32">
        <f>SUMIFS(合格品入货记录!$G:$G,合格品入货记录!$A:$A,样品!AU$3,合格品入货记录!$E:$E,样品!$E14)</f>
        <v>0</v>
      </c>
      <c r="AV14" s="32">
        <f>SUMIFS(合格品入货记录!$G:$G,合格品入货记录!$A:$A,样品!AV$3,合格品入货记录!$E:$E,样品!$E14)</f>
        <v>0</v>
      </c>
      <c r="AW14" s="32">
        <f>SUMIFS(合格品入货记录!$G:$G,合格品入货记录!$A:$A,样品!AW$3,合格品入货记录!$E:$E,样品!$E14)</f>
        <v>0</v>
      </c>
      <c r="AX14" s="32">
        <f>SUMIFS(合格品入货记录!$G:$G,合格品入货记录!$A:$A,样品!AX$3,合格品入货记录!$E:$E,样品!$E14)</f>
        <v>0</v>
      </c>
      <c r="AY14" s="32">
        <f>SUMIFS(合格品入货记录!$G:$G,合格品入货记录!$A:$A,样品!AY$3,合格品入货记录!$E:$E,样品!$E14)</f>
        <v>0</v>
      </c>
      <c r="AZ14" s="32">
        <f>SUMIFS(合格品入货记录!$G:$G,合格品入货记录!$A:$A,样品!AZ$3,合格品入货记录!$E:$E,样品!$E14)</f>
        <v>0</v>
      </c>
      <c r="BA14" s="32">
        <f>SUMIFS(合格品入货记录!$G:$G,合格品入货记录!$A:$A,样品!BA$3,合格品入货记录!$E:$E,样品!$E14)</f>
        <v>0</v>
      </c>
      <c r="BB14" s="32">
        <f>SUMIFS(合格品入货记录!$G:$G,合格品入货记录!$A:$A,样品!BB$3,合格品入货记录!$E:$E,样品!$E14)</f>
        <v>0</v>
      </c>
      <c r="BC14" s="32">
        <f>SUMIFS(合格品入货记录!$G:$G,合格品入货记录!$A:$A,样品!BC$3,合格品入货记录!$E:$E,样品!$E14)</f>
        <v>0</v>
      </c>
      <c r="BD14" s="32">
        <f>SUMIFS(合格品入货记录!$G:$G,合格品入货记录!$A:$A,样品!BD$3,合格品入货记录!$E:$E,样品!$E14)</f>
        <v>0</v>
      </c>
      <c r="BE14" s="32">
        <f>SUMIFS(合格品入货记录!$G:$G,合格品入货记录!$A:$A,样品!BE$3,合格品入货记录!$E:$E,样品!$E14)</f>
        <v>0</v>
      </c>
      <c r="BF14" s="32">
        <f>SUMIFS(合格品入货记录!$G:$G,合格品入货记录!$A:$A,样品!BF$3,合格品入货记录!$E:$E,样品!$E14)</f>
        <v>0</v>
      </c>
      <c r="BG14" s="32">
        <f>SUMIFS(合格品入货记录!$G:$G,合格品入货记录!$A:$A,样品!BG$3,合格品入货记录!$E:$E,样品!$E14)</f>
        <v>0</v>
      </c>
      <c r="BH14" s="32">
        <f>SUMIFS(合格品入货记录!$G:$G,合格品入货记录!$A:$A,样品!BH$3,合格品入货记录!$E:$E,样品!$E14)</f>
        <v>0</v>
      </c>
      <c r="BI14" s="32">
        <f>SUMIFS(合格品入货记录!$G:$G,合格品入货记录!$A:$A,样品!BI$3,合格品入货记录!$E:$E,样品!$E14)</f>
        <v>0</v>
      </c>
      <c r="BJ14" s="32">
        <f>SUMIFS(合格品入货记录!$G:$G,合格品入货记录!$A:$A,样品!BJ$3,合格品入货记录!$E:$E,样品!$E14)</f>
        <v>0</v>
      </c>
      <c r="BK14" s="32">
        <f>SUMIFS(合格品入货记录!$G:$G,合格品入货记录!$A:$A,样品!BK$3,合格品入货记录!$E:$E,样品!$E14)</f>
        <v>0</v>
      </c>
      <c r="BL14" s="32">
        <f>SUMIFS(合格品入货记录!$G:$G,合格品入货记录!$A:$A,样品!BL$3,合格品入货记录!$E:$E,样品!$E14)</f>
        <v>0</v>
      </c>
      <c r="BM14" s="32">
        <f>SUMIFS(合格品入货记录!$G:$G,合格品入货记录!$A:$A,样品!BM$3,合格品入货记录!$E:$E,样品!$E14)</f>
        <v>0</v>
      </c>
      <c r="BN14" s="32">
        <f>SUMIFS(合格品入货记录!$G:$G,合格品入货记录!$A:$A,样品!BN$3,合格品入货记录!$E:$E,样品!$E14)</f>
        <v>0</v>
      </c>
      <c r="BO14" s="32">
        <f>SUMIFS(合格品入货记录!$G:$G,合格品入货记录!$A:$A,样品!BO$3,合格品入货记录!$E:$E,样品!$E14)</f>
        <v>0</v>
      </c>
      <c r="BP14" s="32">
        <f>SUMIFS(合格品入货记录!$G:$G,合格品入货记录!$A:$A,样品!BP$3,合格品入货记录!$E:$E,样品!$E14)</f>
        <v>0</v>
      </c>
      <c r="BQ14" s="32">
        <f>SUMIFS(合格品入货记录!$G:$G,合格品入货记录!$A:$A,样品!BQ$3,合格品入货记录!$E:$E,样品!$E14)</f>
        <v>0</v>
      </c>
      <c r="BR14" s="32">
        <f>SUMIFS(合格品入货记录!$G:$G,合格品入货记录!$A:$A,样品!BR$3,合格品入货记录!$E:$E,样品!$E14)</f>
        <v>0</v>
      </c>
      <c r="BS14" s="32">
        <f>SUMIFS(合格品入货记录!$G:$G,合格品入货记录!$A:$A,样品!BS$3,合格品入货记录!$E:$E,样品!$E14)</f>
        <v>0</v>
      </c>
      <c r="BT14" s="32">
        <f>SUMIFS(合格品入货记录!$G:$G,合格品入货记录!$A:$A,样品!BT$3,合格品入货记录!$E:$E,样品!$E14)</f>
        <v>0</v>
      </c>
      <c r="BU14" s="32">
        <f>SUMIFS(合格品入货记录!$G:$G,合格品入货记录!$A:$A,样品!BU$3,合格品入货记录!$E:$E,样品!$E14)</f>
        <v>0</v>
      </c>
      <c r="BV14" s="32">
        <f>SUMIFS(合格品入货记录!$G:$G,合格品入货记录!$A:$A,样品!BV$3,合格品入货记录!$E:$E,样品!$E14)</f>
        <v>0</v>
      </c>
      <c r="BW14" s="32">
        <f>SUMIFS(合格品入货记录!$G:$G,合格品入货记录!$A:$A,样品!BW$3,合格品入货记录!$E:$E,样品!$E14)</f>
        <v>0</v>
      </c>
      <c r="BX14" s="32">
        <f>SUMIFS(合格品入货记录!$G:$G,合格品入货记录!$A:$A,样品!BX$3,合格品入货记录!$E:$E,样品!$E14)</f>
        <v>0</v>
      </c>
      <c r="BY14" s="32">
        <f>SUMIFS(合格品入货记录!$G:$G,合格品入货记录!$A:$A,样品!BY$3,合格品入货记录!$E:$E,样品!$E14)</f>
        <v>0</v>
      </c>
      <c r="BZ14" s="123"/>
      <c r="CA14" s="123"/>
      <c r="CB14" s="125"/>
      <c r="CC14" s="125"/>
    </row>
    <row r="15" s="90" customFormat="1" customHeight="1" spans="1:81">
      <c r="A15" s="31">
        <v>12</v>
      </c>
      <c r="B15" s="102" t="s">
        <v>19</v>
      </c>
      <c r="C15" s="103" t="s">
        <v>20</v>
      </c>
      <c r="D15" s="32" t="s">
        <v>294</v>
      </c>
      <c r="E15" s="32" t="s">
        <v>295</v>
      </c>
      <c r="F15" s="103" t="s">
        <v>296</v>
      </c>
      <c r="G15" s="32"/>
      <c r="H15" s="32">
        <v>0</v>
      </c>
      <c r="I15" s="112">
        <f>SUMIF(合格品入货记录!E:E,样品!E15,合格品入货记录!G:G)</f>
        <v>0</v>
      </c>
      <c r="J15" s="112">
        <f>SUMIF(合格品出库记录!E:E,样品!E15,合格品出库记录!G:G)</f>
        <v>0</v>
      </c>
      <c r="K15" s="102">
        <f t="shared" si="0"/>
        <v>0</v>
      </c>
      <c r="L15" s="102">
        <f>SUMIF(不良品库存!D:D,E15:E50,不良品库存!F:F)</f>
        <v>0</v>
      </c>
      <c r="M15" s="113">
        <f t="shared" si="1"/>
        <v>0</v>
      </c>
      <c r="N15" s="102"/>
      <c r="O15" s="102"/>
      <c r="P15" s="32">
        <f>IFERROR(SUMIFS(合格品入货记录!$G:$G,合格品入货记录!$A:$A,样品!P$3,合格品入货记录!$E:$E,样品!$E15)," ")</f>
        <v>0</v>
      </c>
      <c r="Q15" s="32">
        <f>SUMIFS(合格品入货记录!$G:$G,合格品入货记录!$A:$A,样品!Q$3,合格品入货记录!$E:$E,样品!$E15)</f>
        <v>0</v>
      </c>
      <c r="R15" s="32">
        <f>SUMIFS(合格品入货记录!$G:$G,合格品入货记录!$A:$A,样品!R$3,合格品入货记录!$E:$E,样品!$E15)</f>
        <v>0</v>
      </c>
      <c r="S15" s="32">
        <f>SUMIFS(合格品入货记录!$G:$G,合格品入货记录!$A:$A,样品!S$3,合格品入货记录!$E:$E,样品!$E15)</f>
        <v>0</v>
      </c>
      <c r="T15" s="32">
        <f>SUMIFS(合格品入货记录!$G:$G,合格品入货记录!$A:$A,样品!T$3,合格品入货记录!$E:$E,样品!$E15)</f>
        <v>0</v>
      </c>
      <c r="U15" s="32">
        <f>SUMIFS(合格品入货记录!$G:$G,合格品入货记录!$A:$A,样品!U$3,合格品入货记录!$E:$E,样品!$E15)</f>
        <v>0</v>
      </c>
      <c r="V15" s="32">
        <f>SUMIFS(合格品入货记录!$G:$G,合格品入货记录!$A:$A,样品!V$3,合格品入货记录!$E:$E,样品!$E15)</f>
        <v>0</v>
      </c>
      <c r="W15" s="32">
        <f>SUMIFS(合格品入货记录!$G:$G,合格品入货记录!$A:$A,样品!W$3,合格品入货记录!$E:$E,样品!$E15)</f>
        <v>0</v>
      </c>
      <c r="X15" s="32">
        <f>SUMIFS(合格品入货记录!$G:$G,合格品入货记录!$A:$A,样品!X$3,合格品入货记录!$E:$E,样品!$E15)</f>
        <v>0</v>
      </c>
      <c r="Y15" s="32">
        <f>SUMIFS(合格品入货记录!$G:$G,合格品入货记录!$A:$A,样品!Y$3,合格品入货记录!$E:$E,样品!$E15)</f>
        <v>0</v>
      </c>
      <c r="Z15" s="32">
        <f>SUMIFS(合格品入货记录!$G:$G,合格品入货记录!$A:$A,样品!Z$3,合格品入货记录!$E:$E,样品!$E15)</f>
        <v>0</v>
      </c>
      <c r="AA15" s="32">
        <f>SUMIFS(合格品入货记录!$G:$G,合格品入货记录!$A:$A,样品!AA$3,合格品入货记录!$E:$E,样品!$E15)</f>
        <v>0</v>
      </c>
      <c r="AB15" s="32">
        <f>SUMIFS(合格品入货记录!$G:$G,合格品入货记录!$A:$A,样品!AB$3,合格品入货记录!$E:$E,样品!$E15)</f>
        <v>0</v>
      </c>
      <c r="AC15" s="32">
        <f>SUMIFS(合格品入货记录!$G:$G,合格品入货记录!$A:$A,样品!AC$3,合格品入货记录!$E:$E,样品!$E15)</f>
        <v>0</v>
      </c>
      <c r="AD15" s="32">
        <f>SUMIFS(合格品入货记录!$G:$G,合格品入货记录!$A:$A,样品!AD$3,合格品入货记录!$E:$E,样品!$E15)</f>
        <v>0</v>
      </c>
      <c r="AE15" s="32">
        <f>SUMIFS(合格品入货记录!$G:$G,合格品入货记录!$A:$A,样品!AE$3,合格品入货记录!$E:$E,样品!$E15)</f>
        <v>0</v>
      </c>
      <c r="AF15" s="32">
        <f>SUMIFS(合格品入货记录!$G:$G,合格品入货记录!$A:$A,样品!AF$3,合格品入货记录!$E:$E,样品!$E15)</f>
        <v>0</v>
      </c>
      <c r="AG15" s="32">
        <f>SUMIFS(合格品入货记录!$G:$G,合格品入货记录!$A:$A,样品!AG$3,合格品入货记录!$E:$E,样品!$E15)</f>
        <v>0</v>
      </c>
      <c r="AH15" s="32">
        <f>SUMIFS(合格品入货记录!$G:$G,合格品入货记录!$A:$A,样品!AH$3,合格品入货记录!$E:$E,样品!$E15)</f>
        <v>0</v>
      </c>
      <c r="AI15" s="32">
        <f>SUMIFS(合格品入货记录!$G:$G,合格品入货记录!$A:$A,样品!AI$3,合格品入货记录!$E:$E,样品!$E15)</f>
        <v>0</v>
      </c>
      <c r="AJ15" s="32">
        <f>SUMIFS(合格品入货记录!$G:$G,合格品入货记录!$A:$A,样品!AJ$3,合格品入货记录!$E:$E,样品!$E15)</f>
        <v>0</v>
      </c>
      <c r="AK15" s="32">
        <f>SUMIFS(合格品入货记录!$G:$G,合格品入货记录!$A:$A,样品!AK$3,合格品入货记录!$E:$E,样品!$E15)</f>
        <v>0</v>
      </c>
      <c r="AL15" s="32">
        <f>SUMIFS(合格品入货记录!$G:$G,合格品入货记录!$A:$A,样品!AL$3,合格品入货记录!$E:$E,样品!$E15)</f>
        <v>0</v>
      </c>
      <c r="AM15" s="32">
        <f>SUMIFS(合格品入货记录!$G:$G,合格品入货记录!$A:$A,样品!AM$3,合格品入货记录!$E:$E,样品!$E15)</f>
        <v>0</v>
      </c>
      <c r="AN15" s="32">
        <f>SUMIFS(合格品入货记录!$G:$G,合格品入货记录!$A:$A,样品!AN$3,合格品入货记录!$E:$E,样品!$E15)</f>
        <v>0</v>
      </c>
      <c r="AO15" s="32">
        <f>SUMIFS(合格品入货记录!$G:$G,合格品入货记录!$A:$A,样品!AO$3,合格品入货记录!$E:$E,样品!$E15)</f>
        <v>0</v>
      </c>
      <c r="AP15" s="32">
        <f>SUMIFS(合格品入货记录!$G:$G,合格品入货记录!$A:$A,样品!AP$3,合格品入货记录!$E:$E,样品!$E15)</f>
        <v>0</v>
      </c>
      <c r="AQ15" s="32">
        <f>SUMIFS(合格品入货记录!$G:$G,合格品入货记录!$A:$A,样品!AQ$3,合格品入货记录!$E:$E,样品!$E15)</f>
        <v>0</v>
      </c>
      <c r="AR15" s="32">
        <f>SUMIFS(合格品入货记录!$G:$G,合格品入货记录!$A:$A,样品!AR$3,合格品入货记录!$E:$E,样品!$E15)</f>
        <v>0</v>
      </c>
      <c r="AS15" s="32">
        <f>SUMIFS(合格品入货记录!$G:$G,合格品入货记录!$A:$A,样品!AS$3,合格品入货记录!$E:$E,样品!$E15)</f>
        <v>0</v>
      </c>
      <c r="AT15" s="32">
        <f>SUMIFS(合格品入货记录!$G:$G,合格品入货记录!$A:$A,样品!AT$3,合格品入货记录!$E:$E,样品!$E15)</f>
        <v>0</v>
      </c>
      <c r="AU15" s="32">
        <f>SUMIFS(合格品入货记录!$G:$G,合格品入货记录!$A:$A,样品!AU$3,合格品入货记录!$E:$E,样品!$E15)</f>
        <v>0</v>
      </c>
      <c r="AV15" s="32">
        <f>SUMIFS(合格品入货记录!$G:$G,合格品入货记录!$A:$A,样品!AV$3,合格品入货记录!$E:$E,样品!$E15)</f>
        <v>0</v>
      </c>
      <c r="AW15" s="32">
        <f>SUMIFS(合格品入货记录!$G:$G,合格品入货记录!$A:$A,样品!AW$3,合格品入货记录!$E:$E,样品!$E15)</f>
        <v>0</v>
      </c>
      <c r="AX15" s="32">
        <f>SUMIFS(合格品入货记录!$G:$G,合格品入货记录!$A:$A,样品!AX$3,合格品入货记录!$E:$E,样品!$E15)</f>
        <v>0</v>
      </c>
      <c r="AY15" s="32">
        <f>SUMIFS(合格品入货记录!$G:$G,合格品入货记录!$A:$A,样品!AY$3,合格品入货记录!$E:$E,样品!$E15)</f>
        <v>0</v>
      </c>
      <c r="AZ15" s="32">
        <f>SUMIFS(合格品入货记录!$G:$G,合格品入货记录!$A:$A,样品!AZ$3,合格品入货记录!$E:$E,样品!$E15)</f>
        <v>0</v>
      </c>
      <c r="BA15" s="32">
        <f>SUMIFS(合格品入货记录!$G:$G,合格品入货记录!$A:$A,样品!BA$3,合格品入货记录!$E:$E,样品!$E15)</f>
        <v>0</v>
      </c>
      <c r="BB15" s="32">
        <f>SUMIFS(合格品入货记录!$G:$G,合格品入货记录!$A:$A,样品!BB$3,合格品入货记录!$E:$E,样品!$E15)</f>
        <v>0</v>
      </c>
      <c r="BC15" s="32">
        <f>SUMIFS(合格品入货记录!$G:$G,合格品入货记录!$A:$A,样品!BC$3,合格品入货记录!$E:$E,样品!$E15)</f>
        <v>0</v>
      </c>
      <c r="BD15" s="32">
        <f>SUMIFS(合格品入货记录!$G:$G,合格品入货记录!$A:$A,样品!BD$3,合格品入货记录!$E:$E,样品!$E15)</f>
        <v>0</v>
      </c>
      <c r="BE15" s="32">
        <f>SUMIFS(合格品入货记录!$G:$G,合格品入货记录!$A:$A,样品!BE$3,合格品入货记录!$E:$E,样品!$E15)</f>
        <v>0</v>
      </c>
      <c r="BF15" s="32">
        <f>SUMIFS(合格品入货记录!$G:$G,合格品入货记录!$A:$A,样品!BF$3,合格品入货记录!$E:$E,样品!$E15)</f>
        <v>0</v>
      </c>
      <c r="BG15" s="32">
        <f>SUMIFS(合格品入货记录!$G:$G,合格品入货记录!$A:$A,样品!BG$3,合格品入货记录!$E:$E,样品!$E15)</f>
        <v>0</v>
      </c>
      <c r="BH15" s="32">
        <f>SUMIFS(合格品入货记录!$G:$G,合格品入货记录!$A:$A,样品!BH$3,合格品入货记录!$E:$E,样品!$E15)</f>
        <v>0</v>
      </c>
      <c r="BI15" s="32">
        <f>SUMIFS(合格品入货记录!$G:$G,合格品入货记录!$A:$A,样品!BI$3,合格品入货记录!$E:$E,样品!$E15)</f>
        <v>0</v>
      </c>
      <c r="BJ15" s="32">
        <f>SUMIFS(合格品入货记录!$G:$G,合格品入货记录!$A:$A,样品!BJ$3,合格品入货记录!$E:$E,样品!$E15)</f>
        <v>0</v>
      </c>
      <c r="BK15" s="32">
        <f>SUMIFS(合格品入货记录!$G:$G,合格品入货记录!$A:$A,样品!BK$3,合格品入货记录!$E:$E,样品!$E15)</f>
        <v>0</v>
      </c>
      <c r="BL15" s="32">
        <f>SUMIFS(合格品入货记录!$G:$G,合格品入货记录!$A:$A,样品!BL$3,合格品入货记录!$E:$E,样品!$E15)</f>
        <v>0</v>
      </c>
      <c r="BM15" s="32">
        <f>SUMIFS(合格品入货记录!$G:$G,合格品入货记录!$A:$A,样品!BM$3,合格品入货记录!$E:$E,样品!$E15)</f>
        <v>0</v>
      </c>
      <c r="BN15" s="32">
        <f>SUMIFS(合格品入货记录!$G:$G,合格品入货记录!$A:$A,样品!BN$3,合格品入货记录!$E:$E,样品!$E15)</f>
        <v>0</v>
      </c>
      <c r="BO15" s="32">
        <f>SUMIFS(合格品入货记录!$G:$G,合格品入货记录!$A:$A,样品!BO$3,合格品入货记录!$E:$E,样品!$E15)</f>
        <v>0</v>
      </c>
      <c r="BP15" s="32">
        <f>SUMIFS(合格品入货记录!$G:$G,合格品入货记录!$A:$A,样品!BP$3,合格品入货记录!$E:$E,样品!$E15)</f>
        <v>0</v>
      </c>
      <c r="BQ15" s="32">
        <f>SUMIFS(合格品入货记录!$G:$G,合格品入货记录!$A:$A,样品!BQ$3,合格品入货记录!$E:$E,样品!$E15)</f>
        <v>0</v>
      </c>
      <c r="BR15" s="32">
        <f>SUMIFS(合格品入货记录!$G:$G,合格品入货记录!$A:$A,样品!BR$3,合格品入货记录!$E:$E,样品!$E15)</f>
        <v>0</v>
      </c>
      <c r="BS15" s="32">
        <f>SUMIFS(合格品入货记录!$G:$G,合格品入货记录!$A:$A,样品!BS$3,合格品入货记录!$E:$E,样品!$E15)</f>
        <v>0</v>
      </c>
      <c r="BT15" s="32">
        <f>SUMIFS(合格品入货记录!$G:$G,合格品入货记录!$A:$A,样品!BT$3,合格品入货记录!$E:$E,样品!$E15)</f>
        <v>0</v>
      </c>
      <c r="BU15" s="32">
        <f>SUMIFS(合格品入货记录!$G:$G,合格品入货记录!$A:$A,样品!BU$3,合格品入货记录!$E:$E,样品!$E15)</f>
        <v>0</v>
      </c>
      <c r="BV15" s="32">
        <f>SUMIFS(合格品入货记录!$G:$G,合格品入货记录!$A:$A,样品!BV$3,合格品入货记录!$E:$E,样品!$E15)</f>
        <v>0</v>
      </c>
      <c r="BW15" s="32">
        <f>SUMIFS(合格品入货记录!$G:$G,合格品入货记录!$A:$A,样品!BW$3,合格品入货记录!$E:$E,样品!$E15)</f>
        <v>0</v>
      </c>
      <c r="BX15" s="32">
        <f>SUMIFS(合格品入货记录!$G:$G,合格品入货记录!$A:$A,样品!BX$3,合格品入货记录!$E:$E,样品!$E15)</f>
        <v>0</v>
      </c>
      <c r="BY15" s="32">
        <f>SUMIFS(合格品入货记录!$G:$G,合格品入货记录!$A:$A,样品!BY$3,合格品入货记录!$E:$E,样品!$E15)</f>
        <v>0</v>
      </c>
      <c r="BZ15" s="123"/>
      <c r="CA15" s="123"/>
      <c r="CB15" s="125"/>
      <c r="CC15" s="125"/>
    </row>
    <row r="16" s="90" customFormat="1" customHeight="1" spans="1:81">
      <c r="A16" s="31">
        <v>13</v>
      </c>
      <c r="B16" s="104" t="s">
        <v>19</v>
      </c>
      <c r="C16" s="105" t="s">
        <v>20</v>
      </c>
      <c r="D16" s="32" t="s">
        <v>297</v>
      </c>
      <c r="E16" s="31" t="s">
        <v>298</v>
      </c>
      <c r="F16" s="105" t="s">
        <v>299</v>
      </c>
      <c r="G16" s="31"/>
      <c r="H16" s="31">
        <v>0</v>
      </c>
      <c r="I16" s="106">
        <f>SUMIF(合格品入货记录!E:E,样品!E16,合格品入货记录!G:G)</f>
        <v>0</v>
      </c>
      <c r="J16" s="106">
        <f>SUMIF(合格品出库记录!E:E,样品!E16,合格品出库记录!G:G)</f>
        <v>0</v>
      </c>
      <c r="K16" s="102">
        <f t="shared" si="0"/>
        <v>0</v>
      </c>
      <c r="L16" s="102">
        <f>SUMIF(不良品库存!D:D,E16:E51,不良品库存!F:F)</f>
        <v>0</v>
      </c>
      <c r="M16" s="113">
        <f t="shared" si="1"/>
        <v>0</v>
      </c>
      <c r="N16" s="31"/>
      <c r="O16" s="104"/>
      <c r="P16" s="32">
        <f>IFERROR(SUMIFS(合格品入货记录!$G:$G,合格品入货记录!$A:$A,样品!P$3,合格品入货记录!$E:$E,样品!$E16)," ")</f>
        <v>0</v>
      </c>
      <c r="Q16" s="32">
        <f>SUMIFS(合格品入货记录!$G:$G,合格品入货记录!$A:$A,样品!Q$3,合格品入货记录!$E:$E,样品!$E16)</f>
        <v>0</v>
      </c>
      <c r="R16" s="32">
        <f>SUMIFS(合格品入货记录!$G:$G,合格品入货记录!$A:$A,样品!R$3,合格品入货记录!$E:$E,样品!$E16)</f>
        <v>0</v>
      </c>
      <c r="S16" s="32">
        <f>SUMIFS(合格品入货记录!$G:$G,合格品入货记录!$A:$A,样品!S$3,合格品入货记录!$E:$E,样品!$E16)</f>
        <v>0</v>
      </c>
      <c r="T16" s="32">
        <f>SUMIFS(合格品入货记录!$G:$G,合格品入货记录!$A:$A,样品!T$3,合格品入货记录!$E:$E,样品!$E16)</f>
        <v>0</v>
      </c>
      <c r="U16" s="32">
        <f>SUMIFS(合格品入货记录!$G:$G,合格品入货记录!$A:$A,样品!U$3,合格品入货记录!$E:$E,样品!$E16)</f>
        <v>0</v>
      </c>
      <c r="V16" s="32">
        <f>SUMIFS(合格品入货记录!$G:$G,合格品入货记录!$A:$A,样品!V$3,合格品入货记录!$E:$E,样品!$E16)</f>
        <v>0</v>
      </c>
      <c r="W16" s="32">
        <f>SUMIFS(合格品入货记录!$G:$G,合格品入货记录!$A:$A,样品!W$3,合格品入货记录!$E:$E,样品!$E16)</f>
        <v>0</v>
      </c>
      <c r="X16" s="32">
        <f>SUMIFS(合格品入货记录!$G:$G,合格品入货记录!$A:$A,样品!X$3,合格品入货记录!$E:$E,样品!$E16)</f>
        <v>0</v>
      </c>
      <c r="Y16" s="32">
        <f>SUMIFS(合格品入货记录!$G:$G,合格品入货记录!$A:$A,样品!Y$3,合格品入货记录!$E:$E,样品!$E16)</f>
        <v>0</v>
      </c>
      <c r="Z16" s="32">
        <f>SUMIFS(合格品入货记录!$G:$G,合格品入货记录!$A:$A,样品!Z$3,合格品入货记录!$E:$E,样品!$E16)</f>
        <v>0</v>
      </c>
      <c r="AA16" s="32">
        <f>SUMIFS(合格品入货记录!$G:$G,合格品入货记录!$A:$A,样品!AA$3,合格品入货记录!$E:$E,样品!$E16)</f>
        <v>0</v>
      </c>
      <c r="AB16" s="32">
        <f>SUMIFS(合格品入货记录!$G:$G,合格品入货记录!$A:$A,样品!AB$3,合格品入货记录!$E:$E,样品!$E16)</f>
        <v>0</v>
      </c>
      <c r="AC16" s="32">
        <f>SUMIFS(合格品入货记录!$G:$G,合格品入货记录!$A:$A,样品!AC$3,合格品入货记录!$E:$E,样品!$E16)</f>
        <v>0</v>
      </c>
      <c r="AD16" s="32">
        <f>SUMIFS(合格品入货记录!$G:$G,合格品入货记录!$A:$A,样品!AD$3,合格品入货记录!$E:$E,样品!$E16)</f>
        <v>0</v>
      </c>
      <c r="AE16" s="32">
        <f>SUMIFS(合格品入货记录!$G:$G,合格品入货记录!$A:$A,样品!AE$3,合格品入货记录!$E:$E,样品!$E16)</f>
        <v>0</v>
      </c>
      <c r="AF16" s="32">
        <f>SUMIFS(合格品入货记录!$G:$G,合格品入货记录!$A:$A,样品!AF$3,合格品入货记录!$E:$E,样品!$E16)</f>
        <v>0</v>
      </c>
      <c r="AG16" s="32">
        <f>SUMIFS(合格品入货记录!$G:$G,合格品入货记录!$A:$A,样品!AG$3,合格品入货记录!$E:$E,样品!$E16)</f>
        <v>0</v>
      </c>
      <c r="AH16" s="32">
        <f>SUMIFS(合格品入货记录!$G:$G,合格品入货记录!$A:$A,样品!AH$3,合格品入货记录!$E:$E,样品!$E16)</f>
        <v>0</v>
      </c>
      <c r="AI16" s="32">
        <f>SUMIFS(合格品入货记录!$G:$G,合格品入货记录!$A:$A,样品!AI$3,合格品入货记录!$E:$E,样品!$E16)</f>
        <v>0</v>
      </c>
      <c r="AJ16" s="32">
        <f>SUMIFS(合格品入货记录!$G:$G,合格品入货记录!$A:$A,样品!AJ$3,合格品入货记录!$E:$E,样品!$E16)</f>
        <v>0</v>
      </c>
      <c r="AK16" s="32">
        <f>SUMIFS(合格品入货记录!$G:$G,合格品入货记录!$A:$A,样品!AK$3,合格品入货记录!$E:$E,样品!$E16)</f>
        <v>0</v>
      </c>
      <c r="AL16" s="32">
        <f>SUMIFS(合格品入货记录!$G:$G,合格品入货记录!$A:$A,样品!AL$3,合格品入货记录!$E:$E,样品!$E16)</f>
        <v>0</v>
      </c>
      <c r="AM16" s="32">
        <f>SUMIFS(合格品入货记录!$G:$G,合格品入货记录!$A:$A,样品!AM$3,合格品入货记录!$E:$E,样品!$E16)</f>
        <v>0</v>
      </c>
      <c r="AN16" s="32">
        <f>SUMIFS(合格品入货记录!$G:$G,合格品入货记录!$A:$A,样品!AN$3,合格品入货记录!$E:$E,样品!$E16)</f>
        <v>0</v>
      </c>
      <c r="AO16" s="32">
        <f>SUMIFS(合格品入货记录!$G:$G,合格品入货记录!$A:$A,样品!AO$3,合格品入货记录!$E:$E,样品!$E16)</f>
        <v>0</v>
      </c>
      <c r="AP16" s="32">
        <f>SUMIFS(合格品入货记录!$G:$G,合格品入货记录!$A:$A,样品!AP$3,合格品入货记录!$E:$E,样品!$E16)</f>
        <v>0</v>
      </c>
      <c r="AQ16" s="32">
        <f>SUMIFS(合格品入货记录!$G:$G,合格品入货记录!$A:$A,样品!AQ$3,合格品入货记录!$E:$E,样品!$E16)</f>
        <v>0</v>
      </c>
      <c r="AR16" s="32">
        <f>SUMIFS(合格品入货记录!$G:$G,合格品入货记录!$A:$A,样品!AR$3,合格品入货记录!$E:$E,样品!$E16)</f>
        <v>0</v>
      </c>
      <c r="AS16" s="32">
        <f>SUMIFS(合格品入货记录!$G:$G,合格品入货记录!$A:$A,样品!AS$3,合格品入货记录!$E:$E,样品!$E16)</f>
        <v>0</v>
      </c>
      <c r="AT16" s="32">
        <f>SUMIFS(合格品入货记录!$G:$G,合格品入货记录!$A:$A,样品!AT$3,合格品入货记录!$E:$E,样品!$E16)</f>
        <v>0</v>
      </c>
      <c r="AU16" s="32">
        <f>SUMIFS(合格品入货记录!$G:$G,合格品入货记录!$A:$A,样品!AU$3,合格品入货记录!$E:$E,样品!$E16)</f>
        <v>0</v>
      </c>
      <c r="AV16" s="32">
        <f>SUMIFS(合格品入货记录!$G:$G,合格品入货记录!$A:$A,样品!AV$3,合格品入货记录!$E:$E,样品!$E16)</f>
        <v>0</v>
      </c>
      <c r="AW16" s="32">
        <f>SUMIFS(合格品入货记录!$G:$G,合格品入货记录!$A:$A,样品!AW$3,合格品入货记录!$E:$E,样品!$E16)</f>
        <v>0</v>
      </c>
      <c r="AX16" s="32">
        <f>SUMIFS(合格品入货记录!$G:$G,合格品入货记录!$A:$A,样品!AX$3,合格品入货记录!$E:$E,样品!$E16)</f>
        <v>0</v>
      </c>
      <c r="AY16" s="32">
        <f>SUMIFS(合格品入货记录!$G:$G,合格品入货记录!$A:$A,样品!AY$3,合格品入货记录!$E:$E,样品!$E16)</f>
        <v>0</v>
      </c>
      <c r="AZ16" s="32">
        <f>SUMIFS(合格品入货记录!$G:$G,合格品入货记录!$A:$A,样品!AZ$3,合格品入货记录!$E:$E,样品!$E16)</f>
        <v>0</v>
      </c>
      <c r="BA16" s="32">
        <f>SUMIFS(合格品入货记录!$G:$G,合格品入货记录!$A:$A,样品!BA$3,合格品入货记录!$E:$E,样品!$E16)</f>
        <v>0</v>
      </c>
      <c r="BB16" s="32">
        <f>SUMIFS(合格品入货记录!$G:$G,合格品入货记录!$A:$A,样品!BB$3,合格品入货记录!$E:$E,样品!$E16)</f>
        <v>0</v>
      </c>
      <c r="BC16" s="32">
        <f>SUMIFS(合格品入货记录!$G:$G,合格品入货记录!$A:$A,样品!BC$3,合格品入货记录!$E:$E,样品!$E16)</f>
        <v>0</v>
      </c>
      <c r="BD16" s="32">
        <f>SUMIFS(合格品入货记录!$G:$G,合格品入货记录!$A:$A,样品!BD$3,合格品入货记录!$E:$E,样品!$E16)</f>
        <v>0</v>
      </c>
      <c r="BE16" s="32">
        <f>SUMIFS(合格品入货记录!$G:$G,合格品入货记录!$A:$A,样品!BE$3,合格品入货记录!$E:$E,样品!$E16)</f>
        <v>0</v>
      </c>
      <c r="BF16" s="32">
        <f>SUMIFS(合格品入货记录!$G:$G,合格品入货记录!$A:$A,样品!BF$3,合格品入货记录!$E:$E,样品!$E16)</f>
        <v>0</v>
      </c>
      <c r="BG16" s="32">
        <f>SUMIFS(合格品入货记录!$G:$G,合格品入货记录!$A:$A,样品!BG$3,合格品入货记录!$E:$E,样品!$E16)</f>
        <v>0</v>
      </c>
      <c r="BH16" s="32">
        <f>SUMIFS(合格品入货记录!$G:$G,合格品入货记录!$A:$A,样品!BH$3,合格品入货记录!$E:$E,样品!$E16)</f>
        <v>0</v>
      </c>
      <c r="BI16" s="32">
        <f>SUMIFS(合格品入货记录!$G:$G,合格品入货记录!$A:$A,样品!BI$3,合格品入货记录!$E:$E,样品!$E16)</f>
        <v>0</v>
      </c>
      <c r="BJ16" s="32">
        <f>SUMIFS(合格品入货记录!$G:$G,合格品入货记录!$A:$A,样品!BJ$3,合格品入货记录!$E:$E,样品!$E16)</f>
        <v>0</v>
      </c>
      <c r="BK16" s="32">
        <f>SUMIFS(合格品入货记录!$G:$G,合格品入货记录!$A:$A,样品!BK$3,合格品入货记录!$E:$E,样品!$E16)</f>
        <v>0</v>
      </c>
      <c r="BL16" s="32">
        <f>SUMIFS(合格品入货记录!$G:$G,合格品入货记录!$A:$A,样品!BL$3,合格品入货记录!$E:$E,样品!$E16)</f>
        <v>0</v>
      </c>
      <c r="BM16" s="32">
        <f>SUMIFS(合格品入货记录!$G:$G,合格品入货记录!$A:$A,样品!BM$3,合格品入货记录!$E:$E,样品!$E16)</f>
        <v>0</v>
      </c>
      <c r="BN16" s="32">
        <f>SUMIFS(合格品入货记录!$G:$G,合格品入货记录!$A:$A,样品!BN$3,合格品入货记录!$E:$E,样品!$E16)</f>
        <v>0</v>
      </c>
      <c r="BO16" s="32">
        <f>SUMIFS(合格品入货记录!$G:$G,合格品入货记录!$A:$A,样品!BO$3,合格品入货记录!$E:$E,样品!$E16)</f>
        <v>0</v>
      </c>
      <c r="BP16" s="32">
        <f>SUMIFS(合格品入货记录!$G:$G,合格品入货记录!$A:$A,样品!BP$3,合格品入货记录!$E:$E,样品!$E16)</f>
        <v>0</v>
      </c>
      <c r="BQ16" s="32">
        <f>SUMIFS(合格品入货记录!$G:$G,合格品入货记录!$A:$A,样品!BQ$3,合格品入货记录!$E:$E,样品!$E16)</f>
        <v>0</v>
      </c>
      <c r="BR16" s="32">
        <f>SUMIFS(合格品入货记录!$G:$G,合格品入货记录!$A:$A,样品!BR$3,合格品入货记录!$E:$E,样品!$E16)</f>
        <v>0</v>
      </c>
      <c r="BS16" s="32">
        <f>SUMIFS(合格品入货记录!$G:$G,合格品入货记录!$A:$A,样品!BS$3,合格品入货记录!$E:$E,样品!$E16)</f>
        <v>0</v>
      </c>
      <c r="BT16" s="32">
        <f>SUMIFS(合格品入货记录!$G:$G,合格品入货记录!$A:$A,样品!BT$3,合格品入货记录!$E:$E,样品!$E16)</f>
        <v>0</v>
      </c>
      <c r="BU16" s="32">
        <f>SUMIFS(合格品入货记录!$G:$G,合格品入货记录!$A:$A,样品!BU$3,合格品入货记录!$E:$E,样品!$E16)</f>
        <v>0</v>
      </c>
      <c r="BV16" s="32">
        <f>SUMIFS(合格品入货记录!$G:$G,合格品入货记录!$A:$A,样品!BV$3,合格品入货记录!$E:$E,样品!$E16)</f>
        <v>0</v>
      </c>
      <c r="BW16" s="32">
        <f>SUMIFS(合格品入货记录!$G:$G,合格品入货记录!$A:$A,样品!BW$3,合格品入货记录!$E:$E,样品!$E16)</f>
        <v>0</v>
      </c>
      <c r="BX16" s="32">
        <f>SUMIFS(合格品入货记录!$G:$G,合格品入货记录!$A:$A,样品!BX$3,合格品入货记录!$E:$E,样品!$E16)</f>
        <v>0</v>
      </c>
      <c r="BY16" s="32">
        <f>SUMIFS(合格品入货记录!$G:$G,合格品入货记录!$A:$A,样品!BY$3,合格品入货记录!$E:$E,样品!$E16)</f>
        <v>0</v>
      </c>
      <c r="BZ16" s="124"/>
      <c r="CA16" s="124"/>
      <c r="CB16" s="125"/>
      <c r="CC16" s="125"/>
    </row>
    <row r="17" s="90" customFormat="1" customHeight="1" spans="1:81">
      <c r="A17" s="31">
        <v>14</v>
      </c>
      <c r="B17" s="102" t="s">
        <v>19</v>
      </c>
      <c r="C17" s="103" t="s">
        <v>20</v>
      </c>
      <c r="D17" s="32" t="s">
        <v>300</v>
      </c>
      <c r="E17" s="32" t="s">
        <v>301</v>
      </c>
      <c r="F17" s="103" t="s">
        <v>302</v>
      </c>
      <c r="G17" s="32"/>
      <c r="H17" s="32">
        <v>0</v>
      </c>
      <c r="I17" s="112">
        <f>SUMIF(合格品入货记录!E:E,样品!E17,合格品入货记录!G:G)</f>
        <v>0</v>
      </c>
      <c r="J17" s="112">
        <f>SUMIF(合格品出库记录!E:E,样品!E17,合格品出库记录!G:G)</f>
        <v>0</v>
      </c>
      <c r="K17" s="102">
        <f t="shared" si="0"/>
        <v>0</v>
      </c>
      <c r="L17" s="102">
        <f>SUMIF(不良品库存!D:D,E17:E52,不良品库存!F:F)</f>
        <v>0</v>
      </c>
      <c r="M17" s="113">
        <f t="shared" si="1"/>
        <v>0</v>
      </c>
      <c r="N17" s="102"/>
      <c r="O17" s="102"/>
      <c r="P17" s="32">
        <f>IFERROR(SUMIFS(合格品入货记录!$G:$G,合格品入货记录!$A:$A,样品!P$3,合格品入货记录!$E:$E,样品!$E17)," ")</f>
        <v>0</v>
      </c>
      <c r="Q17" s="32">
        <f>SUMIFS(合格品入货记录!$G:$G,合格品入货记录!$A:$A,样品!Q$3,合格品入货记录!$E:$E,样品!$E17)</f>
        <v>0</v>
      </c>
      <c r="R17" s="32">
        <f>SUMIFS(合格品入货记录!$G:$G,合格品入货记录!$A:$A,样品!R$3,合格品入货记录!$E:$E,样品!$E17)</f>
        <v>0</v>
      </c>
      <c r="S17" s="32">
        <f>SUMIFS(合格品入货记录!$G:$G,合格品入货记录!$A:$A,样品!S$3,合格品入货记录!$E:$E,样品!$E17)</f>
        <v>0</v>
      </c>
      <c r="T17" s="32">
        <f>SUMIFS(合格品入货记录!$G:$G,合格品入货记录!$A:$A,样品!T$3,合格品入货记录!$E:$E,样品!$E17)</f>
        <v>0</v>
      </c>
      <c r="U17" s="32">
        <f>SUMIFS(合格品入货记录!$G:$G,合格品入货记录!$A:$A,样品!U$3,合格品入货记录!$E:$E,样品!$E17)</f>
        <v>0</v>
      </c>
      <c r="V17" s="32">
        <f>SUMIFS(合格品入货记录!$G:$G,合格品入货记录!$A:$A,样品!V$3,合格品入货记录!$E:$E,样品!$E17)</f>
        <v>0</v>
      </c>
      <c r="W17" s="32">
        <f>SUMIFS(合格品入货记录!$G:$G,合格品入货记录!$A:$A,样品!W$3,合格品入货记录!$E:$E,样品!$E17)</f>
        <v>0</v>
      </c>
      <c r="X17" s="32">
        <f>SUMIFS(合格品入货记录!$G:$G,合格品入货记录!$A:$A,样品!X$3,合格品入货记录!$E:$E,样品!$E17)</f>
        <v>0</v>
      </c>
      <c r="Y17" s="32">
        <f>SUMIFS(合格品入货记录!$G:$G,合格品入货记录!$A:$A,样品!Y$3,合格品入货记录!$E:$E,样品!$E17)</f>
        <v>0</v>
      </c>
      <c r="Z17" s="32">
        <f>SUMIFS(合格品入货记录!$G:$G,合格品入货记录!$A:$A,样品!Z$3,合格品入货记录!$E:$E,样品!$E17)</f>
        <v>0</v>
      </c>
      <c r="AA17" s="32">
        <f>SUMIFS(合格品入货记录!$G:$G,合格品入货记录!$A:$A,样品!AA$3,合格品入货记录!$E:$E,样品!$E17)</f>
        <v>0</v>
      </c>
      <c r="AB17" s="32">
        <f>SUMIFS(合格品入货记录!$G:$G,合格品入货记录!$A:$A,样品!AB$3,合格品入货记录!$E:$E,样品!$E17)</f>
        <v>0</v>
      </c>
      <c r="AC17" s="32">
        <f>SUMIFS(合格品入货记录!$G:$G,合格品入货记录!$A:$A,样品!AC$3,合格品入货记录!$E:$E,样品!$E17)</f>
        <v>0</v>
      </c>
      <c r="AD17" s="32">
        <f>SUMIFS(合格品入货记录!$G:$G,合格品入货记录!$A:$A,样品!AD$3,合格品入货记录!$E:$E,样品!$E17)</f>
        <v>0</v>
      </c>
      <c r="AE17" s="32">
        <f>SUMIFS(合格品入货记录!$G:$G,合格品入货记录!$A:$A,样品!AE$3,合格品入货记录!$E:$E,样品!$E17)</f>
        <v>0</v>
      </c>
      <c r="AF17" s="32">
        <f>SUMIFS(合格品入货记录!$G:$G,合格品入货记录!$A:$A,样品!AF$3,合格品入货记录!$E:$E,样品!$E17)</f>
        <v>0</v>
      </c>
      <c r="AG17" s="32">
        <f>SUMIFS(合格品入货记录!$G:$G,合格品入货记录!$A:$A,样品!AG$3,合格品入货记录!$E:$E,样品!$E17)</f>
        <v>0</v>
      </c>
      <c r="AH17" s="32">
        <f>SUMIFS(合格品入货记录!$G:$G,合格品入货记录!$A:$A,样品!AH$3,合格品入货记录!$E:$E,样品!$E17)</f>
        <v>0</v>
      </c>
      <c r="AI17" s="32">
        <f>SUMIFS(合格品入货记录!$G:$G,合格品入货记录!$A:$A,样品!AI$3,合格品入货记录!$E:$E,样品!$E17)</f>
        <v>0</v>
      </c>
      <c r="AJ17" s="32">
        <f>SUMIFS(合格品入货记录!$G:$G,合格品入货记录!$A:$A,样品!AJ$3,合格品入货记录!$E:$E,样品!$E17)</f>
        <v>0</v>
      </c>
      <c r="AK17" s="32">
        <f>SUMIFS(合格品入货记录!$G:$G,合格品入货记录!$A:$A,样品!AK$3,合格品入货记录!$E:$E,样品!$E17)</f>
        <v>0</v>
      </c>
      <c r="AL17" s="32">
        <f>SUMIFS(合格品入货记录!$G:$G,合格品入货记录!$A:$A,样品!AL$3,合格品入货记录!$E:$E,样品!$E17)</f>
        <v>0</v>
      </c>
      <c r="AM17" s="32">
        <f>SUMIFS(合格品入货记录!$G:$G,合格品入货记录!$A:$A,样品!AM$3,合格品入货记录!$E:$E,样品!$E17)</f>
        <v>0</v>
      </c>
      <c r="AN17" s="32">
        <f>SUMIFS(合格品入货记录!$G:$G,合格品入货记录!$A:$A,样品!AN$3,合格品入货记录!$E:$E,样品!$E17)</f>
        <v>0</v>
      </c>
      <c r="AO17" s="32">
        <f>SUMIFS(合格品入货记录!$G:$G,合格品入货记录!$A:$A,样品!AO$3,合格品入货记录!$E:$E,样品!$E17)</f>
        <v>0</v>
      </c>
      <c r="AP17" s="32">
        <f>SUMIFS(合格品入货记录!$G:$G,合格品入货记录!$A:$A,样品!AP$3,合格品入货记录!$E:$E,样品!$E17)</f>
        <v>0</v>
      </c>
      <c r="AQ17" s="32">
        <f>SUMIFS(合格品入货记录!$G:$G,合格品入货记录!$A:$A,样品!AQ$3,合格品入货记录!$E:$E,样品!$E17)</f>
        <v>0</v>
      </c>
      <c r="AR17" s="32">
        <f>SUMIFS(合格品入货记录!$G:$G,合格品入货记录!$A:$A,样品!AR$3,合格品入货记录!$E:$E,样品!$E17)</f>
        <v>0</v>
      </c>
      <c r="AS17" s="32">
        <f>SUMIFS(合格品入货记录!$G:$G,合格品入货记录!$A:$A,样品!AS$3,合格品入货记录!$E:$E,样品!$E17)</f>
        <v>0</v>
      </c>
      <c r="AT17" s="32">
        <f>SUMIFS(合格品入货记录!$G:$G,合格品入货记录!$A:$A,样品!AT$3,合格品入货记录!$E:$E,样品!$E17)</f>
        <v>0</v>
      </c>
      <c r="AU17" s="32">
        <f>SUMIFS(合格品入货记录!$G:$G,合格品入货记录!$A:$A,样品!AU$3,合格品入货记录!$E:$E,样品!$E17)</f>
        <v>0</v>
      </c>
      <c r="AV17" s="32">
        <f>SUMIFS(合格品入货记录!$G:$G,合格品入货记录!$A:$A,样品!AV$3,合格品入货记录!$E:$E,样品!$E17)</f>
        <v>0</v>
      </c>
      <c r="AW17" s="32">
        <f>SUMIFS(合格品入货记录!$G:$G,合格品入货记录!$A:$A,样品!AW$3,合格品入货记录!$E:$E,样品!$E17)</f>
        <v>0</v>
      </c>
      <c r="AX17" s="32">
        <f>SUMIFS(合格品入货记录!$G:$G,合格品入货记录!$A:$A,样品!AX$3,合格品入货记录!$E:$E,样品!$E17)</f>
        <v>0</v>
      </c>
      <c r="AY17" s="32">
        <f>SUMIFS(合格品入货记录!$G:$G,合格品入货记录!$A:$A,样品!AY$3,合格品入货记录!$E:$E,样品!$E17)</f>
        <v>0</v>
      </c>
      <c r="AZ17" s="32">
        <f>SUMIFS(合格品入货记录!$G:$G,合格品入货记录!$A:$A,样品!AZ$3,合格品入货记录!$E:$E,样品!$E17)</f>
        <v>0</v>
      </c>
      <c r="BA17" s="32">
        <f>SUMIFS(合格品入货记录!$G:$G,合格品入货记录!$A:$A,样品!BA$3,合格品入货记录!$E:$E,样品!$E17)</f>
        <v>0</v>
      </c>
      <c r="BB17" s="32">
        <f>SUMIFS(合格品入货记录!$G:$G,合格品入货记录!$A:$A,样品!BB$3,合格品入货记录!$E:$E,样品!$E17)</f>
        <v>0</v>
      </c>
      <c r="BC17" s="32">
        <f>SUMIFS(合格品入货记录!$G:$G,合格品入货记录!$A:$A,样品!BC$3,合格品入货记录!$E:$E,样品!$E17)</f>
        <v>0</v>
      </c>
      <c r="BD17" s="32">
        <f>SUMIFS(合格品入货记录!$G:$G,合格品入货记录!$A:$A,样品!BD$3,合格品入货记录!$E:$E,样品!$E17)</f>
        <v>0</v>
      </c>
      <c r="BE17" s="32">
        <f>SUMIFS(合格品入货记录!$G:$G,合格品入货记录!$A:$A,样品!BE$3,合格品入货记录!$E:$E,样品!$E17)</f>
        <v>0</v>
      </c>
      <c r="BF17" s="32">
        <f>SUMIFS(合格品入货记录!$G:$G,合格品入货记录!$A:$A,样品!BF$3,合格品入货记录!$E:$E,样品!$E17)</f>
        <v>0</v>
      </c>
      <c r="BG17" s="32">
        <f>SUMIFS(合格品入货记录!$G:$G,合格品入货记录!$A:$A,样品!BG$3,合格品入货记录!$E:$E,样品!$E17)</f>
        <v>0</v>
      </c>
      <c r="BH17" s="32">
        <f>SUMIFS(合格品入货记录!$G:$G,合格品入货记录!$A:$A,样品!BH$3,合格品入货记录!$E:$E,样品!$E17)</f>
        <v>0</v>
      </c>
      <c r="BI17" s="32">
        <f>SUMIFS(合格品入货记录!$G:$G,合格品入货记录!$A:$A,样品!BI$3,合格品入货记录!$E:$E,样品!$E17)</f>
        <v>0</v>
      </c>
      <c r="BJ17" s="32">
        <f>SUMIFS(合格品入货记录!$G:$G,合格品入货记录!$A:$A,样品!BJ$3,合格品入货记录!$E:$E,样品!$E17)</f>
        <v>0</v>
      </c>
      <c r="BK17" s="32">
        <f>SUMIFS(合格品入货记录!$G:$G,合格品入货记录!$A:$A,样品!BK$3,合格品入货记录!$E:$E,样品!$E17)</f>
        <v>0</v>
      </c>
      <c r="BL17" s="32">
        <f>SUMIFS(合格品入货记录!$G:$G,合格品入货记录!$A:$A,样品!BL$3,合格品入货记录!$E:$E,样品!$E17)</f>
        <v>0</v>
      </c>
      <c r="BM17" s="32">
        <f>SUMIFS(合格品入货记录!$G:$G,合格品入货记录!$A:$A,样品!BM$3,合格品入货记录!$E:$E,样品!$E17)</f>
        <v>0</v>
      </c>
      <c r="BN17" s="32">
        <f>SUMIFS(合格品入货记录!$G:$G,合格品入货记录!$A:$A,样品!BN$3,合格品入货记录!$E:$E,样品!$E17)</f>
        <v>0</v>
      </c>
      <c r="BO17" s="32">
        <f>SUMIFS(合格品入货记录!$G:$G,合格品入货记录!$A:$A,样品!BO$3,合格品入货记录!$E:$E,样品!$E17)</f>
        <v>0</v>
      </c>
      <c r="BP17" s="32">
        <f>SUMIFS(合格品入货记录!$G:$G,合格品入货记录!$A:$A,样品!BP$3,合格品入货记录!$E:$E,样品!$E17)</f>
        <v>0</v>
      </c>
      <c r="BQ17" s="32">
        <f>SUMIFS(合格品入货记录!$G:$G,合格品入货记录!$A:$A,样品!BQ$3,合格品入货记录!$E:$E,样品!$E17)</f>
        <v>0</v>
      </c>
      <c r="BR17" s="32">
        <f>SUMIFS(合格品入货记录!$G:$G,合格品入货记录!$A:$A,样品!BR$3,合格品入货记录!$E:$E,样品!$E17)</f>
        <v>0</v>
      </c>
      <c r="BS17" s="32">
        <f>SUMIFS(合格品入货记录!$G:$G,合格品入货记录!$A:$A,样品!BS$3,合格品入货记录!$E:$E,样品!$E17)</f>
        <v>0</v>
      </c>
      <c r="BT17" s="32">
        <f>SUMIFS(合格品入货记录!$G:$G,合格品入货记录!$A:$A,样品!BT$3,合格品入货记录!$E:$E,样品!$E17)</f>
        <v>0</v>
      </c>
      <c r="BU17" s="32">
        <f>SUMIFS(合格品入货记录!$G:$G,合格品入货记录!$A:$A,样品!BU$3,合格品入货记录!$E:$E,样品!$E17)</f>
        <v>0</v>
      </c>
      <c r="BV17" s="32">
        <f>SUMIFS(合格品入货记录!$G:$G,合格品入货记录!$A:$A,样品!BV$3,合格品入货记录!$E:$E,样品!$E17)</f>
        <v>0</v>
      </c>
      <c r="BW17" s="32">
        <f>SUMIFS(合格品入货记录!$G:$G,合格品入货记录!$A:$A,样品!BW$3,合格品入货记录!$E:$E,样品!$E17)</f>
        <v>0</v>
      </c>
      <c r="BX17" s="32">
        <f>SUMIFS(合格品入货记录!$G:$G,合格品入货记录!$A:$A,样品!BX$3,合格品入货记录!$E:$E,样品!$E17)</f>
        <v>0</v>
      </c>
      <c r="BY17" s="32">
        <f>SUMIFS(合格品入货记录!$G:$G,合格品入货记录!$A:$A,样品!BY$3,合格品入货记录!$E:$E,样品!$E17)</f>
        <v>0</v>
      </c>
      <c r="BZ17" s="123"/>
      <c r="CA17" s="123"/>
      <c r="CB17" s="125"/>
      <c r="CC17" s="125"/>
    </row>
    <row r="18" s="90" customFormat="1" customHeight="1" spans="1:81">
      <c r="A18" s="31">
        <v>15</v>
      </c>
      <c r="B18" s="104" t="s">
        <v>19</v>
      </c>
      <c r="C18" s="105" t="s">
        <v>20</v>
      </c>
      <c r="D18" s="32" t="s">
        <v>303</v>
      </c>
      <c r="E18" s="31" t="s">
        <v>304</v>
      </c>
      <c r="F18" s="105" t="s">
        <v>305</v>
      </c>
      <c r="G18" s="31"/>
      <c r="H18" s="31">
        <v>0</v>
      </c>
      <c r="I18" s="106">
        <f>SUMIF(合格品入货记录!E:E,样品!E18,合格品入货记录!G:G)</f>
        <v>0</v>
      </c>
      <c r="J18" s="106">
        <f>SUMIF(合格品出库记录!E:E,样品!E18,合格品出库记录!G:G)</f>
        <v>0</v>
      </c>
      <c r="K18" s="102">
        <f t="shared" si="0"/>
        <v>0</v>
      </c>
      <c r="L18" s="102">
        <f>SUMIF(不良品库存!D:D,E18:E53,不良品库存!F:F)</f>
        <v>0</v>
      </c>
      <c r="M18" s="113">
        <f t="shared" si="1"/>
        <v>0</v>
      </c>
      <c r="N18" s="31"/>
      <c r="O18" s="104"/>
      <c r="P18" s="32">
        <f>IFERROR(SUMIFS(合格品入货记录!$G:$G,合格品入货记录!$A:$A,样品!P$3,合格品入货记录!$E:$E,样品!$E18)," ")</f>
        <v>0</v>
      </c>
      <c r="Q18" s="32">
        <f>SUMIFS(合格品入货记录!$G:$G,合格品入货记录!$A:$A,样品!Q$3,合格品入货记录!$E:$E,样品!$E18)</f>
        <v>0</v>
      </c>
      <c r="R18" s="32">
        <f>SUMIFS(合格品入货记录!$G:$G,合格品入货记录!$A:$A,样品!R$3,合格品入货记录!$E:$E,样品!$E18)</f>
        <v>0</v>
      </c>
      <c r="S18" s="32">
        <f>SUMIFS(合格品入货记录!$G:$G,合格品入货记录!$A:$A,样品!S$3,合格品入货记录!$E:$E,样品!$E18)</f>
        <v>0</v>
      </c>
      <c r="T18" s="32">
        <f>SUMIFS(合格品入货记录!$G:$G,合格品入货记录!$A:$A,样品!T$3,合格品入货记录!$E:$E,样品!$E18)</f>
        <v>0</v>
      </c>
      <c r="U18" s="32">
        <f>SUMIFS(合格品入货记录!$G:$G,合格品入货记录!$A:$A,样品!U$3,合格品入货记录!$E:$E,样品!$E18)</f>
        <v>0</v>
      </c>
      <c r="V18" s="32">
        <f>SUMIFS(合格品入货记录!$G:$G,合格品入货记录!$A:$A,样品!V$3,合格品入货记录!$E:$E,样品!$E18)</f>
        <v>0</v>
      </c>
      <c r="W18" s="32">
        <f>SUMIFS(合格品入货记录!$G:$G,合格品入货记录!$A:$A,样品!W$3,合格品入货记录!$E:$E,样品!$E18)</f>
        <v>0</v>
      </c>
      <c r="X18" s="32">
        <f>SUMIFS(合格品入货记录!$G:$G,合格品入货记录!$A:$A,样品!X$3,合格品入货记录!$E:$E,样品!$E18)</f>
        <v>0</v>
      </c>
      <c r="Y18" s="32">
        <f>SUMIFS(合格品入货记录!$G:$G,合格品入货记录!$A:$A,样品!Y$3,合格品入货记录!$E:$E,样品!$E18)</f>
        <v>0</v>
      </c>
      <c r="Z18" s="32">
        <f>SUMIFS(合格品入货记录!$G:$G,合格品入货记录!$A:$A,样品!Z$3,合格品入货记录!$E:$E,样品!$E18)</f>
        <v>0</v>
      </c>
      <c r="AA18" s="32">
        <f>SUMIFS(合格品入货记录!$G:$G,合格品入货记录!$A:$A,样品!AA$3,合格品入货记录!$E:$E,样品!$E18)</f>
        <v>0</v>
      </c>
      <c r="AB18" s="32">
        <f>SUMIFS(合格品入货记录!$G:$G,合格品入货记录!$A:$A,样品!AB$3,合格品入货记录!$E:$E,样品!$E18)</f>
        <v>0</v>
      </c>
      <c r="AC18" s="32">
        <f>SUMIFS(合格品入货记录!$G:$G,合格品入货记录!$A:$A,样品!AC$3,合格品入货记录!$E:$E,样品!$E18)</f>
        <v>0</v>
      </c>
      <c r="AD18" s="32">
        <f>SUMIFS(合格品入货记录!$G:$G,合格品入货记录!$A:$A,样品!AD$3,合格品入货记录!$E:$E,样品!$E18)</f>
        <v>0</v>
      </c>
      <c r="AE18" s="32">
        <f>SUMIFS(合格品入货记录!$G:$G,合格品入货记录!$A:$A,样品!AE$3,合格品入货记录!$E:$E,样品!$E18)</f>
        <v>0</v>
      </c>
      <c r="AF18" s="32">
        <f>SUMIFS(合格品入货记录!$G:$G,合格品入货记录!$A:$A,样品!AF$3,合格品入货记录!$E:$E,样品!$E18)</f>
        <v>0</v>
      </c>
      <c r="AG18" s="32">
        <f>SUMIFS(合格品入货记录!$G:$G,合格品入货记录!$A:$A,样品!AG$3,合格品入货记录!$E:$E,样品!$E18)</f>
        <v>0</v>
      </c>
      <c r="AH18" s="32">
        <f>SUMIFS(合格品入货记录!$G:$G,合格品入货记录!$A:$A,样品!AH$3,合格品入货记录!$E:$E,样品!$E18)</f>
        <v>0</v>
      </c>
      <c r="AI18" s="32">
        <f>SUMIFS(合格品入货记录!$G:$G,合格品入货记录!$A:$A,样品!AI$3,合格品入货记录!$E:$E,样品!$E18)</f>
        <v>0</v>
      </c>
      <c r="AJ18" s="32">
        <f>SUMIFS(合格品入货记录!$G:$G,合格品入货记录!$A:$A,样品!AJ$3,合格品入货记录!$E:$E,样品!$E18)</f>
        <v>0</v>
      </c>
      <c r="AK18" s="32">
        <f>SUMIFS(合格品入货记录!$G:$G,合格品入货记录!$A:$A,样品!AK$3,合格品入货记录!$E:$E,样品!$E18)</f>
        <v>0</v>
      </c>
      <c r="AL18" s="32">
        <f>SUMIFS(合格品入货记录!$G:$G,合格品入货记录!$A:$A,样品!AL$3,合格品入货记录!$E:$E,样品!$E18)</f>
        <v>0</v>
      </c>
      <c r="AM18" s="32">
        <f>SUMIFS(合格品入货记录!$G:$G,合格品入货记录!$A:$A,样品!AM$3,合格品入货记录!$E:$E,样品!$E18)</f>
        <v>0</v>
      </c>
      <c r="AN18" s="32">
        <f>SUMIFS(合格品入货记录!$G:$G,合格品入货记录!$A:$A,样品!AN$3,合格品入货记录!$E:$E,样品!$E18)</f>
        <v>0</v>
      </c>
      <c r="AO18" s="32">
        <f>SUMIFS(合格品入货记录!$G:$G,合格品入货记录!$A:$A,样品!AO$3,合格品入货记录!$E:$E,样品!$E18)</f>
        <v>0</v>
      </c>
      <c r="AP18" s="32">
        <f>SUMIFS(合格品入货记录!$G:$G,合格品入货记录!$A:$A,样品!AP$3,合格品入货记录!$E:$E,样品!$E18)</f>
        <v>0</v>
      </c>
      <c r="AQ18" s="32">
        <f>SUMIFS(合格品入货记录!$G:$G,合格品入货记录!$A:$A,样品!AQ$3,合格品入货记录!$E:$E,样品!$E18)</f>
        <v>0</v>
      </c>
      <c r="AR18" s="32">
        <f>SUMIFS(合格品入货记录!$G:$G,合格品入货记录!$A:$A,样品!AR$3,合格品入货记录!$E:$E,样品!$E18)</f>
        <v>0</v>
      </c>
      <c r="AS18" s="32">
        <f>SUMIFS(合格品入货记录!$G:$G,合格品入货记录!$A:$A,样品!AS$3,合格品入货记录!$E:$E,样品!$E18)</f>
        <v>0</v>
      </c>
      <c r="AT18" s="32">
        <f>SUMIFS(合格品入货记录!$G:$G,合格品入货记录!$A:$A,样品!AT$3,合格品入货记录!$E:$E,样品!$E18)</f>
        <v>0</v>
      </c>
      <c r="AU18" s="32">
        <f>SUMIFS(合格品入货记录!$G:$G,合格品入货记录!$A:$A,样品!AU$3,合格品入货记录!$E:$E,样品!$E18)</f>
        <v>0</v>
      </c>
      <c r="AV18" s="32">
        <f>SUMIFS(合格品入货记录!$G:$G,合格品入货记录!$A:$A,样品!AV$3,合格品入货记录!$E:$E,样品!$E18)</f>
        <v>0</v>
      </c>
      <c r="AW18" s="32">
        <f>SUMIFS(合格品入货记录!$G:$G,合格品入货记录!$A:$A,样品!AW$3,合格品入货记录!$E:$E,样品!$E18)</f>
        <v>0</v>
      </c>
      <c r="AX18" s="32">
        <f>SUMIFS(合格品入货记录!$G:$G,合格品入货记录!$A:$A,样品!AX$3,合格品入货记录!$E:$E,样品!$E18)</f>
        <v>0</v>
      </c>
      <c r="AY18" s="32">
        <f>SUMIFS(合格品入货记录!$G:$G,合格品入货记录!$A:$A,样品!AY$3,合格品入货记录!$E:$E,样品!$E18)</f>
        <v>0</v>
      </c>
      <c r="AZ18" s="32">
        <f>SUMIFS(合格品入货记录!$G:$G,合格品入货记录!$A:$A,样品!AZ$3,合格品入货记录!$E:$E,样品!$E18)</f>
        <v>0</v>
      </c>
      <c r="BA18" s="32">
        <f>SUMIFS(合格品入货记录!$G:$G,合格品入货记录!$A:$A,样品!BA$3,合格品入货记录!$E:$E,样品!$E18)</f>
        <v>0</v>
      </c>
      <c r="BB18" s="32">
        <f>SUMIFS(合格品入货记录!$G:$G,合格品入货记录!$A:$A,样品!BB$3,合格品入货记录!$E:$E,样品!$E18)</f>
        <v>0</v>
      </c>
      <c r="BC18" s="32">
        <f>SUMIFS(合格品入货记录!$G:$G,合格品入货记录!$A:$A,样品!BC$3,合格品入货记录!$E:$E,样品!$E18)</f>
        <v>0</v>
      </c>
      <c r="BD18" s="32">
        <f>SUMIFS(合格品入货记录!$G:$G,合格品入货记录!$A:$A,样品!BD$3,合格品入货记录!$E:$E,样品!$E18)</f>
        <v>0</v>
      </c>
      <c r="BE18" s="32">
        <f>SUMIFS(合格品入货记录!$G:$G,合格品入货记录!$A:$A,样品!BE$3,合格品入货记录!$E:$E,样品!$E18)</f>
        <v>0</v>
      </c>
      <c r="BF18" s="32">
        <f>SUMIFS(合格品入货记录!$G:$G,合格品入货记录!$A:$A,样品!BF$3,合格品入货记录!$E:$E,样品!$E18)</f>
        <v>0</v>
      </c>
      <c r="BG18" s="32">
        <f>SUMIFS(合格品入货记录!$G:$G,合格品入货记录!$A:$A,样品!BG$3,合格品入货记录!$E:$E,样品!$E18)</f>
        <v>0</v>
      </c>
      <c r="BH18" s="32">
        <f>SUMIFS(合格品入货记录!$G:$G,合格品入货记录!$A:$A,样品!BH$3,合格品入货记录!$E:$E,样品!$E18)</f>
        <v>0</v>
      </c>
      <c r="BI18" s="32">
        <f>SUMIFS(合格品入货记录!$G:$G,合格品入货记录!$A:$A,样品!BI$3,合格品入货记录!$E:$E,样品!$E18)</f>
        <v>0</v>
      </c>
      <c r="BJ18" s="32">
        <f>SUMIFS(合格品入货记录!$G:$G,合格品入货记录!$A:$A,样品!BJ$3,合格品入货记录!$E:$E,样品!$E18)</f>
        <v>0</v>
      </c>
      <c r="BK18" s="32">
        <f>SUMIFS(合格品入货记录!$G:$G,合格品入货记录!$A:$A,样品!BK$3,合格品入货记录!$E:$E,样品!$E18)</f>
        <v>0</v>
      </c>
      <c r="BL18" s="32">
        <f>SUMIFS(合格品入货记录!$G:$G,合格品入货记录!$A:$A,样品!BL$3,合格品入货记录!$E:$E,样品!$E18)</f>
        <v>0</v>
      </c>
      <c r="BM18" s="32">
        <f>SUMIFS(合格品入货记录!$G:$G,合格品入货记录!$A:$A,样品!BM$3,合格品入货记录!$E:$E,样品!$E18)</f>
        <v>0</v>
      </c>
      <c r="BN18" s="32">
        <f>SUMIFS(合格品入货记录!$G:$G,合格品入货记录!$A:$A,样品!BN$3,合格品入货记录!$E:$E,样品!$E18)</f>
        <v>0</v>
      </c>
      <c r="BO18" s="32">
        <f>SUMIFS(合格品入货记录!$G:$G,合格品入货记录!$A:$A,样品!BO$3,合格品入货记录!$E:$E,样品!$E18)</f>
        <v>0</v>
      </c>
      <c r="BP18" s="32">
        <f>SUMIFS(合格品入货记录!$G:$G,合格品入货记录!$A:$A,样品!BP$3,合格品入货记录!$E:$E,样品!$E18)</f>
        <v>0</v>
      </c>
      <c r="BQ18" s="32">
        <f>SUMIFS(合格品入货记录!$G:$G,合格品入货记录!$A:$A,样品!BQ$3,合格品入货记录!$E:$E,样品!$E18)</f>
        <v>0</v>
      </c>
      <c r="BR18" s="32">
        <f>SUMIFS(合格品入货记录!$G:$G,合格品入货记录!$A:$A,样品!BR$3,合格品入货记录!$E:$E,样品!$E18)</f>
        <v>0</v>
      </c>
      <c r="BS18" s="32">
        <f>SUMIFS(合格品入货记录!$G:$G,合格品入货记录!$A:$A,样品!BS$3,合格品入货记录!$E:$E,样品!$E18)</f>
        <v>0</v>
      </c>
      <c r="BT18" s="32">
        <f>SUMIFS(合格品入货记录!$G:$G,合格品入货记录!$A:$A,样品!BT$3,合格品入货记录!$E:$E,样品!$E18)</f>
        <v>0</v>
      </c>
      <c r="BU18" s="32">
        <f>SUMIFS(合格品入货记录!$G:$G,合格品入货记录!$A:$A,样品!BU$3,合格品入货记录!$E:$E,样品!$E18)</f>
        <v>0</v>
      </c>
      <c r="BV18" s="32">
        <f>SUMIFS(合格品入货记录!$G:$G,合格品入货记录!$A:$A,样品!BV$3,合格品入货记录!$E:$E,样品!$E18)</f>
        <v>0</v>
      </c>
      <c r="BW18" s="32">
        <f>SUMIFS(合格品入货记录!$G:$G,合格品入货记录!$A:$A,样品!BW$3,合格品入货记录!$E:$E,样品!$E18)</f>
        <v>0</v>
      </c>
      <c r="BX18" s="32">
        <f>SUMIFS(合格品入货记录!$G:$G,合格品入货记录!$A:$A,样品!BX$3,合格品入货记录!$E:$E,样品!$E18)</f>
        <v>0</v>
      </c>
      <c r="BY18" s="32">
        <f>SUMIFS(合格品入货记录!$G:$G,合格品入货记录!$A:$A,样品!BY$3,合格品入货记录!$E:$E,样品!$E18)</f>
        <v>0</v>
      </c>
      <c r="BZ18" s="124"/>
      <c r="CA18" s="124"/>
      <c r="CB18" s="125"/>
      <c r="CC18" s="125"/>
    </row>
    <row r="19" s="90" customFormat="1" customHeight="1" spans="1:81">
      <c r="A19" s="31">
        <v>16</v>
      </c>
      <c r="B19" s="102" t="s">
        <v>19</v>
      </c>
      <c r="C19" s="103" t="s">
        <v>20</v>
      </c>
      <c r="D19" s="32" t="s">
        <v>306</v>
      </c>
      <c r="E19" s="32" t="s">
        <v>307</v>
      </c>
      <c r="F19" s="103" t="s">
        <v>308</v>
      </c>
      <c r="G19" s="32"/>
      <c r="H19" s="32">
        <v>0</v>
      </c>
      <c r="I19" s="112">
        <f>SUMIF(合格品入货记录!E:E,样品!E19,合格品入货记录!G:G)</f>
        <v>0</v>
      </c>
      <c r="J19" s="112">
        <f>SUMIF(合格品出库记录!E:E,样品!E19,合格品出库记录!G:G)</f>
        <v>0</v>
      </c>
      <c r="K19" s="102">
        <f t="shared" si="0"/>
        <v>0</v>
      </c>
      <c r="L19" s="102">
        <f>SUMIF(不良品库存!D:D,E19:E54,不良品库存!F:F)</f>
        <v>0</v>
      </c>
      <c r="M19" s="113">
        <f t="shared" si="1"/>
        <v>0</v>
      </c>
      <c r="N19" s="102"/>
      <c r="O19" s="102"/>
      <c r="P19" s="32">
        <f>IFERROR(SUMIFS(合格品入货记录!$G:$G,合格品入货记录!$A:$A,样品!P$3,合格品入货记录!$E:$E,样品!$E19)," ")</f>
        <v>0</v>
      </c>
      <c r="Q19" s="32">
        <f>SUMIFS(合格品入货记录!$G:$G,合格品入货记录!$A:$A,样品!Q$3,合格品入货记录!$E:$E,样品!$E19)</f>
        <v>0</v>
      </c>
      <c r="R19" s="32">
        <f>SUMIFS(合格品入货记录!$G:$G,合格品入货记录!$A:$A,样品!R$3,合格品入货记录!$E:$E,样品!$E19)</f>
        <v>0</v>
      </c>
      <c r="S19" s="32">
        <f>SUMIFS(合格品入货记录!$G:$G,合格品入货记录!$A:$A,样品!S$3,合格品入货记录!$E:$E,样品!$E19)</f>
        <v>0</v>
      </c>
      <c r="T19" s="32">
        <f>SUMIFS(合格品入货记录!$G:$G,合格品入货记录!$A:$A,样品!T$3,合格品入货记录!$E:$E,样品!$E19)</f>
        <v>0</v>
      </c>
      <c r="U19" s="32">
        <f>SUMIFS(合格品入货记录!$G:$G,合格品入货记录!$A:$A,样品!U$3,合格品入货记录!$E:$E,样品!$E19)</f>
        <v>0</v>
      </c>
      <c r="V19" s="32">
        <f>SUMIFS(合格品入货记录!$G:$G,合格品入货记录!$A:$A,样品!V$3,合格品入货记录!$E:$E,样品!$E19)</f>
        <v>0</v>
      </c>
      <c r="W19" s="32">
        <f>SUMIFS(合格品入货记录!$G:$G,合格品入货记录!$A:$A,样品!W$3,合格品入货记录!$E:$E,样品!$E19)</f>
        <v>0</v>
      </c>
      <c r="X19" s="32">
        <f>SUMIFS(合格品入货记录!$G:$G,合格品入货记录!$A:$A,样品!X$3,合格品入货记录!$E:$E,样品!$E19)</f>
        <v>0</v>
      </c>
      <c r="Y19" s="32">
        <f>SUMIFS(合格品入货记录!$G:$G,合格品入货记录!$A:$A,样品!Y$3,合格品入货记录!$E:$E,样品!$E19)</f>
        <v>0</v>
      </c>
      <c r="Z19" s="32">
        <f>SUMIFS(合格品入货记录!$G:$G,合格品入货记录!$A:$A,样品!Z$3,合格品入货记录!$E:$E,样品!$E19)</f>
        <v>0</v>
      </c>
      <c r="AA19" s="32">
        <f>SUMIFS(合格品入货记录!$G:$G,合格品入货记录!$A:$A,样品!AA$3,合格品入货记录!$E:$E,样品!$E19)</f>
        <v>0</v>
      </c>
      <c r="AB19" s="32">
        <f>SUMIFS(合格品入货记录!$G:$G,合格品入货记录!$A:$A,样品!AB$3,合格品入货记录!$E:$E,样品!$E19)</f>
        <v>0</v>
      </c>
      <c r="AC19" s="32">
        <f>SUMIFS(合格品入货记录!$G:$G,合格品入货记录!$A:$A,样品!AC$3,合格品入货记录!$E:$E,样品!$E19)</f>
        <v>0</v>
      </c>
      <c r="AD19" s="32">
        <f>SUMIFS(合格品入货记录!$G:$G,合格品入货记录!$A:$A,样品!AD$3,合格品入货记录!$E:$E,样品!$E19)</f>
        <v>0</v>
      </c>
      <c r="AE19" s="32">
        <f>SUMIFS(合格品入货记录!$G:$G,合格品入货记录!$A:$A,样品!AE$3,合格品入货记录!$E:$E,样品!$E19)</f>
        <v>0</v>
      </c>
      <c r="AF19" s="32">
        <f>SUMIFS(合格品入货记录!$G:$G,合格品入货记录!$A:$A,样品!AF$3,合格品入货记录!$E:$E,样品!$E19)</f>
        <v>0</v>
      </c>
      <c r="AG19" s="32">
        <f>SUMIFS(合格品入货记录!$G:$G,合格品入货记录!$A:$A,样品!AG$3,合格品入货记录!$E:$E,样品!$E19)</f>
        <v>0</v>
      </c>
      <c r="AH19" s="32">
        <f>SUMIFS(合格品入货记录!$G:$G,合格品入货记录!$A:$A,样品!AH$3,合格品入货记录!$E:$E,样品!$E19)</f>
        <v>0</v>
      </c>
      <c r="AI19" s="32">
        <f>SUMIFS(合格品入货记录!$G:$G,合格品入货记录!$A:$A,样品!AI$3,合格品入货记录!$E:$E,样品!$E19)</f>
        <v>0</v>
      </c>
      <c r="AJ19" s="32">
        <f>SUMIFS(合格品入货记录!$G:$G,合格品入货记录!$A:$A,样品!AJ$3,合格品入货记录!$E:$E,样品!$E19)</f>
        <v>0</v>
      </c>
      <c r="AK19" s="32">
        <f>SUMIFS(合格品入货记录!$G:$G,合格品入货记录!$A:$A,样品!AK$3,合格品入货记录!$E:$E,样品!$E19)</f>
        <v>0</v>
      </c>
      <c r="AL19" s="32">
        <f>SUMIFS(合格品入货记录!$G:$G,合格品入货记录!$A:$A,样品!AL$3,合格品入货记录!$E:$E,样品!$E19)</f>
        <v>0</v>
      </c>
      <c r="AM19" s="32">
        <f>SUMIFS(合格品入货记录!$G:$G,合格品入货记录!$A:$A,样品!AM$3,合格品入货记录!$E:$E,样品!$E19)</f>
        <v>0</v>
      </c>
      <c r="AN19" s="32">
        <f>SUMIFS(合格品入货记录!$G:$G,合格品入货记录!$A:$A,样品!AN$3,合格品入货记录!$E:$E,样品!$E19)</f>
        <v>0</v>
      </c>
      <c r="AO19" s="32">
        <f>SUMIFS(合格品入货记录!$G:$G,合格品入货记录!$A:$A,样品!AO$3,合格品入货记录!$E:$E,样品!$E19)</f>
        <v>0</v>
      </c>
      <c r="AP19" s="32">
        <f>SUMIFS(合格品入货记录!$G:$G,合格品入货记录!$A:$A,样品!AP$3,合格品入货记录!$E:$E,样品!$E19)</f>
        <v>0</v>
      </c>
      <c r="AQ19" s="32">
        <f>SUMIFS(合格品入货记录!$G:$G,合格品入货记录!$A:$A,样品!AQ$3,合格品入货记录!$E:$E,样品!$E19)</f>
        <v>0</v>
      </c>
      <c r="AR19" s="32">
        <f>SUMIFS(合格品入货记录!$G:$G,合格品入货记录!$A:$A,样品!AR$3,合格品入货记录!$E:$E,样品!$E19)</f>
        <v>0</v>
      </c>
      <c r="AS19" s="32">
        <f>SUMIFS(合格品入货记录!$G:$G,合格品入货记录!$A:$A,样品!AS$3,合格品入货记录!$E:$E,样品!$E19)</f>
        <v>0</v>
      </c>
      <c r="AT19" s="32">
        <f>SUMIFS(合格品入货记录!$G:$G,合格品入货记录!$A:$A,样品!AT$3,合格品入货记录!$E:$E,样品!$E19)</f>
        <v>0</v>
      </c>
      <c r="AU19" s="32">
        <f>SUMIFS(合格品入货记录!$G:$G,合格品入货记录!$A:$A,样品!AU$3,合格品入货记录!$E:$E,样品!$E19)</f>
        <v>0</v>
      </c>
      <c r="AV19" s="32">
        <f>SUMIFS(合格品入货记录!$G:$G,合格品入货记录!$A:$A,样品!AV$3,合格品入货记录!$E:$E,样品!$E19)</f>
        <v>0</v>
      </c>
      <c r="AW19" s="32">
        <f>SUMIFS(合格品入货记录!$G:$G,合格品入货记录!$A:$A,样品!AW$3,合格品入货记录!$E:$E,样品!$E19)</f>
        <v>0</v>
      </c>
      <c r="AX19" s="32">
        <f>SUMIFS(合格品入货记录!$G:$G,合格品入货记录!$A:$A,样品!AX$3,合格品入货记录!$E:$E,样品!$E19)</f>
        <v>0</v>
      </c>
      <c r="AY19" s="32">
        <f>SUMIFS(合格品入货记录!$G:$G,合格品入货记录!$A:$A,样品!AY$3,合格品入货记录!$E:$E,样品!$E19)</f>
        <v>0</v>
      </c>
      <c r="AZ19" s="32">
        <f>SUMIFS(合格品入货记录!$G:$G,合格品入货记录!$A:$A,样品!AZ$3,合格品入货记录!$E:$E,样品!$E19)</f>
        <v>0</v>
      </c>
      <c r="BA19" s="32">
        <f>SUMIFS(合格品入货记录!$G:$G,合格品入货记录!$A:$A,样品!BA$3,合格品入货记录!$E:$E,样品!$E19)</f>
        <v>0</v>
      </c>
      <c r="BB19" s="32">
        <f>SUMIFS(合格品入货记录!$G:$G,合格品入货记录!$A:$A,样品!BB$3,合格品入货记录!$E:$E,样品!$E19)</f>
        <v>0</v>
      </c>
      <c r="BC19" s="32">
        <f>SUMIFS(合格品入货记录!$G:$G,合格品入货记录!$A:$A,样品!BC$3,合格品入货记录!$E:$E,样品!$E19)</f>
        <v>0</v>
      </c>
      <c r="BD19" s="32">
        <f>SUMIFS(合格品入货记录!$G:$G,合格品入货记录!$A:$A,样品!BD$3,合格品入货记录!$E:$E,样品!$E19)</f>
        <v>0</v>
      </c>
      <c r="BE19" s="32">
        <f>SUMIFS(合格品入货记录!$G:$G,合格品入货记录!$A:$A,样品!BE$3,合格品入货记录!$E:$E,样品!$E19)</f>
        <v>0</v>
      </c>
      <c r="BF19" s="32">
        <f>SUMIFS(合格品入货记录!$G:$G,合格品入货记录!$A:$A,样品!BF$3,合格品入货记录!$E:$E,样品!$E19)</f>
        <v>0</v>
      </c>
      <c r="BG19" s="32">
        <f>SUMIFS(合格品入货记录!$G:$G,合格品入货记录!$A:$A,样品!BG$3,合格品入货记录!$E:$E,样品!$E19)</f>
        <v>0</v>
      </c>
      <c r="BH19" s="32">
        <f>SUMIFS(合格品入货记录!$G:$G,合格品入货记录!$A:$A,样品!BH$3,合格品入货记录!$E:$E,样品!$E19)</f>
        <v>0</v>
      </c>
      <c r="BI19" s="32">
        <f>SUMIFS(合格品入货记录!$G:$G,合格品入货记录!$A:$A,样品!BI$3,合格品入货记录!$E:$E,样品!$E19)</f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f>SUMIFS(合格品入货记录!$G:$G,合格品入货记录!$A:$A,样品!BT$3,合格品入货记录!$E:$E,样品!$E19)</f>
        <v>0</v>
      </c>
      <c r="BU19" s="32">
        <f>SUMIFS(合格品入货记录!$G:$G,合格品入货记录!$A:$A,样品!BU$3,合格品入货记录!$E:$E,样品!$E19)</f>
        <v>0</v>
      </c>
      <c r="BV19" s="32">
        <f>SUMIFS(合格品入货记录!$G:$G,合格品入货记录!$A:$A,样品!BV$3,合格品入货记录!$E:$E,样品!$E19)</f>
        <v>0</v>
      </c>
      <c r="BW19" s="32">
        <f>SUMIFS(合格品入货记录!$G:$G,合格品入货记录!$A:$A,样品!BW$3,合格品入货记录!$E:$E,样品!$E19)</f>
        <v>0</v>
      </c>
      <c r="BX19" s="32">
        <f>SUMIFS(合格品入货记录!$G:$G,合格品入货记录!$A:$A,样品!BX$3,合格品入货记录!$E:$E,样品!$E19)</f>
        <v>0</v>
      </c>
      <c r="BY19" s="32">
        <f>SUMIFS(合格品入货记录!$G:$G,合格品入货记录!$A:$A,样品!BY$3,合格品入货记录!$E:$E,样品!$E19)</f>
        <v>0</v>
      </c>
      <c r="BZ19" s="123"/>
      <c r="CA19" s="123"/>
      <c r="CB19" s="125"/>
      <c r="CC19" s="125"/>
    </row>
    <row r="20" s="90" customFormat="1" customHeight="1" spans="1:81">
      <c r="A20" s="31">
        <v>17</v>
      </c>
      <c r="B20" s="104" t="s">
        <v>19</v>
      </c>
      <c r="C20" s="105" t="s">
        <v>20</v>
      </c>
      <c r="D20" s="32" t="s">
        <v>309</v>
      </c>
      <c r="E20" s="31" t="s">
        <v>310</v>
      </c>
      <c r="F20" s="105" t="s">
        <v>311</v>
      </c>
      <c r="G20" s="31"/>
      <c r="H20" s="31">
        <v>0</v>
      </c>
      <c r="I20" s="106">
        <f>SUMIF(合格品入货记录!E:E,样品!E20,合格品入货记录!G:G)</f>
        <v>0</v>
      </c>
      <c r="J20" s="106">
        <f>SUMIF(合格品出库记录!E:E,样品!E20,合格品出库记录!G:G)</f>
        <v>0</v>
      </c>
      <c r="K20" s="102">
        <f t="shared" si="0"/>
        <v>0</v>
      </c>
      <c r="L20" s="102">
        <f>SUMIF(不良品库存!D:D,E20:E55,不良品库存!F:F)</f>
        <v>0</v>
      </c>
      <c r="M20" s="113">
        <f t="shared" si="1"/>
        <v>0</v>
      </c>
      <c r="N20" s="31"/>
      <c r="O20" s="104"/>
      <c r="P20" s="32">
        <f>IFERROR(SUMIFS(合格品入货记录!$G:$G,合格品入货记录!$A:$A,样品!P$3,合格品入货记录!$E:$E,样品!$E20)," ")</f>
        <v>0</v>
      </c>
      <c r="Q20" s="32">
        <f>SUMIFS(合格品入货记录!$G:$G,合格品入货记录!$A:$A,样品!Q$3,合格品入货记录!$E:$E,样品!$E20)</f>
        <v>0</v>
      </c>
      <c r="R20" s="32">
        <f>SUMIFS(合格品入货记录!$G:$G,合格品入货记录!$A:$A,样品!R$3,合格品入货记录!$E:$E,样品!$E20)</f>
        <v>0</v>
      </c>
      <c r="S20" s="32">
        <f>SUMIFS(合格品入货记录!$G:$G,合格品入货记录!$A:$A,样品!S$3,合格品入货记录!$E:$E,样品!$E20)</f>
        <v>0</v>
      </c>
      <c r="T20" s="32">
        <f>SUMIFS(合格品入货记录!$G:$G,合格品入货记录!$A:$A,样品!T$3,合格品入货记录!$E:$E,样品!$E20)</f>
        <v>0</v>
      </c>
      <c r="U20" s="32">
        <f>SUMIFS(合格品入货记录!$G:$G,合格品入货记录!$A:$A,样品!U$3,合格品入货记录!$E:$E,样品!$E20)</f>
        <v>0</v>
      </c>
      <c r="V20" s="32">
        <f>SUMIFS(合格品入货记录!$G:$G,合格品入货记录!$A:$A,样品!V$3,合格品入货记录!$E:$E,样品!$E20)</f>
        <v>0</v>
      </c>
      <c r="W20" s="32">
        <f>SUMIFS(合格品入货记录!$G:$G,合格品入货记录!$A:$A,样品!W$3,合格品入货记录!$E:$E,样品!$E20)</f>
        <v>0</v>
      </c>
      <c r="X20" s="32">
        <f>SUMIFS(合格品入货记录!$G:$G,合格品入货记录!$A:$A,样品!X$3,合格品入货记录!$E:$E,样品!$E20)</f>
        <v>0</v>
      </c>
      <c r="Y20" s="32">
        <f>SUMIFS(合格品入货记录!$G:$G,合格品入货记录!$A:$A,样品!Y$3,合格品入货记录!$E:$E,样品!$E20)</f>
        <v>0</v>
      </c>
      <c r="Z20" s="32">
        <f>SUMIFS(合格品入货记录!$G:$G,合格品入货记录!$A:$A,样品!Z$3,合格品入货记录!$E:$E,样品!$E20)</f>
        <v>0</v>
      </c>
      <c r="AA20" s="32">
        <f>SUMIFS(合格品入货记录!$G:$G,合格品入货记录!$A:$A,样品!AA$3,合格品入货记录!$E:$E,样品!$E20)</f>
        <v>0</v>
      </c>
      <c r="AB20" s="32">
        <f>SUMIFS(合格品入货记录!$G:$G,合格品入货记录!$A:$A,样品!AB$3,合格品入货记录!$E:$E,样品!$E20)</f>
        <v>0</v>
      </c>
      <c r="AC20" s="32">
        <f>SUMIFS(合格品入货记录!$G:$G,合格品入货记录!$A:$A,样品!AC$3,合格品入货记录!$E:$E,样品!$E20)</f>
        <v>0</v>
      </c>
      <c r="AD20" s="32">
        <f>SUMIFS(合格品入货记录!$G:$G,合格品入货记录!$A:$A,样品!AD$3,合格品入货记录!$E:$E,样品!$E20)</f>
        <v>0</v>
      </c>
      <c r="AE20" s="32">
        <f>SUMIFS(合格品入货记录!$G:$G,合格品入货记录!$A:$A,样品!AE$3,合格品入货记录!$E:$E,样品!$E20)</f>
        <v>0</v>
      </c>
      <c r="AF20" s="32">
        <f>SUMIFS(合格品入货记录!$G:$G,合格品入货记录!$A:$A,样品!AF$3,合格品入货记录!$E:$E,样品!$E20)</f>
        <v>0</v>
      </c>
      <c r="AG20" s="32">
        <f>SUMIFS(合格品入货记录!$G:$G,合格品入货记录!$A:$A,样品!AG$3,合格品入货记录!$E:$E,样品!$E20)</f>
        <v>0</v>
      </c>
      <c r="AH20" s="32">
        <f>SUMIFS(合格品入货记录!$G:$G,合格品入货记录!$A:$A,样品!AH$3,合格品入货记录!$E:$E,样品!$E20)</f>
        <v>0</v>
      </c>
      <c r="AI20" s="32">
        <f>SUMIFS(合格品入货记录!$G:$G,合格品入货记录!$A:$A,样品!AI$3,合格品入货记录!$E:$E,样品!$E20)</f>
        <v>0</v>
      </c>
      <c r="AJ20" s="32">
        <f>SUMIFS(合格品入货记录!$G:$G,合格品入货记录!$A:$A,样品!AJ$3,合格品入货记录!$E:$E,样品!$E20)</f>
        <v>0</v>
      </c>
      <c r="AK20" s="32">
        <f>SUMIFS(合格品入货记录!$G:$G,合格品入货记录!$A:$A,样品!AK$3,合格品入货记录!$E:$E,样品!$E20)</f>
        <v>0</v>
      </c>
      <c r="AL20" s="32">
        <f>SUMIFS(合格品入货记录!$G:$G,合格品入货记录!$A:$A,样品!AL$3,合格品入货记录!$E:$E,样品!$E20)</f>
        <v>0</v>
      </c>
      <c r="AM20" s="32">
        <f>SUMIFS(合格品入货记录!$G:$G,合格品入货记录!$A:$A,样品!AM$3,合格品入货记录!$E:$E,样品!$E20)</f>
        <v>0</v>
      </c>
      <c r="AN20" s="32">
        <f>SUMIFS(合格品入货记录!$G:$G,合格品入货记录!$A:$A,样品!AN$3,合格品入货记录!$E:$E,样品!$E20)</f>
        <v>0</v>
      </c>
      <c r="AO20" s="32">
        <f>SUMIFS(合格品入货记录!$G:$G,合格品入货记录!$A:$A,样品!AO$3,合格品入货记录!$E:$E,样品!$E20)</f>
        <v>0</v>
      </c>
      <c r="AP20" s="32">
        <f>SUMIFS(合格品入货记录!$G:$G,合格品入货记录!$A:$A,样品!AP$3,合格品入货记录!$E:$E,样品!$E20)</f>
        <v>0</v>
      </c>
      <c r="AQ20" s="32">
        <f>SUMIFS(合格品入货记录!$G:$G,合格品入货记录!$A:$A,样品!AQ$3,合格品入货记录!$E:$E,样品!$E20)</f>
        <v>0</v>
      </c>
      <c r="AR20" s="32">
        <f>SUMIFS(合格品入货记录!$G:$G,合格品入货记录!$A:$A,样品!AR$3,合格品入货记录!$E:$E,样品!$E20)</f>
        <v>0</v>
      </c>
      <c r="AS20" s="32">
        <f>SUMIFS(合格品入货记录!$G:$G,合格品入货记录!$A:$A,样品!AS$3,合格品入货记录!$E:$E,样品!$E20)</f>
        <v>0</v>
      </c>
      <c r="AT20" s="32">
        <f>SUMIFS(合格品入货记录!$G:$G,合格品入货记录!$A:$A,样品!AT$3,合格品入货记录!$E:$E,样品!$E20)</f>
        <v>0</v>
      </c>
      <c r="AU20" s="32">
        <f>SUMIFS(合格品入货记录!$G:$G,合格品入货记录!$A:$A,样品!AU$3,合格品入货记录!$E:$E,样品!$E20)</f>
        <v>0</v>
      </c>
      <c r="AV20" s="32">
        <f>SUMIFS(合格品入货记录!$G:$G,合格品入货记录!$A:$A,样品!AV$3,合格品入货记录!$E:$E,样品!$E20)</f>
        <v>0</v>
      </c>
      <c r="AW20" s="32">
        <f>SUMIFS(合格品入货记录!$G:$G,合格品入货记录!$A:$A,样品!AW$3,合格品入货记录!$E:$E,样品!$E20)</f>
        <v>0</v>
      </c>
      <c r="AX20" s="32">
        <f>SUMIFS(合格品入货记录!$G:$G,合格品入货记录!$A:$A,样品!AX$3,合格品入货记录!$E:$E,样品!$E20)</f>
        <v>0</v>
      </c>
      <c r="AY20" s="32">
        <f>SUMIFS(合格品入货记录!$G:$G,合格品入货记录!$A:$A,样品!AY$3,合格品入货记录!$E:$E,样品!$E20)</f>
        <v>0</v>
      </c>
      <c r="AZ20" s="32">
        <f>SUMIFS(合格品入货记录!$G:$G,合格品入货记录!$A:$A,样品!AZ$3,合格品入货记录!$E:$E,样品!$E20)</f>
        <v>0</v>
      </c>
      <c r="BA20" s="32">
        <f>SUMIFS(合格品入货记录!$G:$G,合格品入货记录!$A:$A,样品!BA$3,合格品入货记录!$E:$E,样品!$E20)</f>
        <v>0</v>
      </c>
      <c r="BB20" s="32">
        <f>SUMIFS(合格品入货记录!$G:$G,合格品入货记录!$A:$A,样品!BB$3,合格品入货记录!$E:$E,样品!$E20)</f>
        <v>0</v>
      </c>
      <c r="BC20" s="32">
        <f>SUMIFS(合格品入货记录!$G:$G,合格品入货记录!$A:$A,样品!BC$3,合格品入货记录!$E:$E,样品!$E20)</f>
        <v>0</v>
      </c>
      <c r="BD20" s="32">
        <f>SUMIFS(合格品入货记录!$G:$G,合格品入货记录!$A:$A,样品!BD$3,合格品入货记录!$E:$E,样品!$E20)</f>
        <v>0</v>
      </c>
      <c r="BE20" s="32">
        <f>SUMIFS(合格品入货记录!$G:$G,合格品入货记录!$A:$A,样品!BE$3,合格品入货记录!$E:$E,样品!$E20)</f>
        <v>0</v>
      </c>
      <c r="BF20" s="32">
        <f>SUMIFS(合格品入货记录!$G:$G,合格品入货记录!$A:$A,样品!BF$3,合格品入货记录!$E:$E,样品!$E20)</f>
        <v>0</v>
      </c>
      <c r="BG20" s="32">
        <f>SUMIFS(合格品入货记录!$G:$G,合格品入货记录!$A:$A,样品!BG$3,合格品入货记录!$E:$E,样品!$E20)</f>
        <v>0</v>
      </c>
      <c r="BH20" s="32">
        <f>SUMIFS(合格品入货记录!$G:$G,合格品入货记录!$A:$A,样品!BH$3,合格品入货记录!$E:$E,样品!$E20)</f>
        <v>0</v>
      </c>
      <c r="BI20" s="32">
        <f>SUMIFS(合格品入货记录!$G:$G,合格品入货记录!$A:$A,样品!BI$3,合格品入货记录!$E:$E,样品!$E20)</f>
        <v>0</v>
      </c>
      <c r="BJ20" s="32">
        <f>SUMIFS(合格品入货记录!$G:$G,合格品入货记录!$A:$A,样品!BJ$3,合格品入货记录!$E:$E,样品!$E20)</f>
        <v>0</v>
      </c>
      <c r="BK20" s="32">
        <f>SUMIFS(合格品入货记录!$G:$G,合格品入货记录!$A:$A,样品!BK$3,合格品入货记录!$E:$E,样品!$E20)</f>
        <v>0</v>
      </c>
      <c r="BL20" s="32">
        <f>SUMIFS(合格品入货记录!$G:$G,合格品入货记录!$A:$A,样品!BL$3,合格品入货记录!$E:$E,样品!$E20)</f>
        <v>0</v>
      </c>
      <c r="BM20" s="32">
        <f>SUMIFS(合格品入货记录!$G:$G,合格品入货记录!$A:$A,样品!BM$3,合格品入货记录!$E:$E,样品!$E20)</f>
        <v>0</v>
      </c>
      <c r="BN20" s="32">
        <f>SUMIFS(合格品入货记录!$G:$G,合格品入货记录!$A:$A,样品!BN$3,合格品入货记录!$E:$E,样品!$E20)</f>
        <v>0</v>
      </c>
      <c r="BO20" s="32">
        <f>SUMIFS(合格品入货记录!$G:$G,合格品入货记录!$A:$A,样品!BO$3,合格品入货记录!$E:$E,样品!$E20)</f>
        <v>0</v>
      </c>
      <c r="BP20" s="32">
        <f>SUMIFS(合格品入货记录!$G:$G,合格品入货记录!$A:$A,样品!BP$3,合格品入货记录!$E:$E,样品!$E20)</f>
        <v>0</v>
      </c>
      <c r="BQ20" s="32">
        <f>SUMIFS(合格品入货记录!$G:$G,合格品入货记录!$A:$A,样品!BQ$3,合格品入货记录!$E:$E,样品!$E20)</f>
        <v>0</v>
      </c>
      <c r="BR20" s="32">
        <f>SUMIFS(合格品入货记录!$G:$G,合格品入货记录!$A:$A,样品!BR$3,合格品入货记录!$E:$E,样品!$E20)</f>
        <v>0</v>
      </c>
      <c r="BS20" s="32">
        <f>SUMIFS(合格品入货记录!$G:$G,合格品入货记录!$A:$A,样品!BS$3,合格品入货记录!$E:$E,样品!$E20)</f>
        <v>0</v>
      </c>
      <c r="BT20" s="32">
        <f>SUMIFS(合格品入货记录!$G:$G,合格品入货记录!$A:$A,样品!BT$3,合格品入货记录!$E:$E,样品!$E20)</f>
        <v>0</v>
      </c>
      <c r="BU20" s="32">
        <f>SUMIFS(合格品入货记录!$G:$G,合格品入货记录!$A:$A,样品!BU$3,合格品入货记录!$E:$E,样品!$E20)</f>
        <v>0</v>
      </c>
      <c r="BV20" s="32">
        <f>SUMIFS(合格品入货记录!$G:$G,合格品入货记录!$A:$A,样品!BV$3,合格品入货记录!$E:$E,样品!$E20)</f>
        <v>0</v>
      </c>
      <c r="BW20" s="32">
        <f>SUMIFS(合格品入货记录!$G:$G,合格品入货记录!$A:$A,样品!BW$3,合格品入货记录!$E:$E,样品!$E20)</f>
        <v>0</v>
      </c>
      <c r="BX20" s="32">
        <f>SUMIFS(合格品入货记录!$G:$G,合格品入货记录!$A:$A,样品!BX$3,合格品入货记录!$E:$E,样品!$E20)</f>
        <v>0</v>
      </c>
      <c r="BY20" s="32">
        <f>SUMIFS(合格品入货记录!$G:$G,合格品入货记录!$A:$A,样品!BY$3,合格品入货记录!$E:$E,样品!$E20)</f>
        <v>0</v>
      </c>
      <c r="BZ20" s="124"/>
      <c r="CA20" s="124"/>
      <c r="CB20" s="125"/>
      <c r="CC20" s="125"/>
    </row>
    <row r="21" s="90" customFormat="1" customHeight="1" spans="1:81">
      <c r="A21" s="31">
        <v>18</v>
      </c>
      <c r="B21" s="102" t="s">
        <v>19</v>
      </c>
      <c r="C21" s="103" t="s">
        <v>20</v>
      </c>
      <c r="D21" s="32" t="s">
        <v>312</v>
      </c>
      <c r="E21" s="32" t="s">
        <v>313</v>
      </c>
      <c r="F21" s="103" t="s">
        <v>314</v>
      </c>
      <c r="G21" s="32"/>
      <c r="H21" s="32">
        <v>0</v>
      </c>
      <c r="I21" s="112">
        <f>SUMIF(合格品入货记录!E:E,样品!E21,合格品入货记录!G:G)</f>
        <v>0</v>
      </c>
      <c r="J21" s="112">
        <f>SUMIF(合格品出库记录!E:E,样品!E21,合格品出库记录!G:G)</f>
        <v>0</v>
      </c>
      <c r="K21" s="102">
        <f t="shared" si="0"/>
        <v>0</v>
      </c>
      <c r="L21" s="102">
        <f>SUMIF(不良品库存!D:D,E21:E56,不良品库存!F:F)</f>
        <v>0</v>
      </c>
      <c r="M21" s="113">
        <f t="shared" si="1"/>
        <v>0</v>
      </c>
      <c r="N21" s="102"/>
      <c r="O21" s="102"/>
      <c r="P21" s="32">
        <f>IFERROR(SUMIFS(合格品入货记录!$G:$G,合格品入货记录!$A:$A,样品!P$3,合格品入货记录!$E:$E,样品!$E21)," ")</f>
        <v>0</v>
      </c>
      <c r="Q21" s="32">
        <f>SUMIFS(合格品入货记录!$G:$G,合格品入货记录!$A:$A,样品!Q$3,合格品入货记录!$E:$E,样品!$E21)</f>
        <v>0</v>
      </c>
      <c r="R21" s="32">
        <f>SUMIFS(合格品入货记录!$G:$G,合格品入货记录!$A:$A,样品!R$3,合格品入货记录!$E:$E,样品!$E21)</f>
        <v>0</v>
      </c>
      <c r="S21" s="32">
        <f>SUMIFS(合格品入货记录!$G:$G,合格品入货记录!$A:$A,样品!S$3,合格品入货记录!$E:$E,样品!$E21)</f>
        <v>0</v>
      </c>
      <c r="T21" s="32">
        <f>SUMIFS(合格品入货记录!$G:$G,合格品入货记录!$A:$A,样品!T$3,合格品入货记录!$E:$E,样品!$E21)</f>
        <v>0</v>
      </c>
      <c r="U21" s="32">
        <f>SUMIFS(合格品入货记录!$G:$G,合格品入货记录!$A:$A,样品!U$3,合格品入货记录!$E:$E,样品!$E21)</f>
        <v>0</v>
      </c>
      <c r="V21" s="32">
        <f>SUMIFS(合格品入货记录!$G:$G,合格品入货记录!$A:$A,样品!V$3,合格品入货记录!$E:$E,样品!$E21)</f>
        <v>0</v>
      </c>
      <c r="W21" s="32">
        <f>SUMIFS(合格品入货记录!$G:$G,合格品入货记录!$A:$A,样品!W$3,合格品入货记录!$E:$E,样品!$E21)</f>
        <v>0</v>
      </c>
      <c r="X21" s="32">
        <f>SUMIFS(合格品入货记录!$G:$G,合格品入货记录!$A:$A,样品!X$3,合格品入货记录!$E:$E,样品!$E21)</f>
        <v>0</v>
      </c>
      <c r="Y21" s="32">
        <f>SUMIFS(合格品入货记录!$G:$G,合格品入货记录!$A:$A,样品!Y$3,合格品入货记录!$E:$E,样品!$E21)</f>
        <v>0</v>
      </c>
      <c r="Z21" s="32">
        <f>SUMIFS(合格品入货记录!$G:$G,合格品入货记录!$A:$A,样品!Z$3,合格品入货记录!$E:$E,样品!$E21)</f>
        <v>0</v>
      </c>
      <c r="AA21" s="32">
        <f>SUMIFS(合格品入货记录!$G:$G,合格品入货记录!$A:$A,样品!AA$3,合格品入货记录!$E:$E,样品!$E21)</f>
        <v>0</v>
      </c>
      <c r="AB21" s="32">
        <f>SUMIFS(合格品入货记录!$G:$G,合格品入货记录!$A:$A,样品!AB$3,合格品入货记录!$E:$E,样品!$E21)</f>
        <v>0</v>
      </c>
      <c r="AC21" s="32">
        <f>SUMIFS(合格品入货记录!$G:$G,合格品入货记录!$A:$A,样品!AC$3,合格品入货记录!$E:$E,样品!$E21)</f>
        <v>0</v>
      </c>
      <c r="AD21" s="32">
        <f>SUMIFS(合格品入货记录!$G:$G,合格品入货记录!$A:$A,样品!AD$3,合格品入货记录!$E:$E,样品!$E21)</f>
        <v>0</v>
      </c>
      <c r="AE21" s="32">
        <f>SUMIFS(合格品入货记录!$G:$G,合格品入货记录!$A:$A,样品!AE$3,合格品入货记录!$E:$E,样品!$E21)</f>
        <v>0</v>
      </c>
      <c r="AF21" s="32">
        <f>SUMIFS(合格品入货记录!$G:$G,合格品入货记录!$A:$A,样品!AF$3,合格品入货记录!$E:$E,样品!$E21)</f>
        <v>0</v>
      </c>
      <c r="AG21" s="32">
        <f>SUMIFS(合格品入货记录!$G:$G,合格品入货记录!$A:$A,样品!AG$3,合格品入货记录!$E:$E,样品!$E21)</f>
        <v>0</v>
      </c>
      <c r="AH21" s="32">
        <f>SUMIFS(合格品入货记录!$G:$G,合格品入货记录!$A:$A,样品!AH$3,合格品入货记录!$E:$E,样品!$E21)</f>
        <v>0</v>
      </c>
      <c r="AI21" s="32">
        <f>SUMIFS(合格品入货记录!$G:$G,合格品入货记录!$A:$A,样品!AI$3,合格品入货记录!$E:$E,样品!$E21)</f>
        <v>0</v>
      </c>
      <c r="AJ21" s="32">
        <f>SUMIFS(合格品入货记录!$G:$G,合格品入货记录!$A:$A,样品!AJ$3,合格品入货记录!$E:$E,样品!$E21)</f>
        <v>0</v>
      </c>
      <c r="AK21" s="32">
        <f>SUMIFS(合格品入货记录!$G:$G,合格品入货记录!$A:$A,样品!AK$3,合格品入货记录!$E:$E,样品!$E21)</f>
        <v>0</v>
      </c>
      <c r="AL21" s="32">
        <f>SUMIFS(合格品入货记录!$G:$G,合格品入货记录!$A:$A,样品!AL$3,合格品入货记录!$E:$E,样品!$E21)</f>
        <v>0</v>
      </c>
      <c r="AM21" s="32">
        <f>SUMIFS(合格品入货记录!$G:$G,合格品入货记录!$A:$A,样品!AM$3,合格品入货记录!$E:$E,样品!$E21)</f>
        <v>0</v>
      </c>
      <c r="AN21" s="32">
        <f>SUMIFS(合格品入货记录!$G:$G,合格品入货记录!$A:$A,样品!AN$3,合格品入货记录!$E:$E,样品!$E21)</f>
        <v>0</v>
      </c>
      <c r="AO21" s="32">
        <f>SUMIFS(合格品入货记录!$G:$G,合格品入货记录!$A:$A,样品!AO$3,合格品入货记录!$E:$E,样品!$E21)</f>
        <v>0</v>
      </c>
      <c r="AP21" s="32">
        <f>SUMIFS(合格品入货记录!$G:$G,合格品入货记录!$A:$A,样品!AP$3,合格品入货记录!$E:$E,样品!$E21)</f>
        <v>0</v>
      </c>
      <c r="AQ21" s="32">
        <f>SUMIFS(合格品入货记录!$G:$G,合格品入货记录!$A:$A,样品!AQ$3,合格品入货记录!$E:$E,样品!$E21)</f>
        <v>0</v>
      </c>
      <c r="AR21" s="32">
        <f>SUMIFS(合格品入货记录!$G:$G,合格品入货记录!$A:$A,样品!AR$3,合格品入货记录!$E:$E,样品!$E21)</f>
        <v>0</v>
      </c>
      <c r="AS21" s="32">
        <f>SUMIFS(合格品入货记录!$G:$G,合格品入货记录!$A:$A,样品!AS$3,合格品入货记录!$E:$E,样品!$E21)</f>
        <v>0</v>
      </c>
      <c r="AT21" s="32">
        <f>SUMIFS(合格品入货记录!$G:$G,合格品入货记录!$A:$A,样品!AT$3,合格品入货记录!$E:$E,样品!$E21)</f>
        <v>0</v>
      </c>
      <c r="AU21" s="32">
        <f>SUMIFS(合格品入货记录!$G:$G,合格品入货记录!$A:$A,样品!AU$3,合格品入货记录!$E:$E,样品!$E21)</f>
        <v>0</v>
      </c>
      <c r="AV21" s="32">
        <f>SUMIFS(合格品入货记录!$G:$G,合格品入货记录!$A:$A,样品!AV$3,合格品入货记录!$E:$E,样品!$E21)</f>
        <v>0</v>
      </c>
      <c r="AW21" s="32">
        <f>SUMIFS(合格品入货记录!$G:$G,合格品入货记录!$A:$A,样品!AW$3,合格品入货记录!$E:$E,样品!$E21)</f>
        <v>0</v>
      </c>
      <c r="AX21" s="32">
        <f>SUMIFS(合格品入货记录!$G:$G,合格品入货记录!$A:$A,样品!AX$3,合格品入货记录!$E:$E,样品!$E21)</f>
        <v>0</v>
      </c>
      <c r="AY21" s="32">
        <f>SUMIFS(合格品入货记录!$G:$G,合格品入货记录!$A:$A,样品!AY$3,合格品入货记录!$E:$E,样品!$E21)</f>
        <v>0</v>
      </c>
      <c r="AZ21" s="32">
        <f>SUMIFS(合格品入货记录!$G:$G,合格品入货记录!$A:$A,样品!AZ$3,合格品入货记录!$E:$E,样品!$E21)</f>
        <v>0</v>
      </c>
      <c r="BA21" s="32">
        <f>SUMIFS(合格品入货记录!$G:$G,合格品入货记录!$A:$A,样品!BA$3,合格品入货记录!$E:$E,样品!$E21)</f>
        <v>0</v>
      </c>
      <c r="BB21" s="32">
        <f>SUMIFS(合格品入货记录!$G:$G,合格品入货记录!$A:$A,样品!BB$3,合格品入货记录!$E:$E,样品!$E21)</f>
        <v>0</v>
      </c>
      <c r="BC21" s="32">
        <f>SUMIFS(合格品入货记录!$G:$G,合格品入货记录!$A:$A,样品!BC$3,合格品入货记录!$E:$E,样品!$E21)</f>
        <v>0</v>
      </c>
      <c r="BD21" s="32">
        <f>SUMIFS(合格品入货记录!$G:$G,合格品入货记录!$A:$A,样品!BD$3,合格品入货记录!$E:$E,样品!$E21)</f>
        <v>0</v>
      </c>
      <c r="BE21" s="32">
        <f>SUMIFS(合格品入货记录!$G:$G,合格品入货记录!$A:$A,样品!BE$3,合格品入货记录!$E:$E,样品!$E21)</f>
        <v>0</v>
      </c>
      <c r="BF21" s="32">
        <f>SUMIFS(合格品入货记录!$G:$G,合格品入货记录!$A:$A,样品!BF$3,合格品入货记录!$E:$E,样品!$E21)</f>
        <v>0</v>
      </c>
      <c r="BG21" s="32">
        <f>SUMIFS(合格品入货记录!$G:$G,合格品入货记录!$A:$A,样品!BG$3,合格品入货记录!$E:$E,样品!$E21)</f>
        <v>0</v>
      </c>
      <c r="BH21" s="32">
        <f>SUMIFS(合格品入货记录!$G:$G,合格品入货记录!$A:$A,样品!BH$3,合格品入货记录!$E:$E,样品!$E21)</f>
        <v>0</v>
      </c>
      <c r="BI21" s="32">
        <f>SUMIFS(合格品入货记录!$G:$G,合格品入货记录!$A:$A,样品!BI$3,合格品入货记录!$E:$E,样品!$E21)</f>
        <v>0</v>
      </c>
      <c r="BJ21" s="32">
        <f>SUMIFS(合格品入货记录!$G:$G,合格品入货记录!$A:$A,样品!BJ$3,合格品入货记录!$E:$E,样品!$E21)</f>
        <v>0</v>
      </c>
      <c r="BK21" s="32">
        <f>SUMIFS(合格品入货记录!$G:$G,合格品入货记录!$A:$A,样品!BK$3,合格品入货记录!$E:$E,样品!$E21)</f>
        <v>0</v>
      </c>
      <c r="BL21" s="32">
        <f>SUMIFS(合格品入货记录!$G:$G,合格品入货记录!$A:$A,样品!BL$3,合格品入货记录!$E:$E,样品!$E21)</f>
        <v>0</v>
      </c>
      <c r="BM21" s="32">
        <f>SUMIFS(合格品入货记录!$G:$G,合格品入货记录!$A:$A,样品!BM$3,合格品入货记录!$E:$E,样品!$E21)</f>
        <v>0</v>
      </c>
      <c r="BN21" s="32">
        <f>SUMIFS(合格品入货记录!$G:$G,合格品入货记录!$A:$A,样品!BN$3,合格品入货记录!$E:$E,样品!$E21)</f>
        <v>0</v>
      </c>
      <c r="BO21" s="32">
        <f>SUMIFS(合格品入货记录!$G:$G,合格品入货记录!$A:$A,样品!BO$3,合格品入货记录!$E:$E,样品!$E21)</f>
        <v>0</v>
      </c>
      <c r="BP21" s="32">
        <f>SUMIFS(合格品入货记录!$G:$G,合格品入货记录!$A:$A,样品!BP$3,合格品入货记录!$E:$E,样品!$E21)</f>
        <v>0</v>
      </c>
      <c r="BQ21" s="32">
        <f>SUMIFS(合格品入货记录!$G:$G,合格品入货记录!$A:$A,样品!BQ$3,合格品入货记录!$E:$E,样品!$E21)</f>
        <v>0</v>
      </c>
      <c r="BR21" s="32">
        <f>SUMIFS(合格品入货记录!$G:$G,合格品入货记录!$A:$A,样品!BR$3,合格品入货记录!$E:$E,样品!$E21)</f>
        <v>0</v>
      </c>
      <c r="BS21" s="32">
        <f>SUMIFS(合格品入货记录!$G:$G,合格品入货记录!$A:$A,样品!BS$3,合格品入货记录!$E:$E,样品!$E21)</f>
        <v>0</v>
      </c>
      <c r="BT21" s="32">
        <f>SUMIFS(合格品入货记录!$G:$G,合格品入货记录!$A:$A,样品!BT$3,合格品入货记录!$E:$E,样品!$E21)</f>
        <v>0</v>
      </c>
      <c r="BU21" s="32">
        <f>SUMIFS(合格品入货记录!$G:$G,合格品入货记录!$A:$A,样品!BU$3,合格品入货记录!$E:$E,样品!$E21)</f>
        <v>0</v>
      </c>
      <c r="BV21" s="32">
        <f>SUMIFS(合格品入货记录!$G:$G,合格品入货记录!$A:$A,样品!BV$3,合格品入货记录!$E:$E,样品!$E21)</f>
        <v>0</v>
      </c>
      <c r="BW21" s="32">
        <f>SUMIFS(合格品入货记录!$G:$G,合格品入货记录!$A:$A,样品!BW$3,合格品入货记录!$E:$E,样品!$E21)</f>
        <v>0</v>
      </c>
      <c r="BX21" s="32">
        <f>SUMIFS(合格品入货记录!$G:$G,合格品入货记录!$A:$A,样品!BX$3,合格品入货记录!$E:$E,样品!$E21)</f>
        <v>0</v>
      </c>
      <c r="BY21" s="32">
        <f>SUMIFS(合格品入货记录!$G:$G,合格品入货记录!$A:$A,样品!BY$3,合格品入货记录!$E:$E,样品!$E21)</f>
        <v>0</v>
      </c>
      <c r="BZ21" s="123"/>
      <c r="CA21" s="123"/>
      <c r="CB21" s="125"/>
      <c r="CC21" s="125"/>
    </row>
    <row r="22" s="90" customFormat="1" customHeight="1" spans="1:81">
      <c r="A22" s="31">
        <v>19</v>
      </c>
      <c r="B22" s="102" t="s">
        <v>19</v>
      </c>
      <c r="C22" s="103" t="s">
        <v>20</v>
      </c>
      <c r="D22" s="32">
        <v>801001003168</v>
      </c>
      <c r="E22" s="32" t="s">
        <v>315</v>
      </c>
      <c r="F22" s="103" t="s">
        <v>316</v>
      </c>
      <c r="G22" s="32"/>
      <c r="H22" s="32">
        <v>0</v>
      </c>
      <c r="I22" s="112">
        <f>SUMIF(合格品入货记录!E:E,样品!E22,合格品入货记录!G:G)</f>
        <v>0</v>
      </c>
      <c r="J22" s="112">
        <f>SUMIF(合格品出库记录!E:E,样品!E22,合格品出库记录!G:G)</f>
        <v>0</v>
      </c>
      <c r="K22" s="102">
        <f t="shared" si="0"/>
        <v>0</v>
      </c>
      <c r="L22" s="102">
        <f>SUMIF(不良品库存!D:D,E22:E57,不良品库存!F:F)</f>
        <v>0</v>
      </c>
      <c r="M22" s="113">
        <f t="shared" si="1"/>
        <v>0</v>
      </c>
      <c r="N22" s="102"/>
      <c r="O22" s="102"/>
      <c r="P22" s="32">
        <f>IFERROR(SUMIFS(合格品入货记录!$G:$G,合格品入货记录!$A:$A,样品!P$3,合格品入货记录!$E:$E,样品!$E22)," ")</f>
        <v>0</v>
      </c>
      <c r="Q22" s="32">
        <f>SUMIFS(合格品入货记录!$G:$G,合格品入货记录!$A:$A,样品!Q$3,合格品入货记录!$E:$E,样品!$E22)</f>
        <v>0</v>
      </c>
      <c r="R22" s="32">
        <f>SUMIFS(合格品入货记录!$G:$G,合格品入货记录!$A:$A,样品!R$3,合格品入货记录!$E:$E,样品!$E22)</f>
        <v>0</v>
      </c>
      <c r="S22" s="32">
        <f>SUMIFS(合格品入货记录!$G:$G,合格品入货记录!$A:$A,样品!S$3,合格品入货记录!$E:$E,样品!$E22)</f>
        <v>0</v>
      </c>
      <c r="T22" s="32">
        <f>SUMIFS(合格品入货记录!$G:$G,合格品入货记录!$A:$A,样品!T$3,合格品入货记录!$E:$E,样品!$E22)</f>
        <v>0</v>
      </c>
      <c r="U22" s="32">
        <f>SUMIFS(合格品入货记录!$G:$G,合格品入货记录!$A:$A,样品!U$3,合格品入货记录!$E:$E,样品!$E22)</f>
        <v>0</v>
      </c>
      <c r="V22" s="32">
        <f>SUMIFS(合格品入货记录!$G:$G,合格品入货记录!$A:$A,样品!V$3,合格品入货记录!$E:$E,样品!$E22)</f>
        <v>0</v>
      </c>
      <c r="W22" s="32">
        <f>SUMIFS(合格品入货记录!$G:$G,合格品入货记录!$A:$A,样品!W$3,合格品入货记录!$E:$E,样品!$E22)</f>
        <v>0</v>
      </c>
      <c r="X22" s="32">
        <f>SUMIFS(合格品入货记录!$G:$G,合格品入货记录!$A:$A,样品!X$3,合格品入货记录!$E:$E,样品!$E22)</f>
        <v>0</v>
      </c>
      <c r="Y22" s="32">
        <f>SUMIFS(合格品入货记录!$G:$G,合格品入货记录!$A:$A,样品!Y$3,合格品入货记录!$E:$E,样品!$E22)</f>
        <v>0</v>
      </c>
      <c r="Z22" s="32">
        <f>SUMIFS(合格品入货记录!$G:$G,合格品入货记录!$A:$A,样品!Z$3,合格品入货记录!$E:$E,样品!$E22)</f>
        <v>0</v>
      </c>
      <c r="AA22" s="32">
        <f>SUMIFS(合格品入货记录!$G:$G,合格品入货记录!$A:$A,样品!AA$3,合格品入货记录!$E:$E,样品!$E22)</f>
        <v>0</v>
      </c>
      <c r="AB22" s="32">
        <f>SUMIFS(合格品入货记录!$G:$G,合格品入货记录!$A:$A,样品!AB$3,合格品入货记录!$E:$E,样品!$E22)</f>
        <v>0</v>
      </c>
      <c r="AC22" s="32">
        <f>SUMIFS(合格品入货记录!$G:$G,合格品入货记录!$A:$A,样品!AC$3,合格品入货记录!$E:$E,样品!$E22)</f>
        <v>0</v>
      </c>
      <c r="AD22" s="32">
        <f>SUMIFS(合格品入货记录!$G:$G,合格品入货记录!$A:$A,样品!AD$3,合格品入货记录!$E:$E,样品!$E22)</f>
        <v>0</v>
      </c>
      <c r="AE22" s="32">
        <f>SUMIFS(合格品入货记录!$G:$G,合格品入货记录!$A:$A,样品!AE$3,合格品入货记录!$E:$E,样品!$E22)</f>
        <v>0</v>
      </c>
      <c r="AF22" s="32">
        <f>SUMIFS(合格品入货记录!$G:$G,合格品入货记录!$A:$A,样品!AF$3,合格品入货记录!$E:$E,样品!$E22)</f>
        <v>0</v>
      </c>
      <c r="AG22" s="32">
        <f>SUMIFS(合格品入货记录!$G:$G,合格品入货记录!$A:$A,样品!AG$3,合格品入货记录!$E:$E,样品!$E22)</f>
        <v>0</v>
      </c>
      <c r="AH22" s="32">
        <f>SUMIFS(合格品入货记录!$G:$G,合格品入货记录!$A:$A,样品!AH$3,合格品入货记录!$E:$E,样品!$E22)</f>
        <v>0</v>
      </c>
      <c r="AI22" s="32">
        <f>SUMIFS(合格品入货记录!$G:$G,合格品入货记录!$A:$A,样品!AI$3,合格品入货记录!$E:$E,样品!$E22)</f>
        <v>0</v>
      </c>
      <c r="AJ22" s="32">
        <f>SUMIFS(合格品入货记录!$G:$G,合格品入货记录!$A:$A,样品!AJ$3,合格品入货记录!$E:$E,样品!$E22)</f>
        <v>0</v>
      </c>
      <c r="AK22" s="32">
        <f>SUMIFS(合格品入货记录!$G:$G,合格品入货记录!$A:$A,样品!AK$3,合格品入货记录!$E:$E,样品!$E22)</f>
        <v>0</v>
      </c>
      <c r="AL22" s="32">
        <f>SUMIFS(合格品入货记录!$G:$G,合格品入货记录!$A:$A,样品!AL$3,合格品入货记录!$E:$E,样品!$E22)</f>
        <v>0</v>
      </c>
      <c r="AM22" s="32">
        <f>SUMIFS(合格品入货记录!$G:$G,合格品入货记录!$A:$A,样品!AM$3,合格品入货记录!$E:$E,样品!$E22)</f>
        <v>0</v>
      </c>
      <c r="AN22" s="32">
        <f>SUMIFS(合格品入货记录!$G:$G,合格品入货记录!$A:$A,样品!AN$3,合格品入货记录!$E:$E,样品!$E22)</f>
        <v>0</v>
      </c>
      <c r="AO22" s="32">
        <f>SUMIFS(合格品入货记录!$G:$G,合格品入货记录!$A:$A,样品!AO$3,合格品入货记录!$E:$E,样品!$E22)</f>
        <v>0</v>
      </c>
      <c r="AP22" s="32">
        <f>SUMIFS(合格品入货记录!$G:$G,合格品入货记录!$A:$A,样品!AP$3,合格品入货记录!$E:$E,样品!$E22)</f>
        <v>0</v>
      </c>
      <c r="AQ22" s="32">
        <f>SUMIFS(合格品入货记录!$G:$G,合格品入货记录!$A:$A,样品!AQ$3,合格品入货记录!$E:$E,样品!$E22)</f>
        <v>0</v>
      </c>
      <c r="AR22" s="32">
        <f>SUMIFS(合格品入货记录!$G:$G,合格品入货记录!$A:$A,样品!AR$3,合格品入货记录!$E:$E,样品!$E22)</f>
        <v>0</v>
      </c>
      <c r="AS22" s="32">
        <f>SUMIFS(合格品入货记录!$G:$G,合格品入货记录!$A:$A,样品!AS$3,合格品入货记录!$E:$E,样品!$E22)</f>
        <v>0</v>
      </c>
      <c r="AT22" s="32">
        <f>SUMIFS(合格品入货记录!$G:$G,合格品入货记录!$A:$A,样品!AT$3,合格品入货记录!$E:$E,样品!$E22)</f>
        <v>0</v>
      </c>
      <c r="AU22" s="32">
        <f>SUMIFS(合格品入货记录!$G:$G,合格品入货记录!$A:$A,样品!AU$3,合格品入货记录!$E:$E,样品!$E22)</f>
        <v>0</v>
      </c>
      <c r="AV22" s="32">
        <f>SUMIFS(合格品入货记录!$G:$G,合格品入货记录!$A:$A,样品!AV$3,合格品入货记录!$E:$E,样品!$E22)</f>
        <v>0</v>
      </c>
      <c r="AW22" s="32">
        <f>SUMIFS(合格品入货记录!$G:$G,合格品入货记录!$A:$A,样品!AW$3,合格品入货记录!$E:$E,样品!$E22)</f>
        <v>0</v>
      </c>
      <c r="AX22" s="32">
        <f>SUMIFS(合格品入货记录!$G:$G,合格品入货记录!$A:$A,样品!AX$3,合格品入货记录!$E:$E,样品!$E22)</f>
        <v>0</v>
      </c>
      <c r="AY22" s="32">
        <f>SUMIFS(合格品入货记录!$G:$G,合格品入货记录!$A:$A,样品!AY$3,合格品入货记录!$E:$E,样品!$E22)</f>
        <v>0</v>
      </c>
      <c r="AZ22" s="32">
        <f>SUMIFS(合格品入货记录!$G:$G,合格品入货记录!$A:$A,样品!AZ$3,合格品入货记录!$E:$E,样品!$E22)</f>
        <v>0</v>
      </c>
      <c r="BA22" s="32">
        <f>SUMIFS(合格品入货记录!$G:$G,合格品入货记录!$A:$A,样品!BA$3,合格品入货记录!$E:$E,样品!$E22)</f>
        <v>0</v>
      </c>
      <c r="BB22" s="32">
        <f>SUMIFS(合格品入货记录!$G:$G,合格品入货记录!$A:$A,样品!BB$3,合格品入货记录!$E:$E,样品!$E22)</f>
        <v>0</v>
      </c>
      <c r="BC22" s="32">
        <f>SUMIFS(合格品入货记录!$G:$G,合格品入货记录!$A:$A,样品!BC$3,合格品入货记录!$E:$E,样品!$E22)</f>
        <v>0</v>
      </c>
      <c r="BD22" s="32">
        <f>SUMIFS(合格品入货记录!$G:$G,合格品入货记录!$A:$A,样品!BD$3,合格品入货记录!$E:$E,样品!$E22)</f>
        <v>0</v>
      </c>
      <c r="BE22" s="32">
        <f>SUMIFS(合格品入货记录!$G:$G,合格品入货记录!$A:$A,样品!BE$3,合格品入货记录!$E:$E,样品!$E22)</f>
        <v>0</v>
      </c>
      <c r="BF22" s="32">
        <f>SUMIFS(合格品入货记录!$G:$G,合格品入货记录!$A:$A,样品!BF$3,合格品入货记录!$E:$E,样品!$E22)</f>
        <v>0</v>
      </c>
      <c r="BG22" s="32">
        <f>SUMIFS(合格品入货记录!$G:$G,合格品入货记录!$A:$A,样品!BG$3,合格品入货记录!$E:$E,样品!$E22)</f>
        <v>0</v>
      </c>
      <c r="BH22" s="32">
        <f>SUMIFS(合格品入货记录!$G:$G,合格品入货记录!$A:$A,样品!BH$3,合格品入货记录!$E:$E,样品!$E22)</f>
        <v>0</v>
      </c>
      <c r="BI22" s="32">
        <f>SUMIFS(合格品入货记录!$G:$G,合格品入货记录!$A:$A,样品!BI$3,合格品入货记录!$E:$E,样品!$E22)</f>
        <v>0</v>
      </c>
      <c r="BJ22" s="32">
        <f>SUMIFS(合格品入货记录!$G:$G,合格品入货记录!$A:$A,样品!BJ$3,合格品入货记录!$E:$E,样品!$E22)</f>
        <v>0</v>
      </c>
      <c r="BK22" s="32">
        <f>SUMIFS(合格品入货记录!$G:$G,合格品入货记录!$A:$A,样品!BK$3,合格品入货记录!$E:$E,样品!$E22)</f>
        <v>0</v>
      </c>
      <c r="BL22" s="32">
        <f>SUMIFS(合格品入货记录!$G:$G,合格品入货记录!$A:$A,样品!BL$3,合格品入货记录!$E:$E,样品!$E22)</f>
        <v>0</v>
      </c>
      <c r="BM22" s="32">
        <f>SUMIFS(合格品入货记录!$G:$G,合格品入货记录!$A:$A,样品!BM$3,合格品入货记录!$E:$E,样品!$E22)</f>
        <v>0</v>
      </c>
      <c r="BN22" s="32">
        <f>SUMIFS(合格品入货记录!$G:$G,合格品入货记录!$A:$A,样品!BN$3,合格品入货记录!$E:$E,样品!$E22)</f>
        <v>0</v>
      </c>
      <c r="BO22" s="32">
        <f>SUMIFS(合格品入货记录!$G:$G,合格品入货记录!$A:$A,样品!BO$3,合格品入货记录!$E:$E,样品!$E22)</f>
        <v>0</v>
      </c>
      <c r="BP22" s="32">
        <f>SUMIFS(合格品入货记录!$G:$G,合格品入货记录!$A:$A,样品!BP$3,合格品入货记录!$E:$E,样品!$E22)</f>
        <v>0</v>
      </c>
      <c r="BQ22" s="32">
        <f>SUMIFS(合格品入货记录!$G:$G,合格品入货记录!$A:$A,样品!BQ$3,合格品入货记录!$E:$E,样品!$E22)</f>
        <v>0</v>
      </c>
      <c r="BR22" s="32">
        <f>SUMIFS(合格品入货记录!$G:$G,合格品入货记录!$A:$A,样品!BR$3,合格品入货记录!$E:$E,样品!$E22)</f>
        <v>0</v>
      </c>
      <c r="BS22" s="32">
        <f>SUMIFS(合格品入货记录!$G:$G,合格品入货记录!$A:$A,样品!BS$3,合格品入货记录!$E:$E,样品!$E22)</f>
        <v>0</v>
      </c>
      <c r="BT22" s="32">
        <f>SUMIFS(合格品入货记录!$G:$G,合格品入货记录!$A:$A,样品!BT$3,合格品入货记录!$E:$E,样品!$E22)</f>
        <v>0</v>
      </c>
      <c r="BU22" s="32">
        <f>SUMIFS(合格品入货记录!$G:$G,合格品入货记录!$A:$A,样品!BU$3,合格品入货记录!$E:$E,样品!$E22)</f>
        <v>0</v>
      </c>
      <c r="BV22" s="32">
        <f>SUMIFS(合格品入货记录!$G:$G,合格品入货记录!$A:$A,样品!BV$3,合格品入货记录!$E:$E,样品!$E22)</f>
        <v>0</v>
      </c>
      <c r="BW22" s="32">
        <f>SUMIFS(合格品入货记录!$G:$G,合格品入货记录!$A:$A,样品!BW$3,合格品入货记录!$E:$E,样品!$E22)</f>
        <v>0</v>
      </c>
      <c r="BX22" s="32">
        <f>SUMIFS(合格品入货记录!$G:$G,合格品入货记录!$A:$A,样品!BX$3,合格品入货记录!$E:$E,样品!$E22)</f>
        <v>0</v>
      </c>
      <c r="BY22" s="32">
        <f>SUMIFS(合格品入货记录!$G:$G,合格品入货记录!$A:$A,样品!BY$3,合格品入货记录!$E:$E,样品!$E22)</f>
        <v>0</v>
      </c>
      <c r="BZ22" s="123"/>
      <c r="CA22" s="123"/>
      <c r="CB22" s="125"/>
      <c r="CC22" s="125"/>
    </row>
    <row r="23" s="90" customFormat="1" customHeight="1" spans="1:81">
      <c r="A23" s="31">
        <v>20</v>
      </c>
      <c r="B23" s="104" t="s">
        <v>19</v>
      </c>
      <c r="C23" s="105" t="s">
        <v>20</v>
      </c>
      <c r="D23" s="32" t="s">
        <v>317</v>
      </c>
      <c r="E23" s="31" t="s">
        <v>318</v>
      </c>
      <c r="F23" s="105" t="s">
        <v>319</v>
      </c>
      <c r="G23" s="31"/>
      <c r="H23" s="31">
        <v>0</v>
      </c>
      <c r="I23" s="106">
        <f>SUMIF(合格品入货记录!E:E,样品!E23,合格品入货记录!G:G)</f>
        <v>0</v>
      </c>
      <c r="J23" s="106">
        <f>SUMIF(合格品出库记录!E:E,样品!E23,合格品出库记录!G:G)</f>
        <v>0</v>
      </c>
      <c r="K23" s="102">
        <f t="shared" si="0"/>
        <v>0</v>
      </c>
      <c r="L23" s="102">
        <f>SUMIF(不良品库存!D:D,E23:E57,不良品库存!F:F)</f>
        <v>0</v>
      </c>
      <c r="M23" s="113">
        <f t="shared" si="1"/>
        <v>0</v>
      </c>
      <c r="N23" s="31"/>
      <c r="O23" s="104"/>
      <c r="P23" s="32">
        <f>IFERROR(SUMIFS(合格品入货记录!$G:$G,合格品入货记录!$A:$A,样品!P$3,合格品入货记录!$E:$E,样品!$E23)," ")</f>
        <v>0</v>
      </c>
      <c r="Q23" s="32">
        <f>SUMIFS(合格品入货记录!$G:$G,合格品入货记录!$A:$A,样品!Q$3,合格品入货记录!$E:$E,样品!$E23)</f>
        <v>0</v>
      </c>
      <c r="R23" s="32">
        <f>SUMIFS(合格品入货记录!$G:$G,合格品入货记录!$A:$A,样品!R$3,合格品入货记录!$E:$E,样品!$E23)</f>
        <v>0</v>
      </c>
      <c r="S23" s="32">
        <f>SUMIFS(合格品入货记录!$G:$G,合格品入货记录!$A:$A,样品!S$3,合格品入货记录!$E:$E,样品!$E23)</f>
        <v>0</v>
      </c>
      <c r="T23" s="32">
        <f>SUMIFS(合格品入货记录!$G:$G,合格品入货记录!$A:$A,样品!T$3,合格品入货记录!$E:$E,样品!$E23)</f>
        <v>0</v>
      </c>
      <c r="U23" s="32">
        <f>SUMIFS(合格品入货记录!$G:$G,合格品入货记录!$A:$A,样品!U$3,合格品入货记录!$E:$E,样品!$E23)</f>
        <v>0</v>
      </c>
      <c r="V23" s="32">
        <f>SUMIFS(合格品入货记录!$G:$G,合格品入货记录!$A:$A,样品!V$3,合格品入货记录!$E:$E,样品!$E23)</f>
        <v>0</v>
      </c>
      <c r="W23" s="32">
        <f>SUMIFS(合格品入货记录!$G:$G,合格品入货记录!$A:$A,样品!W$3,合格品入货记录!$E:$E,样品!$E23)</f>
        <v>0</v>
      </c>
      <c r="X23" s="32">
        <f>SUMIFS(合格品入货记录!$G:$G,合格品入货记录!$A:$A,样品!X$3,合格品入货记录!$E:$E,样品!$E23)</f>
        <v>0</v>
      </c>
      <c r="Y23" s="32">
        <f>SUMIFS(合格品入货记录!$G:$G,合格品入货记录!$A:$A,样品!Y$3,合格品入货记录!$E:$E,样品!$E23)</f>
        <v>0</v>
      </c>
      <c r="Z23" s="32">
        <f>SUMIFS(合格品入货记录!$G:$G,合格品入货记录!$A:$A,样品!Z$3,合格品入货记录!$E:$E,样品!$E23)</f>
        <v>0</v>
      </c>
      <c r="AA23" s="32">
        <f>SUMIFS(合格品入货记录!$G:$G,合格品入货记录!$A:$A,样品!AA$3,合格品入货记录!$E:$E,样品!$E23)</f>
        <v>0</v>
      </c>
      <c r="AB23" s="32">
        <f>SUMIFS(合格品入货记录!$G:$G,合格品入货记录!$A:$A,样品!AB$3,合格品入货记录!$E:$E,样品!$E23)</f>
        <v>0</v>
      </c>
      <c r="AC23" s="32">
        <f>SUMIFS(合格品入货记录!$G:$G,合格品入货记录!$A:$A,样品!AC$3,合格品入货记录!$E:$E,样品!$E23)</f>
        <v>0</v>
      </c>
      <c r="AD23" s="32">
        <f>SUMIFS(合格品入货记录!$G:$G,合格品入货记录!$A:$A,样品!AD$3,合格品入货记录!$E:$E,样品!$E23)</f>
        <v>0</v>
      </c>
      <c r="AE23" s="32">
        <f>SUMIFS(合格品入货记录!$G:$G,合格品入货记录!$A:$A,样品!AE$3,合格品入货记录!$E:$E,样品!$E23)</f>
        <v>0</v>
      </c>
      <c r="AF23" s="32">
        <f>SUMIFS(合格品入货记录!$G:$G,合格品入货记录!$A:$A,样品!AF$3,合格品入货记录!$E:$E,样品!$E23)</f>
        <v>0</v>
      </c>
      <c r="AG23" s="32">
        <f>SUMIFS(合格品入货记录!$G:$G,合格品入货记录!$A:$A,样品!AG$3,合格品入货记录!$E:$E,样品!$E23)</f>
        <v>0</v>
      </c>
      <c r="AH23" s="32">
        <f>SUMIFS(合格品入货记录!$G:$G,合格品入货记录!$A:$A,样品!AH$3,合格品入货记录!$E:$E,样品!$E23)</f>
        <v>0</v>
      </c>
      <c r="AI23" s="32">
        <f>SUMIFS(合格品入货记录!$G:$G,合格品入货记录!$A:$A,样品!AI$3,合格品入货记录!$E:$E,样品!$E23)</f>
        <v>0</v>
      </c>
      <c r="AJ23" s="32">
        <f>SUMIFS(合格品入货记录!$G:$G,合格品入货记录!$A:$A,样品!AJ$3,合格品入货记录!$E:$E,样品!$E23)</f>
        <v>0</v>
      </c>
      <c r="AK23" s="32">
        <f>SUMIFS(合格品入货记录!$G:$G,合格品入货记录!$A:$A,样品!AK$3,合格品入货记录!$E:$E,样品!$E23)</f>
        <v>0</v>
      </c>
      <c r="AL23" s="32">
        <f>SUMIFS(合格品入货记录!$G:$G,合格品入货记录!$A:$A,样品!AL$3,合格品入货记录!$E:$E,样品!$E23)</f>
        <v>0</v>
      </c>
      <c r="AM23" s="32">
        <f>SUMIFS(合格品入货记录!$G:$G,合格品入货记录!$A:$A,样品!AM$3,合格品入货记录!$E:$E,样品!$E23)</f>
        <v>0</v>
      </c>
      <c r="AN23" s="32">
        <f>SUMIFS(合格品入货记录!$G:$G,合格品入货记录!$A:$A,样品!AN$3,合格品入货记录!$E:$E,样品!$E23)</f>
        <v>0</v>
      </c>
      <c r="AO23" s="32">
        <f>SUMIFS(合格品入货记录!$G:$G,合格品入货记录!$A:$A,样品!AO$3,合格品入货记录!$E:$E,样品!$E23)</f>
        <v>0</v>
      </c>
      <c r="AP23" s="32">
        <f>SUMIFS(合格品入货记录!$G:$G,合格品入货记录!$A:$A,样品!AP$3,合格品入货记录!$E:$E,样品!$E23)</f>
        <v>0</v>
      </c>
      <c r="AQ23" s="32">
        <f>SUMIFS(合格品入货记录!$G:$G,合格品入货记录!$A:$A,样品!AQ$3,合格品入货记录!$E:$E,样品!$E23)</f>
        <v>0</v>
      </c>
      <c r="AR23" s="32">
        <f>SUMIFS(合格品入货记录!$G:$G,合格品入货记录!$A:$A,样品!AR$3,合格品入货记录!$E:$E,样品!$E23)</f>
        <v>0</v>
      </c>
      <c r="AS23" s="32">
        <f>SUMIFS(合格品入货记录!$G:$G,合格品入货记录!$A:$A,样品!AS$3,合格品入货记录!$E:$E,样品!$E23)</f>
        <v>0</v>
      </c>
      <c r="AT23" s="32">
        <f>SUMIFS(合格品入货记录!$G:$G,合格品入货记录!$A:$A,样品!AT$3,合格品入货记录!$E:$E,样品!$E23)</f>
        <v>0</v>
      </c>
      <c r="AU23" s="32">
        <f>SUMIFS(合格品入货记录!$G:$G,合格品入货记录!$A:$A,样品!AU$3,合格品入货记录!$E:$E,样品!$E23)</f>
        <v>0</v>
      </c>
      <c r="AV23" s="32">
        <f>SUMIFS(合格品入货记录!$G:$G,合格品入货记录!$A:$A,样品!AV$3,合格品入货记录!$E:$E,样品!$E23)</f>
        <v>0</v>
      </c>
      <c r="AW23" s="32">
        <f>SUMIFS(合格品入货记录!$G:$G,合格品入货记录!$A:$A,样品!AW$3,合格品入货记录!$E:$E,样品!$E23)</f>
        <v>0</v>
      </c>
      <c r="AX23" s="32">
        <f>SUMIFS(合格品入货记录!$G:$G,合格品入货记录!$A:$A,样品!AX$3,合格品入货记录!$E:$E,样品!$E23)</f>
        <v>0</v>
      </c>
      <c r="AY23" s="32">
        <f>SUMIFS(合格品入货记录!$G:$G,合格品入货记录!$A:$A,样品!AY$3,合格品入货记录!$E:$E,样品!$E23)</f>
        <v>0</v>
      </c>
      <c r="AZ23" s="32">
        <f>SUMIFS(合格品入货记录!$G:$G,合格品入货记录!$A:$A,样品!AZ$3,合格品入货记录!$E:$E,样品!$E23)</f>
        <v>0</v>
      </c>
      <c r="BA23" s="32">
        <f>SUMIFS(合格品入货记录!$G:$G,合格品入货记录!$A:$A,样品!BA$3,合格品入货记录!$E:$E,样品!$E23)</f>
        <v>0</v>
      </c>
      <c r="BB23" s="32">
        <f>SUMIFS(合格品入货记录!$G:$G,合格品入货记录!$A:$A,样品!BB$3,合格品入货记录!$E:$E,样品!$E23)</f>
        <v>0</v>
      </c>
      <c r="BC23" s="32">
        <f>SUMIFS(合格品入货记录!$G:$G,合格品入货记录!$A:$A,样品!BC$3,合格品入货记录!$E:$E,样品!$E23)</f>
        <v>0</v>
      </c>
      <c r="BD23" s="32">
        <f>SUMIFS(合格品入货记录!$G:$G,合格品入货记录!$A:$A,样品!BD$3,合格品入货记录!$E:$E,样品!$E23)</f>
        <v>0</v>
      </c>
      <c r="BE23" s="32">
        <f>SUMIFS(合格品入货记录!$G:$G,合格品入货记录!$A:$A,样品!BE$3,合格品入货记录!$E:$E,样品!$E23)</f>
        <v>0</v>
      </c>
      <c r="BF23" s="32">
        <f>SUMIFS(合格品入货记录!$G:$G,合格品入货记录!$A:$A,样品!BF$3,合格品入货记录!$E:$E,样品!$E23)</f>
        <v>0</v>
      </c>
      <c r="BG23" s="32">
        <f>SUMIFS(合格品入货记录!$G:$G,合格品入货记录!$A:$A,样品!BG$3,合格品入货记录!$E:$E,样品!$E23)</f>
        <v>0</v>
      </c>
      <c r="BH23" s="32">
        <f>SUMIFS(合格品入货记录!$G:$G,合格品入货记录!$A:$A,样品!BH$3,合格品入货记录!$E:$E,样品!$E23)</f>
        <v>0</v>
      </c>
      <c r="BI23" s="32">
        <f>SUMIFS(合格品入货记录!$G:$G,合格品入货记录!$A:$A,样品!BI$3,合格品入货记录!$E:$E,样品!$E23)</f>
        <v>0</v>
      </c>
      <c r="BJ23" s="32">
        <f>SUMIFS(合格品入货记录!$G:$G,合格品入货记录!$A:$A,样品!BJ$3,合格品入货记录!$E:$E,样品!$E23)</f>
        <v>0</v>
      </c>
      <c r="BK23" s="32">
        <f>SUMIFS(合格品入货记录!$G:$G,合格品入货记录!$A:$A,样品!BK$3,合格品入货记录!$E:$E,样品!$E23)</f>
        <v>0</v>
      </c>
      <c r="BL23" s="32">
        <f>SUMIFS(合格品入货记录!$G:$G,合格品入货记录!$A:$A,样品!BL$3,合格品入货记录!$E:$E,样品!$E23)</f>
        <v>0</v>
      </c>
      <c r="BM23" s="32">
        <f>SUMIFS(合格品入货记录!$G:$G,合格品入货记录!$A:$A,样品!BM$3,合格品入货记录!$E:$E,样品!$E23)</f>
        <v>0</v>
      </c>
      <c r="BN23" s="32">
        <f>SUMIFS(合格品入货记录!$G:$G,合格品入货记录!$A:$A,样品!BN$3,合格品入货记录!$E:$E,样品!$E23)</f>
        <v>0</v>
      </c>
      <c r="BO23" s="32">
        <f>SUMIFS(合格品入货记录!$G:$G,合格品入货记录!$A:$A,样品!BO$3,合格品入货记录!$E:$E,样品!$E23)</f>
        <v>0</v>
      </c>
      <c r="BP23" s="32">
        <f>SUMIFS(合格品入货记录!$G:$G,合格品入货记录!$A:$A,样品!BP$3,合格品入货记录!$E:$E,样品!$E23)</f>
        <v>0</v>
      </c>
      <c r="BQ23" s="32">
        <f>SUMIFS(合格品入货记录!$G:$G,合格品入货记录!$A:$A,样品!BQ$3,合格品入货记录!$E:$E,样品!$E23)</f>
        <v>0</v>
      </c>
      <c r="BR23" s="32">
        <f>SUMIFS(合格品入货记录!$G:$G,合格品入货记录!$A:$A,样品!BR$3,合格品入货记录!$E:$E,样品!$E23)</f>
        <v>0</v>
      </c>
      <c r="BS23" s="32">
        <f>SUMIFS(合格品入货记录!$G:$G,合格品入货记录!$A:$A,样品!BS$3,合格品入货记录!$E:$E,样品!$E23)</f>
        <v>0</v>
      </c>
      <c r="BT23" s="32">
        <f>SUMIFS(合格品入货记录!$G:$G,合格品入货记录!$A:$A,样品!BT$3,合格品入货记录!$E:$E,样品!$E23)</f>
        <v>0</v>
      </c>
      <c r="BU23" s="32">
        <f>SUMIFS(合格品入货记录!$G:$G,合格品入货记录!$A:$A,样品!BU$3,合格品入货记录!$E:$E,样品!$E23)</f>
        <v>0</v>
      </c>
      <c r="BV23" s="32">
        <f>SUMIFS(合格品入货记录!$G:$G,合格品入货记录!$A:$A,样品!BV$3,合格品入货记录!$E:$E,样品!$E23)</f>
        <v>0</v>
      </c>
      <c r="BW23" s="32">
        <f>SUMIFS(合格品入货记录!$G:$G,合格品入货记录!$A:$A,样品!BW$3,合格品入货记录!$E:$E,样品!$E23)</f>
        <v>0</v>
      </c>
      <c r="BX23" s="32">
        <f>SUMIFS(合格品入货记录!$G:$G,合格品入货记录!$A:$A,样品!BX$3,合格品入货记录!$E:$E,样品!$E23)</f>
        <v>0</v>
      </c>
      <c r="BY23" s="32">
        <f>SUMIFS(合格品入货记录!$G:$G,合格品入货记录!$A:$A,样品!BY$3,合格品入货记录!$E:$E,样品!$E23)</f>
        <v>0</v>
      </c>
      <c r="BZ23" s="124"/>
      <c r="CA23" s="124"/>
      <c r="CB23" s="125"/>
      <c r="CC23" s="125"/>
    </row>
    <row r="24" s="90" customFormat="1" customHeight="1" spans="1:81">
      <c r="A24" s="31">
        <v>21</v>
      </c>
      <c r="B24" s="102" t="s">
        <v>19</v>
      </c>
      <c r="C24" s="103" t="s">
        <v>20</v>
      </c>
      <c r="D24" s="32" t="s">
        <v>320</v>
      </c>
      <c r="E24" s="32" t="s">
        <v>321</v>
      </c>
      <c r="F24" s="103" t="s">
        <v>322</v>
      </c>
      <c r="G24" s="32"/>
      <c r="H24" s="32">
        <v>0</v>
      </c>
      <c r="I24" s="112">
        <f>SUMIF(合格品入货记录!E:E,样品!E24,合格品入货记录!G:G)</f>
        <v>0</v>
      </c>
      <c r="J24" s="112">
        <f>SUMIF(合格品出库记录!E:E,样品!E24,合格品出库记录!G:G)</f>
        <v>0</v>
      </c>
      <c r="K24" s="102">
        <f t="shared" si="0"/>
        <v>0</v>
      </c>
      <c r="L24" s="102">
        <f>SUMIF(不良品库存!D:D,E24:E58,不良品库存!F:F)</f>
        <v>0</v>
      </c>
      <c r="M24" s="113">
        <f t="shared" si="1"/>
        <v>0</v>
      </c>
      <c r="N24" s="102"/>
      <c r="O24" s="102"/>
      <c r="P24" s="32">
        <f>IFERROR(SUMIFS(合格品入货记录!$G:$G,合格品入货记录!$A:$A,样品!P$3,合格品入货记录!$E:$E,样品!$E24)," ")</f>
        <v>0</v>
      </c>
      <c r="Q24" s="32">
        <f>SUMIFS(合格品入货记录!$G:$G,合格品入货记录!$A:$A,样品!Q$3,合格品入货记录!$E:$E,样品!$E24)</f>
        <v>0</v>
      </c>
      <c r="R24" s="32">
        <f>SUMIFS(合格品入货记录!$G:$G,合格品入货记录!$A:$A,样品!R$3,合格品入货记录!$E:$E,样品!$E24)</f>
        <v>0</v>
      </c>
      <c r="S24" s="32">
        <f>SUMIFS(合格品入货记录!$G:$G,合格品入货记录!$A:$A,样品!S$3,合格品入货记录!$E:$E,样品!$E24)</f>
        <v>0</v>
      </c>
      <c r="T24" s="32">
        <f>SUMIFS(合格品入货记录!$G:$G,合格品入货记录!$A:$A,样品!T$3,合格品入货记录!$E:$E,样品!$E24)</f>
        <v>0</v>
      </c>
      <c r="U24" s="32">
        <f>SUMIFS(合格品入货记录!$G:$G,合格品入货记录!$A:$A,样品!U$3,合格品入货记录!$E:$E,样品!$E24)</f>
        <v>0</v>
      </c>
      <c r="V24" s="32">
        <f>SUMIFS(合格品入货记录!$G:$G,合格品入货记录!$A:$A,样品!V$3,合格品入货记录!$E:$E,样品!$E24)</f>
        <v>0</v>
      </c>
      <c r="W24" s="32">
        <f>SUMIFS(合格品入货记录!$G:$G,合格品入货记录!$A:$A,样品!W$3,合格品入货记录!$E:$E,样品!$E24)</f>
        <v>0</v>
      </c>
      <c r="X24" s="32">
        <f>SUMIFS(合格品入货记录!$G:$G,合格品入货记录!$A:$A,样品!X$3,合格品入货记录!$E:$E,样品!$E24)</f>
        <v>0</v>
      </c>
      <c r="Y24" s="32">
        <f>SUMIFS(合格品入货记录!$G:$G,合格品入货记录!$A:$A,样品!Y$3,合格品入货记录!$E:$E,样品!$E24)</f>
        <v>0</v>
      </c>
      <c r="Z24" s="32">
        <f>SUMIFS(合格品入货记录!$G:$G,合格品入货记录!$A:$A,样品!Z$3,合格品入货记录!$E:$E,样品!$E24)</f>
        <v>0</v>
      </c>
      <c r="AA24" s="32">
        <f>SUMIFS(合格品入货记录!$G:$G,合格品入货记录!$A:$A,样品!AA$3,合格品入货记录!$E:$E,样品!$E24)</f>
        <v>0</v>
      </c>
      <c r="AB24" s="32">
        <f>SUMIFS(合格品入货记录!$G:$G,合格品入货记录!$A:$A,样品!AB$3,合格品入货记录!$E:$E,样品!$E24)</f>
        <v>0</v>
      </c>
      <c r="AC24" s="32">
        <f>SUMIFS(合格品入货记录!$G:$G,合格品入货记录!$A:$A,样品!AC$3,合格品入货记录!$E:$E,样品!$E24)</f>
        <v>0</v>
      </c>
      <c r="AD24" s="32">
        <f>SUMIFS(合格品入货记录!$G:$G,合格品入货记录!$A:$A,样品!AD$3,合格品入货记录!$E:$E,样品!$E24)</f>
        <v>0</v>
      </c>
      <c r="AE24" s="32">
        <f>SUMIFS(合格品入货记录!$G:$G,合格品入货记录!$A:$A,样品!AE$3,合格品入货记录!$E:$E,样品!$E24)</f>
        <v>0</v>
      </c>
      <c r="AF24" s="32">
        <f>SUMIFS(合格品入货记录!$G:$G,合格品入货记录!$A:$A,样品!AF$3,合格品入货记录!$E:$E,样品!$E24)</f>
        <v>0</v>
      </c>
      <c r="AG24" s="32">
        <f>SUMIFS(合格品入货记录!$G:$G,合格品入货记录!$A:$A,样品!AG$3,合格品入货记录!$E:$E,样品!$E24)</f>
        <v>0</v>
      </c>
      <c r="AH24" s="32">
        <f>SUMIFS(合格品入货记录!$G:$G,合格品入货记录!$A:$A,样品!AH$3,合格品入货记录!$E:$E,样品!$E24)</f>
        <v>0</v>
      </c>
      <c r="AI24" s="32">
        <f>SUMIFS(合格品入货记录!$G:$G,合格品入货记录!$A:$A,样品!AI$3,合格品入货记录!$E:$E,样品!$E24)</f>
        <v>0</v>
      </c>
      <c r="AJ24" s="32">
        <f>SUMIFS(合格品入货记录!$G:$G,合格品入货记录!$A:$A,样品!AJ$3,合格品入货记录!$E:$E,样品!$E24)</f>
        <v>0</v>
      </c>
      <c r="AK24" s="32">
        <f>SUMIFS(合格品入货记录!$G:$G,合格品入货记录!$A:$A,样品!AK$3,合格品入货记录!$E:$E,样品!$E24)</f>
        <v>0</v>
      </c>
      <c r="AL24" s="32">
        <f>SUMIFS(合格品入货记录!$G:$G,合格品入货记录!$A:$A,样品!AL$3,合格品入货记录!$E:$E,样品!$E24)</f>
        <v>0</v>
      </c>
      <c r="AM24" s="32">
        <f>SUMIFS(合格品入货记录!$G:$G,合格品入货记录!$A:$A,样品!AM$3,合格品入货记录!$E:$E,样品!$E24)</f>
        <v>0</v>
      </c>
      <c r="AN24" s="32">
        <f>SUMIFS(合格品入货记录!$G:$G,合格品入货记录!$A:$A,样品!AN$3,合格品入货记录!$E:$E,样品!$E24)</f>
        <v>0</v>
      </c>
      <c r="AO24" s="32">
        <f>SUMIFS(合格品入货记录!$G:$G,合格品入货记录!$A:$A,样品!AO$3,合格品入货记录!$E:$E,样品!$E24)</f>
        <v>0</v>
      </c>
      <c r="AP24" s="32">
        <f>SUMIFS(合格品入货记录!$G:$G,合格品入货记录!$A:$A,样品!AP$3,合格品入货记录!$E:$E,样品!$E24)</f>
        <v>0</v>
      </c>
      <c r="AQ24" s="32">
        <f>SUMIFS(合格品入货记录!$G:$G,合格品入货记录!$A:$A,样品!AQ$3,合格品入货记录!$E:$E,样品!$E24)</f>
        <v>0</v>
      </c>
      <c r="AR24" s="32">
        <f>SUMIFS(合格品入货记录!$G:$G,合格品入货记录!$A:$A,样品!AR$3,合格品入货记录!$E:$E,样品!$E24)</f>
        <v>0</v>
      </c>
      <c r="AS24" s="32">
        <f>SUMIFS(合格品入货记录!$G:$G,合格品入货记录!$A:$A,样品!AS$3,合格品入货记录!$E:$E,样品!$E24)</f>
        <v>0</v>
      </c>
      <c r="AT24" s="32">
        <f>SUMIFS(合格品入货记录!$G:$G,合格品入货记录!$A:$A,样品!AT$3,合格品入货记录!$E:$E,样品!$E24)</f>
        <v>0</v>
      </c>
      <c r="AU24" s="32">
        <f>SUMIFS(合格品入货记录!$G:$G,合格品入货记录!$A:$A,样品!AU$3,合格品入货记录!$E:$E,样品!$E24)</f>
        <v>0</v>
      </c>
      <c r="AV24" s="32">
        <f>SUMIFS(合格品入货记录!$G:$G,合格品入货记录!$A:$A,样品!AV$3,合格品入货记录!$E:$E,样品!$E24)</f>
        <v>0</v>
      </c>
      <c r="AW24" s="32">
        <f>SUMIFS(合格品入货记录!$G:$G,合格品入货记录!$A:$A,样品!AW$3,合格品入货记录!$E:$E,样品!$E24)</f>
        <v>0</v>
      </c>
      <c r="AX24" s="32">
        <f>SUMIFS(合格品入货记录!$G:$G,合格品入货记录!$A:$A,样品!AX$3,合格品入货记录!$E:$E,样品!$E24)</f>
        <v>0</v>
      </c>
      <c r="AY24" s="32">
        <f>SUMIFS(合格品入货记录!$G:$G,合格品入货记录!$A:$A,样品!AY$3,合格品入货记录!$E:$E,样品!$E24)</f>
        <v>0</v>
      </c>
      <c r="AZ24" s="32">
        <f>SUMIFS(合格品入货记录!$G:$G,合格品入货记录!$A:$A,样品!AZ$3,合格品入货记录!$E:$E,样品!$E24)</f>
        <v>0</v>
      </c>
      <c r="BA24" s="32">
        <f>SUMIFS(合格品入货记录!$G:$G,合格品入货记录!$A:$A,样品!BA$3,合格品入货记录!$E:$E,样品!$E24)</f>
        <v>0</v>
      </c>
      <c r="BB24" s="32">
        <f>SUMIFS(合格品入货记录!$G:$G,合格品入货记录!$A:$A,样品!BB$3,合格品入货记录!$E:$E,样品!$E24)</f>
        <v>0</v>
      </c>
      <c r="BC24" s="32">
        <f>SUMIFS(合格品入货记录!$G:$G,合格品入货记录!$A:$A,样品!BC$3,合格品入货记录!$E:$E,样品!$E24)</f>
        <v>0</v>
      </c>
      <c r="BD24" s="32">
        <f>SUMIFS(合格品入货记录!$G:$G,合格品入货记录!$A:$A,样品!BD$3,合格品入货记录!$E:$E,样品!$E24)</f>
        <v>0</v>
      </c>
      <c r="BE24" s="32">
        <f>SUMIFS(合格品入货记录!$G:$G,合格品入货记录!$A:$A,样品!BE$3,合格品入货记录!$E:$E,样品!$E24)</f>
        <v>0</v>
      </c>
      <c r="BF24" s="32">
        <f>SUMIFS(合格品入货记录!$G:$G,合格品入货记录!$A:$A,样品!BF$3,合格品入货记录!$E:$E,样品!$E24)</f>
        <v>0</v>
      </c>
      <c r="BG24" s="32">
        <f>SUMIFS(合格品入货记录!$G:$G,合格品入货记录!$A:$A,样品!BG$3,合格品入货记录!$E:$E,样品!$E24)</f>
        <v>0</v>
      </c>
      <c r="BH24" s="32">
        <f>SUMIFS(合格品入货记录!$G:$G,合格品入货记录!$A:$A,样品!BH$3,合格品入货记录!$E:$E,样品!$E24)</f>
        <v>0</v>
      </c>
      <c r="BI24" s="32">
        <f>SUMIFS(合格品入货记录!$G:$G,合格品入货记录!$A:$A,样品!BI$3,合格品入货记录!$E:$E,样品!$E24)</f>
        <v>0</v>
      </c>
      <c r="BJ24" s="32">
        <f>SUMIFS(合格品入货记录!$G:$G,合格品入货记录!$A:$A,样品!BJ$3,合格品入货记录!$E:$E,样品!$E24)</f>
        <v>0</v>
      </c>
      <c r="BK24" s="32">
        <f>SUMIFS(合格品入货记录!$G:$G,合格品入货记录!$A:$A,样品!BK$3,合格品入货记录!$E:$E,样品!$E24)</f>
        <v>0</v>
      </c>
      <c r="BL24" s="32">
        <f>SUMIFS(合格品入货记录!$G:$G,合格品入货记录!$A:$A,样品!BL$3,合格品入货记录!$E:$E,样品!$E24)</f>
        <v>0</v>
      </c>
      <c r="BM24" s="32">
        <f>SUMIFS(合格品入货记录!$G:$G,合格品入货记录!$A:$A,样品!BM$3,合格品入货记录!$E:$E,样品!$E24)</f>
        <v>0</v>
      </c>
      <c r="BN24" s="32">
        <f>SUMIFS(合格品入货记录!$G:$G,合格品入货记录!$A:$A,样品!BN$3,合格品入货记录!$E:$E,样品!$E24)</f>
        <v>0</v>
      </c>
      <c r="BO24" s="32">
        <f>SUMIFS(合格品入货记录!$G:$G,合格品入货记录!$A:$A,样品!BO$3,合格品入货记录!$E:$E,样品!$E24)</f>
        <v>0</v>
      </c>
      <c r="BP24" s="32">
        <f>SUMIFS(合格品入货记录!$G:$G,合格品入货记录!$A:$A,样品!BP$3,合格品入货记录!$E:$E,样品!$E24)</f>
        <v>0</v>
      </c>
      <c r="BQ24" s="32">
        <f>SUMIFS(合格品入货记录!$G:$G,合格品入货记录!$A:$A,样品!BQ$3,合格品入货记录!$E:$E,样品!$E24)</f>
        <v>0</v>
      </c>
      <c r="BR24" s="32">
        <f>SUMIFS(合格品入货记录!$G:$G,合格品入货记录!$A:$A,样品!BR$3,合格品入货记录!$E:$E,样品!$E24)</f>
        <v>0</v>
      </c>
      <c r="BS24" s="32">
        <f>SUMIFS(合格品入货记录!$G:$G,合格品入货记录!$A:$A,样品!BS$3,合格品入货记录!$E:$E,样品!$E24)</f>
        <v>0</v>
      </c>
      <c r="BT24" s="32">
        <f>SUMIFS(合格品入货记录!$G:$G,合格品入货记录!$A:$A,样品!BT$3,合格品入货记录!$E:$E,样品!$E24)</f>
        <v>0</v>
      </c>
      <c r="BU24" s="32">
        <f>SUMIFS(合格品入货记录!$G:$G,合格品入货记录!$A:$A,样品!BU$3,合格品入货记录!$E:$E,样品!$E24)</f>
        <v>0</v>
      </c>
      <c r="BV24" s="32">
        <f>SUMIFS(合格品入货记录!$G:$G,合格品入货记录!$A:$A,样品!BV$3,合格品入货记录!$E:$E,样品!$E24)</f>
        <v>0</v>
      </c>
      <c r="BW24" s="32">
        <f>SUMIFS(合格品入货记录!$G:$G,合格品入货记录!$A:$A,样品!BW$3,合格品入货记录!$E:$E,样品!$E24)</f>
        <v>0</v>
      </c>
      <c r="BX24" s="32">
        <f>SUMIFS(合格品入货记录!$G:$G,合格品入货记录!$A:$A,样品!BX$3,合格品入货记录!$E:$E,样品!$E24)</f>
        <v>0</v>
      </c>
      <c r="BY24" s="32">
        <f>SUMIFS(合格品入货记录!$G:$G,合格品入货记录!$A:$A,样品!BY$3,合格品入货记录!$E:$E,样品!$E24)</f>
        <v>0</v>
      </c>
      <c r="BZ24" s="123"/>
      <c r="CA24" s="123"/>
      <c r="CB24" s="125"/>
      <c r="CC24" s="125"/>
    </row>
    <row r="25" s="90" customFormat="1" customHeight="1" spans="1:81">
      <c r="A25" s="31">
        <v>22</v>
      </c>
      <c r="B25" s="102" t="s">
        <v>19</v>
      </c>
      <c r="C25" s="103" t="s">
        <v>20</v>
      </c>
      <c r="D25" s="32" t="s">
        <v>323</v>
      </c>
      <c r="E25" s="32" t="s">
        <v>324</v>
      </c>
      <c r="F25" s="103" t="s">
        <v>325</v>
      </c>
      <c r="G25" s="32"/>
      <c r="H25" s="32">
        <v>0</v>
      </c>
      <c r="I25" s="112">
        <f>SUMIF(合格品入货记录!E:E,样品!E25,合格品入货记录!G:G)</f>
        <v>0</v>
      </c>
      <c r="J25" s="112">
        <f>SUMIF(合格品出库记录!E:E,样品!E25,合格品出库记录!G:G)</f>
        <v>0</v>
      </c>
      <c r="K25" s="102">
        <f t="shared" si="0"/>
        <v>0</v>
      </c>
      <c r="L25" s="102">
        <f>SUMIF(不良品库存!D:D,E25:E59,不良品库存!F:F)</f>
        <v>0</v>
      </c>
      <c r="M25" s="113">
        <f t="shared" si="1"/>
        <v>0</v>
      </c>
      <c r="N25" s="102"/>
      <c r="O25" s="102"/>
      <c r="P25" s="32">
        <f>IFERROR(SUMIFS(合格品入货记录!$G:$G,合格品入货记录!$A:$A,样品!P$3,合格品入货记录!$E:$E,样品!$E25)," ")</f>
        <v>0</v>
      </c>
      <c r="Q25" s="32">
        <f>SUMIFS(合格品入货记录!$G:$G,合格品入货记录!$A:$A,样品!Q$3,合格品入货记录!$E:$E,样品!$E25)</f>
        <v>0</v>
      </c>
      <c r="R25" s="32">
        <f>SUMIFS(合格品入货记录!$G:$G,合格品入货记录!$A:$A,样品!R$3,合格品入货记录!$E:$E,样品!$E25)</f>
        <v>0</v>
      </c>
      <c r="S25" s="32">
        <f>SUMIFS(合格品入货记录!$G:$G,合格品入货记录!$A:$A,样品!S$3,合格品入货记录!$E:$E,样品!$E25)</f>
        <v>0</v>
      </c>
      <c r="T25" s="32">
        <f>SUMIFS(合格品入货记录!$G:$G,合格品入货记录!$A:$A,样品!T$3,合格品入货记录!$E:$E,样品!$E25)</f>
        <v>0</v>
      </c>
      <c r="U25" s="32">
        <f>SUMIFS(合格品入货记录!$G:$G,合格品入货记录!$A:$A,样品!U$3,合格品入货记录!$E:$E,样品!$E25)</f>
        <v>0</v>
      </c>
      <c r="V25" s="32">
        <f>SUMIFS(合格品入货记录!$G:$G,合格品入货记录!$A:$A,样品!V$3,合格品入货记录!$E:$E,样品!$E25)</f>
        <v>0</v>
      </c>
      <c r="W25" s="32">
        <f>SUMIFS(合格品入货记录!$G:$G,合格品入货记录!$A:$A,样品!W$3,合格品入货记录!$E:$E,样品!$E25)</f>
        <v>0</v>
      </c>
      <c r="X25" s="32">
        <f>SUMIFS(合格品入货记录!$G:$G,合格品入货记录!$A:$A,样品!X$3,合格品入货记录!$E:$E,样品!$E25)</f>
        <v>0</v>
      </c>
      <c r="Y25" s="32">
        <f>SUMIFS(合格品入货记录!$G:$G,合格品入货记录!$A:$A,样品!Y$3,合格品入货记录!$E:$E,样品!$E25)</f>
        <v>0</v>
      </c>
      <c r="Z25" s="32">
        <f>SUMIFS(合格品入货记录!$G:$G,合格品入货记录!$A:$A,样品!Z$3,合格品入货记录!$E:$E,样品!$E25)</f>
        <v>0</v>
      </c>
      <c r="AA25" s="32">
        <f>SUMIFS(合格品入货记录!$G:$G,合格品入货记录!$A:$A,样品!AA$3,合格品入货记录!$E:$E,样品!$E25)</f>
        <v>0</v>
      </c>
      <c r="AB25" s="32">
        <f>SUMIFS(合格品入货记录!$G:$G,合格品入货记录!$A:$A,样品!AB$3,合格品入货记录!$E:$E,样品!$E25)</f>
        <v>0</v>
      </c>
      <c r="AC25" s="32">
        <f>SUMIFS(合格品入货记录!$G:$G,合格品入货记录!$A:$A,样品!AC$3,合格品入货记录!$E:$E,样品!$E25)</f>
        <v>0</v>
      </c>
      <c r="AD25" s="32">
        <f>SUMIFS(合格品入货记录!$G:$G,合格品入货记录!$A:$A,样品!AD$3,合格品入货记录!$E:$E,样品!$E25)</f>
        <v>0</v>
      </c>
      <c r="AE25" s="32">
        <f>SUMIFS(合格品入货记录!$G:$G,合格品入货记录!$A:$A,样品!AE$3,合格品入货记录!$E:$E,样品!$E25)</f>
        <v>0</v>
      </c>
      <c r="AF25" s="32">
        <f>SUMIFS(合格品入货记录!$G:$G,合格品入货记录!$A:$A,样品!AF$3,合格品入货记录!$E:$E,样品!$E25)</f>
        <v>0</v>
      </c>
      <c r="AG25" s="32">
        <f>SUMIFS(合格品入货记录!$G:$G,合格品入货记录!$A:$A,样品!AG$3,合格品入货记录!$E:$E,样品!$E25)</f>
        <v>0</v>
      </c>
      <c r="AH25" s="32">
        <f>SUMIFS(合格品入货记录!$G:$G,合格品入货记录!$A:$A,样品!AH$3,合格品入货记录!$E:$E,样品!$E25)</f>
        <v>0</v>
      </c>
      <c r="AI25" s="32">
        <f>SUMIFS(合格品入货记录!$G:$G,合格品入货记录!$A:$A,样品!AI$3,合格品入货记录!$E:$E,样品!$E25)</f>
        <v>0</v>
      </c>
      <c r="AJ25" s="32">
        <f>SUMIFS(合格品入货记录!$G:$G,合格品入货记录!$A:$A,样品!AJ$3,合格品入货记录!$E:$E,样品!$E25)</f>
        <v>0</v>
      </c>
      <c r="AK25" s="32">
        <f>SUMIFS(合格品入货记录!$G:$G,合格品入货记录!$A:$A,样品!AK$3,合格品入货记录!$E:$E,样品!$E25)</f>
        <v>0</v>
      </c>
      <c r="AL25" s="32">
        <f>SUMIFS(合格品入货记录!$G:$G,合格品入货记录!$A:$A,样品!AL$3,合格品入货记录!$E:$E,样品!$E25)</f>
        <v>0</v>
      </c>
      <c r="AM25" s="32">
        <f>SUMIFS(合格品入货记录!$G:$G,合格品入货记录!$A:$A,样品!AM$3,合格品入货记录!$E:$E,样品!$E25)</f>
        <v>0</v>
      </c>
      <c r="AN25" s="32">
        <f>SUMIFS(合格品入货记录!$G:$G,合格品入货记录!$A:$A,样品!AN$3,合格品入货记录!$E:$E,样品!$E25)</f>
        <v>0</v>
      </c>
      <c r="AO25" s="32">
        <f>SUMIFS(合格品入货记录!$G:$G,合格品入货记录!$A:$A,样品!AO$3,合格品入货记录!$E:$E,样品!$E25)</f>
        <v>0</v>
      </c>
      <c r="AP25" s="32">
        <f>SUMIFS(合格品入货记录!$G:$G,合格品入货记录!$A:$A,样品!AP$3,合格品入货记录!$E:$E,样品!$E25)</f>
        <v>0</v>
      </c>
      <c r="AQ25" s="32">
        <f>SUMIFS(合格品入货记录!$G:$G,合格品入货记录!$A:$A,样品!AQ$3,合格品入货记录!$E:$E,样品!$E25)</f>
        <v>0</v>
      </c>
      <c r="AR25" s="32">
        <f>SUMIFS(合格品入货记录!$G:$G,合格品入货记录!$A:$A,样品!AR$3,合格品入货记录!$E:$E,样品!$E25)</f>
        <v>0</v>
      </c>
      <c r="AS25" s="32">
        <f>SUMIFS(合格品入货记录!$G:$G,合格品入货记录!$A:$A,样品!AS$3,合格品入货记录!$E:$E,样品!$E25)</f>
        <v>0</v>
      </c>
      <c r="AT25" s="32">
        <f>SUMIFS(合格品入货记录!$G:$G,合格品入货记录!$A:$A,样品!AT$3,合格品入货记录!$E:$E,样品!$E25)</f>
        <v>0</v>
      </c>
      <c r="AU25" s="32">
        <f>SUMIFS(合格品入货记录!$G:$G,合格品入货记录!$A:$A,样品!AU$3,合格品入货记录!$E:$E,样品!$E25)</f>
        <v>0</v>
      </c>
      <c r="AV25" s="32">
        <f>SUMIFS(合格品入货记录!$G:$G,合格品入货记录!$A:$A,样品!AV$3,合格品入货记录!$E:$E,样品!$E25)</f>
        <v>0</v>
      </c>
      <c r="AW25" s="32">
        <f>SUMIFS(合格品入货记录!$G:$G,合格品入货记录!$A:$A,样品!AW$3,合格品入货记录!$E:$E,样品!$E25)</f>
        <v>0</v>
      </c>
      <c r="AX25" s="32">
        <f>SUMIFS(合格品入货记录!$G:$G,合格品入货记录!$A:$A,样品!AX$3,合格品入货记录!$E:$E,样品!$E25)</f>
        <v>0</v>
      </c>
      <c r="AY25" s="32">
        <f>SUMIFS(合格品入货记录!$G:$G,合格品入货记录!$A:$A,样品!AY$3,合格品入货记录!$E:$E,样品!$E25)</f>
        <v>0</v>
      </c>
      <c r="AZ25" s="32">
        <f>SUMIFS(合格品入货记录!$G:$G,合格品入货记录!$A:$A,样品!AZ$3,合格品入货记录!$E:$E,样品!$E25)</f>
        <v>0</v>
      </c>
      <c r="BA25" s="32">
        <f>SUMIFS(合格品入货记录!$G:$G,合格品入货记录!$A:$A,样品!BA$3,合格品入货记录!$E:$E,样品!$E25)</f>
        <v>0</v>
      </c>
      <c r="BB25" s="32">
        <f>SUMIFS(合格品入货记录!$G:$G,合格品入货记录!$A:$A,样品!BB$3,合格品入货记录!$E:$E,样品!$E25)</f>
        <v>0</v>
      </c>
      <c r="BC25" s="32">
        <f>SUMIFS(合格品入货记录!$G:$G,合格品入货记录!$A:$A,样品!BC$3,合格品入货记录!$E:$E,样品!$E25)</f>
        <v>0</v>
      </c>
      <c r="BD25" s="32">
        <f>SUMIFS(合格品入货记录!$G:$G,合格品入货记录!$A:$A,样品!BD$3,合格品入货记录!$E:$E,样品!$E25)</f>
        <v>0</v>
      </c>
      <c r="BE25" s="32">
        <f>SUMIFS(合格品入货记录!$G:$G,合格品入货记录!$A:$A,样品!BE$3,合格品入货记录!$E:$E,样品!$E25)</f>
        <v>0</v>
      </c>
      <c r="BF25" s="32">
        <f>SUMIFS(合格品入货记录!$G:$G,合格品入货记录!$A:$A,样品!BF$3,合格品入货记录!$E:$E,样品!$E25)</f>
        <v>0</v>
      </c>
      <c r="BG25" s="32">
        <f>SUMIFS(合格品入货记录!$G:$G,合格品入货记录!$A:$A,样品!BG$3,合格品入货记录!$E:$E,样品!$E25)</f>
        <v>0</v>
      </c>
      <c r="BH25" s="32">
        <f>SUMIFS(合格品入货记录!$G:$G,合格品入货记录!$A:$A,样品!BH$3,合格品入货记录!$E:$E,样品!$E25)</f>
        <v>0</v>
      </c>
      <c r="BI25" s="32">
        <f>SUMIFS(合格品入货记录!$G:$G,合格品入货记录!$A:$A,样品!BI$3,合格品入货记录!$E:$E,样品!$E25)</f>
        <v>0</v>
      </c>
      <c r="BJ25" s="32">
        <f>SUMIFS(合格品入货记录!$G:$G,合格品入货记录!$A:$A,样品!BJ$3,合格品入货记录!$E:$E,样品!$E25)</f>
        <v>0</v>
      </c>
      <c r="BK25" s="32">
        <f>SUMIFS(合格品入货记录!$G:$G,合格品入货记录!$A:$A,样品!BK$3,合格品入货记录!$E:$E,样品!$E25)</f>
        <v>0</v>
      </c>
      <c r="BL25" s="32">
        <f>SUMIFS(合格品入货记录!$G:$G,合格品入货记录!$A:$A,样品!BL$3,合格品入货记录!$E:$E,样品!$E25)</f>
        <v>0</v>
      </c>
      <c r="BM25" s="32">
        <f>SUMIFS(合格品入货记录!$G:$G,合格品入货记录!$A:$A,样品!BM$3,合格品入货记录!$E:$E,样品!$E25)</f>
        <v>0</v>
      </c>
      <c r="BN25" s="32">
        <f>SUMIFS(合格品入货记录!$G:$G,合格品入货记录!$A:$A,样品!BN$3,合格品入货记录!$E:$E,样品!$E25)</f>
        <v>0</v>
      </c>
      <c r="BO25" s="32">
        <f>SUMIFS(合格品入货记录!$G:$G,合格品入货记录!$A:$A,样品!BO$3,合格品入货记录!$E:$E,样品!$E25)</f>
        <v>0</v>
      </c>
      <c r="BP25" s="32">
        <f>SUMIFS(合格品入货记录!$G:$G,合格品入货记录!$A:$A,样品!BP$3,合格品入货记录!$E:$E,样品!$E25)</f>
        <v>0</v>
      </c>
      <c r="BQ25" s="32">
        <f>SUMIFS(合格品入货记录!$G:$G,合格品入货记录!$A:$A,样品!BQ$3,合格品入货记录!$E:$E,样品!$E25)</f>
        <v>0</v>
      </c>
      <c r="BR25" s="32">
        <f>SUMIFS(合格品入货记录!$G:$G,合格品入货记录!$A:$A,样品!BR$3,合格品入货记录!$E:$E,样品!$E25)</f>
        <v>0</v>
      </c>
      <c r="BS25" s="32">
        <f>SUMIFS(合格品入货记录!$G:$G,合格品入货记录!$A:$A,样品!BS$3,合格品入货记录!$E:$E,样品!$E25)</f>
        <v>0</v>
      </c>
      <c r="BT25" s="32">
        <f>SUMIFS(合格品入货记录!$G:$G,合格品入货记录!$A:$A,样品!BT$3,合格品入货记录!$E:$E,样品!$E25)</f>
        <v>0</v>
      </c>
      <c r="BU25" s="32">
        <f>SUMIFS(合格品入货记录!$G:$G,合格品入货记录!$A:$A,样品!BU$3,合格品入货记录!$E:$E,样品!$E25)</f>
        <v>0</v>
      </c>
      <c r="BV25" s="32">
        <f>SUMIFS(合格品入货记录!$G:$G,合格品入货记录!$A:$A,样品!BV$3,合格品入货记录!$E:$E,样品!$E25)</f>
        <v>0</v>
      </c>
      <c r="BW25" s="32">
        <f>SUMIFS(合格品入货记录!$G:$G,合格品入货记录!$A:$A,样品!BW$3,合格品入货记录!$E:$E,样品!$E25)</f>
        <v>0</v>
      </c>
      <c r="BX25" s="32">
        <f>SUMIFS(合格品入货记录!$G:$G,合格品入货记录!$A:$A,样品!BX$3,合格品入货记录!$E:$E,样品!$E25)</f>
        <v>0</v>
      </c>
      <c r="BY25" s="32">
        <f>SUMIFS(合格品入货记录!$G:$G,合格品入货记录!$A:$A,样品!BY$3,合格品入货记录!$E:$E,样品!$E25)</f>
        <v>0</v>
      </c>
      <c r="BZ25" s="123"/>
      <c r="CA25" s="123"/>
      <c r="CB25" s="125"/>
      <c r="CC25" s="125"/>
    </row>
    <row r="26" s="90" customFormat="1" customHeight="1" spans="1:81">
      <c r="A26" s="31">
        <v>23</v>
      </c>
      <c r="B26" s="104" t="s">
        <v>19</v>
      </c>
      <c r="C26" s="105" t="s">
        <v>20</v>
      </c>
      <c r="D26" s="32" t="s">
        <v>326</v>
      </c>
      <c r="E26" s="31" t="s">
        <v>327</v>
      </c>
      <c r="F26" s="105" t="s">
        <v>328</v>
      </c>
      <c r="G26" s="31"/>
      <c r="H26" s="31">
        <v>0</v>
      </c>
      <c r="I26" s="106">
        <f>SUMIF(合格品入货记录!E:E,样品!E26,合格品入货记录!G:G)</f>
        <v>0</v>
      </c>
      <c r="J26" s="106">
        <f>SUMIF(合格品出库记录!E:E,样品!E26,合格品出库记录!G:G)</f>
        <v>0</v>
      </c>
      <c r="K26" s="102">
        <f t="shared" si="0"/>
        <v>0</v>
      </c>
      <c r="L26" s="102">
        <f>SUMIF(不良品库存!D:D,E26:E60,不良品库存!F:F)</f>
        <v>0</v>
      </c>
      <c r="M26" s="113">
        <f t="shared" si="1"/>
        <v>0</v>
      </c>
      <c r="N26" s="31"/>
      <c r="O26" s="104"/>
      <c r="P26" s="32">
        <f>IFERROR(SUMIFS(合格品入货记录!$G:$G,合格品入货记录!$A:$A,样品!P$3,合格品入货记录!$E:$E,样品!$E26)," ")</f>
        <v>0</v>
      </c>
      <c r="Q26" s="32">
        <f>SUMIFS(合格品入货记录!$G:$G,合格品入货记录!$A:$A,样品!Q$3,合格品入货记录!$E:$E,样品!$E26)</f>
        <v>0</v>
      </c>
      <c r="R26" s="32">
        <f>SUMIFS(合格品入货记录!$G:$G,合格品入货记录!$A:$A,样品!R$3,合格品入货记录!$E:$E,样品!$E26)</f>
        <v>0</v>
      </c>
      <c r="S26" s="32">
        <f>SUMIFS(合格品入货记录!$G:$G,合格品入货记录!$A:$A,样品!S$3,合格品入货记录!$E:$E,样品!$E26)</f>
        <v>0</v>
      </c>
      <c r="T26" s="32">
        <f>SUMIFS(合格品入货记录!$G:$G,合格品入货记录!$A:$A,样品!T$3,合格品入货记录!$E:$E,样品!$E26)</f>
        <v>0</v>
      </c>
      <c r="U26" s="32">
        <f>SUMIFS(合格品入货记录!$G:$G,合格品入货记录!$A:$A,样品!U$3,合格品入货记录!$E:$E,样品!$E26)</f>
        <v>0</v>
      </c>
      <c r="V26" s="32">
        <f>SUMIFS(合格品入货记录!$G:$G,合格品入货记录!$A:$A,样品!V$3,合格品入货记录!$E:$E,样品!$E26)</f>
        <v>0</v>
      </c>
      <c r="W26" s="32">
        <f>SUMIFS(合格品入货记录!$G:$G,合格品入货记录!$A:$A,样品!W$3,合格品入货记录!$E:$E,样品!$E26)</f>
        <v>0</v>
      </c>
      <c r="X26" s="32">
        <f>SUMIFS(合格品入货记录!$G:$G,合格品入货记录!$A:$A,样品!X$3,合格品入货记录!$E:$E,样品!$E26)</f>
        <v>0</v>
      </c>
      <c r="Y26" s="32">
        <f>SUMIFS(合格品入货记录!$G:$G,合格品入货记录!$A:$A,样品!Y$3,合格品入货记录!$E:$E,样品!$E26)</f>
        <v>0</v>
      </c>
      <c r="Z26" s="32">
        <f>SUMIFS(合格品入货记录!$G:$G,合格品入货记录!$A:$A,样品!Z$3,合格品入货记录!$E:$E,样品!$E26)</f>
        <v>0</v>
      </c>
      <c r="AA26" s="32">
        <f>SUMIFS(合格品入货记录!$G:$G,合格品入货记录!$A:$A,样品!AA$3,合格品入货记录!$E:$E,样品!$E26)</f>
        <v>0</v>
      </c>
      <c r="AB26" s="32">
        <f>SUMIFS(合格品入货记录!$G:$G,合格品入货记录!$A:$A,样品!AB$3,合格品入货记录!$E:$E,样品!$E26)</f>
        <v>0</v>
      </c>
      <c r="AC26" s="32">
        <f>SUMIFS(合格品入货记录!$G:$G,合格品入货记录!$A:$A,样品!AC$3,合格品入货记录!$E:$E,样品!$E26)</f>
        <v>0</v>
      </c>
      <c r="AD26" s="32">
        <f>SUMIFS(合格品入货记录!$G:$G,合格品入货记录!$A:$A,样品!AD$3,合格品入货记录!$E:$E,样品!$E26)</f>
        <v>0</v>
      </c>
      <c r="AE26" s="32">
        <f>SUMIFS(合格品入货记录!$G:$G,合格品入货记录!$A:$A,样品!AE$3,合格品入货记录!$E:$E,样品!$E26)</f>
        <v>0</v>
      </c>
      <c r="AF26" s="32">
        <f>SUMIFS(合格品入货记录!$G:$G,合格品入货记录!$A:$A,样品!AF$3,合格品入货记录!$E:$E,样品!$E26)</f>
        <v>0</v>
      </c>
      <c r="AG26" s="32">
        <f>SUMIFS(合格品入货记录!$G:$G,合格品入货记录!$A:$A,样品!AG$3,合格品入货记录!$E:$E,样品!$E26)</f>
        <v>0</v>
      </c>
      <c r="AH26" s="32">
        <f>SUMIFS(合格品入货记录!$G:$G,合格品入货记录!$A:$A,样品!AH$3,合格品入货记录!$E:$E,样品!$E26)</f>
        <v>0</v>
      </c>
      <c r="AI26" s="32">
        <f>SUMIFS(合格品入货记录!$G:$G,合格品入货记录!$A:$A,样品!AI$3,合格品入货记录!$E:$E,样品!$E26)</f>
        <v>0</v>
      </c>
      <c r="AJ26" s="32">
        <f>SUMIFS(合格品入货记录!$G:$G,合格品入货记录!$A:$A,样品!AJ$3,合格品入货记录!$E:$E,样品!$E26)</f>
        <v>0</v>
      </c>
      <c r="AK26" s="32">
        <f>SUMIFS(合格品入货记录!$G:$G,合格品入货记录!$A:$A,样品!AK$3,合格品入货记录!$E:$E,样品!$E26)</f>
        <v>0</v>
      </c>
      <c r="AL26" s="32">
        <f>SUMIFS(合格品入货记录!$G:$G,合格品入货记录!$A:$A,样品!AL$3,合格品入货记录!$E:$E,样品!$E26)</f>
        <v>0</v>
      </c>
      <c r="AM26" s="32">
        <f>SUMIFS(合格品入货记录!$G:$G,合格品入货记录!$A:$A,样品!AM$3,合格品入货记录!$E:$E,样品!$E26)</f>
        <v>0</v>
      </c>
      <c r="AN26" s="32">
        <f>SUMIFS(合格品入货记录!$G:$G,合格品入货记录!$A:$A,样品!AN$3,合格品入货记录!$E:$E,样品!$E26)</f>
        <v>0</v>
      </c>
      <c r="AO26" s="32">
        <f>SUMIFS(合格品入货记录!$G:$G,合格品入货记录!$A:$A,样品!AO$3,合格品入货记录!$E:$E,样品!$E26)</f>
        <v>0</v>
      </c>
      <c r="AP26" s="32">
        <f>SUMIFS(合格品入货记录!$G:$G,合格品入货记录!$A:$A,样品!AP$3,合格品入货记录!$E:$E,样品!$E26)</f>
        <v>0</v>
      </c>
      <c r="AQ26" s="32">
        <f>SUMIFS(合格品入货记录!$G:$G,合格品入货记录!$A:$A,样品!AQ$3,合格品入货记录!$E:$E,样品!$E26)</f>
        <v>0</v>
      </c>
      <c r="AR26" s="32">
        <f>SUMIFS(合格品入货记录!$G:$G,合格品入货记录!$A:$A,样品!AR$3,合格品入货记录!$E:$E,样品!$E26)</f>
        <v>0</v>
      </c>
      <c r="AS26" s="32">
        <f>SUMIFS(合格品入货记录!$G:$G,合格品入货记录!$A:$A,样品!AS$3,合格品入货记录!$E:$E,样品!$E26)</f>
        <v>0</v>
      </c>
      <c r="AT26" s="32">
        <f>SUMIFS(合格品入货记录!$G:$G,合格品入货记录!$A:$A,样品!AT$3,合格品入货记录!$E:$E,样品!$E26)</f>
        <v>0</v>
      </c>
      <c r="AU26" s="32">
        <f>SUMIFS(合格品入货记录!$G:$G,合格品入货记录!$A:$A,样品!AU$3,合格品入货记录!$E:$E,样品!$E26)</f>
        <v>0</v>
      </c>
      <c r="AV26" s="32">
        <f>SUMIFS(合格品入货记录!$G:$G,合格品入货记录!$A:$A,样品!AV$3,合格品入货记录!$E:$E,样品!$E26)</f>
        <v>0</v>
      </c>
      <c r="AW26" s="32">
        <f>SUMIFS(合格品入货记录!$G:$G,合格品入货记录!$A:$A,样品!AW$3,合格品入货记录!$E:$E,样品!$E26)</f>
        <v>0</v>
      </c>
      <c r="AX26" s="32">
        <f>SUMIFS(合格品入货记录!$G:$G,合格品入货记录!$A:$A,样品!AX$3,合格品入货记录!$E:$E,样品!$E26)</f>
        <v>0</v>
      </c>
      <c r="AY26" s="32">
        <f>SUMIFS(合格品入货记录!$G:$G,合格品入货记录!$A:$A,样品!AY$3,合格品入货记录!$E:$E,样品!$E26)</f>
        <v>0</v>
      </c>
      <c r="AZ26" s="32">
        <f>SUMIFS(合格品入货记录!$G:$G,合格品入货记录!$A:$A,样品!AZ$3,合格品入货记录!$E:$E,样品!$E26)</f>
        <v>0</v>
      </c>
      <c r="BA26" s="32">
        <f>SUMIFS(合格品入货记录!$G:$G,合格品入货记录!$A:$A,样品!BA$3,合格品入货记录!$E:$E,样品!$E26)</f>
        <v>0</v>
      </c>
      <c r="BB26" s="32">
        <f>SUMIFS(合格品入货记录!$G:$G,合格品入货记录!$A:$A,样品!BB$3,合格品入货记录!$E:$E,样品!$E26)</f>
        <v>0</v>
      </c>
      <c r="BC26" s="32">
        <f>SUMIFS(合格品入货记录!$G:$G,合格品入货记录!$A:$A,样品!BC$3,合格品入货记录!$E:$E,样品!$E26)</f>
        <v>0</v>
      </c>
      <c r="BD26" s="32">
        <f>SUMIFS(合格品入货记录!$G:$G,合格品入货记录!$A:$A,样品!BD$3,合格品入货记录!$E:$E,样品!$E26)</f>
        <v>0</v>
      </c>
      <c r="BE26" s="32">
        <f>SUMIFS(合格品入货记录!$G:$G,合格品入货记录!$A:$A,样品!BE$3,合格品入货记录!$E:$E,样品!$E26)</f>
        <v>0</v>
      </c>
      <c r="BF26" s="32">
        <f>SUMIFS(合格品入货记录!$G:$G,合格品入货记录!$A:$A,样品!BF$3,合格品入货记录!$E:$E,样品!$E26)</f>
        <v>0</v>
      </c>
      <c r="BG26" s="32">
        <f>SUMIFS(合格品入货记录!$G:$G,合格品入货记录!$A:$A,样品!BG$3,合格品入货记录!$E:$E,样品!$E26)</f>
        <v>0</v>
      </c>
      <c r="BH26" s="32">
        <f>SUMIFS(合格品入货记录!$G:$G,合格品入货记录!$A:$A,样品!BH$3,合格品入货记录!$E:$E,样品!$E26)</f>
        <v>0</v>
      </c>
      <c r="BI26" s="32">
        <f>SUMIFS(合格品入货记录!$G:$G,合格品入货记录!$A:$A,样品!BI$3,合格品入货记录!$E:$E,样品!$E26)</f>
        <v>0</v>
      </c>
      <c r="BJ26" s="32">
        <f>SUMIFS(合格品入货记录!$G:$G,合格品入货记录!$A:$A,样品!BJ$3,合格品入货记录!$E:$E,样品!$E26)</f>
        <v>0</v>
      </c>
      <c r="BK26" s="32">
        <f>SUMIFS(合格品入货记录!$G:$G,合格品入货记录!$A:$A,样品!BK$3,合格品入货记录!$E:$E,样品!$E26)</f>
        <v>0</v>
      </c>
      <c r="BL26" s="32">
        <f>SUMIFS(合格品入货记录!$G:$G,合格品入货记录!$A:$A,样品!BL$3,合格品入货记录!$E:$E,样品!$E26)</f>
        <v>0</v>
      </c>
      <c r="BM26" s="32">
        <f>SUMIFS(合格品入货记录!$G:$G,合格品入货记录!$A:$A,样品!BM$3,合格品入货记录!$E:$E,样品!$E26)</f>
        <v>0</v>
      </c>
      <c r="BN26" s="32">
        <f>SUMIFS(合格品入货记录!$G:$G,合格品入货记录!$A:$A,样品!BN$3,合格品入货记录!$E:$E,样品!$E26)</f>
        <v>0</v>
      </c>
      <c r="BO26" s="32">
        <f>SUMIFS(合格品入货记录!$G:$G,合格品入货记录!$A:$A,样品!BO$3,合格品入货记录!$E:$E,样品!$E26)</f>
        <v>0</v>
      </c>
      <c r="BP26" s="32">
        <f>SUMIFS(合格品入货记录!$G:$G,合格品入货记录!$A:$A,样品!BP$3,合格品入货记录!$E:$E,样品!$E26)</f>
        <v>0</v>
      </c>
      <c r="BQ26" s="32">
        <f>SUMIFS(合格品入货记录!$G:$G,合格品入货记录!$A:$A,样品!BQ$3,合格品入货记录!$E:$E,样品!$E26)</f>
        <v>0</v>
      </c>
      <c r="BR26" s="32">
        <f>SUMIFS(合格品入货记录!$G:$G,合格品入货记录!$A:$A,样品!BR$3,合格品入货记录!$E:$E,样品!$E26)</f>
        <v>0</v>
      </c>
      <c r="BS26" s="32">
        <f>SUMIFS(合格品入货记录!$G:$G,合格品入货记录!$A:$A,样品!BS$3,合格品入货记录!$E:$E,样品!$E26)</f>
        <v>0</v>
      </c>
      <c r="BT26" s="32">
        <f>SUMIFS(合格品入货记录!$G:$G,合格品入货记录!$A:$A,样品!BT$3,合格品入货记录!$E:$E,样品!$E26)</f>
        <v>0</v>
      </c>
      <c r="BU26" s="32">
        <f>SUMIFS(合格品入货记录!$G:$G,合格品入货记录!$A:$A,样品!BU$3,合格品入货记录!$E:$E,样品!$E26)</f>
        <v>0</v>
      </c>
      <c r="BV26" s="32">
        <f>SUMIFS(合格品入货记录!$G:$G,合格品入货记录!$A:$A,样品!BV$3,合格品入货记录!$E:$E,样品!$E26)</f>
        <v>0</v>
      </c>
      <c r="BW26" s="32">
        <f>SUMIFS(合格品入货记录!$G:$G,合格品入货记录!$A:$A,样品!BW$3,合格品入货记录!$E:$E,样品!$E26)</f>
        <v>0</v>
      </c>
      <c r="BX26" s="32">
        <f>SUMIFS(合格品入货记录!$G:$G,合格品入货记录!$A:$A,样品!BX$3,合格品入货记录!$E:$E,样品!$E26)</f>
        <v>0</v>
      </c>
      <c r="BY26" s="32">
        <f>SUMIFS(合格品入货记录!$G:$G,合格品入货记录!$A:$A,样品!BY$3,合格品入货记录!$E:$E,样品!$E26)</f>
        <v>0</v>
      </c>
      <c r="BZ26" s="124"/>
      <c r="CA26" s="124"/>
      <c r="CB26" s="125"/>
      <c r="CC26" s="125"/>
    </row>
    <row r="27" s="90" customFormat="1" customHeight="1" spans="1:81">
      <c r="A27" s="31">
        <v>24</v>
      </c>
      <c r="B27" s="102" t="s">
        <v>19</v>
      </c>
      <c r="C27" s="103" t="s">
        <v>20</v>
      </c>
      <c r="D27" s="32" t="s">
        <v>329</v>
      </c>
      <c r="E27" s="32" t="s">
        <v>330</v>
      </c>
      <c r="F27" s="103" t="s">
        <v>331</v>
      </c>
      <c r="G27" s="32"/>
      <c r="H27" s="32">
        <v>0</v>
      </c>
      <c r="I27" s="112">
        <f>SUMIF(合格品入货记录!E:E,样品!E27,合格品入货记录!G:G)</f>
        <v>0</v>
      </c>
      <c r="J27" s="112">
        <f>SUMIF(合格品出库记录!E:E,样品!E27,合格品出库记录!G:G)</f>
        <v>0</v>
      </c>
      <c r="K27" s="102">
        <f t="shared" si="0"/>
        <v>0</v>
      </c>
      <c r="L27" s="102">
        <f>SUMIF(不良品库存!D:D,E27:E61,不良品库存!F:F)</f>
        <v>0</v>
      </c>
      <c r="M27" s="113">
        <f t="shared" si="1"/>
        <v>0</v>
      </c>
      <c r="N27" s="102"/>
      <c r="O27" s="102"/>
      <c r="P27" s="32">
        <f>IFERROR(SUMIFS(合格品入货记录!$G:$G,合格品入货记录!$A:$A,样品!P$3,合格品入货记录!$E:$E,样品!$E27)," ")</f>
        <v>0</v>
      </c>
      <c r="Q27" s="32">
        <f>SUMIFS(合格品入货记录!$G:$G,合格品入货记录!$A:$A,样品!Q$3,合格品入货记录!$E:$E,样品!$E27)</f>
        <v>0</v>
      </c>
      <c r="R27" s="32">
        <f>SUMIFS(合格品入货记录!$G:$G,合格品入货记录!$A:$A,样品!R$3,合格品入货记录!$E:$E,样品!$E27)</f>
        <v>0</v>
      </c>
      <c r="S27" s="32">
        <f>SUMIFS(合格品入货记录!$G:$G,合格品入货记录!$A:$A,样品!S$3,合格品入货记录!$E:$E,样品!$E27)</f>
        <v>0</v>
      </c>
      <c r="T27" s="32">
        <f>SUMIFS(合格品入货记录!$G:$G,合格品入货记录!$A:$A,样品!T$3,合格品入货记录!$E:$E,样品!$E27)</f>
        <v>0</v>
      </c>
      <c r="U27" s="32">
        <f>SUMIFS(合格品入货记录!$G:$G,合格品入货记录!$A:$A,样品!U$3,合格品入货记录!$E:$E,样品!$E27)</f>
        <v>0</v>
      </c>
      <c r="V27" s="32">
        <f>SUMIFS(合格品入货记录!$G:$G,合格品入货记录!$A:$A,样品!V$3,合格品入货记录!$E:$E,样品!$E27)</f>
        <v>0</v>
      </c>
      <c r="W27" s="32">
        <f>SUMIFS(合格品入货记录!$G:$G,合格品入货记录!$A:$A,样品!W$3,合格品入货记录!$E:$E,样品!$E27)</f>
        <v>0</v>
      </c>
      <c r="X27" s="32">
        <f>SUMIFS(合格品入货记录!$G:$G,合格品入货记录!$A:$A,样品!X$3,合格品入货记录!$E:$E,样品!$E27)</f>
        <v>0</v>
      </c>
      <c r="Y27" s="32">
        <f>SUMIFS(合格品入货记录!$G:$G,合格品入货记录!$A:$A,样品!Y$3,合格品入货记录!$E:$E,样品!$E27)</f>
        <v>0</v>
      </c>
      <c r="Z27" s="32">
        <f>SUMIFS(合格品入货记录!$G:$G,合格品入货记录!$A:$A,样品!Z$3,合格品入货记录!$E:$E,样品!$E27)</f>
        <v>0</v>
      </c>
      <c r="AA27" s="32">
        <f>SUMIFS(合格品入货记录!$G:$G,合格品入货记录!$A:$A,样品!AA$3,合格品入货记录!$E:$E,样品!$E27)</f>
        <v>0</v>
      </c>
      <c r="AB27" s="32">
        <f>SUMIFS(合格品入货记录!$G:$G,合格品入货记录!$A:$A,样品!AB$3,合格品入货记录!$E:$E,样品!$E27)</f>
        <v>0</v>
      </c>
      <c r="AC27" s="32">
        <f>SUMIFS(合格品入货记录!$G:$G,合格品入货记录!$A:$A,样品!AC$3,合格品入货记录!$E:$E,样品!$E27)</f>
        <v>0</v>
      </c>
      <c r="AD27" s="32">
        <f>SUMIFS(合格品入货记录!$G:$G,合格品入货记录!$A:$A,样品!AD$3,合格品入货记录!$E:$E,样品!$E27)</f>
        <v>0</v>
      </c>
      <c r="AE27" s="32">
        <f>SUMIFS(合格品入货记录!$G:$G,合格品入货记录!$A:$A,样品!AE$3,合格品入货记录!$E:$E,样品!$E27)</f>
        <v>0</v>
      </c>
      <c r="AF27" s="32">
        <f>SUMIFS(合格品入货记录!$G:$G,合格品入货记录!$A:$A,样品!AF$3,合格品入货记录!$E:$E,样品!$E27)</f>
        <v>0</v>
      </c>
      <c r="AG27" s="32">
        <f>SUMIFS(合格品入货记录!$G:$G,合格品入货记录!$A:$A,样品!AG$3,合格品入货记录!$E:$E,样品!$E27)</f>
        <v>0</v>
      </c>
      <c r="AH27" s="32">
        <f>SUMIFS(合格品入货记录!$G:$G,合格品入货记录!$A:$A,样品!AH$3,合格品入货记录!$E:$E,样品!$E27)</f>
        <v>0</v>
      </c>
      <c r="AI27" s="32">
        <f>SUMIFS(合格品入货记录!$G:$G,合格品入货记录!$A:$A,样品!AI$3,合格品入货记录!$E:$E,样品!$E27)</f>
        <v>0</v>
      </c>
      <c r="AJ27" s="32">
        <f>SUMIFS(合格品入货记录!$G:$G,合格品入货记录!$A:$A,样品!AJ$3,合格品入货记录!$E:$E,样品!$E27)</f>
        <v>0</v>
      </c>
      <c r="AK27" s="32">
        <f>SUMIFS(合格品入货记录!$G:$G,合格品入货记录!$A:$A,样品!AK$3,合格品入货记录!$E:$E,样品!$E27)</f>
        <v>0</v>
      </c>
      <c r="AL27" s="32">
        <f>SUMIFS(合格品入货记录!$G:$G,合格品入货记录!$A:$A,样品!AL$3,合格品入货记录!$E:$E,样品!$E27)</f>
        <v>0</v>
      </c>
      <c r="AM27" s="32">
        <f>SUMIFS(合格品入货记录!$G:$G,合格品入货记录!$A:$A,样品!AM$3,合格品入货记录!$E:$E,样品!$E27)</f>
        <v>0</v>
      </c>
      <c r="AN27" s="32">
        <f>SUMIFS(合格品入货记录!$G:$G,合格品入货记录!$A:$A,样品!AN$3,合格品入货记录!$E:$E,样品!$E27)</f>
        <v>0</v>
      </c>
      <c r="AO27" s="32">
        <f>SUMIFS(合格品入货记录!$G:$G,合格品入货记录!$A:$A,样品!AO$3,合格品入货记录!$E:$E,样品!$E27)</f>
        <v>0</v>
      </c>
      <c r="AP27" s="32">
        <f>SUMIFS(合格品入货记录!$G:$G,合格品入货记录!$A:$A,样品!AP$3,合格品入货记录!$E:$E,样品!$E27)</f>
        <v>0</v>
      </c>
      <c r="AQ27" s="32">
        <f>SUMIFS(合格品入货记录!$G:$G,合格品入货记录!$A:$A,样品!AQ$3,合格品入货记录!$E:$E,样品!$E27)</f>
        <v>0</v>
      </c>
      <c r="AR27" s="32">
        <f>SUMIFS(合格品入货记录!$G:$G,合格品入货记录!$A:$A,样品!AR$3,合格品入货记录!$E:$E,样品!$E27)</f>
        <v>0</v>
      </c>
      <c r="AS27" s="32">
        <f>SUMIFS(合格品入货记录!$G:$G,合格品入货记录!$A:$A,样品!AS$3,合格品入货记录!$E:$E,样品!$E27)</f>
        <v>0</v>
      </c>
      <c r="AT27" s="32">
        <f>SUMIFS(合格品入货记录!$G:$G,合格品入货记录!$A:$A,样品!AT$3,合格品入货记录!$E:$E,样品!$E27)</f>
        <v>0</v>
      </c>
      <c r="AU27" s="32">
        <f>SUMIFS(合格品入货记录!$G:$G,合格品入货记录!$A:$A,样品!AU$3,合格品入货记录!$E:$E,样品!$E27)</f>
        <v>0</v>
      </c>
      <c r="AV27" s="32">
        <f>SUMIFS(合格品入货记录!$G:$G,合格品入货记录!$A:$A,样品!AV$3,合格品入货记录!$E:$E,样品!$E27)</f>
        <v>0</v>
      </c>
      <c r="AW27" s="32">
        <f>SUMIFS(合格品入货记录!$G:$G,合格品入货记录!$A:$A,样品!AW$3,合格品入货记录!$E:$E,样品!$E27)</f>
        <v>0</v>
      </c>
      <c r="AX27" s="32">
        <f>SUMIFS(合格品入货记录!$G:$G,合格品入货记录!$A:$A,样品!AX$3,合格品入货记录!$E:$E,样品!$E27)</f>
        <v>0</v>
      </c>
      <c r="AY27" s="32">
        <f>SUMIFS(合格品入货记录!$G:$G,合格品入货记录!$A:$A,样品!AY$3,合格品入货记录!$E:$E,样品!$E27)</f>
        <v>0</v>
      </c>
      <c r="AZ27" s="32">
        <f>SUMIFS(合格品入货记录!$G:$G,合格品入货记录!$A:$A,样品!AZ$3,合格品入货记录!$E:$E,样品!$E27)</f>
        <v>0</v>
      </c>
      <c r="BA27" s="32">
        <f>SUMIFS(合格品入货记录!$G:$G,合格品入货记录!$A:$A,样品!BA$3,合格品入货记录!$E:$E,样品!$E27)</f>
        <v>0</v>
      </c>
      <c r="BB27" s="32">
        <f>SUMIFS(合格品入货记录!$G:$G,合格品入货记录!$A:$A,样品!BB$3,合格品入货记录!$E:$E,样品!$E27)</f>
        <v>0</v>
      </c>
      <c r="BC27" s="32">
        <f>SUMIFS(合格品入货记录!$G:$G,合格品入货记录!$A:$A,样品!BC$3,合格品入货记录!$E:$E,样品!$E27)</f>
        <v>0</v>
      </c>
      <c r="BD27" s="32">
        <f>SUMIFS(合格品入货记录!$G:$G,合格品入货记录!$A:$A,样品!BD$3,合格品入货记录!$E:$E,样品!$E27)</f>
        <v>0</v>
      </c>
      <c r="BE27" s="32">
        <f>SUMIFS(合格品入货记录!$G:$G,合格品入货记录!$A:$A,样品!BE$3,合格品入货记录!$E:$E,样品!$E27)</f>
        <v>0</v>
      </c>
      <c r="BF27" s="32">
        <f>SUMIFS(合格品入货记录!$G:$G,合格品入货记录!$A:$A,样品!BF$3,合格品入货记录!$E:$E,样品!$E27)</f>
        <v>0</v>
      </c>
      <c r="BG27" s="32">
        <f>SUMIFS(合格品入货记录!$G:$G,合格品入货记录!$A:$A,样品!BG$3,合格品入货记录!$E:$E,样品!$E27)</f>
        <v>0</v>
      </c>
      <c r="BH27" s="32">
        <f>SUMIFS(合格品入货记录!$G:$G,合格品入货记录!$A:$A,样品!BH$3,合格品入货记录!$E:$E,样品!$E27)</f>
        <v>0</v>
      </c>
      <c r="BI27" s="32">
        <f>SUMIFS(合格品入货记录!$G:$G,合格品入货记录!$A:$A,样品!BI$3,合格品入货记录!$E:$E,样品!$E27)</f>
        <v>0</v>
      </c>
      <c r="BJ27" s="32">
        <f>SUMIFS(合格品入货记录!$G:$G,合格品入货记录!$A:$A,样品!BJ$3,合格品入货记录!$E:$E,样品!$E27)</f>
        <v>0</v>
      </c>
      <c r="BK27" s="32">
        <f>SUMIFS(合格品入货记录!$G:$G,合格品入货记录!$A:$A,样品!BK$3,合格品入货记录!$E:$E,样品!$E27)</f>
        <v>0</v>
      </c>
      <c r="BL27" s="32">
        <f>SUMIFS(合格品入货记录!$G:$G,合格品入货记录!$A:$A,样品!BL$3,合格品入货记录!$E:$E,样品!$E27)</f>
        <v>0</v>
      </c>
      <c r="BM27" s="32">
        <f>SUMIFS(合格品入货记录!$G:$G,合格品入货记录!$A:$A,样品!BM$3,合格品入货记录!$E:$E,样品!$E27)</f>
        <v>0</v>
      </c>
      <c r="BN27" s="32">
        <f>SUMIFS(合格品入货记录!$G:$G,合格品入货记录!$A:$A,样品!BN$3,合格品入货记录!$E:$E,样品!$E27)</f>
        <v>0</v>
      </c>
      <c r="BO27" s="32">
        <f>SUMIFS(合格品入货记录!$G:$G,合格品入货记录!$A:$A,样品!BO$3,合格品入货记录!$E:$E,样品!$E27)</f>
        <v>0</v>
      </c>
      <c r="BP27" s="32">
        <f>SUMIFS(合格品入货记录!$G:$G,合格品入货记录!$A:$A,样品!BP$3,合格品入货记录!$E:$E,样品!$E27)</f>
        <v>0</v>
      </c>
      <c r="BQ27" s="32">
        <f>SUMIFS(合格品入货记录!$G:$G,合格品入货记录!$A:$A,样品!BQ$3,合格品入货记录!$E:$E,样品!$E27)</f>
        <v>0</v>
      </c>
      <c r="BR27" s="32">
        <f>SUMIFS(合格品入货记录!$G:$G,合格品入货记录!$A:$A,样品!BR$3,合格品入货记录!$E:$E,样品!$E27)</f>
        <v>0</v>
      </c>
      <c r="BS27" s="32">
        <f>SUMIFS(合格品入货记录!$G:$G,合格品入货记录!$A:$A,样品!BS$3,合格品入货记录!$E:$E,样品!$E27)</f>
        <v>0</v>
      </c>
      <c r="BT27" s="32">
        <f>SUMIFS(合格品入货记录!$G:$G,合格品入货记录!$A:$A,样品!BT$3,合格品入货记录!$E:$E,样品!$E27)</f>
        <v>0</v>
      </c>
      <c r="BU27" s="32">
        <f>SUMIFS(合格品入货记录!$G:$G,合格品入货记录!$A:$A,样品!BU$3,合格品入货记录!$E:$E,样品!$E27)</f>
        <v>0</v>
      </c>
      <c r="BV27" s="32">
        <f>SUMIFS(合格品入货记录!$G:$G,合格品入货记录!$A:$A,样品!BV$3,合格品入货记录!$E:$E,样品!$E27)</f>
        <v>0</v>
      </c>
      <c r="BW27" s="32">
        <f>SUMIFS(合格品入货记录!$G:$G,合格品入货记录!$A:$A,样品!BW$3,合格品入货记录!$E:$E,样品!$E27)</f>
        <v>0</v>
      </c>
      <c r="BX27" s="32">
        <f>SUMIFS(合格品入货记录!$G:$G,合格品入货记录!$A:$A,样品!BX$3,合格品入货记录!$E:$E,样品!$E27)</f>
        <v>0</v>
      </c>
      <c r="BY27" s="32">
        <f>SUMIFS(合格品入货记录!$G:$G,合格品入货记录!$A:$A,样品!BY$3,合格品入货记录!$E:$E,样品!$E27)</f>
        <v>0</v>
      </c>
      <c r="BZ27" s="123"/>
      <c r="CA27" s="123"/>
      <c r="CB27" s="125"/>
      <c r="CC27" s="125"/>
    </row>
    <row r="28" s="90" customFormat="1" customHeight="1" spans="1:81">
      <c r="A28" s="31">
        <v>25</v>
      </c>
      <c r="B28" s="104" t="s">
        <v>19</v>
      </c>
      <c r="C28" s="105" t="s">
        <v>20</v>
      </c>
      <c r="D28" s="32" t="s">
        <v>332</v>
      </c>
      <c r="E28" s="31" t="s">
        <v>333</v>
      </c>
      <c r="F28" s="105" t="s">
        <v>334</v>
      </c>
      <c r="G28" s="31"/>
      <c r="H28" s="31">
        <v>0</v>
      </c>
      <c r="I28" s="106">
        <f>SUMIF(合格品入货记录!E:E,样品!E28,合格品入货记录!G:G)</f>
        <v>0</v>
      </c>
      <c r="J28" s="106">
        <f>SUMIF(合格品出库记录!E:E,样品!E28,合格品出库记录!G:G)</f>
        <v>0</v>
      </c>
      <c r="K28" s="102">
        <f t="shared" si="0"/>
        <v>0</v>
      </c>
      <c r="L28" s="102">
        <f>SUMIF(不良品库存!D:D,E28:E62,不良品库存!F:F)</f>
        <v>0</v>
      </c>
      <c r="M28" s="113">
        <f t="shared" si="1"/>
        <v>0</v>
      </c>
      <c r="N28" s="31"/>
      <c r="O28" s="104"/>
      <c r="P28" s="32">
        <f>IFERROR(SUMIFS(合格品入货记录!$G:$G,合格品入货记录!$A:$A,样品!P$3,合格品入货记录!$E:$E,样品!$E28)," ")</f>
        <v>0</v>
      </c>
      <c r="Q28" s="32">
        <f>SUMIFS(合格品入货记录!$G:$G,合格品入货记录!$A:$A,样品!Q$3,合格品入货记录!$E:$E,样品!$E28)</f>
        <v>0</v>
      </c>
      <c r="R28" s="32">
        <f>SUMIFS(合格品入货记录!$G:$G,合格品入货记录!$A:$A,样品!R$3,合格品入货记录!$E:$E,样品!$E28)</f>
        <v>0</v>
      </c>
      <c r="S28" s="32">
        <f>SUMIFS(合格品入货记录!$G:$G,合格品入货记录!$A:$A,样品!S$3,合格品入货记录!$E:$E,样品!$E28)</f>
        <v>0</v>
      </c>
      <c r="T28" s="32">
        <f>SUMIFS(合格品入货记录!$G:$G,合格品入货记录!$A:$A,样品!T$3,合格品入货记录!$E:$E,样品!$E28)</f>
        <v>0</v>
      </c>
      <c r="U28" s="32">
        <f>SUMIFS(合格品入货记录!$G:$G,合格品入货记录!$A:$A,样品!U$3,合格品入货记录!$E:$E,样品!$E28)</f>
        <v>0</v>
      </c>
      <c r="V28" s="32">
        <f>SUMIFS(合格品入货记录!$G:$G,合格品入货记录!$A:$A,样品!V$3,合格品入货记录!$E:$E,样品!$E28)</f>
        <v>0</v>
      </c>
      <c r="W28" s="32">
        <f>SUMIFS(合格品入货记录!$G:$G,合格品入货记录!$A:$A,样品!W$3,合格品入货记录!$E:$E,样品!$E28)</f>
        <v>0</v>
      </c>
      <c r="X28" s="32">
        <f>SUMIFS(合格品入货记录!$G:$G,合格品入货记录!$A:$A,样品!X$3,合格品入货记录!$E:$E,样品!$E28)</f>
        <v>0</v>
      </c>
      <c r="Y28" s="32">
        <f>SUMIFS(合格品入货记录!$G:$G,合格品入货记录!$A:$A,样品!Y$3,合格品入货记录!$E:$E,样品!$E28)</f>
        <v>0</v>
      </c>
      <c r="Z28" s="32">
        <f>SUMIFS(合格品入货记录!$G:$G,合格品入货记录!$A:$A,样品!Z$3,合格品入货记录!$E:$E,样品!$E28)</f>
        <v>0</v>
      </c>
      <c r="AA28" s="32">
        <f>SUMIFS(合格品入货记录!$G:$G,合格品入货记录!$A:$A,样品!AA$3,合格品入货记录!$E:$E,样品!$E28)</f>
        <v>0</v>
      </c>
      <c r="AB28" s="32">
        <f>SUMIFS(合格品入货记录!$G:$G,合格品入货记录!$A:$A,样品!AB$3,合格品入货记录!$E:$E,样品!$E28)</f>
        <v>0</v>
      </c>
      <c r="AC28" s="32">
        <f>SUMIFS(合格品入货记录!$G:$G,合格品入货记录!$A:$A,样品!AC$3,合格品入货记录!$E:$E,样品!$E28)</f>
        <v>0</v>
      </c>
      <c r="AD28" s="32">
        <f>SUMIFS(合格品入货记录!$G:$G,合格品入货记录!$A:$A,样品!AD$3,合格品入货记录!$E:$E,样品!$E28)</f>
        <v>0</v>
      </c>
      <c r="AE28" s="32">
        <f>SUMIFS(合格品入货记录!$G:$G,合格品入货记录!$A:$A,样品!AE$3,合格品入货记录!$E:$E,样品!$E28)</f>
        <v>0</v>
      </c>
      <c r="AF28" s="32">
        <f>SUMIFS(合格品入货记录!$G:$G,合格品入货记录!$A:$A,样品!AF$3,合格品入货记录!$E:$E,样品!$E28)</f>
        <v>0</v>
      </c>
      <c r="AG28" s="32">
        <f>SUMIFS(合格品入货记录!$G:$G,合格品入货记录!$A:$A,样品!AG$3,合格品入货记录!$E:$E,样品!$E28)</f>
        <v>0</v>
      </c>
      <c r="AH28" s="32">
        <f>SUMIFS(合格品入货记录!$G:$G,合格品入货记录!$A:$A,样品!AH$3,合格品入货记录!$E:$E,样品!$E28)</f>
        <v>0</v>
      </c>
      <c r="AI28" s="32">
        <f>SUMIFS(合格品入货记录!$G:$G,合格品入货记录!$A:$A,样品!AI$3,合格品入货记录!$E:$E,样品!$E28)</f>
        <v>0</v>
      </c>
      <c r="AJ28" s="32">
        <f>SUMIFS(合格品入货记录!$G:$G,合格品入货记录!$A:$A,样品!AJ$3,合格品入货记录!$E:$E,样品!$E28)</f>
        <v>0</v>
      </c>
      <c r="AK28" s="32">
        <f>SUMIFS(合格品入货记录!$G:$G,合格品入货记录!$A:$A,样品!AK$3,合格品入货记录!$E:$E,样品!$E28)</f>
        <v>0</v>
      </c>
      <c r="AL28" s="32">
        <f>SUMIFS(合格品入货记录!$G:$G,合格品入货记录!$A:$A,样品!AL$3,合格品入货记录!$E:$E,样品!$E28)</f>
        <v>0</v>
      </c>
      <c r="AM28" s="32">
        <f>SUMIFS(合格品入货记录!$G:$G,合格品入货记录!$A:$A,样品!AM$3,合格品入货记录!$E:$E,样品!$E28)</f>
        <v>0</v>
      </c>
      <c r="AN28" s="32">
        <f>SUMIFS(合格品入货记录!$G:$G,合格品入货记录!$A:$A,样品!AN$3,合格品入货记录!$E:$E,样品!$E28)</f>
        <v>0</v>
      </c>
      <c r="AO28" s="32">
        <f>SUMIFS(合格品入货记录!$G:$G,合格品入货记录!$A:$A,样品!AO$3,合格品入货记录!$E:$E,样品!$E28)</f>
        <v>0</v>
      </c>
      <c r="AP28" s="32">
        <f>SUMIFS(合格品入货记录!$G:$G,合格品入货记录!$A:$A,样品!AP$3,合格品入货记录!$E:$E,样品!$E28)</f>
        <v>0</v>
      </c>
      <c r="AQ28" s="32">
        <f>SUMIFS(合格品入货记录!$G:$G,合格品入货记录!$A:$A,样品!AQ$3,合格品入货记录!$E:$E,样品!$E28)</f>
        <v>0</v>
      </c>
      <c r="AR28" s="32">
        <f>SUMIFS(合格品入货记录!$G:$G,合格品入货记录!$A:$A,样品!AR$3,合格品入货记录!$E:$E,样品!$E28)</f>
        <v>0</v>
      </c>
      <c r="AS28" s="32">
        <f>SUMIFS(合格品入货记录!$G:$G,合格品入货记录!$A:$A,样品!AS$3,合格品入货记录!$E:$E,样品!$E28)</f>
        <v>0</v>
      </c>
      <c r="AT28" s="32">
        <f>SUMIFS(合格品入货记录!$G:$G,合格品入货记录!$A:$A,样品!AT$3,合格品入货记录!$E:$E,样品!$E28)</f>
        <v>0</v>
      </c>
      <c r="AU28" s="32">
        <f>SUMIFS(合格品入货记录!$G:$G,合格品入货记录!$A:$A,样品!AU$3,合格品入货记录!$E:$E,样品!$E28)</f>
        <v>0</v>
      </c>
      <c r="AV28" s="32">
        <f>SUMIFS(合格品入货记录!$G:$G,合格品入货记录!$A:$A,样品!AV$3,合格品入货记录!$E:$E,样品!$E28)</f>
        <v>0</v>
      </c>
      <c r="AW28" s="32">
        <f>SUMIFS(合格品入货记录!$G:$G,合格品入货记录!$A:$A,样品!AW$3,合格品入货记录!$E:$E,样品!$E28)</f>
        <v>0</v>
      </c>
      <c r="AX28" s="32">
        <f>SUMIFS(合格品入货记录!$G:$G,合格品入货记录!$A:$A,样品!AX$3,合格品入货记录!$E:$E,样品!$E28)</f>
        <v>0</v>
      </c>
      <c r="AY28" s="32">
        <f>SUMIFS(合格品入货记录!$G:$G,合格品入货记录!$A:$A,样品!AY$3,合格品入货记录!$E:$E,样品!$E28)</f>
        <v>0</v>
      </c>
      <c r="AZ28" s="32">
        <f>SUMIFS(合格品入货记录!$G:$G,合格品入货记录!$A:$A,样品!AZ$3,合格品入货记录!$E:$E,样品!$E28)</f>
        <v>0</v>
      </c>
      <c r="BA28" s="32">
        <f>SUMIFS(合格品入货记录!$G:$G,合格品入货记录!$A:$A,样品!BA$3,合格品入货记录!$E:$E,样品!$E28)</f>
        <v>0</v>
      </c>
      <c r="BB28" s="32">
        <f>SUMIFS(合格品入货记录!$G:$G,合格品入货记录!$A:$A,样品!BB$3,合格品入货记录!$E:$E,样品!$E28)</f>
        <v>0</v>
      </c>
      <c r="BC28" s="32">
        <f>SUMIFS(合格品入货记录!$G:$G,合格品入货记录!$A:$A,样品!BC$3,合格品入货记录!$E:$E,样品!$E28)</f>
        <v>0</v>
      </c>
      <c r="BD28" s="32">
        <f>SUMIFS(合格品入货记录!$G:$G,合格品入货记录!$A:$A,样品!BD$3,合格品入货记录!$E:$E,样品!$E28)</f>
        <v>0</v>
      </c>
      <c r="BE28" s="32">
        <f>SUMIFS(合格品入货记录!$G:$G,合格品入货记录!$A:$A,样品!BE$3,合格品入货记录!$E:$E,样品!$E28)</f>
        <v>0</v>
      </c>
      <c r="BF28" s="32">
        <f>SUMIFS(合格品入货记录!$G:$G,合格品入货记录!$A:$A,样品!BF$3,合格品入货记录!$E:$E,样品!$E28)</f>
        <v>0</v>
      </c>
      <c r="BG28" s="32">
        <f>SUMIFS(合格品入货记录!$G:$G,合格品入货记录!$A:$A,样品!BG$3,合格品入货记录!$E:$E,样品!$E28)</f>
        <v>0</v>
      </c>
      <c r="BH28" s="32">
        <f>SUMIFS(合格品入货记录!$G:$G,合格品入货记录!$A:$A,样品!BH$3,合格品入货记录!$E:$E,样品!$E28)</f>
        <v>0</v>
      </c>
      <c r="BI28" s="32">
        <f>SUMIFS(合格品入货记录!$G:$G,合格品入货记录!$A:$A,样品!BI$3,合格品入货记录!$E:$E,样品!$E28)</f>
        <v>0</v>
      </c>
      <c r="BJ28" s="32">
        <f>SUMIFS(合格品入货记录!$G:$G,合格品入货记录!$A:$A,样品!BJ$3,合格品入货记录!$E:$E,样品!$E28)</f>
        <v>0</v>
      </c>
      <c r="BK28" s="32">
        <f>SUMIFS(合格品入货记录!$G:$G,合格品入货记录!$A:$A,样品!BK$3,合格品入货记录!$E:$E,样品!$E28)</f>
        <v>0</v>
      </c>
      <c r="BL28" s="32">
        <f>SUMIFS(合格品入货记录!$G:$G,合格品入货记录!$A:$A,样品!BL$3,合格品入货记录!$E:$E,样品!$E28)</f>
        <v>0</v>
      </c>
      <c r="BM28" s="32">
        <f>SUMIFS(合格品入货记录!$G:$G,合格品入货记录!$A:$A,样品!BM$3,合格品入货记录!$E:$E,样品!$E28)</f>
        <v>0</v>
      </c>
      <c r="BN28" s="32">
        <f>SUMIFS(合格品入货记录!$G:$G,合格品入货记录!$A:$A,样品!BN$3,合格品入货记录!$E:$E,样品!$E28)</f>
        <v>0</v>
      </c>
      <c r="BO28" s="32">
        <f>SUMIFS(合格品入货记录!$G:$G,合格品入货记录!$A:$A,样品!BO$3,合格品入货记录!$E:$E,样品!$E28)</f>
        <v>0</v>
      </c>
      <c r="BP28" s="32">
        <f>SUMIFS(合格品入货记录!$G:$G,合格品入货记录!$A:$A,样品!BP$3,合格品入货记录!$E:$E,样品!$E28)</f>
        <v>0</v>
      </c>
      <c r="BQ28" s="32">
        <f>SUMIFS(合格品入货记录!$G:$G,合格品入货记录!$A:$A,样品!BQ$3,合格品入货记录!$E:$E,样品!$E28)</f>
        <v>0</v>
      </c>
      <c r="BR28" s="32">
        <f>SUMIFS(合格品入货记录!$G:$G,合格品入货记录!$A:$A,样品!BR$3,合格品入货记录!$E:$E,样品!$E28)</f>
        <v>0</v>
      </c>
      <c r="BS28" s="32">
        <f>SUMIFS(合格品入货记录!$G:$G,合格品入货记录!$A:$A,样品!BS$3,合格品入货记录!$E:$E,样品!$E28)</f>
        <v>0</v>
      </c>
      <c r="BT28" s="32">
        <f>SUMIFS(合格品入货记录!$G:$G,合格品入货记录!$A:$A,样品!BT$3,合格品入货记录!$E:$E,样品!$E28)</f>
        <v>0</v>
      </c>
      <c r="BU28" s="32">
        <f>SUMIFS(合格品入货记录!$G:$G,合格品入货记录!$A:$A,样品!BU$3,合格品入货记录!$E:$E,样品!$E28)</f>
        <v>0</v>
      </c>
      <c r="BV28" s="32">
        <f>SUMIFS(合格品入货记录!$G:$G,合格品入货记录!$A:$A,样品!BV$3,合格品入货记录!$E:$E,样品!$E28)</f>
        <v>0</v>
      </c>
      <c r="BW28" s="32">
        <f>SUMIFS(合格品入货记录!$G:$G,合格品入货记录!$A:$A,样品!BW$3,合格品入货记录!$E:$E,样品!$E28)</f>
        <v>0</v>
      </c>
      <c r="BX28" s="32">
        <f>SUMIFS(合格品入货记录!$G:$G,合格品入货记录!$A:$A,样品!BX$3,合格品入货记录!$E:$E,样品!$E28)</f>
        <v>0</v>
      </c>
      <c r="BY28" s="32">
        <f>SUMIFS(合格品入货记录!$G:$G,合格品入货记录!$A:$A,样品!BY$3,合格品入货记录!$E:$E,样品!$E28)</f>
        <v>0</v>
      </c>
      <c r="BZ28" s="124"/>
      <c r="CA28" s="124"/>
      <c r="CB28" s="125"/>
      <c r="CC28" s="125"/>
    </row>
    <row r="29" s="90" customFormat="1" customHeight="1" spans="1:81">
      <c r="A29" s="31">
        <v>26</v>
      </c>
      <c r="B29" s="102" t="s">
        <v>19</v>
      </c>
      <c r="C29" s="103" t="s">
        <v>20</v>
      </c>
      <c r="D29" s="32" t="s">
        <v>335</v>
      </c>
      <c r="E29" s="32" t="s">
        <v>336</v>
      </c>
      <c r="F29" s="103" t="s">
        <v>337</v>
      </c>
      <c r="G29" s="32"/>
      <c r="H29" s="32">
        <v>0</v>
      </c>
      <c r="I29" s="112">
        <f>SUMIF(合格品入货记录!E:E,样品!E29,合格品入货记录!G:G)</f>
        <v>0</v>
      </c>
      <c r="J29" s="112">
        <f>SUMIF(合格品出库记录!E:E,样品!E29,合格品出库记录!G:G)</f>
        <v>0</v>
      </c>
      <c r="K29" s="102">
        <f t="shared" si="0"/>
        <v>0</v>
      </c>
      <c r="L29" s="102">
        <f>SUMIF(不良品库存!D:D,E29:E63,不良品库存!F:F)</f>
        <v>0</v>
      </c>
      <c r="M29" s="113">
        <f t="shared" si="1"/>
        <v>0</v>
      </c>
      <c r="N29" s="102"/>
      <c r="O29" s="102"/>
      <c r="P29" s="32">
        <f>IFERROR(SUMIFS(合格品入货记录!$G:$G,合格品入货记录!$A:$A,样品!P$3,合格品入货记录!$E:$E,样品!$E29)," ")</f>
        <v>0</v>
      </c>
      <c r="Q29" s="32">
        <f>SUMIFS(合格品入货记录!$G:$G,合格品入货记录!$A:$A,样品!Q$3,合格品入货记录!$E:$E,样品!$E29)</f>
        <v>0</v>
      </c>
      <c r="R29" s="32">
        <f>SUMIFS(合格品入货记录!$G:$G,合格品入货记录!$A:$A,样品!R$3,合格品入货记录!$E:$E,样品!$E29)</f>
        <v>0</v>
      </c>
      <c r="S29" s="32">
        <f>SUMIFS(合格品入货记录!$G:$G,合格品入货记录!$A:$A,样品!S$3,合格品入货记录!$E:$E,样品!$E29)</f>
        <v>0</v>
      </c>
      <c r="T29" s="32">
        <f>SUMIFS(合格品入货记录!$G:$G,合格品入货记录!$A:$A,样品!T$3,合格品入货记录!$E:$E,样品!$E29)</f>
        <v>0</v>
      </c>
      <c r="U29" s="32">
        <f>SUMIFS(合格品入货记录!$G:$G,合格品入货记录!$A:$A,样品!U$3,合格品入货记录!$E:$E,样品!$E29)</f>
        <v>0</v>
      </c>
      <c r="V29" s="32">
        <f>SUMIFS(合格品入货记录!$G:$G,合格品入货记录!$A:$A,样品!V$3,合格品入货记录!$E:$E,样品!$E29)</f>
        <v>0</v>
      </c>
      <c r="W29" s="32">
        <f>SUMIFS(合格品入货记录!$G:$G,合格品入货记录!$A:$A,样品!W$3,合格品入货记录!$E:$E,样品!$E29)</f>
        <v>0</v>
      </c>
      <c r="X29" s="32">
        <f>SUMIFS(合格品入货记录!$G:$G,合格品入货记录!$A:$A,样品!X$3,合格品入货记录!$E:$E,样品!$E29)</f>
        <v>0</v>
      </c>
      <c r="Y29" s="32">
        <f>SUMIFS(合格品入货记录!$G:$G,合格品入货记录!$A:$A,样品!Y$3,合格品入货记录!$E:$E,样品!$E29)</f>
        <v>0</v>
      </c>
      <c r="Z29" s="32">
        <f>SUMIFS(合格品入货记录!$G:$G,合格品入货记录!$A:$A,样品!Z$3,合格品入货记录!$E:$E,样品!$E29)</f>
        <v>0</v>
      </c>
      <c r="AA29" s="32">
        <f>SUMIFS(合格品入货记录!$G:$G,合格品入货记录!$A:$A,样品!AA$3,合格品入货记录!$E:$E,样品!$E29)</f>
        <v>0</v>
      </c>
      <c r="AB29" s="32">
        <f>SUMIFS(合格品入货记录!$G:$G,合格品入货记录!$A:$A,样品!AB$3,合格品入货记录!$E:$E,样品!$E29)</f>
        <v>0</v>
      </c>
      <c r="AC29" s="32">
        <f>SUMIFS(合格品入货记录!$G:$G,合格品入货记录!$A:$A,样品!AC$3,合格品入货记录!$E:$E,样品!$E29)</f>
        <v>0</v>
      </c>
      <c r="AD29" s="32">
        <f>SUMIFS(合格品入货记录!$G:$G,合格品入货记录!$A:$A,样品!AD$3,合格品入货记录!$E:$E,样品!$E29)</f>
        <v>0</v>
      </c>
      <c r="AE29" s="32">
        <f>SUMIFS(合格品入货记录!$G:$G,合格品入货记录!$A:$A,样品!AE$3,合格品入货记录!$E:$E,样品!$E29)</f>
        <v>0</v>
      </c>
      <c r="AF29" s="32">
        <f>SUMIFS(合格品入货记录!$G:$G,合格品入货记录!$A:$A,样品!AF$3,合格品入货记录!$E:$E,样品!$E29)</f>
        <v>0</v>
      </c>
      <c r="AG29" s="32">
        <f>SUMIFS(合格品入货记录!$G:$G,合格品入货记录!$A:$A,样品!AG$3,合格品入货记录!$E:$E,样品!$E29)</f>
        <v>0</v>
      </c>
      <c r="AH29" s="32">
        <f>SUMIFS(合格品入货记录!$G:$G,合格品入货记录!$A:$A,样品!AH$3,合格品入货记录!$E:$E,样品!$E29)</f>
        <v>0</v>
      </c>
      <c r="AI29" s="32">
        <f>SUMIFS(合格品入货记录!$G:$G,合格品入货记录!$A:$A,样品!AI$3,合格品入货记录!$E:$E,样品!$E29)</f>
        <v>0</v>
      </c>
      <c r="AJ29" s="32">
        <f>SUMIFS(合格品入货记录!$G:$G,合格品入货记录!$A:$A,样品!AJ$3,合格品入货记录!$E:$E,样品!$E29)</f>
        <v>0</v>
      </c>
      <c r="AK29" s="32">
        <f>SUMIFS(合格品入货记录!$G:$G,合格品入货记录!$A:$A,样品!AK$3,合格品入货记录!$E:$E,样品!$E29)</f>
        <v>0</v>
      </c>
      <c r="AL29" s="32">
        <f>SUMIFS(合格品入货记录!$G:$G,合格品入货记录!$A:$A,样品!AL$3,合格品入货记录!$E:$E,样品!$E29)</f>
        <v>0</v>
      </c>
      <c r="AM29" s="32">
        <f>SUMIFS(合格品入货记录!$G:$G,合格品入货记录!$A:$A,样品!AM$3,合格品入货记录!$E:$E,样品!$E29)</f>
        <v>0</v>
      </c>
      <c r="AN29" s="32">
        <f>SUMIFS(合格品入货记录!$G:$G,合格品入货记录!$A:$A,样品!AN$3,合格品入货记录!$E:$E,样品!$E29)</f>
        <v>0</v>
      </c>
      <c r="AO29" s="32">
        <f>SUMIFS(合格品入货记录!$G:$G,合格品入货记录!$A:$A,样品!AO$3,合格品入货记录!$E:$E,样品!$E29)</f>
        <v>0</v>
      </c>
      <c r="AP29" s="32">
        <f>SUMIFS(合格品入货记录!$G:$G,合格品入货记录!$A:$A,样品!AP$3,合格品入货记录!$E:$E,样品!$E29)</f>
        <v>0</v>
      </c>
      <c r="AQ29" s="32">
        <f>SUMIFS(合格品入货记录!$G:$G,合格品入货记录!$A:$A,样品!AQ$3,合格品入货记录!$E:$E,样品!$E29)</f>
        <v>0</v>
      </c>
      <c r="AR29" s="32">
        <f>SUMIFS(合格品入货记录!$G:$G,合格品入货记录!$A:$A,样品!AR$3,合格品入货记录!$E:$E,样品!$E29)</f>
        <v>0</v>
      </c>
      <c r="AS29" s="32">
        <f>SUMIFS(合格品入货记录!$G:$G,合格品入货记录!$A:$A,样品!AS$3,合格品入货记录!$E:$E,样品!$E29)</f>
        <v>0</v>
      </c>
      <c r="AT29" s="32">
        <f>SUMIFS(合格品入货记录!$G:$G,合格品入货记录!$A:$A,样品!AT$3,合格品入货记录!$E:$E,样品!$E29)</f>
        <v>0</v>
      </c>
      <c r="AU29" s="32">
        <f>SUMIFS(合格品入货记录!$G:$G,合格品入货记录!$A:$A,样品!AU$3,合格品入货记录!$E:$E,样品!$E29)</f>
        <v>0</v>
      </c>
      <c r="AV29" s="32">
        <f>SUMIFS(合格品入货记录!$G:$G,合格品入货记录!$A:$A,样品!AV$3,合格品入货记录!$E:$E,样品!$E29)</f>
        <v>0</v>
      </c>
      <c r="AW29" s="32">
        <f>SUMIFS(合格品入货记录!$G:$G,合格品入货记录!$A:$A,样品!AW$3,合格品入货记录!$E:$E,样品!$E29)</f>
        <v>0</v>
      </c>
      <c r="AX29" s="32">
        <f>SUMIFS(合格品入货记录!$G:$G,合格品入货记录!$A:$A,样品!AX$3,合格品入货记录!$E:$E,样品!$E29)</f>
        <v>0</v>
      </c>
      <c r="AY29" s="32">
        <f>SUMIFS(合格品入货记录!$G:$G,合格品入货记录!$A:$A,样品!AY$3,合格品入货记录!$E:$E,样品!$E29)</f>
        <v>0</v>
      </c>
      <c r="AZ29" s="32">
        <f>SUMIFS(合格品入货记录!$G:$G,合格品入货记录!$A:$A,样品!AZ$3,合格品入货记录!$E:$E,样品!$E29)</f>
        <v>0</v>
      </c>
      <c r="BA29" s="32">
        <f>SUMIFS(合格品入货记录!$G:$G,合格品入货记录!$A:$A,样品!BA$3,合格品入货记录!$E:$E,样品!$E29)</f>
        <v>0</v>
      </c>
      <c r="BB29" s="32">
        <f>SUMIFS(合格品入货记录!$G:$G,合格品入货记录!$A:$A,样品!BB$3,合格品入货记录!$E:$E,样品!$E29)</f>
        <v>0</v>
      </c>
      <c r="BC29" s="32">
        <f>SUMIFS(合格品入货记录!$G:$G,合格品入货记录!$A:$A,样品!BC$3,合格品入货记录!$E:$E,样品!$E29)</f>
        <v>0</v>
      </c>
      <c r="BD29" s="32">
        <f>SUMIFS(合格品入货记录!$G:$G,合格品入货记录!$A:$A,样品!BD$3,合格品入货记录!$E:$E,样品!$E29)</f>
        <v>0</v>
      </c>
      <c r="BE29" s="32">
        <f>SUMIFS(合格品入货记录!$G:$G,合格品入货记录!$A:$A,样品!BE$3,合格品入货记录!$E:$E,样品!$E29)</f>
        <v>0</v>
      </c>
      <c r="BF29" s="32">
        <f>SUMIFS(合格品入货记录!$G:$G,合格品入货记录!$A:$A,样品!BF$3,合格品入货记录!$E:$E,样品!$E29)</f>
        <v>0</v>
      </c>
      <c r="BG29" s="32">
        <f>SUMIFS(合格品入货记录!$G:$G,合格品入货记录!$A:$A,样品!BG$3,合格品入货记录!$E:$E,样品!$E29)</f>
        <v>0</v>
      </c>
      <c r="BH29" s="32">
        <f>SUMIFS(合格品入货记录!$G:$G,合格品入货记录!$A:$A,样品!BH$3,合格品入货记录!$E:$E,样品!$E29)</f>
        <v>0</v>
      </c>
      <c r="BI29" s="32">
        <f>SUMIFS(合格品入货记录!$G:$G,合格品入货记录!$A:$A,样品!BI$3,合格品入货记录!$E:$E,样品!$E29)</f>
        <v>0</v>
      </c>
      <c r="BJ29" s="32">
        <f>SUMIFS(合格品入货记录!$G:$G,合格品入货记录!$A:$A,样品!BJ$3,合格品入货记录!$E:$E,样品!$E29)</f>
        <v>0</v>
      </c>
      <c r="BK29" s="32">
        <f>SUMIFS(合格品入货记录!$G:$G,合格品入货记录!$A:$A,样品!BK$3,合格品入货记录!$E:$E,样品!$E29)</f>
        <v>0</v>
      </c>
      <c r="BL29" s="32">
        <f>SUMIFS(合格品入货记录!$G:$G,合格品入货记录!$A:$A,样品!BL$3,合格品入货记录!$E:$E,样品!$E29)</f>
        <v>0</v>
      </c>
      <c r="BM29" s="32">
        <f>SUMIFS(合格品入货记录!$G:$G,合格品入货记录!$A:$A,样品!BM$3,合格品入货记录!$E:$E,样品!$E29)</f>
        <v>0</v>
      </c>
      <c r="BN29" s="32">
        <f>SUMIFS(合格品入货记录!$G:$G,合格品入货记录!$A:$A,样品!BN$3,合格品入货记录!$E:$E,样品!$E29)</f>
        <v>0</v>
      </c>
      <c r="BO29" s="32">
        <f>SUMIFS(合格品入货记录!$G:$G,合格品入货记录!$A:$A,样品!BO$3,合格品入货记录!$E:$E,样品!$E29)</f>
        <v>0</v>
      </c>
      <c r="BP29" s="32">
        <f>SUMIFS(合格品入货记录!$G:$G,合格品入货记录!$A:$A,样品!BP$3,合格品入货记录!$E:$E,样品!$E29)</f>
        <v>0</v>
      </c>
      <c r="BQ29" s="32">
        <f>SUMIFS(合格品入货记录!$G:$G,合格品入货记录!$A:$A,样品!BQ$3,合格品入货记录!$E:$E,样品!$E29)</f>
        <v>0</v>
      </c>
      <c r="BR29" s="32">
        <f>SUMIFS(合格品入货记录!$G:$G,合格品入货记录!$A:$A,样品!BR$3,合格品入货记录!$E:$E,样品!$E29)</f>
        <v>0</v>
      </c>
      <c r="BS29" s="32">
        <f>SUMIFS(合格品入货记录!$G:$G,合格品入货记录!$A:$A,样品!BS$3,合格品入货记录!$E:$E,样品!$E29)</f>
        <v>0</v>
      </c>
      <c r="BT29" s="32">
        <f>SUMIFS(合格品入货记录!$G:$G,合格品入货记录!$A:$A,样品!BT$3,合格品入货记录!$E:$E,样品!$E29)</f>
        <v>0</v>
      </c>
      <c r="BU29" s="32">
        <f>SUMIFS(合格品入货记录!$G:$G,合格品入货记录!$A:$A,样品!BU$3,合格品入货记录!$E:$E,样品!$E29)</f>
        <v>0</v>
      </c>
      <c r="BV29" s="32">
        <f>SUMIFS(合格品入货记录!$G:$G,合格品入货记录!$A:$A,样品!BV$3,合格品入货记录!$E:$E,样品!$E29)</f>
        <v>0</v>
      </c>
      <c r="BW29" s="32">
        <f>SUMIFS(合格品入货记录!$G:$G,合格品入货记录!$A:$A,样品!BW$3,合格品入货记录!$E:$E,样品!$E29)</f>
        <v>0</v>
      </c>
      <c r="BX29" s="32">
        <f>SUMIFS(合格品入货记录!$G:$G,合格品入货记录!$A:$A,样品!BX$3,合格品入货记录!$E:$E,样品!$E29)</f>
        <v>0</v>
      </c>
      <c r="BY29" s="32">
        <f>SUMIFS(合格品入货记录!$G:$G,合格品入货记录!$A:$A,样品!BY$3,合格品入货记录!$E:$E,样品!$E29)</f>
        <v>0</v>
      </c>
      <c r="BZ29" s="123"/>
      <c r="CA29" s="123"/>
      <c r="CB29" s="125"/>
      <c r="CC29" s="125"/>
    </row>
    <row r="30" s="90" customFormat="1" customHeight="1" spans="1:81">
      <c r="A30" s="31">
        <v>27</v>
      </c>
      <c r="B30" s="104" t="s">
        <v>19</v>
      </c>
      <c r="C30" s="105" t="s">
        <v>20</v>
      </c>
      <c r="D30" s="32" t="s">
        <v>338</v>
      </c>
      <c r="E30" s="31" t="s">
        <v>339</v>
      </c>
      <c r="F30" s="105" t="s">
        <v>340</v>
      </c>
      <c r="G30" s="31"/>
      <c r="H30" s="31">
        <v>0</v>
      </c>
      <c r="I30" s="106">
        <f>SUMIF(合格品入货记录!E:E,样品!E30,合格品入货记录!G:G)</f>
        <v>0</v>
      </c>
      <c r="J30" s="106">
        <f>SUMIF(合格品出库记录!E:E,样品!E30,合格品出库记录!G:G)</f>
        <v>0</v>
      </c>
      <c r="K30" s="102">
        <f t="shared" si="0"/>
        <v>0</v>
      </c>
      <c r="L30" s="102">
        <f>SUMIF(不良品库存!D:D,E30:E64,不良品库存!F:F)</f>
        <v>0</v>
      </c>
      <c r="M30" s="113">
        <f t="shared" si="1"/>
        <v>0</v>
      </c>
      <c r="N30" s="31"/>
      <c r="O30" s="104"/>
      <c r="P30" s="32">
        <f>IFERROR(SUMIFS(合格品入货记录!$G:$G,合格品入货记录!$A:$A,样品!P$3,合格品入货记录!$E:$E,样品!$E30)," ")</f>
        <v>0</v>
      </c>
      <c r="Q30" s="32">
        <f>SUMIFS(合格品入货记录!$G:$G,合格品入货记录!$A:$A,样品!Q$3,合格品入货记录!$E:$E,样品!$E30)</f>
        <v>0</v>
      </c>
      <c r="R30" s="32">
        <f>SUMIFS(合格品入货记录!$G:$G,合格品入货记录!$A:$A,样品!R$3,合格品入货记录!$E:$E,样品!$E30)</f>
        <v>0</v>
      </c>
      <c r="S30" s="32">
        <f>SUMIFS(合格品入货记录!$G:$G,合格品入货记录!$A:$A,样品!S$3,合格品入货记录!$E:$E,样品!$E30)</f>
        <v>0</v>
      </c>
      <c r="T30" s="32">
        <f>SUMIFS(合格品入货记录!$G:$G,合格品入货记录!$A:$A,样品!T$3,合格品入货记录!$E:$E,样品!$E30)</f>
        <v>0</v>
      </c>
      <c r="U30" s="32">
        <f>SUMIFS(合格品入货记录!$G:$G,合格品入货记录!$A:$A,样品!U$3,合格品入货记录!$E:$E,样品!$E30)</f>
        <v>0</v>
      </c>
      <c r="V30" s="32">
        <f>SUMIFS(合格品入货记录!$G:$G,合格品入货记录!$A:$A,样品!V$3,合格品入货记录!$E:$E,样品!$E30)</f>
        <v>0</v>
      </c>
      <c r="W30" s="32">
        <f>SUMIFS(合格品入货记录!$G:$G,合格品入货记录!$A:$A,样品!W$3,合格品入货记录!$E:$E,样品!$E30)</f>
        <v>0</v>
      </c>
      <c r="X30" s="32">
        <f>SUMIFS(合格品入货记录!$G:$G,合格品入货记录!$A:$A,样品!X$3,合格品入货记录!$E:$E,样品!$E30)</f>
        <v>0</v>
      </c>
      <c r="Y30" s="32">
        <f>SUMIFS(合格品入货记录!$G:$G,合格品入货记录!$A:$A,样品!Y$3,合格品入货记录!$E:$E,样品!$E30)</f>
        <v>0</v>
      </c>
      <c r="Z30" s="32">
        <f>SUMIFS(合格品入货记录!$G:$G,合格品入货记录!$A:$A,样品!Z$3,合格品入货记录!$E:$E,样品!$E30)</f>
        <v>0</v>
      </c>
      <c r="AA30" s="32">
        <f>SUMIFS(合格品入货记录!$G:$G,合格品入货记录!$A:$A,样品!AA$3,合格品入货记录!$E:$E,样品!$E30)</f>
        <v>0</v>
      </c>
      <c r="AB30" s="32">
        <f>SUMIFS(合格品入货记录!$G:$G,合格品入货记录!$A:$A,样品!AB$3,合格品入货记录!$E:$E,样品!$E30)</f>
        <v>0</v>
      </c>
      <c r="AC30" s="32">
        <f>SUMIFS(合格品入货记录!$G:$G,合格品入货记录!$A:$A,样品!AC$3,合格品入货记录!$E:$E,样品!$E30)</f>
        <v>0</v>
      </c>
      <c r="AD30" s="32">
        <f>SUMIFS(合格品入货记录!$G:$G,合格品入货记录!$A:$A,样品!AD$3,合格品入货记录!$E:$E,样品!$E30)</f>
        <v>0</v>
      </c>
      <c r="AE30" s="32">
        <f>SUMIFS(合格品入货记录!$G:$G,合格品入货记录!$A:$A,样品!AE$3,合格品入货记录!$E:$E,样品!$E30)</f>
        <v>0</v>
      </c>
      <c r="AF30" s="32">
        <f>SUMIFS(合格品入货记录!$G:$G,合格品入货记录!$A:$A,样品!AF$3,合格品入货记录!$E:$E,样品!$E30)</f>
        <v>0</v>
      </c>
      <c r="AG30" s="32">
        <f>SUMIFS(合格品入货记录!$G:$G,合格品入货记录!$A:$A,样品!AG$3,合格品入货记录!$E:$E,样品!$E30)</f>
        <v>0</v>
      </c>
      <c r="AH30" s="32">
        <f>SUMIFS(合格品入货记录!$G:$G,合格品入货记录!$A:$A,样品!AH$3,合格品入货记录!$E:$E,样品!$E30)</f>
        <v>0</v>
      </c>
      <c r="AI30" s="32">
        <f>SUMIFS(合格品入货记录!$G:$G,合格品入货记录!$A:$A,样品!AI$3,合格品入货记录!$E:$E,样品!$E30)</f>
        <v>0</v>
      </c>
      <c r="AJ30" s="32">
        <f>SUMIFS(合格品入货记录!$G:$G,合格品入货记录!$A:$A,样品!AJ$3,合格品入货记录!$E:$E,样品!$E30)</f>
        <v>0</v>
      </c>
      <c r="AK30" s="32">
        <f>SUMIFS(合格品入货记录!$G:$G,合格品入货记录!$A:$A,样品!AK$3,合格品入货记录!$E:$E,样品!$E30)</f>
        <v>0</v>
      </c>
      <c r="AL30" s="32">
        <f>SUMIFS(合格品入货记录!$G:$G,合格品入货记录!$A:$A,样品!AL$3,合格品入货记录!$E:$E,样品!$E30)</f>
        <v>0</v>
      </c>
      <c r="AM30" s="32">
        <f>SUMIFS(合格品入货记录!$G:$G,合格品入货记录!$A:$A,样品!AM$3,合格品入货记录!$E:$E,样品!$E30)</f>
        <v>0</v>
      </c>
      <c r="AN30" s="32">
        <f>SUMIFS(合格品入货记录!$G:$G,合格品入货记录!$A:$A,样品!AN$3,合格品入货记录!$E:$E,样品!$E30)</f>
        <v>0</v>
      </c>
      <c r="AO30" s="32">
        <f>SUMIFS(合格品入货记录!$G:$G,合格品入货记录!$A:$A,样品!AO$3,合格品入货记录!$E:$E,样品!$E30)</f>
        <v>0</v>
      </c>
      <c r="AP30" s="32">
        <f>SUMIFS(合格品入货记录!$G:$G,合格品入货记录!$A:$A,样品!AP$3,合格品入货记录!$E:$E,样品!$E30)</f>
        <v>0</v>
      </c>
      <c r="AQ30" s="32">
        <f>SUMIFS(合格品入货记录!$G:$G,合格品入货记录!$A:$A,样品!AQ$3,合格品入货记录!$E:$E,样品!$E30)</f>
        <v>0</v>
      </c>
      <c r="AR30" s="32">
        <f>SUMIFS(合格品入货记录!$G:$G,合格品入货记录!$A:$A,样品!AR$3,合格品入货记录!$E:$E,样品!$E30)</f>
        <v>0</v>
      </c>
      <c r="AS30" s="32">
        <f>SUMIFS(合格品入货记录!$G:$G,合格品入货记录!$A:$A,样品!AS$3,合格品入货记录!$E:$E,样品!$E30)</f>
        <v>0</v>
      </c>
      <c r="AT30" s="32">
        <f>SUMIFS(合格品入货记录!$G:$G,合格品入货记录!$A:$A,样品!AT$3,合格品入货记录!$E:$E,样品!$E30)</f>
        <v>0</v>
      </c>
      <c r="AU30" s="32">
        <f>SUMIFS(合格品入货记录!$G:$G,合格品入货记录!$A:$A,样品!AU$3,合格品入货记录!$E:$E,样品!$E30)</f>
        <v>0</v>
      </c>
      <c r="AV30" s="32">
        <f>SUMIFS(合格品入货记录!$G:$G,合格品入货记录!$A:$A,样品!AV$3,合格品入货记录!$E:$E,样品!$E30)</f>
        <v>0</v>
      </c>
      <c r="AW30" s="32">
        <f>SUMIFS(合格品入货记录!$G:$G,合格品入货记录!$A:$A,样品!AW$3,合格品入货记录!$E:$E,样品!$E30)</f>
        <v>0</v>
      </c>
      <c r="AX30" s="32">
        <f>SUMIFS(合格品入货记录!$G:$G,合格品入货记录!$A:$A,样品!AX$3,合格品入货记录!$E:$E,样品!$E30)</f>
        <v>0</v>
      </c>
      <c r="AY30" s="32">
        <f>SUMIFS(合格品入货记录!$G:$G,合格品入货记录!$A:$A,样品!AY$3,合格品入货记录!$E:$E,样品!$E30)</f>
        <v>0</v>
      </c>
      <c r="AZ30" s="32">
        <f>SUMIFS(合格品入货记录!$G:$G,合格品入货记录!$A:$A,样品!AZ$3,合格品入货记录!$E:$E,样品!$E30)</f>
        <v>0</v>
      </c>
      <c r="BA30" s="32">
        <f>SUMIFS(合格品入货记录!$G:$G,合格品入货记录!$A:$A,样品!BA$3,合格品入货记录!$E:$E,样品!$E30)</f>
        <v>0</v>
      </c>
      <c r="BB30" s="32">
        <f>SUMIFS(合格品入货记录!$G:$G,合格品入货记录!$A:$A,样品!BB$3,合格品入货记录!$E:$E,样品!$E30)</f>
        <v>0</v>
      </c>
      <c r="BC30" s="32">
        <f>SUMIFS(合格品入货记录!$G:$G,合格品入货记录!$A:$A,样品!BC$3,合格品入货记录!$E:$E,样品!$E30)</f>
        <v>0</v>
      </c>
      <c r="BD30" s="32">
        <f>SUMIFS(合格品入货记录!$G:$G,合格品入货记录!$A:$A,样品!BD$3,合格品入货记录!$E:$E,样品!$E30)</f>
        <v>0</v>
      </c>
      <c r="BE30" s="32">
        <f>SUMIFS(合格品入货记录!$G:$G,合格品入货记录!$A:$A,样品!BE$3,合格品入货记录!$E:$E,样品!$E30)</f>
        <v>0</v>
      </c>
      <c r="BF30" s="32">
        <f>SUMIFS(合格品入货记录!$G:$G,合格品入货记录!$A:$A,样品!BF$3,合格品入货记录!$E:$E,样品!$E30)</f>
        <v>0</v>
      </c>
      <c r="BG30" s="32">
        <f>SUMIFS(合格品入货记录!$G:$G,合格品入货记录!$A:$A,样品!BG$3,合格品入货记录!$E:$E,样品!$E30)</f>
        <v>0</v>
      </c>
      <c r="BH30" s="32">
        <f>SUMIFS(合格品入货记录!$G:$G,合格品入货记录!$A:$A,样品!BH$3,合格品入货记录!$E:$E,样品!$E30)</f>
        <v>0</v>
      </c>
      <c r="BI30" s="32">
        <f>SUMIFS(合格品入货记录!$G:$G,合格品入货记录!$A:$A,样品!BI$3,合格品入货记录!$E:$E,样品!$E30)</f>
        <v>0</v>
      </c>
      <c r="BJ30" s="32">
        <f>SUMIFS(合格品入货记录!$G:$G,合格品入货记录!$A:$A,样品!BJ$3,合格品入货记录!$E:$E,样品!$E30)</f>
        <v>0</v>
      </c>
      <c r="BK30" s="32">
        <f>SUMIFS(合格品入货记录!$G:$G,合格品入货记录!$A:$A,样品!BK$3,合格品入货记录!$E:$E,样品!$E30)</f>
        <v>0</v>
      </c>
      <c r="BL30" s="32">
        <f>SUMIFS(合格品入货记录!$G:$G,合格品入货记录!$A:$A,样品!BL$3,合格品入货记录!$E:$E,样品!$E30)</f>
        <v>0</v>
      </c>
      <c r="BM30" s="32">
        <f>SUMIFS(合格品入货记录!$G:$G,合格品入货记录!$A:$A,样品!BM$3,合格品入货记录!$E:$E,样品!$E30)</f>
        <v>0</v>
      </c>
      <c r="BN30" s="32">
        <f>SUMIFS(合格品入货记录!$G:$G,合格品入货记录!$A:$A,样品!BN$3,合格品入货记录!$E:$E,样品!$E30)</f>
        <v>0</v>
      </c>
      <c r="BO30" s="32">
        <f>SUMIFS(合格品入货记录!$G:$G,合格品入货记录!$A:$A,样品!BO$3,合格品入货记录!$E:$E,样品!$E30)</f>
        <v>0</v>
      </c>
      <c r="BP30" s="32">
        <f>SUMIFS(合格品入货记录!$G:$G,合格品入货记录!$A:$A,样品!BP$3,合格品入货记录!$E:$E,样品!$E30)</f>
        <v>0</v>
      </c>
      <c r="BQ30" s="32">
        <f>SUMIFS(合格品入货记录!$G:$G,合格品入货记录!$A:$A,样品!BQ$3,合格品入货记录!$E:$E,样品!$E30)</f>
        <v>0</v>
      </c>
      <c r="BR30" s="32">
        <f>SUMIFS(合格品入货记录!$G:$G,合格品入货记录!$A:$A,样品!BR$3,合格品入货记录!$E:$E,样品!$E30)</f>
        <v>0</v>
      </c>
      <c r="BS30" s="32">
        <f>SUMIFS(合格品入货记录!$G:$G,合格品入货记录!$A:$A,样品!BS$3,合格品入货记录!$E:$E,样品!$E30)</f>
        <v>0</v>
      </c>
      <c r="BT30" s="32">
        <f>SUMIFS(合格品入货记录!$G:$G,合格品入货记录!$A:$A,样品!BT$3,合格品入货记录!$E:$E,样品!$E30)</f>
        <v>0</v>
      </c>
      <c r="BU30" s="32">
        <f>SUMIFS(合格品入货记录!$G:$G,合格品入货记录!$A:$A,样品!BU$3,合格品入货记录!$E:$E,样品!$E30)</f>
        <v>0</v>
      </c>
      <c r="BV30" s="32">
        <f>SUMIFS(合格品入货记录!$G:$G,合格品入货记录!$A:$A,样品!BV$3,合格品入货记录!$E:$E,样品!$E30)</f>
        <v>0</v>
      </c>
      <c r="BW30" s="32">
        <f>SUMIFS(合格品入货记录!$G:$G,合格品入货记录!$A:$A,样品!BW$3,合格品入货记录!$E:$E,样品!$E30)</f>
        <v>0</v>
      </c>
      <c r="BX30" s="32">
        <f>SUMIFS(合格品入货记录!$G:$G,合格品入货记录!$A:$A,样品!BX$3,合格品入货记录!$E:$E,样品!$E30)</f>
        <v>0</v>
      </c>
      <c r="BY30" s="32">
        <f>SUMIFS(合格品入货记录!$G:$G,合格品入货记录!$A:$A,样品!BY$3,合格品入货记录!$E:$E,样品!$E30)</f>
        <v>0</v>
      </c>
      <c r="BZ30" s="124"/>
      <c r="CA30" s="124"/>
      <c r="CB30" s="125"/>
      <c r="CC30" s="125"/>
    </row>
    <row r="31" s="90" customFormat="1" customHeight="1" spans="1:81">
      <c r="A31" s="31">
        <v>28</v>
      </c>
      <c r="B31" s="102" t="s">
        <v>19</v>
      </c>
      <c r="C31" s="103" t="s">
        <v>20</v>
      </c>
      <c r="D31" s="32" t="s">
        <v>341</v>
      </c>
      <c r="E31" s="32" t="s">
        <v>342</v>
      </c>
      <c r="F31" s="103" t="s">
        <v>343</v>
      </c>
      <c r="G31" s="32"/>
      <c r="H31" s="32">
        <v>0</v>
      </c>
      <c r="I31" s="112">
        <f>SUMIF(合格品入货记录!E:E,样品!E31,合格品入货记录!G:G)</f>
        <v>0</v>
      </c>
      <c r="J31" s="112">
        <f>SUMIF(合格品出库记录!E:E,样品!E31,合格品出库记录!G:G)</f>
        <v>0</v>
      </c>
      <c r="K31" s="102">
        <f t="shared" si="0"/>
        <v>0</v>
      </c>
      <c r="L31" s="102">
        <f>SUMIF(不良品库存!D:D,E31:E65,不良品库存!F:F)</f>
        <v>0</v>
      </c>
      <c r="M31" s="113">
        <f t="shared" si="1"/>
        <v>0</v>
      </c>
      <c r="N31" s="102"/>
      <c r="O31" s="102"/>
      <c r="P31" s="32">
        <f>IFERROR(SUMIFS(合格品入货记录!$G:$G,合格品入货记录!$A:$A,样品!P$3,合格品入货记录!$E:$E,样品!$E31)," ")</f>
        <v>0</v>
      </c>
      <c r="Q31" s="32">
        <f>SUMIFS(合格品入货记录!$G:$G,合格品入货记录!$A:$A,样品!Q$3,合格品入货记录!$E:$E,样品!$E31)</f>
        <v>0</v>
      </c>
      <c r="R31" s="32">
        <f>SUMIFS(合格品入货记录!$G:$G,合格品入货记录!$A:$A,样品!R$3,合格品入货记录!$E:$E,样品!$E31)</f>
        <v>0</v>
      </c>
      <c r="S31" s="32">
        <f>SUMIFS(合格品入货记录!$G:$G,合格品入货记录!$A:$A,样品!S$3,合格品入货记录!$E:$E,样品!$E31)</f>
        <v>0</v>
      </c>
      <c r="T31" s="32">
        <f>SUMIFS(合格品入货记录!$G:$G,合格品入货记录!$A:$A,样品!T$3,合格品入货记录!$E:$E,样品!$E31)</f>
        <v>0</v>
      </c>
      <c r="U31" s="32">
        <f>SUMIFS(合格品入货记录!$G:$G,合格品入货记录!$A:$A,样品!U$3,合格品入货记录!$E:$E,样品!$E31)</f>
        <v>0</v>
      </c>
      <c r="V31" s="32">
        <f>SUMIFS(合格品入货记录!$G:$G,合格品入货记录!$A:$A,样品!V$3,合格品入货记录!$E:$E,样品!$E31)</f>
        <v>0</v>
      </c>
      <c r="W31" s="32">
        <f>SUMIFS(合格品入货记录!$G:$G,合格品入货记录!$A:$A,样品!W$3,合格品入货记录!$E:$E,样品!$E31)</f>
        <v>0</v>
      </c>
      <c r="X31" s="32">
        <f>SUMIFS(合格品入货记录!$G:$G,合格品入货记录!$A:$A,样品!X$3,合格品入货记录!$E:$E,样品!$E31)</f>
        <v>0</v>
      </c>
      <c r="Y31" s="32">
        <f>SUMIFS(合格品入货记录!$G:$G,合格品入货记录!$A:$A,样品!Y$3,合格品入货记录!$E:$E,样品!$E31)</f>
        <v>0</v>
      </c>
      <c r="Z31" s="32">
        <f>SUMIFS(合格品入货记录!$G:$G,合格品入货记录!$A:$A,样品!Z$3,合格品入货记录!$E:$E,样品!$E31)</f>
        <v>0</v>
      </c>
      <c r="AA31" s="32">
        <f>SUMIFS(合格品入货记录!$G:$G,合格品入货记录!$A:$A,样品!AA$3,合格品入货记录!$E:$E,样品!$E31)</f>
        <v>0</v>
      </c>
      <c r="AB31" s="32">
        <f>SUMIFS(合格品入货记录!$G:$G,合格品入货记录!$A:$A,样品!AB$3,合格品入货记录!$E:$E,样品!$E31)</f>
        <v>0</v>
      </c>
      <c r="AC31" s="32">
        <f>SUMIFS(合格品入货记录!$G:$G,合格品入货记录!$A:$A,样品!AC$3,合格品入货记录!$E:$E,样品!$E31)</f>
        <v>0</v>
      </c>
      <c r="AD31" s="32">
        <f>SUMIFS(合格品入货记录!$G:$G,合格品入货记录!$A:$A,样品!AD$3,合格品入货记录!$E:$E,样品!$E31)</f>
        <v>0</v>
      </c>
      <c r="AE31" s="32">
        <f>SUMIFS(合格品入货记录!$G:$G,合格品入货记录!$A:$A,样品!AE$3,合格品入货记录!$E:$E,样品!$E31)</f>
        <v>0</v>
      </c>
      <c r="AF31" s="32">
        <f>SUMIFS(合格品入货记录!$G:$G,合格品入货记录!$A:$A,样品!AF$3,合格品入货记录!$E:$E,样品!$E31)</f>
        <v>0</v>
      </c>
      <c r="AG31" s="32">
        <f>SUMIFS(合格品入货记录!$G:$G,合格品入货记录!$A:$A,样品!AG$3,合格品入货记录!$E:$E,样品!$E31)</f>
        <v>0</v>
      </c>
      <c r="AH31" s="32">
        <f>SUMIFS(合格品入货记录!$G:$G,合格品入货记录!$A:$A,样品!AH$3,合格品入货记录!$E:$E,样品!$E31)</f>
        <v>0</v>
      </c>
      <c r="AI31" s="32">
        <f>SUMIFS(合格品入货记录!$G:$G,合格品入货记录!$A:$A,样品!AI$3,合格品入货记录!$E:$E,样品!$E31)</f>
        <v>0</v>
      </c>
      <c r="AJ31" s="32">
        <f>SUMIFS(合格品入货记录!$G:$G,合格品入货记录!$A:$A,样品!AJ$3,合格品入货记录!$E:$E,样品!$E31)</f>
        <v>0</v>
      </c>
      <c r="AK31" s="32">
        <f>SUMIFS(合格品入货记录!$G:$G,合格品入货记录!$A:$A,样品!AK$3,合格品入货记录!$E:$E,样品!$E31)</f>
        <v>0</v>
      </c>
      <c r="AL31" s="32">
        <f>SUMIFS(合格品入货记录!$G:$G,合格品入货记录!$A:$A,样品!AL$3,合格品入货记录!$E:$E,样品!$E31)</f>
        <v>0</v>
      </c>
      <c r="AM31" s="32">
        <f>SUMIFS(合格品入货记录!$G:$G,合格品入货记录!$A:$A,样品!AM$3,合格品入货记录!$E:$E,样品!$E31)</f>
        <v>0</v>
      </c>
      <c r="AN31" s="32">
        <f>SUMIFS(合格品入货记录!$G:$G,合格品入货记录!$A:$A,样品!AN$3,合格品入货记录!$E:$E,样品!$E31)</f>
        <v>0</v>
      </c>
      <c r="AO31" s="32">
        <f>SUMIFS(合格品入货记录!$G:$G,合格品入货记录!$A:$A,样品!AO$3,合格品入货记录!$E:$E,样品!$E31)</f>
        <v>0</v>
      </c>
      <c r="AP31" s="32">
        <f>SUMIFS(合格品入货记录!$G:$G,合格品入货记录!$A:$A,样品!AP$3,合格品入货记录!$E:$E,样品!$E31)</f>
        <v>0</v>
      </c>
      <c r="AQ31" s="32">
        <f>SUMIFS(合格品入货记录!$G:$G,合格品入货记录!$A:$A,样品!AQ$3,合格品入货记录!$E:$E,样品!$E31)</f>
        <v>0</v>
      </c>
      <c r="AR31" s="32">
        <f>SUMIFS(合格品入货记录!$G:$G,合格品入货记录!$A:$A,样品!AR$3,合格品入货记录!$E:$E,样品!$E31)</f>
        <v>0</v>
      </c>
      <c r="AS31" s="32">
        <f>SUMIFS(合格品入货记录!$G:$G,合格品入货记录!$A:$A,样品!AS$3,合格品入货记录!$E:$E,样品!$E31)</f>
        <v>0</v>
      </c>
      <c r="AT31" s="32">
        <f>SUMIFS(合格品入货记录!$G:$G,合格品入货记录!$A:$A,样品!AT$3,合格品入货记录!$E:$E,样品!$E31)</f>
        <v>0</v>
      </c>
      <c r="AU31" s="32">
        <f>SUMIFS(合格品入货记录!$G:$G,合格品入货记录!$A:$A,样品!AU$3,合格品入货记录!$E:$E,样品!$E31)</f>
        <v>0</v>
      </c>
      <c r="AV31" s="32">
        <f>SUMIFS(合格品入货记录!$G:$G,合格品入货记录!$A:$A,样品!AV$3,合格品入货记录!$E:$E,样品!$E31)</f>
        <v>0</v>
      </c>
      <c r="AW31" s="32">
        <f>SUMIFS(合格品入货记录!$G:$G,合格品入货记录!$A:$A,样品!AW$3,合格品入货记录!$E:$E,样品!$E31)</f>
        <v>0</v>
      </c>
      <c r="AX31" s="32">
        <f>SUMIFS(合格品入货记录!$G:$G,合格品入货记录!$A:$A,样品!AX$3,合格品入货记录!$E:$E,样品!$E31)</f>
        <v>0</v>
      </c>
      <c r="AY31" s="32">
        <f>SUMIFS(合格品入货记录!$G:$G,合格品入货记录!$A:$A,样品!AY$3,合格品入货记录!$E:$E,样品!$E31)</f>
        <v>0</v>
      </c>
      <c r="AZ31" s="32">
        <f>SUMIFS(合格品入货记录!$G:$G,合格品入货记录!$A:$A,样品!AZ$3,合格品入货记录!$E:$E,样品!$E31)</f>
        <v>0</v>
      </c>
      <c r="BA31" s="32">
        <f>SUMIFS(合格品入货记录!$G:$G,合格品入货记录!$A:$A,样品!BA$3,合格品入货记录!$E:$E,样品!$E31)</f>
        <v>0</v>
      </c>
      <c r="BB31" s="32">
        <f>SUMIFS(合格品入货记录!$G:$G,合格品入货记录!$A:$A,样品!BB$3,合格品入货记录!$E:$E,样品!$E31)</f>
        <v>0</v>
      </c>
      <c r="BC31" s="32">
        <f>SUMIFS(合格品入货记录!$G:$G,合格品入货记录!$A:$A,样品!BC$3,合格品入货记录!$E:$E,样品!$E31)</f>
        <v>0</v>
      </c>
      <c r="BD31" s="32">
        <f>SUMIFS(合格品入货记录!$G:$G,合格品入货记录!$A:$A,样品!BD$3,合格品入货记录!$E:$E,样品!$E31)</f>
        <v>0</v>
      </c>
      <c r="BE31" s="32">
        <f>SUMIFS(合格品入货记录!$G:$G,合格品入货记录!$A:$A,样品!BE$3,合格品入货记录!$E:$E,样品!$E31)</f>
        <v>0</v>
      </c>
      <c r="BF31" s="32">
        <f>SUMIFS(合格品入货记录!$G:$G,合格品入货记录!$A:$A,样品!BF$3,合格品入货记录!$E:$E,样品!$E31)</f>
        <v>0</v>
      </c>
      <c r="BG31" s="32">
        <f>SUMIFS(合格品入货记录!$G:$G,合格品入货记录!$A:$A,样品!BG$3,合格品入货记录!$E:$E,样品!$E31)</f>
        <v>0</v>
      </c>
      <c r="BH31" s="32">
        <f>SUMIFS(合格品入货记录!$G:$G,合格品入货记录!$A:$A,样品!BH$3,合格品入货记录!$E:$E,样品!$E31)</f>
        <v>0</v>
      </c>
      <c r="BI31" s="32">
        <f>SUMIFS(合格品入货记录!$G:$G,合格品入货记录!$A:$A,样品!BI$3,合格品入货记录!$E:$E,样品!$E31)</f>
        <v>0</v>
      </c>
      <c r="BJ31" s="32">
        <f>SUMIFS(合格品入货记录!$G:$G,合格品入货记录!$A:$A,样品!BJ$3,合格品入货记录!$E:$E,样品!$E31)</f>
        <v>0</v>
      </c>
      <c r="BK31" s="32">
        <f>SUMIFS(合格品入货记录!$G:$G,合格品入货记录!$A:$A,样品!BK$3,合格品入货记录!$E:$E,样品!$E31)</f>
        <v>0</v>
      </c>
      <c r="BL31" s="32">
        <f>SUMIFS(合格品入货记录!$G:$G,合格品入货记录!$A:$A,样品!BL$3,合格品入货记录!$E:$E,样品!$E31)</f>
        <v>0</v>
      </c>
      <c r="BM31" s="32">
        <f>SUMIFS(合格品入货记录!$G:$G,合格品入货记录!$A:$A,样品!BM$3,合格品入货记录!$E:$E,样品!$E31)</f>
        <v>0</v>
      </c>
      <c r="BN31" s="32">
        <f>SUMIFS(合格品入货记录!$G:$G,合格品入货记录!$A:$A,样品!BN$3,合格品入货记录!$E:$E,样品!$E31)</f>
        <v>0</v>
      </c>
      <c r="BO31" s="32">
        <f>SUMIFS(合格品入货记录!$G:$G,合格品入货记录!$A:$A,样品!BO$3,合格品入货记录!$E:$E,样品!$E31)</f>
        <v>0</v>
      </c>
      <c r="BP31" s="32">
        <f>SUMIFS(合格品入货记录!$G:$G,合格品入货记录!$A:$A,样品!BP$3,合格品入货记录!$E:$E,样品!$E31)</f>
        <v>0</v>
      </c>
      <c r="BQ31" s="32">
        <f>SUMIFS(合格品入货记录!$G:$G,合格品入货记录!$A:$A,样品!BQ$3,合格品入货记录!$E:$E,样品!$E31)</f>
        <v>0</v>
      </c>
      <c r="BR31" s="32">
        <f>SUMIFS(合格品入货记录!$G:$G,合格品入货记录!$A:$A,样品!BR$3,合格品入货记录!$E:$E,样品!$E31)</f>
        <v>0</v>
      </c>
      <c r="BS31" s="32">
        <f>SUMIFS(合格品入货记录!$G:$G,合格品入货记录!$A:$A,样品!BS$3,合格品入货记录!$E:$E,样品!$E31)</f>
        <v>0</v>
      </c>
      <c r="BT31" s="32">
        <f>SUMIFS(合格品入货记录!$G:$G,合格品入货记录!$A:$A,样品!BT$3,合格品入货记录!$E:$E,样品!$E31)</f>
        <v>0</v>
      </c>
      <c r="BU31" s="32">
        <f>SUMIFS(合格品入货记录!$G:$G,合格品入货记录!$A:$A,样品!BU$3,合格品入货记录!$E:$E,样品!$E31)</f>
        <v>0</v>
      </c>
      <c r="BV31" s="32">
        <f>SUMIFS(合格品入货记录!$G:$G,合格品入货记录!$A:$A,样品!BV$3,合格品入货记录!$E:$E,样品!$E31)</f>
        <v>0</v>
      </c>
      <c r="BW31" s="32">
        <f>SUMIFS(合格品入货记录!$G:$G,合格品入货记录!$A:$A,样品!BW$3,合格品入货记录!$E:$E,样品!$E31)</f>
        <v>0</v>
      </c>
      <c r="BX31" s="32">
        <f>SUMIFS(合格品入货记录!$G:$G,合格品入货记录!$A:$A,样品!BX$3,合格品入货记录!$E:$E,样品!$E31)</f>
        <v>0</v>
      </c>
      <c r="BY31" s="32">
        <f>SUMIFS(合格品入货记录!$G:$G,合格品入货记录!$A:$A,样品!BY$3,合格品入货记录!$E:$E,样品!$E31)</f>
        <v>0</v>
      </c>
      <c r="BZ31" s="123"/>
      <c r="CA31" s="123"/>
      <c r="CB31" s="125"/>
      <c r="CC31" s="125"/>
    </row>
    <row r="32" s="90" customFormat="1" customHeight="1" spans="1:81">
      <c r="A32" s="31">
        <v>29</v>
      </c>
      <c r="B32" s="104" t="s">
        <v>19</v>
      </c>
      <c r="C32" s="105" t="s">
        <v>20</v>
      </c>
      <c r="D32" s="32" t="s">
        <v>344</v>
      </c>
      <c r="E32" s="31" t="s">
        <v>345</v>
      </c>
      <c r="F32" s="105" t="s">
        <v>346</v>
      </c>
      <c r="G32" s="31"/>
      <c r="H32" s="31">
        <v>0</v>
      </c>
      <c r="I32" s="106">
        <f>SUMIF(合格品入货记录!E:E,样品!E32,合格品入货记录!G:G)</f>
        <v>0</v>
      </c>
      <c r="J32" s="106">
        <f>SUMIF(合格品出库记录!E:E,样品!E32,合格品出库记录!G:G)</f>
        <v>0</v>
      </c>
      <c r="K32" s="102">
        <f t="shared" si="0"/>
        <v>0</v>
      </c>
      <c r="L32" s="102">
        <f>SUMIF(不良品库存!D:D,E32:E66,不良品库存!F:F)</f>
        <v>0</v>
      </c>
      <c r="M32" s="113">
        <f t="shared" si="1"/>
        <v>0</v>
      </c>
      <c r="N32" s="31"/>
      <c r="O32" s="104"/>
      <c r="P32" s="32">
        <f>IFERROR(SUMIFS(合格品入货记录!$G:$G,合格品入货记录!$A:$A,样品!P$3,合格品入货记录!$E:$E,样品!$E32)," ")</f>
        <v>0</v>
      </c>
      <c r="Q32" s="32">
        <f>SUMIFS(合格品入货记录!$G:$G,合格品入货记录!$A:$A,样品!Q$3,合格品入货记录!$E:$E,样品!$E32)</f>
        <v>0</v>
      </c>
      <c r="R32" s="32">
        <f>SUMIFS(合格品入货记录!$G:$G,合格品入货记录!$A:$A,样品!R$3,合格品入货记录!$E:$E,样品!$E32)</f>
        <v>0</v>
      </c>
      <c r="S32" s="32">
        <f>SUMIFS(合格品入货记录!$G:$G,合格品入货记录!$A:$A,样品!S$3,合格品入货记录!$E:$E,样品!$E32)</f>
        <v>0</v>
      </c>
      <c r="T32" s="32">
        <f>SUMIFS(合格品入货记录!$G:$G,合格品入货记录!$A:$A,样品!T$3,合格品入货记录!$E:$E,样品!$E32)</f>
        <v>0</v>
      </c>
      <c r="U32" s="32">
        <f>SUMIFS(合格品入货记录!$G:$G,合格品入货记录!$A:$A,样品!U$3,合格品入货记录!$E:$E,样品!$E32)</f>
        <v>0</v>
      </c>
      <c r="V32" s="32">
        <f>SUMIFS(合格品入货记录!$G:$G,合格品入货记录!$A:$A,样品!V$3,合格品入货记录!$E:$E,样品!$E32)</f>
        <v>0</v>
      </c>
      <c r="W32" s="32">
        <f>SUMIFS(合格品入货记录!$G:$G,合格品入货记录!$A:$A,样品!W$3,合格品入货记录!$E:$E,样品!$E32)</f>
        <v>0</v>
      </c>
      <c r="X32" s="32">
        <f>SUMIFS(合格品入货记录!$G:$G,合格品入货记录!$A:$A,样品!X$3,合格品入货记录!$E:$E,样品!$E32)</f>
        <v>0</v>
      </c>
      <c r="Y32" s="32">
        <f>SUMIFS(合格品入货记录!$G:$G,合格品入货记录!$A:$A,样品!Y$3,合格品入货记录!$E:$E,样品!$E32)</f>
        <v>0</v>
      </c>
      <c r="Z32" s="32">
        <f>SUMIFS(合格品入货记录!$G:$G,合格品入货记录!$A:$A,样品!Z$3,合格品入货记录!$E:$E,样品!$E32)</f>
        <v>0</v>
      </c>
      <c r="AA32" s="32">
        <f>SUMIFS(合格品入货记录!$G:$G,合格品入货记录!$A:$A,样品!AA$3,合格品入货记录!$E:$E,样品!$E32)</f>
        <v>0</v>
      </c>
      <c r="AB32" s="32">
        <f>SUMIFS(合格品入货记录!$G:$G,合格品入货记录!$A:$A,样品!AB$3,合格品入货记录!$E:$E,样品!$E32)</f>
        <v>0</v>
      </c>
      <c r="AC32" s="32">
        <f>SUMIFS(合格品入货记录!$G:$G,合格品入货记录!$A:$A,样品!AC$3,合格品入货记录!$E:$E,样品!$E32)</f>
        <v>0</v>
      </c>
      <c r="AD32" s="32">
        <f>SUMIFS(合格品入货记录!$G:$G,合格品入货记录!$A:$A,样品!AD$3,合格品入货记录!$E:$E,样品!$E32)</f>
        <v>0</v>
      </c>
      <c r="AE32" s="32">
        <f>SUMIFS(合格品入货记录!$G:$G,合格品入货记录!$A:$A,样品!AE$3,合格品入货记录!$E:$E,样品!$E32)</f>
        <v>0</v>
      </c>
      <c r="AF32" s="32">
        <f>SUMIFS(合格品入货记录!$G:$G,合格品入货记录!$A:$A,样品!AF$3,合格品入货记录!$E:$E,样品!$E32)</f>
        <v>0</v>
      </c>
      <c r="AG32" s="32">
        <f>SUMIFS(合格品入货记录!$G:$G,合格品入货记录!$A:$A,样品!AG$3,合格品入货记录!$E:$E,样品!$E32)</f>
        <v>0</v>
      </c>
      <c r="AH32" s="32">
        <f>SUMIFS(合格品入货记录!$G:$G,合格品入货记录!$A:$A,样品!AH$3,合格品入货记录!$E:$E,样品!$E32)</f>
        <v>0</v>
      </c>
      <c r="AI32" s="32">
        <f>SUMIFS(合格品入货记录!$G:$G,合格品入货记录!$A:$A,样品!AI$3,合格品入货记录!$E:$E,样品!$E32)</f>
        <v>0</v>
      </c>
      <c r="AJ32" s="32">
        <f>SUMIFS(合格品入货记录!$G:$G,合格品入货记录!$A:$A,样品!AJ$3,合格品入货记录!$E:$E,样品!$E32)</f>
        <v>0</v>
      </c>
      <c r="AK32" s="32">
        <f>SUMIFS(合格品入货记录!$G:$G,合格品入货记录!$A:$A,样品!AK$3,合格品入货记录!$E:$E,样品!$E32)</f>
        <v>0</v>
      </c>
      <c r="AL32" s="32">
        <f>SUMIFS(合格品入货记录!$G:$G,合格品入货记录!$A:$A,样品!AL$3,合格品入货记录!$E:$E,样品!$E32)</f>
        <v>0</v>
      </c>
      <c r="AM32" s="32">
        <f>SUMIFS(合格品入货记录!$G:$G,合格品入货记录!$A:$A,样品!AM$3,合格品入货记录!$E:$E,样品!$E32)</f>
        <v>0</v>
      </c>
      <c r="AN32" s="32">
        <f>SUMIFS(合格品入货记录!$G:$G,合格品入货记录!$A:$A,样品!AN$3,合格品入货记录!$E:$E,样品!$E32)</f>
        <v>0</v>
      </c>
      <c r="AO32" s="32">
        <f>SUMIFS(合格品入货记录!$G:$G,合格品入货记录!$A:$A,样品!AO$3,合格品入货记录!$E:$E,样品!$E32)</f>
        <v>0</v>
      </c>
      <c r="AP32" s="32">
        <f>SUMIFS(合格品入货记录!$G:$G,合格品入货记录!$A:$A,样品!AP$3,合格品入货记录!$E:$E,样品!$E32)</f>
        <v>0</v>
      </c>
      <c r="AQ32" s="32">
        <f>SUMIFS(合格品入货记录!$G:$G,合格品入货记录!$A:$A,样品!AQ$3,合格品入货记录!$E:$E,样品!$E32)</f>
        <v>0</v>
      </c>
      <c r="AR32" s="32">
        <f>SUMIFS(合格品入货记录!$G:$G,合格品入货记录!$A:$A,样品!AR$3,合格品入货记录!$E:$E,样品!$E32)</f>
        <v>0</v>
      </c>
      <c r="AS32" s="32">
        <f>SUMIFS(合格品入货记录!$G:$G,合格品入货记录!$A:$A,样品!AS$3,合格品入货记录!$E:$E,样品!$E32)</f>
        <v>0</v>
      </c>
      <c r="AT32" s="32">
        <f>SUMIFS(合格品入货记录!$G:$G,合格品入货记录!$A:$A,样品!AT$3,合格品入货记录!$E:$E,样品!$E32)</f>
        <v>0</v>
      </c>
      <c r="AU32" s="32">
        <f>SUMIFS(合格品入货记录!$G:$G,合格品入货记录!$A:$A,样品!AU$3,合格品入货记录!$E:$E,样品!$E32)</f>
        <v>0</v>
      </c>
      <c r="AV32" s="32">
        <f>SUMIFS(合格品入货记录!$G:$G,合格品入货记录!$A:$A,样品!AV$3,合格品入货记录!$E:$E,样品!$E32)</f>
        <v>0</v>
      </c>
      <c r="AW32" s="32">
        <f>SUMIFS(合格品入货记录!$G:$G,合格品入货记录!$A:$A,样品!AW$3,合格品入货记录!$E:$E,样品!$E32)</f>
        <v>0</v>
      </c>
      <c r="AX32" s="32">
        <f>SUMIFS(合格品入货记录!$G:$G,合格品入货记录!$A:$A,样品!AX$3,合格品入货记录!$E:$E,样品!$E32)</f>
        <v>0</v>
      </c>
      <c r="AY32" s="32">
        <f>SUMIFS(合格品入货记录!$G:$G,合格品入货记录!$A:$A,样品!AY$3,合格品入货记录!$E:$E,样品!$E32)</f>
        <v>0</v>
      </c>
      <c r="AZ32" s="32">
        <f>SUMIFS(合格品入货记录!$G:$G,合格品入货记录!$A:$A,样品!AZ$3,合格品入货记录!$E:$E,样品!$E32)</f>
        <v>0</v>
      </c>
      <c r="BA32" s="32">
        <f>SUMIFS(合格品入货记录!$G:$G,合格品入货记录!$A:$A,样品!BA$3,合格品入货记录!$E:$E,样品!$E32)</f>
        <v>0</v>
      </c>
      <c r="BB32" s="32">
        <f>SUMIFS(合格品入货记录!$G:$G,合格品入货记录!$A:$A,样品!BB$3,合格品入货记录!$E:$E,样品!$E32)</f>
        <v>0</v>
      </c>
      <c r="BC32" s="32">
        <f>SUMIFS(合格品入货记录!$G:$G,合格品入货记录!$A:$A,样品!BC$3,合格品入货记录!$E:$E,样品!$E32)</f>
        <v>0</v>
      </c>
      <c r="BD32" s="32">
        <f>SUMIFS(合格品入货记录!$G:$G,合格品入货记录!$A:$A,样品!BD$3,合格品入货记录!$E:$E,样品!$E32)</f>
        <v>0</v>
      </c>
      <c r="BE32" s="32">
        <f>SUMIFS(合格品入货记录!$G:$G,合格品入货记录!$A:$A,样品!BE$3,合格品入货记录!$E:$E,样品!$E32)</f>
        <v>0</v>
      </c>
      <c r="BF32" s="32">
        <f>SUMIFS(合格品入货记录!$G:$G,合格品入货记录!$A:$A,样品!BF$3,合格品入货记录!$E:$E,样品!$E32)</f>
        <v>0</v>
      </c>
      <c r="BG32" s="32">
        <f>SUMIFS(合格品入货记录!$G:$G,合格品入货记录!$A:$A,样品!BG$3,合格品入货记录!$E:$E,样品!$E32)</f>
        <v>0</v>
      </c>
      <c r="BH32" s="32">
        <f>SUMIFS(合格品入货记录!$G:$G,合格品入货记录!$A:$A,样品!BH$3,合格品入货记录!$E:$E,样品!$E32)</f>
        <v>0</v>
      </c>
      <c r="BI32" s="32">
        <f>SUMIFS(合格品入货记录!$G:$G,合格品入货记录!$A:$A,样品!BI$3,合格品入货记录!$E:$E,样品!$E32)</f>
        <v>0</v>
      </c>
      <c r="BJ32" s="32">
        <f>SUMIFS(合格品入货记录!$G:$G,合格品入货记录!$A:$A,样品!BJ$3,合格品入货记录!$E:$E,样品!$E32)</f>
        <v>0</v>
      </c>
      <c r="BK32" s="32">
        <f>SUMIFS(合格品入货记录!$G:$G,合格品入货记录!$A:$A,样品!BK$3,合格品入货记录!$E:$E,样品!$E32)</f>
        <v>0</v>
      </c>
      <c r="BL32" s="32">
        <f>SUMIFS(合格品入货记录!$G:$G,合格品入货记录!$A:$A,样品!BL$3,合格品入货记录!$E:$E,样品!$E32)</f>
        <v>0</v>
      </c>
      <c r="BM32" s="32">
        <f>SUMIFS(合格品入货记录!$G:$G,合格品入货记录!$A:$A,样品!BM$3,合格品入货记录!$E:$E,样品!$E32)</f>
        <v>0</v>
      </c>
      <c r="BN32" s="32">
        <f>SUMIFS(合格品入货记录!$G:$G,合格品入货记录!$A:$A,样品!BN$3,合格品入货记录!$E:$E,样品!$E32)</f>
        <v>0</v>
      </c>
      <c r="BO32" s="32">
        <f>SUMIFS(合格品入货记录!$G:$G,合格品入货记录!$A:$A,样品!BO$3,合格品入货记录!$E:$E,样品!$E32)</f>
        <v>0</v>
      </c>
      <c r="BP32" s="32">
        <f>SUMIFS(合格品入货记录!$G:$G,合格品入货记录!$A:$A,样品!BP$3,合格品入货记录!$E:$E,样品!$E32)</f>
        <v>0</v>
      </c>
      <c r="BQ32" s="32">
        <f>SUMIFS(合格品入货记录!$G:$G,合格品入货记录!$A:$A,样品!BQ$3,合格品入货记录!$E:$E,样品!$E32)</f>
        <v>0</v>
      </c>
      <c r="BR32" s="32">
        <f>SUMIFS(合格品入货记录!$G:$G,合格品入货记录!$A:$A,样品!BR$3,合格品入货记录!$E:$E,样品!$E32)</f>
        <v>0</v>
      </c>
      <c r="BS32" s="32">
        <f>SUMIFS(合格品入货记录!$G:$G,合格品入货记录!$A:$A,样品!BS$3,合格品入货记录!$E:$E,样品!$E32)</f>
        <v>0</v>
      </c>
      <c r="BT32" s="32">
        <f>SUMIFS(合格品入货记录!$G:$G,合格品入货记录!$A:$A,样品!BT$3,合格品入货记录!$E:$E,样品!$E32)</f>
        <v>0</v>
      </c>
      <c r="BU32" s="32">
        <f>SUMIFS(合格品入货记录!$G:$G,合格品入货记录!$A:$A,样品!BU$3,合格品入货记录!$E:$E,样品!$E32)</f>
        <v>0</v>
      </c>
      <c r="BV32" s="32">
        <f>SUMIFS(合格品入货记录!$G:$G,合格品入货记录!$A:$A,样品!BV$3,合格品入货记录!$E:$E,样品!$E32)</f>
        <v>0</v>
      </c>
      <c r="BW32" s="32">
        <f>SUMIFS(合格品入货记录!$G:$G,合格品入货记录!$A:$A,样品!BW$3,合格品入货记录!$E:$E,样品!$E32)</f>
        <v>0</v>
      </c>
      <c r="BX32" s="32">
        <f>SUMIFS(合格品入货记录!$G:$G,合格品入货记录!$A:$A,样品!BX$3,合格品入货记录!$E:$E,样品!$E32)</f>
        <v>0</v>
      </c>
      <c r="BY32" s="32">
        <f>SUMIFS(合格品入货记录!$G:$G,合格品入货记录!$A:$A,样品!BY$3,合格品入货记录!$E:$E,样品!$E32)</f>
        <v>0</v>
      </c>
      <c r="BZ32" s="124"/>
      <c r="CA32" s="124"/>
      <c r="CB32" s="125"/>
      <c r="CC32" s="125"/>
    </row>
    <row r="33" s="90" customFormat="1" customHeight="1" spans="1:81">
      <c r="A33" s="31">
        <v>30</v>
      </c>
      <c r="B33" s="102" t="s">
        <v>19</v>
      </c>
      <c r="C33" s="103" t="s">
        <v>20</v>
      </c>
      <c r="D33" s="32" t="s">
        <v>347</v>
      </c>
      <c r="E33" s="32" t="s">
        <v>348</v>
      </c>
      <c r="F33" s="103" t="s">
        <v>349</v>
      </c>
      <c r="G33" s="32"/>
      <c r="H33" s="32">
        <v>0</v>
      </c>
      <c r="I33" s="112">
        <f>SUMIF(合格品入货记录!E:E,样品!E33,合格品入货记录!G:G)</f>
        <v>0</v>
      </c>
      <c r="J33" s="112">
        <f>SUMIF(合格品出库记录!E:E,样品!E33,合格品出库记录!G:G)</f>
        <v>0</v>
      </c>
      <c r="K33" s="102">
        <f t="shared" si="0"/>
        <v>0</v>
      </c>
      <c r="L33" s="102">
        <f>SUMIF(不良品库存!D:D,E33:E67,不良品库存!F:F)</f>
        <v>0</v>
      </c>
      <c r="M33" s="113">
        <f t="shared" si="1"/>
        <v>0</v>
      </c>
      <c r="N33" s="102"/>
      <c r="O33" s="102"/>
      <c r="P33" s="32">
        <f>IFERROR(SUMIFS(合格品入货记录!$G:$G,合格品入货记录!$A:$A,样品!P$3,合格品入货记录!$E:$E,样品!$E33)," ")</f>
        <v>0</v>
      </c>
      <c r="Q33" s="32">
        <f>SUMIFS(合格品入货记录!$G:$G,合格品入货记录!$A:$A,样品!Q$3,合格品入货记录!$E:$E,样品!$E33)</f>
        <v>0</v>
      </c>
      <c r="R33" s="32">
        <f>SUMIFS(合格品入货记录!$G:$G,合格品入货记录!$A:$A,样品!R$3,合格品入货记录!$E:$E,样品!$E33)</f>
        <v>0</v>
      </c>
      <c r="S33" s="32">
        <f>SUMIFS(合格品入货记录!$G:$G,合格品入货记录!$A:$A,样品!S$3,合格品入货记录!$E:$E,样品!$E33)</f>
        <v>0</v>
      </c>
      <c r="T33" s="32">
        <f>SUMIFS(合格品入货记录!$G:$G,合格品入货记录!$A:$A,样品!T$3,合格品入货记录!$E:$E,样品!$E33)</f>
        <v>0</v>
      </c>
      <c r="U33" s="32">
        <f>SUMIFS(合格品入货记录!$G:$G,合格品入货记录!$A:$A,样品!U$3,合格品入货记录!$E:$E,样品!$E33)</f>
        <v>0</v>
      </c>
      <c r="V33" s="32">
        <f>SUMIFS(合格品入货记录!$G:$G,合格品入货记录!$A:$A,样品!V$3,合格品入货记录!$E:$E,样品!$E33)</f>
        <v>0</v>
      </c>
      <c r="W33" s="32">
        <f>SUMIFS(合格品入货记录!$G:$G,合格品入货记录!$A:$A,样品!W$3,合格品入货记录!$E:$E,样品!$E33)</f>
        <v>0</v>
      </c>
      <c r="X33" s="32">
        <f>SUMIFS(合格品入货记录!$G:$G,合格品入货记录!$A:$A,样品!X$3,合格品入货记录!$E:$E,样品!$E33)</f>
        <v>0</v>
      </c>
      <c r="Y33" s="32">
        <f>SUMIFS(合格品入货记录!$G:$G,合格品入货记录!$A:$A,样品!Y$3,合格品入货记录!$E:$E,样品!$E33)</f>
        <v>0</v>
      </c>
      <c r="Z33" s="32">
        <f>SUMIFS(合格品入货记录!$G:$G,合格品入货记录!$A:$A,样品!Z$3,合格品入货记录!$E:$E,样品!$E33)</f>
        <v>0</v>
      </c>
      <c r="AA33" s="32">
        <f>SUMIFS(合格品入货记录!$G:$G,合格品入货记录!$A:$A,样品!AA$3,合格品入货记录!$E:$E,样品!$E33)</f>
        <v>0</v>
      </c>
      <c r="AB33" s="32">
        <f>SUMIFS(合格品入货记录!$G:$G,合格品入货记录!$A:$A,样品!AB$3,合格品入货记录!$E:$E,样品!$E33)</f>
        <v>0</v>
      </c>
      <c r="AC33" s="32">
        <f>SUMIFS(合格品入货记录!$G:$G,合格品入货记录!$A:$A,样品!AC$3,合格品入货记录!$E:$E,样品!$E33)</f>
        <v>0</v>
      </c>
      <c r="AD33" s="32">
        <f>SUMIFS(合格品入货记录!$G:$G,合格品入货记录!$A:$A,样品!AD$3,合格品入货记录!$E:$E,样品!$E33)</f>
        <v>0</v>
      </c>
      <c r="AE33" s="32">
        <f>SUMIFS(合格品入货记录!$G:$G,合格品入货记录!$A:$A,样品!AE$3,合格品入货记录!$E:$E,样品!$E33)</f>
        <v>0</v>
      </c>
      <c r="AF33" s="32">
        <f>SUMIFS(合格品入货记录!$G:$G,合格品入货记录!$A:$A,样品!AF$3,合格品入货记录!$E:$E,样品!$E33)</f>
        <v>0</v>
      </c>
      <c r="AG33" s="32">
        <f>SUMIFS(合格品入货记录!$G:$G,合格品入货记录!$A:$A,样品!AG$3,合格品入货记录!$E:$E,样品!$E33)</f>
        <v>0</v>
      </c>
      <c r="AH33" s="32">
        <f>SUMIFS(合格品入货记录!$G:$G,合格品入货记录!$A:$A,样品!AH$3,合格品入货记录!$E:$E,样品!$E33)</f>
        <v>0</v>
      </c>
      <c r="AI33" s="32">
        <f>SUMIFS(合格品入货记录!$G:$G,合格品入货记录!$A:$A,样品!AI$3,合格品入货记录!$E:$E,样品!$E33)</f>
        <v>0</v>
      </c>
      <c r="AJ33" s="32">
        <f>SUMIFS(合格品入货记录!$G:$G,合格品入货记录!$A:$A,样品!AJ$3,合格品入货记录!$E:$E,样品!$E33)</f>
        <v>0</v>
      </c>
      <c r="AK33" s="32">
        <f>SUMIFS(合格品入货记录!$G:$G,合格品入货记录!$A:$A,样品!AK$3,合格品入货记录!$E:$E,样品!$E33)</f>
        <v>0</v>
      </c>
      <c r="AL33" s="32">
        <f>SUMIFS(合格品入货记录!$G:$G,合格品入货记录!$A:$A,样品!AL$3,合格品入货记录!$E:$E,样品!$E33)</f>
        <v>0</v>
      </c>
      <c r="AM33" s="32">
        <f>SUMIFS(合格品入货记录!$G:$G,合格品入货记录!$A:$A,样品!AM$3,合格品入货记录!$E:$E,样品!$E33)</f>
        <v>0</v>
      </c>
      <c r="AN33" s="32">
        <f>SUMIFS(合格品入货记录!$G:$G,合格品入货记录!$A:$A,样品!AN$3,合格品入货记录!$E:$E,样品!$E33)</f>
        <v>0</v>
      </c>
      <c r="AO33" s="32">
        <f>SUMIFS(合格品入货记录!$G:$G,合格品入货记录!$A:$A,样品!AO$3,合格品入货记录!$E:$E,样品!$E33)</f>
        <v>0</v>
      </c>
      <c r="AP33" s="32">
        <f>SUMIFS(合格品入货记录!$G:$G,合格品入货记录!$A:$A,样品!AP$3,合格品入货记录!$E:$E,样品!$E33)</f>
        <v>0</v>
      </c>
      <c r="AQ33" s="32">
        <f>SUMIFS(合格品入货记录!$G:$G,合格品入货记录!$A:$A,样品!AQ$3,合格品入货记录!$E:$E,样品!$E33)</f>
        <v>0</v>
      </c>
      <c r="AR33" s="32">
        <f>SUMIFS(合格品入货记录!$G:$G,合格品入货记录!$A:$A,样品!AR$3,合格品入货记录!$E:$E,样品!$E33)</f>
        <v>0</v>
      </c>
      <c r="AS33" s="32">
        <f>SUMIFS(合格品入货记录!$G:$G,合格品入货记录!$A:$A,样品!AS$3,合格品入货记录!$E:$E,样品!$E33)</f>
        <v>0</v>
      </c>
      <c r="AT33" s="32">
        <f>SUMIFS(合格品入货记录!$G:$G,合格品入货记录!$A:$A,样品!AT$3,合格品入货记录!$E:$E,样品!$E33)</f>
        <v>0</v>
      </c>
      <c r="AU33" s="32">
        <f>SUMIFS(合格品入货记录!$G:$G,合格品入货记录!$A:$A,样品!AU$3,合格品入货记录!$E:$E,样品!$E33)</f>
        <v>0</v>
      </c>
      <c r="AV33" s="32">
        <f>SUMIFS(合格品入货记录!$G:$G,合格品入货记录!$A:$A,样品!AV$3,合格品入货记录!$E:$E,样品!$E33)</f>
        <v>0</v>
      </c>
      <c r="AW33" s="32">
        <f>SUMIFS(合格品入货记录!$G:$G,合格品入货记录!$A:$A,样品!AW$3,合格品入货记录!$E:$E,样品!$E33)</f>
        <v>0</v>
      </c>
      <c r="AX33" s="32">
        <f>SUMIFS(合格品入货记录!$G:$G,合格品入货记录!$A:$A,样品!AX$3,合格品入货记录!$E:$E,样品!$E33)</f>
        <v>0</v>
      </c>
      <c r="AY33" s="32">
        <f>SUMIFS(合格品入货记录!$G:$G,合格品入货记录!$A:$A,样品!AY$3,合格品入货记录!$E:$E,样品!$E33)</f>
        <v>0</v>
      </c>
      <c r="AZ33" s="32">
        <f>SUMIFS(合格品入货记录!$G:$G,合格品入货记录!$A:$A,样品!AZ$3,合格品入货记录!$E:$E,样品!$E33)</f>
        <v>0</v>
      </c>
      <c r="BA33" s="32">
        <f>SUMIFS(合格品入货记录!$G:$G,合格品入货记录!$A:$A,样品!BA$3,合格品入货记录!$E:$E,样品!$E33)</f>
        <v>0</v>
      </c>
      <c r="BB33" s="32">
        <f>SUMIFS(合格品入货记录!$G:$G,合格品入货记录!$A:$A,样品!BB$3,合格品入货记录!$E:$E,样品!$E33)</f>
        <v>0</v>
      </c>
      <c r="BC33" s="32">
        <f>SUMIFS(合格品入货记录!$G:$G,合格品入货记录!$A:$A,样品!BC$3,合格品入货记录!$E:$E,样品!$E33)</f>
        <v>0</v>
      </c>
      <c r="BD33" s="32">
        <f>SUMIFS(合格品入货记录!$G:$G,合格品入货记录!$A:$A,样品!BD$3,合格品入货记录!$E:$E,样品!$E33)</f>
        <v>0</v>
      </c>
      <c r="BE33" s="32">
        <f>SUMIFS(合格品入货记录!$G:$G,合格品入货记录!$A:$A,样品!BE$3,合格品入货记录!$E:$E,样品!$E33)</f>
        <v>0</v>
      </c>
      <c r="BF33" s="32">
        <f>SUMIFS(合格品入货记录!$G:$G,合格品入货记录!$A:$A,样品!BF$3,合格品入货记录!$E:$E,样品!$E33)</f>
        <v>0</v>
      </c>
      <c r="BG33" s="32">
        <f>SUMIFS(合格品入货记录!$G:$G,合格品入货记录!$A:$A,样品!BG$3,合格品入货记录!$E:$E,样品!$E33)</f>
        <v>0</v>
      </c>
      <c r="BH33" s="32">
        <f>SUMIFS(合格品入货记录!$G:$G,合格品入货记录!$A:$A,样品!BH$3,合格品入货记录!$E:$E,样品!$E33)</f>
        <v>0</v>
      </c>
      <c r="BI33" s="32">
        <f>SUMIFS(合格品入货记录!$G:$G,合格品入货记录!$A:$A,样品!BI$3,合格品入货记录!$E:$E,样品!$E33)</f>
        <v>0</v>
      </c>
      <c r="BJ33" s="32">
        <f>SUMIFS(合格品入货记录!$G:$G,合格品入货记录!$A:$A,样品!BJ$3,合格品入货记录!$E:$E,样品!$E33)</f>
        <v>0</v>
      </c>
      <c r="BK33" s="32">
        <f>SUMIFS(合格品入货记录!$G:$G,合格品入货记录!$A:$A,样品!BK$3,合格品入货记录!$E:$E,样品!$E33)</f>
        <v>0</v>
      </c>
      <c r="BL33" s="32">
        <f>SUMIFS(合格品入货记录!$G:$G,合格品入货记录!$A:$A,样品!BL$3,合格品入货记录!$E:$E,样品!$E33)</f>
        <v>0</v>
      </c>
      <c r="BM33" s="32">
        <f>SUMIFS(合格品入货记录!$G:$G,合格品入货记录!$A:$A,样品!BM$3,合格品入货记录!$E:$E,样品!$E33)</f>
        <v>0</v>
      </c>
      <c r="BN33" s="32">
        <f>SUMIFS(合格品入货记录!$G:$G,合格品入货记录!$A:$A,样品!BN$3,合格品入货记录!$E:$E,样品!$E33)</f>
        <v>0</v>
      </c>
      <c r="BO33" s="32">
        <f>SUMIFS(合格品入货记录!$G:$G,合格品入货记录!$A:$A,样品!BO$3,合格品入货记录!$E:$E,样品!$E33)</f>
        <v>0</v>
      </c>
      <c r="BP33" s="32">
        <f>SUMIFS(合格品入货记录!$G:$G,合格品入货记录!$A:$A,样品!BP$3,合格品入货记录!$E:$E,样品!$E33)</f>
        <v>0</v>
      </c>
      <c r="BQ33" s="32">
        <f>SUMIFS(合格品入货记录!$G:$G,合格品入货记录!$A:$A,样品!BQ$3,合格品入货记录!$E:$E,样品!$E33)</f>
        <v>0</v>
      </c>
      <c r="BR33" s="32">
        <f>SUMIFS(合格品入货记录!$G:$G,合格品入货记录!$A:$A,样品!BR$3,合格品入货记录!$E:$E,样品!$E33)</f>
        <v>0</v>
      </c>
      <c r="BS33" s="32">
        <f>SUMIFS(合格品入货记录!$G:$G,合格品入货记录!$A:$A,样品!BS$3,合格品入货记录!$E:$E,样品!$E33)</f>
        <v>0</v>
      </c>
      <c r="BT33" s="32">
        <f>SUMIFS(合格品入货记录!$G:$G,合格品入货记录!$A:$A,样品!BT$3,合格品入货记录!$E:$E,样品!$E33)</f>
        <v>0</v>
      </c>
      <c r="BU33" s="32">
        <f>SUMIFS(合格品入货记录!$G:$G,合格品入货记录!$A:$A,样品!BU$3,合格品入货记录!$E:$E,样品!$E33)</f>
        <v>0</v>
      </c>
      <c r="BV33" s="32">
        <f>SUMIFS(合格品入货记录!$G:$G,合格品入货记录!$A:$A,样品!BV$3,合格品入货记录!$E:$E,样品!$E33)</f>
        <v>0</v>
      </c>
      <c r="BW33" s="32">
        <f>SUMIFS(合格品入货记录!$G:$G,合格品入货记录!$A:$A,样品!BW$3,合格品入货记录!$E:$E,样品!$E33)</f>
        <v>0</v>
      </c>
      <c r="BX33" s="32">
        <f>SUMIFS(合格品入货记录!$G:$G,合格品入货记录!$A:$A,样品!BX$3,合格品入货记录!$E:$E,样品!$E33)</f>
        <v>0</v>
      </c>
      <c r="BY33" s="32">
        <f>SUMIFS(合格品入货记录!$G:$G,合格品入货记录!$A:$A,样品!BY$3,合格品入货记录!$E:$E,样品!$E33)</f>
        <v>0</v>
      </c>
      <c r="BZ33" s="123"/>
      <c r="CA33" s="123"/>
      <c r="CB33" s="125"/>
      <c r="CC33" s="125"/>
    </row>
    <row r="34" customHeight="1" spans="1:82">
      <c r="A34" s="31">
        <v>31</v>
      </c>
      <c r="B34" s="104" t="s">
        <v>19</v>
      </c>
      <c r="C34" s="105" t="s">
        <v>20</v>
      </c>
      <c r="D34" s="32" t="s">
        <v>350</v>
      </c>
      <c r="E34" s="31" t="s">
        <v>351</v>
      </c>
      <c r="F34" s="105" t="s">
        <v>352</v>
      </c>
      <c r="G34" s="31"/>
      <c r="H34" s="31">
        <v>0</v>
      </c>
      <c r="I34" s="106">
        <f>SUMIF(合格品入货记录!E:E,样品!E34,合格品入货记录!G:G)</f>
        <v>0</v>
      </c>
      <c r="J34" s="106">
        <f>SUMIF(合格品出库记录!E:E,样品!E34,合格品出库记录!G:G)</f>
        <v>0</v>
      </c>
      <c r="K34" s="102">
        <f t="shared" si="0"/>
        <v>0</v>
      </c>
      <c r="L34" s="102">
        <f>SUMIF(不良品库存!D:D,E34:E68,不良品库存!F:F)</f>
        <v>0</v>
      </c>
      <c r="M34" s="113">
        <f t="shared" si="1"/>
        <v>0</v>
      </c>
      <c r="N34" s="31"/>
      <c r="P34" s="32">
        <f>IFERROR(SUMIFS(合格品入货记录!$G:$G,合格品入货记录!$A:$A,样品!P$3,合格品入货记录!$E:$E,样品!$E34)," ")</f>
        <v>0</v>
      </c>
      <c r="Q34" s="32">
        <f>SUMIFS(合格品入货记录!$G:$G,合格品入货记录!$A:$A,样品!Q$3,合格品入货记录!$E:$E,样品!$E34)</f>
        <v>0</v>
      </c>
      <c r="R34" s="32">
        <f>SUMIFS(合格品入货记录!$G:$G,合格品入货记录!$A:$A,样品!R$3,合格品入货记录!$E:$E,样品!$E34)</f>
        <v>0</v>
      </c>
      <c r="S34" s="32">
        <f>SUMIFS(合格品入货记录!$G:$G,合格品入货记录!$A:$A,样品!S$3,合格品入货记录!$E:$E,样品!$E34)</f>
        <v>0</v>
      </c>
      <c r="T34" s="32">
        <f>SUMIFS(合格品入货记录!$G:$G,合格品入货记录!$A:$A,样品!T$3,合格品入货记录!$E:$E,样品!$E34)</f>
        <v>0</v>
      </c>
      <c r="U34" s="32">
        <f>SUMIFS(合格品入货记录!$G:$G,合格品入货记录!$A:$A,样品!U$3,合格品入货记录!$E:$E,样品!$E34)</f>
        <v>0</v>
      </c>
      <c r="V34" s="32">
        <f>SUMIFS(合格品入货记录!$G:$G,合格品入货记录!$A:$A,样品!V$3,合格品入货记录!$E:$E,样品!$E34)</f>
        <v>0</v>
      </c>
      <c r="W34" s="32">
        <f>SUMIFS(合格品入货记录!$G:$G,合格品入货记录!$A:$A,样品!W$3,合格品入货记录!$E:$E,样品!$E34)</f>
        <v>0</v>
      </c>
      <c r="X34" s="32">
        <f>SUMIFS(合格品入货记录!$G:$G,合格品入货记录!$A:$A,样品!X$3,合格品入货记录!$E:$E,样品!$E34)</f>
        <v>0</v>
      </c>
      <c r="Y34" s="32">
        <f>SUMIFS(合格品入货记录!$G:$G,合格品入货记录!$A:$A,样品!Y$3,合格品入货记录!$E:$E,样品!$E34)</f>
        <v>0</v>
      </c>
      <c r="Z34" s="32">
        <f>SUMIFS(合格品入货记录!$G:$G,合格品入货记录!$A:$A,样品!Z$3,合格品入货记录!$E:$E,样品!$E34)</f>
        <v>0</v>
      </c>
      <c r="AA34" s="32">
        <f>SUMIFS(合格品入货记录!$G:$G,合格品入货记录!$A:$A,样品!AA$3,合格品入货记录!$E:$E,样品!$E34)</f>
        <v>0</v>
      </c>
      <c r="AB34" s="32">
        <f>SUMIFS(合格品入货记录!$G:$G,合格品入货记录!$A:$A,样品!AB$3,合格品入货记录!$E:$E,样品!$E34)</f>
        <v>0</v>
      </c>
      <c r="AC34" s="32">
        <f>SUMIFS(合格品入货记录!$G:$G,合格品入货记录!$A:$A,样品!AC$3,合格品入货记录!$E:$E,样品!$E34)</f>
        <v>0</v>
      </c>
      <c r="AD34" s="32">
        <f>SUMIFS(合格品入货记录!$G:$G,合格品入货记录!$A:$A,样品!AD$3,合格品入货记录!$E:$E,样品!$E34)</f>
        <v>0</v>
      </c>
      <c r="AE34" s="32">
        <f>SUMIFS(合格品入货记录!$G:$G,合格品入货记录!$A:$A,样品!AE$3,合格品入货记录!$E:$E,样品!$E34)</f>
        <v>0</v>
      </c>
      <c r="AF34" s="32">
        <f>SUMIFS(合格品入货记录!$G:$G,合格品入货记录!$A:$A,样品!AF$3,合格品入货记录!$E:$E,样品!$E34)</f>
        <v>0</v>
      </c>
      <c r="AG34" s="32">
        <f>SUMIFS(合格品入货记录!$G:$G,合格品入货记录!$A:$A,样品!AG$3,合格品入货记录!$E:$E,样品!$E34)</f>
        <v>0</v>
      </c>
      <c r="AH34" s="32">
        <f>SUMIFS(合格品入货记录!$G:$G,合格品入货记录!$A:$A,样品!AH$3,合格品入货记录!$E:$E,样品!$E34)</f>
        <v>0</v>
      </c>
      <c r="AI34" s="32">
        <f>SUMIFS(合格品入货记录!$G:$G,合格品入货记录!$A:$A,样品!AI$3,合格品入货记录!$E:$E,样品!$E34)</f>
        <v>0</v>
      </c>
      <c r="AJ34" s="32">
        <f>SUMIFS(合格品入货记录!$G:$G,合格品入货记录!$A:$A,样品!AJ$3,合格品入货记录!$E:$E,样品!$E34)</f>
        <v>0</v>
      </c>
      <c r="AK34" s="32">
        <f>SUMIFS(合格品入货记录!$G:$G,合格品入货记录!$A:$A,样品!AK$3,合格品入货记录!$E:$E,样品!$E34)</f>
        <v>0</v>
      </c>
      <c r="AL34" s="32">
        <f>SUMIFS(合格品入货记录!$G:$G,合格品入货记录!$A:$A,样品!AL$3,合格品入货记录!$E:$E,样品!$E34)</f>
        <v>0</v>
      </c>
      <c r="AM34" s="32">
        <f>SUMIFS(合格品入货记录!$G:$G,合格品入货记录!$A:$A,样品!AM$3,合格品入货记录!$E:$E,样品!$E34)</f>
        <v>0</v>
      </c>
      <c r="AN34" s="32">
        <f>SUMIFS(合格品入货记录!$G:$G,合格品入货记录!$A:$A,样品!AN$3,合格品入货记录!$E:$E,样品!$E34)</f>
        <v>0</v>
      </c>
      <c r="AO34" s="32">
        <f>SUMIFS(合格品入货记录!$G:$G,合格品入货记录!$A:$A,样品!AO$3,合格品入货记录!$E:$E,样品!$E34)</f>
        <v>0</v>
      </c>
      <c r="AP34" s="32">
        <f>SUMIFS(合格品入货记录!$G:$G,合格品入货记录!$A:$A,样品!AP$3,合格品入货记录!$E:$E,样品!$E34)</f>
        <v>0</v>
      </c>
      <c r="AQ34" s="32">
        <f>SUMIFS(合格品入货记录!$G:$G,合格品入货记录!$A:$A,样品!AQ$3,合格品入货记录!$E:$E,样品!$E34)</f>
        <v>0</v>
      </c>
      <c r="AR34" s="32">
        <f>SUMIFS(合格品入货记录!$G:$G,合格品入货记录!$A:$A,样品!AR$3,合格品入货记录!$E:$E,样品!$E34)</f>
        <v>0</v>
      </c>
      <c r="AS34" s="32">
        <f>SUMIFS(合格品入货记录!$G:$G,合格品入货记录!$A:$A,样品!AS$3,合格品入货记录!$E:$E,样品!$E34)</f>
        <v>0</v>
      </c>
      <c r="AT34" s="32">
        <f>SUMIFS(合格品入货记录!$G:$G,合格品入货记录!$A:$A,样品!AT$3,合格品入货记录!$E:$E,样品!$E34)</f>
        <v>0</v>
      </c>
      <c r="AU34" s="32">
        <f>SUMIFS(合格品入货记录!$G:$G,合格品入货记录!$A:$A,样品!AU$3,合格品入货记录!$E:$E,样品!$E34)</f>
        <v>0</v>
      </c>
      <c r="AV34" s="32">
        <f>SUMIFS(合格品入货记录!$G:$G,合格品入货记录!$A:$A,样品!AV$3,合格品入货记录!$E:$E,样品!$E34)</f>
        <v>0</v>
      </c>
      <c r="AW34" s="32">
        <f>SUMIFS(合格品入货记录!$G:$G,合格品入货记录!$A:$A,样品!AW$3,合格品入货记录!$E:$E,样品!$E34)</f>
        <v>0</v>
      </c>
      <c r="AX34" s="32">
        <f>SUMIFS(合格品入货记录!$G:$G,合格品入货记录!$A:$A,样品!AX$3,合格品入货记录!$E:$E,样品!$E34)</f>
        <v>0</v>
      </c>
      <c r="AY34" s="32">
        <f>SUMIFS(合格品入货记录!$G:$G,合格品入货记录!$A:$A,样品!AY$3,合格品入货记录!$E:$E,样品!$E34)</f>
        <v>0</v>
      </c>
      <c r="AZ34" s="32">
        <f>SUMIFS(合格品入货记录!$G:$G,合格品入货记录!$A:$A,样品!AZ$3,合格品入货记录!$E:$E,样品!$E34)</f>
        <v>0</v>
      </c>
      <c r="BA34" s="32">
        <f>SUMIFS(合格品入货记录!$G:$G,合格品入货记录!$A:$A,样品!BA$3,合格品入货记录!$E:$E,样品!$E34)</f>
        <v>0</v>
      </c>
      <c r="BB34" s="32">
        <f>SUMIFS(合格品入货记录!$G:$G,合格品入货记录!$A:$A,样品!BB$3,合格品入货记录!$E:$E,样品!$E34)</f>
        <v>0</v>
      </c>
      <c r="BC34" s="32">
        <f>SUMIFS(合格品入货记录!$G:$G,合格品入货记录!$A:$A,样品!BC$3,合格品入货记录!$E:$E,样品!$E34)</f>
        <v>0</v>
      </c>
      <c r="BD34" s="32">
        <f>SUMIFS(合格品入货记录!$G:$G,合格品入货记录!$A:$A,样品!BD$3,合格品入货记录!$E:$E,样品!$E34)</f>
        <v>0</v>
      </c>
      <c r="BE34" s="32">
        <f>SUMIFS(合格品入货记录!$G:$G,合格品入货记录!$A:$A,样品!BE$3,合格品入货记录!$E:$E,样品!$E34)</f>
        <v>0</v>
      </c>
      <c r="BF34" s="32">
        <f>SUMIFS(合格品入货记录!$G:$G,合格品入货记录!$A:$A,样品!BF$3,合格品入货记录!$E:$E,样品!$E34)</f>
        <v>0</v>
      </c>
      <c r="BG34" s="32">
        <f>SUMIFS(合格品入货记录!$G:$G,合格品入货记录!$A:$A,样品!BG$3,合格品入货记录!$E:$E,样品!$E34)</f>
        <v>0</v>
      </c>
      <c r="BH34" s="32">
        <f>SUMIFS(合格品入货记录!$G:$G,合格品入货记录!$A:$A,样品!BH$3,合格品入货记录!$E:$E,样品!$E34)</f>
        <v>0</v>
      </c>
      <c r="BI34" s="32">
        <f>SUMIFS(合格品入货记录!$G:$G,合格品入货记录!$A:$A,样品!BI$3,合格品入货记录!$E:$E,样品!$E34)</f>
        <v>0</v>
      </c>
      <c r="BJ34" s="32">
        <f>SUMIFS(合格品入货记录!$G:$G,合格品入货记录!$A:$A,样品!BJ$3,合格品入货记录!$E:$E,样品!$E34)</f>
        <v>0</v>
      </c>
      <c r="BK34" s="32">
        <f>SUMIFS(合格品入货记录!$G:$G,合格品入货记录!$A:$A,样品!BK$3,合格品入货记录!$E:$E,样品!$E34)</f>
        <v>0</v>
      </c>
      <c r="BL34" s="32">
        <f>SUMIFS(合格品入货记录!$G:$G,合格品入货记录!$A:$A,样品!BL$3,合格品入货记录!$E:$E,样品!$E34)</f>
        <v>0</v>
      </c>
      <c r="BM34" s="32">
        <f>SUMIFS(合格品入货记录!$G:$G,合格品入货记录!$A:$A,样品!BM$3,合格品入货记录!$E:$E,样品!$E34)</f>
        <v>0</v>
      </c>
      <c r="BN34" s="32">
        <f>SUMIFS(合格品入货记录!$G:$G,合格品入货记录!$A:$A,样品!BN$3,合格品入货记录!$E:$E,样品!$E34)</f>
        <v>0</v>
      </c>
      <c r="BO34" s="32">
        <f>SUMIFS(合格品入货记录!$G:$G,合格品入货记录!$A:$A,样品!BO$3,合格品入货记录!$E:$E,样品!$E34)</f>
        <v>0</v>
      </c>
      <c r="BP34" s="32">
        <f>SUMIFS(合格品入货记录!$G:$G,合格品入货记录!$A:$A,样品!BP$3,合格品入货记录!$E:$E,样品!$E34)</f>
        <v>0</v>
      </c>
      <c r="BQ34" s="32">
        <f>SUMIFS(合格品入货记录!$G:$G,合格品入货记录!$A:$A,样品!BQ$3,合格品入货记录!$E:$E,样品!$E34)</f>
        <v>0</v>
      </c>
      <c r="BR34" s="32">
        <f>SUMIFS(合格品入货记录!$G:$G,合格品入货记录!$A:$A,样品!BR$3,合格品入货记录!$E:$E,样品!$E34)</f>
        <v>0</v>
      </c>
      <c r="BS34" s="32">
        <f>SUMIFS(合格品入货记录!$G:$G,合格品入货记录!$A:$A,样品!BS$3,合格品入货记录!$E:$E,样品!$E34)</f>
        <v>0</v>
      </c>
      <c r="BT34" s="32">
        <f>SUMIFS(合格品入货记录!$G:$G,合格品入货记录!$A:$A,样品!BT$3,合格品入货记录!$E:$E,样品!$E34)</f>
        <v>0</v>
      </c>
      <c r="BU34" s="32">
        <f>SUMIFS(合格品入货记录!$G:$G,合格品入货记录!$A:$A,样品!BU$3,合格品入货记录!$E:$E,样品!$E34)</f>
        <v>0</v>
      </c>
      <c r="BV34" s="32">
        <f>SUMIFS(合格品入货记录!$G:$G,合格品入货记录!$A:$A,样品!BV$3,合格品入货记录!$E:$E,样品!$E34)</f>
        <v>0</v>
      </c>
      <c r="BW34" s="32">
        <f>SUMIFS(合格品入货记录!$G:$G,合格品入货记录!$A:$A,样品!BW$3,合格品入货记录!$E:$E,样品!$E34)</f>
        <v>0</v>
      </c>
      <c r="BX34" s="32">
        <f>SUMIFS(合格品入货记录!$G:$G,合格品入货记录!$A:$A,样品!BX$3,合格品入货记录!$E:$E,样品!$E34)</f>
        <v>0</v>
      </c>
      <c r="BY34" s="32">
        <f>SUMIFS(合格品入货记录!$G:$G,合格品入货记录!$A:$A,样品!BY$3,合格品入货记录!$E:$E,样品!$E34)</f>
        <v>0</v>
      </c>
      <c r="BZ34" s="124"/>
      <c r="CA34" s="124"/>
      <c r="CD34" s="90"/>
    </row>
    <row r="35" s="90" customFormat="1" customHeight="1" spans="1:81">
      <c r="A35" s="31">
        <v>32</v>
      </c>
      <c r="B35" s="104" t="s">
        <v>19</v>
      </c>
      <c r="C35" s="105" t="s">
        <v>20</v>
      </c>
      <c r="D35" s="32" t="s">
        <v>353</v>
      </c>
      <c r="E35" s="31" t="s">
        <v>354</v>
      </c>
      <c r="F35" s="105" t="s">
        <v>355</v>
      </c>
      <c r="G35" s="31"/>
      <c r="H35" s="31">
        <v>0</v>
      </c>
      <c r="I35" s="106">
        <f>SUMIF(合格品入货记录!E:E,样品!E35,合格品入货记录!G:G)</f>
        <v>0</v>
      </c>
      <c r="J35" s="106">
        <f>SUMIF(合格品出库记录!E:E,样品!E35,合格品出库记录!G:G)</f>
        <v>0</v>
      </c>
      <c r="K35" s="102">
        <f t="shared" si="0"/>
        <v>0</v>
      </c>
      <c r="L35" s="102">
        <f>SUMIF(不良品库存!D:D,E35:E69,不良品库存!F:F)</f>
        <v>0</v>
      </c>
      <c r="M35" s="113">
        <f t="shared" si="1"/>
        <v>0</v>
      </c>
      <c r="N35" s="31"/>
      <c r="O35" s="104"/>
      <c r="P35" s="32">
        <f>IFERROR(SUMIFS(合格品入货记录!$G:$G,合格品入货记录!$A:$A,样品!P$3,合格品入货记录!$E:$E,样品!$E35)," ")</f>
        <v>0</v>
      </c>
      <c r="Q35" s="32">
        <f>SUMIFS(合格品入货记录!$G:$G,合格品入货记录!$A:$A,样品!Q$3,合格品入货记录!$E:$E,样品!$E35)</f>
        <v>0</v>
      </c>
      <c r="R35" s="32">
        <f>SUMIFS(合格品入货记录!$G:$G,合格品入货记录!$A:$A,样品!R$3,合格品入货记录!$E:$E,样品!$E35)</f>
        <v>0</v>
      </c>
      <c r="S35" s="32">
        <f>SUMIFS(合格品入货记录!$G:$G,合格品入货记录!$A:$A,样品!S$3,合格品入货记录!$E:$E,样品!$E35)</f>
        <v>0</v>
      </c>
      <c r="T35" s="32">
        <f>SUMIFS(合格品入货记录!$G:$G,合格品入货记录!$A:$A,样品!T$3,合格品入货记录!$E:$E,样品!$E35)</f>
        <v>0</v>
      </c>
      <c r="U35" s="32">
        <f>SUMIFS(合格品入货记录!$G:$G,合格品入货记录!$A:$A,样品!U$3,合格品入货记录!$E:$E,样品!$E35)</f>
        <v>0</v>
      </c>
      <c r="V35" s="32">
        <f>SUMIFS(合格品入货记录!$G:$G,合格品入货记录!$A:$A,样品!V$3,合格品入货记录!$E:$E,样品!$E35)</f>
        <v>0</v>
      </c>
      <c r="W35" s="32">
        <f>SUMIFS(合格品入货记录!$G:$G,合格品入货记录!$A:$A,样品!W$3,合格品入货记录!$E:$E,样品!$E35)</f>
        <v>0</v>
      </c>
      <c r="X35" s="32">
        <f>SUMIFS(合格品入货记录!$G:$G,合格品入货记录!$A:$A,样品!X$3,合格品入货记录!$E:$E,样品!$E35)</f>
        <v>0</v>
      </c>
      <c r="Y35" s="32">
        <f>SUMIFS(合格品入货记录!$G:$G,合格品入货记录!$A:$A,样品!Y$3,合格品入货记录!$E:$E,样品!$E35)</f>
        <v>0</v>
      </c>
      <c r="Z35" s="32">
        <f>SUMIFS(合格品入货记录!$G:$G,合格品入货记录!$A:$A,样品!Z$3,合格品入货记录!$E:$E,样品!$E35)</f>
        <v>0</v>
      </c>
      <c r="AA35" s="32">
        <f>SUMIFS(合格品入货记录!$G:$G,合格品入货记录!$A:$A,样品!AA$3,合格品入货记录!$E:$E,样品!$E35)</f>
        <v>0</v>
      </c>
      <c r="AB35" s="32">
        <f>SUMIFS(合格品入货记录!$G:$G,合格品入货记录!$A:$A,样品!AB$3,合格品入货记录!$E:$E,样品!$E35)</f>
        <v>0</v>
      </c>
      <c r="AC35" s="32">
        <f>SUMIFS(合格品入货记录!$G:$G,合格品入货记录!$A:$A,样品!AC$3,合格品入货记录!$E:$E,样品!$E35)</f>
        <v>0</v>
      </c>
      <c r="AD35" s="32">
        <f>SUMIFS(合格品入货记录!$G:$G,合格品入货记录!$A:$A,样品!AD$3,合格品入货记录!$E:$E,样品!$E35)</f>
        <v>0</v>
      </c>
      <c r="AE35" s="32">
        <f>SUMIFS(合格品入货记录!$G:$G,合格品入货记录!$A:$A,样品!AE$3,合格品入货记录!$E:$E,样品!$E35)</f>
        <v>0</v>
      </c>
      <c r="AF35" s="32">
        <f>SUMIFS(合格品入货记录!$G:$G,合格品入货记录!$A:$A,样品!AF$3,合格品入货记录!$E:$E,样品!$E35)</f>
        <v>0</v>
      </c>
      <c r="AG35" s="32">
        <f>SUMIFS(合格品入货记录!$G:$G,合格品入货记录!$A:$A,样品!AG$3,合格品入货记录!$E:$E,样品!$E35)</f>
        <v>0</v>
      </c>
      <c r="AH35" s="32">
        <f>SUMIFS(合格品入货记录!$G:$G,合格品入货记录!$A:$A,样品!AH$3,合格品入货记录!$E:$E,样品!$E35)</f>
        <v>0</v>
      </c>
      <c r="AI35" s="32">
        <f>SUMIFS(合格品入货记录!$G:$G,合格品入货记录!$A:$A,样品!AI$3,合格品入货记录!$E:$E,样品!$E35)</f>
        <v>0</v>
      </c>
      <c r="AJ35" s="32">
        <f>SUMIFS(合格品入货记录!$G:$G,合格品入货记录!$A:$A,样品!AJ$3,合格品入货记录!$E:$E,样品!$E35)</f>
        <v>0</v>
      </c>
      <c r="AK35" s="32">
        <f>SUMIFS(合格品入货记录!$G:$G,合格品入货记录!$A:$A,样品!AK$3,合格品入货记录!$E:$E,样品!$E35)</f>
        <v>0</v>
      </c>
      <c r="AL35" s="32">
        <f>SUMIFS(合格品入货记录!$G:$G,合格品入货记录!$A:$A,样品!AL$3,合格品入货记录!$E:$E,样品!$E35)</f>
        <v>0</v>
      </c>
      <c r="AM35" s="32">
        <f>SUMIFS(合格品入货记录!$G:$G,合格品入货记录!$A:$A,样品!AM$3,合格品入货记录!$E:$E,样品!$E35)</f>
        <v>0</v>
      </c>
      <c r="AN35" s="32">
        <f>SUMIFS(合格品入货记录!$G:$G,合格品入货记录!$A:$A,样品!AN$3,合格品入货记录!$E:$E,样品!$E35)</f>
        <v>0</v>
      </c>
      <c r="AO35" s="32">
        <f>SUMIFS(合格品入货记录!$G:$G,合格品入货记录!$A:$A,样品!AO$3,合格品入货记录!$E:$E,样品!$E35)</f>
        <v>0</v>
      </c>
      <c r="AP35" s="32">
        <f>SUMIFS(合格品入货记录!$G:$G,合格品入货记录!$A:$A,样品!AP$3,合格品入货记录!$E:$E,样品!$E35)</f>
        <v>0</v>
      </c>
      <c r="AQ35" s="32">
        <f>SUMIFS(合格品入货记录!$G:$G,合格品入货记录!$A:$A,样品!AQ$3,合格品入货记录!$E:$E,样品!$E35)</f>
        <v>0</v>
      </c>
      <c r="AR35" s="32">
        <f>SUMIFS(合格品入货记录!$G:$G,合格品入货记录!$A:$A,样品!AR$3,合格品入货记录!$E:$E,样品!$E35)</f>
        <v>0</v>
      </c>
      <c r="AS35" s="32">
        <f>SUMIFS(合格品入货记录!$G:$G,合格品入货记录!$A:$A,样品!AS$3,合格品入货记录!$E:$E,样品!$E35)</f>
        <v>0</v>
      </c>
      <c r="AT35" s="32">
        <f>SUMIFS(合格品入货记录!$G:$G,合格品入货记录!$A:$A,样品!AT$3,合格品入货记录!$E:$E,样品!$E35)</f>
        <v>0</v>
      </c>
      <c r="AU35" s="32">
        <f>SUMIFS(合格品入货记录!$G:$G,合格品入货记录!$A:$A,样品!AU$3,合格品入货记录!$E:$E,样品!$E35)</f>
        <v>0</v>
      </c>
      <c r="AV35" s="32">
        <f>SUMIFS(合格品入货记录!$G:$G,合格品入货记录!$A:$A,样品!AV$3,合格品入货记录!$E:$E,样品!$E35)</f>
        <v>0</v>
      </c>
      <c r="AW35" s="32">
        <f>SUMIFS(合格品入货记录!$G:$G,合格品入货记录!$A:$A,样品!AW$3,合格品入货记录!$E:$E,样品!$E35)</f>
        <v>0</v>
      </c>
      <c r="AX35" s="32">
        <f>SUMIFS(合格品入货记录!$G:$G,合格品入货记录!$A:$A,样品!AX$3,合格品入货记录!$E:$E,样品!$E35)</f>
        <v>0</v>
      </c>
      <c r="AY35" s="32">
        <f>SUMIFS(合格品入货记录!$G:$G,合格品入货记录!$A:$A,样品!AY$3,合格品入货记录!$E:$E,样品!$E35)</f>
        <v>0</v>
      </c>
      <c r="AZ35" s="32">
        <f>SUMIFS(合格品入货记录!$G:$G,合格品入货记录!$A:$A,样品!AZ$3,合格品入货记录!$E:$E,样品!$E35)</f>
        <v>0</v>
      </c>
      <c r="BA35" s="32">
        <f>SUMIFS(合格品入货记录!$G:$G,合格品入货记录!$A:$A,样品!BA$3,合格品入货记录!$E:$E,样品!$E35)</f>
        <v>0</v>
      </c>
      <c r="BB35" s="32">
        <f>SUMIFS(合格品入货记录!$G:$G,合格品入货记录!$A:$A,样品!BB$3,合格品入货记录!$E:$E,样品!$E35)</f>
        <v>0</v>
      </c>
      <c r="BC35" s="32">
        <f>SUMIFS(合格品入货记录!$G:$G,合格品入货记录!$A:$A,样品!BC$3,合格品入货记录!$E:$E,样品!$E35)</f>
        <v>0</v>
      </c>
      <c r="BD35" s="32">
        <f>SUMIFS(合格品入货记录!$G:$G,合格品入货记录!$A:$A,样品!BD$3,合格品入货记录!$E:$E,样品!$E35)</f>
        <v>0</v>
      </c>
      <c r="BE35" s="32">
        <f>SUMIFS(合格品入货记录!$G:$G,合格品入货记录!$A:$A,样品!BE$3,合格品入货记录!$E:$E,样品!$E35)</f>
        <v>0</v>
      </c>
      <c r="BF35" s="32">
        <f>SUMIFS(合格品入货记录!$G:$G,合格品入货记录!$A:$A,样品!BF$3,合格品入货记录!$E:$E,样品!$E35)</f>
        <v>0</v>
      </c>
      <c r="BG35" s="32">
        <f>SUMIFS(合格品入货记录!$G:$G,合格品入货记录!$A:$A,样品!BG$3,合格品入货记录!$E:$E,样品!$E35)</f>
        <v>0</v>
      </c>
      <c r="BH35" s="32">
        <f>SUMIFS(合格品入货记录!$G:$G,合格品入货记录!$A:$A,样品!BH$3,合格品入货记录!$E:$E,样品!$E35)</f>
        <v>0</v>
      </c>
      <c r="BI35" s="32">
        <f>SUMIFS(合格品入货记录!$G:$G,合格品入货记录!$A:$A,样品!BI$3,合格品入货记录!$E:$E,样品!$E35)</f>
        <v>0</v>
      </c>
      <c r="BJ35" s="32">
        <f>SUMIFS(合格品入货记录!$G:$G,合格品入货记录!$A:$A,样品!BJ$3,合格品入货记录!$E:$E,样品!$E35)</f>
        <v>0</v>
      </c>
      <c r="BK35" s="32">
        <f>SUMIFS(合格品入货记录!$G:$G,合格品入货记录!$A:$A,样品!BK$3,合格品入货记录!$E:$E,样品!$E35)</f>
        <v>0</v>
      </c>
      <c r="BL35" s="32">
        <f>SUMIFS(合格品入货记录!$G:$G,合格品入货记录!$A:$A,样品!BL$3,合格品入货记录!$E:$E,样品!$E35)</f>
        <v>0</v>
      </c>
      <c r="BM35" s="32">
        <f>SUMIFS(合格品入货记录!$G:$G,合格品入货记录!$A:$A,样品!BM$3,合格品入货记录!$E:$E,样品!$E35)</f>
        <v>0</v>
      </c>
      <c r="BN35" s="32">
        <f>SUMIFS(合格品入货记录!$G:$G,合格品入货记录!$A:$A,样品!BN$3,合格品入货记录!$E:$E,样品!$E35)</f>
        <v>0</v>
      </c>
      <c r="BO35" s="32">
        <f>SUMIFS(合格品入货记录!$G:$G,合格品入货记录!$A:$A,样品!BO$3,合格品入货记录!$E:$E,样品!$E35)</f>
        <v>0</v>
      </c>
      <c r="BP35" s="32">
        <f>SUMIFS(合格品入货记录!$G:$G,合格品入货记录!$A:$A,样品!BP$3,合格品入货记录!$E:$E,样品!$E35)</f>
        <v>0</v>
      </c>
      <c r="BQ35" s="32">
        <f>SUMIFS(合格品入货记录!$G:$G,合格品入货记录!$A:$A,样品!BQ$3,合格品入货记录!$E:$E,样品!$E35)</f>
        <v>0</v>
      </c>
      <c r="BR35" s="32">
        <f>SUMIFS(合格品入货记录!$G:$G,合格品入货记录!$A:$A,样品!BR$3,合格品入货记录!$E:$E,样品!$E35)</f>
        <v>0</v>
      </c>
      <c r="BS35" s="32">
        <f>SUMIFS(合格品入货记录!$G:$G,合格品入货记录!$A:$A,样品!BS$3,合格品入货记录!$E:$E,样品!$E35)</f>
        <v>0</v>
      </c>
      <c r="BT35" s="32">
        <f>SUMIFS(合格品入货记录!$G:$G,合格品入货记录!$A:$A,样品!BT$3,合格品入货记录!$E:$E,样品!$E35)</f>
        <v>0</v>
      </c>
      <c r="BU35" s="32">
        <f>SUMIFS(合格品入货记录!$G:$G,合格品入货记录!$A:$A,样品!BU$3,合格品入货记录!$E:$E,样品!$E35)</f>
        <v>0</v>
      </c>
      <c r="BV35" s="32">
        <f>SUMIFS(合格品入货记录!$G:$G,合格品入货记录!$A:$A,样品!BV$3,合格品入货记录!$E:$E,样品!$E35)</f>
        <v>0</v>
      </c>
      <c r="BW35" s="32">
        <f>SUMIFS(合格品入货记录!$G:$G,合格品入货记录!$A:$A,样品!BW$3,合格品入货记录!$E:$E,样品!$E35)</f>
        <v>0</v>
      </c>
      <c r="BX35" s="32">
        <f>SUMIFS(合格品入货记录!$G:$G,合格品入货记录!$A:$A,样品!BX$3,合格品入货记录!$E:$E,样品!$E35)</f>
        <v>0</v>
      </c>
      <c r="BY35" s="32">
        <f>SUMIFS(合格品入货记录!$G:$G,合格品入货记录!$A:$A,样品!BY$3,合格品入货记录!$E:$E,样品!$E35)</f>
        <v>0</v>
      </c>
      <c r="BZ35" s="124"/>
      <c r="CA35" s="124"/>
      <c r="CB35" s="125"/>
      <c r="CC35" s="125"/>
    </row>
    <row r="36" s="90" customFormat="1" customHeight="1" spans="1:81">
      <c r="A36" s="31">
        <v>33</v>
      </c>
      <c r="B36" s="102" t="s">
        <v>19</v>
      </c>
      <c r="C36" s="103" t="s">
        <v>20</v>
      </c>
      <c r="D36" s="32" t="s">
        <v>356</v>
      </c>
      <c r="E36" s="32" t="s">
        <v>357</v>
      </c>
      <c r="F36" s="103" t="s">
        <v>358</v>
      </c>
      <c r="G36" s="32"/>
      <c r="H36" s="32">
        <v>0</v>
      </c>
      <c r="I36" s="112">
        <f>SUMIF(合格品入货记录!E:E,样品!E36,合格品入货记录!G:G)</f>
        <v>600</v>
      </c>
      <c r="J36" s="112">
        <f>SUMIF(合格品出库记录!E:E,样品!E36,合格品出库记录!G:G)</f>
        <v>600</v>
      </c>
      <c r="K36" s="102">
        <f t="shared" ref="K36:K60" si="2">H36+I36-J36+L36</f>
        <v>0</v>
      </c>
      <c r="L36" s="102">
        <f>SUMIF(不良品库存!D:D,E36:E70,不良品库存!F:F)</f>
        <v>0</v>
      </c>
      <c r="M36" s="113">
        <f t="shared" ref="M36:M60" si="3">H36+I36-J36</f>
        <v>0</v>
      </c>
      <c r="N36" s="102"/>
      <c r="O36" s="102"/>
      <c r="P36" s="32">
        <f>IFERROR(SUMIFS(合格品入货记录!$G:$G,合格品入货记录!$A:$A,样品!P$3,合格品入货记录!$E:$E,样品!$E36)," ")</f>
        <v>0</v>
      </c>
      <c r="Q36" s="32">
        <f>SUMIFS(合格品入货记录!$G:$G,合格品入货记录!$A:$A,样品!Q$3,合格品入货记录!$E:$E,样品!$E36)</f>
        <v>0</v>
      </c>
      <c r="R36" s="32">
        <f>SUMIFS(合格品入货记录!$G:$G,合格品入货记录!$A:$A,样品!R$3,合格品入货记录!$E:$E,样品!$E36)</f>
        <v>0</v>
      </c>
      <c r="S36" s="32">
        <f>SUMIFS(合格品入货记录!$G:$G,合格品入货记录!$A:$A,样品!S$3,合格品入货记录!$E:$E,样品!$E36)</f>
        <v>600</v>
      </c>
      <c r="T36" s="32">
        <f>SUMIFS(合格品入货记录!$G:$G,合格品入货记录!$A:$A,样品!T$3,合格品入货记录!$E:$E,样品!$E36)</f>
        <v>0</v>
      </c>
      <c r="U36" s="32">
        <f>SUMIFS(合格品入货记录!$G:$G,合格品入货记录!$A:$A,样品!U$3,合格品入货记录!$E:$E,样品!$E36)</f>
        <v>0</v>
      </c>
      <c r="V36" s="32">
        <f>SUMIFS(合格品入货记录!$G:$G,合格品入货记录!$A:$A,样品!V$3,合格品入货记录!$E:$E,样品!$E36)</f>
        <v>0</v>
      </c>
      <c r="W36" s="32">
        <f>SUMIFS(合格品入货记录!$G:$G,合格品入货记录!$A:$A,样品!W$3,合格品入货记录!$E:$E,样品!$E36)</f>
        <v>0</v>
      </c>
      <c r="X36" s="32">
        <f>SUMIFS(合格品入货记录!$G:$G,合格品入货记录!$A:$A,样品!X$3,合格品入货记录!$E:$E,样品!$E36)</f>
        <v>0</v>
      </c>
      <c r="Y36" s="32">
        <f>SUMIFS(合格品入货记录!$G:$G,合格品入货记录!$A:$A,样品!Y$3,合格品入货记录!$E:$E,样品!$E36)</f>
        <v>0</v>
      </c>
      <c r="Z36" s="32">
        <f>SUMIFS(合格品入货记录!$G:$G,合格品入货记录!$A:$A,样品!Z$3,合格品入货记录!$E:$E,样品!$E36)</f>
        <v>0</v>
      </c>
      <c r="AA36" s="32">
        <f>SUMIFS(合格品入货记录!$G:$G,合格品入货记录!$A:$A,样品!AA$3,合格品入货记录!$E:$E,样品!$E36)</f>
        <v>0</v>
      </c>
      <c r="AB36" s="32">
        <f>SUMIFS(合格品入货记录!$G:$G,合格品入货记录!$A:$A,样品!AB$3,合格品入货记录!$E:$E,样品!$E36)</f>
        <v>0</v>
      </c>
      <c r="AC36" s="32">
        <f>SUMIFS(合格品入货记录!$G:$G,合格品入货记录!$A:$A,样品!AC$3,合格品入货记录!$E:$E,样品!$E36)</f>
        <v>0</v>
      </c>
      <c r="AD36" s="32">
        <f>SUMIFS(合格品入货记录!$G:$G,合格品入货记录!$A:$A,样品!AD$3,合格品入货记录!$E:$E,样品!$E36)</f>
        <v>0</v>
      </c>
      <c r="AE36" s="32">
        <f>SUMIFS(合格品入货记录!$G:$G,合格品入货记录!$A:$A,样品!AE$3,合格品入货记录!$E:$E,样品!$E36)</f>
        <v>0</v>
      </c>
      <c r="AF36" s="32">
        <f>SUMIFS(合格品入货记录!$G:$G,合格品入货记录!$A:$A,样品!AF$3,合格品入货记录!$E:$E,样品!$E36)</f>
        <v>0</v>
      </c>
      <c r="AG36" s="32">
        <f>SUMIFS(合格品入货记录!$G:$G,合格品入货记录!$A:$A,样品!AG$3,合格品入货记录!$E:$E,样品!$E36)</f>
        <v>0</v>
      </c>
      <c r="AH36" s="32">
        <f>SUMIFS(合格品入货记录!$G:$G,合格品入货记录!$A:$A,样品!AH$3,合格品入货记录!$E:$E,样品!$E36)</f>
        <v>0</v>
      </c>
      <c r="AI36" s="32">
        <f>SUMIFS(合格品入货记录!$G:$G,合格品入货记录!$A:$A,样品!AI$3,合格品入货记录!$E:$E,样品!$E36)</f>
        <v>0</v>
      </c>
      <c r="AJ36" s="32">
        <f>SUMIFS(合格品入货记录!$G:$G,合格品入货记录!$A:$A,样品!AJ$3,合格品入货记录!$E:$E,样品!$E36)</f>
        <v>0</v>
      </c>
      <c r="AK36" s="32">
        <f>SUMIFS(合格品入货记录!$G:$G,合格品入货记录!$A:$A,样品!AK$3,合格品入货记录!$E:$E,样品!$E36)</f>
        <v>0</v>
      </c>
      <c r="AL36" s="32">
        <f>SUMIFS(合格品入货记录!$G:$G,合格品入货记录!$A:$A,样品!AL$3,合格品入货记录!$E:$E,样品!$E36)</f>
        <v>0</v>
      </c>
      <c r="AM36" s="32">
        <f>SUMIFS(合格品入货记录!$G:$G,合格品入货记录!$A:$A,样品!AM$3,合格品入货记录!$E:$E,样品!$E36)</f>
        <v>0</v>
      </c>
      <c r="AN36" s="32">
        <f>SUMIFS(合格品入货记录!$G:$G,合格品入货记录!$A:$A,样品!AN$3,合格品入货记录!$E:$E,样品!$E36)</f>
        <v>0</v>
      </c>
      <c r="AO36" s="32">
        <f>SUMIFS(合格品入货记录!$G:$G,合格品入货记录!$A:$A,样品!AO$3,合格品入货记录!$E:$E,样品!$E36)</f>
        <v>0</v>
      </c>
      <c r="AP36" s="32">
        <f>SUMIFS(合格品入货记录!$G:$G,合格品入货记录!$A:$A,样品!AP$3,合格品入货记录!$E:$E,样品!$E36)</f>
        <v>0</v>
      </c>
      <c r="AQ36" s="32">
        <f>SUMIFS(合格品入货记录!$G:$G,合格品入货记录!$A:$A,样品!AQ$3,合格品入货记录!$E:$E,样品!$E36)</f>
        <v>0</v>
      </c>
      <c r="AR36" s="32">
        <f>SUMIFS(合格品入货记录!$G:$G,合格品入货记录!$A:$A,样品!AR$3,合格品入货记录!$E:$E,样品!$E36)</f>
        <v>0</v>
      </c>
      <c r="AS36" s="32">
        <f>SUMIFS(合格品入货记录!$G:$G,合格品入货记录!$A:$A,样品!AS$3,合格品入货记录!$E:$E,样品!$E36)</f>
        <v>0</v>
      </c>
      <c r="AT36" s="32">
        <f>SUMIFS(合格品入货记录!$G:$G,合格品入货记录!$A:$A,样品!AT$3,合格品入货记录!$E:$E,样品!$E36)</f>
        <v>0</v>
      </c>
      <c r="AU36" s="32">
        <f>SUMIFS(合格品入货记录!$G:$G,合格品入货记录!$A:$A,样品!AU$3,合格品入货记录!$E:$E,样品!$E36)</f>
        <v>0</v>
      </c>
      <c r="AV36" s="32">
        <f>SUMIFS(合格品入货记录!$G:$G,合格品入货记录!$A:$A,样品!AV$3,合格品入货记录!$E:$E,样品!$E36)</f>
        <v>0</v>
      </c>
      <c r="AW36" s="32">
        <f>SUMIFS(合格品入货记录!$G:$G,合格品入货记录!$A:$A,样品!AW$3,合格品入货记录!$E:$E,样品!$E36)</f>
        <v>0</v>
      </c>
      <c r="AX36" s="32">
        <f>SUMIFS(合格品入货记录!$G:$G,合格品入货记录!$A:$A,样品!AX$3,合格品入货记录!$E:$E,样品!$E36)</f>
        <v>600</v>
      </c>
      <c r="AY36" s="32">
        <f>SUMIFS(合格品入货记录!$G:$G,合格品入货记录!$A:$A,样品!AY$3,合格品入货记录!$E:$E,样品!$E36)</f>
        <v>0</v>
      </c>
      <c r="AZ36" s="32">
        <f>SUMIFS(合格品入货记录!$G:$G,合格品入货记录!$A:$A,样品!AZ$3,合格品入货记录!$E:$E,样品!$E36)</f>
        <v>0</v>
      </c>
      <c r="BA36" s="32">
        <f>SUMIFS(合格品入货记录!$G:$G,合格品入货记录!$A:$A,样品!BA$3,合格品入货记录!$E:$E,样品!$E36)</f>
        <v>0</v>
      </c>
      <c r="BB36" s="32">
        <f>SUMIFS(合格品入货记录!$G:$G,合格品入货记录!$A:$A,样品!BB$3,合格品入货记录!$E:$E,样品!$E36)</f>
        <v>0</v>
      </c>
      <c r="BC36" s="32">
        <f>SUMIFS(合格品入货记录!$G:$G,合格品入货记录!$A:$A,样品!BC$3,合格品入货记录!$E:$E,样品!$E36)</f>
        <v>0</v>
      </c>
      <c r="BD36" s="32">
        <f>SUMIFS(合格品入货记录!$G:$G,合格品入货记录!$A:$A,样品!BD$3,合格品入货记录!$E:$E,样品!$E36)</f>
        <v>0</v>
      </c>
      <c r="BE36" s="32">
        <f>SUMIFS(合格品入货记录!$G:$G,合格品入货记录!$A:$A,样品!BE$3,合格品入货记录!$E:$E,样品!$E36)</f>
        <v>0</v>
      </c>
      <c r="BF36" s="32">
        <f>SUMIFS(合格品入货记录!$G:$G,合格品入货记录!$A:$A,样品!BF$3,合格品入货记录!$E:$E,样品!$E36)</f>
        <v>0</v>
      </c>
      <c r="BG36" s="32">
        <f>SUMIFS(合格品入货记录!$G:$G,合格品入货记录!$A:$A,样品!BG$3,合格品入货记录!$E:$E,样品!$E36)</f>
        <v>0</v>
      </c>
      <c r="BH36" s="32">
        <f>SUMIFS(合格品入货记录!$G:$G,合格品入货记录!$A:$A,样品!BH$3,合格品入货记录!$E:$E,样品!$E36)</f>
        <v>0</v>
      </c>
      <c r="BI36" s="32">
        <f>SUMIFS(合格品入货记录!$G:$G,合格品入货记录!$A:$A,样品!BI$3,合格品入货记录!$E:$E,样品!$E36)</f>
        <v>0</v>
      </c>
      <c r="BJ36" s="32">
        <f>SUMIFS(合格品入货记录!$G:$G,合格品入货记录!$A:$A,样品!BJ$3,合格品入货记录!$E:$E,样品!$E36)</f>
        <v>0</v>
      </c>
      <c r="BK36" s="32">
        <f>SUMIFS(合格品入货记录!$G:$G,合格品入货记录!$A:$A,样品!BK$3,合格品入货记录!$E:$E,样品!$E36)</f>
        <v>0</v>
      </c>
      <c r="BL36" s="32">
        <f>SUMIFS(合格品入货记录!$G:$G,合格品入货记录!$A:$A,样品!BL$3,合格品入货记录!$E:$E,样品!$E36)</f>
        <v>0</v>
      </c>
      <c r="BM36" s="32">
        <f>SUMIFS(合格品入货记录!$G:$G,合格品入货记录!$A:$A,样品!BM$3,合格品入货记录!$E:$E,样品!$E36)</f>
        <v>0</v>
      </c>
      <c r="BN36" s="32">
        <f>SUMIFS(合格品入货记录!$G:$G,合格品入货记录!$A:$A,样品!BN$3,合格品入货记录!$E:$E,样品!$E36)</f>
        <v>0</v>
      </c>
      <c r="BO36" s="32">
        <f>SUMIFS(合格品入货记录!$G:$G,合格品入货记录!$A:$A,样品!BO$3,合格品入货记录!$E:$E,样品!$E36)</f>
        <v>0</v>
      </c>
      <c r="BP36" s="32">
        <f>SUMIFS(合格品入货记录!$G:$G,合格品入货记录!$A:$A,样品!BP$3,合格品入货记录!$E:$E,样品!$E36)</f>
        <v>0</v>
      </c>
      <c r="BQ36" s="32">
        <f>SUMIFS(合格品入货记录!$G:$G,合格品入货记录!$A:$A,样品!BQ$3,合格品入货记录!$E:$E,样品!$E36)</f>
        <v>0</v>
      </c>
      <c r="BR36" s="32">
        <f>SUMIFS(合格品入货记录!$G:$G,合格品入货记录!$A:$A,样品!BR$3,合格品入货记录!$E:$E,样品!$E36)</f>
        <v>0</v>
      </c>
      <c r="BS36" s="32">
        <f>SUMIFS(合格品入货记录!$G:$G,合格品入货记录!$A:$A,样品!BS$3,合格品入货记录!$E:$E,样品!$E36)</f>
        <v>0</v>
      </c>
      <c r="BT36" s="32">
        <f>SUMIFS(合格品入货记录!$G:$G,合格品入货记录!$A:$A,样品!BT$3,合格品入货记录!$E:$E,样品!$E36)</f>
        <v>0</v>
      </c>
      <c r="BU36" s="32">
        <f>SUMIFS(合格品入货记录!$G:$G,合格品入货记录!$A:$A,样品!BU$3,合格品入货记录!$E:$E,样品!$E36)</f>
        <v>0</v>
      </c>
      <c r="BV36" s="32">
        <f>SUMIFS(合格品入货记录!$G:$G,合格品入货记录!$A:$A,样品!BV$3,合格品入货记录!$E:$E,样品!$E36)</f>
        <v>0</v>
      </c>
      <c r="BW36" s="32">
        <f>SUMIFS(合格品入货记录!$G:$G,合格品入货记录!$A:$A,样品!BW$3,合格品入货记录!$E:$E,样品!$E36)</f>
        <v>0</v>
      </c>
      <c r="BX36" s="32">
        <f>SUMIFS(合格品入货记录!$G:$G,合格品入货记录!$A:$A,样品!BX$3,合格品入货记录!$E:$E,样品!$E36)</f>
        <v>0</v>
      </c>
      <c r="BY36" s="32">
        <f>SUMIFS(合格品入货记录!$G:$G,合格品入货记录!$A:$A,样品!BY$3,合格品入货记录!$E:$E,样品!$E36)</f>
        <v>0</v>
      </c>
      <c r="BZ36" s="123"/>
      <c r="CA36" s="123"/>
      <c r="CB36" s="125"/>
      <c r="CC36" s="125"/>
    </row>
    <row r="37" s="90" customFormat="1" customHeight="1" spans="1:81">
      <c r="A37" s="31">
        <v>34</v>
      </c>
      <c r="B37" s="104" t="s">
        <v>19</v>
      </c>
      <c r="C37" s="105" t="s">
        <v>20</v>
      </c>
      <c r="D37" s="32" t="s">
        <v>359</v>
      </c>
      <c r="E37" s="31" t="s">
        <v>360</v>
      </c>
      <c r="F37" s="105" t="s">
        <v>361</v>
      </c>
      <c r="G37" s="31"/>
      <c r="H37" s="31">
        <v>0</v>
      </c>
      <c r="I37" s="106">
        <f>SUMIF(合格品入货记录!E:E,样品!E37,合格品入货记录!G:G)</f>
        <v>0</v>
      </c>
      <c r="J37" s="106">
        <f>SUMIF(合格品出库记录!E:E,样品!E37,合格品出库记录!G:G)</f>
        <v>0</v>
      </c>
      <c r="K37" s="102">
        <f t="shared" si="2"/>
        <v>0</v>
      </c>
      <c r="L37" s="102">
        <f>SUMIF(不良品库存!D:D,E37:E71,不良品库存!F:F)</f>
        <v>0</v>
      </c>
      <c r="M37" s="113">
        <f t="shared" si="3"/>
        <v>0</v>
      </c>
      <c r="N37" s="31"/>
      <c r="O37" s="104"/>
      <c r="P37" s="32">
        <f>IFERROR(SUMIFS(合格品入货记录!$G:$G,合格品入货记录!$A:$A,样品!P$3,合格品入货记录!$E:$E,样品!$E37)," ")</f>
        <v>0</v>
      </c>
      <c r="Q37" s="32">
        <f>SUMIFS(合格品入货记录!$G:$G,合格品入货记录!$A:$A,样品!Q$3,合格品入货记录!$E:$E,样品!$E37)</f>
        <v>0</v>
      </c>
      <c r="R37" s="32">
        <f>SUMIFS(合格品入货记录!$G:$G,合格品入货记录!$A:$A,样品!R$3,合格品入货记录!$E:$E,样品!$E37)</f>
        <v>0</v>
      </c>
      <c r="S37" s="32">
        <f>SUMIFS(合格品入货记录!$G:$G,合格品入货记录!$A:$A,样品!S$3,合格品入货记录!$E:$E,样品!$E37)</f>
        <v>0</v>
      </c>
      <c r="T37" s="32">
        <f>SUMIFS(合格品入货记录!$G:$G,合格品入货记录!$A:$A,样品!T$3,合格品入货记录!$E:$E,样品!$E37)</f>
        <v>0</v>
      </c>
      <c r="U37" s="32">
        <f>SUMIFS(合格品入货记录!$G:$G,合格品入货记录!$A:$A,样品!U$3,合格品入货记录!$E:$E,样品!$E37)</f>
        <v>0</v>
      </c>
      <c r="V37" s="32">
        <f>SUMIFS(合格品入货记录!$G:$G,合格品入货记录!$A:$A,样品!V$3,合格品入货记录!$E:$E,样品!$E37)</f>
        <v>0</v>
      </c>
      <c r="W37" s="32">
        <f>SUMIFS(合格品入货记录!$G:$G,合格品入货记录!$A:$A,样品!W$3,合格品入货记录!$E:$E,样品!$E37)</f>
        <v>0</v>
      </c>
      <c r="X37" s="32">
        <f>SUMIFS(合格品入货记录!$G:$G,合格品入货记录!$A:$A,样品!X$3,合格品入货记录!$E:$E,样品!$E37)</f>
        <v>0</v>
      </c>
      <c r="Y37" s="32">
        <f>SUMIFS(合格品入货记录!$G:$G,合格品入货记录!$A:$A,样品!Y$3,合格品入货记录!$E:$E,样品!$E37)</f>
        <v>0</v>
      </c>
      <c r="Z37" s="32">
        <f>SUMIFS(合格品入货记录!$G:$G,合格品入货记录!$A:$A,样品!Z$3,合格品入货记录!$E:$E,样品!$E37)</f>
        <v>0</v>
      </c>
      <c r="AA37" s="32">
        <f>SUMIFS(合格品入货记录!$G:$G,合格品入货记录!$A:$A,样品!AA$3,合格品入货记录!$E:$E,样品!$E37)</f>
        <v>0</v>
      </c>
      <c r="AB37" s="32">
        <f>SUMIFS(合格品入货记录!$G:$G,合格品入货记录!$A:$A,样品!AB$3,合格品入货记录!$E:$E,样品!$E37)</f>
        <v>0</v>
      </c>
      <c r="AC37" s="32">
        <f>SUMIFS(合格品入货记录!$G:$G,合格品入货记录!$A:$A,样品!AC$3,合格品入货记录!$E:$E,样品!$E37)</f>
        <v>0</v>
      </c>
      <c r="AD37" s="32">
        <f>SUMIFS(合格品入货记录!$G:$G,合格品入货记录!$A:$A,样品!AD$3,合格品入货记录!$E:$E,样品!$E37)</f>
        <v>0</v>
      </c>
      <c r="AE37" s="32">
        <f>SUMIFS(合格品入货记录!$G:$G,合格品入货记录!$A:$A,样品!AE$3,合格品入货记录!$E:$E,样品!$E37)</f>
        <v>0</v>
      </c>
      <c r="AF37" s="32">
        <f>SUMIFS(合格品入货记录!$G:$G,合格品入货记录!$A:$A,样品!AF$3,合格品入货记录!$E:$E,样品!$E37)</f>
        <v>0</v>
      </c>
      <c r="AG37" s="32">
        <f>SUMIFS(合格品入货记录!$G:$G,合格品入货记录!$A:$A,样品!AG$3,合格品入货记录!$E:$E,样品!$E37)</f>
        <v>0</v>
      </c>
      <c r="AH37" s="32">
        <f>SUMIFS(合格品入货记录!$G:$G,合格品入货记录!$A:$A,样品!AH$3,合格品入货记录!$E:$E,样品!$E37)</f>
        <v>0</v>
      </c>
      <c r="AI37" s="32">
        <f>SUMIFS(合格品入货记录!$G:$G,合格品入货记录!$A:$A,样品!AI$3,合格品入货记录!$E:$E,样品!$E37)</f>
        <v>0</v>
      </c>
      <c r="AJ37" s="32">
        <f>SUMIFS(合格品入货记录!$G:$G,合格品入货记录!$A:$A,样品!AJ$3,合格品入货记录!$E:$E,样品!$E37)</f>
        <v>0</v>
      </c>
      <c r="AK37" s="32">
        <f>SUMIFS(合格品入货记录!$G:$G,合格品入货记录!$A:$A,样品!AK$3,合格品入货记录!$E:$E,样品!$E37)</f>
        <v>0</v>
      </c>
      <c r="AL37" s="32">
        <f>SUMIFS(合格品入货记录!$G:$G,合格品入货记录!$A:$A,样品!AL$3,合格品入货记录!$E:$E,样品!$E37)</f>
        <v>0</v>
      </c>
      <c r="AM37" s="32">
        <f>SUMIFS(合格品入货记录!$G:$G,合格品入货记录!$A:$A,样品!AM$3,合格品入货记录!$E:$E,样品!$E37)</f>
        <v>0</v>
      </c>
      <c r="AN37" s="32">
        <f>SUMIFS(合格品入货记录!$G:$G,合格品入货记录!$A:$A,样品!AN$3,合格品入货记录!$E:$E,样品!$E37)</f>
        <v>0</v>
      </c>
      <c r="AO37" s="32">
        <f>SUMIFS(合格品入货记录!$G:$G,合格品入货记录!$A:$A,样品!AO$3,合格品入货记录!$E:$E,样品!$E37)</f>
        <v>0</v>
      </c>
      <c r="AP37" s="32">
        <f>SUMIFS(合格品入货记录!$G:$G,合格品入货记录!$A:$A,样品!AP$3,合格品入货记录!$E:$E,样品!$E37)</f>
        <v>0</v>
      </c>
      <c r="AQ37" s="32">
        <f>SUMIFS(合格品入货记录!$G:$G,合格品入货记录!$A:$A,样品!AQ$3,合格品入货记录!$E:$E,样品!$E37)</f>
        <v>0</v>
      </c>
      <c r="AR37" s="32">
        <f>SUMIFS(合格品入货记录!$G:$G,合格品入货记录!$A:$A,样品!AR$3,合格品入货记录!$E:$E,样品!$E37)</f>
        <v>0</v>
      </c>
      <c r="AS37" s="32">
        <f>SUMIFS(合格品入货记录!$G:$G,合格品入货记录!$A:$A,样品!AS$3,合格品入货记录!$E:$E,样品!$E37)</f>
        <v>0</v>
      </c>
      <c r="AT37" s="32">
        <f>SUMIFS(合格品入货记录!$G:$G,合格品入货记录!$A:$A,样品!AT$3,合格品入货记录!$E:$E,样品!$E37)</f>
        <v>0</v>
      </c>
      <c r="AU37" s="32">
        <f>SUMIFS(合格品入货记录!$G:$G,合格品入货记录!$A:$A,样品!AU$3,合格品入货记录!$E:$E,样品!$E37)</f>
        <v>0</v>
      </c>
      <c r="AV37" s="32">
        <f>SUMIFS(合格品入货记录!$G:$G,合格品入货记录!$A:$A,样品!AV$3,合格品入货记录!$E:$E,样品!$E37)</f>
        <v>0</v>
      </c>
      <c r="AW37" s="32">
        <f>SUMIFS(合格品入货记录!$G:$G,合格品入货记录!$A:$A,样品!AW$3,合格品入货记录!$E:$E,样品!$E37)</f>
        <v>0</v>
      </c>
      <c r="AX37" s="32">
        <f>SUMIFS(合格品入货记录!$G:$G,合格品入货记录!$A:$A,样品!AX$3,合格品入货记录!$E:$E,样品!$E37)</f>
        <v>0</v>
      </c>
      <c r="AY37" s="32">
        <f>SUMIFS(合格品入货记录!$G:$G,合格品入货记录!$A:$A,样品!AY$3,合格品入货记录!$E:$E,样品!$E37)</f>
        <v>0</v>
      </c>
      <c r="AZ37" s="32">
        <f>SUMIFS(合格品入货记录!$G:$G,合格品入货记录!$A:$A,样品!AZ$3,合格品入货记录!$E:$E,样品!$E37)</f>
        <v>0</v>
      </c>
      <c r="BA37" s="32">
        <f>SUMIFS(合格品入货记录!$G:$G,合格品入货记录!$A:$A,样品!BA$3,合格品入货记录!$E:$E,样品!$E37)</f>
        <v>0</v>
      </c>
      <c r="BB37" s="32">
        <f>SUMIFS(合格品入货记录!$G:$G,合格品入货记录!$A:$A,样品!BB$3,合格品入货记录!$E:$E,样品!$E37)</f>
        <v>0</v>
      </c>
      <c r="BC37" s="32">
        <f>SUMIFS(合格品入货记录!$G:$G,合格品入货记录!$A:$A,样品!BC$3,合格品入货记录!$E:$E,样品!$E37)</f>
        <v>0</v>
      </c>
      <c r="BD37" s="32">
        <f>SUMIFS(合格品入货记录!$G:$G,合格品入货记录!$A:$A,样品!BD$3,合格品入货记录!$E:$E,样品!$E37)</f>
        <v>0</v>
      </c>
      <c r="BE37" s="32">
        <f>SUMIFS(合格品入货记录!$G:$G,合格品入货记录!$A:$A,样品!BE$3,合格品入货记录!$E:$E,样品!$E37)</f>
        <v>0</v>
      </c>
      <c r="BF37" s="32">
        <f>SUMIFS(合格品入货记录!$G:$G,合格品入货记录!$A:$A,样品!BF$3,合格品入货记录!$E:$E,样品!$E37)</f>
        <v>0</v>
      </c>
      <c r="BG37" s="32">
        <f>SUMIFS(合格品入货记录!$G:$G,合格品入货记录!$A:$A,样品!BG$3,合格品入货记录!$E:$E,样品!$E37)</f>
        <v>0</v>
      </c>
      <c r="BH37" s="32">
        <f>SUMIFS(合格品入货记录!$G:$G,合格品入货记录!$A:$A,样品!BH$3,合格品入货记录!$E:$E,样品!$E37)</f>
        <v>0</v>
      </c>
      <c r="BI37" s="32">
        <f>SUMIFS(合格品入货记录!$G:$G,合格品入货记录!$A:$A,样品!BI$3,合格品入货记录!$E:$E,样品!$E37)</f>
        <v>0</v>
      </c>
      <c r="BJ37" s="32">
        <f>SUMIFS(合格品入货记录!$G:$G,合格品入货记录!$A:$A,样品!BJ$3,合格品入货记录!$E:$E,样品!$E37)</f>
        <v>0</v>
      </c>
      <c r="BK37" s="32">
        <f>SUMIFS(合格品入货记录!$G:$G,合格品入货记录!$A:$A,样品!BK$3,合格品入货记录!$E:$E,样品!$E37)</f>
        <v>0</v>
      </c>
      <c r="BL37" s="32">
        <f>SUMIFS(合格品入货记录!$G:$G,合格品入货记录!$A:$A,样品!BL$3,合格品入货记录!$E:$E,样品!$E37)</f>
        <v>0</v>
      </c>
      <c r="BM37" s="32">
        <f>SUMIFS(合格品入货记录!$G:$G,合格品入货记录!$A:$A,样品!BM$3,合格品入货记录!$E:$E,样品!$E37)</f>
        <v>0</v>
      </c>
      <c r="BN37" s="32">
        <f>SUMIFS(合格品入货记录!$G:$G,合格品入货记录!$A:$A,样品!BN$3,合格品入货记录!$E:$E,样品!$E37)</f>
        <v>0</v>
      </c>
      <c r="BO37" s="32">
        <f>SUMIFS(合格品入货记录!$G:$G,合格品入货记录!$A:$A,样品!BO$3,合格品入货记录!$E:$E,样品!$E37)</f>
        <v>0</v>
      </c>
      <c r="BP37" s="32">
        <f>SUMIFS(合格品入货记录!$G:$G,合格品入货记录!$A:$A,样品!BP$3,合格品入货记录!$E:$E,样品!$E37)</f>
        <v>0</v>
      </c>
      <c r="BQ37" s="32">
        <f>SUMIFS(合格品入货记录!$G:$G,合格品入货记录!$A:$A,样品!BQ$3,合格品入货记录!$E:$E,样品!$E37)</f>
        <v>0</v>
      </c>
      <c r="BR37" s="32">
        <f>SUMIFS(合格品入货记录!$G:$G,合格品入货记录!$A:$A,样品!BR$3,合格品入货记录!$E:$E,样品!$E37)</f>
        <v>0</v>
      </c>
      <c r="BS37" s="32">
        <f>SUMIFS(合格品入货记录!$G:$G,合格品入货记录!$A:$A,样品!BS$3,合格品入货记录!$E:$E,样品!$E37)</f>
        <v>0</v>
      </c>
      <c r="BT37" s="32">
        <f>SUMIFS(合格品入货记录!$G:$G,合格品入货记录!$A:$A,样品!BT$3,合格品入货记录!$E:$E,样品!$E37)</f>
        <v>0</v>
      </c>
      <c r="BU37" s="32">
        <f>SUMIFS(合格品入货记录!$G:$G,合格品入货记录!$A:$A,样品!BU$3,合格品入货记录!$E:$E,样品!$E37)</f>
        <v>0</v>
      </c>
      <c r="BV37" s="32">
        <f>SUMIFS(合格品入货记录!$G:$G,合格品入货记录!$A:$A,样品!BV$3,合格品入货记录!$E:$E,样品!$E37)</f>
        <v>0</v>
      </c>
      <c r="BW37" s="32">
        <f>SUMIFS(合格品入货记录!$G:$G,合格品入货记录!$A:$A,样品!BW$3,合格品入货记录!$E:$E,样品!$E37)</f>
        <v>0</v>
      </c>
      <c r="BX37" s="32">
        <f>SUMIFS(合格品入货记录!$G:$G,合格品入货记录!$A:$A,样品!BX$3,合格品入货记录!$E:$E,样品!$E37)</f>
        <v>0</v>
      </c>
      <c r="BY37" s="32">
        <f>SUMIFS(合格品入货记录!$G:$G,合格品入货记录!$A:$A,样品!BY$3,合格品入货记录!$E:$E,样品!$E37)</f>
        <v>0</v>
      </c>
      <c r="BZ37" s="124"/>
      <c r="CA37" s="124"/>
      <c r="CB37" s="125"/>
      <c r="CC37" s="125"/>
    </row>
    <row r="38" s="90" customFormat="1" customHeight="1" spans="1:81">
      <c r="A38" s="31">
        <v>35</v>
      </c>
      <c r="B38" s="104" t="s">
        <v>19</v>
      </c>
      <c r="C38" s="105" t="s">
        <v>20</v>
      </c>
      <c r="D38" s="30">
        <v>801001003166</v>
      </c>
      <c r="E38" s="31" t="s">
        <v>362</v>
      </c>
      <c r="F38" s="105" t="s">
        <v>363</v>
      </c>
      <c r="G38" s="31"/>
      <c r="H38" s="31">
        <v>0</v>
      </c>
      <c r="I38" s="106">
        <f>SUMIF(合格品入货记录!E:E,样品!E38,合格品入货记录!G:G)</f>
        <v>0</v>
      </c>
      <c r="J38" s="106">
        <f>SUMIF(合格品出库记录!E:E,样品!E38,合格品出库记录!G:G)</f>
        <v>0</v>
      </c>
      <c r="K38" s="102">
        <f t="shared" si="2"/>
        <v>0</v>
      </c>
      <c r="L38" s="102">
        <f>SUMIF(不良品库存!D:D,E38:E72,不良品库存!F:F)</f>
        <v>0</v>
      </c>
      <c r="M38" s="113">
        <f t="shared" si="3"/>
        <v>0</v>
      </c>
      <c r="N38" s="31"/>
      <c r="O38" s="104"/>
      <c r="P38" s="32">
        <f>IFERROR(SUMIFS(合格品入货记录!$G:$G,合格品入货记录!$A:$A,样品!P$3,合格品入货记录!$E:$E,样品!$E38)," ")</f>
        <v>0</v>
      </c>
      <c r="Q38" s="32">
        <f>SUMIFS(合格品入货记录!$G:$G,合格品入货记录!$A:$A,样品!Q$3,合格品入货记录!$E:$E,样品!$E38)</f>
        <v>0</v>
      </c>
      <c r="R38" s="32">
        <f>SUMIFS(合格品入货记录!$G:$G,合格品入货记录!$A:$A,样品!R$3,合格品入货记录!$E:$E,样品!$E38)</f>
        <v>0</v>
      </c>
      <c r="S38" s="32">
        <f>SUMIFS(合格品入货记录!$G:$G,合格品入货记录!$A:$A,样品!S$3,合格品入货记录!$E:$E,样品!$E38)</f>
        <v>0</v>
      </c>
      <c r="T38" s="32">
        <f>SUMIFS(合格品入货记录!$G:$G,合格品入货记录!$A:$A,样品!T$3,合格品入货记录!$E:$E,样品!$E38)</f>
        <v>0</v>
      </c>
      <c r="U38" s="32">
        <f>SUMIFS(合格品入货记录!$G:$G,合格品入货记录!$A:$A,样品!U$3,合格品入货记录!$E:$E,样品!$E38)</f>
        <v>0</v>
      </c>
      <c r="V38" s="32">
        <f>SUMIFS(合格品入货记录!$G:$G,合格品入货记录!$A:$A,样品!V$3,合格品入货记录!$E:$E,样品!$E38)</f>
        <v>0</v>
      </c>
      <c r="W38" s="32">
        <f>SUMIFS(合格品入货记录!$G:$G,合格品入货记录!$A:$A,样品!W$3,合格品入货记录!$E:$E,样品!$E38)</f>
        <v>0</v>
      </c>
      <c r="X38" s="32">
        <f>SUMIFS(合格品入货记录!$G:$G,合格品入货记录!$A:$A,样品!X$3,合格品入货记录!$E:$E,样品!$E38)</f>
        <v>0</v>
      </c>
      <c r="Y38" s="32">
        <f>SUMIFS(合格品入货记录!$G:$G,合格品入货记录!$A:$A,样品!Y$3,合格品入货记录!$E:$E,样品!$E38)</f>
        <v>0</v>
      </c>
      <c r="Z38" s="32">
        <f>SUMIFS(合格品入货记录!$G:$G,合格品入货记录!$A:$A,样品!Z$3,合格品入货记录!$E:$E,样品!$E38)</f>
        <v>0</v>
      </c>
      <c r="AA38" s="32">
        <f>SUMIFS(合格品入货记录!$G:$G,合格品入货记录!$A:$A,样品!AA$3,合格品入货记录!$E:$E,样品!$E38)</f>
        <v>0</v>
      </c>
      <c r="AB38" s="32">
        <f>SUMIFS(合格品入货记录!$G:$G,合格品入货记录!$A:$A,样品!AB$3,合格品入货记录!$E:$E,样品!$E38)</f>
        <v>0</v>
      </c>
      <c r="AC38" s="32">
        <f>SUMIFS(合格品入货记录!$G:$G,合格品入货记录!$A:$A,样品!AC$3,合格品入货记录!$E:$E,样品!$E38)</f>
        <v>0</v>
      </c>
      <c r="AD38" s="32">
        <f>SUMIFS(合格品入货记录!$G:$G,合格品入货记录!$A:$A,样品!AD$3,合格品入货记录!$E:$E,样品!$E38)</f>
        <v>0</v>
      </c>
      <c r="AE38" s="32">
        <f>SUMIFS(合格品入货记录!$G:$G,合格品入货记录!$A:$A,样品!AE$3,合格品入货记录!$E:$E,样品!$E38)</f>
        <v>0</v>
      </c>
      <c r="AF38" s="32">
        <f>SUMIFS(合格品入货记录!$G:$G,合格品入货记录!$A:$A,样品!AF$3,合格品入货记录!$E:$E,样品!$E38)</f>
        <v>0</v>
      </c>
      <c r="AG38" s="32">
        <f>SUMIFS(合格品入货记录!$G:$G,合格品入货记录!$A:$A,样品!AG$3,合格品入货记录!$E:$E,样品!$E38)</f>
        <v>0</v>
      </c>
      <c r="AH38" s="32">
        <f>SUMIFS(合格品入货记录!$G:$G,合格品入货记录!$A:$A,样品!AH$3,合格品入货记录!$E:$E,样品!$E38)</f>
        <v>0</v>
      </c>
      <c r="AI38" s="32">
        <f>SUMIFS(合格品入货记录!$G:$G,合格品入货记录!$A:$A,样品!AI$3,合格品入货记录!$E:$E,样品!$E38)</f>
        <v>0</v>
      </c>
      <c r="AJ38" s="32">
        <f>SUMIFS(合格品入货记录!$G:$G,合格品入货记录!$A:$A,样品!AJ$3,合格品入货记录!$E:$E,样品!$E38)</f>
        <v>0</v>
      </c>
      <c r="AK38" s="32">
        <f>SUMIFS(合格品入货记录!$G:$G,合格品入货记录!$A:$A,样品!AK$3,合格品入货记录!$E:$E,样品!$E38)</f>
        <v>0</v>
      </c>
      <c r="AL38" s="32">
        <f>SUMIFS(合格品入货记录!$G:$G,合格品入货记录!$A:$A,样品!AL$3,合格品入货记录!$E:$E,样品!$E38)</f>
        <v>0</v>
      </c>
      <c r="AM38" s="32">
        <f>SUMIFS(合格品入货记录!$G:$G,合格品入货记录!$A:$A,样品!AM$3,合格品入货记录!$E:$E,样品!$E38)</f>
        <v>0</v>
      </c>
      <c r="AN38" s="32">
        <f>SUMIFS(合格品入货记录!$G:$G,合格品入货记录!$A:$A,样品!AN$3,合格品入货记录!$E:$E,样品!$E38)</f>
        <v>0</v>
      </c>
      <c r="AO38" s="32">
        <f>SUMIFS(合格品入货记录!$G:$G,合格品入货记录!$A:$A,样品!AO$3,合格品入货记录!$E:$E,样品!$E38)</f>
        <v>0</v>
      </c>
      <c r="AP38" s="32">
        <f>SUMIFS(合格品入货记录!$G:$G,合格品入货记录!$A:$A,样品!AP$3,合格品入货记录!$E:$E,样品!$E38)</f>
        <v>0</v>
      </c>
      <c r="AQ38" s="32">
        <f>SUMIFS(合格品入货记录!$G:$G,合格品入货记录!$A:$A,样品!AQ$3,合格品入货记录!$E:$E,样品!$E38)</f>
        <v>0</v>
      </c>
      <c r="AR38" s="32">
        <f>SUMIFS(合格品入货记录!$G:$G,合格品入货记录!$A:$A,样品!AR$3,合格品入货记录!$E:$E,样品!$E38)</f>
        <v>0</v>
      </c>
      <c r="AS38" s="32">
        <f>SUMIFS(合格品入货记录!$G:$G,合格品入货记录!$A:$A,样品!AS$3,合格品入货记录!$E:$E,样品!$E38)</f>
        <v>0</v>
      </c>
      <c r="AT38" s="32">
        <f>SUMIFS(合格品入货记录!$G:$G,合格品入货记录!$A:$A,样品!AT$3,合格品入货记录!$E:$E,样品!$E38)</f>
        <v>0</v>
      </c>
      <c r="AU38" s="32">
        <f>SUMIFS(合格品入货记录!$G:$G,合格品入货记录!$A:$A,样品!AU$3,合格品入货记录!$E:$E,样品!$E38)</f>
        <v>0</v>
      </c>
      <c r="AV38" s="32">
        <f>SUMIFS(合格品入货记录!$G:$G,合格品入货记录!$A:$A,样品!AV$3,合格品入货记录!$E:$E,样品!$E38)</f>
        <v>0</v>
      </c>
      <c r="AW38" s="32">
        <f>SUMIFS(合格品入货记录!$G:$G,合格品入货记录!$A:$A,样品!AW$3,合格品入货记录!$E:$E,样品!$E38)</f>
        <v>0</v>
      </c>
      <c r="AX38" s="32">
        <f>SUMIFS(合格品入货记录!$G:$G,合格品入货记录!$A:$A,样品!AX$3,合格品入货记录!$E:$E,样品!$E38)</f>
        <v>0</v>
      </c>
      <c r="AY38" s="32">
        <f>SUMIFS(合格品入货记录!$G:$G,合格品入货记录!$A:$A,样品!AY$3,合格品入货记录!$E:$E,样品!$E38)</f>
        <v>0</v>
      </c>
      <c r="AZ38" s="32">
        <f>SUMIFS(合格品入货记录!$G:$G,合格品入货记录!$A:$A,样品!AZ$3,合格品入货记录!$E:$E,样品!$E38)</f>
        <v>0</v>
      </c>
      <c r="BA38" s="32">
        <f>SUMIFS(合格品入货记录!$G:$G,合格品入货记录!$A:$A,样品!BA$3,合格品入货记录!$E:$E,样品!$E38)</f>
        <v>0</v>
      </c>
      <c r="BB38" s="32">
        <f>SUMIFS(合格品入货记录!$G:$G,合格品入货记录!$A:$A,样品!BB$3,合格品入货记录!$E:$E,样品!$E38)</f>
        <v>0</v>
      </c>
      <c r="BC38" s="32">
        <f>SUMIFS(合格品入货记录!$G:$G,合格品入货记录!$A:$A,样品!BC$3,合格品入货记录!$E:$E,样品!$E38)</f>
        <v>0</v>
      </c>
      <c r="BD38" s="32">
        <f>SUMIFS(合格品入货记录!$G:$G,合格品入货记录!$A:$A,样品!BD$3,合格品入货记录!$E:$E,样品!$E38)</f>
        <v>0</v>
      </c>
      <c r="BE38" s="32">
        <f>SUMIFS(合格品入货记录!$G:$G,合格品入货记录!$A:$A,样品!BE$3,合格品入货记录!$E:$E,样品!$E38)</f>
        <v>0</v>
      </c>
      <c r="BF38" s="32">
        <f>SUMIFS(合格品入货记录!$G:$G,合格品入货记录!$A:$A,样品!BF$3,合格品入货记录!$E:$E,样品!$E38)</f>
        <v>0</v>
      </c>
      <c r="BG38" s="32">
        <f>SUMIFS(合格品入货记录!$G:$G,合格品入货记录!$A:$A,样品!BG$3,合格品入货记录!$E:$E,样品!$E38)</f>
        <v>0</v>
      </c>
      <c r="BH38" s="32">
        <f>SUMIFS(合格品入货记录!$G:$G,合格品入货记录!$A:$A,样品!BH$3,合格品入货记录!$E:$E,样品!$E38)</f>
        <v>0</v>
      </c>
      <c r="BI38" s="32">
        <f>SUMIFS(合格品入货记录!$G:$G,合格品入货记录!$A:$A,样品!BI$3,合格品入货记录!$E:$E,样品!$E38)</f>
        <v>0</v>
      </c>
      <c r="BJ38" s="32">
        <f>SUMIFS(合格品入货记录!$G:$G,合格品入货记录!$A:$A,样品!BJ$3,合格品入货记录!$E:$E,样品!$E38)</f>
        <v>0</v>
      </c>
      <c r="BK38" s="32">
        <f>SUMIFS(合格品入货记录!$G:$G,合格品入货记录!$A:$A,样品!BK$3,合格品入货记录!$E:$E,样品!$E38)</f>
        <v>0</v>
      </c>
      <c r="BL38" s="32">
        <f>SUMIFS(合格品入货记录!$G:$G,合格品入货记录!$A:$A,样品!BL$3,合格品入货记录!$E:$E,样品!$E38)</f>
        <v>0</v>
      </c>
      <c r="BM38" s="32">
        <f>SUMIFS(合格品入货记录!$G:$G,合格品入货记录!$A:$A,样品!BM$3,合格品入货记录!$E:$E,样品!$E38)</f>
        <v>0</v>
      </c>
      <c r="BN38" s="32">
        <f>SUMIFS(合格品入货记录!$G:$G,合格品入货记录!$A:$A,样品!BN$3,合格品入货记录!$E:$E,样品!$E38)</f>
        <v>0</v>
      </c>
      <c r="BO38" s="32">
        <f>SUMIFS(合格品入货记录!$G:$G,合格品入货记录!$A:$A,样品!BO$3,合格品入货记录!$E:$E,样品!$E38)</f>
        <v>0</v>
      </c>
      <c r="BP38" s="32">
        <f>SUMIFS(合格品入货记录!$G:$G,合格品入货记录!$A:$A,样品!BP$3,合格品入货记录!$E:$E,样品!$E38)</f>
        <v>0</v>
      </c>
      <c r="BQ38" s="32">
        <f>SUMIFS(合格品入货记录!$G:$G,合格品入货记录!$A:$A,样品!BQ$3,合格品入货记录!$E:$E,样品!$E38)</f>
        <v>0</v>
      </c>
      <c r="BR38" s="32">
        <f>SUMIFS(合格品入货记录!$G:$G,合格品入货记录!$A:$A,样品!BR$3,合格品入货记录!$E:$E,样品!$E38)</f>
        <v>0</v>
      </c>
      <c r="BS38" s="32">
        <f>SUMIFS(合格品入货记录!$G:$G,合格品入货记录!$A:$A,样品!BS$3,合格品入货记录!$E:$E,样品!$E38)</f>
        <v>0</v>
      </c>
      <c r="BT38" s="32">
        <f>SUMIFS(合格品入货记录!$G:$G,合格品入货记录!$A:$A,样品!BT$3,合格品入货记录!$E:$E,样品!$E38)</f>
        <v>0</v>
      </c>
      <c r="BU38" s="32">
        <f>SUMIFS(合格品入货记录!$G:$G,合格品入货记录!$A:$A,样品!BU$3,合格品入货记录!$E:$E,样品!$E38)</f>
        <v>0</v>
      </c>
      <c r="BV38" s="32">
        <f>SUMIFS(合格品入货记录!$G:$G,合格品入货记录!$A:$A,样品!BV$3,合格品入货记录!$E:$E,样品!$E38)</f>
        <v>0</v>
      </c>
      <c r="BW38" s="32">
        <f>SUMIFS(合格品入货记录!$G:$G,合格品入货记录!$A:$A,样品!BW$3,合格品入货记录!$E:$E,样品!$E38)</f>
        <v>0</v>
      </c>
      <c r="BX38" s="32">
        <f>SUMIFS(合格品入货记录!$G:$G,合格品入货记录!$A:$A,样品!BX$3,合格品入货记录!$E:$E,样品!$E38)</f>
        <v>0</v>
      </c>
      <c r="BY38" s="32">
        <f>SUMIFS(合格品入货记录!$G:$G,合格品入货记录!$A:$A,样品!BY$3,合格品入货记录!$E:$E,样品!$E38)</f>
        <v>0</v>
      </c>
      <c r="BZ38" s="124"/>
      <c r="CA38" s="124"/>
      <c r="CB38" s="125"/>
      <c r="CC38" s="125"/>
    </row>
    <row r="39" s="90" customFormat="1" customHeight="1" spans="1:82">
      <c r="A39" s="31">
        <v>36</v>
      </c>
      <c r="B39" s="104" t="s">
        <v>19</v>
      </c>
      <c r="C39" s="105" t="s">
        <v>20</v>
      </c>
      <c r="D39" s="30">
        <v>801001004706</v>
      </c>
      <c r="E39" s="31" t="s">
        <v>364</v>
      </c>
      <c r="F39" s="105" t="s">
        <v>365</v>
      </c>
      <c r="G39" s="106"/>
      <c r="H39" s="104">
        <v>0</v>
      </c>
      <c r="I39" s="106">
        <f>SUMIF(合格品入货记录!E:E,样品!E39,合格品入货记录!G:G)</f>
        <v>0</v>
      </c>
      <c r="J39" s="106">
        <f>SUMIF(合格品出库记录!E:E,样品!E39,合格品出库记录!G:G)</f>
        <v>0</v>
      </c>
      <c r="K39" s="102">
        <f t="shared" si="2"/>
        <v>0</v>
      </c>
      <c r="L39" s="102">
        <f>SUMIF(不良品库存!D:D,E39:E80,不良品库存!F:F)</f>
        <v>0</v>
      </c>
      <c r="M39" s="113">
        <f t="shared" si="3"/>
        <v>0</v>
      </c>
      <c r="N39" s="104"/>
      <c r="O39" s="104"/>
      <c r="P39" s="32">
        <f>IFERROR(SUMIFS(合格品入货记录!$G:$G,合格品入货记录!$A:$A,样品!P$3,合格品入货记录!$E:$E,样品!$E39)," ")</f>
        <v>0</v>
      </c>
      <c r="Q39" s="32">
        <f>SUMIFS(合格品入货记录!$G:$G,合格品入货记录!$A:$A,样品!Q$3,合格品入货记录!$E:$E,样品!$E39)</f>
        <v>0</v>
      </c>
      <c r="R39" s="32">
        <f>SUMIFS(合格品入货记录!$G:$G,合格品入货记录!$A:$A,样品!R$3,合格品入货记录!$E:$E,样品!$E39)</f>
        <v>0</v>
      </c>
      <c r="S39" s="32">
        <f>SUMIFS(合格品入货记录!$G:$G,合格品入货记录!$A:$A,样品!S$3,合格品入货记录!$E:$E,样品!$E39)</f>
        <v>0</v>
      </c>
      <c r="T39" s="32">
        <f>SUMIFS(合格品入货记录!$G:$G,合格品入货记录!$A:$A,样品!T$3,合格品入货记录!$E:$E,样品!$E39)</f>
        <v>0</v>
      </c>
      <c r="U39" s="32">
        <f>SUMIFS(合格品入货记录!$G:$G,合格品入货记录!$A:$A,样品!U$3,合格品入货记录!$E:$E,样品!$E39)</f>
        <v>0</v>
      </c>
      <c r="V39" s="32">
        <f>SUMIFS(合格品入货记录!$G:$G,合格品入货记录!$A:$A,样品!V$3,合格品入货记录!$E:$E,样品!$E39)</f>
        <v>0</v>
      </c>
      <c r="W39" s="32">
        <f>SUMIFS(合格品入货记录!$G:$G,合格品入货记录!$A:$A,样品!W$3,合格品入货记录!$E:$E,样品!$E39)</f>
        <v>0</v>
      </c>
      <c r="X39" s="32">
        <f>SUMIFS(合格品入货记录!$G:$G,合格品入货记录!$A:$A,样品!X$3,合格品入货记录!$E:$E,样品!$E39)</f>
        <v>0</v>
      </c>
      <c r="Y39" s="32">
        <f>SUMIFS(合格品入货记录!$G:$G,合格品入货记录!$A:$A,样品!Y$3,合格品入货记录!$E:$E,样品!$E39)</f>
        <v>0</v>
      </c>
      <c r="Z39" s="32">
        <f>SUMIFS(合格品入货记录!$G:$G,合格品入货记录!$A:$A,样品!Z$3,合格品入货记录!$E:$E,样品!$E39)</f>
        <v>0</v>
      </c>
      <c r="AA39" s="32">
        <f>SUMIFS(合格品入货记录!$G:$G,合格品入货记录!$A:$A,样品!AA$3,合格品入货记录!$E:$E,样品!$E39)</f>
        <v>0</v>
      </c>
      <c r="AB39" s="32">
        <f>SUMIFS(合格品入货记录!$G:$G,合格品入货记录!$A:$A,样品!AB$3,合格品入货记录!$E:$E,样品!$E39)</f>
        <v>0</v>
      </c>
      <c r="AC39" s="32">
        <f>SUMIFS(合格品入货记录!$G:$G,合格品入货记录!$A:$A,样品!AC$3,合格品入货记录!$E:$E,样品!$E39)</f>
        <v>0</v>
      </c>
      <c r="AD39" s="32">
        <f>SUMIFS(合格品入货记录!$G:$G,合格品入货记录!$A:$A,样品!AD$3,合格品入货记录!$E:$E,样品!$E39)</f>
        <v>0</v>
      </c>
      <c r="AE39" s="32">
        <f>SUMIFS(合格品入货记录!$G:$G,合格品入货记录!$A:$A,样品!AE$3,合格品入货记录!$E:$E,样品!$E39)</f>
        <v>0</v>
      </c>
      <c r="AF39" s="32">
        <f>SUMIFS(合格品入货记录!$G:$G,合格品入货记录!$A:$A,样品!AF$3,合格品入货记录!$E:$E,样品!$E39)</f>
        <v>0</v>
      </c>
      <c r="AG39" s="32">
        <f>SUMIFS(合格品入货记录!$G:$G,合格品入货记录!$A:$A,样品!AG$3,合格品入货记录!$E:$E,样品!$E39)</f>
        <v>0</v>
      </c>
      <c r="AH39" s="32">
        <f>SUMIFS(合格品入货记录!$G:$G,合格品入货记录!$A:$A,样品!AH$3,合格品入货记录!$E:$E,样品!$E39)</f>
        <v>0</v>
      </c>
      <c r="AI39" s="32">
        <f>SUMIFS(合格品入货记录!$G:$G,合格品入货记录!$A:$A,样品!AI$3,合格品入货记录!$E:$E,样品!$E39)</f>
        <v>0</v>
      </c>
      <c r="AJ39" s="32">
        <f>SUMIFS(合格品入货记录!$G:$G,合格品入货记录!$A:$A,样品!AJ$3,合格品入货记录!$E:$E,样品!$E39)</f>
        <v>0</v>
      </c>
      <c r="AK39" s="32">
        <f>SUMIFS(合格品入货记录!$G:$G,合格品入货记录!$A:$A,样品!AK$3,合格品入货记录!$E:$E,样品!$E39)</f>
        <v>0</v>
      </c>
      <c r="AL39" s="32">
        <f>SUMIFS(合格品入货记录!$G:$G,合格品入货记录!$A:$A,样品!AL$3,合格品入货记录!$E:$E,样品!$E39)</f>
        <v>0</v>
      </c>
      <c r="AM39" s="32">
        <f>SUMIFS(合格品入货记录!$G:$G,合格品入货记录!$A:$A,样品!AM$3,合格品入货记录!$E:$E,样品!$E39)</f>
        <v>0</v>
      </c>
      <c r="AN39" s="32">
        <f>SUMIFS(合格品入货记录!$G:$G,合格品入货记录!$A:$A,样品!AN$3,合格品入货记录!$E:$E,样品!$E39)</f>
        <v>0</v>
      </c>
      <c r="AO39" s="32">
        <f>SUMIFS(合格品入货记录!$G:$G,合格品入货记录!$A:$A,样品!AO$3,合格品入货记录!$E:$E,样品!$E39)</f>
        <v>0</v>
      </c>
      <c r="AP39" s="32">
        <f>SUMIFS(合格品入货记录!$G:$G,合格品入货记录!$A:$A,样品!AP$3,合格品入货记录!$E:$E,样品!$E39)</f>
        <v>0</v>
      </c>
      <c r="AQ39" s="32">
        <f>SUMIFS(合格品入货记录!$G:$G,合格品入货记录!$A:$A,样品!AQ$3,合格品入货记录!$E:$E,样品!$E39)</f>
        <v>0</v>
      </c>
      <c r="AR39" s="32">
        <f>SUMIFS(合格品入货记录!$G:$G,合格品入货记录!$A:$A,样品!AR$3,合格品入货记录!$E:$E,样品!$E39)</f>
        <v>0</v>
      </c>
      <c r="AS39" s="32">
        <f>SUMIFS(合格品入货记录!$G:$G,合格品入货记录!$A:$A,样品!AS$3,合格品入货记录!$E:$E,样品!$E39)</f>
        <v>0</v>
      </c>
      <c r="AT39" s="32">
        <f>SUMIFS(合格品入货记录!$G:$G,合格品入货记录!$A:$A,样品!AT$3,合格品入货记录!$E:$E,样品!$E39)</f>
        <v>0</v>
      </c>
      <c r="AU39" s="32">
        <f>SUMIFS(合格品入货记录!$G:$G,合格品入货记录!$A:$A,样品!AU$3,合格品入货记录!$E:$E,样品!$E39)</f>
        <v>0</v>
      </c>
      <c r="AV39" s="32">
        <f>SUMIFS(合格品入货记录!$G:$G,合格品入货记录!$A:$A,样品!AV$3,合格品入货记录!$E:$E,样品!$E39)</f>
        <v>0</v>
      </c>
      <c r="AW39" s="32">
        <f>SUMIFS(合格品入货记录!$G:$G,合格品入货记录!$A:$A,样品!AW$3,合格品入货记录!$E:$E,样品!$E39)</f>
        <v>0</v>
      </c>
      <c r="AX39" s="32">
        <f>SUMIFS(合格品入货记录!$G:$G,合格品入货记录!$A:$A,样品!AX$3,合格品入货记录!$E:$E,样品!$E39)</f>
        <v>0</v>
      </c>
      <c r="AY39" s="32">
        <f>SUMIFS(合格品入货记录!$G:$G,合格品入货记录!$A:$A,样品!AY$3,合格品入货记录!$E:$E,样品!$E39)</f>
        <v>0</v>
      </c>
      <c r="AZ39" s="32">
        <f>SUMIFS(合格品入货记录!$G:$G,合格品入货记录!$A:$A,样品!AZ$3,合格品入货记录!$E:$E,样品!$E39)</f>
        <v>0</v>
      </c>
      <c r="BA39" s="32">
        <f>SUMIFS(合格品入货记录!$G:$G,合格品入货记录!$A:$A,样品!BA$3,合格品入货记录!$E:$E,样品!$E39)</f>
        <v>0</v>
      </c>
      <c r="BB39" s="32">
        <f>SUMIFS(合格品入货记录!$G:$G,合格品入货记录!$A:$A,样品!BB$3,合格品入货记录!$E:$E,样品!$E39)</f>
        <v>0</v>
      </c>
      <c r="BC39" s="32">
        <f>SUMIFS(合格品入货记录!$G:$G,合格品入货记录!$A:$A,样品!BC$3,合格品入货记录!$E:$E,样品!$E39)</f>
        <v>0</v>
      </c>
      <c r="BD39" s="32">
        <f>SUMIFS(合格品入货记录!$G:$G,合格品入货记录!$A:$A,样品!BD$3,合格品入货记录!$E:$E,样品!$E39)</f>
        <v>0</v>
      </c>
      <c r="BE39" s="32">
        <f>SUMIFS(合格品入货记录!$G:$G,合格品入货记录!$A:$A,样品!BE$3,合格品入货记录!$E:$E,样品!$E39)</f>
        <v>0</v>
      </c>
      <c r="BF39" s="32">
        <f>SUMIFS(合格品入货记录!$G:$G,合格品入货记录!$A:$A,样品!BF$3,合格品入货记录!$E:$E,样品!$E39)</f>
        <v>0</v>
      </c>
      <c r="BG39" s="32">
        <f>SUMIFS(合格品入货记录!$G:$G,合格品入货记录!$A:$A,样品!BG$3,合格品入货记录!$E:$E,样品!$E39)</f>
        <v>0</v>
      </c>
      <c r="BH39" s="32">
        <f>SUMIFS(合格品入货记录!$G:$G,合格品入货记录!$A:$A,样品!BH$3,合格品入货记录!$E:$E,样品!$E39)</f>
        <v>0</v>
      </c>
      <c r="BI39" s="32">
        <f>SUMIFS(合格品入货记录!$G:$G,合格品入货记录!$A:$A,样品!BI$3,合格品入货记录!$E:$E,样品!$E39)</f>
        <v>0</v>
      </c>
      <c r="BJ39" s="32">
        <f>SUMIFS(合格品入货记录!$G:$G,合格品入货记录!$A:$A,样品!BJ$3,合格品入货记录!$E:$E,样品!$E39)</f>
        <v>0</v>
      </c>
      <c r="BK39" s="32">
        <f>SUMIFS(合格品入货记录!$G:$G,合格品入货记录!$A:$A,样品!BK$3,合格品入货记录!$E:$E,样品!$E39)</f>
        <v>0</v>
      </c>
      <c r="BL39" s="32">
        <f>SUMIFS(合格品入货记录!$G:$G,合格品入货记录!$A:$A,样品!BL$3,合格品入货记录!$E:$E,样品!$E39)</f>
        <v>0</v>
      </c>
      <c r="BM39" s="32">
        <f>SUMIFS(合格品入货记录!$G:$G,合格品入货记录!$A:$A,样品!BM$3,合格品入货记录!$E:$E,样品!$E39)</f>
        <v>0</v>
      </c>
      <c r="BN39" s="32">
        <f>SUMIFS(合格品入货记录!$G:$G,合格品入货记录!$A:$A,样品!BN$3,合格品入货记录!$E:$E,样品!$E39)</f>
        <v>0</v>
      </c>
      <c r="BO39" s="32">
        <f>SUMIFS(合格品入货记录!$G:$G,合格品入货记录!$A:$A,样品!BO$3,合格品入货记录!$E:$E,样品!$E39)</f>
        <v>0</v>
      </c>
      <c r="BP39" s="32">
        <f>SUMIFS(合格品入货记录!$G:$G,合格品入货记录!$A:$A,样品!BP$3,合格品入货记录!$E:$E,样品!$E39)</f>
        <v>0</v>
      </c>
      <c r="BQ39" s="32">
        <f>SUMIFS(合格品入货记录!$G:$G,合格品入货记录!$A:$A,样品!BQ$3,合格品入货记录!$E:$E,样品!$E39)</f>
        <v>0</v>
      </c>
      <c r="BR39" s="32">
        <f>SUMIFS(合格品入货记录!$G:$G,合格品入货记录!$A:$A,样品!BR$3,合格品入货记录!$E:$E,样品!$E39)</f>
        <v>0</v>
      </c>
      <c r="BS39" s="32">
        <f>SUMIFS(合格品入货记录!$G:$G,合格品入货记录!$A:$A,样品!BS$3,合格品入货记录!$E:$E,样品!$E39)</f>
        <v>0</v>
      </c>
      <c r="BT39" s="32">
        <f>SUMIFS(合格品入货记录!$G:$G,合格品入货记录!$A:$A,样品!BT$3,合格品入货记录!$E:$E,样品!$E39)</f>
        <v>0</v>
      </c>
      <c r="BU39" s="32">
        <f>SUMIFS(合格品入货记录!$G:$G,合格品入货记录!$A:$A,样品!BU$3,合格品入货记录!$E:$E,样品!$E39)</f>
        <v>0</v>
      </c>
      <c r="BV39" s="32">
        <f>SUMIFS(合格品入货记录!$G:$G,合格品入货记录!$A:$A,样品!BV$3,合格品入货记录!$E:$E,样品!$E39)</f>
        <v>0</v>
      </c>
      <c r="BW39" s="32">
        <f>SUMIFS(合格品入货记录!$G:$G,合格品入货记录!$A:$A,样品!BW$3,合格品入货记录!$E:$E,样品!$E39)</f>
        <v>0</v>
      </c>
      <c r="BX39" s="32">
        <f>SUMIFS(合格品入货记录!$G:$G,合格品入货记录!$A:$A,样品!BX$3,合格品入货记录!$E:$E,样品!$E39)</f>
        <v>0</v>
      </c>
      <c r="BY39" s="32">
        <f>SUMIFS(合格品入货记录!$G:$G,合格品入货记录!$A:$A,样品!BY$3,合格品入货记录!$E:$E,样品!$E39)</f>
        <v>0</v>
      </c>
      <c r="BZ39" s="126"/>
      <c r="CA39" s="126"/>
      <c r="CB39" s="125"/>
      <c r="CC39" s="125"/>
      <c r="CD39" s="130"/>
    </row>
    <row r="40" s="90" customFormat="1" customHeight="1" spans="1:82">
      <c r="A40" s="31">
        <v>37</v>
      </c>
      <c r="B40" s="104" t="s">
        <v>19</v>
      </c>
      <c r="C40" s="105" t="s">
        <v>20</v>
      </c>
      <c r="D40" s="32" t="s">
        <v>366</v>
      </c>
      <c r="E40" s="31" t="s">
        <v>367</v>
      </c>
      <c r="F40" s="105" t="s">
        <v>368</v>
      </c>
      <c r="G40" s="106"/>
      <c r="H40" s="104">
        <v>0</v>
      </c>
      <c r="I40" s="106">
        <f>SUMIF(合格品入货记录!E:E,样品!E40,合格品入货记录!G:G)</f>
        <v>0</v>
      </c>
      <c r="J40" s="106">
        <f>SUMIF(合格品出库记录!E:E,样品!E40,合格品出库记录!G:G)</f>
        <v>0</v>
      </c>
      <c r="K40" s="102">
        <f t="shared" si="2"/>
        <v>0</v>
      </c>
      <c r="L40" s="102">
        <f>SUMIF(不良品库存!D:D,E40:E81,不良品库存!F:F)</f>
        <v>0</v>
      </c>
      <c r="M40" s="113">
        <f t="shared" si="3"/>
        <v>0</v>
      </c>
      <c r="N40" s="104"/>
      <c r="O40" s="104"/>
      <c r="P40" s="32">
        <f>IFERROR(SUMIFS(合格品入货记录!$G:$G,合格品入货记录!$A:$A,样品!P$3,合格品入货记录!$E:$E,样品!$E40)," ")</f>
        <v>0</v>
      </c>
      <c r="Q40" s="32">
        <f>SUMIFS(合格品入货记录!$G:$G,合格品入货记录!$A:$A,样品!Q$3,合格品入货记录!$E:$E,样品!$E40)</f>
        <v>0</v>
      </c>
      <c r="R40" s="32">
        <f>SUMIFS(合格品入货记录!$G:$G,合格品入货记录!$A:$A,样品!R$3,合格品入货记录!$E:$E,样品!$E40)</f>
        <v>0</v>
      </c>
      <c r="S40" s="32">
        <f>SUMIFS(合格品入货记录!$G:$G,合格品入货记录!$A:$A,样品!S$3,合格品入货记录!$E:$E,样品!$E40)</f>
        <v>0</v>
      </c>
      <c r="T40" s="32">
        <f>SUMIFS(合格品入货记录!$G:$G,合格品入货记录!$A:$A,样品!T$3,合格品入货记录!$E:$E,样品!$E40)</f>
        <v>0</v>
      </c>
      <c r="U40" s="32">
        <f>SUMIFS(合格品入货记录!$G:$G,合格品入货记录!$A:$A,样品!U$3,合格品入货记录!$E:$E,样品!$E40)</f>
        <v>0</v>
      </c>
      <c r="V40" s="32">
        <f>SUMIFS(合格品入货记录!$G:$G,合格品入货记录!$A:$A,样品!V$3,合格品入货记录!$E:$E,样品!$E40)</f>
        <v>0</v>
      </c>
      <c r="W40" s="32">
        <f>SUMIFS(合格品入货记录!$G:$G,合格品入货记录!$A:$A,样品!W$3,合格品入货记录!$E:$E,样品!$E40)</f>
        <v>0</v>
      </c>
      <c r="X40" s="32">
        <f>SUMIFS(合格品入货记录!$G:$G,合格品入货记录!$A:$A,样品!X$3,合格品入货记录!$E:$E,样品!$E40)</f>
        <v>0</v>
      </c>
      <c r="Y40" s="32">
        <f>SUMIFS(合格品入货记录!$G:$G,合格品入货记录!$A:$A,样品!Y$3,合格品入货记录!$E:$E,样品!$E40)</f>
        <v>0</v>
      </c>
      <c r="Z40" s="32">
        <f>SUMIFS(合格品入货记录!$G:$G,合格品入货记录!$A:$A,样品!Z$3,合格品入货记录!$E:$E,样品!$E40)</f>
        <v>0</v>
      </c>
      <c r="AA40" s="32">
        <f>SUMIFS(合格品入货记录!$G:$G,合格品入货记录!$A:$A,样品!AA$3,合格品入货记录!$E:$E,样品!$E40)</f>
        <v>0</v>
      </c>
      <c r="AB40" s="32">
        <f>SUMIFS(合格品入货记录!$G:$G,合格品入货记录!$A:$A,样品!AB$3,合格品入货记录!$E:$E,样品!$E40)</f>
        <v>0</v>
      </c>
      <c r="AC40" s="32">
        <f>SUMIFS(合格品入货记录!$G:$G,合格品入货记录!$A:$A,样品!AC$3,合格品入货记录!$E:$E,样品!$E40)</f>
        <v>0</v>
      </c>
      <c r="AD40" s="32">
        <f>SUMIFS(合格品入货记录!$G:$G,合格品入货记录!$A:$A,样品!AD$3,合格品入货记录!$E:$E,样品!$E40)</f>
        <v>0</v>
      </c>
      <c r="AE40" s="32">
        <f>SUMIFS(合格品入货记录!$G:$G,合格品入货记录!$A:$A,样品!AE$3,合格品入货记录!$E:$E,样品!$E40)</f>
        <v>0</v>
      </c>
      <c r="AF40" s="32">
        <f>SUMIFS(合格品入货记录!$G:$G,合格品入货记录!$A:$A,样品!AF$3,合格品入货记录!$E:$E,样品!$E40)</f>
        <v>0</v>
      </c>
      <c r="AG40" s="32">
        <f>SUMIFS(合格品入货记录!$G:$G,合格品入货记录!$A:$A,样品!AG$3,合格品入货记录!$E:$E,样品!$E40)</f>
        <v>0</v>
      </c>
      <c r="AH40" s="32">
        <f>SUMIFS(合格品入货记录!$G:$G,合格品入货记录!$A:$A,样品!AH$3,合格品入货记录!$E:$E,样品!$E40)</f>
        <v>0</v>
      </c>
      <c r="AI40" s="32">
        <f>SUMIFS(合格品入货记录!$G:$G,合格品入货记录!$A:$A,样品!AI$3,合格品入货记录!$E:$E,样品!$E40)</f>
        <v>0</v>
      </c>
      <c r="AJ40" s="32">
        <f>SUMIFS(合格品入货记录!$G:$G,合格品入货记录!$A:$A,样品!AJ$3,合格品入货记录!$E:$E,样品!$E40)</f>
        <v>0</v>
      </c>
      <c r="AK40" s="32">
        <f>SUMIFS(合格品入货记录!$G:$G,合格品入货记录!$A:$A,样品!AK$3,合格品入货记录!$E:$E,样品!$E40)</f>
        <v>0</v>
      </c>
      <c r="AL40" s="32">
        <f>SUMIFS(合格品入货记录!$G:$G,合格品入货记录!$A:$A,样品!AL$3,合格品入货记录!$E:$E,样品!$E40)</f>
        <v>0</v>
      </c>
      <c r="AM40" s="32">
        <f>SUMIFS(合格品入货记录!$G:$G,合格品入货记录!$A:$A,样品!AM$3,合格品入货记录!$E:$E,样品!$E40)</f>
        <v>0</v>
      </c>
      <c r="AN40" s="32">
        <f>SUMIFS(合格品入货记录!$G:$G,合格品入货记录!$A:$A,样品!AN$3,合格品入货记录!$E:$E,样品!$E40)</f>
        <v>0</v>
      </c>
      <c r="AO40" s="32">
        <f>SUMIFS(合格品入货记录!$G:$G,合格品入货记录!$A:$A,样品!AO$3,合格品入货记录!$E:$E,样品!$E40)</f>
        <v>0</v>
      </c>
      <c r="AP40" s="32">
        <f>SUMIFS(合格品入货记录!$G:$G,合格品入货记录!$A:$A,样品!AP$3,合格品入货记录!$E:$E,样品!$E40)</f>
        <v>0</v>
      </c>
      <c r="AQ40" s="32">
        <f>SUMIFS(合格品入货记录!$G:$G,合格品入货记录!$A:$A,样品!AQ$3,合格品入货记录!$E:$E,样品!$E40)</f>
        <v>0</v>
      </c>
      <c r="AR40" s="32">
        <f>SUMIFS(合格品入货记录!$G:$G,合格品入货记录!$A:$A,样品!AR$3,合格品入货记录!$E:$E,样品!$E40)</f>
        <v>0</v>
      </c>
      <c r="AS40" s="32">
        <f>SUMIFS(合格品入货记录!$G:$G,合格品入货记录!$A:$A,样品!AS$3,合格品入货记录!$E:$E,样品!$E40)</f>
        <v>0</v>
      </c>
      <c r="AT40" s="32">
        <f>SUMIFS(合格品入货记录!$G:$G,合格品入货记录!$A:$A,样品!AT$3,合格品入货记录!$E:$E,样品!$E40)</f>
        <v>0</v>
      </c>
      <c r="AU40" s="32">
        <f>SUMIFS(合格品入货记录!$G:$G,合格品入货记录!$A:$A,样品!AU$3,合格品入货记录!$E:$E,样品!$E40)</f>
        <v>0</v>
      </c>
      <c r="AV40" s="32">
        <f>SUMIFS(合格品入货记录!$G:$G,合格品入货记录!$A:$A,样品!AV$3,合格品入货记录!$E:$E,样品!$E40)</f>
        <v>0</v>
      </c>
      <c r="AW40" s="32">
        <f>SUMIFS(合格品入货记录!$G:$G,合格品入货记录!$A:$A,样品!AW$3,合格品入货记录!$E:$E,样品!$E40)</f>
        <v>0</v>
      </c>
      <c r="AX40" s="32">
        <f>SUMIFS(合格品入货记录!$G:$G,合格品入货记录!$A:$A,样品!AX$3,合格品入货记录!$E:$E,样品!$E40)</f>
        <v>0</v>
      </c>
      <c r="AY40" s="32">
        <f>SUMIFS(合格品入货记录!$G:$G,合格品入货记录!$A:$A,样品!AY$3,合格品入货记录!$E:$E,样品!$E40)</f>
        <v>0</v>
      </c>
      <c r="AZ40" s="32">
        <f>SUMIFS(合格品入货记录!$G:$G,合格品入货记录!$A:$A,样品!AZ$3,合格品入货记录!$E:$E,样品!$E40)</f>
        <v>0</v>
      </c>
      <c r="BA40" s="32">
        <f>SUMIFS(合格品入货记录!$G:$G,合格品入货记录!$A:$A,样品!BA$3,合格品入货记录!$E:$E,样品!$E40)</f>
        <v>0</v>
      </c>
      <c r="BB40" s="32">
        <f>SUMIFS(合格品入货记录!$G:$G,合格品入货记录!$A:$A,样品!BB$3,合格品入货记录!$E:$E,样品!$E40)</f>
        <v>0</v>
      </c>
      <c r="BC40" s="32">
        <f>SUMIFS(合格品入货记录!$G:$G,合格品入货记录!$A:$A,样品!BC$3,合格品入货记录!$E:$E,样品!$E40)</f>
        <v>0</v>
      </c>
      <c r="BD40" s="32">
        <f>SUMIFS(合格品入货记录!$G:$G,合格品入货记录!$A:$A,样品!BD$3,合格品入货记录!$E:$E,样品!$E40)</f>
        <v>0</v>
      </c>
      <c r="BE40" s="32">
        <f>SUMIFS(合格品入货记录!$G:$G,合格品入货记录!$A:$A,样品!BE$3,合格品入货记录!$E:$E,样品!$E40)</f>
        <v>0</v>
      </c>
      <c r="BF40" s="32">
        <f>SUMIFS(合格品入货记录!$G:$G,合格品入货记录!$A:$A,样品!BF$3,合格品入货记录!$E:$E,样品!$E40)</f>
        <v>0</v>
      </c>
      <c r="BG40" s="32">
        <f>SUMIFS(合格品入货记录!$G:$G,合格品入货记录!$A:$A,样品!BG$3,合格品入货记录!$E:$E,样品!$E40)</f>
        <v>0</v>
      </c>
      <c r="BH40" s="32">
        <f>SUMIFS(合格品入货记录!$G:$G,合格品入货记录!$A:$A,样品!BH$3,合格品入货记录!$E:$E,样品!$E40)</f>
        <v>0</v>
      </c>
      <c r="BI40" s="32">
        <f>SUMIFS(合格品入货记录!$G:$G,合格品入货记录!$A:$A,样品!BI$3,合格品入货记录!$E:$E,样品!$E40)</f>
        <v>0</v>
      </c>
      <c r="BJ40" s="32">
        <f>SUMIFS(合格品入货记录!$G:$G,合格品入货记录!$A:$A,样品!BJ$3,合格品入货记录!$E:$E,样品!$E40)</f>
        <v>0</v>
      </c>
      <c r="BK40" s="32">
        <f>SUMIFS(合格品入货记录!$G:$G,合格品入货记录!$A:$A,样品!BK$3,合格品入货记录!$E:$E,样品!$E40)</f>
        <v>0</v>
      </c>
      <c r="BL40" s="32">
        <f>SUMIFS(合格品入货记录!$G:$G,合格品入货记录!$A:$A,样品!BL$3,合格品入货记录!$E:$E,样品!$E40)</f>
        <v>0</v>
      </c>
      <c r="BM40" s="32">
        <f>SUMIFS(合格品入货记录!$G:$G,合格品入货记录!$A:$A,样品!BM$3,合格品入货记录!$E:$E,样品!$E40)</f>
        <v>0</v>
      </c>
      <c r="BN40" s="32">
        <f>SUMIFS(合格品入货记录!$G:$G,合格品入货记录!$A:$A,样品!BN$3,合格品入货记录!$E:$E,样品!$E40)</f>
        <v>0</v>
      </c>
      <c r="BO40" s="32">
        <f>SUMIFS(合格品入货记录!$G:$G,合格品入货记录!$A:$A,样品!BO$3,合格品入货记录!$E:$E,样品!$E40)</f>
        <v>0</v>
      </c>
      <c r="BP40" s="32">
        <f>SUMIFS(合格品入货记录!$G:$G,合格品入货记录!$A:$A,样品!BP$3,合格品入货记录!$E:$E,样品!$E40)</f>
        <v>0</v>
      </c>
      <c r="BQ40" s="32">
        <f>SUMIFS(合格品入货记录!$G:$G,合格品入货记录!$A:$A,样品!BQ$3,合格品入货记录!$E:$E,样品!$E40)</f>
        <v>0</v>
      </c>
      <c r="BR40" s="32">
        <f>SUMIFS(合格品入货记录!$G:$G,合格品入货记录!$A:$A,样品!BR$3,合格品入货记录!$E:$E,样品!$E40)</f>
        <v>0</v>
      </c>
      <c r="BS40" s="32">
        <f>SUMIFS(合格品入货记录!$G:$G,合格品入货记录!$A:$A,样品!BS$3,合格品入货记录!$E:$E,样品!$E40)</f>
        <v>0</v>
      </c>
      <c r="BT40" s="32">
        <f>SUMIFS(合格品入货记录!$G:$G,合格品入货记录!$A:$A,样品!BT$3,合格品入货记录!$E:$E,样品!$E40)</f>
        <v>0</v>
      </c>
      <c r="BU40" s="32">
        <f>SUMIFS(合格品入货记录!$G:$G,合格品入货记录!$A:$A,样品!BU$3,合格品入货记录!$E:$E,样品!$E40)</f>
        <v>0</v>
      </c>
      <c r="BV40" s="32">
        <f>SUMIFS(合格品入货记录!$G:$G,合格品入货记录!$A:$A,样品!BV$3,合格品入货记录!$E:$E,样品!$E40)</f>
        <v>0</v>
      </c>
      <c r="BW40" s="32">
        <f>SUMIFS(合格品入货记录!$G:$G,合格品入货记录!$A:$A,样品!BW$3,合格品入货记录!$E:$E,样品!$E40)</f>
        <v>0</v>
      </c>
      <c r="BX40" s="32">
        <f>SUMIFS(合格品入货记录!$G:$G,合格品入货记录!$A:$A,样品!BX$3,合格品入货记录!$E:$E,样品!$E40)</f>
        <v>0</v>
      </c>
      <c r="BY40" s="32">
        <f>SUMIFS(合格品入货记录!$G:$G,合格品入货记录!$A:$A,样品!BY$3,合格品入货记录!$E:$E,样品!$E40)</f>
        <v>0</v>
      </c>
      <c r="BZ40" s="126"/>
      <c r="CA40" s="126"/>
      <c r="CB40" s="125"/>
      <c r="CC40" s="125"/>
      <c r="CD40" s="130"/>
    </row>
    <row r="41" s="90" customFormat="1" customHeight="1" spans="1:82">
      <c r="A41" s="31">
        <v>38</v>
      </c>
      <c r="B41" s="104" t="s">
        <v>19</v>
      </c>
      <c r="C41" s="105" t="s">
        <v>20</v>
      </c>
      <c r="D41" s="30">
        <v>801001004766</v>
      </c>
      <c r="E41" s="31" t="s">
        <v>369</v>
      </c>
      <c r="F41" s="105" t="s">
        <v>370</v>
      </c>
      <c r="G41" s="106"/>
      <c r="H41" s="104">
        <v>0</v>
      </c>
      <c r="I41" s="106">
        <f>SUMIF(合格品入货记录!E:E,样品!E41,合格品入货记录!G:G)</f>
        <v>0</v>
      </c>
      <c r="J41" s="106">
        <f>SUMIF(合格品出库记录!E:E,样品!E41,合格品出库记录!G:G)</f>
        <v>0</v>
      </c>
      <c r="K41" s="102">
        <f t="shared" si="2"/>
        <v>0</v>
      </c>
      <c r="L41" s="102">
        <f>SUMIF(不良品库存!D:D,E41:E82,不良品库存!F:F)</f>
        <v>0</v>
      </c>
      <c r="M41" s="113">
        <f t="shared" si="3"/>
        <v>0</v>
      </c>
      <c r="N41" s="104"/>
      <c r="O41" s="104"/>
      <c r="P41" s="32">
        <f>IFERROR(SUMIFS(合格品入货记录!$G:$G,合格品入货记录!$A:$A,样品!P$3,合格品入货记录!$E:$E,样品!$E41)," ")</f>
        <v>0</v>
      </c>
      <c r="Q41" s="32">
        <f>SUMIFS(合格品入货记录!$G:$G,合格品入货记录!$A:$A,样品!Q$3,合格品入货记录!$E:$E,样品!$E41)</f>
        <v>0</v>
      </c>
      <c r="R41" s="32">
        <f>SUMIFS(合格品入货记录!$G:$G,合格品入货记录!$A:$A,样品!R$3,合格品入货记录!$E:$E,样品!$E41)</f>
        <v>0</v>
      </c>
      <c r="S41" s="32">
        <f>SUMIFS(合格品入货记录!$G:$G,合格品入货记录!$A:$A,样品!S$3,合格品入货记录!$E:$E,样品!$E41)</f>
        <v>0</v>
      </c>
      <c r="T41" s="32">
        <f>SUMIFS(合格品入货记录!$G:$G,合格品入货记录!$A:$A,样品!T$3,合格品入货记录!$E:$E,样品!$E41)</f>
        <v>0</v>
      </c>
      <c r="U41" s="32">
        <f>SUMIFS(合格品入货记录!$G:$G,合格品入货记录!$A:$A,样品!U$3,合格品入货记录!$E:$E,样品!$E41)</f>
        <v>0</v>
      </c>
      <c r="V41" s="32">
        <f>SUMIFS(合格品入货记录!$G:$G,合格品入货记录!$A:$A,样品!V$3,合格品入货记录!$E:$E,样品!$E41)</f>
        <v>0</v>
      </c>
      <c r="W41" s="32">
        <f>SUMIFS(合格品入货记录!$G:$G,合格品入货记录!$A:$A,样品!W$3,合格品入货记录!$E:$E,样品!$E41)</f>
        <v>0</v>
      </c>
      <c r="X41" s="32">
        <f>SUMIFS(合格品入货记录!$G:$G,合格品入货记录!$A:$A,样品!X$3,合格品入货记录!$E:$E,样品!$E41)</f>
        <v>0</v>
      </c>
      <c r="Y41" s="32">
        <f>SUMIFS(合格品入货记录!$G:$G,合格品入货记录!$A:$A,样品!Y$3,合格品入货记录!$E:$E,样品!$E41)</f>
        <v>0</v>
      </c>
      <c r="Z41" s="32">
        <f>SUMIFS(合格品入货记录!$G:$G,合格品入货记录!$A:$A,样品!Z$3,合格品入货记录!$E:$E,样品!$E41)</f>
        <v>0</v>
      </c>
      <c r="AA41" s="32">
        <f>SUMIFS(合格品入货记录!$G:$G,合格品入货记录!$A:$A,样品!AA$3,合格品入货记录!$E:$E,样品!$E41)</f>
        <v>0</v>
      </c>
      <c r="AB41" s="32">
        <f>SUMIFS(合格品入货记录!$G:$G,合格品入货记录!$A:$A,样品!AB$3,合格品入货记录!$E:$E,样品!$E41)</f>
        <v>0</v>
      </c>
      <c r="AC41" s="32">
        <f>SUMIFS(合格品入货记录!$G:$G,合格品入货记录!$A:$A,样品!AC$3,合格品入货记录!$E:$E,样品!$E41)</f>
        <v>0</v>
      </c>
      <c r="AD41" s="32">
        <f>SUMIFS(合格品入货记录!$G:$G,合格品入货记录!$A:$A,样品!AD$3,合格品入货记录!$E:$E,样品!$E41)</f>
        <v>0</v>
      </c>
      <c r="AE41" s="32">
        <f>SUMIFS(合格品入货记录!$G:$G,合格品入货记录!$A:$A,样品!AE$3,合格品入货记录!$E:$E,样品!$E41)</f>
        <v>0</v>
      </c>
      <c r="AF41" s="32">
        <f>SUMIFS(合格品入货记录!$G:$G,合格品入货记录!$A:$A,样品!AF$3,合格品入货记录!$E:$E,样品!$E41)</f>
        <v>0</v>
      </c>
      <c r="AG41" s="32">
        <f>SUMIFS(合格品入货记录!$G:$G,合格品入货记录!$A:$A,样品!AG$3,合格品入货记录!$E:$E,样品!$E41)</f>
        <v>0</v>
      </c>
      <c r="AH41" s="32">
        <f>SUMIFS(合格品入货记录!$G:$G,合格品入货记录!$A:$A,样品!AH$3,合格品入货记录!$E:$E,样品!$E41)</f>
        <v>0</v>
      </c>
      <c r="AI41" s="32">
        <f>SUMIFS(合格品入货记录!$G:$G,合格品入货记录!$A:$A,样品!AI$3,合格品入货记录!$E:$E,样品!$E41)</f>
        <v>0</v>
      </c>
      <c r="AJ41" s="32">
        <f>SUMIFS(合格品入货记录!$G:$G,合格品入货记录!$A:$A,样品!AJ$3,合格品入货记录!$E:$E,样品!$E41)</f>
        <v>0</v>
      </c>
      <c r="AK41" s="32">
        <f>SUMIFS(合格品入货记录!$G:$G,合格品入货记录!$A:$A,样品!AK$3,合格品入货记录!$E:$E,样品!$E41)</f>
        <v>0</v>
      </c>
      <c r="AL41" s="32">
        <f>SUMIFS(合格品入货记录!$G:$G,合格品入货记录!$A:$A,样品!AL$3,合格品入货记录!$E:$E,样品!$E41)</f>
        <v>0</v>
      </c>
      <c r="AM41" s="32">
        <f>SUMIFS(合格品入货记录!$G:$G,合格品入货记录!$A:$A,样品!AM$3,合格品入货记录!$E:$E,样品!$E41)</f>
        <v>0</v>
      </c>
      <c r="AN41" s="32">
        <f>SUMIFS(合格品入货记录!$G:$G,合格品入货记录!$A:$A,样品!AN$3,合格品入货记录!$E:$E,样品!$E41)</f>
        <v>0</v>
      </c>
      <c r="AO41" s="32">
        <f>SUMIFS(合格品入货记录!$G:$G,合格品入货记录!$A:$A,样品!AO$3,合格品入货记录!$E:$E,样品!$E41)</f>
        <v>0</v>
      </c>
      <c r="AP41" s="32">
        <f>SUMIFS(合格品入货记录!$G:$G,合格品入货记录!$A:$A,样品!AP$3,合格品入货记录!$E:$E,样品!$E41)</f>
        <v>0</v>
      </c>
      <c r="AQ41" s="32">
        <f>SUMIFS(合格品入货记录!$G:$G,合格品入货记录!$A:$A,样品!AQ$3,合格品入货记录!$E:$E,样品!$E41)</f>
        <v>0</v>
      </c>
      <c r="AR41" s="32">
        <f>SUMIFS(合格品入货记录!$G:$G,合格品入货记录!$A:$A,样品!AR$3,合格品入货记录!$E:$E,样品!$E41)</f>
        <v>0</v>
      </c>
      <c r="AS41" s="32">
        <f>SUMIFS(合格品入货记录!$G:$G,合格品入货记录!$A:$A,样品!AS$3,合格品入货记录!$E:$E,样品!$E41)</f>
        <v>0</v>
      </c>
      <c r="AT41" s="32">
        <f>SUMIFS(合格品入货记录!$G:$G,合格品入货记录!$A:$A,样品!AT$3,合格品入货记录!$E:$E,样品!$E41)</f>
        <v>0</v>
      </c>
      <c r="AU41" s="32">
        <f>SUMIFS(合格品入货记录!$G:$G,合格品入货记录!$A:$A,样品!AU$3,合格品入货记录!$E:$E,样品!$E41)</f>
        <v>0</v>
      </c>
      <c r="AV41" s="32">
        <f>SUMIFS(合格品入货记录!$G:$G,合格品入货记录!$A:$A,样品!AV$3,合格品入货记录!$E:$E,样品!$E41)</f>
        <v>0</v>
      </c>
      <c r="AW41" s="32">
        <f>SUMIFS(合格品入货记录!$G:$G,合格品入货记录!$A:$A,样品!AW$3,合格品入货记录!$E:$E,样品!$E41)</f>
        <v>0</v>
      </c>
      <c r="AX41" s="32">
        <f>SUMIFS(合格品入货记录!$G:$G,合格品入货记录!$A:$A,样品!AX$3,合格品入货记录!$E:$E,样品!$E41)</f>
        <v>0</v>
      </c>
      <c r="AY41" s="32">
        <f>SUMIFS(合格品入货记录!$G:$G,合格品入货记录!$A:$A,样品!AY$3,合格品入货记录!$E:$E,样品!$E41)</f>
        <v>0</v>
      </c>
      <c r="AZ41" s="32">
        <f>SUMIFS(合格品入货记录!$G:$G,合格品入货记录!$A:$A,样品!AZ$3,合格品入货记录!$E:$E,样品!$E41)</f>
        <v>0</v>
      </c>
      <c r="BA41" s="32">
        <f>SUMIFS(合格品入货记录!$G:$G,合格品入货记录!$A:$A,样品!BA$3,合格品入货记录!$E:$E,样品!$E41)</f>
        <v>0</v>
      </c>
      <c r="BB41" s="32">
        <f>SUMIFS(合格品入货记录!$G:$G,合格品入货记录!$A:$A,样品!BB$3,合格品入货记录!$E:$E,样品!$E41)</f>
        <v>0</v>
      </c>
      <c r="BC41" s="32">
        <f>SUMIFS(合格品入货记录!$G:$G,合格品入货记录!$A:$A,样品!BC$3,合格品入货记录!$E:$E,样品!$E41)</f>
        <v>0</v>
      </c>
      <c r="BD41" s="32">
        <f>SUMIFS(合格品入货记录!$G:$G,合格品入货记录!$A:$A,样品!BD$3,合格品入货记录!$E:$E,样品!$E41)</f>
        <v>0</v>
      </c>
      <c r="BE41" s="32">
        <f>SUMIFS(合格品入货记录!$G:$G,合格品入货记录!$A:$A,样品!BE$3,合格品入货记录!$E:$E,样品!$E41)</f>
        <v>0</v>
      </c>
      <c r="BF41" s="32">
        <f>SUMIFS(合格品入货记录!$G:$G,合格品入货记录!$A:$A,样品!BF$3,合格品入货记录!$E:$E,样品!$E41)</f>
        <v>0</v>
      </c>
      <c r="BG41" s="32">
        <f>SUMIFS(合格品入货记录!$G:$G,合格品入货记录!$A:$A,样品!BG$3,合格品入货记录!$E:$E,样品!$E41)</f>
        <v>0</v>
      </c>
      <c r="BH41" s="32">
        <f>SUMIFS(合格品入货记录!$G:$G,合格品入货记录!$A:$A,样品!BH$3,合格品入货记录!$E:$E,样品!$E41)</f>
        <v>0</v>
      </c>
      <c r="BI41" s="32">
        <f>SUMIFS(合格品入货记录!$G:$G,合格品入货记录!$A:$A,样品!BI$3,合格品入货记录!$E:$E,样品!$E41)</f>
        <v>0</v>
      </c>
      <c r="BJ41" s="32">
        <f>SUMIFS(合格品入货记录!$G:$G,合格品入货记录!$A:$A,样品!BJ$3,合格品入货记录!$E:$E,样品!$E41)</f>
        <v>0</v>
      </c>
      <c r="BK41" s="32">
        <f>SUMIFS(合格品入货记录!$G:$G,合格品入货记录!$A:$A,样品!BK$3,合格品入货记录!$E:$E,样品!$E41)</f>
        <v>0</v>
      </c>
      <c r="BL41" s="32">
        <f>SUMIFS(合格品入货记录!$G:$G,合格品入货记录!$A:$A,样品!BL$3,合格品入货记录!$E:$E,样品!$E41)</f>
        <v>0</v>
      </c>
      <c r="BM41" s="32">
        <f>SUMIFS(合格品入货记录!$G:$G,合格品入货记录!$A:$A,样品!BM$3,合格品入货记录!$E:$E,样品!$E41)</f>
        <v>0</v>
      </c>
      <c r="BN41" s="32">
        <f>SUMIFS(合格品入货记录!$G:$G,合格品入货记录!$A:$A,样品!BN$3,合格品入货记录!$E:$E,样品!$E41)</f>
        <v>0</v>
      </c>
      <c r="BO41" s="32">
        <f>SUMIFS(合格品入货记录!$G:$G,合格品入货记录!$A:$A,样品!BO$3,合格品入货记录!$E:$E,样品!$E41)</f>
        <v>0</v>
      </c>
      <c r="BP41" s="32">
        <f>SUMIFS(合格品入货记录!$G:$G,合格品入货记录!$A:$A,样品!BP$3,合格品入货记录!$E:$E,样品!$E41)</f>
        <v>0</v>
      </c>
      <c r="BQ41" s="32">
        <f>SUMIFS(合格品入货记录!$G:$G,合格品入货记录!$A:$A,样品!BQ$3,合格品入货记录!$E:$E,样品!$E41)</f>
        <v>0</v>
      </c>
      <c r="BR41" s="32">
        <f>SUMIFS(合格品入货记录!$G:$G,合格品入货记录!$A:$A,样品!BR$3,合格品入货记录!$E:$E,样品!$E41)</f>
        <v>0</v>
      </c>
      <c r="BS41" s="32">
        <f>SUMIFS(合格品入货记录!$G:$G,合格品入货记录!$A:$A,样品!BS$3,合格品入货记录!$E:$E,样品!$E41)</f>
        <v>0</v>
      </c>
      <c r="BT41" s="32">
        <f>SUMIFS(合格品入货记录!$G:$G,合格品入货记录!$A:$A,样品!BT$3,合格品入货记录!$E:$E,样品!$E41)</f>
        <v>0</v>
      </c>
      <c r="BU41" s="32">
        <f>SUMIFS(合格品入货记录!$G:$G,合格品入货记录!$A:$A,样品!BU$3,合格品入货记录!$E:$E,样品!$E41)</f>
        <v>0</v>
      </c>
      <c r="BV41" s="32">
        <f>SUMIFS(合格品入货记录!$G:$G,合格品入货记录!$A:$A,样品!BV$3,合格品入货记录!$E:$E,样品!$E41)</f>
        <v>0</v>
      </c>
      <c r="BW41" s="32">
        <f>SUMIFS(合格品入货记录!$G:$G,合格品入货记录!$A:$A,样品!BW$3,合格品入货记录!$E:$E,样品!$E41)</f>
        <v>0</v>
      </c>
      <c r="BX41" s="32">
        <f>SUMIFS(合格品入货记录!$G:$G,合格品入货记录!$A:$A,样品!BX$3,合格品入货记录!$E:$E,样品!$E41)</f>
        <v>0</v>
      </c>
      <c r="BY41" s="32">
        <f>SUMIFS(合格品入货记录!$G:$G,合格品入货记录!$A:$A,样品!BY$3,合格品入货记录!$E:$E,样品!$E41)</f>
        <v>0</v>
      </c>
      <c r="BZ41" s="126"/>
      <c r="CA41" s="126"/>
      <c r="CB41" s="125"/>
      <c r="CC41" s="125"/>
      <c r="CD41" s="130"/>
    </row>
    <row r="42" s="90" customFormat="1" customHeight="1" spans="1:82">
      <c r="A42" s="31">
        <v>39</v>
      </c>
      <c r="B42" s="104" t="s">
        <v>19</v>
      </c>
      <c r="C42" s="105" t="s">
        <v>20</v>
      </c>
      <c r="D42" s="30" t="s">
        <v>371</v>
      </c>
      <c r="E42" s="31" t="s">
        <v>372</v>
      </c>
      <c r="F42" s="105" t="s">
        <v>373</v>
      </c>
      <c r="G42" s="106"/>
      <c r="H42" s="104">
        <v>0</v>
      </c>
      <c r="I42" s="106">
        <f>SUMIF(合格品入货记录!E:E,样品!E42,合格品入货记录!G:G)</f>
        <v>0</v>
      </c>
      <c r="J42" s="106">
        <f>SUMIF(合格品出库记录!E:E,样品!E42,合格品出库记录!G:G)</f>
        <v>0</v>
      </c>
      <c r="K42" s="102">
        <f t="shared" si="2"/>
        <v>0</v>
      </c>
      <c r="L42" s="102">
        <f>SUMIF(不良品库存!D:D,E42:E83,不良品库存!F:F)</f>
        <v>0</v>
      </c>
      <c r="M42" s="113">
        <f t="shared" si="3"/>
        <v>0</v>
      </c>
      <c r="N42" s="104"/>
      <c r="O42" s="104"/>
      <c r="P42" s="32">
        <f>IFERROR(SUMIFS(合格品入货记录!$G:$G,合格品入货记录!$A:$A,样品!P$3,合格品入货记录!$E:$E,样品!$E42)," ")</f>
        <v>0</v>
      </c>
      <c r="Q42" s="32">
        <f>SUMIFS(合格品入货记录!$G:$G,合格品入货记录!$A:$A,样品!Q$3,合格品入货记录!$E:$E,样品!$E42)</f>
        <v>0</v>
      </c>
      <c r="R42" s="32">
        <f>SUMIFS(合格品入货记录!$G:$G,合格品入货记录!$A:$A,样品!R$3,合格品入货记录!$E:$E,样品!$E42)</f>
        <v>0</v>
      </c>
      <c r="S42" s="32">
        <f>SUMIFS(合格品入货记录!$G:$G,合格品入货记录!$A:$A,样品!S$3,合格品入货记录!$E:$E,样品!$E42)</f>
        <v>0</v>
      </c>
      <c r="T42" s="32">
        <f>SUMIFS(合格品入货记录!$G:$G,合格品入货记录!$A:$A,样品!T$3,合格品入货记录!$E:$E,样品!$E42)</f>
        <v>0</v>
      </c>
      <c r="U42" s="32">
        <f>SUMIFS(合格品入货记录!$G:$G,合格品入货记录!$A:$A,样品!U$3,合格品入货记录!$E:$E,样品!$E42)</f>
        <v>0</v>
      </c>
      <c r="V42" s="32">
        <f>SUMIFS(合格品入货记录!$G:$G,合格品入货记录!$A:$A,样品!V$3,合格品入货记录!$E:$E,样品!$E42)</f>
        <v>0</v>
      </c>
      <c r="W42" s="32">
        <f>SUMIFS(合格品入货记录!$G:$G,合格品入货记录!$A:$A,样品!W$3,合格品入货记录!$E:$E,样品!$E42)</f>
        <v>0</v>
      </c>
      <c r="X42" s="32">
        <f>SUMIFS(合格品入货记录!$G:$G,合格品入货记录!$A:$A,样品!X$3,合格品入货记录!$E:$E,样品!$E42)</f>
        <v>0</v>
      </c>
      <c r="Y42" s="32">
        <f>SUMIFS(合格品入货记录!$G:$G,合格品入货记录!$A:$A,样品!Y$3,合格品入货记录!$E:$E,样品!$E42)</f>
        <v>0</v>
      </c>
      <c r="Z42" s="32">
        <f>SUMIFS(合格品入货记录!$G:$G,合格品入货记录!$A:$A,样品!Z$3,合格品入货记录!$E:$E,样品!$E42)</f>
        <v>0</v>
      </c>
      <c r="AA42" s="32">
        <f>SUMIFS(合格品入货记录!$G:$G,合格品入货记录!$A:$A,样品!AA$3,合格品入货记录!$E:$E,样品!$E42)</f>
        <v>0</v>
      </c>
      <c r="AB42" s="32">
        <f>SUMIFS(合格品入货记录!$G:$G,合格品入货记录!$A:$A,样品!AB$3,合格品入货记录!$E:$E,样品!$E42)</f>
        <v>0</v>
      </c>
      <c r="AC42" s="32">
        <f>SUMIFS(合格品入货记录!$G:$G,合格品入货记录!$A:$A,样品!AC$3,合格品入货记录!$E:$E,样品!$E42)</f>
        <v>0</v>
      </c>
      <c r="AD42" s="32">
        <f>SUMIFS(合格品入货记录!$G:$G,合格品入货记录!$A:$A,样品!AD$3,合格品入货记录!$E:$E,样品!$E42)</f>
        <v>0</v>
      </c>
      <c r="AE42" s="32">
        <f>SUMIFS(合格品入货记录!$G:$G,合格品入货记录!$A:$A,样品!AE$3,合格品入货记录!$E:$E,样品!$E42)</f>
        <v>0</v>
      </c>
      <c r="AF42" s="32">
        <f>SUMIFS(合格品入货记录!$G:$G,合格品入货记录!$A:$A,样品!AF$3,合格品入货记录!$E:$E,样品!$E42)</f>
        <v>0</v>
      </c>
      <c r="AG42" s="32">
        <f>SUMIFS(合格品入货记录!$G:$G,合格品入货记录!$A:$A,样品!AG$3,合格品入货记录!$E:$E,样品!$E42)</f>
        <v>0</v>
      </c>
      <c r="AH42" s="32">
        <f>SUMIFS(合格品入货记录!$G:$G,合格品入货记录!$A:$A,样品!AH$3,合格品入货记录!$E:$E,样品!$E42)</f>
        <v>0</v>
      </c>
      <c r="AI42" s="32">
        <f>SUMIFS(合格品入货记录!$G:$G,合格品入货记录!$A:$A,样品!AI$3,合格品入货记录!$E:$E,样品!$E42)</f>
        <v>0</v>
      </c>
      <c r="AJ42" s="32">
        <f>SUMIFS(合格品入货记录!$G:$G,合格品入货记录!$A:$A,样品!AJ$3,合格品入货记录!$E:$E,样品!$E42)</f>
        <v>0</v>
      </c>
      <c r="AK42" s="32">
        <f>SUMIFS(合格品入货记录!$G:$G,合格品入货记录!$A:$A,样品!AK$3,合格品入货记录!$E:$E,样品!$E42)</f>
        <v>0</v>
      </c>
      <c r="AL42" s="32">
        <f>SUMIFS(合格品入货记录!$G:$G,合格品入货记录!$A:$A,样品!AL$3,合格品入货记录!$E:$E,样品!$E42)</f>
        <v>0</v>
      </c>
      <c r="AM42" s="32">
        <f>SUMIFS(合格品入货记录!$G:$G,合格品入货记录!$A:$A,样品!AM$3,合格品入货记录!$E:$E,样品!$E42)</f>
        <v>0</v>
      </c>
      <c r="AN42" s="32">
        <f>SUMIFS(合格品入货记录!$G:$G,合格品入货记录!$A:$A,样品!AN$3,合格品入货记录!$E:$E,样品!$E42)</f>
        <v>0</v>
      </c>
      <c r="AO42" s="32">
        <f>SUMIFS(合格品入货记录!$G:$G,合格品入货记录!$A:$A,样品!AO$3,合格品入货记录!$E:$E,样品!$E42)</f>
        <v>0</v>
      </c>
      <c r="AP42" s="32">
        <f>SUMIFS(合格品入货记录!$G:$G,合格品入货记录!$A:$A,样品!AP$3,合格品入货记录!$E:$E,样品!$E42)</f>
        <v>0</v>
      </c>
      <c r="AQ42" s="32">
        <f>SUMIFS(合格品入货记录!$G:$G,合格品入货记录!$A:$A,样品!AQ$3,合格品入货记录!$E:$E,样品!$E42)</f>
        <v>0</v>
      </c>
      <c r="AR42" s="32">
        <f>SUMIFS(合格品入货记录!$G:$G,合格品入货记录!$A:$A,样品!AR$3,合格品入货记录!$E:$E,样品!$E42)</f>
        <v>0</v>
      </c>
      <c r="AS42" s="32">
        <f>SUMIFS(合格品入货记录!$G:$G,合格品入货记录!$A:$A,样品!AS$3,合格品入货记录!$E:$E,样品!$E42)</f>
        <v>0</v>
      </c>
      <c r="AT42" s="32">
        <f>SUMIFS(合格品入货记录!$G:$G,合格品入货记录!$A:$A,样品!AT$3,合格品入货记录!$E:$E,样品!$E42)</f>
        <v>0</v>
      </c>
      <c r="AU42" s="32">
        <f>SUMIFS(合格品入货记录!$G:$G,合格品入货记录!$A:$A,样品!AU$3,合格品入货记录!$E:$E,样品!$E42)</f>
        <v>0</v>
      </c>
      <c r="AV42" s="32">
        <f>SUMIFS(合格品入货记录!$G:$G,合格品入货记录!$A:$A,样品!AV$3,合格品入货记录!$E:$E,样品!$E42)</f>
        <v>0</v>
      </c>
      <c r="AW42" s="32">
        <f>SUMIFS(合格品入货记录!$G:$G,合格品入货记录!$A:$A,样品!AW$3,合格品入货记录!$E:$E,样品!$E42)</f>
        <v>0</v>
      </c>
      <c r="AX42" s="32">
        <f>SUMIFS(合格品入货记录!$G:$G,合格品入货记录!$A:$A,样品!AX$3,合格品入货记录!$E:$E,样品!$E42)</f>
        <v>0</v>
      </c>
      <c r="AY42" s="32">
        <f>SUMIFS(合格品入货记录!$G:$G,合格品入货记录!$A:$A,样品!AY$3,合格品入货记录!$E:$E,样品!$E42)</f>
        <v>0</v>
      </c>
      <c r="AZ42" s="32">
        <f>SUMIFS(合格品入货记录!$G:$G,合格品入货记录!$A:$A,样品!AZ$3,合格品入货记录!$E:$E,样品!$E42)</f>
        <v>0</v>
      </c>
      <c r="BA42" s="32">
        <f>SUMIFS(合格品入货记录!$G:$G,合格品入货记录!$A:$A,样品!BA$3,合格品入货记录!$E:$E,样品!$E42)</f>
        <v>0</v>
      </c>
      <c r="BB42" s="32">
        <f>SUMIFS(合格品入货记录!$G:$G,合格品入货记录!$A:$A,样品!BB$3,合格品入货记录!$E:$E,样品!$E42)</f>
        <v>0</v>
      </c>
      <c r="BC42" s="32">
        <f>SUMIFS(合格品入货记录!$G:$G,合格品入货记录!$A:$A,样品!BC$3,合格品入货记录!$E:$E,样品!$E42)</f>
        <v>0</v>
      </c>
      <c r="BD42" s="32">
        <f>SUMIFS(合格品入货记录!$G:$G,合格品入货记录!$A:$A,样品!BD$3,合格品入货记录!$E:$E,样品!$E42)</f>
        <v>0</v>
      </c>
      <c r="BE42" s="32">
        <f>SUMIFS(合格品入货记录!$G:$G,合格品入货记录!$A:$A,样品!BE$3,合格品入货记录!$E:$E,样品!$E42)</f>
        <v>0</v>
      </c>
      <c r="BF42" s="32">
        <f>SUMIFS(合格品入货记录!$G:$G,合格品入货记录!$A:$A,样品!BF$3,合格品入货记录!$E:$E,样品!$E42)</f>
        <v>0</v>
      </c>
      <c r="BG42" s="32">
        <f>SUMIFS(合格品入货记录!$G:$G,合格品入货记录!$A:$A,样品!BG$3,合格品入货记录!$E:$E,样品!$E42)</f>
        <v>0</v>
      </c>
      <c r="BH42" s="32">
        <f>SUMIFS(合格品入货记录!$G:$G,合格品入货记录!$A:$A,样品!BH$3,合格品入货记录!$E:$E,样品!$E42)</f>
        <v>0</v>
      </c>
      <c r="BI42" s="32">
        <f>SUMIFS(合格品入货记录!$G:$G,合格品入货记录!$A:$A,样品!BI$3,合格品入货记录!$E:$E,样品!$E42)</f>
        <v>0</v>
      </c>
      <c r="BJ42" s="32">
        <f>SUMIFS(合格品入货记录!$G:$G,合格品入货记录!$A:$A,样品!BJ$3,合格品入货记录!$E:$E,样品!$E42)</f>
        <v>0</v>
      </c>
      <c r="BK42" s="32">
        <f>SUMIFS(合格品入货记录!$G:$G,合格品入货记录!$A:$A,样品!BK$3,合格品入货记录!$E:$E,样品!$E42)</f>
        <v>0</v>
      </c>
      <c r="BL42" s="32">
        <f>SUMIFS(合格品入货记录!$G:$G,合格品入货记录!$A:$A,样品!BL$3,合格品入货记录!$E:$E,样品!$E42)</f>
        <v>0</v>
      </c>
      <c r="BM42" s="32">
        <f>SUMIFS(合格品入货记录!$G:$G,合格品入货记录!$A:$A,样品!BM$3,合格品入货记录!$E:$E,样品!$E42)</f>
        <v>0</v>
      </c>
      <c r="BN42" s="32">
        <f>SUMIFS(合格品入货记录!$G:$G,合格品入货记录!$A:$A,样品!BN$3,合格品入货记录!$E:$E,样品!$E42)</f>
        <v>0</v>
      </c>
      <c r="BO42" s="32">
        <f>SUMIFS(合格品入货记录!$G:$G,合格品入货记录!$A:$A,样品!BO$3,合格品入货记录!$E:$E,样品!$E42)</f>
        <v>0</v>
      </c>
      <c r="BP42" s="32">
        <f>SUMIFS(合格品入货记录!$G:$G,合格品入货记录!$A:$A,样品!BP$3,合格品入货记录!$E:$E,样品!$E42)</f>
        <v>0</v>
      </c>
      <c r="BQ42" s="32">
        <f>SUMIFS(合格品入货记录!$G:$G,合格品入货记录!$A:$A,样品!BQ$3,合格品入货记录!$E:$E,样品!$E42)</f>
        <v>0</v>
      </c>
      <c r="BR42" s="32">
        <f>SUMIFS(合格品入货记录!$G:$G,合格品入货记录!$A:$A,样品!BR$3,合格品入货记录!$E:$E,样品!$E42)</f>
        <v>0</v>
      </c>
      <c r="BS42" s="32">
        <f>SUMIFS(合格品入货记录!$G:$G,合格品入货记录!$A:$A,样品!BS$3,合格品入货记录!$E:$E,样品!$E42)</f>
        <v>0</v>
      </c>
      <c r="BT42" s="32">
        <f>SUMIFS(合格品入货记录!$G:$G,合格品入货记录!$A:$A,样品!BT$3,合格品入货记录!$E:$E,样品!$E42)</f>
        <v>0</v>
      </c>
      <c r="BU42" s="32">
        <f>SUMIFS(合格品入货记录!$G:$G,合格品入货记录!$A:$A,样品!BU$3,合格品入货记录!$E:$E,样品!$E42)</f>
        <v>0</v>
      </c>
      <c r="BV42" s="32">
        <f>SUMIFS(合格品入货记录!$G:$G,合格品入货记录!$A:$A,样品!BV$3,合格品入货记录!$E:$E,样品!$E42)</f>
        <v>0</v>
      </c>
      <c r="BW42" s="32">
        <f>SUMIFS(合格品入货记录!$G:$G,合格品入货记录!$A:$A,样品!BW$3,合格品入货记录!$E:$E,样品!$E42)</f>
        <v>0</v>
      </c>
      <c r="BX42" s="32">
        <f>SUMIFS(合格品入货记录!$G:$G,合格品入货记录!$A:$A,样品!BX$3,合格品入货记录!$E:$E,样品!$E42)</f>
        <v>0</v>
      </c>
      <c r="BY42" s="32">
        <f>SUMIFS(合格品入货记录!$G:$G,合格品入货记录!$A:$A,样品!BY$3,合格品入货记录!$E:$E,样品!$E42)</f>
        <v>0</v>
      </c>
      <c r="BZ42" s="126"/>
      <c r="CA42" s="126"/>
      <c r="CB42" s="125"/>
      <c r="CC42" s="125"/>
      <c r="CD42" s="130"/>
    </row>
    <row r="43" s="90" customFormat="1" customHeight="1" spans="1:82">
      <c r="A43" s="31">
        <v>40</v>
      </c>
      <c r="B43" s="104" t="s">
        <v>19</v>
      </c>
      <c r="C43" s="105" t="s">
        <v>20</v>
      </c>
      <c r="D43" s="30" t="s">
        <v>374</v>
      </c>
      <c r="E43" s="31" t="s">
        <v>375</v>
      </c>
      <c r="F43" s="105" t="s">
        <v>376</v>
      </c>
      <c r="G43" s="106"/>
      <c r="H43" s="104">
        <v>0</v>
      </c>
      <c r="I43" s="106">
        <f>SUMIF(合格品入货记录!E:E,样品!E43,合格品入货记录!G:G)</f>
        <v>0</v>
      </c>
      <c r="J43" s="106">
        <f>SUMIF(合格品出库记录!E:E,样品!E43,合格品出库记录!G:G)</f>
        <v>0</v>
      </c>
      <c r="K43" s="102">
        <f t="shared" si="2"/>
        <v>0</v>
      </c>
      <c r="L43" s="102">
        <f>SUMIF(不良品库存!D:D,E43:E84,不良品库存!F:F)</f>
        <v>0</v>
      </c>
      <c r="M43" s="113">
        <f t="shared" si="3"/>
        <v>0</v>
      </c>
      <c r="N43" s="104"/>
      <c r="O43" s="104"/>
      <c r="P43" s="32">
        <f>IFERROR(SUMIFS(合格品入货记录!$G:$G,合格品入货记录!$A:$A,样品!P$3,合格品入货记录!$E:$E,样品!$E43)," ")</f>
        <v>0</v>
      </c>
      <c r="Q43" s="32">
        <f>SUMIFS(合格品入货记录!$G:$G,合格品入货记录!$A:$A,样品!Q$3,合格品入货记录!$E:$E,样品!$E43)</f>
        <v>0</v>
      </c>
      <c r="R43" s="32">
        <f>SUMIFS(合格品入货记录!$G:$G,合格品入货记录!$A:$A,样品!R$3,合格品入货记录!$E:$E,样品!$E43)</f>
        <v>0</v>
      </c>
      <c r="S43" s="32">
        <f>SUMIFS(合格品入货记录!$G:$G,合格品入货记录!$A:$A,样品!S$3,合格品入货记录!$E:$E,样品!$E43)</f>
        <v>0</v>
      </c>
      <c r="T43" s="32">
        <f>SUMIFS(合格品入货记录!$G:$G,合格品入货记录!$A:$A,样品!T$3,合格品入货记录!$E:$E,样品!$E43)</f>
        <v>0</v>
      </c>
      <c r="U43" s="32">
        <f>SUMIFS(合格品入货记录!$G:$G,合格品入货记录!$A:$A,样品!U$3,合格品入货记录!$E:$E,样品!$E43)</f>
        <v>0</v>
      </c>
      <c r="V43" s="32">
        <f>SUMIFS(合格品入货记录!$G:$G,合格品入货记录!$A:$A,样品!V$3,合格品入货记录!$E:$E,样品!$E43)</f>
        <v>0</v>
      </c>
      <c r="W43" s="32">
        <f>SUMIFS(合格品入货记录!$G:$G,合格品入货记录!$A:$A,样品!W$3,合格品入货记录!$E:$E,样品!$E43)</f>
        <v>0</v>
      </c>
      <c r="X43" s="32">
        <f>SUMIFS(合格品入货记录!$G:$G,合格品入货记录!$A:$A,样品!X$3,合格品入货记录!$E:$E,样品!$E43)</f>
        <v>0</v>
      </c>
      <c r="Y43" s="32">
        <f>SUMIFS(合格品入货记录!$G:$G,合格品入货记录!$A:$A,样品!Y$3,合格品入货记录!$E:$E,样品!$E43)</f>
        <v>0</v>
      </c>
      <c r="Z43" s="32">
        <f>SUMIFS(合格品入货记录!$G:$G,合格品入货记录!$A:$A,样品!Z$3,合格品入货记录!$E:$E,样品!$E43)</f>
        <v>0</v>
      </c>
      <c r="AA43" s="32">
        <f>SUMIFS(合格品入货记录!$G:$G,合格品入货记录!$A:$A,样品!AA$3,合格品入货记录!$E:$E,样品!$E43)</f>
        <v>0</v>
      </c>
      <c r="AB43" s="32">
        <f>SUMIFS(合格品入货记录!$G:$G,合格品入货记录!$A:$A,样品!AB$3,合格品入货记录!$E:$E,样品!$E43)</f>
        <v>0</v>
      </c>
      <c r="AC43" s="32">
        <f>SUMIFS(合格品入货记录!$G:$G,合格品入货记录!$A:$A,样品!AC$3,合格品入货记录!$E:$E,样品!$E43)</f>
        <v>0</v>
      </c>
      <c r="AD43" s="32">
        <f>SUMIFS(合格品入货记录!$G:$G,合格品入货记录!$A:$A,样品!AD$3,合格品入货记录!$E:$E,样品!$E43)</f>
        <v>0</v>
      </c>
      <c r="AE43" s="32">
        <f>SUMIFS(合格品入货记录!$G:$G,合格品入货记录!$A:$A,样品!AE$3,合格品入货记录!$E:$E,样品!$E43)</f>
        <v>0</v>
      </c>
      <c r="AF43" s="32">
        <f>SUMIFS(合格品入货记录!$G:$G,合格品入货记录!$A:$A,样品!AF$3,合格品入货记录!$E:$E,样品!$E43)</f>
        <v>0</v>
      </c>
      <c r="AG43" s="32">
        <f>SUMIFS(合格品入货记录!$G:$G,合格品入货记录!$A:$A,样品!AG$3,合格品入货记录!$E:$E,样品!$E43)</f>
        <v>0</v>
      </c>
      <c r="AH43" s="32">
        <f>SUMIFS(合格品入货记录!$G:$G,合格品入货记录!$A:$A,样品!AH$3,合格品入货记录!$E:$E,样品!$E43)</f>
        <v>0</v>
      </c>
      <c r="AI43" s="32">
        <f>SUMIFS(合格品入货记录!$G:$G,合格品入货记录!$A:$A,样品!AI$3,合格品入货记录!$E:$E,样品!$E43)</f>
        <v>0</v>
      </c>
      <c r="AJ43" s="32">
        <f>SUMIFS(合格品入货记录!$G:$G,合格品入货记录!$A:$A,样品!AJ$3,合格品入货记录!$E:$E,样品!$E43)</f>
        <v>0</v>
      </c>
      <c r="AK43" s="32">
        <f>SUMIFS(合格品入货记录!$G:$G,合格品入货记录!$A:$A,样品!AK$3,合格品入货记录!$E:$E,样品!$E43)</f>
        <v>0</v>
      </c>
      <c r="AL43" s="32">
        <f>SUMIFS(合格品入货记录!$G:$G,合格品入货记录!$A:$A,样品!AL$3,合格品入货记录!$E:$E,样品!$E43)</f>
        <v>0</v>
      </c>
      <c r="AM43" s="32">
        <f>SUMIFS(合格品入货记录!$G:$G,合格品入货记录!$A:$A,样品!AM$3,合格品入货记录!$E:$E,样品!$E43)</f>
        <v>0</v>
      </c>
      <c r="AN43" s="32">
        <f>SUMIFS(合格品入货记录!$G:$G,合格品入货记录!$A:$A,样品!AN$3,合格品入货记录!$E:$E,样品!$E43)</f>
        <v>0</v>
      </c>
      <c r="AO43" s="32">
        <f>SUMIFS(合格品入货记录!$G:$G,合格品入货记录!$A:$A,样品!AO$3,合格品入货记录!$E:$E,样品!$E43)</f>
        <v>0</v>
      </c>
      <c r="AP43" s="32">
        <f>SUMIFS(合格品入货记录!$G:$G,合格品入货记录!$A:$A,样品!AP$3,合格品入货记录!$E:$E,样品!$E43)</f>
        <v>0</v>
      </c>
      <c r="AQ43" s="32">
        <f>SUMIFS(合格品入货记录!$G:$G,合格品入货记录!$A:$A,样品!AQ$3,合格品入货记录!$E:$E,样品!$E43)</f>
        <v>0</v>
      </c>
      <c r="AR43" s="32">
        <f>SUMIFS(合格品入货记录!$G:$G,合格品入货记录!$A:$A,样品!AR$3,合格品入货记录!$E:$E,样品!$E43)</f>
        <v>0</v>
      </c>
      <c r="AS43" s="32">
        <f>SUMIFS(合格品入货记录!$G:$G,合格品入货记录!$A:$A,样品!AS$3,合格品入货记录!$E:$E,样品!$E43)</f>
        <v>0</v>
      </c>
      <c r="AT43" s="32">
        <f>SUMIFS(合格品入货记录!$G:$G,合格品入货记录!$A:$A,样品!AT$3,合格品入货记录!$E:$E,样品!$E43)</f>
        <v>0</v>
      </c>
      <c r="AU43" s="32">
        <f>SUMIFS(合格品入货记录!$G:$G,合格品入货记录!$A:$A,样品!AU$3,合格品入货记录!$E:$E,样品!$E43)</f>
        <v>0</v>
      </c>
      <c r="AV43" s="32">
        <f>SUMIFS(合格品入货记录!$G:$G,合格品入货记录!$A:$A,样品!AV$3,合格品入货记录!$E:$E,样品!$E43)</f>
        <v>0</v>
      </c>
      <c r="AW43" s="32">
        <f>SUMIFS(合格品入货记录!$G:$G,合格品入货记录!$A:$A,样品!AW$3,合格品入货记录!$E:$E,样品!$E43)</f>
        <v>0</v>
      </c>
      <c r="AX43" s="32">
        <f>SUMIFS(合格品入货记录!$G:$G,合格品入货记录!$A:$A,样品!AX$3,合格品入货记录!$E:$E,样品!$E43)</f>
        <v>0</v>
      </c>
      <c r="AY43" s="32">
        <f>SUMIFS(合格品入货记录!$G:$G,合格品入货记录!$A:$A,样品!AY$3,合格品入货记录!$E:$E,样品!$E43)</f>
        <v>0</v>
      </c>
      <c r="AZ43" s="32">
        <f>SUMIFS(合格品入货记录!$G:$G,合格品入货记录!$A:$A,样品!AZ$3,合格品入货记录!$E:$E,样品!$E43)</f>
        <v>0</v>
      </c>
      <c r="BA43" s="32">
        <f>SUMIFS(合格品入货记录!$G:$G,合格品入货记录!$A:$A,样品!BA$3,合格品入货记录!$E:$E,样品!$E43)</f>
        <v>0</v>
      </c>
      <c r="BB43" s="32">
        <f>SUMIFS(合格品入货记录!$G:$G,合格品入货记录!$A:$A,样品!BB$3,合格品入货记录!$E:$E,样品!$E43)</f>
        <v>0</v>
      </c>
      <c r="BC43" s="32">
        <f>SUMIFS(合格品入货记录!$G:$G,合格品入货记录!$A:$A,样品!BC$3,合格品入货记录!$E:$E,样品!$E43)</f>
        <v>0</v>
      </c>
      <c r="BD43" s="32">
        <f>SUMIFS(合格品入货记录!$G:$G,合格品入货记录!$A:$A,样品!BD$3,合格品入货记录!$E:$E,样品!$E43)</f>
        <v>0</v>
      </c>
      <c r="BE43" s="32">
        <f>SUMIFS(合格品入货记录!$G:$G,合格品入货记录!$A:$A,样品!BE$3,合格品入货记录!$E:$E,样品!$E43)</f>
        <v>0</v>
      </c>
      <c r="BF43" s="32">
        <f>SUMIFS(合格品入货记录!$G:$G,合格品入货记录!$A:$A,样品!BF$3,合格品入货记录!$E:$E,样品!$E43)</f>
        <v>0</v>
      </c>
      <c r="BG43" s="32">
        <f>SUMIFS(合格品入货记录!$G:$G,合格品入货记录!$A:$A,样品!BG$3,合格品入货记录!$E:$E,样品!$E43)</f>
        <v>0</v>
      </c>
      <c r="BH43" s="32">
        <f>SUMIFS(合格品入货记录!$G:$G,合格品入货记录!$A:$A,样品!BH$3,合格品入货记录!$E:$E,样品!$E43)</f>
        <v>0</v>
      </c>
      <c r="BI43" s="32">
        <f>SUMIFS(合格品入货记录!$G:$G,合格品入货记录!$A:$A,样品!BI$3,合格品入货记录!$E:$E,样品!$E43)</f>
        <v>0</v>
      </c>
      <c r="BJ43" s="32">
        <f>SUMIFS(合格品入货记录!$G:$G,合格品入货记录!$A:$A,样品!BJ$3,合格品入货记录!$E:$E,样品!$E43)</f>
        <v>0</v>
      </c>
      <c r="BK43" s="32">
        <f>SUMIFS(合格品入货记录!$G:$G,合格品入货记录!$A:$A,样品!BK$3,合格品入货记录!$E:$E,样品!$E43)</f>
        <v>0</v>
      </c>
      <c r="BL43" s="32">
        <f>SUMIFS(合格品入货记录!$G:$G,合格品入货记录!$A:$A,样品!BL$3,合格品入货记录!$E:$E,样品!$E43)</f>
        <v>0</v>
      </c>
      <c r="BM43" s="32">
        <f>SUMIFS(合格品入货记录!$G:$G,合格品入货记录!$A:$A,样品!BM$3,合格品入货记录!$E:$E,样品!$E43)</f>
        <v>0</v>
      </c>
      <c r="BN43" s="32">
        <f>SUMIFS(合格品入货记录!$G:$G,合格品入货记录!$A:$A,样品!BN$3,合格品入货记录!$E:$E,样品!$E43)</f>
        <v>0</v>
      </c>
      <c r="BO43" s="32">
        <f>SUMIFS(合格品入货记录!$G:$G,合格品入货记录!$A:$A,样品!BO$3,合格品入货记录!$E:$E,样品!$E43)</f>
        <v>0</v>
      </c>
      <c r="BP43" s="32">
        <f>SUMIFS(合格品入货记录!$G:$G,合格品入货记录!$A:$A,样品!BP$3,合格品入货记录!$E:$E,样品!$E43)</f>
        <v>0</v>
      </c>
      <c r="BQ43" s="32">
        <f>SUMIFS(合格品入货记录!$G:$G,合格品入货记录!$A:$A,样品!BQ$3,合格品入货记录!$E:$E,样品!$E43)</f>
        <v>0</v>
      </c>
      <c r="BR43" s="32">
        <f>SUMIFS(合格品入货记录!$G:$G,合格品入货记录!$A:$A,样品!BR$3,合格品入货记录!$E:$E,样品!$E43)</f>
        <v>0</v>
      </c>
      <c r="BS43" s="32">
        <f>SUMIFS(合格品入货记录!$G:$G,合格品入货记录!$A:$A,样品!BS$3,合格品入货记录!$E:$E,样品!$E43)</f>
        <v>0</v>
      </c>
      <c r="BT43" s="32">
        <f>SUMIFS(合格品入货记录!$G:$G,合格品入货记录!$A:$A,样品!BT$3,合格品入货记录!$E:$E,样品!$E43)</f>
        <v>0</v>
      </c>
      <c r="BU43" s="32">
        <f>SUMIFS(合格品入货记录!$G:$G,合格品入货记录!$A:$A,样品!BU$3,合格品入货记录!$E:$E,样品!$E43)</f>
        <v>0</v>
      </c>
      <c r="BV43" s="32">
        <f>SUMIFS(合格品入货记录!$G:$G,合格品入货记录!$A:$A,样品!BV$3,合格品入货记录!$E:$E,样品!$E43)</f>
        <v>0</v>
      </c>
      <c r="BW43" s="32">
        <f>SUMIFS(合格品入货记录!$G:$G,合格品入货记录!$A:$A,样品!BW$3,合格品入货记录!$E:$E,样品!$E43)</f>
        <v>0</v>
      </c>
      <c r="BX43" s="32">
        <f>SUMIFS(合格品入货记录!$G:$G,合格品入货记录!$A:$A,样品!BX$3,合格品入货记录!$E:$E,样品!$E43)</f>
        <v>0</v>
      </c>
      <c r="BY43" s="32">
        <f>SUMIFS(合格品入货记录!$G:$G,合格品入货记录!$A:$A,样品!BY$3,合格品入货记录!$E:$E,样品!$E43)</f>
        <v>0</v>
      </c>
      <c r="BZ43" s="126"/>
      <c r="CA43" s="126"/>
      <c r="CB43" s="125"/>
      <c r="CC43" s="125"/>
      <c r="CD43" s="130"/>
    </row>
    <row r="44" s="90" customFormat="1" customHeight="1" spans="1:82">
      <c r="A44" s="31">
        <v>41</v>
      </c>
      <c r="B44" s="104" t="s">
        <v>19</v>
      </c>
      <c r="C44" s="105" t="s">
        <v>20</v>
      </c>
      <c r="D44" s="30" t="s">
        <v>377</v>
      </c>
      <c r="E44" s="31" t="s">
        <v>378</v>
      </c>
      <c r="F44" s="105" t="s">
        <v>379</v>
      </c>
      <c r="G44" s="106"/>
      <c r="H44" s="104">
        <v>0</v>
      </c>
      <c r="I44" s="106">
        <f>SUMIF(合格品入货记录!E:E,样品!E44,合格品入货记录!G:G)</f>
        <v>0</v>
      </c>
      <c r="J44" s="106">
        <f>SUMIF(合格品出库记录!E:E,样品!E44,合格品出库记录!G:G)</f>
        <v>0</v>
      </c>
      <c r="K44" s="102">
        <f t="shared" si="2"/>
        <v>0</v>
      </c>
      <c r="L44" s="102">
        <f>SUMIF(不良品库存!D:D,E44:E85,不良品库存!F:F)</f>
        <v>0</v>
      </c>
      <c r="M44" s="113">
        <f t="shared" si="3"/>
        <v>0</v>
      </c>
      <c r="N44" s="104"/>
      <c r="O44" s="104"/>
      <c r="P44" s="32">
        <f>IFERROR(SUMIFS(合格品入货记录!$G:$G,合格品入货记录!$A:$A,样品!P$3,合格品入货记录!$E:$E,样品!$E44)," ")</f>
        <v>0</v>
      </c>
      <c r="Q44" s="32">
        <f>SUMIFS(合格品入货记录!$G:$G,合格品入货记录!$A:$A,样品!Q$3,合格品入货记录!$E:$E,样品!$E44)</f>
        <v>0</v>
      </c>
      <c r="R44" s="32">
        <f>SUMIFS(合格品入货记录!$G:$G,合格品入货记录!$A:$A,样品!R$3,合格品入货记录!$E:$E,样品!$E44)</f>
        <v>0</v>
      </c>
      <c r="S44" s="32">
        <f>SUMIFS(合格品入货记录!$G:$G,合格品入货记录!$A:$A,样品!S$3,合格品入货记录!$E:$E,样品!$E44)</f>
        <v>0</v>
      </c>
      <c r="T44" s="32">
        <f>SUMIFS(合格品入货记录!$G:$G,合格品入货记录!$A:$A,样品!T$3,合格品入货记录!$E:$E,样品!$E44)</f>
        <v>0</v>
      </c>
      <c r="U44" s="32">
        <f>SUMIFS(合格品入货记录!$G:$G,合格品入货记录!$A:$A,样品!U$3,合格品入货记录!$E:$E,样品!$E44)</f>
        <v>0</v>
      </c>
      <c r="V44" s="32">
        <f>SUMIFS(合格品入货记录!$G:$G,合格品入货记录!$A:$A,样品!V$3,合格品入货记录!$E:$E,样品!$E44)</f>
        <v>0</v>
      </c>
      <c r="W44" s="32">
        <f>SUMIFS(合格品入货记录!$G:$G,合格品入货记录!$A:$A,样品!W$3,合格品入货记录!$E:$E,样品!$E44)</f>
        <v>0</v>
      </c>
      <c r="X44" s="32">
        <f>SUMIFS(合格品入货记录!$G:$G,合格品入货记录!$A:$A,样品!X$3,合格品入货记录!$E:$E,样品!$E44)</f>
        <v>0</v>
      </c>
      <c r="Y44" s="32">
        <f>SUMIFS(合格品入货记录!$G:$G,合格品入货记录!$A:$A,样品!Y$3,合格品入货记录!$E:$E,样品!$E44)</f>
        <v>0</v>
      </c>
      <c r="Z44" s="32">
        <f>SUMIFS(合格品入货记录!$G:$G,合格品入货记录!$A:$A,样品!Z$3,合格品入货记录!$E:$E,样品!$E44)</f>
        <v>0</v>
      </c>
      <c r="AA44" s="32">
        <f>SUMIFS(合格品入货记录!$G:$G,合格品入货记录!$A:$A,样品!AA$3,合格品入货记录!$E:$E,样品!$E44)</f>
        <v>0</v>
      </c>
      <c r="AB44" s="32">
        <f>SUMIFS(合格品入货记录!$G:$G,合格品入货记录!$A:$A,样品!AB$3,合格品入货记录!$E:$E,样品!$E44)</f>
        <v>0</v>
      </c>
      <c r="AC44" s="32">
        <f>SUMIFS(合格品入货记录!$G:$G,合格品入货记录!$A:$A,样品!AC$3,合格品入货记录!$E:$E,样品!$E44)</f>
        <v>0</v>
      </c>
      <c r="AD44" s="32">
        <f>SUMIFS(合格品入货记录!$G:$G,合格品入货记录!$A:$A,样品!AD$3,合格品入货记录!$E:$E,样品!$E44)</f>
        <v>0</v>
      </c>
      <c r="AE44" s="32">
        <f>SUMIFS(合格品入货记录!$G:$G,合格品入货记录!$A:$A,样品!AE$3,合格品入货记录!$E:$E,样品!$E44)</f>
        <v>0</v>
      </c>
      <c r="AF44" s="32">
        <f>SUMIFS(合格品入货记录!$G:$G,合格品入货记录!$A:$A,样品!AF$3,合格品入货记录!$E:$E,样品!$E44)</f>
        <v>0</v>
      </c>
      <c r="AG44" s="32">
        <f>SUMIFS(合格品入货记录!$G:$G,合格品入货记录!$A:$A,样品!AG$3,合格品入货记录!$E:$E,样品!$E44)</f>
        <v>0</v>
      </c>
      <c r="AH44" s="32">
        <f>SUMIFS(合格品入货记录!$G:$G,合格品入货记录!$A:$A,样品!AH$3,合格品入货记录!$E:$E,样品!$E44)</f>
        <v>0</v>
      </c>
      <c r="AI44" s="32">
        <f>SUMIFS(合格品入货记录!$G:$G,合格品入货记录!$A:$A,样品!AI$3,合格品入货记录!$E:$E,样品!$E44)</f>
        <v>0</v>
      </c>
      <c r="AJ44" s="32">
        <f>SUMIFS(合格品入货记录!$G:$G,合格品入货记录!$A:$A,样品!AJ$3,合格品入货记录!$E:$E,样品!$E44)</f>
        <v>0</v>
      </c>
      <c r="AK44" s="32">
        <f>SUMIFS(合格品入货记录!$G:$G,合格品入货记录!$A:$A,样品!AK$3,合格品入货记录!$E:$E,样品!$E44)</f>
        <v>0</v>
      </c>
      <c r="AL44" s="32">
        <f>SUMIFS(合格品入货记录!$G:$G,合格品入货记录!$A:$A,样品!AL$3,合格品入货记录!$E:$E,样品!$E44)</f>
        <v>0</v>
      </c>
      <c r="AM44" s="32">
        <f>SUMIFS(合格品入货记录!$G:$G,合格品入货记录!$A:$A,样品!AM$3,合格品入货记录!$E:$E,样品!$E44)</f>
        <v>0</v>
      </c>
      <c r="AN44" s="32">
        <f>SUMIFS(合格品入货记录!$G:$G,合格品入货记录!$A:$A,样品!AN$3,合格品入货记录!$E:$E,样品!$E44)</f>
        <v>0</v>
      </c>
      <c r="AO44" s="32">
        <f>SUMIFS(合格品入货记录!$G:$G,合格品入货记录!$A:$A,样品!AO$3,合格品入货记录!$E:$E,样品!$E44)</f>
        <v>0</v>
      </c>
      <c r="AP44" s="32">
        <f>SUMIFS(合格品入货记录!$G:$G,合格品入货记录!$A:$A,样品!AP$3,合格品入货记录!$E:$E,样品!$E44)</f>
        <v>0</v>
      </c>
      <c r="AQ44" s="32">
        <f>SUMIFS(合格品入货记录!$G:$G,合格品入货记录!$A:$A,样品!AQ$3,合格品入货记录!$E:$E,样品!$E44)</f>
        <v>0</v>
      </c>
      <c r="AR44" s="32">
        <f>SUMIFS(合格品入货记录!$G:$G,合格品入货记录!$A:$A,样品!AR$3,合格品入货记录!$E:$E,样品!$E44)</f>
        <v>0</v>
      </c>
      <c r="AS44" s="32">
        <f>SUMIFS(合格品入货记录!$G:$G,合格品入货记录!$A:$A,样品!AS$3,合格品入货记录!$E:$E,样品!$E44)</f>
        <v>0</v>
      </c>
      <c r="AT44" s="32">
        <f>SUMIFS(合格品入货记录!$G:$G,合格品入货记录!$A:$A,样品!AT$3,合格品入货记录!$E:$E,样品!$E44)</f>
        <v>0</v>
      </c>
      <c r="AU44" s="32">
        <f>SUMIFS(合格品入货记录!$G:$G,合格品入货记录!$A:$A,样品!AU$3,合格品入货记录!$E:$E,样品!$E44)</f>
        <v>0</v>
      </c>
      <c r="AV44" s="32">
        <f>SUMIFS(合格品入货记录!$G:$G,合格品入货记录!$A:$A,样品!AV$3,合格品入货记录!$E:$E,样品!$E44)</f>
        <v>0</v>
      </c>
      <c r="AW44" s="32">
        <f>SUMIFS(合格品入货记录!$G:$G,合格品入货记录!$A:$A,样品!AW$3,合格品入货记录!$E:$E,样品!$E44)</f>
        <v>0</v>
      </c>
      <c r="AX44" s="32">
        <f>SUMIFS(合格品入货记录!$G:$G,合格品入货记录!$A:$A,样品!AX$3,合格品入货记录!$E:$E,样品!$E44)</f>
        <v>0</v>
      </c>
      <c r="AY44" s="32">
        <f>SUMIFS(合格品入货记录!$G:$G,合格品入货记录!$A:$A,样品!AY$3,合格品入货记录!$E:$E,样品!$E44)</f>
        <v>0</v>
      </c>
      <c r="AZ44" s="32">
        <f>SUMIFS(合格品入货记录!$G:$G,合格品入货记录!$A:$A,样品!AZ$3,合格品入货记录!$E:$E,样品!$E44)</f>
        <v>0</v>
      </c>
      <c r="BA44" s="32">
        <f>SUMIFS(合格品入货记录!$G:$G,合格品入货记录!$A:$A,样品!BA$3,合格品入货记录!$E:$E,样品!$E44)</f>
        <v>0</v>
      </c>
      <c r="BB44" s="32">
        <f>SUMIFS(合格品入货记录!$G:$G,合格品入货记录!$A:$A,样品!BB$3,合格品入货记录!$E:$E,样品!$E44)</f>
        <v>0</v>
      </c>
      <c r="BC44" s="32">
        <f>SUMIFS(合格品入货记录!$G:$G,合格品入货记录!$A:$A,样品!BC$3,合格品入货记录!$E:$E,样品!$E44)</f>
        <v>0</v>
      </c>
      <c r="BD44" s="32">
        <f>SUMIFS(合格品入货记录!$G:$G,合格品入货记录!$A:$A,样品!BD$3,合格品入货记录!$E:$E,样品!$E44)</f>
        <v>0</v>
      </c>
      <c r="BE44" s="32">
        <f>SUMIFS(合格品入货记录!$G:$G,合格品入货记录!$A:$A,样品!BE$3,合格品入货记录!$E:$E,样品!$E44)</f>
        <v>0</v>
      </c>
      <c r="BF44" s="32">
        <f>SUMIFS(合格品入货记录!$G:$G,合格品入货记录!$A:$A,样品!BF$3,合格品入货记录!$E:$E,样品!$E44)</f>
        <v>0</v>
      </c>
      <c r="BG44" s="32">
        <f>SUMIFS(合格品入货记录!$G:$G,合格品入货记录!$A:$A,样品!BG$3,合格品入货记录!$E:$E,样品!$E44)</f>
        <v>0</v>
      </c>
      <c r="BH44" s="32">
        <f>SUMIFS(合格品入货记录!$G:$G,合格品入货记录!$A:$A,样品!BH$3,合格品入货记录!$E:$E,样品!$E44)</f>
        <v>0</v>
      </c>
      <c r="BI44" s="32">
        <f>SUMIFS(合格品入货记录!$G:$G,合格品入货记录!$A:$A,样品!BI$3,合格品入货记录!$E:$E,样品!$E44)</f>
        <v>0</v>
      </c>
      <c r="BJ44" s="32">
        <f>SUMIFS(合格品入货记录!$G:$G,合格品入货记录!$A:$A,样品!BJ$3,合格品入货记录!$E:$E,样品!$E44)</f>
        <v>0</v>
      </c>
      <c r="BK44" s="32">
        <f>SUMIFS(合格品入货记录!$G:$G,合格品入货记录!$A:$A,样品!BK$3,合格品入货记录!$E:$E,样品!$E44)</f>
        <v>0</v>
      </c>
      <c r="BL44" s="32">
        <f>SUMIFS(合格品入货记录!$G:$G,合格品入货记录!$A:$A,样品!BL$3,合格品入货记录!$E:$E,样品!$E44)</f>
        <v>0</v>
      </c>
      <c r="BM44" s="32">
        <f>SUMIFS(合格品入货记录!$G:$G,合格品入货记录!$A:$A,样品!BM$3,合格品入货记录!$E:$E,样品!$E44)</f>
        <v>0</v>
      </c>
      <c r="BN44" s="32">
        <f>SUMIFS(合格品入货记录!$G:$G,合格品入货记录!$A:$A,样品!BN$3,合格品入货记录!$E:$E,样品!$E44)</f>
        <v>0</v>
      </c>
      <c r="BO44" s="32">
        <f>SUMIFS(合格品入货记录!$G:$G,合格品入货记录!$A:$A,样品!BO$3,合格品入货记录!$E:$E,样品!$E44)</f>
        <v>0</v>
      </c>
      <c r="BP44" s="32">
        <f>SUMIFS(合格品入货记录!$G:$G,合格品入货记录!$A:$A,样品!BP$3,合格品入货记录!$E:$E,样品!$E44)</f>
        <v>0</v>
      </c>
      <c r="BQ44" s="32">
        <f>SUMIFS(合格品入货记录!$G:$G,合格品入货记录!$A:$A,样品!BQ$3,合格品入货记录!$E:$E,样品!$E44)</f>
        <v>0</v>
      </c>
      <c r="BR44" s="32">
        <f>SUMIFS(合格品入货记录!$G:$G,合格品入货记录!$A:$A,样品!BR$3,合格品入货记录!$E:$E,样品!$E44)</f>
        <v>0</v>
      </c>
      <c r="BS44" s="32">
        <f>SUMIFS(合格品入货记录!$G:$G,合格品入货记录!$A:$A,样品!BS$3,合格品入货记录!$E:$E,样品!$E44)</f>
        <v>0</v>
      </c>
      <c r="BT44" s="32">
        <f>SUMIFS(合格品入货记录!$G:$G,合格品入货记录!$A:$A,样品!BT$3,合格品入货记录!$E:$E,样品!$E44)</f>
        <v>0</v>
      </c>
      <c r="BU44" s="32">
        <f>SUMIFS(合格品入货记录!$G:$G,合格品入货记录!$A:$A,样品!BU$3,合格品入货记录!$E:$E,样品!$E44)</f>
        <v>0</v>
      </c>
      <c r="BV44" s="32">
        <f>SUMIFS(合格品入货记录!$G:$G,合格品入货记录!$A:$A,样品!BV$3,合格品入货记录!$E:$E,样品!$E44)</f>
        <v>0</v>
      </c>
      <c r="BW44" s="32">
        <f>SUMIFS(合格品入货记录!$G:$G,合格品入货记录!$A:$A,样品!BW$3,合格品入货记录!$E:$E,样品!$E44)</f>
        <v>0</v>
      </c>
      <c r="BX44" s="32">
        <f>SUMIFS(合格品入货记录!$G:$G,合格品入货记录!$A:$A,样品!BX$3,合格品入货记录!$E:$E,样品!$E44)</f>
        <v>0</v>
      </c>
      <c r="BY44" s="32">
        <f>SUMIFS(合格品入货记录!$G:$G,合格品入货记录!$A:$A,样品!BY$3,合格品入货记录!$E:$E,样品!$E44)</f>
        <v>0</v>
      </c>
      <c r="BZ44" s="126"/>
      <c r="CA44" s="126"/>
      <c r="CB44" s="125"/>
      <c r="CC44" s="125"/>
      <c r="CD44" s="130"/>
    </row>
    <row r="45" s="90" customFormat="1" customHeight="1" spans="1:82">
      <c r="A45" s="31">
        <v>42</v>
      </c>
      <c r="B45" s="104" t="s">
        <v>19</v>
      </c>
      <c r="C45" s="105" t="s">
        <v>20</v>
      </c>
      <c r="D45" s="30" t="s">
        <v>380</v>
      </c>
      <c r="E45" s="31" t="s">
        <v>381</v>
      </c>
      <c r="F45" s="105" t="s">
        <v>382</v>
      </c>
      <c r="G45" s="106"/>
      <c r="H45" s="104">
        <v>0</v>
      </c>
      <c r="I45" s="106">
        <f>SUMIF(合格品入货记录!E:E,样品!E45,合格品入货记录!G:G)</f>
        <v>0</v>
      </c>
      <c r="J45" s="106">
        <f>SUMIF(合格品出库记录!E:E,样品!E45,合格品出库记录!G:G)</f>
        <v>0</v>
      </c>
      <c r="K45" s="102">
        <f t="shared" si="2"/>
        <v>0</v>
      </c>
      <c r="L45" s="102">
        <f>SUMIF(不良品库存!D:D,E45:E86,不良品库存!F:F)</f>
        <v>0</v>
      </c>
      <c r="M45" s="113">
        <f t="shared" si="3"/>
        <v>0</v>
      </c>
      <c r="N45" s="104"/>
      <c r="O45" s="104"/>
      <c r="P45" s="32">
        <f>IFERROR(SUMIFS(合格品入货记录!$G:$G,合格品入货记录!$A:$A,样品!P$3,合格品入货记录!$E:$E,样品!$E45)," ")</f>
        <v>0</v>
      </c>
      <c r="Q45" s="32">
        <f>SUMIFS(合格品入货记录!$G:$G,合格品入货记录!$A:$A,样品!Q$3,合格品入货记录!$E:$E,样品!$E45)</f>
        <v>0</v>
      </c>
      <c r="R45" s="32">
        <f>SUMIFS(合格品入货记录!$G:$G,合格品入货记录!$A:$A,样品!R$3,合格品入货记录!$E:$E,样品!$E45)</f>
        <v>0</v>
      </c>
      <c r="S45" s="32">
        <f>SUMIFS(合格品入货记录!$G:$G,合格品入货记录!$A:$A,样品!S$3,合格品入货记录!$E:$E,样品!$E45)</f>
        <v>0</v>
      </c>
      <c r="T45" s="32">
        <f>SUMIFS(合格品入货记录!$G:$G,合格品入货记录!$A:$A,样品!T$3,合格品入货记录!$E:$E,样品!$E45)</f>
        <v>0</v>
      </c>
      <c r="U45" s="32">
        <f>SUMIFS(合格品入货记录!$G:$G,合格品入货记录!$A:$A,样品!U$3,合格品入货记录!$E:$E,样品!$E45)</f>
        <v>0</v>
      </c>
      <c r="V45" s="32">
        <f>SUMIFS(合格品入货记录!$G:$G,合格品入货记录!$A:$A,样品!V$3,合格品入货记录!$E:$E,样品!$E45)</f>
        <v>0</v>
      </c>
      <c r="W45" s="32">
        <f>SUMIFS(合格品入货记录!$G:$G,合格品入货记录!$A:$A,样品!W$3,合格品入货记录!$E:$E,样品!$E45)</f>
        <v>0</v>
      </c>
      <c r="X45" s="32">
        <f>SUMIFS(合格品入货记录!$G:$G,合格品入货记录!$A:$A,样品!X$3,合格品入货记录!$E:$E,样品!$E45)</f>
        <v>0</v>
      </c>
      <c r="Y45" s="32">
        <f>SUMIFS(合格品入货记录!$G:$G,合格品入货记录!$A:$A,样品!Y$3,合格品入货记录!$E:$E,样品!$E45)</f>
        <v>0</v>
      </c>
      <c r="Z45" s="32">
        <f>SUMIFS(合格品入货记录!$G:$G,合格品入货记录!$A:$A,样品!Z$3,合格品入货记录!$E:$E,样品!$E45)</f>
        <v>0</v>
      </c>
      <c r="AA45" s="32">
        <f>SUMIFS(合格品入货记录!$G:$G,合格品入货记录!$A:$A,样品!AA$3,合格品入货记录!$E:$E,样品!$E45)</f>
        <v>0</v>
      </c>
      <c r="AB45" s="32">
        <f>SUMIFS(合格品入货记录!$G:$G,合格品入货记录!$A:$A,样品!AB$3,合格品入货记录!$E:$E,样品!$E45)</f>
        <v>0</v>
      </c>
      <c r="AC45" s="32">
        <f>SUMIFS(合格品入货记录!$G:$G,合格品入货记录!$A:$A,样品!AC$3,合格品入货记录!$E:$E,样品!$E45)</f>
        <v>0</v>
      </c>
      <c r="AD45" s="32">
        <f>SUMIFS(合格品入货记录!$G:$G,合格品入货记录!$A:$A,样品!AD$3,合格品入货记录!$E:$E,样品!$E45)</f>
        <v>0</v>
      </c>
      <c r="AE45" s="32">
        <f>SUMIFS(合格品入货记录!$G:$G,合格品入货记录!$A:$A,样品!AE$3,合格品入货记录!$E:$E,样品!$E45)</f>
        <v>0</v>
      </c>
      <c r="AF45" s="32">
        <f>SUMIFS(合格品入货记录!$G:$G,合格品入货记录!$A:$A,样品!AF$3,合格品入货记录!$E:$E,样品!$E45)</f>
        <v>0</v>
      </c>
      <c r="AG45" s="32">
        <f>SUMIFS(合格品入货记录!$G:$G,合格品入货记录!$A:$A,样品!AG$3,合格品入货记录!$E:$E,样品!$E45)</f>
        <v>0</v>
      </c>
      <c r="AH45" s="32">
        <f>SUMIFS(合格品入货记录!$G:$G,合格品入货记录!$A:$A,样品!AH$3,合格品入货记录!$E:$E,样品!$E45)</f>
        <v>0</v>
      </c>
      <c r="AI45" s="32">
        <f>SUMIFS(合格品入货记录!$G:$G,合格品入货记录!$A:$A,样品!AI$3,合格品入货记录!$E:$E,样品!$E45)</f>
        <v>0</v>
      </c>
      <c r="AJ45" s="32">
        <f>SUMIFS(合格品入货记录!$G:$G,合格品入货记录!$A:$A,样品!AJ$3,合格品入货记录!$E:$E,样品!$E45)</f>
        <v>0</v>
      </c>
      <c r="AK45" s="32">
        <f>SUMIFS(合格品入货记录!$G:$G,合格品入货记录!$A:$A,样品!AK$3,合格品入货记录!$E:$E,样品!$E45)</f>
        <v>0</v>
      </c>
      <c r="AL45" s="32">
        <f>SUMIFS(合格品入货记录!$G:$G,合格品入货记录!$A:$A,样品!AL$3,合格品入货记录!$E:$E,样品!$E45)</f>
        <v>0</v>
      </c>
      <c r="AM45" s="32">
        <f>SUMIFS(合格品入货记录!$G:$G,合格品入货记录!$A:$A,样品!AM$3,合格品入货记录!$E:$E,样品!$E45)</f>
        <v>0</v>
      </c>
      <c r="AN45" s="32">
        <f>SUMIFS(合格品入货记录!$G:$G,合格品入货记录!$A:$A,样品!AN$3,合格品入货记录!$E:$E,样品!$E45)</f>
        <v>0</v>
      </c>
      <c r="AO45" s="32">
        <f>SUMIFS(合格品入货记录!$G:$G,合格品入货记录!$A:$A,样品!AO$3,合格品入货记录!$E:$E,样品!$E45)</f>
        <v>0</v>
      </c>
      <c r="AP45" s="32">
        <f>SUMIFS(合格品入货记录!$G:$G,合格品入货记录!$A:$A,样品!AP$3,合格品入货记录!$E:$E,样品!$E45)</f>
        <v>0</v>
      </c>
      <c r="AQ45" s="32">
        <f>SUMIFS(合格品入货记录!$G:$G,合格品入货记录!$A:$A,样品!AQ$3,合格品入货记录!$E:$E,样品!$E45)</f>
        <v>0</v>
      </c>
      <c r="AR45" s="32">
        <f>SUMIFS(合格品入货记录!$G:$G,合格品入货记录!$A:$A,样品!AR$3,合格品入货记录!$E:$E,样品!$E45)</f>
        <v>0</v>
      </c>
      <c r="AS45" s="32">
        <f>SUMIFS(合格品入货记录!$G:$G,合格品入货记录!$A:$A,样品!AS$3,合格品入货记录!$E:$E,样品!$E45)</f>
        <v>0</v>
      </c>
      <c r="AT45" s="32">
        <f>SUMIFS(合格品入货记录!$G:$G,合格品入货记录!$A:$A,样品!AT$3,合格品入货记录!$E:$E,样品!$E45)</f>
        <v>0</v>
      </c>
      <c r="AU45" s="32">
        <f>SUMIFS(合格品入货记录!$G:$G,合格品入货记录!$A:$A,样品!AU$3,合格品入货记录!$E:$E,样品!$E45)</f>
        <v>0</v>
      </c>
      <c r="AV45" s="32">
        <f>SUMIFS(合格品入货记录!$G:$G,合格品入货记录!$A:$A,样品!AV$3,合格品入货记录!$E:$E,样品!$E45)</f>
        <v>0</v>
      </c>
      <c r="AW45" s="32">
        <f>SUMIFS(合格品入货记录!$G:$G,合格品入货记录!$A:$A,样品!AW$3,合格品入货记录!$E:$E,样品!$E45)</f>
        <v>0</v>
      </c>
      <c r="AX45" s="32">
        <f>SUMIFS(合格品入货记录!$G:$G,合格品入货记录!$A:$A,样品!AX$3,合格品入货记录!$E:$E,样品!$E45)</f>
        <v>0</v>
      </c>
      <c r="AY45" s="32">
        <f>SUMIFS(合格品入货记录!$G:$G,合格品入货记录!$A:$A,样品!AY$3,合格品入货记录!$E:$E,样品!$E45)</f>
        <v>0</v>
      </c>
      <c r="AZ45" s="32">
        <f>SUMIFS(合格品入货记录!$G:$G,合格品入货记录!$A:$A,样品!AZ$3,合格品入货记录!$E:$E,样品!$E45)</f>
        <v>0</v>
      </c>
      <c r="BA45" s="32">
        <f>SUMIFS(合格品入货记录!$G:$G,合格品入货记录!$A:$A,样品!BA$3,合格品入货记录!$E:$E,样品!$E45)</f>
        <v>0</v>
      </c>
      <c r="BB45" s="32">
        <f>SUMIFS(合格品入货记录!$G:$G,合格品入货记录!$A:$A,样品!BB$3,合格品入货记录!$E:$E,样品!$E45)</f>
        <v>0</v>
      </c>
      <c r="BC45" s="32">
        <f>SUMIFS(合格品入货记录!$G:$G,合格品入货记录!$A:$A,样品!BC$3,合格品入货记录!$E:$E,样品!$E45)</f>
        <v>0</v>
      </c>
      <c r="BD45" s="32">
        <f>SUMIFS(合格品入货记录!$G:$G,合格品入货记录!$A:$A,样品!BD$3,合格品入货记录!$E:$E,样品!$E45)</f>
        <v>0</v>
      </c>
      <c r="BE45" s="32">
        <f>SUMIFS(合格品入货记录!$G:$G,合格品入货记录!$A:$A,样品!BE$3,合格品入货记录!$E:$E,样品!$E45)</f>
        <v>0</v>
      </c>
      <c r="BF45" s="32">
        <f>SUMIFS(合格品入货记录!$G:$G,合格品入货记录!$A:$A,样品!BF$3,合格品入货记录!$E:$E,样品!$E45)</f>
        <v>0</v>
      </c>
      <c r="BG45" s="32">
        <f>SUMIFS(合格品入货记录!$G:$G,合格品入货记录!$A:$A,样品!BG$3,合格品入货记录!$E:$E,样品!$E45)</f>
        <v>0</v>
      </c>
      <c r="BH45" s="32">
        <f>SUMIFS(合格品入货记录!$G:$G,合格品入货记录!$A:$A,样品!BH$3,合格品入货记录!$E:$E,样品!$E45)</f>
        <v>0</v>
      </c>
      <c r="BI45" s="32">
        <f>SUMIFS(合格品入货记录!$G:$G,合格品入货记录!$A:$A,样品!BI$3,合格品入货记录!$E:$E,样品!$E45)</f>
        <v>0</v>
      </c>
      <c r="BJ45" s="32">
        <f>SUMIFS(合格品入货记录!$G:$G,合格品入货记录!$A:$A,样品!BJ$3,合格品入货记录!$E:$E,样品!$E45)</f>
        <v>0</v>
      </c>
      <c r="BK45" s="32">
        <f>SUMIFS(合格品入货记录!$G:$G,合格品入货记录!$A:$A,样品!BK$3,合格品入货记录!$E:$E,样品!$E45)</f>
        <v>0</v>
      </c>
      <c r="BL45" s="32">
        <f>SUMIFS(合格品入货记录!$G:$G,合格品入货记录!$A:$A,样品!BL$3,合格品入货记录!$E:$E,样品!$E45)</f>
        <v>0</v>
      </c>
      <c r="BM45" s="32">
        <f>SUMIFS(合格品入货记录!$G:$G,合格品入货记录!$A:$A,样品!BM$3,合格品入货记录!$E:$E,样品!$E45)</f>
        <v>0</v>
      </c>
      <c r="BN45" s="32">
        <f>SUMIFS(合格品入货记录!$G:$G,合格品入货记录!$A:$A,样品!BN$3,合格品入货记录!$E:$E,样品!$E45)</f>
        <v>0</v>
      </c>
      <c r="BO45" s="32">
        <f>SUMIFS(合格品入货记录!$G:$G,合格品入货记录!$A:$A,样品!BO$3,合格品入货记录!$E:$E,样品!$E45)</f>
        <v>0</v>
      </c>
      <c r="BP45" s="32">
        <f>SUMIFS(合格品入货记录!$G:$G,合格品入货记录!$A:$A,样品!BP$3,合格品入货记录!$E:$E,样品!$E45)</f>
        <v>0</v>
      </c>
      <c r="BQ45" s="32">
        <f>SUMIFS(合格品入货记录!$G:$G,合格品入货记录!$A:$A,样品!BQ$3,合格品入货记录!$E:$E,样品!$E45)</f>
        <v>0</v>
      </c>
      <c r="BR45" s="32">
        <f>SUMIFS(合格品入货记录!$G:$G,合格品入货记录!$A:$A,样品!BR$3,合格品入货记录!$E:$E,样品!$E45)</f>
        <v>0</v>
      </c>
      <c r="BS45" s="32">
        <f>SUMIFS(合格品入货记录!$G:$G,合格品入货记录!$A:$A,样品!BS$3,合格品入货记录!$E:$E,样品!$E45)</f>
        <v>0</v>
      </c>
      <c r="BT45" s="32">
        <f>SUMIFS(合格品入货记录!$G:$G,合格品入货记录!$A:$A,样品!BT$3,合格品入货记录!$E:$E,样品!$E45)</f>
        <v>0</v>
      </c>
      <c r="BU45" s="32">
        <f>SUMIFS(合格品入货记录!$G:$G,合格品入货记录!$A:$A,样品!BU$3,合格品入货记录!$E:$E,样品!$E45)</f>
        <v>0</v>
      </c>
      <c r="BV45" s="32">
        <f>SUMIFS(合格品入货记录!$G:$G,合格品入货记录!$A:$A,样品!BV$3,合格品入货记录!$E:$E,样品!$E45)</f>
        <v>0</v>
      </c>
      <c r="BW45" s="32">
        <f>SUMIFS(合格品入货记录!$G:$G,合格品入货记录!$A:$A,样品!BW$3,合格品入货记录!$E:$E,样品!$E45)</f>
        <v>0</v>
      </c>
      <c r="BX45" s="32">
        <f>SUMIFS(合格品入货记录!$G:$G,合格品入货记录!$A:$A,样品!BX$3,合格品入货记录!$E:$E,样品!$E45)</f>
        <v>0</v>
      </c>
      <c r="BY45" s="32">
        <f>SUMIFS(合格品入货记录!$G:$G,合格品入货记录!$A:$A,样品!BY$3,合格品入货记录!$E:$E,样品!$E45)</f>
        <v>0</v>
      </c>
      <c r="BZ45" s="126"/>
      <c r="CA45" s="126"/>
      <c r="CB45" s="125"/>
      <c r="CC45" s="125"/>
      <c r="CD45" s="130"/>
    </row>
    <row r="46" s="90" customFormat="1" customHeight="1" spans="1:82">
      <c r="A46" s="31">
        <v>43</v>
      </c>
      <c r="B46" s="104" t="s">
        <v>19</v>
      </c>
      <c r="C46" s="105" t="s">
        <v>20</v>
      </c>
      <c r="D46" s="30" t="s">
        <v>383</v>
      </c>
      <c r="E46" s="31" t="s">
        <v>384</v>
      </c>
      <c r="F46" s="105" t="s">
        <v>385</v>
      </c>
      <c r="G46" s="106"/>
      <c r="H46" s="104">
        <v>300</v>
      </c>
      <c r="I46" s="106">
        <f>SUMIF(合格品入货记录!E:E,样品!E46,合格品入货记录!G:G)</f>
        <v>0</v>
      </c>
      <c r="J46" s="106">
        <f>SUMIF(合格品出库记录!E:E,样品!E46,合格品出库记录!G:G)</f>
        <v>0</v>
      </c>
      <c r="K46" s="102">
        <f t="shared" si="2"/>
        <v>300</v>
      </c>
      <c r="L46" s="102">
        <f>SUMIF(不良品库存!D:D,E46:E87,不良品库存!F:F)</f>
        <v>0</v>
      </c>
      <c r="M46" s="113">
        <f t="shared" si="3"/>
        <v>300</v>
      </c>
      <c r="N46" s="104"/>
      <c r="O46" s="104"/>
      <c r="P46" s="32">
        <f>IFERROR(SUMIFS(合格品入货记录!$G:$G,合格品入货记录!$A:$A,样品!P$3,合格品入货记录!$E:$E,样品!$E46)," ")</f>
        <v>0</v>
      </c>
      <c r="Q46" s="32">
        <f>SUMIFS(合格品入货记录!$G:$G,合格品入货记录!$A:$A,样品!Q$3,合格品入货记录!$E:$E,样品!$E46)</f>
        <v>0</v>
      </c>
      <c r="R46" s="32">
        <f>SUMIFS(合格品入货记录!$G:$G,合格品入货记录!$A:$A,样品!R$3,合格品入货记录!$E:$E,样品!$E46)</f>
        <v>0</v>
      </c>
      <c r="S46" s="32">
        <f>SUMIFS(合格品入货记录!$G:$G,合格品入货记录!$A:$A,样品!S$3,合格品入货记录!$E:$E,样品!$E46)</f>
        <v>0</v>
      </c>
      <c r="T46" s="32">
        <f>SUMIFS(合格品入货记录!$G:$G,合格品入货记录!$A:$A,样品!T$3,合格品入货记录!$E:$E,样品!$E46)</f>
        <v>0</v>
      </c>
      <c r="U46" s="32">
        <f>SUMIFS(合格品入货记录!$G:$G,合格品入货记录!$A:$A,样品!U$3,合格品入货记录!$E:$E,样品!$E46)</f>
        <v>0</v>
      </c>
      <c r="V46" s="32">
        <f>SUMIFS(合格品入货记录!$G:$G,合格品入货记录!$A:$A,样品!V$3,合格品入货记录!$E:$E,样品!$E46)</f>
        <v>0</v>
      </c>
      <c r="W46" s="32">
        <f>SUMIFS(合格品入货记录!$G:$G,合格品入货记录!$A:$A,样品!W$3,合格品入货记录!$E:$E,样品!$E46)</f>
        <v>0</v>
      </c>
      <c r="X46" s="32">
        <f>SUMIFS(合格品入货记录!$G:$G,合格品入货记录!$A:$A,样品!X$3,合格品入货记录!$E:$E,样品!$E46)</f>
        <v>0</v>
      </c>
      <c r="Y46" s="32">
        <f>SUMIFS(合格品入货记录!$G:$G,合格品入货记录!$A:$A,样品!Y$3,合格品入货记录!$E:$E,样品!$E46)</f>
        <v>0</v>
      </c>
      <c r="Z46" s="32">
        <f>SUMIFS(合格品入货记录!$G:$G,合格品入货记录!$A:$A,样品!Z$3,合格品入货记录!$E:$E,样品!$E46)</f>
        <v>0</v>
      </c>
      <c r="AA46" s="32">
        <f>SUMIFS(合格品入货记录!$G:$G,合格品入货记录!$A:$A,样品!AA$3,合格品入货记录!$E:$E,样品!$E46)</f>
        <v>0</v>
      </c>
      <c r="AB46" s="32">
        <f>SUMIFS(合格品入货记录!$G:$G,合格品入货记录!$A:$A,样品!AB$3,合格品入货记录!$E:$E,样品!$E46)</f>
        <v>0</v>
      </c>
      <c r="AC46" s="32">
        <f>SUMIFS(合格品入货记录!$G:$G,合格品入货记录!$A:$A,样品!AC$3,合格品入货记录!$E:$E,样品!$E46)</f>
        <v>0</v>
      </c>
      <c r="AD46" s="32">
        <f>SUMIFS(合格品入货记录!$G:$G,合格品入货记录!$A:$A,样品!AD$3,合格品入货记录!$E:$E,样品!$E46)</f>
        <v>0</v>
      </c>
      <c r="AE46" s="32">
        <f>SUMIFS(合格品入货记录!$G:$G,合格品入货记录!$A:$A,样品!AE$3,合格品入货记录!$E:$E,样品!$E46)</f>
        <v>0</v>
      </c>
      <c r="AF46" s="32">
        <f>SUMIFS(合格品入货记录!$G:$G,合格品入货记录!$A:$A,样品!AF$3,合格品入货记录!$E:$E,样品!$E46)</f>
        <v>0</v>
      </c>
      <c r="AG46" s="32">
        <f>SUMIFS(合格品入货记录!$G:$G,合格品入货记录!$A:$A,样品!AG$3,合格品入货记录!$E:$E,样品!$E46)</f>
        <v>0</v>
      </c>
      <c r="AH46" s="32">
        <f>SUMIFS(合格品入货记录!$G:$G,合格品入货记录!$A:$A,样品!AH$3,合格品入货记录!$E:$E,样品!$E46)</f>
        <v>0</v>
      </c>
      <c r="AI46" s="32">
        <f>SUMIFS(合格品入货记录!$G:$G,合格品入货记录!$A:$A,样品!AI$3,合格品入货记录!$E:$E,样品!$E46)</f>
        <v>0</v>
      </c>
      <c r="AJ46" s="32">
        <f>SUMIFS(合格品入货记录!$G:$G,合格品入货记录!$A:$A,样品!AJ$3,合格品入货记录!$E:$E,样品!$E46)</f>
        <v>0</v>
      </c>
      <c r="AK46" s="32">
        <f>SUMIFS(合格品入货记录!$G:$G,合格品入货记录!$A:$A,样品!AK$3,合格品入货记录!$E:$E,样品!$E46)</f>
        <v>0</v>
      </c>
      <c r="AL46" s="32">
        <f>SUMIFS(合格品入货记录!$G:$G,合格品入货记录!$A:$A,样品!AL$3,合格品入货记录!$E:$E,样品!$E46)</f>
        <v>0</v>
      </c>
      <c r="AM46" s="32">
        <f>SUMIFS(合格品入货记录!$G:$G,合格品入货记录!$A:$A,样品!AM$3,合格品入货记录!$E:$E,样品!$E46)</f>
        <v>0</v>
      </c>
      <c r="AN46" s="32">
        <f>SUMIFS(合格品入货记录!$G:$G,合格品入货记录!$A:$A,样品!AN$3,合格品入货记录!$E:$E,样品!$E46)</f>
        <v>0</v>
      </c>
      <c r="AO46" s="32">
        <f>SUMIFS(合格品入货记录!$G:$G,合格品入货记录!$A:$A,样品!AO$3,合格品入货记录!$E:$E,样品!$E46)</f>
        <v>0</v>
      </c>
      <c r="AP46" s="32">
        <f>SUMIFS(合格品入货记录!$G:$G,合格品入货记录!$A:$A,样品!AP$3,合格品入货记录!$E:$E,样品!$E46)</f>
        <v>0</v>
      </c>
      <c r="AQ46" s="32">
        <f>SUMIFS(合格品入货记录!$G:$G,合格品入货记录!$A:$A,样品!AQ$3,合格品入货记录!$E:$E,样品!$E46)</f>
        <v>0</v>
      </c>
      <c r="AR46" s="32">
        <f>SUMIFS(合格品入货记录!$G:$G,合格品入货记录!$A:$A,样品!AR$3,合格品入货记录!$E:$E,样品!$E46)</f>
        <v>0</v>
      </c>
      <c r="AS46" s="32">
        <f>SUMIFS(合格品入货记录!$G:$G,合格品入货记录!$A:$A,样品!AS$3,合格品入货记录!$E:$E,样品!$E46)</f>
        <v>0</v>
      </c>
      <c r="AT46" s="32">
        <f>SUMIFS(合格品入货记录!$G:$G,合格品入货记录!$A:$A,样品!AT$3,合格品入货记录!$E:$E,样品!$E46)</f>
        <v>0</v>
      </c>
      <c r="AU46" s="32">
        <f>SUMIFS(合格品入货记录!$G:$G,合格品入货记录!$A:$A,样品!AU$3,合格品入货记录!$E:$E,样品!$E46)</f>
        <v>0</v>
      </c>
      <c r="AV46" s="32">
        <f>SUMIFS(合格品入货记录!$G:$G,合格品入货记录!$A:$A,样品!AV$3,合格品入货记录!$E:$E,样品!$E46)</f>
        <v>0</v>
      </c>
      <c r="AW46" s="32">
        <f>SUMIFS(合格品入货记录!$G:$G,合格品入货记录!$A:$A,样品!AW$3,合格品入货记录!$E:$E,样品!$E46)</f>
        <v>0</v>
      </c>
      <c r="AX46" s="32">
        <f>SUMIFS(合格品入货记录!$G:$G,合格品入货记录!$A:$A,样品!AX$3,合格品入货记录!$E:$E,样品!$E46)</f>
        <v>0</v>
      </c>
      <c r="AY46" s="32">
        <f>SUMIFS(合格品入货记录!$G:$G,合格品入货记录!$A:$A,样品!AY$3,合格品入货记录!$E:$E,样品!$E46)</f>
        <v>0</v>
      </c>
      <c r="AZ46" s="32">
        <f>SUMIFS(合格品入货记录!$G:$G,合格品入货记录!$A:$A,样品!AZ$3,合格品入货记录!$E:$E,样品!$E46)</f>
        <v>0</v>
      </c>
      <c r="BA46" s="32">
        <f>SUMIFS(合格品入货记录!$G:$G,合格品入货记录!$A:$A,样品!BA$3,合格品入货记录!$E:$E,样品!$E46)</f>
        <v>0</v>
      </c>
      <c r="BB46" s="32">
        <f>SUMIFS(合格品入货记录!$G:$G,合格品入货记录!$A:$A,样品!BB$3,合格品入货记录!$E:$E,样品!$E46)</f>
        <v>0</v>
      </c>
      <c r="BC46" s="32">
        <f>SUMIFS(合格品入货记录!$G:$G,合格品入货记录!$A:$A,样品!BC$3,合格品入货记录!$E:$E,样品!$E46)</f>
        <v>0</v>
      </c>
      <c r="BD46" s="32">
        <f>SUMIFS(合格品入货记录!$G:$G,合格品入货记录!$A:$A,样品!BD$3,合格品入货记录!$E:$E,样品!$E46)</f>
        <v>0</v>
      </c>
      <c r="BE46" s="32">
        <f>SUMIFS(合格品入货记录!$G:$G,合格品入货记录!$A:$A,样品!BE$3,合格品入货记录!$E:$E,样品!$E46)</f>
        <v>0</v>
      </c>
      <c r="BF46" s="32">
        <f>SUMIFS(合格品入货记录!$G:$G,合格品入货记录!$A:$A,样品!BF$3,合格品入货记录!$E:$E,样品!$E46)</f>
        <v>0</v>
      </c>
      <c r="BG46" s="32">
        <f>SUMIFS(合格品入货记录!$G:$G,合格品入货记录!$A:$A,样品!BG$3,合格品入货记录!$E:$E,样品!$E46)</f>
        <v>0</v>
      </c>
      <c r="BH46" s="32">
        <f>SUMIFS(合格品入货记录!$G:$G,合格品入货记录!$A:$A,样品!BH$3,合格品入货记录!$E:$E,样品!$E46)</f>
        <v>0</v>
      </c>
      <c r="BI46" s="32">
        <f>SUMIFS(合格品入货记录!$G:$G,合格品入货记录!$A:$A,样品!BI$3,合格品入货记录!$E:$E,样品!$E46)</f>
        <v>0</v>
      </c>
      <c r="BJ46" s="32">
        <f>SUMIFS(合格品入货记录!$G:$G,合格品入货记录!$A:$A,样品!BJ$3,合格品入货记录!$E:$E,样品!$E46)</f>
        <v>0</v>
      </c>
      <c r="BK46" s="32">
        <f>SUMIFS(合格品入货记录!$G:$G,合格品入货记录!$A:$A,样品!BK$3,合格品入货记录!$E:$E,样品!$E46)</f>
        <v>0</v>
      </c>
      <c r="BL46" s="32">
        <f>SUMIFS(合格品入货记录!$G:$G,合格品入货记录!$A:$A,样品!BL$3,合格品入货记录!$E:$E,样品!$E46)</f>
        <v>0</v>
      </c>
      <c r="BM46" s="32">
        <f>SUMIFS(合格品入货记录!$G:$G,合格品入货记录!$A:$A,样品!BM$3,合格品入货记录!$E:$E,样品!$E46)</f>
        <v>0</v>
      </c>
      <c r="BN46" s="32">
        <f>SUMIFS(合格品入货记录!$G:$G,合格品入货记录!$A:$A,样品!BN$3,合格品入货记录!$E:$E,样品!$E46)</f>
        <v>0</v>
      </c>
      <c r="BO46" s="32">
        <f>SUMIFS(合格品入货记录!$G:$G,合格品入货记录!$A:$A,样品!BO$3,合格品入货记录!$E:$E,样品!$E46)</f>
        <v>0</v>
      </c>
      <c r="BP46" s="32">
        <f>SUMIFS(合格品入货记录!$G:$G,合格品入货记录!$A:$A,样品!BP$3,合格品入货记录!$E:$E,样品!$E46)</f>
        <v>0</v>
      </c>
      <c r="BQ46" s="32">
        <f>SUMIFS(合格品入货记录!$G:$G,合格品入货记录!$A:$A,样品!BQ$3,合格品入货记录!$E:$E,样品!$E46)</f>
        <v>0</v>
      </c>
      <c r="BR46" s="32">
        <f>SUMIFS(合格品入货记录!$G:$G,合格品入货记录!$A:$A,样品!BR$3,合格品入货记录!$E:$E,样品!$E46)</f>
        <v>0</v>
      </c>
      <c r="BS46" s="32">
        <f>SUMIFS(合格品入货记录!$G:$G,合格品入货记录!$A:$A,样品!BS$3,合格品入货记录!$E:$E,样品!$E46)</f>
        <v>0</v>
      </c>
      <c r="BT46" s="32">
        <f>SUMIFS(合格品入货记录!$G:$G,合格品入货记录!$A:$A,样品!BT$3,合格品入货记录!$E:$E,样品!$E46)</f>
        <v>0</v>
      </c>
      <c r="BU46" s="32">
        <f>SUMIFS(合格品入货记录!$G:$G,合格品入货记录!$A:$A,样品!BU$3,合格品入货记录!$E:$E,样品!$E46)</f>
        <v>0</v>
      </c>
      <c r="BV46" s="32">
        <f>SUMIFS(合格品入货记录!$G:$G,合格品入货记录!$A:$A,样品!BV$3,合格品入货记录!$E:$E,样品!$E46)</f>
        <v>0</v>
      </c>
      <c r="BW46" s="32">
        <f>SUMIFS(合格品入货记录!$G:$G,合格品入货记录!$A:$A,样品!BW$3,合格品入货记录!$E:$E,样品!$E46)</f>
        <v>0</v>
      </c>
      <c r="BX46" s="32">
        <f>SUMIFS(合格品入货记录!$G:$G,合格品入货记录!$A:$A,样品!BX$3,合格品入货记录!$E:$E,样品!$E46)</f>
        <v>0</v>
      </c>
      <c r="BY46" s="32">
        <f>SUMIFS(合格品入货记录!$G:$G,合格品入货记录!$A:$A,样品!BY$3,合格品入货记录!$E:$E,样品!$E46)</f>
        <v>0</v>
      </c>
      <c r="BZ46" s="126"/>
      <c r="CA46" s="126"/>
      <c r="CB46" s="125"/>
      <c r="CC46" s="125"/>
      <c r="CD46" s="130"/>
    </row>
    <row r="47" s="90" customFormat="1" customHeight="1" spans="1:82">
      <c r="A47" s="31">
        <v>44</v>
      </c>
      <c r="B47" s="104" t="s">
        <v>19</v>
      </c>
      <c r="C47" s="105" t="s">
        <v>20</v>
      </c>
      <c r="D47" s="30">
        <v>801001005154</v>
      </c>
      <c r="E47" s="31" t="s">
        <v>386</v>
      </c>
      <c r="F47" s="105" t="s">
        <v>387</v>
      </c>
      <c r="G47" s="106"/>
      <c r="H47" s="104">
        <v>0</v>
      </c>
      <c r="I47" s="106">
        <f>SUMIF(合格品入货记录!E:E,样品!E47,合格品入货记录!G:G)</f>
        <v>0</v>
      </c>
      <c r="J47" s="106">
        <f>SUMIF(合格品出库记录!E:E,样品!E47,合格品出库记录!G:G)</f>
        <v>0</v>
      </c>
      <c r="K47" s="102">
        <f t="shared" si="2"/>
        <v>0</v>
      </c>
      <c r="L47" s="102">
        <f>SUMIF(不良品库存!D:D,E47:E88,不良品库存!F:F)</f>
        <v>0</v>
      </c>
      <c r="M47" s="113">
        <f t="shared" si="3"/>
        <v>0</v>
      </c>
      <c r="N47" s="104"/>
      <c r="O47" s="104"/>
      <c r="P47" s="32">
        <f>IFERROR(SUMIFS(合格品入货记录!$G:$G,合格品入货记录!$A:$A,样品!P$3,合格品入货记录!$E:$E,样品!$E47)," ")</f>
        <v>0</v>
      </c>
      <c r="Q47" s="32">
        <f>SUMIFS(合格品入货记录!$G:$G,合格品入货记录!$A:$A,样品!Q$3,合格品入货记录!$E:$E,样品!$E47)</f>
        <v>0</v>
      </c>
      <c r="R47" s="32">
        <f>SUMIFS(合格品入货记录!$G:$G,合格品入货记录!$A:$A,样品!R$3,合格品入货记录!$E:$E,样品!$E47)</f>
        <v>0</v>
      </c>
      <c r="S47" s="32">
        <f>SUMIFS(合格品入货记录!$G:$G,合格品入货记录!$A:$A,样品!S$3,合格品入货记录!$E:$E,样品!$E47)</f>
        <v>0</v>
      </c>
      <c r="T47" s="32">
        <f>SUMIFS(合格品入货记录!$G:$G,合格品入货记录!$A:$A,样品!T$3,合格品入货记录!$E:$E,样品!$E47)</f>
        <v>0</v>
      </c>
      <c r="U47" s="32">
        <f>SUMIFS(合格品入货记录!$G:$G,合格品入货记录!$A:$A,样品!U$3,合格品入货记录!$E:$E,样品!$E47)</f>
        <v>0</v>
      </c>
      <c r="V47" s="32">
        <f>SUMIFS(合格品入货记录!$G:$G,合格品入货记录!$A:$A,样品!V$3,合格品入货记录!$E:$E,样品!$E47)</f>
        <v>0</v>
      </c>
      <c r="W47" s="32">
        <f>SUMIFS(合格品入货记录!$G:$G,合格品入货记录!$A:$A,样品!W$3,合格品入货记录!$E:$E,样品!$E47)</f>
        <v>0</v>
      </c>
      <c r="X47" s="32">
        <f>SUMIFS(合格品入货记录!$G:$G,合格品入货记录!$A:$A,样品!X$3,合格品入货记录!$E:$E,样品!$E47)</f>
        <v>0</v>
      </c>
      <c r="Y47" s="32">
        <f>SUMIFS(合格品入货记录!$G:$G,合格品入货记录!$A:$A,样品!Y$3,合格品入货记录!$E:$E,样品!$E47)</f>
        <v>0</v>
      </c>
      <c r="Z47" s="32">
        <f>SUMIFS(合格品入货记录!$G:$G,合格品入货记录!$A:$A,样品!Z$3,合格品入货记录!$E:$E,样品!$E47)</f>
        <v>0</v>
      </c>
      <c r="AA47" s="32">
        <f>SUMIFS(合格品入货记录!$G:$G,合格品入货记录!$A:$A,样品!AA$3,合格品入货记录!$E:$E,样品!$E47)</f>
        <v>0</v>
      </c>
      <c r="AB47" s="32">
        <f>SUMIFS(合格品入货记录!$G:$G,合格品入货记录!$A:$A,样品!AB$3,合格品入货记录!$E:$E,样品!$E47)</f>
        <v>0</v>
      </c>
      <c r="AC47" s="32">
        <f>SUMIFS(合格品入货记录!$G:$G,合格品入货记录!$A:$A,样品!AC$3,合格品入货记录!$E:$E,样品!$E47)</f>
        <v>0</v>
      </c>
      <c r="AD47" s="32">
        <f>SUMIFS(合格品入货记录!$G:$G,合格品入货记录!$A:$A,样品!AD$3,合格品入货记录!$E:$E,样品!$E47)</f>
        <v>0</v>
      </c>
      <c r="AE47" s="32">
        <f>SUMIFS(合格品入货记录!$G:$G,合格品入货记录!$A:$A,样品!AE$3,合格品入货记录!$E:$E,样品!$E47)</f>
        <v>0</v>
      </c>
      <c r="AF47" s="32">
        <f>SUMIFS(合格品入货记录!$G:$G,合格品入货记录!$A:$A,样品!AF$3,合格品入货记录!$E:$E,样品!$E47)</f>
        <v>0</v>
      </c>
      <c r="AG47" s="32">
        <f>SUMIFS(合格品入货记录!$G:$G,合格品入货记录!$A:$A,样品!AG$3,合格品入货记录!$E:$E,样品!$E47)</f>
        <v>0</v>
      </c>
      <c r="AH47" s="32">
        <f>SUMIFS(合格品入货记录!$G:$G,合格品入货记录!$A:$A,样品!AH$3,合格品入货记录!$E:$E,样品!$E47)</f>
        <v>0</v>
      </c>
      <c r="AI47" s="32">
        <f>SUMIFS(合格品入货记录!$G:$G,合格品入货记录!$A:$A,样品!AI$3,合格品入货记录!$E:$E,样品!$E47)</f>
        <v>0</v>
      </c>
      <c r="AJ47" s="32">
        <f>SUMIFS(合格品入货记录!$G:$G,合格品入货记录!$A:$A,样品!AJ$3,合格品入货记录!$E:$E,样品!$E47)</f>
        <v>0</v>
      </c>
      <c r="AK47" s="32">
        <f>SUMIFS(合格品入货记录!$G:$G,合格品入货记录!$A:$A,样品!AK$3,合格品入货记录!$E:$E,样品!$E47)</f>
        <v>0</v>
      </c>
      <c r="AL47" s="32">
        <f>SUMIFS(合格品入货记录!$G:$G,合格品入货记录!$A:$A,样品!AL$3,合格品入货记录!$E:$E,样品!$E47)</f>
        <v>0</v>
      </c>
      <c r="AM47" s="32">
        <f>SUMIFS(合格品入货记录!$G:$G,合格品入货记录!$A:$A,样品!AM$3,合格品入货记录!$E:$E,样品!$E47)</f>
        <v>0</v>
      </c>
      <c r="AN47" s="32">
        <f>SUMIFS(合格品入货记录!$G:$G,合格品入货记录!$A:$A,样品!AN$3,合格品入货记录!$E:$E,样品!$E47)</f>
        <v>0</v>
      </c>
      <c r="AO47" s="32">
        <f>SUMIFS(合格品入货记录!$G:$G,合格品入货记录!$A:$A,样品!AO$3,合格品入货记录!$E:$E,样品!$E47)</f>
        <v>0</v>
      </c>
      <c r="AP47" s="32">
        <f>SUMIFS(合格品入货记录!$G:$G,合格品入货记录!$A:$A,样品!AP$3,合格品入货记录!$E:$E,样品!$E47)</f>
        <v>0</v>
      </c>
      <c r="AQ47" s="32">
        <f>SUMIFS(合格品入货记录!$G:$G,合格品入货记录!$A:$A,样品!AQ$3,合格品入货记录!$E:$E,样品!$E47)</f>
        <v>0</v>
      </c>
      <c r="AR47" s="32">
        <f>SUMIFS(合格品入货记录!$G:$G,合格品入货记录!$A:$A,样品!AR$3,合格品入货记录!$E:$E,样品!$E47)</f>
        <v>0</v>
      </c>
      <c r="AS47" s="32">
        <f>SUMIFS(合格品入货记录!$G:$G,合格品入货记录!$A:$A,样品!AS$3,合格品入货记录!$E:$E,样品!$E47)</f>
        <v>0</v>
      </c>
      <c r="AT47" s="32">
        <f>SUMIFS(合格品入货记录!$G:$G,合格品入货记录!$A:$A,样品!AT$3,合格品入货记录!$E:$E,样品!$E47)</f>
        <v>0</v>
      </c>
      <c r="AU47" s="32">
        <f>SUMIFS(合格品入货记录!$G:$G,合格品入货记录!$A:$A,样品!AU$3,合格品入货记录!$E:$E,样品!$E47)</f>
        <v>0</v>
      </c>
      <c r="AV47" s="32">
        <f>SUMIFS(合格品入货记录!$G:$G,合格品入货记录!$A:$A,样品!AV$3,合格品入货记录!$E:$E,样品!$E47)</f>
        <v>0</v>
      </c>
      <c r="AW47" s="32">
        <f>SUMIFS(合格品入货记录!$G:$G,合格品入货记录!$A:$A,样品!AW$3,合格品入货记录!$E:$E,样品!$E47)</f>
        <v>0</v>
      </c>
      <c r="AX47" s="32">
        <f>SUMIFS(合格品入货记录!$G:$G,合格品入货记录!$A:$A,样品!AX$3,合格品入货记录!$E:$E,样品!$E47)</f>
        <v>0</v>
      </c>
      <c r="AY47" s="32">
        <f>SUMIFS(合格品入货记录!$G:$G,合格品入货记录!$A:$A,样品!AY$3,合格品入货记录!$E:$E,样品!$E47)</f>
        <v>0</v>
      </c>
      <c r="AZ47" s="32">
        <f>SUMIFS(合格品入货记录!$G:$G,合格品入货记录!$A:$A,样品!AZ$3,合格品入货记录!$E:$E,样品!$E47)</f>
        <v>0</v>
      </c>
      <c r="BA47" s="32">
        <f>SUMIFS(合格品入货记录!$G:$G,合格品入货记录!$A:$A,样品!BA$3,合格品入货记录!$E:$E,样品!$E47)</f>
        <v>0</v>
      </c>
      <c r="BB47" s="32">
        <f>SUMIFS(合格品入货记录!$G:$G,合格品入货记录!$A:$A,样品!BB$3,合格品入货记录!$E:$E,样品!$E47)</f>
        <v>0</v>
      </c>
      <c r="BC47" s="32">
        <f>SUMIFS(合格品入货记录!$G:$G,合格品入货记录!$A:$A,样品!BC$3,合格品入货记录!$E:$E,样品!$E47)</f>
        <v>0</v>
      </c>
      <c r="BD47" s="32">
        <f>SUMIFS(合格品入货记录!$G:$G,合格品入货记录!$A:$A,样品!BD$3,合格品入货记录!$E:$E,样品!$E47)</f>
        <v>0</v>
      </c>
      <c r="BE47" s="32">
        <f>SUMIFS(合格品入货记录!$G:$G,合格品入货记录!$A:$A,样品!BE$3,合格品入货记录!$E:$E,样品!$E47)</f>
        <v>0</v>
      </c>
      <c r="BF47" s="32">
        <f>SUMIFS(合格品入货记录!$G:$G,合格品入货记录!$A:$A,样品!BF$3,合格品入货记录!$E:$E,样品!$E47)</f>
        <v>0</v>
      </c>
      <c r="BG47" s="32">
        <f>SUMIFS(合格品入货记录!$G:$G,合格品入货记录!$A:$A,样品!BG$3,合格品入货记录!$E:$E,样品!$E47)</f>
        <v>0</v>
      </c>
      <c r="BH47" s="32">
        <f>SUMIFS(合格品入货记录!$G:$G,合格品入货记录!$A:$A,样品!BH$3,合格品入货记录!$E:$E,样品!$E47)</f>
        <v>0</v>
      </c>
      <c r="BI47" s="32">
        <f>SUMIFS(合格品入货记录!$G:$G,合格品入货记录!$A:$A,样品!BI$3,合格品入货记录!$E:$E,样品!$E47)</f>
        <v>0</v>
      </c>
      <c r="BJ47" s="32">
        <f>SUMIFS(合格品入货记录!$G:$G,合格品入货记录!$A:$A,样品!BJ$3,合格品入货记录!$E:$E,样品!$E47)</f>
        <v>0</v>
      </c>
      <c r="BK47" s="32">
        <f>SUMIFS(合格品入货记录!$G:$G,合格品入货记录!$A:$A,样品!BK$3,合格品入货记录!$E:$E,样品!$E47)</f>
        <v>0</v>
      </c>
      <c r="BL47" s="32">
        <f>SUMIFS(合格品入货记录!$G:$G,合格品入货记录!$A:$A,样品!BL$3,合格品入货记录!$E:$E,样品!$E47)</f>
        <v>0</v>
      </c>
      <c r="BM47" s="32">
        <f>SUMIFS(合格品入货记录!$G:$G,合格品入货记录!$A:$A,样品!BM$3,合格品入货记录!$E:$E,样品!$E47)</f>
        <v>0</v>
      </c>
      <c r="BN47" s="32">
        <f>SUMIFS(合格品入货记录!$G:$G,合格品入货记录!$A:$A,样品!BN$3,合格品入货记录!$E:$E,样品!$E47)</f>
        <v>0</v>
      </c>
      <c r="BO47" s="32">
        <f>SUMIFS(合格品入货记录!$G:$G,合格品入货记录!$A:$A,样品!BO$3,合格品入货记录!$E:$E,样品!$E47)</f>
        <v>0</v>
      </c>
      <c r="BP47" s="32">
        <f>SUMIFS(合格品入货记录!$G:$G,合格品入货记录!$A:$A,样品!BP$3,合格品入货记录!$E:$E,样品!$E47)</f>
        <v>0</v>
      </c>
      <c r="BQ47" s="32">
        <f>SUMIFS(合格品入货记录!$G:$G,合格品入货记录!$A:$A,样品!BQ$3,合格品入货记录!$E:$E,样品!$E47)</f>
        <v>0</v>
      </c>
      <c r="BR47" s="32">
        <f>SUMIFS(合格品入货记录!$G:$G,合格品入货记录!$A:$A,样品!BR$3,合格品入货记录!$E:$E,样品!$E47)</f>
        <v>0</v>
      </c>
      <c r="BS47" s="32">
        <f>SUMIFS(合格品入货记录!$G:$G,合格品入货记录!$A:$A,样品!BS$3,合格品入货记录!$E:$E,样品!$E47)</f>
        <v>0</v>
      </c>
      <c r="BT47" s="32">
        <f>SUMIFS(合格品入货记录!$G:$G,合格品入货记录!$A:$A,样品!BT$3,合格品入货记录!$E:$E,样品!$E47)</f>
        <v>0</v>
      </c>
      <c r="BU47" s="32">
        <f>SUMIFS(合格品入货记录!$G:$G,合格品入货记录!$A:$A,样品!BU$3,合格品入货记录!$E:$E,样品!$E47)</f>
        <v>0</v>
      </c>
      <c r="BV47" s="32">
        <f>SUMIFS(合格品入货记录!$G:$G,合格品入货记录!$A:$A,样品!BV$3,合格品入货记录!$E:$E,样品!$E47)</f>
        <v>0</v>
      </c>
      <c r="BW47" s="32">
        <f>SUMIFS(合格品入货记录!$G:$G,合格品入货记录!$A:$A,样品!BW$3,合格品入货记录!$E:$E,样品!$E47)</f>
        <v>0</v>
      </c>
      <c r="BX47" s="32">
        <f>SUMIFS(合格品入货记录!$G:$G,合格品入货记录!$A:$A,样品!BX$3,合格品入货记录!$E:$E,样品!$E47)</f>
        <v>0</v>
      </c>
      <c r="BY47" s="32">
        <f>SUMIFS(合格品入货记录!$G:$G,合格品入货记录!$A:$A,样品!BY$3,合格品入货记录!$E:$E,样品!$E47)</f>
        <v>0</v>
      </c>
      <c r="BZ47" s="126"/>
      <c r="CA47" s="126"/>
      <c r="CB47" s="125"/>
      <c r="CC47" s="125"/>
      <c r="CD47" s="130"/>
    </row>
    <row r="48" s="90" customFormat="1" customHeight="1" spans="1:82">
      <c r="A48" s="31">
        <v>45</v>
      </c>
      <c r="B48" s="104" t="s">
        <v>19</v>
      </c>
      <c r="C48" s="105" t="s">
        <v>20</v>
      </c>
      <c r="D48" s="30">
        <v>801001005155</v>
      </c>
      <c r="E48" s="31" t="s">
        <v>388</v>
      </c>
      <c r="F48" s="105" t="s">
        <v>389</v>
      </c>
      <c r="G48" s="106"/>
      <c r="H48" s="104">
        <v>0</v>
      </c>
      <c r="I48" s="106">
        <f>SUMIF(合格品入货记录!E:E,样品!E48,合格品入货记录!G:G)</f>
        <v>0</v>
      </c>
      <c r="J48" s="106">
        <f>SUMIF(合格品出库记录!E:E,样品!E48,合格品出库记录!G:G)</f>
        <v>0</v>
      </c>
      <c r="K48" s="102">
        <f t="shared" si="2"/>
        <v>0</v>
      </c>
      <c r="L48" s="102">
        <f>SUMIF(不良品库存!D:D,E48:E89,不良品库存!F:F)</f>
        <v>0</v>
      </c>
      <c r="M48" s="113">
        <f t="shared" si="3"/>
        <v>0</v>
      </c>
      <c r="N48" s="104"/>
      <c r="O48" s="104"/>
      <c r="P48" s="32">
        <f>IFERROR(SUMIFS(合格品入货记录!$G:$G,合格品入货记录!$A:$A,样品!P$3,合格品入货记录!$E:$E,样品!$E48)," ")</f>
        <v>0</v>
      </c>
      <c r="Q48" s="32">
        <f>SUMIFS(合格品入货记录!$G:$G,合格品入货记录!$A:$A,样品!Q$3,合格品入货记录!$E:$E,样品!$E48)</f>
        <v>0</v>
      </c>
      <c r="R48" s="32">
        <f>SUMIFS(合格品入货记录!$G:$G,合格品入货记录!$A:$A,样品!R$3,合格品入货记录!$E:$E,样品!$E48)</f>
        <v>0</v>
      </c>
      <c r="S48" s="32">
        <f>SUMIFS(合格品入货记录!$G:$G,合格品入货记录!$A:$A,样品!S$3,合格品入货记录!$E:$E,样品!$E48)</f>
        <v>0</v>
      </c>
      <c r="T48" s="32">
        <f>SUMIFS(合格品入货记录!$G:$G,合格品入货记录!$A:$A,样品!T$3,合格品入货记录!$E:$E,样品!$E48)</f>
        <v>0</v>
      </c>
      <c r="U48" s="32">
        <f>SUMIFS(合格品入货记录!$G:$G,合格品入货记录!$A:$A,样品!U$3,合格品入货记录!$E:$E,样品!$E48)</f>
        <v>0</v>
      </c>
      <c r="V48" s="32">
        <f>SUMIFS(合格品入货记录!$G:$G,合格品入货记录!$A:$A,样品!V$3,合格品入货记录!$E:$E,样品!$E48)</f>
        <v>0</v>
      </c>
      <c r="W48" s="32">
        <f>SUMIFS(合格品入货记录!$G:$G,合格品入货记录!$A:$A,样品!W$3,合格品入货记录!$E:$E,样品!$E48)</f>
        <v>0</v>
      </c>
      <c r="X48" s="32">
        <f>SUMIFS(合格品入货记录!$G:$G,合格品入货记录!$A:$A,样品!X$3,合格品入货记录!$E:$E,样品!$E48)</f>
        <v>0</v>
      </c>
      <c r="Y48" s="32">
        <f>SUMIFS(合格品入货记录!$G:$G,合格品入货记录!$A:$A,样品!Y$3,合格品入货记录!$E:$E,样品!$E48)</f>
        <v>0</v>
      </c>
      <c r="Z48" s="32">
        <f>SUMIFS(合格品入货记录!$G:$G,合格品入货记录!$A:$A,样品!Z$3,合格品入货记录!$E:$E,样品!$E48)</f>
        <v>0</v>
      </c>
      <c r="AA48" s="32">
        <f>SUMIFS(合格品入货记录!$G:$G,合格品入货记录!$A:$A,样品!AA$3,合格品入货记录!$E:$E,样品!$E48)</f>
        <v>0</v>
      </c>
      <c r="AB48" s="32">
        <f>SUMIFS(合格品入货记录!$G:$G,合格品入货记录!$A:$A,样品!AB$3,合格品入货记录!$E:$E,样品!$E48)</f>
        <v>0</v>
      </c>
      <c r="AC48" s="32">
        <f>SUMIFS(合格品入货记录!$G:$G,合格品入货记录!$A:$A,样品!AC$3,合格品入货记录!$E:$E,样品!$E48)</f>
        <v>0</v>
      </c>
      <c r="AD48" s="32">
        <f>SUMIFS(合格品入货记录!$G:$G,合格品入货记录!$A:$A,样品!AD$3,合格品入货记录!$E:$E,样品!$E48)</f>
        <v>0</v>
      </c>
      <c r="AE48" s="32">
        <f>SUMIFS(合格品入货记录!$G:$G,合格品入货记录!$A:$A,样品!AE$3,合格品入货记录!$E:$E,样品!$E48)</f>
        <v>0</v>
      </c>
      <c r="AF48" s="32">
        <f>SUMIFS(合格品入货记录!$G:$G,合格品入货记录!$A:$A,样品!AF$3,合格品入货记录!$E:$E,样品!$E48)</f>
        <v>0</v>
      </c>
      <c r="AG48" s="32">
        <f>SUMIFS(合格品入货记录!$G:$G,合格品入货记录!$A:$A,样品!AG$3,合格品入货记录!$E:$E,样品!$E48)</f>
        <v>0</v>
      </c>
      <c r="AH48" s="32">
        <f>SUMIFS(合格品入货记录!$G:$G,合格品入货记录!$A:$A,样品!AH$3,合格品入货记录!$E:$E,样品!$E48)</f>
        <v>0</v>
      </c>
      <c r="AI48" s="32">
        <f>SUMIFS(合格品入货记录!$G:$G,合格品入货记录!$A:$A,样品!AI$3,合格品入货记录!$E:$E,样品!$E48)</f>
        <v>0</v>
      </c>
      <c r="AJ48" s="32">
        <f>SUMIFS(合格品入货记录!$G:$G,合格品入货记录!$A:$A,样品!AJ$3,合格品入货记录!$E:$E,样品!$E48)</f>
        <v>0</v>
      </c>
      <c r="AK48" s="32">
        <f>SUMIFS(合格品入货记录!$G:$G,合格品入货记录!$A:$A,样品!AK$3,合格品入货记录!$E:$E,样品!$E48)</f>
        <v>0</v>
      </c>
      <c r="AL48" s="32">
        <f>SUMIFS(合格品入货记录!$G:$G,合格品入货记录!$A:$A,样品!AL$3,合格品入货记录!$E:$E,样品!$E48)</f>
        <v>0</v>
      </c>
      <c r="AM48" s="32">
        <f>SUMIFS(合格品入货记录!$G:$G,合格品入货记录!$A:$A,样品!AM$3,合格品入货记录!$E:$E,样品!$E48)</f>
        <v>0</v>
      </c>
      <c r="AN48" s="32">
        <f>SUMIFS(合格品入货记录!$G:$G,合格品入货记录!$A:$A,样品!AN$3,合格品入货记录!$E:$E,样品!$E48)</f>
        <v>0</v>
      </c>
      <c r="AO48" s="32">
        <f>SUMIFS(合格品入货记录!$G:$G,合格品入货记录!$A:$A,样品!AO$3,合格品入货记录!$E:$E,样品!$E48)</f>
        <v>0</v>
      </c>
      <c r="AP48" s="32">
        <f>SUMIFS(合格品入货记录!$G:$G,合格品入货记录!$A:$A,样品!AP$3,合格品入货记录!$E:$E,样品!$E48)</f>
        <v>0</v>
      </c>
      <c r="AQ48" s="32">
        <f>SUMIFS(合格品入货记录!$G:$G,合格品入货记录!$A:$A,样品!AQ$3,合格品入货记录!$E:$E,样品!$E48)</f>
        <v>0</v>
      </c>
      <c r="AR48" s="32">
        <f>SUMIFS(合格品入货记录!$G:$G,合格品入货记录!$A:$A,样品!AR$3,合格品入货记录!$E:$E,样品!$E48)</f>
        <v>0</v>
      </c>
      <c r="AS48" s="32">
        <f>SUMIFS(合格品入货记录!$G:$G,合格品入货记录!$A:$A,样品!AS$3,合格品入货记录!$E:$E,样品!$E48)</f>
        <v>0</v>
      </c>
      <c r="AT48" s="32">
        <f>SUMIFS(合格品入货记录!$G:$G,合格品入货记录!$A:$A,样品!AT$3,合格品入货记录!$E:$E,样品!$E48)</f>
        <v>0</v>
      </c>
      <c r="AU48" s="32">
        <f>SUMIFS(合格品入货记录!$G:$G,合格品入货记录!$A:$A,样品!AU$3,合格品入货记录!$E:$E,样品!$E48)</f>
        <v>0</v>
      </c>
      <c r="AV48" s="32">
        <f>SUMIFS(合格品入货记录!$G:$G,合格品入货记录!$A:$A,样品!AV$3,合格品入货记录!$E:$E,样品!$E48)</f>
        <v>0</v>
      </c>
      <c r="AW48" s="32">
        <f>SUMIFS(合格品入货记录!$G:$G,合格品入货记录!$A:$A,样品!AW$3,合格品入货记录!$E:$E,样品!$E48)</f>
        <v>0</v>
      </c>
      <c r="AX48" s="32">
        <f>SUMIFS(合格品入货记录!$G:$G,合格品入货记录!$A:$A,样品!AX$3,合格品入货记录!$E:$E,样品!$E48)</f>
        <v>0</v>
      </c>
      <c r="AY48" s="32">
        <f>SUMIFS(合格品入货记录!$G:$G,合格品入货记录!$A:$A,样品!AY$3,合格品入货记录!$E:$E,样品!$E48)</f>
        <v>0</v>
      </c>
      <c r="AZ48" s="32">
        <f>SUMIFS(合格品入货记录!$G:$G,合格品入货记录!$A:$A,样品!AZ$3,合格品入货记录!$E:$E,样品!$E48)</f>
        <v>0</v>
      </c>
      <c r="BA48" s="32">
        <f>SUMIFS(合格品入货记录!$G:$G,合格品入货记录!$A:$A,样品!BA$3,合格品入货记录!$E:$E,样品!$E48)</f>
        <v>0</v>
      </c>
      <c r="BB48" s="32">
        <f>SUMIFS(合格品入货记录!$G:$G,合格品入货记录!$A:$A,样品!BB$3,合格品入货记录!$E:$E,样品!$E48)</f>
        <v>0</v>
      </c>
      <c r="BC48" s="32">
        <f>SUMIFS(合格品入货记录!$G:$G,合格品入货记录!$A:$A,样品!BC$3,合格品入货记录!$E:$E,样品!$E48)</f>
        <v>0</v>
      </c>
      <c r="BD48" s="32">
        <f>SUMIFS(合格品入货记录!$G:$G,合格品入货记录!$A:$A,样品!BD$3,合格品入货记录!$E:$E,样品!$E48)</f>
        <v>0</v>
      </c>
      <c r="BE48" s="32">
        <f>SUMIFS(合格品入货记录!$G:$G,合格品入货记录!$A:$A,样品!BE$3,合格品入货记录!$E:$E,样品!$E48)</f>
        <v>0</v>
      </c>
      <c r="BF48" s="32">
        <f>SUMIFS(合格品入货记录!$G:$G,合格品入货记录!$A:$A,样品!BF$3,合格品入货记录!$E:$E,样品!$E48)</f>
        <v>0</v>
      </c>
      <c r="BG48" s="32">
        <f>SUMIFS(合格品入货记录!$G:$G,合格品入货记录!$A:$A,样品!BG$3,合格品入货记录!$E:$E,样品!$E48)</f>
        <v>0</v>
      </c>
      <c r="BH48" s="32">
        <f>SUMIFS(合格品入货记录!$G:$G,合格品入货记录!$A:$A,样品!BH$3,合格品入货记录!$E:$E,样品!$E48)</f>
        <v>0</v>
      </c>
      <c r="BI48" s="32">
        <f>SUMIFS(合格品入货记录!$G:$G,合格品入货记录!$A:$A,样品!BI$3,合格品入货记录!$E:$E,样品!$E48)</f>
        <v>0</v>
      </c>
      <c r="BJ48" s="32">
        <f>SUMIFS(合格品入货记录!$G:$G,合格品入货记录!$A:$A,样品!BJ$3,合格品入货记录!$E:$E,样品!$E48)</f>
        <v>0</v>
      </c>
      <c r="BK48" s="32">
        <f>SUMIFS(合格品入货记录!$G:$G,合格品入货记录!$A:$A,样品!BK$3,合格品入货记录!$E:$E,样品!$E48)</f>
        <v>0</v>
      </c>
      <c r="BL48" s="32">
        <f>SUMIFS(合格品入货记录!$G:$G,合格品入货记录!$A:$A,样品!BL$3,合格品入货记录!$E:$E,样品!$E48)</f>
        <v>0</v>
      </c>
      <c r="BM48" s="32">
        <f>SUMIFS(合格品入货记录!$G:$G,合格品入货记录!$A:$A,样品!BM$3,合格品入货记录!$E:$E,样品!$E48)</f>
        <v>0</v>
      </c>
      <c r="BN48" s="32">
        <f>SUMIFS(合格品入货记录!$G:$G,合格品入货记录!$A:$A,样品!BN$3,合格品入货记录!$E:$E,样品!$E48)</f>
        <v>0</v>
      </c>
      <c r="BO48" s="32">
        <f>SUMIFS(合格品入货记录!$G:$G,合格品入货记录!$A:$A,样品!BO$3,合格品入货记录!$E:$E,样品!$E48)</f>
        <v>0</v>
      </c>
      <c r="BP48" s="32">
        <f>SUMIFS(合格品入货记录!$G:$G,合格品入货记录!$A:$A,样品!BP$3,合格品入货记录!$E:$E,样品!$E48)</f>
        <v>0</v>
      </c>
      <c r="BQ48" s="32">
        <f>SUMIFS(合格品入货记录!$G:$G,合格品入货记录!$A:$A,样品!BQ$3,合格品入货记录!$E:$E,样品!$E48)</f>
        <v>0</v>
      </c>
      <c r="BR48" s="32">
        <f>SUMIFS(合格品入货记录!$G:$G,合格品入货记录!$A:$A,样品!BR$3,合格品入货记录!$E:$E,样品!$E48)</f>
        <v>0</v>
      </c>
      <c r="BS48" s="32">
        <f>SUMIFS(合格品入货记录!$G:$G,合格品入货记录!$A:$A,样品!BS$3,合格品入货记录!$E:$E,样品!$E48)</f>
        <v>0</v>
      </c>
      <c r="BT48" s="32">
        <f>SUMIFS(合格品入货记录!$G:$G,合格品入货记录!$A:$A,样品!BT$3,合格品入货记录!$E:$E,样品!$E48)</f>
        <v>0</v>
      </c>
      <c r="BU48" s="32">
        <f>SUMIFS(合格品入货记录!$G:$G,合格品入货记录!$A:$A,样品!BU$3,合格品入货记录!$E:$E,样品!$E48)</f>
        <v>0</v>
      </c>
      <c r="BV48" s="32">
        <f>SUMIFS(合格品入货记录!$G:$G,合格品入货记录!$A:$A,样品!BV$3,合格品入货记录!$E:$E,样品!$E48)</f>
        <v>0</v>
      </c>
      <c r="BW48" s="32">
        <f>SUMIFS(合格品入货记录!$G:$G,合格品入货记录!$A:$A,样品!BW$3,合格品入货记录!$E:$E,样品!$E48)</f>
        <v>0</v>
      </c>
      <c r="BX48" s="32">
        <f>SUMIFS(合格品入货记录!$G:$G,合格品入货记录!$A:$A,样品!BX$3,合格品入货记录!$E:$E,样品!$E48)</f>
        <v>0</v>
      </c>
      <c r="BY48" s="32">
        <f>SUMIFS(合格品入货记录!$G:$G,合格品入货记录!$A:$A,样品!BY$3,合格品入货记录!$E:$E,样品!$E48)</f>
        <v>0</v>
      </c>
      <c r="BZ48" s="126"/>
      <c r="CA48" s="126"/>
      <c r="CB48" s="125"/>
      <c r="CC48" s="125"/>
      <c r="CD48" s="130"/>
    </row>
    <row r="49" s="90" customFormat="1" customHeight="1" spans="1:82">
      <c r="A49" s="31">
        <v>46</v>
      </c>
      <c r="B49" s="104" t="s">
        <v>19</v>
      </c>
      <c r="C49" s="105" t="s">
        <v>20</v>
      </c>
      <c r="D49" s="30">
        <v>801001005156</v>
      </c>
      <c r="E49" s="31" t="s">
        <v>390</v>
      </c>
      <c r="F49" s="105" t="s">
        <v>391</v>
      </c>
      <c r="G49" s="106"/>
      <c r="H49" s="104">
        <v>0</v>
      </c>
      <c r="I49" s="106">
        <f>SUMIF(合格品入货记录!E:E,样品!E49,合格品入货记录!G:G)</f>
        <v>0</v>
      </c>
      <c r="J49" s="106">
        <f>SUMIF(合格品出库记录!E:E,样品!E49,合格品出库记录!G:G)</f>
        <v>0</v>
      </c>
      <c r="K49" s="102">
        <f t="shared" si="2"/>
        <v>0</v>
      </c>
      <c r="L49" s="102">
        <f>SUMIF(不良品库存!D:D,E49:E90,不良品库存!F:F)</f>
        <v>0</v>
      </c>
      <c r="M49" s="113">
        <f t="shared" si="3"/>
        <v>0</v>
      </c>
      <c r="N49" s="104"/>
      <c r="O49" s="104"/>
      <c r="P49" s="32">
        <f>IFERROR(SUMIFS(合格品入货记录!$G:$G,合格品入货记录!$A:$A,样品!P$3,合格品入货记录!$E:$E,样品!$E49)," ")</f>
        <v>0</v>
      </c>
      <c r="Q49" s="32">
        <f>SUMIFS(合格品入货记录!$G:$G,合格品入货记录!$A:$A,样品!Q$3,合格品入货记录!$E:$E,样品!$E49)</f>
        <v>0</v>
      </c>
      <c r="R49" s="32">
        <f>SUMIFS(合格品入货记录!$G:$G,合格品入货记录!$A:$A,样品!R$3,合格品入货记录!$E:$E,样品!$E49)</f>
        <v>0</v>
      </c>
      <c r="S49" s="32">
        <f>SUMIFS(合格品入货记录!$G:$G,合格品入货记录!$A:$A,样品!S$3,合格品入货记录!$E:$E,样品!$E49)</f>
        <v>0</v>
      </c>
      <c r="T49" s="32">
        <f>SUMIFS(合格品入货记录!$G:$G,合格品入货记录!$A:$A,样品!T$3,合格品入货记录!$E:$E,样品!$E49)</f>
        <v>0</v>
      </c>
      <c r="U49" s="32">
        <f>SUMIFS(合格品入货记录!$G:$G,合格品入货记录!$A:$A,样品!U$3,合格品入货记录!$E:$E,样品!$E49)</f>
        <v>0</v>
      </c>
      <c r="V49" s="32">
        <f>SUMIFS(合格品入货记录!$G:$G,合格品入货记录!$A:$A,样品!V$3,合格品入货记录!$E:$E,样品!$E49)</f>
        <v>0</v>
      </c>
      <c r="W49" s="32">
        <f>SUMIFS(合格品入货记录!$G:$G,合格品入货记录!$A:$A,样品!W$3,合格品入货记录!$E:$E,样品!$E49)</f>
        <v>0</v>
      </c>
      <c r="X49" s="32">
        <f>SUMIFS(合格品入货记录!$G:$G,合格品入货记录!$A:$A,样品!X$3,合格品入货记录!$E:$E,样品!$E49)</f>
        <v>0</v>
      </c>
      <c r="Y49" s="32">
        <f>SUMIFS(合格品入货记录!$G:$G,合格品入货记录!$A:$A,样品!Y$3,合格品入货记录!$E:$E,样品!$E49)</f>
        <v>0</v>
      </c>
      <c r="Z49" s="32">
        <f>SUMIFS(合格品入货记录!$G:$G,合格品入货记录!$A:$A,样品!Z$3,合格品入货记录!$E:$E,样品!$E49)</f>
        <v>0</v>
      </c>
      <c r="AA49" s="32">
        <f>SUMIFS(合格品入货记录!$G:$G,合格品入货记录!$A:$A,样品!AA$3,合格品入货记录!$E:$E,样品!$E49)</f>
        <v>0</v>
      </c>
      <c r="AB49" s="32">
        <f>SUMIFS(合格品入货记录!$G:$G,合格品入货记录!$A:$A,样品!AB$3,合格品入货记录!$E:$E,样品!$E49)</f>
        <v>0</v>
      </c>
      <c r="AC49" s="32">
        <f>SUMIFS(合格品入货记录!$G:$G,合格品入货记录!$A:$A,样品!AC$3,合格品入货记录!$E:$E,样品!$E49)</f>
        <v>0</v>
      </c>
      <c r="AD49" s="32">
        <f>SUMIFS(合格品入货记录!$G:$G,合格品入货记录!$A:$A,样品!AD$3,合格品入货记录!$E:$E,样品!$E49)</f>
        <v>0</v>
      </c>
      <c r="AE49" s="32">
        <f>SUMIFS(合格品入货记录!$G:$G,合格品入货记录!$A:$A,样品!AE$3,合格品入货记录!$E:$E,样品!$E49)</f>
        <v>0</v>
      </c>
      <c r="AF49" s="32">
        <f>SUMIFS(合格品入货记录!$G:$G,合格品入货记录!$A:$A,样品!AF$3,合格品入货记录!$E:$E,样品!$E49)</f>
        <v>0</v>
      </c>
      <c r="AG49" s="32">
        <f>SUMIFS(合格品入货记录!$G:$G,合格品入货记录!$A:$A,样品!AG$3,合格品入货记录!$E:$E,样品!$E49)</f>
        <v>0</v>
      </c>
      <c r="AH49" s="32">
        <f>SUMIFS(合格品入货记录!$G:$G,合格品入货记录!$A:$A,样品!AH$3,合格品入货记录!$E:$E,样品!$E49)</f>
        <v>0</v>
      </c>
      <c r="AI49" s="32">
        <f>SUMIFS(合格品入货记录!$G:$G,合格品入货记录!$A:$A,样品!AI$3,合格品入货记录!$E:$E,样品!$E49)</f>
        <v>0</v>
      </c>
      <c r="AJ49" s="32">
        <f>SUMIFS(合格品入货记录!$G:$G,合格品入货记录!$A:$A,样品!AJ$3,合格品入货记录!$E:$E,样品!$E49)</f>
        <v>0</v>
      </c>
      <c r="AK49" s="32">
        <f>SUMIFS(合格品入货记录!$G:$G,合格品入货记录!$A:$A,样品!AK$3,合格品入货记录!$E:$E,样品!$E49)</f>
        <v>0</v>
      </c>
      <c r="AL49" s="32">
        <f>SUMIFS(合格品入货记录!$G:$G,合格品入货记录!$A:$A,样品!AL$3,合格品入货记录!$E:$E,样品!$E49)</f>
        <v>0</v>
      </c>
      <c r="AM49" s="32">
        <f>SUMIFS(合格品入货记录!$G:$G,合格品入货记录!$A:$A,样品!AM$3,合格品入货记录!$E:$E,样品!$E49)</f>
        <v>0</v>
      </c>
      <c r="AN49" s="32">
        <f>SUMIFS(合格品入货记录!$G:$G,合格品入货记录!$A:$A,样品!AN$3,合格品入货记录!$E:$E,样品!$E49)</f>
        <v>0</v>
      </c>
      <c r="AO49" s="32">
        <f>SUMIFS(合格品入货记录!$G:$G,合格品入货记录!$A:$A,样品!AO$3,合格品入货记录!$E:$E,样品!$E49)</f>
        <v>0</v>
      </c>
      <c r="AP49" s="32">
        <f>SUMIFS(合格品入货记录!$G:$G,合格品入货记录!$A:$A,样品!AP$3,合格品入货记录!$E:$E,样品!$E49)</f>
        <v>0</v>
      </c>
      <c r="AQ49" s="32">
        <f>SUMIFS(合格品入货记录!$G:$G,合格品入货记录!$A:$A,样品!AQ$3,合格品入货记录!$E:$E,样品!$E49)</f>
        <v>0</v>
      </c>
      <c r="AR49" s="32">
        <f>SUMIFS(合格品入货记录!$G:$G,合格品入货记录!$A:$A,样品!AR$3,合格品入货记录!$E:$E,样品!$E49)</f>
        <v>0</v>
      </c>
      <c r="AS49" s="32">
        <f>SUMIFS(合格品入货记录!$G:$G,合格品入货记录!$A:$A,样品!AS$3,合格品入货记录!$E:$E,样品!$E49)</f>
        <v>0</v>
      </c>
      <c r="AT49" s="32">
        <f>SUMIFS(合格品入货记录!$G:$G,合格品入货记录!$A:$A,样品!AT$3,合格品入货记录!$E:$E,样品!$E49)</f>
        <v>0</v>
      </c>
      <c r="AU49" s="32">
        <f>SUMIFS(合格品入货记录!$G:$G,合格品入货记录!$A:$A,样品!AU$3,合格品入货记录!$E:$E,样品!$E49)</f>
        <v>0</v>
      </c>
      <c r="AV49" s="32">
        <f>SUMIFS(合格品入货记录!$G:$G,合格品入货记录!$A:$A,样品!AV$3,合格品入货记录!$E:$E,样品!$E49)</f>
        <v>0</v>
      </c>
      <c r="AW49" s="32">
        <f>SUMIFS(合格品入货记录!$G:$G,合格品入货记录!$A:$A,样品!AW$3,合格品入货记录!$E:$E,样品!$E49)</f>
        <v>0</v>
      </c>
      <c r="AX49" s="32">
        <f>SUMIFS(合格品入货记录!$G:$G,合格品入货记录!$A:$A,样品!AX$3,合格品入货记录!$E:$E,样品!$E49)</f>
        <v>0</v>
      </c>
      <c r="AY49" s="32">
        <f>SUMIFS(合格品入货记录!$G:$G,合格品入货记录!$A:$A,样品!AY$3,合格品入货记录!$E:$E,样品!$E49)</f>
        <v>0</v>
      </c>
      <c r="AZ49" s="32">
        <f>SUMIFS(合格品入货记录!$G:$G,合格品入货记录!$A:$A,样品!AZ$3,合格品入货记录!$E:$E,样品!$E49)</f>
        <v>0</v>
      </c>
      <c r="BA49" s="32">
        <f>SUMIFS(合格品入货记录!$G:$G,合格品入货记录!$A:$A,样品!BA$3,合格品入货记录!$E:$E,样品!$E49)</f>
        <v>0</v>
      </c>
      <c r="BB49" s="32">
        <f>SUMIFS(合格品入货记录!$G:$G,合格品入货记录!$A:$A,样品!BB$3,合格品入货记录!$E:$E,样品!$E49)</f>
        <v>0</v>
      </c>
      <c r="BC49" s="32">
        <f>SUMIFS(合格品入货记录!$G:$G,合格品入货记录!$A:$A,样品!BC$3,合格品入货记录!$E:$E,样品!$E49)</f>
        <v>0</v>
      </c>
      <c r="BD49" s="32">
        <f>SUMIFS(合格品入货记录!$G:$G,合格品入货记录!$A:$A,样品!BD$3,合格品入货记录!$E:$E,样品!$E49)</f>
        <v>0</v>
      </c>
      <c r="BE49" s="32">
        <f>SUMIFS(合格品入货记录!$G:$G,合格品入货记录!$A:$A,样品!BE$3,合格品入货记录!$E:$E,样品!$E49)</f>
        <v>0</v>
      </c>
      <c r="BF49" s="32">
        <f>SUMIFS(合格品入货记录!$G:$G,合格品入货记录!$A:$A,样品!BF$3,合格品入货记录!$E:$E,样品!$E49)</f>
        <v>0</v>
      </c>
      <c r="BG49" s="32">
        <f>SUMIFS(合格品入货记录!$G:$G,合格品入货记录!$A:$A,样品!BG$3,合格品入货记录!$E:$E,样品!$E49)</f>
        <v>0</v>
      </c>
      <c r="BH49" s="32">
        <f>SUMIFS(合格品入货记录!$G:$G,合格品入货记录!$A:$A,样品!BH$3,合格品入货记录!$E:$E,样品!$E49)</f>
        <v>0</v>
      </c>
      <c r="BI49" s="32">
        <f>SUMIFS(合格品入货记录!$G:$G,合格品入货记录!$A:$A,样品!BI$3,合格品入货记录!$E:$E,样品!$E49)</f>
        <v>0</v>
      </c>
      <c r="BJ49" s="32">
        <f>SUMIFS(合格品入货记录!$G:$G,合格品入货记录!$A:$A,样品!BJ$3,合格品入货记录!$E:$E,样品!$E49)</f>
        <v>0</v>
      </c>
      <c r="BK49" s="32">
        <f>SUMIFS(合格品入货记录!$G:$G,合格品入货记录!$A:$A,样品!BK$3,合格品入货记录!$E:$E,样品!$E49)</f>
        <v>0</v>
      </c>
      <c r="BL49" s="32">
        <f>SUMIFS(合格品入货记录!$G:$G,合格品入货记录!$A:$A,样品!BL$3,合格品入货记录!$E:$E,样品!$E49)</f>
        <v>0</v>
      </c>
      <c r="BM49" s="32">
        <f>SUMIFS(合格品入货记录!$G:$G,合格品入货记录!$A:$A,样品!BM$3,合格品入货记录!$E:$E,样品!$E49)</f>
        <v>0</v>
      </c>
      <c r="BN49" s="32">
        <f>SUMIFS(合格品入货记录!$G:$G,合格品入货记录!$A:$A,样品!BN$3,合格品入货记录!$E:$E,样品!$E49)</f>
        <v>0</v>
      </c>
      <c r="BO49" s="32">
        <f>SUMIFS(合格品入货记录!$G:$G,合格品入货记录!$A:$A,样品!BO$3,合格品入货记录!$E:$E,样品!$E49)</f>
        <v>0</v>
      </c>
      <c r="BP49" s="32">
        <f>SUMIFS(合格品入货记录!$G:$G,合格品入货记录!$A:$A,样品!BP$3,合格品入货记录!$E:$E,样品!$E49)</f>
        <v>0</v>
      </c>
      <c r="BQ49" s="32">
        <f>SUMIFS(合格品入货记录!$G:$G,合格品入货记录!$A:$A,样品!BQ$3,合格品入货记录!$E:$E,样品!$E49)</f>
        <v>0</v>
      </c>
      <c r="BR49" s="32">
        <f>SUMIFS(合格品入货记录!$G:$G,合格品入货记录!$A:$A,样品!BR$3,合格品入货记录!$E:$E,样品!$E49)</f>
        <v>0</v>
      </c>
      <c r="BS49" s="32">
        <f>SUMIFS(合格品入货记录!$G:$G,合格品入货记录!$A:$A,样品!BS$3,合格品入货记录!$E:$E,样品!$E49)</f>
        <v>0</v>
      </c>
      <c r="BT49" s="32">
        <f>SUMIFS(合格品入货记录!$G:$G,合格品入货记录!$A:$A,样品!BT$3,合格品入货记录!$E:$E,样品!$E49)</f>
        <v>0</v>
      </c>
      <c r="BU49" s="32">
        <f>SUMIFS(合格品入货记录!$G:$G,合格品入货记录!$A:$A,样品!BU$3,合格品入货记录!$E:$E,样品!$E49)</f>
        <v>0</v>
      </c>
      <c r="BV49" s="32">
        <f>SUMIFS(合格品入货记录!$G:$G,合格品入货记录!$A:$A,样品!BV$3,合格品入货记录!$E:$E,样品!$E49)</f>
        <v>0</v>
      </c>
      <c r="BW49" s="32">
        <f>SUMIFS(合格品入货记录!$G:$G,合格品入货记录!$A:$A,样品!BW$3,合格品入货记录!$E:$E,样品!$E49)</f>
        <v>0</v>
      </c>
      <c r="BX49" s="32">
        <f>SUMIFS(合格品入货记录!$G:$G,合格品入货记录!$A:$A,样品!BX$3,合格品入货记录!$E:$E,样品!$E49)</f>
        <v>0</v>
      </c>
      <c r="BY49" s="32">
        <f>SUMIFS(合格品入货记录!$G:$G,合格品入货记录!$A:$A,样品!BY$3,合格品入货记录!$E:$E,样品!$E49)</f>
        <v>0</v>
      </c>
      <c r="BZ49" s="126"/>
      <c r="CA49" s="126"/>
      <c r="CB49" s="125"/>
      <c r="CC49" s="125"/>
      <c r="CD49" s="130"/>
    </row>
    <row r="50" s="90" customFormat="1" customHeight="1" spans="1:82">
      <c r="A50" s="31">
        <v>47</v>
      </c>
      <c r="B50" s="104" t="s">
        <v>19</v>
      </c>
      <c r="C50" s="105" t="s">
        <v>20</v>
      </c>
      <c r="D50" s="30">
        <v>801001005157</v>
      </c>
      <c r="E50" s="31" t="s">
        <v>392</v>
      </c>
      <c r="F50" s="105" t="s">
        <v>393</v>
      </c>
      <c r="G50" s="106"/>
      <c r="H50" s="104">
        <v>0</v>
      </c>
      <c r="I50" s="106">
        <f>SUMIF(合格品入货记录!E:E,样品!E50,合格品入货记录!G:G)</f>
        <v>0</v>
      </c>
      <c r="J50" s="106">
        <f>SUMIF(合格品出库记录!E:E,样品!E50,合格品出库记录!G:G)</f>
        <v>0</v>
      </c>
      <c r="K50" s="102">
        <f t="shared" si="2"/>
        <v>0</v>
      </c>
      <c r="L50" s="102">
        <f>SUMIF(不良品库存!D:D,E50:E91,不良品库存!F:F)</f>
        <v>0</v>
      </c>
      <c r="M50" s="113">
        <f t="shared" si="3"/>
        <v>0</v>
      </c>
      <c r="N50" s="104"/>
      <c r="O50" s="104"/>
      <c r="P50" s="32">
        <f>IFERROR(SUMIFS(合格品入货记录!$G:$G,合格品入货记录!$A:$A,样品!P$3,合格品入货记录!$E:$E,样品!$E50)," ")</f>
        <v>0</v>
      </c>
      <c r="Q50" s="32">
        <f>SUMIFS(合格品入货记录!$G:$G,合格品入货记录!$A:$A,样品!Q$3,合格品入货记录!$E:$E,样品!$E50)</f>
        <v>0</v>
      </c>
      <c r="R50" s="32">
        <f>SUMIFS(合格品入货记录!$G:$G,合格品入货记录!$A:$A,样品!R$3,合格品入货记录!$E:$E,样品!$E50)</f>
        <v>0</v>
      </c>
      <c r="S50" s="32">
        <f>SUMIFS(合格品入货记录!$G:$G,合格品入货记录!$A:$A,样品!S$3,合格品入货记录!$E:$E,样品!$E50)</f>
        <v>0</v>
      </c>
      <c r="T50" s="32">
        <f>SUMIFS(合格品入货记录!$G:$G,合格品入货记录!$A:$A,样品!T$3,合格品入货记录!$E:$E,样品!$E50)</f>
        <v>0</v>
      </c>
      <c r="U50" s="32">
        <f>SUMIFS(合格品入货记录!$G:$G,合格品入货记录!$A:$A,样品!U$3,合格品入货记录!$E:$E,样品!$E50)</f>
        <v>0</v>
      </c>
      <c r="V50" s="32">
        <f>SUMIFS(合格品入货记录!$G:$G,合格品入货记录!$A:$A,样品!V$3,合格品入货记录!$E:$E,样品!$E50)</f>
        <v>0</v>
      </c>
      <c r="W50" s="32">
        <f>SUMIFS(合格品入货记录!$G:$G,合格品入货记录!$A:$A,样品!W$3,合格品入货记录!$E:$E,样品!$E50)</f>
        <v>0</v>
      </c>
      <c r="X50" s="32">
        <f>SUMIFS(合格品入货记录!$G:$G,合格品入货记录!$A:$A,样品!X$3,合格品入货记录!$E:$E,样品!$E50)</f>
        <v>0</v>
      </c>
      <c r="Y50" s="32">
        <f>SUMIFS(合格品入货记录!$G:$G,合格品入货记录!$A:$A,样品!Y$3,合格品入货记录!$E:$E,样品!$E50)</f>
        <v>0</v>
      </c>
      <c r="Z50" s="32">
        <f>SUMIFS(合格品入货记录!$G:$G,合格品入货记录!$A:$A,样品!Z$3,合格品入货记录!$E:$E,样品!$E50)</f>
        <v>0</v>
      </c>
      <c r="AA50" s="32">
        <f>SUMIFS(合格品入货记录!$G:$G,合格品入货记录!$A:$A,样品!AA$3,合格品入货记录!$E:$E,样品!$E50)</f>
        <v>0</v>
      </c>
      <c r="AB50" s="32">
        <f>SUMIFS(合格品入货记录!$G:$G,合格品入货记录!$A:$A,样品!AB$3,合格品入货记录!$E:$E,样品!$E50)</f>
        <v>0</v>
      </c>
      <c r="AC50" s="32">
        <f>SUMIFS(合格品入货记录!$G:$G,合格品入货记录!$A:$A,样品!AC$3,合格品入货记录!$E:$E,样品!$E50)</f>
        <v>0</v>
      </c>
      <c r="AD50" s="32">
        <f>SUMIFS(合格品入货记录!$G:$G,合格品入货记录!$A:$A,样品!AD$3,合格品入货记录!$E:$E,样品!$E50)</f>
        <v>0</v>
      </c>
      <c r="AE50" s="32">
        <f>SUMIFS(合格品入货记录!$G:$G,合格品入货记录!$A:$A,样品!AE$3,合格品入货记录!$E:$E,样品!$E50)</f>
        <v>0</v>
      </c>
      <c r="AF50" s="32">
        <f>SUMIFS(合格品入货记录!$G:$G,合格品入货记录!$A:$A,样品!AF$3,合格品入货记录!$E:$E,样品!$E50)</f>
        <v>0</v>
      </c>
      <c r="AG50" s="32">
        <f>SUMIFS(合格品入货记录!$G:$G,合格品入货记录!$A:$A,样品!AG$3,合格品入货记录!$E:$E,样品!$E50)</f>
        <v>0</v>
      </c>
      <c r="AH50" s="32">
        <f>SUMIFS(合格品入货记录!$G:$G,合格品入货记录!$A:$A,样品!AH$3,合格品入货记录!$E:$E,样品!$E50)</f>
        <v>0</v>
      </c>
      <c r="AI50" s="32">
        <f>SUMIFS(合格品入货记录!$G:$G,合格品入货记录!$A:$A,样品!AI$3,合格品入货记录!$E:$E,样品!$E50)</f>
        <v>0</v>
      </c>
      <c r="AJ50" s="32">
        <f>SUMIFS(合格品入货记录!$G:$G,合格品入货记录!$A:$A,样品!AJ$3,合格品入货记录!$E:$E,样品!$E50)</f>
        <v>0</v>
      </c>
      <c r="AK50" s="32">
        <f>SUMIFS(合格品入货记录!$G:$G,合格品入货记录!$A:$A,样品!AK$3,合格品入货记录!$E:$E,样品!$E50)</f>
        <v>0</v>
      </c>
      <c r="AL50" s="32">
        <f>SUMIFS(合格品入货记录!$G:$G,合格品入货记录!$A:$A,样品!AL$3,合格品入货记录!$E:$E,样品!$E50)</f>
        <v>0</v>
      </c>
      <c r="AM50" s="32">
        <f>SUMIFS(合格品入货记录!$G:$G,合格品入货记录!$A:$A,样品!AM$3,合格品入货记录!$E:$E,样品!$E50)</f>
        <v>0</v>
      </c>
      <c r="AN50" s="32">
        <f>SUMIFS(合格品入货记录!$G:$G,合格品入货记录!$A:$A,样品!AN$3,合格品入货记录!$E:$E,样品!$E50)</f>
        <v>0</v>
      </c>
      <c r="AO50" s="32">
        <f>SUMIFS(合格品入货记录!$G:$G,合格品入货记录!$A:$A,样品!AO$3,合格品入货记录!$E:$E,样品!$E50)</f>
        <v>0</v>
      </c>
      <c r="AP50" s="32">
        <f>SUMIFS(合格品入货记录!$G:$G,合格品入货记录!$A:$A,样品!AP$3,合格品入货记录!$E:$E,样品!$E50)</f>
        <v>0</v>
      </c>
      <c r="AQ50" s="32">
        <f>SUMIFS(合格品入货记录!$G:$G,合格品入货记录!$A:$A,样品!AQ$3,合格品入货记录!$E:$E,样品!$E50)</f>
        <v>0</v>
      </c>
      <c r="AR50" s="32">
        <f>SUMIFS(合格品入货记录!$G:$G,合格品入货记录!$A:$A,样品!AR$3,合格品入货记录!$E:$E,样品!$E50)</f>
        <v>0</v>
      </c>
      <c r="AS50" s="32">
        <f>SUMIFS(合格品入货记录!$G:$G,合格品入货记录!$A:$A,样品!AS$3,合格品入货记录!$E:$E,样品!$E50)</f>
        <v>0</v>
      </c>
      <c r="AT50" s="32">
        <f>SUMIFS(合格品入货记录!$G:$G,合格品入货记录!$A:$A,样品!AT$3,合格品入货记录!$E:$E,样品!$E50)</f>
        <v>0</v>
      </c>
      <c r="AU50" s="32">
        <f>SUMIFS(合格品入货记录!$G:$G,合格品入货记录!$A:$A,样品!AU$3,合格品入货记录!$E:$E,样品!$E50)</f>
        <v>0</v>
      </c>
      <c r="AV50" s="32">
        <f>SUMIFS(合格品入货记录!$G:$G,合格品入货记录!$A:$A,样品!AV$3,合格品入货记录!$E:$E,样品!$E50)</f>
        <v>0</v>
      </c>
      <c r="AW50" s="32">
        <f>SUMIFS(合格品入货记录!$G:$G,合格品入货记录!$A:$A,样品!AW$3,合格品入货记录!$E:$E,样品!$E50)</f>
        <v>0</v>
      </c>
      <c r="AX50" s="32">
        <f>SUMIFS(合格品入货记录!$G:$G,合格品入货记录!$A:$A,样品!AX$3,合格品入货记录!$E:$E,样品!$E50)</f>
        <v>0</v>
      </c>
      <c r="AY50" s="32">
        <f>SUMIFS(合格品入货记录!$G:$G,合格品入货记录!$A:$A,样品!AY$3,合格品入货记录!$E:$E,样品!$E50)</f>
        <v>0</v>
      </c>
      <c r="AZ50" s="32">
        <f>SUMIFS(合格品入货记录!$G:$G,合格品入货记录!$A:$A,样品!AZ$3,合格品入货记录!$E:$E,样品!$E50)</f>
        <v>0</v>
      </c>
      <c r="BA50" s="32">
        <f>SUMIFS(合格品入货记录!$G:$G,合格品入货记录!$A:$A,样品!BA$3,合格品入货记录!$E:$E,样品!$E50)</f>
        <v>0</v>
      </c>
      <c r="BB50" s="32">
        <f>SUMIFS(合格品入货记录!$G:$G,合格品入货记录!$A:$A,样品!BB$3,合格品入货记录!$E:$E,样品!$E50)</f>
        <v>0</v>
      </c>
      <c r="BC50" s="32">
        <f>SUMIFS(合格品入货记录!$G:$G,合格品入货记录!$A:$A,样品!BC$3,合格品入货记录!$E:$E,样品!$E50)</f>
        <v>0</v>
      </c>
      <c r="BD50" s="32">
        <f>SUMIFS(合格品入货记录!$G:$G,合格品入货记录!$A:$A,样品!BD$3,合格品入货记录!$E:$E,样品!$E50)</f>
        <v>0</v>
      </c>
      <c r="BE50" s="32">
        <f>SUMIFS(合格品入货记录!$G:$G,合格品入货记录!$A:$A,样品!BE$3,合格品入货记录!$E:$E,样品!$E50)</f>
        <v>0</v>
      </c>
      <c r="BF50" s="32">
        <f>SUMIFS(合格品入货记录!$G:$G,合格品入货记录!$A:$A,样品!BF$3,合格品入货记录!$E:$E,样品!$E50)</f>
        <v>0</v>
      </c>
      <c r="BG50" s="32">
        <f>SUMIFS(合格品入货记录!$G:$G,合格品入货记录!$A:$A,样品!BG$3,合格品入货记录!$E:$E,样品!$E50)</f>
        <v>0</v>
      </c>
      <c r="BH50" s="32">
        <f>SUMIFS(合格品入货记录!$G:$G,合格品入货记录!$A:$A,样品!BH$3,合格品入货记录!$E:$E,样品!$E50)</f>
        <v>0</v>
      </c>
      <c r="BI50" s="32">
        <f>SUMIFS(合格品入货记录!$G:$G,合格品入货记录!$A:$A,样品!BI$3,合格品入货记录!$E:$E,样品!$E50)</f>
        <v>0</v>
      </c>
      <c r="BJ50" s="32">
        <f>SUMIFS(合格品入货记录!$G:$G,合格品入货记录!$A:$A,样品!BJ$3,合格品入货记录!$E:$E,样品!$E50)</f>
        <v>0</v>
      </c>
      <c r="BK50" s="32">
        <f>SUMIFS(合格品入货记录!$G:$G,合格品入货记录!$A:$A,样品!BK$3,合格品入货记录!$E:$E,样品!$E50)</f>
        <v>0</v>
      </c>
      <c r="BL50" s="32">
        <f>SUMIFS(合格品入货记录!$G:$G,合格品入货记录!$A:$A,样品!BL$3,合格品入货记录!$E:$E,样品!$E50)</f>
        <v>0</v>
      </c>
      <c r="BM50" s="32">
        <f>SUMIFS(合格品入货记录!$G:$G,合格品入货记录!$A:$A,样品!BM$3,合格品入货记录!$E:$E,样品!$E50)</f>
        <v>0</v>
      </c>
      <c r="BN50" s="32">
        <f>SUMIFS(合格品入货记录!$G:$G,合格品入货记录!$A:$A,样品!BN$3,合格品入货记录!$E:$E,样品!$E50)</f>
        <v>0</v>
      </c>
      <c r="BO50" s="32">
        <f>SUMIFS(合格品入货记录!$G:$G,合格品入货记录!$A:$A,样品!BO$3,合格品入货记录!$E:$E,样品!$E50)</f>
        <v>0</v>
      </c>
      <c r="BP50" s="32">
        <f>SUMIFS(合格品入货记录!$G:$G,合格品入货记录!$A:$A,样品!BP$3,合格品入货记录!$E:$E,样品!$E50)</f>
        <v>0</v>
      </c>
      <c r="BQ50" s="32">
        <f>SUMIFS(合格品入货记录!$G:$G,合格品入货记录!$A:$A,样品!BQ$3,合格品入货记录!$E:$E,样品!$E50)</f>
        <v>0</v>
      </c>
      <c r="BR50" s="32">
        <f>SUMIFS(合格品入货记录!$G:$G,合格品入货记录!$A:$A,样品!BR$3,合格品入货记录!$E:$E,样品!$E50)</f>
        <v>0</v>
      </c>
      <c r="BS50" s="32">
        <f>SUMIFS(合格品入货记录!$G:$G,合格品入货记录!$A:$A,样品!BS$3,合格品入货记录!$E:$E,样品!$E50)</f>
        <v>0</v>
      </c>
      <c r="BT50" s="32">
        <f>SUMIFS(合格品入货记录!$G:$G,合格品入货记录!$A:$A,样品!BT$3,合格品入货记录!$E:$E,样品!$E50)</f>
        <v>0</v>
      </c>
      <c r="BU50" s="32">
        <f>SUMIFS(合格品入货记录!$G:$G,合格品入货记录!$A:$A,样品!BU$3,合格品入货记录!$E:$E,样品!$E50)</f>
        <v>0</v>
      </c>
      <c r="BV50" s="32">
        <f>SUMIFS(合格品入货记录!$G:$G,合格品入货记录!$A:$A,样品!BV$3,合格品入货记录!$E:$E,样品!$E50)</f>
        <v>0</v>
      </c>
      <c r="BW50" s="32">
        <f>SUMIFS(合格品入货记录!$G:$G,合格品入货记录!$A:$A,样品!BW$3,合格品入货记录!$E:$E,样品!$E50)</f>
        <v>0</v>
      </c>
      <c r="BX50" s="32">
        <f>SUMIFS(合格品入货记录!$G:$G,合格品入货记录!$A:$A,样品!BX$3,合格品入货记录!$E:$E,样品!$E50)</f>
        <v>0</v>
      </c>
      <c r="BY50" s="32">
        <f>SUMIFS(合格品入货记录!$G:$G,合格品入货记录!$A:$A,样品!BY$3,合格品入货记录!$E:$E,样品!$E50)</f>
        <v>0</v>
      </c>
      <c r="BZ50" s="126"/>
      <c r="CA50" s="126"/>
      <c r="CB50" s="125"/>
      <c r="CC50" s="125"/>
      <c r="CD50" s="130"/>
    </row>
    <row r="51" s="90" customFormat="1" customHeight="1" spans="1:82">
      <c r="A51" s="31">
        <v>52</v>
      </c>
      <c r="B51" s="104" t="s">
        <v>19</v>
      </c>
      <c r="C51" s="105" t="s">
        <v>20</v>
      </c>
      <c r="D51" s="30">
        <v>801001004175</v>
      </c>
      <c r="E51" s="31" t="s">
        <v>394</v>
      </c>
      <c r="F51" s="105" t="s">
        <v>395</v>
      </c>
      <c r="G51" s="106"/>
      <c r="H51" s="104">
        <v>0</v>
      </c>
      <c r="I51" s="106">
        <f>SUMIF(合格品入货记录!E:E,样品!E51,合格品入货记录!G:G)</f>
        <v>0</v>
      </c>
      <c r="J51" s="106">
        <f>SUMIF(合格品出库记录!E:E,样品!E51,合格品出库记录!G:G)</f>
        <v>0</v>
      </c>
      <c r="K51" s="102">
        <f t="shared" si="2"/>
        <v>0</v>
      </c>
      <c r="L51" s="102">
        <f>SUMIF(不良品库存!D:D,E51:E96,不良品库存!F:F)</f>
        <v>0</v>
      </c>
      <c r="M51" s="113">
        <f t="shared" si="3"/>
        <v>0</v>
      </c>
      <c r="N51" s="104"/>
      <c r="O51" s="104"/>
      <c r="P51" s="32">
        <f>IFERROR(SUMIFS(合格品入货记录!$G:$G,合格品入货记录!$A:$A,样品!P$3,合格品入货记录!$E:$E,样品!$E51)," ")</f>
        <v>0</v>
      </c>
      <c r="Q51" s="32">
        <f>SUMIFS(合格品入货记录!$G:$G,合格品入货记录!$A:$A,样品!Q$3,合格品入货记录!$E:$E,样品!$E51)</f>
        <v>0</v>
      </c>
      <c r="R51" s="32">
        <f>SUMIFS(合格品入货记录!$G:$G,合格品入货记录!$A:$A,样品!R$3,合格品入货记录!$E:$E,样品!$E51)</f>
        <v>0</v>
      </c>
      <c r="S51" s="32">
        <f>SUMIFS(合格品入货记录!$G:$G,合格品入货记录!$A:$A,样品!S$3,合格品入货记录!$E:$E,样品!$E51)</f>
        <v>0</v>
      </c>
      <c r="T51" s="32">
        <f>SUMIFS(合格品入货记录!$G:$G,合格品入货记录!$A:$A,样品!T$3,合格品入货记录!$E:$E,样品!$E51)</f>
        <v>0</v>
      </c>
      <c r="U51" s="32">
        <f>SUMIFS(合格品入货记录!$G:$G,合格品入货记录!$A:$A,样品!U$3,合格品入货记录!$E:$E,样品!$E51)</f>
        <v>0</v>
      </c>
      <c r="V51" s="32">
        <f>SUMIFS(合格品入货记录!$G:$G,合格品入货记录!$A:$A,样品!V$3,合格品入货记录!$E:$E,样品!$E51)</f>
        <v>0</v>
      </c>
      <c r="W51" s="32">
        <f>SUMIFS(合格品入货记录!$G:$G,合格品入货记录!$A:$A,样品!W$3,合格品入货记录!$E:$E,样品!$E51)</f>
        <v>0</v>
      </c>
      <c r="X51" s="32">
        <f>SUMIFS(合格品入货记录!$G:$G,合格品入货记录!$A:$A,样品!X$3,合格品入货记录!$E:$E,样品!$E51)</f>
        <v>0</v>
      </c>
      <c r="Y51" s="32">
        <f>SUMIFS(合格品入货记录!$G:$G,合格品入货记录!$A:$A,样品!Y$3,合格品入货记录!$E:$E,样品!$E51)</f>
        <v>0</v>
      </c>
      <c r="Z51" s="32">
        <f>SUMIFS(合格品入货记录!$G:$G,合格品入货记录!$A:$A,样品!Z$3,合格品入货记录!$E:$E,样品!$E51)</f>
        <v>0</v>
      </c>
      <c r="AA51" s="32">
        <f>SUMIFS(合格品入货记录!$G:$G,合格品入货记录!$A:$A,样品!AA$3,合格品入货记录!$E:$E,样品!$E51)</f>
        <v>0</v>
      </c>
      <c r="AB51" s="32">
        <f>SUMIFS(合格品入货记录!$G:$G,合格品入货记录!$A:$A,样品!AB$3,合格品入货记录!$E:$E,样品!$E51)</f>
        <v>0</v>
      </c>
      <c r="AC51" s="32">
        <f>SUMIFS(合格品入货记录!$G:$G,合格品入货记录!$A:$A,样品!AC$3,合格品入货记录!$E:$E,样品!$E51)</f>
        <v>0</v>
      </c>
      <c r="AD51" s="32">
        <f>SUMIFS(合格品入货记录!$G:$G,合格品入货记录!$A:$A,样品!AD$3,合格品入货记录!$E:$E,样品!$E51)</f>
        <v>0</v>
      </c>
      <c r="AE51" s="32">
        <f>SUMIFS(合格品入货记录!$G:$G,合格品入货记录!$A:$A,样品!AE$3,合格品入货记录!$E:$E,样品!$E51)</f>
        <v>0</v>
      </c>
      <c r="AF51" s="32">
        <f>SUMIFS(合格品入货记录!$G:$G,合格品入货记录!$A:$A,样品!AF$3,合格品入货记录!$E:$E,样品!$E51)</f>
        <v>0</v>
      </c>
      <c r="AG51" s="32">
        <f>SUMIFS(合格品入货记录!$G:$G,合格品入货记录!$A:$A,样品!AG$3,合格品入货记录!$E:$E,样品!$E51)</f>
        <v>0</v>
      </c>
      <c r="AH51" s="32">
        <f>SUMIFS(合格品入货记录!$G:$G,合格品入货记录!$A:$A,样品!AH$3,合格品入货记录!$E:$E,样品!$E51)</f>
        <v>0</v>
      </c>
      <c r="AI51" s="32">
        <f>SUMIFS(合格品入货记录!$G:$G,合格品入货记录!$A:$A,样品!AI$3,合格品入货记录!$E:$E,样品!$E51)</f>
        <v>0</v>
      </c>
      <c r="AJ51" s="32">
        <f>SUMIFS(合格品入货记录!$G:$G,合格品入货记录!$A:$A,样品!AJ$3,合格品入货记录!$E:$E,样品!$E51)</f>
        <v>0</v>
      </c>
      <c r="AK51" s="32">
        <f>SUMIFS(合格品入货记录!$G:$G,合格品入货记录!$A:$A,样品!AK$3,合格品入货记录!$E:$E,样品!$E51)</f>
        <v>0</v>
      </c>
      <c r="AL51" s="32">
        <f>SUMIFS(合格品入货记录!$G:$G,合格品入货记录!$A:$A,样品!AL$3,合格品入货记录!$E:$E,样品!$E51)</f>
        <v>0</v>
      </c>
      <c r="AM51" s="32">
        <f>SUMIFS(合格品入货记录!$G:$G,合格品入货记录!$A:$A,样品!AM$3,合格品入货记录!$E:$E,样品!$E51)</f>
        <v>0</v>
      </c>
      <c r="AN51" s="32">
        <f>SUMIFS(合格品入货记录!$G:$G,合格品入货记录!$A:$A,样品!AN$3,合格品入货记录!$E:$E,样品!$E51)</f>
        <v>0</v>
      </c>
      <c r="AO51" s="32">
        <f>SUMIFS(合格品入货记录!$G:$G,合格品入货记录!$A:$A,样品!AO$3,合格品入货记录!$E:$E,样品!$E51)</f>
        <v>0</v>
      </c>
      <c r="AP51" s="32">
        <f>SUMIFS(合格品入货记录!$G:$G,合格品入货记录!$A:$A,样品!AP$3,合格品入货记录!$E:$E,样品!$E51)</f>
        <v>0</v>
      </c>
      <c r="AQ51" s="32">
        <f>SUMIFS(合格品入货记录!$G:$G,合格品入货记录!$A:$A,样品!AQ$3,合格品入货记录!$E:$E,样品!$E51)</f>
        <v>0</v>
      </c>
      <c r="AR51" s="32">
        <f>SUMIFS(合格品入货记录!$G:$G,合格品入货记录!$A:$A,样品!AR$3,合格品入货记录!$E:$E,样品!$E51)</f>
        <v>0</v>
      </c>
      <c r="AS51" s="32">
        <f>SUMIFS(合格品入货记录!$G:$G,合格品入货记录!$A:$A,样品!AS$3,合格品入货记录!$E:$E,样品!$E51)</f>
        <v>0</v>
      </c>
      <c r="AT51" s="32">
        <f>SUMIFS(合格品入货记录!$G:$G,合格品入货记录!$A:$A,样品!AT$3,合格品入货记录!$E:$E,样品!$E51)</f>
        <v>0</v>
      </c>
      <c r="AU51" s="32">
        <f>SUMIFS(合格品入货记录!$G:$G,合格品入货记录!$A:$A,样品!AU$3,合格品入货记录!$E:$E,样品!$E51)</f>
        <v>0</v>
      </c>
      <c r="AV51" s="32">
        <f>SUMIFS(合格品入货记录!$G:$G,合格品入货记录!$A:$A,样品!AV$3,合格品入货记录!$E:$E,样品!$E51)</f>
        <v>0</v>
      </c>
      <c r="AW51" s="32">
        <f>SUMIFS(合格品入货记录!$G:$G,合格品入货记录!$A:$A,样品!AW$3,合格品入货记录!$E:$E,样品!$E51)</f>
        <v>0</v>
      </c>
      <c r="AX51" s="32">
        <f>SUMIFS(合格品入货记录!$G:$G,合格品入货记录!$A:$A,样品!AX$3,合格品入货记录!$E:$E,样品!$E51)</f>
        <v>0</v>
      </c>
      <c r="AY51" s="32">
        <f>SUMIFS(合格品入货记录!$G:$G,合格品入货记录!$A:$A,样品!AY$3,合格品入货记录!$E:$E,样品!$E51)</f>
        <v>0</v>
      </c>
      <c r="AZ51" s="32">
        <f>SUMIFS(合格品入货记录!$G:$G,合格品入货记录!$A:$A,样品!AZ$3,合格品入货记录!$E:$E,样品!$E51)</f>
        <v>0</v>
      </c>
      <c r="BA51" s="32">
        <f>SUMIFS(合格品入货记录!$G:$G,合格品入货记录!$A:$A,样品!BA$3,合格品入货记录!$E:$E,样品!$E51)</f>
        <v>0</v>
      </c>
      <c r="BB51" s="32">
        <f>SUMIFS(合格品入货记录!$G:$G,合格品入货记录!$A:$A,样品!BB$3,合格品入货记录!$E:$E,样品!$E51)</f>
        <v>0</v>
      </c>
      <c r="BC51" s="32">
        <f>SUMIFS(合格品入货记录!$G:$G,合格品入货记录!$A:$A,样品!BC$3,合格品入货记录!$E:$E,样品!$E51)</f>
        <v>0</v>
      </c>
      <c r="BD51" s="32">
        <f>SUMIFS(合格品入货记录!$G:$G,合格品入货记录!$A:$A,样品!BD$3,合格品入货记录!$E:$E,样品!$E51)</f>
        <v>0</v>
      </c>
      <c r="BE51" s="32">
        <f>SUMIFS(合格品入货记录!$G:$G,合格品入货记录!$A:$A,样品!BE$3,合格品入货记录!$E:$E,样品!$E51)</f>
        <v>0</v>
      </c>
      <c r="BF51" s="32">
        <f>SUMIFS(合格品入货记录!$G:$G,合格品入货记录!$A:$A,样品!BF$3,合格品入货记录!$E:$E,样品!$E51)</f>
        <v>0</v>
      </c>
      <c r="BG51" s="32">
        <f>SUMIFS(合格品入货记录!$G:$G,合格品入货记录!$A:$A,样品!BG$3,合格品入货记录!$E:$E,样品!$E51)</f>
        <v>0</v>
      </c>
      <c r="BH51" s="32">
        <f>SUMIFS(合格品入货记录!$G:$G,合格品入货记录!$A:$A,样品!BH$3,合格品入货记录!$E:$E,样品!$E51)</f>
        <v>0</v>
      </c>
      <c r="BI51" s="32">
        <f>SUMIFS(合格品入货记录!$G:$G,合格品入货记录!$A:$A,样品!BI$3,合格品入货记录!$E:$E,样品!$E51)</f>
        <v>0</v>
      </c>
      <c r="BJ51" s="32">
        <f>SUMIFS(合格品入货记录!$G:$G,合格品入货记录!$A:$A,样品!BJ$3,合格品入货记录!$E:$E,样品!$E51)</f>
        <v>0</v>
      </c>
      <c r="BK51" s="32">
        <f>SUMIFS(合格品入货记录!$G:$G,合格品入货记录!$A:$A,样品!BK$3,合格品入货记录!$E:$E,样品!$E51)</f>
        <v>0</v>
      </c>
      <c r="BL51" s="32">
        <f>SUMIFS(合格品入货记录!$G:$G,合格品入货记录!$A:$A,样品!BL$3,合格品入货记录!$E:$E,样品!$E51)</f>
        <v>0</v>
      </c>
      <c r="BM51" s="32">
        <f>SUMIFS(合格品入货记录!$G:$G,合格品入货记录!$A:$A,样品!BM$3,合格品入货记录!$E:$E,样品!$E51)</f>
        <v>0</v>
      </c>
      <c r="BN51" s="32">
        <f>SUMIFS(合格品入货记录!$G:$G,合格品入货记录!$A:$A,样品!BN$3,合格品入货记录!$E:$E,样品!$E51)</f>
        <v>0</v>
      </c>
      <c r="BO51" s="32">
        <f>SUMIFS(合格品入货记录!$G:$G,合格品入货记录!$A:$A,样品!BO$3,合格品入货记录!$E:$E,样品!$E51)</f>
        <v>0</v>
      </c>
      <c r="BP51" s="32">
        <f>SUMIFS(合格品入货记录!$G:$G,合格品入货记录!$A:$A,样品!BP$3,合格品入货记录!$E:$E,样品!$E51)</f>
        <v>0</v>
      </c>
      <c r="BQ51" s="32">
        <f>SUMIFS(合格品入货记录!$G:$G,合格品入货记录!$A:$A,样品!BQ$3,合格品入货记录!$E:$E,样品!$E51)</f>
        <v>0</v>
      </c>
      <c r="BR51" s="32">
        <f>SUMIFS(合格品入货记录!$G:$G,合格品入货记录!$A:$A,样品!BR$3,合格品入货记录!$E:$E,样品!$E51)</f>
        <v>0</v>
      </c>
      <c r="BS51" s="32">
        <f>SUMIFS(合格品入货记录!$G:$G,合格品入货记录!$A:$A,样品!BS$3,合格品入货记录!$E:$E,样品!$E51)</f>
        <v>0</v>
      </c>
      <c r="BT51" s="32">
        <f>SUMIFS(合格品入货记录!$G:$G,合格品入货记录!$A:$A,样品!BT$3,合格品入货记录!$E:$E,样品!$E51)</f>
        <v>0</v>
      </c>
      <c r="BU51" s="32">
        <f>SUMIFS(合格品入货记录!$G:$G,合格品入货记录!$A:$A,样品!BU$3,合格品入货记录!$E:$E,样品!$E51)</f>
        <v>0</v>
      </c>
      <c r="BV51" s="32">
        <f>SUMIFS(合格品入货记录!$G:$G,合格品入货记录!$A:$A,样品!BV$3,合格品入货记录!$E:$E,样品!$E51)</f>
        <v>0</v>
      </c>
      <c r="BW51" s="32">
        <f>SUMIFS(合格品入货记录!$G:$G,合格品入货记录!$A:$A,样品!BW$3,合格品入货记录!$E:$E,样品!$E51)</f>
        <v>0</v>
      </c>
      <c r="BX51" s="32">
        <f>SUMIFS(合格品入货记录!$G:$G,合格品入货记录!$A:$A,样品!BX$3,合格品入货记录!$E:$E,样品!$E51)</f>
        <v>0</v>
      </c>
      <c r="BY51" s="32">
        <f>SUMIFS(合格品入货记录!$G:$G,合格品入货记录!$A:$A,样品!BY$3,合格品入货记录!$E:$E,样品!$E51)</f>
        <v>0</v>
      </c>
      <c r="BZ51" s="126"/>
      <c r="CA51" s="126"/>
      <c r="CB51" s="125"/>
      <c r="CC51" s="125"/>
      <c r="CD51" s="130"/>
    </row>
    <row r="52" s="90" customFormat="1" customHeight="1" spans="1:82">
      <c r="A52" s="31">
        <v>53</v>
      </c>
      <c r="B52" s="104" t="s">
        <v>19</v>
      </c>
      <c r="C52" s="105" t="s">
        <v>20</v>
      </c>
      <c r="D52" s="26">
        <v>801001005718</v>
      </c>
      <c r="E52" s="31" t="s">
        <v>396</v>
      </c>
      <c r="F52" s="105" t="s">
        <v>397</v>
      </c>
      <c r="G52" s="106"/>
      <c r="H52" s="104">
        <v>0</v>
      </c>
      <c r="I52" s="106">
        <f>SUMIF(合格品入货记录!E:E,样品!E52,合格品入货记录!G:G)</f>
        <v>0</v>
      </c>
      <c r="J52" s="106">
        <f>SUMIF(合格品出库记录!E:E,样品!E52,合格品出库记录!G:G)</f>
        <v>0</v>
      </c>
      <c r="K52" s="102">
        <f t="shared" si="2"/>
        <v>0</v>
      </c>
      <c r="L52" s="102">
        <f>SUMIF(不良品库存!D:D,E52:E97,不良品库存!F:F)</f>
        <v>0</v>
      </c>
      <c r="M52" s="113">
        <f t="shared" si="3"/>
        <v>0</v>
      </c>
      <c r="N52" s="104"/>
      <c r="O52" s="104"/>
      <c r="P52" s="32">
        <f>IFERROR(SUMIFS(合格品入货记录!$G:$G,合格品入货记录!$A:$A,样品!P$3,合格品入货记录!$E:$E,样品!$E52)," ")</f>
        <v>0</v>
      </c>
      <c r="Q52" s="32">
        <f>SUMIFS(合格品入货记录!$G:$G,合格品入货记录!$A:$A,样品!Q$3,合格品入货记录!$E:$E,样品!$E52)</f>
        <v>0</v>
      </c>
      <c r="R52" s="32">
        <f>SUMIFS(合格品入货记录!$G:$G,合格品入货记录!$A:$A,样品!R$3,合格品入货记录!$E:$E,样品!$E52)</f>
        <v>0</v>
      </c>
      <c r="S52" s="32">
        <f>SUMIFS(合格品入货记录!$G:$G,合格品入货记录!$A:$A,样品!S$3,合格品入货记录!$E:$E,样品!$E52)</f>
        <v>0</v>
      </c>
      <c r="T52" s="32">
        <f>SUMIFS(合格品入货记录!$G:$G,合格品入货记录!$A:$A,样品!T$3,合格品入货记录!$E:$E,样品!$E52)</f>
        <v>0</v>
      </c>
      <c r="U52" s="32">
        <f>SUMIFS(合格品入货记录!$G:$G,合格品入货记录!$A:$A,样品!U$3,合格品入货记录!$E:$E,样品!$E52)</f>
        <v>0</v>
      </c>
      <c r="V52" s="32">
        <f>SUMIFS(合格品入货记录!$G:$G,合格品入货记录!$A:$A,样品!V$3,合格品入货记录!$E:$E,样品!$E52)</f>
        <v>0</v>
      </c>
      <c r="W52" s="32">
        <f>SUMIFS(合格品入货记录!$G:$G,合格品入货记录!$A:$A,样品!W$3,合格品入货记录!$E:$E,样品!$E52)</f>
        <v>0</v>
      </c>
      <c r="X52" s="32">
        <f>SUMIFS(合格品入货记录!$G:$G,合格品入货记录!$A:$A,样品!X$3,合格品入货记录!$E:$E,样品!$E52)</f>
        <v>0</v>
      </c>
      <c r="Y52" s="32">
        <f>SUMIFS(合格品入货记录!$G:$G,合格品入货记录!$A:$A,样品!Y$3,合格品入货记录!$E:$E,样品!$E52)</f>
        <v>0</v>
      </c>
      <c r="Z52" s="32">
        <f>SUMIFS(合格品入货记录!$G:$G,合格品入货记录!$A:$A,样品!Z$3,合格品入货记录!$E:$E,样品!$E52)</f>
        <v>0</v>
      </c>
      <c r="AA52" s="32">
        <f>SUMIFS(合格品入货记录!$G:$G,合格品入货记录!$A:$A,样品!AA$3,合格品入货记录!$E:$E,样品!$E52)</f>
        <v>0</v>
      </c>
      <c r="AB52" s="32">
        <f>SUMIFS(合格品入货记录!$G:$G,合格品入货记录!$A:$A,样品!AB$3,合格品入货记录!$E:$E,样品!$E52)</f>
        <v>0</v>
      </c>
      <c r="AC52" s="32">
        <f>SUMIFS(合格品入货记录!$G:$G,合格品入货记录!$A:$A,样品!AC$3,合格品入货记录!$E:$E,样品!$E52)</f>
        <v>0</v>
      </c>
      <c r="AD52" s="32">
        <f>SUMIFS(合格品入货记录!$G:$G,合格品入货记录!$A:$A,样品!AD$3,合格品入货记录!$E:$E,样品!$E52)</f>
        <v>0</v>
      </c>
      <c r="AE52" s="32">
        <f>SUMIFS(合格品入货记录!$G:$G,合格品入货记录!$A:$A,样品!AE$3,合格品入货记录!$E:$E,样品!$E52)</f>
        <v>0</v>
      </c>
      <c r="AF52" s="32">
        <f>SUMIFS(合格品入货记录!$G:$G,合格品入货记录!$A:$A,样品!AF$3,合格品入货记录!$E:$E,样品!$E52)</f>
        <v>0</v>
      </c>
      <c r="AG52" s="32">
        <f>SUMIFS(合格品入货记录!$G:$G,合格品入货记录!$A:$A,样品!AG$3,合格品入货记录!$E:$E,样品!$E52)</f>
        <v>0</v>
      </c>
      <c r="AH52" s="32">
        <f>SUMIFS(合格品入货记录!$G:$G,合格品入货记录!$A:$A,样品!AH$3,合格品入货记录!$E:$E,样品!$E52)</f>
        <v>0</v>
      </c>
      <c r="AI52" s="32">
        <f>SUMIFS(合格品入货记录!$G:$G,合格品入货记录!$A:$A,样品!AI$3,合格品入货记录!$E:$E,样品!$E52)</f>
        <v>0</v>
      </c>
      <c r="AJ52" s="32">
        <f>SUMIFS(合格品入货记录!$G:$G,合格品入货记录!$A:$A,样品!AJ$3,合格品入货记录!$E:$E,样品!$E52)</f>
        <v>0</v>
      </c>
      <c r="AK52" s="32">
        <f>SUMIFS(合格品入货记录!$G:$G,合格品入货记录!$A:$A,样品!AK$3,合格品入货记录!$E:$E,样品!$E52)</f>
        <v>0</v>
      </c>
      <c r="AL52" s="32">
        <f>SUMIFS(合格品入货记录!$G:$G,合格品入货记录!$A:$A,样品!AL$3,合格品入货记录!$E:$E,样品!$E52)</f>
        <v>0</v>
      </c>
      <c r="AM52" s="32">
        <f>SUMIFS(合格品入货记录!$G:$G,合格品入货记录!$A:$A,样品!AM$3,合格品入货记录!$E:$E,样品!$E52)</f>
        <v>0</v>
      </c>
      <c r="AN52" s="32">
        <f>SUMIFS(合格品入货记录!$G:$G,合格品入货记录!$A:$A,样品!AN$3,合格品入货记录!$E:$E,样品!$E52)</f>
        <v>0</v>
      </c>
      <c r="AO52" s="32">
        <f>SUMIFS(合格品入货记录!$G:$G,合格品入货记录!$A:$A,样品!AO$3,合格品入货记录!$E:$E,样品!$E52)</f>
        <v>0</v>
      </c>
      <c r="AP52" s="32">
        <f>SUMIFS(合格品入货记录!$G:$G,合格品入货记录!$A:$A,样品!AP$3,合格品入货记录!$E:$E,样品!$E52)</f>
        <v>0</v>
      </c>
      <c r="AQ52" s="32">
        <f>SUMIFS(合格品入货记录!$G:$G,合格品入货记录!$A:$A,样品!AQ$3,合格品入货记录!$E:$E,样品!$E52)</f>
        <v>0</v>
      </c>
      <c r="AR52" s="32">
        <f>SUMIFS(合格品入货记录!$G:$G,合格品入货记录!$A:$A,样品!AR$3,合格品入货记录!$E:$E,样品!$E52)</f>
        <v>0</v>
      </c>
      <c r="AS52" s="32">
        <f>SUMIFS(合格品入货记录!$G:$G,合格品入货记录!$A:$A,样品!AS$3,合格品入货记录!$E:$E,样品!$E52)</f>
        <v>0</v>
      </c>
      <c r="AT52" s="32">
        <f>SUMIFS(合格品入货记录!$G:$G,合格品入货记录!$A:$A,样品!AT$3,合格品入货记录!$E:$E,样品!$E52)</f>
        <v>0</v>
      </c>
      <c r="AU52" s="32">
        <f>SUMIFS(合格品入货记录!$G:$G,合格品入货记录!$A:$A,样品!AU$3,合格品入货记录!$E:$E,样品!$E52)</f>
        <v>0</v>
      </c>
      <c r="AV52" s="32">
        <f>SUMIFS(合格品入货记录!$G:$G,合格品入货记录!$A:$A,样品!AV$3,合格品入货记录!$E:$E,样品!$E52)</f>
        <v>0</v>
      </c>
      <c r="AW52" s="32">
        <f>SUMIFS(合格品入货记录!$G:$G,合格品入货记录!$A:$A,样品!AW$3,合格品入货记录!$E:$E,样品!$E52)</f>
        <v>0</v>
      </c>
      <c r="AX52" s="32">
        <f>SUMIFS(合格品入货记录!$G:$G,合格品入货记录!$A:$A,样品!AX$3,合格品入货记录!$E:$E,样品!$E52)</f>
        <v>0</v>
      </c>
      <c r="AY52" s="32">
        <f>SUMIFS(合格品入货记录!$G:$G,合格品入货记录!$A:$A,样品!AY$3,合格品入货记录!$E:$E,样品!$E52)</f>
        <v>0</v>
      </c>
      <c r="AZ52" s="32">
        <f>SUMIFS(合格品入货记录!$G:$G,合格品入货记录!$A:$A,样品!AZ$3,合格品入货记录!$E:$E,样品!$E52)</f>
        <v>0</v>
      </c>
      <c r="BA52" s="32">
        <f>SUMIFS(合格品入货记录!$G:$G,合格品入货记录!$A:$A,样品!BA$3,合格品入货记录!$E:$E,样品!$E52)</f>
        <v>0</v>
      </c>
      <c r="BB52" s="32">
        <f>SUMIFS(合格品入货记录!$G:$G,合格品入货记录!$A:$A,样品!BB$3,合格品入货记录!$E:$E,样品!$E52)</f>
        <v>0</v>
      </c>
      <c r="BC52" s="32">
        <f>SUMIFS(合格品入货记录!$G:$G,合格品入货记录!$A:$A,样品!BC$3,合格品入货记录!$E:$E,样品!$E52)</f>
        <v>0</v>
      </c>
      <c r="BD52" s="32">
        <f>SUMIFS(合格品入货记录!$G:$G,合格品入货记录!$A:$A,样品!BD$3,合格品入货记录!$E:$E,样品!$E52)</f>
        <v>0</v>
      </c>
      <c r="BE52" s="32">
        <f>SUMIFS(合格品入货记录!$G:$G,合格品入货记录!$A:$A,样品!BE$3,合格品入货记录!$E:$E,样品!$E52)</f>
        <v>0</v>
      </c>
      <c r="BF52" s="32">
        <f>SUMIFS(合格品入货记录!$G:$G,合格品入货记录!$A:$A,样品!BF$3,合格品入货记录!$E:$E,样品!$E52)</f>
        <v>0</v>
      </c>
      <c r="BG52" s="32">
        <f>SUMIFS(合格品入货记录!$G:$G,合格品入货记录!$A:$A,样品!BG$3,合格品入货记录!$E:$E,样品!$E52)</f>
        <v>0</v>
      </c>
      <c r="BH52" s="32">
        <f>SUMIFS(合格品入货记录!$G:$G,合格品入货记录!$A:$A,样品!BH$3,合格品入货记录!$E:$E,样品!$E52)</f>
        <v>0</v>
      </c>
      <c r="BI52" s="32">
        <f>SUMIFS(合格品入货记录!$G:$G,合格品入货记录!$A:$A,样品!BI$3,合格品入货记录!$E:$E,样品!$E52)</f>
        <v>0</v>
      </c>
      <c r="BJ52" s="32">
        <f>SUMIFS(合格品入货记录!$G:$G,合格品入货记录!$A:$A,样品!BJ$3,合格品入货记录!$E:$E,样品!$E52)</f>
        <v>0</v>
      </c>
      <c r="BK52" s="32">
        <f>SUMIFS(合格品入货记录!$G:$G,合格品入货记录!$A:$A,样品!BK$3,合格品入货记录!$E:$E,样品!$E52)</f>
        <v>0</v>
      </c>
      <c r="BL52" s="32">
        <f>SUMIFS(合格品入货记录!$G:$G,合格品入货记录!$A:$A,样品!BL$3,合格品入货记录!$E:$E,样品!$E52)</f>
        <v>0</v>
      </c>
      <c r="BM52" s="32">
        <f>SUMIFS(合格品入货记录!$G:$G,合格品入货记录!$A:$A,样品!BM$3,合格品入货记录!$E:$E,样品!$E52)</f>
        <v>0</v>
      </c>
      <c r="BN52" s="32">
        <f>SUMIFS(合格品入货记录!$G:$G,合格品入货记录!$A:$A,样品!BN$3,合格品入货记录!$E:$E,样品!$E52)</f>
        <v>0</v>
      </c>
      <c r="BO52" s="32">
        <f>SUMIFS(合格品入货记录!$G:$G,合格品入货记录!$A:$A,样品!BO$3,合格品入货记录!$E:$E,样品!$E52)</f>
        <v>0</v>
      </c>
      <c r="BP52" s="32">
        <f>SUMIFS(合格品入货记录!$G:$G,合格品入货记录!$A:$A,样品!BP$3,合格品入货记录!$E:$E,样品!$E52)</f>
        <v>0</v>
      </c>
      <c r="BQ52" s="32">
        <f>SUMIFS(合格品入货记录!$G:$G,合格品入货记录!$A:$A,样品!BQ$3,合格品入货记录!$E:$E,样品!$E52)</f>
        <v>0</v>
      </c>
      <c r="BR52" s="32">
        <f>SUMIFS(合格品入货记录!$G:$G,合格品入货记录!$A:$A,样品!BR$3,合格品入货记录!$E:$E,样品!$E52)</f>
        <v>0</v>
      </c>
      <c r="BS52" s="32">
        <f>SUMIFS(合格品入货记录!$G:$G,合格品入货记录!$A:$A,样品!BS$3,合格品入货记录!$E:$E,样品!$E52)</f>
        <v>0</v>
      </c>
      <c r="BT52" s="32">
        <f>SUMIFS(合格品入货记录!$G:$G,合格品入货记录!$A:$A,样品!BT$3,合格品入货记录!$E:$E,样品!$E52)</f>
        <v>0</v>
      </c>
      <c r="BU52" s="32">
        <f>SUMIFS(合格品入货记录!$G:$G,合格品入货记录!$A:$A,样品!BU$3,合格品入货记录!$E:$E,样品!$E52)</f>
        <v>0</v>
      </c>
      <c r="BV52" s="32">
        <f>SUMIFS(合格品入货记录!$G:$G,合格品入货记录!$A:$A,样品!BV$3,合格品入货记录!$E:$E,样品!$E52)</f>
        <v>0</v>
      </c>
      <c r="BW52" s="32">
        <f>SUMIFS(合格品入货记录!$G:$G,合格品入货记录!$A:$A,样品!BW$3,合格品入货记录!$E:$E,样品!$E52)</f>
        <v>0</v>
      </c>
      <c r="BX52" s="32">
        <f>SUMIFS(合格品入货记录!$G:$G,合格品入货记录!$A:$A,样品!BX$3,合格品入货记录!$E:$E,样品!$E52)</f>
        <v>0</v>
      </c>
      <c r="BY52" s="32">
        <f>SUMIFS(合格品入货记录!$G:$G,合格品入货记录!$A:$A,样品!BY$3,合格品入货记录!$E:$E,样品!$E52)</f>
        <v>0</v>
      </c>
      <c r="BZ52" s="126"/>
      <c r="CA52" s="126"/>
      <c r="CB52" s="125"/>
      <c r="CC52" s="125"/>
      <c r="CD52" s="130"/>
    </row>
    <row r="53" s="90" customFormat="1" customHeight="1" spans="1:82">
      <c r="A53" s="31">
        <v>54</v>
      </c>
      <c r="B53" s="104" t="s">
        <v>19</v>
      </c>
      <c r="C53" s="105" t="s">
        <v>20</v>
      </c>
      <c r="D53" s="26">
        <v>801001005719</v>
      </c>
      <c r="E53" s="31" t="s">
        <v>398</v>
      </c>
      <c r="F53" s="105" t="s">
        <v>399</v>
      </c>
      <c r="G53" s="106"/>
      <c r="H53" s="104">
        <v>0</v>
      </c>
      <c r="I53" s="106">
        <f>SUMIF(合格品入货记录!E:E,样品!E53,合格品入货记录!G:G)</f>
        <v>0</v>
      </c>
      <c r="J53" s="106">
        <f>SUMIF(合格品出库记录!E:E,样品!E53,合格品出库记录!G:G)</f>
        <v>0</v>
      </c>
      <c r="K53" s="102">
        <f t="shared" si="2"/>
        <v>0</v>
      </c>
      <c r="L53" s="102">
        <f>SUMIF(不良品库存!D:D,E53:E98,不良品库存!F:F)</f>
        <v>0</v>
      </c>
      <c r="M53" s="113">
        <f t="shared" si="3"/>
        <v>0</v>
      </c>
      <c r="N53" s="104"/>
      <c r="O53" s="104"/>
      <c r="P53" s="32">
        <f>IFERROR(SUMIFS(合格品入货记录!$G:$G,合格品入货记录!$A:$A,样品!P$3,合格品入货记录!$E:$E,样品!$E53)," ")</f>
        <v>0</v>
      </c>
      <c r="Q53" s="32">
        <f>SUMIFS(合格品入货记录!$G:$G,合格品入货记录!$A:$A,样品!Q$3,合格品入货记录!$E:$E,样品!$E53)</f>
        <v>0</v>
      </c>
      <c r="R53" s="32">
        <f>SUMIFS(合格品入货记录!$G:$G,合格品入货记录!$A:$A,样品!R$3,合格品入货记录!$E:$E,样品!$E53)</f>
        <v>0</v>
      </c>
      <c r="S53" s="32">
        <f>SUMIFS(合格品入货记录!$G:$G,合格品入货记录!$A:$A,样品!S$3,合格品入货记录!$E:$E,样品!$E53)</f>
        <v>0</v>
      </c>
      <c r="T53" s="32">
        <f>SUMIFS(合格品入货记录!$G:$G,合格品入货记录!$A:$A,样品!T$3,合格品入货记录!$E:$E,样品!$E53)</f>
        <v>0</v>
      </c>
      <c r="U53" s="32">
        <f>SUMIFS(合格品入货记录!$G:$G,合格品入货记录!$A:$A,样品!U$3,合格品入货记录!$E:$E,样品!$E53)</f>
        <v>0</v>
      </c>
      <c r="V53" s="32">
        <f>SUMIFS(合格品入货记录!$G:$G,合格品入货记录!$A:$A,样品!V$3,合格品入货记录!$E:$E,样品!$E53)</f>
        <v>0</v>
      </c>
      <c r="W53" s="32">
        <f>SUMIFS(合格品入货记录!$G:$G,合格品入货记录!$A:$A,样品!W$3,合格品入货记录!$E:$E,样品!$E53)</f>
        <v>0</v>
      </c>
      <c r="X53" s="32">
        <f>SUMIFS(合格品入货记录!$G:$G,合格品入货记录!$A:$A,样品!X$3,合格品入货记录!$E:$E,样品!$E53)</f>
        <v>0</v>
      </c>
      <c r="Y53" s="32">
        <f>SUMIFS(合格品入货记录!$G:$G,合格品入货记录!$A:$A,样品!Y$3,合格品入货记录!$E:$E,样品!$E53)</f>
        <v>0</v>
      </c>
      <c r="Z53" s="32">
        <f>SUMIFS(合格品入货记录!$G:$G,合格品入货记录!$A:$A,样品!Z$3,合格品入货记录!$E:$E,样品!$E53)</f>
        <v>0</v>
      </c>
      <c r="AA53" s="32">
        <f>SUMIFS(合格品入货记录!$G:$G,合格品入货记录!$A:$A,样品!AA$3,合格品入货记录!$E:$E,样品!$E53)</f>
        <v>0</v>
      </c>
      <c r="AB53" s="32">
        <f>SUMIFS(合格品入货记录!$G:$G,合格品入货记录!$A:$A,样品!AB$3,合格品入货记录!$E:$E,样品!$E53)</f>
        <v>0</v>
      </c>
      <c r="AC53" s="32">
        <f>SUMIFS(合格品入货记录!$G:$G,合格品入货记录!$A:$A,样品!AC$3,合格品入货记录!$E:$E,样品!$E53)</f>
        <v>0</v>
      </c>
      <c r="AD53" s="32">
        <f>SUMIFS(合格品入货记录!$G:$G,合格品入货记录!$A:$A,样品!AD$3,合格品入货记录!$E:$E,样品!$E53)</f>
        <v>0</v>
      </c>
      <c r="AE53" s="32">
        <f>SUMIFS(合格品入货记录!$G:$G,合格品入货记录!$A:$A,样品!AE$3,合格品入货记录!$E:$E,样品!$E53)</f>
        <v>0</v>
      </c>
      <c r="AF53" s="32">
        <f>SUMIFS(合格品入货记录!$G:$G,合格品入货记录!$A:$A,样品!AF$3,合格品入货记录!$E:$E,样品!$E53)</f>
        <v>0</v>
      </c>
      <c r="AG53" s="32">
        <f>SUMIFS(合格品入货记录!$G:$G,合格品入货记录!$A:$A,样品!AG$3,合格品入货记录!$E:$E,样品!$E53)</f>
        <v>0</v>
      </c>
      <c r="AH53" s="32">
        <f>SUMIFS(合格品入货记录!$G:$G,合格品入货记录!$A:$A,样品!AH$3,合格品入货记录!$E:$E,样品!$E53)</f>
        <v>0</v>
      </c>
      <c r="AI53" s="32">
        <f>SUMIFS(合格品入货记录!$G:$G,合格品入货记录!$A:$A,样品!AI$3,合格品入货记录!$E:$E,样品!$E53)</f>
        <v>0</v>
      </c>
      <c r="AJ53" s="32">
        <f>SUMIFS(合格品入货记录!$G:$G,合格品入货记录!$A:$A,样品!AJ$3,合格品入货记录!$E:$E,样品!$E53)</f>
        <v>0</v>
      </c>
      <c r="AK53" s="32">
        <f>SUMIFS(合格品入货记录!$G:$G,合格品入货记录!$A:$A,样品!AK$3,合格品入货记录!$E:$E,样品!$E53)</f>
        <v>0</v>
      </c>
      <c r="AL53" s="32">
        <f>SUMIFS(合格品入货记录!$G:$G,合格品入货记录!$A:$A,样品!AL$3,合格品入货记录!$E:$E,样品!$E53)</f>
        <v>0</v>
      </c>
      <c r="AM53" s="32">
        <f>SUMIFS(合格品入货记录!$G:$G,合格品入货记录!$A:$A,样品!AM$3,合格品入货记录!$E:$E,样品!$E53)</f>
        <v>0</v>
      </c>
      <c r="AN53" s="32">
        <f>SUMIFS(合格品入货记录!$G:$G,合格品入货记录!$A:$A,样品!AN$3,合格品入货记录!$E:$E,样品!$E53)</f>
        <v>0</v>
      </c>
      <c r="AO53" s="32">
        <f>SUMIFS(合格品入货记录!$G:$G,合格品入货记录!$A:$A,样品!AO$3,合格品入货记录!$E:$E,样品!$E53)</f>
        <v>0</v>
      </c>
      <c r="AP53" s="32">
        <f>SUMIFS(合格品入货记录!$G:$G,合格品入货记录!$A:$A,样品!AP$3,合格品入货记录!$E:$E,样品!$E53)</f>
        <v>0</v>
      </c>
      <c r="AQ53" s="32">
        <f>SUMIFS(合格品入货记录!$G:$G,合格品入货记录!$A:$A,样品!AQ$3,合格品入货记录!$E:$E,样品!$E53)</f>
        <v>0</v>
      </c>
      <c r="AR53" s="32">
        <f>SUMIFS(合格品入货记录!$G:$G,合格品入货记录!$A:$A,样品!AR$3,合格品入货记录!$E:$E,样品!$E53)</f>
        <v>0</v>
      </c>
      <c r="AS53" s="32">
        <f>SUMIFS(合格品入货记录!$G:$G,合格品入货记录!$A:$A,样品!AS$3,合格品入货记录!$E:$E,样品!$E53)</f>
        <v>0</v>
      </c>
      <c r="AT53" s="32">
        <f>SUMIFS(合格品入货记录!$G:$G,合格品入货记录!$A:$A,样品!AT$3,合格品入货记录!$E:$E,样品!$E53)</f>
        <v>0</v>
      </c>
      <c r="AU53" s="32">
        <f>SUMIFS(合格品入货记录!$G:$G,合格品入货记录!$A:$A,样品!AU$3,合格品入货记录!$E:$E,样品!$E53)</f>
        <v>0</v>
      </c>
      <c r="AV53" s="32">
        <f>SUMIFS(合格品入货记录!$G:$G,合格品入货记录!$A:$A,样品!AV$3,合格品入货记录!$E:$E,样品!$E53)</f>
        <v>0</v>
      </c>
      <c r="AW53" s="32">
        <f>SUMIFS(合格品入货记录!$G:$G,合格品入货记录!$A:$A,样品!AW$3,合格品入货记录!$E:$E,样品!$E53)</f>
        <v>0</v>
      </c>
      <c r="AX53" s="32">
        <f>SUMIFS(合格品入货记录!$G:$G,合格品入货记录!$A:$A,样品!AX$3,合格品入货记录!$E:$E,样品!$E53)</f>
        <v>0</v>
      </c>
      <c r="AY53" s="32">
        <f>SUMIFS(合格品入货记录!$G:$G,合格品入货记录!$A:$A,样品!AY$3,合格品入货记录!$E:$E,样品!$E53)</f>
        <v>0</v>
      </c>
      <c r="AZ53" s="32">
        <f>SUMIFS(合格品入货记录!$G:$G,合格品入货记录!$A:$A,样品!AZ$3,合格品入货记录!$E:$E,样品!$E53)</f>
        <v>0</v>
      </c>
      <c r="BA53" s="32">
        <f>SUMIFS(合格品入货记录!$G:$G,合格品入货记录!$A:$A,样品!BA$3,合格品入货记录!$E:$E,样品!$E53)</f>
        <v>0</v>
      </c>
      <c r="BB53" s="32">
        <f>SUMIFS(合格品入货记录!$G:$G,合格品入货记录!$A:$A,样品!BB$3,合格品入货记录!$E:$E,样品!$E53)</f>
        <v>0</v>
      </c>
      <c r="BC53" s="32">
        <f>SUMIFS(合格品入货记录!$G:$G,合格品入货记录!$A:$A,样品!BC$3,合格品入货记录!$E:$E,样品!$E53)</f>
        <v>0</v>
      </c>
      <c r="BD53" s="32">
        <f>SUMIFS(合格品入货记录!$G:$G,合格品入货记录!$A:$A,样品!BD$3,合格品入货记录!$E:$E,样品!$E53)</f>
        <v>0</v>
      </c>
      <c r="BE53" s="32">
        <f>SUMIFS(合格品入货记录!$G:$G,合格品入货记录!$A:$A,样品!BE$3,合格品入货记录!$E:$E,样品!$E53)</f>
        <v>0</v>
      </c>
      <c r="BF53" s="32">
        <f>SUMIFS(合格品入货记录!$G:$G,合格品入货记录!$A:$A,样品!BF$3,合格品入货记录!$E:$E,样品!$E53)</f>
        <v>0</v>
      </c>
      <c r="BG53" s="32">
        <f>SUMIFS(合格品入货记录!$G:$G,合格品入货记录!$A:$A,样品!BG$3,合格品入货记录!$E:$E,样品!$E53)</f>
        <v>0</v>
      </c>
      <c r="BH53" s="32">
        <f>SUMIFS(合格品入货记录!$G:$G,合格品入货记录!$A:$A,样品!BH$3,合格品入货记录!$E:$E,样品!$E53)</f>
        <v>0</v>
      </c>
      <c r="BI53" s="32">
        <f>SUMIFS(合格品入货记录!$G:$G,合格品入货记录!$A:$A,样品!BI$3,合格品入货记录!$E:$E,样品!$E53)</f>
        <v>0</v>
      </c>
      <c r="BJ53" s="32">
        <f>SUMIFS(合格品入货记录!$G:$G,合格品入货记录!$A:$A,样品!BJ$3,合格品入货记录!$E:$E,样品!$E53)</f>
        <v>0</v>
      </c>
      <c r="BK53" s="32">
        <f>SUMIFS(合格品入货记录!$G:$G,合格品入货记录!$A:$A,样品!BK$3,合格品入货记录!$E:$E,样品!$E53)</f>
        <v>0</v>
      </c>
      <c r="BL53" s="32">
        <f>SUMIFS(合格品入货记录!$G:$G,合格品入货记录!$A:$A,样品!BL$3,合格品入货记录!$E:$E,样品!$E53)</f>
        <v>0</v>
      </c>
      <c r="BM53" s="32">
        <f>SUMIFS(合格品入货记录!$G:$G,合格品入货记录!$A:$A,样品!BM$3,合格品入货记录!$E:$E,样品!$E53)</f>
        <v>0</v>
      </c>
      <c r="BN53" s="32">
        <f>SUMIFS(合格品入货记录!$G:$G,合格品入货记录!$A:$A,样品!BN$3,合格品入货记录!$E:$E,样品!$E53)</f>
        <v>0</v>
      </c>
      <c r="BO53" s="32">
        <f>SUMIFS(合格品入货记录!$G:$G,合格品入货记录!$A:$A,样品!BO$3,合格品入货记录!$E:$E,样品!$E53)</f>
        <v>0</v>
      </c>
      <c r="BP53" s="32">
        <f>SUMIFS(合格品入货记录!$G:$G,合格品入货记录!$A:$A,样品!BP$3,合格品入货记录!$E:$E,样品!$E53)</f>
        <v>0</v>
      </c>
      <c r="BQ53" s="32">
        <f>SUMIFS(合格品入货记录!$G:$G,合格品入货记录!$A:$A,样品!BQ$3,合格品入货记录!$E:$E,样品!$E53)</f>
        <v>0</v>
      </c>
      <c r="BR53" s="32">
        <f>SUMIFS(合格品入货记录!$G:$G,合格品入货记录!$A:$A,样品!BR$3,合格品入货记录!$E:$E,样品!$E53)</f>
        <v>0</v>
      </c>
      <c r="BS53" s="32">
        <f>SUMIFS(合格品入货记录!$G:$G,合格品入货记录!$A:$A,样品!BS$3,合格品入货记录!$E:$E,样品!$E53)</f>
        <v>0</v>
      </c>
      <c r="BT53" s="32">
        <f>SUMIFS(合格品入货记录!$G:$G,合格品入货记录!$A:$A,样品!BT$3,合格品入货记录!$E:$E,样品!$E53)</f>
        <v>0</v>
      </c>
      <c r="BU53" s="32">
        <f>SUMIFS(合格品入货记录!$G:$G,合格品入货记录!$A:$A,样品!BU$3,合格品入货记录!$E:$E,样品!$E53)</f>
        <v>0</v>
      </c>
      <c r="BV53" s="32">
        <f>SUMIFS(合格品入货记录!$G:$G,合格品入货记录!$A:$A,样品!BV$3,合格品入货记录!$E:$E,样品!$E53)</f>
        <v>0</v>
      </c>
      <c r="BW53" s="32">
        <f>SUMIFS(合格品入货记录!$G:$G,合格品入货记录!$A:$A,样品!BW$3,合格品入货记录!$E:$E,样品!$E53)</f>
        <v>0</v>
      </c>
      <c r="BX53" s="32">
        <f>SUMIFS(合格品入货记录!$G:$G,合格品入货记录!$A:$A,样品!BX$3,合格品入货记录!$E:$E,样品!$E53)</f>
        <v>0</v>
      </c>
      <c r="BY53" s="32">
        <f>SUMIFS(合格品入货记录!$G:$G,合格品入货记录!$A:$A,样品!BY$3,合格品入货记录!$E:$E,样品!$E53)</f>
        <v>0</v>
      </c>
      <c r="BZ53" s="126"/>
      <c r="CA53" s="126"/>
      <c r="CB53" s="125"/>
      <c r="CC53" s="125"/>
      <c r="CD53" s="130"/>
    </row>
    <row r="54" s="90" customFormat="1" customHeight="1" spans="1:82">
      <c r="A54" s="31">
        <v>55</v>
      </c>
      <c r="B54" s="104" t="s">
        <v>19</v>
      </c>
      <c r="C54" s="105" t="s">
        <v>20</v>
      </c>
      <c r="D54" s="26">
        <v>801001005094</v>
      </c>
      <c r="E54" s="31" t="s">
        <v>400</v>
      </c>
      <c r="F54" s="105" t="s">
        <v>401</v>
      </c>
      <c r="G54" s="106">
        <v>20</v>
      </c>
      <c r="H54" s="104">
        <v>20</v>
      </c>
      <c r="I54" s="106">
        <f>SUMIF(合格品入货记录!E:E,样品!E54,合格品入货记录!G:G)</f>
        <v>0</v>
      </c>
      <c r="J54" s="106">
        <f>SUMIF(合格品出库记录!E:E,样品!E54,合格品出库记录!G:G)</f>
        <v>0</v>
      </c>
      <c r="K54" s="102">
        <f t="shared" si="2"/>
        <v>20</v>
      </c>
      <c r="L54" s="102">
        <f>SUMIF(不良品库存!D:D,E54:E99,不良品库存!F:F)</f>
        <v>0</v>
      </c>
      <c r="M54" s="113">
        <f t="shared" si="3"/>
        <v>20</v>
      </c>
      <c r="N54" s="104"/>
      <c r="O54" s="104"/>
      <c r="P54" s="32">
        <f>IFERROR(SUMIFS(合格品入货记录!$G:$G,合格品入货记录!$A:$A,样品!P$3,合格品入货记录!$E:$E,样品!$E54)," ")</f>
        <v>0</v>
      </c>
      <c r="Q54" s="32">
        <f>SUMIFS(合格品入货记录!$G:$G,合格品入货记录!$A:$A,样品!Q$3,合格品入货记录!$E:$E,样品!$E54)</f>
        <v>0</v>
      </c>
      <c r="R54" s="32">
        <f>SUMIFS(合格品入货记录!$G:$G,合格品入货记录!$A:$A,样品!R$3,合格品入货记录!$E:$E,样品!$E54)</f>
        <v>0</v>
      </c>
      <c r="S54" s="32">
        <f>SUMIFS(合格品入货记录!$G:$G,合格品入货记录!$A:$A,样品!S$3,合格品入货记录!$E:$E,样品!$E54)</f>
        <v>0</v>
      </c>
      <c r="T54" s="32">
        <f>SUMIFS(合格品入货记录!$G:$G,合格品入货记录!$A:$A,样品!T$3,合格品入货记录!$E:$E,样品!$E54)</f>
        <v>0</v>
      </c>
      <c r="U54" s="32">
        <f>SUMIFS(合格品入货记录!$G:$G,合格品入货记录!$A:$A,样品!U$3,合格品入货记录!$E:$E,样品!$E54)</f>
        <v>0</v>
      </c>
      <c r="V54" s="32">
        <f>SUMIFS(合格品入货记录!$G:$G,合格品入货记录!$A:$A,样品!V$3,合格品入货记录!$E:$E,样品!$E54)</f>
        <v>0</v>
      </c>
      <c r="W54" s="32">
        <f>SUMIFS(合格品入货记录!$G:$G,合格品入货记录!$A:$A,样品!W$3,合格品入货记录!$E:$E,样品!$E54)</f>
        <v>0</v>
      </c>
      <c r="X54" s="32">
        <f>SUMIFS(合格品入货记录!$G:$G,合格品入货记录!$A:$A,样品!X$3,合格品入货记录!$E:$E,样品!$E54)</f>
        <v>0</v>
      </c>
      <c r="Y54" s="32">
        <f>SUMIFS(合格品入货记录!$G:$G,合格品入货记录!$A:$A,样品!Y$3,合格品入货记录!$E:$E,样品!$E54)</f>
        <v>0</v>
      </c>
      <c r="Z54" s="32">
        <f>SUMIFS(合格品入货记录!$G:$G,合格品入货记录!$A:$A,样品!Z$3,合格品入货记录!$E:$E,样品!$E54)</f>
        <v>0</v>
      </c>
      <c r="AA54" s="32">
        <f>SUMIFS(合格品入货记录!$G:$G,合格品入货记录!$A:$A,样品!AA$3,合格品入货记录!$E:$E,样品!$E54)</f>
        <v>0</v>
      </c>
      <c r="AB54" s="32">
        <f>SUMIFS(合格品入货记录!$G:$G,合格品入货记录!$A:$A,样品!AB$3,合格品入货记录!$E:$E,样品!$E54)</f>
        <v>0</v>
      </c>
      <c r="AC54" s="32">
        <f>SUMIFS(合格品入货记录!$G:$G,合格品入货记录!$A:$A,样品!AC$3,合格品入货记录!$E:$E,样品!$E54)</f>
        <v>0</v>
      </c>
      <c r="AD54" s="32">
        <f>SUMIFS(合格品入货记录!$G:$G,合格品入货记录!$A:$A,样品!AD$3,合格品入货记录!$E:$E,样品!$E54)</f>
        <v>0</v>
      </c>
      <c r="AE54" s="32">
        <f>SUMIFS(合格品入货记录!$G:$G,合格品入货记录!$A:$A,样品!AE$3,合格品入货记录!$E:$E,样品!$E54)</f>
        <v>0</v>
      </c>
      <c r="AF54" s="32">
        <f>SUMIFS(合格品入货记录!$G:$G,合格品入货记录!$A:$A,样品!AF$3,合格品入货记录!$E:$E,样品!$E54)</f>
        <v>0</v>
      </c>
      <c r="AG54" s="32">
        <f>SUMIFS(合格品入货记录!$G:$G,合格品入货记录!$A:$A,样品!AG$3,合格品入货记录!$E:$E,样品!$E54)</f>
        <v>0</v>
      </c>
      <c r="AH54" s="32">
        <f>SUMIFS(合格品入货记录!$G:$G,合格品入货记录!$A:$A,样品!AH$3,合格品入货记录!$E:$E,样品!$E54)</f>
        <v>0</v>
      </c>
      <c r="AI54" s="32">
        <f>SUMIFS(合格品入货记录!$G:$G,合格品入货记录!$A:$A,样品!AI$3,合格品入货记录!$E:$E,样品!$E54)</f>
        <v>0</v>
      </c>
      <c r="AJ54" s="32">
        <f>SUMIFS(合格品入货记录!$G:$G,合格品入货记录!$A:$A,样品!AJ$3,合格品入货记录!$E:$E,样品!$E54)</f>
        <v>0</v>
      </c>
      <c r="AK54" s="32">
        <f>SUMIFS(合格品入货记录!$G:$G,合格品入货记录!$A:$A,样品!AK$3,合格品入货记录!$E:$E,样品!$E54)</f>
        <v>0</v>
      </c>
      <c r="AL54" s="32">
        <f>SUMIFS(合格品入货记录!$G:$G,合格品入货记录!$A:$A,样品!AL$3,合格品入货记录!$E:$E,样品!$E54)</f>
        <v>0</v>
      </c>
      <c r="AM54" s="32">
        <f>SUMIFS(合格品入货记录!$G:$G,合格品入货记录!$A:$A,样品!AM$3,合格品入货记录!$E:$E,样品!$E54)</f>
        <v>0</v>
      </c>
      <c r="AN54" s="32">
        <f>SUMIFS(合格品入货记录!$G:$G,合格品入货记录!$A:$A,样品!AN$3,合格品入货记录!$E:$E,样品!$E54)</f>
        <v>0</v>
      </c>
      <c r="AO54" s="32">
        <f>SUMIFS(合格品入货记录!$G:$G,合格品入货记录!$A:$A,样品!AO$3,合格品入货记录!$E:$E,样品!$E54)</f>
        <v>0</v>
      </c>
      <c r="AP54" s="32">
        <f>SUMIFS(合格品入货记录!$G:$G,合格品入货记录!$A:$A,样品!AP$3,合格品入货记录!$E:$E,样品!$E54)</f>
        <v>0</v>
      </c>
      <c r="AQ54" s="32">
        <f>SUMIFS(合格品入货记录!$G:$G,合格品入货记录!$A:$A,样品!AQ$3,合格品入货记录!$E:$E,样品!$E54)</f>
        <v>0</v>
      </c>
      <c r="AR54" s="32">
        <f>SUMIFS(合格品入货记录!$G:$G,合格品入货记录!$A:$A,样品!AR$3,合格品入货记录!$E:$E,样品!$E54)</f>
        <v>0</v>
      </c>
      <c r="AS54" s="32">
        <f>SUMIFS(合格品入货记录!$G:$G,合格品入货记录!$A:$A,样品!AS$3,合格品入货记录!$E:$E,样品!$E54)</f>
        <v>0</v>
      </c>
      <c r="AT54" s="32">
        <f>SUMIFS(合格品入货记录!$G:$G,合格品入货记录!$A:$A,样品!AT$3,合格品入货记录!$E:$E,样品!$E54)</f>
        <v>0</v>
      </c>
      <c r="AU54" s="32">
        <f>SUMIFS(合格品入货记录!$G:$G,合格品入货记录!$A:$A,样品!AU$3,合格品入货记录!$E:$E,样品!$E54)</f>
        <v>0</v>
      </c>
      <c r="AV54" s="32">
        <f>SUMIFS(合格品入货记录!$G:$G,合格品入货记录!$A:$A,样品!AV$3,合格品入货记录!$E:$E,样品!$E54)</f>
        <v>0</v>
      </c>
      <c r="AW54" s="32">
        <f>SUMIFS(合格品入货记录!$G:$G,合格品入货记录!$A:$A,样品!AW$3,合格品入货记录!$E:$E,样品!$E54)</f>
        <v>0</v>
      </c>
      <c r="AX54" s="32">
        <f>SUMIFS(合格品入货记录!$G:$G,合格品入货记录!$A:$A,样品!AX$3,合格品入货记录!$E:$E,样品!$E54)</f>
        <v>0</v>
      </c>
      <c r="AY54" s="32">
        <f>SUMIFS(合格品入货记录!$G:$G,合格品入货记录!$A:$A,样品!AY$3,合格品入货记录!$E:$E,样品!$E54)</f>
        <v>0</v>
      </c>
      <c r="AZ54" s="32">
        <f>SUMIFS(合格品入货记录!$G:$G,合格品入货记录!$A:$A,样品!AZ$3,合格品入货记录!$E:$E,样品!$E54)</f>
        <v>0</v>
      </c>
      <c r="BA54" s="32">
        <f>SUMIFS(合格品入货记录!$G:$G,合格品入货记录!$A:$A,样品!BA$3,合格品入货记录!$E:$E,样品!$E54)</f>
        <v>0</v>
      </c>
      <c r="BB54" s="32">
        <f>SUMIFS(合格品入货记录!$G:$G,合格品入货记录!$A:$A,样品!BB$3,合格品入货记录!$E:$E,样品!$E54)</f>
        <v>0</v>
      </c>
      <c r="BC54" s="32">
        <f>SUMIFS(合格品入货记录!$G:$G,合格品入货记录!$A:$A,样品!BC$3,合格品入货记录!$E:$E,样品!$E54)</f>
        <v>0</v>
      </c>
      <c r="BD54" s="32">
        <f>SUMIFS(合格品入货记录!$G:$G,合格品入货记录!$A:$A,样品!BD$3,合格品入货记录!$E:$E,样品!$E54)</f>
        <v>0</v>
      </c>
      <c r="BE54" s="32">
        <f>SUMIFS(合格品入货记录!$G:$G,合格品入货记录!$A:$A,样品!BE$3,合格品入货记录!$E:$E,样品!$E54)</f>
        <v>0</v>
      </c>
      <c r="BF54" s="32">
        <f>SUMIFS(合格品入货记录!$G:$G,合格品入货记录!$A:$A,样品!BF$3,合格品入货记录!$E:$E,样品!$E54)</f>
        <v>0</v>
      </c>
      <c r="BG54" s="32">
        <f>SUMIFS(合格品入货记录!$G:$G,合格品入货记录!$A:$A,样品!BG$3,合格品入货记录!$E:$E,样品!$E54)</f>
        <v>0</v>
      </c>
      <c r="BH54" s="32">
        <f>SUMIFS(合格品入货记录!$G:$G,合格品入货记录!$A:$A,样品!BH$3,合格品入货记录!$E:$E,样品!$E54)</f>
        <v>0</v>
      </c>
      <c r="BI54" s="32">
        <f>SUMIFS(合格品入货记录!$G:$G,合格品入货记录!$A:$A,样品!BI$3,合格品入货记录!$E:$E,样品!$E54)</f>
        <v>0</v>
      </c>
      <c r="BJ54" s="32">
        <f>SUMIFS(合格品入货记录!$G:$G,合格品入货记录!$A:$A,样品!BJ$3,合格品入货记录!$E:$E,样品!$E54)</f>
        <v>0</v>
      </c>
      <c r="BK54" s="32">
        <f>SUMIFS(合格品入货记录!$G:$G,合格品入货记录!$A:$A,样品!BK$3,合格品入货记录!$E:$E,样品!$E54)</f>
        <v>0</v>
      </c>
      <c r="BL54" s="32">
        <f>SUMIFS(合格品入货记录!$G:$G,合格品入货记录!$A:$A,样品!BL$3,合格品入货记录!$E:$E,样品!$E54)</f>
        <v>0</v>
      </c>
      <c r="BM54" s="32">
        <f>SUMIFS(合格品入货记录!$G:$G,合格品入货记录!$A:$A,样品!BM$3,合格品入货记录!$E:$E,样品!$E54)</f>
        <v>0</v>
      </c>
      <c r="BN54" s="32">
        <f>SUMIFS(合格品入货记录!$G:$G,合格品入货记录!$A:$A,样品!BN$3,合格品入货记录!$E:$E,样品!$E54)</f>
        <v>0</v>
      </c>
      <c r="BO54" s="32">
        <f>SUMIFS(合格品入货记录!$G:$G,合格品入货记录!$A:$A,样品!BO$3,合格品入货记录!$E:$E,样品!$E54)</f>
        <v>0</v>
      </c>
      <c r="BP54" s="32">
        <f>SUMIFS(合格品入货记录!$G:$G,合格品入货记录!$A:$A,样品!BP$3,合格品入货记录!$E:$E,样品!$E54)</f>
        <v>0</v>
      </c>
      <c r="BQ54" s="32">
        <f>SUMIFS(合格品入货记录!$G:$G,合格品入货记录!$A:$A,样品!BQ$3,合格品入货记录!$E:$E,样品!$E54)</f>
        <v>0</v>
      </c>
      <c r="BR54" s="32">
        <f>SUMIFS(合格品入货记录!$G:$G,合格品入货记录!$A:$A,样品!BR$3,合格品入货记录!$E:$E,样品!$E54)</f>
        <v>0</v>
      </c>
      <c r="BS54" s="32">
        <f>SUMIFS(合格品入货记录!$G:$G,合格品入货记录!$A:$A,样品!BS$3,合格品入货记录!$E:$E,样品!$E54)</f>
        <v>0</v>
      </c>
      <c r="BT54" s="32">
        <f>SUMIFS(合格品入货记录!$G:$G,合格品入货记录!$A:$A,样品!BT$3,合格品入货记录!$E:$E,样品!$E54)</f>
        <v>0</v>
      </c>
      <c r="BU54" s="32">
        <f>SUMIFS(合格品入货记录!$G:$G,合格品入货记录!$A:$A,样品!BU$3,合格品入货记录!$E:$E,样品!$E54)</f>
        <v>0</v>
      </c>
      <c r="BV54" s="32">
        <f>SUMIFS(合格品入货记录!$G:$G,合格品入货记录!$A:$A,样品!BV$3,合格品入货记录!$E:$E,样品!$E54)</f>
        <v>0</v>
      </c>
      <c r="BW54" s="32">
        <f>SUMIFS(合格品入货记录!$G:$G,合格品入货记录!$A:$A,样品!BW$3,合格品入货记录!$E:$E,样品!$E54)</f>
        <v>0</v>
      </c>
      <c r="BX54" s="32">
        <f>SUMIFS(合格品入货记录!$G:$G,合格品入货记录!$A:$A,样品!BX$3,合格品入货记录!$E:$E,样品!$E54)</f>
        <v>0</v>
      </c>
      <c r="BY54" s="32">
        <f>SUMIFS(合格品入货记录!$G:$G,合格品入货记录!$A:$A,样品!BY$3,合格品入货记录!$E:$E,样品!$E54)</f>
        <v>0</v>
      </c>
      <c r="BZ54" s="126"/>
      <c r="CA54" s="126"/>
      <c r="CB54" s="125"/>
      <c r="CC54" s="125"/>
      <c r="CD54" s="130"/>
    </row>
    <row r="55" s="90" customFormat="1" customHeight="1" spans="1:82">
      <c r="A55" s="31">
        <v>56</v>
      </c>
      <c r="B55" s="104" t="s">
        <v>19</v>
      </c>
      <c r="C55" s="105" t="s">
        <v>20</v>
      </c>
      <c r="D55" s="26">
        <v>801001005095</v>
      </c>
      <c r="E55" s="31" t="s">
        <v>402</v>
      </c>
      <c r="F55" s="105" t="s">
        <v>403</v>
      </c>
      <c r="G55" s="106">
        <v>20</v>
      </c>
      <c r="H55" s="104">
        <v>20</v>
      </c>
      <c r="I55" s="106">
        <f>SUMIF(合格品入货记录!E:E,样品!E55,合格品入货记录!G:G)</f>
        <v>0</v>
      </c>
      <c r="J55" s="106">
        <f>SUMIF(合格品出库记录!E:E,样品!E55,合格品出库记录!G:G)</f>
        <v>0</v>
      </c>
      <c r="K55" s="102">
        <f t="shared" si="2"/>
        <v>20</v>
      </c>
      <c r="L55" s="102">
        <f>SUMIF(不良品库存!D:D,E55:E100,不良品库存!F:F)</f>
        <v>0</v>
      </c>
      <c r="M55" s="113">
        <f t="shared" si="3"/>
        <v>20</v>
      </c>
      <c r="N55" s="104"/>
      <c r="O55" s="104"/>
      <c r="P55" s="32">
        <f>IFERROR(SUMIFS(合格品入货记录!$G:$G,合格品入货记录!$A:$A,样品!P$3,合格品入货记录!$E:$E,样品!$E55)," ")</f>
        <v>0</v>
      </c>
      <c r="Q55" s="32">
        <f>SUMIFS(合格品入货记录!$G:$G,合格品入货记录!$A:$A,样品!Q$3,合格品入货记录!$E:$E,样品!$E55)</f>
        <v>0</v>
      </c>
      <c r="R55" s="32">
        <f>SUMIFS(合格品入货记录!$G:$G,合格品入货记录!$A:$A,样品!R$3,合格品入货记录!$E:$E,样品!$E55)</f>
        <v>0</v>
      </c>
      <c r="S55" s="32">
        <f>SUMIFS(合格品入货记录!$G:$G,合格品入货记录!$A:$A,样品!S$3,合格品入货记录!$E:$E,样品!$E55)</f>
        <v>0</v>
      </c>
      <c r="T55" s="32">
        <f>SUMIFS(合格品入货记录!$G:$G,合格品入货记录!$A:$A,样品!T$3,合格品入货记录!$E:$E,样品!$E55)</f>
        <v>0</v>
      </c>
      <c r="U55" s="32">
        <f>SUMIFS(合格品入货记录!$G:$G,合格品入货记录!$A:$A,样品!U$3,合格品入货记录!$E:$E,样品!$E55)</f>
        <v>0</v>
      </c>
      <c r="V55" s="32">
        <f>SUMIFS(合格品入货记录!$G:$G,合格品入货记录!$A:$A,样品!V$3,合格品入货记录!$E:$E,样品!$E55)</f>
        <v>0</v>
      </c>
      <c r="W55" s="32">
        <f>SUMIFS(合格品入货记录!$G:$G,合格品入货记录!$A:$A,样品!W$3,合格品入货记录!$E:$E,样品!$E55)</f>
        <v>0</v>
      </c>
      <c r="X55" s="32">
        <f>SUMIFS(合格品入货记录!$G:$G,合格品入货记录!$A:$A,样品!X$3,合格品入货记录!$E:$E,样品!$E55)</f>
        <v>0</v>
      </c>
      <c r="Y55" s="32">
        <f>SUMIFS(合格品入货记录!$G:$G,合格品入货记录!$A:$A,样品!Y$3,合格品入货记录!$E:$E,样品!$E55)</f>
        <v>0</v>
      </c>
      <c r="Z55" s="32">
        <f>SUMIFS(合格品入货记录!$G:$G,合格品入货记录!$A:$A,样品!Z$3,合格品入货记录!$E:$E,样品!$E55)</f>
        <v>0</v>
      </c>
      <c r="AA55" s="32">
        <f>SUMIFS(合格品入货记录!$G:$G,合格品入货记录!$A:$A,样品!AA$3,合格品入货记录!$E:$E,样品!$E55)</f>
        <v>0</v>
      </c>
      <c r="AB55" s="32">
        <f>SUMIFS(合格品入货记录!$G:$G,合格品入货记录!$A:$A,样品!AB$3,合格品入货记录!$E:$E,样品!$E55)</f>
        <v>0</v>
      </c>
      <c r="AC55" s="32">
        <f>SUMIFS(合格品入货记录!$G:$G,合格品入货记录!$A:$A,样品!AC$3,合格品入货记录!$E:$E,样品!$E55)</f>
        <v>0</v>
      </c>
      <c r="AD55" s="32">
        <f>SUMIFS(合格品入货记录!$G:$G,合格品入货记录!$A:$A,样品!AD$3,合格品入货记录!$E:$E,样品!$E55)</f>
        <v>0</v>
      </c>
      <c r="AE55" s="32">
        <f>SUMIFS(合格品入货记录!$G:$G,合格品入货记录!$A:$A,样品!AE$3,合格品入货记录!$E:$E,样品!$E55)</f>
        <v>0</v>
      </c>
      <c r="AF55" s="32">
        <f>SUMIFS(合格品入货记录!$G:$G,合格品入货记录!$A:$A,样品!AF$3,合格品入货记录!$E:$E,样品!$E55)</f>
        <v>0</v>
      </c>
      <c r="AG55" s="32">
        <f>SUMIFS(合格品入货记录!$G:$G,合格品入货记录!$A:$A,样品!AG$3,合格品入货记录!$E:$E,样品!$E55)</f>
        <v>0</v>
      </c>
      <c r="AH55" s="32">
        <f>SUMIFS(合格品入货记录!$G:$G,合格品入货记录!$A:$A,样品!AH$3,合格品入货记录!$E:$E,样品!$E55)</f>
        <v>0</v>
      </c>
      <c r="AI55" s="32">
        <f>SUMIFS(合格品入货记录!$G:$G,合格品入货记录!$A:$A,样品!AI$3,合格品入货记录!$E:$E,样品!$E55)</f>
        <v>0</v>
      </c>
      <c r="AJ55" s="32">
        <f>SUMIFS(合格品入货记录!$G:$G,合格品入货记录!$A:$A,样品!AJ$3,合格品入货记录!$E:$E,样品!$E55)</f>
        <v>0</v>
      </c>
      <c r="AK55" s="32">
        <f>SUMIFS(合格品入货记录!$G:$G,合格品入货记录!$A:$A,样品!AK$3,合格品入货记录!$E:$E,样品!$E55)</f>
        <v>0</v>
      </c>
      <c r="AL55" s="32">
        <f>SUMIFS(合格品入货记录!$G:$G,合格品入货记录!$A:$A,样品!AL$3,合格品入货记录!$E:$E,样品!$E55)</f>
        <v>0</v>
      </c>
      <c r="AM55" s="32">
        <f>SUMIFS(合格品入货记录!$G:$G,合格品入货记录!$A:$A,样品!AM$3,合格品入货记录!$E:$E,样品!$E55)</f>
        <v>0</v>
      </c>
      <c r="AN55" s="32">
        <f>SUMIFS(合格品入货记录!$G:$G,合格品入货记录!$A:$A,样品!AN$3,合格品入货记录!$E:$E,样品!$E55)</f>
        <v>0</v>
      </c>
      <c r="AO55" s="32">
        <f>SUMIFS(合格品入货记录!$G:$G,合格品入货记录!$A:$A,样品!AO$3,合格品入货记录!$E:$E,样品!$E55)</f>
        <v>0</v>
      </c>
      <c r="AP55" s="32">
        <f>SUMIFS(合格品入货记录!$G:$G,合格品入货记录!$A:$A,样品!AP$3,合格品入货记录!$E:$E,样品!$E55)</f>
        <v>0</v>
      </c>
      <c r="AQ55" s="32">
        <f>SUMIFS(合格品入货记录!$G:$G,合格品入货记录!$A:$A,样品!AQ$3,合格品入货记录!$E:$E,样品!$E55)</f>
        <v>0</v>
      </c>
      <c r="AR55" s="32">
        <f>SUMIFS(合格品入货记录!$G:$G,合格品入货记录!$A:$A,样品!AR$3,合格品入货记录!$E:$E,样品!$E55)</f>
        <v>0</v>
      </c>
      <c r="AS55" s="32">
        <f>SUMIFS(合格品入货记录!$G:$G,合格品入货记录!$A:$A,样品!AS$3,合格品入货记录!$E:$E,样品!$E55)</f>
        <v>0</v>
      </c>
      <c r="AT55" s="32">
        <f>SUMIFS(合格品入货记录!$G:$G,合格品入货记录!$A:$A,样品!AT$3,合格品入货记录!$E:$E,样品!$E55)</f>
        <v>0</v>
      </c>
      <c r="AU55" s="32">
        <f>SUMIFS(合格品入货记录!$G:$G,合格品入货记录!$A:$A,样品!AU$3,合格品入货记录!$E:$E,样品!$E55)</f>
        <v>0</v>
      </c>
      <c r="AV55" s="32">
        <f>SUMIFS(合格品入货记录!$G:$G,合格品入货记录!$A:$A,样品!AV$3,合格品入货记录!$E:$E,样品!$E55)</f>
        <v>0</v>
      </c>
      <c r="AW55" s="32">
        <f>SUMIFS(合格品入货记录!$G:$G,合格品入货记录!$A:$A,样品!AW$3,合格品入货记录!$E:$E,样品!$E55)</f>
        <v>0</v>
      </c>
      <c r="AX55" s="32">
        <f>SUMIFS(合格品入货记录!$G:$G,合格品入货记录!$A:$A,样品!AX$3,合格品入货记录!$E:$E,样品!$E55)</f>
        <v>0</v>
      </c>
      <c r="AY55" s="32">
        <f>SUMIFS(合格品入货记录!$G:$G,合格品入货记录!$A:$A,样品!AY$3,合格品入货记录!$E:$E,样品!$E55)</f>
        <v>0</v>
      </c>
      <c r="AZ55" s="32">
        <f>SUMIFS(合格品入货记录!$G:$G,合格品入货记录!$A:$A,样品!AZ$3,合格品入货记录!$E:$E,样品!$E55)</f>
        <v>0</v>
      </c>
      <c r="BA55" s="32">
        <f>SUMIFS(合格品入货记录!$G:$G,合格品入货记录!$A:$A,样品!BA$3,合格品入货记录!$E:$E,样品!$E55)</f>
        <v>0</v>
      </c>
      <c r="BB55" s="32">
        <f>SUMIFS(合格品入货记录!$G:$G,合格品入货记录!$A:$A,样品!BB$3,合格品入货记录!$E:$E,样品!$E55)</f>
        <v>0</v>
      </c>
      <c r="BC55" s="32">
        <f>SUMIFS(合格品入货记录!$G:$G,合格品入货记录!$A:$A,样品!BC$3,合格品入货记录!$E:$E,样品!$E55)</f>
        <v>0</v>
      </c>
      <c r="BD55" s="32">
        <f>SUMIFS(合格品入货记录!$G:$G,合格品入货记录!$A:$A,样品!BD$3,合格品入货记录!$E:$E,样品!$E55)</f>
        <v>0</v>
      </c>
      <c r="BE55" s="32">
        <f>SUMIFS(合格品入货记录!$G:$G,合格品入货记录!$A:$A,样品!BE$3,合格品入货记录!$E:$E,样品!$E55)</f>
        <v>0</v>
      </c>
      <c r="BF55" s="32">
        <f>SUMIFS(合格品入货记录!$G:$G,合格品入货记录!$A:$A,样品!BF$3,合格品入货记录!$E:$E,样品!$E55)</f>
        <v>0</v>
      </c>
      <c r="BG55" s="32">
        <f>SUMIFS(合格品入货记录!$G:$G,合格品入货记录!$A:$A,样品!BG$3,合格品入货记录!$E:$E,样品!$E55)</f>
        <v>0</v>
      </c>
      <c r="BH55" s="32">
        <f>SUMIFS(合格品入货记录!$G:$G,合格品入货记录!$A:$A,样品!BH$3,合格品入货记录!$E:$E,样品!$E55)</f>
        <v>0</v>
      </c>
      <c r="BI55" s="32">
        <f>SUMIFS(合格品入货记录!$G:$G,合格品入货记录!$A:$A,样品!BI$3,合格品入货记录!$E:$E,样品!$E55)</f>
        <v>0</v>
      </c>
      <c r="BJ55" s="32">
        <f>SUMIFS(合格品入货记录!$G:$G,合格品入货记录!$A:$A,样品!BJ$3,合格品入货记录!$E:$E,样品!$E55)</f>
        <v>0</v>
      </c>
      <c r="BK55" s="32">
        <f>SUMIFS(合格品入货记录!$G:$G,合格品入货记录!$A:$A,样品!BK$3,合格品入货记录!$E:$E,样品!$E55)</f>
        <v>0</v>
      </c>
      <c r="BL55" s="32">
        <f>SUMIFS(合格品入货记录!$G:$G,合格品入货记录!$A:$A,样品!BL$3,合格品入货记录!$E:$E,样品!$E55)</f>
        <v>0</v>
      </c>
      <c r="BM55" s="32">
        <f>SUMIFS(合格品入货记录!$G:$G,合格品入货记录!$A:$A,样品!BM$3,合格品入货记录!$E:$E,样品!$E55)</f>
        <v>0</v>
      </c>
      <c r="BN55" s="32">
        <f>SUMIFS(合格品入货记录!$G:$G,合格品入货记录!$A:$A,样品!BN$3,合格品入货记录!$E:$E,样品!$E55)</f>
        <v>0</v>
      </c>
      <c r="BO55" s="32">
        <f>SUMIFS(合格品入货记录!$G:$G,合格品入货记录!$A:$A,样品!BO$3,合格品入货记录!$E:$E,样品!$E55)</f>
        <v>0</v>
      </c>
      <c r="BP55" s="32">
        <f>SUMIFS(合格品入货记录!$G:$G,合格品入货记录!$A:$A,样品!BP$3,合格品入货记录!$E:$E,样品!$E55)</f>
        <v>0</v>
      </c>
      <c r="BQ55" s="32">
        <f>SUMIFS(合格品入货记录!$G:$G,合格品入货记录!$A:$A,样品!BQ$3,合格品入货记录!$E:$E,样品!$E55)</f>
        <v>0</v>
      </c>
      <c r="BR55" s="32">
        <f>SUMIFS(合格品入货记录!$G:$G,合格品入货记录!$A:$A,样品!BR$3,合格品入货记录!$E:$E,样品!$E55)</f>
        <v>0</v>
      </c>
      <c r="BS55" s="32">
        <f>SUMIFS(合格品入货记录!$G:$G,合格品入货记录!$A:$A,样品!BS$3,合格品入货记录!$E:$E,样品!$E55)</f>
        <v>0</v>
      </c>
      <c r="BT55" s="32">
        <f>SUMIFS(合格品入货记录!$G:$G,合格品入货记录!$A:$A,样品!BT$3,合格品入货记录!$E:$E,样品!$E55)</f>
        <v>0</v>
      </c>
      <c r="BU55" s="32">
        <f>SUMIFS(合格品入货记录!$G:$G,合格品入货记录!$A:$A,样品!BU$3,合格品入货记录!$E:$E,样品!$E55)</f>
        <v>0</v>
      </c>
      <c r="BV55" s="32">
        <f>SUMIFS(合格品入货记录!$G:$G,合格品入货记录!$A:$A,样品!BV$3,合格品入货记录!$E:$E,样品!$E55)</f>
        <v>0</v>
      </c>
      <c r="BW55" s="32">
        <f>SUMIFS(合格品入货记录!$G:$G,合格品入货记录!$A:$A,样品!BW$3,合格品入货记录!$E:$E,样品!$E55)</f>
        <v>0</v>
      </c>
      <c r="BX55" s="32">
        <f>SUMIFS(合格品入货记录!$G:$G,合格品入货记录!$A:$A,样品!BX$3,合格品入货记录!$E:$E,样品!$E55)</f>
        <v>0</v>
      </c>
      <c r="BY55" s="32">
        <f>SUMIFS(合格品入货记录!$G:$G,合格品入货记录!$A:$A,样品!BY$3,合格品入货记录!$E:$E,样品!$E55)</f>
        <v>0</v>
      </c>
      <c r="BZ55" s="126"/>
      <c r="CA55" s="126"/>
      <c r="CB55" s="125"/>
      <c r="CC55" s="125"/>
      <c r="CD55" s="130"/>
    </row>
    <row r="56" s="90" customFormat="1" customHeight="1" spans="1:82">
      <c r="A56" s="31">
        <v>57</v>
      </c>
      <c r="B56" s="104" t="s">
        <v>19</v>
      </c>
      <c r="C56" s="105" t="s">
        <v>20</v>
      </c>
      <c r="D56" s="26">
        <v>801001005096</v>
      </c>
      <c r="E56" s="31" t="s">
        <v>404</v>
      </c>
      <c r="F56" s="105" t="s">
        <v>405</v>
      </c>
      <c r="G56" s="106">
        <v>20</v>
      </c>
      <c r="H56" s="104">
        <v>20</v>
      </c>
      <c r="I56" s="106">
        <f>SUMIF(合格品入货记录!E:E,样品!E56,合格品入货记录!G:G)</f>
        <v>0</v>
      </c>
      <c r="J56" s="106">
        <f>SUMIF(合格品出库记录!E:E,样品!E56,合格品出库记录!G:G)</f>
        <v>0</v>
      </c>
      <c r="K56" s="102">
        <f t="shared" si="2"/>
        <v>20</v>
      </c>
      <c r="L56" s="102">
        <f>SUMIF(不良品库存!D:D,E56:E101,不良品库存!F:F)</f>
        <v>0</v>
      </c>
      <c r="M56" s="113">
        <f t="shared" si="3"/>
        <v>20</v>
      </c>
      <c r="N56" s="104"/>
      <c r="O56" s="104"/>
      <c r="P56" s="32">
        <f>IFERROR(SUMIFS(合格品入货记录!$G:$G,合格品入货记录!$A:$A,样品!P$3,合格品入货记录!$E:$E,样品!$E56)," ")</f>
        <v>0</v>
      </c>
      <c r="Q56" s="32">
        <f>SUMIFS(合格品入货记录!$G:$G,合格品入货记录!$A:$A,样品!Q$3,合格品入货记录!$E:$E,样品!$E56)</f>
        <v>0</v>
      </c>
      <c r="R56" s="32">
        <f>SUMIFS(合格品入货记录!$G:$G,合格品入货记录!$A:$A,样品!R$3,合格品入货记录!$E:$E,样品!$E56)</f>
        <v>0</v>
      </c>
      <c r="S56" s="32">
        <f>SUMIFS(合格品入货记录!$G:$G,合格品入货记录!$A:$A,样品!S$3,合格品入货记录!$E:$E,样品!$E56)</f>
        <v>0</v>
      </c>
      <c r="T56" s="32">
        <f>SUMIFS(合格品入货记录!$G:$G,合格品入货记录!$A:$A,样品!T$3,合格品入货记录!$E:$E,样品!$E56)</f>
        <v>0</v>
      </c>
      <c r="U56" s="32">
        <f>SUMIFS(合格品入货记录!$G:$G,合格品入货记录!$A:$A,样品!U$3,合格品入货记录!$E:$E,样品!$E56)</f>
        <v>0</v>
      </c>
      <c r="V56" s="32">
        <f>SUMIFS(合格品入货记录!$G:$G,合格品入货记录!$A:$A,样品!V$3,合格品入货记录!$E:$E,样品!$E56)</f>
        <v>0</v>
      </c>
      <c r="W56" s="32">
        <f>SUMIFS(合格品入货记录!$G:$G,合格品入货记录!$A:$A,样品!W$3,合格品入货记录!$E:$E,样品!$E56)</f>
        <v>0</v>
      </c>
      <c r="X56" s="32">
        <f>SUMIFS(合格品入货记录!$G:$G,合格品入货记录!$A:$A,样品!X$3,合格品入货记录!$E:$E,样品!$E56)</f>
        <v>0</v>
      </c>
      <c r="Y56" s="32">
        <f>SUMIFS(合格品入货记录!$G:$G,合格品入货记录!$A:$A,样品!Y$3,合格品入货记录!$E:$E,样品!$E56)</f>
        <v>0</v>
      </c>
      <c r="Z56" s="32">
        <f>SUMIFS(合格品入货记录!$G:$G,合格品入货记录!$A:$A,样品!Z$3,合格品入货记录!$E:$E,样品!$E56)</f>
        <v>0</v>
      </c>
      <c r="AA56" s="32">
        <f>SUMIFS(合格品入货记录!$G:$G,合格品入货记录!$A:$A,样品!AA$3,合格品入货记录!$E:$E,样品!$E56)</f>
        <v>0</v>
      </c>
      <c r="AB56" s="32">
        <f>SUMIFS(合格品入货记录!$G:$G,合格品入货记录!$A:$A,样品!AB$3,合格品入货记录!$E:$E,样品!$E56)</f>
        <v>0</v>
      </c>
      <c r="AC56" s="32">
        <f>SUMIFS(合格品入货记录!$G:$G,合格品入货记录!$A:$A,样品!AC$3,合格品入货记录!$E:$E,样品!$E56)</f>
        <v>0</v>
      </c>
      <c r="AD56" s="32">
        <f>SUMIFS(合格品入货记录!$G:$G,合格品入货记录!$A:$A,样品!AD$3,合格品入货记录!$E:$E,样品!$E56)</f>
        <v>0</v>
      </c>
      <c r="AE56" s="32">
        <f>SUMIFS(合格品入货记录!$G:$G,合格品入货记录!$A:$A,样品!AE$3,合格品入货记录!$E:$E,样品!$E56)</f>
        <v>0</v>
      </c>
      <c r="AF56" s="32">
        <f>SUMIFS(合格品入货记录!$G:$G,合格品入货记录!$A:$A,样品!AF$3,合格品入货记录!$E:$E,样品!$E56)</f>
        <v>0</v>
      </c>
      <c r="AG56" s="32">
        <f>SUMIFS(合格品入货记录!$G:$G,合格品入货记录!$A:$A,样品!AG$3,合格品入货记录!$E:$E,样品!$E56)</f>
        <v>0</v>
      </c>
      <c r="AH56" s="32">
        <f>SUMIFS(合格品入货记录!$G:$G,合格品入货记录!$A:$A,样品!AH$3,合格品入货记录!$E:$E,样品!$E56)</f>
        <v>0</v>
      </c>
      <c r="AI56" s="32">
        <f>SUMIFS(合格品入货记录!$G:$G,合格品入货记录!$A:$A,样品!AI$3,合格品入货记录!$E:$E,样品!$E56)</f>
        <v>0</v>
      </c>
      <c r="AJ56" s="32">
        <f>SUMIFS(合格品入货记录!$G:$G,合格品入货记录!$A:$A,样品!AJ$3,合格品入货记录!$E:$E,样品!$E56)</f>
        <v>0</v>
      </c>
      <c r="AK56" s="32">
        <f>SUMIFS(合格品入货记录!$G:$G,合格品入货记录!$A:$A,样品!AK$3,合格品入货记录!$E:$E,样品!$E56)</f>
        <v>0</v>
      </c>
      <c r="AL56" s="32">
        <f>SUMIFS(合格品入货记录!$G:$G,合格品入货记录!$A:$A,样品!AL$3,合格品入货记录!$E:$E,样品!$E56)</f>
        <v>0</v>
      </c>
      <c r="AM56" s="32">
        <f>SUMIFS(合格品入货记录!$G:$G,合格品入货记录!$A:$A,样品!AM$3,合格品入货记录!$E:$E,样品!$E56)</f>
        <v>0</v>
      </c>
      <c r="AN56" s="32">
        <f>SUMIFS(合格品入货记录!$G:$G,合格品入货记录!$A:$A,样品!AN$3,合格品入货记录!$E:$E,样品!$E56)</f>
        <v>0</v>
      </c>
      <c r="AO56" s="32">
        <f>SUMIFS(合格品入货记录!$G:$G,合格品入货记录!$A:$A,样品!AO$3,合格品入货记录!$E:$E,样品!$E56)</f>
        <v>0</v>
      </c>
      <c r="AP56" s="32">
        <f>SUMIFS(合格品入货记录!$G:$G,合格品入货记录!$A:$A,样品!AP$3,合格品入货记录!$E:$E,样品!$E56)</f>
        <v>0</v>
      </c>
      <c r="AQ56" s="32">
        <f>SUMIFS(合格品入货记录!$G:$G,合格品入货记录!$A:$A,样品!AQ$3,合格品入货记录!$E:$E,样品!$E56)</f>
        <v>0</v>
      </c>
      <c r="AR56" s="32">
        <f>SUMIFS(合格品入货记录!$G:$G,合格品入货记录!$A:$A,样品!AR$3,合格品入货记录!$E:$E,样品!$E56)</f>
        <v>0</v>
      </c>
      <c r="AS56" s="32">
        <f>SUMIFS(合格品入货记录!$G:$G,合格品入货记录!$A:$A,样品!AS$3,合格品入货记录!$E:$E,样品!$E56)</f>
        <v>0</v>
      </c>
      <c r="AT56" s="32">
        <f>SUMIFS(合格品入货记录!$G:$G,合格品入货记录!$A:$A,样品!AT$3,合格品入货记录!$E:$E,样品!$E56)</f>
        <v>0</v>
      </c>
      <c r="AU56" s="32">
        <f>SUMIFS(合格品入货记录!$G:$G,合格品入货记录!$A:$A,样品!AU$3,合格品入货记录!$E:$E,样品!$E56)</f>
        <v>0</v>
      </c>
      <c r="AV56" s="32">
        <f>SUMIFS(合格品入货记录!$G:$G,合格品入货记录!$A:$A,样品!AV$3,合格品入货记录!$E:$E,样品!$E56)</f>
        <v>0</v>
      </c>
      <c r="AW56" s="32">
        <f>SUMIFS(合格品入货记录!$G:$G,合格品入货记录!$A:$A,样品!AW$3,合格品入货记录!$E:$E,样品!$E56)</f>
        <v>0</v>
      </c>
      <c r="AX56" s="32">
        <f>SUMIFS(合格品入货记录!$G:$G,合格品入货记录!$A:$A,样品!AX$3,合格品入货记录!$E:$E,样品!$E56)</f>
        <v>0</v>
      </c>
      <c r="AY56" s="32">
        <f>SUMIFS(合格品入货记录!$G:$G,合格品入货记录!$A:$A,样品!AY$3,合格品入货记录!$E:$E,样品!$E56)</f>
        <v>0</v>
      </c>
      <c r="AZ56" s="32">
        <f>SUMIFS(合格品入货记录!$G:$G,合格品入货记录!$A:$A,样品!AZ$3,合格品入货记录!$E:$E,样品!$E56)</f>
        <v>0</v>
      </c>
      <c r="BA56" s="32">
        <f>SUMIFS(合格品入货记录!$G:$G,合格品入货记录!$A:$A,样品!BA$3,合格品入货记录!$E:$E,样品!$E56)</f>
        <v>0</v>
      </c>
      <c r="BB56" s="32">
        <f>SUMIFS(合格品入货记录!$G:$G,合格品入货记录!$A:$A,样品!BB$3,合格品入货记录!$E:$E,样品!$E56)</f>
        <v>0</v>
      </c>
      <c r="BC56" s="32">
        <f>SUMIFS(合格品入货记录!$G:$G,合格品入货记录!$A:$A,样品!BC$3,合格品入货记录!$E:$E,样品!$E56)</f>
        <v>0</v>
      </c>
      <c r="BD56" s="32">
        <f>SUMIFS(合格品入货记录!$G:$G,合格品入货记录!$A:$A,样品!BD$3,合格品入货记录!$E:$E,样品!$E56)</f>
        <v>0</v>
      </c>
      <c r="BE56" s="32">
        <f>SUMIFS(合格品入货记录!$G:$G,合格品入货记录!$A:$A,样品!BE$3,合格品入货记录!$E:$E,样品!$E56)</f>
        <v>0</v>
      </c>
      <c r="BF56" s="32">
        <f>SUMIFS(合格品入货记录!$G:$G,合格品入货记录!$A:$A,样品!BF$3,合格品入货记录!$E:$E,样品!$E56)</f>
        <v>0</v>
      </c>
      <c r="BG56" s="32">
        <f>SUMIFS(合格品入货记录!$G:$G,合格品入货记录!$A:$A,样品!BG$3,合格品入货记录!$E:$E,样品!$E56)</f>
        <v>0</v>
      </c>
      <c r="BH56" s="32">
        <f>SUMIFS(合格品入货记录!$G:$G,合格品入货记录!$A:$A,样品!BH$3,合格品入货记录!$E:$E,样品!$E56)</f>
        <v>0</v>
      </c>
      <c r="BI56" s="32">
        <f>SUMIFS(合格品入货记录!$G:$G,合格品入货记录!$A:$A,样品!BI$3,合格品入货记录!$E:$E,样品!$E56)</f>
        <v>0</v>
      </c>
      <c r="BJ56" s="32">
        <f>SUMIFS(合格品入货记录!$G:$G,合格品入货记录!$A:$A,样品!BJ$3,合格品入货记录!$E:$E,样品!$E56)</f>
        <v>0</v>
      </c>
      <c r="BK56" s="32">
        <f>SUMIFS(合格品入货记录!$G:$G,合格品入货记录!$A:$A,样品!BK$3,合格品入货记录!$E:$E,样品!$E56)</f>
        <v>0</v>
      </c>
      <c r="BL56" s="32">
        <f>SUMIFS(合格品入货记录!$G:$G,合格品入货记录!$A:$A,样品!BL$3,合格品入货记录!$E:$E,样品!$E56)</f>
        <v>0</v>
      </c>
      <c r="BM56" s="32">
        <f>SUMIFS(合格品入货记录!$G:$G,合格品入货记录!$A:$A,样品!BM$3,合格品入货记录!$E:$E,样品!$E56)</f>
        <v>0</v>
      </c>
      <c r="BN56" s="32">
        <f>SUMIFS(合格品入货记录!$G:$G,合格品入货记录!$A:$A,样品!BN$3,合格品入货记录!$E:$E,样品!$E56)</f>
        <v>0</v>
      </c>
      <c r="BO56" s="32">
        <f>SUMIFS(合格品入货记录!$G:$G,合格品入货记录!$A:$A,样品!BO$3,合格品入货记录!$E:$E,样品!$E56)</f>
        <v>0</v>
      </c>
      <c r="BP56" s="32">
        <f>SUMIFS(合格品入货记录!$G:$G,合格品入货记录!$A:$A,样品!BP$3,合格品入货记录!$E:$E,样品!$E56)</f>
        <v>0</v>
      </c>
      <c r="BQ56" s="32">
        <f>SUMIFS(合格品入货记录!$G:$G,合格品入货记录!$A:$A,样品!BQ$3,合格品入货记录!$E:$E,样品!$E56)</f>
        <v>0</v>
      </c>
      <c r="BR56" s="32">
        <f>SUMIFS(合格品入货记录!$G:$G,合格品入货记录!$A:$A,样品!BR$3,合格品入货记录!$E:$E,样品!$E56)</f>
        <v>0</v>
      </c>
      <c r="BS56" s="32">
        <f>SUMIFS(合格品入货记录!$G:$G,合格品入货记录!$A:$A,样品!BS$3,合格品入货记录!$E:$E,样品!$E56)</f>
        <v>0</v>
      </c>
      <c r="BT56" s="32">
        <f>SUMIFS(合格品入货记录!$G:$G,合格品入货记录!$A:$A,样品!BT$3,合格品入货记录!$E:$E,样品!$E56)</f>
        <v>0</v>
      </c>
      <c r="BU56" s="32">
        <f>SUMIFS(合格品入货记录!$G:$G,合格品入货记录!$A:$A,样品!BU$3,合格品入货记录!$E:$E,样品!$E56)</f>
        <v>0</v>
      </c>
      <c r="BV56" s="32">
        <f>SUMIFS(合格品入货记录!$G:$G,合格品入货记录!$A:$A,样品!BV$3,合格品入货记录!$E:$E,样品!$E56)</f>
        <v>0</v>
      </c>
      <c r="BW56" s="32">
        <f>SUMIFS(合格品入货记录!$G:$G,合格品入货记录!$A:$A,样品!BW$3,合格品入货记录!$E:$E,样品!$E56)</f>
        <v>0</v>
      </c>
      <c r="BX56" s="32">
        <f>SUMIFS(合格品入货记录!$G:$G,合格品入货记录!$A:$A,样品!BX$3,合格品入货记录!$E:$E,样品!$E56)</f>
        <v>0</v>
      </c>
      <c r="BY56" s="32">
        <f>SUMIFS(合格品入货记录!$G:$G,合格品入货记录!$A:$A,样品!BY$3,合格品入货记录!$E:$E,样品!$E56)</f>
        <v>0</v>
      </c>
      <c r="BZ56" s="126"/>
      <c r="CA56" s="126"/>
      <c r="CB56" s="125"/>
      <c r="CC56" s="125"/>
      <c r="CD56" s="130"/>
    </row>
    <row r="57" s="90" customFormat="1" customHeight="1" spans="1:82">
      <c r="A57" s="31">
        <v>58</v>
      </c>
      <c r="B57" s="104" t="s">
        <v>19</v>
      </c>
      <c r="C57" s="105" t="s">
        <v>20</v>
      </c>
      <c r="D57" s="26">
        <v>801001005097</v>
      </c>
      <c r="E57" s="31" t="s">
        <v>406</v>
      </c>
      <c r="F57" s="105" t="s">
        <v>407</v>
      </c>
      <c r="G57" s="106">
        <v>20</v>
      </c>
      <c r="H57" s="104">
        <v>20</v>
      </c>
      <c r="I57" s="106">
        <f>SUMIF(合格品入货记录!E:E,样品!E57,合格品入货记录!G:G)</f>
        <v>0</v>
      </c>
      <c r="J57" s="106">
        <f>SUMIF(合格品出库记录!E:E,样品!E57,合格品出库记录!G:G)</f>
        <v>0</v>
      </c>
      <c r="K57" s="102">
        <f t="shared" si="2"/>
        <v>20</v>
      </c>
      <c r="L57" s="102">
        <f>SUMIF(不良品库存!D:D,E57:E102,不良品库存!F:F)</f>
        <v>0</v>
      </c>
      <c r="M57" s="113">
        <f t="shared" si="3"/>
        <v>20</v>
      </c>
      <c r="N57" s="104"/>
      <c r="O57" s="104"/>
      <c r="P57" s="32">
        <f>IFERROR(SUMIFS(合格品入货记录!$G:$G,合格品入货记录!$A:$A,样品!P$3,合格品入货记录!$E:$E,样品!$E57)," ")</f>
        <v>0</v>
      </c>
      <c r="Q57" s="32">
        <f>SUMIFS(合格品入货记录!$G:$G,合格品入货记录!$A:$A,样品!Q$3,合格品入货记录!$E:$E,样品!$E57)</f>
        <v>0</v>
      </c>
      <c r="R57" s="32">
        <f>SUMIFS(合格品入货记录!$G:$G,合格品入货记录!$A:$A,样品!R$3,合格品入货记录!$E:$E,样品!$E57)</f>
        <v>0</v>
      </c>
      <c r="S57" s="32">
        <f>SUMIFS(合格品入货记录!$G:$G,合格品入货记录!$A:$A,样品!S$3,合格品入货记录!$E:$E,样品!$E57)</f>
        <v>0</v>
      </c>
      <c r="T57" s="32">
        <f>SUMIFS(合格品入货记录!$G:$G,合格品入货记录!$A:$A,样品!T$3,合格品入货记录!$E:$E,样品!$E57)</f>
        <v>0</v>
      </c>
      <c r="U57" s="32">
        <f>SUMIFS(合格品入货记录!$G:$G,合格品入货记录!$A:$A,样品!U$3,合格品入货记录!$E:$E,样品!$E57)</f>
        <v>0</v>
      </c>
      <c r="V57" s="32">
        <f>SUMIFS(合格品入货记录!$G:$G,合格品入货记录!$A:$A,样品!V$3,合格品入货记录!$E:$E,样品!$E57)</f>
        <v>0</v>
      </c>
      <c r="W57" s="32">
        <f>SUMIFS(合格品入货记录!$G:$G,合格品入货记录!$A:$A,样品!W$3,合格品入货记录!$E:$E,样品!$E57)</f>
        <v>0</v>
      </c>
      <c r="X57" s="32">
        <f>SUMIFS(合格品入货记录!$G:$G,合格品入货记录!$A:$A,样品!X$3,合格品入货记录!$E:$E,样品!$E57)</f>
        <v>0</v>
      </c>
      <c r="Y57" s="32">
        <f>SUMIFS(合格品入货记录!$G:$G,合格品入货记录!$A:$A,样品!Y$3,合格品入货记录!$E:$E,样品!$E57)</f>
        <v>0</v>
      </c>
      <c r="Z57" s="32">
        <f>SUMIFS(合格品入货记录!$G:$G,合格品入货记录!$A:$A,样品!Z$3,合格品入货记录!$E:$E,样品!$E57)</f>
        <v>0</v>
      </c>
      <c r="AA57" s="32">
        <f>SUMIFS(合格品入货记录!$G:$G,合格品入货记录!$A:$A,样品!AA$3,合格品入货记录!$E:$E,样品!$E57)</f>
        <v>0</v>
      </c>
      <c r="AB57" s="32">
        <f>SUMIFS(合格品入货记录!$G:$G,合格品入货记录!$A:$A,样品!AB$3,合格品入货记录!$E:$E,样品!$E57)</f>
        <v>0</v>
      </c>
      <c r="AC57" s="32">
        <f>SUMIFS(合格品入货记录!$G:$G,合格品入货记录!$A:$A,样品!AC$3,合格品入货记录!$E:$E,样品!$E57)</f>
        <v>0</v>
      </c>
      <c r="AD57" s="32">
        <f>SUMIFS(合格品入货记录!$G:$G,合格品入货记录!$A:$A,样品!AD$3,合格品入货记录!$E:$E,样品!$E57)</f>
        <v>0</v>
      </c>
      <c r="AE57" s="32">
        <f>SUMIFS(合格品入货记录!$G:$G,合格品入货记录!$A:$A,样品!AE$3,合格品入货记录!$E:$E,样品!$E57)</f>
        <v>0</v>
      </c>
      <c r="AF57" s="32">
        <f>SUMIFS(合格品入货记录!$G:$G,合格品入货记录!$A:$A,样品!AF$3,合格品入货记录!$E:$E,样品!$E57)</f>
        <v>0</v>
      </c>
      <c r="AG57" s="32">
        <f>SUMIFS(合格品入货记录!$G:$G,合格品入货记录!$A:$A,样品!AG$3,合格品入货记录!$E:$E,样品!$E57)</f>
        <v>0</v>
      </c>
      <c r="AH57" s="32">
        <f>SUMIFS(合格品入货记录!$G:$G,合格品入货记录!$A:$A,样品!AH$3,合格品入货记录!$E:$E,样品!$E57)</f>
        <v>0</v>
      </c>
      <c r="AI57" s="32">
        <f>SUMIFS(合格品入货记录!$G:$G,合格品入货记录!$A:$A,样品!AI$3,合格品入货记录!$E:$E,样品!$E57)</f>
        <v>0</v>
      </c>
      <c r="AJ57" s="32">
        <f>SUMIFS(合格品入货记录!$G:$G,合格品入货记录!$A:$A,样品!AJ$3,合格品入货记录!$E:$E,样品!$E57)</f>
        <v>0</v>
      </c>
      <c r="AK57" s="32">
        <f>SUMIFS(合格品入货记录!$G:$G,合格品入货记录!$A:$A,样品!AK$3,合格品入货记录!$E:$E,样品!$E57)</f>
        <v>0</v>
      </c>
      <c r="AL57" s="32">
        <f>SUMIFS(合格品入货记录!$G:$G,合格品入货记录!$A:$A,样品!AL$3,合格品入货记录!$E:$E,样品!$E57)</f>
        <v>0</v>
      </c>
      <c r="AM57" s="32">
        <f>SUMIFS(合格品入货记录!$G:$G,合格品入货记录!$A:$A,样品!AM$3,合格品入货记录!$E:$E,样品!$E57)</f>
        <v>0</v>
      </c>
      <c r="AN57" s="32">
        <f>SUMIFS(合格品入货记录!$G:$G,合格品入货记录!$A:$A,样品!AN$3,合格品入货记录!$E:$E,样品!$E57)</f>
        <v>0</v>
      </c>
      <c r="AO57" s="32">
        <f>SUMIFS(合格品入货记录!$G:$G,合格品入货记录!$A:$A,样品!AO$3,合格品入货记录!$E:$E,样品!$E57)</f>
        <v>0</v>
      </c>
      <c r="AP57" s="32">
        <f>SUMIFS(合格品入货记录!$G:$G,合格品入货记录!$A:$A,样品!AP$3,合格品入货记录!$E:$E,样品!$E57)</f>
        <v>0</v>
      </c>
      <c r="AQ57" s="32">
        <f>SUMIFS(合格品入货记录!$G:$G,合格品入货记录!$A:$A,样品!AQ$3,合格品入货记录!$E:$E,样品!$E57)</f>
        <v>0</v>
      </c>
      <c r="AR57" s="32">
        <f>SUMIFS(合格品入货记录!$G:$G,合格品入货记录!$A:$A,样品!AR$3,合格品入货记录!$E:$E,样品!$E57)</f>
        <v>0</v>
      </c>
      <c r="AS57" s="32">
        <f>SUMIFS(合格品入货记录!$G:$G,合格品入货记录!$A:$A,样品!AS$3,合格品入货记录!$E:$E,样品!$E57)</f>
        <v>0</v>
      </c>
      <c r="AT57" s="32">
        <f>SUMIFS(合格品入货记录!$G:$G,合格品入货记录!$A:$A,样品!AT$3,合格品入货记录!$E:$E,样品!$E57)</f>
        <v>0</v>
      </c>
      <c r="AU57" s="32">
        <f>SUMIFS(合格品入货记录!$G:$G,合格品入货记录!$A:$A,样品!AU$3,合格品入货记录!$E:$E,样品!$E57)</f>
        <v>0</v>
      </c>
      <c r="AV57" s="32">
        <f>SUMIFS(合格品入货记录!$G:$G,合格品入货记录!$A:$A,样品!AV$3,合格品入货记录!$E:$E,样品!$E57)</f>
        <v>0</v>
      </c>
      <c r="AW57" s="32">
        <f>SUMIFS(合格品入货记录!$G:$G,合格品入货记录!$A:$A,样品!AW$3,合格品入货记录!$E:$E,样品!$E57)</f>
        <v>0</v>
      </c>
      <c r="AX57" s="32">
        <f>SUMIFS(合格品入货记录!$G:$G,合格品入货记录!$A:$A,样品!AX$3,合格品入货记录!$E:$E,样品!$E57)</f>
        <v>0</v>
      </c>
      <c r="AY57" s="32">
        <f>SUMIFS(合格品入货记录!$G:$G,合格品入货记录!$A:$A,样品!AY$3,合格品入货记录!$E:$E,样品!$E57)</f>
        <v>0</v>
      </c>
      <c r="AZ57" s="32">
        <f>SUMIFS(合格品入货记录!$G:$G,合格品入货记录!$A:$A,样品!AZ$3,合格品入货记录!$E:$E,样品!$E57)</f>
        <v>0</v>
      </c>
      <c r="BA57" s="32">
        <f>SUMIFS(合格品入货记录!$G:$G,合格品入货记录!$A:$A,样品!BA$3,合格品入货记录!$E:$E,样品!$E57)</f>
        <v>0</v>
      </c>
      <c r="BB57" s="32">
        <f>SUMIFS(合格品入货记录!$G:$G,合格品入货记录!$A:$A,样品!BB$3,合格品入货记录!$E:$E,样品!$E57)</f>
        <v>0</v>
      </c>
      <c r="BC57" s="32">
        <f>SUMIFS(合格品入货记录!$G:$G,合格品入货记录!$A:$A,样品!BC$3,合格品入货记录!$E:$E,样品!$E57)</f>
        <v>0</v>
      </c>
      <c r="BD57" s="32">
        <f>SUMIFS(合格品入货记录!$G:$G,合格品入货记录!$A:$A,样品!BD$3,合格品入货记录!$E:$E,样品!$E57)</f>
        <v>0</v>
      </c>
      <c r="BE57" s="32">
        <f>SUMIFS(合格品入货记录!$G:$G,合格品入货记录!$A:$A,样品!BE$3,合格品入货记录!$E:$E,样品!$E57)</f>
        <v>0</v>
      </c>
      <c r="BF57" s="32">
        <f>SUMIFS(合格品入货记录!$G:$G,合格品入货记录!$A:$A,样品!BF$3,合格品入货记录!$E:$E,样品!$E57)</f>
        <v>0</v>
      </c>
      <c r="BG57" s="32">
        <f>SUMIFS(合格品入货记录!$G:$G,合格品入货记录!$A:$A,样品!BG$3,合格品入货记录!$E:$E,样品!$E57)</f>
        <v>0</v>
      </c>
      <c r="BH57" s="32">
        <f>SUMIFS(合格品入货记录!$G:$G,合格品入货记录!$A:$A,样品!BH$3,合格品入货记录!$E:$E,样品!$E57)</f>
        <v>0</v>
      </c>
      <c r="BI57" s="32">
        <f>SUMIFS(合格品入货记录!$G:$G,合格品入货记录!$A:$A,样品!BI$3,合格品入货记录!$E:$E,样品!$E57)</f>
        <v>0</v>
      </c>
      <c r="BJ57" s="32">
        <f>SUMIFS(合格品入货记录!$G:$G,合格品入货记录!$A:$A,样品!BJ$3,合格品入货记录!$E:$E,样品!$E57)</f>
        <v>0</v>
      </c>
      <c r="BK57" s="32">
        <f>SUMIFS(合格品入货记录!$G:$G,合格品入货记录!$A:$A,样品!BK$3,合格品入货记录!$E:$E,样品!$E57)</f>
        <v>0</v>
      </c>
      <c r="BL57" s="32">
        <f>SUMIFS(合格品入货记录!$G:$G,合格品入货记录!$A:$A,样品!BL$3,合格品入货记录!$E:$E,样品!$E57)</f>
        <v>0</v>
      </c>
      <c r="BM57" s="32">
        <f>SUMIFS(合格品入货记录!$G:$G,合格品入货记录!$A:$A,样品!BM$3,合格品入货记录!$E:$E,样品!$E57)</f>
        <v>0</v>
      </c>
      <c r="BN57" s="32">
        <f>SUMIFS(合格品入货记录!$G:$G,合格品入货记录!$A:$A,样品!BN$3,合格品入货记录!$E:$E,样品!$E57)</f>
        <v>0</v>
      </c>
      <c r="BO57" s="32">
        <f>SUMIFS(合格品入货记录!$G:$G,合格品入货记录!$A:$A,样品!BO$3,合格品入货记录!$E:$E,样品!$E57)</f>
        <v>0</v>
      </c>
      <c r="BP57" s="32">
        <f>SUMIFS(合格品入货记录!$G:$G,合格品入货记录!$A:$A,样品!BP$3,合格品入货记录!$E:$E,样品!$E57)</f>
        <v>0</v>
      </c>
      <c r="BQ57" s="32">
        <f>SUMIFS(合格品入货记录!$G:$G,合格品入货记录!$A:$A,样品!BQ$3,合格品入货记录!$E:$E,样品!$E57)</f>
        <v>0</v>
      </c>
      <c r="BR57" s="32">
        <f>SUMIFS(合格品入货记录!$G:$G,合格品入货记录!$A:$A,样品!BR$3,合格品入货记录!$E:$E,样品!$E57)</f>
        <v>0</v>
      </c>
      <c r="BS57" s="32">
        <f>SUMIFS(合格品入货记录!$G:$G,合格品入货记录!$A:$A,样品!BS$3,合格品入货记录!$E:$E,样品!$E57)</f>
        <v>0</v>
      </c>
      <c r="BT57" s="32">
        <f>SUMIFS(合格品入货记录!$G:$G,合格品入货记录!$A:$A,样品!BT$3,合格品入货记录!$E:$E,样品!$E57)</f>
        <v>0</v>
      </c>
      <c r="BU57" s="32">
        <f>SUMIFS(合格品入货记录!$G:$G,合格品入货记录!$A:$A,样品!BU$3,合格品入货记录!$E:$E,样品!$E57)</f>
        <v>0</v>
      </c>
      <c r="BV57" s="32">
        <f>SUMIFS(合格品入货记录!$G:$G,合格品入货记录!$A:$A,样品!BV$3,合格品入货记录!$E:$E,样品!$E57)</f>
        <v>0</v>
      </c>
      <c r="BW57" s="32">
        <f>SUMIFS(合格品入货记录!$G:$G,合格品入货记录!$A:$A,样品!BW$3,合格品入货记录!$E:$E,样品!$E57)</f>
        <v>0</v>
      </c>
      <c r="BX57" s="32">
        <f>SUMIFS(合格品入货记录!$G:$G,合格品入货记录!$A:$A,样品!BX$3,合格品入货记录!$E:$E,样品!$E57)</f>
        <v>0</v>
      </c>
      <c r="BY57" s="32">
        <f>SUMIFS(合格品入货记录!$G:$G,合格品入货记录!$A:$A,样品!BY$3,合格品入货记录!$E:$E,样品!$E57)</f>
        <v>0</v>
      </c>
      <c r="BZ57" s="126"/>
      <c r="CA57" s="126"/>
      <c r="CB57" s="125"/>
      <c r="CC57" s="125"/>
      <c r="CD57" s="130"/>
    </row>
    <row r="58" s="90" customFormat="1" customHeight="1" spans="1:82">
      <c r="A58" s="31">
        <v>59</v>
      </c>
      <c r="B58" s="104" t="s">
        <v>19</v>
      </c>
      <c r="C58" s="105" t="s">
        <v>20</v>
      </c>
      <c r="D58" s="26" t="s">
        <v>408</v>
      </c>
      <c r="E58" s="31" t="s">
        <v>409</v>
      </c>
      <c r="F58" s="105" t="s">
        <v>410</v>
      </c>
      <c r="G58" s="106"/>
      <c r="H58" s="104">
        <v>2100</v>
      </c>
      <c r="I58" s="106">
        <f>SUMIF(合格品入货记录!E:E,样品!E58,合格品入货记录!G:G)</f>
        <v>0</v>
      </c>
      <c r="J58" s="106">
        <f>SUMIF(合格品出库记录!E:E,样品!E58,合格品出库记录!G:G)</f>
        <v>0</v>
      </c>
      <c r="K58" s="102">
        <f t="shared" si="2"/>
        <v>2100</v>
      </c>
      <c r="L58" s="102">
        <f>SUMIF(不良品库存!D:D,E58:E103,不良品库存!F:F)</f>
        <v>0</v>
      </c>
      <c r="M58" s="113">
        <f t="shared" si="3"/>
        <v>2100</v>
      </c>
      <c r="N58" s="104"/>
      <c r="O58" s="104"/>
      <c r="P58" s="32">
        <f>IFERROR(SUMIFS(合格品入货记录!$G:$G,合格品入货记录!$A:$A,样品!P$3,合格品入货记录!$E:$E,样品!$E58)," ")</f>
        <v>0</v>
      </c>
      <c r="Q58" s="32">
        <f>SUMIFS(合格品入货记录!$G:$G,合格品入货记录!$A:$A,样品!Q$3,合格品入货记录!$E:$E,样品!$E58)</f>
        <v>0</v>
      </c>
      <c r="R58" s="32">
        <f>SUMIFS(合格品入货记录!$G:$G,合格品入货记录!$A:$A,样品!R$3,合格品入货记录!$E:$E,样品!$E58)</f>
        <v>0</v>
      </c>
      <c r="S58" s="32">
        <f>SUMIFS(合格品入货记录!$G:$G,合格品入货记录!$A:$A,样品!S$3,合格品入货记录!$E:$E,样品!$E58)</f>
        <v>0</v>
      </c>
      <c r="T58" s="32">
        <f>SUMIFS(合格品入货记录!$G:$G,合格品入货记录!$A:$A,样品!T$3,合格品入货记录!$E:$E,样品!$E58)</f>
        <v>0</v>
      </c>
      <c r="U58" s="32">
        <f>SUMIFS(合格品入货记录!$G:$G,合格品入货记录!$A:$A,样品!U$3,合格品入货记录!$E:$E,样品!$E58)</f>
        <v>0</v>
      </c>
      <c r="V58" s="32">
        <f>SUMIFS(合格品入货记录!$G:$G,合格品入货记录!$A:$A,样品!V$3,合格品入货记录!$E:$E,样品!$E58)</f>
        <v>0</v>
      </c>
      <c r="W58" s="32">
        <f>SUMIFS(合格品入货记录!$G:$G,合格品入货记录!$A:$A,样品!W$3,合格品入货记录!$E:$E,样品!$E58)</f>
        <v>0</v>
      </c>
      <c r="X58" s="32">
        <f>SUMIFS(合格品入货记录!$G:$G,合格品入货记录!$A:$A,样品!X$3,合格品入货记录!$E:$E,样品!$E58)</f>
        <v>0</v>
      </c>
      <c r="Y58" s="32">
        <f>SUMIFS(合格品入货记录!$G:$G,合格品入货记录!$A:$A,样品!Y$3,合格品入货记录!$E:$E,样品!$E58)</f>
        <v>0</v>
      </c>
      <c r="Z58" s="32">
        <f>SUMIFS(合格品入货记录!$G:$G,合格品入货记录!$A:$A,样品!Z$3,合格品入货记录!$E:$E,样品!$E58)</f>
        <v>0</v>
      </c>
      <c r="AA58" s="32">
        <f>SUMIFS(合格品入货记录!$G:$G,合格品入货记录!$A:$A,样品!AA$3,合格品入货记录!$E:$E,样品!$E58)</f>
        <v>0</v>
      </c>
      <c r="AB58" s="32">
        <f>SUMIFS(合格品入货记录!$G:$G,合格品入货记录!$A:$A,样品!AB$3,合格品入货记录!$E:$E,样品!$E58)</f>
        <v>0</v>
      </c>
      <c r="AC58" s="32">
        <f>SUMIFS(合格品入货记录!$G:$G,合格品入货记录!$A:$A,样品!AC$3,合格品入货记录!$E:$E,样品!$E58)</f>
        <v>0</v>
      </c>
      <c r="AD58" s="32">
        <f>SUMIFS(合格品入货记录!$G:$G,合格品入货记录!$A:$A,样品!AD$3,合格品入货记录!$E:$E,样品!$E58)</f>
        <v>0</v>
      </c>
      <c r="AE58" s="32">
        <f>SUMIFS(合格品入货记录!$G:$G,合格品入货记录!$A:$A,样品!AE$3,合格品入货记录!$E:$E,样品!$E58)</f>
        <v>0</v>
      </c>
      <c r="AF58" s="32">
        <f>SUMIFS(合格品入货记录!$G:$G,合格品入货记录!$A:$A,样品!AF$3,合格品入货记录!$E:$E,样品!$E58)</f>
        <v>0</v>
      </c>
      <c r="AG58" s="32">
        <f>SUMIFS(合格品入货记录!$G:$G,合格品入货记录!$A:$A,样品!AG$3,合格品入货记录!$E:$E,样品!$E58)</f>
        <v>0</v>
      </c>
      <c r="AH58" s="32">
        <f>SUMIFS(合格品入货记录!$G:$G,合格品入货记录!$A:$A,样品!AH$3,合格品入货记录!$E:$E,样品!$E58)</f>
        <v>0</v>
      </c>
      <c r="AI58" s="32">
        <f>SUMIFS(合格品入货记录!$G:$G,合格品入货记录!$A:$A,样品!AI$3,合格品入货记录!$E:$E,样品!$E58)</f>
        <v>0</v>
      </c>
      <c r="AJ58" s="32">
        <f>SUMIFS(合格品入货记录!$G:$G,合格品入货记录!$A:$A,样品!AJ$3,合格品入货记录!$E:$E,样品!$E58)</f>
        <v>0</v>
      </c>
      <c r="AK58" s="32">
        <f>SUMIFS(合格品入货记录!$G:$G,合格品入货记录!$A:$A,样品!AK$3,合格品入货记录!$E:$E,样品!$E58)</f>
        <v>0</v>
      </c>
      <c r="AL58" s="32">
        <f>SUMIFS(合格品入货记录!$G:$G,合格品入货记录!$A:$A,样品!AL$3,合格品入货记录!$E:$E,样品!$E58)</f>
        <v>0</v>
      </c>
      <c r="AM58" s="32">
        <f>SUMIFS(合格品入货记录!$G:$G,合格品入货记录!$A:$A,样品!AM$3,合格品入货记录!$E:$E,样品!$E58)</f>
        <v>0</v>
      </c>
      <c r="AN58" s="32">
        <f>SUMIFS(合格品入货记录!$G:$G,合格品入货记录!$A:$A,样品!AN$3,合格品入货记录!$E:$E,样品!$E58)</f>
        <v>0</v>
      </c>
      <c r="AO58" s="32">
        <f>SUMIFS(合格品入货记录!$G:$G,合格品入货记录!$A:$A,样品!AO$3,合格品入货记录!$E:$E,样品!$E58)</f>
        <v>0</v>
      </c>
      <c r="AP58" s="32">
        <f>SUMIFS(合格品入货记录!$G:$G,合格品入货记录!$A:$A,样品!AP$3,合格品入货记录!$E:$E,样品!$E58)</f>
        <v>0</v>
      </c>
      <c r="AQ58" s="32">
        <f>SUMIFS(合格品入货记录!$G:$G,合格品入货记录!$A:$A,样品!AQ$3,合格品入货记录!$E:$E,样品!$E58)</f>
        <v>0</v>
      </c>
      <c r="AR58" s="32">
        <f>SUMIFS(合格品入货记录!$G:$G,合格品入货记录!$A:$A,样品!AR$3,合格品入货记录!$E:$E,样品!$E58)</f>
        <v>0</v>
      </c>
      <c r="AS58" s="32">
        <f>SUMIFS(合格品入货记录!$G:$G,合格品入货记录!$A:$A,样品!AS$3,合格品入货记录!$E:$E,样品!$E58)</f>
        <v>0</v>
      </c>
      <c r="AT58" s="32">
        <f>SUMIFS(合格品入货记录!$G:$G,合格品入货记录!$A:$A,样品!AT$3,合格品入货记录!$E:$E,样品!$E58)</f>
        <v>0</v>
      </c>
      <c r="AU58" s="32">
        <f>SUMIFS(合格品入货记录!$G:$G,合格品入货记录!$A:$A,样品!AU$3,合格品入货记录!$E:$E,样品!$E58)</f>
        <v>0</v>
      </c>
      <c r="AV58" s="32">
        <f>SUMIFS(合格品入货记录!$G:$G,合格品入货记录!$A:$A,样品!AV$3,合格品入货记录!$E:$E,样品!$E58)</f>
        <v>0</v>
      </c>
      <c r="AW58" s="32">
        <f>SUMIFS(合格品入货记录!$G:$G,合格品入货记录!$A:$A,样品!AW$3,合格品入货记录!$E:$E,样品!$E58)</f>
        <v>0</v>
      </c>
      <c r="AX58" s="32">
        <f>SUMIFS(合格品入货记录!$G:$G,合格品入货记录!$A:$A,样品!AX$3,合格品入货记录!$E:$E,样品!$E58)</f>
        <v>0</v>
      </c>
      <c r="AY58" s="32">
        <f>SUMIFS(合格品入货记录!$G:$G,合格品入货记录!$A:$A,样品!AY$3,合格品入货记录!$E:$E,样品!$E58)</f>
        <v>0</v>
      </c>
      <c r="AZ58" s="32">
        <f>SUMIFS(合格品入货记录!$G:$G,合格品入货记录!$A:$A,样品!AZ$3,合格品入货记录!$E:$E,样品!$E58)</f>
        <v>0</v>
      </c>
      <c r="BA58" s="32">
        <f>SUMIFS(合格品入货记录!$G:$G,合格品入货记录!$A:$A,样品!BA$3,合格品入货记录!$E:$E,样品!$E58)</f>
        <v>0</v>
      </c>
      <c r="BB58" s="32">
        <f>SUMIFS(合格品入货记录!$G:$G,合格品入货记录!$A:$A,样品!BB$3,合格品入货记录!$E:$E,样品!$E58)</f>
        <v>0</v>
      </c>
      <c r="BC58" s="32">
        <f>SUMIFS(合格品入货记录!$G:$G,合格品入货记录!$A:$A,样品!BC$3,合格品入货记录!$E:$E,样品!$E58)</f>
        <v>0</v>
      </c>
      <c r="BD58" s="32">
        <f>SUMIFS(合格品入货记录!$G:$G,合格品入货记录!$A:$A,样品!BD$3,合格品入货记录!$E:$E,样品!$E58)</f>
        <v>0</v>
      </c>
      <c r="BE58" s="32">
        <f>SUMIFS(合格品入货记录!$G:$G,合格品入货记录!$A:$A,样品!BE$3,合格品入货记录!$E:$E,样品!$E58)</f>
        <v>0</v>
      </c>
      <c r="BF58" s="32">
        <f>SUMIFS(合格品入货记录!$G:$G,合格品入货记录!$A:$A,样品!BF$3,合格品入货记录!$E:$E,样品!$E58)</f>
        <v>0</v>
      </c>
      <c r="BG58" s="32">
        <f>SUMIFS(合格品入货记录!$G:$G,合格品入货记录!$A:$A,样品!BG$3,合格品入货记录!$E:$E,样品!$E58)</f>
        <v>0</v>
      </c>
      <c r="BH58" s="32">
        <f>SUMIFS(合格品入货记录!$G:$G,合格品入货记录!$A:$A,样品!BH$3,合格品入货记录!$E:$E,样品!$E58)</f>
        <v>0</v>
      </c>
      <c r="BI58" s="32">
        <f>SUMIFS(合格品入货记录!$G:$G,合格品入货记录!$A:$A,样品!BI$3,合格品入货记录!$E:$E,样品!$E58)</f>
        <v>0</v>
      </c>
      <c r="BJ58" s="32">
        <f>SUMIFS(合格品入货记录!$G:$G,合格品入货记录!$A:$A,样品!BJ$3,合格品入货记录!$E:$E,样品!$E58)</f>
        <v>0</v>
      </c>
      <c r="BK58" s="32">
        <f>SUMIFS(合格品入货记录!$G:$G,合格品入货记录!$A:$A,样品!BK$3,合格品入货记录!$E:$E,样品!$E58)</f>
        <v>0</v>
      </c>
      <c r="BL58" s="32">
        <f>SUMIFS(合格品入货记录!$G:$G,合格品入货记录!$A:$A,样品!BL$3,合格品入货记录!$E:$E,样品!$E58)</f>
        <v>0</v>
      </c>
      <c r="BM58" s="32">
        <f>SUMIFS(合格品入货记录!$G:$G,合格品入货记录!$A:$A,样品!BM$3,合格品入货记录!$E:$E,样品!$E58)</f>
        <v>0</v>
      </c>
      <c r="BN58" s="32">
        <f>SUMIFS(合格品入货记录!$G:$G,合格品入货记录!$A:$A,样品!BN$3,合格品入货记录!$E:$E,样品!$E58)</f>
        <v>0</v>
      </c>
      <c r="BO58" s="32">
        <f>SUMIFS(合格品入货记录!$G:$G,合格品入货记录!$A:$A,样品!BO$3,合格品入货记录!$E:$E,样品!$E58)</f>
        <v>0</v>
      </c>
      <c r="BP58" s="32">
        <f>SUMIFS(合格品入货记录!$G:$G,合格品入货记录!$A:$A,样品!BP$3,合格品入货记录!$E:$E,样品!$E58)</f>
        <v>0</v>
      </c>
      <c r="BQ58" s="32">
        <f>SUMIFS(合格品入货记录!$G:$G,合格品入货记录!$A:$A,样品!BQ$3,合格品入货记录!$E:$E,样品!$E58)</f>
        <v>0</v>
      </c>
      <c r="BR58" s="32">
        <f>SUMIFS(合格品入货记录!$G:$G,合格品入货记录!$A:$A,样品!BR$3,合格品入货记录!$E:$E,样品!$E58)</f>
        <v>0</v>
      </c>
      <c r="BS58" s="32">
        <f>SUMIFS(合格品入货记录!$G:$G,合格品入货记录!$A:$A,样品!BS$3,合格品入货记录!$E:$E,样品!$E58)</f>
        <v>0</v>
      </c>
      <c r="BT58" s="32">
        <f>SUMIFS(合格品入货记录!$G:$G,合格品入货记录!$A:$A,样品!BT$3,合格品入货记录!$E:$E,样品!$E58)</f>
        <v>0</v>
      </c>
      <c r="BU58" s="32">
        <f>SUMIFS(合格品入货记录!$G:$G,合格品入货记录!$A:$A,样品!BU$3,合格品入货记录!$E:$E,样品!$E58)</f>
        <v>0</v>
      </c>
      <c r="BV58" s="32">
        <f>SUMIFS(合格品入货记录!$G:$G,合格品入货记录!$A:$A,样品!BV$3,合格品入货记录!$E:$E,样品!$E58)</f>
        <v>0</v>
      </c>
      <c r="BW58" s="32">
        <f>SUMIFS(合格品入货记录!$G:$G,合格品入货记录!$A:$A,样品!BW$3,合格品入货记录!$E:$E,样品!$E58)</f>
        <v>0</v>
      </c>
      <c r="BX58" s="32">
        <f>SUMIFS(合格品入货记录!$G:$G,合格品入货记录!$A:$A,样品!BX$3,合格品入货记录!$E:$E,样品!$E58)</f>
        <v>0</v>
      </c>
      <c r="BY58" s="32">
        <f>SUMIFS(合格品入货记录!$G:$G,合格品入货记录!$A:$A,样品!BY$3,合格品入货记录!$E:$E,样品!$E58)</f>
        <v>0</v>
      </c>
      <c r="BZ58" s="126"/>
      <c r="CA58" s="126"/>
      <c r="CB58" s="125"/>
      <c r="CC58" s="125"/>
      <c r="CD58" s="130"/>
    </row>
    <row r="59" s="90" customFormat="1" customHeight="1" spans="1:82">
      <c r="A59" s="31">
        <v>60</v>
      </c>
      <c r="B59" s="104" t="s">
        <v>19</v>
      </c>
      <c r="C59" s="105" t="s">
        <v>20</v>
      </c>
      <c r="D59" s="22" t="s">
        <v>411</v>
      </c>
      <c r="E59" s="31" t="s">
        <v>412</v>
      </c>
      <c r="F59" s="105" t="s">
        <v>413</v>
      </c>
      <c r="G59" s="106"/>
      <c r="H59" s="104">
        <v>0</v>
      </c>
      <c r="I59" s="106">
        <f>SUMIF(合格品入货记录!E:E,样品!E59,合格品入货记录!G:G)</f>
        <v>0</v>
      </c>
      <c r="J59" s="106">
        <f>SUMIF(合格品出库记录!E:E,样品!E59,合格品出库记录!G:G)</f>
        <v>0</v>
      </c>
      <c r="K59" s="102">
        <f t="shared" si="2"/>
        <v>0</v>
      </c>
      <c r="L59" s="102">
        <f>SUMIF(不良品库存!D:D,E59:E104,不良品库存!F:F)</f>
        <v>0</v>
      </c>
      <c r="M59" s="113">
        <f t="shared" si="3"/>
        <v>0</v>
      </c>
      <c r="N59" s="104"/>
      <c r="O59" s="104"/>
      <c r="P59" s="32">
        <f>IFERROR(SUMIFS(合格品入货记录!$G:$G,合格品入货记录!$A:$A,样品!P$3,合格品入货记录!$E:$E,样品!$E59)," ")</f>
        <v>0</v>
      </c>
      <c r="Q59" s="32">
        <f>SUMIFS(合格品入货记录!$G:$G,合格品入货记录!$A:$A,样品!Q$3,合格品入货记录!$E:$E,样品!$E59)</f>
        <v>0</v>
      </c>
      <c r="R59" s="32">
        <f>SUMIFS(合格品入货记录!$G:$G,合格品入货记录!$A:$A,样品!R$3,合格品入货记录!$E:$E,样品!$E59)</f>
        <v>0</v>
      </c>
      <c r="S59" s="32">
        <f>SUMIFS(合格品入货记录!$G:$G,合格品入货记录!$A:$A,样品!S$3,合格品入货记录!$E:$E,样品!$E59)</f>
        <v>0</v>
      </c>
      <c r="T59" s="32">
        <f>SUMIFS(合格品入货记录!$G:$G,合格品入货记录!$A:$A,样品!T$3,合格品入货记录!$E:$E,样品!$E59)</f>
        <v>0</v>
      </c>
      <c r="U59" s="32">
        <f>SUMIFS(合格品入货记录!$G:$G,合格品入货记录!$A:$A,样品!U$3,合格品入货记录!$E:$E,样品!$E59)</f>
        <v>0</v>
      </c>
      <c r="V59" s="32">
        <f>SUMIFS(合格品入货记录!$G:$G,合格品入货记录!$A:$A,样品!V$3,合格品入货记录!$E:$E,样品!$E59)</f>
        <v>0</v>
      </c>
      <c r="W59" s="32">
        <f>SUMIFS(合格品入货记录!$G:$G,合格品入货记录!$A:$A,样品!W$3,合格品入货记录!$E:$E,样品!$E59)</f>
        <v>0</v>
      </c>
      <c r="X59" s="32">
        <f>SUMIFS(合格品入货记录!$G:$G,合格品入货记录!$A:$A,样品!X$3,合格品入货记录!$E:$E,样品!$E59)</f>
        <v>0</v>
      </c>
      <c r="Y59" s="32">
        <f>SUMIFS(合格品入货记录!$G:$G,合格品入货记录!$A:$A,样品!Y$3,合格品入货记录!$E:$E,样品!$E59)</f>
        <v>0</v>
      </c>
      <c r="Z59" s="32">
        <f>SUMIFS(合格品入货记录!$G:$G,合格品入货记录!$A:$A,样品!Z$3,合格品入货记录!$E:$E,样品!$E59)</f>
        <v>0</v>
      </c>
      <c r="AA59" s="32">
        <f>SUMIFS(合格品入货记录!$G:$G,合格品入货记录!$A:$A,样品!AA$3,合格品入货记录!$E:$E,样品!$E59)</f>
        <v>0</v>
      </c>
      <c r="AB59" s="32">
        <f>SUMIFS(合格品入货记录!$G:$G,合格品入货记录!$A:$A,样品!AB$3,合格品入货记录!$E:$E,样品!$E59)</f>
        <v>0</v>
      </c>
      <c r="AC59" s="32">
        <f>SUMIFS(合格品入货记录!$G:$G,合格品入货记录!$A:$A,样品!AC$3,合格品入货记录!$E:$E,样品!$E59)</f>
        <v>0</v>
      </c>
      <c r="AD59" s="32">
        <f>SUMIFS(合格品入货记录!$G:$G,合格品入货记录!$A:$A,样品!AD$3,合格品入货记录!$E:$E,样品!$E59)</f>
        <v>0</v>
      </c>
      <c r="AE59" s="32">
        <f>SUMIFS(合格品入货记录!$G:$G,合格品入货记录!$A:$A,样品!AE$3,合格品入货记录!$E:$E,样品!$E59)</f>
        <v>0</v>
      </c>
      <c r="AF59" s="32">
        <f>SUMIFS(合格品入货记录!$G:$G,合格品入货记录!$A:$A,样品!AF$3,合格品入货记录!$E:$E,样品!$E59)</f>
        <v>0</v>
      </c>
      <c r="AG59" s="32">
        <f>SUMIFS(合格品入货记录!$G:$G,合格品入货记录!$A:$A,样品!AG$3,合格品入货记录!$E:$E,样品!$E59)</f>
        <v>0</v>
      </c>
      <c r="AH59" s="32">
        <f>SUMIFS(合格品入货记录!$G:$G,合格品入货记录!$A:$A,样品!AH$3,合格品入货记录!$E:$E,样品!$E59)</f>
        <v>0</v>
      </c>
      <c r="AI59" s="32">
        <f>SUMIFS(合格品入货记录!$G:$G,合格品入货记录!$A:$A,样品!AI$3,合格品入货记录!$E:$E,样品!$E59)</f>
        <v>0</v>
      </c>
      <c r="AJ59" s="32">
        <f>SUMIFS(合格品入货记录!$G:$G,合格品入货记录!$A:$A,样品!AJ$3,合格品入货记录!$E:$E,样品!$E59)</f>
        <v>0</v>
      </c>
      <c r="AK59" s="32">
        <f>SUMIFS(合格品入货记录!$G:$G,合格品入货记录!$A:$A,样品!AK$3,合格品入货记录!$E:$E,样品!$E59)</f>
        <v>0</v>
      </c>
      <c r="AL59" s="32">
        <f>SUMIFS(合格品入货记录!$G:$G,合格品入货记录!$A:$A,样品!AL$3,合格品入货记录!$E:$E,样品!$E59)</f>
        <v>0</v>
      </c>
      <c r="AM59" s="32">
        <f>SUMIFS(合格品入货记录!$G:$G,合格品入货记录!$A:$A,样品!AM$3,合格品入货记录!$E:$E,样品!$E59)</f>
        <v>0</v>
      </c>
      <c r="AN59" s="32">
        <f>SUMIFS(合格品入货记录!$G:$G,合格品入货记录!$A:$A,样品!AN$3,合格品入货记录!$E:$E,样品!$E59)</f>
        <v>0</v>
      </c>
      <c r="AO59" s="32">
        <f>SUMIFS(合格品入货记录!$G:$G,合格品入货记录!$A:$A,样品!AO$3,合格品入货记录!$E:$E,样品!$E59)</f>
        <v>0</v>
      </c>
      <c r="AP59" s="32">
        <f>SUMIFS(合格品入货记录!$G:$G,合格品入货记录!$A:$A,样品!AP$3,合格品入货记录!$E:$E,样品!$E59)</f>
        <v>0</v>
      </c>
      <c r="AQ59" s="32">
        <f>SUMIFS(合格品入货记录!$G:$G,合格品入货记录!$A:$A,样品!AQ$3,合格品入货记录!$E:$E,样品!$E59)</f>
        <v>0</v>
      </c>
      <c r="AR59" s="32">
        <f>SUMIFS(合格品入货记录!$G:$G,合格品入货记录!$A:$A,样品!AR$3,合格品入货记录!$E:$E,样品!$E59)</f>
        <v>0</v>
      </c>
      <c r="AS59" s="32">
        <f>SUMIFS(合格品入货记录!$G:$G,合格品入货记录!$A:$A,样品!AS$3,合格品入货记录!$E:$E,样品!$E59)</f>
        <v>0</v>
      </c>
      <c r="AT59" s="32">
        <f>SUMIFS(合格品入货记录!$G:$G,合格品入货记录!$A:$A,样品!AT$3,合格品入货记录!$E:$E,样品!$E59)</f>
        <v>0</v>
      </c>
      <c r="AU59" s="32">
        <f>SUMIFS(合格品入货记录!$G:$G,合格品入货记录!$A:$A,样品!AU$3,合格品入货记录!$E:$E,样品!$E59)</f>
        <v>0</v>
      </c>
      <c r="AV59" s="32">
        <f>SUMIFS(合格品入货记录!$G:$G,合格品入货记录!$A:$A,样品!AV$3,合格品入货记录!$E:$E,样品!$E59)</f>
        <v>0</v>
      </c>
      <c r="AW59" s="32">
        <f>SUMIFS(合格品入货记录!$G:$G,合格品入货记录!$A:$A,样品!AW$3,合格品入货记录!$E:$E,样品!$E59)</f>
        <v>0</v>
      </c>
      <c r="AX59" s="32">
        <f>SUMIFS(合格品入货记录!$G:$G,合格品入货记录!$A:$A,样品!AX$3,合格品入货记录!$E:$E,样品!$E59)</f>
        <v>0</v>
      </c>
      <c r="AY59" s="32">
        <f>SUMIFS(合格品入货记录!$G:$G,合格品入货记录!$A:$A,样品!AY$3,合格品入货记录!$E:$E,样品!$E59)</f>
        <v>0</v>
      </c>
      <c r="AZ59" s="32">
        <f>SUMIFS(合格品入货记录!$G:$G,合格品入货记录!$A:$A,样品!AZ$3,合格品入货记录!$E:$E,样品!$E59)</f>
        <v>0</v>
      </c>
      <c r="BA59" s="32">
        <f>SUMIFS(合格品入货记录!$G:$G,合格品入货记录!$A:$A,样品!BA$3,合格品入货记录!$E:$E,样品!$E59)</f>
        <v>0</v>
      </c>
      <c r="BB59" s="32">
        <f>SUMIFS(合格品入货记录!$G:$G,合格品入货记录!$A:$A,样品!BB$3,合格品入货记录!$E:$E,样品!$E59)</f>
        <v>0</v>
      </c>
      <c r="BC59" s="32">
        <f>SUMIFS(合格品入货记录!$G:$G,合格品入货记录!$A:$A,样品!BC$3,合格品入货记录!$E:$E,样品!$E59)</f>
        <v>0</v>
      </c>
      <c r="BD59" s="32">
        <f>SUMIFS(合格品入货记录!$G:$G,合格品入货记录!$A:$A,样品!BD$3,合格品入货记录!$E:$E,样品!$E59)</f>
        <v>0</v>
      </c>
      <c r="BE59" s="32">
        <f>SUMIFS(合格品入货记录!$G:$G,合格品入货记录!$A:$A,样品!BE$3,合格品入货记录!$E:$E,样品!$E59)</f>
        <v>0</v>
      </c>
      <c r="BF59" s="32">
        <f>SUMIFS(合格品入货记录!$G:$G,合格品入货记录!$A:$A,样品!BF$3,合格品入货记录!$E:$E,样品!$E59)</f>
        <v>0</v>
      </c>
      <c r="BG59" s="32">
        <f>SUMIFS(合格品入货记录!$G:$G,合格品入货记录!$A:$A,样品!BG$3,合格品入货记录!$E:$E,样品!$E59)</f>
        <v>0</v>
      </c>
      <c r="BH59" s="32">
        <f>SUMIFS(合格品入货记录!$G:$G,合格品入货记录!$A:$A,样品!BH$3,合格品入货记录!$E:$E,样品!$E59)</f>
        <v>0</v>
      </c>
      <c r="BI59" s="32">
        <f>SUMIFS(合格品入货记录!$G:$G,合格品入货记录!$A:$A,样品!BI$3,合格品入货记录!$E:$E,样品!$E59)</f>
        <v>0</v>
      </c>
      <c r="BJ59" s="32">
        <f>SUMIFS(合格品入货记录!$G:$G,合格品入货记录!$A:$A,样品!BJ$3,合格品入货记录!$E:$E,样品!$E59)</f>
        <v>0</v>
      </c>
      <c r="BK59" s="32">
        <f>SUMIFS(合格品入货记录!$G:$G,合格品入货记录!$A:$A,样品!BK$3,合格品入货记录!$E:$E,样品!$E59)</f>
        <v>0</v>
      </c>
      <c r="BL59" s="32">
        <f>SUMIFS(合格品入货记录!$G:$G,合格品入货记录!$A:$A,样品!BL$3,合格品入货记录!$E:$E,样品!$E59)</f>
        <v>0</v>
      </c>
      <c r="BM59" s="32">
        <f>SUMIFS(合格品入货记录!$G:$G,合格品入货记录!$A:$A,样品!BM$3,合格品入货记录!$E:$E,样品!$E59)</f>
        <v>0</v>
      </c>
      <c r="BN59" s="32">
        <f>SUMIFS(合格品入货记录!$G:$G,合格品入货记录!$A:$A,样品!BN$3,合格品入货记录!$E:$E,样品!$E59)</f>
        <v>0</v>
      </c>
      <c r="BO59" s="32">
        <f>SUMIFS(合格品入货记录!$G:$G,合格品入货记录!$A:$A,样品!BO$3,合格品入货记录!$E:$E,样品!$E59)</f>
        <v>0</v>
      </c>
      <c r="BP59" s="32">
        <f>SUMIFS(合格品入货记录!$G:$G,合格品入货记录!$A:$A,样品!BP$3,合格品入货记录!$E:$E,样品!$E59)</f>
        <v>0</v>
      </c>
      <c r="BQ59" s="32">
        <f>SUMIFS(合格品入货记录!$G:$G,合格品入货记录!$A:$A,样品!BQ$3,合格品入货记录!$E:$E,样品!$E59)</f>
        <v>0</v>
      </c>
      <c r="BR59" s="32">
        <f>SUMIFS(合格品入货记录!$G:$G,合格品入货记录!$A:$A,样品!BR$3,合格品入货记录!$E:$E,样品!$E59)</f>
        <v>0</v>
      </c>
      <c r="BS59" s="32">
        <f>SUMIFS(合格品入货记录!$G:$G,合格品入货记录!$A:$A,样品!BS$3,合格品入货记录!$E:$E,样品!$E59)</f>
        <v>0</v>
      </c>
      <c r="BT59" s="32">
        <f>SUMIFS(合格品入货记录!$G:$G,合格品入货记录!$A:$A,样品!BT$3,合格品入货记录!$E:$E,样品!$E59)</f>
        <v>0</v>
      </c>
      <c r="BU59" s="32">
        <f>SUMIFS(合格品入货记录!$G:$G,合格品入货记录!$A:$A,样品!BU$3,合格品入货记录!$E:$E,样品!$E59)</f>
        <v>0</v>
      </c>
      <c r="BV59" s="32">
        <f>SUMIFS(合格品入货记录!$G:$G,合格品入货记录!$A:$A,样品!BV$3,合格品入货记录!$E:$E,样品!$E59)</f>
        <v>0</v>
      </c>
      <c r="BW59" s="32">
        <f>SUMIFS(合格品入货记录!$G:$G,合格品入货记录!$A:$A,样品!BW$3,合格品入货记录!$E:$E,样品!$E59)</f>
        <v>0</v>
      </c>
      <c r="BX59" s="32">
        <f>SUMIFS(合格品入货记录!$G:$G,合格品入货记录!$A:$A,样品!BX$3,合格品入货记录!$E:$E,样品!$E59)</f>
        <v>0</v>
      </c>
      <c r="BY59" s="32">
        <f>SUMIFS(合格品入货记录!$G:$G,合格品入货记录!$A:$A,样品!BY$3,合格品入货记录!$E:$E,样品!$E59)</f>
        <v>0</v>
      </c>
      <c r="BZ59" s="126"/>
      <c r="CA59" s="126"/>
      <c r="CB59" s="125"/>
      <c r="CC59" s="125"/>
      <c r="CD59" s="130"/>
    </row>
    <row r="60" s="90" customFormat="1" customHeight="1" spans="1:82">
      <c r="A60" s="31">
        <v>61</v>
      </c>
      <c r="B60" s="104" t="s">
        <v>19</v>
      </c>
      <c r="C60" s="105" t="s">
        <v>20</v>
      </c>
      <c r="D60" s="22" t="s">
        <v>414</v>
      </c>
      <c r="E60" s="31" t="s">
        <v>415</v>
      </c>
      <c r="F60" s="105" t="s">
        <v>416</v>
      </c>
      <c r="G60" s="106"/>
      <c r="H60" s="104">
        <v>0</v>
      </c>
      <c r="I60" s="106">
        <f>SUMIF(合格品入货记录!E:E,样品!E60,合格品入货记录!G:G)</f>
        <v>0</v>
      </c>
      <c r="J60" s="106">
        <f>SUMIF(合格品出库记录!E:E,样品!E60,合格品出库记录!G:G)</f>
        <v>0</v>
      </c>
      <c r="K60" s="102">
        <f t="shared" si="2"/>
        <v>0</v>
      </c>
      <c r="L60" s="102">
        <f>SUMIF(不良品库存!D:D,E60:E105,不良品库存!F:F)</f>
        <v>0</v>
      </c>
      <c r="M60" s="113">
        <f t="shared" si="3"/>
        <v>0</v>
      </c>
      <c r="N60" s="104"/>
      <c r="O60" s="104"/>
      <c r="P60" s="32">
        <f>IFERROR(SUMIFS(合格品入货记录!$G:$G,合格品入货记录!$A:$A,样品!P$3,合格品入货记录!$E:$E,样品!$E60)," ")</f>
        <v>0</v>
      </c>
      <c r="Q60" s="32">
        <f>SUMIFS(合格品入货记录!$G:$G,合格品入货记录!$A:$A,样品!Q$3,合格品入货记录!$E:$E,样品!$E60)</f>
        <v>0</v>
      </c>
      <c r="R60" s="32">
        <f>SUMIFS(合格品入货记录!$G:$G,合格品入货记录!$A:$A,样品!R$3,合格品入货记录!$E:$E,样品!$E60)</f>
        <v>0</v>
      </c>
      <c r="S60" s="32">
        <f>SUMIFS(合格品入货记录!$G:$G,合格品入货记录!$A:$A,样品!S$3,合格品入货记录!$E:$E,样品!$E60)</f>
        <v>0</v>
      </c>
      <c r="T60" s="32">
        <f>SUMIFS(合格品入货记录!$G:$G,合格品入货记录!$A:$A,样品!T$3,合格品入货记录!$E:$E,样品!$E60)</f>
        <v>0</v>
      </c>
      <c r="U60" s="32">
        <f>SUMIFS(合格品入货记录!$G:$G,合格品入货记录!$A:$A,样品!U$3,合格品入货记录!$E:$E,样品!$E60)</f>
        <v>0</v>
      </c>
      <c r="V60" s="32">
        <f>SUMIFS(合格品入货记录!$G:$G,合格品入货记录!$A:$A,样品!V$3,合格品入货记录!$E:$E,样品!$E60)</f>
        <v>0</v>
      </c>
      <c r="W60" s="32">
        <f>SUMIFS(合格品入货记录!$G:$G,合格品入货记录!$A:$A,样品!W$3,合格品入货记录!$E:$E,样品!$E60)</f>
        <v>0</v>
      </c>
      <c r="X60" s="32">
        <f>SUMIFS(合格品入货记录!$G:$G,合格品入货记录!$A:$A,样品!X$3,合格品入货记录!$E:$E,样品!$E60)</f>
        <v>0</v>
      </c>
      <c r="Y60" s="32">
        <f>SUMIFS(合格品入货记录!$G:$G,合格品入货记录!$A:$A,样品!Y$3,合格品入货记录!$E:$E,样品!$E60)</f>
        <v>0</v>
      </c>
      <c r="Z60" s="32">
        <f>SUMIFS(合格品入货记录!$G:$G,合格品入货记录!$A:$A,样品!Z$3,合格品入货记录!$E:$E,样品!$E60)</f>
        <v>0</v>
      </c>
      <c r="AA60" s="32">
        <f>SUMIFS(合格品入货记录!$G:$G,合格品入货记录!$A:$A,样品!AA$3,合格品入货记录!$E:$E,样品!$E60)</f>
        <v>0</v>
      </c>
      <c r="AB60" s="32">
        <f>SUMIFS(合格品入货记录!$G:$G,合格品入货记录!$A:$A,样品!AB$3,合格品入货记录!$E:$E,样品!$E60)</f>
        <v>0</v>
      </c>
      <c r="AC60" s="32">
        <f>SUMIFS(合格品入货记录!$G:$G,合格品入货记录!$A:$A,样品!AC$3,合格品入货记录!$E:$E,样品!$E60)</f>
        <v>0</v>
      </c>
      <c r="AD60" s="32">
        <f>SUMIFS(合格品入货记录!$G:$G,合格品入货记录!$A:$A,样品!AD$3,合格品入货记录!$E:$E,样品!$E60)</f>
        <v>0</v>
      </c>
      <c r="AE60" s="32">
        <f>SUMIFS(合格品入货记录!$G:$G,合格品入货记录!$A:$A,样品!AE$3,合格品入货记录!$E:$E,样品!$E60)</f>
        <v>0</v>
      </c>
      <c r="AF60" s="32">
        <f>SUMIFS(合格品入货记录!$G:$G,合格品入货记录!$A:$A,样品!AF$3,合格品入货记录!$E:$E,样品!$E60)</f>
        <v>0</v>
      </c>
      <c r="AG60" s="32">
        <f>SUMIFS(合格品入货记录!$G:$G,合格品入货记录!$A:$A,样品!AG$3,合格品入货记录!$E:$E,样品!$E60)</f>
        <v>0</v>
      </c>
      <c r="AH60" s="32">
        <f>SUMIFS(合格品入货记录!$G:$G,合格品入货记录!$A:$A,样品!AH$3,合格品入货记录!$E:$E,样品!$E60)</f>
        <v>0</v>
      </c>
      <c r="AI60" s="32">
        <f>SUMIFS(合格品入货记录!$G:$G,合格品入货记录!$A:$A,样品!AI$3,合格品入货记录!$E:$E,样品!$E60)</f>
        <v>0</v>
      </c>
      <c r="AJ60" s="32">
        <f>SUMIFS(合格品入货记录!$G:$G,合格品入货记录!$A:$A,样品!AJ$3,合格品入货记录!$E:$E,样品!$E60)</f>
        <v>0</v>
      </c>
      <c r="AK60" s="32">
        <f>SUMIFS(合格品入货记录!$G:$G,合格品入货记录!$A:$A,样品!AK$3,合格品入货记录!$E:$E,样品!$E60)</f>
        <v>0</v>
      </c>
      <c r="AL60" s="32">
        <f>SUMIFS(合格品入货记录!$G:$G,合格品入货记录!$A:$A,样品!AL$3,合格品入货记录!$E:$E,样品!$E60)</f>
        <v>0</v>
      </c>
      <c r="AM60" s="32">
        <f>SUMIFS(合格品入货记录!$G:$G,合格品入货记录!$A:$A,样品!AM$3,合格品入货记录!$E:$E,样品!$E60)</f>
        <v>0</v>
      </c>
      <c r="AN60" s="32">
        <f>SUMIFS(合格品入货记录!$G:$G,合格品入货记录!$A:$A,样品!AN$3,合格品入货记录!$E:$E,样品!$E60)</f>
        <v>0</v>
      </c>
      <c r="AO60" s="32">
        <f>SUMIFS(合格品入货记录!$G:$G,合格品入货记录!$A:$A,样品!AO$3,合格品入货记录!$E:$E,样品!$E60)</f>
        <v>0</v>
      </c>
      <c r="AP60" s="32">
        <f>SUMIFS(合格品入货记录!$G:$G,合格品入货记录!$A:$A,样品!AP$3,合格品入货记录!$E:$E,样品!$E60)</f>
        <v>0</v>
      </c>
      <c r="AQ60" s="32">
        <f>SUMIFS(合格品入货记录!$G:$G,合格品入货记录!$A:$A,样品!AQ$3,合格品入货记录!$E:$E,样品!$E60)</f>
        <v>0</v>
      </c>
      <c r="AR60" s="32">
        <f>SUMIFS(合格品入货记录!$G:$G,合格品入货记录!$A:$A,样品!AR$3,合格品入货记录!$E:$E,样品!$E60)</f>
        <v>0</v>
      </c>
      <c r="AS60" s="32">
        <f>SUMIFS(合格品入货记录!$G:$G,合格品入货记录!$A:$A,样品!AS$3,合格品入货记录!$E:$E,样品!$E60)</f>
        <v>0</v>
      </c>
      <c r="AT60" s="32">
        <f>SUMIFS(合格品入货记录!$G:$G,合格品入货记录!$A:$A,样品!AT$3,合格品入货记录!$E:$E,样品!$E60)</f>
        <v>0</v>
      </c>
      <c r="AU60" s="32">
        <f>SUMIFS(合格品入货记录!$G:$G,合格品入货记录!$A:$A,样品!AU$3,合格品入货记录!$E:$E,样品!$E60)</f>
        <v>0</v>
      </c>
      <c r="AV60" s="32">
        <f>SUMIFS(合格品入货记录!$G:$G,合格品入货记录!$A:$A,样品!AV$3,合格品入货记录!$E:$E,样品!$E60)</f>
        <v>0</v>
      </c>
      <c r="AW60" s="32">
        <f>SUMIFS(合格品入货记录!$G:$G,合格品入货记录!$A:$A,样品!AW$3,合格品入货记录!$E:$E,样品!$E60)</f>
        <v>0</v>
      </c>
      <c r="AX60" s="32">
        <f>SUMIFS(合格品入货记录!$G:$G,合格品入货记录!$A:$A,样品!AX$3,合格品入货记录!$E:$E,样品!$E60)</f>
        <v>0</v>
      </c>
      <c r="AY60" s="32">
        <f>SUMIFS(合格品入货记录!$G:$G,合格品入货记录!$A:$A,样品!AY$3,合格品入货记录!$E:$E,样品!$E60)</f>
        <v>0</v>
      </c>
      <c r="AZ60" s="32">
        <f>SUMIFS(合格品入货记录!$G:$G,合格品入货记录!$A:$A,样品!AZ$3,合格品入货记录!$E:$E,样品!$E60)</f>
        <v>0</v>
      </c>
      <c r="BA60" s="32">
        <f>SUMIFS(合格品入货记录!$G:$G,合格品入货记录!$A:$A,样品!BA$3,合格品入货记录!$E:$E,样品!$E60)</f>
        <v>0</v>
      </c>
      <c r="BB60" s="32">
        <f>SUMIFS(合格品入货记录!$G:$G,合格品入货记录!$A:$A,样品!BB$3,合格品入货记录!$E:$E,样品!$E60)</f>
        <v>0</v>
      </c>
      <c r="BC60" s="32">
        <f>SUMIFS(合格品入货记录!$G:$G,合格品入货记录!$A:$A,样品!BC$3,合格品入货记录!$E:$E,样品!$E60)</f>
        <v>0</v>
      </c>
      <c r="BD60" s="32">
        <f>SUMIFS(合格品入货记录!$G:$G,合格品入货记录!$A:$A,样品!BD$3,合格品入货记录!$E:$E,样品!$E60)</f>
        <v>0</v>
      </c>
      <c r="BE60" s="32">
        <f>SUMIFS(合格品入货记录!$G:$G,合格品入货记录!$A:$A,样品!BE$3,合格品入货记录!$E:$E,样品!$E60)</f>
        <v>0</v>
      </c>
      <c r="BF60" s="32">
        <f>SUMIFS(合格品入货记录!$G:$G,合格品入货记录!$A:$A,样品!BF$3,合格品入货记录!$E:$E,样品!$E60)</f>
        <v>0</v>
      </c>
      <c r="BG60" s="32">
        <f>SUMIFS(合格品入货记录!$G:$G,合格品入货记录!$A:$A,样品!BG$3,合格品入货记录!$E:$E,样品!$E60)</f>
        <v>0</v>
      </c>
      <c r="BH60" s="32">
        <f>SUMIFS(合格品入货记录!$G:$G,合格品入货记录!$A:$A,样品!BH$3,合格品入货记录!$E:$E,样品!$E60)</f>
        <v>0</v>
      </c>
      <c r="BI60" s="32">
        <f>SUMIFS(合格品入货记录!$G:$G,合格品入货记录!$A:$A,样品!BI$3,合格品入货记录!$E:$E,样品!$E60)</f>
        <v>0</v>
      </c>
      <c r="BJ60" s="32">
        <f>SUMIFS(合格品入货记录!$G:$G,合格品入货记录!$A:$A,样品!BJ$3,合格品入货记录!$E:$E,样品!$E60)</f>
        <v>0</v>
      </c>
      <c r="BK60" s="32">
        <f>SUMIFS(合格品入货记录!$G:$G,合格品入货记录!$A:$A,样品!BK$3,合格品入货记录!$E:$E,样品!$E60)</f>
        <v>0</v>
      </c>
      <c r="BL60" s="32">
        <f>SUMIFS(合格品入货记录!$G:$G,合格品入货记录!$A:$A,样品!BL$3,合格品入货记录!$E:$E,样品!$E60)</f>
        <v>0</v>
      </c>
      <c r="BM60" s="32">
        <f>SUMIFS(合格品入货记录!$G:$G,合格品入货记录!$A:$A,样品!BM$3,合格品入货记录!$E:$E,样品!$E60)</f>
        <v>0</v>
      </c>
      <c r="BN60" s="32">
        <f>SUMIFS(合格品入货记录!$G:$G,合格品入货记录!$A:$A,样品!BN$3,合格品入货记录!$E:$E,样品!$E60)</f>
        <v>0</v>
      </c>
      <c r="BO60" s="32">
        <f>SUMIFS(合格品入货记录!$G:$G,合格品入货记录!$A:$A,样品!BO$3,合格品入货记录!$E:$E,样品!$E60)</f>
        <v>0</v>
      </c>
      <c r="BP60" s="32">
        <f>SUMIFS(合格品入货记录!$G:$G,合格品入货记录!$A:$A,样品!BP$3,合格品入货记录!$E:$E,样品!$E60)</f>
        <v>0</v>
      </c>
      <c r="BQ60" s="32">
        <f>SUMIFS(合格品入货记录!$G:$G,合格品入货记录!$A:$A,样品!BQ$3,合格品入货记录!$E:$E,样品!$E60)</f>
        <v>0</v>
      </c>
      <c r="BR60" s="32">
        <f>SUMIFS(合格品入货记录!$G:$G,合格品入货记录!$A:$A,样品!BR$3,合格品入货记录!$E:$E,样品!$E60)</f>
        <v>0</v>
      </c>
      <c r="BS60" s="32">
        <f>SUMIFS(合格品入货记录!$G:$G,合格品入货记录!$A:$A,样品!BS$3,合格品入货记录!$E:$E,样品!$E60)</f>
        <v>0</v>
      </c>
      <c r="BT60" s="32">
        <f>SUMIFS(合格品入货记录!$G:$G,合格品入货记录!$A:$A,样品!BT$3,合格品入货记录!$E:$E,样品!$E60)</f>
        <v>0</v>
      </c>
      <c r="BU60" s="32">
        <f>SUMIFS(合格品入货记录!$G:$G,合格品入货记录!$A:$A,样品!BU$3,合格品入货记录!$E:$E,样品!$E60)</f>
        <v>0</v>
      </c>
      <c r="BV60" s="32">
        <f>SUMIFS(合格品入货记录!$G:$G,合格品入货记录!$A:$A,样品!BV$3,合格品入货记录!$E:$E,样品!$E60)</f>
        <v>0</v>
      </c>
      <c r="BW60" s="32">
        <f>SUMIFS(合格品入货记录!$G:$G,合格品入货记录!$A:$A,样品!BW$3,合格品入货记录!$E:$E,样品!$E60)</f>
        <v>0</v>
      </c>
      <c r="BX60" s="32">
        <f>SUMIFS(合格品入货记录!$G:$G,合格品入货记录!$A:$A,样品!BX$3,合格品入货记录!$E:$E,样品!$E60)</f>
        <v>0</v>
      </c>
      <c r="BY60" s="32">
        <f>SUMIFS(合格品入货记录!$G:$G,合格品入货记录!$A:$A,样品!BY$3,合格品入货记录!$E:$E,样品!$E60)</f>
        <v>0</v>
      </c>
      <c r="BZ60" s="126"/>
      <c r="CA60" s="126"/>
      <c r="CB60" s="125"/>
      <c r="CC60" s="125"/>
      <c r="CD60" s="130"/>
    </row>
  </sheetData>
  <sheetProtection selectLockedCells="1" selectUnlockedCells="1"/>
  <autoFilter xmlns:etc="http://www.wps.cn/officeDocument/2017/etCustomData" ref="A3:CD60" etc:filterBottomFollowUsedRange="0">
    <extLst/>
  </autoFilter>
  <mergeCells count="20">
    <mergeCell ref="A1:E1"/>
    <mergeCell ref="P1:AT1"/>
    <mergeCell ref="AU1:CA1"/>
    <mergeCell ref="P2:AT2"/>
    <mergeCell ref="AU2:BY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E6">
    <cfRule type="duplicateValues" dxfId="0" priority="14438"/>
  </conditionalFormatting>
  <conditionalFormatting sqref="E7">
    <cfRule type="duplicateValues" dxfId="0" priority="14436"/>
  </conditionalFormatting>
  <conditionalFormatting sqref="E8">
    <cfRule type="duplicateValues" dxfId="0" priority="14437"/>
  </conditionalFormatting>
  <conditionalFormatting sqref="E9">
    <cfRule type="duplicateValues" dxfId="0" priority="14435"/>
  </conditionalFormatting>
  <conditionalFormatting sqref="E10">
    <cfRule type="duplicateValues" dxfId="0" priority="210"/>
  </conditionalFormatting>
  <conditionalFormatting sqref="E11">
    <cfRule type="duplicateValues" dxfId="0" priority="204"/>
  </conditionalFormatting>
  <conditionalFormatting sqref="E14">
    <cfRule type="duplicateValues" dxfId="0" priority="197"/>
  </conditionalFormatting>
  <conditionalFormatting sqref="E21">
    <cfRule type="duplicateValues" dxfId="0" priority="183"/>
  </conditionalFormatting>
  <conditionalFormatting sqref="E24">
    <cfRule type="duplicateValues" dxfId="0" priority="14434"/>
  </conditionalFormatting>
  <conditionalFormatting sqref="E35">
    <cfRule type="duplicateValues" dxfId="0" priority="120"/>
  </conditionalFormatting>
  <conditionalFormatting sqref="E36">
    <cfRule type="duplicateValues" dxfId="0" priority="14439"/>
  </conditionalFormatting>
  <conditionalFormatting sqref="E37">
    <cfRule type="duplicateValues" dxfId="0" priority="117"/>
  </conditionalFormatting>
  <conditionalFormatting sqref="E38">
    <cfRule type="duplicateValues" dxfId="0" priority="96"/>
  </conditionalFormatting>
  <conditionalFormatting sqref="E39">
    <cfRule type="duplicateValues" dxfId="0" priority="76"/>
  </conditionalFormatting>
  <conditionalFormatting sqref="E40">
    <cfRule type="duplicateValues" dxfId="0" priority="75"/>
  </conditionalFormatting>
  <conditionalFormatting sqref="E41">
    <cfRule type="duplicateValues" dxfId="0" priority="68"/>
  </conditionalFormatting>
  <conditionalFormatting sqref="D52:D58">
    <cfRule type="duplicateValues" dxfId="0" priority="10"/>
  </conditionalFormatting>
  <conditionalFormatting sqref="D54:D58">
    <cfRule type="duplicateValues" dxfId="0" priority="9"/>
  </conditionalFormatting>
  <conditionalFormatting sqref="D59:D60">
    <cfRule type="duplicateValues" dxfId="0" priority="1"/>
  </conditionalFormatting>
  <conditionalFormatting sqref="E2:E3">
    <cfRule type="duplicateValues" dxfId="0" priority="569"/>
  </conditionalFormatting>
  <conditionalFormatting sqref="E4:E5">
    <cfRule type="duplicateValues" dxfId="0" priority="270"/>
  </conditionalFormatting>
  <conditionalFormatting sqref="E12:E13">
    <cfRule type="duplicateValues" dxfId="0" priority="198"/>
  </conditionalFormatting>
  <conditionalFormatting sqref="E15:E16">
    <cfRule type="duplicateValues" dxfId="0" priority="186"/>
  </conditionalFormatting>
  <conditionalFormatting sqref="E17:E18">
    <cfRule type="duplicateValues" dxfId="0" priority="185"/>
  </conditionalFormatting>
  <conditionalFormatting sqref="E19:E20">
    <cfRule type="duplicateValues" dxfId="0" priority="184"/>
  </conditionalFormatting>
  <conditionalFormatting sqref="E22:E23">
    <cfRule type="duplicateValues" dxfId="0" priority="162"/>
  </conditionalFormatting>
  <conditionalFormatting sqref="E25:E26">
    <cfRule type="duplicateValues" dxfId="0" priority="160"/>
  </conditionalFormatting>
  <conditionalFormatting sqref="E27:E28">
    <cfRule type="duplicateValues" dxfId="0" priority="159"/>
  </conditionalFormatting>
  <conditionalFormatting sqref="E29:E30">
    <cfRule type="duplicateValues" dxfId="0" priority="158"/>
  </conditionalFormatting>
  <conditionalFormatting sqref="E31:E32">
    <cfRule type="duplicateValues" dxfId="0" priority="157"/>
  </conditionalFormatting>
  <conditionalFormatting sqref="E33:E34">
    <cfRule type="duplicateValues" dxfId="0" priority="156"/>
  </conditionalFormatting>
  <conditionalFormatting sqref="E42:E43">
    <cfRule type="duplicateValues" dxfId="0" priority="61"/>
  </conditionalFormatting>
  <conditionalFormatting sqref="E44:E50">
    <cfRule type="duplicateValues" dxfId="0" priority="55"/>
  </conditionalFormatting>
  <conditionalFormatting sqref="E46:E50">
    <cfRule type="duplicateValues" dxfId="0" priority="54"/>
  </conditionalFormatting>
  <conditionalFormatting sqref="E51:E58">
    <cfRule type="duplicateValues" dxfId="0" priority="14678"/>
    <cfRule type="duplicateValues" dxfId="0" priority="14679"/>
  </conditionalFormatting>
  <conditionalFormatting sqref="E59:E60">
    <cfRule type="duplicateValues" dxfId="0" priority="7"/>
    <cfRule type="duplicateValues" dxfId="0" priority="8"/>
  </conditionalFormatting>
  <conditionalFormatting sqref="M4:M58">
    <cfRule type="cellIs" dxfId="2" priority="16" operator="lessThan">
      <formula>100</formula>
    </cfRule>
    <cfRule type="cellIs" dxfId="3" priority="17" operator="greaterThan">
      <formula>170</formula>
    </cfRule>
  </conditionalFormatting>
  <conditionalFormatting sqref="M59:M60">
    <cfRule type="cellIs" dxfId="2" priority="5" operator="lessThan">
      <formula>100</formula>
    </cfRule>
    <cfRule type="cellIs" dxfId="3" priority="6" operator="greaterThan">
      <formula>170</formula>
    </cfRule>
  </conditionalFormatting>
  <conditionalFormatting sqref="I4:L58">
    <cfRule type="cellIs" dxfId="1" priority="13" stopIfTrue="1" operator="equal">
      <formula>0</formula>
    </cfRule>
  </conditionalFormatting>
  <conditionalFormatting sqref="I59:L60">
    <cfRule type="cellIs" dxfId="1" priority="4" stopIfTrue="1" operator="equal">
      <formula>0</formula>
    </cfRule>
  </conditionalFormatting>
  <pageMargins left="0.708244776162576" right="0.708244776162576" top="0.747823152016467" bottom="0.747823152016467" header="0.315238382872634" footer="0.315238382872634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1202"/>
  <sheetViews>
    <sheetView showGridLines="0" zoomScale="85" zoomScaleNormal="85" workbookViewId="0">
      <pane ySplit="1" topLeftCell="A41" activePane="bottomLeft" state="frozen"/>
      <selection/>
      <selection pane="bottomLeft" activeCell="E58" sqref="E58:F61"/>
    </sheetView>
  </sheetViews>
  <sheetFormatPr defaultColWidth="11.3333333333333" defaultRowHeight="19.95" customHeight="1"/>
  <cols>
    <col min="1" max="1" width="11.775" style="84" customWidth="1"/>
    <col min="2" max="2" width="8.10833333333333" style="29" customWidth="1"/>
    <col min="3" max="3" width="30.1083333333333" style="29" customWidth="1"/>
    <col min="4" max="4" width="20.3333333333333" style="29" customWidth="1"/>
    <col min="5" max="5" width="23" style="33" customWidth="1"/>
    <col min="6" max="6" width="29.3333333333333" style="29" customWidth="1"/>
    <col min="7" max="7" width="8.66666666666667" style="29" customWidth="1"/>
    <col min="8" max="8" width="19.775" style="29" customWidth="1"/>
    <col min="9" max="9" width="7.55833333333333" style="85" customWidth="1"/>
    <col min="10" max="10" width="127" style="29" customWidth="1"/>
    <col min="11" max="11" width="11.3333333333333" style="83"/>
    <col min="12" max="16384" width="11.3333333333333" style="86"/>
  </cols>
  <sheetData>
    <row r="1" s="83" customFormat="1" ht="21" customHeight="1" spans="1:11">
      <c r="A1" s="84" t="s">
        <v>417</v>
      </c>
      <c r="B1" s="29" t="s">
        <v>418</v>
      </c>
      <c r="C1" s="29" t="s">
        <v>3</v>
      </c>
      <c r="D1" s="29" t="s">
        <v>419</v>
      </c>
      <c r="E1" s="33" t="s">
        <v>5</v>
      </c>
      <c r="F1" s="29" t="s">
        <v>6</v>
      </c>
      <c r="G1" s="29" t="s">
        <v>420</v>
      </c>
      <c r="H1" s="29" t="s">
        <v>4</v>
      </c>
      <c r="I1" s="85" t="s">
        <v>421</v>
      </c>
      <c r="J1" s="29" t="s">
        <v>422</v>
      </c>
      <c r="K1" s="83" t="s">
        <v>422</v>
      </c>
    </row>
    <row r="2" customHeight="1" spans="1:10">
      <c r="A2" s="84">
        <v>46146</v>
      </c>
      <c r="B2" s="29" t="s">
        <v>19</v>
      </c>
      <c r="C2" s="29" t="s">
        <v>20</v>
      </c>
      <c r="D2" s="29" t="s">
        <v>423</v>
      </c>
      <c r="E2" s="33" t="s">
        <v>357</v>
      </c>
      <c r="F2" s="29" t="s">
        <v>358</v>
      </c>
      <c r="G2" s="29">
        <v>600</v>
      </c>
      <c r="H2" s="29" t="str">
        <f>VLOOKUP(E2,基础信息!C:E,3,FALSE)</f>
        <v>F06001000152</v>
      </c>
      <c r="J2" s="29" t="s">
        <v>424</v>
      </c>
    </row>
    <row r="3" customHeight="1" spans="1:10">
      <c r="A3" s="84">
        <v>46146</v>
      </c>
      <c r="B3" s="29" t="s">
        <v>19</v>
      </c>
      <c r="C3" s="29" t="s">
        <v>20</v>
      </c>
      <c r="D3" s="29" t="s">
        <v>423</v>
      </c>
      <c r="E3" s="33" t="s">
        <v>184</v>
      </c>
      <c r="F3" s="29" t="s">
        <v>185</v>
      </c>
      <c r="G3" s="29">
        <v>480</v>
      </c>
      <c r="H3" s="29" t="str">
        <f>VLOOKUP(E3,基础信息!C:E,3,FALSE)</f>
        <v>F01001001607</v>
      </c>
      <c r="J3" s="29" t="s">
        <v>424</v>
      </c>
    </row>
    <row r="4" customHeight="1" spans="1:10">
      <c r="A4" s="84">
        <v>46146</v>
      </c>
      <c r="B4" s="29" t="s">
        <v>19</v>
      </c>
      <c r="C4" s="29" t="s">
        <v>20</v>
      </c>
      <c r="D4" s="29" t="s">
        <v>423</v>
      </c>
      <c r="E4" s="33" t="s">
        <v>181</v>
      </c>
      <c r="F4" s="29" t="s">
        <v>182</v>
      </c>
      <c r="G4" s="29">
        <v>525</v>
      </c>
      <c r="H4" s="29" t="str">
        <f>VLOOKUP(E4,基础信息!C:E,3,FALSE)</f>
        <v>F01001001608</v>
      </c>
      <c r="J4" s="29" t="s">
        <v>424</v>
      </c>
    </row>
    <row r="5" customHeight="1" spans="1:10">
      <c r="A5" s="84">
        <v>46146</v>
      </c>
      <c r="B5" s="29" t="s">
        <v>19</v>
      </c>
      <c r="C5" s="29" t="s">
        <v>20</v>
      </c>
      <c r="D5" s="29" t="s">
        <v>423</v>
      </c>
      <c r="E5" s="33" t="s">
        <v>181</v>
      </c>
      <c r="F5" s="29" t="s">
        <v>182</v>
      </c>
      <c r="G5" s="29">
        <v>435</v>
      </c>
      <c r="H5" s="29" t="str">
        <f>VLOOKUP(E5,基础信息!C:E,3,FALSE)</f>
        <v>F01001001608</v>
      </c>
      <c r="J5" s="29" t="s">
        <v>424</v>
      </c>
    </row>
    <row r="6" customHeight="1" spans="1:10">
      <c r="A6" s="84">
        <v>46146</v>
      </c>
      <c r="B6" s="29" t="s">
        <v>19</v>
      </c>
      <c r="C6" s="29" t="s">
        <v>20</v>
      </c>
      <c r="D6" s="29" t="s">
        <v>423</v>
      </c>
      <c r="E6" s="33" t="s">
        <v>172</v>
      </c>
      <c r="F6" s="29" t="s">
        <v>173</v>
      </c>
      <c r="G6" s="29">
        <v>3376</v>
      </c>
      <c r="H6" s="29" t="str">
        <f>VLOOKUP(E6,基础信息!C:E,3,FALSE)</f>
        <v>F06001000448</v>
      </c>
      <c r="J6" s="29" t="s">
        <v>424</v>
      </c>
    </row>
    <row r="7" customHeight="1" spans="1:10">
      <c r="A7" s="84">
        <v>46147</v>
      </c>
      <c r="B7" s="29" t="s">
        <v>19</v>
      </c>
      <c r="C7" s="29" t="s">
        <v>20</v>
      </c>
      <c r="D7" s="29" t="s">
        <v>425</v>
      </c>
      <c r="E7" s="33" t="s">
        <v>109</v>
      </c>
      <c r="F7" s="29" t="s">
        <v>110</v>
      </c>
      <c r="G7" s="29">
        <v>120</v>
      </c>
      <c r="H7" s="29" t="str">
        <f>VLOOKUP(E7,基础信息!C:E,3,FALSE)</f>
        <v>F01001000370</v>
      </c>
      <c r="J7" s="29" t="s">
        <v>426</v>
      </c>
    </row>
    <row r="8" customHeight="1" spans="1:10">
      <c r="A8" s="84">
        <v>46147</v>
      </c>
      <c r="B8" s="29" t="s">
        <v>19</v>
      </c>
      <c r="C8" s="29" t="s">
        <v>20</v>
      </c>
      <c r="D8" s="29" t="s">
        <v>425</v>
      </c>
      <c r="E8" s="33" t="s">
        <v>109</v>
      </c>
      <c r="F8" s="29" t="s">
        <v>110</v>
      </c>
      <c r="G8" s="29">
        <v>180</v>
      </c>
      <c r="H8" s="29" t="str">
        <f>VLOOKUP(E8,基础信息!C:E,3,FALSE)</f>
        <v>F01001000370</v>
      </c>
      <c r="J8" s="29" t="s">
        <v>426</v>
      </c>
    </row>
    <row r="9" customHeight="1" spans="1:10">
      <c r="A9" s="84">
        <v>46147</v>
      </c>
      <c r="B9" s="29" t="s">
        <v>19</v>
      </c>
      <c r="C9" s="29" t="s">
        <v>20</v>
      </c>
      <c r="D9" s="29" t="s">
        <v>425</v>
      </c>
      <c r="E9" s="33" t="s">
        <v>109</v>
      </c>
      <c r="F9" s="29" t="s">
        <v>110</v>
      </c>
      <c r="G9" s="29">
        <v>180</v>
      </c>
      <c r="H9" s="29" t="str">
        <f>VLOOKUP(E9,基础信息!C:E,3,FALSE)</f>
        <v>F01001000370</v>
      </c>
      <c r="J9" s="29" t="s">
        <v>426</v>
      </c>
    </row>
    <row r="10" customHeight="1" spans="1:10">
      <c r="A10" s="84">
        <v>46143</v>
      </c>
      <c r="B10" s="29" t="s">
        <v>19</v>
      </c>
      <c r="C10" s="29" t="s">
        <v>20</v>
      </c>
      <c r="D10" s="29" t="s">
        <v>427</v>
      </c>
      <c r="E10" s="33" t="s">
        <v>109</v>
      </c>
      <c r="F10" s="29" t="s">
        <v>110</v>
      </c>
      <c r="G10" s="29">
        <v>480</v>
      </c>
      <c r="H10" s="29" t="str">
        <f>VLOOKUP(E10,基础信息!C:E,3,FALSE)</f>
        <v>F01001000370</v>
      </c>
      <c r="J10" s="29" t="s">
        <v>428</v>
      </c>
    </row>
    <row r="11" customHeight="1" spans="1:10">
      <c r="A11" s="84">
        <v>46143</v>
      </c>
      <c r="B11" s="29" t="s">
        <v>19</v>
      </c>
      <c r="C11" s="29" t="s">
        <v>20</v>
      </c>
      <c r="D11" s="29" t="s">
        <v>427</v>
      </c>
      <c r="E11" s="33" t="s">
        <v>109</v>
      </c>
      <c r="F11" s="29" t="s">
        <v>110</v>
      </c>
      <c r="G11" s="29">
        <v>120</v>
      </c>
      <c r="H11" s="29" t="str">
        <f>VLOOKUP(E11,基础信息!C:E,3,FALSE)</f>
        <v>F01001000370</v>
      </c>
      <c r="J11" s="29" t="s">
        <v>428</v>
      </c>
    </row>
    <row r="12" customHeight="1" spans="1:10">
      <c r="A12" s="84">
        <v>46144</v>
      </c>
      <c r="B12" s="29" t="s">
        <v>19</v>
      </c>
      <c r="C12" s="29" t="s">
        <v>20</v>
      </c>
      <c r="D12" s="29" t="s">
        <v>429</v>
      </c>
      <c r="E12" s="33" t="s">
        <v>187</v>
      </c>
      <c r="F12" s="29" t="s">
        <v>188</v>
      </c>
      <c r="G12" s="29">
        <v>288</v>
      </c>
      <c r="H12" s="29" t="str">
        <f>VLOOKUP(E12,基础信息!C:E,3,FALSE)</f>
        <v>F01001002458</v>
      </c>
      <c r="J12" s="29" t="s">
        <v>430</v>
      </c>
    </row>
    <row r="13" customHeight="1" spans="1:10">
      <c r="A13" s="84">
        <v>46144</v>
      </c>
      <c r="B13" s="29" t="s">
        <v>19</v>
      </c>
      <c r="C13" s="29" t="s">
        <v>20</v>
      </c>
      <c r="D13" s="29" t="s">
        <v>429</v>
      </c>
      <c r="E13" s="33" t="s">
        <v>187</v>
      </c>
      <c r="F13" s="29" t="s">
        <v>188</v>
      </c>
      <c r="G13" s="29">
        <v>144</v>
      </c>
      <c r="H13" s="29" t="str">
        <f>VLOOKUP(E13,基础信息!C:E,3,FALSE)</f>
        <v>F01001002458</v>
      </c>
      <c r="J13" s="29" t="s">
        <v>430</v>
      </c>
    </row>
    <row r="14" customHeight="1" spans="1:10">
      <c r="A14" s="84">
        <v>46144</v>
      </c>
      <c r="B14" s="29" t="s">
        <v>19</v>
      </c>
      <c r="C14" s="29" t="s">
        <v>20</v>
      </c>
      <c r="D14" s="29" t="s">
        <v>429</v>
      </c>
      <c r="E14" s="33" t="s">
        <v>190</v>
      </c>
      <c r="F14" s="29" t="s">
        <v>191</v>
      </c>
      <c r="G14" s="29">
        <v>432</v>
      </c>
      <c r="H14" s="29" t="str">
        <f>VLOOKUP(E14,基础信息!C:E,3,FALSE)</f>
        <v>F01001002459</v>
      </c>
      <c r="J14" s="29" t="s">
        <v>430</v>
      </c>
    </row>
    <row r="15" customHeight="1" spans="1:10">
      <c r="A15" s="84">
        <v>46147</v>
      </c>
      <c r="B15" s="29" t="s">
        <v>19</v>
      </c>
      <c r="C15" s="29" t="s">
        <v>20</v>
      </c>
      <c r="D15" s="29" t="s">
        <v>431</v>
      </c>
      <c r="E15" s="33" t="s">
        <v>184</v>
      </c>
      <c r="F15" s="29" t="s">
        <v>185</v>
      </c>
      <c r="G15" s="29">
        <v>480</v>
      </c>
      <c r="H15" s="29" t="str">
        <f>VLOOKUP(E15,基础信息!C:E,3,FALSE)</f>
        <v>F01001001607</v>
      </c>
      <c r="J15" s="29" t="s">
        <v>432</v>
      </c>
    </row>
    <row r="16" customHeight="1" spans="1:10">
      <c r="A16" s="84">
        <v>46147</v>
      </c>
      <c r="B16" s="29" t="s">
        <v>19</v>
      </c>
      <c r="C16" s="29" t="s">
        <v>20</v>
      </c>
      <c r="D16" s="29" t="s">
        <v>431</v>
      </c>
      <c r="E16" s="33" t="s">
        <v>184</v>
      </c>
      <c r="F16" s="29" t="s">
        <v>185</v>
      </c>
      <c r="G16" s="29">
        <v>480</v>
      </c>
      <c r="H16" s="29" t="str">
        <f>VLOOKUP(E16,基础信息!C:E,3,FALSE)</f>
        <v>F01001001607</v>
      </c>
      <c r="J16" s="29" t="s">
        <v>432</v>
      </c>
    </row>
    <row r="17" customHeight="1" spans="1:10">
      <c r="A17" s="84">
        <v>46147</v>
      </c>
      <c r="B17" s="29" t="s">
        <v>19</v>
      </c>
      <c r="C17" s="29" t="s">
        <v>20</v>
      </c>
      <c r="D17" s="29" t="s">
        <v>431</v>
      </c>
      <c r="E17" s="33" t="s">
        <v>181</v>
      </c>
      <c r="F17" s="29" t="s">
        <v>182</v>
      </c>
      <c r="G17" s="29">
        <v>825</v>
      </c>
      <c r="H17" s="29" t="str">
        <f>VLOOKUP(E17,基础信息!C:E,3,FALSE)</f>
        <v>F01001001608</v>
      </c>
      <c r="J17" s="29" t="s">
        <v>432</v>
      </c>
    </row>
    <row r="18" customHeight="1" spans="1:10">
      <c r="A18" s="84">
        <v>46149</v>
      </c>
      <c r="B18" s="29" t="s">
        <v>19</v>
      </c>
      <c r="C18" s="29" t="s">
        <v>20</v>
      </c>
      <c r="D18" s="29" t="s">
        <v>433</v>
      </c>
      <c r="E18" s="33" t="s">
        <v>184</v>
      </c>
      <c r="F18" s="29" t="s">
        <v>185</v>
      </c>
      <c r="G18" s="29">
        <v>840</v>
      </c>
      <c r="H18" s="29" t="str">
        <f>VLOOKUP(E18,基础信息!C:E,3,FALSE)</f>
        <v>F01001001607</v>
      </c>
      <c r="J18" s="29" t="s">
        <v>434</v>
      </c>
    </row>
    <row r="19" customHeight="1" spans="1:10">
      <c r="A19" s="84">
        <v>46149</v>
      </c>
      <c r="B19" s="29" t="s">
        <v>19</v>
      </c>
      <c r="C19" s="29" t="s">
        <v>20</v>
      </c>
      <c r="D19" s="29" t="s">
        <v>433</v>
      </c>
      <c r="E19" s="33" t="s">
        <v>181</v>
      </c>
      <c r="F19" s="29" t="s">
        <v>182</v>
      </c>
      <c r="G19" s="29">
        <v>945</v>
      </c>
      <c r="H19" s="29" t="str">
        <f>VLOOKUP(E19,基础信息!C:E,3,FALSE)</f>
        <v>F01001001608</v>
      </c>
      <c r="J19" s="29" t="s">
        <v>434</v>
      </c>
    </row>
    <row r="20" customHeight="1" spans="1:10">
      <c r="A20" s="84">
        <v>46149</v>
      </c>
      <c r="B20" s="29" t="s">
        <v>19</v>
      </c>
      <c r="C20" s="29" t="s">
        <v>20</v>
      </c>
      <c r="D20" s="29" t="s">
        <v>435</v>
      </c>
      <c r="E20" s="33" t="s">
        <v>34</v>
      </c>
      <c r="F20" s="29" t="s">
        <v>35</v>
      </c>
      <c r="G20" s="29">
        <v>262</v>
      </c>
      <c r="H20" s="29" t="str">
        <f>VLOOKUP(E20,基础信息!C:E,3,FALSE)</f>
        <v>F02001000533</v>
      </c>
      <c r="J20" s="29" t="s">
        <v>436</v>
      </c>
    </row>
    <row r="21" customHeight="1" spans="1:10">
      <c r="A21" s="84">
        <v>46150</v>
      </c>
      <c r="B21" s="29" t="s">
        <v>19</v>
      </c>
      <c r="C21" s="29" t="s">
        <v>20</v>
      </c>
      <c r="D21" s="29" t="s">
        <v>437</v>
      </c>
      <c r="E21" s="33" t="s">
        <v>184</v>
      </c>
      <c r="F21" s="29" t="s">
        <v>185</v>
      </c>
      <c r="G21" s="29">
        <v>816</v>
      </c>
      <c r="H21" s="29" t="str">
        <f>VLOOKUP(E21,基础信息!C:E,3,FALSE)</f>
        <v>F01001001607</v>
      </c>
      <c r="J21" s="29" t="s">
        <v>438</v>
      </c>
    </row>
    <row r="22" customHeight="1" spans="1:10">
      <c r="A22" s="84">
        <v>46150</v>
      </c>
      <c r="B22" s="29" t="s">
        <v>19</v>
      </c>
      <c r="C22" s="29" t="s">
        <v>20</v>
      </c>
      <c r="D22" s="29" t="s">
        <v>437</v>
      </c>
      <c r="E22" s="33" t="s">
        <v>184</v>
      </c>
      <c r="F22" s="29" t="s">
        <v>185</v>
      </c>
      <c r="G22" s="29">
        <v>120</v>
      </c>
      <c r="H22" s="29" t="str">
        <f>VLOOKUP(E22,基础信息!C:E,3,FALSE)</f>
        <v>F01001001607</v>
      </c>
      <c r="J22" s="29" t="s">
        <v>438</v>
      </c>
    </row>
    <row r="23" customHeight="1" spans="1:10">
      <c r="A23" s="84">
        <v>46150</v>
      </c>
      <c r="B23" s="29" t="s">
        <v>19</v>
      </c>
      <c r="C23" s="29" t="s">
        <v>20</v>
      </c>
      <c r="D23" s="29" t="s">
        <v>439</v>
      </c>
      <c r="E23" s="33" t="s">
        <v>244</v>
      </c>
      <c r="F23" s="29" t="s">
        <v>245</v>
      </c>
      <c r="G23" s="29">
        <v>216</v>
      </c>
      <c r="H23" s="29" t="str">
        <f>VLOOKUP(E23,基础信息!C:E,3,FALSE)</f>
        <v>F01001002831</v>
      </c>
      <c r="J23" s="29" t="s">
        <v>440</v>
      </c>
    </row>
    <row r="24" customHeight="1" spans="1:10">
      <c r="A24" s="84">
        <v>46150</v>
      </c>
      <c r="B24" s="29" t="s">
        <v>19</v>
      </c>
      <c r="C24" s="29" t="s">
        <v>20</v>
      </c>
      <c r="D24" s="29" t="s">
        <v>439</v>
      </c>
      <c r="E24" s="33" t="s">
        <v>247</v>
      </c>
      <c r="F24" s="29" t="s">
        <v>248</v>
      </c>
      <c r="G24" s="29">
        <v>112</v>
      </c>
      <c r="H24" s="29" t="str">
        <f>VLOOKUP(E24,基础信息!C:E,3,FALSE)</f>
        <v>F01001003093  </v>
      </c>
      <c r="J24" s="29" t="s">
        <v>440</v>
      </c>
    </row>
    <row r="25" customHeight="1" spans="1:10">
      <c r="A25" s="84">
        <v>46150</v>
      </c>
      <c r="B25" s="29" t="s">
        <v>19</v>
      </c>
      <c r="C25" s="29" t="s">
        <v>20</v>
      </c>
      <c r="D25" s="29" t="s">
        <v>439</v>
      </c>
      <c r="E25" s="33" t="s">
        <v>250</v>
      </c>
      <c r="F25" s="29" t="s">
        <v>251</v>
      </c>
      <c r="G25" s="29">
        <v>112</v>
      </c>
      <c r="H25" s="29" t="str">
        <f>VLOOKUP(E25,基础信息!C:E,3,FALSE)</f>
        <v>F01001003094</v>
      </c>
      <c r="J25" s="29" t="s">
        <v>440</v>
      </c>
    </row>
    <row r="26" customHeight="1" spans="1:10">
      <c r="A26" s="84">
        <v>46150</v>
      </c>
      <c r="B26" s="29" t="s">
        <v>19</v>
      </c>
      <c r="C26" s="29" t="s">
        <v>20</v>
      </c>
      <c r="D26" s="29" t="s">
        <v>439</v>
      </c>
      <c r="E26" s="33" t="s">
        <v>253</v>
      </c>
      <c r="F26" s="29" t="s">
        <v>254</v>
      </c>
      <c r="G26" s="29">
        <v>56</v>
      </c>
      <c r="H26" s="29" t="str">
        <f>VLOOKUP(E26,基础信息!C:E,3,FALSE)</f>
        <v>F01001003095</v>
      </c>
      <c r="J26" s="29" t="s">
        <v>440</v>
      </c>
    </row>
    <row r="27" customHeight="1" spans="1:10">
      <c r="A27" s="84">
        <v>46151</v>
      </c>
      <c r="B27" s="29" t="s">
        <v>19</v>
      </c>
      <c r="C27" s="29" t="s">
        <v>20</v>
      </c>
      <c r="D27" s="29" t="s">
        <v>441</v>
      </c>
      <c r="E27" s="33" t="s">
        <v>247</v>
      </c>
      <c r="F27" s="29" t="s">
        <v>248</v>
      </c>
      <c r="G27" s="29">
        <v>112</v>
      </c>
      <c r="H27" s="29" t="str">
        <f>VLOOKUP(E27,基础信息!C:E,3,FALSE)</f>
        <v>F01001003093  </v>
      </c>
      <c r="J27" s="29" t="s">
        <v>442</v>
      </c>
    </row>
    <row r="28" customHeight="1" spans="1:10">
      <c r="A28" s="84">
        <v>46151</v>
      </c>
      <c r="B28" s="29" t="s">
        <v>19</v>
      </c>
      <c r="C28" s="29" t="s">
        <v>20</v>
      </c>
      <c r="D28" s="29" t="s">
        <v>441</v>
      </c>
      <c r="E28" s="33" t="s">
        <v>250</v>
      </c>
      <c r="F28" s="29" t="s">
        <v>251</v>
      </c>
      <c r="G28" s="29">
        <v>112</v>
      </c>
      <c r="H28" s="29" t="str">
        <f>VLOOKUP(E28,基础信息!C:E,3,FALSE)</f>
        <v>F01001003094</v>
      </c>
      <c r="J28" s="29" t="s">
        <v>442</v>
      </c>
    </row>
    <row r="29" customHeight="1" spans="1:10">
      <c r="A29" s="84">
        <v>46151</v>
      </c>
      <c r="B29" s="29" t="s">
        <v>19</v>
      </c>
      <c r="C29" s="29" t="s">
        <v>20</v>
      </c>
      <c r="D29" s="29" t="s">
        <v>441</v>
      </c>
      <c r="E29" s="33" t="s">
        <v>253</v>
      </c>
      <c r="F29" s="29" t="s">
        <v>254</v>
      </c>
      <c r="G29" s="29">
        <v>56</v>
      </c>
      <c r="H29" s="29" t="str">
        <f>VLOOKUP(E29,基础信息!C:E,3,FALSE)</f>
        <v>F01001003095</v>
      </c>
      <c r="J29" s="29" t="s">
        <v>442</v>
      </c>
    </row>
    <row r="30" customHeight="1" spans="1:10">
      <c r="A30" s="84">
        <v>46151</v>
      </c>
      <c r="B30" s="29" t="s">
        <v>19</v>
      </c>
      <c r="C30" s="29" t="s">
        <v>20</v>
      </c>
      <c r="D30" s="29" t="s">
        <v>443</v>
      </c>
      <c r="E30" s="33" t="s">
        <v>82</v>
      </c>
      <c r="F30" s="29" t="s">
        <v>444</v>
      </c>
      <c r="G30" s="29">
        <v>185</v>
      </c>
      <c r="H30" s="29" t="str">
        <f>VLOOKUP(E30,基础信息!C:E,3,FALSE)</f>
        <v>F01001000358</v>
      </c>
      <c r="J30" s="29" t="s">
        <v>445</v>
      </c>
    </row>
    <row r="31" customHeight="1" spans="1:10">
      <c r="A31" s="84">
        <v>46151</v>
      </c>
      <c r="B31" s="29" t="s">
        <v>19</v>
      </c>
      <c r="C31" s="29" t="s">
        <v>20</v>
      </c>
      <c r="D31" s="29" t="s">
        <v>446</v>
      </c>
      <c r="E31" s="33" t="s">
        <v>31</v>
      </c>
      <c r="F31" s="29" t="s">
        <v>32</v>
      </c>
      <c r="G31" s="29">
        <v>252</v>
      </c>
      <c r="H31" s="29" t="str">
        <f>VLOOKUP(E31,基础信息!C:E,3,FALSE)</f>
        <v>F02001000532</v>
      </c>
      <c r="J31" s="29" t="s">
        <v>447</v>
      </c>
    </row>
    <row r="32" customHeight="1" spans="1:10">
      <c r="A32" s="84">
        <v>46151</v>
      </c>
      <c r="B32" s="29" t="s">
        <v>19</v>
      </c>
      <c r="C32" s="29" t="s">
        <v>20</v>
      </c>
      <c r="D32" s="29" t="s">
        <v>448</v>
      </c>
      <c r="E32" s="33" t="s">
        <v>244</v>
      </c>
      <c r="F32" s="29" t="s">
        <v>245</v>
      </c>
      <c r="G32" s="29">
        <v>270</v>
      </c>
      <c r="H32" s="29" t="str">
        <f>VLOOKUP(E32,基础信息!C:E,3,FALSE)</f>
        <v>F01001002831</v>
      </c>
      <c r="J32" s="29" t="s">
        <v>449</v>
      </c>
    </row>
    <row r="33" customHeight="1" spans="1:10">
      <c r="A33" s="84">
        <v>46151</v>
      </c>
      <c r="B33" s="29" t="s">
        <v>19</v>
      </c>
      <c r="C33" s="29" t="s">
        <v>20</v>
      </c>
      <c r="D33" s="29" t="s">
        <v>448</v>
      </c>
      <c r="E33" s="33" t="s">
        <v>244</v>
      </c>
      <c r="F33" s="29" t="s">
        <v>245</v>
      </c>
      <c r="G33" s="29">
        <v>369</v>
      </c>
      <c r="H33" s="29" t="str">
        <f>VLOOKUP(E33,基础信息!C:E,3,FALSE)</f>
        <v>F01001002831</v>
      </c>
      <c r="J33" s="29" t="s">
        <v>449</v>
      </c>
    </row>
    <row r="34" customHeight="1" spans="1:10">
      <c r="A34" s="84">
        <v>46151</v>
      </c>
      <c r="B34" s="29" t="s">
        <v>19</v>
      </c>
      <c r="C34" s="29" t="s">
        <v>20</v>
      </c>
      <c r="D34" s="29" t="s">
        <v>448</v>
      </c>
      <c r="E34" s="33" t="s">
        <v>181</v>
      </c>
      <c r="F34" s="29" t="s">
        <v>182</v>
      </c>
      <c r="G34" s="29">
        <v>960</v>
      </c>
      <c r="H34" s="29" t="str">
        <f>VLOOKUP(E34,基础信息!C:E,3,FALSE)</f>
        <v>F01001001608</v>
      </c>
      <c r="J34" s="29" t="s">
        <v>449</v>
      </c>
    </row>
    <row r="35" customHeight="1" spans="1:10">
      <c r="A35" s="84">
        <v>46152</v>
      </c>
      <c r="B35" s="29" t="s">
        <v>19</v>
      </c>
      <c r="C35" s="29" t="s">
        <v>20</v>
      </c>
      <c r="D35" s="29" t="s">
        <v>450</v>
      </c>
      <c r="E35" s="33" t="s">
        <v>244</v>
      </c>
      <c r="F35" s="29" t="s">
        <v>245</v>
      </c>
      <c r="G35" s="29">
        <v>234</v>
      </c>
      <c r="H35" s="29" t="str">
        <f>VLOOKUP(E35,基础信息!C:E,3,FALSE)</f>
        <v>F01001002831</v>
      </c>
      <c r="J35" s="29" t="s">
        <v>451</v>
      </c>
    </row>
    <row r="36" customHeight="1" spans="1:10">
      <c r="A36" s="84">
        <v>46152</v>
      </c>
      <c r="B36" s="29" t="s">
        <v>19</v>
      </c>
      <c r="C36" s="29" t="s">
        <v>20</v>
      </c>
      <c r="D36" s="29" t="s">
        <v>450</v>
      </c>
      <c r="E36" s="33" t="s">
        <v>244</v>
      </c>
      <c r="F36" s="29" t="s">
        <v>245</v>
      </c>
      <c r="G36" s="29">
        <v>324</v>
      </c>
      <c r="H36" s="29" t="str">
        <f>VLOOKUP(E36,基础信息!C:E,3,FALSE)</f>
        <v>F01001002831</v>
      </c>
      <c r="J36" s="29" t="s">
        <v>451</v>
      </c>
    </row>
    <row r="37" customHeight="1" spans="1:10">
      <c r="A37" s="84">
        <v>46152</v>
      </c>
      <c r="B37" s="29" t="s">
        <v>19</v>
      </c>
      <c r="C37" s="29" t="s">
        <v>20</v>
      </c>
      <c r="D37" s="29" t="s">
        <v>450</v>
      </c>
      <c r="E37" s="33" t="s">
        <v>244</v>
      </c>
      <c r="F37" s="29" t="s">
        <v>245</v>
      </c>
      <c r="G37" s="29">
        <v>540</v>
      </c>
      <c r="H37" s="29" t="str">
        <f>VLOOKUP(E37,基础信息!C:E,3,FALSE)</f>
        <v>F01001002831</v>
      </c>
      <c r="J37" s="29" t="s">
        <v>451</v>
      </c>
    </row>
    <row r="38" customHeight="1" spans="1:10">
      <c r="A38" s="84">
        <v>46152</v>
      </c>
      <c r="B38" s="29" t="s">
        <v>19</v>
      </c>
      <c r="C38" s="29" t="s">
        <v>20</v>
      </c>
      <c r="D38" s="29" t="s">
        <v>450</v>
      </c>
      <c r="E38" s="33" t="s">
        <v>247</v>
      </c>
      <c r="F38" s="29" t="s">
        <v>248</v>
      </c>
      <c r="G38" s="29">
        <v>56</v>
      </c>
      <c r="H38" s="29" t="str">
        <f>VLOOKUP(E38,基础信息!C:E,3,FALSE)</f>
        <v>F01001003093  </v>
      </c>
      <c r="J38" s="29" t="s">
        <v>451</v>
      </c>
    </row>
    <row r="39" customHeight="1" spans="1:10">
      <c r="A39" s="84">
        <v>46152</v>
      </c>
      <c r="B39" s="29" t="s">
        <v>19</v>
      </c>
      <c r="C39" s="29" t="s">
        <v>20</v>
      </c>
      <c r="D39" s="29" t="s">
        <v>450</v>
      </c>
      <c r="E39" s="33" t="s">
        <v>247</v>
      </c>
      <c r="F39" s="29" t="s">
        <v>248</v>
      </c>
      <c r="G39" s="29">
        <v>168</v>
      </c>
      <c r="H39" s="29" t="str">
        <f>VLOOKUP(E39,基础信息!C:E,3,FALSE)</f>
        <v>F01001003093  </v>
      </c>
      <c r="J39" s="29" t="s">
        <v>451</v>
      </c>
    </row>
    <row r="40" customHeight="1" spans="1:10">
      <c r="A40" s="84">
        <v>46152</v>
      </c>
      <c r="B40" s="29" t="s">
        <v>19</v>
      </c>
      <c r="C40" s="29" t="s">
        <v>20</v>
      </c>
      <c r="D40" s="29" t="s">
        <v>450</v>
      </c>
      <c r="E40" s="33" t="s">
        <v>250</v>
      </c>
      <c r="F40" s="29" t="s">
        <v>251</v>
      </c>
      <c r="G40" s="29">
        <v>56</v>
      </c>
      <c r="H40" s="29" t="str">
        <f>VLOOKUP(E40,基础信息!C:E,3,FALSE)</f>
        <v>F01001003094</v>
      </c>
      <c r="J40" s="29" t="s">
        <v>451</v>
      </c>
    </row>
    <row r="41" customHeight="1" spans="1:10">
      <c r="A41" s="84">
        <v>46152</v>
      </c>
      <c r="B41" s="29" t="s">
        <v>19</v>
      </c>
      <c r="C41" s="29" t="s">
        <v>20</v>
      </c>
      <c r="D41" s="29" t="s">
        <v>450</v>
      </c>
      <c r="E41" s="33" t="s">
        <v>250</v>
      </c>
      <c r="F41" s="29" t="s">
        <v>251</v>
      </c>
      <c r="G41" s="29">
        <v>168</v>
      </c>
      <c r="H41" s="29" t="str">
        <f>VLOOKUP(E41,基础信息!C:E,3,FALSE)</f>
        <v>F01001003094</v>
      </c>
      <c r="J41" s="29" t="s">
        <v>451</v>
      </c>
    </row>
    <row r="42" customHeight="1" spans="1:10">
      <c r="A42" s="84">
        <v>46152</v>
      </c>
      <c r="B42" s="29" t="s">
        <v>19</v>
      </c>
      <c r="C42" s="29" t="s">
        <v>20</v>
      </c>
      <c r="D42" s="29" t="s">
        <v>450</v>
      </c>
      <c r="E42" s="33" t="s">
        <v>253</v>
      </c>
      <c r="F42" s="29" t="s">
        <v>254</v>
      </c>
      <c r="G42" s="29">
        <v>112</v>
      </c>
      <c r="H42" s="29" t="str">
        <f>VLOOKUP(E42,基础信息!C:E,3,FALSE)</f>
        <v>F01001003095</v>
      </c>
      <c r="J42" s="29" t="s">
        <v>451</v>
      </c>
    </row>
    <row r="43" customHeight="1" spans="1:10">
      <c r="A43" s="84">
        <v>46152</v>
      </c>
      <c r="B43" s="29" t="s">
        <v>19</v>
      </c>
      <c r="C43" s="29" t="s">
        <v>20</v>
      </c>
      <c r="D43" s="29" t="s">
        <v>450</v>
      </c>
      <c r="E43" s="33" t="s">
        <v>184</v>
      </c>
      <c r="F43" s="29" t="s">
        <v>185</v>
      </c>
      <c r="G43" s="29">
        <v>984</v>
      </c>
      <c r="H43" s="29" t="str">
        <f>VLOOKUP(E43,基础信息!C:E,3,FALSE)</f>
        <v>F01001001607</v>
      </c>
      <c r="J43" s="29" t="s">
        <v>451</v>
      </c>
    </row>
    <row r="44" customHeight="1" spans="1:10">
      <c r="A44" s="84">
        <v>46152</v>
      </c>
      <c r="B44" s="29" t="s">
        <v>19</v>
      </c>
      <c r="C44" s="29" t="s">
        <v>20</v>
      </c>
      <c r="D44" s="29" t="s">
        <v>450</v>
      </c>
      <c r="E44" s="33" t="s">
        <v>181</v>
      </c>
      <c r="F44" s="29" t="s">
        <v>182</v>
      </c>
      <c r="G44" s="29">
        <v>960</v>
      </c>
      <c r="H44" s="29" t="str">
        <f>VLOOKUP(E44,基础信息!C:E,3,FALSE)</f>
        <v>F01001001608</v>
      </c>
      <c r="J44" s="29" t="s">
        <v>451</v>
      </c>
    </row>
    <row r="45" customHeight="1" spans="1:10">
      <c r="A45" s="84">
        <v>46153</v>
      </c>
      <c r="B45" s="29" t="s">
        <v>19</v>
      </c>
      <c r="C45" s="29" t="s">
        <v>20</v>
      </c>
      <c r="D45" s="29" t="s">
        <v>452</v>
      </c>
      <c r="E45" s="33" t="s">
        <v>244</v>
      </c>
      <c r="F45" s="29" t="s">
        <v>245</v>
      </c>
      <c r="G45" s="29">
        <v>135</v>
      </c>
      <c r="H45" s="29" t="str">
        <f>VLOOKUP(E45,基础信息!C:E,3,FALSE)</f>
        <v>F01001002831</v>
      </c>
      <c r="J45" s="29" t="s">
        <v>453</v>
      </c>
    </row>
    <row r="46" customHeight="1" spans="1:10">
      <c r="A46" s="84">
        <v>46153</v>
      </c>
      <c r="B46" s="29" t="s">
        <v>19</v>
      </c>
      <c r="C46" s="29" t="s">
        <v>20</v>
      </c>
      <c r="D46" s="29" t="s">
        <v>452</v>
      </c>
      <c r="E46" s="33" t="s">
        <v>244</v>
      </c>
      <c r="F46" s="29" t="s">
        <v>245</v>
      </c>
      <c r="G46" s="29">
        <v>270</v>
      </c>
      <c r="H46" s="29" t="str">
        <f>VLOOKUP(E46,基础信息!C:E,3,FALSE)</f>
        <v>F01001002831</v>
      </c>
      <c r="J46" s="29" t="s">
        <v>453</v>
      </c>
    </row>
    <row r="47" customHeight="1" spans="1:10">
      <c r="A47" s="84">
        <v>46153</v>
      </c>
      <c r="B47" s="29" t="s">
        <v>19</v>
      </c>
      <c r="C47" s="29" t="s">
        <v>20</v>
      </c>
      <c r="D47" s="29" t="s">
        <v>452</v>
      </c>
      <c r="E47" s="33" t="s">
        <v>244</v>
      </c>
      <c r="F47" s="29" t="s">
        <v>245</v>
      </c>
      <c r="G47" s="29">
        <v>270</v>
      </c>
      <c r="H47" s="29" t="str">
        <f>VLOOKUP(E47,基础信息!C:E,3,FALSE)</f>
        <v>F01001002831</v>
      </c>
      <c r="J47" s="29" t="s">
        <v>453</v>
      </c>
    </row>
    <row r="48" customHeight="1" spans="1:10">
      <c r="A48" s="84">
        <v>46153</v>
      </c>
      <c r="B48" s="29" t="s">
        <v>19</v>
      </c>
      <c r="C48" s="29" t="s">
        <v>20</v>
      </c>
      <c r="D48" s="29" t="s">
        <v>452</v>
      </c>
      <c r="E48" s="33" t="s">
        <v>247</v>
      </c>
      <c r="F48" s="29" t="s">
        <v>248</v>
      </c>
      <c r="G48" s="29">
        <v>112</v>
      </c>
      <c r="H48" s="29" t="str">
        <f>VLOOKUP(E48,基础信息!C:E,3,FALSE)</f>
        <v>F01001003093  </v>
      </c>
      <c r="J48" s="29" t="s">
        <v>453</v>
      </c>
    </row>
    <row r="49" customHeight="1" spans="1:10">
      <c r="A49" s="84">
        <v>46153</v>
      </c>
      <c r="B49" s="29" t="s">
        <v>19</v>
      </c>
      <c r="C49" s="29" t="s">
        <v>20</v>
      </c>
      <c r="D49" s="29" t="s">
        <v>452</v>
      </c>
      <c r="E49" s="33" t="s">
        <v>250</v>
      </c>
      <c r="F49" s="29" t="s">
        <v>251</v>
      </c>
      <c r="G49" s="29">
        <v>112</v>
      </c>
      <c r="H49" s="29" t="str">
        <f>VLOOKUP(E49,基础信息!C:E,3,FALSE)</f>
        <v>F01001003094</v>
      </c>
      <c r="J49" s="29" t="s">
        <v>453</v>
      </c>
    </row>
    <row r="50" customHeight="1" spans="1:10">
      <c r="A50" s="84">
        <v>46153</v>
      </c>
      <c r="B50" s="29" t="s">
        <v>19</v>
      </c>
      <c r="C50" s="29" t="s">
        <v>20</v>
      </c>
      <c r="D50" s="29" t="s">
        <v>452</v>
      </c>
      <c r="E50" s="33" t="s">
        <v>253</v>
      </c>
      <c r="F50" s="29" t="s">
        <v>254</v>
      </c>
      <c r="G50" s="29">
        <v>56</v>
      </c>
      <c r="H50" s="29" t="str">
        <f>VLOOKUP(E50,基础信息!C:E,3,FALSE)</f>
        <v>F01001003095</v>
      </c>
      <c r="J50" s="29" t="s">
        <v>453</v>
      </c>
    </row>
    <row r="51" customHeight="1" spans="1:10">
      <c r="A51" s="84">
        <v>46153</v>
      </c>
      <c r="B51" s="29" t="s">
        <v>19</v>
      </c>
      <c r="C51" s="29" t="s">
        <v>20</v>
      </c>
      <c r="D51" s="29" t="s">
        <v>452</v>
      </c>
      <c r="E51" s="33" t="s">
        <v>184</v>
      </c>
      <c r="F51" s="29" t="s">
        <v>185</v>
      </c>
      <c r="G51" s="29">
        <v>936</v>
      </c>
      <c r="H51" s="29" t="str">
        <f>VLOOKUP(E51,基础信息!C:E,3,FALSE)</f>
        <v>F01001001607</v>
      </c>
      <c r="J51" s="29" t="s">
        <v>453</v>
      </c>
    </row>
    <row r="52" customHeight="1" spans="1:10">
      <c r="A52" s="84">
        <v>46154</v>
      </c>
      <c r="B52" s="29" t="s">
        <v>19</v>
      </c>
      <c r="C52" s="29" t="s">
        <v>20</v>
      </c>
      <c r="D52" s="29" t="s">
        <v>454</v>
      </c>
      <c r="E52" s="33" t="s">
        <v>109</v>
      </c>
      <c r="F52" s="29" t="s">
        <v>110</v>
      </c>
      <c r="G52" s="29">
        <v>315</v>
      </c>
      <c r="H52" s="29" t="str">
        <f>VLOOKUP(E52,基础信息!C:E,3,FALSE)</f>
        <v>F01001000370</v>
      </c>
      <c r="J52" s="29" t="s">
        <v>455</v>
      </c>
    </row>
    <row r="53" customHeight="1" spans="1:10">
      <c r="A53" s="84">
        <v>46154</v>
      </c>
      <c r="B53" s="29" t="s">
        <v>19</v>
      </c>
      <c r="C53" s="29" t="s">
        <v>20</v>
      </c>
      <c r="D53" s="29" t="s">
        <v>456</v>
      </c>
      <c r="E53" s="33" t="s">
        <v>184</v>
      </c>
      <c r="F53" s="29" t="s">
        <v>185</v>
      </c>
      <c r="G53" s="29">
        <v>720</v>
      </c>
      <c r="H53" s="29" t="str">
        <f>VLOOKUP(E53,基础信息!C:E,3,FALSE)</f>
        <v>F01001001607</v>
      </c>
      <c r="J53" s="29" t="s">
        <v>457</v>
      </c>
    </row>
    <row r="54" customHeight="1" spans="1:10">
      <c r="A54" s="84">
        <v>46154</v>
      </c>
      <c r="B54" s="29" t="s">
        <v>19</v>
      </c>
      <c r="C54" s="29" t="s">
        <v>20</v>
      </c>
      <c r="D54" s="29" t="s">
        <v>456</v>
      </c>
      <c r="E54" s="33" t="s">
        <v>181</v>
      </c>
      <c r="F54" s="29" t="s">
        <v>182</v>
      </c>
      <c r="G54" s="29">
        <v>915</v>
      </c>
      <c r="H54" s="29" t="str">
        <f>VLOOKUP(E54,基础信息!C:E,3,FALSE)</f>
        <v>F01001001608</v>
      </c>
      <c r="J54" s="29" t="s">
        <v>457</v>
      </c>
    </row>
    <row r="55" customHeight="1" spans="1:10">
      <c r="A55" s="84">
        <v>46154</v>
      </c>
      <c r="B55" s="29" t="s">
        <v>19</v>
      </c>
      <c r="C55" s="29" t="s">
        <v>20</v>
      </c>
      <c r="D55" s="29" t="s">
        <v>458</v>
      </c>
      <c r="E55" s="33" t="s">
        <v>244</v>
      </c>
      <c r="F55" s="29" t="s">
        <v>245</v>
      </c>
      <c r="G55" s="29">
        <v>135</v>
      </c>
      <c r="H55" s="29" t="str">
        <f>VLOOKUP(E55,基础信息!C:E,3,FALSE)</f>
        <v>F01001002831</v>
      </c>
      <c r="J55" s="29" t="s">
        <v>459</v>
      </c>
    </row>
    <row r="56" customHeight="1" spans="1:10">
      <c r="A56" s="84">
        <v>46154</v>
      </c>
      <c r="B56" s="29" t="s">
        <v>19</v>
      </c>
      <c r="C56" s="29" t="s">
        <v>20</v>
      </c>
      <c r="D56" s="29" t="s">
        <v>458</v>
      </c>
      <c r="E56" s="33" t="s">
        <v>244</v>
      </c>
      <c r="F56" s="29" t="s">
        <v>245</v>
      </c>
      <c r="G56" s="29">
        <v>693</v>
      </c>
      <c r="H56" s="29" t="str">
        <f>VLOOKUP(E56,基础信息!C:E,3,FALSE)</f>
        <v>F01001002831</v>
      </c>
      <c r="J56" s="29" t="s">
        <v>459</v>
      </c>
    </row>
    <row r="57" customHeight="1" spans="1:10">
      <c r="A57" s="84">
        <v>46154</v>
      </c>
      <c r="B57" s="29" t="s">
        <v>19</v>
      </c>
      <c r="C57" s="29" t="s">
        <v>20</v>
      </c>
      <c r="D57" s="29" t="s">
        <v>458</v>
      </c>
      <c r="E57" s="33" t="s">
        <v>244</v>
      </c>
      <c r="F57" s="29" t="s">
        <v>245</v>
      </c>
      <c r="G57" s="29">
        <v>153</v>
      </c>
      <c r="H57" s="29" t="str">
        <f>VLOOKUP(E57,基础信息!C:E,3,FALSE)</f>
        <v>F01001002831</v>
      </c>
      <c r="J57" s="29" t="s">
        <v>459</v>
      </c>
    </row>
    <row r="58" customHeight="1" spans="1:10">
      <c r="A58" s="84">
        <v>46154</v>
      </c>
      <c r="B58" s="29" t="s">
        <v>19</v>
      </c>
      <c r="C58" s="29" t="s">
        <v>20</v>
      </c>
      <c r="D58" s="29" t="s">
        <v>458</v>
      </c>
      <c r="E58" s="33" t="s">
        <v>255</v>
      </c>
      <c r="F58" s="29" t="s">
        <v>256</v>
      </c>
      <c r="G58" s="29">
        <v>28</v>
      </c>
      <c r="H58" s="29" t="e">
        <f>VLOOKUP(E58,基础信息!C:E,3,FALSE)</f>
        <v>#N/A</v>
      </c>
      <c r="J58" s="29" t="s">
        <v>459</v>
      </c>
    </row>
    <row r="59" customHeight="1" spans="1:10">
      <c r="A59" s="84">
        <v>46154</v>
      </c>
      <c r="B59" s="29" t="s">
        <v>19</v>
      </c>
      <c r="C59" s="29" t="s">
        <v>20</v>
      </c>
      <c r="D59" s="29" t="s">
        <v>458</v>
      </c>
      <c r="E59" s="33" t="s">
        <v>257</v>
      </c>
      <c r="F59" s="29" t="s">
        <v>258</v>
      </c>
      <c r="G59" s="29">
        <v>30</v>
      </c>
      <c r="H59" s="29" t="e">
        <f>VLOOKUP(E59,基础信息!C:E,3,FALSE)</f>
        <v>#N/A</v>
      </c>
      <c r="J59" s="29" t="s">
        <v>459</v>
      </c>
    </row>
    <row r="60" customHeight="1" spans="1:10">
      <c r="A60" s="84">
        <v>46154</v>
      </c>
      <c r="B60" s="29" t="s">
        <v>19</v>
      </c>
      <c r="C60" s="29" t="s">
        <v>20</v>
      </c>
      <c r="D60" s="29" t="s">
        <v>458</v>
      </c>
      <c r="E60" s="33" t="s">
        <v>259</v>
      </c>
      <c r="F60" s="29" t="s">
        <v>260</v>
      </c>
      <c r="G60" s="29">
        <v>30</v>
      </c>
      <c r="H60" s="29" t="e">
        <f>VLOOKUP(E60,基础信息!C:E,3,FALSE)</f>
        <v>#N/A</v>
      </c>
      <c r="J60" s="29" t="s">
        <v>459</v>
      </c>
    </row>
    <row r="61" customHeight="1" spans="1:10">
      <c r="A61" s="84">
        <v>46154</v>
      </c>
      <c r="B61" s="29" t="s">
        <v>19</v>
      </c>
      <c r="C61" s="29" t="s">
        <v>20</v>
      </c>
      <c r="D61" s="29" t="s">
        <v>458</v>
      </c>
      <c r="E61" s="33" t="s">
        <v>261</v>
      </c>
      <c r="F61" s="29" t="s">
        <v>262</v>
      </c>
      <c r="G61" s="29">
        <v>30</v>
      </c>
      <c r="H61" s="29" t="e">
        <f>VLOOKUP(E61,基础信息!C:E,3,FALSE)</f>
        <v>#N/A</v>
      </c>
      <c r="J61" s="29" t="s">
        <v>459</v>
      </c>
    </row>
    <row r="62" customHeight="1" spans="1:10">
      <c r="A62" s="84">
        <v>46154</v>
      </c>
      <c r="B62" s="29" t="s">
        <v>19</v>
      </c>
      <c r="C62" s="29" t="s">
        <v>20</v>
      </c>
      <c r="D62" s="29" t="s">
        <v>458</v>
      </c>
      <c r="E62" s="33" t="s">
        <v>247</v>
      </c>
      <c r="F62" s="29" t="s">
        <v>248</v>
      </c>
      <c r="G62" s="29">
        <v>224</v>
      </c>
      <c r="H62" s="29" t="str">
        <f>VLOOKUP(E62,基础信息!C:E,3,FALSE)</f>
        <v>F01001003093  </v>
      </c>
      <c r="J62" s="29" t="s">
        <v>459</v>
      </c>
    </row>
    <row r="63" customHeight="1" spans="1:10">
      <c r="A63" s="84">
        <v>46154</v>
      </c>
      <c r="B63" s="29" t="s">
        <v>19</v>
      </c>
      <c r="C63" s="29" t="s">
        <v>20</v>
      </c>
      <c r="D63" s="29" t="s">
        <v>458</v>
      </c>
      <c r="E63" s="33" t="s">
        <v>250</v>
      </c>
      <c r="F63" s="29" t="s">
        <v>251</v>
      </c>
      <c r="G63" s="29">
        <v>224</v>
      </c>
      <c r="H63" s="29" t="str">
        <f>VLOOKUP(E63,基础信息!C:E,3,FALSE)</f>
        <v>F01001003094</v>
      </c>
      <c r="J63" s="29" t="s">
        <v>459</v>
      </c>
    </row>
    <row r="64" customHeight="1" spans="1:10">
      <c r="A64" s="84">
        <v>46154</v>
      </c>
      <c r="B64" s="29" t="s">
        <v>19</v>
      </c>
      <c r="C64" s="29" t="s">
        <v>20</v>
      </c>
      <c r="D64" s="29" t="s">
        <v>458</v>
      </c>
      <c r="E64" s="33" t="s">
        <v>253</v>
      </c>
      <c r="F64" s="29" t="s">
        <v>254</v>
      </c>
      <c r="G64" s="29">
        <v>112</v>
      </c>
      <c r="H64" s="29" t="str">
        <f>VLOOKUP(E64,基础信息!C:E,3,FALSE)</f>
        <v>F01001003095</v>
      </c>
      <c r="J64" s="29" t="s">
        <v>459</v>
      </c>
    </row>
    <row r="65" customHeight="1" spans="1:10">
      <c r="A65" s="84">
        <v>46154</v>
      </c>
      <c r="B65" s="29" t="s">
        <v>19</v>
      </c>
      <c r="C65" s="29" t="s">
        <v>20</v>
      </c>
      <c r="D65" s="29" t="s">
        <v>460</v>
      </c>
      <c r="E65" s="33" t="s">
        <v>184</v>
      </c>
      <c r="F65" s="29" t="s">
        <v>185</v>
      </c>
      <c r="G65" s="29">
        <v>720</v>
      </c>
      <c r="H65" s="29" t="str">
        <f>VLOOKUP(E65,基础信息!C:E,3,FALSE)</f>
        <v>F01001001607</v>
      </c>
      <c r="J65" s="29" t="s">
        <v>461</v>
      </c>
    </row>
    <row r="66" customHeight="1" spans="1:10">
      <c r="A66" s="84">
        <v>46154</v>
      </c>
      <c r="B66" s="29" t="s">
        <v>19</v>
      </c>
      <c r="C66" s="29" t="s">
        <v>20</v>
      </c>
      <c r="D66" s="29" t="s">
        <v>460</v>
      </c>
      <c r="E66" s="33" t="s">
        <v>181</v>
      </c>
      <c r="F66" s="29" t="s">
        <v>182</v>
      </c>
      <c r="G66" s="29">
        <v>990</v>
      </c>
      <c r="H66" s="29" t="str">
        <f>VLOOKUP(E66,基础信息!C:E,3,FALSE)</f>
        <v>F01001001608</v>
      </c>
      <c r="J66" s="29" t="s">
        <v>461</v>
      </c>
    </row>
    <row r="67" customHeight="1" spans="1:10">
      <c r="A67" s="84">
        <v>46154</v>
      </c>
      <c r="B67" s="29" t="s">
        <v>19</v>
      </c>
      <c r="C67" s="29" t="s">
        <v>20</v>
      </c>
      <c r="D67" s="29" t="s">
        <v>462</v>
      </c>
      <c r="E67" s="33" t="s">
        <v>109</v>
      </c>
      <c r="F67" s="29" t="s">
        <v>110</v>
      </c>
      <c r="G67" s="29">
        <v>360</v>
      </c>
      <c r="H67" s="29" t="str">
        <f>VLOOKUP(E67,基础信息!C:E,3,FALSE)</f>
        <v>F01001000370</v>
      </c>
      <c r="J67" s="29" t="s">
        <v>463</v>
      </c>
    </row>
    <row r="68" customHeight="1" spans="1:10">
      <c r="A68" s="84">
        <v>46154</v>
      </c>
      <c r="B68" s="29" t="s">
        <v>19</v>
      </c>
      <c r="C68" s="29" t="s">
        <v>20</v>
      </c>
      <c r="D68" s="29" t="s">
        <v>462</v>
      </c>
      <c r="E68" s="33" t="s">
        <v>109</v>
      </c>
      <c r="F68" s="29" t="s">
        <v>110</v>
      </c>
      <c r="G68" s="29">
        <v>45</v>
      </c>
      <c r="H68" s="29" t="str">
        <f>VLOOKUP(E68,基础信息!C:E,3,FALSE)</f>
        <v>F01001000370</v>
      </c>
      <c r="J68" s="29" t="s">
        <v>463</v>
      </c>
    </row>
    <row r="69" customHeight="1" spans="1:10">
      <c r="A69" s="84">
        <v>46155</v>
      </c>
      <c r="B69" s="29" t="s">
        <v>19</v>
      </c>
      <c r="C69" s="29" t="s">
        <v>20</v>
      </c>
      <c r="D69" s="29" t="s">
        <v>464</v>
      </c>
      <c r="E69" s="33" t="s">
        <v>109</v>
      </c>
      <c r="F69" s="29" t="s">
        <v>110</v>
      </c>
      <c r="G69" s="29">
        <v>225</v>
      </c>
      <c r="H69" s="29" t="str">
        <f>VLOOKUP(E69,基础信息!C:E,3,FALSE)</f>
        <v>F01001000370</v>
      </c>
      <c r="J69" s="29" t="s">
        <v>465</v>
      </c>
    </row>
    <row r="70" customHeight="1" spans="1:10">
      <c r="A70" s="84">
        <v>46155</v>
      </c>
      <c r="B70" s="29" t="s">
        <v>19</v>
      </c>
      <c r="C70" s="29" t="s">
        <v>20</v>
      </c>
      <c r="D70" s="29" t="s">
        <v>464</v>
      </c>
      <c r="E70" s="33" t="s">
        <v>109</v>
      </c>
      <c r="F70" s="29" t="s">
        <v>110</v>
      </c>
      <c r="G70" s="29">
        <v>150</v>
      </c>
      <c r="H70" s="29" t="str">
        <f>VLOOKUP(E70,基础信息!C:E,3,FALSE)</f>
        <v>F01001000370</v>
      </c>
      <c r="J70" s="29" t="s">
        <v>465</v>
      </c>
    </row>
    <row r="71" customHeight="1" spans="8:8">
      <c r="H71" s="29" t="e">
        <f>VLOOKUP(E71,基础信息!C:E,3,FALSE)</f>
        <v>#N/A</v>
      </c>
    </row>
    <row r="72" customHeight="1" spans="8:8">
      <c r="H72" s="29" t="e">
        <f>VLOOKUP(E72,基础信息!C:E,3,FALSE)</f>
        <v>#N/A</v>
      </c>
    </row>
    <row r="73" customHeight="1" spans="8:8">
      <c r="H73" s="29" t="e">
        <f>VLOOKUP(E73,基础信息!C:E,3,FALSE)</f>
        <v>#N/A</v>
      </c>
    </row>
    <row r="74" customHeight="1" spans="8:8">
      <c r="H74" s="29" t="e">
        <f>VLOOKUP(E74,基础信息!C:E,3,FALSE)</f>
        <v>#N/A</v>
      </c>
    </row>
    <row r="75" customHeight="1" spans="8:8">
      <c r="H75" s="29" t="e">
        <f>VLOOKUP(E75,基础信息!C:E,3,FALSE)</f>
        <v>#N/A</v>
      </c>
    </row>
    <row r="76" customHeight="1" spans="8:8">
      <c r="H76" s="29" t="e">
        <f>VLOOKUP(E76,基础信息!C:E,3,FALSE)</f>
        <v>#N/A</v>
      </c>
    </row>
    <row r="77" customHeight="1" spans="8:8">
      <c r="H77" s="29" t="e">
        <f>VLOOKUP(E77,基础信息!C:E,3,FALSE)</f>
        <v>#N/A</v>
      </c>
    </row>
    <row r="78" customHeight="1" spans="8:8">
      <c r="H78" s="29" t="e">
        <f>VLOOKUP(E78,基础信息!C:E,3,FALSE)</f>
        <v>#N/A</v>
      </c>
    </row>
    <row r="79" customHeight="1" spans="8:8">
      <c r="H79" s="29" t="e">
        <f>VLOOKUP(E79,基础信息!C:E,3,FALSE)</f>
        <v>#N/A</v>
      </c>
    </row>
    <row r="80" customHeight="1" spans="8:8">
      <c r="H80" s="29" t="e">
        <f>VLOOKUP(E80,基础信息!C:E,3,FALSE)</f>
        <v>#N/A</v>
      </c>
    </row>
    <row r="81" customHeight="1" spans="8:8">
      <c r="H81" s="29" t="e">
        <f>VLOOKUP(E81,基础信息!C:E,3,FALSE)</f>
        <v>#N/A</v>
      </c>
    </row>
    <row r="82" customHeight="1" spans="8:8">
      <c r="H82" s="29" t="e">
        <f>VLOOKUP(E82,基础信息!C:E,3,FALSE)</f>
        <v>#N/A</v>
      </c>
    </row>
    <row r="83" customHeight="1" spans="8:8">
      <c r="H83" s="29" t="e">
        <f>VLOOKUP(E83,基础信息!C:E,3,FALSE)</f>
        <v>#N/A</v>
      </c>
    </row>
    <row r="84" customHeight="1" spans="8:8">
      <c r="H84" s="29" t="e">
        <f>VLOOKUP(E84,基础信息!C:E,3,FALSE)</f>
        <v>#N/A</v>
      </c>
    </row>
    <row r="85" customHeight="1" spans="8:8">
      <c r="H85" s="29" t="e">
        <f>VLOOKUP(E85,基础信息!C:E,3,FALSE)</f>
        <v>#N/A</v>
      </c>
    </row>
    <row r="86" customHeight="1" spans="8:8">
      <c r="H86" s="29" t="e">
        <f>VLOOKUP(E86,基础信息!C:E,3,FALSE)</f>
        <v>#N/A</v>
      </c>
    </row>
    <row r="87" customHeight="1" spans="8:8">
      <c r="H87" s="29" t="e">
        <f>VLOOKUP(E87,基础信息!C:E,3,FALSE)</f>
        <v>#N/A</v>
      </c>
    </row>
    <row r="88" customHeight="1" spans="8:8">
      <c r="H88" s="29" t="e">
        <f>VLOOKUP(E88,基础信息!C:E,3,FALSE)</f>
        <v>#N/A</v>
      </c>
    </row>
    <row r="89" customHeight="1" spans="8:8">
      <c r="H89" s="29" t="e">
        <f>VLOOKUP(E89,基础信息!C:E,3,FALSE)</f>
        <v>#N/A</v>
      </c>
    </row>
    <row r="90" customHeight="1" spans="8:8">
      <c r="H90" s="29" t="e">
        <f>VLOOKUP(E90,基础信息!C:E,3,FALSE)</f>
        <v>#N/A</v>
      </c>
    </row>
    <row r="91" customHeight="1" spans="8:8">
      <c r="H91" s="29" t="e">
        <f>VLOOKUP(E91,基础信息!C:E,3,FALSE)</f>
        <v>#N/A</v>
      </c>
    </row>
    <row r="92" customHeight="1" spans="8:8">
      <c r="H92" s="29" t="e">
        <f>VLOOKUP(E92,基础信息!C:E,3,FALSE)</f>
        <v>#N/A</v>
      </c>
    </row>
    <row r="93" customHeight="1" spans="8:8">
      <c r="H93" s="29" t="e">
        <f>VLOOKUP(E93,基础信息!C:E,3,FALSE)</f>
        <v>#N/A</v>
      </c>
    </row>
    <row r="94" customHeight="1" spans="8:8">
      <c r="H94" s="29" t="e">
        <f>VLOOKUP(E94,基础信息!C:E,3,FALSE)</f>
        <v>#N/A</v>
      </c>
    </row>
    <row r="95" customHeight="1" spans="8:8">
      <c r="H95" s="29" t="e">
        <f>VLOOKUP(E95,基础信息!C:E,3,FALSE)</f>
        <v>#N/A</v>
      </c>
    </row>
    <row r="96" customHeight="1" spans="8:8">
      <c r="H96" s="29" t="e">
        <f>VLOOKUP(E96,基础信息!C:E,3,FALSE)</f>
        <v>#N/A</v>
      </c>
    </row>
    <row r="97" customHeight="1" spans="8:8">
      <c r="H97" s="29" t="e">
        <f>VLOOKUP(E97,基础信息!C:E,3,FALSE)</f>
        <v>#N/A</v>
      </c>
    </row>
    <row r="98" customHeight="1" spans="8:8">
      <c r="H98" s="29" t="e">
        <f>VLOOKUP(E98,基础信息!C:E,3,FALSE)</f>
        <v>#N/A</v>
      </c>
    </row>
    <row r="99" customHeight="1" spans="8:8">
      <c r="H99" s="29" t="e">
        <f>VLOOKUP(E99,基础信息!C:E,3,FALSE)</f>
        <v>#N/A</v>
      </c>
    </row>
    <row r="100" customHeight="1" spans="8:8">
      <c r="H100" s="29" t="e">
        <f>VLOOKUP(E100,基础信息!C:E,3,FALSE)</f>
        <v>#N/A</v>
      </c>
    </row>
    <row r="101" customHeight="1" spans="8:8">
      <c r="H101" s="29" t="e">
        <f>VLOOKUP(E101,基础信息!C:E,3,FALSE)</f>
        <v>#N/A</v>
      </c>
    </row>
    <row r="102" customHeight="1" spans="8:8">
      <c r="H102" s="29" t="e">
        <f>VLOOKUP(E102,基础信息!C:E,3,FALSE)</f>
        <v>#N/A</v>
      </c>
    </row>
    <row r="103" customHeight="1" spans="8:8">
      <c r="H103" s="29" t="e">
        <f>VLOOKUP(E103,基础信息!C:E,3,FALSE)</f>
        <v>#N/A</v>
      </c>
    </row>
    <row r="104" customHeight="1" spans="8:8">
      <c r="H104" s="29" t="e">
        <f>VLOOKUP(E104,基础信息!C:E,3,FALSE)</f>
        <v>#N/A</v>
      </c>
    </row>
    <row r="105" customHeight="1" spans="8:8">
      <c r="H105" s="29" t="e">
        <f>VLOOKUP(E105,基础信息!C:E,3,FALSE)</f>
        <v>#N/A</v>
      </c>
    </row>
    <row r="106" customHeight="1" spans="8:8">
      <c r="H106" s="29" t="e">
        <f>VLOOKUP(E106,基础信息!C:E,3,FALSE)</f>
        <v>#N/A</v>
      </c>
    </row>
    <row r="107" customHeight="1" spans="8:8">
      <c r="H107" s="29" t="e">
        <f>VLOOKUP(E107,基础信息!C:E,3,FALSE)</f>
        <v>#N/A</v>
      </c>
    </row>
    <row r="108" customHeight="1" spans="8:8">
      <c r="H108" s="29" t="e">
        <f>VLOOKUP(E108,基础信息!C:E,3,FALSE)</f>
        <v>#N/A</v>
      </c>
    </row>
    <row r="109" customHeight="1" spans="8:8">
      <c r="H109" s="29" t="e">
        <f>VLOOKUP(E109,基础信息!C:E,3,FALSE)</f>
        <v>#N/A</v>
      </c>
    </row>
    <row r="110" customHeight="1" spans="8:8">
      <c r="H110" s="29" t="e">
        <f>VLOOKUP(E110,基础信息!C:E,3,FALSE)</f>
        <v>#N/A</v>
      </c>
    </row>
    <row r="111" customHeight="1" spans="8:8">
      <c r="H111" s="29" t="e">
        <f>VLOOKUP(E111,基础信息!C:E,3,FALSE)</f>
        <v>#N/A</v>
      </c>
    </row>
    <row r="112" customHeight="1" spans="8:8">
      <c r="H112" s="29" t="e">
        <f>VLOOKUP(E112,基础信息!C:E,3,FALSE)</f>
        <v>#N/A</v>
      </c>
    </row>
    <row r="113" customHeight="1" spans="8:8">
      <c r="H113" s="29" t="e">
        <f>VLOOKUP(E113,基础信息!C:E,3,FALSE)</f>
        <v>#N/A</v>
      </c>
    </row>
    <row r="114" customHeight="1" spans="8:8">
      <c r="H114" s="29" t="e">
        <f>VLOOKUP(E114,基础信息!C:E,3,FALSE)</f>
        <v>#N/A</v>
      </c>
    </row>
    <row r="115" customHeight="1" spans="8:8">
      <c r="H115" s="29" t="e">
        <f>VLOOKUP(E115,基础信息!C:E,3,FALSE)</f>
        <v>#N/A</v>
      </c>
    </row>
    <row r="116" customHeight="1" spans="8:8">
      <c r="H116" s="29" t="e">
        <f>VLOOKUP(E116,基础信息!C:E,3,FALSE)</f>
        <v>#N/A</v>
      </c>
    </row>
    <row r="117" customHeight="1" spans="8:8">
      <c r="H117" s="29" t="e">
        <f>VLOOKUP(E117,基础信息!C:E,3,FALSE)</f>
        <v>#N/A</v>
      </c>
    </row>
    <row r="118" customHeight="1" spans="8:8">
      <c r="H118" s="29" t="e">
        <f>VLOOKUP(E118,基础信息!C:E,3,FALSE)</f>
        <v>#N/A</v>
      </c>
    </row>
    <row r="119" customHeight="1" spans="8:8">
      <c r="H119" s="29" t="e">
        <f>VLOOKUP(E119,基础信息!C:E,3,FALSE)</f>
        <v>#N/A</v>
      </c>
    </row>
    <row r="120" customHeight="1" spans="8:8">
      <c r="H120" s="29" t="e">
        <f>VLOOKUP(E120,基础信息!C:E,3,FALSE)</f>
        <v>#N/A</v>
      </c>
    </row>
    <row r="121" customHeight="1" spans="8:8">
      <c r="H121" s="29" t="e">
        <f>VLOOKUP(E121,基础信息!C:E,3,FALSE)</f>
        <v>#N/A</v>
      </c>
    </row>
    <row r="122" customHeight="1" spans="8:8">
      <c r="H122" s="29" t="e">
        <f>VLOOKUP(E122,基础信息!C:E,3,FALSE)</f>
        <v>#N/A</v>
      </c>
    </row>
    <row r="123" customHeight="1" spans="8:8">
      <c r="H123" s="29" t="e">
        <f>VLOOKUP(E123,基础信息!C:E,3,FALSE)</f>
        <v>#N/A</v>
      </c>
    </row>
    <row r="124" customHeight="1" spans="8:8">
      <c r="H124" s="29" t="e">
        <f>VLOOKUP(E124,基础信息!C:E,3,FALSE)</f>
        <v>#N/A</v>
      </c>
    </row>
    <row r="125" customHeight="1" spans="8:8">
      <c r="H125" s="29" t="e">
        <f>VLOOKUP(E125,基础信息!C:E,3,FALSE)</f>
        <v>#N/A</v>
      </c>
    </row>
    <row r="126" customHeight="1" spans="8:8">
      <c r="H126" s="29" t="e">
        <f>VLOOKUP(E126,基础信息!C:E,3,FALSE)</f>
        <v>#N/A</v>
      </c>
    </row>
    <row r="127" customHeight="1" spans="8:8">
      <c r="H127" s="29" t="e">
        <f>VLOOKUP(E127,基础信息!C:E,3,FALSE)</f>
        <v>#N/A</v>
      </c>
    </row>
    <row r="128" customHeight="1" spans="8:8">
      <c r="H128" s="29" t="e">
        <f>VLOOKUP(E128,基础信息!C:E,3,FALSE)</f>
        <v>#N/A</v>
      </c>
    </row>
    <row r="129" customHeight="1" spans="8:8">
      <c r="H129" s="29" t="e">
        <f>VLOOKUP(E129,基础信息!C:E,3,FALSE)</f>
        <v>#N/A</v>
      </c>
    </row>
    <row r="130" customHeight="1" spans="8:8">
      <c r="H130" s="29" t="e">
        <f>VLOOKUP(E130,基础信息!C:E,3,FALSE)</f>
        <v>#N/A</v>
      </c>
    </row>
    <row r="131" customHeight="1" spans="8:8">
      <c r="H131" s="29" t="e">
        <f>VLOOKUP(E131,基础信息!C:E,3,FALSE)</f>
        <v>#N/A</v>
      </c>
    </row>
    <row r="132" customHeight="1" spans="8:8">
      <c r="H132" s="29" t="e">
        <f>VLOOKUP(E132,基础信息!C:E,3,FALSE)</f>
        <v>#N/A</v>
      </c>
    </row>
    <row r="133" customHeight="1" spans="8:8">
      <c r="H133" s="29" t="e">
        <f>VLOOKUP(E133,基础信息!C:E,3,FALSE)</f>
        <v>#N/A</v>
      </c>
    </row>
    <row r="134" customHeight="1" spans="8:8">
      <c r="H134" s="29" t="e">
        <f>VLOOKUP(E134,基础信息!C:E,3,FALSE)</f>
        <v>#N/A</v>
      </c>
    </row>
    <row r="135" customHeight="1" spans="8:8">
      <c r="H135" s="29" t="e">
        <f>VLOOKUP(E135,基础信息!C:E,3,FALSE)</f>
        <v>#N/A</v>
      </c>
    </row>
    <row r="136" customHeight="1" spans="8:8">
      <c r="H136" s="29" t="e">
        <f>VLOOKUP(E136,基础信息!C:E,3,FALSE)</f>
        <v>#N/A</v>
      </c>
    </row>
    <row r="137" customHeight="1" spans="8:8">
      <c r="H137" s="29" t="e">
        <f>VLOOKUP(E137,基础信息!C:E,3,FALSE)</f>
        <v>#N/A</v>
      </c>
    </row>
    <row r="138" customHeight="1" spans="8:8">
      <c r="H138" s="29" t="e">
        <f>VLOOKUP(E138,基础信息!C:E,3,FALSE)</f>
        <v>#N/A</v>
      </c>
    </row>
    <row r="139" customHeight="1" spans="8:8">
      <c r="H139" s="29" t="e">
        <f>VLOOKUP(E139,基础信息!C:E,3,FALSE)</f>
        <v>#N/A</v>
      </c>
    </row>
    <row r="140" customHeight="1" spans="8:8">
      <c r="H140" s="29" t="e">
        <f>VLOOKUP(E140,基础信息!C:E,3,FALSE)</f>
        <v>#N/A</v>
      </c>
    </row>
    <row r="141" customHeight="1" spans="8:8">
      <c r="H141" s="29" t="e">
        <f>VLOOKUP(E141,基础信息!C:E,3,FALSE)</f>
        <v>#N/A</v>
      </c>
    </row>
    <row r="142" customHeight="1" spans="8:8">
      <c r="H142" s="29" t="e">
        <f>VLOOKUP(E142,基础信息!C:E,3,FALSE)</f>
        <v>#N/A</v>
      </c>
    </row>
    <row r="143" customHeight="1" spans="8:8">
      <c r="H143" s="29" t="e">
        <f>VLOOKUP(E143,基础信息!C:E,3,FALSE)</f>
        <v>#N/A</v>
      </c>
    </row>
    <row r="144" customHeight="1" spans="8:8">
      <c r="H144" s="29" t="e">
        <f>VLOOKUP(E144,基础信息!C:E,3,FALSE)</f>
        <v>#N/A</v>
      </c>
    </row>
    <row r="145" customHeight="1" spans="8:8">
      <c r="H145" s="29" t="e">
        <f>VLOOKUP(E145,基础信息!C:E,3,FALSE)</f>
        <v>#N/A</v>
      </c>
    </row>
    <row r="146" customHeight="1" spans="8:8">
      <c r="H146" s="29" t="e">
        <f>VLOOKUP(E146,基础信息!C:E,3,FALSE)</f>
        <v>#N/A</v>
      </c>
    </row>
    <row r="147" customHeight="1" spans="8:8">
      <c r="H147" s="29" t="e">
        <f>VLOOKUP(E147,基础信息!C:E,3,FALSE)</f>
        <v>#N/A</v>
      </c>
    </row>
    <row r="148" customHeight="1" spans="8:8">
      <c r="H148" s="29" t="e">
        <f>VLOOKUP(E148,基础信息!C:E,3,FALSE)</f>
        <v>#N/A</v>
      </c>
    </row>
    <row r="149" customHeight="1" spans="8:8">
      <c r="H149" s="29" t="e">
        <f>VLOOKUP(E149,基础信息!C:E,3,FALSE)</f>
        <v>#N/A</v>
      </c>
    </row>
    <row r="150" customHeight="1" spans="8:8">
      <c r="H150" s="29" t="e">
        <f>VLOOKUP(E150,基础信息!C:E,3,FALSE)</f>
        <v>#N/A</v>
      </c>
    </row>
    <row r="151" customHeight="1" spans="8:8">
      <c r="H151" s="29" t="e">
        <f>VLOOKUP(E151,基础信息!C:E,3,FALSE)</f>
        <v>#N/A</v>
      </c>
    </row>
    <row r="152" customHeight="1" spans="8:8">
      <c r="H152" s="29" t="e">
        <f>VLOOKUP(E152,基础信息!C:E,3,FALSE)</f>
        <v>#N/A</v>
      </c>
    </row>
    <row r="153" customHeight="1" spans="8:8">
      <c r="H153" s="29" t="e">
        <f>VLOOKUP(E153,基础信息!C:E,3,FALSE)</f>
        <v>#N/A</v>
      </c>
    </row>
    <row r="154" customHeight="1" spans="8:8">
      <c r="H154" s="29" t="e">
        <f>VLOOKUP(E154,基础信息!C:E,3,FALSE)</f>
        <v>#N/A</v>
      </c>
    </row>
    <row r="155" customHeight="1" spans="8:8">
      <c r="H155" s="29" t="e">
        <f>VLOOKUP(E155,基础信息!C:E,3,FALSE)</f>
        <v>#N/A</v>
      </c>
    </row>
    <row r="156" customHeight="1" spans="8:8">
      <c r="H156" s="29" t="e">
        <f>VLOOKUP(E156,基础信息!C:E,3,FALSE)</f>
        <v>#N/A</v>
      </c>
    </row>
    <row r="157" customHeight="1" spans="8:8">
      <c r="H157" s="29" t="e">
        <f>VLOOKUP(E157,基础信息!C:E,3,FALSE)</f>
        <v>#N/A</v>
      </c>
    </row>
    <row r="158" customHeight="1" spans="8:8">
      <c r="H158" s="29" t="e">
        <f>VLOOKUP(E158,基础信息!C:E,3,FALSE)</f>
        <v>#N/A</v>
      </c>
    </row>
    <row r="159" customHeight="1" spans="8:8">
      <c r="H159" s="29" t="e">
        <f>VLOOKUP(E159,基础信息!C:E,3,FALSE)</f>
        <v>#N/A</v>
      </c>
    </row>
    <row r="160" customHeight="1" spans="8:8">
      <c r="H160" s="29" t="e">
        <f>VLOOKUP(E160,基础信息!C:E,3,FALSE)</f>
        <v>#N/A</v>
      </c>
    </row>
    <row r="161" customHeight="1" spans="8:8">
      <c r="H161" s="29" t="e">
        <f>VLOOKUP(E161,基础信息!C:E,3,FALSE)</f>
        <v>#N/A</v>
      </c>
    </row>
    <row r="162" customHeight="1" spans="8:8">
      <c r="H162" s="29" t="e">
        <f>VLOOKUP(E162,基础信息!C:E,3,FALSE)</f>
        <v>#N/A</v>
      </c>
    </row>
    <row r="163" customHeight="1" spans="8:8">
      <c r="H163" s="29" t="e">
        <f>VLOOKUP(E163,基础信息!C:E,3,FALSE)</f>
        <v>#N/A</v>
      </c>
    </row>
    <row r="164" customHeight="1" spans="8:8">
      <c r="H164" s="29" t="e">
        <f>VLOOKUP(E164,基础信息!C:E,3,FALSE)</f>
        <v>#N/A</v>
      </c>
    </row>
    <row r="165" customHeight="1" spans="8:8">
      <c r="H165" s="29" t="e">
        <f>VLOOKUP(E165,基础信息!C:E,3,FALSE)</f>
        <v>#N/A</v>
      </c>
    </row>
    <row r="166" customHeight="1" spans="8:8">
      <c r="H166" s="29" t="e">
        <f>VLOOKUP(E166,基础信息!C:E,3,FALSE)</f>
        <v>#N/A</v>
      </c>
    </row>
    <row r="167" customHeight="1" spans="8:8">
      <c r="H167" s="29" t="e">
        <f>VLOOKUP(E167,基础信息!C:E,3,FALSE)</f>
        <v>#N/A</v>
      </c>
    </row>
    <row r="168" customHeight="1" spans="8:8">
      <c r="H168" s="29" t="e">
        <f>VLOOKUP(E168,基础信息!C:E,3,FALSE)</f>
        <v>#N/A</v>
      </c>
    </row>
    <row r="169" customHeight="1" spans="8:8">
      <c r="H169" s="29" t="e">
        <f>VLOOKUP(E169,基础信息!C:E,3,FALSE)</f>
        <v>#N/A</v>
      </c>
    </row>
    <row r="170" customHeight="1" spans="8:8">
      <c r="H170" s="29" t="e">
        <f>VLOOKUP(E170,基础信息!C:E,3,FALSE)</f>
        <v>#N/A</v>
      </c>
    </row>
    <row r="171" customHeight="1" spans="8:8">
      <c r="H171" s="29" t="e">
        <f>VLOOKUP(E171,基础信息!C:E,3,FALSE)</f>
        <v>#N/A</v>
      </c>
    </row>
    <row r="172" customHeight="1" spans="8:8">
      <c r="H172" s="29" t="e">
        <f>VLOOKUP(E172,基础信息!C:E,3,FALSE)</f>
        <v>#N/A</v>
      </c>
    </row>
    <row r="173" customHeight="1" spans="8:8">
      <c r="H173" s="29" t="e">
        <f>VLOOKUP(E173,基础信息!C:E,3,FALSE)</f>
        <v>#N/A</v>
      </c>
    </row>
    <row r="174" customHeight="1" spans="8:8">
      <c r="H174" s="29" t="e">
        <f>VLOOKUP(E174,基础信息!C:E,3,FALSE)</f>
        <v>#N/A</v>
      </c>
    </row>
    <row r="175" customHeight="1" spans="8:8">
      <c r="H175" s="29" t="e">
        <f>VLOOKUP(E175,基础信息!C:E,3,FALSE)</f>
        <v>#N/A</v>
      </c>
    </row>
    <row r="176" customHeight="1" spans="8:8">
      <c r="H176" s="29" t="e">
        <f>VLOOKUP(E176,基础信息!C:E,3,FALSE)</f>
        <v>#N/A</v>
      </c>
    </row>
    <row r="177" customHeight="1" spans="8:8">
      <c r="H177" s="29" t="e">
        <f>VLOOKUP(E177,基础信息!C:E,3,FALSE)</f>
        <v>#N/A</v>
      </c>
    </row>
    <row r="178" customHeight="1" spans="8:8">
      <c r="H178" s="29" t="e">
        <f>VLOOKUP(E178,基础信息!C:E,3,FALSE)</f>
        <v>#N/A</v>
      </c>
    </row>
    <row r="179" customHeight="1" spans="8:8">
      <c r="H179" s="29" t="e">
        <f>VLOOKUP(E179,基础信息!C:E,3,FALSE)</f>
        <v>#N/A</v>
      </c>
    </row>
    <row r="180" customHeight="1" spans="8:8">
      <c r="H180" s="29" t="e">
        <f>VLOOKUP(E180,基础信息!C:E,3,FALSE)</f>
        <v>#N/A</v>
      </c>
    </row>
    <row r="181" customHeight="1" spans="8:8">
      <c r="H181" s="29" t="e">
        <f>VLOOKUP(E181,基础信息!C:E,3,FALSE)</f>
        <v>#N/A</v>
      </c>
    </row>
    <row r="182" customHeight="1" spans="8:8">
      <c r="H182" s="29" t="e">
        <f>VLOOKUP(E182,基础信息!C:E,3,FALSE)</f>
        <v>#N/A</v>
      </c>
    </row>
    <row r="183" customHeight="1" spans="8:8">
      <c r="H183" s="29" t="e">
        <f>VLOOKUP(E183,基础信息!C:E,3,FALSE)</f>
        <v>#N/A</v>
      </c>
    </row>
    <row r="184" customHeight="1" spans="8:8">
      <c r="H184" s="29" t="e">
        <f>VLOOKUP(E184,基础信息!C:E,3,FALSE)</f>
        <v>#N/A</v>
      </c>
    </row>
    <row r="185" customHeight="1" spans="8:8">
      <c r="H185" s="29" t="e">
        <f>VLOOKUP(E185,基础信息!C:E,3,FALSE)</f>
        <v>#N/A</v>
      </c>
    </row>
    <row r="186" customHeight="1" spans="8:8">
      <c r="H186" s="29" t="e">
        <f>VLOOKUP(E186,基础信息!C:E,3,FALSE)</f>
        <v>#N/A</v>
      </c>
    </row>
    <row r="187" customHeight="1" spans="8:8">
      <c r="H187" s="29" t="e">
        <f>VLOOKUP(E187,基础信息!C:E,3,FALSE)</f>
        <v>#N/A</v>
      </c>
    </row>
    <row r="188" customHeight="1" spans="8:8">
      <c r="H188" s="29" t="e">
        <f>VLOOKUP(E188,基础信息!C:E,3,FALSE)</f>
        <v>#N/A</v>
      </c>
    </row>
    <row r="189" customHeight="1" spans="8:8">
      <c r="H189" s="29" t="e">
        <f>VLOOKUP(E189,基础信息!C:E,3,FALSE)</f>
        <v>#N/A</v>
      </c>
    </row>
    <row r="190" customHeight="1" spans="8:8">
      <c r="H190" s="29" t="e">
        <f>VLOOKUP(E190,基础信息!C:E,3,FALSE)</f>
        <v>#N/A</v>
      </c>
    </row>
    <row r="191" customHeight="1" spans="8:8">
      <c r="H191" s="29" t="e">
        <f>VLOOKUP(E191,基础信息!C:E,3,FALSE)</f>
        <v>#N/A</v>
      </c>
    </row>
    <row r="192" customHeight="1" spans="8:8">
      <c r="H192" s="29" t="e">
        <f>VLOOKUP(E192,基础信息!C:E,3,FALSE)</f>
        <v>#N/A</v>
      </c>
    </row>
    <row r="193" customHeight="1" spans="8:8">
      <c r="H193" s="29" t="e">
        <f>VLOOKUP(E193,基础信息!C:E,3,FALSE)</f>
        <v>#N/A</v>
      </c>
    </row>
    <row r="194" customHeight="1" spans="8:8">
      <c r="H194" s="29" t="e">
        <f>VLOOKUP(E194,基础信息!C:E,3,FALSE)</f>
        <v>#N/A</v>
      </c>
    </row>
    <row r="195" customHeight="1" spans="8:8">
      <c r="H195" s="29" t="e">
        <f>VLOOKUP(E195,基础信息!C:E,3,FALSE)</f>
        <v>#N/A</v>
      </c>
    </row>
    <row r="196" customHeight="1" spans="8:8">
      <c r="H196" s="29" t="e">
        <f>VLOOKUP(E196,基础信息!C:E,3,FALSE)</f>
        <v>#N/A</v>
      </c>
    </row>
    <row r="197" customHeight="1" spans="8:8">
      <c r="H197" s="29" t="e">
        <f>VLOOKUP(E197,基础信息!C:E,3,FALSE)</f>
        <v>#N/A</v>
      </c>
    </row>
    <row r="198" customHeight="1" spans="8:8">
      <c r="H198" s="29" t="e">
        <f>VLOOKUP(E198,基础信息!C:E,3,FALSE)</f>
        <v>#N/A</v>
      </c>
    </row>
    <row r="199" customHeight="1" spans="8:8">
      <c r="H199" s="29" t="e">
        <f>VLOOKUP(E199,基础信息!C:E,3,FALSE)</f>
        <v>#N/A</v>
      </c>
    </row>
    <row r="200" customHeight="1" spans="8:8">
      <c r="H200" s="29" t="e">
        <f>VLOOKUP(E200,基础信息!C:E,3,FALSE)</f>
        <v>#N/A</v>
      </c>
    </row>
    <row r="201" customHeight="1" spans="8:8">
      <c r="H201" s="29" t="e">
        <f>VLOOKUP(E201,基础信息!C:E,3,FALSE)</f>
        <v>#N/A</v>
      </c>
    </row>
    <row r="202" customHeight="1" spans="8:8">
      <c r="H202" s="29" t="e">
        <f>VLOOKUP(E202,基础信息!C:E,3,FALSE)</f>
        <v>#N/A</v>
      </c>
    </row>
    <row r="203" customHeight="1" spans="8:8">
      <c r="H203" s="29" t="e">
        <f>VLOOKUP(E203,基础信息!C:E,3,FALSE)</f>
        <v>#N/A</v>
      </c>
    </row>
    <row r="204" customHeight="1" spans="8:8">
      <c r="H204" s="29" t="e">
        <f>VLOOKUP(E204,基础信息!C:E,3,FALSE)</f>
        <v>#N/A</v>
      </c>
    </row>
    <row r="205" customHeight="1" spans="8:8">
      <c r="H205" s="29" t="e">
        <f>VLOOKUP(E205,基础信息!C:E,3,FALSE)</f>
        <v>#N/A</v>
      </c>
    </row>
    <row r="206" customHeight="1" spans="8:8">
      <c r="H206" s="29" t="e">
        <f>VLOOKUP(E206,基础信息!C:E,3,FALSE)</f>
        <v>#N/A</v>
      </c>
    </row>
    <row r="207" customHeight="1" spans="8:8">
      <c r="H207" s="29" t="e">
        <f>VLOOKUP(E207,基础信息!C:E,3,FALSE)</f>
        <v>#N/A</v>
      </c>
    </row>
    <row r="208" customHeight="1" spans="8:8">
      <c r="H208" s="29" t="e">
        <f>VLOOKUP(E208,基础信息!C:E,3,FALSE)</f>
        <v>#N/A</v>
      </c>
    </row>
    <row r="209" customHeight="1" spans="8:8">
      <c r="H209" s="29" t="e">
        <f>VLOOKUP(E209,基础信息!C:E,3,FALSE)</f>
        <v>#N/A</v>
      </c>
    </row>
    <row r="210" customHeight="1" spans="8:8">
      <c r="H210" s="29" t="e">
        <f>VLOOKUP(E210,基础信息!C:E,3,FALSE)</f>
        <v>#N/A</v>
      </c>
    </row>
    <row r="211" customHeight="1" spans="8:8">
      <c r="H211" s="29" t="e">
        <f>VLOOKUP(E211,基础信息!C:E,3,FALSE)</f>
        <v>#N/A</v>
      </c>
    </row>
    <row r="212" customHeight="1" spans="8:8">
      <c r="H212" s="29" t="e">
        <f>VLOOKUP(E212,基础信息!C:E,3,FALSE)</f>
        <v>#N/A</v>
      </c>
    </row>
    <row r="213" customHeight="1" spans="8:8">
      <c r="H213" s="29" t="e">
        <f>VLOOKUP(E213,基础信息!C:E,3,FALSE)</f>
        <v>#N/A</v>
      </c>
    </row>
    <row r="214" customHeight="1" spans="8:8">
      <c r="H214" s="29" t="e">
        <f>VLOOKUP(E214,基础信息!C:E,3,FALSE)</f>
        <v>#N/A</v>
      </c>
    </row>
    <row r="215" customHeight="1" spans="8:8">
      <c r="H215" s="29" t="e">
        <f>VLOOKUP(E215,基础信息!C:E,3,FALSE)</f>
        <v>#N/A</v>
      </c>
    </row>
    <row r="216" customHeight="1" spans="8:8">
      <c r="H216" s="29" t="e">
        <f>VLOOKUP(E216,基础信息!C:E,3,FALSE)</f>
        <v>#N/A</v>
      </c>
    </row>
    <row r="217" customHeight="1" spans="8:8">
      <c r="H217" s="29" t="e">
        <f>VLOOKUP(E217,基础信息!C:E,3,FALSE)</f>
        <v>#N/A</v>
      </c>
    </row>
    <row r="218" customHeight="1" spans="8:8">
      <c r="H218" s="29" t="e">
        <f>VLOOKUP(E218,基础信息!C:E,3,FALSE)</f>
        <v>#N/A</v>
      </c>
    </row>
    <row r="219" customHeight="1" spans="8:8">
      <c r="H219" s="29" t="e">
        <f>VLOOKUP(E219,基础信息!C:E,3,FALSE)</f>
        <v>#N/A</v>
      </c>
    </row>
    <row r="220" customHeight="1" spans="8:8">
      <c r="H220" s="29" t="e">
        <f>VLOOKUP(E220,基础信息!C:E,3,FALSE)</f>
        <v>#N/A</v>
      </c>
    </row>
    <row r="221" customHeight="1" spans="8:8">
      <c r="H221" s="29" t="e">
        <f>VLOOKUP(E221,基础信息!C:E,3,FALSE)</f>
        <v>#N/A</v>
      </c>
    </row>
    <row r="222" customHeight="1" spans="8:8">
      <c r="H222" s="29" t="e">
        <f>VLOOKUP(E222,基础信息!C:E,3,FALSE)</f>
        <v>#N/A</v>
      </c>
    </row>
    <row r="223" ht="19.2" customHeight="1" spans="8:8">
      <c r="H223" s="29" t="e">
        <f>VLOOKUP(E223,基础信息!C:E,3,FALSE)</f>
        <v>#N/A</v>
      </c>
    </row>
    <row r="224" customHeight="1" spans="8:8">
      <c r="H224" s="29" t="e">
        <f>VLOOKUP(E224,基础信息!C:E,3,FALSE)</f>
        <v>#N/A</v>
      </c>
    </row>
    <row r="225" customHeight="1" spans="8:8">
      <c r="H225" s="29" t="e">
        <f>VLOOKUP(E225,基础信息!C:E,3,FALSE)</f>
        <v>#N/A</v>
      </c>
    </row>
    <row r="226" customHeight="1" spans="8:8">
      <c r="H226" s="29" t="e">
        <f>VLOOKUP(E226,基础信息!C:E,3,FALSE)</f>
        <v>#N/A</v>
      </c>
    </row>
    <row r="227" customHeight="1" spans="8:8">
      <c r="H227" s="29" t="e">
        <f>VLOOKUP(E227,基础信息!C:E,3,FALSE)</f>
        <v>#N/A</v>
      </c>
    </row>
    <row r="228" customHeight="1" spans="8:8">
      <c r="H228" s="29" t="e">
        <f>VLOOKUP(E228,基础信息!C:E,3,FALSE)</f>
        <v>#N/A</v>
      </c>
    </row>
    <row r="229" customHeight="1" spans="8:8">
      <c r="H229" s="29" t="e">
        <f>VLOOKUP(E229,基础信息!C:E,3,FALSE)</f>
        <v>#N/A</v>
      </c>
    </row>
    <row r="230" customHeight="1" spans="8:8">
      <c r="H230" s="29" t="e">
        <f>VLOOKUP(E230,基础信息!C:E,3,FALSE)</f>
        <v>#N/A</v>
      </c>
    </row>
    <row r="231" customHeight="1" spans="8:8">
      <c r="H231" s="29" t="e">
        <f>VLOOKUP(E231,基础信息!C:E,3,FALSE)</f>
        <v>#N/A</v>
      </c>
    </row>
    <row r="232" customHeight="1" spans="8:8">
      <c r="H232" s="29" t="e">
        <f>VLOOKUP(E232,基础信息!C:E,3,FALSE)</f>
        <v>#N/A</v>
      </c>
    </row>
    <row r="233" customHeight="1" spans="8:8">
      <c r="H233" s="29" t="e">
        <f>VLOOKUP(E233,基础信息!C:E,3,FALSE)</f>
        <v>#N/A</v>
      </c>
    </row>
    <row r="234" customHeight="1" spans="8:8">
      <c r="H234" s="29" t="e">
        <f>VLOOKUP(E234,基础信息!C:E,3,FALSE)</f>
        <v>#N/A</v>
      </c>
    </row>
    <row r="235" customHeight="1" spans="8:8">
      <c r="H235" s="29" t="e">
        <f>VLOOKUP(E235,基础信息!C:E,3,FALSE)</f>
        <v>#N/A</v>
      </c>
    </row>
    <row r="236" customHeight="1" spans="8:8">
      <c r="H236" s="29" t="e">
        <f>VLOOKUP(E236,基础信息!C:E,3,FALSE)</f>
        <v>#N/A</v>
      </c>
    </row>
    <row r="237" customHeight="1" spans="8:8">
      <c r="H237" s="29" t="e">
        <f>VLOOKUP(E237,基础信息!C:E,3,FALSE)</f>
        <v>#N/A</v>
      </c>
    </row>
    <row r="238" customHeight="1" spans="8:8">
      <c r="H238" s="29" t="e">
        <f>VLOOKUP(E238,基础信息!C:E,3,FALSE)</f>
        <v>#N/A</v>
      </c>
    </row>
    <row r="239" customHeight="1" spans="8:8">
      <c r="H239" s="29" t="e">
        <f>VLOOKUP(E239,基础信息!C:E,3,FALSE)</f>
        <v>#N/A</v>
      </c>
    </row>
    <row r="240" customHeight="1" spans="8:8">
      <c r="H240" s="29" t="e">
        <f>VLOOKUP(E240,基础信息!C:E,3,FALSE)</f>
        <v>#N/A</v>
      </c>
    </row>
    <row r="241" customHeight="1" spans="8:8">
      <c r="H241" s="29" t="e">
        <f>VLOOKUP(E241,基础信息!C:E,3,FALSE)</f>
        <v>#N/A</v>
      </c>
    </row>
    <row r="242" customHeight="1" spans="8:8">
      <c r="H242" s="29" t="e">
        <f>VLOOKUP(E242,基础信息!C:E,3,FALSE)</f>
        <v>#N/A</v>
      </c>
    </row>
    <row r="243" customHeight="1" spans="8:8">
      <c r="H243" s="29" t="e">
        <f>VLOOKUP(E243,基础信息!C:E,3,FALSE)</f>
        <v>#N/A</v>
      </c>
    </row>
    <row r="244" customHeight="1" spans="8:8">
      <c r="H244" s="29" t="e">
        <f>VLOOKUP(E244,基础信息!C:E,3,FALSE)</f>
        <v>#N/A</v>
      </c>
    </row>
    <row r="245" customHeight="1" spans="8:8">
      <c r="H245" s="29" t="e">
        <f>VLOOKUP(E245,基础信息!C:E,3,FALSE)</f>
        <v>#N/A</v>
      </c>
    </row>
    <row r="246" customHeight="1" spans="8:8">
      <c r="H246" s="29" t="e">
        <f>VLOOKUP(E246,基础信息!C:E,3,FALSE)</f>
        <v>#N/A</v>
      </c>
    </row>
    <row r="247" customHeight="1" spans="8:8">
      <c r="H247" s="29" t="e">
        <f>VLOOKUP(E247,基础信息!C:E,3,FALSE)</f>
        <v>#N/A</v>
      </c>
    </row>
    <row r="248" customHeight="1" spans="8:8">
      <c r="H248" s="29" t="e">
        <f>VLOOKUP(E248,基础信息!C:E,3,FALSE)</f>
        <v>#N/A</v>
      </c>
    </row>
    <row r="249" customHeight="1" spans="8:8">
      <c r="H249" s="29" t="e">
        <f>VLOOKUP(E249,基础信息!C:E,3,FALSE)</f>
        <v>#N/A</v>
      </c>
    </row>
    <row r="250" customHeight="1" spans="8:8">
      <c r="H250" s="29" t="e">
        <f>VLOOKUP(E250,基础信息!C:E,3,FALSE)</f>
        <v>#N/A</v>
      </c>
    </row>
    <row r="251" customHeight="1" spans="8:8">
      <c r="H251" s="29" t="e">
        <f>VLOOKUP(E251,基础信息!C:E,3,FALSE)</f>
        <v>#N/A</v>
      </c>
    </row>
    <row r="252" customHeight="1" spans="8:8">
      <c r="H252" s="29" t="e">
        <f>VLOOKUP(E252,基础信息!C:E,3,FALSE)</f>
        <v>#N/A</v>
      </c>
    </row>
    <row r="253" customHeight="1" spans="8:8">
      <c r="H253" s="29" t="e">
        <f>VLOOKUP(E253,基础信息!C:E,3,FALSE)</f>
        <v>#N/A</v>
      </c>
    </row>
    <row r="254" customHeight="1" spans="8:8">
      <c r="H254" s="29" t="e">
        <f>VLOOKUP(E254,基础信息!C:E,3,FALSE)</f>
        <v>#N/A</v>
      </c>
    </row>
    <row r="255" customHeight="1" spans="8:8">
      <c r="H255" s="29" t="e">
        <f>VLOOKUP(E255,基础信息!C:E,3,FALSE)</f>
        <v>#N/A</v>
      </c>
    </row>
    <row r="256" customHeight="1" spans="8:8">
      <c r="H256" s="29" t="e">
        <f>VLOOKUP(E256,基础信息!C:E,3,FALSE)</f>
        <v>#N/A</v>
      </c>
    </row>
    <row r="257" customHeight="1" spans="8:8">
      <c r="H257" s="29" t="e">
        <f>VLOOKUP(E257,基础信息!C:E,3,FALSE)</f>
        <v>#N/A</v>
      </c>
    </row>
    <row r="258" customHeight="1" spans="8:8">
      <c r="H258" s="29" t="e">
        <f>VLOOKUP(E258,基础信息!C:E,3,FALSE)</f>
        <v>#N/A</v>
      </c>
    </row>
    <row r="259" customHeight="1" spans="8:8">
      <c r="H259" s="29" t="e">
        <f>VLOOKUP(E259,基础信息!C:E,3,FALSE)</f>
        <v>#N/A</v>
      </c>
    </row>
    <row r="260" customHeight="1" spans="8:8">
      <c r="H260" s="29" t="e">
        <f>VLOOKUP(E260,基础信息!C:E,3,FALSE)</f>
        <v>#N/A</v>
      </c>
    </row>
    <row r="261" customHeight="1" spans="8:8">
      <c r="H261" s="29" t="e">
        <f>VLOOKUP(E261,基础信息!C:E,3,FALSE)</f>
        <v>#N/A</v>
      </c>
    </row>
    <row r="262" customHeight="1" spans="8:8">
      <c r="H262" s="29" t="e">
        <f>VLOOKUP(E262,基础信息!C:E,3,FALSE)</f>
        <v>#N/A</v>
      </c>
    </row>
    <row r="263" customHeight="1" spans="8:8">
      <c r="H263" s="29" t="e">
        <f>VLOOKUP(E263,基础信息!C:E,3,FALSE)</f>
        <v>#N/A</v>
      </c>
    </row>
    <row r="264" customHeight="1" spans="8:8">
      <c r="H264" s="29" t="e">
        <f>VLOOKUP(E264,基础信息!C:E,3,FALSE)</f>
        <v>#N/A</v>
      </c>
    </row>
    <row r="265" customHeight="1" spans="8:8">
      <c r="H265" s="29" t="e">
        <f>VLOOKUP(E265,基础信息!C:E,3,FALSE)</f>
        <v>#N/A</v>
      </c>
    </row>
    <row r="266" customHeight="1" spans="8:8">
      <c r="H266" s="29" t="e">
        <f>VLOOKUP(E266,基础信息!C:E,3,FALSE)</f>
        <v>#N/A</v>
      </c>
    </row>
    <row r="267" customHeight="1" spans="8:8">
      <c r="H267" s="29" t="e">
        <f>VLOOKUP(E267,基础信息!C:E,3,FALSE)</f>
        <v>#N/A</v>
      </c>
    </row>
    <row r="268" customHeight="1" spans="8:8">
      <c r="H268" s="29" t="e">
        <f>VLOOKUP(E268,基础信息!C:E,3,FALSE)</f>
        <v>#N/A</v>
      </c>
    </row>
    <row r="269" customHeight="1" spans="8:8">
      <c r="H269" s="29" t="e">
        <f>VLOOKUP(E269,基础信息!C:E,3,FALSE)</f>
        <v>#N/A</v>
      </c>
    </row>
    <row r="270" customHeight="1" spans="8:8">
      <c r="H270" s="29" t="e">
        <f>VLOOKUP(E270,基础信息!C:E,3,FALSE)</f>
        <v>#N/A</v>
      </c>
    </row>
    <row r="271" customHeight="1" spans="8:8">
      <c r="H271" s="29" t="e">
        <f>VLOOKUP(E271,基础信息!C:E,3,FALSE)</f>
        <v>#N/A</v>
      </c>
    </row>
    <row r="272" customHeight="1" spans="8:8">
      <c r="H272" s="29" t="e">
        <f>VLOOKUP(E272,基础信息!C:E,3,FALSE)</f>
        <v>#N/A</v>
      </c>
    </row>
    <row r="273" customHeight="1" spans="8:8">
      <c r="H273" s="29" t="e">
        <f>VLOOKUP(E273,基础信息!C:E,3,FALSE)</f>
        <v>#N/A</v>
      </c>
    </row>
    <row r="274" customHeight="1" spans="8:8">
      <c r="H274" s="29" t="e">
        <f>VLOOKUP(E274,基础信息!C:E,3,FALSE)</f>
        <v>#N/A</v>
      </c>
    </row>
    <row r="275" customHeight="1" spans="8:8">
      <c r="H275" s="29" t="e">
        <f>VLOOKUP(E275,基础信息!C:E,3,FALSE)</f>
        <v>#N/A</v>
      </c>
    </row>
    <row r="276" customHeight="1" spans="8:8">
      <c r="H276" s="29" t="e">
        <f>VLOOKUP(E276,基础信息!C:E,3,FALSE)</f>
        <v>#N/A</v>
      </c>
    </row>
    <row r="277" customHeight="1" spans="8:8">
      <c r="H277" s="29" t="e">
        <f>VLOOKUP(E277,基础信息!C:E,3,FALSE)</f>
        <v>#N/A</v>
      </c>
    </row>
    <row r="278" customHeight="1" spans="8:8">
      <c r="H278" s="29" t="e">
        <f>VLOOKUP(E278,基础信息!C:E,3,FALSE)</f>
        <v>#N/A</v>
      </c>
    </row>
    <row r="279" customHeight="1" spans="8:8">
      <c r="H279" s="29" t="e">
        <f>VLOOKUP(E279,基础信息!C:E,3,FALSE)</f>
        <v>#N/A</v>
      </c>
    </row>
    <row r="280" customHeight="1" spans="8:8">
      <c r="H280" s="29" t="e">
        <f>VLOOKUP(E280,基础信息!C:E,3,FALSE)</f>
        <v>#N/A</v>
      </c>
    </row>
    <row r="281" customHeight="1" spans="8:8">
      <c r="H281" s="29" t="e">
        <f>VLOOKUP(E281,基础信息!C:E,3,FALSE)</f>
        <v>#N/A</v>
      </c>
    </row>
    <row r="282" customHeight="1" spans="8:8">
      <c r="H282" s="29" t="e">
        <f>VLOOKUP(E282,基础信息!C:E,3,FALSE)</f>
        <v>#N/A</v>
      </c>
    </row>
    <row r="283" customHeight="1" spans="8:8">
      <c r="H283" s="29" t="e">
        <f>VLOOKUP(E283,基础信息!C:E,3,FALSE)</f>
        <v>#N/A</v>
      </c>
    </row>
    <row r="284" customHeight="1" spans="8:8">
      <c r="H284" s="29" t="e">
        <f>VLOOKUP(E284,基础信息!C:E,3,FALSE)</f>
        <v>#N/A</v>
      </c>
    </row>
    <row r="285" customHeight="1" spans="8:8">
      <c r="H285" s="29" t="e">
        <f>VLOOKUP(E285,基础信息!C:E,3,FALSE)</f>
        <v>#N/A</v>
      </c>
    </row>
    <row r="286" customHeight="1" spans="8:8">
      <c r="H286" s="29" t="e">
        <f>VLOOKUP(E286,基础信息!C:E,3,FALSE)</f>
        <v>#N/A</v>
      </c>
    </row>
    <row r="287" customHeight="1" spans="8:8">
      <c r="H287" s="29" t="e">
        <f>VLOOKUP(E287,基础信息!C:E,3,FALSE)</f>
        <v>#N/A</v>
      </c>
    </row>
    <row r="288" customHeight="1" spans="8:8">
      <c r="H288" s="29" t="e">
        <f>VLOOKUP(E288,基础信息!C:E,3,FALSE)</f>
        <v>#N/A</v>
      </c>
    </row>
    <row r="289" customHeight="1" spans="8:8">
      <c r="H289" s="29" t="e">
        <f>VLOOKUP(E289,基础信息!C:E,3,FALSE)</f>
        <v>#N/A</v>
      </c>
    </row>
    <row r="290" customHeight="1" spans="8:8">
      <c r="H290" s="29" t="e">
        <f>VLOOKUP(E290,基础信息!C:E,3,FALSE)</f>
        <v>#N/A</v>
      </c>
    </row>
    <row r="291" customHeight="1" spans="8:8">
      <c r="H291" s="29" t="e">
        <f>VLOOKUP(E291,基础信息!C:E,3,FALSE)</f>
        <v>#N/A</v>
      </c>
    </row>
    <row r="292" customHeight="1" spans="8:8">
      <c r="H292" s="29" t="e">
        <f>VLOOKUP(E292,基础信息!C:E,3,FALSE)</f>
        <v>#N/A</v>
      </c>
    </row>
    <row r="293" customHeight="1" spans="8:8">
      <c r="H293" s="29" t="e">
        <f>VLOOKUP(E293,基础信息!C:E,3,FALSE)</f>
        <v>#N/A</v>
      </c>
    </row>
    <row r="294" customHeight="1" spans="8:8">
      <c r="H294" s="29" t="e">
        <f>VLOOKUP(E294,基础信息!C:E,3,FALSE)</f>
        <v>#N/A</v>
      </c>
    </row>
    <row r="295" customHeight="1" spans="8:8">
      <c r="H295" s="29" t="e">
        <f>VLOOKUP(E295,基础信息!C:E,3,FALSE)</f>
        <v>#N/A</v>
      </c>
    </row>
    <row r="296" customHeight="1" spans="8:8">
      <c r="H296" s="29" t="e">
        <f>VLOOKUP(E296,基础信息!C:E,3,FALSE)</f>
        <v>#N/A</v>
      </c>
    </row>
    <row r="297" customHeight="1" spans="8:8">
      <c r="H297" s="29" t="e">
        <f>VLOOKUP(E297,基础信息!C:E,3,FALSE)</f>
        <v>#N/A</v>
      </c>
    </row>
    <row r="298" customHeight="1" spans="8:8">
      <c r="H298" s="29" t="e">
        <f>VLOOKUP(E298,基础信息!C:E,3,FALSE)</f>
        <v>#N/A</v>
      </c>
    </row>
    <row r="299" customHeight="1" spans="8:8">
      <c r="H299" s="29" t="e">
        <f>VLOOKUP(E299,基础信息!C:E,3,FALSE)</f>
        <v>#N/A</v>
      </c>
    </row>
    <row r="300" customHeight="1" spans="8:8">
      <c r="H300" s="29" t="e">
        <f>VLOOKUP(E300,基础信息!C:E,3,FALSE)</f>
        <v>#N/A</v>
      </c>
    </row>
    <row r="301" customHeight="1" spans="8:8">
      <c r="H301" s="29" t="e">
        <f>VLOOKUP(E301,基础信息!C:E,3,FALSE)</f>
        <v>#N/A</v>
      </c>
    </row>
    <row r="302" customHeight="1" spans="8:8">
      <c r="H302" s="29" t="e">
        <f>VLOOKUP(E302,基础信息!C:E,3,FALSE)</f>
        <v>#N/A</v>
      </c>
    </row>
    <row r="303" customHeight="1" spans="8:8">
      <c r="H303" s="29" t="e">
        <f>VLOOKUP(E303,基础信息!C:E,3,FALSE)</f>
        <v>#N/A</v>
      </c>
    </row>
    <row r="304" customHeight="1" spans="8:8">
      <c r="H304" s="29" t="e">
        <f>VLOOKUP(E304,基础信息!C:E,3,FALSE)</f>
        <v>#N/A</v>
      </c>
    </row>
    <row r="305" customHeight="1" spans="8:8">
      <c r="H305" s="29" t="e">
        <f>VLOOKUP(E305,基础信息!C:E,3,FALSE)</f>
        <v>#N/A</v>
      </c>
    </row>
    <row r="306" customHeight="1" spans="8:8">
      <c r="H306" s="29" t="e">
        <f>VLOOKUP(E306,基础信息!C:E,3,FALSE)</f>
        <v>#N/A</v>
      </c>
    </row>
    <row r="307" customHeight="1" spans="8:8">
      <c r="H307" s="29" t="e">
        <f>VLOOKUP(E307,基础信息!C:E,3,FALSE)</f>
        <v>#N/A</v>
      </c>
    </row>
    <row r="308" customHeight="1" spans="8:8">
      <c r="H308" s="29" t="e">
        <f>VLOOKUP(E308,基础信息!C:E,3,FALSE)</f>
        <v>#N/A</v>
      </c>
    </row>
    <row r="309" customHeight="1" spans="8:8">
      <c r="H309" s="29" t="e">
        <f>VLOOKUP(E309,基础信息!C:E,3,FALSE)</f>
        <v>#N/A</v>
      </c>
    </row>
    <row r="310" customHeight="1" spans="8:8">
      <c r="H310" s="29" t="e">
        <f>VLOOKUP(E310,基础信息!C:E,3,FALSE)</f>
        <v>#N/A</v>
      </c>
    </row>
    <row r="311" customHeight="1" spans="8:8">
      <c r="H311" s="29" t="e">
        <f>VLOOKUP(E311,基础信息!C:E,3,FALSE)</f>
        <v>#N/A</v>
      </c>
    </row>
    <row r="312" customHeight="1" spans="8:8">
      <c r="H312" s="29" t="e">
        <f>VLOOKUP(E312,基础信息!C:E,3,FALSE)</f>
        <v>#N/A</v>
      </c>
    </row>
    <row r="313" customHeight="1" spans="8:8">
      <c r="H313" s="29" t="e">
        <f>VLOOKUP(E313,基础信息!C:E,3,FALSE)</f>
        <v>#N/A</v>
      </c>
    </row>
    <row r="314" customHeight="1" spans="8:8">
      <c r="H314" s="29" t="e">
        <f>VLOOKUP(E314,基础信息!C:E,3,FALSE)</f>
        <v>#N/A</v>
      </c>
    </row>
    <row r="315" customHeight="1" spans="8:8">
      <c r="H315" s="29" t="e">
        <f>VLOOKUP(E315,基础信息!C:E,3,FALSE)</f>
        <v>#N/A</v>
      </c>
    </row>
    <row r="316" customHeight="1" spans="8:8">
      <c r="H316" s="29" t="e">
        <f>VLOOKUP(E316,基础信息!C:E,3,FALSE)</f>
        <v>#N/A</v>
      </c>
    </row>
    <row r="317" customHeight="1" spans="8:8">
      <c r="H317" s="29" t="e">
        <f>VLOOKUP(E317,基础信息!C:E,3,FALSE)</f>
        <v>#N/A</v>
      </c>
    </row>
    <row r="318" customHeight="1" spans="8:8">
      <c r="H318" s="29" t="e">
        <f>VLOOKUP(E318,基础信息!C:E,3,FALSE)</f>
        <v>#N/A</v>
      </c>
    </row>
    <row r="319" customHeight="1" spans="8:8">
      <c r="H319" s="29" t="e">
        <f>VLOOKUP(E319,基础信息!C:E,3,FALSE)</f>
        <v>#N/A</v>
      </c>
    </row>
    <row r="320" customHeight="1" spans="8:8">
      <c r="H320" s="29" t="e">
        <f>VLOOKUP(E320,基础信息!C:E,3,FALSE)</f>
        <v>#N/A</v>
      </c>
    </row>
    <row r="321" customHeight="1" spans="8:8">
      <c r="H321" s="29" t="e">
        <f>VLOOKUP(E321,基础信息!C:E,3,FALSE)</f>
        <v>#N/A</v>
      </c>
    </row>
    <row r="322" customHeight="1" spans="8:8">
      <c r="H322" s="29" t="e">
        <f>VLOOKUP(E322,基础信息!C:E,3,FALSE)</f>
        <v>#N/A</v>
      </c>
    </row>
    <row r="323" customHeight="1" spans="8:8">
      <c r="H323" s="29" t="e">
        <f>VLOOKUP(E323,基础信息!C:E,3,FALSE)</f>
        <v>#N/A</v>
      </c>
    </row>
    <row r="324" customHeight="1" spans="8:8">
      <c r="H324" s="29" t="e">
        <f>VLOOKUP(E324,基础信息!C:E,3,FALSE)</f>
        <v>#N/A</v>
      </c>
    </row>
    <row r="325" customHeight="1" spans="8:8">
      <c r="H325" s="29" t="e">
        <f>VLOOKUP(E325,基础信息!C:E,3,FALSE)</f>
        <v>#N/A</v>
      </c>
    </row>
    <row r="326" customHeight="1" spans="8:8">
      <c r="H326" s="29" t="e">
        <f>VLOOKUP(E326,基础信息!C:E,3,FALSE)</f>
        <v>#N/A</v>
      </c>
    </row>
    <row r="327" customHeight="1" spans="8:8">
      <c r="H327" s="29" t="e">
        <f>VLOOKUP(E327,基础信息!C:E,3,FALSE)</f>
        <v>#N/A</v>
      </c>
    </row>
    <row r="328" customHeight="1" spans="8:8">
      <c r="H328" s="29" t="e">
        <f>VLOOKUP(E328,基础信息!C:E,3,FALSE)</f>
        <v>#N/A</v>
      </c>
    </row>
    <row r="329" customHeight="1" spans="8:8">
      <c r="H329" s="29" t="e">
        <f>VLOOKUP(E329,基础信息!C:E,3,FALSE)</f>
        <v>#N/A</v>
      </c>
    </row>
    <row r="330" customHeight="1" spans="8:8">
      <c r="H330" s="29" t="e">
        <f>VLOOKUP(E330,基础信息!C:E,3,FALSE)</f>
        <v>#N/A</v>
      </c>
    </row>
    <row r="331" customHeight="1" spans="8:8">
      <c r="H331" s="29" t="e">
        <f>VLOOKUP(E331,基础信息!C:E,3,FALSE)</f>
        <v>#N/A</v>
      </c>
    </row>
    <row r="332" customHeight="1" spans="8:8">
      <c r="H332" s="29" t="e">
        <f>VLOOKUP(E332,基础信息!C:E,3,FALSE)</f>
        <v>#N/A</v>
      </c>
    </row>
    <row r="333" customHeight="1" spans="8:8">
      <c r="H333" s="29" t="e">
        <f>VLOOKUP(E333,基础信息!C:E,3,FALSE)</f>
        <v>#N/A</v>
      </c>
    </row>
    <row r="334" customHeight="1" spans="8:8">
      <c r="H334" s="29" t="e">
        <f>VLOOKUP(E334,基础信息!C:E,3,FALSE)</f>
        <v>#N/A</v>
      </c>
    </row>
    <row r="335" customHeight="1" spans="8:8">
      <c r="H335" s="29" t="e">
        <f>VLOOKUP(E335,基础信息!C:E,3,FALSE)</f>
        <v>#N/A</v>
      </c>
    </row>
    <row r="336" customHeight="1" spans="8:8">
      <c r="H336" s="29" t="e">
        <f>VLOOKUP(E336,基础信息!C:E,3,FALSE)</f>
        <v>#N/A</v>
      </c>
    </row>
    <row r="337" customHeight="1" spans="8:8">
      <c r="H337" s="29" t="e">
        <f>VLOOKUP(E337,基础信息!C:E,3,FALSE)</f>
        <v>#N/A</v>
      </c>
    </row>
    <row r="338" customHeight="1" spans="8:8">
      <c r="H338" s="29" t="e">
        <f>VLOOKUP(E338,基础信息!C:E,3,FALSE)</f>
        <v>#N/A</v>
      </c>
    </row>
    <row r="339" customHeight="1" spans="8:8">
      <c r="H339" s="29" t="e">
        <f>VLOOKUP(E339,基础信息!C:E,3,FALSE)</f>
        <v>#N/A</v>
      </c>
    </row>
    <row r="340" customHeight="1" spans="8:8">
      <c r="H340" s="29" t="e">
        <f>VLOOKUP(E340,基础信息!C:E,3,FALSE)</f>
        <v>#N/A</v>
      </c>
    </row>
    <row r="341" customHeight="1" spans="8:8">
      <c r="H341" s="29" t="e">
        <f>VLOOKUP(E341,基础信息!C:E,3,FALSE)</f>
        <v>#N/A</v>
      </c>
    </row>
    <row r="342" customHeight="1" spans="8:8">
      <c r="H342" s="29" t="e">
        <f>VLOOKUP(E342,基础信息!C:E,3,FALSE)</f>
        <v>#N/A</v>
      </c>
    </row>
    <row r="343" customHeight="1" spans="8:8">
      <c r="H343" s="29" t="e">
        <f>VLOOKUP(E343,基础信息!C:E,3,FALSE)</f>
        <v>#N/A</v>
      </c>
    </row>
    <row r="344" customHeight="1" spans="8:8">
      <c r="H344" s="29" t="e">
        <f>VLOOKUP(E344,基础信息!C:E,3,FALSE)</f>
        <v>#N/A</v>
      </c>
    </row>
    <row r="345" customHeight="1" spans="8:8">
      <c r="H345" s="29" t="e">
        <f>VLOOKUP(E345,基础信息!C:E,3,FALSE)</f>
        <v>#N/A</v>
      </c>
    </row>
    <row r="346" customHeight="1" spans="8:8">
      <c r="H346" s="29" t="e">
        <f>VLOOKUP(E346,基础信息!C:E,3,FALSE)</f>
        <v>#N/A</v>
      </c>
    </row>
    <row r="347" customHeight="1" spans="8:8">
      <c r="H347" s="29" t="e">
        <f>VLOOKUP(E347,基础信息!C:E,3,FALSE)</f>
        <v>#N/A</v>
      </c>
    </row>
    <row r="348" customHeight="1" spans="8:8">
      <c r="H348" s="29" t="e">
        <f>VLOOKUP(E348,基础信息!C:E,3,FALSE)</f>
        <v>#N/A</v>
      </c>
    </row>
    <row r="349" customHeight="1" spans="8:8">
      <c r="H349" s="29" t="e">
        <f>VLOOKUP(E349,基础信息!C:E,3,FALSE)</f>
        <v>#N/A</v>
      </c>
    </row>
    <row r="350" customHeight="1" spans="8:8">
      <c r="H350" s="29" t="e">
        <f>VLOOKUP(E350,基础信息!C:E,3,FALSE)</f>
        <v>#N/A</v>
      </c>
    </row>
    <row r="351" customHeight="1" spans="8:8">
      <c r="H351" s="29" t="e">
        <f>VLOOKUP(E351,基础信息!C:E,3,FALSE)</f>
        <v>#N/A</v>
      </c>
    </row>
    <row r="352" customHeight="1" spans="8:8">
      <c r="H352" s="29" t="e">
        <f>VLOOKUP(E352,基础信息!C:E,3,FALSE)</f>
        <v>#N/A</v>
      </c>
    </row>
    <row r="353" customHeight="1" spans="8:8">
      <c r="H353" s="29" t="e">
        <f>VLOOKUP(E353,基础信息!C:E,3,FALSE)</f>
        <v>#N/A</v>
      </c>
    </row>
    <row r="354" customHeight="1" spans="8:8">
      <c r="H354" s="29" t="e">
        <f>VLOOKUP(E354,基础信息!C:E,3,FALSE)</f>
        <v>#N/A</v>
      </c>
    </row>
    <row r="355" customHeight="1" spans="8:8">
      <c r="H355" s="29" t="e">
        <f>VLOOKUP(E355,基础信息!C:E,3,FALSE)</f>
        <v>#N/A</v>
      </c>
    </row>
    <row r="356" customHeight="1" spans="8:8">
      <c r="H356" s="29" t="e">
        <f>VLOOKUP(E356,基础信息!C:E,3,FALSE)</f>
        <v>#N/A</v>
      </c>
    </row>
    <row r="357" customHeight="1" spans="8:8">
      <c r="H357" s="29" t="e">
        <f>VLOOKUP(E357,基础信息!C:E,3,FALSE)</f>
        <v>#N/A</v>
      </c>
    </row>
    <row r="358" customHeight="1" spans="8:8">
      <c r="H358" s="29" t="e">
        <f>VLOOKUP(E358,基础信息!C:E,3,FALSE)</f>
        <v>#N/A</v>
      </c>
    </row>
    <row r="359" customHeight="1" spans="8:8">
      <c r="H359" s="29" t="e">
        <f>VLOOKUP(E359,基础信息!C:E,3,FALSE)</f>
        <v>#N/A</v>
      </c>
    </row>
    <row r="360" customHeight="1" spans="8:8">
      <c r="H360" s="29" t="e">
        <f>VLOOKUP(E360,基础信息!C:E,3,FALSE)</f>
        <v>#N/A</v>
      </c>
    </row>
    <row r="361" customHeight="1" spans="8:8">
      <c r="H361" s="29" t="e">
        <f>VLOOKUP(E361,基础信息!C:E,3,FALSE)</f>
        <v>#N/A</v>
      </c>
    </row>
    <row r="362" customHeight="1" spans="8:8">
      <c r="H362" s="29" t="e">
        <f>VLOOKUP(E362,基础信息!C:E,3,FALSE)</f>
        <v>#N/A</v>
      </c>
    </row>
    <row r="363" customHeight="1" spans="8:8">
      <c r="H363" s="29" t="e">
        <f>VLOOKUP(E363,基础信息!C:E,3,FALSE)</f>
        <v>#N/A</v>
      </c>
    </row>
    <row r="364" customHeight="1" spans="8:8">
      <c r="H364" s="29" t="e">
        <f>VLOOKUP(E364,基础信息!C:E,3,FALSE)</f>
        <v>#N/A</v>
      </c>
    </row>
    <row r="365" customHeight="1" spans="8:8">
      <c r="H365" s="29" t="e">
        <f>VLOOKUP(E365,基础信息!C:E,3,FALSE)</f>
        <v>#N/A</v>
      </c>
    </row>
    <row r="366" customHeight="1" spans="8:8">
      <c r="H366" s="29" t="e">
        <f>VLOOKUP(E366,基础信息!C:E,3,FALSE)</f>
        <v>#N/A</v>
      </c>
    </row>
    <row r="367" customHeight="1" spans="8:8">
      <c r="H367" s="29" t="e">
        <f>VLOOKUP(E367,基础信息!C:E,3,FALSE)</f>
        <v>#N/A</v>
      </c>
    </row>
    <row r="368" customHeight="1" spans="8:8">
      <c r="H368" s="29" t="e">
        <f>VLOOKUP(E368,基础信息!C:E,3,FALSE)</f>
        <v>#N/A</v>
      </c>
    </row>
    <row r="369" customHeight="1" spans="8:8">
      <c r="H369" s="29" t="e">
        <f>VLOOKUP(E369,基础信息!C:E,3,FALSE)</f>
        <v>#N/A</v>
      </c>
    </row>
    <row r="370" customHeight="1" spans="8:8">
      <c r="H370" s="29" t="e">
        <f>VLOOKUP(E370,基础信息!C:E,3,FALSE)</f>
        <v>#N/A</v>
      </c>
    </row>
    <row r="371" customHeight="1" spans="8:8">
      <c r="H371" s="29" t="e">
        <f>VLOOKUP(E371,基础信息!C:E,3,FALSE)</f>
        <v>#N/A</v>
      </c>
    </row>
    <row r="372" customHeight="1" spans="8:8">
      <c r="H372" s="29" t="e">
        <f>VLOOKUP(E372,基础信息!C:E,3,FALSE)</f>
        <v>#N/A</v>
      </c>
    </row>
    <row r="373" customHeight="1" spans="8:8">
      <c r="H373" s="29" t="e">
        <f>VLOOKUP(E373,基础信息!C:E,3,FALSE)</f>
        <v>#N/A</v>
      </c>
    </row>
    <row r="374" customHeight="1" spans="8:8">
      <c r="H374" s="29" t="e">
        <f>VLOOKUP(E374,基础信息!C:E,3,FALSE)</f>
        <v>#N/A</v>
      </c>
    </row>
    <row r="375" customHeight="1" spans="8:8">
      <c r="H375" s="29" t="e">
        <f>VLOOKUP(E375,基础信息!C:E,3,FALSE)</f>
        <v>#N/A</v>
      </c>
    </row>
    <row r="376" customHeight="1" spans="8:8">
      <c r="H376" s="29" t="e">
        <f>VLOOKUP(E376,基础信息!C:E,3,FALSE)</f>
        <v>#N/A</v>
      </c>
    </row>
    <row r="377" customHeight="1" spans="8:8">
      <c r="H377" s="29" t="e">
        <f>VLOOKUP(E377,基础信息!C:E,3,FALSE)</f>
        <v>#N/A</v>
      </c>
    </row>
    <row r="378" customHeight="1" spans="8:8">
      <c r="H378" s="29" t="e">
        <f>VLOOKUP(E378,基础信息!C:E,3,FALSE)</f>
        <v>#N/A</v>
      </c>
    </row>
    <row r="379" customHeight="1" spans="8:8">
      <c r="H379" s="29" t="e">
        <f>VLOOKUP(E379,基础信息!C:E,3,FALSE)</f>
        <v>#N/A</v>
      </c>
    </row>
    <row r="380" customHeight="1" spans="8:8">
      <c r="H380" s="29" t="e">
        <f>VLOOKUP(E380,基础信息!C:E,3,FALSE)</f>
        <v>#N/A</v>
      </c>
    </row>
    <row r="381" customHeight="1" spans="8:8">
      <c r="H381" s="29" t="e">
        <f>VLOOKUP(E381,基础信息!C:E,3,FALSE)</f>
        <v>#N/A</v>
      </c>
    </row>
    <row r="382" customHeight="1" spans="8:8">
      <c r="H382" s="29" t="e">
        <f>VLOOKUP(E382,基础信息!C:E,3,FALSE)</f>
        <v>#N/A</v>
      </c>
    </row>
    <row r="383" customHeight="1" spans="8:8">
      <c r="H383" s="29" t="e">
        <f>VLOOKUP(E383,基础信息!C:E,3,FALSE)</f>
        <v>#N/A</v>
      </c>
    </row>
    <row r="384" customHeight="1" spans="8:8">
      <c r="H384" s="29" t="e">
        <f>VLOOKUP(E384,基础信息!C:E,3,FALSE)</f>
        <v>#N/A</v>
      </c>
    </row>
    <row r="385" customHeight="1" spans="8:8">
      <c r="H385" s="29" t="e">
        <f>VLOOKUP(E385,基础信息!C:E,3,FALSE)</f>
        <v>#N/A</v>
      </c>
    </row>
    <row r="386" customHeight="1" spans="8:8">
      <c r="H386" s="29" t="e">
        <f>VLOOKUP(E386,基础信息!C:E,3,FALSE)</f>
        <v>#N/A</v>
      </c>
    </row>
    <row r="387" customHeight="1" spans="8:8">
      <c r="H387" s="29" t="e">
        <f>VLOOKUP(E387,基础信息!C:E,3,FALSE)</f>
        <v>#N/A</v>
      </c>
    </row>
    <row r="388" customHeight="1" spans="8:8">
      <c r="H388" s="29" t="e">
        <f>VLOOKUP(E388,基础信息!C:E,3,FALSE)</f>
        <v>#N/A</v>
      </c>
    </row>
    <row r="389" customHeight="1" spans="8:8">
      <c r="H389" s="29" t="e">
        <f>VLOOKUP(E389,基础信息!C:E,3,FALSE)</f>
        <v>#N/A</v>
      </c>
    </row>
    <row r="390" customHeight="1" spans="8:8">
      <c r="H390" s="29" t="e">
        <f>VLOOKUP(E390,基础信息!C:E,3,FALSE)</f>
        <v>#N/A</v>
      </c>
    </row>
    <row r="391" customHeight="1" spans="8:8">
      <c r="H391" s="29" t="e">
        <f>VLOOKUP(E391,基础信息!C:E,3,FALSE)</f>
        <v>#N/A</v>
      </c>
    </row>
    <row r="392" customHeight="1" spans="8:8">
      <c r="H392" s="29" t="e">
        <f>VLOOKUP(E392,基础信息!C:E,3,FALSE)</f>
        <v>#N/A</v>
      </c>
    </row>
    <row r="393" customHeight="1" spans="8:8">
      <c r="H393" s="29" t="e">
        <f>VLOOKUP(E393,基础信息!C:E,3,FALSE)</f>
        <v>#N/A</v>
      </c>
    </row>
    <row r="394" customHeight="1" spans="8:8">
      <c r="H394" s="29" t="e">
        <f>VLOOKUP(E394,基础信息!C:E,3,FALSE)</f>
        <v>#N/A</v>
      </c>
    </row>
    <row r="395" customHeight="1" spans="8:8">
      <c r="H395" s="29" t="e">
        <f>VLOOKUP(E395,基础信息!C:E,3,FALSE)</f>
        <v>#N/A</v>
      </c>
    </row>
    <row r="396" customHeight="1" spans="8:8">
      <c r="H396" s="29" t="e">
        <f>VLOOKUP(E396,基础信息!C:E,3,FALSE)</f>
        <v>#N/A</v>
      </c>
    </row>
    <row r="397" customHeight="1" spans="8:8">
      <c r="H397" s="29" t="e">
        <f>VLOOKUP(E397,基础信息!C:E,3,FALSE)</f>
        <v>#N/A</v>
      </c>
    </row>
    <row r="398" customHeight="1" spans="8:8">
      <c r="H398" s="29" t="e">
        <f>VLOOKUP(E398,基础信息!C:E,3,FALSE)</f>
        <v>#N/A</v>
      </c>
    </row>
    <row r="399" customHeight="1" spans="8:8">
      <c r="H399" s="29" t="e">
        <f>VLOOKUP(E399,基础信息!C:E,3,FALSE)</f>
        <v>#N/A</v>
      </c>
    </row>
    <row r="400" customHeight="1" spans="8:8">
      <c r="H400" s="29" t="e">
        <f>VLOOKUP(E400,基础信息!C:E,3,FALSE)</f>
        <v>#N/A</v>
      </c>
    </row>
    <row r="401" customHeight="1" spans="8:8">
      <c r="H401" s="29" t="e">
        <f>VLOOKUP(E401,基础信息!C:E,3,FALSE)</f>
        <v>#N/A</v>
      </c>
    </row>
    <row r="402" customHeight="1" spans="8:8">
      <c r="H402" s="29" t="e">
        <f>VLOOKUP(E402,基础信息!C:E,3,FALSE)</f>
        <v>#N/A</v>
      </c>
    </row>
    <row r="403" customHeight="1" spans="8:8">
      <c r="H403" s="29" t="e">
        <f>VLOOKUP(E403,基础信息!C:E,3,FALSE)</f>
        <v>#N/A</v>
      </c>
    </row>
    <row r="404" customHeight="1" spans="8:8">
      <c r="H404" s="29" t="e">
        <f>VLOOKUP(E404,基础信息!C:E,3,FALSE)</f>
        <v>#N/A</v>
      </c>
    </row>
    <row r="405" customHeight="1" spans="8:8">
      <c r="H405" s="29" t="e">
        <f>VLOOKUP(E405,基础信息!C:E,3,FALSE)</f>
        <v>#N/A</v>
      </c>
    </row>
    <row r="406" customHeight="1" spans="8:8">
      <c r="H406" s="29" t="e">
        <f>VLOOKUP(E406,基础信息!C:E,3,FALSE)</f>
        <v>#N/A</v>
      </c>
    </row>
    <row r="407" customHeight="1" spans="8:8">
      <c r="H407" s="29" t="e">
        <f>VLOOKUP(E407,基础信息!C:E,3,FALSE)</f>
        <v>#N/A</v>
      </c>
    </row>
    <row r="408" customHeight="1" spans="8:8">
      <c r="H408" s="29" t="e">
        <f>VLOOKUP(E408,基础信息!C:E,3,FALSE)</f>
        <v>#N/A</v>
      </c>
    </row>
    <row r="409" customHeight="1" spans="8:8">
      <c r="H409" s="29" t="e">
        <f>VLOOKUP(E409,基础信息!C:E,3,FALSE)</f>
        <v>#N/A</v>
      </c>
    </row>
    <row r="410" customHeight="1" spans="8:8">
      <c r="H410" s="29" t="e">
        <f>VLOOKUP(E410,基础信息!C:E,3,FALSE)</f>
        <v>#N/A</v>
      </c>
    </row>
    <row r="411" customHeight="1" spans="8:8">
      <c r="H411" s="29" t="e">
        <f>VLOOKUP(E411,基础信息!C:E,3,FALSE)</f>
        <v>#N/A</v>
      </c>
    </row>
    <row r="412" customHeight="1" spans="8:8">
      <c r="H412" s="29" t="e">
        <f>VLOOKUP(E412,基础信息!C:E,3,FALSE)</f>
        <v>#N/A</v>
      </c>
    </row>
    <row r="413" customHeight="1" spans="8:8">
      <c r="H413" s="29" t="e">
        <f>VLOOKUP(E413,基础信息!C:E,3,FALSE)</f>
        <v>#N/A</v>
      </c>
    </row>
    <row r="414" customHeight="1" spans="8:8">
      <c r="H414" s="29" t="e">
        <f>VLOOKUP(E414,基础信息!C:E,3,FALSE)</f>
        <v>#N/A</v>
      </c>
    </row>
    <row r="415" customHeight="1" spans="8:8">
      <c r="H415" s="29" t="e">
        <f>VLOOKUP(E415,基础信息!C:E,3,FALSE)</f>
        <v>#N/A</v>
      </c>
    </row>
    <row r="416" customHeight="1" spans="8:8">
      <c r="H416" s="29" t="e">
        <f>VLOOKUP(E416,基础信息!C:E,3,FALSE)</f>
        <v>#N/A</v>
      </c>
    </row>
    <row r="417" customHeight="1" spans="8:8">
      <c r="H417" s="29" t="e">
        <f>VLOOKUP(E417,基础信息!C:E,3,FALSE)</f>
        <v>#N/A</v>
      </c>
    </row>
    <row r="418" customHeight="1" spans="8:8">
      <c r="H418" s="29" t="e">
        <f>VLOOKUP(E418,基础信息!C:E,3,FALSE)</f>
        <v>#N/A</v>
      </c>
    </row>
    <row r="419" customHeight="1" spans="8:8">
      <c r="H419" s="29" t="e">
        <f>VLOOKUP(E419,基础信息!C:E,3,FALSE)</f>
        <v>#N/A</v>
      </c>
    </row>
    <row r="420" customHeight="1" spans="8:8">
      <c r="H420" s="29" t="e">
        <f>VLOOKUP(E420,基础信息!C:E,3,FALSE)</f>
        <v>#N/A</v>
      </c>
    </row>
    <row r="421" customHeight="1" spans="8:8">
      <c r="H421" s="29" t="e">
        <f>VLOOKUP(E421,基础信息!C:E,3,FALSE)</f>
        <v>#N/A</v>
      </c>
    </row>
    <row r="422" customHeight="1" spans="8:8">
      <c r="H422" s="29" t="e">
        <f>VLOOKUP(E422,基础信息!C:E,3,FALSE)</f>
        <v>#N/A</v>
      </c>
    </row>
    <row r="423" customHeight="1" spans="8:8">
      <c r="H423" s="29" t="e">
        <f>VLOOKUP(E423,基础信息!C:E,3,FALSE)</f>
        <v>#N/A</v>
      </c>
    </row>
    <row r="424" customHeight="1" spans="8:8">
      <c r="H424" s="29" t="e">
        <f>VLOOKUP(E424,基础信息!C:E,3,FALSE)</f>
        <v>#N/A</v>
      </c>
    </row>
    <row r="425" customHeight="1" spans="8:8">
      <c r="H425" s="29" t="e">
        <f>VLOOKUP(E425,基础信息!C:E,3,FALSE)</f>
        <v>#N/A</v>
      </c>
    </row>
    <row r="426" customHeight="1" spans="8:8">
      <c r="H426" s="29" t="e">
        <f>VLOOKUP(E426,基础信息!C:E,3,FALSE)</f>
        <v>#N/A</v>
      </c>
    </row>
    <row r="427" customHeight="1" spans="8:8">
      <c r="H427" s="29" t="e">
        <f>VLOOKUP(E427,基础信息!C:E,3,FALSE)</f>
        <v>#N/A</v>
      </c>
    </row>
    <row r="428" customHeight="1" spans="8:8">
      <c r="H428" s="29" t="e">
        <f>VLOOKUP(E428,基础信息!C:E,3,FALSE)</f>
        <v>#N/A</v>
      </c>
    </row>
    <row r="429" customHeight="1" spans="8:8">
      <c r="H429" s="29" t="e">
        <f>VLOOKUP(E429,基础信息!C:E,3,FALSE)</f>
        <v>#N/A</v>
      </c>
    </row>
    <row r="430" customHeight="1" spans="8:8">
      <c r="H430" s="29" t="e">
        <f>VLOOKUP(E430,基础信息!C:E,3,FALSE)</f>
        <v>#N/A</v>
      </c>
    </row>
    <row r="431" customHeight="1" spans="8:8">
      <c r="H431" s="29" t="e">
        <f>VLOOKUP(E431,基础信息!C:E,3,FALSE)</f>
        <v>#N/A</v>
      </c>
    </row>
    <row r="432" customHeight="1" spans="8:8">
      <c r="H432" s="29" t="e">
        <f>VLOOKUP(E432,基础信息!C:E,3,FALSE)</f>
        <v>#N/A</v>
      </c>
    </row>
    <row r="433" customHeight="1" spans="8:8">
      <c r="H433" s="29" t="e">
        <f>VLOOKUP(E433,基础信息!C:E,3,FALSE)</f>
        <v>#N/A</v>
      </c>
    </row>
    <row r="434" customHeight="1" spans="8:8">
      <c r="H434" s="29" t="e">
        <f>VLOOKUP(E434,基础信息!C:E,3,FALSE)</f>
        <v>#N/A</v>
      </c>
    </row>
    <row r="435" customHeight="1" spans="8:8">
      <c r="H435" s="29" t="e">
        <f>VLOOKUP(E435,基础信息!C:E,3,FALSE)</f>
        <v>#N/A</v>
      </c>
    </row>
    <row r="436" customHeight="1" spans="8:8">
      <c r="H436" s="29" t="e">
        <f>VLOOKUP(E436,基础信息!C:E,3,FALSE)</f>
        <v>#N/A</v>
      </c>
    </row>
    <row r="437" customHeight="1" spans="8:8">
      <c r="H437" s="29" t="e">
        <f>VLOOKUP(E437,基础信息!C:E,3,FALSE)</f>
        <v>#N/A</v>
      </c>
    </row>
    <row r="438" customHeight="1" spans="8:8">
      <c r="H438" s="29" t="e">
        <f>VLOOKUP(E438,基础信息!C:E,3,FALSE)</f>
        <v>#N/A</v>
      </c>
    </row>
    <row r="439" customHeight="1" spans="8:8">
      <c r="H439" s="29" t="e">
        <f>VLOOKUP(E439,基础信息!C:E,3,FALSE)</f>
        <v>#N/A</v>
      </c>
    </row>
    <row r="440" customHeight="1" spans="8:8">
      <c r="H440" s="29" t="e">
        <f>VLOOKUP(E440,基础信息!C:E,3,FALSE)</f>
        <v>#N/A</v>
      </c>
    </row>
    <row r="441" customHeight="1" spans="8:8">
      <c r="H441" s="29" t="e">
        <f>VLOOKUP(E441,基础信息!C:E,3,FALSE)</f>
        <v>#N/A</v>
      </c>
    </row>
    <row r="442" customHeight="1" spans="8:8">
      <c r="H442" s="29" t="e">
        <f>VLOOKUP(E442,基础信息!C:E,3,FALSE)</f>
        <v>#N/A</v>
      </c>
    </row>
    <row r="443" customHeight="1" spans="8:8">
      <c r="H443" s="29" t="e">
        <f>VLOOKUP(E443,基础信息!C:E,3,FALSE)</f>
        <v>#N/A</v>
      </c>
    </row>
    <row r="444" customHeight="1" spans="8:8">
      <c r="H444" s="29" t="e">
        <f>VLOOKUP(E444,基础信息!C:E,3,FALSE)</f>
        <v>#N/A</v>
      </c>
    </row>
    <row r="445" customHeight="1" spans="8:8">
      <c r="H445" s="29" t="e">
        <f>VLOOKUP(E445,基础信息!C:E,3,FALSE)</f>
        <v>#N/A</v>
      </c>
    </row>
    <row r="446" customHeight="1" spans="8:8">
      <c r="H446" s="29" t="e">
        <f>VLOOKUP(E446,基础信息!C:E,3,FALSE)</f>
        <v>#N/A</v>
      </c>
    </row>
    <row r="447" customHeight="1" spans="8:8">
      <c r="H447" s="29" t="e">
        <f>VLOOKUP(E447,基础信息!C:E,3,FALSE)</f>
        <v>#N/A</v>
      </c>
    </row>
    <row r="448" customHeight="1" spans="8:8">
      <c r="H448" s="29" t="e">
        <f>VLOOKUP(E448,基础信息!C:E,3,FALSE)</f>
        <v>#N/A</v>
      </c>
    </row>
    <row r="449" customHeight="1" spans="8:8">
      <c r="H449" s="29" t="e">
        <f>VLOOKUP(E449,基础信息!C:E,3,FALSE)</f>
        <v>#N/A</v>
      </c>
    </row>
    <row r="450" customHeight="1" spans="8:8">
      <c r="H450" s="29" t="e">
        <f>VLOOKUP(E450,基础信息!C:E,3,FALSE)</f>
        <v>#N/A</v>
      </c>
    </row>
    <row r="451" customHeight="1" spans="8:8">
      <c r="H451" s="29" t="e">
        <f>VLOOKUP(E451,基础信息!C:E,3,FALSE)</f>
        <v>#N/A</v>
      </c>
    </row>
    <row r="452" customHeight="1" spans="8:8">
      <c r="H452" s="29" t="e">
        <f>VLOOKUP(E452,基础信息!C:E,3,FALSE)</f>
        <v>#N/A</v>
      </c>
    </row>
    <row r="453" customHeight="1" spans="8:8">
      <c r="H453" s="29" t="e">
        <f>VLOOKUP(E453,基础信息!C:E,3,FALSE)</f>
        <v>#N/A</v>
      </c>
    </row>
    <row r="454" customHeight="1" spans="8:8">
      <c r="H454" s="29" t="e">
        <f>VLOOKUP(E454,基础信息!C:E,3,FALSE)</f>
        <v>#N/A</v>
      </c>
    </row>
    <row r="455" customHeight="1" spans="8:8">
      <c r="H455" s="29" t="e">
        <f>VLOOKUP(E455,基础信息!C:E,3,FALSE)</f>
        <v>#N/A</v>
      </c>
    </row>
    <row r="456" customHeight="1" spans="8:8">
      <c r="H456" s="29" t="e">
        <f>VLOOKUP(E456,基础信息!C:E,3,FALSE)</f>
        <v>#N/A</v>
      </c>
    </row>
    <row r="457" customHeight="1" spans="8:8">
      <c r="H457" s="29" t="e">
        <f>VLOOKUP(E457,基础信息!C:E,3,FALSE)</f>
        <v>#N/A</v>
      </c>
    </row>
    <row r="458" customHeight="1" spans="8:8">
      <c r="H458" s="29" t="e">
        <f>VLOOKUP(E458,基础信息!C:E,3,FALSE)</f>
        <v>#N/A</v>
      </c>
    </row>
    <row r="459" customHeight="1" spans="8:8">
      <c r="H459" s="29" t="e">
        <f>VLOOKUP(E459,基础信息!C:E,3,FALSE)</f>
        <v>#N/A</v>
      </c>
    </row>
    <row r="460" customHeight="1" spans="8:8">
      <c r="H460" s="29" t="e">
        <f>VLOOKUP(E460,基础信息!C:E,3,FALSE)</f>
        <v>#N/A</v>
      </c>
    </row>
    <row r="461" customHeight="1" spans="8:8">
      <c r="H461" s="29" t="e">
        <f>VLOOKUP(E461,基础信息!C:E,3,FALSE)</f>
        <v>#N/A</v>
      </c>
    </row>
    <row r="462" customHeight="1" spans="8:8">
      <c r="H462" s="29" t="e">
        <f>VLOOKUP(E462,基础信息!C:E,3,FALSE)</f>
        <v>#N/A</v>
      </c>
    </row>
    <row r="463" customHeight="1" spans="8:8">
      <c r="H463" s="29" t="e">
        <f>VLOOKUP(E463,基础信息!C:E,3,FALSE)</f>
        <v>#N/A</v>
      </c>
    </row>
    <row r="464" customHeight="1" spans="8:8">
      <c r="H464" s="29" t="e">
        <f>VLOOKUP(E464,基础信息!C:E,3,FALSE)</f>
        <v>#N/A</v>
      </c>
    </row>
    <row r="465" customHeight="1" spans="8:8">
      <c r="H465" s="29" t="e">
        <f>VLOOKUP(E465,基础信息!C:E,3,FALSE)</f>
        <v>#N/A</v>
      </c>
    </row>
    <row r="466" customHeight="1" spans="8:8">
      <c r="H466" s="29" t="e">
        <f>VLOOKUP(E466,基础信息!C:E,3,FALSE)</f>
        <v>#N/A</v>
      </c>
    </row>
    <row r="467" customHeight="1" spans="8:8">
      <c r="H467" s="29" t="e">
        <f>VLOOKUP(E467,基础信息!C:E,3,FALSE)</f>
        <v>#N/A</v>
      </c>
    </row>
    <row r="468" customHeight="1" spans="8:8">
      <c r="H468" s="29" t="e">
        <f>VLOOKUP(E468,基础信息!C:E,3,FALSE)</f>
        <v>#N/A</v>
      </c>
    </row>
    <row r="469" customHeight="1" spans="8:8">
      <c r="H469" s="29" t="e">
        <f>VLOOKUP(E469,基础信息!C:E,3,FALSE)</f>
        <v>#N/A</v>
      </c>
    </row>
    <row r="470" customHeight="1" spans="8:8">
      <c r="H470" s="29" t="e">
        <f>VLOOKUP(E470,基础信息!C:E,3,FALSE)</f>
        <v>#N/A</v>
      </c>
    </row>
    <row r="471" customHeight="1" spans="8:8">
      <c r="H471" s="29" t="e">
        <f>VLOOKUP(E471,基础信息!C:E,3,FALSE)</f>
        <v>#N/A</v>
      </c>
    </row>
    <row r="472" customHeight="1" spans="8:8">
      <c r="H472" s="29" t="e">
        <f>VLOOKUP(E472,基础信息!C:E,3,FALSE)</f>
        <v>#N/A</v>
      </c>
    </row>
    <row r="473" customHeight="1" spans="8:8">
      <c r="H473" s="29" t="e">
        <f>VLOOKUP(E473,基础信息!C:E,3,FALSE)</f>
        <v>#N/A</v>
      </c>
    </row>
    <row r="474" customHeight="1" spans="8:8">
      <c r="H474" s="29" t="e">
        <f>VLOOKUP(E474,基础信息!C:E,3,FALSE)</f>
        <v>#N/A</v>
      </c>
    </row>
    <row r="475" customHeight="1" spans="8:8">
      <c r="H475" s="29" t="e">
        <f>VLOOKUP(E475,基础信息!C:E,3,FALSE)</f>
        <v>#N/A</v>
      </c>
    </row>
    <row r="476" customHeight="1" spans="8:8">
      <c r="H476" s="29" t="e">
        <f>VLOOKUP(E476,基础信息!C:E,3,FALSE)</f>
        <v>#N/A</v>
      </c>
    </row>
    <row r="477" customHeight="1" spans="8:8">
      <c r="H477" s="29" t="e">
        <f>VLOOKUP(E477,基础信息!C:E,3,FALSE)</f>
        <v>#N/A</v>
      </c>
    </row>
    <row r="478" customHeight="1" spans="8:8">
      <c r="H478" s="29" t="e">
        <f>VLOOKUP(E478,基础信息!C:E,3,FALSE)</f>
        <v>#N/A</v>
      </c>
    </row>
    <row r="479" customHeight="1" spans="8:8">
      <c r="H479" s="29" t="e">
        <f>VLOOKUP(E479,基础信息!C:E,3,FALSE)</f>
        <v>#N/A</v>
      </c>
    </row>
    <row r="480" customHeight="1" spans="8:8">
      <c r="H480" s="29" t="e">
        <f>VLOOKUP(E480,基础信息!C:E,3,FALSE)</f>
        <v>#N/A</v>
      </c>
    </row>
    <row r="481" customHeight="1" spans="8:8">
      <c r="H481" s="29" t="e">
        <f>VLOOKUP(E481,基础信息!C:E,3,FALSE)</f>
        <v>#N/A</v>
      </c>
    </row>
    <row r="482" customHeight="1" spans="8:8">
      <c r="H482" s="29" t="e">
        <f>VLOOKUP(E482,基础信息!C:E,3,FALSE)</f>
        <v>#N/A</v>
      </c>
    </row>
    <row r="483" customHeight="1" spans="8:8">
      <c r="H483" s="29" t="e">
        <f>VLOOKUP(E483,基础信息!C:E,3,FALSE)</f>
        <v>#N/A</v>
      </c>
    </row>
    <row r="484" customHeight="1" spans="8:8">
      <c r="H484" s="29" t="e">
        <f>VLOOKUP(E484,基础信息!C:E,3,FALSE)</f>
        <v>#N/A</v>
      </c>
    </row>
    <row r="485" customHeight="1" spans="8:8">
      <c r="H485" s="29" t="e">
        <f>VLOOKUP(E485,基础信息!C:E,3,FALSE)</f>
        <v>#N/A</v>
      </c>
    </row>
    <row r="486" customHeight="1" spans="8:8">
      <c r="H486" s="29" t="e">
        <f>VLOOKUP(E486,基础信息!C:E,3,FALSE)</f>
        <v>#N/A</v>
      </c>
    </row>
    <row r="487" customHeight="1" spans="8:8">
      <c r="H487" s="29" t="e">
        <f>VLOOKUP(E487,基础信息!C:E,3,FALSE)</f>
        <v>#N/A</v>
      </c>
    </row>
    <row r="488" customHeight="1" spans="8:8">
      <c r="H488" s="29" t="e">
        <f>VLOOKUP(E488,基础信息!C:E,3,FALSE)</f>
        <v>#N/A</v>
      </c>
    </row>
    <row r="489" customHeight="1" spans="8:8">
      <c r="H489" s="29" t="e">
        <f>VLOOKUP(E489,基础信息!C:E,3,FALSE)</f>
        <v>#N/A</v>
      </c>
    </row>
    <row r="490" customHeight="1" spans="8:8">
      <c r="H490" s="29" t="e">
        <f>VLOOKUP(E490,基础信息!C:E,3,FALSE)</f>
        <v>#N/A</v>
      </c>
    </row>
    <row r="491" customHeight="1" spans="8:8">
      <c r="H491" s="29" t="e">
        <f>VLOOKUP(E491,基础信息!C:E,3,FALSE)</f>
        <v>#N/A</v>
      </c>
    </row>
    <row r="492" customHeight="1" spans="8:8">
      <c r="H492" s="29" t="e">
        <f>VLOOKUP(E492,基础信息!C:E,3,FALSE)</f>
        <v>#N/A</v>
      </c>
    </row>
    <row r="493" customHeight="1" spans="8:8">
      <c r="H493" s="29" t="e">
        <f>VLOOKUP(E493,基础信息!C:E,3,FALSE)</f>
        <v>#N/A</v>
      </c>
    </row>
    <row r="494" customHeight="1" spans="8:8">
      <c r="H494" s="29" t="e">
        <f>VLOOKUP(E494,基础信息!C:E,3,FALSE)</f>
        <v>#N/A</v>
      </c>
    </row>
    <row r="495" customHeight="1" spans="8:8">
      <c r="H495" s="29" t="e">
        <f>VLOOKUP(E495,基础信息!C:E,3,FALSE)</f>
        <v>#N/A</v>
      </c>
    </row>
    <row r="496" customHeight="1" spans="8:8">
      <c r="H496" s="29" t="e">
        <f>VLOOKUP(E496,基础信息!C:E,3,FALSE)</f>
        <v>#N/A</v>
      </c>
    </row>
    <row r="497" customHeight="1" spans="8:8">
      <c r="H497" s="29" t="e">
        <f>VLOOKUP(E497,基础信息!C:E,3,FALSE)</f>
        <v>#N/A</v>
      </c>
    </row>
    <row r="498" customHeight="1" spans="8:8">
      <c r="H498" s="29" t="e">
        <f>VLOOKUP(E498,基础信息!C:E,3,FALSE)</f>
        <v>#N/A</v>
      </c>
    </row>
    <row r="499" customHeight="1" spans="8:8">
      <c r="H499" s="29" t="e">
        <f>VLOOKUP(E499,基础信息!C:E,3,FALSE)</f>
        <v>#N/A</v>
      </c>
    </row>
    <row r="500" customHeight="1" spans="8:8">
      <c r="H500" s="29" t="e">
        <f>VLOOKUP(E500,基础信息!C:E,3,FALSE)</f>
        <v>#N/A</v>
      </c>
    </row>
    <row r="501" customHeight="1" spans="8:8">
      <c r="H501" s="29" t="e">
        <f>VLOOKUP(E501,基础信息!C:E,3,FALSE)</f>
        <v>#N/A</v>
      </c>
    </row>
    <row r="502" customHeight="1" spans="8:8">
      <c r="H502" s="29" t="e">
        <f>VLOOKUP(E502,基础信息!C:E,3,FALSE)</f>
        <v>#N/A</v>
      </c>
    </row>
    <row r="503" customHeight="1" spans="8:8">
      <c r="H503" s="29" t="e">
        <f>VLOOKUP(E503,基础信息!C:E,3,FALSE)</f>
        <v>#N/A</v>
      </c>
    </row>
    <row r="504" customHeight="1" spans="8:8">
      <c r="H504" s="29" t="e">
        <f>VLOOKUP(E504,基础信息!C:E,3,FALSE)</f>
        <v>#N/A</v>
      </c>
    </row>
    <row r="505" customHeight="1" spans="8:8">
      <c r="H505" s="29" t="e">
        <f>VLOOKUP(E505,基础信息!C:E,3,FALSE)</f>
        <v>#N/A</v>
      </c>
    </row>
    <row r="506" customHeight="1" spans="8:8">
      <c r="H506" s="29" t="e">
        <f>VLOOKUP(E506,基础信息!C:E,3,FALSE)</f>
        <v>#N/A</v>
      </c>
    </row>
    <row r="507" customHeight="1" spans="8:8">
      <c r="H507" s="29" t="e">
        <f>VLOOKUP(E507,基础信息!C:E,3,FALSE)</f>
        <v>#N/A</v>
      </c>
    </row>
    <row r="508" customHeight="1" spans="8:8">
      <c r="H508" s="29" t="e">
        <f>VLOOKUP(E508,基础信息!C:E,3,FALSE)</f>
        <v>#N/A</v>
      </c>
    </row>
    <row r="509" customHeight="1" spans="8:8">
      <c r="H509" s="29" t="e">
        <f>VLOOKUP(E509,基础信息!C:E,3,FALSE)</f>
        <v>#N/A</v>
      </c>
    </row>
    <row r="510" customHeight="1" spans="8:8">
      <c r="H510" s="29" t="e">
        <f>VLOOKUP(E510,基础信息!C:E,3,FALSE)</f>
        <v>#N/A</v>
      </c>
    </row>
    <row r="511" customHeight="1" spans="8:8">
      <c r="H511" s="29" t="e">
        <f>VLOOKUP(E511,基础信息!C:E,3,FALSE)</f>
        <v>#N/A</v>
      </c>
    </row>
    <row r="512" customHeight="1" spans="8:8">
      <c r="H512" s="29" t="e">
        <f>VLOOKUP(E512,基础信息!C:E,3,FALSE)</f>
        <v>#N/A</v>
      </c>
    </row>
    <row r="513" customHeight="1" spans="8:8">
      <c r="H513" s="29" t="e">
        <f>VLOOKUP(E513,基础信息!C:E,3,FALSE)</f>
        <v>#N/A</v>
      </c>
    </row>
    <row r="514" customHeight="1" spans="8:8">
      <c r="H514" s="29" t="e">
        <f>VLOOKUP(E514,基础信息!C:E,3,FALSE)</f>
        <v>#N/A</v>
      </c>
    </row>
    <row r="515" customHeight="1" spans="8:8">
      <c r="H515" s="29" t="e">
        <f>VLOOKUP(E515,基础信息!C:E,3,FALSE)</f>
        <v>#N/A</v>
      </c>
    </row>
    <row r="516" customHeight="1" spans="8:8">
      <c r="H516" s="29" t="e">
        <f>VLOOKUP(E516,基础信息!C:E,3,FALSE)</f>
        <v>#N/A</v>
      </c>
    </row>
    <row r="517" customHeight="1" spans="8:8">
      <c r="H517" s="29" t="e">
        <f>VLOOKUP(E517,基础信息!C:E,3,FALSE)</f>
        <v>#N/A</v>
      </c>
    </row>
    <row r="518" customHeight="1" spans="8:8">
      <c r="H518" s="29" t="e">
        <f>VLOOKUP(E518,基础信息!C:E,3,FALSE)</f>
        <v>#N/A</v>
      </c>
    </row>
    <row r="519" customHeight="1" spans="8:8">
      <c r="H519" s="29" t="e">
        <f>VLOOKUP(E519,基础信息!C:E,3,FALSE)</f>
        <v>#N/A</v>
      </c>
    </row>
    <row r="520" customHeight="1" spans="8:8">
      <c r="H520" s="29" t="e">
        <f>VLOOKUP(E520,基础信息!C:E,3,FALSE)</f>
        <v>#N/A</v>
      </c>
    </row>
    <row r="521" customHeight="1" spans="8:8">
      <c r="H521" s="29" t="e">
        <f>VLOOKUP(E521,基础信息!C:E,3,FALSE)</f>
        <v>#N/A</v>
      </c>
    </row>
    <row r="522" customHeight="1" spans="8:8">
      <c r="H522" s="29" t="e">
        <f>VLOOKUP(E522,基础信息!C:E,3,FALSE)</f>
        <v>#N/A</v>
      </c>
    </row>
    <row r="523" customHeight="1" spans="8:8">
      <c r="H523" s="29" t="e">
        <f>VLOOKUP(E523,基础信息!C:E,3,FALSE)</f>
        <v>#N/A</v>
      </c>
    </row>
    <row r="524" customHeight="1" spans="8:8">
      <c r="H524" s="29" t="e">
        <f>VLOOKUP(E524,基础信息!C:E,3,FALSE)</f>
        <v>#N/A</v>
      </c>
    </row>
    <row r="525" customHeight="1" spans="8:8">
      <c r="H525" s="29" t="e">
        <f>VLOOKUP(E525,基础信息!C:E,3,FALSE)</f>
        <v>#N/A</v>
      </c>
    </row>
    <row r="526" customHeight="1" spans="8:8">
      <c r="H526" s="29" t="e">
        <f>VLOOKUP(E526,基础信息!C:E,3,FALSE)</f>
        <v>#N/A</v>
      </c>
    </row>
    <row r="527" customHeight="1" spans="8:8">
      <c r="H527" s="29" t="e">
        <f>VLOOKUP(E527,基础信息!C:E,3,FALSE)</f>
        <v>#N/A</v>
      </c>
    </row>
    <row r="528" customHeight="1" spans="8:8">
      <c r="H528" s="29" t="e">
        <f>VLOOKUP(E528,基础信息!C:E,3,FALSE)</f>
        <v>#N/A</v>
      </c>
    </row>
    <row r="529" customHeight="1" spans="8:8">
      <c r="H529" s="29" t="e">
        <f>VLOOKUP(E529,基础信息!C:E,3,FALSE)</f>
        <v>#N/A</v>
      </c>
    </row>
    <row r="530" customHeight="1" spans="8:8">
      <c r="H530" s="29" t="e">
        <f>VLOOKUP(E530,基础信息!C:E,3,FALSE)</f>
        <v>#N/A</v>
      </c>
    </row>
    <row r="531" customHeight="1" spans="8:8">
      <c r="H531" s="29" t="e">
        <f>VLOOKUP(E531,基础信息!C:E,3,FALSE)</f>
        <v>#N/A</v>
      </c>
    </row>
    <row r="532" customHeight="1" spans="8:8">
      <c r="H532" s="29" t="e">
        <f>VLOOKUP(E532,基础信息!C:E,3,FALSE)</f>
        <v>#N/A</v>
      </c>
    </row>
    <row r="533" customHeight="1" spans="8:8">
      <c r="H533" s="29" t="e">
        <f>VLOOKUP(E533,基础信息!C:E,3,FALSE)</f>
        <v>#N/A</v>
      </c>
    </row>
    <row r="534" customHeight="1" spans="8:8">
      <c r="H534" s="29" t="e">
        <f>VLOOKUP(E534,基础信息!C:E,3,FALSE)</f>
        <v>#N/A</v>
      </c>
    </row>
    <row r="535" customHeight="1" spans="8:8">
      <c r="H535" s="29" t="e">
        <f>VLOOKUP(E535,基础信息!C:E,3,FALSE)</f>
        <v>#N/A</v>
      </c>
    </row>
    <row r="536" customHeight="1" spans="8:8">
      <c r="H536" s="29" t="e">
        <f>VLOOKUP(E536,基础信息!C:E,3,FALSE)</f>
        <v>#N/A</v>
      </c>
    </row>
    <row r="537" customHeight="1" spans="8:8">
      <c r="H537" s="29" t="e">
        <f>VLOOKUP(E537,基础信息!C:E,3,FALSE)</f>
        <v>#N/A</v>
      </c>
    </row>
    <row r="538" customHeight="1" spans="8:8">
      <c r="H538" s="29" t="e">
        <f>VLOOKUP(E538,基础信息!C:E,3,FALSE)</f>
        <v>#N/A</v>
      </c>
    </row>
    <row r="539" customHeight="1" spans="8:8">
      <c r="H539" s="29" t="e">
        <f>VLOOKUP(E539,基础信息!C:E,3,FALSE)</f>
        <v>#N/A</v>
      </c>
    </row>
    <row r="540" customHeight="1" spans="8:8">
      <c r="H540" s="29" t="e">
        <f>VLOOKUP(E540,基础信息!C:E,3,FALSE)</f>
        <v>#N/A</v>
      </c>
    </row>
    <row r="541" customHeight="1" spans="8:8">
      <c r="H541" s="29" t="e">
        <f>VLOOKUP(E541,基础信息!C:E,3,FALSE)</f>
        <v>#N/A</v>
      </c>
    </row>
    <row r="542" customHeight="1" spans="8:8">
      <c r="H542" s="29" t="e">
        <f>VLOOKUP(E542,基础信息!C:E,3,FALSE)</f>
        <v>#N/A</v>
      </c>
    </row>
    <row r="543" customHeight="1" spans="8:8">
      <c r="H543" s="29" t="e">
        <f>VLOOKUP(E543,基础信息!C:E,3,FALSE)</f>
        <v>#N/A</v>
      </c>
    </row>
    <row r="544" customHeight="1" spans="8:8">
      <c r="H544" s="29" t="e">
        <f>VLOOKUP(E544,基础信息!C:E,3,FALSE)</f>
        <v>#N/A</v>
      </c>
    </row>
    <row r="545" customHeight="1" spans="8:8">
      <c r="H545" s="29" t="e">
        <f>VLOOKUP(E545,基础信息!C:E,3,FALSE)</f>
        <v>#N/A</v>
      </c>
    </row>
    <row r="546" customHeight="1" spans="8:8">
      <c r="H546" s="29" t="e">
        <f>VLOOKUP(E546,基础信息!C:E,3,FALSE)</f>
        <v>#N/A</v>
      </c>
    </row>
    <row r="547" customHeight="1" spans="8:8">
      <c r="H547" s="29" t="e">
        <f>VLOOKUP(E547,基础信息!C:E,3,FALSE)</f>
        <v>#N/A</v>
      </c>
    </row>
    <row r="548" customHeight="1" spans="8:8">
      <c r="H548" s="29" t="e">
        <f>VLOOKUP(E548,基础信息!C:E,3,FALSE)</f>
        <v>#N/A</v>
      </c>
    </row>
    <row r="549" customHeight="1" spans="8:8">
      <c r="H549" s="29" t="e">
        <f>VLOOKUP(E549,基础信息!C:E,3,FALSE)</f>
        <v>#N/A</v>
      </c>
    </row>
    <row r="550" customHeight="1" spans="8:8">
      <c r="H550" s="29" t="e">
        <f>VLOOKUP(E550,基础信息!C:E,3,FALSE)</f>
        <v>#N/A</v>
      </c>
    </row>
    <row r="551" customHeight="1" spans="8:8">
      <c r="H551" s="29" t="e">
        <f>VLOOKUP(E551,基础信息!C:E,3,FALSE)</f>
        <v>#N/A</v>
      </c>
    </row>
    <row r="552" customHeight="1" spans="8:8">
      <c r="H552" s="29" t="e">
        <f>VLOOKUP(E552,基础信息!C:E,3,FALSE)</f>
        <v>#N/A</v>
      </c>
    </row>
    <row r="553" customHeight="1" spans="8:8">
      <c r="H553" s="29" t="e">
        <f>VLOOKUP(E553,基础信息!C:E,3,FALSE)</f>
        <v>#N/A</v>
      </c>
    </row>
    <row r="554" customHeight="1" spans="8:8">
      <c r="H554" s="29" t="e">
        <f>VLOOKUP(E554,基础信息!C:E,3,FALSE)</f>
        <v>#N/A</v>
      </c>
    </row>
    <row r="555" customHeight="1" spans="8:8">
      <c r="H555" s="29" t="e">
        <f>VLOOKUP(E555,基础信息!C:E,3,FALSE)</f>
        <v>#N/A</v>
      </c>
    </row>
    <row r="556" customHeight="1" spans="8:8">
      <c r="H556" s="29" t="e">
        <f>VLOOKUP(E556,基础信息!C:E,3,FALSE)</f>
        <v>#N/A</v>
      </c>
    </row>
    <row r="557" customHeight="1" spans="8:8">
      <c r="H557" s="29" t="e">
        <f>VLOOKUP(E557,基础信息!C:E,3,FALSE)</f>
        <v>#N/A</v>
      </c>
    </row>
    <row r="558" customHeight="1" spans="8:8">
      <c r="H558" s="29" t="e">
        <f>VLOOKUP(E558,基础信息!C:E,3,FALSE)</f>
        <v>#N/A</v>
      </c>
    </row>
    <row r="559" customHeight="1" spans="8:8">
      <c r="H559" s="29" t="e">
        <f>VLOOKUP(E559,基础信息!C:E,3,FALSE)</f>
        <v>#N/A</v>
      </c>
    </row>
    <row r="560" customHeight="1" spans="8:8">
      <c r="H560" s="29" t="e">
        <f>VLOOKUP(E560,基础信息!C:E,3,FALSE)</f>
        <v>#N/A</v>
      </c>
    </row>
    <row r="561" customHeight="1" spans="8:8">
      <c r="H561" s="29" t="e">
        <f>VLOOKUP(E561,基础信息!C:E,3,FALSE)</f>
        <v>#N/A</v>
      </c>
    </row>
    <row r="562" customHeight="1" spans="8:8">
      <c r="H562" s="29" t="e">
        <f>VLOOKUP(E562,基础信息!C:E,3,FALSE)</f>
        <v>#N/A</v>
      </c>
    </row>
    <row r="563" customHeight="1" spans="8:8">
      <c r="H563" s="29" t="e">
        <f>VLOOKUP(E563,基础信息!C:E,3,FALSE)</f>
        <v>#N/A</v>
      </c>
    </row>
    <row r="564" customHeight="1" spans="8:8">
      <c r="H564" s="29" t="e">
        <f>VLOOKUP(E564,基础信息!C:E,3,FALSE)</f>
        <v>#N/A</v>
      </c>
    </row>
    <row r="565" customHeight="1" spans="8:8">
      <c r="H565" s="29" t="e">
        <f>VLOOKUP(E565,基础信息!C:E,3,FALSE)</f>
        <v>#N/A</v>
      </c>
    </row>
    <row r="566" customHeight="1" spans="8:8">
      <c r="H566" s="29" t="e">
        <f>VLOOKUP(E566,基础信息!C:E,3,FALSE)</f>
        <v>#N/A</v>
      </c>
    </row>
    <row r="567" customHeight="1" spans="8:8">
      <c r="H567" s="29" t="e">
        <f>VLOOKUP(E567,基础信息!C:E,3,FALSE)</f>
        <v>#N/A</v>
      </c>
    </row>
    <row r="568" customHeight="1" spans="8:8">
      <c r="H568" s="29" t="e">
        <f>VLOOKUP(E568,基础信息!C:E,3,FALSE)</f>
        <v>#N/A</v>
      </c>
    </row>
    <row r="569" customHeight="1" spans="8:8">
      <c r="H569" s="29" t="e">
        <f>VLOOKUP(E569,基础信息!C:E,3,FALSE)</f>
        <v>#N/A</v>
      </c>
    </row>
    <row r="570" customHeight="1" spans="8:8">
      <c r="H570" s="29" t="e">
        <f>VLOOKUP(E570,基础信息!C:E,3,FALSE)</f>
        <v>#N/A</v>
      </c>
    </row>
    <row r="571" customHeight="1" spans="8:8">
      <c r="H571" s="29" t="e">
        <f>VLOOKUP(E571,基础信息!C:E,3,FALSE)</f>
        <v>#N/A</v>
      </c>
    </row>
    <row r="572" customHeight="1" spans="8:8">
      <c r="H572" s="29" t="e">
        <f>VLOOKUP(E572,基础信息!C:E,3,FALSE)</f>
        <v>#N/A</v>
      </c>
    </row>
    <row r="573" customHeight="1" spans="8:8">
      <c r="H573" s="29" t="e">
        <f>VLOOKUP(E573,基础信息!C:E,3,FALSE)</f>
        <v>#N/A</v>
      </c>
    </row>
    <row r="574" customHeight="1" spans="8:8">
      <c r="H574" s="29" t="e">
        <f>VLOOKUP(E574,基础信息!C:E,3,FALSE)</f>
        <v>#N/A</v>
      </c>
    </row>
    <row r="575" customHeight="1" spans="8:8">
      <c r="H575" s="29" t="e">
        <f>VLOOKUP(E575,基础信息!C:E,3,FALSE)</f>
        <v>#N/A</v>
      </c>
    </row>
    <row r="576" customHeight="1" spans="8:8">
      <c r="H576" s="29" t="e">
        <f>VLOOKUP(E576,基础信息!C:E,3,FALSE)</f>
        <v>#N/A</v>
      </c>
    </row>
    <row r="577" customHeight="1" spans="8:8">
      <c r="H577" s="29" t="e">
        <f>VLOOKUP(E577,基础信息!C:E,3,FALSE)</f>
        <v>#N/A</v>
      </c>
    </row>
    <row r="578" customHeight="1" spans="8:8">
      <c r="H578" s="29" t="e">
        <f>VLOOKUP(E578,基础信息!C:E,3,FALSE)</f>
        <v>#N/A</v>
      </c>
    </row>
    <row r="579" customHeight="1" spans="8:8">
      <c r="H579" s="29" t="e">
        <f>VLOOKUP(E579,基础信息!C:E,3,FALSE)</f>
        <v>#N/A</v>
      </c>
    </row>
    <row r="580" customHeight="1" spans="8:8">
      <c r="H580" s="29" t="e">
        <f>VLOOKUP(E580,基础信息!C:E,3,FALSE)</f>
        <v>#N/A</v>
      </c>
    </row>
    <row r="581" customHeight="1" spans="8:8">
      <c r="H581" s="29" t="e">
        <f>VLOOKUP(E581,基础信息!C:E,3,FALSE)</f>
        <v>#N/A</v>
      </c>
    </row>
    <row r="582" customHeight="1" spans="8:8">
      <c r="H582" s="29" t="e">
        <f>VLOOKUP(E582,基础信息!C:E,3,FALSE)</f>
        <v>#N/A</v>
      </c>
    </row>
    <row r="583" customHeight="1" spans="8:8">
      <c r="H583" s="29" t="e">
        <f>VLOOKUP(E583,基础信息!C:E,3,FALSE)</f>
        <v>#N/A</v>
      </c>
    </row>
    <row r="584" customHeight="1" spans="8:8">
      <c r="H584" s="29" t="e">
        <f>VLOOKUP(E584,基础信息!C:E,3,FALSE)</f>
        <v>#N/A</v>
      </c>
    </row>
    <row r="585" customHeight="1" spans="8:8">
      <c r="H585" s="29" t="e">
        <f>VLOOKUP(E585,基础信息!C:E,3,FALSE)</f>
        <v>#N/A</v>
      </c>
    </row>
    <row r="586" customHeight="1" spans="8:8">
      <c r="H586" s="29" t="e">
        <f>VLOOKUP(E586,基础信息!C:E,3,FALSE)</f>
        <v>#N/A</v>
      </c>
    </row>
    <row r="587" customHeight="1" spans="8:8">
      <c r="H587" s="29" t="e">
        <f>VLOOKUP(E587,基础信息!C:E,3,FALSE)</f>
        <v>#N/A</v>
      </c>
    </row>
    <row r="588" customHeight="1" spans="8:8">
      <c r="H588" s="29" t="e">
        <f>VLOOKUP(E588,基础信息!C:E,3,FALSE)</f>
        <v>#N/A</v>
      </c>
    </row>
    <row r="589" customHeight="1" spans="8:8">
      <c r="H589" s="29" t="e">
        <f>VLOOKUP(E589,基础信息!C:E,3,FALSE)</f>
        <v>#N/A</v>
      </c>
    </row>
    <row r="590" customHeight="1" spans="8:8">
      <c r="H590" s="29" t="e">
        <f>VLOOKUP(E590,基础信息!C:E,3,FALSE)</f>
        <v>#N/A</v>
      </c>
    </row>
    <row r="591" customHeight="1" spans="8:8">
      <c r="H591" s="29" t="e">
        <f>VLOOKUP(E591,基础信息!C:E,3,FALSE)</f>
        <v>#N/A</v>
      </c>
    </row>
    <row r="592" customHeight="1" spans="8:8">
      <c r="H592" s="29" t="e">
        <f>VLOOKUP(E592,基础信息!C:E,3,FALSE)</f>
        <v>#N/A</v>
      </c>
    </row>
    <row r="593" customHeight="1" spans="8:8">
      <c r="H593" s="29" t="e">
        <f>VLOOKUP(E593,基础信息!C:E,3,FALSE)</f>
        <v>#N/A</v>
      </c>
    </row>
    <row r="594" customHeight="1" spans="8:8">
      <c r="H594" s="29" t="e">
        <f>VLOOKUP(E594,基础信息!C:E,3,FALSE)</f>
        <v>#N/A</v>
      </c>
    </row>
    <row r="595" customHeight="1" spans="8:8">
      <c r="H595" s="29" t="e">
        <f>VLOOKUP(E595,基础信息!C:E,3,FALSE)</f>
        <v>#N/A</v>
      </c>
    </row>
    <row r="596" customHeight="1" spans="8:8">
      <c r="H596" s="29" t="e">
        <f>VLOOKUP(E596,基础信息!C:E,3,FALSE)</f>
        <v>#N/A</v>
      </c>
    </row>
    <row r="597" customHeight="1" spans="8:8">
      <c r="H597" s="29" t="e">
        <f>VLOOKUP(E597,基础信息!C:E,3,FALSE)</f>
        <v>#N/A</v>
      </c>
    </row>
    <row r="598" customHeight="1" spans="8:8">
      <c r="H598" s="29" t="e">
        <f>VLOOKUP(E598,基础信息!C:E,3,FALSE)</f>
        <v>#N/A</v>
      </c>
    </row>
    <row r="599" customHeight="1" spans="8:8">
      <c r="H599" s="29" t="e">
        <f>VLOOKUP(E599,基础信息!C:E,3,FALSE)</f>
        <v>#N/A</v>
      </c>
    </row>
    <row r="600" customHeight="1" spans="8:8">
      <c r="H600" s="29" t="e">
        <f>VLOOKUP(E600,基础信息!C:E,3,FALSE)</f>
        <v>#N/A</v>
      </c>
    </row>
    <row r="601" customHeight="1" spans="8:8">
      <c r="H601" s="29" t="e">
        <f>VLOOKUP(E601,基础信息!C:E,3,FALSE)</f>
        <v>#N/A</v>
      </c>
    </row>
    <row r="602" customHeight="1" spans="8:8">
      <c r="H602" s="29" t="e">
        <f>VLOOKUP(E602,基础信息!C:E,3,FALSE)</f>
        <v>#N/A</v>
      </c>
    </row>
    <row r="603" customHeight="1" spans="8:8">
      <c r="H603" s="29" t="e">
        <f>VLOOKUP(E603,基础信息!C:E,3,FALSE)</f>
        <v>#N/A</v>
      </c>
    </row>
    <row r="604" customHeight="1" spans="8:8">
      <c r="H604" s="29" t="e">
        <f>VLOOKUP(E604,基础信息!C:E,3,FALSE)</f>
        <v>#N/A</v>
      </c>
    </row>
    <row r="605" customHeight="1" spans="8:8">
      <c r="H605" s="29" t="e">
        <f>VLOOKUP(E605,基础信息!C:E,3,FALSE)</f>
        <v>#N/A</v>
      </c>
    </row>
    <row r="606" customHeight="1" spans="8:8">
      <c r="H606" s="29" t="e">
        <f>VLOOKUP(E606,基础信息!C:E,3,FALSE)</f>
        <v>#N/A</v>
      </c>
    </row>
    <row r="607" customHeight="1" spans="8:8">
      <c r="H607" s="29" t="e">
        <f>VLOOKUP(E607,基础信息!C:E,3,FALSE)</f>
        <v>#N/A</v>
      </c>
    </row>
    <row r="608" customHeight="1" spans="8:8">
      <c r="H608" s="29" t="e">
        <f>VLOOKUP(E608,基础信息!C:E,3,FALSE)</f>
        <v>#N/A</v>
      </c>
    </row>
    <row r="609" customHeight="1" spans="8:8">
      <c r="H609" s="29" t="e">
        <f>VLOOKUP(E609,基础信息!C:E,3,FALSE)</f>
        <v>#N/A</v>
      </c>
    </row>
    <row r="610" customHeight="1" spans="8:8">
      <c r="H610" s="29" t="e">
        <f>VLOOKUP(E610,基础信息!C:E,3,FALSE)</f>
        <v>#N/A</v>
      </c>
    </row>
    <row r="611" customHeight="1" spans="8:8">
      <c r="H611" s="29" t="e">
        <f>VLOOKUP(E611,基础信息!C:E,3,FALSE)</f>
        <v>#N/A</v>
      </c>
    </row>
    <row r="612" customHeight="1" spans="8:8">
      <c r="H612" s="29" t="e">
        <f>VLOOKUP(E612,基础信息!C:E,3,FALSE)</f>
        <v>#N/A</v>
      </c>
    </row>
    <row r="613" customHeight="1" spans="8:8">
      <c r="H613" s="29" t="e">
        <f>VLOOKUP(E613,基础信息!C:E,3,FALSE)</f>
        <v>#N/A</v>
      </c>
    </row>
    <row r="614" customHeight="1" spans="8:8">
      <c r="H614" s="29" t="e">
        <f>VLOOKUP(E614,基础信息!C:E,3,FALSE)</f>
        <v>#N/A</v>
      </c>
    </row>
    <row r="615" customHeight="1" spans="8:8">
      <c r="H615" s="29" t="e">
        <f>VLOOKUP(E615,基础信息!C:E,3,FALSE)</f>
        <v>#N/A</v>
      </c>
    </row>
    <row r="616" customHeight="1" spans="8:8">
      <c r="H616" s="29" t="e">
        <f>VLOOKUP(E616,基础信息!C:E,3,FALSE)</f>
        <v>#N/A</v>
      </c>
    </row>
    <row r="617" customHeight="1" spans="8:8">
      <c r="H617" s="29" t="e">
        <f>VLOOKUP(E617,基础信息!C:E,3,FALSE)</f>
        <v>#N/A</v>
      </c>
    </row>
    <row r="618" customHeight="1" spans="8:8">
      <c r="H618" s="29" t="e">
        <f>VLOOKUP(E618,基础信息!C:E,3,FALSE)</f>
        <v>#N/A</v>
      </c>
    </row>
    <row r="619" customHeight="1" spans="8:8">
      <c r="H619" s="29" t="e">
        <f>VLOOKUP(E619,基础信息!C:E,3,FALSE)</f>
        <v>#N/A</v>
      </c>
    </row>
    <row r="620" customHeight="1" spans="8:8">
      <c r="H620" s="29" t="e">
        <f>VLOOKUP(E620,基础信息!C:E,3,FALSE)</f>
        <v>#N/A</v>
      </c>
    </row>
    <row r="621" customHeight="1" spans="8:8">
      <c r="H621" s="29" t="e">
        <f>VLOOKUP(E621,基础信息!C:E,3,FALSE)</f>
        <v>#N/A</v>
      </c>
    </row>
    <row r="622" customHeight="1" spans="8:8">
      <c r="H622" s="29" t="e">
        <f>VLOOKUP(E622,基础信息!C:E,3,FALSE)</f>
        <v>#N/A</v>
      </c>
    </row>
    <row r="623" customHeight="1" spans="8:8">
      <c r="H623" s="29" t="e">
        <f>VLOOKUP(E623,基础信息!C:E,3,FALSE)</f>
        <v>#N/A</v>
      </c>
    </row>
    <row r="624" customHeight="1" spans="8:8">
      <c r="H624" s="29" t="e">
        <f>VLOOKUP(E624,基础信息!C:E,3,FALSE)</f>
        <v>#N/A</v>
      </c>
    </row>
    <row r="625" customHeight="1" spans="8:8">
      <c r="H625" s="29" t="e">
        <f>VLOOKUP(E625,基础信息!C:E,3,FALSE)</f>
        <v>#N/A</v>
      </c>
    </row>
    <row r="626" customHeight="1" spans="8:8">
      <c r="H626" s="29" t="e">
        <f>VLOOKUP(E626,基础信息!C:E,3,FALSE)</f>
        <v>#N/A</v>
      </c>
    </row>
    <row r="627" customHeight="1" spans="8:8">
      <c r="H627" s="29" t="e">
        <f>VLOOKUP(E627,基础信息!C:E,3,FALSE)</f>
        <v>#N/A</v>
      </c>
    </row>
    <row r="628" customHeight="1" spans="8:8">
      <c r="H628" s="29" t="e">
        <f>VLOOKUP(E628,基础信息!C:E,3,FALSE)</f>
        <v>#N/A</v>
      </c>
    </row>
    <row r="629" customHeight="1" spans="8:8">
      <c r="H629" s="29" t="e">
        <f>VLOOKUP(E629,基础信息!C:E,3,FALSE)</f>
        <v>#N/A</v>
      </c>
    </row>
    <row r="630" customHeight="1" spans="8:8">
      <c r="H630" s="29" t="e">
        <f>VLOOKUP(E630,基础信息!C:E,3,FALSE)</f>
        <v>#N/A</v>
      </c>
    </row>
    <row r="631" customHeight="1" spans="8:8">
      <c r="H631" s="29" t="e">
        <f>VLOOKUP(E631,基础信息!C:E,3,FALSE)</f>
        <v>#N/A</v>
      </c>
    </row>
    <row r="632" customHeight="1" spans="8:8">
      <c r="H632" s="29" t="e">
        <f>VLOOKUP(E632,基础信息!C:E,3,FALSE)</f>
        <v>#N/A</v>
      </c>
    </row>
    <row r="633" customHeight="1" spans="8:8">
      <c r="H633" s="29" t="e">
        <f>VLOOKUP(E633,基础信息!C:E,3,FALSE)</f>
        <v>#N/A</v>
      </c>
    </row>
    <row r="634" customHeight="1" spans="8:8">
      <c r="H634" s="29" t="e">
        <f>VLOOKUP(E634,基础信息!C:E,3,FALSE)</f>
        <v>#N/A</v>
      </c>
    </row>
    <row r="635" customHeight="1" spans="8:8">
      <c r="H635" s="29" t="e">
        <f>VLOOKUP(E635,基础信息!C:E,3,FALSE)</f>
        <v>#N/A</v>
      </c>
    </row>
    <row r="636" customHeight="1" spans="8:8">
      <c r="H636" s="29" t="e">
        <f>VLOOKUP(E636,基础信息!C:E,3,FALSE)</f>
        <v>#N/A</v>
      </c>
    </row>
    <row r="637" customHeight="1" spans="8:8">
      <c r="H637" s="29" t="e">
        <f>VLOOKUP(E637,基础信息!C:E,3,FALSE)</f>
        <v>#N/A</v>
      </c>
    </row>
    <row r="638" customHeight="1" spans="8:8">
      <c r="H638" s="29" t="e">
        <f>VLOOKUP(E638,基础信息!C:E,3,FALSE)</f>
        <v>#N/A</v>
      </c>
    </row>
    <row r="639" customHeight="1" spans="8:8">
      <c r="H639" s="29" t="e">
        <f>VLOOKUP(E639,基础信息!C:E,3,FALSE)</f>
        <v>#N/A</v>
      </c>
    </row>
    <row r="640" customHeight="1" spans="8:8">
      <c r="H640" s="29" t="e">
        <f>VLOOKUP(E640,基础信息!C:E,3,FALSE)</f>
        <v>#N/A</v>
      </c>
    </row>
    <row r="641" customHeight="1" spans="8:8">
      <c r="H641" s="29" t="e">
        <f>VLOOKUP(E641,基础信息!C:E,3,FALSE)</f>
        <v>#N/A</v>
      </c>
    </row>
    <row r="642" customHeight="1" spans="8:8">
      <c r="H642" s="29" t="e">
        <f>VLOOKUP(E642,基础信息!C:E,3,FALSE)</f>
        <v>#N/A</v>
      </c>
    </row>
    <row r="643" customHeight="1" spans="8:8">
      <c r="H643" s="29" t="e">
        <f>VLOOKUP(E643,基础信息!C:E,3,FALSE)</f>
        <v>#N/A</v>
      </c>
    </row>
    <row r="644" customHeight="1" spans="8:8">
      <c r="H644" s="29" t="e">
        <f>VLOOKUP(E644,基础信息!C:E,3,FALSE)</f>
        <v>#N/A</v>
      </c>
    </row>
    <row r="645" customHeight="1" spans="8:8">
      <c r="H645" s="29" t="e">
        <f>VLOOKUP(E645,基础信息!C:E,3,FALSE)</f>
        <v>#N/A</v>
      </c>
    </row>
    <row r="646" customHeight="1" spans="8:8">
      <c r="H646" s="29" t="e">
        <f>VLOOKUP(E646,基础信息!C:E,3,FALSE)</f>
        <v>#N/A</v>
      </c>
    </row>
    <row r="647" customHeight="1" spans="8:8">
      <c r="H647" s="29" t="e">
        <f>VLOOKUP(E647,基础信息!C:E,3,FALSE)</f>
        <v>#N/A</v>
      </c>
    </row>
    <row r="648" customHeight="1" spans="8:8">
      <c r="H648" s="29" t="e">
        <f>VLOOKUP(E648,基础信息!C:E,3,FALSE)</f>
        <v>#N/A</v>
      </c>
    </row>
    <row r="649" customHeight="1" spans="8:8">
      <c r="H649" s="29" t="e">
        <f>VLOOKUP(E649,基础信息!C:E,3,FALSE)</f>
        <v>#N/A</v>
      </c>
    </row>
    <row r="650" customHeight="1" spans="8:8">
      <c r="H650" s="29" t="e">
        <f>VLOOKUP(E650,基础信息!C:E,3,FALSE)</f>
        <v>#N/A</v>
      </c>
    </row>
    <row r="651" customHeight="1" spans="8:8">
      <c r="H651" s="29" t="e">
        <f>VLOOKUP(E651,基础信息!C:E,3,FALSE)</f>
        <v>#N/A</v>
      </c>
    </row>
    <row r="652" customHeight="1" spans="8:8">
      <c r="H652" s="29" t="e">
        <f>VLOOKUP(E652,基础信息!C:E,3,FALSE)</f>
        <v>#N/A</v>
      </c>
    </row>
    <row r="653" customHeight="1" spans="8:8">
      <c r="H653" s="29" t="e">
        <f>VLOOKUP(E653,基础信息!C:E,3,FALSE)</f>
        <v>#N/A</v>
      </c>
    </row>
    <row r="654" customHeight="1" spans="8:8">
      <c r="H654" s="29" t="e">
        <f>VLOOKUP(E654,基础信息!C:E,3,FALSE)</f>
        <v>#N/A</v>
      </c>
    </row>
    <row r="655" customHeight="1" spans="8:8">
      <c r="H655" s="29" t="e">
        <f>VLOOKUP(E655,基础信息!C:E,3,FALSE)</f>
        <v>#N/A</v>
      </c>
    </row>
    <row r="656" customHeight="1" spans="8:8">
      <c r="H656" s="29" t="e">
        <f>VLOOKUP(E656,基础信息!C:E,3,FALSE)</f>
        <v>#N/A</v>
      </c>
    </row>
    <row r="657" customHeight="1" spans="8:8">
      <c r="H657" s="29" t="e">
        <f>VLOOKUP(E657,基础信息!C:E,3,FALSE)</f>
        <v>#N/A</v>
      </c>
    </row>
    <row r="658" customHeight="1" spans="8:8">
      <c r="H658" s="29" t="e">
        <f>VLOOKUP(E658,基础信息!C:E,3,FALSE)</f>
        <v>#N/A</v>
      </c>
    </row>
    <row r="659" customHeight="1" spans="8:8">
      <c r="H659" s="29" t="e">
        <f>VLOOKUP(E659,基础信息!C:E,3,FALSE)</f>
        <v>#N/A</v>
      </c>
    </row>
    <row r="660" customHeight="1" spans="8:8">
      <c r="H660" s="29" t="e">
        <f>VLOOKUP(E660,基础信息!C:E,3,FALSE)</f>
        <v>#N/A</v>
      </c>
    </row>
    <row r="661" customHeight="1" spans="8:8">
      <c r="H661" s="29" t="e">
        <f>VLOOKUP(E661,基础信息!C:E,3,FALSE)</f>
        <v>#N/A</v>
      </c>
    </row>
    <row r="662" customHeight="1" spans="8:8">
      <c r="H662" s="29" t="e">
        <f>VLOOKUP(E662,基础信息!C:E,3,FALSE)</f>
        <v>#N/A</v>
      </c>
    </row>
    <row r="663" customHeight="1" spans="8:8">
      <c r="H663" s="29" t="e">
        <f>VLOOKUP(E663,基础信息!C:E,3,FALSE)</f>
        <v>#N/A</v>
      </c>
    </row>
    <row r="664" customHeight="1" spans="8:8">
      <c r="H664" s="29" t="e">
        <f>VLOOKUP(E664,基础信息!C:E,3,FALSE)</f>
        <v>#N/A</v>
      </c>
    </row>
    <row r="665" customHeight="1" spans="8:8">
      <c r="H665" s="29" t="e">
        <f>VLOOKUP(E665,基础信息!C:E,3,FALSE)</f>
        <v>#N/A</v>
      </c>
    </row>
    <row r="666" customHeight="1" spans="8:8">
      <c r="H666" s="29" t="e">
        <f>VLOOKUP(E666,基础信息!C:E,3,FALSE)</f>
        <v>#N/A</v>
      </c>
    </row>
    <row r="667" customHeight="1" spans="8:8">
      <c r="H667" s="29" t="e">
        <f>VLOOKUP(E667,基础信息!C:E,3,FALSE)</f>
        <v>#N/A</v>
      </c>
    </row>
    <row r="668" customHeight="1" spans="8:8">
      <c r="H668" s="29" t="e">
        <f>VLOOKUP(E668,基础信息!C:E,3,FALSE)</f>
        <v>#N/A</v>
      </c>
    </row>
    <row r="669" customHeight="1" spans="8:8">
      <c r="H669" s="29" t="e">
        <f>VLOOKUP(E669,基础信息!C:E,3,FALSE)</f>
        <v>#N/A</v>
      </c>
    </row>
    <row r="670" customHeight="1" spans="8:8">
      <c r="H670" s="29" t="e">
        <f>VLOOKUP(E670,基础信息!C:E,3,FALSE)</f>
        <v>#N/A</v>
      </c>
    </row>
    <row r="671" customHeight="1" spans="8:8">
      <c r="H671" s="29" t="e">
        <f>VLOOKUP(E671,基础信息!C:E,3,FALSE)</f>
        <v>#N/A</v>
      </c>
    </row>
    <row r="672" customHeight="1" spans="8:8">
      <c r="H672" s="29" t="e">
        <f>VLOOKUP(E672,基础信息!C:E,3,FALSE)</f>
        <v>#N/A</v>
      </c>
    </row>
    <row r="673" customHeight="1" spans="8:8">
      <c r="H673" s="29" t="e">
        <f>VLOOKUP(E673,基础信息!C:E,3,FALSE)</f>
        <v>#N/A</v>
      </c>
    </row>
    <row r="674" customHeight="1" spans="8:8">
      <c r="H674" s="29" t="e">
        <f>VLOOKUP(E674,基础信息!C:E,3,FALSE)</f>
        <v>#N/A</v>
      </c>
    </row>
    <row r="675" customHeight="1" spans="8:8">
      <c r="H675" s="29" t="e">
        <f>VLOOKUP(E675,基础信息!C:E,3,FALSE)</f>
        <v>#N/A</v>
      </c>
    </row>
    <row r="676" customHeight="1" spans="8:8">
      <c r="H676" s="29" t="e">
        <f>VLOOKUP(E676,基础信息!C:E,3,FALSE)</f>
        <v>#N/A</v>
      </c>
    </row>
    <row r="677" customHeight="1" spans="8:8">
      <c r="H677" s="29" t="e">
        <f>VLOOKUP(E677,基础信息!C:E,3,FALSE)</f>
        <v>#N/A</v>
      </c>
    </row>
    <row r="678" customHeight="1" spans="8:8">
      <c r="H678" s="29" t="e">
        <f>VLOOKUP(E678,基础信息!C:E,3,FALSE)</f>
        <v>#N/A</v>
      </c>
    </row>
    <row r="679" customHeight="1" spans="8:8">
      <c r="H679" s="29" t="e">
        <f>VLOOKUP(E679,基础信息!C:E,3,FALSE)</f>
        <v>#N/A</v>
      </c>
    </row>
    <row r="680" customHeight="1" spans="8:8">
      <c r="H680" s="29" t="e">
        <f>VLOOKUP(E680,基础信息!C:E,3,FALSE)</f>
        <v>#N/A</v>
      </c>
    </row>
    <row r="681" customHeight="1" spans="8:8">
      <c r="H681" s="29" t="e">
        <f>VLOOKUP(E681,基础信息!C:E,3,FALSE)</f>
        <v>#N/A</v>
      </c>
    </row>
    <row r="682" customHeight="1" spans="8:8">
      <c r="H682" s="29" t="e">
        <f>VLOOKUP(E682,基础信息!C:E,3,FALSE)</f>
        <v>#N/A</v>
      </c>
    </row>
    <row r="683" customHeight="1" spans="8:8">
      <c r="H683" s="29" t="e">
        <f>VLOOKUP(E683,基础信息!C:E,3,FALSE)</f>
        <v>#N/A</v>
      </c>
    </row>
    <row r="684" customHeight="1" spans="8:8">
      <c r="H684" s="29" t="e">
        <f>VLOOKUP(E684,基础信息!C:E,3,FALSE)</f>
        <v>#N/A</v>
      </c>
    </row>
    <row r="685" customHeight="1" spans="8:8">
      <c r="H685" s="29" t="e">
        <f>VLOOKUP(E685,基础信息!C:E,3,FALSE)</f>
        <v>#N/A</v>
      </c>
    </row>
    <row r="686" customHeight="1" spans="8:8">
      <c r="H686" s="29" t="e">
        <f>VLOOKUP(E686,基础信息!C:E,3,FALSE)</f>
        <v>#N/A</v>
      </c>
    </row>
    <row r="687" customHeight="1" spans="8:8">
      <c r="H687" s="29" t="e">
        <f>VLOOKUP(E687,基础信息!C:E,3,FALSE)</f>
        <v>#N/A</v>
      </c>
    </row>
    <row r="688" customHeight="1" spans="8:8">
      <c r="H688" s="29" t="e">
        <f>VLOOKUP(E688,基础信息!C:E,3,FALSE)</f>
        <v>#N/A</v>
      </c>
    </row>
    <row r="689" customHeight="1" spans="8:8">
      <c r="H689" s="29" t="e">
        <f>VLOOKUP(E689,基础信息!C:E,3,FALSE)</f>
        <v>#N/A</v>
      </c>
    </row>
    <row r="690" customHeight="1" spans="8:8">
      <c r="H690" s="29" t="e">
        <f>VLOOKUP(E690,基础信息!C:E,3,FALSE)</f>
        <v>#N/A</v>
      </c>
    </row>
    <row r="691" customHeight="1" spans="8:8">
      <c r="H691" s="29" t="e">
        <f>VLOOKUP(E691,基础信息!C:E,3,FALSE)</f>
        <v>#N/A</v>
      </c>
    </row>
    <row r="692" customHeight="1" spans="8:8">
      <c r="H692" s="29" t="e">
        <f>VLOOKUP(E692,基础信息!C:E,3,FALSE)</f>
        <v>#N/A</v>
      </c>
    </row>
    <row r="693" customHeight="1" spans="8:8">
      <c r="H693" s="29" t="e">
        <f>VLOOKUP(E693,基础信息!C:E,3,FALSE)</f>
        <v>#N/A</v>
      </c>
    </row>
    <row r="694" customHeight="1" spans="8:8">
      <c r="H694" s="29" t="e">
        <f>VLOOKUP(E694,基础信息!C:E,3,FALSE)</f>
        <v>#N/A</v>
      </c>
    </row>
    <row r="695" customHeight="1" spans="8:8">
      <c r="H695" s="29" t="e">
        <f>VLOOKUP(E695,基础信息!C:E,3,FALSE)</f>
        <v>#N/A</v>
      </c>
    </row>
    <row r="696" customHeight="1" spans="8:8">
      <c r="H696" s="29" t="e">
        <f>VLOOKUP(E696,基础信息!C:E,3,FALSE)</f>
        <v>#N/A</v>
      </c>
    </row>
    <row r="697" customHeight="1" spans="8:8">
      <c r="H697" s="29" t="e">
        <f>VLOOKUP(E697,基础信息!C:E,3,FALSE)</f>
        <v>#N/A</v>
      </c>
    </row>
    <row r="698" customHeight="1" spans="8:8">
      <c r="H698" s="29" t="e">
        <f>VLOOKUP(E698,基础信息!C:E,3,FALSE)</f>
        <v>#N/A</v>
      </c>
    </row>
    <row r="699" customHeight="1" spans="8:8">
      <c r="H699" s="29" t="e">
        <f>VLOOKUP(E699,基础信息!C:E,3,FALSE)</f>
        <v>#N/A</v>
      </c>
    </row>
    <row r="700" customHeight="1" spans="8:8">
      <c r="H700" s="29" t="e">
        <f>VLOOKUP(E700,基础信息!C:E,3,FALSE)</f>
        <v>#N/A</v>
      </c>
    </row>
    <row r="701" customHeight="1" spans="8:8">
      <c r="H701" s="29" t="e">
        <f>VLOOKUP(E701,基础信息!C:E,3,FALSE)</f>
        <v>#N/A</v>
      </c>
    </row>
    <row r="702" customHeight="1" spans="8:8">
      <c r="H702" s="29" t="e">
        <f>VLOOKUP(E702,基础信息!C:E,3,FALSE)</f>
        <v>#N/A</v>
      </c>
    </row>
    <row r="703" customHeight="1" spans="8:8">
      <c r="H703" s="29" t="e">
        <f>VLOOKUP(E703,基础信息!C:E,3,FALSE)</f>
        <v>#N/A</v>
      </c>
    </row>
    <row r="704" customHeight="1" spans="8:8">
      <c r="H704" s="29" t="e">
        <f>VLOOKUP(E704,基础信息!C:E,3,FALSE)</f>
        <v>#N/A</v>
      </c>
    </row>
    <row r="705" customHeight="1" spans="8:8">
      <c r="H705" s="29" t="e">
        <f>VLOOKUP(E705,基础信息!C:E,3,FALSE)</f>
        <v>#N/A</v>
      </c>
    </row>
    <row r="706" customHeight="1" spans="8:8">
      <c r="H706" s="29" t="e">
        <f>VLOOKUP(E706,基础信息!C:E,3,FALSE)</f>
        <v>#N/A</v>
      </c>
    </row>
    <row r="707" customHeight="1" spans="8:8">
      <c r="H707" s="29" t="e">
        <f>VLOOKUP(E707,基础信息!C:E,3,FALSE)</f>
        <v>#N/A</v>
      </c>
    </row>
    <row r="708" customHeight="1" spans="8:8">
      <c r="H708" s="29" t="e">
        <f>VLOOKUP(E708,基础信息!C:E,3,FALSE)</f>
        <v>#N/A</v>
      </c>
    </row>
    <row r="709" customHeight="1" spans="8:8">
      <c r="H709" s="29" t="e">
        <f>VLOOKUP(E709,基础信息!C:E,3,FALSE)</f>
        <v>#N/A</v>
      </c>
    </row>
    <row r="710" customHeight="1" spans="8:8">
      <c r="H710" s="29" t="e">
        <f>VLOOKUP(E710,基础信息!C:E,3,FALSE)</f>
        <v>#N/A</v>
      </c>
    </row>
    <row r="711" customHeight="1" spans="8:8">
      <c r="H711" s="29" t="e">
        <f>VLOOKUP(E711,基础信息!C:E,3,FALSE)</f>
        <v>#N/A</v>
      </c>
    </row>
    <row r="712" customHeight="1" spans="8:8">
      <c r="H712" s="29" t="e">
        <f>VLOOKUP(E712,基础信息!C:E,3,FALSE)</f>
        <v>#N/A</v>
      </c>
    </row>
    <row r="713" customHeight="1" spans="8:8">
      <c r="H713" s="29" t="e">
        <f>VLOOKUP(E713,基础信息!C:E,3,FALSE)</f>
        <v>#N/A</v>
      </c>
    </row>
    <row r="714" customHeight="1" spans="8:8">
      <c r="H714" s="29" t="e">
        <f>VLOOKUP(E714,基础信息!C:E,3,FALSE)</f>
        <v>#N/A</v>
      </c>
    </row>
    <row r="715" customHeight="1" spans="8:8">
      <c r="H715" s="29" t="e">
        <f>VLOOKUP(E715,基础信息!C:E,3,FALSE)</f>
        <v>#N/A</v>
      </c>
    </row>
    <row r="716" customHeight="1" spans="8:8">
      <c r="H716" s="29" t="e">
        <f>VLOOKUP(E716,基础信息!C:E,3,FALSE)</f>
        <v>#N/A</v>
      </c>
    </row>
    <row r="717" customHeight="1" spans="8:8">
      <c r="H717" s="29" t="e">
        <f>VLOOKUP(E717,基础信息!C:E,3,FALSE)</f>
        <v>#N/A</v>
      </c>
    </row>
    <row r="718" customHeight="1" spans="8:8">
      <c r="H718" s="29" t="e">
        <f>VLOOKUP(E718,基础信息!C:E,3,FALSE)</f>
        <v>#N/A</v>
      </c>
    </row>
    <row r="719" customHeight="1" spans="8:8">
      <c r="H719" s="29" t="e">
        <f>VLOOKUP(E719,基础信息!C:E,3,FALSE)</f>
        <v>#N/A</v>
      </c>
    </row>
    <row r="720" customHeight="1" spans="8:8">
      <c r="H720" s="29" t="e">
        <f>VLOOKUP(E720,基础信息!C:E,3,FALSE)</f>
        <v>#N/A</v>
      </c>
    </row>
    <row r="721" customHeight="1" spans="8:8">
      <c r="H721" s="29" t="e">
        <f>VLOOKUP(E721,基础信息!C:E,3,FALSE)</f>
        <v>#N/A</v>
      </c>
    </row>
    <row r="722" customHeight="1" spans="8:8">
      <c r="H722" s="29" t="e">
        <f>VLOOKUP(E722,基础信息!C:E,3,FALSE)</f>
        <v>#N/A</v>
      </c>
    </row>
    <row r="723" customHeight="1" spans="8:8">
      <c r="H723" s="29" t="e">
        <f>VLOOKUP(E723,基础信息!C:E,3,FALSE)</f>
        <v>#N/A</v>
      </c>
    </row>
    <row r="724" customHeight="1" spans="8:8">
      <c r="H724" s="29" t="e">
        <f>VLOOKUP(E724,基础信息!C:E,3,FALSE)</f>
        <v>#N/A</v>
      </c>
    </row>
    <row r="725" customHeight="1" spans="8:8">
      <c r="H725" s="29" t="e">
        <f>VLOOKUP(E725,基础信息!C:E,3,FALSE)</f>
        <v>#N/A</v>
      </c>
    </row>
    <row r="726" customHeight="1" spans="8:8">
      <c r="H726" s="29" t="e">
        <f>VLOOKUP(E726,基础信息!C:E,3,FALSE)</f>
        <v>#N/A</v>
      </c>
    </row>
    <row r="727" customHeight="1" spans="8:8">
      <c r="H727" s="29" t="e">
        <f>VLOOKUP(E727,基础信息!C:E,3,FALSE)</f>
        <v>#N/A</v>
      </c>
    </row>
    <row r="728" customHeight="1" spans="8:8">
      <c r="H728" s="29" t="e">
        <f>VLOOKUP(E728,基础信息!C:E,3,FALSE)</f>
        <v>#N/A</v>
      </c>
    </row>
    <row r="729" customHeight="1" spans="8:8">
      <c r="H729" s="29" t="e">
        <f>VLOOKUP(E729,基础信息!C:E,3,FALSE)</f>
        <v>#N/A</v>
      </c>
    </row>
    <row r="730" customHeight="1" spans="8:8">
      <c r="H730" s="29" t="e">
        <f>VLOOKUP(E730,基础信息!C:E,3,FALSE)</f>
        <v>#N/A</v>
      </c>
    </row>
    <row r="731" customHeight="1" spans="8:8">
      <c r="H731" s="29" t="e">
        <f>VLOOKUP(E731,基础信息!C:E,3,FALSE)</f>
        <v>#N/A</v>
      </c>
    </row>
    <row r="732" customHeight="1" spans="8:8">
      <c r="H732" s="29" t="e">
        <f>VLOOKUP(E732,基础信息!C:E,3,FALSE)</f>
        <v>#N/A</v>
      </c>
    </row>
    <row r="733" customHeight="1" spans="8:8">
      <c r="H733" s="29" t="e">
        <f>VLOOKUP(E733,基础信息!C:E,3,FALSE)</f>
        <v>#N/A</v>
      </c>
    </row>
    <row r="734" customHeight="1" spans="8:8">
      <c r="H734" s="29" t="e">
        <f>VLOOKUP(E734,基础信息!C:E,3,FALSE)</f>
        <v>#N/A</v>
      </c>
    </row>
    <row r="735" customHeight="1" spans="8:8">
      <c r="H735" s="29" t="e">
        <f>VLOOKUP(E735,基础信息!C:E,3,FALSE)</f>
        <v>#N/A</v>
      </c>
    </row>
    <row r="736" customHeight="1" spans="8:8">
      <c r="H736" s="29" t="e">
        <f>VLOOKUP(E736,基础信息!C:E,3,FALSE)</f>
        <v>#N/A</v>
      </c>
    </row>
    <row r="737" customHeight="1" spans="8:8">
      <c r="H737" s="29" t="e">
        <f>VLOOKUP(E737,基础信息!C:E,3,FALSE)</f>
        <v>#N/A</v>
      </c>
    </row>
    <row r="738" customHeight="1" spans="8:8">
      <c r="H738" s="29" t="e">
        <f>VLOOKUP(E738,基础信息!C:E,3,FALSE)</f>
        <v>#N/A</v>
      </c>
    </row>
    <row r="739" customHeight="1" spans="8:8">
      <c r="H739" s="29" t="e">
        <f>VLOOKUP(E739,基础信息!C:E,3,FALSE)</f>
        <v>#N/A</v>
      </c>
    </row>
    <row r="740" customHeight="1" spans="8:8">
      <c r="H740" s="29" t="e">
        <f>VLOOKUP(E740,基础信息!C:E,3,FALSE)</f>
        <v>#N/A</v>
      </c>
    </row>
    <row r="741" customHeight="1" spans="8:8">
      <c r="H741" s="29" t="e">
        <f>VLOOKUP(E741,基础信息!C:E,3,FALSE)</f>
        <v>#N/A</v>
      </c>
    </row>
    <row r="742" customHeight="1" spans="8:8">
      <c r="H742" s="29" t="e">
        <f>VLOOKUP(E742,基础信息!C:E,3,FALSE)</f>
        <v>#N/A</v>
      </c>
    </row>
    <row r="743" customHeight="1" spans="8:8">
      <c r="H743" s="29" t="e">
        <f>VLOOKUP(E743,基础信息!C:E,3,FALSE)</f>
        <v>#N/A</v>
      </c>
    </row>
    <row r="744" customHeight="1" spans="8:8">
      <c r="H744" s="29" t="e">
        <f>VLOOKUP(E744,基础信息!C:E,3,FALSE)</f>
        <v>#N/A</v>
      </c>
    </row>
    <row r="745" customHeight="1" spans="8:8">
      <c r="H745" s="29" t="e">
        <f>VLOOKUP(E745,基础信息!C:E,3,FALSE)</f>
        <v>#N/A</v>
      </c>
    </row>
    <row r="746" customHeight="1" spans="8:8">
      <c r="H746" s="29" t="e">
        <f>VLOOKUP(E746,基础信息!C:E,3,FALSE)</f>
        <v>#N/A</v>
      </c>
    </row>
    <row r="747" customHeight="1" spans="8:8">
      <c r="H747" s="29" t="e">
        <f>VLOOKUP(E747,基础信息!C:E,3,FALSE)</f>
        <v>#N/A</v>
      </c>
    </row>
    <row r="748" customHeight="1" spans="8:8">
      <c r="H748" s="29" t="e">
        <f>VLOOKUP(E748,基础信息!C:E,3,FALSE)</f>
        <v>#N/A</v>
      </c>
    </row>
    <row r="749" customHeight="1" spans="8:8">
      <c r="H749" s="29" t="e">
        <f>VLOOKUP(E749,基础信息!C:E,3,FALSE)</f>
        <v>#N/A</v>
      </c>
    </row>
    <row r="750" customHeight="1" spans="8:8">
      <c r="H750" s="29" t="e">
        <f>VLOOKUP(E750,基础信息!C:E,3,FALSE)</f>
        <v>#N/A</v>
      </c>
    </row>
    <row r="751" customHeight="1" spans="8:8">
      <c r="H751" s="29" t="e">
        <f>VLOOKUP(E751,基础信息!C:E,3,FALSE)</f>
        <v>#N/A</v>
      </c>
    </row>
    <row r="752" customHeight="1" spans="8:8">
      <c r="H752" s="29" t="e">
        <f>VLOOKUP(E752,基础信息!C:E,3,FALSE)</f>
        <v>#N/A</v>
      </c>
    </row>
    <row r="753" customHeight="1" spans="8:8">
      <c r="H753" s="29" t="e">
        <f>VLOOKUP(E753,基础信息!C:E,3,FALSE)</f>
        <v>#N/A</v>
      </c>
    </row>
    <row r="754" customHeight="1" spans="8:8">
      <c r="H754" s="29" t="e">
        <f>VLOOKUP(E754,基础信息!C:E,3,FALSE)</f>
        <v>#N/A</v>
      </c>
    </row>
    <row r="755" customHeight="1" spans="8:8">
      <c r="H755" s="29" t="e">
        <f>VLOOKUP(E755,基础信息!C:E,3,FALSE)</f>
        <v>#N/A</v>
      </c>
    </row>
    <row r="756" customHeight="1" spans="8:8">
      <c r="H756" s="29" t="e">
        <f>VLOOKUP(E756,基础信息!C:E,3,FALSE)</f>
        <v>#N/A</v>
      </c>
    </row>
    <row r="757" customHeight="1" spans="8:8">
      <c r="H757" s="29" t="e">
        <f>VLOOKUP(E757,基础信息!C:E,3,FALSE)</f>
        <v>#N/A</v>
      </c>
    </row>
    <row r="758" customHeight="1" spans="8:8">
      <c r="H758" s="29" t="e">
        <f>VLOOKUP(E758,基础信息!C:E,3,FALSE)</f>
        <v>#N/A</v>
      </c>
    </row>
    <row r="759" customHeight="1" spans="8:8">
      <c r="H759" s="29" t="e">
        <f>VLOOKUP(E759,基础信息!C:E,3,FALSE)</f>
        <v>#N/A</v>
      </c>
    </row>
    <row r="760" customHeight="1" spans="8:8">
      <c r="H760" s="29" t="e">
        <f>VLOOKUP(E760,基础信息!C:E,3,FALSE)</f>
        <v>#N/A</v>
      </c>
    </row>
    <row r="761" customHeight="1" spans="8:8">
      <c r="H761" s="29" t="e">
        <f>VLOOKUP(E761,基础信息!C:E,3,FALSE)</f>
        <v>#N/A</v>
      </c>
    </row>
    <row r="762" customHeight="1" spans="8:8">
      <c r="H762" s="29" t="e">
        <f>VLOOKUP(E762,基础信息!C:E,3,FALSE)</f>
        <v>#N/A</v>
      </c>
    </row>
    <row r="763" customHeight="1" spans="8:8">
      <c r="H763" s="29" t="e">
        <f>VLOOKUP(E763,基础信息!C:E,3,FALSE)</f>
        <v>#N/A</v>
      </c>
    </row>
    <row r="764" customHeight="1" spans="8:8">
      <c r="H764" s="29" t="e">
        <f>VLOOKUP(E764,基础信息!C:E,3,FALSE)</f>
        <v>#N/A</v>
      </c>
    </row>
    <row r="765" customHeight="1" spans="8:8">
      <c r="H765" s="29" t="e">
        <f>VLOOKUP(E765,基础信息!C:E,3,FALSE)</f>
        <v>#N/A</v>
      </c>
    </row>
    <row r="766" customHeight="1" spans="8:8">
      <c r="H766" s="29" t="e">
        <f>VLOOKUP(E766,基础信息!C:E,3,FALSE)</f>
        <v>#N/A</v>
      </c>
    </row>
    <row r="767" customHeight="1" spans="8:8">
      <c r="H767" s="29" t="e">
        <f>VLOOKUP(E767,基础信息!C:E,3,FALSE)</f>
        <v>#N/A</v>
      </c>
    </row>
    <row r="768" customHeight="1" spans="8:8">
      <c r="H768" s="29" t="e">
        <f>VLOOKUP(E768,基础信息!C:E,3,FALSE)</f>
        <v>#N/A</v>
      </c>
    </row>
    <row r="769" customHeight="1" spans="8:8">
      <c r="H769" s="29" t="e">
        <f>VLOOKUP(E769,基础信息!C:E,3,FALSE)</f>
        <v>#N/A</v>
      </c>
    </row>
    <row r="770" customHeight="1" spans="8:8">
      <c r="H770" s="29" t="e">
        <f>VLOOKUP(E770,基础信息!C:E,3,FALSE)</f>
        <v>#N/A</v>
      </c>
    </row>
    <row r="771" customHeight="1" spans="8:8">
      <c r="H771" s="29" t="e">
        <f>VLOOKUP(E771,基础信息!C:E,3,FALSE)</f>
        <v>#N/A</v>
      </c>
    </row>
    <row r="772" customHeight="1" spans="8:8">
      <c r="H772" s="29" t="e">
        <f>VLOOKUP(E772,基础信息!C:E,3,FALSE)</f>
        <v>#N/A</v>
      </c>
    </row>
    <row r="773" customHeight="1" spans="8:8">
      <c r="H773" s="29" t="e">
        <f>VLOOKUP(E773,基础信息!C:E,3,FALSE)</f>
        <v>#N/A</v>
      </c>
    </row>
    <row r="774" customHeight="1" spans="8:8">
      <c r="H774" s="29" t="e">
        <f>VLOOKUP(E774,基础信息!C:E,3,FALSE)</f>
        <v>#N/A</v>
      </c>
    </row>
    <row r="775" customHeight="1" spans="8:8">
      <c r="H775" s="29" t="e">
        <f>VLOOKUP(E775,基础信息!C:E,3,FALSE)</f>
        <v>#N/A</v>
      </c>
    </row>
    <row r="776" customHeight="1" spans="8:8">
      <c r="H776" s="29" t="e">
        <f>VLOOKUP(E776,基础信息!C:E,3,FALSE)</f>
        <v>#N/A</v>
      </c>
    </row>
    <row r="777" customHeight="1" spans="8:8">
      <c r="H777" s="29" t="e">
        <f>VLOOKUP(E777,基础信息!C:E,3,FALSE)</f>
        <v>#N/A</v>
      </c>
    </row>
    <row r="778" customHeight="1" spans="8:8">
      <c r="H778" s="29" t="e">
        <f>VLOOKUP(E778,基础信息!C:E,3,FALSE)</f>
        <v>#N/A</v>
      </c>
    </row>
    <row r="779" customHeight="1" spans="8:8">
      <c r="H779" s="29" t="e">
        <f>VLOOKUP(E779,基础信息!C:E,3,FALSE)</f>
        <v>#N/A</v>
      </c>
    </row>
    <row r="780" customHeight="1" spans="8:8">
      <c r="H780" s="29" t="e">
        <f>VLOOKUP(E780,基础信息!C:E,3,FALSE)</f>
        <v>#N/A</v>
      </c>
    </row>
    <row r="781" customHeight="1" spans="8:8">
      <c r="H781" s="29" t="e">
        <f>VLOOKUP(E781,基础信息!C:E,3,FALSE)</f>
        <v>#N/A</v>
      </c>
    </row>
    <row r="782" customHeight="1" spans="8:8">
      <c r="H782" s="29" t="e">
        <f>VLOOKUP(E782,基础信息!C:E,3,FALSE)</f>
        <v>#N/A</v>
      </c>
    </row>
    <row r="783" customHeight="1" spans="8:8">
      <c r="H783" s="29" t="e">
        <f>VLOOKUP(E783,基础信息!C:E,3,FALSE)</f>
        <v>#N/A</v>
      </c>
    </row>
    <row r="784" customHeight="1" spans="8:8">
      <c r="H784" s="29" t="e">
        <f>VLOOKUP(E784,基础信息!C:E,3,FALSE)</f>
        <v>#N/A</v>
      </c>
    </row>
    <row r="785" customHeight="1" spans="8:8">
      <c r="H785" s="29" t="e">
        <f>VLOOKUP(E785,基础信息!C:E,3,FALSE)</f>
        <v>#N/A</v>
      </c>
    </row>
    <row r="786" customHeight="1" spans="8:8">
      <c r="H786" s="29" t="e">
        <f>VLOOKUP(E786,基础信息!C:E,3,FALSE)</f>
        <v>#N/A</v>
      </c>
    </row>
    <row r="787" customHeight="1" spans="8:8">
      <c r="H787" s="29" t="e">
        <f>VLOOKUP(E787,基础信息!C:E,3,FALSE)</f>
        <v>#N/A</v>
      </c>
    </row>
    <row r="788" customHeight="1" spans="8:8">
      <c r="H788" s="29" t="e">
        <f>VLOOKUP(E788,基础信息!C:E,3,FALSE)</f>
        <v>#N/A</v>
      </c>
    </row>
    <row r="789" customHeight="1" spans="8:8">
      <c r="H789" s="29" t="e">
        <f>VLOOKUP(E789,基础信息!C:E,3,FALSE)</f>
        <v>#N/A</v>
      </c>
    </row>
    <row r="790" customHeight="1" spans="8:8">
      <c r="H790" s="29" t="e">
        <f>VLOOKUP(E790,基础信息!C:E,3,FALSE)</f>
        <v>#N/A</v>
      </c>
    </row>
    <row r="791" customHeight="1" spans="8:8">
      <c r="H791" s="29" t="e">
        <f>VLOOKUP(E791,基础信息!C:E,3,FALSE)</f>
        <v>#N/A</v>
      </c>
    </row>
    <row r="792" customHeight="1" spans="8:8">
      <c r="H792" s="29" t="e">
        <f>VLOOKUP(E792,基础信息!C:E,3,FALSE)</f>
        <v>#N/A</v>
      </c>
    </row>
    <row r="793" customHeight="1" spans="8:8">
      <c r="H793" s="29" t="e">
        <f>VLOOKUP(E793,基础信息!C:E,3,FALSE)</f>
        <v>#N/A</v>
      </c>
    </row>
    <row r="794" customHeight="1" spans="8:8">
      <c r="H794" s="29" t="e">
        <f>VLOOKUP(E794,基础信息!C:E,3,FALSE)</f>
        <v>#N/A</v>
      </c>
    </row>
    <row r="795" customHeight="1" spans="8:8">
      <c r="H795" s="29" t="e">
        <f>VLOOKUP(E795,基础信息!C:E,3,FALSE)</f>
        <v>#N/A</v>
      </c>
    </row>
    <row r="796" customHeight="1" spans="8:8">
      <c r="H796" s="29" t="e">
        <f>VLOOKUP(E796,基础信息!C:E,3,FALSE)</f>
        <v>#N/A</v>
      </c>
    </row>
    <row r="797" customHeight="1" spans="8:8">
      <c r="H797" s="29" t="e">
        <f>VLOOKUP(E797,基础信息!C:E,3,FALSE)</f>
        <v>#N/A</v>
      </c>
    </row>
    <row r="798" customHeight="1" spans="8:8">
      <c r="H798" s="29" t="e">
        <f>VLOOKUP(E798,基础信息!C:E,3,FALSE)</f>
        <v>#N/A</v>
      </c>
    </row>
    <row r="799" customHeight="1" spans="8:8">
      <c r="H799" s="29" t="e">
        <f>VLOOKUP(E799,基础信息!C:E,3,FALSE)</f>
        <v>#N/A</v>
      </c>
    </row>
    <row r="800" customHeight="1" spans="8:8">
      <c r="H800" s="29" t="e">
        <f>VLOOKUP(E800,基础信息!C:E,3,FALSE)</f>
        <v>#N/A</v>
      </c>
    </row>
    <row r="801" customHeight="1" spans="8:8">
      <c r="H801" s="29" t="e">
        <f>VLOOKUP(E801,基础信息!C:E,3,FALSE)</f>
        <v>#N/A</v>
      </c>
    </row>
    <row r="802" customHeight="1" spans="8:8">
      <c r="H802" s="29" t="e">
        <f>VLOOKUP(E802,基础信息!C:E,3,FALSE)</f>
        <v>#N/A</v>
      </c>
    </row>
    <row r="803" customHeight="1" spans="8:8">
      <c r="H803" s="29" t="e">
        <f>VLOOKUP(E803,基础信息!C:E,3,FALSE)</f>
        <v>#N/A</v>
      </c>
    </row>
    <row r="804" customHeight="1" spans="8:8">
      <c r="H804" s="29" t="e">
        <f>VLOOKUP(E804,基础信息!C:E,3,FALSE)</f>
        <v>#N/A</v>
      </c>
    </row>
    <row r="805" customHeight="1" spans="8:8">
      <c r="H805" s="29" t="e">
        <f>VLOOKUP(E805,基础信息!C:E,3,FALSE)</f>
        <v>#N/A</v>
      </c>
    </row>
    <row r="806" customHeight="1" spans="8:8">
      <c r="H806" s="29" t="e">
        <f>VLOOKUP(E806,基础信息!C:E,3,FALSE)</f>
        <v>#N/A</v>
      </c>
    </row>
    <row r="807" customHeight="1" spans="8:8">
      <c r="H807" s="29" t="e">
        <f>VLOOKUP(E807,基础信息!C:E,3,FALSE)</f>
        <v>#N/A</v>
      </c>
    </row>
    <row r="808" customHeight="1" spans="8:8">
      <c r="H808" s="29" t="e">
        <f>VLOOKUP(E808,基础信息!C:E,3,FALSE)</f>
        <v>#N/A</v>
      </c>
    </row>
    <row r="809" customHeight="1" spans="8:8">
      <c r="H809" s="29" t="e">
        <f>VLOOKUP(E809,基础信息!C:E,3,FALSE)</f>
        <v>#N/A</v>
      </c>
    </row>
    <row r="810" customHeight="1" spans="8:8">
      <c r="H810" s="29" t="e">
        <f>VLOOKUP(E810,基础信息!C:E,3,FALSE)</f>
        <v>#N/A</v>
      </c>
    </row>
    <row r="811" customHeight="1" spans="8:8">
      <c r="H811" s="29" t="e">
        <f>VLOOKUP(E811,基础信息!C:E,3,FALSE)</f>
        <v>#N/A</v>
      </c>
    </row>
    <row r="812" customHeight="1" spans="8:8">
      <c r="H812" s="29" t="e">
        <f>VLOOKUP(E812,基础信息!C:E,3,FALSE)</f>
        <v>#N/A</v>
      </c>
    </row>
    <row r="813" customHeight="1" spans="8:8">
      <c r="H813" s="29" t="e">
        <f>VLOOKUP(E813,基础信息!C:E,3,FALSE)</f>
        <v>#N/A</v>
      </c>
    </row>
    <row r="814" customHeight="1" spans="8:8">
      <c r="H814" s="29" t="e">
        <f>VLOOKUP(E814,基础信息!C:E,3,FALSE)</f>
        <v>#N/A</v>
      </c>
    </row>
    <row r="815" customHeight="1" spans="8:8">
      <c r="H815" s="29" t="e">
        <f>VLOOKUP(E815,基础信息!C:E,3,FALSE)</f>
        <v>#N/A</v>
      </c>
    </row>
    <row r="816" customHeight="1" spans="8:8">
      <c r="H816" s="29" t="e">
        <f>VLOOKUP(E816,基础信息!C:E,3,FALSE)</f>
        <v>#N/A</v>
      </c>
    </row>
    <row r="817" customHeight="1" spans="8:8">
      <c r="H817" s="29" t="e">
        <f>VLOOKUP(E817,基础信息!C:E,3,FALSE)</f>
        <v>#N/A</v>
      </c>
    </row>
    <row r="818" customHeight="1" spans="8:8">
      <c r="H818" s="29" t="e">
        <f>VLOOKUP(E818,基础信息!C:E,3,FALSE)</f>
        <v>#N/A</v>
      </c>
    </row>
    <row r="819" customHeight="1" spans="8:8">
      <c r="H819" s="29" t="e">
        <f>VLOOKUP(E819,基础信息!C:E,3,FALSE)</f>
        <v>#N/A</v>
      </c>
    </row>
    <row r="820" customHeight="1" spans="8:8">
      <c r="H820" s="29" t="e">
        <f>VLOOKUP(E820,基础信息!C:E,3,FALSE)</f>
        <v>#N/A</v>
      </c>
    </row>
    <row r="821" customHeight="1" spans="8:8">
      <c r="H821" s="29" t="e">
        <f>VLOOKUP(E821,基础信息!C:E,3,FALSE)</f>
        <v>#N/A</v>
      </c>
    </row>
    <row r="822" customHeight="1" spans="8:8">
      <c r="H822" s="29" t="e">
        <f>VLOOKUP(E822,基础信息!C:E,3,FALSE)</f>
        <v>#N/A</v>
      </c>
    </row>
    <row r="823" customHeight="1" spans="8:8">
      <c r="H823" s="29" t="e">
        <f>VLOOKUP(E823,基础信息!C:E,3,FALSE)</f>
        <v>#N/A</v>
      </c>
    </row>
    <row r="824" customHeight="1" spans="8:8">
      <c r="H824" s="29" t="e">
        <f>VLOOKUP(E824,基础信息!C:E,3,FALSE)</f>
        <v>#N/A</v>
      </c>
    </row>
    <row r="825" customHeight="1" spans="8:8">
      <c r="H825" s="29" t="e">
        <f>VLOOKUP(E825,基础信息!C:E,3,FALSE)</f>
        <v>#N/A</v>
      </c>
    </row>
    <row r="826" customHeight="1" spans="8:8">
      <c r="H826" s="29" t="e">
        <f>VLOOKUP(E826,基础信息!C:E,3,FALSE)</f>
        <v>#N/A</v>
      </c>
    </row>
    <row r="827" customHeight="1" spans="8:8">
      <c r="H827" s="29" t="e">
        <f>VLOOKUP(E827,基础信息!C:E,3,FALSE)</f>
        <v>#N/A</v>
      </c>
    </row>
    <row r="828" customHeight="1" spans="8:8">
      <c r="H828" s="29" t="e">
        <f>VLOOKUP(E828,基础信息!C:E,3,FALSE)</f>
        <v>#N/A</v>
      </c>
    </row>
    <row r="829" customHeight="1" spans="8:8">
      <c r="H829" s="29" t="e">
        <f>VLOOKUP(E829,基础信息!C:E,3,FALSE)</f>
        <v>#N/A</v>
      </c>
    </row>
    <row r="830" customHeight="1" spans="8:8">
      <c r="H830" s="29" t="e">
        <f>VLOOKUP(E830,基础信息!C:E,3,FALSE)</f>
        <v>#N/A</v>
      </c>
    </row>
    <row r="831" customHeight="1" spans="8:8">
      <c r="H831" s="29" t="e">
        <f>VLOOKUP(E831,基础信息!C:E,3,FALSE)</f>
        <v>#N/A</v>
      </c>
    </row>
    <row r="832" customHeight="1" spans="8:8">
      <c r="H832" s="29" t="e">
        <f>VLOOKUP(E832,基础信息!C:E,3,FALSE)</f>
        <v>#N/A</v>
      </c>
    </row>
    <row r="833" customHeight="1" spans="8:8">
      <c r="H833" s="29" t="e">
        <f>VLOOKUP(E833,基础信息!C:E,3,FALSE)</f>
        <v>#N/A</v>
      </c>
    </row>
    <row r="834" customHeight="1" spans="8:8">
      <c r="H834" s="29" t="e">
        <f>VLOOKUP(E834,基础信息!C:E,3,FALSE)</f>
        <v>#N/A</v>
      </c>
    </row>
    <row r="835" customHeight="1" spans="8:8">
      <c r="H835" s="29" t="e">
        <f>VLOOKUP(E835,基础信息!C:E,3,FALSE)</f>
        <v>#N/A</v>
      </c>
    </row>
    <row r="836" customHeight="1" spans="8:8">
      <c r="H836" s="29" t="e">
        <f>VLOOKUP(E836,基础信息!C:E,3,FALSE)</f>
        <v>#N/A</v>
      </c>
    </row>
    <row r="837" customHeight="1" spans="8:8">
      <c r="H837" s="29" t="e">
        <f>VLOOKUP(E837,基础信息!C:E,3,FALSE)</f>
        <v>#N/A</v>
      </c>
    </row>
    <row r="838" customHeight="1" spans="8:8">
      <c r="H838" s="29" t="e">
        <f>VLOOKUP(E838,基础信息!C:E,3,FALSE)</f>
        <v>#N/A</v>
      </c>
    </row>
    <row r="839" customHeight="1" spans="8:8">
      <c r="H839" s="29" t="e">
        <f>VLOOKUP(E839,基础信息!C:E,3,FALSE)</f>
        <v>#N/A</v>
      </c>
    </row>
    <row r="840" customHeight="1" spans="8:8">
      <c r="H840" s="29" t="e">
        <f>VLOOKUP(E840,基础信息!C:E,3,FALSE)</f>
        <v>#N/A</v>
      </c>
    </row>
    <row r="841" customHeight="1" spans="8:8">
      <c r="H841" s="29" t="e">
        <f>VLOOKUP(E841,基础信息!C:E,3,FALSE)</f>
        <v>#N/A</v>
      </c>
    </row>
    <row r="842" customHeight="1" spans="8:8">
      <c r="H842" s="29" t="e">
        <f>VLOOKUP(E842,基础信息!C:E,3,FALSE)</f>
        <v>#N/A</v>
      </c>
    </row>
    <row r="843" customHeight="1" spans="8:8">
      <c r="H843" s="29" t="e">
        <f>VLOOKUP(E843,基础信息!C:E,3,FALSE)</f>
        <v>#N/A</v>
      </c>
    </row>
    <row r="844" customHeight="1" spans="8:8">
      <c r="H844" s="29" t="e">
        <f>VLOOKUP(E844,基础信息!C:E,3,FALSE)</f>
        <v>#N/A</v>
      </c>
    </row>
    <row r="845" customHeight="1" spans="8:8">
      <c r="H845" s="29" t="e">
        <f>VLOOKUP(E845,基础信息!C:E,3,FALSE)</f>
        <v>#N/A</v>
      </c>
    </row>
    <row r="846" customHeight="1" spans="8:8">
      <c r="H846" s="29" t="e">
        <f>VLOOKUP(E846,基础信息!C:E,3,FALSE)</f>
        <v>#N/A</v>
      </c>
    </row>
    <row r="847" customHeight="1" spans="8:8">
      <c r="H847" s="29" t="e">
        <f>VLOOKUP(E847,基础信息!C:E,3,FALSE)</f>
        <v>#N/A</v>
      </c>
    </row>
    <row r="848" customHeight="1" spans="8:8">
      <c r="H848" s="29" t="e">
        <f>VLOOKUP(E848,基础信息!C:E,3,FALSE)</f>
        <v>#N/A</v>
      </c>
    </row>
    <row r="849" customHeight="1" spans="8:8">
      <c r="H849" s="29" t="e">
        <f>VLOOKUP(E849,基础信息!C:E,3,FALSE)</f>
        <v>#N/A</v>
      </c>
    </row>
    <row r="850" customHeight="1" spans="8:8">
      <c r="H850" s="29" t="e">
        <f>VLOOKUP(E850,基础信息!C:E,3,FALSE)</f>
        <v>#N/A</v>
      </c>
    </row>
    <row r="851" customHeight="1" spans="8:8">
      <c r="H851" s="29" t="e">
        <f>VLOOKUP(E851,基础信息!C:E,3,FALSE)</f>
        <v>#N/A</v>
      </c>
    </row>
    <row r="852" customHeight="1" spans="8:8">
      <c r="H852" s="29" t="e">
        <f>VLOOKUP(E852,基础信息!C:E,3,FALSE)</f>
        <v>#N/A</v>
      </c>
    </row>
    <row r="853" customHeight="1" spans="8:8">
      <c r="H853" s="29" t="e">
        <f>VLOOKUP(E853,基础信息!C:E,3,FALSE)</f>
        <v>#N/A</v>
      </c>
    </row>
    <row r="854" customHeight="1" spans="8:8">
      <c r="H854" s="29" t="e">
        <f>VLOOKUP(E854,基础信息!C:E,3,FALSE)</f>
        <v>#N/A</v>
      </c>
    </row>
    <row r="855" customHeight="1" spans="8:8">
      <c r="H855" s="29" t="e">
        <f>VLOOKUP(E855,基础信息!C:E,3,FALSE)</f>
        <v>#N/A</v>
      </c>
    </row>
    <row r="856" customHeight="1" spans="8:8">
      <c r="H856" s="29" t="e">
        <f>VLOOKUP(E856,基础信息!C:E,3,FALSE)</f>
        <v>#N/A</v>
      </c>
    </row>
    <row r="857" customHeight="1" spans="8:8">
      <c r="H857" s="29" t="e">
        <f>VLOOKUP(E857,基础信息!C:E,3,FALSE)</f>
        <v>#N/A</v>
      </c>
    </row>
    <row r="858" customHeight="1" spans="8:8">
      <c r="H858" s="29" t="e">
        <f>VLOOKUP(E858,基础信息!C:E,3,FALSE)</f>
        <v>#N/A</v>
      </c>
    </row>
    <row r="859" customHeight="1" spans="8:8">
      <c r="H859" s="29" t="e">
        <f>VLOOKUP(E859,基础信息!C:E,3,FALSE)</f>
        <v>#N/A</v>
      </c>
    </row>
    <row r="860" customHeight="1" spans="8:8">
      <c r="H860" s="29" t="e">
        <f>VLOOKUP(E860,基础信息!C:E,3,FALSE)</f>
        <v>#N/A</v>
      </c>
    </row>
    <row r="861" customHeight="1" spans="8:8">
      <c r="H861" s="29" t="e">
        <f>VLOOKUP(E861,基础信息!C:E,3,FALSE)</f>
        <v>#N/A</v>
      </c>
    </row>
    <row r="862" customHeight="1" spans="8:8">
      <c r="H862" s="29" t="e">
        <f>VLOOKUP(E862,基础信息!C:E,3,FALSE)</f>
        <v>#N/A</v>
      </c>
    </row>
    <row r="863" customHeight="1" spans="8:8">
      <c r="H863" s="29" t="e">
        <f>VLOOKUP(E863,基础信息!C:E,3,FALSE)</f>
        <v>#N/A</v>
      </c>
    </row>
    <row r="864" customHeight="1" spans="8:8">
      <c r="H864" s="29" t="e">
        <f>VLOOKUP(E864,基础信息!C:E,3,FALSE)</f>
        <v>#N/A</v>
      </c>
    </row>
    <row r="865" customHeight="1" spans="8:8">
      <c r="H865" s="29" t="e">
        <f>VLOOKUP(E865,基础信息!C:E,3,FALSE)</f>
        <v>#N/A</v>
      </c>
    </row>
    <row r="866" customHeight="1" spans="8:8">
      <c r="H866" s="29" t="e">
        <f>VLOOKUP(E866,基础信息!C:E,3,FALSE)</f>
        <v>#N/A</v>
      </c>
    </row>
    <row r="867" customHeight="1" spans="8:8">
      <c r="H867" s="29" t="e">
        <f>VLOOKUP(E867,基础信息!C:E,3,FALSE)</f>
        <v>#N/A</v>
      </c>
    </row>
    <row r="868" customHeight="1" spans="8:8">
      <c r="H868" s="29" t="e">
        <f>VLOOKUP(E868,基础信息!C:E,3,FALSE)</f>
        <v>#N/A</v>
      </c>
    </row>
    <row r="869" customHeight="1" spans="8:8">
      <c r="H869" s="29" t="e">
        <f>VLOOKUP(E869,基础信息!C:E,3,FALSE)</f>
        <v>#N/A</v>
      </c>
    </row>
    <row r="870" customHeight="1" spans="8:8">
      <c r="H870" s="29" t="e">
        <f>VLOOKUP(E870,基础信息!C:E,3,FALSE)</f>
        <v>#N/A</v>
      </c>
    </row>
    <row r="871" customHeight="1" spans="8:8">
      <c r="H871" s="29" t="e">
        <f>VLOOKUP(E871,基础信息!C:E,3,FALSE)</f>
        <v>#N/A</v>
      </c>
    </row>
    <row r="872" customHeight="1" spans="8:8">
      <c r="H872" s="29" t="e">
        <f>VLOOKUP(E872,基础信息!C:E,3,FALSE)</f>
        <v>#N/A</v>
      </c>
    </row>
    <row r="873" customHeight="1" spans="8:8">
      <c r="H873" s="29" t="e">
        <f>VLOOKUP(E873,基础信息!C:E,3,FALSE)</f>
        <v>#N/A</v>
      </c>
    </row>
    <row r="874" customHeight="1" spans="8:8">
      <c r="H874" s="29" t="e">
        <f>VLOOKUP(E874,基础信息!C:E,3,FALSE)</f>
        <v>#N/A</v>
      </c>
    </row>
    <row r="875" customHeight="1" spans="8:8">
      <c r="H875" s="29" t="e">
        <f>VLOOKUP(E875,基础信息!C:E,3,FALSE)</f>
        <v>#N/A</v>
      </c>
    </row>
    <row r="876" customHeight="1" spans="8:8">
      <c r="H876" s="29" t="e">
        <f>VLOOKUP(E876,基础信息!C:E,3,FALSE)</f>
        <v>#N/A</v>
      </c>
    </row>
    <row r="877" customHeight="1" spans="8:8">
      <c r="H877" s="29" t="e">
        <f>VLOOKUP(E877,基础信息!C:E,3,FALSE)</f>
        <v>#N/A</v>
      </c>
    </row>
    <row r="878" customHeight="1" spans="8:8">
      <c r="H878" s="29" t="e">
        <f>VLOOKUP(E878,基础信息!C:E,3,FALSE)</f>
        <v>#N/A</v>
      </c>
    </row>
    <row r="879" customHeight="1" spans="8:8">
      <c r="H879" s="29" t="e">
        <f>VLOOKUP(E879,基础信息!C:E,3,FALSE)</f>
        <v>#N/A</v>
      </c>
    </row>
    <row r="880" customHeight="1" spans="8:8">
      <c r="H880" s="29" t="e">
        <f>VLOOKUP(E880,基础信息!C:E,3,FALSE)</f>
        <v>#N/A</v>
      </c>
    </row>
    <row r="881" customHeight="1" spans="8:8">
      <c r="H881" s="29" t="e">
        <f>VLOOKUP(E881,基础信息!C:E,3,FALSE)</f>
        <v>#N/A</v>
      </c>
    </row>
    <row r="882" customHeight="1" spans="8:8">
      <c r="H882" s="29" t="e">
        <f>VLOOKUP(E882,基础信息!C:E,3,FALSE)</f>
        <v>#N/A</v>
      </c>
    </row>
    <row r="883" customHeight="1" spans="8:8">
      <c r="H883" s="29" t="e">
        <f>VLOOKUP(E883,基础信息!C:E,3,FALSE)</f>
        <v>#N/A</v>
      </c>
    </row>
    <row r="884" customHeight="1" spans="8:8">
      <c r="H884" s="29" t="e">
        <f>VLOOKUP(E884,基础信息!C:E,3,FALSE)</f>
        <v>#N/A</v>
      </c>
    </row>
    <row r="885" customHeight="1" spans="8:8">
      <c r="H885" s="29" t="e">
        <f>VLOOKUP(E885,基础信息!C:E,3,FALSE)</f>
        <v>#N/A</v>
      </c>
    </row>
    <row r="886" customHeight="1" spans="8:8">
      <c r="H886" s="29" t="e">
        <f>VLOOKUP(E886,基础信息!C:E,3,FALSE)</f>
        <v>#N/A</v>
      </c>
    </row>
    <row r="887" customHeight="1" spans="8:8">
      <c r="H887" s="29" t="e">
        <f>VLOOKUP(E887,基础信息!C:E,3,FALSE)</f>
        <v>#N/A</v>
      </c>
    </row>
    <row r="888" customHeight="1" spans="8:8">
      <c r="H888" s="29" t="e">
        <f>VLOOKUP(E888,基础信息!C:E,3,FALSE)</f>
        <v>#N/A</v>
      </c>
    </row>
    <row r="889" customHeight="1" spans="8:8">
      <c r="H889" s="29" t="e">
        <f>VLOOKUP(E889,基础信息!C:E,3,FALSE)</f>
        <v>#N/A</v>
      </c>
    </row>
    <row r="890" customHeight="1" spans="8:8">
      <c r="H890" s="29" t="e">
        <f>VLOOKUP(E890,基础信息!C:E,3,FALSE)</f>
        <v>#N/A</v>
      </c>
    </row>
    <row r="891" customHeight="1" spans="8:8">
      <c r="H891" s="29" t="e">
        <f>VLOOKUP(E891,基础信息!C:E,3,FALSE)</f>
        <v>#N/A</v>
      </c>
    </row>
    <row r="892" customHeight="1" spans="8:8">
      <c r="H892" s="29" t="e">
        <f>VLOOKUP(E892,基础信息!C:E,3,FALSE)</f>
        <v>#N/A</v>
      </c>
    </row>
    <row r="893" customHeight="1" spans="8:8">
      <c r="H893" s="29" t="e">
        <f>VLOOKUP(E893,基础信息!C:E,3,FALSE)</f>
        <v>#N/A</v>
      </c>
    </row>
    <row r="894" customHeight="1" spans="8:8">
      <c r="H894" s="29" t="e">
        <f>VLOOKUP(E894,基础信息!C:E,3,FALSE)</f>
        <v>#N/A</v>
      </c>
    </row>
    <row r="895" customHeight="1" spans="8:8">
      <c r="H895" s="29" t="e">
        <f>VLOOKUP(E895,基础信息!C:E,3,FALSE)</f>
        <v>#N/A</v>
      </c>
    </row>
    <row r="896" customHeight="1" spans="8:8">
      <c r="H896" s="29" t="e">
        <f>VLOOKUP(E896,基础信息!C:E,3,FALSE)</f>
        <v>#N/A</v>
      </c>
    </row>
    <row r="897" customHeight="1" spans="8:8">
      <c r="H897" s="29" t="e">
        <f>VLOOKUP(E897,基础信息!C:E,3,FALSE)</f>
        <v>#N/A</v>
      </c>
    </row>
    <row r="898" customHeight="1" spans="8:8">
      <c r="H898" s="29" t="e">
        <f>VLOOKUP(E898,基础信息!C:E,3,FALSE)</f>
        <v>#N/A</v>
      </c>
    </row>
    <row r="899" customHeight="1" spans="8:8">
      <c r="H899" s="29" t="e">
        <f>VLOOKUP(E899,基础信息!C:E,3,FALSE)</f>
        <v>#N/A</v>
      </c>
    </row>
    <row r="900" customHeight="1" spans="8:8">
      <c r="H900" s="29" t="e">
        <f>VLOOKUP(E900,基础信息!C:E,3,FALSE)</f>
        <v>#N/A</v>
      </c>
    </row>
    <row r="901" customHeight="1" spans="8:8">
      <c r="H901" s="29" t="e">
        <f>VLOOKUP(E901,基础信息!C:E,3,FALSE)</f>
        <v>#N/A</v>
      </c>
    </row>
    <row r="902" customHeight="1" spans="8:8">
      <c r="H902" s="29" t="e">
        <f>VLOOKUP(E902,基础信息!C:E,3,FALSE)</f>
        <v>#N/A</v>
      </c>
    </row>
    <row r="903" customHeight="1" spans="8:8">
      <c r="H903" s="29" t="e">
        <f>VLOOKUP(E903,基础信息!C:E,3,FALSE)</f>
        <v>#N/A</v>
      </c>
    </row>
    <row r="904" customHeight="1" spans="8:8">
      <c r="H904" s="29" t="e">
        <f>VLOOKUP(E904,基础信息!C:E,3,FALSE)</f>
        <v>#N/A</v>
      </c>
    </row>
    <row r="905" customHeight="1" spans="8:8">
      <c r="H905" s="29" t="e">
        <f>VLOOKUP(E905,基础信息!C:E,3,FALSE)</f>
        <v>#N/A</v>
      </c>
    </row>
    <row r="906" customHeight="1" spans="8:8">
      <c r="H906" s="29" t="e">
        <f>VLOOKUP(E906,基础信息!C:E,3,FALSE)</f>
        <v>#N/A</v>
      </c>
    </row>
    <row r="907" customHeight="1" spans="8:8">
      <c r="H907" s="29" t="e">
        <f>VLOOKUP(E907,基础信息!C:E,3,FALSE)</f>
        <v>#N/A</v>
      </c>
    </row>
    <row r="908" customHeight="1" spans="8:8">
      <c r="H908" s="29" t="e">
        <f>VLOOKUP(E908,基础信息!C:E,3,FALSE)</f>
        <v>#N/A</v>
      </c>
    </row>
    <row r="909" customHeight="1" spans="8:8">
      <c r="H909" s="29" t="e">
        <f>VLOOKUP(E909,基础信息!C:E,3,FALSE)</f>
        <v>#N/A</v>
      </c>
    </row>
    <row r="910" customHeight="1" spans="8:8">
      <c r="H910" s="29" t="e">
        <f>VLOOKUP(E910,基础信息!C:E,3,FALSE)</f>
        <v>#N/A</v>
      </c>
    </row>
    <row r="911" customHeight="1" spans="8:8">
      <c r="H911" s="29" t="e">
        <f>VLOOKUP(E911,基础信息!C:E,3,FALSE)</f>
        <v>#N/A</v>
      </c>
    </row>
    <row r="912" customHeight="1" spans="8:8">
      <c r="H912" s="29" t="e">
        <f>VLOOKUP(E912,基础信息!C:E,3,FALSE)</f>
        <v>#N/A</v>
      </c>
    </row>
    <row r="913" customHeight="1" spans="8:8">
      <c r="H913" s="29" t="e">
        <f>VLOOKUP(E913,基础信息!C:E,3,FALSE)</f>
        <v>#N/A</v>
      </c>
    </row>
    <row r="914" customHeight="1" spans="8:8">
      <c r="H914" s="29" t="e">
        <f>VLOOKUP(E914,基础信息!C:E,3,FALSE)</f>
        <v>#N/A</v>
      </c>
    </row>
    <row r="915" customHeight="1" spans="8:8">
      <c r="H915" s="29" t="e">
        <f>VLOOKUP(E915,基础信息!C:E,3,FALSE)</f>
        <v>#N/A</v>
      </c>
    </row>
    <row r="916" customHeight="1" spans="8:8">
      <c r="H916" s="29" t="e">
        <f>VLOOKUP(E916,基础信息!C:E,3,FALSE)</f>
        <v>#N/A</v>
      </c>
    </row>
    <row r="917" customHeight="1" spans="8:8">
      <c r="H917" s="29" t="e">
        <f>VLOOKUP(E917,基础信息!C:E,3,FALSE)</f>
        <v>#N/A</v>
      </c>
    </row>
    <row r="918" customHeight="1" spans="8:8">
      <c r="H918" s="29" t="e">
        <f>VLOOKUP(E918,基础信息!C:E,3,FALSE)</f>
        <v>#N/A</v>
      </c>
    </row>
    <row r="919" customHeight="1" spans="8:8">
      <c r="H919" s="29" t="e">
        <f>VLOOKUP(E919,基础信息!C:E,3,FALSE)</f>
        <v>#N/A</v>
      </c>
    </row>
    <row r="920" customHeight="1" spans="8:8">
      <c r="H920" s="29" t="e">
        <f>VLOOKUP(E920,基础信息!C:E,3,FALSE)</f>
        <v>#N/A</v>
      </c>
    </row>
    <row r="921" customHeight="1" spans="8:8">
      <c r="H921" s="29" t="e">
        <f>VLOOKUP(E921,基础信息!C:E,3,FALSE)</f>
        <v>#N/A</v>
      </c>
    </row>
    <row r="922" customHeight="1" spans="8:8">
      <c r="H922" s="29" t="e">
        <f>VLOOKUP(E922,基础信息!C:E,3,FALSE)</f>
        <v>#N/A</v>
      </c>
    </row>
    <row r="923" customHeight="1" spans="8:8">
      <c r="H923" s="29" t="e">
        <f>VLOOKUP(E923,基础信息!C:E,3,FALSE)</f>
        <v>#N/A</v>
      </c>
    </row>
    <row r="924" customHeight="1" spans="8:8">
      <c r="H924" s="29" t="e">
        <f>VLOOKUP(E924,基础信息!C:E,3,FALSE)</f>
        <v>#N/A</v>
      </c>
    </row>
    <row r="925" customHeight="1" spans="8:8">
      <c r="H925" s="29" t="e">
        <f>VLOOKUP(E925,基础信息!C:E,3,FALSE)</f>
        <v>#N/A</v>
      </c>
    </row>
    <row r="926" customHeight="1" spans="8:8">
      <c r="H926" s="29" t="e">
        <f>VLOOKUP(E926,基础信息!C:E,3,FALSE)</f>
        <v>#N/A</v>
      </c>
    </row>
    <row r="927" customHeight="1" spans="8:8">
      <c r="H927" s="29" t="e">
        <f>VLOOKUP(E927,基础信息!C:E,3,FALSE)</f>
        <v>#N/A</v>
      </c>
    </row>
    <row r="928" customHeight="1" spans="8:8">
      <c r="H928" s="29" t="e">
        <f>VLOOKUP(E928,基础信息!C:E,3,FALSE)</f>
        <v>#N/A</v>
      </c>
    </row>
    <row r="929" customHeight="1" spans="8:8">
      <c r="H929" s="29" t="e">
        <f>VLOOKUP(E929,基础信息!C:E,3,FALSE)</f>
        <v>#N/A</v>
      </c>
    </row>
    <row r="930" customHeight="1" spans="8:8">
      <c r="H930" s="29" t="e">
        <f>VLOOKUP(E930,基础信息!C:E,3,FALSE)</f>
        <v>#N/A</v>
      </c>
    </row>
    <row r="931" customHeight="1" spans="8:8">
      <c r="H931" s="29" t="e">
        <f>VLOOKUP(E931,基础信息!C:E,3,FALSE)</f>
        <v>#N/A</v>
      </c>
    </row>
    <row r="932" customHeight="1" spans="8:8">
      <c r="H932" s="29" t="e">
        <f>VLOOKUP(E932,基础信息!C:E,3,FALSE)</f>
        <v>#N/A</v>
      </c>
    </row>
    <row r="933" customHeight="1" spans="8:8">
      <c r="H933" s="29" t="e">
        <f>VLOOKUP(E933,基础信息!C:E,3,FALSE)</f>
        <v>#N/A</v>
      </c>
    </row>
    <row r="934" customHeight="1" spans="8:8">
      <c r="H934" s="29" t="e">
        <f>VLOOKUP(E934,基础信息!C:E,3,FALSE)</f>
        <v>#N/A</v>
      </c>
    </row>
    <row r="935" customHeight="1" spans="8:8">
      <c r="H935" s="29" t="e">
        <f>VLOOKUP(E935,基础信息!C:E,3,FALSE)</f>
        <v>#N/A</v>
      </c>
    </row>
    <row r="936" customHeight="1" spans="8:8">
      <c r="H936" s="29" t="e">
        <f>VLOOKUP(E936,基础信息!C:E,3,FALSE)</f>
        <v>#N/A</v>
      </c>
    </row>
    <row r="937" customHeight="1" spans="8:8">
      <c r="H937" s="29" t="e">
        <f>VLOOKUP(E937,基础信息!C:E,3,FALSE)</f>
        <v>#N/A</v>
      </c>
    </row>
    <row r="938" customHeight="1" spans="8:8">
      <c r="H938" s="29" t="e">
        <f>VLOOKUP(E938,基础信息!C:E,3,FALSE)</f>
        <v>#N/A</v>
      </c>
    </row>
    <row r="939" customHeight="1" spans="8:8">
      <c r="H939" s="29" t="e">
        <f>VLOOKUP(E939,基础信息!C:E,3,FALSE)</f>
        <v>#N/A</v>
      </c>
    </row>
    <row r="940" customHeight="1" spans="8:8">
      <c r="H940" s="29" t="e">
        <f>VLOOKUP(E940,基础信息!C:E,3,FALSE)</f>
        <v>#N/A</v>
      </c>
    </row>
    <row r="941" customHeight="1" spans="8:8">
      <c r="H941" s="29" t="e">
        <f>VLOOKUP(E941,基础信息!C:E,3,FALSE)</f>
        <v>#N/A</v>
      </c>
    </row>
    <row r="942" customHeight="1" spans="8:8">
      <c r="H942" s="29" t="e">
        <f>VLOOKUP(E942,基础信息!C:E,3,FALSE)</f>
        <v>#N/A</v>
      </c>
    </row>
    <row r="943" customHeight="1" spans="8:8">
      <c r="H943" s="29" t="e">
        <f>VLOOKUP(E943,基础信息!C:E,3,FALSE)</f>
        <v>#N/A</v>
      </c>
    </row>
    <row r="944" customHeight="1" spans="8:8">
      <c r="H944" s="29" t="e">
        <f>VLOOKUP(E944,基础信息!C:E,3,FALSE)</f>
        <v>#N/A</v>
      </c>
    </row>
    <row r="945" customHeight="1" spans="8:8">
      <c r="H945" s="29" t="e">
        <f>VLOOKUP(E945,基础信息!C:E,3,FALSE)</f>
        <v>#N/A</v>
      </c>
    </row>
    <row r="946" customHeight="1" spans="8:8">
      <c r="H946" s="29" t="e">
        <f>VLOOKUP(E946,基础信息!C:E,3,FALSE)</f>
        <v>#N/A</v>
      </c>
    </row>
    <row r="947" customHeight="1" spans="8:8">
      <c r="H947" s="29" t="e">
        <f>VLOOKUP(E947,基础信息!C:E,3,FALSE)</f>
        <v>#N/A</v>
      </c>
    </row>
    <row r="948" customHeight="1" spans="8:8">
      <c r="H948" s="29" t="e">
        <f>VLOOKUP(E948,基础信息!C:E,3,FALSE)</f>
        <v>#N/A</v>
      </c>
    </row>
    <row r="949" customHeight="1" spans="8:8">
      <c r="H949" s="29" t="e">
        <f>VLOOKUP(E949,基础信息!C:E,3,FALSE)</f>
        <v>#N/A</v>
      </c>
    </row>
    <row r="950" customHeight="1" spans="8:8">
      <c r="H950" s="29" t="e">
        <f>VLOOKUP(E950,基础信息!C:E,3,FALSE)</f>
        <v>#N/A</v>
      </c>
    </row>
    <row r="951" customHeight="1" spans="8:8">
      <c r="H951" s="29" t="e">
        <f>VLOOKUP(E951,基础信息!C:E,3,FALSE)</f>
        <v>#N/A</v>
      </c>
    </row>
    <row r="952" customHeight="1" spans="8:8">
      <c r="H952" s="29" t="e">
        <f>VLOOKUP(E952,基础信息!C:E,3,FALSE)</f>
        <v>#N/A</v>
      </c>
    </row>
    <row r="953" customHeight="1" spans="8:8">
      <c r="H953" s="29" t="e">
        <f>VLOOKUP(E953,基础信息!C:E,3,FALSE)</f>
        <v>#N/A</v>
      </c>
    </row>
    <row r="954" customHeight="1" spans="8:8">
      <c r="H954" s="29" t="e">
        <f>VLOOKUP(E954,基础信息!C:E,3,FALSE)</f>
        <v>#N/A</v>
      </c>
    </row>
    <row r="955" customHeight="1" spans="8:8">
      <c r="H955" s="29" t="e">
        <f>VLOOKUP(E955,基础信息!C:E,3,FALSE)</f>
        <v>#N/A</v>
      </c>
    </row>
    <row r="956" customHeight="1" spans="8:8">
      <c r="H956" s="29" t="e">
        <f>VLOOKUP(E956,基础信息!C:E,3,FALSE)</f>
        <v>#N/A</v>
      </c>
    </row>
    <row r="957" customHeight="1" spans="8:8">
      <c r="H957" s="29" t="e">
        <f>VLOOKUP(E957,基础信息!C:E,3,FALSE)</f>
        <v>#N/A</v>
      </c>
    </row>
    <row r="958" customHeight="1" spans="8:8">
      <c r="H958" s="29" t="e">
        <f>VLOOKUP(E958,基础信息!C:E,3,FALSE)</f>
        <v>#N/A</v>
      </c>
    </row>
    <row r="959" customHeight="1" spans="8:8">
      <c r="H959" s="29" t="e">
        <f>VLOOKUP(E959,基础信息!C:E,3,FALSE)</f>
        <v>#N/A</v>
      </c>
    </row>
    <row r="960" customHeight="1" spans="8:8">
      <c r="H960" s="29" t="e">
        <f>VLOOKUP(E960,基础信息!C:E,3,FALSE)</f>
        <v>#N/A</v>
      </c>
    </row>
    <row r="961" customHeight="1" spans="8:8">
      <c r="H961" s="29" t="e">
        <f>VLOOKUP(E961,基础信息!C:E,3,FALSE)</f>
        <v>#N/A</v>
      </c>
    </row>
    <row r="962" customHeight="1" spans="8:8">
      <c r="H962" s="29" t="e">
        <f>VLOOKUP(E962,基础信息!C:E,3,FALSE)</f>
        <v>#N/A</v>
      </c>
    </row>
    <row r="963" customHeight="1" spans="8:8">
      <c r="H963" s="29" t="e">
        <f>VLOOKUP(E963,基础信息!C:E,3,FALSE)</f>
        <v>#N/A</v>
      </c>
    </row>
    <row r="964" customHeight="1" spans="8:8">
      <c r="H964" s="29" t="e">
        <f>VLOOKUP(E964,基础信息!C:E,3,FALSE)</f>
        <v>#N/A</v>
      </c>
    </row>
    <row r="965" customHeight="1" spans="8:8">
      <c r="H965" s="29" t="e">
        <f>VLOOKUP(E965,基础信息!C:E,3,FALSE)</f>
        <v>#N/A</v>
      </c>
    </row>
    <row r="966" customHeight="1" spans="8:8">
      <c r="H966" s="29" t="e">
        <f>VLOOKUP(E966,基础信息!C:E,3,FALSE)</f>
        <v>#N/A</v>
      </c>
    </row>
    <row r="967" customHeight="1" spans="8:8">
      <c r="H967" s="29" t="e">
        <f>VLOOKUP(E967,基础信息!C:E,3,FALSE)</f>
        <v>#N/A</v>
      </c>
    </row>
    <row r="968" customHeight="1" spans="8:8">
      <c r="H968" s="29" t="e">
        <f>VLOOKUP(E968,基础信息!C:E,3,FALSE)</f>
        <v>#N/A</v>
      </c>
    </row>
    <row r="969" customHeight="1" spans="8:8">
      <c r="H969" s="29" t="e">
        <f>VLOOKUP(E969,基础信息!C:E,3,FALSE)</f>
        <v>#N/A</v>
      </c>
    </row>
    <row r="970" customHeight="1" spans="8:8">
      <c r="H970" s="29" t="e">
        <f>VLOOKUP(E970,基础信息!C:E,3,FALSE)</f>
        <v>#N/A</v>
      </c>
    </row>
    <row r="971" customHeight="1" spans="8:8">
      <c r="H971" s="29" t="e">
        <f>VLOOKUP(E971,基础信息!C:E,3,FALSE)</f>
        <v>#N/A</v>
      </c>
    </row>
    <row r="972" customHeight="1" spans="8:8">
      <c r="H972" s="29" t="e">
        <f>VLOOKUP(E972,基础信息!C:E,3,FALSE)</f>
        <v>#N/A</v>
      </c>
    </row>
    <row r="973" customHeight="1" spans="8:8">
      <c r="H973" s="29" t="e">
        <f>VLOOKUP(E973,基础信息!C:E,3,FALSE)</f>
        <v>#N/A</v>
      </c>
    </row>
    <row r="974" customHeight="1" spans="8:8">
      <c r="H974" s="29" t="e">
        <f>VLOOKUP(E974,基础信息!C:E,3,FALSE)</f>
        <v>#N/A</v>
      </c>
    </row>
    <row r="975" customHeight="1" spans="8:8">
      <c r="H975" s="29" t="e">
        <f>VLOOKUP(E975,基础信息!C:E,3,FALSE)</f>
        <v>#N/A</v>
      </c>
    </row>
    <row r="976" customHeight="1" spans="8:8">
      <c r="H976" s="29" t="e">
        <f>VLOOKUP(E976,基础信息!C:E,3,FALSE)</f>
        <v>#N/A</v>
      </c>
    </row>
    <row r="977" customHeight="1" spans="8:8">
      <c r="H977" s="29" t="e">
        <f>VLOOKUP(E977,基础信息!C:E,3,FALSE)</f>
        <v>#N/A</v>
      </c>
    </row>
    <row r="978" customHeight="1" spans="8:8">
      <c r="H978" s="29" t="e">
        <f>VLOOKUP(E978,基础信息!C:E,3,FALSE)</f>
        <v>#N/A</v>
      </c>
    </row>
    <row r="979" customHeight="1" spans="8:8">
      <c r="H979" s="29" t="e">
        <f>VLOOKUP(E979,基础信息!C:E,3,FALSE)</f>
        <v>#N/A</v>
      </c>
    </row>
    <row r="980" customHeight="1" spans="8:8">
      <c r="H980" s="29" t="e">
        <f>VLOOKUP(E980,基础信息!C:E,3,FALSE)</f>
        <v>#N/A</v>
      </c>
    </row>
    <row r="981" customHeight="1" spans="8:8">
      <c r="H981" s="29" t="e">
        <f>VLOOKUP(E981,基础信息!C:E,3,FALSE)</f>
        <v>#N/A</v>
      </c>
    </row>
    <row r="982" customHeight="1" spans="8:8">
      <c r="H982" s="29" t="e">
        <f>VLOOKUP(E982,基础信息!C:E,3,FALSE)</f>
        <v>#N/A</v>
      </c>
    </row>
    <row r="983" customHeight="1" spans="8:8">
      <c r="H983" s="29" t="e">
        <f>VLOOKUP(E983,基础信息!C:E,3,FALSE)</f>
        <v>#N/A</v>
      </c>
    </row>
    <row r="984" customHeight="1" spans="8:8">
      <c r="H984" s="29" t="e">
        <f>VLOOKUP(E984,基础信息!C:E,3,FALSE)</f>
        <v>#N/A</v>
      </c>
    </row>
    <row r="985" customHeight="1" spans="8:8">
      <c r="H985" s="29" t="e">
        <f>VLOOKUP(E985,基础信息!C:E,3,FALSE)</f>
        <v>#N/A</v>
      </c>
    </row>
    <row r="986" customHeight="1" spans="8:8">
      <c r="H986" s="29" t="e">
        <f>VLOOKUP(E986,基础信息!C:E,3,FALSE)</f>
        <v>#N/A</v>
      </c>
    </row>
    <row r="987" customHeight="1" spans="8:8">
      <c r="H987" s="29" t="e">
        <f>VLOOKUP(E987,基础信息!C:E,3,FALSE)</f>
        <v>#N/A</v>
      </c>
    </row>
    <row r="988" customHeight="1" spans="8:8">
      <c r="H988" s="29" t="e">
        <f>VLOOKUP(E988,基础信息!C:E,3,FALSE)</f>
        <v>#N/A</v>
      </c>
    </row>
    <row r="989" customHeight="1" spans="8:8">
      <c r="H989" s="29" t="e">
        <f>VLOOKUP(E989,基础信息!C:E,3,FALSE)</f>
        <v>#N/A</v>
      </c>
    </row>
    <row r="990" customHeight="1" spans="8:8">
      <c r="H990" s="29" t="e">
        <f>VLOOKUP(E990,基础信息!C:E,3,FALSE)</f>
        <v>#N/A</v>
      </c>
    </row>
    <row r="991" customHeight="1" spans="8:8">
      <c r="H991" s="29" t="e">
        <f>VLOOKUP(E991,基础信息!C:E,3,FALSE)</f>
        <v>#N/A</v>
      </c>
    </row>
    <row r="992" customHeight="1" spans="8:8">
      <c r="H992" s="29" t="e">
        <f>VLOOKUP(E992,基础信息!C:E,3,FALSE)</f>
        <v>#N/A</v>
      </c>
    </row>
    <row r="993" customHeight="1" spans="8:8">
      <c r="H993" s="29" t="e">
        <f>VLOOKUP(E993,基础信息!C:E,3,FALSE)</f>
        <v>#N/A</v>
      </c>
    </row>
    <row r="994" customHeight="1" spans="8:8">
      <c r="H994" s="29" t="e">
        <f>VLOOKUP(E994,基础信息!C:E,3,FALSE)</f>
        <v>#N/A</v>
      </c>
    </row>
    <row r="995" customHeight="1" spans="8:8">
      <c r="H995" s="29" t="e">
        <f>VLOOKUP(E995,基础信息!C:E,3,FALSE)</f>
        <v>#N/A</v>
      </c>
    </row>
    <row r="996" customHeight="1" spans="8:8">
      <c r="H996" s="29" t="e">
        <f>VLOOKUP(E996,基础信息!C:E,3,FALSE)</f>
        <v>#N/A</v>
      </c>
    </row>
    <row r="997" customHeight="1" spans="8:8">
      <c r="H997" s="29" t="e">
        <f>VLOOKUP(E997,基础信息!C:E,3,FALSE)</f>
        <v>#N/A</v>
      </c>
    </row>
    <row r="998" customHeight="1" spans="8:8">
      <c r="H998" s="29" t="e">
        <f>VLOOKUP(E998,基础信息!C:E,3,FALSE)</f>
        <v>#N/A</v>
      </c>
    </row>
    <row r="999" customHeight="1" spans="8:8">
      <c r="H999" s="29" t="e">
        <f>VLOOKUP(E999,基础信息!C:E,3,FALSE)</f>
        <v>#N/A</v>
      </c>
    </row>
    <row r="1000" customHeight="1" spans="8:8">
      <c r="H1000" s="29" t="e">
        <f>VLOOKUP(E1000,基础信息!C:E,3,FALSE)</f>
        <v>#N/A</v>
      </c>
    </row>
    <row r="1001" customHeight="1" spans="8:8">
      <c r="H1001" s="29" t="e">
        <f>VLOOKUP(E1001,基础信息!C:E,3,FALSE)</f>
        <v>#N/A</v>
      </c>
    </row>
    <row r="1002" customHeight="1" spans="8:8">
      <c r="H1002" s="29" t="e">
        <f>VLOOKUP(E1002,基础信息!C:E,3,FALSE)</f>
        <v>#N/A</v>
      </c>
    </row>
    <row r="1003" customHeight="1" spans="8:8">
      <c r="H1003" s="29" t="e">
        <f>VLOOKUP(E1003,基础信息!C:E,3,FALSE)</f>
        <v>#N/A</v>
      </c>
    </row>
    <row r="1004" customHeight="1" spans="8:8">
      <c r="H1004" s="29" t="e">
        <f>VLOOKUP(E1004,基础信息!C:E,3,FALSE)</f>
        <v>#N/A</v>
      </c>
    </row>
    <row r="1005" customHeight="1" spans="8:8">
      <c r="H1005" s="29" t="e">
        <f>VLOOKUP(E1005,基础信息!C:E,3,FALSE)</f>
        <v>#N/A</v>
      </c>
    </row>
    <row r="1006" customHeight="1" spans="8:8">
      <c r="H1006" s="29" t="e">
        <f>VLOOKUP(E1006,基础信息!C:E,3,FALSE)</f>
        <v>#N/A</v>
      </c>
    </row>
    <row r="1007" customHeight="1" spans="8:8">
      <c r="H1007" s="29" t="e">
        <f>VLOOKUP(E1007,基础信息!C:E,3,FALSE)</f>
        <v>#N/A</v>
      </c>
    </row>
    <row r="1008" customHeight="1" spans="8:8">
      <c r="H1008" s="29" t="e">
        <f>VLOOKUP(E1008,基础信息!C:E,3,FALSE)</f>
        <v>#N/A</v>
      </c>
    </row>
    <row r="1009" customHeight="1" spans="8:8">
      <c r="H1009" s="29" t="e">
        <f>VLOOKUP(E1009,基础信息!C:E,3,FALSE)</f>
        <v>#N/A</v>
      </c>
    </row>
    <row r="1010" customHeight="1" spans="8:8">
      <c r="H1010" s="29" t="e">
        <f>VLOOKUP(E1010,基础信息!C:E,3,FALSE)</f>
        <v>#N/A</v>
      </c>
    </row>
    <row r="1011" customHeight="1" spans="8:8">
      <c r="H1011" s="29" t="e">
        <f>VLOOKUP(E1011,基础信息!C:E,3,FALSE)</f>
        <v>#N/A</v>
      </c>
    </row>
    <row r="1012" customHeight="1" spans="8:8">
      <c r="H1012" s="29" t="e">
        <f>VLOOKUP(E1012,基础信息!C:E,3,FALSE)</f>
        <v>#N/A</v>
      </c>
    </row>
    <row r="1013" customHeight="1" spans="8:8">
      <c r="H1013" s="29" t="e">
        <f>VLOOKUP(E1013,基础信息!C:E,3,FALSE)</f>
        <v>#N/A</v>
      </c>
    </row>
    <row r="1014" customHeight="1" spans="8:8">
      <c r="H1014" s="29" t="e">
        <f>VLOOKUP(E1014,基础信息!C:E,3,FALSE)</f>
        <v>#N/A</v>
      </c>
    </row>
    <row r="1015" customHeight="1" spans="8:8">
      <c r="H1015" s="29" t="e">
        <f>VLOOKUP(E1015,基础信息!C:E,3,FALSE)</f>
        <v>#N/A</v>
      </c>
    </row>
    <row r="1016" customHeight="1" spans="8:8">
      <c r="H1016" s="29" t="e">
        <f>VLOOKUP(E1016,基础信息!C:E,3,FALSE)</f>
        <v>#N/A</v>
      </c>
    </row>
    <row r="1017" customHeight="1" spans="8:8">
      <c r="H1017" s="29" t="e">
        <f>VLOOKUP(E1017,基础信息!C:E,3,FALSE)</f>
        <v>#N/A</v>
      </c>
    </row>
    <row r="1018" customHeight="1" spans="8:8">
      <c r="H1018" s="29" t="e">
        <f>VLOOKUP(E1018,基础信息!C:E,3,FALSE)</f>
        <v>#N/A</v>
      </c>
    </row>
    <row r="1019" customHeight="1" spans="8:8">
      <c r="H1019" s="29" t="e">
        <f>VLOOKUP(E1019,基础信息!C:E,3,FALSE)</f>
        <v>#N/A</v>
      </c>
    </row>
    <row r="1020" customHeight="1" spans="8:8">
      <c r="H1020" s="29" t="e">
        <f>VLOOKUP(E1020,基础信息!C:E,3,FALSE)</f>
        <v>#N/A</v>
      </c>
    </row>
    <row r="1021" customHeight="1" spans="8:8">
      <c r="H1021" s="29" t="e">
        <f>VLOOKUP(E1021,基础信息!C:E,3,FALSE)</f>
        <v>#N/A</v>
      </c>
    </row>
    <row r="1022" customHeight="1" spans="8:8">
      <c r="H1022" s="29" t="e">
        <f>VLOOKUP(E1022,基础信息!C:E,3,FALSE)</f>
        <v>#N/A</v>
      </c>
    </row>
    <row r="1023" customHeight="1" spans="8:8">
      <c r="H1023" s="29" t="e">
        <f>VLOOKUP(E1023,基础信息!C:E,3,FALSE)</f>
        <v>#N/A</v>
      </c>
    </row>
    <row r="1024" customHeight="1" spans="8:8">
      <c r="H1024" s="29" t="e">
        <f>VLOOKUP(E1024,基础信息!C:E,3,FALSE)</f>
        <v>#N/A</v>
      </c>
    </row>
    <row r="1025" customHeight="1" spans="8:8">
      <c r="H1025" s="29" t="e">
        <f>VLOOKUP(E1025,基础信息!C:E,3,FALSE)</f>
        <v>#N/A</v>
      </c>
    </row>
    <row r="1026" customHeight="1" spans="8:8">
      <c r="H1026" s="29" t="e">
        <f>VLOOKUP(E1026,基础信息!C:E,3,FALSE)</f>
        <v>#N/A</v>
      </c>
    </row>
    <row r="1027" customHeight="1" spans="8:8">
      <c r="H1027" s="29" t="e">
        <f>VLOOKUP(E1027,基础信息!C:E,3,FALSE)</f>
        <v>#N/A</v>
      </c>
    </row>
    <row r="1028" customHeight="1" spans="8:8">
      <c r="H1028" s="29" t="e">
        <f>VLOOKUP(E1028,基础信息!C:E,3,FALSE)</f>
        <v>#N/A</v>
      </c>
    </row>
    <row r="1029" customHeight="1" spans="8:8">
      <c r="H1029" s="29" t="e">
        <f>VLOOKUP(E1029,基础信息!C:E,3,FALSE)</f>
        <v>#N/A</v>
      </c>
    </row>
    <row r="1030" customHeight="1" spans="8:8">
      <c r="H1030" s="29" t="e">
        <f>VLOOKUP(E1030,基础信息!C:E,3,FALSE)</f>
        <v>#N/A</v>
      </c>
    </row>
    <row r="1031" customHeight="1" spans="8:8">
      <c r="H1031" s="29" t="e">
        <f>VLOOKUP(E1031,基础信息!C:E,3,FALSE)</f>
        <v>#N/A</v>
      </c>
    </row>
    <row r="1032" customHeight="1" spans="8:8">
      <c r="H1032" s="29" t="e">
        <f>VLOOKUP(E1032,基础信息!C:E,3,FALSE)</f>
        <v>#N/A</v>
      </c>
    </row>
    <row r="1033" customHeight="1" spans="8:8">
      <c r="H1033" s="29" t="e">
        <f>VLOOKUP(E1033,基础信息!C:E,3,FALSE)</f>
        <v>#N/A</v>
      </c>
    </row>
    <row r="1034" customHeight="1" spans="8:8">
      <c r="H1034" s="29" t="e">
        <f>VLOOKUP(E1034,基础信息!C:E,3,FALSE)</f>
        <v>#N/A</v>
      </c>
    </row>
    <row r="1035" customHeight="1" spans="8:8">
      <c r="H1035" s="29" t="e">
        <f>VLOOKUP(E1035,基础信息!C:E,3,FALSE)</f>
        <v>#N/A</v>
      </c>
    </row>
    <row r="1036" customHeight="1" spans="8:8">
      <c r="H1036" s="29" t="e">
        <f>VLOOKUP(E1036,基础信息!C:E,3,FALSE)</f>
        <v>#N/A</v>
      </c>
    </row>
    <row r="1037" customHeight="1" spans="8:8">
      <c r="H1037" s="29" t="e">
        <f>VLOOKUP(E1037,基础信息!C:E,3,FALSE)</f>
        <v>#N/A</v>
      </c>
    </row>
    <row r="1038" customHeight="1" spans="8:8">
      <c r="H1038" s="29" t="e">
        <f>VLOOKUP(E1038,基础信息!C:E,3,FALSE)</f>
        <v>#N/A</v>
      </c>
    </row>
    <row r="1039" customHeight="1" spans="8:8">
      <c r="H1039" s="29" t="e">
        <f>VLOOKUP(E1039,基础信息!C:E,3,FALSE)</f>
        <v>#N/A</v>
      </c>
    </row>
    <row r="1040" customHeight="1" spans="8:8">
      <c r="H1040" s="29" t="e">
        <f>VLOOKUP(E1040,基础信息!C:E,3,FALSE)</f>
        <v>#N/A</v>
      </c>
    </row>
    <row r="1041" customHeight="1" spans="8:8">
      <c r="H1041" s="29" t="e">
        <f>VLOOKUP(E1041,基础信息!C:E,3,FALSE)</f>
        <v>#N/A</v>
      </c>
    </row>
    <row r="1042" customHeight="1" spans="8:8">
      <c r="H1042" s="29" t="e">
        <f>VLOOKUP(E1042,基础信息!C:E,3,FALSE)</f>
        <v>#N/A</v>
      </c>
    </row>
    <row r="1043" customHeight="1" spans="8:8">
      <c r="H1043" s="29" t="e">
        <f>VLOOKUP(E1043,基础信息!C:E,3,FALSE)</f>
        <v>#N/A</v>
      </c>
    </row>
    <row r="1044" customHeight="1" spans="8:8">
      <c r="H1044" s="29" t="e">
        <f>VLOOKUP(E1044,基础信息!C:E,3,FALSE)</f>
        <v>#N/A</v>
      </c>
    </row>
    <row r="1045" customHeight="1" spans="8:8">
      <c r="H1045" s="29" t="e">
        <f>VLOOKUP(E1045,基础信息!C:E,3,FALSE)</f>
        <v>#N/A</v>
      </c>
    </row>
    <row r="1046" customHeight="1" spans="8:8">
      <c r="H1046" s="29" t="e">
        <f>VLOOKUP(E1046,基础信息!C:E,3,FALSE)</f>
        <v>#N/A</v>
      </c>
    </row>
    <row r="1047" customHeight="1" spans="8:8">
      <c r="H1047" s="29" t="e">
        <f>VLOOKUP(E1047,基础信息!C:E,3,FALSE)</f>
        <v>#N/A</v>
      </c>
    </row>
    <row r="1048" customHeight="1" spans="8:8">
      <c r="H1048" s="29" t="e">
        <f>VLOOKUP(E1048,基础信息!C:E,3,FALSE)</f>
        <v>#N/A</v>
      </c>
    </row>
    <row r="1049" customHeight="1" spans="8:8">
      <c r="H1049" s="29" t="e">
        <f>VLOOKUP(E1049,基础信息!C:E,3,FALSE)</f>
        <v>#N/A</v>
      </c>
    </row>
    <row r="1050" customHeight="1" spans="8:8">
      <c r="H1050" s="29" t="e">
        <f>VLOOKUP(E1050,基础信息!C:E,3,FALSE)</f>
        <v>#N/A</v>
      </c>
    </row>
    <row r="1051" customHeight="1" spans="8:8">
      <c r="H1051" s="29" t="e">
        <f>VLOOKUP(E1051,基础信息!C:E,3,FALSE)</f>
        <v>#N/A</v>
      </c>
    </row>
    <row r="1052" customHeight="1" spans="8:8">
      <c r="H1052" s="29" t="e">
        <f>VLOOKUP(E1052,基础信息!C:E,3,FALSE)</f>
        <v>#N/A</v>
      </c>
    </row>
    <row r="1053" customHeight="1" spans="8:8">
      <c r="H1053" s="29" t="e">
        <f>VLOOKUP(E1053,基础信息!C:E,3,FALSE)</f>
        <v>#N/A</v>
      </c>
    </row>
    <row r="1054" customHeight="1" spans="8:8">
      <c r="H1054" s="29" t="e">
        <f>VLOOKUP(E1054,基础信息!C:E,3,FALSE)</f>
        <v>#N/A</v>
      </c>
    </row>
    <row r="1055" customHeight="1" spans="8:8">
      <c r="H1055" s="29" t="e">
        <f>VLOOKUP(E1055,基础信息!C:E,3,FALSE)</f>
        <v>#N/A</v>
      </c>
    </row>
    <row r="1056" customHeight="1" spans="8:8">
      <c r="H1056" s="29" t="e">
        <f>VLOOKUP(E1056,基础信息!C:E,3,FALSE)</f>
        <v>#N/A</v>
      </c>
    </row>
    <row r="1057" customHeight="1" spans="8:8">
      <c r="H1057" s="29" t="e">
        <f>VLOOKUP(E1057,基础信息!C:E,3,FALSE)</f>
        <v>#N/A</v>
      </c>
    </row>
    <row r="1058" customHeight="1" spans="8:8">
      <c r="H1058" s="29" t="e">
        <f>VLOOKUP(E1058,基础信息!C:E,3,FALSE)</f>
        <v>#N/A</v>
      </c>
    </row>
    <row r="1059" customHeight="1" spans="8:8">
      <c r="H1059" s="29" t="e">
        <f>VLOOKUP(E1059,基础信息!C:E,3,FALSE)</f>
        <v>#N/A</v>
      </c>
    </row>
    <row r="1060" customHeight="1" spans="8:8">
      <c r="H1060" s="29" t="e">
        <f>VLOOKUP(E1060,基础信息!C:E,3,FALSE)</f>
        <v>#N/A</v>
      </c>
    </row>
    <row r="1061" customHeight="1" spans="8:8">
      <c r="H1061" s="29" t="e">
        <f>VLOOKUP(E1061,基础信息!C:E,3,FALSE)</f>
        <v>#N/A</v>
      </c>
    </row>
    <row r="1062" customHeight="1" spans="8:8">
      <c r="H1062" s="29" t="e">
        <f>VLOOKUP(E1062,基础信息!C:E,3,FALSE)</f>
        <v>#N/A</v>
      </c>
    </row>
    <row r="1063" customHeight="1" spans="8:8">
      <c r="H1063" s="29" t="e">
        <f>VLOOKUP(E1063,基础信息!C:E,3,FALSE)</f>
        <v>#N/A</v>
      </c>
    </row>
    <row r="1064" customHeight="1" spans="8:8">
      <c r="H1064" s="29" t="e">
        <f>VLOOKUP(E1064,基础信息!C:E,3,FALSE)</f>
        <v>#N/A</v>
      </c>
    </row>
    <row r="1065" customHeight="1" spans="8:8">
      <c r="H1065" s="29" t="e">
        <f>VLOOKUP(E1065,基础信息!C:E,3,FALSE)</f>
        <v>#N/A</v>
      </c>
    </row>
    <row r="1066" customHeight="1" spans="8:8">
      <c r="H1066" s="29" t="e">
        <f>VLOOKUP(E1066,基础信息!C:E,3,FALSE)</f>
        <v>#N/A</v>
      </c>
    </row>
    <row r="1067" customHeight="1" spans="8:8">
      <c r="H1067" s="29" t="e">
        <f>VLOOKUP(E1067,基础信息!C:E,3,FALSE)</f>
        <v>#N/A</v>
      </c>
    </row>
    <row r="1068" customHeight="1" spans="8:8">
      <c r="H1068" s="29" t="e">
        <f>VLOOKUP(E1068,基础信息!C:E,3,FALSE)</f>
        <v>#N/A</v>
      </c>
    </row>
    <row r="1069" customHeight="1" spans="8:8">
      <c r="H1069" s="29" t="e">
        <f>VLOOKUP(E1069,基础信息!C:E,3,FALSE)</f>
        <v>#N/A</v>
      </c>
    </row>
    <row r="1070" customHeight="1" spans="8:8">
      <c r="H1070" s="29" t="e">
        <f>VLOOKUP(E1070,基础信息!C:E,3,FALSE)</f>
        <v>#N/A</v>
      </c>
    </row>
    <row r="1071" customHeight="1" spans="8:8">
      <c r="H1071" s="29" t="e">
        <f>VLOOKUP(E1071,基础信息!C:E,3,FALSE)</f>
        <v>#N/A</v>
      </c>
    </row>
    <row r="1072" customHeight="1" spans="8:8">
      <c r="H1072" s="29" t="e">
        <f>VLOOKUP(E1072,基础信息!C:E,3,FALSE)</f>
        <v>#N/A</v>
      </c>
    </row>
    <row r="1073" customHeight="1" spans="8:8">
      <c r="H1073" s="29" t="e">
        <f>VLOOKUP(E1073,基础信息!C:E,3,FALSE)</f>
        <v>#N/A</v>
      </c>
    </row>
    <row r="1074" customHeight="1" spans="8:8">
      <c r="H1074" s="29" t="e">
        <f>VLOOKUP(E1074,基础信息!C:E,3,FALSE)</f>
        <v>#N/A</v>
      </c>
    </row>
    <row r="1075" customHeight="1" spans="8:8">
      <c r="H1075" s="29" t="e">
        <f>VLOOKUP(E1075,基础信息!C:E,3,FALSE)</f>
        <v>#N/A</v>
      </c>
    </row>
    <row r="1076" customHeight="1" spans="8:8">
      <c r="H1076" s="29" t="e">
        <f>VLOOKUP(E1076,基础信息!C:E,3,FALSE)</f>
        <v>#N/A</v>
      </c>
    </row>
    <row r="1077" customHeight="1" spans="8:8">
      <c r="H1077" s="29" t="e">
        <f>VLOOKUP(E1077,基础信息!C:E,3,FALSE)</f>
        <v>#N/A</v>
      </c>
    </row>
    <row r="1078" customHeight="1" spans="8:8">
      <c r="H1078" s="29" t="e">
        <f>VLOOKUP(E1078,基础信息!C:E,3,FALSE)</f>
        <v>#N/A</v>
      </c>
    </row>
    <row r="1079" customHeight="1" spans="8:8">
      <c r="H1079" s="29" t="e">
        <f>VLOOKUP(E1079,基础信息!C:E,3,FALSE)</f>
        <v>#N/A</v>
      </c>
    </row>
    <row r="1080" customHeight="1" spans="8:8">
      <c r="H1080" s="29" t="e">
        <f>VLOOKUP(E1080,基础信息!C:E,3,FALSE)</f>
        <v>#N/A</v>
      </c>
    </row>
    <row r="1081" customHeight="1" spans="8:8">
      <c r="H1081" s="29" t="e">
        <f>VLOOKUP(E1081,基础信息!C:E,3,FALSE)</f>
        <v>#N/A</v>
      </c>
    </row>
    <row r="1082" customHeight="1" spans="8:8">
      <c r="H1082" s="29" t="e">
        <f>VLOOKUP(E1082,基础信息!C:E,3,FALSE)</f>
        <v>#N/A</v>
      </c>
    </row>
    <row r="1083" customHeight="1" spans="8:8">
      <c r="H1083" s="29" t="e">
        <f>VLOOKUP(E1083,基础信息!C:E,3,FALSE)</f>
        <v>#N/A</v>
      </c>
    </row>
    <row r="1084" customHeight="1" spans="8:8">
      <c r="H1084" s="29" t="e">
        <f>VLOOKUP(E1084,基础信息!C:E,3,FALSE)</f>
        <v>#N/A</v>
      </c>
    </row>
    <row r="1085" customHeight="1" spans="8:8">
      <c r="H1085" s="29" t="e">
        <f>VLOOKUP(E1085,基础信息!C:E,3,FALSE)</f>
        <v>#N/A</v>
      </c>
    </row>
    <row r="1086" customHeight="1" spans="8:8">
      <c r="H1086" s="29" t="e">
        <f>VLOOKUP(E1086,基础信息!C:E,3,FALSE)</f>
        <v>#N/A</v>
      </c>
    </row>
    <row r="1087" customHeight="1" spans="8:8">
      <c r="H1087" s="29" t="e">
        <f>VLOOKUP(E1087,基础信息!C:E,3,FALSE)</f>
        <v>#N/A</v>
      </c>
    </row>
    <row r="1088" customHeight="1" spans="8:8">
      <c r="H1088" s="29" t="e">
        <f>VLOOKUP(E1088,基础信息!C:E,3,FALSE)</f>
        <v>#N/A</v>
      </c>
    </row>
    <row r="1089" customHeight="1" spans="8:8">
      <c r="H1089" s="29" t="e">
        <f>VLOOKUP(E1089,基础信息!C:E,3,FALSE)</f>
        <v>#N/A</v>
      </c>
    </row>
    <row r="1090" customHeight="1" spans="8:8">
      <c r="H1090" s="29" t="e">
        <f>VLOOKUP(E1090,基础信息!C:E,3,FALSE)</f>
        <v>#N/A</v>
      </c>
    </row>
    <row r="1091" customHeight="1" spans="8:8">
      <c r="H1091" s="29" t="e">
        <f>VLOOKUP(E1091,基础信息!C:E,3,FALSE)</f>
        <v>#N/A</v>
      </c>
    </row>
    <row r="1092" customHeight="1" spans="8:8">
      <c r="H1092" s="29" t="e">
        <f>VLOOKUP(E1092,基础信息!C:E,3,FALSE)</f>
        <v>#N/A</v>
      </c>
    </row>
    <row r="1093" customHeight="1" spans="8:8">
      <c r="H1093" s="29" t="e">
        <f>VLOOKUP(E1093,基础信息!C:E,3,FALSE)</f>
        <v>#N/A</v>
      </c>
    </row>
    <row r="1094" customHeight="1" spans="8:8">
      <c r="H1094" s="29" t="e">
        <f>VLOOKUP(E1094,基础信息!C:E,3,FALSE)</f>
        <v>#N/A</v>
      </c>
    </row>
    <row r="1095" customHeight="1" spans="8:8">
      <c r="H1095" s="29" t="e">
        <f>VLOOKUP(E1095,基础信息!C:E,3,FALSE)</f>
        <v>#N/A</v>
      </c>
    </row>
    <row r="1096" customHeight="1" spans="8:8">
      <c r="H1096" s="29" t="e">
        <f>VLOOKUP(E1096,基础信息!C:E,3,FALSE)</f>
        <v>#N/A</v>
      </c>
    </row>
    <row r="1097" customHeight="1" spans="8:8">
      <c r="H1097" s="29" t="e">
        <f>VLOOKUP(E1097,基础信息!C:E,3,FALSE)</f>
        <v>#N/A</v>
      </c>
    </row>
    <row r="1098" customHeight="1" spans="8:8">
      <c r="H1098" s="29" t="e">
        <f>VLOOKUP(E1098,基础信息!C:E,3,FALSE)</f>
        <v>#N/A</v>
      </c>
    </row>
    <row r="1099" customHeight="1" spans="8:8">
      <c r="H1099" s="29" t="e">
        <f>VLOOKUP(E1099,基础信息!C:E,3,FALSE)</f>
        <v>#N/A</v>
      </c>
    </row>
    <row r="1100" customHeight="1" spans="8:8">
      <c r="H1100" s="29" t="e">
        <f>VLOOKUP(E1100,基础信息!C:E,3,FALSE)</f>
        <v>#N/A</v>
      </c>
    </row>
    <row r="1101" customHeight="1" spans="8:8">
      <c r="H1101" s="29" t="e">
        <f>VLOOKUP(E1101,基础信息!C:E,3,FALSE)</f>
        <v>#N/A</v>
      </c>
    </row>
    <row r="1102" customHeight="1" spans="8:8">
      <c r="H1102" s="29" t="e">
        <f>VLOOKUP(E1102,基础信息!C:E,3,FALSE)</f>
        <v>#N/A</v>
      </c>
    </row>
    <row r="1103" customHeight="1" spans="8:8">
      <c r="H1103" s="29" t="e">
        <f>VLOOKUP(E1103,基础信息!C:E,3,FALSE)</f>
        <v>#N/A</v>
      </c>
    </row>
    <row r="1104" customHeight="1" spans="8:8">
      <c r="H1104" s="29" t="e">
        <f>VLOOKUP(E1104,基础信息!C:E,3,FALSE)</f>
        <v>#N/A</v>
      </c>
    </row>
    <row r="1105" customHeight="1" spans="8:8">
      <c r="H1105" s="29" t="e">
        <f>VLOOKUP(E1105,基础信息!C:E,3,FALSE)</f>
        <v>#N/A</v>
      </c>
    </row>
    <row r="1106" customHeight="1" spans="8:8">
      <c r="H1106" s="29" t="e">
        <f>VLOOKUP(E1106,基础信息!C:E,3,FALSE)</f>
        <v>#N/A</v>
      </c>
    </row>
    <row r="1107" customHeight="1" spans="8:8">
      <c r="H1107" s="29" t="e">
        <f>VLOOKUP(E1107,基础信息!C:E,3,FALSE)</f>
        <v>#N/A</v>
      </c>
    </row>
    <row r="1108" customHeight="1" spans="8:8">
      <c r="H1108" s="29" t="e">
        <f>VLOOKUP(E1108,基础信息!C:E,3,FALSE)</f>
        <v>#N/A</v>
      </c>
    </row>
    <row r="1109" customHeight="1" spans="8:8">
      <c r="H1109" s="29" t="e">
        <f>VLOOKUP(E1109,基础信息!C:E,3,FALSE)</f>
        <v>#N/A</v>
      </c>
    </row>
    <row r="1110" customHeight="1" spans="8:8">
      <c r="H1110" s="29" t="e">
        <f>VLOOKUP(E1110,基础信息!C:E,3,FALSE)</f>
        <v>#N/A</v>
      </c>
    </row>
    <row r="1111" customHeight="1" spans="8:8">
      <c r="H1111" s="29" t="e">
        <f>VLOOKUP(E1111,基础信息!C:E,3,FALSE)</f>
        <v>#N/A</v>
      </c>
    </row>
    <row r="1112" customHeight="1" spans="8:8">
      <c r="H1112" s="29" t="e">
        <f>VLOOKUP(E1112,基础信息!C:E,3,FALSE)</f>
        <v>#N/A</v>
      </c>
    </row>
    <row r="1113" customHeight="1" spans="8:8">
      <c r="H1113" s="29" t="e">
        <f>VLOOKUP(E1113,基础信息!C:E,3,FALSE)</f>
        <v>#N/A</v>
      </c>
    </row>
    <row r="1114" customHeight="1" spans="8:8">
      <c r="H1114" s="29" t="e">
        <f>VLOOKUP(E1114,基础信息!C:E,3,FALSE)</f>
        <v>#N/A</v>
      </c>
    </row>
    <row r="1115" customHeight="1" spans="8:8">
      <c r="H1115" s="29" t="e">
        <f>VLOOKUP(E1115,基础信息!C:E,3,FALSE)</f>
        <v>#N/A</v>
      </c>
    </row>
    <row r="1116" customHeight="1" spans="8:8">
      <c r="H1116" s="29" t="e">
        <f>VLOOKUP(E1116,基础信息!C:E,3,FALSE)</f>
        <v>#N/A</v>
      </c>
    </row>
    <row r="1117" customHeight="1" spans="8:8">
      <c r="H1117" s="29" t="e">
        <f>VLOOKUP(E1117,基础信息!C:E,3,FALSE)</f>
        <v>#N/A</v>
      </c>
    </row>
    <row r="1118" customHeight="1" spans="8:8">
      <c r="H1118" s="29" t="e">
        <f>VLOOKUP(E1118,基础信息!C:E,3,FALSE)</f>
        <v>#N/A</v>
      </c>
    </row>
    <row r="1119" customHeight="1" spans="8:8">
      <c r="H1119" s="29" t="e">
        <f>VLOOKUP(E1119,基础信息!C:E,3,FALSE)</f>
        <v>#N/A</v>
      </c>
    </row>
    <row r="1120" customHeight="1" spans="8:8">
      <c r="H1120" s="29" t="e">
        <f>VLOOKUP(E1120,基础信息!C:E,3,FALSE)</f>
        <v>#N/A</v>
      </c>
    </row>
    <row r="1121" customHeight="1" spans="8:8">
      <c r="H1121" s="29" t="e">
        <f>VLOOKUP(E1121,基础信息!C:E,3,FALSE)</f>
        <v>#N/A</v>
      </c>
    </row>
    <row r="1122" customHeight="1" spans="8:8">
      <c r="H1122" s="29" t="e">
        <f>VLOOKUP(E1122,基础信息!C:E,3,FALSE)</f>
        <v>#N/A</v>
      </c>
    </row>
    <row r="1123" customHeight="1" spans="8:8">
      <c r="H1123" s="29" t="e">
        <f>VLOOKUP(E1123,基础信息!C:E,3,FALSE)</f>
        <v>#N/A</v>
      </c>
    </row>
    <row r="1124" customHeight="1" spans="8:8">
      <c r="H1124" s="29" t="e">
        <f>VLOOKUP(E1124,基础信息!C:E,3,FALSE)</f>
        <v>#N/A</v>
      </c>
    </row>
    <row r="1125" customHeight="1" spans="8:8">
      <c r="H1125" s="29" t="e">
        <f>VLOOKUP(E1125,基础信息!C:E,3,FALSE)</f>
        <v>#N/A</v>
      </c>
    </row>
    <row r="1126" customHeight="1" spans="8:8">
      <c r="H1126" s="29" t="e">
        <f>VLOOKUP(E1126,基础信息!C:E,3,FALSE)</f>
        <v>#N/A</v>
      </c>
    </row>
    <row r="1127" customHeight="1" spans="8:8">
      <c r="H1127" s="29" t="e">
        <f>VLOOKUP(E1127,基础信息!C:E,3,FALSE)</f>
        <v>#N/A</v>
      </c>
    </row>
    <row r="1128" customHeight="1" spans="8:8">
      <c r="H1128" s="29" t="e">
        <f>VLOOKUP(E1128,基础信息!C:E,3,FALSE)</f>
        <v>#N/A</v>
      </c>
    </row>
    <row r="1129" customHeight="1" spans="8:8">
      <c r="H1129" s="29" t="e">
        <f>VLOOKUP(E1129,基础信息!C:E,3,FALSE)</f>
        <v>#N/A</v>
      </c>
    </row>
    <row r="1130" customHeight="1" spans="8:8">
      <c r="H1130" s="29" t="e">
        <f>VLOOKUP(E1130,基础信息!C:E,3,FALSE)</f>
        <v>#N/A</v>
      </c>
    </row>
    <row r="1131" customHeight="1" spans="8:8">
      <c r="H1131" s="29" t="e">
        <f>VLOOKUP(E1131,基础信息!C:E,3,FALSE)</f>
        <v>#N/A</v>
      </c>
    </row>
    <row r="1132" customHeight="1" spans="8:8">
      <c r="H1132" s="29" t="e">
        <f>VLOOKUP(E1132,基础信息!C:E,3,FALSE)</f>
        <v>#N/A</v>
      </c>
    </row>
    <row r="1133" customHeight="1" spans="8:8">
      <c r="H1133" s="29" t="e">
        <f>VLOOKUP(E1133,基础信息!C:E,3,FALSE)</f>
        <v>#N/A</v>
      </c>
    </row>
    <row r="1134" customHeight="1" spans="8:8">
      <c r="H1134" s="29" t="e">
        <f>VLOOKUP(E1134,基础信息!C:E,3,FALSE)</f>
        <v>#N/A</v>
      </c>
    </row>
    <row r="1135" customHeight="1" spans="8:8">
      <c r="H1135" s="29" t="e">
        <f>VLOOKUP(E1135,基础信息!C:E,3,FALSE)</f>
        <v>#N/A</v>
      </c>
    </row>
    <row r="1136" customHeight="1" spans="8:8">
      <c r="H1136" s="29" t="e">
        <f>VLOOKUP(E1136,基础信息!C:E,3,FALSE)</f>
        <v>#N/A</v>
      </c>
    </row>
    <row r="1137" customHeight="1" spans="8:8">
      <c r="H1137" s="29" t="e">
        <f>VLOOKUP(E1137,基础信息!C:E,3,FALSE)</f>
        <v>#N/A</v>
      </c>
    </row>
    <row r="1138" customHeight="1" spans="8:8">
      <c r="H1138" s="29" t="e">
        <f>VLOOKUP(E1138,基础信息!C:E,3,FALSE)</f>
        <v>#N/A</v>
      </c>
    </row>
    <row r="1139" customHeight="1" spans="8:8">
      <c r="H1139" s="29" t="e">
        <f>VLOOKUP(E1139,基础信息!C:E,3,FALSE)</f>
        <v>#N/A</v>
      </c>
    </row>
    <row r="1140" customHeight="1" spans="8:8">
      <c r="H1140" s="29" t="e">
        <f>VLOOKUP(E1140,基础信息!C:E,3,FALSE)</f>
        <v>#N/A</v>
      </c>
    </row>
    <row r="1141" customHeight="1" spans="8:8">
      <c r="H1141" s="29" t="e">
        <f>VLOOKUP(E1141,基础信息!C:E,3,FALSE)</f>
        <v>#N/A</v>
      </c>
    </row>
    <row r="1142" customHeight="1" spans="8:8">
      <c r="H1142" s="29" t="e">
        <f>VLOOKUP(E1142,基础信息!C:E,3,FALSE)</f>
        <v>#N/A</v>
      </c>
    </row>
    <row r="1143" customHeight="1" spans="8:8">
      <c r="H1143" s="29" t="e">
        <f>VLOOKUP(E1143,基础信息!C:E,3,FALSE)</f>
        <v>#N/A</v>
      </c>
    </row>
    <row r="1144" customHeight="1" spans="8:8">
      <c r="H1144" s="29" t="e">
        <f>VLOOKUP(E1144,基础信息!C:E,3,FALSE)</f>
        <v>#N/A</v>
      </c>
    </row>
    <row r="1145" customHeight="1" spans="8:8">
      <c r="H1145" s="29" t="e">
        <f>VLOOKUP(E1145,基础信息!C:E,3,FALSE)</f>
        <v>#N/A</v>
      </c>
    </row>
    <row r="1146" customHeight="1" spans="8:8">
      <c r="H1146" s="29" t="e">
        <f>VLOOKUP(E1146,基础信息!C:E,3,FALSE)</f>
        <v>#N/A</v>
      </c>
    </row>
    <row r="1147" customHeight="1" spans="8:8">
      <c r="H1147" s="29" t="e">
        <f>VLOOKUP(E1147,基础信息!C:E,3,FALSE)</f>
        <v>#N/A</v>
      </c>
    </row>
    <row r="1148" customHeight="1" spans="8:8">
      <c r="H1148" s="29" t="e">
        <f>VLOOKUP(E1148,基础信息!C:E,3,FALSE)</f>
        <v>#N/A</v>
      </c>
    </row>
    <row r="1149" customHeight="1" spans="8:8">
      <c r="H1149" s="29" t="e">
        <f>VLOOKUP(E1149,基础信息!C:E,3,FALSE)</f>
        <v>#N/A</v>
      </c>
    </row>
    <row r="1150" customHeight="1" spans="8:8">
      <c r="H1150" s="29" t="e">
        <f>VLOOKUP(E1150,基础信息!C:E,3,FALSE)</f>
        <v>#N/A</v>
      </c>
    </row>
    <row r="1151" customHeight="1" spans="8:8">
      <c r="H1151" s="29" t="e">
        <f>VLOOKUP(E1151,基础信息!C:E,3,FALSE)</f>
        <v>#N/A</v>
      </c>
    </row>
    <row r="1152" customHeight="1" spans="8:8">
      <c r="H1152" s="29" t="e">
        <f>VLOOKUP(E1152,基础信息!C:E,3,FALSE)</f>
        <v>#N/A</v>
      </c>
    </row>
    <row r="1153" customHeight="1" spans="8:8">
      <c r="H1153" s="29" t="e">
        <f>VLOOKUP(E1153,基础信息!C:E,3,FALSE)</f>
        <v>#N/A</v>
      </c>
    </row>
    <row r="1154" customHeight="1" spans="8:8">
      <c r="H1154" s="29" t="e">
        <f>VLOOKUP(E1154,基础信息!C:E,3,FALSE)</f>
        <v>#N/A</v>
      </c>
    </row>
    <row r="1155" customHeight="1" spans="8:8">
      <c r="H1155" s="29" t="e">
        <f>VLOOKUP(E1155,基础信息!C:E,3,FALSE)</f>
        <v>#N/A</v>
      </c>
    </row>
    <row r="1156" customHeight="1" spans="8:8">
      <c r="H1156" s="29" t="e">
        <f>VLOOKUP(E1156,基础信息!C:E,3,FALSE)</f>
        <v>#N/A</v>
      </c>
    </row>
    <row r="1157" customHeight="1" spans="8:8">
      <c r="H1157" s="29" t="e">
        <f>VLOOKUP(E1157,基础信息!C:E,3,FALSE)</f>
        <v>#N/A</v>
      </c>
    </row>
    <row r="1158" customHeight="1" spans="8:8">
      <c r="H1158" s="29" t="e">
        <f>VLOOKUP(E1158,基础信息!C:E,3,FALSE)</f>
        <v>#N/A</v>
      </c>
    </row>
    <row r="1159" customHeight="1" spans="8:8">
      <c r="H1159" s="29" t="e">
        <f>VLOOKUP(E1159,基础信息!C:E,3,FALSE)</f>
        <v>#N/A</v>
      </c>
    </row>
    <row r="1160" customHeight="1" spans="8:8">
      <c r="H1160" s="29" t="e">
        <f>VLOOKUP(E1160,基础信息!C:E,3,FALSE)</f>
        <v>#N/A</v>
      </c>
    </row>
    <row r="1161" customHeight="1" spans="8:8">
      <c r="H1161" s="29" t="e">
        <f>VLOOKUP(E1161,基础信息!C:E,3,FALSE)</f>
        <v>#N/A</v>
      </c>
    </row>
    <row r="1162" customHeight="1" spans="8:8">
      <c r="H1162" s="29" t="e">
        <f>VLOOKUP(E1162,基础信息!C:E,3,FALSE)</f>
        <v>#N/A</v>
      </c>
    </row>
    <row r="1163" customHeight="1" spans="8:8">
      <c r="H1163" s="29" t="e">
        <f>VLOOKUP(E1163,基础信息!C:E,3,FALSE)</f>
        <v>#N/A</v>
      </c>
    </row>
    <row r="1164" customHeight="1" spans="8:8">
      <c r="H1164" s="29" t="e">
        <f>VLOOKUP(E1164,基础信息!C:E,3,FALSE)</f>
        <v>#N/A</v>
      </c>
    </row>
    <row r="1165" customHeight="1" spans="8:8">
      <c r="H1165" s="29" t="e">
        <f>VLOOKUP(E1165,基础信息!C:E,3,FALSE)</f>
        <v>#N/A</v>
      </c>
    </row>
    <row r="1166" customHeight="1" spans="8:8">
      <c r="H1166" s="29" t="e">
        <f>VLOOKUP(E1166,基础信息!C:E,3,FALSE)</f>
        <v>#N/A</v>
      </c>
    </row>
    <row r="1167" customHeight="1" spans="8:8">
      <c r="H1167" s="29" t="e">
        <f>VLOOKUP(E1167,基础信息!C:E,3,FALSE)</f>
        <v>#N/A</v>
      </c>
    </row>
    <row r="1168" customHeight="1" spans="8:8">
      <c r="H1168" s="29" t="e">
        <f>VLOOKUP(E1168,基础信息!C:E,3,FALSE)</f>
        <v>#N/A</v>
      </c>
    </row>
    <row r="1169" customHeight="1" spans="8:8">
      <c r="H1169" s="29" t="e">
        <f>VLOOKUP(E1169,基础信息!C:E,3,FALSE)</f>
        <v>#N/A</v>
      </c>
    </row>
    <row r="1170" customHeight="1" spans="8:8">
      <c r="H1170" s="29" t="e">
        <f>VLOOKUP(E1170,基础信息!C:E,3,FALSE)</f>
        <v>#N/A</v>
      </c>
    </row>
    <row r="1171" customHeight="1" spans="8:8">
      <c r="H1171" s="29" t="e">
        <f>VLOOKUP(E1171,基础信息!C:E,3,FALSE)</f>
        <v>#N/A</v>
      </c>
    </row>
    <row r="1172" customHeight="1" spans="8:8">
      <c r="H1172" s="29" t="e">
        <f>VLOOKUP(E1172,基础信息!C:E,3,FALSE)</f>
        <v>#N/A</v>
      </c>
    </row>
    <row r="1173" customHeight="1" spans="8:8">
      <c r="H1173" s="29" t="e">
        <f>VLOOKUP(E1173,基础信息!C:E,3,FALSE)</f>
        <v>#N/A</v>
      </c>
    </row>
    <row r="1174" customHeight="1" spans="8:8">
      <c r="H1174" s="29" t="e">
        <f>VLOOKUP(E1174,基础信息!C:E,3,FALSE)</f>
        <v>#N/A</v>
      </c>
    </row>
    <row r="1175" customHeight="1" spans="8:8">
      <c r="H1175" s="29" t="e">
        <f>VLOOKUP(E1175,基础信息!C:E,3,FALSE)</f>
        <v>#N/A</v>
      </c>
    </row>
    <row r="1176" customHeight="1" spans="8:8">
      <c r="H1176" s="29" t="e">
        <f>VLOOKUP(E1176,基础信息!C:E,3,FALSE)</f>
        <v>#N/A</v>
      </c>
    </row>
    <row r="1177" customHeight="1" spans="8:8">
      <c r="H1177" s="29" t="e">
        <f>VLOOKUP(E1177,基础信息!C:E,3,FALSE)</f>
        <v>#N/A</v>
      </c>
    </row>
    <row r="1178" customHeight="1" spans="8:8">
      <c r="H1178" s="29" t="e">
        <f>VLOOKUP(E1178,基础信息!C:E,3,FALSE)</f>
        <v>#N/A</v>
      </c>
    </row>
    <row r="1179" customHeight="1" spans="8:8">
      <c r="H1179" s="29" t="e">
        <f>VLOOKUP(E1179,基础信息!C:E,3,FALSE)</f>
        <v>#N/A</v>
      </c>
    </row>
    <row r="1180" customHeight="1" spans="8:8">
      <c r="H1180" s="29" t="e">
        <f>VLOOKUP(E1180,基础信息!C:E,3,FALSE)</f>
        <v>#N/A</v>
      </c>
    </row>
    <row r="1181" customHeight="1" spans="8:8">
      <c r="H1181" s="29" t="e">
        <f>VLOOKUP(E1181,基础信息!C:E,3,FALSE)</f>
        <v>#N/A</v>
      </c>
    </row>
    <row r="1182" customHeight="1" spans="8:8">
      <c r="H1182" s="29" t="e">
        <f>VLOOKUP(E1182,基础信息!C:E,3,FALSE)</f>
        <v>#N/A</v>
      </c>
    </row>
    <row r="1183" customHeight="1" spans="8:8">
      <c r="H1183" s="29" t="e">
        <f>VLOOKUP(E1183,基础信息!C:E,3,FALSE)</f>
        <v>#N/A</v>
      </c>
    </row>
    <row r="1184" customHeight="1" spans="8:8">
      <c r="H1184" s="29" t="e">
        <f>VLOOKUP(E1184,基础信息!C:E,3,FALSE)</f>
        <v>#N/A</v>
      </c>
    </row>
    <row r="1185" customHeight="1" spans="8:8">
      <c r="H1185" s="29" t="e">
        <f>VLOOKUP(E1185,基础信息!C:E,3,FALSE)</f>
        <v>#N/A</v>
      </c>
    </row>
    <row r="1186" customHeight="1" spans="8:8">
      <c r="H1186" s="29" t="e">
        <f>VLOOKUP(E1186,基础信息!C:E,3,FALSE)</f>
        <v>#N/A</v>
      </c>
    </row>
    <row r="1187" customHeight="1" spans="8:8">
      <c r="H1187" s="29" t="e">
        <f>VLOOKUP(E1187,基础信息!C:E,3,FALSE)</f>
        <v>#N/A</v>
      </c>
    </row>
    <row r="1188" customHeight="1" spans="8:8">
      <c r="H1188" s="29" t="e">
        <f>VLOOKUP(E1188,基础信息!C:E,3,FALSE)</f>
        <v>#N/A</v>
      </c>
    </row>
    <row r="1189" customHeight="1" spans="8:8">
      <c r="H1189" s="29" t="e">
        <f>VLOOKUP(E1189,基础信息!C:E,3,FALSE)</f>
        <v>#N/A</v>
      </c>
    </row>
    <row r="1190" customHeight="1" spans="8:8">
      <c r="H1190" s="29" t="e">
        <f>VLOOKUP(E1190,基础信息!C:E,3,FALSE)</f>
        <v>#N/A</v>
      </c>
    </row>
    <row r="1191" customHeight="1" spans="8:8">
      <c r="H1191" s="29" t="e">
        <f>VLOOKUP(E1191,基础信息!C:E,3,FALSE)</f>
        <v>#N/A</v>
      </c>
    </row>
    <row r="1192" customHeight="1" spans="8:8">
      <c r="H1192" s="29" t="e">
        <f>VLOOKUP(E1192,基础信息!C:E,3,FALSE)</f>
        <v>#N/A</v>
      </c>
    </row>
    <row r="1193" customHeight="1" spans="8:8">
      <c r="H1193" s="29" t="e">
        <f>VLOOKUP(E1193,基础信息!C:E,3,FALSE)</f>
        <v>#N/A</v>
      </c>
    </row>
    <row r="1194" customHeight="1" spans="8:8">
      <c r="H1194" s="29" t="e">
        <f>VLOOKUP(E1194,基础信息!C:E,3,FALSE)</f>
        <v>#N/A</v>
      </c>
    </row>
    <row r="1195" customHeight="1" spans="8:8">
      <c r="H1195" s="29" t="e">
        <f>VLOOKUP(E1195,基础信息!C:E,3,FALSE)</f>
        <v>#N/A</v>
      </c>
    </row>
    <row r="1196" customHeight="1" spans="8:8">
      <c r="H1196" s="29" t="e">
        <f>VLOOKUP(E1196,基础信息!C:E,3,FALSE)</f>
        <v>#N/A</v>
      </c>
    </row>
    <row r="1197" customHeight="1" spans="8:8">
      <c r="H1197" s="29" t="e">
        <f>VLOOKUP(E1197,基础信息!C:E,3,FALSE)</f>
        <v>#N/A</v>
      </c>
    </row>
    <row r="1198" customHeight="1" spans="8:8">
      <c r="H1198" s="29" t="e">
        <f>VLOOKUP(E1198,基础信息!C:E,3,FALSE)</f>
        <v>#N/A</v>
      </c>
    </row>
    <row r="1199" customHeight="1" spans="8:8">
      <c r="H1199" s="29" t="e">
        <f>VLOOKUP(E1199,基础信息!C:E,3,FALSE)</f>
        <v>#N/A</v>
      </c>
    </row>
    <row r="1200" customHeight="1" spans="8:8">
      <c r="H1200" s="29" t="e">
        <f>VLOOKUP(E1200,基础信息!C:E,3,FALSE)</f>
        <v>#N/A</v>
      </c>
    </row>
    <row r="1201" customHeight="1" spans="8:8">
      <c r="H1201" s="29" t="e">
        <f>VLOOKUP(E1201,基础信息!C:E,3,FALSE)</f>
        <v>#N/A</v>
      </c>
    </row>
    <row r="1202" customHeight="1" spans="8:8">
      <c r="H1202" s="29" t="e">
        <f>VLOOKUP(E1202,基础信息!C:E,3,FALSE)</f>
        <v>#N/A</v>
      </c>
    </row>
  </sheetData>
  <autoFilter xmlns:etc="http://www.wps.cn/officeDocument/2017/etCustomData" ref="A1:K1202" etc:filterBottomFollowUsedRange="0">
    <extLst/>
  </autoFilter>
  <sortState ref="A2:K5747">
    <sortCondition ref="A2:A5747"/>
    <sortCondition ref="D2:D5747"/>
  </sortState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9709"/>
  <sheetViews>
    <sheetView zoomScale="70" zoomScaleNormal="70" workbookViewId="0">
      <pane ySplit="1" topLeftCell="A71" activePane="bottomLeft" state="frozen"/>
      <selection/>
      <selection pane="bottomLeft" activeCell="E82" sqref="E$1:E$1048576"/>
    </sheetView>
  </sheetViews>
  <sheetFormatPr defaultColWidth="9" defaultRowHeight="25.95" customHeight="1"/>
  <cols>
    <col min="1" max="1" width="15.6666666666667" style="69" customWidth="1"/>
    <col min="2" max="2" width="12.2166666666667" style="70" customWidth="1"/>
    <col min="3" max="3" width="36.775" style="39" customWidth="1"/>
    <col min="4" max="4" width="25.775" style="39" customWidth="1"/>
    <col min="5" max="5" width="29.2166666666667" style="39" customWidth="1"/>
    <col min="6" max="6" width="57.4416666666667" style="39" customWidth="1"/>
    <col min="7" max="7" width="16.3333333333333" style="39" customWidth="1"/>
    <col min="8" max="8" width="22.1083333333333" style="39" customWidth="1"/>
    <col min="9" max="9" width="17.1083333333333" style="71" customWidth="1"/>
    <col min="10" max="10" width="55.2166666666667" style="39" customWidth="1"/>
    <col min="11" max="16384" width="9" style="70"/>
  </cols>
  <sheetData>
    <row r="1" ht="25.8" customHeight="1" spans="1:10">
      <c r="A1" s="69" t="s">
        <v>466</v>
      </c>
      <c r="B1" s="70" t="s">
        <v>418</v>
      </c>
      <c r="C1" s="39" t="s">
        <v>3</v>
      </c>
      <c r="D1" s="39" t="s">
        <v>467</v>
      </c>
      <c r="E1" s="39" t="s">
        <v>5</v>
      </c>
      <c r="F1" s="39" t="s">
        <v>6</v>
      </c>
      <c r="G1" s="39" t="s">
        <v>468</v>
      </c>
      <c r="H1" s="70" t="s">
        <v>4</v>
      </c>
      <c r="I1" s="70" t="s">
        <v>421</v>
      </c>
      <c r="J1" s="39" t="s">
        <v>422</v>
      </c>
    </row>
    <row r="2" customHeight="1" spans="1:10">
      <c r="A2" s="72">
        <v>46144</v>
      </c>
      <c r="B2" s="73" t="s">
        <v>19</v>
      </c>
      <c r="C2" s="74" t="s">
        <v>20</v>
      </c>
      <c r="D2" s="74" t="s">
        <v>469</v>
      </c>
      <c r="E2" s="74" t="s">
        <v>166</v>
      </c>
      <c r="F2" s="74" t="s">
        <v>167</v>
      </c>
      <c r="G2" s="74">
        <v>720</v>
      </c>
      <c r="H2" s="74" t="str">
        <f>VLOOKUP(E2,基础信息!C:E,3,FALSE)</f>
        <v>F06001000446</v>
      </c>
      <c r="I2" s="78"/>
      <c r="J2" s="74" t="s">
        <v>470</v>
      </c>
    </row>
    <row r="3" customHeight="1" spans="1:10">
      <c r="A3" s="72">
        <v>46144</v>
      </c>
      <c r="B3" s="73" t="s">
        <v>19</v>
      </c>
      <c r="C3" s="74" t="s">
        <v>20</v>
      </c>
      <c r="D3" s="74" t="s">
        <v>471</v>
      </c>
      <c r="E3" s="74" t="s">
        <v>184</v>
      </c>
      <c r="F3" s="74" t="s">
        <v>185</v>
      </c>
      <c r="G3" s="74">
        <v>176</v>
      </c>
      <c r="H3" s="74" t="str">
        <f>VLOOKUP(E3,基础信息!C:E,3,FALSE)</f>
        <v>F01001001607</v>
      </c>
      <c r="I3" s="78"/>
      <c r="J3" s="74" t="s">
        <v>472</v>
      </c>
    </row>
    <row r="4" customHeight="1" spans="1:10">
      <c r="A4" s="72">
        <v>46144</v>
      </c>
      <c r="B4" s="73" t="s">
        <v>19</v>
      </c>
      <c r="C4" s="74" t="s">
        <v>20</v>
      </c>
      <c r="D4" s="74" t="s">
        <v>471</v>
      </c>
      <c r="E4" s="74" t="s">
        <v>184</v>
      </c>
      <c r="F4" s="74" t="s">
        <v>185</v>
      </c>
      <c r="G4" s="74">
        <v>112</v>
      </c>
      <c r="H4" s="74" t="str">
        <f>VLOOKUP(E4,基础信息!C:E,3,FALSE)</f>
        <v>F01001001607</v>
      </c>
      <c r="I4" s="78"/>
      <c r="J4" s="74" t="s">
        <v>472</v>
      </c>
    </row>
    <row r="5" customHeight="1" spans="1:10">
      <c r="A5" s="75">
        <v>46144</v>
      </c>
      <c r="B5" s="76" t="s">
        <v>19</v>
      </c>
      <c r="C5" s="77" t="s">
        <v>20</v>
      </c>
      <c r="D5" s="77" t="s">
        <v>473</v>
      </c>
      <c r="E5" s="77" t="s">
        <v>226</v>
      </c>
      <c r="F5" s="77" t="s">
        <v>227</v>
      </c>
      <c r="G5" s="77">
        <v>140</v>
      </c>
      <c r="H5" s="77" t="str">
        <f>VLOOKUP(E5,基础信息!C:E,3,FALSE)</f>
        <v>F01001002160</v>
      </c>
      <c r="I5" s="79"/>
      <c r="J5" s="77" t="s">
        <v>474</v>
      </c>
    </row>
    <row r="6" customHeight="1" spans="1:10">
      <c r="A6" s="75">
        <v>46144</v>
      </c>
      <c r="B6" s="76" t="s">
        <v>19</v>
      </c>
      <c r="C6" s="77" t="s">
        <v>20</v>
      </c>
      <c r="D6" s="77" t="s">
        <v>473</v>
      </c>
      <c r="E6" s="77" t="s">
        <v>226</v>
      </c>
      <c r="F6" s="77" t="s">
        <v>227</v>
      </c>
      <c r="G6" s="77">
        <v>28</v>
      </c>
      <c r="H6" s="77" t="str">
        <f>VLOOKUP(E6,基础信息!C:E,3,FALSE)</f>
        <v>F01001002160</v>
      </c>
      <c r="I6" s="79"/>
      <c r="J6" s="77" t="s">
        <v>474</v>
      </c>
    </row>
    <row r="7" customHeight="1" spans="1:10">
      <c r="A7" s="75">
        <v>46144</v>
      </c>
      <c r="B7" s="76" t="s">
        <v>19</v>
      </c>
      <c r="C7" s="77" t="s">
        <v>20</v>
      </c>
      <c r="D7" s="77" t="s">
        <v>473</v>
      </c>
      <c r="E7" s="77" t="s">
        <v>229</v>
      </c>
      <c r="F7" s="77" t="s">
        <v>230</v>
      </c>
      <c r="G7" s="77">
        <v>126</v>
      </c>
      <c r="H7" s="77" t="str">
        <f>VLOOKUP(E7,基础信息!C:E,3,FALSE)</f>
        <v>F01001002161</v>
      </c>
      <c r="I7" s="79"/>
      <c r="J7" s="77" t="s">
        <v>474</v>
      </c>
    </row>
    <row r="8" customHeight="1" spans="1:10">
      <c r="A8" s="75">
        <v>46144</v>
      </c>
      <c r="B8" s="76" t="s">
        <v>19</v>
      </c>
      <c r="C8" s="77" t="s">
        <v>20</v>
      </c>
      <c r="D8" s="77" t="s">
        <v>473</v>
      </c>
      <c r="E8" s="77" t="s">
        <v>229</v>
      </c>
      <c r="F8" s="77" t="s">
        <v>230</v>
      </c>
      <c r="G8" s="77">
        <v>28</v>
      </c>
      <c r="H8" s="77" t="str">
        <f>VLOOKUP(E8,基础信息!C:E,3,FALSE)</f>
        <v>F01001002161</v>
      </c>
      <c r="I8" s="79"/>
      <c r="J8" s="77" t="s">
        <v>474</v>
      </c>
    </row>
    <row r="9" customHeight="1" spans="1:10">
      <c r="A9" s="75">
        <v>46144</v>
      </c>
      <c r="B9" s="76" t="s">
        <v>19</v>
      </c>
      <c r="C9" s="77" t="s">
        <v>20</v>
      </c>
      <c r="D9" s="77" t="s">
        <v>473</v>
      </c>
      <c r="E9" s="77" t="s">
        <v>229</v>
      </c>
      <c r="F9" s="77" t="s">
        <v>230</v>
      </c>
      <c r="G9" s="77">
        <v>14</v>
      </c>
      <c r="H9" s="77" t="str">
        <f>VLOOKUP(E9,基础信息!C:E,3,FALSE)</f>
        <v>F01001002161</v>
      </c>
      <c r="I9" s="79"/>
      <c r="J9" s="77" t="s">
        <v>474</v>
      </c>
    </row>
    <row r="10" customHeight="1" spans="1:10">
      <c r="A10" s="72">
        <v>46144</v>
      </c>
      <c r="B10" s="73" t="s">
        <v>19</v>
      </c>
      <c r="C10" s="74" t="s">
        <v>20</v>
      </c>
      <c r="D10" s="74" t="s">
        <v>475</v>
      </c>
      <c r="E10" s="74" t="s">
        <v>181</v>
      </c>
      <c r="F10" s="74" t="s">
        <v>182</v>
      </c>
      <c r="G10" s="74">
        <v>390</v>
      </c>
      <c r="H10" s="74" t="str">
        <f>VLOOKUP(E10,基础信息!C:E,3,FALSE)</f>
        <v>F01001001608</v>
      </c>
      <c r="I10" s="78"/>
      <c r="J10" s="74" t="s">
        <v>476</v>
      </c>
    </row>
    <row r="11" customHeight="1" spans="1:10">
      <c r="A11" s="72">
        <v>46144</v>
      </c>
      <c r="B11" s="73" t="s">
        <v>19</v>
      </c>
      <c r="C11" s="74" t="s">
        <v>20</v>
      </c>
      <c r="D11" s="74" t="s">
        <v>475</v>
      </c>
      <c r="E11" s="74" t="s">
        <v>181</v>
      </c>
      <c r="F11" s="74" t="s">
        <v>182</v>
      </c>
      <c r="G11" s="74">
        <v>15</v>
      </c>
      <c r="H11" s="74" t="str">
        <f>VLOOKUP(E11,基础信息!C:E,3,FALSE)</f>
        <v>F01001001608</v>
      </c>
      <c r="I11" s="78"/>
      <c r="J11" s="74" t="s">
        <v>476</v>
      </c>
    </row>
    <row r="12" customHeight="1" spans="1:10">
      <c r="A12" s="72">
        <v>46145</v>
      </c>
      <c r="B12" s="73" t="s">
        <v>19</v>
      </c>
      <c r="C12" s="74" t="s">
        <v>20</v>
      </c>
      <c r="D12" s="74" t="s">
        <v>477</v>
      </c>
      <c r="E12" s="74" t="s">
        <v>172</v>
      </c>
      <c r="F12" s="74" t="s">
        <v>173</v>
      </c>
      <c r="G12" s="74">
        <v>960</v>
      </c>
      <c r="H12" s="74" t="str">
        <f>VLOOKUP(E12,基础信息!C:E,3,FALSE)</f>
        <v>F06001000448</v>
      </c>
      <c r="I12" s="78"/>
      <c r="J12" s="74" t="s">
        <v>478</v>
      </c>
    </row>
    <row r="13" customHeight="1" spans="1:10">
      <c r="A13" s="72">
        <v>46145</v>
      </c>
      <c r="B13" s="73" t="s">
        <v>19</v>
      </c>
      <c r="C13" s="74" t="s">
        <v>20</v>
      </c>
      <c r="D13" s="74" t="s">
        <v>477</v>
      </c>
      <c r="E13" s="74" t="s">
        <v>175</v>
      </c>
      <c r="F13" s="74" t="s">
        <v>176</v>
      </c>
      <c r="G13" s="74">
        <v>720</v>
      </c>
      <c r="H13" s="74" t="str">
        <f>VLOOKUP(E13,基础信息!C:E,3,FALSE)</f>
        <v>F06001000449</v>
      </c>
      <c r="I13" s="78"/>
      <c r="J13" s="74" t="s">
        <v>478</v>
      </c>
    </row>
    <row r="14" customHeight="1" spans="1:10">
      <c r="A14" s="72">
        <v>46145</v>
      </c>
      <c r="B14" s="73" t="s">
        <v>19</v>
      </c>
      <c r="C14" s="74" t="s">
        <v>20</v>
      </c>
      <c r="D14" s="74" t="s">
        <v>479</v>
      </c>
      <c r="E14" s="74" t="s">
        <v>184</v>
      </c>
      <c r="F14" s="74" t="s">
        <v>185</v>
      </c>
      <c r="G14" s="74">
        <v>8</v>
      </c>
      <c r="H14" s="74" t="str">
        <f>VLOOKUP(E14,基础信息!C:E,3,FALSE)</f>
        <v>F01001001607</v>
      </c>
      <c r="I14" s="78"/>
      <c r="J14" s="74" t="s">
        <v>480</v>
      </c>
    </row>
    <row r="15" customHeight="1" spans="1:10">
      <c r="A15" s="72">
        <v>46145</v>
      </c>
      <c r="B15" s="73" t="s">
        <v>19</v>
      </c>
      <c r="C15" s="74" t="s">
        <v>20</v>
      </c>
      <c r="D15" s="74" t="s">
        <v>479</v>
      </c>
      <c r="E15" s="74" t="s">
        <v>184</v>
      </c>
      <c r="F15" s="74" t="s">
        <v>185</v>
      </c>
      <c r="G15" s="74">
        <v>280</v>
      </c>
      <c r="H15" s="74" t="str">
        <f>VLOOKUP(E15,基础信息!C:E,3,FALSE)</f>
        <v>F01001001607</v>
      </c>
      <c r="I15" s="78"/>
      <c r="J15" s="74" t="s">
        <v>480</v>
      </c>
    </row>
    <row r="16" customHeight="1" spans="1:10">
      <c r="A16" s="72">
        <v>46145</v>
      </c>
      <c r="B16" s="73" t="s">
        <v>19</v>
      </c>
      <c r="C16" s="74" t="s">
        <v>20</v>
      </c>
      <c r="D16" s="74" t="s">
        <v>479</v>
      </c>
      <c r="E16" s="74" t="s">
        <v>181</v>
      </c>
      <c r="F16" s="74" t="s">
        <v>182</v>
      </c>
      <c r="G16" s="74">
        <v>345</v>
      </c>
      <c r="H16" s="74" t="str">
        <f>VLOOKUP(E16,基础信息!C:E,3,FALSE)</f>
        <v>F01001001608</v>
      </c>
      <c r="I16" s="78"/>
      <c r="J16" s="74" t="s">
        <v>480</v>
      </c>
    </row>
    <row r="17" customHeight="1" spans="1:10">
      <c r="A17" s="72">
        <v>46145</v>
      </c>
      <c r="B17" s="73" t="s">
        <v>19</v>
      </c>
      <c r="C17" s="74" t="s">
        <v>20</v>
      </c>
      <c r="D17" s="74" t="s">
        <v>479</v>
      </c>
      <c r="E17" s="74" t="s">
        <v>181</v>
      </c>
      <c r="F17" s="74" t="s">
        <v>182</v>
      </c>
      <c r="G17" s="74">
        <v>15</v>
      </c>
      <c r="H17" s="74" t="str">
        <f>VLOOKUP(E17,基础信息!C:E,3,FALSE)</f>
        <v>F01001001608</v>
      </c>
      <c r="I17" s="78"/>
      <c r="J17" s="74" t="s">
        <v>480</v>
      </c>
    </row>
    <row r="18" customHeight="1" spans="1:10">
      <c r="A18" s="72">
        <v>46145</v>
      </c>
      <c r="B18" s="73" t="s">
        <v>19</v>
      </c>
      <c r="C18" s="74" t="s">
        <v>20</v>
      </c>
      <c r="D18" s="74" t="s">
        <v>481</v>
      </c>
      <c r="E18" s="74" t="s">
        <v>226</v>
      </c>
      <c r="F18" s="74" t="s">
        <v>227</v>
      </c>
      <c r="G18" s="74">
        <v>14</v>
      </c>
      <c r="H18" s="74" t="str">
        <f>VLOOKUP(E18,基础信息!C:E,3,FALSE)</f>
        <v>F01001002160</v>
      </c>
      <c r="I18" s="78"/>
      <c r="J18" s="74" t="s">
        <v>482</v>
      </c>
    </row>
    <row r="19" customHeight="1" spans="1:10">
      <c r="A19" s="72">
        <v>46145</v>
      </c>
      <c r="B19" s="73" t="s">
        <v>19</v>
      </c>
      <c r="C19" s="74" t="s">
        <v>20</v>
      </c>
      <c r="D19" s="74" t="s">
        <v>481</v>
      </c>
      <c r="E19" s="74" t="s">
        <v>226</v>
      </c>
      <c r="F19" s="74" t="s">
        <v>227</v>
      </c>
      <c r="G19" s="74">
        <v>84</v>
      </c>
      <c r="H19" s="74" t="str">
        <f>VLOOKUP(E19,基础信息!C:E,3,FALSE)</f>
        <v>F01001002160</v>
      </c>
      <c r="I19" s="78"/>
      <c r="J19" s="74" t="s">
        <v>482</v>
      </c>
    </row>
    <row r="20" customHeight="1" spans="1:10">
      <c r="A20" s="72">
        <v>46145</v>
      </c>
      <c r="B20" s="73" t="s">
        <v>19</v>
      </c>
      <c r="C20" s="74" t="s">
        <v>20</v>
      </c>
      <c r="D20" s="74" t="s">
        <v>481</v>
      </c>
      <c r="E20" s="74" t="s">
        <v>229</v>
      </c>
      <c r="F20" s="74" t="s">
        <v>230</v>
      </c>
      <c r="G20" s="74">
        <v>98</v>
      </c>
      <c r="H20" s="74" t="str">
        <f>VLOOKUP(E20,基础信息!C:E,3,FALSE)</f>
        <v>F01001002161</v>
      </c>
      <c r="I20" s="78"/>
      <c r="J20" s="74" t="s">
        <v>482</v>
      </c>
    </row>
    <row r="21" customHeight="1" spans="1:10">
      <c r="A21" s="72">
        <v>46145</v>
      </c>
      <c r="B21" s="73" t="s">
        <v>19</v>
      </c>
      <c r="C21" s="74" t="s">
        <v>20</v>
      </c>
      <c r="D21" s="74" t="s">
        <v>483</v>
      </c>
      <c r="E21" s="74" t="s">
        <v>109</v>
      </c>
      <c r="F21" s="74" t="s">
        <v>110</v>
      </c>
      <c r="G21" s="74">
        <v>44</v>
      </c>
      <c r="H21" s="74" t="str">
        <f>VLOOKUP(E21,基础信息!C:E,3,FALSE)</f>
        <v>F01001000370</v>
      </c>
      <c r="I21" s="78"/>
      <c r="J21" s="74" t="s">
        <v>484</v>
      </c>
    </row>
    <row r="22" customHeight="1" spans="1:10">
      <c r="A22" s="72">
        <v>46145</v>
      </c>
      <c r="B22" s="73" t="s">
        <v>19</v>
      </c>
      <c r="C22" s="74" t="s">
        <v>20</v>
      </c>
      <c r="D22" s="74" t="s">
        <v>483</v>
      </c>
      <c r="E22" s="74" t="s">
        <v>109</v>
      </c>
      <c r="F22" s="74" t="s">
        <v>110</v>
      </c>
      <c r="G22" s="74">
        <v>586</v>
      </c>
      <c r="H22" s="74" t="str">
        <f>VLOOKUP(E22,基础信息!C:E,3,FALSE)</f>
        <v>F01001000370</v>
      </c>
      <c r="I22" s="78"/>
      <c r="J22" s="74" t="s">
        <v>484</v>
      </c>
    </row>
    <row r="23" customHeight="1" spans="1:10">
      <c r="A23" s="72">
        <v>46145</v>
      </c>
      <c r="B23" s="73" t="s">
        <v>19</v>
      </c>
      <c r="C23" s="74" t="s">
        <v>20</v>
      </c>
      <c r="D23" s="74" t="s">
        <v>483</v>
      </c>
      <c r="E23" s="74" t="s">
        <v>184</v>
      </c>
      <c r="F23" s="74" t="s">
        <v>185</v>
      </c>
      <c r="G23" s="74">
        <v>200</v>
      </c>
      <c r="H23" s="74" t="str">
        <f>VLOOKUP(E23,基础信息!C:E,3,FALSE)</f>
        <v>F01001001607</v>
      </c>
      <c r="I23" s="78"/>
      <c r="J23" s="74" t="s">
        <v>484</v>
      </c>
    </row>
    <row r="24" customHeight="1" spans="1:10">
      <c r="A24" s="72">
        <v>46145</v>
      </c>
      <c r="B24" s="73" t="s">
        <v>19</v>
      </c>
      <c r="C24" s="74" t="s">
        <v>20</v>
      </c>
      <c r="D24" s="74" t="s">
        <v>483</v>
      </c>
      <c r="E24" s="74" t="s">
        <v>184</v>
      </c>
      <c r="F24" s="74" t="s">
        <v>185</v>
      </c>
      <c r="G24" s="74">
        <v>88</v>
      </c>
      <c r="H24" s="74" t="str">
        <f>VLOOKUP(E24,基础信息!C:E,3,FALSE)</f>
        <v>F01001001607</v>
      </c>
      <c r="I24" s="78"/>
      <c r="J24" s="74" t="s">
        <v>484</v>
      </c>
    </row>
    <row r="25" customHeight="1" spans="1:10">
      <c r="A25" s="72">
        <v>46146</v>
      </c>
      <c r="B25" s="73" t="s">
        <v>19</v>
      </c>
      <c r="C25" s="74" t="s">
        <v>20</v>
      </c>
      <c r="D25" s="74" t="s">
        <v>485</v>
      </c>
      <c r="E25" s="74" t="s">
        <v>184</v>
      </c>
      <c r="F25" s="74" t="s">
        <v>185</v>
      </c>
      <c r="G25" s="74">
        <v>32</v>
      </c>
      <c r="H25" s="74" t="str">
        <f>VLOOKUP(E25,基础信息!C:E,3,FALSE)</f>
        <v>F01001001607</v>
      </c>
      <c r="I25" s="78"/>
      <c r="J25" s="74" t="s">
        <v>486</v>
      </c>
    </row>
    <row r="26" customHeight="1" spans="1:10">
      <c r="A26" s="72">
        <v>46146</v>
      </c>
      <c r="B26" s="73" t="s">
        <v>19</v>
      </c>
      <c r="C26" s="74" t="s">
        <v>20</v>
      </c>
      <c r="D26" s="74" t="s">
        <v>485</v>
      </c>
      <c r="E26" s="74" t="s">
        <v>184</v>
      </c>
      <c r="F26" s="74" t="s">
        <v>185</v>
      </c>
      <c r="G26" s="74">
        <v>256</v>
      </c>
      <c r="H26" s="74" t="str">
        <f>VLOOKUP(E26,基础信息!C:E,3,FALSE)</f>
        <v>F01001001607</v>
      </c>
      <c r="I26" s="78"/>
      <c r="J26" s="74" t="s">
        <v>486</v>
      </c>
    </row>
    <row r="27" customHeight="1" spans="1:10">
      <c r="A27" s="72">
        <v>46146</v>
      </c>
      <c r="B27" s="73" t="s">
        <v>19</v>
      </c>
      <c r="C27" s="74" t="s">
        <v>20</v>
      </c>
      <c r="D27" s="74" t="s">
        <v>485</v>
      </c>
      <c r="E27" s="74" t="s">
        <v>181</v>
      </c>
      <c r="F27" s="74" t="s">
        <v>182</v>
      </c>
      <c r="G27" s="74">
        <v>285</v>
      </c>
      <c r="H27" s="74" t="str">
        <f>VLOOKUP(E27,基础信息!C:E,3,FALSE)</f>
        <v>F01001001608</v>
      </c>
      <c r="I27" s="78"/>
      <c r="J27" s="74" t="s">
        <v>486</v>
      </c>
    </row>
    <row r="28" customHeight="1" spans="1:10">
      <c r="A28" s="72">
        <v>46146</v>
      </c>
      <c r="B28" s="73" t="s">
        <v>19</v>
      </c>
      <c r="C28" s="74" t="s">
        <v>20</v>
      </c>
      <c r="D28" s="74" t="s">
        <v>485</v>
      </c>
      <c r="E28" s="74" t="s">
        <v>181</v>
      </c>
      <c r="F28" s="74" t="s">
        <v>182</v>
      </c>
      <c r="G28" s="74">
        <v>120</v>
      </c>
      <c r="H28" s="74" t="str">
        <f>VLOOKUP(E28,基础信息!C:E,3,FALSE)</f>
        <v>F01001001608</v>
      </c>
      <c r="I28" s="78"/>
      <c r="J28" s="74" t="s">
        <v>486</v>
      </c>
    </row>
    <row r="29" customHeight="1" spans="1:10">
      <c r="A29" s="72">
        <v>46146</v>
      </c>
      <c r="B29" s="73" t="s">
        <v>19</v>
      </c>
      <c r="C29" s="74" t="s">
        <v>20</v>
      </c>
      <c r="D29" s="74" t="s">
        <v>485</v>
      </c>
      <c r="E29" s="74" t="s">
        <v>172</v>
      </c>
      <c r="F29" s="74" t="s">
        <v>173</v>
      </c>
      <c r="G29" s="74">
        <v>960</v>
      </c>
      <c r="H29" s="74" t="str">
        <f>VLOOKUP(E29,基础信息!C:E,3,FALSE)</f>
        <v>F06001000448</v>
      </c>
      <c r="I29" s="78"/>
      <c r="J29" s="74" t="s">
        <v>486</v>
      </c>
    </row>
    <row r="30" customHeight="1" spans="1:10">
      <c r="A30" s="75">
        <v>46146</v>
      </c>
      <c r="B30" s="76" t="s">
        <v>19</v>
      </c>
      <c r="C30" s="77" t="s">
        <v>20</v>
      </c>
      <c r="D30" s="77" t="s">
        <v>487</v>
      </c>
      <c r="E30" s="77" t="s">
        <v>187</v>
      </c>
      <c r="F30" s="77" t="s">
        <v>188</v>
      </c>
      <c r="G30" s="77">
        <v>144</v>
      </c>
      <c r="H30" s="77" t="str">
        <f>VLOOKUP(E30,基础信息!C:E,3,FALSE)</f>
        <v>F01001002458</v>
      </c>
      <c r="I30" s="79"/>
      <c r="J30" s="77" t="s">
        <v>474</v>
      </c>
    </row>
    <row r="31" customHeight="1" spans="1:10">
      <c r="A31" s="75">
        <v>46146</v>
      </c>
      <c r="B31" s="76" t="s">
        <v>19</v>
      </c>
      <c r="C31" s="77" t="s">
        <v>20</v>
      </c>
      <c r="D31" s="77" t="s">
        <v>487</v>
      </c>
      <c r="E31" s="77" t="s">
        <v>187</v>
      </c>
      <c r="F31" s="77" t="s">
        <v>188</v>
      </c>
      <c r="G31" s="77">
        <v>432</v>
      </c>
      <c r="H31" s="77" t="str">
        <f>VLOOKUP(E31,基础信息!C:E,3,FALSE)</f>
        <v>F01001002458</v>
      </c>
      <c r="I31" s="79"/>
      <c r="J31" s="77" t="s">
        <v>474</v>
      </c>
    </row>
    <row r="32" customHeight="1" spans="1:10">
      <c r="A32" s="75">
        <v>46146</v>
      </c>
      <c r="B32" s="76" t="s">
        <v>19</v>
      </c>
      <c r="C32" s="77" t="s">
        <v>20</v>
      </c>
      <c r="D32" s="77" t="s">
        <v>487</v>
      </c>
      <c r="E32" s="77" t="s">
        <v>187</v>
      </c>
      <c r="F32" s="77" t="s">
        <v>188</v>
      </c>
      <c r="G32" s="77">
        <v>288</v>
      </c>
      <c r="H32" s="77" t="str">
        <f>VLOOKUP(E32,基础信息!C:E,3,FALSE)</f>
        <v>F01001002458</v>
      </c>
      <c r="I32" s="79"/>
      <c r="J32" s="77" t="s">
        <v>474</v>
      </c>
    </row>
    <row r="33" customHeight="1" spans="1:10">
      <c r="A33" s="75">
        <v>46146</v>
      </c>
      <c r="B33" s="76" t="s">
        <v>19</v>
      </c>
      <c r="C33" s="77" t="s">
        <v>20</v>
      </c>
      <c r="D33" s="77" t="s">
        <v>487</v>
      </c>
      <c r="E33" s="77" t="s">
        <v>187</v>
      </c>
      <c r="F33" s="77" t="s">
        <v>188</v>
      </c>
      <c r="G33" s="77">
        <v>144</v>
      </c>
      <c r="H33" s="77" t="str">
        <f>VLOOKUP(E33,基础信息!C:E,3,FALSE)</f>
        <v>F01001002458</v>
      </c>
      <c r="I33" s="79"/>
      <c r="J33" s="77" t="s">
        <v>474</v>
      </c>
    </row>
    <row r="34" customHeight="1" spans="1:10">
      <c r="A34" s="75">
        <v>46146</v>
      </c>
      <c r="B34" s="76" t="s">
        <v>19</v>
      </c>
      <c r="C34" s="77" t="s">
        <v>20</v>
      </c>
      <c r="D34" s="77" t="s">
        <v>487</v>
      </c>
      <c r="E34" s="77" t="s">
        <v>190</v>
      </c>
      <c r="F34" s="77" t="s">
        <v>191</v>
      </c>
      <c r="G34" s="77">
        <v>576</v>
      </c>
      <c r="H34" s="77" t="str">
        <f>VLOOKUP(E34,基础信息!C:E,3,FALSE)</f>
        <v>F01001002459</v>
      </c>
      <c r="I34" s="79"/>
      <c r="J34" s="77" t="s">
        <v>474</v>
      </c>
    </row>
    <row r="35" customHeight="1" spans="1:10">
      <c r="A35" s="75">
        <v>46146</v>
      </c>
      <c r="B35" s="76" t="s">
        <v>19</v>
      </c>
      <c r="C35" s="77" t="s">
        <v>20</v>
      </c>
      <c r="D35" s="77" t="s">
        <v>487</v>
      </c>
      <c r="E35" s="77" t="s">
        <v>190</v>
      </c>
      <c r="F35" s="77" t="s">
        <v>191</v>
      </c>
      <c r="G35" s="77">
        <v>288</v>
      </c>
      <c r="H35" s="77" t="str">
        <f>VLOOKUP(E35,基础信息!C:E,3,FALSE)</f>
        <v>F01001002459</v>
      </c>
      <c r="I35" s="79"/>
      <c r="J35" s="77" t="s">
        <v>474</v>
      </c>
    </row>
    <row r="36" customHeight="1" spans="1:10">
      <c r="A36" s="75">
        <v>46146</v>
      </c>
      <c r="B36" s="76" t="s">
        <v>19</v>
      </c>
      <c r="C36" s="77" t="s">
        <v>20</v>
      </c>
      <c r="D36" s="77" t="s">
        <v>487</v>
      </c>
      <c r="E36" s="77" t="s">
        <v>190</v>
      </c>
      <c r="F36" s="77" t="s">
        <v>191</v>
      </c>
      <c r="G36" s="77">
        <v>144</v>
      </c>
      <c r="H36" s="77" t="str">
        <f>VLOOKUP(E36,基础信息!C:E,3,FALSE)</f>
        <v>F01001002459</v>
      </c>
      <c r="I36" s="79"/>
      <c r="J36" s="77" t="s">
        <v>474</v>
      </c>
    </row>
    <row r="37" customHeight="1" spans="1:10">
      <c r="A37" s="72">
        <v>46146</v>
      </c>
      <c r="B37" s="73" t="s">
        <v>19</v>
      </c>
      <c r="C37" s="74" t="s">
        <v>20</v>
      </c>
      <c r="D37" s="74" t="s">
        <v>488</v>
      </c>
      <c r="E37" s="74" t="s">
        <v>94</v>
      </c>
      <c r="F37" s="74" t="s">
        <v>95</v>
      </c>
      <c r="G37" s="74">
        <v>1</v>
      </c>
      <c r="H37" s="74" t="str">
        <f>VLOOKUP(E37,基础信息!C:E,3,FALSE)</f>
        <v>F01001000374</v>
      </c>
      <c r="I37" s="78"/>
      <c r="J37" s="74" t="s">
        <v>489</v>
      </c>
    </row>
    <row r="38" customHeight="1" spans="1:10">
      <c r="A38" s="72">
        <v>46146</v>
      </c>
      <c r="B38" s="73" t="s">
        <v>19</v>
      </c>
      <c r="C38" s="74" t="s">
        <v>20</v>
      </c>
      <c r="D38" s="74" t="s">
        <v>490</v>
      </c>
      <c r="E38" s="74" t="s">
        <v>184</v>
      </c>
      <c r="F38" s="74" t="s">
        <v>185</v>
      </c>
      <c r="G38" s="74">
        <v>288</v>
      </c>
      <c r="H38" s="74" t="str">
        <f>VLOOKUP(E38,基础信息!C:E,3,FALSE)</f>
        <v>F01001001607</v>
      </c>
      <c r="I38" s="78"/>
      <c r="J38" s="74" t="s">
        <v>491</v>
      </c>
    </row>
    <row r="39" customHeight="1" spans="1:10">
      <c r="A39" s="72">
        <v>46146</v>
      </c>
      <c r="B39" s="73" t="s">
        <v>19</v>
      </c>
      <c r="C39" s="74" t="s">
        <v>20</v>
      </c>
      <c r="D39" s="74" t="s">
        <v>492</v>
      </c>
      <c r="E39" s="74" t="s">
        <v>172</v>
      </c>
      <c r="F39" s="74" t="s">
        <v>173</v>
      </c>
      <c r="G39" s="74">
        <v>810</v>
      </c>
      <c r="H39" s="74" t="str">
        <f>VLOOKUP(E39,基础信息!C:E,3,FALSE)</f>
        <v>F06001000448</v>
      </c>
      <c r="I39" s="78"/>
      <c r="J39" s="74" t="s">
        <v>493</v>
      </c>
    </row>
    <row r="40" customHeight="1" spans="1:10">
      <c r="A40" s="72">
        <v>46146</v>
      </c>
      <c r="B40" s="73" t="s">
        <v>19</v>
      </c>
      <c r="C40" s="74" t="s">
        <v>20</v>
      </c>
      <c r="D40" s="74" t="s">
        <v>492</v>
      </c>
      <c r="E40" s="74" t="s">
        <v>172</v>
      </c>
      <c r="F40" s="74" t="s">
        <v>173</v>
      </c>
      <c r="G40" s="74">
        <v>150</v>
      </c>
      <c r="H40" s="74" t="str">
        <f>VLOOKUP(E40,基础信息!C:E,3,FALSE)</f>
        <v>F06001000448</v>
      </c>
      <c r="I40" s="78"/>
      <c r="J40" s="74" t="s">
        <v>493</v>
      </c>
    </row>
    <row r="41" customHeight="1" spans="1:10">
      <c r="A41" s="72">
        <v>46146</v>
      </c>
      <c r="B41" s="73" t="s">
        <v>19</v>
      </c>
      <c r="C41" s="74" t="s">
        <v>20</v>
      </c>
      <c r="D41" s="74" t="s">
        <v>492</v>
      </c>
      <c r="E41" s="74" t="s">
        <v>178</v>
      </c>
      <c r="F41" s="74" t="s">
        <v>179</v>
      </c>
      <c r="G41" s="74">
        <v>400</v>
      </c>
      <c r="H41" s="74" t="str">
        <f>VLOOKUP(E41,基础信息!C:E,3,FALSE)</f>
        <v>F06001000450</v>
      </c>
      <c r="I41" s="78"/>
      <c r="J41" s="74" t="s">
        <v>493</v>
      </c>
    </row>
    <row r="42" customHeight="1" spans="1:10">
      <c r="A42" s="72">
        <v>46146</v>
      </c>
      <c r="B42" s="73" t="s">
        <v>19</v>
      </c>
      <c r="C42" s="74" t="s">
        <v>20</v>
      </c>
      <c r="D42" s="74" t="s">
        <v>494</v>
      </c>
      <c r="E42" s="74" t="s">
        <v>181</v>
      </c>
      <c r="F42" s="74" t="s">
        <v>182</v>
      </c>
      <c r="G42" s="74">
        <v>225</v>
      </c>
      <c r="H42" s="74" t="str">
        <f>VLOOKUP(E42,基础信息!C:E,3,FALSE)</f>
        <v>F01001001608</v>
      </c>
      <c r="I42" s="78"/>
      <c r="J42" s="74" t="s">
        <v>495</v>
      </c>
    </row>
    <row r="43" customHeight="1" spans="1:10">
      <c r="A43" s="72">
        <v>46146</v>
      </c>
      <c r="B43" s="73" t="s">
        <v>19</v>
      </c>
      <c r="C43" s="74" t="s">
        <v>20</v>
      </c>
      <c r="D43" s="74" t="s">
        <v>494</v>
      </c>
      <c r="E43" s="74" t="s">
        <v>181</v>
      </c>
      <c r="F43" s="74" t="s">
        <v>182</v>
      </c>
      <c r="G43" s="74">
        <v>180</v>
      </c>
      <c r="H43" s="74" t="str">
        <f>VLOOKUP(E43,基础信息!C:E,3,FALSE)</f>
        <v>F01001001608</v>
      </c>
      <c r="I43" s="78"/>
      <c r="J43" s="74" t="s">
        <v>495</v>
      </c>
    </row>
    <row r="44" customHeight="1" spans="1:10">
      <c r="A44" s="72">
        <v>46146</v>
      </c>
      <c r="B44" s="73" t="s">
        <v>19</v>
      </c>
      <c r="C44" s="74" t="s">
        <v>20</v>
      </c>
      <c r="D44" s="74" t="s">
        <v>496</v>
      </c>
      <c r="E44" s="74" t="s">
        <v>184</v>
      </c>
      <c r="F44" s="74" t="s">
        <v>185</v>
      </c>
      <c r="G44" s="74">
        <v>56</v>
      </c>
      <c r="H44" s="74" t="str">
        <f>VLOOKUP(E44,基础信息!C:E,3,FALSE)</f>
        <v>F01001001607</v>
      </c>
      <c r="I44" s="78"/>
      <c r="J44" s="74" t="s">
        <v>497</v>
      </c>
    </row>
    <row r="45" customHeight="1" spans="1:10">
      <c r="A45" s="72">
        <v>46146</v>
      </c>
      <c r="B45" s="73" t="s">
        <v>19</v>
      </c>
      <c r="C45" s="74" t="s">
        <v>20</v>
      </c>
      <c r="D45" s="74" t="s">
        <v>496</v>
      </c>
      <c r="E45" s="74" t="s">
        <v>184</v>
      </c>
      <c r="F45" s="74" t="s">
        <v>185</v>
      </c>
      <c r="G45" s="74">
        <v>232</v>
      </c>
      <c r="H45" s="74" t="str">
        <f>VLOOKUP(E45,基础信息!C:E,3,FALSE)</f>
        <v>F01001001607</v>
      </c>
      <c r="I45" s="78"/>
      <c r="J45" s="74" t="s">
        <v>497</v>
      </c>
    </row>
    <row r="46" customHeight="1" spans="1:10">
      <c r="A46" s="72">
        <v>46146</v>
      </c>
      <c r="B46" s="73" t="s">
        <v>19</v>
      </c>
      <c r="C46" s="74" t="s">
        <v>20</v>
      </c>
      <c r="D46" s="74" t="s">
        <v>498</v>
      </c>
      <c r="E46" s="74" t="s">
        <v>118</v>
      </c>
      <c r="F46" s="74" t="s">
        <v>119</v>
      </c>
      <c r="G46" s="74">
        <v>7</v>
      </c>
      <c r="H46" s="74" t="str">
        <f>VLOOKUP(E46,基础信息!C:E,3,FALSE)</f>
        <v>F01001000360</v>
      </c>
      <c r="I46" s="78"/>
      <c r="J46" s="74" t="s">
        <v>499</v>
      </c>
    </row>
    <row r="47" customHeight="1" spans="1:10">
      <c r="A47" s="72">
        <v>46146</v>
      </c>
      <c r="B47" s="73" t="s">
        <v>19</v>
      </c>
      <c r="C47" s="74" t="s">
        <v>20</v>
      </c>
      <c r="D47" s="74" t="s">
        <v>498</v>
      </c>
      <c r="E47" s="74" t="s">
        <v>115</v>
      </c>
      <c r="F47" s="74" t="s">
        <v>116</v>
      </c>
      <c r="G47" s="74">
        <v>1</v>
      </c>
      <c r="H47" s="74" t="str">
        <f>VLOOKUP(E47,基础信息!C:E,3,FALSE)</f>
        <v>F01001000361</v>
      </c>
      <c r="I47" s="78"/>
      <c r="J47" s="74" t="s">
        <v>499</v>
      </c>
    </row>
    <row r="48" customHeight="1" spans="1:10">
      <c r="A48" s="72">
        <v>46147</v>
      </c>
      <c r="B48" s="73" t="s">
        <v>19</v>
      </c>
      <c r="C48" s="74" t="s">
        <v>20</v>
      </c>
      <c r="D48" s="74" t="s">
        <v>500</v>
      </c>
      <c r="E48" s="74" t="s">
        <v>181</v>
      </c>
      <c r="F48" s="74" t="s">
        <v>182</v>
      </c>
      <c r="G48" s="74">
        <v>120</v>
      </c>
      <c r="H48" s="74" t="str">
        <f>VLOOKUP(E48,基础信息!C:E,3,FALSE)</f>
        <v>F01001001608</v>
      </c>
      <c r="I48" s="78"/>
      <c r="J48" s="74" t="s">
        <v>501</v>
      </c>
    </row>
    <row r="49" customHeight="1" spans="1:10">
      <c r="A49" s="72">
        <v>46147</v>
      </c>
      <c r="B49" s="73" t="s">
        <v>19</v>
      </c>
      <c r="C49" s="74" t="s">
        <v>20</v>
      </c>
      <c r="D49" s="74" t="s">
        <v>500</v>
      </c>
      <c r="E49" s="74" t="s">
        <v>181</v>
      </c>
      <c r="F49" s="74" t="s">
        <v>182</v>
      </c>
      <c r="G49" s="74">
        <v>105</v>
      </c>
      <c r="H49" s="74" t="str">
        <f>VLOOKUP(E49,基础信息!C:E,3,FALSE)</f>
        <v>F01001001608</v>
      </c>
      <c r="I49" s="78"/>
      <c r="J49" s="74" t="s">
        <v>501</v>
      </c>
    </row>
    <row r="50" customHeight="1" spans="1:10">
      <c r="A50" s="72">
        <v>46147</v>
      </c>
      <c r="B50" s="73" t="s">
        <v>19</v>
      </c>
      <c r="C50" s="74" t="s">
        <v>20</v>
      </c>
      <c r="D50" s="74" t="s">
        <v>502</v>
      </c>
      <c r="E50" s="74" t="s">
        <v>184</v>
      </c>
      <c r="F50" s="74" t="s">
        <v>185</v>
      </c>
      <c r="G50" s="74">
        <v>8</v>
      </c>
      <c r="H50" s="74" t="str">
        <f>VLOOKUP(E50,基础信息!C:E,3,FALSE)</f>
        <v>F01001001607</v>
      </c>
      <c r="I50" s="78"/>
      <c r="J50" s="74" t="s">
        <v>503</v>
      </c>
    </row>
    <row r="51" customHeight="1" spans="1:10">
      <c r="A51" s="72">
        <v>46147</v>
      </c>
      <c r="B51" s="73" t="s">
        <v>19</v>
      </c>
      <c r="C51" s="74" t="s">
        <v>20</v>
      </c>
      <c r="D51" s="74" t="s">
        <v>502</v>
      </c>
      <c r="E51" s="74" t="s">
        <v>184</v>
      </c>
      <c r="F51" s="74" t="s">
        <v>185</v>
      </c>
      <c r="G51" s="74">
        <v>120</v>
      </c>
      <c r="H51" s="74" t="str">
        <f>VLOOKUP(E51,基础信息!C:E,3,FALSE)</f>
        <v>F01001001607</v>
      </c>
      <c r="I51" s="78"/>
      <c r="J51" s="74" t="s">
        <v>503</v>
      </c>
    </row>
    <row r="52" customHeight="1" spans="1:10">
      <c r="A52" s="72">
        <v>46147</v>
      </c>
      <c r="B52" s="73" t="s">
        <v>19</v>
      </c>
      <c r="C52" s="74" t="s">
        <v>20</v>
      </c>
      <c r="D52" s="74" t="s">
        <v>504</v>
      </c>
      <c r="E52" s="74" t="s">
        <v>184</v>
      </c>
      <c r="F52" s="74" t="s">
        <v>185</v>
      </c>
      <c r="G52" s="74">
        <v>120</v>
      </c>
      <c r="H52" s="74" t="str">
        <f>VLOOKUP(E52,基础信息!C:E,3,FALSE)</f>
        <v>F01001001607</v>
      </c>
      <c r="I52" s="78"/>
      <c r="J52" s="74" t="s">
        <v>505</v>
      </c>
    </row>
    <row r="53" customHeight="1" spans="1:10">
      <c r="A53" s="72">
        <v>46147</v>
      </c>
      <c r="B53" s="73" t="s">
        <v>19</v>
      </c>
      <c r="C53" s="74" t="s">
        <v>20</v>
      </c>
      <c r="D53" s="74" t="s">
        <v>504</v>
      </c>
      <c r="E53" s="74" t="s">
        <v>184</v>
      </c>
      <c r="F53" s="74" t="s">
        <v>185</v>
      </c>
      <c r="G53" s="74">
        <v>96</v>
      </c>
      <c r="H53" s="74" t="str">
        <f>VLOOKUP(E53,基础信息!C:E,3,FALSE)</f>
        <v>F01001001607</v>
      </c>
      <c r="I53" s="78"/>
      <c r="J53" s="74" t="s">
        <v>505</v>
      </c>
    </row>
    <row r="54" customHeight="1" spans="1:10">
      <c r="A54" s="72">
        <v>46147</v>
      </c>
      <c r="B54" s="73" t="s">
        <v>19</v>
      </c>
      <c r="C54" s="74" t="s">
        <v>20</v>
      </c>
      <c r="D54" s="74" t="s">
        <v>506</v>
      </c>
      <c r="E54" s="74" t="s">
        <v>181</v>
      </c>
      <c r="F54" s="74" t="s">
        <v>182</v>
      </c>
      <c r="G54" s="74">
        <v>255</v>
      </c>
      <c r="H54" s="74" t="str">
        <f>VLOOKUP(E54,基础信息!C:E,3,FALSE)</f>
        <v>F01001001608</v>
      </c>
      <c r="I54" s="78"/>
      <c r="J54" s="74" t="s">
        <v>507</v>
      </c>
    </row>
    <row r="55" customHeight="1" spans="1:10">
      <c r="A55" s="72">
        <v>46147</v>
      </c>
      <c r="B55" s="73" t="s">
        <v>19</v>
      </c>
      <c r="C55" s="74" t="s">
        <v>20</v>
      </c>
      <c r="D55" s="74" t="s">
        <v>506</v>
      </c>
      <c r="E55" s="74" t="s">
        <v>181</v>
      </c>
      <c r="F55" s="74" t="s">
        <v>182</v>
      </c>
      <c r="G55" s="74">
        <v>105</v>
      </c>
      <c r="H55" s="74" t="str">
        <f>VLOOKUP(E55,基础信息!C:E,3,FALSE)</f>
        <v>F01001001608</v>
      </c>
      <c r="I55" s="78"/>
      <c r="J55" s="74" t="s">
        <v>507</v>
      </c>
    </row>
    <row r="56" customHeight="1" spans="1:10">
      <c r="A56" s="72">
        <v>46147</v>
      </c>
      <c r="B56" s="73" t="s">
        <v>19</v>
      </c>
      <c r="C56" s="74" t="s">
        <v>20</v>
      </c>
      <c r="D56" s="74" t="s">
        <v>508</v>
      </c>
      <c r="E56" s="74" t="s">
        <v>82</v>
      </c>
      <c r="F56" s="74" t="s">
        <v>509</v>
      </c>
      <c r="G56" s="74">
        <v>63</v>
      </c>
      <c r="H56" s="74" t="str">
        <f>VLOOKUP(E56,基础信息!C:E,3,FALSE)</f>
        <v>F01001000358</v>
      </c>
      <c r="I56" s="78"/>
      <c r="J56" s="74" t="s">
        <v>510</v>
      </c>
    </row>
    <row r="57" customHeight="1" spans="1:10">
      <c r="A57" s="72">
        <v>46147</v>
      </c>
      <c r="B57" s="73" t="s">
        <v>19</v>
      </c>
      <c r="C57" s="74" t="s">
        <v>20</v>
      </c>
      <c r="D57" s="74" t="s">
        <v>511</v>
      </c>
      <c r="E57" s="74" t="s">
        <v>172</v>
      </c>
      <c r="F57" s="74" t="s">
        <v>173</v>
      </c>
      <c r="G57" s="74">
        <v>960</v>
      </c>
      <c r="H57" s="74" t="str">
        <f>VLOOKUP(E57,基础信息!C:E,3,FALSE)</f>
        <v>F06001000448</v>
      </c>
      <c r="I57" s="78"/>
      <c r="J57" s="74" t="s">
        <v>512</v>
      </c>
    </row>
    <row r="58" customHeight="1" spans="1:10">
      <c r="A58" s="72">
        <v>46147</v>
      </c>
      <c r="B58" s="73" t="s">
        <v>19</v>
      </c>
      <c r="C58" s="74" t="s">
        <v>20</v>
      </c>
      <c r="D58" s="74" t="s">
        <v>511</v>
      </c>
      <c r="E58" s="74" t="s">
        <v>175</v>
      </c>
      <c r="F58" s="74" t="s">
        <v>176</v>
      </c>
      <c r="G58" s="74">
        <v>720</v>
      </c>
      <c r="H58" s="74" t="str">
        <f>VLOOKUP(E58,基础信息!C:E,3,FALSE)</f>
        <v>F06001000449</v>
      </c>
      <c r="I58" s="78"/>
      <c r="J58" s="74" t="s">
        <v>512</v>
      </c>
    </row>
    <row r="59" customHeight="1" spans="1:10">
      <c r="A59" s="72">
        <v>46147</v>
      </c>
      <c r="B59" s="73" t="s">
        <v>19</v>
      </c>
      <c r="C59" s="74" t="s">
        <v>20</v>
      </c>
      <c r="D59" s="74" t="s">
        <v>513</v>
      </c>
      <c r="E59" s="74" t="s">
        <v>184</v>
      </c>
      <c r="F59" s="74" t="s">
        <v>185</v>
      </c>
      <c r="G59" s="74">
        <v>144</v>
      </c>
      <c r="H59" s="74" t="str">
        <f>VLOOKUP(E59,基础信息!C:E,3,FALSE)</f>
        <v>F01001001607</v>
      </c>
      <c r="I59" s="78"/>
      <c r="J59" s="74" t="s">
        <v>514</v>
      </c>
    </row>
    <row r="60" customHeight="1" spans="1:10">
      <c r="A60" s="72">
        <v>46147</v>
      </c>
      <c r="B60" s="73" t="s">
        <v>19</v>
      </c>
      <c r="C60" s="74" t="s">
        <v>20</v>
      </c>
      <c r="D60" s="74" t="s">
        <v>513</v>
      </c>
      <c r="E60" s="74" t="s">
        <v>184</v>
      </c>
      <c r="F60" s="74" t="s">
        <v>185</v>
      </c>
      <c r="G60" s="74">
        <v>120</v>
      </c>
      <c r="H60" s="74" t="str">
        <f>VLOOKUP(E60,基础信息!C:E,3,FALSE)</f>
        <v>F01001001607</v>
      </c>
      <c r="I60" s="78"/>
      <c r="J60" s="74" t="s">
        <v>514</v>
      </c>
    </row>
    <row r="61" customHeight="1" spans="1:10">
      <c r="A61" s="72">
        <v>46147</v>
      </c>
      <c r="B61" s="73" t="s">
        <v>19</v>
      </c>
      <c r="C61" s="74" t="s">
        <v>20</v>
      </c>
      <c r="D61" s="74" t="s">
        <v>515</v>
      </c>
      <c r="E61" s="74" t="s">
        <v>82</v>
      </c>
      <c r="F61" s="74" t="s">
        <v>509</v>
      </c>
      <c r="G61" s="74">
        <v>27</v>
      </c>
      <c r="H61" s="74" t="str">
        <f>VLOOKUP(E61,基础信息!C:E,3,FALSE)</f>
        <v>F01001000358</v>
      </c>
      <c r="I61" s="78"/>
      <c r="J61" s="74" t="s">
        <v>516</v>
      </c>
    </row>
    <row r="62" customHeight="1" spans="1:10">
      <c r="A62" s="72">
        <v>46148</v>
      </c>
      <c r="B62" s="73" t="s">
        <v>19</v>
      </c>
      <c r="C62" s="74" t="s">
        <v>20</v>
      </c>
      <c r="D62" s="74" t="s">
        <v>517</v>
      </c>
      <c r="E62" s="74" t="s">
        <v>181</v>
      </c>
      <c r="F62" s="74" t="s">
        <v>182</v>
      </c>
      <c r="G62" s="74">
        <v>405</v>
      </c>
      <c r="H62" s="74" t="str">
        <f>VLOOKUP(E62,基础信息!C:E,3,FALSE)</f>
        <v>F01001001608</v>
      </c>
      <c r="I62" s="78"/>
      <c r="J62" s="74" t="s">
        <v>518</v>
      </c>
    </row>
    <row r="63" customHeight="1" spans="1:10">
      <c r="A63" s="72">
        <v>46148</v>
      </c>
      <c r="B63" s="73" t="s">
        <v>19</v>
      </c>
      <c r="C63" s="74" t="s">
        <v>20</v>
      </c>
      <c r="D63" s="74" t="s">
        <v>517</v>
      </c>
      <c r="E63" s="74" t="s">
        <v>172</v>
      </c>
      <c r="F63" s="74" t="s">
        <v>173</v>
      </c>
      <c r="G63" s="74">
        <v>960</v>
      </c>
      <c r="H63" s="74" t="str">
        <f>VLOOKUP(E63,基础信息!C:E,3,FALSE)</f>
        <v>F06001000448</v>
      </c>
      <c r="I63" s="78"/>
      <c r="J63" s="74" t="s">
        <v>518</v>
      </c>
    </row>
    <row r="64" customHeight="1" spans="1:10">
      <c r="A64" s="72">
        <v>46148</v>
      </c>
      <c r="B64" s="73" t="s">
        <v>19</v>
      </c>
      <c r="C64" s="74" t="s">
        <v>20</v>
      </c>
      <c r="D64" s="74" t="s">
        <v>519</v>
      </c>
      <c r="E64" s="74" t="s">
        <v>22</v>
      </c>
      <c r="F64" s="74" t="s">
        <v>23</v>
      </c>
      <c r="G64" s="74">
        <v>33</v>
      </c>
      <c r="H64" s="74" t="str">
        <f>VLOOKUP(E64,基础信息!C:E,3,FALSE)</f>
        <v>F01001001117</v>
      </c>
      <c r="I64" s="78"/>
      <c r="J64" s="74" t="s">
        <v>520</v>
      </c>
    </row>
    <row r="65" customHeight="1" spans="1:10">
      <c r="A65" s="72">
        <v>46148</v>
      </c>
      <c r="B65" s="73" t="s">
        <v>19</v>
      </c>
      <c r="C65" s="74" t="s">
        <v>20</v>
      </c>
      <c r="D65" s="74" t="s">
        <v>519</v>
      </c>
      <c r="E65" s="74" t="s">
        <v>22</v>
      </c>
      <c r="F65" s="74" t="s">
        <v>23</v>
      </c>
      <c r="G65" s="74">
        <v>192</v>
      </c>
      <c r="H65" s="74" t="str">
        <f>VLOOKUP(E65,基础信息!C:E,3,FALSE)</f>
        <v>F01001001117</v>
      </c>
      <c r="I65" s="78"/>
      <c r="J65" s="74" t="s">
        <v>520</v>
      </c>
    </row>
    <row r="66" customHeight="1" spans="1:10">
      <c r="A66" s="72">
        <v>46148</v>
      </c>
      <c r="B66" s="73" t="s">
        <v>19</v>
      </c>
      <c r="C66" s="74" t="s">
        <v>20</v>
      </c>
      <c r="D66" s="74" t="s">
        <v>521</v>
      </c>
      <c r="E66" s="74" t="s">
        <v>184</v>
      </c>
      <c r="F66" s="74" t="s">
        <v>185</v>
      </c>
      <c r="G66" s="74">
        <v>240</v>
      </c>
      <c r="H66" s="74" t="str">
        <f>VLOOKUP(E66,基础信息!C:E,3,FALSE)</f>
        <v>F01001001607</v>
      </c>
      <c r="I66" s="78"/>
      <c r="J66" s="74" t="s">
        <v>522</v>
      </c>
    </row>
    <row r="67" customHeight="1" spans="1:10">
      <c r="A67" s="72">
        <v>46148</v>
      </c>
      <c r="B67" s="73" t="s">
        <v>19</v>
      </c>
      <c r="C67" s="74" t="s">
        <v>20</v>
      </c>
      <c r="D67" s="74" t="s">
        <v>521</v>
      </c>
      <c r="E67" s="74" t="s">
        <v>184</v>
      </c>
      <c r="F67" s="74" t="s">
        <v>185</v>
      </c>
      <c r="G67" s="74">
        <v>48</v>
      </c>
      <c r="H67" s="74" t="str">
        <f>VLOOKUP(E67,基础信息!C:E,3,FALSE)</f>
        <v>F01001001607</v>
      </c>
      <c r="I67" s="78"/>
      <c r="J67" s="74" t="s">
        <v>522</v>
      </c>
    </row>
    <row r="68" customHeight="1" spans="1:10">
      <c r="A68" s="72">
        <v>46148</v>
      </c>
      <c r="B68" s="73" t="s">
        <v>19</v>
      </c>
      <c r="C68" s="74" t="s">
        <v>20</v>
      </c>
      <c r="D68" s="74" t="s">
        <v>523</v>
      </c>
      <c r="E68" s="74" t="s">
        <v>22</v>
      </c>
      <c r="F68" s="74" t="s">
        <v>23</v>
      </c>
      <c r="G68" s="74">
        <v>105</v>
      </c>
      <c r="H68" s="74" t="str">
        <f>VLOOKUP(E68,基础信息!C:E,3,FALSE)</f>
        <v>F01001001117</v>
      </c>
      <c r="I68" s="78"/>
      <c r="J68" s="74" t="s">
        <v>524</v>
      </c>
    </row>
    <row r="69" customHeight="1" spans="1:10">
      <c r="A69" s="72">
        <v>46148</v>
      </c>
      <c r="B69" s="73" t="s">
        <v>19</v>
      </c>
      <c r="C69" s="74" t="s">
        <v>20</v>
      </c>
      <c r="D69" s="74" t="s">
        <v>525</v>
      </c>
      <c r="E69" s="74" t="s">
        <v>178</v>
      </c>
      <c r="F69" s="74" t="s">
        <v>179</v>
      </c>
      <c r="G69" s="74">
        <v>400</v>
      </c>
      <c r="H69" s="74" t="str">
        <f>VLOOKUP(E69,基础信息!C:E,3,FALSE)</f>
        <v>F06001000450</v>
      </c>
      <c r="I69" s="78"/>
      <c r="J69" s="74" t="s">
        <v>526</v>
      </c>
    </row>
    <row r="70" customHeight="1" spans="1:10">
      <c r="A70" s="72">
        <v>46148</v>
      </c>
      <c r="B70" s="73" t="s">
        <v>19</v>
      </c>
      <c r="C70" s="74" t="s">
        <v>20</v>
      </c>
      <c r="D70" s="74" t="s">
        <v>527</v>
      </c>
      <c r="E70" s="74" t="s">
        <v>184</v>
      </c>
      <c r="F70" s="74" t="s">
        <v>185</v>
      </c>
      <c r="G70" s="74">
        <v>72</v>
      </c>
      <c r="H70" s="74" t="str">
        <f>VLOOKUP(E70,基础信息!C:E,3,FALSE)</f>
        <v>F01001001607</v>
      </c>
      <c r="I70" s="78"/>
      <c r="J70" s="74" t="s">
        <v>528</v>
      </c>
    </row>
    <row r="71" customHeight="1" spans="1:10">
      <c r="A71" s="72">
        <v>46148</v>
      </c>
      <c r="B71" s="73" t="s">
        <v>19</v>
      </c>
      <c r="C71" s="74" t="s">
        <v>20</v>
      </c>
      <c r="D71" s="74" t="s">
        <v>527</v>
      </c>
      <c r="E71" s="74" t="s">
        <v>184</v>
      </c>
      <c r="F71" s="74" t="s">
        <v>185</v>
      </c>
      <c r="G71" s="74">
        <v>216</v>
      </c>
      <c r="H71" s="74" t="str">
        <f>VLOOKUP(E71,基础信息!C:E,3,FALSE)</f>
        <v>F01001001607</v>
      </c>
      <c r="I71" s="78"/>
      <c r="J71" s="74" t="s">
        <v>528</v>
      </c>
    </row>
    <row r="72" customHeight="1" spans="1:10">
      <c r="A72" s="72">
        <v>46148</v>
      </c>
      <c r="B72" s="73" t="s">
        <v>19</v>
      </c>
      <c r="C72" s="74" t="s">
        <v>20</v>
      </c>
      <c r="D72" s="74" t="s">
        <v>529</v>
      </c>
      <c r="E72" s="74" t="s">
        <v>181</v>
      </c>
      <c r="F72" s="74" t="s">
        <v>182</v>
      </c>
      <c r="G72" s="74">
        <v>405</v>
      </c>
      <c r="H72" s="74" t="str">
        <f>VLOOKUP(E72,基础信息!C:E,3,FALSE)</f>
        <v>F01001001608</v>
      </c>
      <c r="I72" s="78"/>
      <c r="J72" s="74" t="s">
        <v>530</v>
      </c>
    </row>
    <row r="73" customHeight="1" spans="1:10">
      <c r="A73" s="72">
        <v>46148</v>
      </c>
      <c r="B73" s="73" t="s">
        <v>19</v>
      </c>
      <c r="C73" s="74" t="s">
        <v>20</v>
      </c>
      <c r="D73" s="74" t="s">
        <v>531</v>
      </c>
      <c r="E73" s="74" t="s">
        <v>61</v>
      </c>
      <c r="F73" s="74" t="s">
        <v>62</v>
      </c>
      <c r="G73" s="74">
        <v>4</v>
      </c>
      <c r="H73" s="74" t="str">
        <f>VLOOKUP(E73,基础信息!C:E,3,FALSE)</f>
        <v>F01001000351</v>
      </c>
      <c r="I73" s="78"/>
      <c r="J73" s="74" t="s">
        <v>532</v>
      </c>
    </row>
    <row r="74" customHeight="1" spans="1:10">
      <c r="A74" s="72">
        <v>46149</v>
      </c>
      <c r="B74" s="73" t="s">
        <v>19</v>
      </c>
      <c r="C74" s="74" t="s">
        <v>20</v>
      </c>
      <c r="D74" s="74" t="s">
        <v>533</v>
      </c>
      <c r="E74" s="74" t="s">
        <v>109</v>
      </c>
      <c r="F74" s="74" t="s">
        <v>110</v>
      </c>
      <c r="G74" s="74">
        <v>14</v>
      </c>
      <c r="H74" s="74" t="str">
        <f>VLOOKUP(E74,基础信息!C:E,3,FALSE)</f>
        <v>F01001000370</v>
      </c>
      <c r="I74" s="78"/>
      <c r="J74" s="74" t="s">
        <v>534</v>
      </c>
    </row>
    <row r="75" customHeight="1" spans="1:10">
      <c r="A75" s="72">
        <v>46149</v>
      </c>
      <c r="B75" s="73" t="s">
        <v>19</v>
      </c>
      <c r="C75" s="74" t="s">
        <v>20</v>
      </c>
      <c r="D75" s="74" t="s">
        <v>533</v>
      </c>
      <c r="E75" s="74" t="s">
        <v>109</v>
      </c>
      <c r="F75" s="74" t="s">
        <v>110</v>
      </c>
      <c r="G75" s="74">
        <v>120</v>
      </c>
      <c r="H75" s="74" t="str">
        <f>VLOOKUP(E75,基础信息!C:E,3,FALSE)</f>
        <v>F01001000370</v>
      </c>
      <c r="I75" s="78"/>
      <c r="J75" s="74" t="s">
        <v>534</v>
      </c>
    </row>
    <row r="76" customHeight="1" spans="1:10">
      <c r="A76" s="72">
        <v>46149</v>
      </c>
      <c r="B76" s="73" t="s">
        <v>19</v>
      </c>
      <c r="C76" s="74" t="s">
        <v>20</v>
      </c>
      <c r="D76" s="74" t="s">
        <v>533</v>
      </c>
      <c r="E76" s="74" t="s">
        <v>109</v>
      </c>
      <c r="F76" s="74" t="s">
        <v>110</v>
      </c>
      <c r="G76" s="74">
        <v>346</v>
      </c>
      <c r="H76" s="74" t="str">
        <f>VLOOKUP(E76,基础信息!C:E,3,FALSE)</f>
        <v>F01001000370</v>
      </c>
      <c r="I76" s="78"/>
      <c r="J76" s="74" t="s">
        <v>534</v>
      </c>
    </row>
    <row r="77" customHeight="1" spans="1:10">
      <c r="A77" s="72">
        <v>46149</v>
      </c>
      <c r="B77" s="73" t="s">
        <v>19</v>
      </c>
      <c r="C77" s="74" t="s">
        <v>20</v>
      </c>
      <c r="D77" s="74" t="s">
        <v>535</v>
      </c>
      <c r="E77" s="74" t="s">
        <v>184</v>
      </c>
      <c r="F77" s="74" t="s">
        <v>185</v>
      </c>
      <c r="G77" s="74">
        <v>144</v>
      </c>
      <c r="H77" s="74" t="str">
        <f>VLOOKUP(E77,基础信息!C:E,3,FALSE)</f>
        <v>F01001001607</v>
      </c>
      <c r="I77" s="78"/>
      <c r="J77" s="74" t="s">
        <v>536</v>
      </c>
    </row>
    <row r="78" customHeight="1" spans="1:10">
      <c r="A78" s="72">
        <v>46149</v>
      </c>
      <c r="B78" s="73" t="s">
        <v>19</v>
      </c>
      <c r="C78" s="74" t="s">
        <v>20</v>
      </c>
      <c r="D78" s="74" t="s">
        <v>535</v>
      </c>
      <c r="E78" s="74" t="s">
        <v>184</v>
      </c>
      <c r="F78" s="74" t="s">
        <v>185</v>
      </c>
      <c r="G78" s="74">
        <v>144</v>
      </c>
      <c r="H78" s="74" t="str">
        <f>VLOOKUP(E78,基础信息!C:E,3,FALSE)</f>
        <v>F01001001607</v>
      </c>
      <c r="I78" s="78"/>
      <c r="J78" s="74" t="s">
        <v>536</v>
      </c>
    </row>
    <row r="79" customHeight="1" spans="1:10">
      <c r="A79" s="72">
        <v>46149</v>
      </c>
      <c r="B79" s="73" t="s">
        <v>19</v>
      </c>
      <c r="C79" s="74" t="s">
        <v>20</v>
      </c>
      <c r="D79" s="74" t="s">
        <v>535</v>
      </c>
      <c r="E79" s="74" t="s">
        <v>172</v>
      </c>
      <c r="F79" s="74" t="s">
        <v>173</v>
      </c>
      <c r="G79" s="74">
        <v>960</v>
      </c>
      <c r="H79" s="74" t="str">
        <f>VLOOKUP(E79,基础信息!C:E,3,FALSE)</f>
        <v>F06001000448</v>
      </c>
      <c r="I79" s="78"/>
      <c r="J79" s="74" t="s">
        <v>536</v>
      </c>
    </row>
    <row r="80" customHeight="1" spans="1:10">
      <c r="A80" s="72">
        <v>46149</v>
      </c>
      <c r="B80" s="73" t="s">
        <v>19</v>
      </c>
      <c r="C80" s="74" t="s">
        <v>20</v>
      </c>
      <c r="D80" s="74" t="s">
        <v>537</v>
      </c>
      <c r="E80" s="74" t="s">
        <v>172</v>
      </c>
      <c r="F80" s="74" t="s">
        <v>173</v>
      </c>
      <c r="G80" s="74">
        <v>960</v>
      </c>
      <c r="H80" s="74" t="str">
        <f>VLOOKUP(E80,基础信息!C:E,3,FALSE)</f>
        <v>F06001000448</v>
      </c>
      <c r="I80" s="78"/>
      <c r="J80" s="74" t="s">
        <v>538</v>
      </c>
    </row>
    <row r="81" customHeight="1" spans="1:10">
      <c r="A81" s="72">
        <v>46149</v>
      </c>
      <c r="B81" s="73" t="s">
        <v>19</v>
      </c>
      <c r="C81" s="74" t="s">
        <v>20</v>
      </c>
      <c r="D81" s="74" t="s">
        <v>539</v>
      </c>
      <c r="E81" s="74" t="s">
        <v>357</v>
      </c>
      <c r="F81" s="74" t="s">
        <v>358</v>
      </c>
      <c r="G81" s="74">
        <v>600</v>
      </c>
      <c r="H81" s="74" t="str">
        <f>VLOOKUP(E81,基础信息!C:E,3,FALSE)</f>
        <v>F06001000152</v>
      </c>
      <c r="I81" s="78"/>
      <c r="J81" s="74" t="s">
        <v>540</v>
      </c>
    </row>
    <row r="82" customHeight="1" spans="1:10">
      <c r="A82" s="72">
        <v>46149</v>
      </c>
      <c r="B82" s="73" t="s">
        <v>19</v>
      </c>
      <c r="C82" s="74" t="s">
        <v>20</v>
      </c>
      <c r="D82" s="74" t="s">
        <v>541</v>
      </c>
      <c r="E82" s="74" t="s">
        <v>241</v>
      </c>
      <c r="F82" s="74" t="s">
        <v>242</v>
      </c>
      <c r="G82" s="74">
        <v>200</v>
      </c>
      <c r="H82" s="74" t="e">
        <f>VLOOKUP(E82,基础信息!C:E,3,FALSE)</f>
        <v>#N/A</v>
      </c>
      <c r="I82" s="78"/>
      <c r="J82" s="74" t="s">
        <v>542</v>
      </c>
    </row>
    <row r="83" customHeight="1" spans="1:10">
      <c r="A83" s="72">
        <v>46150</v>
      </c>
      <c r="B83" s="73" t="s">
        <v>19</v>
      </c>
      <c r="C83" s="74" t="s">
        <v>20</v>
      </c>
      <c r="D83" s="74" t="s">
        <v>543</v>
      </c>
      <c r="E83" s="74" t="s">
        <v>184</v>
      </c>
      <c r="F83" s="74" t="s">
        <v>185</v>
      </c>
      <c r="G83" s="74">
        <v>288</v>
      </c>
      <c r="H83" s="74" t="str">
        <f>VLOOKUP(E83,基础信息!C:E,3,FALSE)</f>
        <v>F01001001607</v>
      </c>
      <c r="I83" s="78"/>
      <c r="J83" s="74" t="s">
        <v>544</v>
      </c>
    </row>
    <row r="84" customHeight="1" spans="1:10">
      <c r="A84" s="72">
        <v>46150</v>
      </c>
      <c r="B84" s="73" t="s">
        <v>19</v>
      </c>
      <c r="C84" s="74" t="s">
        <v>20</v>
      </c>
      <c r="D84" s="74" t="s">
        <v>543</v>
      </c>
      <c r="E84" s="74" t="s">
        <v>181</v>
      </c>
      <c r="F84" s="74" t="s">
        <v>182</v>
      </c>
      <c r="G84" s="74">
        <v>45</v>
      </c>
      <c r="H84" s="74" t="str">
        <f>VLOOKUP(E84,基础信息!C:E,3,FALSE)</f>
        <v>F01001001608</v>
      </c>
      <c r="I84" s="78"/>
      <c r="J84" s="74" t="s">
        <v>544</v>
      </c>
    </row>
    <row r="85" customHeight="1" spans="1:10">
      <c r="A85" s="72">
        <v>46150</v>
      </c>
      <c r="B85" s="73" t="s">
        <v>19</v>
      </c>
      <c r="C85" s="74" t="s">
        <v>20</v>
      </c>
      <c r="D85" s="74" t="s">
        <v>543</v>
      </c>
      <c r="E85" s="74" t="s">
        <v>181</v>
      </c>
      <c r="F85" s="74" t="s">
        <v>182</v>
      </c>
      <c r="G85" s="74">
        <v>165</v>
      </c>
      <c r="H85" s="74" t="str">
        <f>VLOOKUP(E85,基础信息!C:E,3,FALSE)</f>
        <v>F01001001608</v>
      </c>
      <c r="I85" s="78"/>
      <c r="J85" s="74" t="s">
        <v>544</v>
      </c>
    </row>
    <row r="86" customHeight="1" spans="1:10">
      <c r="A86" s="72">
        <v>46150</v>
      </c>
      <c r="B86" s="73" t="s">
        <v>19</v>
      </c>
      <c r="C86" s="74" t="s">
        <v>20</v>
      </c>
      <c r="D86" s="74" t="s">
        <v>543</v>
      </c>
      <c r="E86" s="74" t="s">
        <v>181</v>
      </c>
      <c r="F86" s="74" t="s">
        <v>182</v>
      </c>
      <c r="G86" s="74">
        <v>195</v>
      </c>
      <c r="H86" s="74" t="str">
        <f>VLOOKUP(E86,基础信息!C:E,3,FALSE)</f>
        <v>F01001001608</v>
      </c>
      <c r="I86" s="78"/>
      <c r="J86" s="74" t="s">
        <v>544</v>
      </c>
    </row>
    <row r="87" customHeight="1" spans="1:10">
      <c r="A87" s="72">
        <v>46150</v>
      </c>
      <c r="B87" s="73" t="s">
        <v>19</v>
      </c>
      <c r="C87" s="74" t="s">
        <v>20</v>
      </c>
      <c r="D87" s="74" t="s">
        <v>545</v>
      </c>
      <c r="E87" s="74" t="s">
        <v>283</v>
      </c>
      <c r="F87" s="74" t="s">
        <v>284</v>
      </c>
      <c r="G87" s="74">
        <v>100</v>
      </c>
      <c r="H87" s="74" t="str">
        <f>VLOOKUP(E87,基础信息!C:E,3,FALSE)</f>
        <v>F06001000151</v>
      </c>
      <c r="I87" s="78"/>
      <c r="J87" s="74" t="s">
        <v>546</v>
      </c>
    </row>
    <row r="88" customHeight="1" spans="1:10">
      <c r="A88" s="72">
        <v>46150</v>
      </c>
      <c r="B88" s="73" t="s">
        <v>19</v>
      </c>
      <c r="C88" s="74" t="s">
        <v>20</v>
      </c>
      <c r="D88" s="74" t="s">
        <v>545</v>
      </c>
      <c r="E88" s="74" t="s">
        <v>283</v>
      </c>
      <c r="F88" s="74" t="s">
        <v>284</v>
      </c>
      <c r="G88" s="74">
        <v>100</v>
      </c>
      <c r="H88" s="74" t="str">
        <f>VLOOKUP(E88,基础信息!C:E,3,FALSE)</f>
        <v>F06001000151</v>
      </c>
      <c r="I88" s="78"/>
      <c r="J88" s="74" t="s">
        <v>546</v>
      </c>
    </row>
    <row r="89" customHeight="1" spans="1:10">
      <c r="A89" s="72">
        <v>46150</v>
      </c>
      <c r="B89" s="73" t="s">
        <v>19</v>
      </c>
      <c r="C89" s="74" t="s">
        <v>20</v>
      </c>
      <c r="D89" s="74" t="s">
        <v>545</v>
      </c>
      <c r="E89" s="74" t="s">
        <v>283</v>
      </c>
      <c r="F89" s="74" t="s">
        <v>284</v>
      </c>
      <c r="G89" s="74">
        <v>500</v>
      </c>
      <c r="H89" s="74" t="str">
        <f>VLOOKUP(E89,基础信息!C:E,3,FALSE)</f>
        <v>F06001000151</v>
      </c>
      <c r="I89" s="78"/>
      <c r="J89" s="74" t="s">
        <v>546</v>
      </c>
    </row>
    <row r="90" customHeight="1" spans="1:10">
      <c r="A90" s="72">
        <v>46150</v>
      </c>
      <c r="B90" s="73" t="s">
        <v>19</v>
      </c>
      <c r="C90" s="74" t="s">
        <v>20</v>
      </c>
      <c r="D90" s="74" t="s">
        <v>547</v>
      </c>
      <c r="E90" s="74" t="s">
        <v>175</v>
      </c>
      <c r="F90" s="74" t="s">
        <v>176</v>
      </c>
      <c r="G90" s="74">
        <v>720</v>
      </c>
      <c r="H90" s="74" t="str">
        <f>VLOOKUP(E90,基础信息!C:E,3,FALSE)</f>
        <v>F06001000449</v>
      </c>
      <c r="I90" s="78"/>
      <c r="J90" s="74" t="s">
        <v>548</v>
      </c>
    </row>
    <row r="91" customHeight="1" spans="1:10">
      <c r="A91" s="72">
        <v>46150</v>
      </c>
      <c r="B91" s="73" t="s">
        <v>19</v>
      </c>
      <c r="C91" s="74" t="s">
        <v>20</v>
      </c>
      <c r="D91" s="74" t="s">
        <v>549</v>
      </c>
      <c r="E91" s="74" t="s">
        <v>166</v>
      </c>
      <c r="F91" s="74" t="s">
        <v>167</v>
      </c>
      <c r="G91" s="74">
        <v>323</v>
      </c>
      <c r="H91" s="74" t="str">
        <f>VLOOKUP(E91,基础信息!C:E,3,FALSE)</f>
        <v>F06001000446</v>
      </c>
      <c r="I91" s="78"/>
      <c r="J91" s="74" t="s">
        <v>550</v>
      </c>
    </row>
    <row r="92" customHeight="1" spans="1:10">
      <c r="A92" s="72">
        <v>46150</v>
      </c>
      <c r="B92" s="73" t="s">
        <v>19</v>
      </c>
      <c r="C92" s="74" t="s">
        <v>20</v>
      </c>
      <c r="D92" s="74" t="s">
        <v>549</v>
      </c>
      <c r="E92" s="74" t="s">
        <v>166</v>
      </c>
      <c r="F92" s="74" t="s">
        <v>167</v>
      </c>
      <c r="G92" s="74">
        <v>637</v>
      </c>
      <c r="H92" s="74" t="str">
        <f>VLOOKUP(E92,基础信息!C:E,3,FALSE)</f>
        <v>F06001000446</v>
      </c>
      <c r="I92" s="78"/>
      <c r="J92" s="74" t="s">
        <v>550</v>
      </c>
    </row>
    <row r="93" customHeight="1" spans="1:10">
      <c r="A93" s="72">
        <v>46150</v>
      </c>
      <c r="B93" s="73" t="s">
        <v>19</v>
      </c>
      <c r="C93" s="74" t="s">
        <v>20</v>
      </c>
      <c r="D93" s="74" t="s">
        <v>551</v>
      </c>
      <c r="E93" s="74" t="s">
        <v>184</v>
      </c>
      <c r="F93" s="74" t="s">
        <v>185</v>
      </c>
      <c r="G93" s="74">
        <v>288</v>
      </c>
      <c r="H93" s="74" t="str">
        <f>VLOOKUP(E93,基础信息!C:E,3,FALSE)</f>
        <v>F01001001607</v>
      </c>
      <c r="I93" s="78"/>
      <c r="J93" s="74" t="s">
        <v>552</v>
      </c>
    </row>
    <row r="94" customHeight="1" spans="1:10">
      <c r="A94" s="72">
        <v>46150</v>
      </c>
      <c r="B94" s="73" t="s">
        <v>19</v>
      </c>
      <c r="C94" s="74" t="s">
        <v>20</v>
      </c>
      <c r="D94" s="74" t="s">
        <v>553</v>
      </c>
      <c r="E94" s="74" t="s">
        <v>235</v>
      </c>
      <c r="F94" s="74" t="s">
        <v>236</v>
      </c>
      <c r="G94" s="74">
        <v>20</v>
      </c>
      <c r="H94" s="74" t="str">
        <f>VLOOKUP(E94,基础信息!C:E,3,FALSE)</f>
        <v>F01001002123</v>
      </c>
      <c r="I94" s="78"/>
      <c r="J94" s="74" t="s">
        <v>554</v>
      </c>
    </row>
    <row r="95" customHeight="1" spans="1:10">
      <c r="A95" s="72">
        <v>46150</v>
      </c>
      <c r="B95" s="73" t="s">
        <v>19</v>
      </c>
      <c r="C95" s="74" t="s">
        <v>20</v>
      </c>
      <c r="D95" s="74" t="s">
        <v>553</v>
      </c>
      <c r="E95" s="74" t="s">
        <v>238</v>
      </c>
      <c r="F95" s="74" t="s">
        <v>239</v>
      </c>
      <c r="G95" s="74">
        <v>20</v>
      </c>
      <c r="H95" s="74" t="str">
        <f>VLOOKUP(E95,基础信息!C:E,3,FALSE)</f>
        <v>F01001002124</v>
      </c>
      <c r="I95" s="78"/>
      <c r="J95" s="74" t="s">
        <v>554</v>
      </c>
    </row>
    <row r="96" customHeight="1" spans="1:10">
      <c r="A96" s="72">
        <v>46151</v>
      </c>
      <c r="B96" s="73" t="s">
        <v>19</v>
      </c>
      <c r="C96" s="74" t="s">
        <v>20</v>
      </c>
      <c r="D96" s="74" t="s">
        <v>555</v>
      </c>
      <c r="E96" s="74" t="s">
        <v>181</v>
      </c>
      <c r="F96" s="74" t="s">
        <v>182</v>
      </c>
      <c r="G96" s="74">
        <v>240</v>
      </c>
      <c r="H96" s="74" t="str">
        <f>VLOOKUP(E96,基础信息!C:E,3,FALSE)</f>
        <v>F01001001608</v>
      </c>
      <c r="I96" s="78"/>
      <c r="J96" s="74" t="s">
        <v>556</v>
      </c>
    </row>
    <row r="97" customHeight="1" spans="1:10">
      <c r="A97" s="72">
        <v>46151</v>
      </c>
      <c r="B97" s="73" t="s">
        <v>19</v>
      </c>
      <c r="C97" s="74" t="s">
        <v>20</v>
      </c>
      <c r="D97" s="74" t="s">
        <v>555</v>
      </c>
      <c r="E97" s="74" t="s">
        <v>181</v>
      </c>
      <c r="F97" s="74" t="s">
        <v>182</v>
      </c>
      <c r="G97" s="74">
        <v>165</v>
      </c>
      <c r="H97" s="74" t="str">
        <f>VLOOKUP(E97,基础信息!C:E,3,FALSE)</f>
        <v>F01001001608</v>
      </c>
      <c r="I97" s="78"/>
      <c r="J97" s="74" t="s">
        <v>556</v>
      </c>
    </row>
    <row r="98" customHeight="1" spans="1:10">
      <c r="A98" s="72">
        <v>46151</v>
      </c>
      <c r="B98" s="73" t="s">
        <v>19</v>
      </c>
      <c r="C98" s="74" t="s">
        <v>20</v>
      </c>
      <c r="D98" s="74" t="s">
        <v>555</v>
      </c>
      <c r="E98" s="74" t="s">
        <v>172</v>
      </c>
      <c r="F98" s="74" t="s">
        <v>173</v>
      </c>
      <c r="G98" s="74">
        <v>635</v>
      </c>
      <c r="H98" s="74" t="str">
        <f>VLOOKUP(E98,基础信息!C:E,3,FALSE)</f>
        <v>F06001000448</v>
      </c>
      <c r="I98" s="78"/>
      <c r="J98" s="74" t="s">
        <v>556</v>
      </c>
    </row>
    <row r="99" customHeight="1" spans="1:10">
      <c r="A99" s="72">
        <v>46151</v>
      </c>
      <c r="B99" s="73" t="s">
        <v>19</v>
      </c>
      <c r="C99" s="74" t="s">
        <v>20</v>
      </c>
      <c r="D99" s="74" t="s">
        <v>555</v>
      </c>
      <c r="E99" s="74" t="s">
        <v>172</v>
      </c>
      <c r="F99" s="74" t="s">
        <v>173</v>
      </c>
      <c r="G99" s="74">
        <v>325</v>
      </c>
      <c r="H99" s="74" t="str">
        <f>VLOOKUP(E99,基础信息!C:E,3,FALSE)</f>
        <v>F06001000448</v>
      </c>
      <c r="I99" s="78"/>
      <c r="J99" s="74" t="s">
        <v>556</v>
      </c>
    </row>
    <row r="100" customHeight="1" spans="1:10">
      <c r="A100" s="72">
        <v>46151</v>
      </c>
      <c r="B100" s="73" t="s">
        <v>19</v>
      </c>
      <c r="C100" s="74" t="s">
        <v>20</v>
      </c>
      <c r="D100" s="74" t="s">
        <v>557</v>
      </c>
      <c r="E100" s="74" t="s">
        <v>169</v>
      </c>
      <c r="F100" s="74" t="s">
        <v>170</v>
      </c>
      <c r="G100" s="74">
        <v>960</v>
      </c>
      <c r="H100" s="74" t="str">
        <f>VLOOKUP(E100,基础信息!C:E,3,FALSE)</f>
        <v>F06001000447</v>
      </c>
      <c r="I100" s="78"/>
      <c r="J100" s="74" t="s">
        <v>558</v>
      </c>
    </row>
    <row r="101" customHeight="1" spans="1:10">
      <c r="A101" s="72">
        <v>46151</v>
      </c>
      <c r="B101" s="73" t="s">
        <v>19</v>
      </c>
      <c r="C101" s="74" t="s">
        <v>20</v>
      </c>
      <c r="D101" s="74" t="s">
        <v>559</v>
      </c>
      <c r="E101" s="74" t="s">
        <v>247</v>
      </c>
      <c r="F101" s="74" t="s">
        <v>248</v>
      </c>
      <c r="G101" s="74">
        <v>112</v>
      </c>
      <c r="H101" s="74" t="str">
        <f>VLOOKUP(E101,基础信息!C:E,3,FALSE)</f>
        <v>F01001003093  </v>
      </c>
      <c r="I101" s="78"/>
      <c r="J101" s="74" t="s">
        <v>560</v>
      </c>
    </row>
    <row r="102" customHeight="1" spans="1:10">
      <c r="A102" s="72">
        <v>46151</v>
      </c>
      <c r="B102" s="73" t="s">
        <v>19</v>
      </c>
      <c r="C102" s="74" t="s">
        <v>20</v>
      </c>
      <c r="D102" s="74" t="s">
        <v>559</v>
      </c>
      <c r="E102" s="74" t="s">
        <v>250</v>
      </c>
      <c r="F102" s="74" t="s">
        <v>251</v>
      </c>
      <c r="G102" s="74">
        <v>112</v>
      </c>
      <c r="H102" s="74" t="str">
        <f>VLOOKUP(E102,基础信息!C:E,3,FALSE)</f>
        <v>F01001003094</v>
      </c>
      <c r="I102" s="78"/>
      <c r="J102" s="74" t="s">
        <v>560</v>
      </c>
    </row>
    <row r="103" customHeight="1" spans="1:10">
      <c r="A103" s="72">
        <v>46151</v>
      </c>
      <c r="B103" s="73" t="s">
        <v>19</v>
      </c>
      <c r="C103" s="74" t="s">
        <v>20</v>
      </c>
      <c r="D103" s="74" t="s">
        <v>559</v>
      </c>
      <c r="E103" s="74" t="s">
        <v>253</v>
      </c>
      <c r="F103" s="74" t="s">
        <v>254</v>
      </c>
      <c r="G103" s="74">
        <v>56</v>
      </c>
      <c r="H103" s="74" t="str">
        <f>VLOOKUP(E103,基础信息!C:E,3,FALSE)</f>
        <v>F01001003095</v>
      </c>
      <c r="I103" s="78"/>
      <c r="J103" s="74" t="s">
        <v>560</v>
      </c>
    </row>
    <row r="104" customHeight="1" spans="1:10">
      <c r="A104" s="72">
        <v>46151</v>
      </c>
      <c r="B104" s="73" t="s">
        <v>19</v>
      </c>
      <c r="C104" s="74" t="s">
        <v>20</v>
      </c>
      <c r="D104" s="74" t="s">
        <v>561</v>
      </c>
      <c r="E104" s="74" t="s">
        <v>181</v>
      </c>
      <c r="F104" s="74" t="s">
        <v>182</v>
      </c>
      <c r="G104" s="74">
        <v>405</v>
      </c>
      <c r="H104" s="74" t="str">
        <f>VLOOKUP(E104,基础信息!C:E,3,FALSE)</f>
        <v>F01001001608</v>
      </c>
      <c r="I104" s="78"/>
      <c r="J104" s="74" t="s">
        <v>562</v>
      </c>
    </row>
    <row r="105" customHeight="1" spans="1:10">
      <c r="A105" s="72">
        <v>46151</v>
      </c>
      <c r="B105" s="73" t="s">
        <v>19</v>
      </c>
      <c r="C105" s="74" t="s">
        <v>20</v>
      </c>
      <c r="D105" s="74" t="s">
        <v>563</v>
      </c>
      <c r="E105" s="74" t="s">
        <v>184</v>
      </c>
      <c r="F105" s="74" t="s">
        <v>185</v>
      </c>
      <c r="G105" s="74">
        <v>240</v>
      </c>
      <c r="H105" s="74" t="str">
        <f>VLOOKUP(E105,基础信息!C:E,3,FALSE)</f>
        <v>F01001001607</v>
      </c>
      <c r="I105" s="78"/>
      <c r="J105" s="74" t="s">
        <v>564</v>
      </c>
    </row>
    <row r="106" customHeight="1" spans="1:10">
      <c r="A106" s="72">
        <v>46151</v>
      </c>
      <c r="B106" s="73" t="s">
        <v>19</v>
      </c>
      <c r="C106" s="74" t="s">
        <v>20</v>
      </c>
      <c r="D106" s="74" t="s">
        <v>563</v>
      </c>
      <c r="E106" s="74" t="s">
        <v>184</v>
      </c>
      <c r="F106" s="74" t="s">
        <v>185</v>
      </c>
      <c r="G106" s="74">
        <v>48</v>
      </c>
      <c r="H106" s="74" t="str">
        <f>VLOOKUP(E106,基础信息!C:E,3,FALSE)</f>
        <v>F01001001607</v>
      </c>
      <c r="I106" s="78"/>
      <c r="J106" s="74" t="s">
        <v>564</v>
      </c>
    </row>
    <row r="107" customHeight="1" spans="1:10">
      <c r="A107" s="72">
        <v>46151</v>
      </c>
      <c r="B107" s="73" t="s">
        <v>19</v>
      </c>
      <c r="C107" s="74" t="s">
        <v>20</v>
      </c>
      <c r="D107" s="74" t="s">
        <v>565</v>
      </c>
      <c r="E107" s="74" t="s">
        <v>247</v>
      </c>
      <c r="F107" s="74" t="s">
        <v>248</v>
      </c>
      <c r="G107" s="74">
        <v>112</v>
      </c>
      <c r="H107" s="74" t="str">
        <f>VLOOKUP(E107,基础信息!C:E,3,FALSE)</f>
        <v>F01001003093  </v>
      </c>
      <c r="I107" s="78"/>
      <c r="J107" s="74" t="s">
        <v>566</v>
      </c>
    </row>
    <row r="108" customHeight="1" spans="1:10">
      <c r="A108" s="72">
        <v>46151</v>
      </c>
      <c r="B108" s="73" t="s">
        <v>19</v>
      </c>
      <c r="C108" s="74" t="s">
        <v>20</v>
      </c>
      <c r="D108" s="74" t="s">
        <v>565</v>
      </c>
      <c r="E108" s="74" t="s">
        <v>250</v>
      </c>
      <c r="F108" s="74" t="s">
        <v>251</v>
      </c>
      <c r="G108" s="74">
        <v>112</v>
      </c>
      <c r="H108" s="74" t="str">
        <f>VLOOKUP(E108,基础信息!C:E,3,FALSE)</f>
        <v>F01001003094</v>
      </c>
      <c r="I108" s="78"/>
      <c r="J108" s="74" t="s">
        <v>566</v>
      </c>
    </row>
    <row r="109" customHeight="1" spans="1:10">
      <c r="A109" s="72">
        <v>46151</v>
      </c>
      <c r="B109" s="73" t="s">
        <v>19</v>
      </c>
      <c r="C109" s="74" t="s">
        <v>20</v>
      </c>
      <c r="D109" s="74" t="s">
        <v>565</v>
      </c>
      <c r="E109" s="74" t="s">
        <v>253</v>
      </c>
      <c r="F109" s="74" t="s">
        <v>254</v>
      </c>
      <c r="G109" s="74">
        <v>56</v>
      </c>
      <c r="H109" s="74" t="str">
        <f>VLOOKUP(E109,基础信息!C:E,3,FALSE)</f>
        <v>F01001003095</v>
      </c>
      <c r="I109" s="78"/>
      <c r="J109" s="74" t="s">
        <v>566</v>
      </c>
    </row>
    <row r="110" customHeight="1" spans="1:10">
      <c r="A110" s="72">
        <v>46151</v>
      </c>
      <c r="B110" s="73" t="s">
        <v>19</v>
      </c>
      <c r="C110" s="74" t="s">
        <v>20</v>
      </c>
      <c r="D110" s="74" t="s">
        <v>567</v>
      </c>
      <c r="E110" s="74" t="s">
        <v>34</v>
      </c>
      <c r="F110" s="74" t="s">
        <v>35</v>
      </c>
      <c r="G110" s="74">
        <v>9</v>
      </c>
      <c r="H110" s="74" t="str">
        <f>VLOOKUP(E110,基础信息!C:E,3,FALSE)</f>
        <v>F02001000533</v>
      </c>
      <c r="I110" s="78"/>
      <c r="J110" s="74" t="s">
        <v>568</v>
      </c>
    </row>
    <row r="111" customHeight="1" spans="1:10">
      <c r="A111" s="72">
        <v>46151</v>
      </c>
      <c r="B111" s="73" t="s">
        <v>19</v>
      </c>
      <c r="C111" s="74" t="s">
        <v>20</v>
      </c>
      <c r="D111" s="74" t="s">
        <v>569</v>
      </c>
      <c r="E111" s="74" t="s">
        <v>172</v>
      </c>
      <c r="F111" s="74" t="s">
        <v>173</v>
      </c>
      <c r="G111" s="74">
        <v>960</v>
      </c>
      <c r="H111" s="74" t="str">
        <f>VLOOKUP(E111,基础信息!C:E,3,FALSE)</f>
        <v>F06001000448</v>
      </c>
      <c r="I111" s="78"/>
      <c r="J111" s="74" t="s">
        <v>570</v>
      </c>
    </row>
    <row r="112" customHeight="1" spans="1:10">
      <c r="A112" s="72">
        <v>46151</v>
      </c>
      <c r="B112" s="73" t="s">
        <v>19</v>
      </c>
      <c r="C112" s="74" t="s">
        <v>20</v>
      </c>
      <c r="D112" s="74" t="s">
        <v>571</v>
      </c>
      <c r="E112" s="74" t="s">
        <v>184</v>
      </c>
      <c r="F112" s="74" t="s">
        <v>185</v>
      </c>
      <c r="G112" s="74">
        <v>288</v>
      </c>
      <c r="H112" s="74" t="str">
        <f>VLOOKUP(E112,基础信息!C:E,3,FALSE)</f>
        <v>F01001001607</v>
      </c>
      <c r="I112" s="78"/>
      <c r="J112" s="74" t="s">
        <v>572</v>
      </c>
    </row>
    <row r="113" customHeight="1" spans="1:10">
      <c r="A113" s="72">
        <v>46152</v>
      </c>
      <c r="B113" s="73" t="s">
        <v>19</v>
      </c>
      <c r="C113" s="74" t="s">
        <v>20</v>
      </c>
      <c r="D113" s="74" t="s">
        <v>573</v>
      </c>
      <c r="E113" s="74" t="s">
        <v>184</v>
      </c>
      <c r="F113" s="74" t="s">
        <v>185</v>
      </c>
      <c r="G113" s="74">
        <v>288</v>
      </c>
      <c r="H113" s="74" t="str">
        <f>VLOOKUP(E113,基础信息!C:E,3,FALSE)</f>
        <v>F01001001607</v>
      </c>
      <c r="I113" s="78"/>
      <c r="J113" s="74" t="s">
        <v>574</v>
      </c>
    </row>
    <row r="114" customHeight="1" spans="1:10">
      <c r="A114" s="72">
        <v>46152</v>
      </c>
      <c r="B114" s="73" t="s">
        <v>19</v>
      </c>
      <c r="C114" s="74" t="s">
        <v>20</v>
      </c>
      <c r="D114" s="74" t="s">
        <v>573</v>
      </c>
      <c r="E114" s="74" t="s">
        <v>181</v>
      </c>
      <c r="F114" s="74" t="s">
        <v>182</v>
      </c>
      <c r="G114" s="74">
        <v>255</v>
      </c>
      <c r="H114" s="74" t="str">
        <f>VLOOKUP(E114,基础信息!C:E,3,FALSE)</f>
        <v>F01001001608</v>
      </c>
      <c r="I114" s="78"/>
      <c r="J114" s="74" t="s">
        <v>574</v>
      </c>
    </row>
    <row r="115" customHeight="1" spans="1:10">
      <c r="A115" s="72">
        <v>46152</v>
      </c>
      <c r="B115" s="73" t="s">
        <v>19</v>
      </c>
      <c r="C115" s="74" t="s">
        <v>20</v>
      </c>
      <c r="D115" s="74" t="s">
        <v>573</v>
      </c>
      <c r="E115" s="74" t="s">
        <v>181</v>
      </c>
      <c r="F115" s="74" t="s">
        <v>182</v>
      </c>
      <c r="G115" s="74">
        <v>150</v>
      </c>
      <c r="H115" s="74" t="str">
        <f>VLOOKUP(E115,基础信息!C:E,3,FALSE)</f>
        <v>F01001001608</v>
      </c>
      <c r="I115" s="78"/>
      <c r="J115" s="74" t="s">
        <v>574</v>
      </c>
    </row>
    <row r="116" customHeight="1" spans="1:10">
      <c r="A116" s="72">
        <v>46152</v>
      </c>
      <c r="B116" s="73" t="s">
        <v>19</v>
      </c>
      <c r="C116" s="74" t="s">
        <v>20</v>
      </c>
      <c r="D116" s="74" t="s">
        <v>575</v>
      </c>
      <c r="E116" s="74" t="s">
        <v>178</v>
      </c>
      <c r="F116" s="74" t="s">
        <v>179</v>
      </c>
      <c r="G116" s="74">
        <v>75</v>
      </c>
      <c r="H116" s="74" t="str">
        <f>VLOOKUP(E116,基础信息!C:E,3,FALSE)</f>
        <v>F06001000450</v>
      </c>
      <c r="I116" s="78"/>
      <c r="J116" s="74" t="s">
        <v>576</v>
      </c>
    </row>
    <row r="117" customHeight="1" spans="1:10">
      <c r="A117" s="72">
        <v>46152</v>
      </c>
      <c r="B117" s="73" t="s">
        <v>19</v>
      </c>
      <c r="C117" s="74" t="s">
        <v>20</v>
      </c>
      <c r="D117" s="74" t="s">
        <v>575</v>
      </c>
      <c r="E117" s="74" t="s">
        <v>178</v>
      </c>
      <c r="F117" s="74" t="s">
        <v>179</v>
      </c>
      <c r="G117" s="74">
        <v>325</v>
      </c>
      <c r="H117" s="74" t="str">
        <f>VLOOKUP(E117,基础信息!C:E,3,FALSE)</f>
        <v>F06001000450</v>
      </c>
      <c r="I117" s="78"/>
      <c r="J117" s="74" t="s">
        <v>576</v>
      </c>
    </row>
    <row r="118" customHeight="1" spans="1:10">
      <c r="A118" s="72">
        <v>46152</v>
      </c>
      <c r="B118" s="73" t="s">
        <v>19</v>
      </c>
      <c r="C118" s="74" t="s">
        <v>20</v>
      </c>
      <c r="D118" s="74" t="s">
        <v>577</v>
      </c>
      <c r="E118" s="74" t="s">
        <v>184</v>
      </c>
      <c r="F118" s="74" t="s">
        <v>185</v>
      </c>
      <c r="G118" s="74">
        <v>216</v>
      </c>
      <c r="H118" s="74" t="str">
        <f>VLOOKUP(E118,基础信息!C:E,3,FALSE)</f>
        <v>F01001001607</v>
      </c>
      <c r="I118" s="78"/>
      <c r="J118" s="74" t="s">
        <v>578</v>
      </c>
    </row>
    <row r="119" customHeight="1" spans="1:10">
      <c r="A119" s="72">
        <v>46152</v>
      </c>
      <c r="B119" s="73" t="s">
        <v>19</v>
      </c>
      <c r="C119" s="74" t="s">
        <v>20</v>
      </c>
      <c r="D119" s="74" t="s">
        <v>577</v>
      </c>
      <c r="E119" s="74" t="s">
        <v>184</v>
      </c>
      <c r="F119" s="74" t="s">
        <v>185</v>
      </c>
      <c r="G119" s="74">
        <v>72</v>
      </c>
      <c r="H119" s="74" t="str">
        <f>VLOOKUP(E119,基础信息!C:E,3,FALSE)</f>
        <v>F01001001607</v>
      </c>
      <c r="I119" s="78"/>
      <c r="J119" s="74" t="s">
        <v>578</v>
      </c>
    </row>
    <row r="120" customHeight="1" spans="1:10">
      <c r="A120" s="72">
        <v>46152</v>
      </c>
      <c r="B120" s="73" t="s">
        <v>19</v>
      </c>
      <c r="C120" s="74" t="s">
        <v>20</v>
      </c>
      <c r="D120" s="74" t="s">
        <v>577</v>
      </c>
      <c r="E120" s="74" t="s">
        <v>181</v>
      </c>
      <c r="F120" s="74" t="s">
        <v>182</v>
      </c>
      <c r="G120" s="74">
        <v>405</v>
      </c>
      <c r="H120" s="74" t="str">
        <f>VLOOKUP(E120,基础信息!C:E,3,FALSE)</f>
        <v>F01001001608</v>
      </c>
      <c r="I120" s="78"/>
      <c r="J120" s="74" t="s">
        <v>578</v>
      </c>
    </row>
    <row r="121" customHeight="1" spans="1:10">
      <c r="A121" s="72">
        <v>46152</v>
      </c>
      <c r="B121" s="73" t="s">
        <v>19</v>
      </c>
      <c r="C121" s="74" t="s">
        <v>20</v>
      </c>
      <c r="D121" s="74" t="s">
        <v>579</v>
      </c>
      <c r="E121" s="74" t="s">
        <v>172</v>
      </c>
      <c r="F121" s="74" t="s">
        <v>173</v>
      </c>
      <c r="G121" s="74">
        <v>315</v>
      </c>
      <c r="H121" s="74" t="str">
        <f>VLOOKUP(E121,基础信息!C:E,3,FALSE)</f>
        <v>F06001000448</v>
      </c>
      <c r="I121" s="78"/>
      <c r="J121" s="74" t="s">
        <v>580</v>
      </c>
    </row>
    <row r="122" customHeight="1" spans="1:10">
      <c r="A122" s="72">
        <v>46152</v>
      </c>
      <c r="B122" s="73" t="s">
        <v>19</v>
      </c>
      <c r="C122" s="74" t="s">
        <v>20</v>
      </c>
      <c r="D122" s="74" t="s">
        <v>579</v>
      </c>
      <c r="E122" s="74" t="s">
        <v>172</v>
      </c>
      <c r="F122" s="74" t="s">
        <v>173</v>
      </c>
      <c r="G122" s="74">
        <v>645</v>
      </c>
      <c r="H122" s="74" t="str">
        <f>VLOOKUP(E122,基础信息!C:E,3,FALSE)</f>
        <v>F06001000448</v>
      </c>
      <c r="I122" s="78"/>
      <c r="J122" s="74" t="s">
        <v>580</v>
      </c>
    </row>
    <row r="123" customHeight="1" spans="1:10">
      <c r="A123" s="72">
        <v>46152</v>
      </c>
      <c r="B123" s="73" t="s">
        <v>19</v>
      </c>
      <c r="C123" s="74" t="s">
        <v>20</v>
      </c>
      <c r="D123" s="74" t="s">
        <v>581</v>
      </c>
      <c r="E123" s="74" t="s">
        <v>184</v>
      </c>
      <c r="F123" s="74" t="s">
        <v>185</v>
      </c>
      <c r="G123" s="74">
        <v>288</v>
      </c>
      <c r="H123" s="74" t="str">
        <f>VLOOKUP(E123,基础信息!C:E,3,FALSE)</f>
        <v>F01001001607</v>
      </c>
      <c r="I123" s="78"/>
      <c r="J123" s="74" t="s">
        <v>582</v>
      </c>
    </row>
    <row r="124" customHeight="1" spans="1:10">
      <c r="A124" s="72">
        <v>46153</v>
      </c>
      <c r="B124" s="73" t="s">
        <v>19</v>
      </c>
      <c r="C124" s="74" t="s">
        <v>20</v>
      </c>
      <c r="D124" s="74" t="s">
        <v>583</v>
      </c>
      <c r="E124" s="74" t="s">
        <v>247</v>
      </c>
      <c r="F124" s="74" t="s">
        <v>248</v>
      </c>
      <c r="G124" s="74">
        <v>56</v>
      </c>
      <c r="H124" s="74" t="str">
        <f>VLOOKUP(E124,基础信息!C:E,3,FALSE)</f>
        <v>F01001003093  </v>
      </c>
      <c r="I124" s="78"/>
      <c r="J124" s="74" t="s">
        <v>584</v>
      </c>
    </row>
    <row r="125" customHeight="1" spans="1:10">
      <c r="A125" s="72">
        <v>46153</v>
      </c>
      <c r="B125" s="73" t="s">
        <v>19</v>
      </c>
      <c r="C125" s="74" t="s">
        <v>20</v>
      </c>
      <c r="D125" s="74" t="s">
        <v>583</v>
      </c>
      <c r="E125" s="74" t="s">
        <v>247</v>
      </c>
      <c r="F125" s="74" t="s">
        <v>248</v>
      </c>
      <c r="G125" s="74">
        <v>84</v>
      </c>
      <c r="H125" s="74" t="str">
        <f>VLOOKUP(E125,基础信息!C:E,3,FALSE)</f>
        <v>F01001003093  </v>
      </c>
      <c r="I125" s="78"/>
      <c r="J125" s="74" t="s">
        <v>584</v>
      </c>
    </row>
    <row r="126" customHeight="1" spans="1:10">
      <c r="A126" s="72">
        <v>46153</v>
      </c>
      <c r="B126" s="73" t="s">
        <v>19</v>
      </c>
      <c r="C126" s="74" t="s">
        <v>20</v>
      </c>
      <c r="D126" s="74" t="s">
        <v>583</v>
      </c>
      <c r="E126" s="74" t="s">
        <v>250</v>
      </c>
      <c r="F126" s="74" t="s">
        <v>251</v>
      </c>
      <c r="G126" s="74">
        <v>56</v>
      </c>
      <c r="H126" s="74" t="str">
        <f>VLOOKUP(E126,基础信息!C:E,3,FALSE)</f>
        <v>F01001003094</v>
      </c>
      <c r="I126" s="78"/>
      <c r="J126" s="74" t="s">
        <v>584</v>
      </c>
    </row>
    <row r="127" customHeight="1" spans="1:10">
      <c r="A127" s="72">
        <v>46153</v>
      </c>
      <c r="B127" s="73" t="s">
        <v>19</v>
      </c>
      <c r="C127" s="74" t="s">
        <v>20</v>
      </c>
      <c r="D127" s="74" t="s">
        <v>583</v>
      </c>
      <c r="E127" s="74" t="s">
        <v>250</v>
      </c>
      <c r="F127" s="74" t="s">
        <v>251</v>
      </c>
      <c r="G127" s="74">
        <v>84</v>
      </c>
      <c r="H127" s="74" t="str">
        <f>VLOOKUP(E127,基础信息!C:E,3,FALSE)</f>
        <v>F01001003094</v>
      </c>
      <c r="I127" s="78"/>
      <c r="J127" s="74" t="s">
        <v>584</v>
      </c>
    </row>
    <row r="128" customHeight="1" spans="1:10">
      <c r="A128" s="72">
        <v>46153</v>
      </c>
      <c r="B128" s="73" t="s">
        <v>19</v>
      </c>
      <c r="C128" s="74" t="s">
        <v>20</v>
      </c>
      <c r="D128" s="74" t="s">
        <v>583</v>
      </c>
      <c r="E128" s="74" t="s">
        <v>253</v>
      </c>
      <c r="F128" s="74" t="s">
        <v>254</v>
      </c>
      <c r="G128" s="74">
        <v>70</v>
      </c>
      <c r="H128" s="74" t="str">
        <f>VLOOKUP(E128,基础信息!C:E,3,FALSE)</f>
        <v>F01001003095</v>
      </c>
      <c r="I128" s="78"/>
      <c r="J128" s="74" t="s">
        <v>584</v>
      </c>
    </row>
    <row r="129" customHeight="1" spans="1:10">
      <c r="A129" s="72">
        <v>46153</v>
      </c>
      <c r="B129" s="73" t="s">
        <v>19</v>
      </c>
      <c r="C129" s="74" t="s">
        <v>20</v>
      </c>
      <c r="D129" s="74" t="s">
        <v>585</v>
      </c>
      <c r="E129" s="74" t="s">
        <v>181</v>
      </c>
      <c r="F129" s="74" t="s">
        <v>182</v>
      </c>
      <c r="G129" s="74">
        <v>390</v>
      </c>
      <c r="H129" s="74" t="str">
        <f>VLOOKUP(E129,基础信息!C:E,3,FALSE)</f>
        <v>F01001001608</v>
      </c>
      <c r="I129" s="78"/>
      <c r="J129" s="74" t="s">
        <v>586</v>
      </c>
    </row>
    <row r="130" customHeight="1" spans="1:10">
      <c r="A130" s="72">
        <v>46153</v>
      </c>
      <c r="B130" s="73" t="s">
        <v>19</v>
      </c>
      <c r="C130" s="74" t="s">
        <v>20</v>
      </c>
      <c r="D130" s="74" t="s">
        <v>585</v>
      </c>
      <c r="E130" s="74" t="s">
        <v>181</v>
      </c>
      <c r="F130" s="74" t="s">
        <v>182</v>
      </c>
      <c r="G130" s="74">
        <v>15</v>
      </c>
      <c r="H130" s="74" t="str">
        <f>VLOOKUP(E130,基础信息!C:E,3,FALSE)</f>
        <v>F01001001608</v>
      </c>
      <c r="I130" s="78"/>
      <c r="J130" s="74" t="s">
        <v>586</v>
      </c>
    </row>
    <row r="131" customHeight="1" spans="1:10">
      <c r="A131" s="72">
        <v>46153</v>
      </c>
      <c r="B131" s="73" t="s">
        <v>19</v>
      </c>
      <c r="C131" s="74" t="s">
        <v>20</v>
      </c>
      <c r="D131" s="74" t="s">
        <v>585</v>
      </c>
      <c r="E131" s="74" t="s">
        <v>172</v>
      </c>
      <c r="F131" s="74" t="s">
        <v>173</v>
      </c>
      <c r="G131" s="74">
        <v>960</v>
      </c>
      <c r="H131" s="74" t="str">
        <f>VLOOKUP(E131,基础信息!C:E,3,FALSE)</f>
        <v>F06001000448</v>
      </c>
      <c r="I131" s="78"/>
      <c r="J131" s="74" t="s">
        <v>586</v>
      </c>
    </row>
    <row r="132" customHeight="1" spans="1:10">
      <c r="A132" s="72">
        <v>46153</v>
      </c>
      <c r="B132" s="73" t="s">
        <v>19</v>
      </c>
      <c r="C132" s="74" t="s">
        <v>20</v>
      </c>
      <c r="D132" s="74" t="s">
        <v>587</v>
      </c>
      <c r="E132" s="74" t="s">
        <v>175</v>
      </c>
      <c r="F132" s="74" t="s">
        <v>176</v>
      </c>
      <c r="G132" s="74">
        <v>720</v>
      </c>
      <c r="H132" s="74" t="str">
        <f>VLOOKUP(E132,基础信息!C:E,3,FALSE)</f>
        <v>F06001000449</v>
      </c>
      <c r="I132" s="78"/>
      <c r="J132" s="74" t="s">
        <v>588</v>
      </c>
    </row>
    <row r="133" customHeight="1" spans="1:10">
      <c r="A133" s="72">
        <v>46153</v>
      </c>
      <c r="B133" s="73" t="s">
        <v>19</v>
      </c>
      <c r="C133" s="74" t="s">
        <v>20</v>
      </c>
      <c r="D133" s="74" t="s">
        <v>589</v>
      </c>
      <c r="E133" s="74" t="s">
        <v>184</v>
      </c>
      <c r="F133" s="74" t="s">
        <v>185</v>
      </c>
      <c r="G133" s="74">
        <v>288</v>
      </c>
      <c r="H133" s="74" t="str">
        <f>VLOOKUP(E133,基础信息!C:E,3,FALSE)</f>
        <v>F01001001607</v>
      </c>
      <c r="I133" s="78"/>
      <c r="J133" s="74" t="s">
        <v>590</v>
      </c>
    </row>
    <row r="134" customHeight="1" spans="1:10">
      <c r="A134" s="72">
        <v>46153</v>
      </c>
      <c r="B134" s="73" t="s">
        <v>19</v>
      </c>
      <c r="C134" s="74" t="s">
        <v>20</v>
      </c>
      <c r="D134" s="74" t="s">
        <v>591</v>
      </c>
      <c r="E134" s="74" t="s">
        <v>172</v>
      </c>
      <c r="F134" s="74" t="s">
        <v>173</v>
      </c>
      <c r="G134" s="74">
        <v>960</v>
      </c>
      <c r="H134" s="74" t="str">
        <f>VLOOKUP(E134,基础信息!C:E,3,FALSE)</f>
        <v>F06001000448</v>
      </c>
      <c r="I134" s="78"/>
      <c r="J134" s="74" t="s">
        <v>592</v>
      </c>
    </row>
    <row r="135" customHeight="1" spans="1:10">
      <c r="A135" s="72">
        <v>46153</v>
      </c>
      <c r="B135" s="73" t="s">
        <v>19</v>
      </c>
      <c r="C135" s="74" t="s">
        <v>20</v>
      </c>
      <c r="D135" s="74" t="s">
        <v>593</v>
      </c>
      <c r="E135" s="74" t="s">
        <v>184</v>
      </c>
      <c r="F135" s="74" t="s">
        <v>185</v>
      </c>
      <c r="G135" s="74">
        <v>168</v>
      </c>
      <c r="H135" s="74" t="str">
        <f>VLOOKUP(E135,基础信息!C:E,3,FALSE)</f>
        <v>F01001001607</v>
      </c>
      <c r="I135" s="78"/>
      <c r="J135" s="74" t="s">
        <v>594</v>
      </c>
    </row>
    <row r="136" customHeight="1" spans="1:10">
      <c r="A136" s="72">
        <v>46153</v>
      </c>
      <c r="B136" s="73" t="s">
        <v>19</v>
      </c>
      <c r="C136" s="74" t="s">
        <v>20</v>
      </c>
      <c r="D136" s="74" t="s">
        <v>593</v>
      </c>
      <c r="E136" s="74" t="s">
        <v>184</v>
      </c>
      <c r="F136" s="74" t="s">
        <v>185</v>
      </c>
      <c r="G136" s="74">
        <v>120</v>
      </c>
      <c r="H136" s="74" t="str">
        <f>VLOOKUP(E136,基础信息!C:E,3,FALSE)</f>
        <v>F01001001607</v>
      </c>
      <c r="I136" s="78"/>
      <c r="J136" s="74" t="s">
        <v>594</v>
      </c>
    </row>
    <row r="137" customHeight="1" spans="1:10">
      <c r="A137" s="72">
        <v>46153</v>
      </c>
      <c r="B137" s="73" t="s">
        <v>19</v>
      </c>
      <c r="C137" s="74" t="s">
        <v>20</v>
      </c>
      <c r="D137" s="74" t="s">
        <v>593</v>
      </c>
      <c r="E137" s="74" t="s">
        <v>181</v>
      </c>
      <c r="F137" s="74" t="s">
        <v>182</v>
      </c>
      <c r="G137" s="74">
        <v>405</v>
      </c>
      <c r="H137" s="74" t="str">
        <f>VLOOKUP(E137,基础信息!C:E,3,FALSE)</f>
        <v>F01001001608</v>
      </c>
      <c r="I137" s="78"/>
      <c r="J137" s="74" t="s">
        <v>594</v>
      </c>
    </row>
    <row r="138" customHeight="1" spans="1:10">
      <c r="A138" s="72">
        <v>46154</v>
      </c>
      <c r="B138" s="73" t="s">
        <v>19</v>
      </c>
      <c r="C138" s="74" t="s">
        <v>20</v>
      </c>
      <c r="D138" s="74" t="s">
        <v>595</v>
      </c>
      <c r="E138" s="74" t="s">
        <v>184</v>
      </c>
      <c r="F138" s="74" t="s">
        <v>185</v>
      </c>
      <c r="G138" s="74">
        <v>288</v>
      </c>
      <c r="H138" s="74" t="str">
        <f>VLOOKUP(E138,基础信息!C:E,3,FALSE)</f>
        <v>F01001001607</v>
      </c>
      <c r="I138" s="78"/>
      <c r="J138" s="74" t="s">
        <v>596</v>
      </c>
    </row>
    <row r="139" customHeight="1" spans="1:10">
      <c r="A139" s="72">
        <v>46154</v>
      </c>
      <c r="B139" s="73" t="s">
        <v>19</v>
      </c>
      <c r="C139" s="74" t="s">
        <v>20</v>
      </c>
      <c r="D139" s="74" t="s">
        <v>597</v>
      </c>
      <c r="E139" s="74" t="s">
        <v>181</v>
      </c>
      <c r="F139" s="74" t="s">
        <v>182</v>
      </c>
      <c r="G139" s="74">
        <v>405</v>
      </c>
      <c r="H139" s="74" t="str">
        <f>VLOOKUP(E139,基础信息!C:E,3,FALSE)</f>
        <v>F01001001608</v>
      </c>
      <c r="I139" s="78"/>
      <c r="J139" s="74" t="s">
        <v>598</v>
      </c>
    </row>
    <row r="140" customHeight="1" spans="1:10">
      <c r="A140" s="72">
        <v>46154</v>
      </c>
      <c r="B140" s="73" t="s">
        <v>19</v>
      </c>
      <c r="C140" s="74" t="s">
        <v>20</v>
      </c>
      <c r="D140" s="74" t="s">
        <v>597</v>
      </c>
      <c r="E140" s="74" t="s">
        <v>178</v>
      </c>
      <c r="F140" s="74" t="s">
        <v>179</v>
      </c>
      <c r="G140" s="74">
        <v>400</v>
      </c>
      <c r="H140" s="74" t="str">
        <f>VLOOKUP(E140,基础信息!C:E,3,FALSE)</f>
        <v>F06001000450</v>
      </c>
      <c r="I140" s="78"/>
      <c r="J140" s="74" t="s">
        <v>598</v>
      </c>
    </row>
    <row r="141" customHeight="1" spans="1:10">
      <c r="A141" s="72">
        <v>46154</v>
      </c>
      <c r="B141" s="73" t="s">
        <v>19</v>
      </c>
      <c r="C141" s="74" t="s">
        <v>20</v>
      </c>
      <c r="D141" s="74" t="s">
        <v>599</v>
      </c>
      <c r="E141" s="74" t="s">
        <v>184</v>
      </c>
      <c r="F141" s="74" t="s">
        <v>185</v>
      </c>
      <c r="G141" s="74">
        <v>288</v>
      </c>
      <c r="H141" s="74" t="str">
        <f>VLOOKUP(E141,基础信息!C:E,3,FALSE)</f>
        <v>F01001001607</v>
      </c>
      <c r="I141" s="78"/>
      <c r="J141" s="74" t="s">
        <v>600</v>
      </c>
    </row>
    <row r="142" customHeight="1" spans="1:10">
      <c r="A142" s="69">
        <v>46154</v>
      </c>
      <c r="B142" s="70" t="s">
        <v>19</v>
      </c>
      <c r="C142" s="39" t="s">
        <v>20</v>
      </c>
      <c r="D142" s="39" t="s">
        <v>601</v>
      </c>
      <c r="E142" s="39" t="s">
        <v>109</v>
      </c>
      <c r="F142" s="39" t="s">
        <v>110</v>
      </c>
      <c r="G142" s="39">
        <v>14</v>
      </c>
      <c r="H142" s="39" t="str">
        <f>VLOOKUP(E142,基础信息!C:E,3,FALSE)</f>
        <v>F01001000370</v>
      </c>
      <c r="J142" s="39" t="s">
        <v>602</v>
      </c>
    </row>
    <row r="143" customHeight="1" spans="1:10">
      <c r="A143" s="69">
        <v>46154</v>
      </c>
      <c r="B143" s="70" t="s">
        <v>19</v>
      </c>
      <c r="C143" s="39" t="s">
        <v>20</v>
      </c>
      <c r="D143" s="39" t="s">
        <v>601</v>
      </c>
      <c r="E143" s="39" t="s">
        <v>109</v>
      </c>
      <c r="F143" s="39" t="s">
        <v>110</v>
      </c>
      <c r="G143" s="39">
        <v>301</v>
      </c>
      <c r="H143" s="39" t="str">
        <f>VLOOKUP(E143,基础信息!C:E,3,FALSE)</f>
        <v>F01001000370</v>
      </c>
      <c r="J143" s="39" t="s">
        <v>602</v>
      </c>
    </row>
    <row r="144" customHeight="1" spans="1:10">
      <c r="A144" s="69">
        <v>46154</v>
      </c>
      <c r="B144" s="70" t="s">
        <v>19</v>
      </c>
      <c r="C144" s="39" t="s">
        <v>20</v>
      </c>
      <c r="D144" s="39" t="s">
        <v>603</v>
      </c>
      <c r="E144" s="39" t="s">
        <v>172</v>
      </c>
      <c r="F144" s="39" t="s">
        <v>173</v>
      </c>
      <c r="G144" s="39">
        <v>960</v>
      </c>
      <c r="H144" s="39" t="str">
        <f>VLOOKUP(E144,基础信息!C:E,3,FALSE)</f>
        <v>F06001000448</v>
      </c>
      <c r="J144" s="39" t="s">
        <v>604</v>
      </c>
    </row>
    <row r="145" customHeight="1" spans="1:10">
      <c r="A145" s="69">
        <v>46154</v>
      </c>
      <c r="B145" s="70" t="s">
        <v>19</v>
      </c>
      <c r="C145" s="39" t="s">
        <v>20</v>
      </c>
      <c r="D145" s="39" t="s">
        <v>605</v>
      </c>
      <c r="E145" s="39" t="s">
        <v>49</v>
      </c>
      <c r="F145" s="39" t="s">
        <v>50</v>
      </c>
      <c r="G145" s="39">
        <v>5</v>
      </c>
      <c r="H145" s="39" t="str">
        <f>VLOOKUP(E145,基础信息!C:E,3,FALSE)</f>
        <v>F01001000348</v>
      </c>
      <c r="J145" s="39" t="s">
        <v>606</v>
      </c>
    </row>
    <row r="146" customHeight="1" spans="1:10">
      <c r="A146" s="69">
        <v>46154</v>
      </c>
      <c r="B146" s="70" t="s">
        <v>19</v>
      </c>
      <c r="C146" s="39" t="s">
        <v>20</v>
      </c>
      <c r="D146" s="39" t="s">
        <v>607</v>
      </c>
      <c r="E146" s="39" t="s">
        <v>64</v>
      </c>
      <c r="F146" s="39" t="s">
        <v>65</v>
      </c>
      <c r="G146" s="39">
        <v>6</v>
      </c>
      <c r="H146" s="39" t="str">
        <f>VLOOKUP(E146,基础信息!C:E,3,FALSE)</f>
        <v>F02001000538</v>
      </c>
      <c r="J146" s="39" t="s">
        <v>608</v>
      </c>
    </row>
    <row r="147" customHeight="1" spans="1:10">
      <c r="A147" s="69">
        <v>46154</v>
      </c>
      <c r="B147" s="70" t="s">
        <v>19</v>
      </c>
      <c r="C147" s="39" t="s">
        <v>20</v>
      </c>
      <c r="D147" s="39" t="s">
        <v>607</v>
      </c>
      <c r="E147" s="39" t="s">
        <v>67</v>
      </c>
      <c r="F147" s="39" t="s">
        <v>68</v>
      </c>
      <c r="G147" s="39">
        <v>6</v>
      </c>
      <c r="H147" s="39" t="str">
        <f>VLOOKUP(E147,基础信息!C:E,3,FALSE)</f>
        <v>F02001000539</v>
      </c>
      <c r="J147" s="39" t="s">
        <v>608</v>
      </c>
    </row>
    <row r="148" customHeight="1" spans="1:10">
      <c r="A148" s="69">
        <v>46154</v>
      </c>
      <c r="B148" s="70" t="s">
        <v>19</v>
      </c>
      <c r="C148" s="39" t="s">
        <v>20</v>
      </c>
      <c r="D148" s="39" t="s">
        <v>607</v>
      </c>
      <c r="E148" s="39" t="s">
        <v>88</v>
      </c>
      <c r="F148" s="39" t="s">
        <v>89</v>
      </c>
      <c r="G148" s="39">
        <v>1</v>
      </c>
      <c r="H148" s="39" t="str">
        <f>VLOOKUP(E148,基础信息!C:E,3,FALSE)</f>
        <v>F01001000353</v>
      </c>
      <c r="J148" s="39" t="s">
        <v>608</v>
      </c>
    </row>
    <row r="149" customHeight="1" spans="1:10">
      <c r="A149" s="69">
        <v>46154</v>
      </c>
      <c r="B149" s="70" t="s">
        <v>19</v>
      </c>
      <c r="C149" s="39" t="s">
        <v>20</v>
      </c>
      <c r="D149" s="39" t="s">
        <v>609</v>
      </c>
      <c r="E149" s="39" t="s">
        <v>184</v>
      </c>
      <c r="F149" s="39" t="s">
        <v>185</v>
      </c>
      <c r="G149" s="39">
        <v>288</v>
      </c>
      <c r="H149" s="39" t="str">
        <f>VLOOKUP(E149,基础信息!C:E,3,FALSE)</f>
        <v>F01001001607</v>
      </c>
      <c r="J149" s="39" t="s">
        <v>610</v>
      </c>
    </row>
    <row r="150" customHeight="1" spans="1:10">
      <c r="A150" s="69">
        <v>46154</v>
      </c>
      <c r="B150" s="70" t="s">
        <v>19</v>
      </c>
      <c r="C150" s="39" t="s">
        <v>20</v>
      </c>
      <c r="D150" s="39" t="s">
        <v>609</v>
      </c>
      <c r="E150" s="39" t="s">
        <v>181</v>
      </c>
      <c r="F150" s="39" t="s">
        <v>182</v>
      </c>
      <c r="G150" s="39">
        <v>135</v>
      </c>
      <c r="H150" s="39" t="str">
        <f>VLOOKUP(E150,基础信息!C:E,3,FALSE)</f>
        <v>F01001001608</v>
      </c>
      <c r="J150" s="39" t="s">
        <v>610</v>
      </c>
    </row>
    <row r="151" customHeight="1" spans="1:10">
      <c r="A151" s="69">
        <v>46154</v>
      </c>
      <c r="B151" s="70" t="s">
        <v>19</v>
      </c>
      <c r="C151" s="39" t="s">
        <v>20</v>
      </c>
      <c r="D151" s="39" t="s">
        <v>609</v>
      </c>
      <c r="E151" s="39" t="s">
        <v>181</v>
      </c>
      <c r="F151" s="39" t="s">
        <v>182</v>
      </c>
      <c r="G151" s="39">
        <v>270</v>
      </c>
      <c r="H151" s="39" t="str">
        <f>VLOOKUP(E151,基础信息!C:E,3,FALSE)</f>
        <v>F01001001608</v>
      </c>
      <c r="J151" s="39" t="s">
        <v>610</v>
      </c>
    </row>
    <row r="152" customHeight="1" spans="1:10">
      <c r="A152" s="69">
        <v>46154</v>
      </c>
      <c r="B152" s="70" t="s">
        <v>19</v>
      </c>
      <c r="C152" s="39" t="s">
        <v>20</v>
      </c>
      <c r="D152" s="39" t="s">
        <v>611</v>
      </c>
      <c r="E152" s="39" t="s">
        <v>37</v>
      </c>
      <c r="F152" s="39" t="s">
        <v>38</v>
      </c>
      <c r="G152" s="39">
        <v>3</v>
      </c>
      <c r="H152" s="39" t="str">
        <f>VLOOKUP(E152,基础信息!C:E,3,FALSE)</f>
        <v>F02001000534</v>
      </c>
      <c r="J152" s="39" t="s">
        <v>612</v>
      </c>
    </row>
    <row r="153" customHeight="1" spans="1:10">
      <c r="A153" s="69">
        <v>46154</v>
      </c>
      <c r="B153" s="70" t="s">
        <v>19</v>
      </c>
      <c r="C153" s="39" t="s">
        <v>20</v>
      </c>
      <c r="D153" s="39" t="s">
        <v>613</v>
      </c>
      <c r="E153" s="39" t="s">
        <v>109</v>
      </c>
      <c r="F153" s="39" t="s">
        <v>110</v>
      </c>
      <c r="G153" s="39">
        <v>374</v>
      </c>
      <c r="H153" s="39" t="str">
        <f>VLOOKUP(E153,基础信息!C:E,3,FALSE)</f>
        <v>F01001000370</v>
      </c>
      <c r="J153" s="39" t="s">
        <v>614</v>
      </c>
    </row>
    <row r="154" customHeight="1" spans="1:10">
      <c r="A154" s="69">
        <v>46154</v>
      </c>
      <c r="B154" s="70" t="s">
        <v>19</v>
      </c>
      <c r="C154" s="39" t="s">
        <v>20</v>
      </c>
      <c r="D154" s="39" t="s">
        <v>613</v>
      </c>
      <c r="E154" s="39" t="s">
        <v>109</v>
      </c>
      <c r="F154" s="39" t="s">
        <v>110</v>
      </c>
      <c r="G154" s="39">
        <v>31</v>
      </c>
      <c r="H154" s="39" t="str">
        <f>VLOOKUP(E154,基础信息!C:E,3,FALSE)</f>
        <v>F01001000370</v>
      </c>
      <c r="J154" s="39" t="s">
        <v>614</v>
      </c>
    </row>
    <row r="155" customHeight="1" spans="1:10">
      <c r="A155" s="69">
        <v>46154</v>
      </c>
      <c r="B155" s="70" t="s">
        <v>19</v>
      </c>
      <c r="C155" s="39" t="s">
        <v>20</v>
      </c>
      <c r="D155" s="39" t="s">
        <v>615</v>
      </c>
      <c r="E155" s="39" t="s">
        <v>31</v>
      </c>
      <c r="F155" s="39" t="s">
        <v>32</v>
      </c>
      <c r="G155" s="39">
        <v>10</v>
      </c>
      <c r="H155" s="39" t="str">
        <f>VLOOKUP(E155,基础信息!C:E,3,FALSE)</f>
        <v>F02001000532</v>
      </c>
      <c r="J155" s="39" t="s">
        <v>616</v>
      </c>
    </row>
    <row r="156" customHeight="1" spans="1:10">
      <c r="A156" s="69">
        <v>46154</v>
      </c>
      <c r="B156" s="70" t="s">
        <v>19</v>
      </c>
      <c r="C156" s="39" t="s">
        <v>20</v>
      </c>
      <c r="D156" s="39" t="s">
        <v>615</v>
      </c>
      <c r="E156" s="39" t="s">
        <v>34</v>
      </c>
      <c r="F156" s="39" t="s">
        <v>35</v>
      </c>
      <c r="G156" s="39">
        <v>224</v>
      </c>
      <c r="H156" s="39" t="str">
        <f>VLOOKUP(E156,基础信息!C:E,3,FALSE)</f>
        <v>F02001000533</v>
      </c>
      <c r="J156" s="39" t="s">
        <v>616</v>
      </c>
    </row>
    <row r="157" customHeight="1" spans="1:10">
      <c r="A157" s="69">
        <v>46155</v>
      </c>
      <c r="B157" s="70" t="s">
        <v>19</v>
      </c>
      <c r="C157" s="39" t="s">
        <v>20</v>
      </c>
      <c r="D157" s="39" t="s">
        <v>617</v>
      </c>
      <c r="E157" s="39" t="s">
        <v>97</v>
      </c>
      <c r="F157" s="39" t="s">
        <v>98</v>
      </c>
      <c r="G157" s="39">
        <v>1</v>
      </c>
      <c r="H157" s="39" t="str">
        <f>VLOOKUP(E157,基础信息!C:E,3,FALSE)</f>
        <v>F01001000373</v>
      </c>
      <c r="J157" s="39" t="s">
        <v>618</v>
      </c>
    </row>
    <row r="158" customHeight="1" spans="1:10">
      <c r="A158" s="69">
        <v>46155</v>
      </c>
      <c r="B158" s="70" t="s">
        <v>19</v>
      </c>
      <c r="C158" s="39" t="s">
        <v>20</v>
      </c>
      <c r="D158" s="39" t="s">
        <v>619</v>
      </c>
      <c r="E158" s="39" t="s">
        <v>172</v>
      </c>
      <c r="F158" s="39" t="s">
        <v>173</v>
      </c>
      <c r="G158" s="39">
        <v>960</v>
      </c>
      <c r="H158" s="39" t="str">
        <f>VLOOKUP(E158,基础信息!C:E,3,FALSE)</f>
        <v>F06001000448</v>
      </c>
      <c r="J158" s="39" t="s">
        <v>620</v>
      </c>
    </row>
    <row r="159" customHeight="1" spans="1:10">
      <c r="A159" s="69">
        <v>46155</v>
      </c>
      <c r="B159" s="70" t="s">
        <v>19</v>
      </c>
      <c r="C159" s="39" t="s">
        <v>20</v>
      </c>
      <c r="D159" s="39" t="s">
        <v>619</v>
      </c>
      <c r="E159" s="39" t="s">
        <v>175</v>
      </c>
      <c r="F159" s="39" t="s">
        <v>176</v>
      </c>
      <c r="G159" s="39">
        <v>720</v>
      </c>
      <c r="H159" s="39" t="str">
        <f>VLOOKUP(E159,基础信息!C:E,3,FALSE)</f>
        <v>F06001000449</v>
      </c>
      <c r="J159" s="39" t="s">
        <v>620</v>
      </c>
    </row>
    <row r="160" customHeight="1" spans="1:10">
      <c r="A160" s="69">
        <v>46155</v>
      </c>
      <c r="B160" s="70" t="s">
        <v>19</v>
      </c>
      <c r="C160" s="39" t="s">
        <v>20</v>
      </c>
      <c r="D160" s="39" t="s">
        <v>621</v>
      </c>
      <c r="E160" s="39" t="s">
        <v>184</v>
      </c>
      <c r="F160" s="39" t="s">
        <v>185</v>
      </c>
      <c r="G160" s="39">
        <v>120</v>
      </c>
      <c r="H160" s="39" t="str">
        <f>VLOOKUP(E160,基础信息!C:E,3,FALSE)</f>
        <v>F01001001607</v>
      </c>
      <c r="J160" s="39" t="s">
        <v>622</v>
      </c>
    </row>
    <row r="161" customHeight="1" spans="1:10">
      <c r="A161" s="69">
        <v>46155</v>
      </c>
      <c r="B161" s="70" t="s">
        <v>19</v>
      </c>
      <c r="C161" s="39" t="s">
        <v>20</v>
      </c>
      <c r="D161" s="39" t="s">
        <v>621</v>
      </c>
      <c r="E161" s="39" t="s">
        <v>184</v>
      </c>
      <c r="F161" s="39" t="s">
        <v>185</v>
      </c>
      <c r="G161" s="39">
        <v>168</v>
      </c>
      <c r="H161" s="39" t="str">
        <f>VLOOKUP(E161,基础信息!C:E,3,FALSE)</f>
        <v>F01001001607</v>
      </c>
      <c r="J161" s="39" t="s">
        <v>622</v>
      </c>
    </row>
    <row r="162" customHeight="1" spans="1:10">
      <c r="A162" s="69">
        <v>46155</v>
      </c>
      <c r="B162" s="70" t="s">
        <v>19</v>
      </c>
      <c r="C162" s="39" t="s">
        <v>20</v>
      </c>
      <c r="D162" s="39" t="s">
        <v>623</v>
      </c>
      <c r="E162" s="39" t="s">
        <v>109</v>
      </c>
      <c r="F162" s="39" t="s">
        <v>110</v>
      </c>
      <c r="G162" s="39">
        <v>14</v>
      </c>
      <c r="H162" s="39" t="str">
        <f>VLOOKUP(E162,基础信息!C:E,3,FALSE)</f>
        <v>F01001000370</v>
      </c>
      <c r="J162" s="39" t="s">
        <v>624</v>
      </c>
    </row>
    <row r="163" customHeight="1" spans="1:10">
      <c r="A163" s="69">
        <v>46155</v>
      </c>
      <c r="B163" s="70" t="s">
        <v>19</v>
      </c>
      <c r="C163" s="39" t="s">
        <v>20</v>
      </c>
      <c r="D163" s="39" t="s">
        <v>623</v>
      </c>
      <c r="E163" s="39" t="s">
        <v>109</v>
      </c>
      <c r="F163" s="39" t="s">
        <v>110</v>
      </c>
      <c r="G163" s="39">
        <v>225</v>
      </c>
      <c r="H163" s="39" t="str">
        <f>VLOOKUP(E163,基础信息!C:E,3,FALSE)</f>
        <v>F01001000370</v>
      </c>
      <c r="J163" s="39" t="s">
        <v>624</v>
      </c>
    </row>
    <row r="164" customHeight="1" spans="1:10">
      <c r="A164" s="69">
        <v>46155</v>
      </c>
      <c r="B164" s="70" t="s">
        <v>19</v>
      </c>
      <c r="C164" s="39" t="s">
        <v>20</v>
      </c>
      <c r="D164" s="39" t="s">
        <v>623</v>
      </c>
      <c r="E164" s="39" t="s">
        <v>109</v>
      </c>
      <c r="F164" s="39" t="s">
        <v>110</v>
      </c>
      <c r="G164" s="39">
        <v>121</v>
      </c>
      <c r="H164" s="39" t="str">
        <f>VLOOKUP(E164,基础信息!C:E,3,FALSE)</f>
        <v>F01001000370</v>
      </c>
      <c r="J164" s="39" t="s">
        <v>624</v>
      </c>
    </row>
    <row r="165" customHeight="1" spans="1:10">
      <c r="A165" s="69">
        <v>46155</v>
      </c>
      <c r="B165" s="70" t="s">
        <v>19</v>
      </c>
      <c r="C165" s="39" t="s">
        <v>20</v>
      </c>
      <c r="D165" s="39" t="s">
        <v>623</v>
      </c>
      <c r="E165" s="39" t="s">
        <v>181</v>
      </c>
      <c r="F165" s="39" t="s">
        <v>182</v>
      </c>
      <c r="G165" s="39">
        <v>405</v>
      </c>
      <c r="H165" s="39" t="str">
        <f>VLOOKUP(E165,基础信息!C:E,3,FALSE)</f>
        <v>F01001001608</v>
      </c>
      <c r="J165" s="39" t="s">
        <v>624</v>
      </c>
    </row>
    <row r="166" customHeight="1" spans="8:8">
      <c r="H166" s="39" t="e">
        <f>VLOOKUP(E166,基础信息!C:E,3,FALSE)</f>
        <v>#N/A</v>
      </c>
    </row>
    <row r="167" customHeight="1" spans="8:8">
      <c r="H167" s="39" t="e">
        <f>VLOOKUP(E167,基础信息!C:E,3,FALSE)</f>
        <v>#N/A</v>
      </c>
    </row>
    <row r="168" customHeight="1" spans="8:8">
      <c r="H168" s="39" t="e">
        <f>VLOOKUP(E168,基础信息!C:E,3,FALSE)</f>
        <v>#N/A</v>
      </c>
    </row>
    <row r="169" customHeight="1" spans="8:8">
      <c r="H169" s="39" t="e">
        <f>VLOOKUP(E169,基础信息!C:E,3,FALSE)</f>
        <v>#N/A</v>
      </c>
    </row>
    <row r="170" customHeight="1" spans="8:8">
      <c r="H170" s="39" t="e">
        <f>VLOOKUP(E170,基础信息!C:E,3,FALSE)</f>
        <v>#N/A</v>
      </c>
    </row>
    <row r="171" customHeight="1" spans="8:8">
      <c r="H171" s="39" t="e">
        <f>VLOOKUP(E171,基础信息!C:E,3,FALSE)</f>
        <v>#N/A</v>
      </c>
    </row>
    <row r="172" customHeight="1" spans="8:8">
      <c r="H172" s="39" t="e">
        <f>VLOOKUP(E172,基础信息!C:E,3,FALSE)</f>
        <v>#N/A</v>
      </c>
    </row>
    <row r="173" customHeight="1" spans="8:8">
      <c r="H173" s="39" t="e">
        <f>VLOOKUP(E173,基础信息!C:E,3,FALSE)</f>
        <v>#N/A</v>
      </c>
    </row>
    <row r="174" customHeight="1" spans="8:8">
      <c r="H174" s="39" t="e">
        <f>VLOOKUP(E174,基础信息!C:E,3,FALSE)</f>
        <v>#N/A</v>
      </c>
    </row>
    <row r="175" customHeight="1" spans="8:8">
      <c r="H175" s="39" t="e">
        <f>VLOOKUP(E175,基础信息!C:E,3,FALSE)</f>
        <v>#N/A</v>
      </c>
    </row>
    <row r="176" customHeight="1" spans="8:8">
      <c r="H176" s="39" t="e">
        <f>VLOOKUP(E176,基础信息!C:E,3,FALSE)</f>
        <v>#N/A</v>
      </c>
    </row>
    <row r="177" customHeight="1" spans="8:8">
      <c r="H177" s="39" t="e">
        <f>VLOOKUP(E177,基础信息!C:E,3,FALSE)</f>
        <v>#N/A</v>
      </c>
    </row>
    <row r="178" customHeight="1" spans="8:8">
      <c r="H178" s="39" t="e">
        <f>VLOOKUP(E178,基础信息!C:E,3,FALSE)</f>
        <v>#N/A</v>
      </c>
    </row>
    <row r="179" customHeight="1" spans="8:8">
      <c r="H179" s="39" t="e">
        <f>VLOOKUP(E179,基础信息!C:E,3,FALSE)</f>
        <v>#N/A</v>
      </c>
    </row>
    <row r="180" customHeight="1" spans="8:8">
      <c r="H180" s="39" t="e">
        <f>VLOOKUP(E180,基础信息!C:E,3,FALSE)</f>
        <v>#N/A</v>
      </c>
    </row>
    <row r="181" customHeight="1" spans="8:8">
      <c r="H181" s="39" t="e">
        <f>VLOOKUP(E181,基础信息!C:E,3,FALSE)</f>
        <v>#N/A</v>
      </c>
    </row>
    <row r="182" customHeight="1" spans="8:8">
      <c r="H182" s="39" t="e">
        <f>VLOOKUP(E182,基础信息!C:E,3,FALSE)</f>
        <v>#N/A</v>
      </c>
    </row>
    <row r="183" customHeight="1" spans="8:8">
      <c r="H183" s="39" t="e">
        <f>VLOOKUP(E183,基础信息!C:E,3,FALSE)</f>
        <v>#N/A</v>
      </c>
    </row>
    <row r="184" customHeight="1" spans="8:8">
      <c r="H184" s="39" t="e">
        <f>VLOOKUP(E184,基础信息!C:E,3,FALSE)</f>
        <v>#N/A</v>
      </c>
    </row>
    <row r="185" customHeight="1" spans="8:8">
      <c r="H185" s="39" t="e">
        <f>VLOOKUP(E185,基础信息!C:E,3,FALSE)</f>
        <v>#N/A</v>
      </c>
    </row>
    <row r="186" customHeight="1" spans="8:8">
      <c r="H186" s="39" t="e">
        <f>VLOOKUP(E186,基础信息!C:E,3,FALSE)</f>
        <v>#N/A</v>
      </c>
    </row>
    <row r="187" customHeight="1" spans="8:8">
      <c r="H187" s="39" t="e">
        <f>VLOOKUP(E187,基础信息!C:E,3,FALSE)</f>
        <v>#N/A</v>
      </c>
    </row>
    <row r="188" customHeight="1" spans="8:8">
      <c r="H188" s="39" t="e">
        <f>VLOOKUP(E188,基础信息!C:E,3,FALSE)</f>
        <v>#N/A</v>
      </c>
    </row>
    <row r="189" customHeight="1" spans="8:8">
      <c r="H189" s="39" t="e">
        <f>VLOOKUP(E189,基础信息!C:E,3,FALSE)</f>
        <v>#N/A</v>
      </c>
    </row>
    <row r="190" customHeight="1" spans="8:8">
      <c r="H190" s="39" t="e">
        <f>VLOOKUP(E190,基础信息!C:E,3,FALSE)</f>
        <v>#N/A</v>
      </c>
    </row>
    <row r="191" customHeight="1" spans="8:8">
      <c r="H191" s="39" t="e">
        <f>VLOOKUP(E191,基础信息!C:E,3,FALSE)</f>
        <v>#N/A</v>
      </c>
    </row>
    <row r="192" customHeight="1" spans="8:8">
      <c r="H192" s="39" t="e">
        <f>VLOOKUP(E192,基础信息!C:E,3,FALSE)</f>
        <v>#N/A</v>
      </c>
    </row>
    <row r="193" customHeight="1" spans="8:8">
      <c r="H193" s="39" t="e">
        <f>VLOOKUP(E193,基础信息!C:E,3,FALSE)</f>
        <v>#N/A</v>
      </c>
    </row>
    <row r="194" customHeight="1" spans="8:8">
      <c r="H194" s="39" t="e">
        <f>VLOOKUP(E194,基础信息!C:E,3,FALSE)</f>
        <v>#N/A</v>
      </c>
    </row>
    <row r="195" customHeight="1" spans="8:8">
      <c r="H195" s="39" t="e">
        <f>VLOOKUP(E195,基础信息!C:E,3,FALSE)</f>
        <v>#N/A</v>
      </c>
    </row>
    <row r="196" customHeight="1" spans="8:8">
      <c r="H196" s="39" t="e">
        <f>VLOOKUP(E196,基础信息!C:E,3,FALSE)</f>
        <v>#N/A</v>
      </c>
    </row>
    <row r="197" customHeight="1" spans="8:8">
      <c r="H197" s="39" t="e">
        <f>VLOOKUP(E197,基础信息!C:E,3,FALSE)</f>
        <v>#N/A</v>
      </c>
    </row>
    <row r="198" customHeight="1" spans="8:8">
      <c r="H198" s="39" t="e">
        <f>VLOOKUP(E198,基础信息!C:E,3,FALSE)</f>
        <v>#N/A</v>
      </c>
    </row>
    <row r="199" customHeight="1" spans="8:8">
      <c r="H199" s="39" t="e">
        <f>VLOOKUP(E199,基础信息!C:E,3,FALSE)</f>
        <v>#N/A</v>
      </c>
    </row>
    <row r="200" customHeight="1" spans="8:8">
      <c r="H200" s="39" t="e">
        <f>VLOOKUP(E200,基础信息!C:E,3,FALSE)</f>
        <v>#N/A</v>
      </c>
    </row>
    <row r="201" customHeight="1" spans="8:8">
      <c r="H201" s="39" t="e">
        <f>VLOOKUP(E201,基础信息!C:E,3,FALSE)</f>
        <v>#N/A</v>
      </c>
    </row>
    <row r="202" customHeight="1" spans="8:8">
      <c r="H202" s="39" t="e">
        <f>VLOOKUP(E202,基础信息!C:E,3,FALSE)</f>
        <v>#N/A</v>
      </c>
    </row>
    <row r="203" customHeight="1" spans="8:8">
      <c r="H203" s="39" t="e">
        <f>VLOOKUP(E203,基础信息!C:E,3,FALSE)</f>
        <v>#N/A</v>
      </c>
    </row>
    <row r="204" customHeight="1" spans="8:8">
      <c r="H204" s="39" t="e">
        <f>VLOOKUP(E204,基础信息!C:E,3,FALSE)</f>
        <v>#N/A</v>
      </c>
    </row>
    <row r="205" customHeight="1" spans="8:8">
      <c r="H205" s="39" t="e">
        <f>VLOOKUP(E205,基础信息!C:E,3,FALSE)</f>
        <v>#N/A</v>
      </c>
    </row>
    <row r="206" customHeight="1" spans="8:8">
      <c r="H206" s="39" t="e">
        <f>VLOOKUP(E206,基础信息!C:E,3,FALSE)</f>
        <v>#N/A</v>
      </c>
    </row>
    <row r="207" customHeight="1" spans="8:8">
      <c r="H207" s="39" t="e">
        <f>VLOOKUP(E207,基础信息!C:E,3,FALSE)</f>
        <v>#N/A</v>
      </c>
    </row>
    <row r="208" customHeight="1" spans="8:8">
      <c r="H208" s="39" t="e">
        <f>VLOOKUP(E208,基础信息!C:E,3,FALSE)</f>
        <v>#N/A</v>
      </c>
    </row>
    <row r="209" customHeight="1" spans="8:8">
      <c r="H209" s="39" t="e">
        <f>VLOOKUP(E209,基础信息!C:E,3,FALSE)</f>
        <v>#N/A</v>
      </c>
    </row>
    <row r="210" customHeight="1" spans="8:8">
      <c r="H210" s="39" t="e">
        <f>VLOOKUP(E210,基础信息!C:E,3,FALSE)</f>
        <v>#N/A</v>
      </c>
    </row>
    <row r="211" customHeight="1" spans="8:8">
      <c r="H211" s="39" t="e">
        <f>VLOOKUP(E211,基础信息!C:E,3,FALSE)</f>
        <v>#N/A</v>
      </c>
    </row>
    <row r="212" customHeight="1" spans="8:8">
      <c r="H212" s="39" t="e">
        <f>VLOOKUP(E212,基础信息!C:E,3,FALSE)</f>
        <v>#N/A</v>
      </c>
    </row>
    <row r="213" customHeight="1" spans="8:8">
      <c r="H213" s="39" t="e">
        <f>VLOOKUP(E213,基础信息!C:E,3,FALSE)</f>
        <v>#N/A</v>
      </c>
    </row>
    <row r="214" customHeight="1" spans="8:8">
      <c r="H214" s="39" t="e">
        <f>VLOOKUP(E214,基础信息!C:E,3,FALSE)</f>
        <v>#N/A</v>
      </c>
    </row>
    <row r="215" customHeight="1" spans="8:8">
      <c r="H215" s="39" t="e">
        <f>VLOOKUP(E215,基础信息!C:E,3,FALSE)</f>
        <v>#N/A</v>
      </c>
    </row>
    <row r="216" customHeight="1" spans="8:8">
      <c r="H216" s="39" t="e">
        <f>VLOOKUP(E216,基础信息!C:E,3,FALSE)</f>
        <v>#N/A</v>
      </c>
    </row>
    <row r="217" customHeight="1" spans="8:8">
      <c r="H217" s="39" t="e">
        <f>VLOOKUP(E217,基础信息!C:E,3,FALSE)</f>
        <v>#N/A</v>
      </c>
    </row>
    <row r="218" customHeight="1" spans="8:8">
      <c r="H218" s="39" t="e">
        <f>VLOOKUP(E218,基础信息!C:E,3,FALSE)</f>
        <v>#N/A</v>
      </c>
    </row>
    <row r="219" customHeight="1" spans="8:8">
      <c r="H219" s="39" t="e">
        <f>VLOOKUP(E219,基础信息!C:E,3,FALSE)</f>
        <v>#N/A</v>
      </c>
    </row>
    <row r="220" customHeight="1" spans="8:8">
      <c r="H220" s="39" t="e">
        <f>VLOOKUP(E220,基础信息!C:E,3,FALSE)</f>
        <v>#N/A</v>
      </c>
    </row>
    <row r="221" customHeight="1" spans="8:8">
      <c r="H221" s="39" t="e">
        <f>VLOOKUP(E221,基础信息!C:E,3,FALSE)</f>
        <v>#N/A</v>
      </c>
    </row>
    <row r="222" customHeight="1" spans="8:8">
      <c r="H222" s="39" t="e">
        <f>VLOOKUP(E222,基础信息!C:E,3,FALSE)</f>
        <v>#N/A</v>
      </c>
    </row>
    <row r="223" customHeight="1" spans="8:8">
      <c r="H223" s="39" t="e">
        <f>VLOOKUP(E223,基础信息!C:E,3,FALSE)</f>
        <v>#N/A</v>
      </c>
    </row>
    <row r="224" customHeight="1" spans="8:8">
      <c r="H224" s="39" t="e">
        <f>VLOOKUP(E224,基础信息!C:E,3,FALSE)</f>
        <v>#N/A</v>
      </c>
    </row>
    <row r="225" customHeight="1" spans="8:8">
      <c r="H225" s="39" t="e">
        <f>VLOOKUP(E225,基础信息!C:E,3,FALSE)</f>
        <v>#N/A</v>
      </c>
    </row>
    <row r="226" customHeight="1" spans="8:8">
      <c r="H226" s="39" t="e">
        <f>VLOOKUP(E226,基础信息!C:E,3,FALSE)</f>
        <v>#N/A</v>
      </c>
    </row>
    <row r="227" customHeight="1" spans="8:8">
      <c r="H227" s="39" t="e">
        <f>VLOOKUP(E227,基础信息!C:E,3,FALSE)</f>
        <v>#N/A</v>
      </c>
    </row>
    <row r="228" customHeight="1" spans="8:8">
      <c r="H228" s="39" t="e">
        <f>VLOOKUP(E228,基础信息!C:E,3,FALSE)</f>
        <v>#N/A</v>
      </c>
    </row>
    <row r="229" customHeight="1" spans="8:8">
      <c r="H229" s="39" t="e">
        <f>VLOOKUP(E229,基础信息!C:E,3,FALSE)</f>
        <v>#N/A</v>
      </c>
    </row>
    <row r="230" customHeight="1" spans="8:8">
      <c r="H230" s="39" t="e">
        <f>VLOOKUP(E230,基础信息!C:E,3,FALSE)</f>
        <v>#N/A</v>
      </c>
    </row>
    <row r="231" customHeight="1" spans="8:8">
      <c r="H231" s="39" t="e">
        <f>VLOOKUP(E231,基础信息!C:E,3,FALSE)</f>
        <v>#N/A</v>
      </c>
    </row>
    <row r="232" customHeight="1" spans="8:8">
      <c r="H232" s="39" t="e">
        <f>VLOOKUP(E232,基础信息!C:E,3,FALSE)</f>
        <v>#N/A</v>
      </c>
    </row>
    <row r="233" customHeight="1" spans="8:8">
      <c r="H233" s="39" t="e">
        <f>VLOOKUP(E233,基础信息!C:E,3,FALSE)</f>
        <v>#N/A</v>
      </c>
    </row>
    <row r="234" customHeight="1" spans="8:8">
      <c r="H234" s="39" t="e">
        <f>VLOOKUP(E234,基础信息!C:E,3,FALSE)</f>
        <v>#N/A</v>
      </c>
    </row>
    <row r="235" customHeight="1" spans="8:8">
      <c r="H235" s="39" t="e">
        <f>VLOOKUP(E235,基础信息!C:E,3,FALSE)</f>
        <v>#N/A</v>
      </c>
    </row>
    <row r="236" customHeight="1" spans="8:8">
      <c r="H236" s="39" t="e">
        <f>VLOOKUP(E236,基础信息!C:E,3,FALSE)</f>
        <v>#N/A</v>
      </c>
    </row>
    <row r="237" customHeight="1" spans="8:8">
      <c r="H237" s="39" t="e">
        <f>VLOOKUP(E237,基础信息!C:E,3,FALSE)</f>
        <v>#N/A</v>
      </c>
    </row>
    <row r="238" customHeight="1" spans="8:8">
      <c r="H238" s="39" t="e">
        <f>VLOOKUP(E238,基础信息!C:E,3,FALSE)</f>
        <v>#N/A</v>
      </c>
    </row>
    <row r="239" customHeight="1" spans="8:8">
      <c r="H239" s="39" t="e">
        <f>VLOOKUP(E239,基础信息!C:E,3,FALSE)</f>
        <v>#N/A</v>
      </c>
    </row>
    <row r="240" customHeight="1" spans="8:8">
      <c r="H240" s="39" t="e">
        <f>VLOOKUP(E240,基础信息!C:E,3,FALSE)</f>
        <v>#N/A</v>
      </c>
    </row>
    <row r="241" customHeight="1" spans="8:8">
      <c r="H241" s="39" t="e">
        <f>VLOOKUP(E241,基础信息!C:E,3,FALSE)</f>
        <v>#N/A</v>
      </c>
    </row>
    <row r="242" customHeight="1" spans="8:8">
      <c r="H242" s="39" t="e">
        <f>VLOOKUP(E242,基础信息!C:E,3,FALSE)</f>
        <v>#N/A</v>
      </c>
    </row>
    <row r="243" customHeight="1" spans="8:8">
      <c r="H243" s="39" t="e">
        <f>VLOOKUP(E243,基础信息!C:E,3,FALSE)</f>
        <v>#N/A</v>
      </c>
    </row>
    <row r="244" customHeight="1" spans="8:8">
      <c r="H244" s="39" t="e">
        <f>VLOOKUP(E244,基础信息!C:E,3,FALSE)</f>
        <v>#N/A</v>
      </c>
    </row>
    <row r="245" customHeight="1" spans="8:8">
      <c r="H245" s="39" t="e">
        <f>VLOOKUP(E245,基础信息!C:E,3,FALSE)</f>
        <v>#N/A</v>
      </c>
    </row>
    <row r="246" customHeight="1" spans="8:8">
      <c r="H246" s="39" t="e">
        <f>VLOOKUP(E246,基础信息!C:E,3,FALSE)</f>
        <v>#N/A</v>
      </c>
    </row>
    <row r="247" customHeight="1" spans="8:8">
      <c r="H247" s="39" t="e">
        <f>VLOOKUP(E247,基础信息!C:E,3,FALSE)</f>
        <v>#N/A</v>
      </c>
    </row>
    <row r="248" customHeight="1" spans="8:8">
      <c r="H248" s="39" t="e">
        <f>VLOOKUP(E248,基础信息!C:E,3,FALSE)</f>
        <v>#N/A</v>
      </c>
    </row>
    <row r="249" customHeight="1" spans="8:8">
      <c r="H249" s="39" t="e">
        <f>VLOOKUP(E249,基础信息!C:E,3,FALSE)</f>
        <v>#N/A</v>
      </c>
    </row>
    <row r="250" customHeight="1" spans="8:8">
      <c r="H250" s="39" t="e">
        <f>VLOOKUP(E250,基础信息!C:E,3,FALSE)</f>
        <v>#N/A</v>
      </c>
    </row>
    <row r="251" customHeight="1" spans="8:8">
      <c r="H251" s="39" t="e">
        <f>VLOOKUP(E251,基础信息!C:E,3,FALSE)</f>
        <v>#N/A</v>
      </c>
    </row>
    <row r="252" customHeight="1" spans="8:8">
      <c r="H252" s="39" t="e">
        <f>VLOOKUP(E252,基础信息!C:E,3,FALSE)</f>
        <v>#N/A</v>
      </c>
    </row>
    <row r="253" customHeight="1" spans="8:8">
      <c r="H253" s="39" t="e">
        <f>VLOOKUP(E253,基础信息!C:E,3,FALSE)</f>
        <v>#N/A</v>
      </c>
    </row>
    <row r="254" customHeight="1" spans="8:8">
      <c r="H254" s="39" t="e">
        <f>VLOOKUP(E254,基础信息!C:E,3,FALSE)</f>
        <v>#N/A</v>
      </c>
    </row>
    <row r="255" customHeight="1" spans="8:8">
      <c r="H255" s="39" t="e">
        <f>VLOOKUP(E255,基础信息!C:E,3,FALSE)</f>
        <v>#N/A</v>
      </c>
    </row>
    <row r="256" customHeight="1" spans="8:8">
      <c r="H256" s="39" t="e">
        <f>VLOOKUP(E256,基础信息!C:E,3,FALSE)</f>
        <v>#N/A</v>
      </c>
    </row>
    <row r="257" customHeight="1" spans="8:8">
      <c r="H257" s="39" t="e">
        <f>VLOOKUP(E257,基础信息!C:E,3,FALSE)</f>
        <v>#N/A</v>
      </c>
    </row>
    <row r="258" customHeight="1" spans="8:8">
      <c r="H258" s="39" t="e">
        <f>VLOOKUP(E258,基础信息!C:E,3,FALSE)</f>
        <v>#N/A</v>
      </c>
    </row>
    <row r="259" customHeight="1" spans="8:8">
      <c r="H259" s="39" t="e">
        <f>VLOOKUP(E259,基础信息!C:E,3,FALSE)</f>
        <v>#N/A</v>
      </c>
    </row>
    <row r="260" customHeight="1" spans="8:8">
      <c r="H260" s="39" t="e">
        <f>VLOOKUP(E260,基础信息!C:E,3,FALSE)</f>
        <v>#N/A</v>
      </c>
    </row>
    <row r="261" customHeight="1" spans="8:8">
      <c r="H261" s="39" t="e">
        <f>VLOOKUP(E261,基础信息!C:E,3,FALSE)</f>
        <v>#N/A</v>
      </c>
    </row>
    <row r="262" customHeight="1" spans="8:8">
      <c r="H262" s="39" t="e">
        <f>VLOOKUP(E262,基础信息!C:E,3,FALSE)</f>
        <v>#N/A</v>
      </c>
    </row>
    <row r="263" customHeight="1" spans="8:8">
      <c r="H263" s="39" t="e">
        <f>VLOOKUP(E263,基础信息!C:E,3,FALSE)</f>
        <v>#N/A</v>
      </c>
    </row>
    <row r="264" customHeight="1" spans="8:8">
      <c r="H264" s="39" t="e">
        <f>VLOOKUP(E264,基础信息!C:E,3,FALSE)</f>
        <v>#N/A</v>
      </c>
    </row>
    <row r="265" customHeight="1" spans="8:8">
      <c r="H265" s="39" t="e">
        <f>VLOOKUP(E265,基础信息!C:E,3,FALSE)</f>
        <v>#N/A</v>
      </c>
    </row>
    <row r="266" customHeight="1" spans="8:8">
      <c r="H266" s="39" t="e">
        <f>VLOOKUP(E266,基础信息!C:E,3,FALSE)</f>
        <v>#N/A</v>
      </c>
    </row>
    <row r="267" customHeight="1" spans="8:8">
      <c r="H267" s="39" t="e">
        <f>VLOOKUP(E267,基础信息!C:E,3,FALSE)</f>
        <v>#N/A</v>
      </c>
    </row>
    <row r="268" customHeight="1" spans="8:8">
      <c r="H268" s="39" t="e">
        <f>VLOOKUP(E268,基础信息!C:E,3,FALSE)</f>
        <v>#N/A</v>
      </c>
    </row>
    <row r="269" customHeight="1" spans="8:8">
      <c r="H269" s="39" t="e">
        <f>VLOOKUP(E269,基础信息!C:E,3,FALSE)</f>
        <v>#N/A</v>
      </c>
    </row>
    <row r="270" customHeight="1" spans="8:8">
      <c r="H270" s="39" t="e">
        <f>VLOOKUP(E270,基础信息!C:E,3,FALSE)</f>
        <v>#N/A</v>
      </c>
    </row>
    <row r="271" customHeight="1" spans="8:8">
      <c r="H271" s="39" t="e">
        <f>VLOOKUP(E271,基础信息!C:E,3,FALSE)</f>
        <v>#N/A</v>
      </c>
    </row>
    <row r="272" customHeight="1" spans="8:8">
      <c r="H272" s="39" t="e">
        <f>VLOOKUP(E272,基础信息!C:E,3,FALSE)</f>
        <v>#N/A</v>
      </c>
    </row>
    <row r="273" customHeight="1" spans="8:8">
      <c r="H273" s="39" t="e">
        <f>VLOOKUP(E273,基础信息!C:E,3,FALSE)</f>
        <v>#N/A</v>
      </c>
    </row>
    <row r="274" customHeight="1" spans="8:8">
      <c r="H274" s="39" t="e">
        <f>VLOOKUP(E274,基础信息!C:E,3,FALSE)</f>
        <v>#N/A</v>
      </c>
    </row>
    <row r="275" customHeight="1" spans="8:8">
      <c r="H275" s="39" t="e">
        <f>VLOOKUP(E275,基础信息!C:E,3,FALSE)</f>
        <v>#N/A</v>
      </c>
    </row>
    <row r="276" customHeight="1" spans="8:8">
      <c r="H276" s="39" t="e">
        <f>VLOOKUP(E276,基础信息!C:E,3,FALSE)</f>
        <v>#N/A</v>
      </c>
    </row>
    <row r="277" customHeight="1" spans="8:8">
      <c r="H277" s="39" t="e">
        <f>VLOOKUP(E277,基础信息!C:E,3,FALSE)</f>
        <v>#N/A</v>
      </c>
    </row>
    <row r="278" customHeight="1" spans="8:8">
      <c r="H278" s="39" t="e">
        <f>VLOOKUP(E278,基础信息!C:E,3,FALSE)</f>
        <v>#N/A</v>
      </c>
    </row>
    <row r="279" customHeight="1" spans="8:8">
      <c r="H279" s="39" t="e">
        <f>VLOOKUP(E279,基础信息!C:E,3,FALSE)</f>
        <v>#N/A</v>
      </c>
    </row>
    <row r="280" customHeight="1" spans="8:8">
      <c r="H280" s="39" t="e">
        <f>VLOOKUP(E280,基础信息!C:E,3,FALSE)</f>
        <v>#N/A</v>
      </c>
    </row>
    <row r="281" customHeight="1" spans="8:8">
      <c r="H281" s="39" t="e">
        <f>VLOOKUP(E281,基础信息!C:E,3,FALSE)</f>
        <v>#N/A</v>
      </c>
    </row>
    <row r="282" customHeight="1" spans="8:8">
      <c r="H282" s="39" t="e">
        <f>VLOOKUP(E282,基础信息!C:E,3,FALSE)</f>
        <v>#N/A</v>
      </c>
    </row>
    <row r="283" customHeight="1" spans="8:8">
      <c r="H283" s="39" t="e">
        <f>VLOOKUP(E283,基础信息!C:E,3,FALSE)</f>
        <v>#N/A</v>
      </c>
    </row>
    <row r="284" customHeight="1" spans="8:8">
      <c r="H284" s="39" t="e">
        <f>VLOOKUP(E284,基础信息!C:E,3,FALSE)</f>
        <v>#N/A</v>
      </c>
    </row>
    <row r="285" customHeight="1" spans="8:8">
      <c r="H285" s="39" t="e">
        <f>VLOOKUP(E285,基础信息!C:E,3,FALSE)</f>
        <v>#N/A</v>
      </c>
    </row>
    <row r="286" customHeight="1" spans="8:8">
      <c r="H286" s="39" t="e">
        <f>VLOOKUP(E286,基础信息!C:E,3,FALSE)</f>
        <v>#N/A</v>
      </c>
    </row>
    <row r="287" customHeight="1" spans="8:8">
      <c r="H287" s="39" t="e">
        <f>VLOOKUP(E287,基础信息!C:E,3,FALSE)</f>
        <v>#N/A</v>
      </c>
    </row>
    <row r="288" customHeight="1" spans="8:8">
      <c r="H288" s="39" t="e">
        <f>VLOOKUP(E288,基础信息!C:E,3,FALSE)</f>
        <v>#N/A</v>
      </c>
    </row>
    <row r="289" customHeight="1" spans="8:8">
      <c r="H289" s="39" t="e">
        <f>VLOOKUP(E289,基础信息!C:E,3,FALSE)</f>
        <v>#N/A</v>
      </c>
    </row>
    <row r="290" customHeight="1" spans="8:8">
      <c r="H290" s="39" t="e">
        <f>VLOOKUP(E290,基础信息!C:E,3,FALSE)</f>
        <v>#N/A</v>
      </c>
    </row>
    <row r="291" customHeight="1" spans="8:8">
      <c r="H291" s="39" t="e">
        <f>VLOOKUP(E291,基础信息!C:E,3,FALSE)</f>
        <v>#N/A</v>
      </c>
    </row>
    <row r="292" customHeight="1" spans="8:8">
      <c r="H292" s="39" t="e">
        <f>VLOOKUP(E292,基础信息!C:E,3,FALSE)</f>
        <v>#N/A</v>
      </c>
    </row>
    <row r="293" customHeight="1" spans="8:8">
      <c r="H293" s="39" t="e">
        <f>VLOOKUP(E293,基础信息!C:E,3,FALSE)</f>
        <v>#N/A</v>
      </c>
    </row>
    <row r="294" customHeight="1" spans="8:8">
      <c r="H294" s="39" t="e">
        <f>VLOOKUP(E294,基础信息!C:E,3,FALSE)</f>
        <v>#N/A</v>
      </c>
    </row>
    <row r="295" customHeight="1" spans="8:8">
      <c r="H295" s="39" t="e">
        <f>VLOOKUP(E295,基础信息!C:E,3,FALSE)</f>
        <v>#N/A</v>
      </c>
    </row>
    <row r="296" customHeight="1" spans="8:8">
      <c r="H296" s="39" t="e">
        <f>VLOOKUP(E296,基础信息!C:E,3,FALSE)</f>
        <v>#N/A</v>
      </c>
    </row>
    <row r="297" customHeight="1" spans="8:8">
      <c r="H297" s="39" t="e">
        <f>VLOOKUP(E297,基础信息!C:E,3,FALSE)</f>
        <v>#N/A</v>
      </c>
    </row>
    <row r="298" customHeight="1" spans="8:8">
      <c r="H298" s="39" t="e">
        <f>VLOOKUP(E298,基础信息!C:E,3,FALSE)</f>
        <v>#N/A</v>
      </c>
    </row>
    <row r="299" customHeight="1" spans="8:8">
      <c r="H299" s="39" t="e">
        <f>VLOOKUP(E299,基础信息!C:E,3,FALSE)</f>
        <v>#N/A</v>
      </c>
    </row>
    <row r="300" customHeight="1" spans="8:8">
      <c r="H300" s="39" t="e">
        <f>VLOOKUP(E300,基础信息!C:E,3,FALSE)</f>
        <v>#N/A</v>
      </c>
    </row>
    <row r="301" customHeight="1" spans="8:8">
      <c r="H301" s="39" t="e">
        <f>VLOOKUP(E301,基础信息!C:E,3,FALSE)</f>
        <v>#N/A</v>
      </c>
    </row>
    <row r="302" customHeight="1" spans="8:8">
      <c r="H302" s="39" t="e">
        <f>VLOOKUP(E302,基础信息!C:E,3,FALSE)</f>
        <v>#N/A</v>
      </c>
    </row>
    <row r="303" customHeight="1" spans="8:8">
      <c r="H303" s="39" t="e">
        <f>VLOOKUP(E303,基础信息!C:E,3,FALSE)</f>
        <v>#N/A</v>
      </c>
    </row>
    <row r="304" customHeight="1" spans="8:8">
      <c r="H304" s="39" t="e">
        <f>VLOOKUP(E304,基础信息!C:E,3,FALSE)</f>
        <v>#N/A</v>
      </c>
    </row>
    <row r="305" customHeight="1" spans="8:8">
      <c r="H305" s="39" t="e">
        <f>VLOOKUP(E305,基础信息!C:E,3,FALSE)</f>
        <v>#N/A</v>
      </c>
    </row>
    <row r="306" customHeight="1" spans="8:8">
      <c r="H306" s="39" t="e">
        <f>VLOOKUP(E306,基础信息!C:E,3,FALSE)</f>
        <v>#N/A</v>
      </c>
    </row>
    <row r="307" customHeight="1" spans="8:8">
      <c r="H307" s="39" t="e">
        <f>VLOOKUP(E307,基础信息!C:E,3,FALSE)</f>
        <v>#N/A</v>
      </c>
    </row>
    <row r="308" customHeight="1" spans="8:8">
      <c r="H308" s="39" t="e">
        <f>VLOOKUP(E308,基础信息!C:E,3,FALSE)</f>
        <v>#N/A</v>
      </c>
    </row>
    <row r="309" customHeight="1" spans="8:8">
      <c r="H309" s="39" t="e">
        <f>VLOOKUP(E309,基础信息!C:E,3,FALSE)</f>
        <v>#N/A</v>
      </c>
    </row>
    <row r="310" customHeight="1" spans="8:8">
      <c r="H310" s="39" t="e">
        <f>VLOOKUP(E310,基础信息!C:E,3,FALSE)</f>
        <v>#N/A</v>
      </c>
    </row>
    <row r="311" customHeight="1" spans="8:8">
      <c r="H311" s="39" t="e">
        <f>VLOOKUP(E311,基础信息!C:E,3,FALSE)</f>
        <v>#N/A</v>
      </c>
    </row>
    <row r="312" customHeight="1" spans="8:8">
      <c r="H312" s="39" t="e">
        <f>VLOOKUP(E312,基础信息!C:E,3,FALSE)</f>
        <v>#N/A</v>
      </c>
    </row>
    <row r="313" customHeight="1" spans="8:8">
      <c r="H313" s="39" t="e">
        <f>VLOOKUP(E313,基础信息!C:E,3,FALSE)</f>
        <v>#N/A</v>
      </c>
    </row>
    <row r="314" customHeight="1" spans="8:8">
      <c r="H314" s="39" t="e">
        <f>VLOOKUP(E314,基础信息!C:E,3,FALSE)</f>
        <v>#N/A</v>
      </c>
    </row>
    <row r="315" customHeight="1" spans="8:8">
      <c r="H315" s="39" t="e">
        <f>VLOOKUP(E315,基础信息!C:E,3,FALSE)</f>
        <v>#N/A</v>
      </c>
    </row>
    <row r="316" customHeight="1" spans="8:8">
      <c r="H316" s="39" t="e">
        <f>VLOOKUP(E316,基础信息!C:E,3,FALSE)</f>
        <v>#N/A</v>
      </c>
    </row>
    <row r="317" customHeight="1" spans="8:8">
      <c r="H317" s="39" t="e">
        <f>VLOOKUP(E317,基础信息!C:E,3,FALSE)</f>
        <v>#N/A</v>
      </c>
    </row>
    <row r="318" customHeight="1" spans="8:8">
      <c r="H318" s="39" t="e">
        <f>VLOOKUP(E318,基础信息!C:E,3,FALSE)</f>
        <v>#N/A</v>
      </c>
    </row>
    <row r="319" customHeight="1" spans="8:8">
      <c r="H319" s="39" t="e">
        <f>VLOOKUP(E319,基础信息!C:E,3,FALSE)</f>
        <v>#N/A</v>
      </c>
    </row>
    <row r="320" customHeight="1" spans="8:8">
      <c r="H320" s="39" t="e">
        <f>VLOOKUP(E320,基础信息!C:E,3,FALSE)</f>
        <v>#N/A</v>
      </c>
    </row>
    <row r="321" customHeight="1" spans="8:8">
      <c r="H321" s="39" t="e">
        <f>VLOOKUP(E321,基础信息!C:E,3,FALSE)</f>
        <v>#N/A</v>
      </c>
    </row>
    <row r="322" customHeight="1" spans="8:8">
      <c r="H322" s="39" t="e">
        <f>VLOOKUP(E322,基础信息!C:E,3,FALSE)</f>
        <v>#N/A</v>
      </c>
    </row>
    <row r="323" customHeight="1" spans="8:8">
      <c r="H323" s="39" t="e">
        <f>VLOOKUP(E323,基础信息!C:E,3,FALSE)</f>
        <v>#N/A</v>
      </c>
    </row>
    <row r="324" customHeight="1" spans="8:8">
      <c r="H324" s="39" t="e">
        <f>VLOOKUP(E324,基础信息!C:E,3,FALSE)</f>
        <v>#N/A</v>
      </c>
    </row>
    <row r="325" customHeight="1" spans="8:8">
      <c r="H325" s="39" t="e">
        <f>VLOOKUP(E325,基础信息!C:E,3,FALSE)</f>
        <v>#N/A</v>
      </c>
    </row>
    <row r="326" customHeight="1" spans="8:8">
      <c r="H326" s="39" t="e">
        <f>VLOOKUP(E326,基础信息!C:E,3,FALSE)</f>
        <v>#N/A</v>
      </c>
    </row>
    <row r="327" customHeight="1" spans="8:8">
      <c r="H327" s="39" t="e">
        <f>VLOOKUP(E327,基础信息!C:E,3,FALSE)</f>
        <v>#N/A</v>
      </c>
    </row>
    <row r="328" customHeight="1" spans="8:8">
      <c r="H328" s="39" t="e">
        <f>VLOOKUP(E328,基础信息!C:E,3,FALSE)</f>
        <v>#N/A</v>
      </c>
    </row>
    <row r="329" customHeight="1" spans="8:8">
      <c r="H329" s="39" t="e">
        <f>VLOOKUP(E329,基础信息!C:E,3,FALSE)</f>
        <v>#N/A</v>
      </c>
    </row>
    <row r="330" customHeight="1" spans="8:8">
      <c r="H330" s="39" t="e">
        <f>VLOOKUP(E330,基础信息!C:E,3,FALSE)</f>
        <v>#N/A</v>
      </c>
    </row>
    <row r="331" customHeight="1" spans="8:8">
      <c r="H331" s="39" t="e">
        <f>VLOOKUP(E331,基础信息!C:E,3,FALSE)</f>
        <v>#N/A</v>
      </c>
    </row>
    <row r="332" customHeight="1" spans="8:8">
      <c r="H332" s="39" t="e">
        <f>VLOOKUP(E332,基础信息!C:E,3,FALSE)</f>
        <v>#N/A</v>
      </c>
    </row>
    <row r="333" customHeight="1" spans="8:8">
      <c r="H333" s="39" t="e">
        <f>VLOOKUP(E333,基础信息!C:E,3,FALSE)</f>
        <v>#N/A</v>
      </c>
    </row>
    <row r="334" customHeight="1" spans="8:8">
      <c r="H334" s="39" t="e">
        <f>VLOOKUP(E334,基础信息!C:E,3,FALSE)</f>
        <v>#N/A</v>
      </c>
    </row>
    <row r="335" customHeight="1" spans="8:8">
      <c r="H335" s="39" t="e">
        <f>VLOOKUP(E335,基础信息!C:E,3,FALSE)</f>
        <v>#N/A</v>
      </c>
    </row>
    <row r="336" customHeight="1" spans="8:8">
      <c r="H336" s="39" t="e">
        <f>VLOOKUP(E336,基础信息!C:E,3,FALSE)</f>
        <v>#N/A</v>
      </c>
    </row>
    <row r="337" customHeight="1" spans="8:8">
      <c r="H337" s="39" t="e">
        <f>VLOOKUP(E337,基础信息!C:E,3,FALSE)</f>
        <v>#N/A</v>
      </c>
    </row>
    <row r="338" customHeight="1" spans="8:8">
      <c r="H338" s="39" t="e">
        <f>VLOOKUP(E338,基础信息!C:E,3,FALSE)</f>
        <v>#N/A</v>
      </c>
    </row>
    <row r="339" customHeight="1" spans="8:8">
      <c r="H339" s="39" t="e">
        <f>VLOOKUP(E339,基础信息!C:E,3,FALSE)</f>
        <v>#N/A</v>
      </c>
    </row>
    <row r="340" customHeight="1" spans="8:8">
      <c r="H340" s="39" t="e">
        <f>VLOOKUP(E340,基础信息!C:E,3,FALSE)</f>
        <v>#N/A</v>
      </c>
    </row>
    <row r="341" customHeight="1" spans="8:8">
      <c r="H341" s="39" t="e">
        <f>VLOOKUP(E341,基础信息!C:E,3,FALSE)</f>
        <v>#N/A</v>
      </c>
    </row>
    <row r="342" customHeight="1" spans="8:8">
      <c r="H342" s="39" t="e">
        <f>VLOOKUP(E342,基础信息!C:E,3,FALSE)</f>
        <v>#N/A</v>
      </c>
    </row>
    <row r="343" customHeight="1" spans="8:8">
      <c r="H343" s="39" t="e">
        <f>VLOOKUP(E343,基础信息!C:E,3,FALSE)</f>
        <v>#N/A</v>
      </c>
    </row>
    <row r="344" customHeight="1" spans="8:8">
      <c r="H344" s="39" t="e">
        <f>VLOOKUP(E344,基础信息!C:E,3,FALSE)</f>
        <v>#N/A</v>
      </c>
    </row>
    <row r="345" customHeight="1" spans="8:8">
      <c r="H345" s="39" t="e">
        <f>VLOOKUP(E345,基础信息!C:E,3,FALSE)</f>
        <v>#N/A</v>
      </c>
    </row>
    <row r="346" customHeight="1" spans="8:8">
      <c r="H346" s="39" t="e">
        <f>VLOOKUP(E346,基础信息!C:E,3,FALSE)</f>
        <v>#N/A</v>
      </c>
    </row>
    <row r="347" customHeight="1" spans="8:8">
      <c r="H347" s="39" t="e">
        <f>VLOOKUP(E347,基础信息!C:E,3,FALSE)</f>
        <v>#N/A</v>
      </c>
    </row>
    <row r="348" customHeight="1" spans="8:8">
      <c r="H348" s="39" t="e">
        <f>VLOOKUP(E348,基础信息!C:E,3,FALSE)</f>
        <v>#N/A</v>
      </c>
    </row>
    <row r="349" customHeight="1" spans="8:8">
      <c r="H349" s="39" t="e">
        <f>VLOOKUP(E349,基础信息!C:E,3,FALSE)</f>
        <v>#N/A</v>
      </c>
    </row>
    <row r="350" customHeight="1" spans="8:8">
      <c r="H350" s="39" t="e">
        <f>VLOOKUP(E350,基础信息!C:E,3,FALSE)</f>
        <v>#N/A</v>
      </c>
    </row>
    <row r="351" customHeight="1" spans="8:8">
      <c r="H351" s="39" t="e">
        <f>VLOOKUP(E351,基础信息!C:E,3,FALSE)</f>
        <v>#N/A</v>
      </c>
    </row>
    <row r="352" customHeight="1" spans="8:8">
      <c r="H352" s="39" t="e">
        <f>VLOOKUP(E352,基础信息!C:E,3,FALSE)</f>
        <v>#N/A</v>
      </c>
    </row>
    <row r="353" customHeight="1" spans="8:8">
      <c r="H353" s="39" t="e">
        <f>VLOOKUP(E353,基础信息!C:E,3,FALSE)</f>
        <v>#N/A</v>
      </c>
    </row>
    <row r="354" customHeight="1" spans="8:8">
      <c r="H354" s="39" t="e">
        <f>VLOOKUP(E354,基础信息!C:E,3,FALSE)</f>
        <v>#N/A</v>
      </c>
    </row>
    <row r="355" customHeight="1" spans="8:8">
      <c r="H355" s="39" t="e">
        <f>VLOOKUP(E355,基础信息!C:E,3,FALSE)</f>
        <v>#N/A</v>
      </c>
    </row>
    <row r="356" customHeight="1" spans="8:8">
      <c r="H356" s="39" t="e">
        <f>VLOOKUP(E356,基础信息!C:E,3,FALSE)</f>
        <v>#N/A</v>
      </c>
    </row>
    <row r="357" customHeight="1" spans="8:8">
      <c r="H357" s="39" t="e">
        <f>VLOOKUP(E357,基础信息!C:E,3,FALSE)</f>
        <v>#N/A</v>
      </c>
    </row>
    <row r="358" customHeight="1" spans="8:8">
      <c r="H358" s="39" t="e">
        <f>VLOOKUP(E358,基础信息!C:E,3,FALSE)</f>
        <v>#N/A</v>
      </c>
    </row>
    <row r="359" customHeight="1" spans="8:8">
      <c r="H359" s="39" t="e">
        <f>VLOOKUP(E359,基础信息!C:E,3,FALSE)</f>
        <v>#N/A</v>
      </c>
    </row>
    <row r="360" customHeight="1" spans="8:8">
      <c r="H360" s="39" t="e">
        <f>VLOOKUP(E360,基础信息!C:E,3,FALSE)</f>
        <v>#N/A</v>
      </c>
    </row>
    <row r="361" customHeight="1" spans="8:8">
      <c r="H361" s="39" t="e">
        <f>VLOOKUP(E361,基础信息!C:E,3,FALSE)</f>
        <v>#N/A</v>
      </c>
    </row>
    <row r="362" customHeight="1" spans="8:8">
      <c r="H362" s="39" t="e">
        <f>VLOOKUP(E362,基础信息!C:E,3,FALSE)</f>
        <v>#N/A</v>
      </c>
    </row>
    <row r="363" customHeight="1" spans="8:8">
      <c r="H363" s="39" t="e">
        <f>VLOOKUP(E363,基础信息!C:E,3,FALSE)</f>
        <v>#N/A</v>
      </c>
    </row>
    <row r="364" customHeight="1" spans="8:8">
      <c r="H364" s="39" t="e">
        <f>VLOOKUP(E364,基础信息!C:E,3,FALSE)</f>
        <v>#N/A</v>
      </c>
    </row>
    <row r="365" customHeight="1" spans="8:8">
      <c r="H365" s="39" t="e">
        <f>VLOOKUP(E365,基础信息!C:E,3,FALSE)</f>
        <v>#N/A</v>
      </c>
    </row>
    <row r="366" customHeight="1" spans="8:8">
      <c r="H366" s="39" t="e">
        <f>VLOOKUP(E366,基础信息!C:E,3,FALSE)</f>
        <v>#N/A</v>
      </c>
    </row>
    <row r="367" customHeight="1" spans="8:8">
      <c r="H367" s="39" t="e">
        <f>VLOOKUP(E367,基础信息!C:E,3,FALSE)</f>
        <v>#N/A</v>
      </c>
    </row>
    <row r="368" customHeight="1" spans="8:8">
      <c r="H368" s="39" t="e">
        <f>VLOOKUP(E368,基础信息!C:E,3,FALSE)</f>
        <v>#N/A</v>
      </c>
    </row>
    <row r="369" customHeight="1" spans="8:8">
      <c r="H369" s="39" t="e">
        <f>VLOOKUP(E369,基础信息!C:E,3,FALSE)</f>
        <v>#N/A</v>
      </c>
    </row>
    <row r="370" customHeight="1" spans="8:8">
      <c r="H370" s="39" t="e">
        <f>VLOOKUP(E370,基础信息!C:E,3,FALSE)</f>
        <v>#N/A</v>
      </c>
    </row>
    <row r="371" customHeight="1" spans="8:8">
      <c r="H371" s="39" t="e">
        <f>VLOOKUP(E371,基础信息!C:E,3,FALSE)</f>
        <v>#N/A</v>
      </c>
    </row>
    <row r="372" customHeight="1" spans="8:8">
      <c r="H372" s="39" t="e">
        <f>VLOOKUP(E372,基础信息!C:E,3,FALSE)</f>
        <v>#N/A</v>
      </c>
    </row>
    <row r="373" customHeight="1" spans="8:8">
      <c r="H373" s="39" t="e">
        <f>VLOOKUP(E373,基础信息!C:E,3,FALSE)</f>
        <v>#N/A</v>
      </c>
    </row>
    <row r="374" customHeight="1" spans="8:8">
      <c r="H374" s="39" t="e">
        <f>VLOOKUP(E374,基础信息!C:E,3,FALSE)</f>
        <v>#N/A</v>
      </c>
    </row>
    <row r="375" customHeight="1" spans="8:8">
      <c r="H375" s="39" t="e">
        <f>VLOOKUP(E375,基础信息!C:E,3,FALSE)</f>
        <v>#N/A</v>
      </c>
    </row>
    <row r="376" customHeight="1" spans="8:8">
      <c r="H376" s="39" t="e">
        <f>VLOOKUP(E376,基础信息!C:E,3,FALSE)</f>
        <v>#N/A</v>
      </c>
    </row>
    <row r="377" customHeight="1" spans="8:8">
      <c r="H377" s="39" t="e">
        <f>VLOOKUP(E377,基础信息!C:E,3,FALSE)</f>
        <v>#N/A</v>
      </c>
    </row>
    <row r="378" customHeight="1" spans="8:8">
      <c r="H378" s="39" t="e">
        <f>VLOOKUP(E378,基础信息!C:E,3,FALSE)</f>
        <v>#N/A</v>
      </c>
    </row>
    <row r="379" customHeight="1" spans="8:8">
      <c r="H379" s="39" t="e">
        <f>VLOOKUP(E379,基础信息!C:E,3,FALSE)</f>
        <v>#N/A</v>
      </c>
    </row>
    <row r="380" customHeight="1" spans="8:8">
      <c r="H380" s="39" t="e">
        <f>VLOOKUP(E380,基础信息!C:E,3,FALSE)</f>
        <v>#N/A</v>
      </c>
    </row>
    <row r="381" customHeight="1" spans="8:8">
      <c r="H381" s="39" t="e">
        <f>VLOOKUP(E381,基础信息!C:E,3,FALSE)</f>
        <v>#N/A</v>
      </c>
    </row>
    <row r="382" customHeight="1" spans="8:8">
      <c r="H382" s="39" t="e">
        <f>VLOOKUP(E382,基础信息!C:E,3,FALSE)</f>
        <v>#N/A</v>
      </c>
    </row>
    <row r="383" customHeight="1" spans="8:8">
      <c r="H383" s="39" t="e">
        <f>VLOOKUP(E383,基础信息!C:E,3,FALSE)</f>
        <v>#N/A</v>
      </c>
    </row>
    <row r="384" customHeight="1" spans="8:8">
      <c r="H384" s="39" t="e">
        <f>VLOOKUP(E384,基础信息!C:E,3,FALSE)</f>
        <v>#N/A</v>
      </c>
    </row>
    <row r="385" customHeight="1" spans="8:8">
      <c r="H385" s="39" t="e">
        <f>VLOOKUP(E385,基础信息!C:E,3,FALSE)</f>
        <v>#N/A</v>
      </c>
    </row>
    <row r="386" customHeight="1" spans="8:8">
      <c r="H386" s="39" t="e">
        <f>VLOOKUP(E386,基础信息!C:E,3,FALSE)</f>
        <v>#N/A</v>
      </c>
    </row>
    <row r="387" customHeight="1" spans="8:8">
      <c r="H387" s="39" t="e">
        <f>VLOOKUP(E387,基础信息!C:E,3,FALSE)</f>
        <v>#N/A</v>
      </c>
    </row>
    <row r="388" customHeight="1" spans="8:8">
      <c r="H388" s="39" t="e">
        <f>VLOOKUP(E388,基础信息!C:E,3,FALSE)</f>
        <v>#N/A</v>
      </c>
    </row>
    <row r="389" customHeight="1" spans="8:8">
      <c r="H389" s="39" t="e">
        <f>VLOOKUP(E389,基础信息!C:E,3,FALSE)</f>
        <v>#N/A</v>
      </c>
    </row>
    <row r="390" customHeight="1" spans="8:8">
      <c r="H390" s="39" t="e">
        <f>VLOOKUP(E390,基础信息!C:E,3,FALSE)</f>
        <v>#N/A</v>
      </c>
    </row>
    <row r="391" customHeight="1" spans="8:8">
      <c r="H391" s="39" t="e">
        <f>VLOOKUP(E391,基础信息!C:E,3,FALSE)</f>
        <v>#N/A</v>
      </c>
    </row>
    <row r="392" customHeight="1" spans="8:8">
      <c r="H392" s="39" t="e">
        <f>VLOOKUP(E392,基础信息!C:E,3,FALSE)</f>
        <v>#N/A</v>
      </c>
    </row>
    <row r="393" customHeight="1" spans="8:8">
      <c r="H393" s="39" t="e">
        <f>VLOOKUP(E393,基础信息!C:E,3,FALSE)</f>
        <v>#N/A</v>
      </c>
    </row>
    <row r="394" customHeight="1" spans="8:8">
      <c r="H394" s="39" t="e">
        <f>VLOOKUP(E394,基础信息!C:E,3,FALSE)</f>
        <v>#N/A</v>
      </c>
    </row>
    <row r="395" customHeight="1" spans="8:8">
      <c r="H395" s="39" t="e">
        <f>VLOOKUP(E395,基础信息!C:E,3,FALSE)</f>
        <v>#N/A</v>
      </c>
    </row>
    <row r="396" customHeight="1" spans="8:8">
      <c r="H396" s="39" t="e">
        <f>VLOOKUP(E396,基础信息!C:E,3,FALSE)</f>
        <v>#N/A</v>
      </c>
    </row>
    <row r="397" customHeight="1" spans="8:8">
      <c r="H397" s="39" t="e">
        <f>VLOOKUP(E397,基础信息!C:E,3,FALSE)</f>
        <v>#N/A</v>
      </c>
    </row>
    <row r="398" customHeight="1" spans="8:8">
      <c r="H398" s="39" t="e">
        <f>VLOOKUP(E398,基础信息!C:E,3,FALSE)</f>
        <v>#N/A</v>
      </c>
    </row>
    <row r="399" customHeight="1" spans="8:8">
      <c r="H399" s="39" t="e">
        <f>VLOOKUP(E399,基础信息!C:E,3,FALSE)</f>
        <v>#N/A</v>
      </c>
    </row>
    <row r="400" customHeight="1" spans="8:8">
      <c r="H400" s="39" t="e">
        <f>VLOOKUP(E400,基础信息!C:E,3,FALSE)</f>
        <v>#N/A</v>
      </c>
    </row>
    <row r="401" customHeight="1" spans="8:8">
      <c r="H401" s="39" t="e">
        <f>VLOOKUP(E401,基础信息!C:E,3,FALSE)</f>
        <v>#N/A</v>
      </c>
    </row>
    <row r="402" customHeight="1" spans="8:8">
      <c r="H402" s="39" t="e">
        <f>VLOOKUP(E402,基础信息!C:E,3,FALSE)</f>
        <v>#N/A</v>
      </c>
    </row>
    <row r="403" customHeight="1" spans="8:8">
      <c r="H403" s="39" t="e">
        <f>VLOOKUP(E403,基础信息!C:E,3,FALSE)</f>
        <v>#N/A</v>
      </c>
    </row>
    <row r="404" customHeight="1" spans="8:8">
      <c r="H404" s="39" t="e">
        <f>VLOOKUP(E404,基础信息!C:E,3,FALSE)</f>
        <v>#N/A</v>
      </c>
    </row>
    <row r="405" customHeight="1" spans="8:8">
      <c r="H405" s="39" t="e">
        <f>VLOOKUP(E405,基础信息!C:E,3,FALSE)</f>
        <v>#N/A</v>
      </c>
    </row>
    <row r="406" customHeight="1" spans="8:8">
      <c r="H406" s="39" t="e">
        <f>VLOOKUP(E406,基础信息!C:E,3,FALSE)</f>
        <v>#N/A</v>
      </c>
    </row>
    <row r="407" customHeight="1" spans="8:8">
      <c r="H407" s="39" t="e">
        <f>VLOOKUP(E407,基础信息!C:E,3,FALSE)</f>
        <v>#N/A</v>
      </c>
    </row>
    <row r="408" customHeight="1" spans="8:8">
      <c r="H408" s="39" t="e">
        <f>VLOOKUP(E408,基础信息!C:E,3,FALSE)</f>
        <v>#N/A</v>
      </c>
    </row>
    <row r="409" customHeight="1" spans="8:8">
      <c r="H409" s="39" t="e">
        <f>VLOOKUP(E409,基础信息!C:E,3,FALSE)</f>
        <v>#N/A</v>
      </c>
    </row>
    <row r="410" customHeight="1" spans="8:8">
      <c r="H410" s="39" t="e">
        <f>VLOOKUP(E410,基础信息!C:E,3,FALSE)</f>
        <v>#N/A</v>
      </c>
    </row>
    <row r="411" customHeight="1" spans="8:8">
      <c r="H411" s="39" t="e">
        <f>VLOOKUP(E411,基础信息!C:E,3,FALSE)</f>
        <v>#N/A</v>
      </c>
    </row>
    <row r="412" customHeight="1" spans="8:8">
      <c r="H412" s="39" t="e">
        <f>VLOOKUP(E412,基础信息!C:E,3,FALSE)</f>
        <v>#N/A</v>
      </c>
    </row>
    <row r="413" customHeight="1" spans="8:8">
      <c r="H413" s="39" t="e">
        <f>VLOOKUP(E413,基础信息!C:E,3,FALSE)</f>
        <v>#N/A</v>
      </c>
    </row>
    <row r="414" customHeight="1" spans="8:8">
      <c r="H414" s="39" t="e">
        <f>VLOOKUP(E414,基础信息!C:E,3,FALSE)</f>
        <v>#N/A</v>
      </c>
    </row>
    <row r="415" customHeight="1" spans="8:8">
      <c r="H415" s="39" t="e">
        <f>VLOOKUP(E415,基础信息!C:E,3,FALSE)</f>
        <v>#N/A</v>
      </c>
    </row>
    <row r="416" customHeight="1" spans="8:8">
      <c r="H416" s="39" t="e">
        <f>VLOOKUP(E416,基础信息!C:E,3,FALSE)</f>
        <v>#N/A</v>
      </c>
    </row>
    <row r="417" customHeight="1" spans="8:8">
      <c r="H417" s="39" t="e">
        <f>VLOOKUP(E417,基础信息!C:E,3,FALSE)</f>
        <v>#N/A</v>
      </c>
    </row>
    <row r="418" customHeight="1" spans="8:8">
      <c r="H418" s="39" t="e">
        <f>VLOOKUP(E418,基础信息!C:E,3,FALSE)</f>
        <v>#N/A</v>
      </c>
    </row>
    <row r="419" customHeight="1" spans="8:8">
      <c r="H419" s="39" t="e">
        <f>VLOOKUP(E419,基础信息!C:E,3,FALSE)</f>
        <v>#N/A</v>
      </c>
    </row>
    <row r="420" customHeight="1" spans="8:8">
      <c r="H420" s="39" t="e">
        <f>VLOOKUP(E420,基础信息!C:E,3,FALSE)</f>
        <v>#N/A</v>
      </c>
    </row>
    <row r="421" customHeight="1" spans="8:8">
      <c r="H421" s="39" t="e">
        <f>VLOOKUP(E421,基础信息!C:E,3,FALSE)</f>
        <v>#N/A</v>
      </c>
    </row>
    <row r="422" customHeight="1" spans="8:8">
      <c r="H422" s="39" t="e">
        <f>VLOOKUP(E422,基础信息!C:E,3,FALSE)</f>
        <v>#N/A</v>
      </c>
    </row>
    <row r="423" customHeight="1" spans="8:8">
      <c r="H423" s="39" t="e">
        <f>VLOOKUP(E423,基础信息!C:E,3,FALSE)</f>
        <v>#N/A</v>
      </c>
    </row>
    <row r="424" customHeight="1" spans="8:8">
      <c r="H424" s="39" t="e">
        <f>VLOOKUP(E424,基础信息!C:E,3,FALSE)</f>
        <v>#N/A</v>
      </c>
    </row>
    <row r="425" customHeight="1" spans="8:8">
      <c r="H425" s="39" t="e">
        <f>VLOOKUP(E425,基础信息!C:E,3,FALSE)</f>
        <v>#N/A</v>
      </c>
    </row>
    <row r="426" customHeight="1" spans="8:8">
      <c r="H426" s="39" t="e">
        <f>VLOOKUP(E426,基础信息!C:E,3,FALSE)</f>
        <v>#N/A</v>
      </c>
    </row>
    <row r="427" customHeight="1" spans="8:8">
      <c r="H427" s="39" t="e">
        <f>VLOOKUP(E427,基础信息!C:E,3,FALSE)</f>
        <v>#N/A</v>
      </c>
    </row>
    <row r="428" customHeight="1" spans="8:8">
      <c r="H428" s="39" t="e">
        <f>VLOOKUP(E428,基础信息!C:E,3,FALSE)</f>
        <v>#N/A</v>
      </c>
    </row>
    <row r="429" customHeight="1" spans="8:8">
      <c r="H429" s="39" t="e">
        <f>VLOOKUP(E429,基础信息!C:E,3,FALSE)</f>
        <v>#N/A</v>
      </c>
    </row>
    <row r="430" customHeight="1" spans="8:8">
      <c r="H430" s="39" t="e">
        <f>VLOOKUP(E430,基础信息!C:E,3,FALSE)</f>
        <v>#N/A</v>
      </c>
    </row>
    <row r="431" customHeight="1" spans="8:8">
      <c r="H431" s="39" t="e">
        <f>VLOOKUP(E431,基础信息!C:E,3,FALSE)</f>
        <v>#N/A</v>
      </c>
    </row>
    <row r="432" customHeight="1" spans="8:8">
      <c r="H432" s="39" t="e">
        <f>VLOOKUP(E432,基础信息!C:E,3,FALSE)</f>
        <v>#N/A</v>
      </c>
    </row>
    <row r="433" customHeight="1" spans="8:8">
      <c r="H433" s="39" t="e">
        <f>VLOOKUP(E433,基础信息!C:E,3,FALSE)</f>
        <v>#N/A</v>
      </c>
    </row>
    <row r="434" customHeight="1" spans="8:8">
      <c r="H434" s="39" t="e">
        <f>VLOOKUP(E434,基础信息!C:E,3,FALSE)</f>
        <v>#N/A</v>
      </c>
    </row>
    <row r="435" customHeight="1" spans="8:8">
      <c r="H435" s="39" t="e">
        <f>VLOOKUP(E435,基础信息!C:E,3,FALSE)</f>
        <v>#N/A</v>
      </c>
    </row>
    <row r="436" customHeight="1" spans="8:8">
      <c r="H436" s="39" t="e">
        <f>VLOOKUP(E436,基础信息!C:E,3,FALSE)</f>
        <v>#N/A</v>
      </c>
    </row>
    <row r="437" customHeight="1" spans="8:8">
      <c r="H437" s="39" t="e">
        <f>VLOOKUP(E437,基础信息!C:E,3,FALSE)</f>
        <v>#N/A</v>
      </c>
    </row>
    <row r="438" customHeight="1" spans="8:8">
      <c r="H438" s="39" t="e">
        <f>VLOOKUP(E438,基础信息!C:E,3,FALSE)</f>
        <v>#N/A</v>
      </c>
    </row>
    <row r="439" customHeight="1" spans="8:8">
      <c r="H439" s="39" t="e">
        <f>VLOOKUP(E439,基础信息!C:E,3,FALSE)</f>
        <v>#N/A</v>
      </c>
    </row>
    <row r="440" customHeight="1" spans="8:8">
      <c r="H440" s="39" t="e">
        <f>VLOOKUP(E440,基础信息!C:E,3,FALSE)</f>
        <v>#N/A</v>
      </c>
    </row>
    <row r="441" customHeight="1" spans="8:8">
      <c r="H441" s="39" t="e">
        <f>VLOOKUP(E441,基础信息!C:E,3,FALSE)</f>
        <v>#N/A</v>
      </c>
    </row>
    <row r="442" customHeight="1" spans="8:8">
      <c r="H442" s="39" t="e">
        <f>VLOOKUP(E442,基础信息!C:E,3,FALSE)</f>
        <v>#N/A</v>
      </c>
    </row>
    <row r="443" customHeight="1" spans="8:8">
      <c r="H443" s="39" t="e">
        <f>VLOOKUP(E443,基础信息!C:E,3,FALSE)</f>
        <v>#N/A</v>
      </c>
    </row>
    <row r="444" customHeight="1" spans="8:8">
      <c r="H444" s="39" t="e">
        <f>VLOOKUP(E444,基础信息!C:E,3,FALSE)</f>
        <v>#N/A</v>
      </c>
    </row>
    <row r="445" customHeight="1" spans="8:8">
      <c r="H445" s="39" t="e">
        <f>VLOOKUP(E445,基础信息!C:E,3,FALSE)</f>
        <v>#N/A</v>
      </c>
    </row>
    <row r="446" customHeight="1" spans="8:8">
      <c r="H446" s="39" t="e">
        <f>VLOOKUP(E446,基础信息!C:E,3,FALSE)</f>
        <v>#N/A</v>
      </c>
    </row>
    <row r="447" customHeight="1" spans="8:8">
      <c r="H447" s="39" t="e">
        <f>VLOOKUP(E447,基础信息!C:E,3,FALSE)</f>
        <v>#N/A</v>
      </c>
    </row>
    <row r="448" customHeight="1" spans="8:8">
      <c r="H448" s="39" t="e">
        <f>VLOOKUP(E448,基础信息!C:E,3,FALSE)</f>
        <v>#N/A</v>
      </c>
    </row>
    <row r="449" customHeight="1" spans="8:8">
      <c r="H449" s="39" t="e">
        <f>VLOOKUP(E449,基础信息!C:E,3,FALSE)</f>
        <v>#N/A</v>
      </c>
    </row>
    <row r="450" customHeight="1" spans="8:8">
      <c r="H450" s="39" t="e">
        <f>VLOOKUP(E450,基础信息!C:E,3,FALSE)</f>
        <v>#N/A</v>
      </c>
    </row>
    <row r="451" customHeight="1" spans="8:8">
      <c r="H451" s="39" t="e">
        <f>VLOOKUP(E451,基础信息!C:E,3,FALSE)</f>
        <v>#N/A</v>
      </c>
    </row>
    <row r="452" customHeight="1" spans="8:8">
      <c r="H452" s="39" t="e">
        <f>VLOOKUP(E452,基础信息!C:E,3,FALSE)</f>
        <v>#N/A</v>
      </c>
    </row>
    <row r="453" customHeight="1" spans="8:8">
      <c r="H453" s="39" t="e">
        <f>VLOOKUP(E453,基础信息!C:E,3,FALSE)</f>
        <v>#N/A</v>
      </c>
    </row>
    <row r="454" customHeight="1" spans="8:8">
      <c r="H454" s="39" t="e">
        <f>VLOOKUP(E454,基础信息!C:E,3,FALSE)</f>
        <v>#N/A</v>
      </c>
    </row>
    <row r="455" customHeight="1" spans="8:8">
      <c r="H455" s="39" t="e">
        <f>VLOOKUP(E455,基础信息!C:E,3,FALSE)</f>
        <v>#N/A</v>
      </c>
    </row>
    <row r="456" customHeight="1" spans="8:8">
      <c r="H456" s="39" t="e">
        <f>VLOOKUP(E456,基础信息!C:E,3,FALSE)</f>
        <v>#N/A</v>
      </c>
    </row>
    <row r="457" customHeight="1" spans="8:8">
      <c r="H457" s="39" t="e">
        <f>VLOOKUP(E457,基础信息!C:E,3,FALSE)</f>
        <v>#N/A</v>
      </c>
    </row>
    <row r="458" customHeight="1" spans="8:8">
      <c r="H458" s="39" t="e">
        <f>VLOOKUP(E458,基础信息!C:E,3,FALSE)</f>
        <v>#N/A</v>
      </c>
    </row>
    <row r="459" customHeight="1" spans="8:8">
      <c r="H459" s="39" t="e">
        <f>VLOOKUP(E459,基础信息!C:E,3,FALSE)</f>
        <v>#N/A</v>
      </c>
    </row>
    <row r="460" customHeight="1" spans="8:8">
      <c r="H460" s="39" t="e">
        <f>VLOOKUP(E460,基础信息!C:E,3,FALSE)</f>
        <v>#N/A</v>
      </c>
    </row>
    <row r="461" customHeight="1" spans="8:8">
      <c r="H461" s="39" t="e">
        <f>VLOOKUP(E461,基础信息!C:E,3,FALSE)</f>
        <v>#N/A</v>
      </c>
    </row>
    <row r="462" customHeight="1" spans="8:8">
      <c r="H462" s="39" t="e">
        <f>VLOOKUP(E462,基础信息!C:E,3,FALSE)</f>
        <v>#N/A</v>
      </c>
    </row>
    <row r="463" customHeight="1" spans="8:8">
      <c r="H463" s="39" t="e">
        <f>VLOOKUP(E463,基础信息!C:E,3,FALSE)</f>
        <v>#N/A</v>
      </c>
    </row>
    <row r="464" customHeight="1" spans="8:8">
      <c r="H464" s="39" t="e">
        <f>VLOOKUP(E464,基础信息!C:E,3,FALSE)</f>
        <v>#N/A</v>
      </c>
    </row>
    <row r="465" customHeight="1" spans="8:8">
      <c r="H465" s="39" t="e">
        <f>VLOOKUP(E465,基础信息!C:E,3,FALSE)</f>
        <v>#N/A</v>
      </c>
    </row>
    <row r="466" customHeight="1" spans="8:8">
      <c r="H466" s="39" t="e">
        <f>VLOOKUP(E466,基础信息!C:E,3,FALSE)</f>
        <v>#N/A</v>
      </c>
    </row>
    <row r="467" customHeight="1" spans="8:8">
      <c r="H467" s="39" t="e">
        <f>VLOOKUP(E467,基础信息!C:E,3,FALSE)</f>
        <v>#N/A</v>
      </c>
    </row>
    <row r="468" customHeight="1" spans="8:8">
      <c r="H468" s="39" t="e">
        <f>VLOOKUP(E468,基础信息!C:E,3,FALSE)</f>
        <v>#N/A</v>
      </c>
    </row>
    <row r="469" customHeight="1" spans="8:8">
      <c r="H469" s="39" t="e">
        <f>VLOOKUP(E469,基础信息!C:E,3,FALSE)</f>
        <v>#N/A</v>
      </c>
    </row>
    <row r="470" customHeight="1" spans="8:8">
      <c r="H470" s="39" t="e">
        <f>VLOOKUP(E470,基础信息!C:E,3,FALSE)</f>
        <v>#N/A</v>
      </c>
    </row>
    <row r="471" customHeight="1" spans="8:8">
      <c r="H471" s="39" t="e">
        <f>VLOOKUP(E471,基础信息!C:E,3,FALSE)</f>
        <v>#N/A</v>
      </c>
    </row>
    <row r="472" customHeight="1" spans="8:8">
      <c r="H472" s="39" t="e">
        <f>VLOOKUP(E472,基础信息!C:E,3,FALSE)</f>
        <v>#N/A</v>
      </c>
    </row>
    <row r="473" customHeight="1" spans="8:8">
      <c r="H473" s="39" t="e">
        <f>VLOOKUP(E473,基础信息!C:E,3,FALSE)</f>
        <v>#N/A</v>
      </c>
    </row>
    <row r="474" customHeight="1" spans="8:8">
      <c r="H474" s="39" t="e">
        <f>VLOOKUP(E474,基础信息!C:E,3,FALSE)</f>
        <v>#N/A</v>
      </c>
    </row>
    <row r="475" customHeight="1" spans="8:8">
      <c r="H475" s="39" t="e">
        <f>VLOOKUP(E475,基础信息!C:E,3,FALSE)</f>
        <v>#N/A</v>
      </c>
    </row>
    <row r="476" customHeight="1" spans="8:8">
      <c r="H476" s="39" t="e">
        <f>VLOOKUP(E476,基础信息!C:E,3,FALSE)</f>
        <v>#N/A</v>
      </c>
    </row>
    <row r="477" customHeight="1" spans="8:8">
      <c r="H477" s="39" t="e">
        <f>VLOOKUP(E477,基础信息!C:E,3,FALSE)</f>
        <v>#N/A</v>
      </c>
    </row>
    <row r="478" customHeight="1" spans="8:8">
      <c r="H478" s="39" t="e">
        <f>VLOOKUP(E478,基础信息!C:E,3,FALSE)</f>
        <v>#N/A</v>
      </c>
    </row>
    <row r="479" customHeight="1" spans="8:8">
      <c r="H479" s="39" t="e">
        <f>VLOOKUP(E479,基础信息!C:E,3,FALSE)</f>
        <v>#N/A</v>
      </c>
    </row>
    <row r="480" customHeight="1" spans="8:8">
      <c r="H480" s="39" t="e">
        <f>VLOOKUP(E480,基础信息!C:E,3,FALSE)</f>
        <v>#N/A</v>
      </c>
    </row>
    <row r="481" customHeight="1" spans="8:8">
      <c r="H481" s="39" t="e">
        <f>VLOOKUP(E481,基础信息!C:E,3,FALSE)</f>
        <v>#N/A</v>
      </c>
    </row>
    <row r="482" customHeight="1" spans="8:8">
      <c r="H482" s="39" t="e">
        <f>VLOOKUP(E482,基础信息!C:E,3,FALSE)</f>
        <v>#N/A</v>
      </c>
    </row>
    <row r="483" customHeight="1" spans="8:8">
      <c r="H483" s="39" t="e">
        <f>VLOOKUP(E483,基础信息!C:E,3,FALSE)</f>
        <v>#N/A</v>
      </c>
    </row>
    <row r="484" customHeight="1" spans="8:8">
      <c r="H484" s="39" t="e">
        <f>VLOOKUP(E484,基础信息!C:E,3,FALSE)</f>
        <v>#N/A</v>
      </c>
    </row>
    <row r="485" customHeight="1" spans="8:8">
      <c r="H485" s="39" t="e">
        <f>VLOOKUP(E485,基础信息!C:E,3,FALSE)</f>
        <v>#N/A</v>
      </c>
    </row>
    <row r="486" customHeight="1" spans="8:8">
      <c r="H486" s="39" t="e">
        <f>VLOOKUP(E486,基础信息!C:E,3,FALSE)</f>
        <v>#N/A</v>
      </c>
    </row>
    <row r="487" customHeight="1" spans="8:8">
      <c r="H487" s="39" t="e">
        <f>VLOOKUP(E487,基础信息!C:E,3,FALSE)</f>
        <v>#N/A</v>
      </c>
    </row>
    <row r="488" customHeight="1" spans="8:8">
      <c r="H488" s="39" t="e">
        <f>VLOOKUP(E488,基础信息!C:E,3,FALSE)</f>
        <v>#N/A</v>
      </c>
    </row>
    <row r="489" customHeight="1" spans="8:8">
      <c r="H489" s="39" t="e">
        <f>VLOOKUP(E489,基础信息!C:E,3,FALSE)</f>
        <v>#N/A</v>
      </c>
    </row>
    <row r="490" customHeight="1" spans="8:8">
      <c r="H490" s="39" t="e">
        <f>VLOOKUP(E490,基础信息!C:E,3,FALSE)</f>
        <v>#N/A</v>
      </c>
    </row>
    <row r="491" customHeight="1" spans="8:8">
      <c r="H491" s="39" t="e">
        <f>VLOOKUP(E491,基础信息!C:E,3,FALSE)</f>
        <v>#N/A</v>
      </c>
    </row>
    <row r="492" customHeight="1" spans="8:8">
      <c r="H492" s="39" t="e">
        <f>VLOOKUP(E492,基础信息!C:E,3,FALSE)</f>
        <v>#N/A</v>
      </c>
    </row>
    <row r="493" customHeight="1" spans="8:8">
      <c r="H493" s="39" t="e">
        <f>VLOOKUP(E493,基础信息!C:E,3,FALSE)</f>
        <v>#N/A</v>
      </c>
    </row>
    <row r="494" customHeight="1" spans="1:10">
      <c r="A494" s="80"/>
      <c r="B494" s="81"/>
      <c r="C494" s="81"/>
      <c r="D494" s="81"/>
      <c r="E494" s="81"/>
      <c r="F494" s="81"/>
      <c r="G494" s="81"/>
      <c r="H494" s="81" t="e">
        <f>VLOOKUP(E494,基础信息!C:E,3,FALSE)</f>
        <v>#N/A</v>
      </c>
      <c r="I494" s="82"/>
      <c r="J494" s="81"/>
    </row>
    <row r="495" customHeight="1" spans="8:8">
      <c r="H495" s="39" t="e">
        <f>VLOOKUP(E495,基础信息!C:E,3,FALSE)</f>
        <v>#N/A</v>
      </c>
    </row>
    <row r="496" customHeight="1" spans="8:8">
      <c r="H496" s="39" t="e">
        <f>VLOOKUP(E496,基础信息!C:E,3,FALSE)</f>
        <v>#N/A</v>
      </c>
    </row>
    <row r="497" customHeight="1" spans="8:8">
      <c r="H497" s="39" t="e">
        <f>VLOOKUP(E497,基础信息!C:E,3,FALSE)</f>
        <v>#N/A</v>
      </c>
    </row>
    <row r="498" customHeight="1" spans="8:8">
      <c r="H498" s="39" t="e">
        <f>VLOOKUP(E498,基础信息!C:E,3,FALSE)</f>
        <v>#N/A</v>
      </c>
    </row>
    <row r="499" customHeight="1" spans="8:8">
      <c r="H499" s="39" t="e">
        <f>VLOOKUP(E499,基础信息!C:E,3,FALSE)</f>
        <v>#N/A</v>
      </c>
    </row>
    <row r="500" customHeight="1" spans="8:8">
      <c r="H500" s="39" t="e">
        <f>VLOOKUP(E500,基础信息!C:E,3,FALSE)</f>
        <v>#N/A</v>
      </c>
    </row>
    <row r="501" customHeight="1" spans="8:8">
      <c r="H501" s="39" t="e">
        <f>VLOOKUP(E501,基础信息!C:E,3,FALSE)</f>
        <v>#N/A</v>
      </c>
    </row>
    <row r="502" customHeight="1" spans="8:8">
      <c r="H502" s="39" t="e">
        <f>VLOOKUP(E502,基础信息!C:E,3,FALSE)</f>
        <v>#N/A</v>
      </c>
    </row>
    <row r="503" customHeight="1" spans="8:8">
      <c r="H503" s="39" t="e">
        <f>VLOOKUP(E503,基础信息!C:E,3,FALSE)</f>
        <v>#N/A</v>
      </c>
    </row>
    <row r="504" customHeight="1" spans="8:8">
      <c r="H504" s="39" t="e">
        <f>VLOOKUP(E504,基础信息!C:E,3,FALSE)</f>
        <v>#N/A</v>
      </c>
    </row>
    <row r="505" customHeight="1" spans="8:8">
      <c r="H505" s="39" t="e">
        <f>VLOOKUP(E505,基础信息!C:E,3,FALSE)</f>
        <v>#N/A</v>
      </c>
    </row>
    <row r="506" customHeight="1" spans="8:8">
      <c r="H506" s="39" t="e">
        <f>VLOOKUP(E506,基础信息!C:E,3,FALSE)</f>
        <v>#N/A</v>
      </c>
    </row>
    <row r="507" customHeight="1" spans="8:8">
      <c r="H507" s="39" t="e">
        <f>VLOOKUP(E507,基础信息!C:E,3,FALSE)</f>
        <v>#N/A</v>
      </c>
    </row>
    <row r="508" customHeight="1" spans="8:8">
      <c r="H508" s="39" t="e">
        <f>VLOOKUP(E508,基础信息!C:E,3,FALSE)</f>
        <v>#N/A</v>
      </c>
    </row>
    <row r="509" customHeight="1" spans="8:8">
      <c r="H509" s="39" t="e">
        <f>VLOOKUP(E509,基础信息!C:E,3,FALSE)</f>
        <v>#N/A</v>
      </c>
    </row>
    <row r="510" customHeight="1" spans="8:8">
      <c r="H510" s="39" t="e">
        <f>VLOOKUP(E510,基础信息!C:E,3,FALSE)</f>
        <v>#N/A</v>
      </c>
    </row>
    <row r="511" customHeight="1" spans="8:8">
      <c r="H511" s="39" t="e">
        <f>VLOOKUP(E511,基础信息!C:E,3,FALSE)</f>
        <v>#N/A</v>
      </c>
    </row>
    <row r="512" customHeight="1" spans="8:8">
      <c r="H512" s="39" t="e">
        <f>VLOOKUP(E512,基础信息!C:E,3,FALSE)</f>
        <v>#N/A</v>
      </c>
    </row>
    <row r="513" customHeight="1" spans="8:8">
      <c r="H513" s="39" t="e">
        <f>VLOOKUP(E513,基础信息!C:E,3,FALSE)</f>
        <v>#N/A</v>
      </c>
    </row>
    <row r="514" customHeight="1" spans="8:8">
      <c r="H514" s="39" t="e">
        <f>VLOOKUP(E514,基础信息!C:E,3,FALSE)</f>
        <v>#N/A</v>
      </c>
    </row>
    <row r="515" customHeight="1" spans="8:8">
      <c r="H515" s="39" t="e">
        <f>VLOOKUP(E515,基础信息!C:E,3,FALSE)</f>
        <v>#N/A</v>
      </c>
    </row>
    <row r="516" customHeight="1" spans="8:8">
      <c r="H516" s="39" t="e">
        <f>VLOOKUP(E516,基础信息!C:E,3,FALSE)</f>
        <v>#N/A</v>
      </c>
    </row>
    <row r="517" customHeight="1" spans="8:8">
      <c r="H517" s="39" t="e">
        <f>VLOOKUP(E517,基础信息!C:E,3,FALSE)</f>
        <v>#N/A</v>
      </c>
    </row>
    <row r="518" customHeight="1" spans="8:8">
      <c r="H518" s="39" t="e">
        <f>VLOOKUP(E518,基础信息!C:E,3,FALSE)</f>
        <v>#N/A</v>
      </c>
    </row>
    <row r="519" customHeight="1" spans="8:8">
      <c r="H519" s="39" t="e">
        <f>VLOOKUP(E519,基础信息!C:E,3,FALSE)</f>
        <v>#N/A</v>
      </c>
    </row>
    <row r="520" customHeight="1" spans="8:8">
      <c r="H520" s="39" t="e">
        <f>VLOOKUP(E520,基础信息!C:E,3,FALSE)</f>
        <v>#N/A</v>
      </c>
    </row>
    <row r="521" customHeight="1" spans="8:8">
      <c r="H521" s="39" t="e">
        <f>VLOOKUP(E521,基础信息!C:E,3,FALSE)</f>
        <v>#N/A</v>
      </c>
    </row>
    <row r="522" customHeight="1" spans="8:8">
      <c r="H522" s="39" t="e">
        <f>VLOOKUP(E522,基础信息!C:E,3,FALSE)</f>
        <v>#N/A</v>
      </c>
    </row>
    <row r="523" customHeight="1" spans="8:8">
      <c r="H523" s="39" t="e">
        <f>VLOOKUP(E523,基础信息!C:E,3,FALSE)</f>
        <v>#N/A</v>
      </c>
    </row>
    <row r="524" customHeight="1" spans="8:8">
      <c r="H524" s="39" t="e">
        <f>VLOOKUP(E524,基础信息!C:E,3,FALSE)</f>
        <v>#N/A</v>
      </c>
    </row>
    <row r="525" customHeight="1" spans="8:8">
      <c r="H525" s="39" t="e">
        <f>VLOOKUP(E525,基础信息!C:E,3,FALSE)</f>
        <v>#N/A</v>
      </c>
    </row>
    <row r="526" customHeight="1" spans="8:8">
      <c r="H526" s="39" t="e">
        <f>VLOOKUP(E526,基础信息!C:E,3,FALSE)</f>
        <v>#N/A</v>
      </c>
    </row>
    <row r="527" customHeight="1" spans="8:8">
      <c r="H527" s="39" t="e">
        <f>VLOOKUP(E527,基础信息!C:E,3,FALSE)</f>
        <v>#N/A</v>
      </c>
    </row>
    <row r="528" customHeight="1" spans="8:8">
      <c r="H528" s="39" t="e">
        <f>VLOOKUP(E528,基础信息!C:E,3,FALSE)</f>
        <v>#N/A</v>
      </c>
    </row>
    <row r="529" customHeight="1" spans="8:8">
      <c r="H529" s="39" t="e">
        <f>VLOOKUP(E529,基础信息!C:E,3,FALSE)</f>
        <v>#N/A</v>
      </c>
    </row>
    <row r="530" customHeight="1" spans="8:8">
      <c r="H530" s="39" t="e">
        <f>VLOOKUP(E530,基础信息!C:E,3,FALSE)</f>
        <v>#N/A</v>
      </c>
    </row>
    <row r="531" customHeight="1" spans="8:8">
      <c r="H531" s="39" t="e">
        <f>VLOOKUP(E531,基础信息!C:E,3,FALSE)</f>
        <v>#N/A</v>
      </c>
    </row>
    <row r="532" customHeight="1" spans="8:8">
      <c r="H532" s="39" t="e">
        <f>VLOOKUP(E532,基础信息!C:E,3,FALSE)</f>
        <v>#N/A</v>
      </c>
    </row>
    <row r="533" customHeight="1" spans="8:8">
      <c r="H533" s="39" t="e">
        <f>VLOOKUP(E533,基础信息!C:E,3,FALSE)</f>
        <v>#N/A</v>
      </c>
    </row>
    <row r="534" customHeight="1" spans="8:8">
      <c r="H534" s="39" t="e">
        <f>VLOOKUP(E534,基础信息!C:E,3,FALSE)</f>
        <v>#N/A</v>
      </c>
    </row>
    <row r="535" customHeight="1" spans="8:8">
      <c r="H535" s="39" t="e">
        <f>VLOOKUP(E535,基础信息!C:E,3,FALSE)</f>
        <v>#N/A</v>
      </c>
    </row>
    <row r="536" customHeight="1" spans="8:8">
      <c r="H536" s="39" t="e">
        <f>VLOOKUP(E536,基础信息!C:E,3,FALSE)</f>
        <v>#N/A</v>
      </c>
    </row>
    <row r="537" customHeight="1" spans="8:8">
      <c r="H537" s="39" t="e">
        <f>VLOOKUP(E537,基础信息!C:E,3,FALSE)</f>
        <v>#N/A</v>
      </c>
    </row>
    <row r="538" customHeight="1" spans="8:8">
      <c r="H538" s="39" t="e">
        <f>VLOOKUP(E538,基础信息!C:E,3,FALSE)</f>
        <v>#N/A</v>
      </c>
    </row>
    <row r="539" customHeight="1" spans="8:8">
      <c r="H539" s="39" t="e">
        <f>VLOOKUP(E539,基础信息!C:E,3,FALSE)</f>
        <v>#N/A</v>
      </c>
    </row>
    <row r="540" customHeight="1" spans="8:8">
      <c r="H540" s="39" t="e">
        <f>VLOOKUP(E540,基础信息!C:E,3,FALSE)</f>
        <v>#N/A</v>
      </c>
    </row>
    <row r="541" customHeight="1" spans="8:8">
      <c r="H541" s="39" t="e">
        <f>VLOOKUP(E541,基础信息!C:E,3,FALSE)</f>
        <v>#N/A</v>
      </c>
    </row>
    <row r="542" customHeight="1" spans="8:8">
      <c r="H542" s="39" t="e">
        <f>VLOOKUP(E542,基础信息!C:E,3,FALSE)</f>
        <v>#N/A</v>
      </c>
    </row>
    <row r="543" customHeight="1" spans="8:8">
      <c r="H543" s="39" t="e">
        <f>VLOOKUP(E543,基础信息!C:E,3,FALSE)</f>
        <v>#N/A</v>
      </c>
    </row>
    <row r="544" customHeight="1" spans="8:8">
      <c r="H544" s="39" t="e">
        <f>VLOOKUP(E544,基础信息!C:E,3,FALSE)</f>
        <v>#N/A</v>
      </c>
    </row>
    <row r="545" customHeight="1" spans="8:8">
      <c r="H545" s="39" t="e">
        <f>VLOOKUP(E545,基础信息!C:E,3,FALSE)</f>
        <v>#N/A</v>
      </c>
    </row>
    <row r="546" customHeight="1" spans="8:8">
      <c r="H546" s="39" t="e">
        <f>VLOOKUP(E546,基础信息!C:E,3,FALSE)</f>
        <v>#N/A</v>
      </c>
    </row>
    <row r="547" customHeight="1" spans="8:8">
      <c r="H547" s="39" t="e">
        <f>VLOOKUP(E547,基础信息!C:E,3,FALSE)</f>
        <v>#N/A</v>
      </c>
    </row>
    <row r="548" customHeight="1" spans="8:8">
      <c r="H548" s="39" t="e">
        <f>VLOOKUP(E548,基础信息!C:E,3,FALSE)</f>
        <v>#N/A</v>
      </c>
    </row>
    <row r="549" customHeight="1" spans="8:8">
      <c r="H549" s="39" t="e">
        <f>VLOOKUP(E549,基础信息!C:E,3,FALSE)</f>
        <v>#N/A</v>
      </c>
    </row>
    <row r="550" customHeight="1" spans="8:8">
      <c r="H550" s="39" t="e">
        <f>VLOOKUP(E550,基础信息!C:E,3,FALSE)</f>
        <v>#N/A</v>
      </c>
    </row>
    <row r="551" customHeight="1" spans="8:8">
      <c r="H551" s="39" t="e">
        <f>VLOOKUP(E551,基础信息!C:E,3,FALSE)</f>
        <v>#N/A</v>
      </c>
    </row>
    <row r="552" customHeight="1" spans="8:8">
      <c r="H552" s="39" t="e">
        <f>VLOOKUP(E552,基础信息!C:E,3,FALSE)</f>
        <v>#N/A</v>
      </c>
    </row>
    <row r="553" customHeight="1" spans="8:8">
      <c r="H553" s="39" t="e">
        <f>VLOOKUP(E553,基础信息!C:E,3,FALSE)</f>
        <v>#N/A</v>
      </c>
    </row>
    <row r="554" customHeight="1" spans="8:8">
      <c r="H554" s="39" t="e">
        <f>VLOOKUP(E554,基础信息!C:E,3,FALSE)</f>
        <v>#N/A</v>
      </c>
    </row>
    <row r="555" customHeight="1" spans="8:8">
      <c r="H555" s="39" t="e">
        <f>VLOOKUP(E555,基础信息!C:E,3,FALSE)</f>
        <v>#N/A</v>
      </c>
    </row>
    <row r="556" customHeight="1" spans="8:8">
      <c r="H556" s="39" t="e">
        <f>VLOOKUP(E556,基础信息!C:E,3,FALSE)</f>
        <v>#N/A</v>
      </c>
    </row>
    <row r="557" customHeight="1" spans="8:8">
      <c r="H557" s="39" t="e">
        <f>VLOOKUP(E557,基础信息!C:E,3,FALSE)</f>
        <v>#N/A</v>
      </c>
    </row>
    <row r="558" customHeight="1" spans="8:8">
      <c r="H558" s="39" t="e">
        <f>VLOOKUP(E558,基础信息!C:E,3,FALSE)</f>
        <v>#N/A</v>
      </c>
    </row>
    <row r="559" customHeight="1" spans="8:8">
      <c r="H559" s="39" t="e">
        <f>VLOOKUP(E559,基础信息!C:E,3,FALSE)</f>
        <v>#N/A</v>
      </c>
    </row>
    <row r="560" customHeight="1" spans="8:8">
      <c r="H560" s="39" t="e">
        <f>VLOOKUP(E560,基础信息!C:E,3,FALSE)</f>
        <v>#N/A</v>
      </c>
    </row>
    <row r="561" customHeight="1" spans="8:8">
      <c r="H561" s="39" t="e">
        <f>VLOOKUP(E561,基础信息!C:E,3,FALSE)</f>
        <v>#N/A</v>
      </c>
    </row>
    <row r="562" customHeight="1" spans="8:8">
      <c r="H562" s="39" t="e">
        <f>VLOOKUP(E562,基础信息!C:E,3,FALSE)</f>
        <v>#N/A</v>
      </c>
    </row>
    <row r="563" customHeight="1" spans="8:8">
      <c r="H563" s="39" t="e">
        <f>VLOOKUP(E563,基础信息!C:E,3,FALSE)</f>
        <v>#N/A</v>
      </c>
    </row>
    <row r="564" customHeight="1" spans="8:8">
      <c r="H564" s="39" t="e">
        <f>VLOOKUP(E564,基础信息!C:E,3,FALSE)</f>
        <v>#N/A</v>
      </c>
    </row>
    <row r="565" customHeight="1" spans="8:8">
      <c r="H565" s="39" t="e">
        <f>VLOOKUP(E565,基础信息!C:E,3,FALSE)</f>
        <v>#N/A</v>
      </c>
    </row>
    <row r="566" customHeight="1" spans="8:8">
      <c r="H566" s="39" t="e">
        <f>VLOOKUP(E566,基础信息!C:E,3,FALSE)</f>
        <v>#N/A</v>
      </c>
    </row>
    <row r="567" customHeight="1" spans="8:8">
      <c r="H567" s="39" t="e">
        <f>VLOOKUP(E567,基础信息!C:E,3,FALSE)</f>
        <v>#N/A</v>
      </c>
    </row>
    <row r="568" customHeight="1" spans="8:8">
      <c r="H568" s="39" t="e">
        <f>VLOOKUP(E568,基础信息!C:E,3,FALSE)</f>
        <v>#N/A</v>
      </c>
    </row>
    <row r="569" customHeight="1" spans="8:8">
      <c r="H569" s="39" t="e">
        <f>VLOOKUP(E569,基础信息!C:E,3,FALSE)</f>
        <v>#N/A</v>
      </c>
    </row>
    <row r="570" customHeight="1" spans="8:8">
      <c r="H570" s="39" t="e">
        <f>VLOOKUP(E570,基础信息!C:E,3,FALSE)</f>
        <v>#N/A</v>
      </c>
    </row>
    <row r="571" customHeight="1" spans="8:8">
      <c r="H571" s="39" t="e">
        <f>VLOOKUP(E571,基础信息!C:E,3,FALSE)</f>
        <v>#N/A</v>
      </c>
    </row>
    <row r="572" customHeight="1" spans="8:8">
      <c r="H572" s="39" t="e">
        <f>VLOOKUP(E572,基础信息!C:E,3,FALSE)</f>
        <v>#N/A</v>
      </c>
    </row>
    <row r="573" customHeight="1" spans="8:8">
      <c r="H573" s="39" t="e">
        <f>VLOOKUP(E573,基础信息!C:E,3,FALSE)</f>
        <v>#N/A</v>
      </c>
    </row>
    <row r="574" customHeight="1" spans="8:8">
      <c r="H574" s="39" t="e">
        <f>VLOOKUP(E574,基础信息!C:E,3,FALSE)</f>
        <v>#N/A</v>
      </c>
    </row>
    <row r="575" customHeight="1" spans="8:8">
      <c r="H575" s="39" t="e">
        <f>VLOOKUP(E575,基础信息!C:E,3,FALSE)</f>
        <v>#N/A</v>
      </c>
    </row>
    <row r="576" customHeight="1" spans="8:8">
      <c r="H576" s="39" t="e">
        <f>VLOOKUP(E576,基础信息!C:E,3,FALSE)</f>
        <v>#N/A</v>
      </c>
    </row>
    <row r="577" customHeight="1" spans="8:8">
      <c r="H577" s="39" t="e">
        <f>VLOOKUP(E577,基础信息!C:E,3,FALSE)</f>
        <v>#N/A</v>
      </c>
    </row>
    <row r="578" customHeight="1" spans="8:8">
      <c r="H578" s="39" t="e">
        <f>VLOOKUP(E578,基础信息!C:E,3,FALSE)</f>
        <v>#N/A</v>
      </c>
    </row>
    <row r="579" customHeight="1" spans="8:8">
      <c r="H579" s="39" t="e">
        <f>VLOOKUP(E579,基础信息!C:E,3,FALSE)</f>
        <v>#N/A</v>
      </c>
    </row>
    <row r="580" customHeight="1" spans="8:8">
      <c r="H580" s="39" t="e">
        <f>VLOOKUP(E580,基础信息!C:E,3,FALSE)</f>
        <v>#N/A</v>
      </c>
    </row>
    <row r="581" customHeight="1" spans="8:8">
      <c r="H581" s="39" t="e">
        <f>VLOOKUP(E581,基础信息!C:E,3,FALSE)</f>
        <v>#N/A</v>
      </c>
    </row>
    <row r="582" customHeight="1" spans="8:8">
      <c r="H582" s="39" t="e">
        <f>VLOOKUP(E582,基础信息!C:E,3,FALSE)</f>
        <v>#N/A</v>
      </c>
    </row>
    <row r="583" customHeight="1" spans="8:8">
      <c r="H583" s="39" t="e">
        <f>VLOOKUP(E583,基础信息!C:E,3,FALSE)</f>
        <v>#N/A</v>
      </c>
    </row>
    <row r="584" customHeight="1" spans="8:8">
      <c r="H584" s="39" t="e">
        <f>VLOOKUP(E584,基础信息!C:E,3,FALSE)</f>
        <v>#N/A</v>
      </c>
    </row>
    <row r="585" customHeight="1" spans="8:8">
      <c r="H585" s="39" t="e">
        <f>VLOOKUP(E585,基础信息!C:E,3,FALSE)</f>
        <v>#N/A</v>
      </c>
    </row>
    <row r="586" customHeight="1" spans="8:8">
      <c r="H586" s="39" t="e">
        <f>VLOOKUP(E586,基础信息!C:E,3,FALSE)</f>
        <v>#N/A</v>
      </c>
    </row>
    <row r="587" customHeight="1" spans="8:8">
      <c r="H587" s="39" t="e">
        <f>VLOOKUP(E587,基础信息!C:E,3,FALSE)</f>
        <v>#N/A</v>
      </c>
    </row>
    <row r="588" customHeight="1" spans="8:8">
      <c r="H588" s="39" t="e">
        <f>VLOOKUP(E588,基础信息!C:E,3,FALSE)</f>
        <v>#N/A</v>
      </c>
    </row>
    <row r="589" customHeight="1" spans="8:8">
      <c r="H589" s="39" t="e">
        <f>VLOOKUP(E589,基础信息!C:E,3,FALSE)</f>
        <v>#N/A</v>
      </c>
    </row>
    <row r="590" customHeight="1" spans="8:8">
      <c r="H590" s="39" t="e">
        <f>VLOOKUP(E590,基础信息!C:E,3,FALSE)</f>
        <v>#N/A</v>
      </c>
    </row>
    <row r="591" customHeight="1" spans="8:8">
      <c r="H591" s="39" t="e">
        <f>VLOOKUP(E591,基础信息!C:E,3,FALSE)</f>
        <v>#N/A</v>
      </c>
    </row>
    <row r="592" customHeight="1" spans="8:8">
      <c r="H592" s="39" t="e">
        <f>VLOOKUP(E592,基础信息!C:E,3,FALSE)</f>
        <v>#N/A</v>
      </c>
    </row>
    <row r="593" customHeight="1" spans="8:8">
      <c r="H593" s="39" t="e">
        <f>VLOOKUP(E593,基础信息!C:E,3,FALSE)</f>
        <v>#N/A</v>
      </c>
    </row>
    <row r="594" customHeight="1" spans="8:8">
      <c r="H594" s="39" t="e">
        <f>VLOOKUP(E594,基础信息!C:E,3,FALSE)</f>
        <v>#N/A</v>
      </c>
    </row>
    <row r="595" customHeight="1" spans="8:8">
      <c r="H595" s="39" t="e">
        <f>VLOOKUP(E595,基础信息!C:E,3,FALSE)</f>
        <v>#N/A</v>
      </c>
    </row>
    <row r="596" customHeight="1" spans="8:8">
      <c r="H596" s="39" t="e">
        <f>VLOOKUP(E596,基础信息!C:E,3,FALSE)</f>
        <v>#N/A</v>
      </c>
    </row>
    <row r="597" customHeight="1" spans="8:8">
      <c r="H597" s="39" t="e">
        <f>VLOOKUP(E597,基础信息!C:E,3,FALSE)</f>
        <v>#N/A</v>
      </c>
    </row>
    <row r="598" customHeight="1" spans="8:8">
      <c r="H598" s="39" t="e">
        <f>VLOOKUP(E598,基础信息!C:E,3,FALSE)</f>
        <v>#N/A</v>
      </c>
    </row>
    <row r="599" customHeight="1" spans="8:8">
      <c r="H599" s="39" t="e">
        <f>VLOOKUP(E599,基础信息!C:E,3,FALSE)</f>
        <v>#N/A</v>
      </c>
    </row>
    <row r="600" customHeight="1" spans="8:8">
      <c r="H600" s="39" t="e">
        <f>VLOOKUP(E600,基础信息!C:E,3,FALSE)</f>
        <v>#N/A</v>
      </c>
    </row>
    <row r="601" customHeight="1" spans="8:8">
      <c r="H601" s="39" t="e">
        <f>VLOOKUP(E601,基础信息!C:E,3,FALSE)</f>
        <v>#N/A</v>
      </c>
    </row>
    <row r="602" customHeight="1" spans="8:8">
      <c r="H602" s="39" t="e">
        <f>VLOOKUP(E602,基础信息!C:E,3,FALSE)</f>
        <v>#N/A</v>
      </c>
    </row>
    <row r="603" customHeight="1" spans="8:8">
      <c r="H603" s="39" t="e">
        <f>VLOOKUP(E603,基础信息!C:E,3,FALSE)</f>
        <v>#N/A</v>
      </c>
    </row>
    <row r="604" customHeight="1" spans="8:8">
      <c r="H604" s="39" t="e">
        <f>VLOOKUP(E604,基础信息!C:E,3,FALSE)</f>
        <v>#N/A</v>
      </c>
    </row>
    <row r="605" customHeight="1" spans="8:8">
      <c r="H605" s="39" t="e">
        <f>VLOOKUP(E605,基础信息!C:E,3,FALSE)</f>
        <v>#N/A</v>
      </c>
    </row>
    <row r="606" customHeight="1" spans="8:8">
      <c r="H606" s="39" t="e">
        <f>VLOOKUP(E606,基础信息!C:E,3,FALSE)</f>
        <v>#N/A</v>
      </c>
    </row>
    <row r="607" customHeight="1" spans="8:8">
      <c r="H607" s="39" t="e">
        <f>VLOOKUP(E607,基础信息!C:E,3,FALSE)</f>
        <v>#N/A</v>
      </c>
    </row>
    <row r="608" customHeight="1" spans="8:8">
      <c r="H608" s="39" t="e">
        <f>VLOOKUP(E608,基础信息!C:E,3,FALSE)</f>
        <v>#N/A</v>
      </c>
    </row>
    <row r="609" customHeight="1" spans="8:8">
      <c r="H609" s="39" t="e">
        <f>VLOOKUP(E609,基础信息!C:E,3,FALSE)</f>
        <v>#N/A</v>
      </c>
    </row>
    <row r="610" customHeight="1" spans="8:8">
      <c r="H610" s="39" t="e">
        <f>VLOOKUP(E610,基础信息!C:E,3,FALSE)</f>
        <v>#N/A</v>
      </c>
    </row>
    <row r="611" customHeight="1" spans="8:8">
      <c r="H611" s="39" t="e">
        <f>VLOOKUP(E611,基础信息!C:E,3,FALSE)</f>
        <v>#N/A</v>
      </c>
    </row>
    <row r="612" customHeight="1" spans="8:8">
      <c r="H612" s="39" t="e">
        <f>VLOOKUP(E612,基础信息!C:E,3,FALSE)</f>
        <v>#N/A</v>
      </c>
    </row>
    <row r="613" customHeight="1" spans="8:8">
      <c r="H613" s="39" t="e">
        <f>VLOOKUP(E613,基础信息!C:E,3,FALSE)</f>
        <v>#N/A</v>
      </c>
    </row>
    <row r="614" customHeight="1" spans="8:8">
      <c r="H614" s="39" t="e">
        <f>VLOOKUP(E614,基础信息!C:E,3,FALSE)</f>
        <v>#N/A</v>
      </c>
    </row>
    <row r="615" customHeight="1" spans="8:8">
      <c r="H615" s="39" t="e">
        <f>VLOOKUP(E615,基础信息!C:E,3,FALSE)</f>
        <v>#N/A</v>
      </c>
    </row>
    <row r="616" customHeight="1" spans="8:8">
      <c r="H616" s="39" t="e">
        <f>VLOOKUP(E616,基础信息!C:E,3,FALSE)</f>
        <v>#N/A</v>
      </c>
    </row>
    <row r="617" customHeight="1" spans="8:8">
      <c r="H617" s="39" t="e">
        <f>VLOOKUP(E617,基础信息!C:E,3,FALSE)</f>
        <v>#N/A</v>
      </c>
    </row>
    <row r="618" customHeight="1" spans="8:8">
      <c r="H618" s="39" t="e">
        <f>VLOOKUP(E618,基础信息!C:E,3,FALSE)</f>
        <v>#N/A</v>
      </c>
    </row>
    <row r="619" customHeight="1" spans="8:8">
      <c r="H619" s="39" t="e">
        <f>VLOOKUP(E619,基础信息!C:E,3,FALSE)</f>
        <v>#N/A</v>
      </c>
    </row>
    <row r="620" customHeight="1" spans="8:8">
      <c r="H620" s="39" t="e">
        <f>VLOOKUP(E620,基础信息!C:E,3,FALSE)</f>
        <v>#N/A</v>
      </c>
    </row>
    <row r="621" customHeight="1" spans="8:8">
      <c r="H621" s="39" t="e">
        <f>VLOOKUP(E621,基础信息!C:E,3,FALSE)</f>
        <v>#N/A</v>
      </c>
    </row>
    <row r="622" customHeight="1" spans="8:8">
      <c r="H622" s="39" t="e">
        <f>VLOOKUP(E622,基础信息!C:E,3,FALSE)</f>
        <v>#N/A</v>
      </c>
    </row>
    <row r="623" customHeight="1" spans="8:8">
      <c r="H623" s="39" t="e">
        <f>VLOOKUP(E623,基础信息!C:E,3,FALSE)</f>
        <v>#N/A</v>
      </c>
    </row>
    <row r="624" customHeight="1" spans="8:8">
      <c r="H624" s="39" t="e">
        <f>VLOOKUP(E624,基础信息!C:E,3,FALSE)</f>
        <v>#N/A</v>
      </c>
    </row>
    <row r="625" customHeight="1" spans="8:8">
      <c r="H625" s="39" t="e">
        <f>VLOOKUP(E625,基础信息!C:E,3,FALSE)</f>
        <v>#N/A</v>
      </c>
    </row>
    <row r="626" customHeight="1" spans="8:8">
      <c r="H626" s="39" t="e">
        <f>VLOOKUP(E626,基础信息!C:E,3,FALSE)</f>
        <v>#N/A</v>
      </c>
    </row>
    <row r="627" customHeight="1" spans="8:8">
      <c r="H627" s="39" t="e">
        <f>VLOOKUP(E627,基础信息!C:E,3,FALSE)</f>
        <v>#N/A</v>
      </c>
    </row>
    <row r="628" customHeight="1" spans="8:8">
      <c r="H628" s="39" t="e">
        <f>VLOOKUP(E628,基础信息!C:E,3,FALSE)</f>
        <v>#N/A</v>
      </c>
    </row>
    <row r="629" customHeight="1" spans="8:8">
      <c r="H629" s="39" t="e">
        <f>VLOOKUP(E629,基础信息!C:E,3,FALSE)</f>
        <v>#N/A</v>
      </c>
    </row>
    <row r="630" customHeight="1" spans="8:8">
      <c r="H630" s="39" t="e">
        <f>VLOOKUP(E630,基础信息!C:E,3,FALSE)</f>
        <v>#N/A</v>
      </c>
    </row>
    <row r="631" customHeight="1" spans="8:8">
      <c r="H631" s="39" t="e">
        <f>VLOOKUP(E631,基础信息!C:E,3,FALSE)</f>
        <v>#N/A</v>
      </c>
    </row>
    <row r="632" customHeight="1" spans="8:8">
      <c r="H632" s="39" t="e">
        <f>VLOOKUP(E632,基础信息!C:E,3,FALSE)</f>
        <v>#N/A</v>
      </c>
    </row>
    <row r="633" customHeight="1" spans="8:8">
      <c r="H633" s="39" t="e">
        <f>VLOOKUP(E633,基础信息!C:E,3,FALSE)</f>
        <v>#N/A</v>
      </c>
    </row>
    <row r="634" customHeight="1" spans="8:8">
      <c r="H634" s="39" t="e">
        <f>VLOOKUP(E634,基础信息!C:E,3,FALSE)</f>
        <v>#N/A</v>
      </c>
    </row>
    <row r="635" customHeight="1" spans="8:8">
      <c r="H635" s="39" t="e">
        <f>VLOOKUP(E635,基础信息!C:E,3,FALSE)</f>
        <v>#N/A</v>
      </c>
    </row>
    <row r="636" customHeight="1" spans="8:8">
      <c r="H636" s="39" t="e">
        <f>VLOOKUP(E636,基础信息!C:E,3,FALSE)</f>
        <v>#N/A</v>
      </c>
    </row>
    <row r="637" customHeight="1" spans="8:8">
      <c r="H637" s="39" t="e">
        <f>VLOOKUP(E637,基础信息!C:E,3,FALSE)</f>
        <v>#N/A</v>
      </c>
    </row>
    <row r="638" customHeight="1" spans="8:8">
      <c r="H638" s="39" t="e">
        <f>VLOOKUP(E638,基础信息!C:E,3,FALSE)</f>
        <v>#N/A</v>
      </c>
    </row>
    <row r="639" customHeight="1" spans="8:8">
      <c r="H639" s="39" t="e">
        <f>VLOOKUP(E639,基础信息!C:E,3,FALSE)</f>
        <v>#N/A</v>
      </c>
    </row>
    <row r="640" customHeight="1" spans="8:8">
      <c r="H640" s="39" t="e">
        <f>VLOOKUP(E640,基础信息!C:E,3,FALSE)</f>
        <v>#N/A</v>
      </c>
    </row>
    <row r="641" customHeight="1" spans="8:8">
      <c r="H641" s="39" t="e">
        <f>VLOOKUP(E641,基础信息!C:E,3,FALSE)</f>
        <v>#N/A</v>
      </c>
    </row>
    <row r="642" customHeight="1" spans="8:8">
      <c r="H642" s="39" t="e">
        <f>VLOOKUP(E642,基础信息!C:E,3,FALSE)</f>
        <v>#N/A</v>
      </c>
    </row>
    <row r="643" customHeight="1" spans="8:8">
      <c r="H643" s="39" t="e">
        <f>VLOOKUP(E643,基础信息!C:E,3,FALSE)</f>
        <v>#N/A</v>
      </c>
    </row>
    <row r="644" customHeight="1" spans="8:8">
      <c r="H644" s="39" t="e">
        <f>VLOOKUP(E644,基础信息!C:E,3,FALSE)</f>
        <v>#N/A</v>
      </c>
    </row>
    <row r="645" customHeight="1" spans="8:8">
      <c r="H645" s="39" t="e">
        <f>VLOOKUP(E645,基础信息!C:E,3,FALSE)</f>
        <v>#N/A</v>
      </c>
    </row>
    <row r="646" customHeight="1" spans="8:8">
      <c r="H646" s="39" t="e">
        <f>VLOOKUP(E646,基础信息!C:E,3,FALSE)</f>
        <v>#N/A</v>
      </c>
    </row>
    <row r="647" customHeight="1" spans="8:8">
      <c r="H647" s="39" t="e">
        <f>VLOOKUP(E647,基础信息!C:E,3,FALSE)</f>
        <v>#N/A</v>
      </c>
    </row>
    <row r="648" customHeight="1" spans="8:8">
      <c r="H648" s="39" t="e">
        <f>VLOOKUP(E648,基础信息!C:E,3,FALSE)</f>
        <v>#N/A</v>
      </c>
    </row>
    <row r="649" customHeight="1" spans="8:8">
      <c r="H649" s="39" t="e">
        <f>VLOOKUP(E649,基础信息!C:E,3,FALSE)</f>
        <v>#N/A</v>
      </c>
    </row>
    <row r="650" customHeight="1" spans="8:8">
      <c r="H650" s="39" t="e">
        <f>VLOOKUP(E650,基础信息!C:E,3,FALSE)</f>
        <v>#N/A</v>
      </c>
    </row>
    <row r="651" customHeight="1" spans="8:8">
      <c r="H651" s="39" t="e">
        <f>VLOOKUP(E651,基础信息!C:E,3,FALSE)</f>
        <v>#N/A</v>
      </c>
    </row>
    <row r="652" customHeight="1" spans="8:8">
      <c r="H652" s="39" t="e">
        <f>VLOOKUP(E652,基础信息!C:E,3,FALSE)</f>
        <v>#N/A</v>
      </c>
    </row>
    <row r="653" customHeight="1" spans="8:8">
      <c r="H653" s="39" t="e">
        <f>VLOOKUP(E653,基础信息!C:E,3,FALSE)</f>
        <v>#N/A</v>
      </c>
    </row>
    <row r="654" customHeight="1" spans="8:8">
      <c r="H654" s="39" t="e">
        <f>VLOOKUP(E654,基础信息!C:E,3,FALSE)</f>
        <v>#N/A</v>
      </c>
    </row>
    <row r="655" customHeight="1" spans="8:8">
      <c r="H655" s="39" t="e">
        <f>VLOOKUP(E655,基础信息!C:E,3,FALSE)</f>
        <v>#N/A</v>
      </c>
    </row>
    <row r="656" customHeight="1" spans="8:8">
      <c r="H656" s="39" t="e">
        <f>VLOOKUP(E656,基础信息!C:E,3,FALSE)</f>
        <v>#N/A</v>
      </c>
    </row>
    <row r="657" customHeight="1" spans="8:8">
      <c r="H657" s="39" t="e">
        <f>VLOOKUP(E657,基础信息!C:E,3,FALSE)</f>
        <v>#N/A</v>
      </c>
    </row>
    <row r="658" customHeight="1" spans="8:8">
      <c r="H658" s="39" t="e">
        <f>VLOOKUP(E658,基础信息!C:E,3,FALSE)</f>
        <v>#N/A</v>
      </c>
    </row>
    <row r="659" customHeight="1" spans="8:8">
      <c r="H659" s="39" t="e">
        <f>VLOOKUP(E659,基础信息!C:E,3,FALSE)</f>
        <v>#N/A</v>
      </c>
    </row>
    <row r="660" customHeight="1" spans="8:8">
      <c r="H660" s="39" t="e">
        <f>VLOOKUP(E660,基础信息!C:E,3,FALSE)</f>
        <v>#N/A</v>
      </c>
    </row>
    <row r="661" customHeight="1" spans="8:8">
      <c r="H661" s="39" t="e">
        <f>VLOOKUP(E661,基础信息!C:E,3,FALSE)</f>
        <v>#N/A</v>
      </c>
    </row>
    <row r="662" customHeight="1" spans="8:8">
      <c r="H662" s="39" t="e">
        <f>VLOOKUP(E662,基础信息!C:E,3,FALSE)</f>
        <v>#N/A</v>
      </c>
    </row>
    <row r="663" customHeight="1" spans="8:8">
      <c r="H663" s="39" t="e">
        <f>VLOOKUP(E663,基础信息!C:E,3,FALSE)</f>
        <v>#N/A</v>
      </c>
    </row>
    <row r="664" customHeight="1" spans="8:8">
      <c r="H664" s="39" t="e">
        <f>VLOOKUP(E664,基础信息!C:E,3,FALSE)</f>
        <v>#N/A</v>
      </c>
    </row>
    <row r="665" customHeight="1" spans="8:8">
      <c r="H665" s="39" t="e">
        <f>VLOOKUP(E665,基础信息!C:E,3,FALSE)</f>
        <v>#N/A</v>
      </c>
    </row>
    <row r="666" customHeight="1" spans="8:8">
      <c r="H666" s="39" t="e">
        <f>VLOOKUP(E666,基础信息!C:E,3,FALSE)</f>
        <v>#N/A</v>
      </c>
    </row>
    <row r="667" customHeight="1" spans="8:8">
      <c r="H667" s="39" t="e">
        <f>VLOOKUP(E667,基础信息!C:E,3,FALSE)</f>
        <v>#N/A</v>
      </c>
    </row>
    <row r="668" customHeight="1" spans="8:8">
      <c r="H668" s="39" t="e">
        <f>VLOOKUP(E668,基础信息!C:E,3,FALSE)</f>
        <v>#N/A</v>
      </c>
    </row>
    <row r="669" customHeight="1" spans="8:8">
      <c r="H669" s="39" t="e">
        <f>VLOOKUP(E669,基础信息!C:E,3,FALSE)</f>
        <v>#N/A</v>
      </c>
    </row>
    <row r="670" customHeight="1" spans="8:8">
      <c r="H670" s="39" t="e">
        <f>VLOOKUP(E670,基础信息!C:E,3,FALSE)</f>
        <v>#N/A</v>
      </c>
    </row>
    <row r="671" customHeight="1" spans="8:8">
      <c r="H671" s="39" t="e">
        <f>VLOOKUP(E671,基础信息!C:E,3,FALSE)</f>
        <v>#N/A</v>
      </c>
    </row>
    <row r="672" customHeight="1" spans="8:8">
      <c r="H672" s="39" t="e">
        <f>VLOOKUP(E672,基础信息!C:E,3,FALSE)</f>
        <v>#N/A</v>
      </c>
    </row>
    <row r="673" customHeight="1" spans="8:8">
      <c r="H673" s="39" t="e">
        <f>VLOOKUP(E673,基础信息!C:E,3,FALSE)</f>
        <v>#N/A</v>
      </c>
    </row>
    <row r="674" customHeight="1" spans="8:8">
      <c r="H674" s="39" t="e">
        <f>VLOOKUP(E674,基础信息!C:E,3,FALSE)</f>
        <v>#N/A</v>
      </c>
    </row>
    <row r="675" customHeight="1" spans="8:8">
      <c r="H675" s="39" t="e">
        <f>VLOOKUP(E675,基础信息!C:E,3,FALSE)</f>
        <v>#N/A</v>
      </c>
    </row>
    <row r="676" customHeight="1" spans="8:8">
      <c r="H676" s="39" t="e">
        <f>VLOOKUP(E676,基础信息!C:E,3,FALSE)</f>
        <v>#N/A</v>
      </c>
    </row>
    <row r="677" customHeight="1" spans="8:8">
      <c r="H677" s="39" t="e">
        <f>VLOOKUP(E677,基础信息!C:E,3,FALSE)</f>
        <v>#N/A</v>
      </c>
    </row>
    <row r="678" customHeight="1" spans="8:8">
      <c r="H678" s="39" t="e">
        <f>VLOOKUP(E678,基础信息!C:E,3,FALSE)</f>
        <v>#N/A</v>
      </c>
    </row>
    <row r="679" customHeight="1" spans="8:8">
      <c r="H679" s="39" t="e">
        <f>VLOOKUP(E679,基础信息!C:E,3,FALSE)</f>
        <v>#N/A</v>
      </c>
    </row>
    <row r="680" customHeight="1" spans="8:8">
      <c r="H680" s="39" t="e">
        <f>VLOOKUP(E680,基础信息!C:E,3,FALSE)</f>
        <v>#N/A</v>
      </c>
    </row>
    <row r="681" customHeight="1" spans="8:8">
      <c r="H681" s="39" t="e">
        <f>VLOOKUP(E681,基础信息!C:E,3,FALSE)</f>
        <v>#N/A</v>
      </c>
    </row>
    <row r="682" customHeight="1" spans="8:8">
      <c r="H682" s="39" t="e">
        <f>VLOOKUP(E682,基础信息!C:E,3,FALSE)</f>
        <v>#N/A</v>
      </c>
    </row>
    <row r="683" customHeight="1" spans="8:8">
      <c r="H683" s="39" t="e">
        <f>VLOOKUP(E683,基础信息!C:E,3,FALSE)</f>
        <v>#N/A</v>
      </c>
    </row>
    <row r="684" customHeight="1" spans="8:8">
      <c r="H684" s="39" t="e">
        <f>VLOOKUP(E684,基础信息!C:E,3,FALSE)</f>
        <v>#N/A</v>
      </c>
    </row>
    <row r="685" customHeight="1" spans="8:8">
      <c r="H685" s="39" t="e">
        <f>VLOOKUP(E685,基础信息!C:E,3,FALSE)</f>
        <v>#N/A</v>
      </c>
    </row>
    <row r="686" customHeight="1" spans="8:8">
      <c r="H686" s="39" t="e">
        <f>VLOOKUP(E686,基础信息!C:E,3,FALSE)</f>
        <v>#N/A</v>
      </c>
    </row>
    <row r="687" customHeight="1" spans="8:8">
      <c r="H687" s="39" t="e">
        <f>VLOOKUP(E687,基础信息!C:E,3,FALSE)</f>
        <v>#N/A</v>
      </c>
    </row>
    <row r="688" customHeight="1" spans="8:8">
      <c r="H688" s="39" t="e">
        <f>VLOOKUP(E688,基础信息!C:E,3,FALSE)</f>
        <v>#N/A</v>
      </c>
    </row>
    <row r="689" customHeight="1" spans="8:8">
      <c r="H689" s="39" t="e">
        <f>VLOOKUP(E689,基础信息!C:E,3,FALSE)</f>
        <v>#N/A</v>
      </c>
    </row>
    <row r="690" customHeight="1" spans="8:8">
      <c r="H690" s="39" t="e">
        <f>VLOOKUP(E690,基础信息!C:E,3,FALSE)</f>
        <v>#N/A</v>
      </c>
    </row>
    <row r="691" customHeight="1" spans="8:8">
      <c r="H691" s="39" t="e">
        <f>VLOOKUP(E691,基础信息!C:E,3,FALSE)</f>
        <v>#N/A</v>
      </c>
    </row>
    <row r="692" customHeight="1" spans="8:8">
      <c r="H692" s="39" t="e">
        <f>VLOOKUP(E692,基础信息!C:E,3,FALSE)</f>
        <v>#N/A</v>
      </c>
    </row>
    <row r="693" customHeight="1" spans="8:8">
      <c r="H693" s="39" t="e">
        <f>VLOOKUP(E693,基础信息!C:E,3,FALSE)</f>
        <v>#N/A</v>
      </c>
    </row>
    <row r="694" customHeight="1" spans="8:8">
      <c r="H694" s="39" t="e">
        <f>VLOOKUP(E694,基础信息!C:E,3,FALSE)</f>
        <v>#N/A</v>
      </c>
    </row>
    <row r="695" customHeight="1" spans="8:8">
      <c r="H695" s="39" t="e">
        <f>VLOOKUP(E695,基础信息!C:E,3,FALSE)</f>
        <v>#N/A</v>
      </c>
    </row>
    <row r="696" customHeight="1" spans="8:8">
      <c r="H696" s="39" t="e">
        <f>VLOOKUP(E696,基础信息!C:E,3,FALSE)</f>
        <v>#N/A</v>
      </c>
    </row>
    <row r="697" customHeight="1" spans="8:8">
      <c r="H697" s="39" t="e">
        <f>VLOOKUP(E697,基础信息!C:E,3,FALSE)</f>
        <v>#N/A</v>
      </c>
    </row>
    <row r="698" customHeight="1" spans="8:8">
      <c r="H698" s="39" t="e">
        <f>VLOOKUP(E698,基础信息!C:E,3,FALSE)</f>
        <v>#N/A</v>
      </c>
    </row>
    <row r="699" customHeight="1" spans="8:8">
      <c r="H699" s="39" t="e">
        <f>VLOOKUP(E699,基础信息!C:E,3,FALSE)</f>
        <v>#N/A</v>
      </c>
    </row>
    <row r="700" customHeight="1" spans="8:8">
      <c r="H700" s="39" t="e">
        <f>VLOOKUP(E700,基础信息!C:E,3,FALSE)</f>
        <v>#N/A</v>
      </c>
    </row>
    <row r="701" customHeight="1" spans="8:8">
      <c r="H701" s="39" t="e">
        <f>VLOOKUP(E701,基础信息!C:E,3,FALSE)</f>
        <v>#N/A</v>
      </c>
    </row>
    <row r="702" customHeight="1" spans="8:8">
      <c r="H702" s="39" t="e">
        <f>VLOOKUP(E702,基础信息!C:E,3,FALSE)</f>
        <v>#N/A</v>
      </c>
    </row>
    <row r="703" customHeight="1" spans="8:8">
      <c r="H703" s="39" t="e">
        <f>VLOOKUP(E703,基础信息!C:E,3,FALSE)</f>
        <v>#N/A</v>
      </c>
    </row>
    <row r="704" customHeight="1" spans="8:8">
      <c r="H704" s="39" t="e">
        <f>VLOOKUP(E704,基础信息!C:E,3,FALSE)</f>
        <v>#N/A</v>
      </c>
    </row>
    <row r="705" customHeight="1" spans="8:8">
      <c r="H705" s="39" t="e">
        <f>VLOOKUP(E705,基础信息!C:E,3,FALSE)</f>
        <v>#N/A</v>
      </c>
    </row>
    <row r="706" customHeight="1" spans="8:8">
      <c r="H706" s="39" t="e">
        <f>VLOOKUP(E706,基础信息!C:E,3,FALSE)</f>
        <v>#N/A</v>
      </c>
    </row>
    <row r="707" customHeight="1" spans="8:8">
      <c r="H707" s="39" t="e">
        <f>VLOOKUP(E707,基础信息!C:E,3,FALSE)</f>
        <v>#N/A</v>
      </c>
    </row>
    <row r="708" customHeight="1" spans="8:8">
      <c r="H708" s="39" t="e">
        <f>VLOOKUP(E708,基础信息!C:E,3,FALSE)</f>
        <v>#N/A</v>
      </c>
    </row>
    <row r="709" customHeight="1" spans="8:8">
      <c r="H709" s="39" t="e">
        <f>VLOOKUP(E709,基础信息!C:E,3,FALSE)</f>
        <v>#N/A</v>
      </c>
    </row>
    <row r="710" customHeight="1" spans="8:8">
      <c r="H710" s="39" t="e">
        <f>VLOOKUP(E710,基础信息!C:E,3,FALSE)</f>
        <v>#N/A</v>
      </c>
    </row>
    <row r="711" customHeight="1" spans="8:8">
      <c r="H711" s="39" t="e">
        <f>VLOOKUP(E711,基础信息!C:E,3,FALSE)</f>
        <v>#N/A</v>
      </c>
    </row>
    <row r="712" customHeight="1" spans="8:8">
      <c r="H712" s="39" t="e">
        <f>VLOOKUP(E712,基础信息!C:E,3,FALSE)</f>
        <v>#N/A</v>
      </c>
    </row>
    <row r="713" customHeight="1" spans="8:8">
      <c r="H713" s="39" t="e">
        <f>VLOOKUP(E713,基础信息!C:E,3,FALSE)</f>
        <v>#N/A</v>
      </c>
    </row>
    <row r="714" customHeight="1" spans="8:8">
      <c r="H714" s="39" t="e">
        <f>VLOOKUP(E714,基础信息!C:E,3,FALSE)</f>
        <v>#N/A</v>
      </c>
    </row>
    <row r="715" customHeight="1" spans="8:8">
      <c r="H715" s="39" t="e">
        <f>VLOOKUP(E715,基础信息!C:E,3,FALSE)</f>
        <v>#N/A</v>
      </c>
    </row>
    <row r="716" customHeight="1" spans="8:8">
      <c r="H716" s="39" t="e">
        <f>VLOOKUP(E716,基础信息!C:E,3,FALSE)</f>
        <v>#N/A</v>
      </c>
    </row>
    <row r="717" customHeight="1" spans="8:8">
      <c r="H717" s="39" t="e">
        <f>VLOOKUP(E717,基础信息!C:E,3,FALSE)</f>
        <v>#N/A</v>
      </c>
    </row>
    <row r="718" customHeight="1" spans="8:8">
      <c r="H718" s="39" t="e">
        <f>VLOOKUP(E718,基础信息!C:E,3,FALSE)</f>
        <v>#N/A</v>
      </c>
    </row>
    <row r="719" customHeight="1" spans="8:8">
      <c r="H719" s="39" t="e">
        <f>VLOOKUP(E719,基础信息!C:E,3,FALSE)</f>
        <v>#N/A</v>
      </c>
    </row>
    <row r="720" customHeight="1" spans="8:8">
      <c r="H720" s="39" t="e">
        <f>VLOOKUP(E720,基础信息!C:E,3,FALSE)</f>
        <v>#N/A</v>
      </c>
    </row>
    <row r="721" customHeight="1" spans="8:8">
      <c r="H721" s="39" t="e">
        <f>VLOOKUP(E721,基础信息!C:E,3,FALSE)</f>
        <v>#N/A</v>
      </c>
    </row>
    <row r="722" customHeight="1" spans="8:8">
      <c r="H722" s="39" t="e">
        <f>VLOOKUP(E722,基础信息!C:E,3,FALSE)</f>
        <v>#N/A</v>
      </c>
    </row>
    <row r="723" customHeight="1" spans="8:8">
      <c r="H723" s="39" t="e">
        <f>VLOOKUP(E723,基础信息!C:E,3,FALSE)</f>
        <v>#N/A</v>
      </c>
    </row>
    <row r="724" customHeight="1" spans="8:8">
      <c r="H724" s="39" t="e">
        <f>VLOOKUP(E724,基础信息!C:E,3,FALSE)</f>
        <v>#N/A</v>
      </c>
    </row>
    <row r="725" customHeight="1" spans="8:8">
      <c r="H725" s="39" t="e">
        <f>VLOOKUP(E725,基础信息!C:E,3,FALSE)</f>
        <v>#N/A</v>
      </c>
    </row>
    <row r="726" customHeight="1" spans="8:8">
      <c r="H726" s="39" t="e">
        <f>VLOOKUP(E726,基础信息!C:E,3,FALSE)</f>
        <v>#N/A</v>
      </c>
    </row>
    <row r="727" customHeight="1" spans="8:8">
      <c r="H727" s="39" t="e">
        <f>VLOOKUP(E727,基础信息!C:E,3,FALSE)</f>
        <v>#N/A</v>
      </c>
    </row>
    <row r="728" customHeight="1" spans="8:8">
      <c r="H728" s="39" t="e">
        <f>VLOOKUP(E728,基础信息!C:E,3,FALSE)</f>
        <v>#N/A</v>
      </c>
    </row>
    <row r="729" customHeight="1" spans="8:8">
      <c r="H729" s="39" t="e">
        <f>VLOOKUP(E729,基础信息!C:E,3,FALSE)</f>
        <v>#N/A</v>
      </c>
    </row>
    <row r="730" customHeight="1" spans="8:8">
      <c r="H730" s="39" t="e">
        <f>VLOOKUP(E730,基础信息!C:E,3,FALSE)</f>
        <v>#N/A</v>
      </c>
    </row>
    <row r="731" customHeight="1" spans="8:8">
      <c r="H731" s="39" t="e">
        <f>VLOOKUP(E731,基础信息!C:E,3,FALSE)</f>
        <v>#N/A</v>
      </c>
    </row>
    <row r="732" customHeight="1" spans="8:8">
      <c r="H732" s="39" t="e">
        <f>VLOOKUP(E732,基础信息!C:E,3,FALSE)</f>
        <v>#N/A</v>
      </c>
    </row>
    <row r="733" customHeight="1" spans="8:8">
      <c r="H733" s="39" t="e">
        <f>VLOOKUP(E733,基础信息!C:E,3,FALSE)</f>
        <v>#N/A</v>
      </c>
    </row>
    <row r="734" customHeight="1" spans="8:8">
      <c r="H734" s="39" t="e">
        <f>VLOOKUP(E734,基础信息!C:E,3,FALSE)</f>
        <v>#N/A</v>
      </c>
    </row>
    <row r="735" customHeight="1" spans="8:8">
      <c r="H735" s="39" t="e">
        <f>VLOOKUP(E735,基础信息!C:E,3,FALSE)</f>
        <v>#N/A</v>
      </c>
    </row>
    <row r="736" customHeight="1" spans="8:8">
      <c r="H736" s="39" t="e">
        <f>VLOOKUP(E736,基础信息!C:E,3,FALSE)</f>
        <v>#N/A</v>
      </c>
    </row>
    <row r="737" customHeight="1" spans="8:8">
      <c r="H737" s="39" t="e">
        <f>VLOOKUP(E737,基础信息!C:E,3,FALSE)</f>
        <v>#N/A</v>
      </c>
    </row>
    <row r="738" customHeight="1" spans="8:8">
      <c r="H738" s="39" t="e">
        <f>VLOOKUP(E738,基础信息!C:E,3,FALSE)</f>
        <v>#N/A</v>
      </c>
    </row>
    <row r="739" customHeight="1" spans="8:8">
      <c r="H739" s="39" t="e">
        <f>VLOOKUP(E739,基础信息!C:E,3,FALSE)</f>
        <v>#N/A</v>
      </c>
    </row>
    <row r="740" customHeight="1" spans="8:8">
      <c r="H740" s="39" t="e">
        <f>VLOOKUP(E740,基础信息!C:E,3,FALSE)</f>
        <v>#N/A</v>
      </c>
    </row>
    <row r="741" customHeight="1" spans="8:8">
      <c r="H741" s="39" t="e">
        <f>VLOOKUP(E741,基础信息!C:E,3,FALSE)</f>
        <v>#N/A</v>
      </c>
    </row>
    <row r="742" customHeight="1" spans="8:8">
      <c r="H742" s="39" t="e">
        <f>VLOOKUP(E742,基础信息!C:E,3,FALSE)</f>
        <v>#N/A</v>
      </c>
    </row>
    <row r="743" customHeight="1" spans="8:8">
      <c r="H743" s="39" t="e">
        <f>VLOOKUP(E743,基础信息!C:E,3,FALSE)</f>
        <v>#N/A</v>
      </c>
    </row>
    <row r="744" customHeight="1" spans="8:8">
      <c r="H744" s="39" t="e">
        <f>VLOOKUP(E744,基础信息!C:E,3,FALSE)</f>
        <v>#N/A</v>
      </c>
    </row>
    <row r="745" customHeight="1" spans="8:8">
      <c r="H745" s="39" t="e">
        <f>VLOOKUP(E745,基础信息!C:E,3,FALSE)</f>
        <v>#N/A</v>
      </c>
    </row>
    <row r="746" customHeight="1" spans="8:8">
      <c r="H746" s="39" t="e">
        <f>VLOOKUP(E746,基础信息!C:E,3,FALSE)</f>
        <v>#N/A</v>
      </c>
    </row>
    <row r="747" customHeight="1" spans="8:8">
      <c r="H747" s="39" t="e">
        <f>VLOOKUP(E747,基础信息!C:E,3,FALSE)</f>
        <v>#N/A</v>
      </c>
    </row>
    <row r="748" customHeight="1" spans="8:8">
      <c r="H748" s="39" t="e">
        <f>VLOOKUP(E748,基础信息!C:E,3,FALSE)</f>
        <v>#N/A</v>
      </c>
    </row>
    <row r="749" customHeight="1" spans="8:8">
      <c r="H749" s="39" t="e">
        <f>VLOOKUP(E749,基础信息!C:E,3,FALSE)</f>
        <v>#N/A</v>
      </c>
    </row>
    <row r="750" customHeight="1" spans="8:8">
      <c r="H750" s="39" t="e">
        <f>VLOOKUP(E750,基础信息!C:E,3,FALSE)</f>
        <v>#N/A</v>
      </c>
    </row>
    <row r="751" customHeight="1" spans="8:8">
      <c r="H751" s="39" t="e">
        <f>VLOOKUP(E751,基础信息!C:E,3,FALSE)</f>
        <v>#N/A</v>
      </c>
    </row>
    <row r="752" customHeight="1" spans="8:8">
      <c r="H752" s="39" t="e">
        <f>VLOOKUP(E752,基础信息!C:E,3,FALSE)</f>
        <v>#N/A</v>
      </c>
    </row>
    <row r="753" customHeight="1" spans="8:8">
      <c r="H753" s="39" t="e">
        <f>VLOOKUP(E753,基础信息!C:E,3,FALSE)</f>
        <v>#N/A</v>
      </c>
    </row>
    <row r="754" customHeight="1" spans="8:8">
      <c r="H754" s="39" t="e">
        <f>VLOOKUP(E754,基础信息!C:E,3,FALSE)</f>
        <v>#N/A</v>
      </c>
    </row>
    <row r="755" customHeight="1" spans="8:8">
      <c r="H755" s="39" t="e">
        <f>VLOOKUP(E755,基础信息!C:E,3,FALSE)</f>
        <v>#N/A</v>
      </c>
    </row>
    <row r="756" customHeight="1" spans="8:8">
      <c r="H756" s="39" t="e">
        <f>VLOOKUP(E756,基础信息!C:E,3,FALSE)</f>
        <v>#N/A</v>
      </c>
    </row>
    <row r="757" customHeight="1" spans="8:8">
      <c r="H757" s="39" t="e">
        <f>VLOOKUP(E757,基础信息!C:E,3,FALSE)</f>
        <v>#N/A</v>
      </c>
    </row>
    <row r="758" customHeight="1" spans="8:8">
      <c r="H758" s="39" t="e">
        <f>VLOOKUP(E758,基础信息!C:E,3,FALSE)</f>
        <v>#N/A</v>
      </c>
    </row>
    <row r="759" customHeight="1" spans="8:8">
      <c r="H759" s="39" t="e">
        <f>VLOOKUP(E759,基础信息!C:E,3,FALSE)</f>
        <v>#N/A</v>
      </c>
    </row>
    <row r="760" customHeight="1" spans="8:8">
      <c r="H760" s="39" t="e">
        <f>VLOOKUP(E760,基础信息!C:E,3,FALSE)</f>
        <v>#N/A</v>
      </c>
    </row>
    <row r="761" customHeight="1" spans="8:8">
      <c r="H761" s="39" t="e">
        <f>VLOOKUP(E761,基础信息!C:E,3,FALSE)</f>
        <v>#N/A</v>
      </c>
    </row>
    <row r="762" customHeight="1" spans="8:8">
      <c r="H762" s="39" t="e">
        <f>VLOOKUP(E762,基础信息!C:E,3,FALSE)</f>
        <v>#N/A</v>
      </c>
    </row>
    <row r="763" customHeight="1" spans="8:8">
      <c r="H763" s="39" t="e">
        <f>VLOOKUP(E763,基础信息!C:E,3,FALSE)</f>
        <v>#N/A</v>
      </c>
    </row>
    <row r="764" customHeight="1" spans="8:8">
      <c r="H764" s="39" t="e">
        <f>VLOOKUP(E764,基础信息!C:E,3,FALSE)</f>
        <v>#N/A</v>
      </c>
    </row>
    <row r="765" customHeight="1" spans="8:8">
      <c r="H765" s="39" t="e">
        <f>VLOOKUP(E765,基础信息!C:E,3,FALSE)</f>
        <v>#N/A</v>
      </c>
    </row>
    <row r="766" customHeight="1" spans="8:8">
      <c r="H766" s="39" t="e">
        <f>VLOOKUP(E766,基础信息!C:E,3,FALSE)</f>
        <v>#N/A</v>
      </c>
    </row>
    <row r="767" customHeight="1" spans="8:8">
      <c r="H767" s="39" t="e">
        <f>VLOOKUP(E767,基础信息!C:E,3,FALSE)</f>
        <v>#N/A</v>
      </c>
    </row>
    <row r="768" customHeight="1" spans="8:8">
      <c r="H768" s="39" t="e">
        <f>VLOOKUP(E768,基础信息!C:E,3,FALSE)</f>
        <v>#N/A</v>
      </c>
    </row>
    <row r="769" customHeight="1" spans="8:8">
      <c r="H769" s="39" t="e">
        <f>VLOOKUP(E769,基础信息!C:E,3,FALSE)</f>
        <v>#N/A</v>
      </c>
    </row>
    <row r="770" customHeight="1" spans="8:8">
      <c r="H770" s="39" t="e">
        <f>VLOOKUP(E770,基础信息!C:E,3,FALSE)</f>
        <v>#N/A</v>
      </c>
    </row>
    <row r="771" customHeight="1" spans="8:8">
      <c r="H771" s="39" t="e">
        <f>VLOOKUP(E771,基础信息!C:E,3,FALSE)</f>
        <v>#N/A</v>
      </c>
    </row>
    <row r="772" customHeight="1" spans="8:8">
      <c r="H772" s="39" t="e">
        <f>VLOOKUP(E772,基础信息!C:E,3,FALSE)</f>
        <v>#N/A</v>
      </c>
    </row>
    <row r="773" customHeight="1" spans="8:8">
      <c r="H773" s="39" t="e">
        <f>VLOOKUP(E773,基础信息!C:E,3,FALSE)</f>
        <v>#N/A</v>
      </c>
    </row>
    <row r="774" customHeight="1" spans="8:8">
      <c r="H774" s="39" t="e">
        <f>VLOOKUP(E774,基础信息!C:E,3,FALSE)</f>
        <v>#N/A</v>
      </c>
    </row>
    <row r="775" customHeight="1" spans="8:8">
      <c r="H775" s="39" t="e">
        <f>VLOOKUP(E775,基础信息!C:E,3,FALSE)</f>
        <v>#N/A</v>
      </c>
    </row>
    <row r="776" customHeight="1" spans="8:8">
      <c r="H776" s="39" t="e">
        <f>VLOOKUP(E776,基础信息!C:E,3,FALSE)</f>
        <v>#N/A</v>
      </c>
    </row>
    <row r="777" customHeight="1" spans="8:8">
      <c r="H777" s="39" t="e">
        <f>VLOOKUP(E777,基础信息!C:E,3,FALSE)</f>
        <v>#N/A</v>
      </c>
    </row>
    <row r="778" customHeight="1" spans="8:8">
      <c r="H778" s="39" t="e">
        <f>VLOOKUP(E778,基础信息!C:E,3,FALSE)</f>
        <v>#N/A</v>
      </c>
    </row>
    <row r="779" customHeight="1" spans="8:8">
      <c r="H779" s="39" t="e">
        <f>VLOOKUP(E779,基础信息!C:E,3,FALSE)</f>
        <v>#N/A</v>
      </c>
    </row>
    <row r="780" customHeight="1" spans="8:8">
      <c r="H780" s="39" t="e">
        <f>VLOOKUP(E780,基础信息!C:E,3,FALSE)</f>
        <v>#N/A</v>
      </c>
    </row>
    <row r="781" customHeight="1" spans="8:8">
      <c r="H781" s="39" t="e">
        <f>VLOOKUP(E781,基础信息!C:E,3,FALSE)</f>
        <v>#N/A</v>
      </c>
    </row>
    <row r="782" customHeight="1" spans="8:8">
      <c r="H782" s="39" t="e">
        <f>VLOOKUP(E782,基础信息!C:E,3,FALSE)</f>
        <v>#N/A</v>
      </c>
    </row>
    <row r="783" customHeight="1" spans="8:8">
      <c r="H783" s="39" t="e">
        <f>VLOOKUP(E783,基础信息!C:E,3,FALSE)</f>
        <v>#N/A</v>
      </c>
    </row>
    <row r="784" customHeight="1" spans="8:8">
      <c r="H784" s="39" t="e">
        <f>VLOOKUP(E784,基础信息!C:E,3,FALSE)</f>
        <v>#N/A</v>
      </c>
    </row>
    <row r="785" customHeight="1" spans="8:8">
      <c r="H785" s="39" t="e">
        <f>VLOOKUP(E785,基础信息!C:E,3,FALSE)</f>
        <v>#N/A</v>
      </c>
    </row>
    <row r="786" customHeight="1" spans="8:8">
      <c r="H786" s="39" t="e">
        <f>VLOOKUP(E786,基础信息!C:E,3,FALSE)</f>
        <v>#N/A</v>
      </c>
    </row>
    <row r="787" customHeight="1" spans="8:8">
      <c r="H787" s="39" t="e">
        <f>VLOOKUP(E787,基础信息!C:E,3,FALSE)</f>
        <v>#N/A</v>
      </c>
    </row>
    <row r="788" customHeight="1" spans="8:8">
      <c r="H788" s="39" t="e">
        <f>VLOOKUP(E788,基础信息!C:E,3,FALSE)</f>
        <v>#N/A</v>
      </c>
    </row>
    <row r="789" customHeight="1" spans="8:8">
      <c r="H789" s="39" t="e">
        <f>VLOOKUP(E789,基础信息!C:E,3,FALSE)</f>
        <v>#N/A</v>
      </c>
    </row>
    <row r="790" customHeight="1" spans="8:8">
      <c r="H790" s="39" t="e">
        <f>VLOOKUP(E790,基础信息!C:E,3,FALSE)</f>
        <v>#N/A</v>
      </c>
    </row>
    <row r="791" customHeight="1" spans="8:8">
      <c r="H791" s="39" t="e">
        <f>VLOOKUP(E791,基础信息!C:E,3,FALSE)</f>
        <v>#N/A</v>
      </c>
    </row>
    <row r="792" customHeight="1" spans="8:8">
      <c r="H792" s="39" t="e">
        <f>VLOOKUP(E792,基础信息!C:E,3,FALSE)</f>
        <v>#N/A</v>
      </c>
    </row>
    <row r="793" customHeight="1" spans="8:8">
      <c r="H793" s="39" t="e">
        <f>VLOOKUP(E793,基础信息!C:E,3,FALSE)</f>
        <v>#N/A</v>
      </c>
    </row>
    <row r="794" customHeight="1" spans="8:8">
      <c r="H794" s="39" t="e">
        <f>VLOOKUP(E794,基础信息!C:E,3,FALSE)</f>
        <v>#N/A</v>
      </c>
    </row>
    <row r="795" customHeight="1" spans="8:8">
      <c r="H795" s="39" t="e">
        <f>VLOOKUP(E795,基础信息!C:E,3,FALSE)</f>
        <v>#N/A</v>
      </c>
    </row>
    <row r="796" customHeight="1" spans="8:8">
      <c r="H796" s="39" t="e">
        <f>VLOOKUP(E796,基础信息!C:E,3,FALSE)</f>
        <v>#N/A</v>
      </c>
    </row>
    <row r="797" customHeight="1" spans="8:8">
      <c r="H797" s="39" t="e">
        <f>VLOOKUP(E797,基础信息!C:E,3,FALSE)</f>
        <v>#N/A</v>
      </c>
    </row>
    <row r="798" customHeight="1" spans="8:8">
      <c r="H798" s="39" t="e">
        <f>VLOOKUP(E798,基础信息!C:E,3,FALSE)</f>
        <v>#N/A</v>
      </c>
    </row>
    <row r="799" customHeight="1" spans="8:8">
      <c r="H799" s="39" t="e">
        <f>VLOOKUP(E799,基础信息!C:E,3,FALSE)</f>
        <v>#N/A</v>
      </c>
    </row>
    <row r="800" customHeight="1" spans="8:8">
      <c r="H800" s="39" t="e">
        <f>VLOOKUP(E800,基础信息!C:E,3,FALSE)</f>
        <v>#N/A</v>
      </c>
    </row>
    <row r="801" customHeight="1" spans="8:8">
      <c r="H801" s="39" t="e">
        <f>VLOOKUP(E801,基础信息!C:E,3,FALSE)</f>
        <v>#N/A</v>
      </c>
    </row>
    <row r="802" customHeight="1" spans="8:8">
      <c r="H802" s="39" t="e">
        <f>VLOOKUP(E802,基础信息!C:E,3,FALSE)</f>
        <v>#N/A</v>
      </c>
    </row>
    <row r="803" customHeight="1" spans="8:8">
      <c r="H803" s="39" t="e">
        <f>VLOOKUP(E803,基础信息!C:E,3,FALSE)</f>
        <v>#N/A</v>
      </c>
    </row>
    <row r="804" customHeight="1" spans="8:8">
      <c r="H804" s="39" t="e">
        <f>VLOOKUP(E804,基础信息!C:E,3,FALSE)</f>
        <v>#N/A</v>
      </c>
    </row>
    <row r="805" customHeight="1" spans="8:8">
      <c r="H805" s="39" t="e">
        <f>VLOOKUP(E805,基础信息!C:E,3,FALSE)</f>
        <v>#N/A</v>
      </c>
    </row>
    <row r="806" customHeight="1" spans="8:8">
      <c r="H806" s="39" t="e">
        <f>VLOOKUP(E806,基础信息!C:E,3,FALSE)</f>
        <v>#N/A</v>
      </c>
    </row>
    <row r="807" customHeight="1" spans="8:8">
      <c r="H807" s="39" t="e">
        <f>VLOOKUP(E807,基础信息!C:E,3,FALSE)</f>
        <v>#N/A</v>
      </c>
    </row>
    <row r="808" customHeight="1" spans="8:8">
      <c r="H808" s="39" t="e">
        <f>VLOOKUP(E808,基础信息!C:E,3,FALSE)</f>
        <v>#N/A</v>
      </c>
    </row>
    <row r="809" customHeight="1" spans="8:8">
      <c r="H809" s="39" t="e">
        <f>VLOOKUP(E809,基础信息!C:E,3,FALSE)</f>
        <v>#N/A</v>
      </c>
    </row>
    <row r="810" customHeight="1" spans="8:8">
      <c r="H810" s="39" t="e">
        <f>VLOOKUP(E810,基础信息!C:E,3,FALSE)</f>
        <v>#N/A</v>
      </c>
    </row>
    <row r="811" customHeight="1" spans="8:8">
      <c r="H811" s="39" t="e">
        <f>VLOOKUP(E811,基础信息!C:E,3,FALSE)</f>
        <v>#N/A</v>
      </c>
    </row>
    <row r="812" customHeight="1" spans="8:8">
      <c r="H812" s="39" t="e">
        <f>VLOOKUP(E812,基础信息!C:E,3,FALSE)</f>
        <v>#N/A</v>
      </c>
    </row>
    <row r="813" customHeight="1" spans="8:8">
      <c r="H813" s="39" t="e">
        <f>VLOOKUP(E813,基础信息!C:E,3,FALSE)</f>
        <v>#N/A</v>
      </c>
    </row>
    <row r="814" customHeight="1" spans="8:8">
      <c r="H814" s="39" t="e">
        <f>VLOOKUP(E814,基础信息!C:E,3,FALSE)</f>
        <v>#N/A</v>
      </c>
    </row>
    <row r="815" customHeight="1" spans="8:8">
      <c r="H815" s="39" t="e">
        <f>VLOOKUP(E815,基础信息!C:E,3,FALSE)</f>
        <v>#N/A</v>
      </c>
    </row>
    <row r="816" customHeight="1" spans="8:8">
      <c r="H816" s="39" t="e">
        <f>VLOOKUP(E816,基础信息!C:E,3,FALSE)</f>
        <v>#N/A</v>
      </c>
    </row>
    <row r="817" customHeight="1" spans="8:8">
      <c r="H817" s="39" t="e">
        <f>VLOOKUP(E817,基础信息!C:E,3,FALSE)</f>
        <v>#N/A</v>
      </c>
    </row>
    <row r="818" customHeight="1" spans="8:8">
      <c r="H818" s="39" t="e">
        <f>VLOOKUP(E818,基础信息!C:E,3,FALSE)</f>
        <v>#N/A</v>
      </c>
    </row>
    <row r="819" customHeight="1" spans="8:8">
      <c r="H819" s="39" t="e">
        <f>VLOOKUP(E819,基础信息!C:E,3,FALSE)</f>
        <v>#N/A</v>
      </c>
    </row>
    <row r="820" customHeight="1" spans="8:8">
      <c r="H820" s="39" t="e">
        <f>VLOOKUP(E820,基础信息!C:E,3,FALSE)</f>
        <v>#N/A</v>
      </c>
    </row>
    <row r="821" customHeight="1" spans="8:8">
      <c r="H821" s="39" t="e">
        <f>VLOOKUP(E821,基础信息!C:E,3,FALSE)</f>
        <v>#N/A</v>
      </c>
    </row>
    <row r="822" customHeight="1" spans="8:8">
      <c r="H822" s="39" t="e">
        <f>VLOOKUP(E822,基础信息!C:E,3,FALSE)</f>
        <v>#N/A</v>
      </c>
    </row>
    <row r="823" customHeight="1" spans="8:8">
      <c r="H823" s="39" t="e">
        <f>VLOOKUP(E823,基础信息!C:E,3,FALSE)</f>
        <v>#N/A</v>
      </c>
    </row>
    <row r="824" customHeight="1" spans="8:8">
      <c r="H824" s="39" t="e">
        <f>VLOOKUP(E824,基础信息!C:E,3,FALSE)</f>
        <v>#N/A</v>
      </c>
    </row>
    <row r="825" customHeight="1" spans="8:8">
      <c r="H825" s="39" t="e">
        <f>VLOOKUP(E825,基础信息!C:E,3,FALSE)</f>
        <v>#N/A</v>
      </c>
    </row>
    <row r="826" customHeight="1" spans="8:8">
      <c r="H826" s="39" t="e">
        <f>VLOOKUP(E826,基础信息!C:E,3,FALSE)</f>
        <v>#N/A</v>
      </c>
    </row>
    <row r="828" customHeight="1" spans="8:8">
      <c r="H828" s="39" t="e">
        <f>VLOOKUP(E828,基础信息!C:E,3,FALSE)</f>
        <v>#N/A</v>
      </c>
    </row>
    <row r="829" customHeight="1" spans="8:8">
      <c r="H829" s="39" t="e">
        <f>VLOOKUP(E829,基础信息!C:E,3,FALSE)</f>
        <v>#N/A</v>
      </c>
    </row>
    <row r="830" customHeight="1" spans="8:8">
      <c r="H830" s="39" t="e">
        <f>VLOOKUP(E830,基础信息!C:E,3,FALSE)</f>
        <v>#N/A</v>
      </c>
    </row>
    <row r="831" customHeight="1" spans="8:8">
      <c r="H831" s="39" t="e">
        <f>VLOOKUP(E831,基础信息!C:E,3,FALSE)</f>
        <v>#N/A</v>
      </c>
    </row>
    <row r="832" customHeight="1" spans="8:8">
      <c r="H832" s="39" t="e">
        <f>VLOOKUP(E832,基础信息!C:E,3,FALSE)</f>
        <v>#N/A</v>
      </c>
    </row>
    <row r="833" customHeight="1" spans="8:8">
      <c r="H833" s="39" t="e">
        <f>VLOOKUP(E833,基础信息!C:E,3,FALSE)</f>
        <v>#N/A</v>
      </c>
    </row>
    <row r="834" customHeight="1" spans="8:8">
      <c r="H834" s="39" t="e">
        <f>VLOOKUP(E834,基础信息!C:E,3,FALSE)</f>
        <v>#N/A</v>
      </c>
    </row>
    <row r="835" customHeight="1" spans="8:8">
      <c r="H835" s="39" t="e">
        <f>VLOOKUP(E835,基础信息!C:E,3,FALSE)</f>
        <v>#N/A</v>
      </c>
    </row>
    <row r="836" customHeight="1" spans="8:8">
      <c r="H836" s="39" t="e">
        <f>VLOOKUP(E836,基础信息!C:E,3,FALSE)</f>
        <v>#N/A</v>
      </c>
    </row>
    <row r="837" customHeight="1" spans="8:8">
      <c r="H837" s="39" t="e">
        <f>VLOOKUP(E837,基础信息!C:E,3,FALSE)</f>
        <v>#N/A</v>
      </c>
    </row>
    <row r="838" customHeight="1" spans="8:8">
      <c r="H838" s="39" t="e">
        <f>VLOOKUP(E838,基础信息!C:E,3,FALSE)</f>
        <v>#N/A</v>
      </c>
    </row>
    <row r="839" customHeight="1" spans="8:8">
      <c r="H839" s="39" t="e">
        <f>VLOOKUP(E839,基础信息!C:E,3,FALSE)</f>
        <v>#N/A</v>
      </c>
    </row>
    <row r="840" customHeight="1" spans="8:8">
      <c r="H840" s="39" t="e">
        <f>VLOOKUP(E840,基础信息!C:E,3,FALSE)</f>
        <v>#N/A</v>
      </c>
    </row>
    <row r="841" customHeight="1" spans="8:8">
      <c r="H841" s="39" t="e">
        <f>VLOOKUP(E841,基础信息!C:E,3,FALSE)</f>
        <v>#N/A</v>
      </c>
    </row>
    <row r="842" customHeight="1" spans="8:8">
      <c r="H842" s="39" t="e">
        <f>VLOOKUP(E842,基础信息!C:E,3,FALSE)</f>
        <v>#N/A</v>
      </c>
    </row>
    <row r="843" customHeight="1" spans="8:8">
      <c r="H843" s="39" t="e">
        <f>VLOOKUP(E843,基础信息!C:E,3,FALSE)</f>
        <v>#N/A</v>
      </c>
    </row>
    <row r="844" customHeight="1" spans="8:8">
      <c r="H844" s="39" t="e">
        <f>VLOOKUP(E844,基础信息!C:E,3,FALSE)</f>
        <v>#N/A</v>
      </c>
    </row>
    <row r="845" customHeight="1" spans="8:8">
      <c r="H845" s="39" t="e">
        <f>VLOOKUP(E845,基础信息!C:E,3,FALSE)</f>
        <v>#N/A</v>
      </c>
    </row>
    <row r="846" customHeight="1" spans="8:8">
      <c r="H846" s="39" t="e">
        <f>VLOOKUP(E846,基础信息!C:E,3,FALSE)</f>
        <v>#N/A</v>
      </c>
    </row>
    <row r="847" customHeight="1" spans="8:8">
      <c r="H847" s="39" t="e">
        <f>VLOOKUP(E847,基础信息!C:E,3,FALSE)</f>
        <v>#N/A</v>
      </c>
    </row>
    <row r="848" customHeight="1" spans="8:8">
      <c r="H848" s="39" t="e">
        <f>VLOOKUP(E848,基础信息!C:E,3,FALSE)</f>
        <v>#N/A</v>
      </c>
    </row>
    <row r="849" customHeight="1" spans="8:8">
      <c r="H849" s="39" t="e">
        <f>VLOOKUP(E849,基础信息!C:E,3,FALSE)</f>
        <v>#N/A</v>
      </c>
    </row>
    <row r="850" customHeight="1" spans="8:8">
      <c r="H850" s="39" t="e">
        <f>VLOOKUP(E850,基础信息!C:E,3,FALSE)</f>
        <v>#N/A</v>
      </c>
    </row>
    <row r="851" customHeight="1" spans="8:8">
      <c r="H851" s="39" t="e">
        <f>VLOOKUP(E851,基础信息!C:E,3,FALSE)</f>
        <v>#N/A</v>
      </c>
    </row>
    <row r="852" customHeight="1" spans="8:8">
      <c r="H852" s="39" t="e">
        <f>VLOOKUP(E852,基础信息!C:E,3,FALSE)</f>
        <v>#N/A</v>
      </c>
    </row>
    <row r="853" customHeight="1" spans="8:8">
      <c r="H853" s="39" t="e">
        <f>VLOOKUP(E853,基础信息!C:E,3,FALSE)</f>
        <v>#N/A</v>
      </c>
    </row>
    <row r="854" customHeight="1" spans="8:8">
      <c r="H854" s="39" t="e">
        <f>VLOOKUP(E854,基础信息!C:E,3,FALSE)</f>
        <v>#N/A</v>
      </c>
    </row>
    <row r="855" customHeight="1" spans="8:8">
      <c r="H855" s="39" t="e">
        <f>VLOOKUP(E855,基础信息!C:E,3,FALSE)</f>
        <v>#N/A</v>
      </c>
    </row>
    <row r="856" customHeight="1" spans="8:8">
      <c r="H856" s="39" t="e">
        <f>VLOOKUP(E856,基础信息!C:E,3,FALSE)</f>
        <v>#N/A</v>
      </c>
    </row>
    <row r="857" customHeight="1" spans="8:8">
      <c r="H857" s="39" t="e">
        <f>VLOOKUP(E857,基础信息!C:E,3,FALSE)</f>
        <v>#N/A</v>
      </c>
    </row>
    <row r="858" customHeight="1" spans="8:8">
      <c r="H858" s="39" t="e">
        <f>VLOOKUP(E858,基础信息!C:E,3,FALSE)</f>
        <v>#N/A</v>
      </c>
    </row>
    <row r="859" customHeight="1" spans="8:8">
      <c r="H859" s="39" t="e">
        <f>VLOOKUP(E859,基础信息!C:E,3,FALSE)</f>
        <v>#N/A</v>
      </c>
    </row>
    <row r="860" customHeight="1" spans="8:8">
      <c r="H860" s="39" t="e">
        <f>VLOOKUP(E860,基础信息!C:E,3,FALSE)</f>
        <v>#N/A</v>
      </c>
    </row>
    <row r="861" customHeight="1" spans="8:8">
      <c r="H861" s="39" t="e">
        <f>VLOOKUP(E861,基础信息!C:E,3,FALSE)</f>
        <v>#N/A</v>
      </c>
    </row>
    <row r="862" customHeight="1" spans="8:8">
      <c r="H862" s="39" t="e">
        <f>VLOOKUP(E862,基础信息!C:E,3,FALSE)</f>
        <v>#N/A</v>
      </c>
    </row>
    <row r="863" customHeight="1" spans="8:8">
      <c r="H863" s="39" t="e">
        <f>VLOOKUP(E863,基础信息!C:E,3,FALSE)</f>
        <v>#N/A</v>
      </c>
    </row>
    <row r="864" customHeight="1" spans="8:8">
      <c r="H864" s="39" t="e">
        <f>VLOOKUP(E864,基础信息!C:E,3,FALSE)</f>
        <v>#N/A</v>
      </c>
    </row>
    <row r="865" customHeight="1" spans="8:8">
      <c r="H865" s="39" t="e">
        <f>VLOOKUP(E865,基础信息!C:E,3,FALSE)</f>
        <v>#N/A</v>
      </c>
    </row>
    <row r="866" customHeight="1" spans="8:8">
      <c r="H866" s="39" t="e">
        <f>VLOOKUP(E866,基础信息!C:E,3,FALSE)</f>
        <v>#N/A</v>
      </c>
    </row>
    <row r="867" customHeight="1" spans="8:8">
      <c r="H867" s="39" t="e">
        <f>VLOOKUP(E867,基础信息!C:E,3,FALSE)</f>
        <v>#N/A</v>
      </c>
    </row>
    <row r="868" customHeight="1" spans="8:8">
      <c r="H868" s="39" t="e">
        <f>VLOOKUP(E868,基础信息!C:E,3,FALSE)</f>
        <v>#N/A</v>
      </c>
    </row>
    <row r="869" customHeight="1" spans="8:8">
      <c r="H869" s="39" t="e">
        <f>VLOOKUP(E869,基础信息!C:E,3,FALSE)</f>
        <v>#N/A</v>
      </c>
    </row>
    <row r="870" customHeight="1" spans="8:8">
      <c r="H870" s="39" t="e">
        <f>VLOOKUP(E870,基础信息!C:E,3,FALSE)</f>
        <v>#N/A</v>
      </c>
    </row>
    <row r="871" customHeight="1" spans="8:8">
      <c r="H871" s="39" t="e">
        <f>VLOOKUP(E871,基础信息!C:E,3,FALSE)</f>
        <v>#N/A</v>
      </c>
    </row>
    <row r="872" customHeight="1" spans="8:8">
      <c r="H872" s="39" t="e">
        <f>VLOOKUP(E872,基础信息!C:E,3,FALSE)</f>
        <v>#N/A</v>
      </c>
    </row>
    <row r="873" customHeight="1" spans="8:8">
      <c r="H873" s="39" t="e">
        <f>VLOOKUP(E873,基础信息!C:E,3,FALSE)</f>
        <v>#N/A</v>
      </c>
    </row>
    <row r="874" customHeight="1" spans="8:8">
      <c r="H874" s="39" t="e">
        <f>VLOOKUP(E874,基础信息!C:E,3,FALSE)</f>
        <v>#N/A</v>
      </c>
    </row>
    <row r="875" customHeight="1" spans="8:8">
      <c r="H875" s="39" t="e">
        <f>VLOOKUP(E875,基础信息!C:E,3,FALSE)</f>
        <v>#N/A</v>
      </c>
    </row>
    <row r="876" customHeight="1" spans="8:8">
      <c r="H876" s="39" t="e">
        <f>VLOOKUP(E876,基础信息!C:E,3,FALSE)</f>
        <v>#N/A</v>
      </c>
    </row>
    <row r="877" customHeight="1" spans="8:8">
      <c r="H877" s="39" t="e">
        <f>VLOOKUP(E877,基础信息!C:E,3,FALSE)</f>
        <v>#N/A</v>
      </c>
    </row>
    <row r="878" customHeight="1" spans="8:8">
      <c r="H878" s="39" t="e">
        <f>VLOOKUP(E878,基础信息!C:E,3,FALSE)</f>
        <v>#N/A</v>
      </c>
    </row>
    <row r="879" customHeight="1" spans="8:8">
      <c r="H879" s="39" t="e">
        <f>VLOOKUP(E879,基础信息!C:E,3,FALSE)</f>
        <v>#N/A</v>
      </c>
    </row>
    <row r="880" customHeight="1" spans="8:8">
      <c r="H880" s="39" t="e">
        <f>VLOOKUP(E880,基础信息!C:E,3,FALSE)</f>
        <v>#N/A</v>
      </c>
    </row>
    <row r="881" customHeight="1" spans="8:8">
      <c r="H881" s="39" t="e">
        <f>VLOOKUP(E881,基础信息!C:E,3,FALSE)</f>
        <v>#N/A</v>
      </c>
    </row>
    <row r="882" customHeight="1" spans="8:8">
      <c r="H882" s="39" t="e">
        <f>VLOOKUP(E882,基础信息!C:E,3,FALSE)</f>
        <v>#N/A</v>
      </c>
    </row>
    <row r="883" customHeight="1" spans="8:8">
      <c r="H883" s="39" t="e">
        <f>VLOOKUP(E883,基础信息!C:E,3,FALSE)</f>
        <v>#N/A</v>
      </c>
    </row>
    <row r="884" customHeight="1" spans="8:8">
      <c r="H884" s="39" t="e">
        <f>VLOOKUP(E884,基础信息!C:E,3,FALSE)</f>
        <v>#N/A</v>
      </c>
    </row>
    <row r="885" customHeight="1" spans="8:8">
      <c r="H885" s="39" t="e">
        <f>VLOOKUP(E885,基础信息!C:E,3,FALSE)</f>
        <v>#N/A</v>
      </c>
    </row>
    <row r="886" customHeight="1" spans="8:8">
      <c r="H886" s="39" t="e">
        <f>VLOOKUP(E886,基础信息!C:E,3,FALSE)</f>
        <v>#N/A</v>
      </c>
    </row>
    <row r="887" customHeight="1" spans="8:8">
      <c r="H887" s="39" t="e">
        <f>VLOOKUP(E887,基础信息!C:E,3,FALSE)</f>
        <v>#N/A</v>
      </c>
    </row>
    <row r="888" customHeight="1" spans="8:8">
      <c r="H888" s="39" t="e">
        <f>VLOOKUP(E888,基础信息!C:E,3,FALSE)</f>
        <v>#N/A</v>
      </c>
    </row>
    <row r="889" customHeight="1" spans="8:8">
      <c r="H889" s="39" t="e">
        <f>VLOOKUP(E889,基础信息!C:E,3,FALSE)</f>
        <v>#N/A</v>
      </c>
    </row>
    <row r="890" customHeight="1" spans="8:8">
      <c r="H890" s="39" t="e">
        <f>VLOOKUP(E890,基础信息!C:E,3,FALSE)</f>
        <v>#N/A</v>
      </c>
    </row>
    <row r="891" customHeight="1" spans="8:8">
      <c r="H891" s="39" t="e">
        <f>VLOOKUP(E891,基础信息!C:E,3,FALSE)</f>
        <v>#N/A</v>
      </c>
    </row>
    <row r="892" customHeight="1" spans="8:8">
      <c r="H892" s="39" t="e">
        <f>VLOOKUP(E892,基础信息!C:E,3,FALSE)</f>
        <v>#N/A</v>
      </c>
    </row>
    <row r="893" customHeight="1" spans="8:8">
      <c r="H893" s="39" t="e">
        <f>VLOOKUP(E893,基础信息!C:E,3,FALSE)</f>
        <v>#N/A</v>
      </c>
    </row>
    <row r="894" customHeight="1" spans="8:8">
      <c r="H894" s="39" t="e">
        <f>VLOOKUP(E894,基础信息!C:E,3,FALSE)</f>
        <v>#N/A</v>
      </c>
    </row>
    <row r="895" customHeight="1" spans="8:8">
      <c r="H895" s="39" t="e">
        <f>VLOOKUP(E895,基础信息!C:E,3,FALSE)</f>
        <v>#N/A</v>
      </c>
    </row>
    <row r="896" customHeight="1" spans="8:8">
      <c r="H896" s="39" t="e">
        <f>VLOOKUP(E896,基础信息!C:E,3,FALSE)</f>
        <v>#N/A</v>
      </c>
    </row>
    <row r="897" customHeight="1" spans="8:8">
      <c r="H897" s="39" t="e">
        <f>VLOOKUP(E897,基础信息!C:E,3,FALSE)</f>
        <v>#N/A</v>
      </c>
    </row>
    <row r="898" customHeight="1" spans="8:8">
      <c r="H898" s="39" t="e">
        <f>VLOOKUP(E898,基础信息!C:E,3,FALSE)</f>
        <v>#N/A</v>
      </c>
    </row>
    <row r="899" customHeight="1" spans="8:8">
      <c r="H899" s="39" t="e">
        <f>VLOOKUP(E899,基础信息!C:E,3,FALSE)</f>
        <v>#N/A</v>
      </c>
    </row>
    <row r="900" customHeight="1" spans="8:8">
      <c r="H900" s="39" t="e">
        <f>VLOOKUP(E900,基础信息!C:E,3,FALSE)</f>
        <v>#N/A</v>
      </c>
    </row>
    <row r="901" customHeight="1" spans="8:8">
      <c r="H901" s="39" t="e">
        <f>VLOOKUP(E901,基础信息!C:E,3,FALSE)</f>
        <v>#N/A</v>
      </c>
    </row>
    <row r="902" customHeight="1" spans="8:8">
      <c r="H902" s="39" t="e">
        <f>VLOOKUP(E902,基础信息!C:E,3,FALSE)</f>
        <v>#N/A</v>
      </c>
    </row>
    <row r="903" customHeight="1" spans="8:8">
      <c r="H903" s="39" t="e">
        <f>VLOOKUP(E903,基础信息!C:E,3,FALSE)</f>
        <v>#N/A</v>
      </c>
    </row>
    <row r="904" customHeight="1" spans="8:8">
      <c r="H904" s="39" t="e">
        <f>VLOOKUP(E904,基础信息!C:E,3,FALSE)</f>
        <v>#N/A</v>
      </c>
    </row>
    <row r="905" customHeight="1" spans="8:8">
      <c r="H905" s="39" t="e">
        <f>VLOOKUP(E905,基础信息!C:E,3,FALSE)</f>
        <v>#N/A</v>
      </c>
    </row>
    <row r="906" customHeight="1" spans="8:8">
      <c r="H906" s="39" t="e">
        <f>VLOOKUP(E906,基础信息!C:E,3,FALSE)</f>
        <v>#N/A</v>
      </c>
    </row>
    <row r="907" customHeight="1" spans="8:8">
      <c r="H907" s="39" t="e">
        <f>VLOOKUP(E907,基础信息!C:E,3,FALSE)</f>
        <v>#N/A</v>
      </c>
    </row>
    <row r="908" customHeight="1" spans="8:8">
      <c r="H908" s="39" t="e">
        <f>VLOOKUP(E908,基础信息!C:E,3,FALSE)</f>
        <v>#N/A</v>
      </c>
    </row>
    <row r="909" customHeight="1" spans="8:8">
      <c r="H909" s="39" t="e">
        <f>VLOOKUP(E909,基础信息!C:E,3,FALSE)</f>
        <v>#N/A</v>
      </c>
    </row>
    <row r="910" customHeight="1" spans="8:8">
      <c r="H910" s="39" t="e">
        <f>VLOOKUP(E910,基础信息!C:E,3,FALSE)</f>
        <v>#N/A</v>
      </c>
    </row>
    <row r="911" customHeight="1" spans="8:8">
      <c r="H911" s="39" t="e">
        <f>VLOOKUP(E911,基础信息!C:E,3,FALSE)</f>
        <v>#N/A</v>
      </c>
    </row>
    <row r="912" customHeight="1" spans="8:8">
      <c r="H912" s="39" t="e">
        <f>VLOOKUP(E912,基础信息!C:E,3,FALSE)</f>
        <v>#N/A</v>
      </c>
    </row>
    <row r="913" customHeight="1" spans="8:8">
      <c r="H913" s="39" t="e">
        <f>VLOOKUP(E913,基础信息!C:E,3,FALSE)</f>
        <v>#N/A</v>
      </c>
    </row>
    <row r="914" customHeight="1" spans="8:8">
      <c r="H914" s="39" t="e">
        <f>VLOOKUP(E914,基础信息!C:E,3,FALSE)</f>
        <v>#N/A</v>
      </c>
    </row>
    <row r="915" customHeight="1" spans="8:8">
      <c r="H915" s="39" t="e">
        <f>VLOOKUP(E915,基础信息!C:E,3,FALSE)</f>
        <v>#N/A</v>
      </c>
    </row>
    <row r="916" customHeight="1" spans="8:8">
      <c r="H916" s="39" t="e">
        <f>VLOOKUP(E916,基础信息!C:E,3,FALSE)</f>
        <v>#N/A</v>
      </c>
    </row>
    <row r="917" customHeight="1" spans="8:8">
      <c r="H917" s="39" t="e">
        <f>VLOOKUP(E917,基础信息!C:E,3,FALSE)</f>
        <v>#N/A</v>
      </c>
    </row>
    <row r="918" customHeight="1" spans="8:8">
      <c r="H918" s="39" t="e">
        <f>VLOOKUP(E918,基础信息!C:E,3,FALSE)</f>
        <v>#N/A</v>
      </c>
    </row>
    <row r="919" customHeight="1" spans="8:8">
      <c r="H919" s="39" t="e">
        <f>VLOOKUP(E919,基础信息!C:E,3,FALSE)</f>
        <v>#N/A</v>
      </c>
    </row>
    <row r="920" customHeight="1" spans="8:8">
      <c r="H920" s="39" t="e">
        <f>VLOOKUP(E920,基础信息!C:E,3,FALSE)</f>
        <v>#N/A</v>
      </c>
    </row>
    <row r="921" customHeight="1" spans="8:8">
      <c r="H921" s="39" t="e">
        <f>VLOOKUP(E921,基础信息!C:E,3,FALSE)</f>
        <v>#N/A</v>
      </c>
    </row>
    <row r="922" customHeight="1" spans="8:8">
      <c r="H922" s="39" t="e">
        <f>VLOOKUP(E922,基础信息!C:E,3,FALSE)</f>
        <v>#N/A</v>
      </c>
    </row>
    <row r="923" customHeight="1" spans="8:8">
      <c r="H923" s="39" t="e">
        <f>VLOOKUP(E923,基础信息!C:E,3,FALSE)</f>
        <v>#N/A</v>
      </c>
    </row>
    <row r="924" customHeight="1" spans="8:8">
      <c r="H924" s="39" t="e">
        <f>VLOOKUP(E924,基础信息!C:E,3,FALSE)</f>
        <v>#N/A</v>
      </c>
    </row>
    <row r="925" customHeight="1" spans="8:8">
      <c r="H925" s="39" t="e">
        <f>VLOOKUP(E925,基础信息!C:E,3,FALSE)</f>
        <v>#N/A</v>
      </c>
    </row>
    <row r="926" customHeight="1" spans="8:8">
      <c r="H926" s="39" t="e">
        <f>VLOOKUP(E926,基础信息!C:E,3,FALSE)</f>
        <v>#N/A</v>
      </c>
    </row>
    <row r="927" customHeight="1" spans="8:8">
      <c r="H927" s="39" t="e">
        <f>VLOOKUP(E927,基础信息!C:E,3,FALSE)</f>
        <v>#N/A</v>
      </c>
    </row>
    <row r="928" customHeight="1" spans="8:8">
      <c r="H928" s="39" t="e">
        <f>VLOOKUP(E928,基础信息!C:E,3,FALSE)</f>
        <v>#N/A</v>
      </c>
    </row>
    <row r="929" customHeight="1" spans="8:8">
      <c r="H929" s="39" t="e">
        <f>VLOOKUP(E929,基础信息!C:E,3,FALSE)</f>
        <v>#N/A</v>
      </c>
    </row>
    <row r="930" customHeight="1" spans="8:8">
      <c r="H930" s="39" t="e">
        <f>VLOOKUP(E930,基础信息!C:E,3,FALSE)</f>
        <v>#N/A</v>
      </c>
    </row>
    <row r="931" customHeight="1" spans="8:8">
      <c r="H931" s="39" t="e">
        <f>VLOOKUP(E931,基础信息!C:E,3,FALSE)</f>
        <v>#N/A</v>
      </c>
    </row>
    <row r="932" customHeight="1" spans="8:8">
      <c r="H932" s="39" t="e">
        <f>VLOOKUP(E932,基础信息!C:E,3,FALSE)</f>
        <v>#N/A</v>
      </c>
    </row>
    <row r="933" customHeight="1" spans="8:8">
      <c r="H933" s="39" t="e">
        <f>VLOOKUP(E933,基础信息!C:E,3,FALSE)</f>
        <v>#N/A</v>
      </c>
    </row>
    <row r="934" customHeight="1" spans="8:8">
      <c r="H934" s="39" t="e">
        <f>VLOOKUP(E934,基础信息!C:E,3,FALSE)</f>
        <v>#N/A</v>
      </c>
    </row>
    <row r="935" customHeight="1" spans="8:8">
      <c r="H935" s="39" t="e">
        <f>VLOOKUP(E935,基础信息!C:E,3,FALSE)</f>
        <v>#N/A</v>
      </c>
    </row>
    <row r="936" customHeight="1" spans="8:8">
      <c r="H936" s="39" t="e">
        <f>VLOOKUP(E936,基础信息!C:E,3,FALSE)</f>
        <v>#N/A</v>
      </c>
    </row>
    <row r="937" customHeight="1" spans="8:8">
      <c r="H937" s="39" t="e">
        <f>VLOOKUP(E937,基础信息!C:E,3,FALSE)</f>
        <v>#N/A</v>
      </c>
    </row>
    <row r="938" customHeight="1" spans="8:8">
      <c r="H938" s="39" t="e">
        <f>VLOOKUP(E938,基础信息!C:E,3,FALSE)</f>
        <v>#N/A</v>
      </c>
    </row>
    <row r="939" customHeight="1" spans="8:8">
      <c r="H939" s="39" t="e">
        <f>VLOOKUP(E939,基础信息!C:E,3,FALSE)</f>
        <v>#N/A</v>
      </c>
    </row>
    <row r="940" customHeight="1" spans="8:8">
      <c r="H940" s="39" t="e">
        <f>VLOOKUP(E940,基础信息!C:E,3,FALSE)</f>
        <v>#N/A</v>
      </c>
    </row>
    <row r="941" customHeight="1" spans="8:8">
      <c r="H941" s="39" t="e">
        <f>VLOOKUP(E941,基础信息!C:E,3,FALSE)</f>
        <v>#N/A</v>
      </c>
    </row>
    <row r="942" customHeight="1" spans="8:8">
      <c r="H942" s="39" t="e">
        <f>VLOOKUP(E942,基础信息!C:E,3,FALSE)</f>
        <v>#N/A</v>
      </c>
    </row>
    <row r="943" customHeight="1" spans="8:8">
      <c r="H943" s="39" t="e">
        <f>VLOOKUP(E943,基础信息!C:E,3,FALSE)</f>
        <v>#N/A</v>
      </c>
    </row>
    <row r="944" customHeight="1" spans="8:8">
      <c r="H944" s="39" t="e">
        <f>VLOOKUP(E944,基础信息!C:E,3,FALSE)</f>
        <v>#N/A</v>
      </c>
    </row>
    <row r="945" customHeight="1" spans="8:8">
      <c r="H945" s="39" t="e">
        <f>VLOOKUP(E945,基础信息!C:E,3,FALSE)</f>
        <v>#N/A</v>
      </c>
    </row>
    <row r="946" customHeight="1" spans="8:8">
      <c r="H946" s="39" t="e">
        <f>VLOOKUP(E946,基础信息!C:E,3,FALSE)</f>
        <v>#N/A</v>
      </c>
    </row>
    <row r="947" customHeight="1" spans="8:8">
      <c r="H947" s="39" t="e">
        <f>VLOOKUP(E947,基础信息!C:E,3,FALSE)</f>
        <v>#N/A</v>
      </c>
    </row>
    <row r="948" customHeight="1" spans="8:8">
      <c r="H948" s="39" t="e">
        <f>VLOOKUP(E948,基础信息!C:E,3,FALSE)</f>
        <v>#N/A</v>
      </c>
    </row>
    <row r="949" customHeight="1" spans="8:8">
      <c r="H949" s="39" t="e">
        <f>VLOOKUP(E949,基础信息!C:E,3,FALSE)</f>
        <v>#N/A</v>
      </c>
    </row>
    <row r="950" customHeight="1" spans="8:8">
      <c r="H950" s="39" t="e">
        <f>VLOOKUP(E950,基础信息!C:E,3,FALSE)</f>
        <v>#N/A</v>
      </c>
    </row>
    <row r="951" customHeight="1" spans="8:8">
      <c r="H951" s="39" t="e">
        <f>VLOOKUP(E951,基础信息!C:E,3,FALSE)</f>
        <v>#N/A</v>
      </c>
    </row>
    <row r="952" customHeight="1" spans="8:8">
      <c r="H952" s="39" t="e">
        <f>VLOOKUP(E952,基础信息!C:E,3,FALSE)</f>
        <v>#N/A</v>
      </c>
    </row>
    <row r="953" customHeight="1" spans="8:8">
      <c r="H953" s="39" t="e">
        <f>VLOOKUP(E953,基础信息!C:E,3,FALSE)</f>
        <v>#N/A</v>
      </c>
    </row>
    <row r="954" customHeight="1" spans="8:8">
      <c r="H954" s="39" t="e">
        <f>VLOOKUP(E954,基础信息!C:E,3,FALSE)</f>
        <v>#N/A</v>
      </c>
    </row>
    <row r="955" customHeight="1" spans="8:8">
      <c r="H955" s="39" t="e">
        <f>VLOOKUP(E955,基础信息!C:E,3,FALSE)</f>
        <v>#N/A</v>
      </c>
    </row>
    <row r="956" customHeight="1" spans="8:8">
      <c r="H956" s="39" t="e">
        <f>VLOOKUP(E956,基础信息!C:E,3,FALSE)</f>
        <v>#N/A</v>
      </c>
    </row>
    <row r="957" customHeight="1" spans="8:8">
      <c r="H957" s="39" t="e">
        <f>VLOOKUP(E957,基础信息!C:E,3,FALSE)</f>
        <v>#N/A</v>
      </c>
    </row>
    <row r="958" customHeight="1" spans="8:8">
      <c r="H958" s="39" t="e">
        <f>VLOOKUP(E958,基础信息!C:E,3,FALSE)</f>
        <v>#N/A</v>
      </c>
    </row>
    <row r="959" customHeight="1" spans="8:8">
      <c r="H959" s="39" t="e">
        <f>VLOOKUP(E959,基础信息!C:E,3,FALSE)</f>
        <v>#N/A</v>
      </c>
    </row>
    <row r="960" customHeight="1" spans="8:8">
      <c r="H960" s="39" t="e">
        <f>VLOOKUP(E960,基础信息!C:E,3,FALSE)</f>
        <v>#N/A</v>
      </c>
    </row>
    <row r="961" customHeight="1" spans="8:8">
      <c r="H961" s="39" t="e">
        <f>VLOOKUP(E961,基础信息!C:E,3,FALSE)</f>
        <v>#N/A</v>
      </c>
    </row>
    <row r="962" customHeight="1" spans="8:8">
      <c r="H962" s="39" t="e">
        <f>VLOOKUP(E962,基础信息!C:E,3,FALSE)</f>
        <v>#N/A</v>
      </c>
    </row>
    <row r="963" customHeight="1" spans="8:8">
      <c r="H963" s="39" t="e">
        <f>VLOOKUP(E963,基础信息!C:E,3,FALSE)</f>
        <v>#N/A</v>
      </c>
    </row>
    <row r="964" customHeight="1" spans="8:8">
      <c r="H964" s="39" t="e">
        <f>VLOOKUP(E964,基础信息!C:E,3,FALSE)</f>
        <v>#N/A</v>
      </c>
    </row>
    <row r="965" customHeight="1" spans="8:8">
      <c r="H965" s="39" t="e">
        <f>VLOOKUP(E965,基础信息!C:E,3,FALSE)</f>
        <v>#N/A</v>
      </c>
    </row>
    <row r="966" customHeight="1" spans="8:8">
      <c r="H966" s="39" t="e">
        <f>VLOOKUP(E966,基础信息!C:E,3,FALSE)</f>
        <v>#N/A</v>
      </c>
    </row>
    <row r="967" customHeight="1" spans="8:8">
      <c r="H967" s="39" t="e">
        <f>VLOOKUP(E967,基础信息!C:E,3,FALSE)</f>
        <v>#N/A</v>
      </c>
    </row>
    <row r="968" customHeight="1" spans="8:8">
      <c r="H968" s="39" t="e">
        <f>VLOOKUP(E968,基础信息!C:E,3,FALSE)</f>
        <v>#N/A</v>
      </c>
    </row>
    <row r="969" customHeight="1" spans="8:8">
      <c r="H969" s="39" t="e">
        <f>VLOOKUP(E969,基础信息!C:E,3,FALSE)</f>
        <v>#N/A</v>
      </c>
    </row>
    <row r="970" customHeight="1" spans="8:8">
      <c r="H970" s="39" t="e">
        <f>VLOOKUP(E970,基础信息!C:E,3,FALSE)</f>
        <v>#N/A</v>
      </c>
    </row>
    <row r="971" customHeight="1" spans="8:8">
      <c r="H971" s="39" t="e">
        <f>VLOOKUP(E971,基础信息!C:E,3,FALSE)</f>
        <v>#N/A</v>
      </c>
    </row>
    <row r="972" customHeight="1" spans="8:8">
      <c r="H972" s="39" t="e">
        <f>VLOOKUP(E972,基础信息!C:E,3,FALSE)</f>
        <v>#N/A</v>
      </c>
    </row>
    <row r="973" customHeight="1" spans="8:8">
      <c r="H973" s="39" t="e">
        <f>VLOOKUP(E973,基础信息!C:E,3,FALSE)</f>
        <v>#N/A</v>
      </c>
    </row>
    <row r="974" customHeight="1" spans="8:8">
      <c r="H974" s="39" t="e">
        <f>VLOOKUP(E974,基础信息!C:E,3,FALSE)</f>
        <v>#N/A</v>
      </c>
    </row>
    <row r="975" customHeight="1" spans="8:8">
      <c r="H975" s="39" t="e">
        <f>VLOOKUP(E975,基础信息!C:E,3,FALSE)</f>
        <v>#N/A</v>
      </c>
    </row>
    <row r="976" customHeight="1" spans="8:8">
      <c r="H976" s="39" t="e">
        <f>VLOOKUP(E976,基础信息!C:E,3,FALSE)</f>
        <v>#N/A</v>
      </c>
    </row>
    <row r="977" customHeight="1" spans="8:8">
      <c r="H977" s="39" t="e">
        <f>VLOOKUP(E977,基础信息!C:E,3,FALSE)</f>
        <v>#N/A</v>
      </c>
    </row>
    <row r="978" customHeight="1" spans="8:8">
      <c r="H978" s="39" t="e">
        <f>VLOOKUP(E978,基础信息!C:E,3,FALSE)</f>
        <v>#N/A</v>
      </c>
    </row>
    <row r="979" customHeight="1" spans="8:8">
      <c r="H979" s="39" t="e">
        <f>VLOOKUP(E979,基础信息!C:E,3,FALSE)</f>
        <v>#N/A</v>
      </c>
    </row>
    <row r="980" customHeight="1" spans="8:8">
      <c r="H980" s="39" t="e">
        <f>VLOOKUP(E980,基础信息!C:E,3,FALSE)</f>
        <v>#N/A</v>
      </c>
    </row>
    <row r="981" customHeight="1" spans="8:8">
      <c r="H981" s="39" t="e">
        <f>VLOOKUP(E981,基础信息!C:E,3,FALSE)</f>
        <v>#N/A</v>
      </c>
    </row>
    <row r="982" customHeight="1" spans="8:8">
      <c r="H982" s="39" t="e">
        <f>VLOOKUP(E982,基础信息!C:E,3,FALSE)</f>
        <v>#N/A</v>
      </c>
    </row>
    <row r="983" customHeight="1" spans="8:8">
      <c r="H983" s="39" t="e">
        <f>VLOOKUP(E983,基础信息!C:E,3,FALSE)</f>
        <v>#N/A</v>
      </c>
    </row>
    <row r="984" customHeight="1" spans="8:8">
      <c r="H984" s="39" t="e">
        <f>VLOOKUP(E984,基础信息!C:E,3,FALSE)</f>
        <v>#N/A</v>
      </c>
    </row>
    <row r="985" customHeight="1" spans="8:8">
      <c r="H985" s="39" t="e">
        <f>VLOOKUP(E985,基础信息!C:E,3,FALSE)</f>
        <v>#N/A</v>
      </c>
    </row>
    <row r="986" customHeight="1" spans="8:8">
      <c r="H986" s="39" t="e">
        <f>VLOOKUP(E986,基础信息!C:E,3,FALSE)</f>
        <v>#N/A</v>
      </c>
    </row>
    <row r="987" customHeight="1" spans="8:8">
      <c r="H987" s="39" t="e">
        <f>VLOOKUP(E987,基础信息!C:E,3,FALSE)</f>
        <v>#N/A</v>
      </c>
    </row>
    <row r="988" customHeight="1" spans="8:8">
      <c r="H988" s="39" t="e">
        <f>VLOOKUP(E988,基础信息!C:E,3,FALSE)</f>
        <v>#N/A</v>
      </c>
    </row>
    <row r="989" customHeight="1" spans="8:8">
      <c r="H989" s="39" t="e">
        <f>VLOOKUP(E989,基础信息!C:E,3,FALSE)</f>
        <v>#N/A</v>
      </c>
    </row>
    <row r="990" customHeight="1" spans="8:8">
      <c r="H990" s="39" t="e">
        <f>VLOOKUP(E990,基础信息!C:E,3,FALSE)</f>
        <v>#N/A</v>
      </c>
    </row>
    <row r="991" customHeight="1" spans="8:8">
      <c r="H991" s="39" t="e">
        <f>VLOOKUP(E991,基础信息!C:E,3,FALSE)</f>
        <v>#N/A</v>
      </c>
    </row>
    <row r="992" customHeight="1" spans="8:8">
      <c r="H992" s="39" t="e">
        <f>VLOOKUP(E992,基础信息!C:E,3,FALSE)</f>
        <v>#N/A</v>
      </c>
    </row>
    <row r="993" customHeight="1" spans="8:8">
      <c r="H993" s="39" t="e">
        <f>VLOOKUP(E993,基础信息!C:E,3,FALSE)</f>
        <v>#N/A</v>
      </c>
    </row>
    <row r="994" customHeight="1" spans="8:8">
      <c r="H994" s="39" t="e">
        <f>VLOOKUP(E994,基础信息!C:E,3,FALSE)</f>
        <v>#N/A</v>
      </c>
    </row>
    <row r="995" customHeight="1" spans="8:8">
      <c r="H995" s="39" t="e">
        <f>VLOOKUP(E995,基础信息!C:E,3,FALSE)</f>
        <v>#N/A</v>
      </c>
    </row>
    <row r="996" customHeight="1" spans="8:8">
      <c r="H996" s="39" t="e">
        <f>VLOOKUP(E996,基础信息!C:E,3,FALSE)</f>
        <v>#N/A</v>
      </c>
    </row>
    <row r="997" customHeight="1" spans="8:8">
      <c r="H997" s="39" t="e">
        <f>VLOOKUP(E997,基础信息!C:E,3,FALSE)</f>
        <v>#N/A</v>
      </c>
    </row>
    <row r="998" customHeight="1" spans="8:8">
      <c r="H998" s="39" t="e">
        <f>VLOOKUP(E998,基础信息!C:E,3,FALSE)</f>
        <v>#N/A</v>
      </c>
    </row>
    <row r="999" customHeight="1" spans="8:8">
      <c r="H999" s="39" t="e">
        <f>VLOOKUP(E999,基础信息!C:E,3,FALSE)</f>
        <v>#N/A</v>
      </c>
    </row>
    <row r="1000" customHeight="1" spans="8:8">
      <c r="H1000" s="39" t="e">
        <f>VLOOKUP(E1000,基础信息!C:E,3,FALSE)</f>
        <v>#N/A</v>
      </c>
    </row>
    <row r="1001" customHeight="1" spans="8:8">
      <c r="H1001" s="39" t="e">
        <f>VLOOKUP(E1001,基础信息!C:E,3,FALSE)</f>
        <v>#N/A</v>
      </c>
    </row>
    <row r="1002" customHeight="1" spans="8:8">
      <c r="H1002" s="39" t="e">
        <f>VLOOKUP(E1002,基础信息!C:E,3,FALSE)</f>
        <v>#N/A</v>
      </c>
    </row>
    <row r="1003" customHeight="1" spans="8:8">
      <c r="H1003" s="39" t="e">
        <f>VLOOKUP(E1003,基础信息!C:E,3,FALSE)</f>
        <v>#N/A</v>
      </c>
    </row>
    <row r="1004" customHeight="1" spans="8:8">
      <c r="H1004" s="39" t="e">
        <f>VLOOKUP(E1004,基础信息!C:E,3,FALSE)</f>
        <v>#N/A</v>
      </c>
    </row>
    <row r="1005" customHeight="1" spans="8:8">
      <c r="H1005" s="39" t="e">
        <f>VLOOKUP(E1005,基础信息!C:E,3,FALSE)</f>
        <v>#N/A</v>
      </c>
    </row>
    <row r="1006" customHeight="1" spans="8:8">
      <c r="H1006" s="39" t="e">
        <f>VLOOKUP(E1006,基础信息!C:E,3,FALSE)</f>
        <v>#N/A</v>
      </c>
    </row>
    <row r="1007" customHeight="1" spans="8:8">
      <c r="H1007" s="39" t="e">
        <f>VLOOKUP(E1007,基础信息!C:E,3,FALSE)</f>
        <v>#N/A</v>
      </c>
    </row>
    <row r="1008" customHeight="1" spans="8:8">
      <c r="H1008" s="39" t="e">
        <f>VLOOKUP(E1008,基础信息!C:E,3,FALSE)</f>
        <v>#N/A</v>
      </c>
    </row>
    <row r="1009" customHeight="1" spans="8:8">
      <c r="H1009" s="39" t="e">
        <f>VLOOKUP(E1009,基础信息!C:E,3,FALSE)</f>
        <v>#N/A</v>
      </c>
    </row>
    <row r="1010" customHeight="1" spans="8:8">
      <c r="H1010" s="39" t="e">
        <f>VLOOKUP(E1010,基础信息!C:E,3,FALSE)</f>
        <v>#N/A</v>
      </c>
    </row>
    <row r="1011" customHeight="1" spans="8:8">
      <c r="H1011" s="39" t="e">
        <f>VLOOKUP(E1011,基础信息!C:E,3,FALSE)</f>
        <v>#N/A</v>
      </c>
    </row>
    <row r="1012" customHeight="1" spans="8:8">
      <c r="H1012" s="39" t="e">
        <f>VLOOKUP(E1012,基础信息!C:E,3,FALSE)</f>
        <v>#N/A</v>
      </c>
    </row>
    <row r="1013" customHeight="1" spans="8:8">
      <c r="H1013" s="39" t="e">
        <f>VLOOKUP(E1013,基础信息!C:E,3,FALSE)</f>
        <v>#N/A</v>
      </c>
    </row>
    <row r="1014" customHeight="1" spans="8:8">
      <c r="H1014" s="39" t="e">
        <f>VLOOKUP(E1014,基础信息!C:E,3,FALSE)</f>
        <v>#N/A</v>
      </c>
    </row>
    <row r="1015" customHeight="1" spans="8:8">
      <c r="H1015" s="39" t="e">
        <f>VLOOKUP(E1015,基础信息!C:E,3,FALSE)</f>
        <v>#N/A</v>
      </c>
    </row>
    <row r="1016" customHeight="1" spans="8:8">
      <c r="H1016" s="39" t="e">
        <f>VLOOKUP(E1016,基础信息!C:E,3,FALSE)</f>
        <v>#N/A</v>
      </c>
    </row>
    <row r="1017" customHeight="1" spans="8:8">
      <c r="H1017" s="39" t="e">
        <f>VLOOKUP(E1017,基础信息!C:E,3,FALSE)</f>
        <v>#N/A</v>
      </c>
    </row>
    <row r="1018" customHeight="1" spans="8:8">
      <c r="H1018" s="39" t="e">
        <f>VLOOKUP(E1018,基础信息!C:E,3,FALSE)</f>
        <v>#N/A</v>
      </c>
    </row>
    <row r="1019" customHeight="1" spans="8:8">
      <c r="H1019" s="39" t="e">
        <f>VLOOKUP(E1019,基础信息!C:E,3,FALSE)</f>
        <v>#N/A</v>
      </c>
    </row>
    <row r="1020" customHeight="1" spans="8:8">
      <c r="H1020" s="39" t="e">
        <f>VLOOKUP(E1020,基础信息!C:E,3,FALSE)</f>
        <v>#N/A</v>
      </c>
    </row>
    <row r="1021" customHeight="1" spans="8:8">
      <c r="H1021" s="39" t="e">
        <f>VLOOKUP(E1021,基础信息!C:E,3,FALSE)</f>
        <v>#N/A</v>
      </c>
    </row>
    <row r="1022" customHeight="1" spans="8:8">
      <c r="H1022" s="39" t="e">
        <f>VLOOKUP(E1022,基础信息!C:E,3,FALSE)</f>
        <v>#N/A</v>
      </c>
    </row>
    <row r="1023" customHeight="1" spans="8:8">
      <c r="H1023" s="39" t="e">
        <f>VLOOKUP(E1023,基础信息!C:E,3,FALSE)</f>
        <v>#N/A</v>
      </c>
    </row>
    <row r="1024" customHeight="1" spans="8:8">
      <c r="H1024" s="39" t="e">
        <f>VLOOKUP(E1024,基础信息!C:E,3,FALSE)</f>
        <v>#N/A</v>
      </c>
    </row>
    <row r="1025" customHeight="1" spans="8:8">
      <c r="H1025" s="39" t="e">
        <f>VLOOKUP(E1025,基础信息!C:E,3,FALSE)</f>
        <v>#N/A</v>
      </c>
    </row>
    <row r="1026" customHeight="1" spans="8:8">
      <c r="H1026" s="39" t="e">
        <f>VLOOKUP(E1026,基础信息!C:E,3,FALSE)</f>
        <v>#N/A</v>
      </c>
    </row>
    <row r="1027" customHeight="1" spans="8:8">
      <c r="H1027" s="39" t="e">
        <f>VLOOKUP(E1027,基础信息!C:E,3,FALSE)</f>
        <v>#N/A</v>
      </c>
    </row>
    <row r="1028" customHeight="1" spans="8:8">
      <c r="H1028" s="39" t="e">
        <f>VLOOKUP(E1028,基础信息!C:E,3,FALSE)</f>
        <v>#N/A</v>
      </c>
    </row>
    <row r="1029" customHeight="1" spans="8:8">
      <c r="H1029" s="39" t="e">
        <f>VLOOKUP(E1029,基础信息!C:E,3,FALSE)</f>
        <v>#N/A</v>
      </c>
    </row>
    <row r="1030" customHeight="1" spans="8:8">
      <c r="H1030" s="39" t="e">
        <f>VLOOKUP(E1030,基础信息!C:E,3,FALSE)</f>
        <v>#N/A</v>
      </c>
    </row>
    <row r="1031" customHeight="1" spans="8:8">
      <c r="H1031" s="39" t="e">
        <f>VLOOKUP(E1031,基础信息!C:E,3,FALSE)</f>
        <v>#N/A</v>
      </c>
    </row>
    <row r="1032" customHeight="1" spans="8:8">
      <c r="H1032" s="39" t="e">
        <f>VLOOKUP(E1032,基础信息!C:E,3,FALSE)</f>
        <v>#N/A</v>
      </c>
    </row>
    <row r="1033" customHeight="1" spans="8:8">
      <c r="H1033" s="39" t="e">
        <f>VLOOKUP(E1033,基础信息!C:E,3,FALSE)</f>
        <v>#N/A</v>
      </c>
    </row>
    <row r="1034" customHeight="1" spans="8:8">
      <c r="H1034" s="39" t="e">
        <f>VLOOKUP(E1034,基础信息!C:E,3,FALSE)</f>
        <v>#N/A</v>
      </c>
    </row>
    <row r="1035" customHeight="1" spans="8:8">
      <c r="H1035" s="39" t="e">
        <f>VLOOKUP(E1035,基础信息!C:E,3,FALSE)</f>
        <v>#N/A</v>
      </c>
    </row>
    <row r="1036" customHeight="1" spans="8:8">
      <c r="H1036" s="39" t="e">
        <f>VLOOKUP(E1036,基础信息!C:E,3,FALSE)</f>
        <v>#N/A</v>
      </c>
    </row>
    <row r="1037" customHeight="1" spans="8:8">
      <c r="H1037" s="39" t="e">
        <f>VLOOKUP(E1037,基础信息!C:E,3,FALSE)</f>
        <v>#N/A</v>
      </c>
    </row>
    <row r="1038" customHeight="1" spans="8:8">
      <c r="H1038" s="39" t="e">
        <f>VLOOKUP(E1038,基础信息!C:E,3,FALSE)</f>
        <v>#N/A</v>
      </c>
    </row>
    <row r="1039" customHeight="1" spans="8:8">
      <c r="H1039" s="39" t="e">
        <f>VLOOKUP(E1039,基础信息!C:E,3,FALSE)</f>
        <v>#N/A</v>
      </c>
    </row>
    <row r="1040" customHeight="1" spans="8:8">
      <c r="H1040" s="39" t="e">
        <f>VLOOKUP(E1040,基础信息!C:E,3,FALSE)</f>
        <v>#N/A</v>
      </c>
    </row>
    <row r="1041" customHeight="1" spans="8:8">
      <c r="H1041" s="39" t="e">
        <f>VLOOKUP(E1041,基础信息!C:E,3,FALSE)</f>
        <v>#N/A</v>
      </c>
    </row>
    <row r="1042" customHeight="1" spans="8:8">
      <c r="H1042" s="39" t="e">
        <f>VLOOKUP(E1042,基础信息!C:E,3,FALSE)</f>
        <v>#N/A</v>
      </c>
    </row>
    <row r="1043" customHeight="1" spans="8:8">
      <c r="H1043" s="39" t="e">
        <f>VLOOKUP(E1043,基础信息!C:E,3,FALSE)</f>
        <v>#N/A</v>
      </c>
    </row>
    <row r="1044" customHeight="1" spans="8:8">
      <c r="H1044" s="39" t="e">
        <f>VLOOKUP(E1044,基础信息!C:E,3,FALSE)</f>
        <v>#N/A</v>
      </c>
    </row>
    <row r="1045" customHeight="1" spans="8:8">
      <c r="H1045" s="39" t="e">
        <f>VLOOKUP(E1045,基础信息!C:E,3,FALSE)</f>
        <v>#N/A</v>
      </c>
    </row>
    <row r="1046" customHeight="1" spans="8:8">
      <c r="H1046" s="39" t="e">
        <f>VLOOKUP(E1046,基础信息!C:E,3,FALSE)</f>
        <v>#N/A</v>
      </c>
    </row>
    <row r="1047" customHeight="1" spans="8:8">
      <c r="H1047" s="39" t="e">
        <f>VLOOKUP(E1047,基础信息!C:E,3,FALSE)</f>
        <v>#N/A</v>
      </c>
    </row>
    <row r="1048" customHeight="1" spans="8:8">
      <c r="H1048" s="39" t="e">
        <f>VLOOKUP(E1048,基础信息!C:E,3,FALSE)</f>
        <v>#N/A</v>
      </c>
    </row>
    <row r="1049" customHeight="1" spans="8:8">
      <c r="H1049" s="39" t="e">
        <f>VLOOKUP(E1049,基础信息!C:E,3,FALSE)</f>
        <v>#N/A</v>
      </c>
    </row>
    <row r="1050" customHeight="1" spans="8:8">
      <c r="H1050" s="39" t="e">
        <f>VLOOKUP(E1050,基础信息!C:E,3,FALSE)</f>
        <v>#N/A</v>
      </c>
    </row>
    <row r="1051" customHeight="1" spans="8:8">
      <c r="H1051" s="39" t="e">
        <f>VLOOKUP(E1051,基础信息!C:E,3,FALSE)</f>
        <v>#N/A</v>
      </c>
    </row>
    <row r="1052" customHeight="1" spans="8:8">
      <c r="H1052" s="39" t="e">
        <f>VLOOKUP(E1052,基础信息!C:E,3,FALSE)</f>
        <v>#N/A</v>
      </c>
    </row>
    <row r="1053" customHeight="1" spans="8:8">
      <c r="H1053" s="39" t="e">
        <f>VLOOKUP(E1053,基础信息!C:E,3,FALSE)</f>
        <v>#N/A</v>
      </c>
    </row>
    <row r="1054" customHeight="1" spans="8:8">
      <c r="H1054" s="39" t="e">
        <f>VLOOKUP(E1054,基础信息!C:E,3,FALSE)</f>
        <v>#N/A</v>
      </c>
    </row>
    <row r="1055" customHeight="1" spans="8:8">
      <c r="H1055" s="39" t="e">
        <f>VLOOKUP(E1055,基础信息!C:E,3,FALSE)</f>
        <v>#N/A</v>
      </c>
    </row>
    <row r="1056" customHeight="1" spans="8:8">
      <c r="H1056" s="39" t="e">
        <f>VLOOKUP(E1056,基础信息!C:E,3,FALSE)</f>
        <v>#N/A</v>
      </c>
    </row>
    <row r="1057" customHeight="1" spans="8:8">
      <c r="H1057" s="39" t="e">
        <f>VLOOKUP(E1057,基础信息!C:E,3,FALSE)</f>
        <v>#N/A</v>
      </c>
    </row>
    <row r="1058" customHeight="1" spans="8:8">
      <c r="H1058" s="39" t="e">
        <f>VLOOKUP(E1058,基础信息!C:E,3,FALSE)</f>
        <v>#N/A</v>
      </c>
    </row>
    <row r="1059" customHeight="1" spans="8:8">
      <c r="H1059" s="39" t="e">
        <f>VLOOKUP(E1059,基础信息!C:E,3,FALSE)</f>
        <v>#N/A</v>
      </c>
    </row>
    <row r="1060" customHeight="1" spans="8:8">
      <c r="H1060" s="39" t="e">
        <f>VLOOKUP(E1060,基础信息!C:E,3,FALSE)</f>
        <v>#N/A</v>
      </c>
    </row>
    <row r="1061" customHeight="1" spans="8:8">
      <c r="H1061" s="39" t="e">
        <f>VLOOKUP(E1061,基础信息!C:E,3,FALSE)</f>
        <v>#N/A</v>
      </c>
    </row>
    <row r="1062" customHeight="1" spans="8:8">
      <c r="H1062" s="39" t="e">
        <f>VLOOKUP(E1062,基础信息!C:E,3,FALSE)</f>
        <v>#N/A</v>
      </c>
    </row>
    <row r="1063" customHeight="1" spans="8:8">
      <c r="H1063" s="39" t="e">
        <f>VLOOKUP(E1063,基础信息!C:E,3,FALSE)</f>
        <v>#N/A</v>
      </c>
    </row>
    <row r="1064" customHeight="1" spans="8:8">
      <c r="H1064" s="39" t="e">
        <f>VLOOKUP(E1064,基础信息!C:E,3,FALSE)</f>
        <v>#N/A</v>
      </c>
    </row>
    <row r="1065" customHeight="1" spans="8:8">
      <c r="H1065" s="39" t="e">
        <f>VLOOKUP(E1065,基础信息!C:E,3,FALSE)</f>
        <v>#N/A</v>
      </c>
    </row>
    <row r="1066" customHeight="1" spans="8:8">
      <c r="H1066" s="39" t="e">
        <f>VLOOKUP(E1066,基础信息!C:E,3,FALSE)</f>
        <v>#N/A</v>
      </c>
    </row>
    <row r="1067" customHeight="1" spans="8:8">
      <c r="H1067" s="39" t="e">
        <f>VLOOKUP(E1067,基础信息!C:E,3,FALSE)</f>
        <v>#N/A</v>
      </c>
    </row>
    <row r="1068" customHeight="1" spans="8:8">
      <c r="H1068" s="39" t="e">
        <f>VLOOKUP(E1068,基础信息!C:E,3,FALSE)</f>
        <v>#N/A</v>
      </c>
    </row>
    <row r="1069" customHeight="1" spans="8:8">
      <c r="H1069" s="39" t="e">
        <f>VLOOKUP(E1069,基础信息!C:E,3,FALSE)</f>
        <v>#N/A</v>
      </c>
    </row>
    <row r="1070" customHeight="1" spans="8:8">
      <c r="H1070" s="39" t="e">
        <f>VLOOKUP(E1070,基础信息!C:E,3,FALSE)</f>
        <v>#N/A</v>
      </c>
    </row>
    <row r="1071" customHeight="1" spans="8:8">
      <c r="H1071" s="39" t="e">
        <f>VLOOKUP(E1071,基础信息!C:E,3,FALSE)</f>
        <v>#N/A</v>
      </c>
    </row>
    <row r="1072" customHeight="1" spans="8:8">
      <c r="H1072" s="39" t="e">
        <f>VLOOKUP(E1072,基础信息!C:E,3,FALSE)</f>
        <v>#N/A</v>
      </c>
    </row>
    <row r="1073" customHeight="1" spans="8:8">
      <c r="H1073" s="39" t="e">
        <f>VLOOKUP(E1073,基础信息!C:E,3,FALSE)</f>
        <v>#N/A</v>
      </c>
    </row>
    <row r="1074" customHeight="1" spans="8:8">
      <c r="H1074" s="39" t="e">
        <f>VLOOKUP(E1074,基础信息!C:E,3,FALSE)</f>
        <v>#N/A</v>
      </c>
    </row>
    <row r="1075" customHeight="1" spans="8:8">
      <c r="H1075" s="39" t="e">
        <f>VLOOKUP(E1075,基础信息!C:E,3,FALSE)</f>
        <v>#N/A</v>
      </c>
    </row>
    <row r="1076" customHeight="1" spans="8:8">
      <c r="H1076" s="39" t="e">
        <f>VLOOKUP(E1076,基础信息!C:E,3,FALSE)</f>
        <v>#N/A</v>
      </c>
    </row>
    <row r="1077" customHeight="1" spans="8:8">
      <c r="H1077" s="39" t="e">
        <f>VLOOKUP(E1077,基础信息!C:E,3,FALSE)</f>
        <v>#N/A</v>
      </c>
    </row>
    <row r="1078" customHeight="1" spans="8:8">
      <c r="H1078" s="39" t="e">
        <f>VLOOKUP(E1078,基础信息!C:E,3,FALSE)</f>
        <v>#N/A</v>
      </c>
    </row>
    <row r="1079" customHeight="1" spans="8:8">
      <c r="H1079" s="39" t="e">
        <f>VLOOKUP(E1079,基础信息!C:E,3,FALSE)</f>
        <v>#N/A</v>
      </c>
    </row>
    <row r="1080" customHeight="1" spans="8:8">
      <c r="H1080" s="39" t="e">
        <f>VLOOKUP(E1080,基础信息!C:E,3,FALSE)</f>
        <v>#N/A</v>
      </c>
    </row>
    <row r="1081" customHeight="1" spans="8:8">
      <c r="H1081" s="39" t="e">
        <f>VLOOKUP(E1081,基础信息!C:E,3,FALSE)</f>
        <v>#N/A</v>
      </c>
    </row>
    <row r="1082" customHeight="1" spans="8:8">
      <c r="H1082" s="39" t="e">
        <f>VLOOKUP(E1082,基础信息!C:E,3,FALSE)</f>
        <v>#N/A</v>
      </c>
    </row>
    <row r="1083" customHeight="1" spans="8:8">
      <c r="H1083" s="39" t="e">
        <f>VLOOKUP(E1083,基础信息!C:E,3,FALSE)</f>
        <v>#N/A</v>
      </c>
    </row>
    <row r="1084" customHeight="1" spans="8:8">
      <c r="H1084" s="39" t="e">
        <f>VLOOKUP(E1084,基础信息!C:E,3,FALSE)</f>
        <v>#N/A</v>
      </c>
    </row>
    <row r="1085" customHeight="1" spans="8:8">
      <c r="H1085" s="39" t="e">
        <f>VLOOKUP(E1085,基础信息!C:E,3,FALSE)</f>
        <v>#N/A</v>
      </c>
    </row>
    <row r="1086" customHeight="1" spans="8:8">
      <c r="H1086" s="39" t="e">
        <f>VLOOKUP(E1086,基础信息!C:E,3,FALSE)</f>
        <v>#N/A</v>
      </c>
    </row>
    <row r="1087" customHeight="1" spans="8:8">
      <c r="H1087" s="39" t="e">
        <f>VLOOKUP(E1087,基础信息!C:E,3,FALSE)</f>
        <v>#N/A</v>
      </c>
    </row>
    <row r="1088" customHeight="1" spans="8:8">
      <c r="H1088" s="39" t="e">
        <f>VLOOKUP(E1088,基础信息!C:E,3,FALSE)</f>
        <v>#N/A</v>
      </c>
    </row>
    <row r="1089" customHeight="1" spans="8:8">
      <c r="H1089" s="39" t="e">
        <f>VLOOKUP(E1089,基础信息!C:E,3,FALSE)</f>
        <v>#N/A</v>
      </c>
    </row>
    <row r="1090" customHeight="1" spans="8:8">
      <c r="H1090" s="39" t="e">
        <f>VLOOKUP(E1090,基础信息!C:E,3,FALSE)</f>
        <v>#N/A</v>
      </c>
    </row>
    <row r="1091" customHeight="1" spans="8:8">
      <c r="H1091" s="39" t="e">
        <f>VLOOKUP(E1091,基础信息!C:E,3,FALSE)</f>
        <v>#N/A</v>
      </c>
    </row>
    <row r="1092" customHeight="1" spans="8:8">
      <c r="H1092" s="39" t="e">
        <f>VLOOKUP(E1092,基础信息!C:E,3,FALSE)</f>
        <v>#N/A</v>
      </c>
    </row>
    <row r="1093" customHeight="1" spans="8:8">
      <c r="H1093" s="39" t="e">
        <f>VLOOKUP(E1093,基础信息!C:E,3,FALSE)</f>
        <v>#N/A</v>
      </c>
    </row>
    <row r="1094" customHeight="1" spans="8:8">
      <c r="H1094" s="39" t="e">
        <f>VLOOKUP(E1094,基础信息!C:E,3,FALSE)</f>
        <v>#N/A</v>
      </c>
    </row>
    <row r="1095" customHeight="1" spans="8:8">
      <c r="H1095" s="39" t="e">
        <f>VLOOKUP(E1095,基础信息!C:E,3,FALSE)</f>
        <v>#N/A</v>
      </c>
    </row>
    <row r="1096" customHeight="1" spans="8:8">
      <c r="H1096" s="39" t="e">
        <f>VLOOKUP(E1096,基础信息!C:E,3,FALSE)</f>
        <v>#N/A</v>
      </c>
    </row>
    <row r="1097" customHeight="1" spans="8:8">
      <c r="H1097" s="39" t="e">
        <f>VLOOKUP(E1097,基础信息!C:E,3,FALSE)</f>
        <v>#N/A</v>
      </c>
    </row>
    <row r="1098" customHeight="1" spans="8:8">
      <c r="H1098" s="39" t="e">
        <f>VLOOKUP(E1098,基础信息!C:E,3,FALSE)</f>
        <v>#N/A</v>
      </c>
    </row>
    <row r="1099" customHeight="1" spans="8:8">
      <c r="H1099" s="39" t="e">
        <f>VLOOKUP(E1099,基础信息!C:E,3,FALSE)</f>
        <v>#N/A</v>
      </c>
    </row>
    <row r="1100" customHeight="1" spans="8:8">
      <c r="H1100" s="39" t="e">
        <f>VLOOKUP(E1100,基础信息!C:E,3,FALSE)</f>
        <v>#N/A</v>
      </c>
    </row>
    <row r="1101" customHeight="1" spans="8:8">
      <c r="H1101" s="39" t="e">
        <f>VLOOKUP(E1101,基础信息!C:E,3,FALSE)</f>
        <v>#N/A</v>
      </c>
    </row>
    <row r="1102" customHeight="1" spans="8:8">
      <c r="H1102" s="39" t="e">
        <f>VLOOKUP(E1102,基础信息!C:E,3,FALSE)</f>
        <v>#N/A</v>
      </c>
    </row>
    <row r="1103" customHeight="1" spans="8:8">
      <c r="H1103" s="39" t="e">
        <f>VLOOKUP(E1103,基础信息!C:E,3,FALSE)</f>
        <v>#N/A</v>
      </c>
    </row>
    <row r="1104" customHeight="1" spans="8:8">
      <c r="H1104" s="39" t="e">
        <f>VLOOKUP(E1104,基础信息!C:E,3,FALSE)</f>
        <v>#N/A</v>
      </c>
    </row>
    <row r="1105" customHeight="1" spans="8:8">
      <c r="H1105" s="39" t="e">
        <f>VLOOKUP(E1105,基础信息!C:E,3,FALSE)</f>
        <v>#N/A</v>
      </c>
    </row>
    <row r="1106" customHeight="1" spans="8:8">
      <c r="H1106" s="39" t="e">
        <f>VLOOKUP(E1106,基础信息!C:E,3,FALSE)</f>
        <v>#N/A</v>
      </c>
    </row>
    <row r="1107" customHeight="1" spans="8:8">
      <c r="H1107" s="39" t="e">
        <f>VLOOKUP(E1107,基础信息!C:E,3,FALSE)</f>
        <v>#N/A</v>
      </c>
    </row>
    <row r="1108" customHeight="1" spans="8:8">
      <c r="H1108" s="39" t="e">
        <f>VLOOKUP(E1108,基础信息!C:E,3,FALSE)</f>
        <v>#N/A</v>
      </c>
    </row>
    <row r="1109" customHeight="1" spans="8:8">
      <c r="H1109" s="39" t="e">
        <f>VLOOKUP(E1109,基础信息!C:E,3,FALSE)</f>
        <v>#N/A</v>
      </c>
    </row>
    <row r="1110" customHeight="1" spans="8:8">
      <c r="H1110" s="39" t="e">
        <f>VLOOKUP(E1110,基础信息!C:E,3,FALSE)</f>
        <v>#N/A</v>
      </c>
    </row>
    <row r="1111" customHeight="1" spans="8:8">
      <c r="H1111" s="39" t="e">
        <f>VLOOKUP(E1111,基础信息!C:E,3,FALSE)</f>
        <v>#N/A</v>
      </c>
    </row>
    <row r="1112" customHeight="1" spans="8:8">
      <c r="H1112" s="39" t="e">
        <f>VLOOKUP(E1112,基础信息!C:E,3,FALSE)</f>
        <v>#N/A</v>
      </c>
    </row>
    <row r="1113" customHeight="1" spans="8:8">
      <c r="H1113" s="39" t="e">
        <f>VLOOKUP(E1113,基础信息!C:E,3,FALSE)</f>
        <v>#N/A</v>
      </c>
    </row>
    <row r="1114" customHeight="1" spans="8:8">
      <c r="H1114" s="39" t="e">
        <f>VLOOKUP(E1114,基础信息!C:E,3,FALSE)</f>
        <v>#N/A</v>
      </c>
    </row>
    <row r="1115" customHeight="1" spans="8:8">
      <c r="H1115" s="39" t="e">
        <f>VLOOKUP(E1115,基础信息!C:E,3,FALSE)</f>
        <v>#N/A</v>
      </c>
    </row>
    <row r="1116" customHeight="1" spans="8:8">
      <c r="H1116" s="39" t="e">
        <f>VLOOKUP(E1116,基础信息!C:E,3,FALSE)</f>
        <v>#N/A</v>
      </c>
    </row>
    <row r="1117" customHeight="1" spans="8:8">
      <c r="H1117" s="39" t="e">
        <f>VLOOKUP(E1117,基础信息!C:E,3,FALSE)</f>
        <v>#N/A</v>
      </c>
    </row>
    <row r="1118" customHeight="1" spans="8:8">
      <c r="H1118" s="39" t="e">
        <f>VLOOKUP(E1118,基础信息!C:E,3,FALSE)</f>
        <v>#N/A</v>
      </c>
    </row>
    <row r="1119" customHeight="1" spans="8:8">
      <c r="H1119" s="39" t="e">
        <f>VLOOKUP(E1119,基础信息!C:E,3,FALSE)</f>
        <v>#N/A</v>
      </c>
    </row>
    <row r="1120" customHeight="1" spans="8:8">
      <c r="H1120" s="39" t="e">
        <f>VLOOKUP(E1120,基础信息!C:E,3,FALSE)</f>
        <v>#N/A</v>
      </c>
    </row>
    <row r="1121" customHeight="1" spans="8:8">
      <c r="H1121" s="39" t="e">
        <f>VLOOKUP(E1121,基础信息!C:E,3,FALSE)</f>
        <v>#N/A</v>
      </c>
    </row>
    <row r="1122" customHeight="1" spans="8:8">
      <c r="H1122" s="39" t="e">
        <f>VLOOKUP(E1122,基础信息!C:E,3,FALSE)</f>
        <v>#N/A</v>
      </c>
    </row>
    <row r="1123" customHeight="1" spans="8:8">
      <c r="H1123" s="39" t="e">
        <f>VLOOKUP(E1123,基础信息!C:E,3,FALSE)</f>
        <v>#N/A</v>
      </c>
    </row>
    <row r="1124" customHeight="1" spans="8:8">
      <c r="H1124" s="39" t="e">
        <f>VLOOKUP(E1124,基础信息!C:E,3,FALSE)</f>
        <v>#N/A</v>
      </c>
    </row>
    <row r="1125" customHeight="1" spans="8:8">
      <c r="H1125" s="39" t="e">
        <f>VLOOKUP(E1125,基础信息!C:E,3,FALSE)</f>
        <v>#N/A</v>
      </c>
    </row>
    <row r="1126" customHeight="1" spans="8:8">
      <c r="H1126" s="39" t="e">
        <f>VLOOKUP(E1126,基础信息!C:E,3,FALSE)</f>
        <v>#N/A</v>
      </c>
    </row>
    <row r="1127" customHeight="1" spans="8:8">
      <c r="H1127" s="39" t="e">
        <f>VLOOKUP(E1127,基础信息!C:E,3,FALSE)</f>
        <v>#N/A</v>
      </c>
    </row>
    <row r="1128" customHeight="1" spans="8:8">
      <c r="H1128" s="39" t="e">
        <f>VLOOKUP(E1128,基础信息!C:E,3,FALSE)</f>
        <v>#N/A</v>
      </c>
    </row>
    <row r="1129" customHeight="1" spans="8:8">
      <c r="H1129" s="39" t="e">
        <f>VLOOKUP(E1129,基础信息!C:E,3,FALSE)</f>
        <v>#N/A</v>
      </c>
    </row>
    <row r="1130" customHeight="1" spans="8:8">
      <c r="H1130" s="39" t="e">
        <f>VLOOKUP(E1130,基础信息!C:E,3,FALSE)</f>
        <v>#N/A</v>
      </c>
    </row>
    <row r="1131" customHeight="1" spans="8:8">
      <c r="H1131" s="39" t="e">
        <f>VLOOKUP(E1131,基础信息!C:E,3,FALSE)</f>
        <v>#N/A</v>
      </c>
    </row>
    <row r="1132" customHeight="1" spans="8:8">
      <c r="H1132" s="39" t="e">
        <f>VLOOKUP(E1132,基础信息!C:E,3,FALSE)</f>
        <v>#N/A</v>
      </c>
    </row>
    <row r="1133" customHeight="1" spans="8:8">
      <c r="H1133" s="39" t="e">
        <f>VLOOKUP(E1133,基础信息!C:E,3,FALSE)</f>
        <v>#N/A</v>
      </c>
    </row>
    <row r="1134" customHeight="1" spans="8:8">
      <c r="H1134" s="39" t="e">
        <f>VLOOKUP(E1134,基础信息!C:E,3,FALSE)</f>
        <v>#N/A</v>
      </c>
    </row>
    <row r="1135" customHeight="1" spans="8:8">
      <c r="H1135" s="39" t="e">
        <f>VLOOKUP(E1135,基础信息!C:E,3,FALSE)</f>
        <v>#N/A</v>
      </c>
    </row>
    <row r="1136" customHeight="1" spans="8:8">
      <c r="H1136" s="39" t="e">
        <f>VLOOKUP(E1136,基础信息!C:E,3,FALSE)</f>
        <v>#N/A</v>
      </c>
    </row>
    <row r="1137" customHeight="1" spans="8:8">
      <c r="H1137" s="39" t="e">
        <f>VLOOKUP(E1137,基础信息!C:E,3,FALSE)</f>
        <v>#N/A</v>
      </c>
    </row>
    <row r="1138" customHeight="1" spans="8:8">
      <c r="H1138" s="39" t="e">
        <f>VLOOKUP(E1138,基础信息!C:E,3,FALSE)</f>
        <v>#N/A</v>
      </c>
    </row>
    <row r="1139" customHeight="1" spans="8:8">
      <c r="H1139" s="39" t="e">
        <f>VLOOKUP(E1139,基础信息!C:E,3,FALSE)</f>
        <v>#N/A</v>
      </c>
    </row>
    <row r="1140" customHeight="1" spans="8:8">
      <c r="H1140" s="39" t="e">
        <f>VLOOKUP(E1140,基础信息!C:E,3,FALSE)</f>
        <v>#N/A</v>
      </c>
    </row>
    <row r="1141" customHeight="1" spans="8:8">
      <c r="H1141" s="39" t="e">
        <f>VLOOKUP(E1141,基础信息!C:E,3,FALSE)</f>
        <v>#N/A</v>
      </c>
    </row>
    <row r="1142" customHeight="1" spans="8:8">
      <c r="H1142" s="39" t="e">
        <f>VLOOKUP(E1142,基础信息!C:E,3,FALSE)</f>
        <v>#N/A</v>
      </c>
    </row>
    <row r="1143" customHeight="1" spans="8:8">
      <c r="H1143" s="39" t="e">
        <f>VLOOKUP(E1143,基础信息!C:E,3,FALSE)</f>
        <v>#N/A</v>
      </c>
    </row>
    <row r="1144" customHeight="1" spans="8:8">
      <c r="H1144" s="39" t="e">
        <f>VLOOKUP(E1144,基础信息!C:E,3,FALSE)</f>
        <v>#N/A</v>
      </c>
    </row>
    <row r="1145" customHeight="1" spans="8:8">
      <c r="H1145" s="39" t="e">
        <f>VLOOKUP(E1145,基础信息!C:E,3,FALSE)</f>
        <v>#N/A</v>
      </c>
    </row>
    <row r="1146" customHeight="1" spans="8:8">
      <c r="H1146" s="39" t="e">
        <f>VLOOKUP(E1146,基础信息!C:E,3,FALSE)</f>
        <v>#N/A</v>
      </c>
    </row>
    <row r="1147" customHeight="1" spans="8:8">
      <c r="H1147" s="39" t="e">
        <f>VLOOKUP(E1147,基础信息!C:E,3,FALSE)</f>
        <v>#N/A</v>
      </c>
    </row>
    <row r="1148" customHeight="1" spans="8:8">
      <c r="H1148" s="39" t="e">
        <f>VLOOKUP(E1148,基础信息!C:E,3,FALSE)</f>
        <v>#N/A</v>
      </c>
    </row>
    <row r="1149" customHeight="1" spans="8:8">
      <c r="H1149" s="39" t="e">
        <f>VLOOKUP(E1149,基础信息!C:E,3,FALSE)</f>
        <v>#N/A</v>
      </c>
    </row>
    <row r="1150" customHeight="1" spans="8:8">
      <c r="H1150" s="39" t="e">
        <f>VLOOKUP(E1150,基础信息!C:E,3,FALSE)</f>
        <v>#N/A</v>
      </c>
    </row>
    <row r="1151" customHeight="1" spans="8:8">
      <c r="H1151" s="39" t="e">
        <f>VLOOKUP(E1151,基础信息!C:E,3,FALSE)</f>
        <v>#N/A</v>
      </c>
    </row>
    <row r="1152" customHeight="1" spans="8:8">
      <c r="H1152" s="39" t="e">
        <f>VLOOKUP(E1152,基础信息!C:E,3,FALSE)</f>
        <v>#N/A</v>
      </c>
    </row>
    <row r="1153" customHeight="1" spans="8:8">
      <c r="H1153" s="39" t="e">
        <f>VLOOKUP(E1153,基础信息!C:E,3,FALSE)</f>
        <v>#N/A</v>
      </c>
    </row>
    <row r="1154" customHeight="1" spans="8:8">
      <c r="H1154" s="39" t="e">
        <f>VLOOKUP(E1154,基础信息!C:E,3,FALSE)</f>
        <v>#N/A</v>
      </c>
    </row>
    <row r="1155" customHeight="1" spans="8:8">
      <c r="H1155" s="39" t="e">
        <f>VLOOKUP(E1155,基础信息!C:E,3,FALSE)</f>
        <v>#N/A</v>
      </c>
    </row>
    <row r="1156" customHeight="1" spans="8:8">
      <c r="H1156" s="39" t="e">
        <f>VLOOKUP(E1156,基础信息!C:E,3,FALSE)</f>
        <v>#N/A</v>
      </c>
    </row>
    <row r="1157" customHeight="1" spans="8:8">
      <c r="H1157" s="39" t="e">
        <f>VLOOKUP(E1157,基础信息!C:E,3,FALSE)</f>
        <v>#N/A</v>
      </c>
    </row>
    <row r="1158" customHeight="1" spans="8:8">
      <c r="H1158" s="39" t="e">
        <f>VLOOKUP(E1158,基础信息!C:E,3,FALSE)</f>
        <v>#N/A</v>
      </c>
    </row>
    <row r="1159" customHeight="1" spans="8:8">
      <c r="H1159" s="39" t="e">
        <f>VLOOKUP(E1159,基础信息!C:E,3,FALSE)</f>
        <v>#N/A</v>
      </c>
    </row>
    <row r="1160" customHeight="1" spans="8:8">
      <c r="H1160" s="39" t="e">
        <f>VLOOKUP(E1160,基础信息!C:E,3,FALSE)</f>
        <v>#N/A</v>
      </c>
    </row>
    <row r="1161" customHeight="1" spans="8:8">
      <c r="H1161" s="39" t="e">
        <f>VLOOKUP(E1161,基础信息!C:E,3,FALSE)</f>
        <v>#N/A</v>
      </c>
    </row>
    <row r="1162" customHeight="1" spans="8:8">
      <c r="H1162" s="39" t="e">
        <f>VLOOKUP(E1162,基础信息!C:E,3,FALSE)</f>
        <v>#N/A</v>
      </c>
    </row>
    <row r="1163" customHeight="1" spans="8:8">
      <c r="H1163" s="39" t="e">
        <f>VLOOKUP(E1163,基础信息!C:E,3,FALSE)</f>
        <v>#N/A</v>
      </c>
    </row>
    <row r="1164" customHeight="1" spans="8:8">
      <c r="H1164" s="39" t="e">
        <f>VLOOKUP(E1164,基础信息!C:E,3,FALSE)</f>
        <v>#N/A</v>
      </c>
    </row>
    <row r="1165" customHeight="1" spans="8:8">
      <c r="H1165" s="39" t="e">
        <f>VLOOKUP(E1165,基础信息!C:E,3,FALSE)</f>
        <v>#N/A</v>
      </c>
    </row>
    <row r="1166" customHeight="1" spans="8:8">
      <c r="H1166" s="39" t="e">
        <f>VLOOKUP(E1166,基础信息!C:E,3,FALSE)</f>
        <v>#N/A</v>
      </c>
    </row>
    <row r="1167" customHeight="1" spans="8:8">
      <c r="H1167" s="39" t="e">
        <f>VLOOKUP(E1167,基础信息!C:E,3,FALSE)</f>
        <v>#N/A</v>
      </c>
    </row>
    <row r="1168" customHeight="1" spans="8:8">
      <c r="H1168" s="39" t="e">
        <f>VLOOKUP(E1168,基础信息!C:E,3,FALSE)</f>
        <v>#N/A</v>
      </c>
    </row>
    <row r="1169" customHeight="1" spans="8:8">
      <c r="H1169" s="39" t="e">
        <f>VLOOKUP(E1169,基础信息!C:E,3,FALSE)</f>
        <v>#N/A</v>
      </c>
    </row>
    <row r="1170" customHeight="1" spans="8:8">
      <c r="H1170" s="39" t="e">
        <f>VLOOKUP(E1170,基础信息!C:E,3,FALSE)</f>
        <v>#N/A</v>
      </c>
    </row>
    <row r="1171" customHeight="1" spans="8:8">
      <c r="H1171" s="39" t="e">
        <f>VLOOKUP(E1171,基础信息!C:E,3,FALSE)</f>
        <v>#N/A</v>
      </c>
    </row>
    <row r="1172" customHeight="1" spans="8:8">
      <c r="H1172" s="39" t="e">
        <f>VLOOKUP(E1172,基础信息!C:E,3,FALSE)</f>
        <v>#N/A</v>
      </c>
    </row>
    <row r="1173" customHeight="1" spans="8:8">
      <c r="H1173" s="39" t="e">
        <f>VLOOKUP(E1173,基础信息!C:E,3,FALSE)</f>
        <v>#N/A</v>
      </c>
    </row>
    <row r="1174" customHeight="1" spans="8:8">
      <c r="H1174" s="39" t="e">
        <f>VLOOKUP(E1174,基础信息!C:E,3,FALSE)</f>
        <v>#N/A</v>
      </c>
    </row>
    <row r="1175" customHeight="1" spans="8:8">
      <c r="H1175" s="39" t="e">
        <f>VLOOKUP(E1175,基础信息!C:E,3,FALSE)</f>
        <v>#N/A</v>
      </c>
    </row>
    <row r="1176" customHeight="1" spans="8:8">
      <c r="H1176" s="39" t="e">
        <f>VLOOKUP(E1176,基础信息!C:E,3,FALSE)</f>
        <v>#N/A</v>
      </c>
    </row>
    <row r="1177" customHeight="1" spans="8:8">
      <c r="H1177" s="39" t="e">
        <f>VLOOKUP(E1177,基础信息!C:E,3,FALSE)</f>
        <v>#N/A</v>
      </c>
    </row>
    <row r="1178" customHeight="1" spans="8:8">
      <c r="H1178" s="39" t="e">
        <f>VLOOKUP(E1178,基础信息!C:E,3,FALSE)</f>
        <v>#N/A</v>
      </c>
    </row>
    <row r="1179" customHeight="1" spans="8:8">
      <c r="H1179" s="39" t="e">
        <f>VLOOKUP(E1179,基础信息!C:E,3,FALSE)</f>
        <v>#N/A</v>
      </c>
    </row>
    <row r="1180" customHeight="1" spans="8:8">
      <c r="H1180" s="39" t="e">
        <f>VLOOKUP(E1180,基础信息!C:E,3,FALSE)</f>
        <v>#N/A</v>
      </c>
    </row>
    <row r="1181" customHeight="1" spans="8:8">
      <c r="H1181" s="39" t="e">
        <f>VLOOKUP(E1181,基础信息!C:E,3,FALSE)</f>
        <v>#N/A</v>
      </c>
    </row>
    <row r="1182" customHeight="1" spans="8:8">
      <c r="H1182" s="39" t="e">
        <f>VLOOKUP(E1182,基础信息!C:E,3,FALSE)</f>
        <v>#N/A</v>
      </c>
    </row>
    <row r="1183" customHeight="1" spans="8:8">
      <c r="H1183" s="39" t="e">
        <f>VLOOKUP(E1183,基础信息!C:E,3,FALSE)</f>
        <v>#N/A</v>
      </c>
    </row>
    <row r="1184" customHeight="1" spans="8:8">
      <c r="H1184" s="39" t="e">
        <f>VLOOKUP(E1184,基础信息!C:E,3,FALSE)</f>
        <v>#N/A</v>
      </c>
    </row>
    <row r="1185" customHeight="1" spans="8:8">
      <c r="H1185" s="39" t="e">
        <f>VLOOKUP(E1185,基础信息!C:E,3,FALSE)</f>
        <v>#N/A</v>
      </c>
    </row>
    <row r="1186" customHeight="1" spans="8:8">
      <c r="H1186" s="39" t="e">
        <f>VLOOKUP(E1186,基础信息!C:E,3,FALSE)</f>
        <v>#N/A</v>
      </c>
    </row>
    <row r="1187" customHeight="1" spans="8:8">
      <c r="H1187" s="39" t="e">
        <f>VLOOKUP(E1187,基础信息!C:E,3,FALSE)</f>
        <v>#N/A</v>
      </c>
    </row>
    <row r="1188" customHeight="1" spans="8:8">
      <c r="H1188" s="39" t="e">
        <f>VLOOKUP(E1188,基础信息!C:E,3,FALSE)</f>
        <v>#N/A</v>
      </c>
    </row>
    <row r="1189" customHeight="1" spans="8:8">
      <c r="H1189" s="39" t="e">
        <f>VLOOKUP(E1189,基础信息!C:E,3,FALSE)</f>
        <v>#N/A</v>
      </c>
    </row>
    <row r="1190" customHeight="1" spans="8:8">
      <c r="H1190" s="39" t="e">
        <f>VLOOKUP(E1190,基础信息!C:E,3,FALSE)</f>
        <v>#N/A</v>
      </c>
    </row>
    <row r="1191" customHeight="1" spans="8:8">
      <c r="H1191" s="39" t="e">
        <f>VLOOKUP(E1191,基础信息!C:E,3,FALSE)</f>
        <v>#N/A</v>
      </c>
    </row>
    <row r="1192" customHeight="1" spans="8:8">
      <c r="H1192" s="39" t="e">
        <f>VLOOKUP(E1192,基础信息!C:E,3,FALSE)</f>
        <v>#N/A</v>
      </c>
    </row>
    <row r="1193" customHeight="1" spans="8:8">
      <c r="H1193" s="39" t="e">
        <f>VLOOKUP(E1193,基础信息!C:E,3,FALSE)</f>
        <v>#N/A</v>
      </c>
    </row>
    <row r="1194" customHeight="1" spans="8:8">
      <c r="H1194" s="39" t="e">
        <f>VLOOKUP(E1194,基础信息!C:E,3,FALSE)</f>
        <v>#N/A</v>
      </c>
    </row>
    <row r="1195" customHeight="1" spans="8:8">
      <c r="H1195" s="39" t="e">
        <f>VLOOKUP(E1195,基础信息!C:E,3,FALSE)</f>
        <v>#N/A</v>
      </c>
    </row>
    <row r="1196" customHeight="1" spans="8:8">
      <c r="H1196" s="39" t="e">
        <f>VLOOKUP(E1196,基础信息!C:E,3,FALSE)</f>
        <v>#N/A</v>
      </c>
    </row>
    <row r="1197" customHeight="1" spans="8:8">
      <c r="H1197" s="39" t="e">
        <f>VLOOKUP(E1197,基础信息!C:E,3,FALSE)</f>
        <v>#N/A</v>
      </c>
    </row>
    <row r="1198" customHeight="1" spans="8:8">
      <c r="H1198" s="39" t="e">
        <f>VLOOKUP(E1198,基础信息!C:E,3,FALSE)</f>
        <v>#N/A</v>
      </c>
    </row>
    <row r="1199" customHeight="1" spans="8:8">
      <c r="H1199" s="39" t="e">
        <f>VLOOKUP(E1199,基础信息!C:E,3,FALSE)</f>
        <v>#N/A</v>
      </c>
    </row>
    <row r="1200" customHeight="1" spans="8:8">
      <c r="H1200" s="39" t="e">
        <f>VLOOKUP(E1200,基础信息!C:E,3,FALSE)</f>
        <v>#N/A</v>
      </c>
    </row>
    <row r="1201" customHeight="1" spans="8:8">
      <c r="H1201" s="39" t="e">
        <f>VLOOKUP(E1201,基础信息!C:E,3,FALSE)</f>
        <v>#N/A</v>
      </c>
    </row>
    <row r="1202" customHeight="1" spans="8:8">
      <c r="H1202" s="39" t="e">
        <f>VLOOKUP(E1202,基础信息!C:E,3,FALSE)</f>
        <v>#N/A</v>
      </c>
    </row>
    <row r="1203" customHeight="1" spans="8:8">
      <c r="H1203" s="39" t="e">
        <f>VLOOKUP(E1203,基础信息!C:E,3,FALSE)</f>
        <v>#N/A</v>
      </c>
    </row>
    <row r="1204" customHeight="1" spans="8:8">
      <c r="H1204" s="39" t="e">
        <f>VLOOKUP(E1204,基础信息!C:E,3,FALSE)</f>
        <v>#N/A</v>
      </c>
    </row>
    <row r="1205" customHeight="1" spans="8:8">
      <c r="H1205" s="39" t="e">
        <f>VLOOKUP(E1205,基础信息!C:E,3,FALSE)</f>
        <v>#N/A</v>
      </c>
    </row>
    <row r="1206" customHeight="1" spans="8:8">
      <c r="H1206" s="39" t="e">
        <f>VLOOKUP(E1206,基础信息!C:E,3,FALSE)</f>
        <v>#N/A</v>
      </c>
    </row>
    <row r="1207" customHeight="1" spans="8:8">
      <c r="H1207" s="39" t="e">
        <f>VLOOKUP(E1207,基础信息!C:E,3,FALSE)</f>
        <v>#N/A</v>
      </c>
    </row>
    <row r="1208" customHeight="1" spans="8:8">
      <c r="H1208" s="39" t="e">
        <f>VLOOKUP(E1208,基础信息!C:E,3,FALSE)</f>
        <v>#N/A</v>
      </c>
    </row>
    <row r="1209" customHeight="1" spans="8:8">
      <c r="H1209" s="39" t="e">
        <f>VLOOKUP(E1209,基础信息!C:E,3,FALSE)</f>
        <v>#N/A</v>
      </c>
    </row>
    <row r="1210" customHeight="1" spans="8:8">
      <c r="H1210" s="39" t="e">
        <f>VLOOKUP(E1210,基础信息!C:E,3,FALSE)</f>
        <v>#N/A</v>
      </c>
    </row>
    <row r="1211" customHeight="1" spans="8:8">
      <c r="H1211" s="39" t="e">
        <f>VLOOKUP(E1211,基础信息!C:E,3,FALSE)</f>
        <v>#N/A</v>
      </c>
    </row>
    <row r="1212" customHeight="1" spans="8:8">
      <c r="H1212" s="39" t="e">
        <f>VLOOKUP(E1212,基础信息!C:E,3,FALSE)</f>
        <v>#N/A</v>
      </c>
    </row>
    <row r="1213" customHeight="1" spans="8:8">
      <c r="H1213" s="39" t="e">
        <f>VLOOKUP(E1213,基础信息!C:E,3,FALSE)</f>
        <v>#N/A</v>
      </c>
    </row>
    <row r="1214" customHeight="1" spans="8:8">
      <c r="H1214" s="39" t="e">
        <f>VLOOKUP(E1214,基础信息!C:E,3,FALSE)</f>
        <v>#N/A</v>
      </c>
    </row>
    <row r="1215" customHeight="1" spans="8:8">
      <c r="H1215" s="39" t="e">
        <f>VLOOKUP(E1215,基础信息!C:E,3,FALSE)</f>
        <v>#N/A</v>
      </c>
    </row>
    <row r="1216" customHeight="1" spans="8:8">
      <c r="H1216" s="39" t="e">
        <f>VLOOKUP(E1216,基础信息!C:E,3,FALSE)</f>
        <v>#N/A</v>
      </c>
    </row>
    <row r="1217" customHeight="1" spans="8:8">
      <c r="H1217" s="39" t="e">
        <f>VLOOKUP(E1217,基础信息!C:E,3,FALSE)</f>
        <v>#N/A</v>
      </c>
    </row>
    <row r="1218" customHeight="1" spans="8:8">
      <c r="H1218" s="39" t="e">
        <f>VLOOKUP(E1218,基础信息!C:E,3,FALSE)</f>
        <v>#N/A</v>
      </c>
    </row>
    <row r="1219" customHeight="1" spans="8:8">
      <c r="H1219" s="39" t="e">
        <f>VLOOKUP(E1219,基础信息!C:E,3,FALSE)</f>
        <v>#N/A</v>
      </c>
    </row>
    <row r="1220" customHeight="1" spans="8:8">
      <c r="H1220" s="39" t="e">
        <f>VLOOKUP(E1220,基础信息!C:E,3,FALSE)</f>
        <v>#N/A</v>
      </c>
    </row>
    <row r="1221" customHeight="1" spans="8:8">
      <c r="H1221" s="39" t="e">
        <f>VLOOKUP(E1221,基础信息!C:E,3,FALSE)</f>
        <v>#N/A</v>
      </c>
    </row>
    <row r="1222" customHeight="1" spans="8:8">
      <c r="H1222" s="39" t="e">
        <f>VLOOKUP(E1222,基础信息!C:E,3,FALSE)</f>
        <v>#N/A</v>
      </c>
    </row>
    <row r="1223" customHeight="1" spans="8:8">
      <c r="H1223" s="39" t="e">
        <f>VLOOKUP(E1223,基础信息!C:E,3,FALSE)</f>
        <v>#N/A</v>
      </c>
    </row>
    <row r="1224" customHeight="1" spans="8:8">
      <c r="H1224" s="39" t="e">
        <f>VLOOKUP(E1224,基础信息!C:E,3,FALSE)</f>
        <v>#N/A</v>
      </c>
    </row>
    <row r="1225" customHeight="1" spans="8:8">
      <c r="H1225" s="39" t="e">
        <f>VLOOKUP(E1225,基础信息!C:E,3,FALSE)</f>
        <v>#N/A</v>
      </c>
    </row>
    <row r="1226" customHeight="1" spans="8:8">
      <c r="H1226" s="39" t="e">
        <f>VLOOKUP(E1226,基础信息!C:E,3,FALSE)</f>
        <v>#N/A</v>
      </c>
    </row>
    <row r="1227" customHeight="1" spans="8:8">
      <c r="H1227" s="39" t="e">
        <f>VLOOKUP(E1227,基础信息!C:E,3,FALSE)</f>
        <v>#N/A</v>
      </c>
    </row>
    <row r="1228" customHeight="1" spans="8:8">
      <c r="H1228" s="39" t="e">
        <f>VLOOKUP(E1228,基础信息!C:E,3,FALSE)</f>
        <v>#N/A</v>
      </c>
    </row>
    <row r="1229" customHeight="1" spans="8:8">
      <c r="H1229" s="39" t="e">
        <f>VLOOKUP(E1229,基础信息!C:E,3,FALSE)</f>
        <v>#N/A</v>
      </c>
    </row>
    <row r="1230" customHeight="1" spans="8:8">
      <c r="H1230" s="39" t="e">
        <f>VLOOKUP(E1230,基础信息!C:E,3,FALSE)</f>
        <v>#N/A</v>
      </c>
    </row>
    <row r="1231" customHeight="1" spans="8:8">
      <c r="H1231" s="39" t="e">
        <f>VLOOKUP(E1231,基础信息!C:E,3,FALSE)</f>
        <v>#N/A</v>
      </c>
    </row>
    <row r="1232" customHeight="1" spans="8:8">
      <c r="H1232" s="39" t="e">
        <f>VLOOKUP(E1232,基础信息!C:E,3,FALSE)</f>
        <v>#N/A</v>
      </c>
    </row>
    <row r="1233" customHeight="1" spans="8:8">
      <c r="H1233" s="39" t="e">
        <f>VLOOKUP(E1233,基础信息!C:E,3,FALSE)</f>
        <v>#N/A</v>
      </c>
    </row>
    <row r="1234" customHeight="1" spans="8:8">
      <c r="H1234" s="39" t="e">
        <f>VLOOKUP(E1234,基础信息!C:E,3,FALSE)</f>
        <v>#N/A</v>
      </c>
    </row>
    <row r="1235" customHeight="1" spans="8:8">
      <c r="H1235" s="39" t="e">
        <f>VLOOKUP(E1235,基础信息!C:E,3,FALSE)</f>
        <v>#N/A</v>
      </c>
    </row>
    <row r="1236" customHeight="1" spans="8:8">
      <c r="H1236" s="39" t="e">
        <f>VLOOKUP(E1236,基础信息!C:E,3,FALSE)</f>
        <v>#N/A</v>
      </c>
    </row>
    <row r="1237" customHeight="1" spans="8:8">
      <c r="H1237" s="39" t="e">
        <f>VLOOKUP(E1237,基础信息!C:E,3,FALSE)</f>
        <v>#N/A</v>
      </c>
    </row>
    <row r="1238" customHeight="1" spans="8:8">
      <c r="H1238" s="39" t="e">
        <f>VLOOKUP(E1238,基础信息!C:E,3,FALSE)</f>
        <v>#N/A</v>
      </c>
    </row>
    <row r="1239" customHeight="1" spans="8:8">
      <c r="H1239" s="39" t="e">
        <f>VLOOKUP(E1239,基础信息!C:E,3,FALSE)</f>
        <v>#N/A</v>
      </c>
    </row>
    <row r="1240" customHeight="1" spans="8:8">
      <c r="H1240" s="39" t="e">
        <f>VLOOKUP(E1240,基础信息!C:E,3,FALSE)</f>
        <v>#N/A</v>
      </c>
    </row>
    <row r="1241" customHeight="1" spans="8:8">
      <c r="H1241" s="39" t="e">
        <f>VLOOKUP(E1241,基础信息!C:E,3,FALSE)</f>
        <v>#N/A</v>
      </c>
    </row>
    <row r="1242" customHeight="1" spans="8:8">
      <c r="H1242" s="39" t="e">
        <f>VLOOKUP(E1242,基础信息!C:E,3,FALSE)</f>
        <v>#N/A</v>
      </c>
    </row>
    <row r="1243" customHeight="1" spans="8:8">
      <c r="H1243" s="39" t="e">
        <f>VLOOKUP(E1243,基础信息!C:E,3,FALSE)</f>
        <v>#N/A</v>
      </c>
    </row>
    <row r="1244" customHeight="1" spans="8:8">
      <c r="H1244" s="39" t="e">
        <f>VLOOKUP(E1244,基础信息!C:E,3,FALSE)</f>
        <v>#N/A</v>
      </c>
    </row>
    <row r="1245" customHeight="1" spans="8:8">
      <c r="H1245" s="39" t="e">
        <f>VLOOKUP(E1245,基础信息!C:E,3,FALSE)</f>
        <v>#N/A</v>
      </c>
    </row>
    <row r="1246" customHeight="1" spans="8:8">
      <c r="H1246" s="39" t="e">
        <f>VLOOKUP(E1246,基础信息!C:E,3,FALSE)</f>
        <v>#N/A</v>
      </c>
    </row>
    <row r="1247" customHeight="1" spans="8:8">
      <c r="H1247" s="39" t="e">
        <f>VLOOKUP(E1247,基础信息!C:E,3,FALSE)</f>
        <v>#N/A</v>
      </c>
    </row>
    <row r="1248" customHeight="1" spans="8:8">
      <c r="H1248" s="39" t="e">
        <f>VLOOKUP(E1248,基础信息!C:E,3,FALSE)</f>
        <v>#N/A</v>
      </c>
    </row>
    <row r="1249" customHeight="1" spans="8:8">
      <c r="H1249" s="39" t="e">
        <f>VLOOKUP(E1249,基础信息!C:E,3,FALSE)</f>
        <v>#N/A</v>
      </c>
    </row>
    <row r="1250" customHeight="1" spans="8:8">
      <c r="H1250" s="39" t="e">
        <f>VLOOKUP(E1250,基础信息!C:E,3,FALSE)</f>
        <v>#N/A</v>
      </c>
    </row>
    <row r="1251" customHeight="1" spans="8:8">
      <c r="H1251" s="39" t="e">
        <f>VLOOKUP(E1251,基础信息!C:E,3,FALSE)</f>
        <v>#N/A</v>
      </c>
    </row>
    <row r="1252" customHeight="1" spans="8:8">
      <c r="H1252" s="39" t="e">
        <f>VLOOKUP(E1252,基础信息!C:E,3,FALSE)</f>
        <v>#N/A</v>
      </c>
    </row>
    <row r="1253" customHeight="1" spans="8:8">
      <c r="H1253" s="39" t="e">
        <f>VLOOKUP(E1253,基础信息!C:E,3,FALSE)</f>
        <v>#N/A</v>
      </c>
    </row>
    <row r="1254" customHeight="1" spans="8:8">
      <c r="H1254" s="39" t="e">
        <f>VLOOKUP(E1254,基础信息!C:E,3,FALSE)</f>
        <v>#N/A</v>
      </c>
    </row>
    <row r="1255" customHeight="1" spans="8:8">
      <c r="H1255" s="39" t="e">
        <f>VLOOKUP(E1255,基础信息!C:E,3,FALSE)</f>
        <v>#N/A</v>
      </c>
    </row>
    <row r="1256" customHeight="1" spans="8:8">
      <c r="H1256" s="39" t="e">
        <f>VLOOKUP(E1256,基础信息!C:E,3,FALSE)</f>
        <v>#N/A</v>
      </c>
    </row>
    <row r="1257" customHeight="1" spans="8:8">
      <c r="H1257" s="39" t="e">
        <f>VLOOKUP(E1257,基础信息!C:E,3,FALSE)</f>
        <v>#N/A</v>
      </c>
    </row>
    <row r="1258" customHeight="1" spans="8:8">
      <c r="H1258" s="39" t="e">
        <f>VLOOKUP(E1258,基础信息!C:E,3,FALSE)</f>
        <v>#N/A</v>
      </c>
    </row>
    <row r="1259" customHeight="1" spans="8:8">
      <c r="H1259" s="39" t="e">
        <f>VLOOKUP(E1259,基础信息!C:E,3,FALSE)</f>
        <v>#N/A</v>
      </c>
    </row>
    <row r="1260" customHeight="1" spans="8:8">
      <c r="H1260" s="39" t="e">
        <f>VLOOKUP(E1260,基础信息!C:E,3,FALSE)</f>
        <v>#N/A</v>
      </c>
    </row>
    <row r="1261" customHeight="1" spans="8:8">
      <c r="H1261" s="39" t="e">
        <f>VLOOKUP(E1261,基础信息!C:E,3,FALSE)</f>
        <v>#N/A</v>
      </c>
    </row>
    <row r="1262" customHeight="1" spans="8:8">
      <c r="H1262" s="39" t="e">
        <f>VLOOKUP(E1262,基础信息!C:E,3,FALSE)</f>
        <v>#N/A</v>
      </c>
    </row>
    <row r="1263" customHeight="1" spans="8:8">
      <c r="H1263" s="39" t="e">
        <f>VLOOKUP(E1263,基础信息!C:E,3,FALSE)</f>
        <v>#N/A</v>
      </c>
    </row>
    <row r="1264" customHeight="1" spans="8:8">
      <c r="H1264" s="39" t="e">
        <f>VLOOKUP(E1264,基础信息!C:E,3,FALSE)</f>
        <v>#N/A</v>
      </c>
    </row>
    <row r="1265" customHeight="1" spans="8:8">
      <c r="H1265" s="39" t="e">
        <f>VLOOKUP(E1265,基础信息!C:E,3,FALSE)</f>
        <v>#N/A</v>
      </c>
    </row>
    <row r="1266" customHeight="1" spans="8:8">
      <c r="H1266" s="39" t="e">
        <f>VLOOKUP(E1266,基础信息!C:E,3,FALSE)</f>
        <v>#N/A</v>
      </c>
    </row>
    <row r="1267" customHeight="1" spans="8:8">
      <c r="H1267" s="39" t="e">
        <f>VLOOKUP(E1267,基础信息!C:E,3,FALSE)</f>
        <v>#N/A</v>
      </c>
    </row>
    <row r="1268" customHeight="1" spans="8:8">
      <c r="H1268" s="39" t="e">
        <f>VLOOKUP(E1268,基础信息!C:E,3,FALSE)</f>
        <v>#N/A</v>
      </c>
    </row>
    <row r="1269" customHeight="1" spans="8:8">
      <c r="H1269" s="39" t="e">
        <f>VLOOKUP(E1269,基础信息!C:E,3,FALSE)</f>
        <v>#N/A</v>
      </c>
    </row>
    <row r="1270" customHeight="1" spans="8:8">
      <c r="H1270" s="39" t="e">
        <f>VLOOKUP(E1270,基础信息!C:E,3,FALSE)</f>
        <v>#N/A</v>
      </c>
    </row>
    <row r="1271" customHeight="1" spans="8:8">
      <c r="H1271" s="39" t="e">
        <f>VLOOKUP(E1271,基础信息!C:E,3,FALSE)</f>
        <v>#N/A</v>
      </c>
    </row>
    <row r="1272" customHeight="1" spans="8:8">
      <c r="H1272" s="39" t="e">
        <f>VLOOKUP(E1272,基础信息!C:E,3,FALSE)</f>
        <v>#N/A</v>
      </c>
    </row>
    <row r="1273" customHeight="1" spans="8:8">
      <c r="H1273" s="39" t="e">
        <f>VLOOKUP(E1273,基础信息!C:E,3,FALSE)</f>
        <v>#N/A</v>
      </c>
    </row>
    <row r="1274" customHeight="1" spans="8:8">
      <c r="H1274" s="39" t="e">
        <f>VLOOKUP(E1274,基础信息!C:E,3,FALSE)</f>
        <v>#N/A</v>
      </c>
    </row>
    <row r="1275" customHeight="1" spans="8:8">
      <c r="H1275" s="39" t="e">
        <f>VLOOKUP(E1275,基础信息!C:E,3,FALSE)</f>
        <v>#N/A</v>
      </c>
    </row>
    <row r="1276" customHeight="1" spans="8:8">
      <c r="H1276" s="39" t="e">
        <f>VLOOKUP(E1276,基础信息!C:E,3,FALSE)</f>
        <v>#N/A</v>
      </c>
    </row>
    <row r="1277" customHeight="1" spans="8:8">
      <c r="H1277" s="39" t="e">
        <f>VLOOKUP(E1277,基础信息!C:E,3,FALSE)</f>
        <v>#N/A</v>
      </c>
    </row>
    <row r="1278" customHeight="1" spans="8:8">
      <c r="H1278" s="39" t="e">
        <f>VLOOKUP(E1278,基础信息!C:E,3,FALSE)</f>
        <v>#N/A</v>
      </c>
    </row>
    <row r="1279" customHeight="1" spans="8:8">
      <c r="H1279" s="39" t="e">
        <f>VLOOKUP(E1279,基础信息!C:E,3,FALSE)</f>
        <v>#N/A</v>
      </c>
    </row>
    <row r="1280" customHeight="1" spans="8:8">
      <c r="H1280" s="39" t="e">
        <f>VLOOKUP(E1280,基础信息!C:E,3,FALSE)</f>
        <v>#N/A</v>
      </c>
    </row>
    <row r="1281" customHeight="1" spans="8:8">
      <c r="H1281" s="39" t="e">
        <f>VLOOKUP(E1281,基础信息!C:E,3,FALSE)</f>
        <v>#N/A</v>
      </c>
    </row>
    <row r="1282" customHeight="1" spans="8:8">
      <c r="H1282" s="39" t="e">
        <f>VLOOKUP(E1282,基础信息!C:E,3,FALSE)</f>
        <v>#N/A</v>
      </c>
    </row>
    <row r="1283" customHeight="1" spans="8:8">
      <c r="H1283" s="39" t="e">
        <f>VLOOKUP(E1283,基础信息!C:E,3,FALSE)</f>
        <v>#N/A</v>
      </c>
    </row>
    <row r="1284" customHeight="1" spans="8:8">
      <c r="H1284" s="39" t="e">
        <f>VLOOKUP(E1284,基础信息!C:E,3,FALSE)</f>
        <v>#N/A</v>
      </c>
    </row>
    <row r="1285" customHeight="1" spans="8:8">
      <c r="H1285" s="39" t="e">
        <f>VLOOKUP(E1285,基础信息!C:E,3,FALSE)</f>
        <v>#N/A</v>
      </c>
    </row>
    <row r="1286" customHeight="1" spans="8:8">
      <c r="H1286" s="39" t="e">
        <f>VLOOKUP(E1286,基础信息!C:E,3,FALSE)</f>
        <v>#N/A</v>
      </c>
    </row>
    <row r="1287" customHeight="1" spans="8:8">
      <c r="H1287" s="39" t="e">
        <f>VLOOKUP(E1287,基础信息!C:E,3,FALSE)</f>
        <v>#N/A</v>
      </c>
    </row>
    <row r="1288" customHeight="1" spans="8:8">
      <c r="H1288" s="39" t="e">
        <f>VLOOKUP(E1288,基础信息!C:E,3,FALSE)</f>
        <v>#N/A</v>
      </c>
    </row>
    <row r="1289" customHeight="1" spans="8:8">
      <c r="H1289" s="39" t="e">
        <f>VLOOKUP(E1289,基础信息!C:E,3,FALSE)</f>
        <v>#N/A</v>
      </c>
    </row>
    <row r="1290" customHeight="1" spans="8:8">
      <c r="H1290" s="39" t="e">
        <f>VLOOKUP(E1290,基础信息!C:E,3,FALSE)</f>
        <v>#N/A</v>
      </c>
    </row>
    <row r="1291" customHeight="1" spans="8:8">
      <c r="H1291" s="39" t="e">
        <f>VLOOKUP(E1291,基础信息!C:E,3,FALSE)</f>
        <v>#N/A</v>
      </c>
    </row>
    <row r="1292" customHeight="1" spans="8:8">
      <c r="H1292" s="39" t="e">
        <f>VLOOKUP(E1292,基础信息!C:E,3,FALSE)</f>
        <v>#N/A</v>
      </c>
    </row>
    <row r="1293" customHeight="1" spans="8:8">
      <c r="H1293" s="39" t="e">
        <f>VLOOKUP(E1293,基础信息!C:E,3,FALSE)</f>
        <v>#N/A</v>
      </c>
    </row>
    <row r="1294" customHeight="1" spans="8:8">
      <c r="H1294" s="39" t="e">
        <f>VLOOKUP(E1294,基础信息!C:E,3,FALSE)</f>
        <v>#N/A</v>
      </c>
    </row>
    <row r="1295" customHeight="1" spans="8:8">
      <c r="H1295" s="39" t="e">
        <f>VLOOKUP(E1295,基础信息!C:E,3,FALSE)</f>
        <v>#N/A</v>
      </c>
    </row>
    <row r="1296" customHeight="1" spans="8:8">
      <c r="H1296" s="39" t="e">
        <f>VLOOKUP(E1296,基础信息!C:E,3,FALSE)</f>
        <v>#N/A</v>
      </c>
    </row>
    <row r="1297" customHeight="1" spans="8:8">
      <c r="H1297" s="39" t="e">
        <f>VLOOKUP(E1297,基础信息!C:E,3,FALSE)</f>
        <v>#N/A</v>
      </c>
    </row>
    <row r="1298" customHeight="1" spans="8:8">
      <c r="H1298" s="39" t="e">
        <f>VLOOKUP(E1298,基础信息!C:E,3,FALSE)</f>
        <v>#N/A</v>
      </c>
    </row>
    <row r="1299" customHeight="1" spans="8:8">
      <c r="H1299" s="39" t="e">
        <f>VLOOKUP(E1299,基础信息!C:E,3,FALSE)</f>
        <v>#N/A</v>
      </c>
    </row>
    <row r="1300" customHeight="1" spans="8:8">
      <c r="H1300" s="39" t="e">
        <f>VLOOKUP(E1300,基础信息!C:E,3,FALSE)</f>
        <v>#N/A</v>
      </c>
    </row>
    <row r="1301" customHeight="1" spans="8:8">
      <c r="H1301" s="39" t="e">
        <f>VLOOKUP(E1301,基础信息!C:E,3,FALSE)</f>
        <v>#N/A</v>
      </c>
    </row>
    <row r="1302" customHeight="1" spans="8:8">
      <c r="H1302" s="39" t="e">
        <f>VLOOKUP(E1302,基础信息!C:E,3,FALSE)</f>
        <v>#N/A</v>
      </c>
    </row>
    <row r="1303" customHeight="1" spans="8:8">
      <c r="H1303" s="39" t="e">
        <f>VLOOKUP(E1303,基础信息!C:E,3,FALSE)</f>
        <v>#N/A</v>
      </c>
    </row>
    <row r="1304" customHeight="1" spans="8:8">
      <c r="H1304" s="39" t="e">
        <f>VLOOKUP(E1304,基础信息!C:E,3,FALSE)</f>
        <v>#N/A</v>
      </c>
    </row>
    <row r="1305" customHeight="1" spans="8:8">
      <c r="H1305" s="39" t="e">
        <f>VLOOKUP(E1305,基础信息!C:E,3,FALSE)</f>
        <v>#N/A</v>
      </c>
    </row>
    <row r="1306" customHeight="1" spans="8:8">
      <c r="H1306" s="39" t="e">
        <f>VLOOKUP(E1306,基础信息!C:E,3,FALSE)</f>
        <v>#N/A</v>
      </c>
    </row>
    <row r="1307" customHeight="1" spans="8:8">
      <c r="H1307" s="39" t="e">
        <f>VLOOKUP(E1307,基础信息!C:E,3,FALSE)</f>
        <v>#N/A</v>
      </c>
    </row>
    <row r="1308" customHeight="1" spans="8:8">
      <c r="H1308" s="39" t="e">
        <f>VLOOKUP(E1308,基础信息!C:E,3,FALSE)</f>
        <v>#N/A</v>
      </c>
    </row>
    <row r="1309" customHeight="1" spans="8:8">
      <c r="H1309" s="39" t="e">
        <f>VLOOKUP(E1309,基础信息!C:E,3,FALSE)</f>
        <v>#N/A</v>
      </c>
    </row>
    <row r="1310" customHeight="1" spans="8:8">
      <c r="H1310" s="39" t="e">
        <f>VLOOKUP(E1310,基础信息!C:E,3,FALSE)</f>
        <v>#N/A</v>
      </c>
    </row>
    <row r="1311" customHeight="1" spans="8:8">
      <c r="H1311" s="39" t="e">
        <f>VLOOKUP(E1311,基础信息!C:E,3,FALSE)</f>
        <v>#N/A</v>
      </c>
    </row>
    <row r="1312" customHeight="1" spans="8:8">
      <c r="H1312" s="39" t="e">
        <f>VLOOKUP(E1312,基础信息!C:E,3,FALSE)</f>
        <v>#N/A</v>
      </c>
    </row>
    <row r="1313" customHeight="1" spans="8:8">
      <c r="H1313" s="39" t="e">
        <f>VLOOKUP(E1313,基础信息!C:E,3,FALSE)</f>
        <v>#N/A</v>
      </c>
    </row>
    <row r="1314" customHeight="1" spans="8:8">
      <c r="H1314" s="39" t="e">
        <f>VLOOKUP(E1314,基础信息!C:E,3,FALSE)</f>
        <v>#N/A</v>
      </c>
    </row>
    <row r="1315" customHeight="1" spans="8:8">
      <c r="H1315" s="39" t="e">
        <f>VLOOKUP(E1315,基础信息!C:E,3,FALSE)</f>
        <v>#N/A</v>
      </c>
    </row>
    <row r="1316" customHeight="1" spans="8:8">
      <c r="H1316" s="39" t="e">
        <f>VLOOKUP(E1316,基础信息!C:E,3,FALSE)</f>
        <v>#N/A</v>
      </c>
    </row>
    <row r="1317" customHeight="1" spans="8:8">
      <c r="H1317" s="39" t="e">
        <f>VLOOKUP(E1317,基础信息!C:E,3,FALSE)</f>
        <v>#N/A</v>
      </c>
    </row>
    <row r="1318" customHeight="1" spans="8:8">
      <c r="H1318" s="39" t="e">
        <f>VLOOKUP(E1318,基础信息!C:E,3,FALSE)</f>
        <v>#N/A</v>
      </c>
    </row>
    <row r="1319" customHeight="1" spans="8:8">
      <c r="H1319" s="39" t="e">
        <f>VLOOKUP(E1319,基础信息!C:E,3,FALSE)</f>
        <v>#N/A</v>
      </c>
    </row>
    <row r="1320" customHeight="1" spans="8:8">
      <c r="H1320" s="39" t="e">
        <f>VLOOKUP(E1320,基础信息!C:E,3,FALSE)</f>
        <v>#N/A</v>
      </c>
    </row>
    <row r="1321" customHeight="1" spans="8:8">
      <c r="H1321" s="39" t="e">
        <f>VLOOKUP(E1321,基础信息!C:E,3,FALSE)</f>
        <v>#N/A</v>
      </c>
    </row>
    <row r="1322" customHeight="1" spans="8:8">
      <c r="H1322" s="39" t="e">
        <f>VLOOKUP(E1322,基础信息!C:E,3,FALSE)</f>
        <v>#N/A</v>
      </c>
    </row>
    <row r="1323" customHeight="1" spans="8:8">
      <c r="H1323" s="39" t="e">
        <f>VLOOKUP(E1323,基础信息!C:E,3,FALSE)</f>
        <v>#N/A</v>
      </c>
    </row>
    <row r="1324" customHeight="1" spans="8:8">
      <c r="H1324" s="39" t="e">
        <f>VLOOKUP(E1324,基础信息!C:E,3,FALSE)</f>
        <v>#N/A</v>
      </c>
    </row>
    <row r="1325" customHeight="1" spans="8:8">
      <c r="H1325" s="39" t="e">
        <f>VLOOKUP(E1325,基础信息!C:E,3,FALSE)</f>
        <v>#N/A</v>
      </c>
    </row>
    <row r="1326" customHeight="1" spans="8:8">
      <c r="H1326" s="39" t="e">
        <f>VLOOKUP(E1326,基础信息!C:E,3,FALSE)</f>
        <v>#N/A</v>
      </c>
    </row>
    <row r="1327" customHeight="1" spans="8:8">
      <c r="H1327" s="39" t="e">
        <f>VLOOKUP(E1327,基础信息!C:E,3,FALSE)</f>
        <v>#N/A</v>
      </c>
    </row>
    <row r="1328" customHeight="1" spans="8:8">
      <c r="H1328" s="39" t="e">
        <f>VLOOKUP(E1328,基础信息!C:E,3,FALSE)</f>
        <v>#N/A</v>
      </c>
    </row>
    <row r="1329" customHeight="1" spans="8:8">
      <c r="H1329" s="39" t="e">
        <f>VLOOKUP(E1329,基础信息!C:E,3,FALSE)</f>
        <v>#N/A</v>
      </c>
    </row>
    <row r="1330" customHeight="1" spans="8:8">
      <c r="H1330" s="39" t="e">
        <f>VLOOKUP(E1330,基础信息!C:E,3,FALSE)</f>
        <v>#N/A</v>
      </c>
    </row>
    <row r="1331" customHeight="1" spans="8:8">
      <c r="H1331" s="39" t="e">
        <f>VLOOKUP(E1331,基础信息!C:E,3,FALSE)</f>
        <v>#N/A</v>
      </c>
    </row>
    <row r="1332" customHeight="1" spans="8:8">
      <c r="H1332" s="39" t="e">
        <f>VLOOKUP(E1332,基础信息!C:E,3,FALSE)</f>
        <v>#N/A</v>
      </c>
    </row>
    <row r="1333" customHeight="1" spans="8:8">
      <c r="H1333" s="39" t="e">
        <f>VLOOKUP(E1333,基础信息!C:E,3,FALSE)</f>
        <v>#N/A</v>
      </c>
    </row>
    <row r="1334" customHeight="1" spans="8:8">
      <c r="H1334" s="39" t="e">
        <f>VLOOKUP(E1334,基础信息!C:E,3,FALSE)</f>
        <v>#N/A</v>
      </c>
    </row>
    <row r="1335" customHeight="1" spans="8:8">
      <c r="H1335" s="39" t="e">
        <f>VLOOKUP(E1335,基础信息!C:E,3,FALSE)</f>
        <v>#N/A</v>
      </c>
    </row>
    <row r="1336" customHeight="1" spans="8:8">
      <c r="H1336" s="39" t="e">
        <f>VLOOKUP(E1336,基础信息!C:E,3,FALSE)</f>
        <v>#N/A</v>
      </c>
    </row>
    <row r="1337" customHeight="1" spans="8:8">
      <c r="H1337" s="39" t="e">
        <f>VLOOKUP(E1337,基础信息!C:E,3,FALSE)</f>
        <v>#N/A</v>
      </c>
    </row>
    <row r="1338" customHeight="1" spans="8:8">
      <c r="H1338" s="39" t="e">
        <f>VLOOKUP(E1338,基础信息!C:E,3,FALSE)</f>
        <v>#N/A</v>
      </c>
    </row>
    <row r="1339" customHeight="1" spans="8:8">
      <c r="H1339" s="39" t="e">
        <f>VLOOKUP(E1339,基础信息!C:E,3,FALSE)</f>
        <v>#N/A</v>
      </c>
    </row>
    <row r="1340" customHeight="1" spans="8:8">
      <c r="H1340" s="39" t="e">
        <f>VLOOKUP(E1340,基础信息!C:E,3,FALSE)</f>
        <v>#N/A</v>
      </c>
    </row>
    <row r="1341" customHeight="1" spans="8:8">
      <c r="H1341" s="39" t="e">
        <f>VLOOKUP(E1341,基础信息!C:E,3,FALSE)</f>
        <v>#N/A</v>
      </c>
    </row>
    <row r="1342" customHeight="1" spans="8:8">
      <c r="H1342" s="39" t="e">
        <f>VLOOKUP(E1342,基础信息!C:E,3,FALSE)</f>
        <v>#N/A</v>
      </c>
    </row>
    <row r="1343" customHeight="1" spans="8:8">
      <c r="H1343" s="39" t="e">
        <f>VLOOKUP(E1343,基础信息!C:E,3,FALSE)</f>
        <v>#N/A</v>
      </c>
    </row>
    <row r="1344" customHeight="1" spans="8:8">
      <c r="H1344" s="39" t="e">
        <f>VLOOKUP(E1344,基础信息!C:E,3,FALSE)</f>
        <v>#N/A</v>
      </c>
    </row>
    <row r="1345" customHeight="1" spans="8:8">
      <c r="H1345" s="39" t="e">
        <f>VLOOKUP(E1345,基础信息!C:E,3,FALSE)</f>
        <v>#N/A</v>
      </c>
    </row>
    <row r="1346" customHeight="1" spans="8:8">
      <c r="H1346" s="39" t="e">
        <f>VLOOKUP(E1346,基础信息!C:E,3,FALSE)</f>
        <v>#N/A</v>
      </c>
    </row>
    <row r="1347" customHeight="1" spans="8:8">
      <c r="H1347" s="39" t="e">
        <f>VLOOKUP(E1347,基础信息!C:E,3,FALSE)</f>
        <v>#N/A</v>
      </c>
    </row>
    <row r="1348" customHeight="1" spans="8:8">
      <c r="H1348" s="39" t="e">
        <f>VLOOKUP(E1348,基础信息!C:E,3,FALSE)</f>
        <v>#N/A</v>
      </c>
    </row>
    <row r="1349" customHeight="1" spans="8:8">
      <c r="H1349" s="39" t="e">
        <f>VLOOKUP(E1349,基础信息!C:E,3,FALSE)</f>
        <v>#N/A</v>
      </c>
    </row>
    <row r="1350" customHeight="1" spans="8:8">
      <c r="H1350" s="39" t="e">
        <f>VLOOKUP(E1350,基础信息!C:E,3,FALSE)</f>
        <v>#N/A</v>
      </c>
    </row>
    <row r="1351" customHeight="1" spans="8:8">
      <c r="H1351" s="39" t="e">
        <f>VLOOKUP(E1351,基础信息!C:E,3,FALSE)</f>
        <v>#N/A</v>
      </c>
    </row>
    <row r="1352" customHeight="1" spans="8:8">
      <c r="H1352" s="39" t="e">
        <f>VLOOKUP(E1352,基础信息!C:E,3,FALSE)</f>
        <v>#N/A</v>
      </c>
    </row>
    <row r="1353" customHeight="1" spans="8:8">
      <c r="H1353" s="39" t="e">
        <f>VLOOKUP(E1353,基础信息!C:E,3,FALSE)</f>
        <v>#N/A</v>
      </c>
    </row>
    <row r="1354" customHeight="1" spans="8:8">
      <c r="H1354" s="39" t="e">
        <f>VLOOKUP(E1354,基础信息!C:E,3,FALSE)</f>
        <v>#N/A</v>
      </c>
    </row>
    <row r="1355" customHeight="1" spans="8:8">
      <c r="H1355" s="39" t="e">
        <f>VLOOKUP(E1355,基础信息!C:E,3,FALSE)</f>
        <v>#N/A</v>
      </c>
    </row>
    <row r="1356" customHeight="1" spans="8:8">
      <c r="H1356" s="39" t="e">
        <f>VLOOKUP(E1356,基础信息!C:E,3,FALSE)</f>
        <v>#N/A</v>
      </c>
    </row>
    <row r="1357" customHeight="1" spans="8:8">
      <c r="H1357" s="39" t="e">
        <f>VLOOKUP(E1357,基础信息!C:E,3,FALSE)</f>
        <v>#N/A</v>
      </c>
    </row>
    <row r="1358" customHeight="1" spans="8:8">
      <c r="H1358" s="39" t="e">
        <f>VLOOKUP(E1358,基础信息!C:E,3,FALSE)</f>
        <v>#N/A</v>
      </c>
    </row>
    <row r="1359" customHeight="1" spans="8:8">
      <c r="H1359" s="39" t="e">
        <f>VLOOKUP(E1359,基础信息!C:E,3,FALSE)</f>
        <v>#N/A</v>
      </c>
    </row>
    <row r="1360" customHeight="1" spans="8:8">
      <c r="H1360" s="39" t="e">
        <f>VLOOKUP(E1360,基础信息!C:E,3,FALSE)</f>
        <v>#N/A</v>
      </c>
    </row>
    <row r="1361" customHeight="1" spans="8:8">
      <c r="H1361" s="39" t="e">
        <f>VLOOKUP(E1361,基础信息!C:E,3,FALSE)</f>
        <v>#N/A</v>
      </c>
    </row>
    <row r="1362" customHeight="1" spans="8:8">
      <c r="H1362" s="39" t="e">
        <f>VLOOKUP(E1362,基础信息!C:E,3,FALSE)</f>
        <v>#N/A</v>
      </c>
    </row>
    <row r="1363" customHeight="1" spans="8:8">
      <c r="H1363" s="39" t="e">
        <f>VLOOKUP(E1363,基础信息!C:E,3,FALSE)</f>
        <v>#N/A</v>
      </c>
    </row>
    <row r="1364" customHeight="1" spans="8:8">
      <c r="H1364" s="39" t="e">
        <f>VLOOKUP(E1364,基础信息!C:E,3,FALSE)</f>
        <v>#N/A</v>
      </c>
    </row>
    <row r="1365" customHeight="1" spans="8:8">
      <c r="H1365" s="39" t="e">
        <f>VLOOKUP(E1365,基础信息!C:E,3,FALSE)</f>
        <v>#N/A</v>
      </c>
    </row>
    <row r="1366" customHeight="1" spans="8:8">
      <c r="H1366" s="39" t="e">
        <f>VLOOKUP(E1366,基础信息!C:E,3,FALSE)</f>
        <v>#N/A</v>
      </c>
    </row>
    <row r="1367" customHeight="1" spans="8:8">
      <c r="H1367" s="39" t="e">
        <f>VLOOKUP(E1367,基础信息!C:E,3,FALSE)</f>
        <v>#N/A</v>
      </c>
    </row>
    <row r="1368" customHeight="1" spans="8:8">
      <c r="H1368" s="39" t="e">
        <f>VLOOKUP(E1368,基础信息!C:E,3,FALSE)</f>
        <v>#N/A</v>
      </c>
    </row>
    <row r="1369" customHeight="1" spans="8:8">
      <c r="H1369" s="39" t="e">
        <f>VLOOKUP(E1369,基础信息!C:E,3,FALSE)</f>
        <v>#N/A</v>
      </c>
    </row>
    <row r="1370" customHeight="1" spans="8:8">
      <c r="H1370" s="39" t="e">
        <f>VLOOKUP(E1370,基础信息!C:E,3,FALSE)</f>
        <v>#N/A</v>
      </c>
    </row>
    <row r="1371" customHeight="1" spans="8:8">
      <c r="H1371" s="39" t="e">
        <f>VLOOKUP(E1371,基础信息!C:E,3,FALSE)</f>
        <v>#N/A</v>
      </c>
    </row>
    <row r="1372" customHeight="1" spans="8:8">
      <c r="H1372" s="39" t="e">
        <f>VLOOKUP(E1372,基础信息!C:E,3,FALSE)</f>
        <v>#N/A</v>
      </c>
    </row>
    <row r="1373" customHeight="1" spans="8:8">
      <c r="H1373" s="39" t="e">
        <f>VLOOKUP(E1373,基础信息!C:E,3,FALSE)</f>
        <v>#N/A</v>
      </c>
    </row>
    <row r="1374" customHeight="1" spans="8:8">
      <c r="H1374" s="39" t="e">
        <f>VLOOKUP(E1374,基础信息!C:E,3,FALSE)</f>
        <v>#N/A</v>
      </c>
    </row>
    <row r="1375" customHeight="1" spans="8:8">
      <c r="H1375" s="39" t="e">
        <f>VLOOKUP(E1375,基础信息!C:E,3,FALSE)</f>
        <v>#N/A</v>
      </c>
    </row>
    <row r="1376" customHeight="1" spans="8:8">
      <c r="H1376" s="39" t="e">
        <f>VLOOKUP(E1376,基础信息!C:E,3,FALSE)</f>
        <v>#N/A</v>
      </c>
    </row>
    <row r="1377" customHeight="1" spans="8:8">
      <c r="H1377" s="39" t="e">
        <f>VLOOKUP(E1377,基础信息!C:E,3,FALSE)</f>
        <v>#N/A</v>
      </c>
    </row>
    <row r="1378" customHeight="1" spans="8:8">
      <c r="H1378" s="39" t="e">
        <f>VLOOKUP(E1378,基础信息!C:E,3,FALSE)</f>
        <v>#N/A</v>
      </c>
    </row>
    <row r="1379" customHeight="1" spans="8:8">
      <c r="H1379" s="39" t="e">
        <f>VLOOKUP(E1379,基础信息!C:E,3,FALSE)</f>
        <v>#N/A</v>
      </c>
    </row>
    <row r="1380" customHeight="1" spans="8:8">
      <c r="H1380" s="39" t="e">
        <f>VLOOKUP(E1380,基础信息!C:E,3,FALSE)</f>
        <v>#N/A</v>
      </c>
    </row>
    <row r="1381" customHeight="1" spans="8:8">
      <c r="H1381" s="39" t="e">
        <f>VLOOKUP(E1381,基础信息!C:E,3,FALSE)</f>
        <v>#N/A</v>
      </c>
    </row>
    <row r="1382" customHeight="1" spans="8:8">
      <c r="H1382" s="39" t="e">
        <f>VLOOKUP(E1382,基础信息!C:E,3,FALSE)</f>
        <v>#N/A</v>
      </c>
    </row>
    <row r="1383" customHeight="1" spans="8:8">
      <c r="H1383" s="39" t="e">
        <f>VLOOKUP(E1383,基础信息!C:E,3,FALSE)</f>
        <v>#N/A</v>
      </c>
    </row>
    <row r="1384" customHeight="1" spans="8:8">
      <c r="H1384" s="39" t="e">
        <f>VLOOKUP(E1384,基础信息!C:E,3,FALSE)</f>
        <v>#N/A</v>
      </c>
    </row>
    <row r="1385" customHeight="1" spans="8:8">
      <c r="H1385" s="39" t="e">
        <f>VLOOKUP(E1385,基础信息!C:E,3,FALSE)</f>
        <v>#N/A</v>
      </c>
    </row>
    <row r="1386" customHeight="1" spans="8:8">
      <c r="H1386" s="39" t="e">
        <f>VLOOKUP(E1386,基础信息!C:E,3,FALSE)</f>
        <v>#N/A</v>
      </c>
    </row>
    <row r="1387" customHeight="1" spans="8:8">
      <c r="H1387" s="39" t="e">
        <f>VLOOKUP(E1387,基础信息!C:E,3,FALSE)</f>
        <v>#N/A</v>
      </c>
    </row>
    <row r="1388" customHeight="1" spans="8:8">
      <c r="H1388" s="39" t="e">
        <f>VLOOKUP(E1388,基础信息!C:E,3,FALSE)</f>
        <v>#N/A</v>
      </c>
    </row>
    <row r="1389" customHeight="1" spans="8:8">
      <c r="H1389" s="39" t="e">
        <f>VLOOKUP(E1389,基础信息!C:E,3,FALSE)</f>
        <v>#N/A</v>
      </c>
    </row>
    <row r="1390" customHeight="1" spans="8:8">
      <c r="H1390" s="39" t="e">
        <f>VLOOKUP(E1390,基础信息!C:E,3,FALSE)</f>
        <v>#N/A</v>
      </c>
    </row>
    <row r="1391" customHeight="1" spans="8:8">
      <c r="H1391" s="39" t="e">
        <f>VLOOKUP(E1391,基础信息!C:E,3,FALSE)</f>
        <v>#N/A</v>
      </c>
    </row>
    <row r="1392" customHeight="1" spans="8:8">
      <c r="H1392" s="39" t="e">
        <f>VLOOKUP(E1392,基础信息!C:E,3,FALSE)</f>
        <v>#N/A</v>
      </c>
    </row>
    <row r="1393" customHeight="1" spans="8:8">
      <c r="H1393" s="39" t="e">
        <f>VLOOKUP(E1393,基础信息!C:E,3,FALSE)</f>
        <v>#N/A</v>
      </c>
    </row>
    <row r="1394" customHeight="1" spans="8:8">
      <c r="H1394" s="39" t="e">
        <f>VLOOKUP(E1394,基础信息!C:E,3,FALSE)</f>
        <v>#N/A</v>
      </c>
    </row>
    <row r="1395" customHeight="1" spans="8:8">
      <c r="H1395" s="39" t="e">
        <f>VLOOKUP(E1395,基础信息!C:E,3,FALSE)</f>
        <v>#N/A</v>
      </c>
    </row>
    <row r="1396" customHeight="1" spans="8:8">
      <c r="H1396" s="39" t="e">
        <f>VLOOKUP(E1396,基础信息!C:E,3,FALSE)</f>
        <v>#N/A</v>
      </c>
    </row>
    <row r="1397" customHeight="1" spans="8:8">
      <c r="H1397" s="39" t="e">
        <f>VLOOKUP(E1397,基础信息!C:E,3,FALSE)</f>
        <v>#N/A</v>
      </c>
    </row>
    <row r="1398" customHeight="1" spans="8:8">
      <c r="H1398" s="39" t="e">
        <f>VLOOKUP(E1398,基础信息!C:E,3,FALSE)</f>
        <v>#N/A</v>
      </c>
    </row>
    <row r="1399" customHeight="1" spans="8:8">
      <c r="H1399" s="39" t="e">
        <f>VLOOKUP(E1399,基础信息!C:E,3,FALSE)</f>
        <v>#N/A</v>
      </c>
    </row>
    <row r="1400" customHeight="1" spans="8:8">
      <c r="H1400" s="39" t="e">
        <f>VLOOKUP(E1400,基础信息!C:E,3,FALSE)</f>
        <v>#N/A</v>
      </c>
    </row>
    <row r="1401" customHeight="1" spans="8:8">
      <c r="H1401" s="39" t="e">
        <f>VLOOKUP(E1401,基础信息!C:E,3,FALSE)</f>
        <v>#N/A</v>
      </c>
    </row>
    <row r="1402" customHeight="1" spans="8:8">
      <c r="H1402" s="39" t="e">
        <f>VLOOKUP(E1402,基础信息!C:E,3,FALSE)</f>
        <v>#N/A</v>
      </c>
    </row>
    <row r="1403" customHeight="1" spans="8:8">
      <c r="H1403" s="39" t="e">
        <f>VLOOKUP(E1403,基础信息!C:E,3,FALSE)</f>
        <v>#N/A</v>
      </c>
    </row>
    <row r="1404" customHeight="1" spans="8:8">
      <c r="H1404" s="39" t="e">
        <f>VLOOKUP(E1404,基础信息!C:E,3,FALSE)</f>
        <v>#N/A</v>
      </c>
    </row>
    <row r="1405" customHeight="1" spans="8:8">
      <c r="H1405" s="39" t="e">
        <f>VLOOKUP(E1405,基础信息!C:E,3,FALSE)</f>
        <v>#N/A</v>
      </c>
    </row>
    <row r="1406" customHeight="1" spans="8:8">
      <c r="H1406" s="39" t="e">
        <f>VLOOKUP(E1406,基础信息!C:E,3,FALSE)</f>
        <v>#N/A</v>
      </c>
    </row>
    <row r="1407" customHeight="1" spans="8:8">
      <c r="H1407" s="39" t="e">
        <f>VLOOKUP(E1407,基础信息!C:E,3,FALSE)</f>
        <v>#N/A</v>
      </c>
    </row>
    <row r="1408" customHeight="1" spans="8:8">
      <c r="H1408" s="39" t="e">
        <f>VLOOKUP(E1408,基础信息!C:E,3,FALSE)</f>
        <v>#N/A</v>
      </c>
    </row>
    <row r="1409" customHeight="1" spans="8:8">
      <c r="H1409" s="39" t="e">
        <f>VLOOKUP(E1409,基础信息!C:E,3,FALSE)</f>
        <v>#N/A</v>
      </c>
    </row>
    <row r="1410" customHeight="1" spans="8:8">
      <c r="H1410" s="39" t="e">
        <f>VLOOKUP(E1410,基础信息!C:E,3,FALSE)</f>
        <v>#N/A</v>
      </c>
    </row>
    <row r="1411" customHeight="1" spans="8:8">
      <c r="H1411" s="39" t="e">
        <f>VLOOKUP(E1411,基础信息!C:E,3,FALSE)</f>
        <v>#N/A</v>
      </c>
    </row>
    <row r="1412" customHeight="1" spans="8:8">
      <c r="H1412" s="39" t="e">
        <f>VLOOKUP(E1412,基础信息!C:E,3,FALSE)</f>
        <v>#N/A</v>
      </c>
    </row>
    <row r="1413" customHeight="1" spans="8:8">
      <c r="H1413" s="39" t="e">
        <f>VLOOKUP(E1413,基础信息!C:E,3,FALSE)</f>
        <v>#N/A</v>
      </c>
    </row>
    <row r="1414" customHeight="1" spans="8:8">
      <c r="H1414" s="39" t="e">
        <f>VLOOKUP(E1414,基础信息!C:E,3,FALSE)</f>
        <v>#N/A</v>
      </c>
    </row>
    <row r="1415" customHeight="1" spans="8:8">
      <c r="H1415" s="39" t="e">
        <f>VLOOKUP(E1415,基础信息!C:E,3,FALSE)</f>
        <v>#N/A</v>
      </c>
    </row>
    <row r="1416" customHeight="1" spans="8:8">
      <c r="H1416" s="39" t="e">
        <f>VLOOKUP(E1416,基础信息!C:E,3,FALSE)</f>
        <v>#N/A</v>
      </c>
    </row>
    <row r="1417" customHeight="1" spans="8:8">
      <c r="H1417" s="39" t="e">
        <f>VLOOKUP(E1417,基础信息!C:E,3,FALSE)</f>
        <v>#N/A</v>
      </c>
    </row>
    <row r="1418" customHeight="1" spans="8:8">
      <c r="H1418" s="39" t="e">
        <f>VLOOKUP(E1418,基础信息!C:E,3,FALSE)</f>
        <v>#N/A</v>
      </c>
    </row>
    <row r="1419" customHeight="1" spans="8:8">
      <c r="H1419" s="39" t="e">
        <f>VLOOKUP(E1419,基础信息!C:E,3,FALSE)</f>
        <v>#N/A</v>
      </c>
    </row>
    <row r="1420" customHeight="1" spans="8:8">
      <c r="H1420" s="39" t="e">
        <f>VLOOKUP(E1420,基础信息!C:E,3,FALSE)</f>
        <v>#N/A</v>
      </c>
    </row>
    <row r="1421" customHeight="1" spans="8:8">
      <c r="H1421" s="39" t="e">
        <f>VLOOKUP(E1421,基础信息!C:E,3,FALSE)</f>
        <v>#N/A</v>
      </c>
    </row>
    <row r="1422" customHeight="1" spans="8:8">
      <c r="H1422" s="39" t="e">
        <f>VLOOKUP(E1422,基础信息!C:E,3,FALSE)</f>
        <v>#N/A</v>
      </c>
    </row>
    <row r="1423" customHeight="1" spans="8:8">
      <c r="H1423" s="39" t="e">
        <f>VLOOKUP(E1423,基础信息!C:E,3,FALSE)</f>
        <v>#N/A</v>
      </c>
    </row>
    <row r="1424" customHeight="1" spans="8:8">
      <c r="H1424" s="39" t="e">
        <f>VLOOKUP(E1424,基础信息!C:E,3,FALSE)</f>
        <v>#N/A</v>
      </c>
    </row>
    <row r="1425" customHeight="1" spans="8:8">
      <c r="H1425" s="39" t="e">
        <f>VLOOKUP(E1425,基础信息!C:E,3,FALSE)</f>
        <v>#N/A</v>
      </c>
    </row>
    <row r="1426" customHeight="1" spans="8:8">
      <c r="H1426" s="39" t="e">
        <f>VLOOKUP(E1426,基础信息!C:E,3,FALSE)</f>
        <v>#N/A</v>
      </c>
    </row>
    <row r="1427" customHeight="1" spans="8:8">
      <c r="H1427" s="39" t="e">
        <f>VLOOKUP(E1427,基础信息!C:E,3,FALSE)</f>
        <v>#N/A</v>
      </c>
    </row>
    <row r="1428" customHeight="1" spans="8:8">
      <c r="H1428" s="39" t="e">
        <f>VLOOKUP(E1428,基础信息!C:E,3,FALSE)</f>
        <v>#N/A</v>
      </c>
    </row>
    <row r="1429" customHeight="1" spans="8:8">
      <c r="H1429" s="39" t="e">
        <f>VLOOKUP(E1429,基础信息!C:E,3,FALSE)</f>
        <v>#N/A</v>
      </c>
    </row>
    <row r="1430" customHeight="1" spans="8:8">
      <c r="H1430" s="39" t="e">
        <f>VLOOKUP(E1430,基础信息!C:E,3,FALSE)</f>
        <v>#N/A</v>
      </c>
    </row>
    <row r="1431" customHeight="1" spans="8:8">
      <c r="H1431" s="39" t="e">
        <f>VLOOKUP(E1431,基础信息!C:E,3,FALSE)</f>
        <v>#N/A</v>
      </c>
    </row>
    <row r="1432" customHeight="1" spans="8:8">
      <c r="H1432" s="39" t="e">
        <f>VLOOKUP(E1432,基础信息!C:E,3,FALSE)</f>
        <v>#N/A</v>
      </c>
    </row>
    <row r="1433" customHeight="1" spans="8:8">
      <c r="H1433" s="39" t="e">
        <f>VLOOKUP(E1433,基础信息!C:E,3,FALSE)</f>
        <v>#N/A</v>
      </c>
    </row>
    <row r="1434" customHeight="1" spans="8:8">
      <c r="H1434" s="39" t="e">
        <f>VLOOKUP(E1434,基础信息!C:E,3,FALSE)</f>
        <v>#N/A</v>
      </c>
    </row>
    <row r="1435" customHeight="1" spans="8:8">
      <c r="H1435" s="39" t="e">
        <f>VLOOKUP(E1435,基础信息!C:E,3,FALSE)</f>
        <v>#N/A</v>
      </c>
    </row>
    <row r="1436" customHeight="1" spans="8:8">
      <c r="H1436" s="39" t="e">
        <f>VLOOKUP(E1436,基础信息!C:E,3,FALSE)</f>
        <v>#N/A</v>
      </c>
    </row>
    <row r="1437" customHeight="1" spans="8:8">
      <c r="H1437" s="39" t="e">
        <f>VLOOKUP(E1437,基础信息!C:E,3,FALSE)</f>
        <v>#N/A</v>
      </c>
    </row>
    <row r="1438" customHeight="1" spans="8:8">
      <c r="H1438" s="39" t="e">
        <f>VLOOKUP(E1438,基础信息!C:E,3,FALSE)</f>
        <v>#N/A</v>
      </c>
    </row>
    <row r="1439" customHeight="1" spans="8:8">
      <c r="H1439" s="39" t="e">
        <f>VLOOKUP(E1439,基础信息!C:E,3,FALSE)</f>
        <v>#N/A</v>
      </c>
    </row>
    <row r="1440" customHeight="1" spans="8:8">
      <c r="H1440" s="39" t="e">
        <f>VLOOKUP(E1440,基础信息!C:E,3,FALSE)</f>
        <v>#N/A</v>
      </c>
    </row>
    <row r="1441" customHeight="1" spans="8:8">
      <c r="H1441" s="39" t="e">
        <f>VLOOKUP(E1441,基础信息!C:E,3,FALSE)</f>
        <v>#N/A</v>
      </c>
    </row>
    <row r="1442" customHeight="1" spans="8:8">
      <c r="H1442" s="39" t="e">
        <f>VLOOKUP(E1442,基础信息!C:E,3,FALSE)</f>
        <v>#N/A</v>
      </c>
    </row>
    <row r="1443" customHeight="1" spans="8:8">
      <c r="H1443" s="39" t="e">
        <f>VLOOKUP(E1443,基础信息!C:E,3,FALSE)</f>
        <v>#N/A</v>
      </c>
    </row>
    <row r="1444" customHeight="1" spans="8:8">
      <c r="H1444" s="39" t="e">
        <f>VLOOKUP(E1444,基础信息!C:E,3,FALSE)</f>
        <v>#N/A</v>
      </c>
    </row>
    <row r="1445" customHeight="1" spans="8:8">
      <c r="H1445" s="39" t="e">
        <f>VLOOKUP(E1445,基础信息!C:E,3,FALSE)</f>
        <v>#N/A</v>
      </c>
    </row>
    <row r="1446" customHeight="1" spans="8:8">
      <c r="H1446" s="39" t="e">
        <f>VLOOKUP(E1446,基础信息!C:E,3,FALSE)</f>
        <v>#N/A</v>
      </c>
    </row>
    <row r="1447" customHeight="1" spans="8:8">
      <c r="H1447" s="39" t="e">
        <f>VLOOKUP(E1447,基础信息!C:E,3,FALSE)</f>
        <v>#N/A</v>
      </c>
    </row>
    <row r="1448" customHeight="1" spans="8:8">
      <c r="H1448" s="39" t="e">
        <f>VLOOKUP(E1448,基础信息!C:E,3,FALSE)</f>
        <v>#N/A</v>
      </c>
    </row>
    <row r="1449" customHeight="1" spans="8:8">
      <c r="H1449" s="39" t="e">
        <f>VLOOKUP(E1449,基础信息!C:E,3,FALSE)</f>
        <v>#N/A</v>
      </c>
    </row>
    <row r="1450" customHeight="1" spans="8:8">
      <c r="H1450" s="39" t="e">
        <f>VLOOKUP(E1450,基础信息!C:E,3,FALSE)</f>
        <v>#N/A</v>
      </c>
    </row>
    <row r="1451" customHeight="1" spans="8:8">
      <c r="H1451" s="39" t="e">
        <f>VLOOKUP(E1451,基础信息!C:E,3,FALSE)</f>
        <v>#N/A</v>
      </c>
    </row>
    <row r="1452" customHeight="1" spans="8:8">
      <c r="H1452" s="39" t="e">
        <f>VLOOKUP(E1452,基础信息!C:E,3,FALSE)</f>
        <v>#N/A</v>
      </c>
    </row>
    <row r="1453" customHeight="1" spans="8:8">
      <c r="H1453" s="39" t="e">
        <f>VLOOKUP(E1453,基础信息!C:E,3,FALSE)</f>
        <v>#N/A</v>
      </c>
    </row>
    <row r="1454" customHeight="1" spans="8:8">
      <c r="H1454" s="39" t="e">
        <f>VLOOKUP(E1454,基础信息!C:E,3,FALSE)</f>
        <v>#N/A</v>
      </c>
    </row>
    <row r="1455" customHeight="1" spans="8:8">
      <c r="H1455" s="39" t="e">
        <f>VLOOKUP(E1455,基础信息!C:E,3,FALSE)</f>
        <v>#N/A</v>
      </c>
    </row>
    <row r="1456" customHeight="1" spans="8:8">
      <c r="H1456" s="39" t="e">
        <f>VLOOKUP(E1456,基础信息!C:E,3,FALSE)</f>
        <v>#N/A</v>
      </c>
    </row>
    <row r="1457" customHeight="1" spans="8:8">
      <c r="H1457" s="39" t="e">
        <f>VLOOKUP(E1457,基础信息!C:E,3,FALSE)</f>
        <v>#N/A</v>
      </c>
    </row>
    <row r="1458" customHeight="1" spans="8:8">
      <c r="H1458" s="39" t="e">
        <f>VLOOKUP(E1458,基础信息!C:E,3,FALSE)</f>
        <v>#N/A</v>
      </c>
    </row>
    <row r="1459" customHeight="1" spans="8:8">
      <c r="H1459" s="39" t="e">
        <f>VLOOKUP(E1459,基础信息!C:E,3,FALSE)</f>
        <v>#N/A</v>
      </c>
    </row>
    <row r="1460" customHeight="1" spans="8:8">
      <c r="H1460" s="39" t="e">
        <f>VLOOKUP(E1460,基础信息!C:E,3,FALSE)</f>
        <v>#N/A</v>
      </c>
    </row>
    <row r="1461" customHeight="1" spans="8:8">
      <c r="H1461" s="39" t="e">
        <f>VLOOKUP(E1461,基础信息!C:E,3,FALSE)</f>
        <v>#N/A</v>
      </c>
    </row>
    <row r="1462" customHeight="1" spans="8:8">
      <c r="H1462" s="39" t="e">
        <f>VLOOKUP(E1462,基础信息!C:E,3,FALSE)</f>
        <v>#N/A</v>
      </c>
    </row>
    <row r="1463" customHeight="1" spans="8:8">
      <c r="H1463" s="39" t="e">
        <f>VLOOKUP(E1463,基础信息!C:E,3,FALSE)</f>
        <v>#N/A</v>
      </c>
    </row>
    <row r="1464" customHeight="1" spans="8:8">
      <c r="H1464" s="39" t="e">
        <f>VLOOKUP(E1464,基础信息!C:E,3,FALSE)</f>
        <v>#N/A</v>
      </c>
    </row>
    <row r="1465" customHeight="1" spans="8:8">
      <c r="H1465" s="39" t="e">
        <f>VLOOKUP(E1465,基础信息!C:E,3,FALSE)</f>
        <v>#N/A</v>
      </c>
    </row>
    <row r="1466" customHeight="1" spans="8:8">
      <c r="H1466" s="39" t="e">
        <f>VLOOKUP(E1466,基础信息!C:E,3,FALSE)</f>
        <v>#N/A</v>
      </c>
    </row>
    <row r="1467" customHeight="1" spans="8:8">
      <c r="H1467" s="39" t="e">
        <f>VLOOKUP(E1467,基础信息!C:E,3,FALSE)</f>
        <v>#N/A</v>
      </c>
    </row>
    <row r="1468" customHeight="1" spans="8:8">
      <c r="H1468" s="39" t="e">
        <f>VLOOKUP(E1468,基础信息!C:E,3,FALSE)</f>
        <v>#N/A</v>
      </c>
    </row>
    <row r="1469" customHeight="1" spans="8:8">
      <c r="H1469" s="39" t="e">
        <f>VLOOKUP(E1469,基础信息!C:E,3,FALSE)</f>
        <v>#N/A</v>
      </c>
    </row>
    <row r="1470" customHeight="1" spans="8:8">
      <c r="H1470" s="39" t="e">
        <f>VLOOKUP(E1470,基础信息!C:E,3,FALSE)</f>
        <v>#N/A</v>
      </c>
    </row>
    <row r="1471" customHeight="1" spans="8:8">
      <c r="H1471" s="39" t="e">
        <f>VLOOKUP(E1471,基础信息!C:E,3,FALSE)</f>
        <v>#N/A</v>
      </c>
    </row>
    <row r="1472" customHeight="1" spans="8:8">
      <c r="H1472" s="39" t="e">
        <f>VLOOKUP(E1472,基础信息!C:E,3,FALSE)</f>
        <v>#N/A</v>
      </c>
    </row>
    <row r="1473" customHeight="1" spans="8:8">
      <c r="H1473" s="39" t="e">
        <f>VLOOKUP(E1473,基础信息!C:E,3,FALSE)</f>
        <v>#N/A</v>
      </c>
    </row>
    <row r="1474" customHeight="1" spans="8:8">
      <c r="H1474" s="39" t="e">
        <f>VLOOKUP(E1474,基础信息!C:E,3,FALSE)</f>
        <v>#N/A</v>
      </c>
    </row>
    <row r="1475" customHeight="1" spans="8:8">
      <c r="H1475" s="39" t="e">
        <f>VLOOKUP(E1475,基础信息!C:E,3,FALSE)</f>
        <v>#N/A</v>
      </c>
    </row>
    <row r="1476" customHeight="1" spans="8:8">
      <c r="H1476" s="39" t="e">
        <f>VLOOKUP(E1476,基础信息!C:E,3,FALSE)</f>
        <v>#N/A</v>
      </c>
    </row>
    <row r="1477" customHeight="1" spans="8:8">
      <c r="H1477" s="39" t="e">
        <f>VLOOKUP(E1477,基础信息!C:E,3,FALSE)</f>
        <v>#N/A</v>
      </c>
    </row>
    <row r="1478" customHeight="1" spans="8:8">
      <c r="H1478" s="39" t="e">
        <f>VLOOKUP(E1478,基础信息!C:E,3,FALSE)</f>
        <v>#N/A</v>
      </c>
    </row>
    <row r="1479" customHeight="1" spans="8:8">
      <c r="H1479" s="39" t="e">
        <f>VLOOKUP(E1479,基础信息!C:E,3,FALSE)</f>
        <v>#N/A</v>
      </c>
    </row>
    <row r="1480" customHeight="1" spans="8:8">
      <c r="H1480" s="39" t="e">
        <f>VLOOKUP(E1480,基础信息!C:E,3,FALSE)</f>
        <v>#N/A</v>
      </c>
    </row>
    <row r="1481" customHeight="1" spans="8:8">
      <c r="H1481" s="39" t="e">
        <f>VLOOKUP(E1481,基础信息!C:E,3,FALSE)</f>
        <v>#N/A</v>
      </c>
    </row>
    <row r="1482" customHeight="1" spans="8:8">
      <c r="H1482" s="39" t="e">
        <f>VLOOKUP(E1482,基础信息!C:E,3,FALSE)</f>
        <v>#N/A</v>
      </c>
    </row>
    <row r="1483" customHeight="1" spans="8:8">
      <c r="H1483" s="39" t="e">
        <f>VLOOKUP(E1483,基础信息!C:E,3,FALSE)</f>
        <v>#N/A</v>
      </c>
    </row>
    <row r="1484" customHeight="1" spans="8:8">
      <c r="H1484" s="39" t="e">
        <f>VLOOKUP(E1484,基础信息!C:E,3,FALSE)</f>
        <v>#N/A</v>
      </c>
    </row>
    <row r="1485" customHeight="1" spans="8:8">
      <c r="H1485" s="39" t="e">
        <f>VLOOKUP(E1485,基础信息!C:E,3,FALSE)</f>
        <v>#N/A</v>
      </c>
    </row>
    <row r="1486" customHeight="1" spans="8:8">
      <c r="H1486" s="39" t="e">
        <f>VLOOKUP(E1486,基础信息!C:E,3,FALSE)</f>
        <v>#N/A</v>
      </c>
    </row>
    <row r="1487" customHeight="1" spans="8:8">
      <c r="H1487" s="39" t="e">
        <f>VLOOKUP(E1487,基础信息!C:E,3,FALSE)</f>
        <v>#N/A</v>
      </c>
    </row>
    <row r="1488" customHeight="1" spans="8:8">
      <c r="H1488" s="39" t="e">
        <f>VLOOKUP(E1488,基础信息!C:E,3,FALSE)</f>
        <v>#N/A</v>
      </c>
    </row>
    <row r="1489" customHeight="1" spans="8:8">
      <c r="H1489" s="39" t="e">
        <f>VLOOKUP(E1489,基础信息!C:E,3,FALSE)</f>
        <v>#N/A</v>
      </c>
    </row>
    <row r="1490" customHeight="1" spans="8:8">
      <c r="H1490" s="39" t="e">
        <f>VLOOKUP(E1490,基础信息!C:E,3,FALSE)</f>
        <v>#N/A</v>
      </c>
    </row>
    <row r="1491" customHeight="1" spans="8:8">
      <c r="H1491" s="39" t="e">
        <f>VLOOKUP(E1491,基础信息!C:E,3,FALSE)</f>
        <v>#N/A</v>
      </c>
    </row>
    <row r="1492" customHeight="1" spans="8:8">
      <c r="H1492" s="39" t="e">
        <f>VLOOKUP(E1492,基础信息!C:E,3,FALSE)</f>
        <v>#N/A</v>
      </c>
    </row>
    <row r="1493" customHeight="1" spans="8:8">
      <c r="H1493" s="39" t="e">
        <f>VLOOKUP(E1493,基础信息!C:E,3,FALSE)</f>
        <v>#N/A</v>
      </c>
    </row>
    <row r="1494" customHeight="1" spans="8:8">
      <c r="H1494" s="39" t="e">
        <f>VLOOKUP(E1494,基础信息!C:E,3,FALSE)</f>
        <v>#N/A</v>
      </c>
    </row>
    <row r="1495" customHeight="1" spans="8:8">
      <c r="H1495" s="39" t="e">
        <f>VLOOKUP(E1495,基础信息!C:E,3,FALSE)</f>
        <v>#N/A</v>
      </c>
    </row>
    <row r="1496" customHeight="1" spans="8:8">
      <c r="H1496" s="39" t="e">
        <f>VLOOKUP(E1496,基础信息!C:E,3,FALSE)</f>
        <v>#N/A</v>
      </c>
    </row>
    <row r="1497" customHeight="1" spans="8:8">
      <c r="H1497" s="39" t="e">
        <f>VLOOKUP(E1497,基础信息!C:E,3,FALSE)</f>
        <v>#N/A</v>
      </c>
    </row>
    <row r="1498" customHeight="1" spans="8:8">
      <c r="H1498" s="39" t="e">
        <f>VLOOKUP(E1498,基础信息!C:E,3,FALSE)</f>
        <v>#N/A</v>
      </c>
    </row>
    <row r="1499" customHeight="1" spans="8:8">
      <c r="H1499" s="39" t="e">
        <f>VLOOKUP(E1499,基础信息!C:E,3,FALSE)</f>
        <v>#N/A</v>
      </c>
    </row>
    <row r="1500" customHeight="1" spans="8:8">
      <c r="H1500" s="39" t="e">
        <f>VLOOKUP(E1500,基础信息!C:E,3,FALSE)</f>
        <v>#N/A</v>
      </c>
    </row>
    <row r="1501" customHeight="1" spans="8:8">
      <c r="H1501" s="39" t="e">
        <f>VLOOKUP(E1501,基础信息!C:E,3,FALSE)</f>
        <v>#N/A</v>
      </c>
    </row>
    <row r="1502" customHeight="1" spans="8:8">
      <c r="H1502" s="39" t="e">
        <f>VLOOKUP(E1502,基础信息!C:E,3,FALSE)</f>
        <v>#N/A</v>
      </c>
    </row>
    <row r="1503" customHeight="1" spans="8:8">
      <c r="H1503" s="39" t="e">
        <f>VLOOKUP(E1503,基础信息!C:E,3,FALSE)</f>
        <v>#N/A</v>
      </c>
    </row>
    <row r="1504" customHeight="1" spans="8:8">
      <c r="H1504" s="39" t="e">
        <f>VLOOKUP(E1504,基础信息!C:E,3,FALSE)</f>
        <v>#N/A</v>
      </c>
    </row>
    <row r="1505" customHeight="1" spans="8:8">
      <c r="H1505" s="39" t="e">
        <f>VLOOKUP(E1505,基础信息!C:E,3,FALSE)</f>
        <v>#N/A</v>
      </c>
    </row>
    <row r="1506" customHeight="1" spans="8:8">
      <c r="H1506" s="39" t="e">
        <f>VLOOKUP(E1506,基础信息!C:E,3,FALSE)</f>
        <v>#N/A</v>
      </c>
    </row>
    <row r="1507" customHeight="1" spans="8:8">
      <c r="H1507" s="39" t="e">
        <f>VLOOKUP(E1507,基础信息!C:E,3,FALSE)</f>
        <v>#N/A</v>
      </c>
    </row>
    <row r="1508" customHeight="1" spans="8:8">
      <c r="H1508" s="39" t="e">
        <f>VLOOKUP(E1508,基础信息!C:E,3,FALSE)</f>
        <v>#N/A</v>
      </c>
    </row>
    <row r="1509" customHeight="1" spans="8:8">
      <c r="H1509" s="39" t="e">
        <f>VLOOKUP(E1509,基础信息!C:E,3,FALSE)</f>
        <v>#N/A</v>
      </c>
    </row>
    <row r="1510" customHeight="1" spans="8:8">
      <c r="H1510" s="39" t="e">
        <f>VLOOKUP(E1510,基础信息!C:E,3,FALSE)</f>
        <v>#N/A</v>
      </c>
    </row>
    <row r="1511" customHeight="1" spans="8:8">
      <c r="H1511" s="39" t="e">
        <f>VLOOKUP(E1511,基础信息!C:E,3,FALSE)</f>
        <v>#N/A</v>
      </c>
    </row>
    <row r="1512" customHeight="1" spans="8:8">
      <c r="H1512" s="39" t="e">
        <f>VLOOKUP(E1512,基础信息!C:E,3,FALSE)</f>
        <v>#N/A</v>
      </c>
    </row>
    <row r="1513" customHeight="1" spans="8:8">
      <c r="H1513" s="39" t="e">
        <f>VLOOKUP(E1513,基础信息!C:E,3,FALSE)</f>
        <v>#N/A</v>
      </c>
    </row>
    <row r="1514" customHeight="1" spans="8:8">
      <c r="H1514" s="39" t="e">
        <f>VLOOKUP(E1514,基础信息!C:E,3,FALSE)</f>
        <v>#N/A</v>
      </c>
    </row>
    <row r="1515" customHeight="1" spans="8:8">
      <c r="H1515" s="39" t="e">
        <f>VLOOKUP(E1515,基础信息!C:E,3,FALSE)</f>
        <v>#N/A</v>
      </c>
    </row>
    <row r="1516" customHeight="1" spans="8:8">
      <c r="H1516" s="39" t="e">
        <f>VLOOKUP(E1516,基础信息!C:E,3,FALSE)</f>
        <v>#N/A</v>
      </c>
    </row>
    <row r="1517" customHeight="1" spans="8:8">
      <c r="H1517" s="39" t="e">
        <f>VLOOKUP(E1517,基础信息!C:E,3,FALSE)</f>
        <v>#N/A</v>
      </c>
    </row>
    <row r="1518" customHeight="1" spans="8:8">
      <c r="H1518" s="39" t="e">
        <f>VLOOKUP(E1518,基础信息!C:E,3,FALSE)</f>
        <v>#N/A</v>
      </c>
    </row>
    <row r="1519" customHeight="1" spans="8:8">
      <c r="H1519" s="39" t="e">
        <f>VLOOKUP(E1519,基础信息!C:E,3,FALSE)</f>
        <v>#N/A</v>
      </c>
    </row>
    <row r="1520" customHeight="1" spans="8:8">
      <c r="H1520" s="39" t="e">
        <f>VLOOKUP(E1520,基础信息!C:E,3,FALSE)</f>
        <v>#N/A</v>
      </c>
    </row>
    <row r="1521" customHeight="1" spans="8:8">
      <c r="H1521" s="39" t="e">
        <f>VLOOKUP(E1521,基础信息!C:E,3,FALSE)</f>
        <v>#N/A</v>
      </c>
    </row>
    <row r="1522" customHeight="1" spans="8:8">
      <c r="H1522" s="39" t="e">
        <f>VLOOKUP(E1522,基础信息!C:E,3,FALSE)</f>
        <v>#N/A</v>
      </c>
    </row>
    <row r="1523" customHeight="1" spans="8:8">
      <c r="H1523" s="39" t="e">
        <f>VLOOKUP(E1523,基础信息!C:E,3,FALSE)</f>
        <v>#N/A</v>
      </c>
    </row>
    <row r="1524" customHeight="1" spans="8:8">
      <c r="H1524" s="39" t="e">
        <f>VLOOKUP(E1524,基础信息!C:E,3,FALSE)</f>
        <v>#N/A</v>
      </c>
    </row>
    <row r="1525" customHeight="1" spans="8:8">
      <c r="H1525" s="39" t="e">
        <f>VLOOKUP(E1525,基础信息!C:E,3,FALSE)</f>
        <v>#N/A</v>
      </c>
    </row>
    <row r="1526" customHeight="1" spans="8:8">
      <c r="H1526" s="39" t="e">
        <f>VLOOKUP(E1526,基础信息!C:E,3,FALSE)</f>
        <v>#N/A</v>
      </c>
    </row>
    <row r="1527" customHeight="1" spans="8:8">
      <c r="H1527" s="39" t="e">
        <f>VLOOKUP(E1527,基础信息!C:E,3,FALSE)</f>
        <v>#N/A</v>
      </c>
    </row>
    <row r="1528" customHeight="1" spans="8:8">
      <c r="H1528" s="39" t="e">
        <f>VLOOKUP(E1528,基础信息!C:E,3,FALSE)</f>
        <v>#N/A</v>
      </c>
    </row>
    <row r="1529" customHeight="1" spans="8:8">
      <c r="H1529" s="39" t="e">
        <f>VLOOKUP(E1529,基础信息!C:E,3,FALSE)</f>
        <v>#N/A</v>
      </c>
    </row>
    <row r="1530" customHeight="1" spans="8:8">
      <c r="H1530" s="39" t="e">
        <f>VLOOKUP(E1530,基础信息!C:E,3,FALSE)</f>
        <v>#N/A</v>
      </c>
    </row>
    <row r="1531" customHeight="1" spans="8:8">
      <c r="H1531" s="39" t="e">
        <f>VLOOKUP(E1531,基础信息!C:E,3,FALSE)</f>
        <v>#N/A</v>
      </c>
    </row>
    <row r="1532" customHeight="1" spans="8:8">
      <c r="H1532" s="39" t="e">
        <f>VLOOKUP(E1532,基础信息!C:E,3,FALSE)</f>
        <v>#N/A</v>
      </c>
    </row>
    <row r="1533" customHeight="1" spans="8:8">
      <c r="H1533" s="39" t="e">
        <f>VLOOKUP(E1533,基础信息!C:E,3,FALSE)</f>
        <v>#N/A</v>
      </c>
    </row>
    <row r="1534" customHeight="1" spans="8:8">
      <c r="H1534" s="39" t="e">
        <f>VLOOKUP(E1534,基础信息!C:E,3,FALSE)</f>
        <v>#N/A</v>
      </c>
    </row>
    <row r="1535" customHeight="1" spans="8:8">
      <c r="H1535" s="39" t="e">
        <f>VLOOKUP(E1535,基础信息!C:E,3,FALSE)</f>
        <v>#N/A</v>
      </c>
    </row>
    <row r="1536" customHeight="1" spans="8:8">
      <c r="H1536" s="39" t="e">
        <f>VLOOKUP(E1536,基础信息!C:E,3,FALSE)</f>
        <v>#N/A</v>
      </c>
    </row>
    <row r="1537" customHeight="1" spans="8:8">
      <c r="H1537" s="39" t="e">
        <f>VLOOKUP(E1537,基础信息!C:E,3,FALSE)</f>
        <v>#N/A</v>
      </c>
    </row>
    <row r="1538" customHeight="1" spans="8:8">
      <c r="H1538" s="39" t="e">
        <f>VLOOKUP(E1538,基础信息!C:E,3,FALSE)</f>
        <v>#N/A</v>
      </c>
    </row>
    <row r="1539" customHeight="1" spans="8:8">
      <c r="H1539" s="39" t="e">
        <f>VLOOKUP(E1539,基础信息!C:E,3,FALSE)</f>
        <v>#N/A</v>
      </c>
    </row>
    <row r="1540" customHeight="1" spans="8:8">
      <c r="H1540" s="39" t="e">
        <f>VLOOKUP(E1540,基础信息!C:E,3,FALSE)</f>
        <v>#N/A</v>
      </c>
    </row>
    <row r="1541" customHeight="1" spans="8:8">
      <c r="H1541" s="39" t="e">
        <f>VLOOKUP(E1541,基础信息!C:E,3,FALSE)</f>
        <v>#N/A</v>
      </c>
    </row>
    <row r="1542" customHeight="1" spans="8:8">
      <c r="H1542" s="39" t="e">
        <f>VLOOKUP(E1542,基础信息!C:E,3,FALSE)</f>
        <v>#N/A</v>
      </c>
    </row>
    <row r="1543" customHeight="1" spans="8:8">
      <c r="H1543" s="39" t="e">
        <f>VLOOKUP(E1543,基础信息!C:E,3,FALSE)</f>
        <v>#N/A</v>
      </c>
    </row>
    <row r="1544" customHeight="1" spans="8:8">
      <c r="H1544" s="39" t="e">
        <f>VLOOKUP(E1544,基础信息!C:E,3,FALSE)</f>
        <v>#N/A</v>
      </c>
    </row>
    <row r="1545" customHeight="1" spans="8:8">
      <c r="H1545" s="39" t="e">
        <f>VLOOKUP(E1545,基础信息!C:E,3,FALSE)</f>
        <v>#N/A</v>
      </c>
    </row>
    <row r="1546" customHeight="1" spans="8:8">
      <c r="H1546" s="39" t="e">
        <f>VLOOKUP(E1546,基础信息!C:E,3,FALSE)</f>
        <v>#N/A</v>
      </c>
    </row>
    <row r="1547" customHeight="1" spans="8:8">
      <c r="H1547" s="39" t="e">
        <f>VLOOKUP(E1547,基础信息!C:E,3,FALSE)</f>
        <v>#N/A</v>
      </c>
    </row>
    <row r="1548" customHeight="1" spans="8:8">
      <c r="H1548" s="39" t="e">
        <f>VLOOKUP(E1548,基础信息!C:E,3,FALSE)</f>
        <v>#N/A</v>
      </c>
    </row>
    <row r="1549" customHeight="1" spans="8:8">
      <c r="H1549" s="39" t="e">
        <f>VLOOKUP(E1549,基础信息!C:E,3,FALSE)</f>
        <v>#N/A</v>
      </c>
    </row>
    <row r="1550" customHeight="1" spans="8:8">
      <c r="H1550" s="39" t="e">
        <f>VLOOKUP(E1550,基础信息!C:E,3,FALSE)</f>
        <v>#N/A</v>
      </c>
    </row>
    <row r="1551" customHeight="1" spans="8:8">
      <c r="H1551" s="39" t="e">
        <f>VLOOKUP(E1551,基础信息!C:E,3,FALSE)</f>
        <v>#N/A</v>
      </c>
    </row>
    <row r="1552" customHeight="1" spans="8:8">
      <c r="H1552" s="39" t="e">
        <f>VLOOKUP(E1552,基础信息!C:E,3,FALSE)</f>
        <v>#N/A</v>
      </c>
    </row>
    <row r="1553" customHeight="1" spans="8:8">
      <c r="H1553" s="39" t="e">
        <f>VLOOKUP(E1553,基础信息!C:E,3,FALSE)</f>
        <v>#N/A</v>
      </c>
    </row>
    <row r="1554" customHeight="1" spans="8:8">
      <c r="H1554" s="39" t="e">
        <f>VLOOKUP(E1554,基础信息!C:E,3,FALSE)</f>
        <v>#N/A</v>
      </c>
    </row>
    <row r="1555" customHeight="1" spans="8:8">
      <c r="H1555" s="39" t="e">
        <f>VLOOKUP(E1555,基础信息!C:E,3,FALSE)</f>
        <v>#N/A</v>
      </c>
    </row>
    <row r="1556" customHeight="1" spans="8:8">
      <c r="H1556" s="39" t="e">
        <f>VLOOKUP(E1556,基础信息!C:E,3,FALSE)</f>
        <v>#N/A</v>
      </c>
    </row>
    <row r="1557" customHeight="1" spans="8:8">
      <c r="H1557" s="39" t="e">
        <f>VLOOKUP(E1557,基础信息!C:E,3,FALSE)</f>
        <v>#N/A</v>
      </c>
    </row>
    <row r="1558" customHeight="1" spans="8:8">
      <c r="H1558" s="39" t="e">
        <f>VLOOKUP(E1558,基础信息!C:E,3,FALSE)</f>
        <v>#N/A</v>
      </c>
    </row>
    <row r="1559" customHeight="1" spans="8:8">
      <c r="H1559" s="39" t="e">
        <f>VLOOKUP(E1559,基础信息!C:E,3,FALSE)</f>
        <v>#N/A</v>
      </c>
    </row>
    <row r="1560" customHeight="1" spans="8:8">
      <c r="H1560" s="39" t="e">
        <f>VLOOKUP(E1560,基础信息!C:E,3,FALSE)</f>
        <v>#N/A</v>
      </c>
    </row>
    <row r="1561" customHeight="1" spans="8:8">
      <c r="H1561" s="39" t="e">
        <f>VLOOKUP(E1561,基础信息!C:E,3,FALSE)</f>
        <v>#N/A</v>
      </c>
    </row>
    <row r="1562" customHeight="1" spans="8:8">
      <c r="H1562" s="39" t="e">
        <f>VLOOKUP(E1562,基础信息!C:E,3,FALSE)</f>
        <v>#N/A</v>
      </c>
    </row>
    <row r="1563" customHeight="1" spans="8:8">
      <c r="H1563" s="39" t="e">
        <f>VLOOKUP(E1563,基础信息!C:E,3,FALSE)</f>
        <v>#N/A</v>
      </c>
    </row>
    <row r="1564" customHeight="1" spans="8:8">
      <c r="H1564" s="39" t="e">
        <f>VLOOKUP(E1564,基础信息!C:E,3,FALSE)</f>
        <v>#N/A</v>
      </c>
    </row>
    <row r="1565" customHeight="1" spans="8:8">
      <c r="H1565" s="39" t="e">
        <f>VLOOKUP(E1565,基础信息!C:E,3,FALSE)</f>
        <v>#N/A</v>
      </c>
    </row>
    <row r="1566" customHeight="1" spans="8:8">
      <c r="H1566" s="39" t="e">
        <f>VLOOKUP(E1566,基础信息!C:E,3,FALSE)</f>
        <v>#N/A</v>
      </c>
    </row>
    <row r="1567" customHeight="1" spans="8:8">
      <c r="H1567" s="39" t="e">
        <f>VLOOKUP(E1567,基础信息!C:E,3,FALSE)</f>
        <v>#N/A</v>
      </c>
    </row>
    <row r="1568" customHeight="1" spans="8:8">
      <c r="H1568" s="39" t="e">
        <f>VLOOKUP(E1568,基础信息!C:E,3,FALSE)</f>
        <v>#N/A</v>
      </c>
    </row>
    <row r="1569" customHeight="1" spans="8:8">
      <c r="H1569" s="39" t="e">
        <f>VLOOKUP(E1569,基础信息!C:E,3,FALSE)</f>
        <v>#N/A</v>
      </c>
    </row>
    <row r="1570" customHeight="1" spans="8:8">
      <c r="H1570" s="39" t="e">
        <f>VLOOKUP(E1570,基础信息!C:E,3,FALSE)</f>
        <v>#N/A</v>
      </c>
    </row>
    <row r="1571" customHeight="1" spans="8:8">
      <c r="H1571" s="39" t="e">
        <f>VLOOKUP(E1571,基础信息!C:E,3,FALSE)</f>
        <v>#N/A</v>
      </c>
    </row>
    <row r="1572" customHeight="1" spans="8:8">
      <c r="H1572" s="39" t="e">
        <f>VLOOKUP(E1572,基础信息!C:E,3,FALSE)</f>
        <v>#N/A</v>
      </c>
    </row>
    <row r="1573" customHeight="1" spans="8:8">
      <c r="H1573" s="39" t="e">
        <f>VLOOKUP(E1573,基础信息!C:E,3,FALSE)</f>
        <v>#N/A</v>
      </c>
    </row>
    <row r="1574" customHeight="1" spans="8:8">
      <c r="H1574" s="39" t="e">
        <f>VLOOKUP(E1574,基础信息!C:E,3,FALSE)</f>
        <v>#N/A</v>
      </c>
    </row>
    <row r="1575" customHeight="1" spans="8:8">
      <c r="H1575" s="39" t="e">
        <f>VLOOKUP(E1575,基础信息!C:E,3,FALSE)</f>
        <v>#N/A</v>
      </c>
    </row>
    <row r="1576" customHeight="1" spans="8:8">
      <c r="H1576" s="39" t="e">
        <f>VLOOKUP(E1576,基础信息!C:E,3,FALSE)</f>
        <v>#N/A</v>
      </c>
    </row>
    <row r="1577" customHeight="1" spans="8:8">
      <c r="H1577" s="39" t="e">
        <f>VLOOKUP(E1577,基础信息!C:E,3,FALSE)</f>
        <v>#N/A</v>
      </c>
    </row>
    <row r="1578" customHeight="1" spans="8:8">
      <c r="H1578" s="39" t="e">
        <f>VLOOKUP(E1578,基础信息!C:E,3,FALSE)</f>
        <v>#N/A</v>
      </c>
    </row>
    <row r="1579" customHeight="1" spans="8:8">
      <c r="H1579" s="39" t="e">
        <f>VLOOKUP(E1579,基础信息!C:E,3,FALSE)</f>
        <v>#N/A</v>
      </c>
    </row>
    <row r="1580" customHeight="1" spans="8:8">
      <c r="H1580" s="39" t="e">
        <f>VLOOKUP(E1580,基础信息!C:E,3,FALSE)</f>
        <v>#N/A</v>
      </c>
    </row>
    <row r="1581" customHeight="1" spans="8:8">
      <c r="H1581" s="39" t="e">
        <f>VLOOKUP(E1581,基础信息!C:E,3,FALSE)</f>
        <v>#N/A</v>
      </c>
    </row>
    <row r="1582" customHeight="1" spans="8:8">
      <c r="H1582" s="39" t="e">
        <f>VLOOKUP(E1582,基础信息!C:E,3,FALSE)</f>
        <v>#N/A</v>
      </c>
    </row>
    <row r="1583" customHeight="1" spans="8:8">
      <c r="H1583" s="39" t="e">
        <f>VLOOKUP(E1583,基础信息!C:E,3,FALSE)</f>
        <v>#N/A</v>
      </c>
    </row>
    <row r="1584" customHeight="1" spans="8:8">
      <c r="H1584" s="39" t="e">
        <f>VLOOKUP(E1584,基础信息!C:E,3,FALSE)</f>
        <v>#N/A</v>
      </c>
    </row>
    <row r="1585" customHeight="1" spans="8:8">
      <c r="H1585" s="39" t="e">
        <f>VLOOKUP(E1585,基础信息!C:E,3,FALSE)</f>
        <v>#N/A</v>
      </c>
    </row>
    <row r="1586" customHeight="1" spans="8:8">
      <c r="H1586" s="39" t="e">
        <f>VLOOKUP(E1586,基础信息!C:E,3,FALSE)</f>
        <v>#N/A</v>
      </c>
    </row>
    <row r="1587" customHeight="1" spans="8:8">
      <c r="H1587" s="39" t="e">
        <f>VLOOKUP(E1587,基础信息!C:E,3,FALSE)</f>
        <v>#N/A</v>
      </c>
    </row>
    <row r="1588" customHeight="1" spans="8:8">
      <c r="H1588" s="39" t="e">
        <f>VLOOKUP(E1588,基础信息!C:E,3,FALSE)</f>
        <v>#N/A</v>
      </c>
    </row>
    <row r="1589" customHeight="1" spans="8:8">
      <c r="H1589" s="39" t="e">
        <f>VLOOKUP(E1589,基础信息!C:E,3,FALSE)</f>
        <v>#N/A</v>
      </c>
    </row>
    <row r="1590" customHeight="1" spans="8:8">
      <c r="H1590" s="39" t="e">
        <f>VLOOKUP(E1590,基础信息!C:E,3,FALSE)</f>
        <v>#N/A</v>
      </c>
    </row>
    <row r="1591" customHeight="1" spans="8:8">
      <c r="H1591" s="39" t="e">
        <f>VLOOKUP(E1591,基础信息!C:E,3,FALSE)</f>
        <v>#N/A</v>
      </c>
    </row>
    <row r="1592" customHeight="1" spans="8:8">
      <c r="H1592" s="39" t="e">
        <f>VLOOKUP(E1592,基础信息!C:E,3,FALSE)</f>
        <v>#N/A</v>
      </c>
    </row>
    <row r="1593" customHeight="1" spans="8:8">
      <c r="H1593" s="39" t="e">
        <f>VLOOKUP(E1593,基础信息!C:E,3,FALSE)</f>
        <v>#N/A</v>
      </c>
    </row>
    <row r="1594" customHeight="1" spans="8:8">
      <c r="H1594" s="39" t="e">
        <f>VLOOKUP(E1594,基础信息!C:E,3,FALSE)</f>
        <v>#N/A</v>
      </c>
    </row>
    <row r="1595" customHeight="1" spans="8:8">
      <c r="H1595" s="39" t="e">
        <f>VLOOKUP(E1595,基础信息!C:E,3,FALSE)</f>
        <v>#N/A</v>
      </c>
    </row>
    <row r="1596" customHeight="1" spans="8:8">
      <c r="H1596" s="39" t="e">
        <f>VLOOKUP(E1596,基础信息!C:E,3,FALSE)</f>
        <v>#N/A</v>
      </c>
    </row>
    <row r="1597" customHeight="1" spans="8:8">
      <c r="H1597" s="39" t="e">
        <f>VLOOKUP(E1597,基础信息!C:E,3,FALSE)</f>
        <v>#N/A</v>
      </c>
    </row>
    <row r="1598" customHeight="1" spans="8:8">
      <c r="H1598" s="39" t="e">
        <f>VLOOKUP(E1598,基础信息!C:E,3,FALSE)</f>
        <v>#N/A</v>
      </c>
    </row>
    <row r="1599" customHeight="1" spans="8:8">
      <c r="H1599" s="39" t="e">
        <f>VLOOKUP(E1599,基础信息!C:E,3,FALSE)</f>
        <v>#N/A</v>
      </c>
    </row>
    <row r="1600" customHeight="1" spans="8:8">
      <c r="H1600" s="39" t="e">
        <f>VLOOKUP(E1600,基础信息!C:E,3,FALSE)</f>
        <v>#N/A</v>
      </c>
    </row>
    <row r="1601" customHeight="1" spans="8:8">
      <c r="H1601" s="39" t="e">
        <f>VLOOKUP(E1601,基础信息!C:E,3,FALSE)</f>
        <v>#N/A</v>
      </c>
    </row>
    <row r="1602" customHeight="1" spans="8:8">
      <c r="H1602" s="39" t="e">
        <f>VLOOKUP(E1602,基础信息!C:E,3,FALSE)</f>
        <v>#N/A</v>
      </c>
    </row>
    <row r="1603" customHeight="1" spans="8:8">
      <c r="H1603" s="39" t="e">
        <f>VLOOKUP(E1603,基础信息!C:E,3,FALSE)</f>
        <v>#N/A</v>
      </c>
    </row>
    <row r="1604" customHeight="1" spans="8:8">
      <c r="H1604" s="39" t="e">
        <f>VLOOKUP(E1604,基础信息!C:E,3,FALSE)</f>
        <v>#N/A</v>
      </c>
    </row>
    <row r="1605" customHeight="1" spans="8:8">
      <c r="H1605" s="39" t="e">
        <f>VLOOKUP(E1605,基础信息!C:E,3,FALSE)</f>
        <v>#N/A</v>
      </c>
    </row>
    <row r="1606" customHeight="1" spans="8:8">
      <c r="H1606" s="39" t="e">
        <f>VLOOKUP(E1606,基础信息!C:E,3,FALSE)</f>
        <v>#N/A</v>
      </c>
    </row>
    <row r="1607" customHeight="1" spans="8:8">
      <c r="H1607" s="39" t="e">
        <f>VLOOKUP(E1607,基础信息!C:E,3,FALSE)</f>
        <v>#N/A</v>
      </c>
    </row>
    <row r="1608" customHeight="1" spans="8:8">
      <c r="H1608" s="39" t="e">
        <f>VLOOKUP(E1608,基础信息!C:E,3,FALSE)</f>
        <v>#N/A</v>
      </c>
    </row>
    <row r="1609" customHeight="1" spans="8:8">
      <c r="H1609" s="39" t="e">
        <f>VLOOKUP(E1609,基础信息!C:E,3,FALSE)</f>
        <v>#N/A</v>
      </c>
    </row>
    <row r="1610" customHeight="1" spans="8:8">
      <c r="H1610" s="39" t="e">
        <f>VLOOKUP(E1610,基础信息!C:E,3,FALSE)</f>
        <v>#N/A</v>
      </c>
    </row>
    <row r="1611" customHeight="1" spans="8:8">
      <c r="H1611" s="39" t="e">
        <f>VLOOKUP(E1611,基础信息!C:E,3,FALSE)</f>
        <v>#N/A</v>
      </c>
    </row>
    <row r="1612" customHeight="1" spans="8:8">
      <c r="H1612" s="39" t="e">
        <f>VLOOKUP(E1612,基础信息!C:E,3,FALSE)</f>
        <v>#N/A</v>
      </c>
    </row>
    <row r="1613" customHeight="1" spans="8:8">
      <c r="H1613" s="39" t="e">
        <f>VLOOKUP(E1613,基础信息!C:E,3,FALSE)</f>
        <v>#N/A</v>
      </c>
    </row>
    <row r="1614" customHeight="1" spans="8:8">
      <c r="H1614" s="39" t="e">
        <f>VLOOKUP(E1614,基础信息!C:E,3,FALSE)</f>
        <v>#N/A</v>
      </c>
    </row>
    <row r="1615" customHeight="1" spans="8:8">
      <c r="H1615" s="39" t="e">
        <f>VLOOKUP(E1615,基础信息!C:E,3,FALSE)</f>
        <v>#N/A</v>
      </c>
    </row>
    <row r="1616" customHeight="1" spans="8:8">
      <c r="H1616" s="39" t="e">
        <f>VLOOKUP(E1616,基础信息!C:E,3,FALSE)</f>
        <v>#N/A</v>
      </c>
    </row>
    <row r="1617" customHeight="1" spans="8:8">
      <c r="H1617" s="39" t="e">
        <f>VLOOKUP(E1617,基础信息!C:E,3,FALSE)</f>
        <v>#N/A</v>
      </c>
    </row>
    <row r="1618" customHeight="1" spans="8:8">
      <c r="H1618" s="39" t="e">
        <f>VLOOKUP(E1618,基础信息!C:E,3,FALSE)</f>
        <v>#N/A</v>
      </c>
    </row>
    <row r="1619" customHeight="1" spans="8:8">
      <c r="H1619" s="39" t="e">
        <f>VLOOKUP(E1619,基础信息!C:E,3,FALSE)</f>
        <v>#N/A</v>
      </c>
    </row>
    <row r="1620" customHeight="1" spans="8:8">
      <c r="H1620" s="39" t="e">
        <f>VLOOKUP(E1620,基础信息!C:E,3,FALSE)</f>
        <v>#N/A</v>
      </c>
    </row>
    <row r="1621" customHeight="1" spans="8:8">
      <c r="H1621" s="39" t="e">
        <f>VLOOKUP(E1621,基础信息!C:E,3,FALSE)</f>
        <v>#N/A</v>
      </c>
    </row>
    <row r="1622" customHeight="1" spans="8:8">
      <c r="H1622" s="39" t="e">
        <f>VLOOKUP(E1622,基础信息!C:E,3,FALSE)</f>
        <v>#N/A</v>
      </c>
    </row>
    <row r="1623" customHeight="1" spans="8:8">
      <c r="H1623" s="39" t="e">
        <f>VLOOKUP(E1623,基础信息!C:E,3,FALSE)</f>
        <v>#N/A</v>
      </c>
    </row>
    <row r="1624" customHeight="1" spans="8:8">
      <c r="H1624" s="39" t="e">
        <f>VLOOKUP(E1624,基础信息!C:E,3,FALSE)</f>
        <v>#N/A</v>
      </c>
    </row>
    <row r="1625" customHeight="1" spans="8:8">
      <c r="H1625" s="39" t="e">
        <f>VLOOKUP(E1625,基础信息!C:E,3,FALSE)</f>
        <v>#N/A</v>
      </c>
    </row>
    <row r="1626" customHeight="1" spans="8:8">
      <c r="H1626" s="39" t="e">
        <f>VLOOKUP(E1626,基础信息!C:E,3,FALSE)</f>
        <v>#N/A</v>
      </c>
    </row>
    <row r="1627" customHeight="1" spans="8:8">
      <c r="H1627" s="39" t="e">
        <f>VLOOKUP(E1627,基础信息!C:E,3,FALSE)</f>
        <v>#N/A</v>
      </c>
    </row>
    <row r="1628" customHeight="1" spans="8:8">
      <c r="H1628" s="39" t="e">
        <f>VLOOKUP(E1628,基础信息!C:E,3,FALSE)</f>
        <v>#N/A</v>
      </c>
    </row>
    <row r="1629" customHeight="1" spans="8:8">
      <c r="H1629" s="39" t="e">
        <f>VLOOKUP(E1629,基础信息!C:E,3,FALSE)</f>
        <v>#N/A</v>
      </c>
    </row>
    <row r="1630" customHeight="1" spans="8:8">
      <c r="H1630" s="39" t="e">
        <f>VLOOKUP(E1630,基础信息!C:E,3,FALSE)</f>
        <v>#N/A</v>
      </c>
    </row>
    <row r="1631" customHeight="1" spans="8:8">
      <c r="H1631" s="39" t="e">
        <f>VLOOKUP(E1631,基础信息!C:E,3,FALSE)</f>
        <v>#N/A</v>
      </c>
    </row>
    <row r="1632" customHeight="1" spans="8:8">
      <c r="H1632" s="39" t="e">
        <f>VLOOKUP(E1632,基础信息!C:E,3,FALSE)</f>
        <v>#N/A</v>
      </c>
    </row>
    <row r="1633" customHeight="1" spans="8:8">
      <c r="H1633" s="39" t="e">
        <f>VLOOKUP(E1633,基础信息!C:E,3,FALSE)</f>
        <v>#N/A</v>
      </c>
    </row>
    <row r="1634" customHeight="1" spans="8:8">
      <c r="H1634" s="39" t="e">
        <f>VLOOKUP(E1634,基础信息!C:E,3,FALSE)</f>
        <v>#N/A</v>
      </c>
    </row>
    <row r="1635" customHeight="1" spans="8:8">
      <c r="H1635" s="39" t="e">
        <f>VLOOKUP(E1635,基础信息!C:E,3,FALSE)</f>
        <v>#N/A</v>
      </c>
    </row>
    <row r="1636" customHeight="1" spans="8:8">
      <c r="H1636" s="39" t="e">
        <f>VLOOKUP(E1636,基础信息!C:E,3,FALSE)</f>
        <v>#N/A</v>
      </c>
    </row>
    <row r="1637" customHeight="1" spans="8:8">
      <c r="H1637" s="39" t="e">
        <f>VLOOKUP(E1637,基础信息!C:E,3,FALSE)</f>
        <v>#N/A</v>
      </c>
    </row>
    <row r="1638" customHeight="1" spans="8:8">
      <c r="H1638" s="39" t="e">
        <f>VLOOKUP(E1638,基础信息!C:E,3,FALSE)</f>
        <v>#N/A</v>
      </c>
    </row>
    <row r="1639" customHeight="1" spans="8:8">
      <c r="H1639" s="39" t="e">
        <f>VLOOKUP(E1639,基础信息!C:E,3,FALSE)</f>
        <v>#N/A</v>
      </c>
    </row>
    <row r="1640" customHeight="1" spans="8:8">
      <c r="H1640" s="39" t="e">
        <f>VLOOKUP(E1640,基础信息!C:E,3,FALSE)</f>
        <v>#N/A</v>
      </c>
    </row>
    <row r="1641" customHeight="1" spans="8:8">
      <c r="H1641" s="39" t="e">
        <f>VLOOKUP(E1641,基础信息!C:E,3,FALSE)</f>
        <v>#N/A</v>
      </c>
    </row>
    <row r="1642" customHeight="1" spans="8:8">
      <c r="H1642" s="39" t="e">
        <f>VLOOKUP(E1642,基础信息!C:E,3,FALSE)</f>
        <v>#N/A</v>
      </c>
    </row>
    <row r="1643" customHeight="1" spans="8:8">
      <c r="H1643" s="39" t="e">
        <f>VLOOKUP(E1643,基础信息!C:E,3,FALSE)</f>
        <v>#N/A</v>
      </c>
    </row>
    <row r="1644" customHeight="1" spans="8:8">
      <c r="H1644" s="39" t="e">
        <f>VLOOKUP(E1644,基础信息!C:E,3,FALSE)</f>
        <v>#N/A</v>
      </c>
    </row>
    <row r="1645" customHeight="1" spans="8:8">
      <c r="H1645" s="39" t="e">
        <f>VLOOKUP(E1645,基础信息!C:E,3,FALSE)</f>
        <v>#N/A</v>
      </c>
    </row>
    <row r="1646" customHeight="1" spans="8:8">
      <c r="H1646" s="39" t="e">
        <f>VLOOKUP(E1646,基础信息!C:E,3,FALSE)</f>
        <v>#N/A</v>
      </c>
    </row>
    <row r="1647" customHeight="1" spans="8:8">
      <c r="H1647" s="39" t="e">
        <f>VLOOKUP(E1647,基础信息!C:E,3,FALSE)</f>
        <v>#N/A</v>
      </c>
    </row>
    <row r="1648" customHeight="1" spans="8:8">
      <c r="H1648" s="39" t="e">
        <f>VLOOKUP(E1648,基础信息!C:E,3,FALSE)</f>
        <v>#N/A</v>
      </c>
    </row>
    <row r="1649" customHeight="1" spans="8:8">
      <c r="H1649" s="39" t="e">
        <f>VLOOKUP(E1649,基础信息!C:E,3,FALSE)</f>
        <v>#N/A</v>
      </c>
    </row>
    <row r="1650" customHeight="1" spans="8:8">
      <c r="H1650" s="39" t="e">
        <f>VLOOKUP(E1650,基础信息!C:E,3,FALSE)</f>
        <v>#N/A</v>
      </c>
    </row>
    <row r="1651" customHeight="1" spans="8:8">
      <c r="H1651" s="39" t="e">
        <f>VLOOKUP(E1651,基础信息!C:E,3,FALSE)</f>
        <v>#N/A</v>
      </c>
    </row>
    <row r="1652" customHeight="1" spans="8:8">
      <c r="H1652" s="39" t="e">
        <f>VLOOKUP(E1652,基础信息!C:E,3,FALSE)</f>
        <v>#N/A</v>
      </c>
    </row>
    <row r="1653" customHeight="1" spans="8:8">
      <c r="H1653" s="39" t="e">
        <f>VLOOKUP(E1653,基础信息!C:E,3,FALSE)</f>
        <v>#N/A</v>
      </c>
    </row>
    <row r="1654" customHeight="1" spans="8:8">
      <c r="H1654" s="39" t="e">
        <f>VLOOKUP(E1654,基础信息!C:E,3,FALSE)</f>
        <v>#N/A</v>
      </c>
    </row>
    <row r="1655" customHeight="1" spans="8:8">
      <c r="H1655" s="39" t="e">
        <f>VLOOKUP(E1655,基础信息!C:E,3,FALSE)</f>
        <v>#N/A</v>
      </c>
    </row>
    <row r="1656" customHeight="1" spans="8:8">
      <c r="H1656" s="39" t="e">
        <f>VLOOKUP(E1656,基础信息!C:E,3,FALSE)</f>
        <v>#N/A</v>
      </c>
    </row>
    <row r="1657" customHeight="1" spans="8:8">
      <c r="H1657" s="39" t="e">
        <f>VLOOKUP(E1657,基础信息!C:E,3,FALSE)</f>
        <v>#N/A</v>
      </c>
    </row>
    <row r="1658" customHeight="1" spans="8:8">
      <c r="H1658" s="39" t="e">
        <f>VLOOKUP(E1658,基础信息!C:E,3,FALSE)</f>
        <v>#N/A</v>
      </c>
    </row>
    <row r="1659" customHeight="1" spans="8:8">
      <c r="H1659" s="39" t="e">
        <f>VLOOKUP(E1659,基础信息!C:E,3,FALSE)</f>
        <v>#N/A</v>
      </c>
    </row>
    <row r="1660" customHeight="1" spans="8:8">
      <c r="H1660" s="39" t="e">
        <f>VLOOKUP(E1660,基础信息!C:E,3,FALSE)</f>
        <v>#N/A</v>
      </c>
    </row>
    <row r="1661" customHeight="1" spans="8:8">
      <c r="H1661" s="39" t="e">
        <f>VLOOKUP(E1661,基础信息!C:E,3,FALSE)</f>
        <v>#N/A</v>
      </c>
    </row>
    <row r="1662" customHeight="1" spans="8:8">
      <c r="H1662" s="39" t="e">
        <f>VLOOKUP(E1662,基础信息!C:E,3,FALSE)</f>
        <v>#N/A</v>
      </c>
    </row>
    <row r="1663" customHeight="1" spans="8:8">
      <c r="H1663" s="39" t="e">
        <f>VLOOKUP(E1663,基础信息!C:E,3,FALSE)</f>
        <v>#N/A</v>
      </c>
    </row>
    <row r="1664" customHeight="1" spans="8:8">
      <c r="H1664" s="39" t="e">
        <f>VLOOKUP(E1664,基础信息!C:E,3,FALSE)</f>
        <v>#N/A</v>
      </c>
    </row>
    <row r="1665" customHeight="1" spans="8:8">
      <c r="H1665" s="39" t="e">
        <f>VLOOKUP(E1665,基础信息!C:E,3,FALSE)</f>
        <v>#N/A</v>
      </c>
    </row>
    <row r="1666" customHeight="1" spans="8:8">
      <c r="H1666" s="39" t="e">
        <f>VLOOKUP(E1666,基础信息!C:E,3,FALSE)</f>
        <v>#N/A</v>
      </c>
    </row>
    <row r="1667" customHeight="1" spans="8:8">
      <c r="H1667" s="39" t="e">
        <f>VLOOKUP(E1667,基础信息!C:E,3,FALSE)</f>
        <v>#N/A</v>
      </c>
    </row>
    <row r="1668" customHeight="1" spans="8:8">
      <c r="H1668" s="39" t="e">
        <f>VLOOKUP(E1668,基础信息!C:E,3,FALSE)</f>
        <v>#N/A</v>
      </c>
    </row>
    <row r="1669" customHeight="1" spans="8:8">
      <c r="H1669" s="39" t="e">
        <f>VLOOKUP(E1669,基础信息!C:E,3,FALSE)</f>
        <v>#N/A</v>
      </c>
    </row>
    <row r="1670" customHeight="1" spans="8:8">
      <c r="H1670" s="39" t="e">
        <f>VLOOKUP(E1670,基础信息!C:E,3,FALSE)</f>
        <v>#N/A</v>
      </c>
    </row>
    <row r="1671" customHeight="1" spans="8:8">
      <c r="H1671" s="39" t="e">
        <f>VLOOKUP(E1671,基础信息!C:E,3,FALSE)</f>
        <v>#N/A</v>
      </c>
    </row>
    <row r="1672" customHeight="1" spans="8:8">
      <c r="H1672" s="39" t="e">
        <f>VLOOKUP(E1672,基础信息!C:E,3,FALSE)</f>
        <v>#N/A</v>
      </c>
    </row>
    <row r="1673" customHeight="1" spans="8:8">
      <c r="H1673" s="39" t="e">
        <f>VLOOKUP(E1673,基础信息!C:E,3,FALSE)</f>
        <v>#N/A</v>
      </c>
    </row>
    <row r="1674" customHeight="1" spans="8:8">
      <c r="H1674" s="39" t="e">
        <f>VLOOKUP(E1674,基础信息!C:E,3,FALSE)</f>
        <v>#N/A</v>
      </c>
    </row>
    <row r="1675" customHeight="1" spans="8:8">
      <c r="H1675" s="39" t="e">
        <f>VLOOKUP(E1675,基础信息!C:E,3,FALSE)</f>
        <v>#N/A</v>
      </c>
    </row>
    <row r="1676" customHeight="1" spans="8:8">
      <c r="H1676" s="39" t="e">
        <f>VLOOKUP(E1676,基础信息!C:E,3,FALSE)</f>
        <v>#N/A</v>
      </c>
    </row>
    <row r="1677" customHeight="1" spans="8:8">
      <c r="H1677" s="39" t="e">
        <f>VLOOKUP(E1677,基础信息!C:E,3,FALSE)</f>
        <v>#N/A</v>
      </c>
    </row>
    <row r="1678" customHeight="1" spans="8:8">
      <c r="H1678" s="39" t="e">
        <f>VLOOKUP(E1678,基础信息!C:E,3,FALSE)</f>
        <v>#N/A</v>
      </c>
    </row>
    <row r="1679" customHeight="1" spans="8:8">
      <c r="H1679" s="39" t="e">
        <f>VLOOKUP(E1679,基础信息!C:E,3,FALSE)</f>
        <v>#N/A</v>
      </c>
    </row>
    <row r="1680" customHeight="1" spans="8:8">
      <c r="H1680" s="39" t="e">
        <f>VLOOKUP(E1680,基础信息!C:E,3,FALSE)</f>
        <v>#N/A</v>
      </c>
    </row>
    <row r="1681" customHeight="1" spans="8:8">
      <c r="H1681" s="39" t="e">
        <f>VLOOKUP(E1681,基础信息!C:E,3,FALSE)</f>
        <v>#N/A</v>
      </c>
    </row>
    <row r="1682" customHeight="1" spans="8:8">
      <c r="H1682" s="39" t="e">
        <f>VLOOKUP(E1682,基础信息!C:E,3,FALSE)</f>
        <v>#N/A</v>
      </c>
    </row>
    <row r="1683" customHeight="1" spans="8:8">
      <c r="H1683" s="39" t="e">
        <f>VLOOKUP(E1683,基础信息!C:E,3,FALSE)</f>
        <v>#N/A</v>
      </c>
    </row>
    <row r="1684" customHeight="1" spans="8:8">
      <c r="H1684" s="39" t="e">
        <f>VLOOKUP(E1684,基础信息!C:E,3,FALSE)</f>
        <v>#N/A</v>
      </c>
    </row>
    <row r="1685" customHeight="1" spans="8:8">
      <c r="H1685" s="39" t="e">
        <f>VLOOKUP(E1685,基础信息!C:E,3,FALSE)</f>
        <v>#N/A</v>
      </c>
    </row>
    <row r="1686" customHeight="1" spans="8:8">
      <c r="H1686" s="39" t="e">
        <f>VLOOKUP(E1686,基础信息!C:E,3,FALSE)</f>
        <v>#N/A</v>
      </c>
    </row>
    <row r="1687" customHeight="1" spans="8:8">
      <c r="H1687" s="39" t="e">
        <f>VLOOKUP(E1687,基础信息!C:E,3,FALSE)</f>
        <v>#N/A</v>
      </c>
    </row>
    <row r="1688" customHeight="1" spans="8:8">
      <c r="H1688" s="39" t="e">
        <f>VLOOKUP(E1688,基础信息!C:E,3,FALSE)</f>
        <v>#N/A</v>
      </c>
    </row>
    <row r="1689" customHeight="1" spans="8:8">
      <c r="H1689" s="39" t="e">
        <f>VLOOKUP(E1689,基础信息!C:E,3,FALSE)</f>
        <v>#N/A</v>
      </c>
    </row>
    <row r="1690" customHeight="1" spans="8:8">
      <c r="H1690" s="39" t="e">
        <f>VLOOKUP(E1690,基础信息!C:E,3,FALSE)</f>
        <v>#N/A</v>
      </c>
    </row>
    <row r="1691" customHeight="1" spans="8:8">
      <c r="H1691" s="39" t="e">
        <f>VLOOKUP(E1691,基础信息!C:E,3,FALSE)</f>
        <v>#N/A</v>
      </c>
    </row>
    <row r="1692" customHeight="1" spans="8:8">
      <c r="H1692" s="39" t="e">
        <f>VLOOKUP(E1692,基础信息!C:E,3,FALSE)</f>
        <v>#N/A</v>
      </c>
    </row>
    <row r="1693" customHeight="1" spans="8:8">
      <c r="H1693" s="39" t="e">
        <f>VLOOKUP(E1693,基础信息!C:E,3,FALSE)</f>
        <v>#N/A</v>
      </c>
    </row>
    <row r="1694" customHeight="1" spans="8:8">
      <c r="H1694" s="39" t="e">
        <f>VLOOKUP(E1694,基础信息!C:E,3,FALSE)</f>
        <v>#N/A</v>
      </c>
    </row>
    <row r="1695" customHeight="1" spans="8:8">
      <c r="H1695" s="39" t="e">
        <f>VLOOKUP(E1695,基础信息!C:E,3,FALSE)</f>
        <v>#N/A</v>
      </c>
    </row>
    <row r="1696" customHeight="1" spans="8:8">
      <c r="H1696" s="39" t="e">
        <f>VLOOKUP(E1696,基础信息!C:E,3,FALSE)</f>
        <v>#N/A</v>
      </c>
    </row>
    <row r="1697" customHeight="1" spans="8:8">
      <c r="H1697" s="39" t="e">
        <f>VLOOKUP(E1697,基础信息!C:E,3,FALSE)</f>
        <v>#N/A</v>
      </c>
    </row>
    <row r="1698" customHeight="1" spans="8:8">
      <c r="H1698" s="39" t="e">
        <f>VLOOKUP(E1698,基础信息!C:E,3,FALSE)</f>
        <v>#N/A</v>
      </c>
    </row>
    <row r="1699" customHeight="1" spans="8:8">
      <c r="H1699" s="39" t="e">
        <f>VLOOKUP(E1699,基础信息!C:E,3,FALSE)</f>
        <v>#N/A</v>
      </c>
    </row>
    <row r="1700" customHeight="1" spans="8:8">
      <c r="H1700" s="39" t="e">
        <f>VLOOKUP(E1700,基础信息!C:E,3,FALSE)</f>
        <v>#N/A</v>
      </c>
    </row>
    <row r="1701" customHeight="1" spans="8:8">
      <c r="H1701" s="39" t="e">
        <f>VLOOKUP(E1701,基础信息!C:E,3,FALSE)</f>
        <v>#N/A</v>
      </c>
    </row>
    <row r="1702" customHeight="1" spans="8:8">
      <c r="H1702" s="39" t="e">
        <f>VLOOKUP(E1702,基础信息!C:E,3,FALSE)</f>
        <v>#N/A</v>
      </c>
    </row>
    <row r="1703" customHeight="1" spans="8:8">
      <c r="H1703" s="39" t="e">
        <f>VLOOKUP(E1703,基础信息!C:E,3,FALSE)</f>
        <v>#N/A</v>
      </c>
    </row>
    <row r="1704" customHeight="1" spans="8:8">
      <c r="H1704" s="39" t="e">
        <f>VLOOKUP(E1704,基础信息!C:E,3,FALSE)</f>
        <v>#N/A</v>
      </c>
    </row>
    <row r="1705" customHeight="1" spans="8:8">
      <c r="H1705" s="39" t="e">
        <f>VLOOKUP(E1705,基础信息!C:E,3,FALSE)</f>
        <v>#N/A</v>
      </c>
    </row>
    <row r="1706" customHeight="1" spans="8:8">
      <c r="H1706" s="39" t="e">
        <f>VLOOKUP(E1706,基础信息!C:E,3,FALSE)</f>
        <v>#N/A</v>
      </c>
    </row>
    <row r="1707" customHeight="1" spans="8:8">
      <c r="H1707" s="39" t="e">
        <f>VLOOKUP(E1707,基础信息!C:E,3,FALSE)</f>
        <v>#N/A</v>
      </c>
    </row>
    <row r="1708" customHeight="1" spans="8:8">
      <c r="H1708" s="39" t="e">
        <f>VLOOKUP(E1708,基础信息!C:E,3,FALSE)</f>
        <v>#N/A</v>
      </c>
    </row>
    <row r="1709" customHeight="1" spans="8:8">
      <c r="H1709" s="39" t="e">
        <f>VLOOKUP(E1709,基础信息!C:E,3,FALSE)</f>
        <v>#N/A</v>
      </c>
    </row>
    <row r="1710" customHeight="1" spans="8:8">
      <c r="H1710" s="39" t="e">
        <f>VLOOKUP(E1710,基础信息!C:E,3,FALSE)</f>
        <v>#N/A</v>
      </c>
    </row>
    <row r="1711" customHeight="1" spans="8:8">
      <c r="H1711" s="39" t="e">
        <f>VLOOKUP(E1711,基础信息!C:E,3,FALSE)</f>
        <v>#N/A</v>
      </c>
    </row>
    <row r="1712" customHeight="1" spans="8:8">
      <c r="H1712" s="39" t="e">
        <f>VLOOKUP(E1712,基础信息!C:E,3,FALSE)</f>
        <v>#N/A</v>
      </c>
    </row>
    <row r="1713" customHeight="1" spans="8:8">
      <c r="H1713" s="39" t="e">
        <f>VLOOKUP(E1713,基础信息!C:E,3,FALSE)</f>
        <v>#N/A</v>
      </c>
    </row>
    <row r="1714" customHeight="1" spans="8:8">
      <c r="H1714" s="39" t="e">
        <f>VLOOKUP(E1714,基础信息!C:E,3,FALSE)</f>
        <v>#N/A</v>
      </c>
    </row>
    <row r="1715" customHeight="1" spans="8:8">
      <c r="H1715" s="39" t="e">
        <f>VLOOKUP(E1715,基础信息!C:E,3,FALSE)</f>
        <v>#N/A</v>
      </c>
    </row>
    <row r="1716" customHeight="1" spans="8:8">
      <c r="H1716" s="39" t="e">
        <f>VLOOKUP(E1716,基础信息!C:E,3,FALSE)</f>
        <v>#N/A</v>
      </c>
    </row>
    <row r="1717" customHeight="1" spans="8:8">
      <c r="H1717" s="39" t="e">
        <f>VLOOKUP(E1717,基础信息!C:E,3,FALSE)</f>
        <v>#N/A</v>
      </c>
    </row>
    <row r="1718" customHeight="1" spans="8:8">
      <c r="H1718" s="39" t="e">
        <f>VLOOKUP(E1718,基础信息!C:E,3,FALSE)</f>
        <v>#N/A</v>
      </c>
    </row>
    <row r="1719" customHeight="1" spans="8:8">
      <c r="H1719" s="39" t="e">
        <f>VLOOKUP(E1719,基础信息!C:E,3,FALSE)</f>
        <v>#N/A</v>
      </c>
    </row>
    <row r="1720" customHeight="1" spans="8:8">
      <c r="H1720" s="39" t="e">
        <f>VLOOKUP(E1720,基础信息!C:E,3,FALSE)</f>
        <v>#N/A</v>
      </c>
    </row>
    <row r="1721" customHeight="1" spans="8:8">
      <c r="H1721" s="39" t="e">
        <f>VLOOKUP(E1721,基础信息!C:E,3,FALSE)</f>
        <v>#N/A</v>
      </c>
    </row>
    <row r="1722" customHeight="1" spans="8:8">
      <c r="H1722" s="39" t="e">
        <f>VLOOKUP(E1722,基础信息!C:E,3,FALSE)</f>
        <v>#N/A</v>
      </c>
    </row>
    <row r="1723" customHeight="1" spans="8:8">
      <c r="H1723" s="39" t="e">
        <f>VLOOKUP(E1723,基础信息!C:E,3,FALSE)</f>
        <v>#N/A</v>
      </c>
    </row>
    <row r="1724" customHeight="1" spans="8:8">
      <c r="H1724" s="39" t="e">
        <f>VLOOKUP(E1724,基础信息!C:E,3,FALSE)</f>
        <v>#N/A</v>
      </c>
    </row>
    <row r="1725" customHeight="1" spans="8:8">
      <c r="H1725" s="39" t="e">
        <f>VLOOKUP(E1725,基础信息!C:E,3,FALSE)</f>
        <v>#N/A</v>
      </c>
    </row>
    <row r="1726" customHeight="1" spans="8:8">
      <c r="H1726" s="39" t="e">
        <f>VLOOKUP(E1726,基础信息!C:E,3,FALSE)</f>
        <v>#N/A</v>
      </c>
    </row>
    <row r="1727" customHeight="1" spans="8:8">
      <c r="H1727" s="39" t="e">
        <f>VLOOKUP(E1727,基础信息!C:E,3,FALSE)</f>
        <v>#N/A</v>
      </c>
    </row>
    <row r="1728" customHeight="1" spans="8:8">
      <c r="H1728" s="39" t="e">
        <f>VLOOKUP(E1728,基础信息!C:E,3,FALSE)</f>
        <v>#N/A</v>
      </c>
    </row>
    <row r="1729" customHeight="1" spans="8:8">
      <c r="H1729" s="39" t="e">
        <f>VLOOKUP(E1729,基础信息!C:E,3,FALSE)</f>
        <v>#N/A</v>
      </c>
    </row>
    <row r="1730" customHeight="1" spans="8:8">
      <c r="H1730" s="39" t="e">
        <f>VLOOKUP(E1730,基础信息!C:E,3,FALSE)</f>
        <v>#N/A</v>
      </c>
    </row>
    <row r="1731" customHeight="1" spans="8:8">
      <c r="H1731" s="39" t="e">
        <f>VLOOKUP(E1731,基础信息!C:E,3,FALSE)</f>
        <v>#N/A</v>
      </c>
    </row>
    <row r="1732" customHeight="1" spans="8:8">
      <c r="H1732" s="39" t="e">
        <f>VLOOKUP(E1732,基础信息!C:E,3,FALSE)</f>
        <v>#N/A</v>
      </c>
    </row>
    <row r="1733" customHeight="1" spans="8:8">
      <c r="H1733" s="39" t="e">
        <f>VLOOKUP(E1733,基础信息!C:E,3,FALSE)</f>
        <v>#N/A</v>
      </c>
    </row>
    <row r="1734" customHeight="1" spans="8:8">
      <c r="H1734" s="39" t="e">
        <f>VLOOKUP(E1734,基础信息!C:E,3,FALSE)</f>
        <v>#N/A</v>
      </c>
    </row>
    <row r="1735" customHeight="1" spans="8:8">
      <c r="H1735" s="39" t="e">
        <f>VLOOKUP(E1735,基础信息!C:E,3,FALSE)</f>
        <v>#N/A</v>
      </c>
    </row>
    <row r="1736" customHeight="1" spans="8:8">
      <c r="H1736" s="39" t="e">
        <f>VLOOKUP(E1736,基础信息!C:E,3,FALSE)</f>
        <v>#N/A</v>
      </c>
    </row>
    <row r="1737" customHeight="1" spans="8:8">
      <c r="H1737" s="39" t="e">
        <f>VLOOKUP(E1737,基础信息!C:E,3,FALSE)</f>
        <v>#N/A</v>
      </c>
    </row>
    <row r="1738" customHeight="1" spans="8:8">
      <c r="H1738" s="39" t="e">
        <f>VLOOKUP(E1738,基础信息!C:E,3,FALSE)</f>
        <v>#N/A</v>
      </c>
    </row>
    <row r="1739" customHeight="1" spans="8:8">
      <c r="H1739" s="39" t="e">
        <f>VLOOKUP(E1739,基础信息!C:E,3,FALSE)</f>
        <v>#N/A</v>
      </c>
    </row>
    <row r="1740" customHeight="1" spans="8:8">
      <c r="H1740" s="39" t="e">
        <f>VLOOKUP(E1740,基础信息!C:E,3,FALSE)</f>
        <v>#N/A</v>
      </c>
    </row>
    <row r="1741" customHeight="1" spans="8:8">
      <c r="H1741" s="39" t="e">
        <f>VLOOKUP(E1741,基础信息!C:E,3,FALSE)</f>
        <v>#N/A</v>
      </c>
    </row>
    <row r="1742" customHeight="1" spans="8:8">
      <c r="H1742" s="39" t="e">
        <f>VLOOKUP(E1742,基础信息!C:E,3,FALSE)</f>
        <v>#N/A</v>
      </c>
    </row>
    <row r="1743" customHeight="1" spans="8:8">
      <c r="H1743" s="39" t="e">
        <f>VLOOKUP(E1743,基础信息!C:E,3,FALSE)</f>
        <v>#N/A</v>
      </c>
    </row>
    <row r="1744" customHeight="1" spans="8:8">
      <c r="H1744" s="39" t="e">
        <f>VLOOKUP(E1744,基础信息!C:E,3,FALSE)</f>
        <v>#N/A</v>
      </c>
    </row>
    <row r="1745" customHeight="1" spans="8:8">
      <c r="H1745" s="39" t="e">
        <f>VLOOKUP(E1745,基础信息!C:E,3,FALSE)</f>
        <v>#N/A</v>
      </c>
    </row>
    <row r="1746" customHeight="1" spans="8:8">
      <c r="H1746" s="39" t="e">
        <f>VLOOKUP(E1746,基础信息!C:E,3,FALSE)</f>
        <v>#N/A</v>
      </c>
    </row>
    <row r="1747" customHeight="1" spans="8:8">
      <c r="H1747" s="39" t="e">
        <f>VLOOKUP(E1747,基础信息!C:E,3,FALSE)</f>
        <v>#N/A</v>
      </c>
    </row>
    <row r="1748" customHeight="1" spans="8:8">
      <c r="H1748" s="39" t="e">
        <f>VLOOKUP(E1748,基础信息!C:E,3,FALSE)</f>
        <v>#N/A</v>
      </c>
    </row>
    <row r="1749" customHeight="1" spans="8:8">
      <c r="H1749" s="39" t="e">
        <f>VLOOKUP(E1749,基础信息!C:E,3,FALSE)</f>
        <v>#N/A</v>
      </c>
    </row>
    <row r="1750" customHeight="1" spans="8:8">
      <c r="H1750" s="39" t="e">
        <f>VLOOKUP(E1750,基础信息!C:E,3,FALSE)</f>
        <v>#N/A</v>
      </c>
    </row>
    <row r="1751" customHeight="1" spans="8:8">
      <c r="H1751" s="39" t="e">
        <f>VLOOKUP(E1751,基础信息!C:E,3,FALSE)</f>
        <v>#N/A</v>
      </c>
    </row>
    <row r="1752" customHeight="1" spans="8:8">
      <c r="H1752" s="39" t="e">
        <f>VLOOKUP(E1752,基础信息!C:E,3,FALSE)</f>
        <v>#N/A</v>
      </c>
    </row>
    <row r="1753" customHeight="1" spans="8:8">
      <c r="H1753" s="39" t="e">
        <f>VLOOKUP(E1753,基础信息!C:E,3,FALSE)</f>
        <v>#N/A</v>
      </c>
    </row>
    <row r="1754" customHeight="1" spans="8:8">
      <c r="H1754" s="39" t="e">
        <f>VLOOKUP(E1754,基础信息!C:E,3,FALSE)</f>
        <v>#N/A</v>
      </c>
    </row>
    <row r="1755" customHeight="1" spans="8:8">
      <c r="H1755" s="39" t="e">
        <f>VLOOKUP(E1755,基础信息!C:E,3,FALSE)</f>
        <v>#N/A</v>
      </c>
    </row>
    <row r="1756" customHeight="1" spans="8:8">
      <c r="H1756" s="39" t="e">
        <f>VLOOKUP(E1756,基础信息!C:E,3,FALSE)</f>
        <v>#N/A</v>
      </c>
    </row>
    <row r="1757" customHeight="1" spans="8:8">
      <c r="H1757" s="39" t="e">
        <f>VLOOKUP(E1757,基础信息!C:E,3,FALSE)</f>
        <v>#N/A</v>
      </c>
    </row>
    <row r="1758" customHeight="1" spans="8:8">
      <c r="H1758" s="39" t="e">
        <f>VLOOKUP(E1758,基础信息!C:E,3,FALSE)</f>
        <v>#N/A</v>
      </c>
    </row>
    <row r="1759" customHeight="1" spans="8:8">
      <c r="H1759" s="39" t="e">
        <f>VLOOKUP(E1759,基础信息!C:E,3,FALSE)</f>
        <v>#N/A</v>
      </c>
    </row>
    <row r="1760" customHeight="1" spans="8:8">
      <c r="H1760" s="39" t="e">
        <f>VLOOKUP(E1760,基础信息!C:E,3,FALSE)</f>
        <v>#N/A</v>
      </c>
    </row>
    <row r="1761" customHeight="1" spans="8:8">
      <c r="H1761" s="39" t="e">
        <f>VLOOKUP(E1761,基础信息!C:E,3,FALSE)</f>
        <v>#N/A</v>
      </c>
    </row>
    <row r="1762" customHeight="1" spans="8:8">
      <c r="H1762" s="39" t="e">
        <f>VLOOKUP(E1762,基础信息!C:E,3,FALSE)</f>
        <v>#N/A</v>
      </c>
    </row>
    <row r="1763" customHeight="1" spans="8:8">
      <c r="H1763" s="39" t="e">
        <f>VLOOKUP(E1763,基础信息!C:E,3,FALSE)</f>
        <v>#N/A</v>
      </c>
    </row>
    <row r="1764" customHeight="1" spans="8:8">
      <c r="H1764" s="39" t="e">
        <f>VLOOKUP(E1764,基础信息!C:E,3,FALSE)</f>
        <v>#N/A</v>
      </c>
    </row>
    <row r="1765" customHeight="1" spans="8:8">
      <c r="H1765" s="39" t="e">
        <f>VLOOKUP(E1765,基础信息!C:E,3,FALSE)</f>
        <v>#N/A</v>
      </c>
    </row>
    <row r="1766" customHeight="1" spans="8:8">
      <c r="H1766" s="39" t="e">
        <f>VLOOKUP(E1766,基础信息!C:E,3,FALSE)</f>
        <v>#N/A</v>
      </c>
    </row>
    <row r="1767" customHeight="1" spans="8:8">
      <c r="H1767" s="39" t="e">
        <f>VLOOKUP(E1767,基础信息!C:E,3,FALSE)</f>
        <v>#N/A</v>
      </c>
    </row>
    <row r="1768" customHeight="1" spans="8:8">
      <c r="H1768" s="39" t="e">
        <f>VLOOKUP(E1768,基础信息!C:E,3,FALSE)</f>
        <v>#N/A</v>
      </c>
    </row>
    <row r="1769" customHeight="1" spans="8:8">
      <c r="H1769" s="39" t="e">
        <f>VLOOKUP(E1769,基础信息!C:E,3,FALSE)</f>
        <v>#N/A</v>
      </c>
    </row>
    <row r="1770" customHeight="1" spans="8:8">
      <c r="H1770" s="39" t="e">
        <f>VLOOKUP(E1770,基础信息!C:E,3,FALSE)</f>
        <v>#N/A</v>
      </c>
    </row>
    <row r="1771" customHeight="1" spans="8:8">
      <c r="H1771" s="39" t="e">
        <f>VLOOKUP(E1771,基础信息!C:E,3,FALSE)</f>
        <v>#N/A</v>
      </c>
    </row>
    <row r="1772" customHeight="1" spans="8:8">
      <c r="H1772" s="39" t="e">
        <f>VLOOKUP(E1772,基础信息!C:E,3,FALSE)</f>
        <v>#N/A</v>
      </c>
    </row>
    <row r="1773" customHeight="1" spans="8:8">
      <c r="H1773" s="39" t="e">
        <f>VLOOKUP(E1773,基础信息!C:E,3,FALSE)</f>
        <v>#N/A</v>
      </c>
    </row>
    <row r="1774" customHeight="1" spans="8:8">
      <c r="H1774" s="39" t="e">
        <f>VLOOKUP(E1774,基础信息!C:E,3,FALSE)</f>
        <v>#N/A</v>
      </c>
    </row>
    <row r="1775" customHeight="1" spans="8:8">
      <c r="H1775" s="39" t="e">
        <f>VLOOKUP(E1775,基础信息!C:E,3,FALSE)</f>
        <v>#N/A</v>
      </c>
    </row>
    <row r="1776" customHeight="1" spans="8:8">
      <c r="H1776" s="39" t="e">
        <f>VLOOKUP(E1776,基础信息!C:E,3,FALSE)</f>
        <v>#N/A</v>
      </c>
    </row>
    <row r="1777" customHeight="1" spans="8:8">
      <c r="H1777" s="39" t="e">
        <f>VLOOKUP(E1777,基础信息!C:E,3,FALSE)</f>
        <v>#N/A</v>
      </c>
    </row>
    <row r="1778" customHeight="1" spans="8:8">
      <c r="H1778" s="39" t="e">
        <f>VLOOKUP(E1778,基础信息!C:E,3,FALSE)</f>
        <v>#N/A</v>
      </c>
    </row>
    <row r="1779" customHeight="1" spans="8:8">
      <c r="H1779" s="39" t="e">
        <f>VLOOKUP(E1779,基础信息!C:E,3,FALSE)</f>
        <v>#N/A</v>
      </c>
    </row>
    <row r="1780" customHeight="1" spans="8:8">
      <c r="H1780" s="39" t="e">
        <f>VLOOKUP(E1780,基础信息!C:E,3,FALSE)</f>
        <v>#N/A</v>
      </c>
    </row>
    <row r="1781" customHeight="1" spans="8:8">
      <c r="H1781" s="39" t="e">
        <f>VLOOKUP(E1781,基础信息!C:E,3,FALSE)</f>
        <v>#N/A</v>
      </c>
    </row>
    <row r="1782" customHeight="1" spans="8:8">
      <c r="H1782" s="39" t="e">
        <f>VLOOKUP(E1782,基础信息!C:E,3,FALSE)</f>
        <v>#N/A</v>
      </c>
    </row>
    <row r="1783" customHeight="1" spans="8:8">
      <c r="H1783" s="39" t="e">
        <f>VLOOKUP(E1783,基础信息!C:E,3,FALSE)</f>
        <v>#N/A</v>
      </c>
    </row>
    <row r="1784" customHeight="1" spans="8:8">
      <c r="H1784" s="39" t="e">
        <f>VLOOKUP(E1784,基础信息!C:E,3,FALSE)</f>
        <v>#N/A</v>
      </c>
    </row>
    <row r="1785" customHeight="1" spans="8:8">
      <c r="H1785" s="39" t="e">
        <f>VLOOKUP(E1785,基础信息!C:E,3,FALSE)</f>
        <v>#N/A</v>
      </c>
    </row>
    <row r="1786" customHeight="1" spans="8:8">
      <c r="H1786" s="39" t="e">
        <f>VLOOKUP(E1786,基础信息!C:E,3,FALSE)</f>
        <v>#N/A</v>
      </c>
    </row>
    <row r="1787" customHeight="1" spans="8:8">
      <c r="H1787" s="39" t="e">
        <f>VLOOKUP(E1787,基础信息!C:E,3,FALSE)</f>
        <v>#N/A</v>
      </c>
    </row>
    <row r="1788" customHeight="1" spans="8:8">
      <c r="H1788" s="39" t="e">
        <f>VLOOKUP(E1788,基础信息!C:E,3,FALSE)</f>
        <v>#N/A</v>
      </c>
    </row>
    <row r="1789" customHeight="1" spans="8:8">
      <c r="H1789" s="39" t="e">
        <f>VLOOKUP(E1789,基础信息!C:E,3,FALSE)</f>
        <v>#N/A</v>
      </c>
    </row>
    <row r="1790" customHeight="1" spans="8:8">
      <c r="H1790" s="39" t="e">
        <f>VLOOKUP(E1790,基础信息!C:E,3,FALSE)</f>
        <v>#N/A</v>
      </c>
    </row>
    <row r="1791" customHeight="1" spans="8:8">
      <c r="H1791" s="39" t="e">
        <f>VLOOKUP(E1791,基础信息!C:E,3,FALSE)</f>
        <v>#N/A</v>
      </c>
    </row>
    <row r="1792" customHeight="1" spans="8:8">
      <c r="H1792" s="39" t="e">
        <f>VLOOKUP(E1792,基础信息!C:E,3,FALSE)</f>
        <v>#N/A</v>
      </c>
    </row>
    <row r="1793" customHeight="1" spans="8:8">
      <c r="H1793" s="39" t="e">
        <f>VLOOKUP(E1793,基础信息!C:E,3,FALSE)</f>
        <v>#N/A</v>
      </c>
    </row>
    <row r="1794" customHeight="1" spans="8:8">
      <c r="H1794" s="39" t="e">
        <f>VLOOKUP(E1794,基础信息!C:E,3,FALSE)</f>
        <v>#N/A</v>
      </c>
    </row>
    <row r="1795" customHeight="1" spans="8:8">
      <c r="H1795" s="39" t="e">
        <f>VLOOKUP(E1795,基础信息!C:E,3,FALSE)</f>
        <v>#N/A</v>
      </c>
    </row>
    <row r="1796" customHeight="1" spans="8:8">
      <c r="H1796" s="39" t="e">
        <f>VLOOKUP(E1796,基础信息!C:E,3,FALSE)</f>
        <v>#N/A</v>
      </c>
    </row>
    <row r="1797" customHeight="1" spans="8:8">
      <c r="H1797" s="39" t="e">
        <f>VLOOKUP(E1797,基础信息!C:E,3,FALSE)</f>
        <v>#N/A</v>
      </c>
    </row>
    <row r="1798" customHeight="1" spans="8:8">
      <c r="H1798" s="39" t="e">
        <f>VLOOKUP(E1798,基础信息!C:E,3,FALSE)</f>
        <v>#N/A</v>
      </c>
    </row>
    <row r="1799" customHeight="1" spans="8:8">
      <c r="H1799" s="39" t="e">
        <f>VLOOKUP(E1799,基础信息!C:E,3,FALSE)</f>
        <v>#N/A</v>
      </c>
    </row>
    <row r="1800" customHeight="1" spans="8:8">
      <c r="H1800" s="39" t="e">
        <f>VLOOKUP(E1800,基础信息!C:E,3,FALSE)</f>
        <v>#N/A</v>
      </c>
    </row>
    <row r="1801" customHeight="1" spans="8:8">
      <c r="H1801" s="39" t="e">
        <f>VLOOKUP(E1801,基础信息!C:E,3,FALSE)</f>
        <v>#N/A</v>
      </c>
    </row>
    <row r="1802" customHeight="1" spans="8:8">
      <c r="H1802" s="39" t="e">
        <f>VLOOKUP(E1802,基础信息!C:E,3,FALSE)</f>
        <v>#N/A</v>
      </c>
    </row>
    <row r="1803" customHeight="1" spans="8:8">
      <c r="H1803" s="39" t="e">
        <f>VLOOKUP(E1803,基础信息!C:E,3,FALSE)</f>
        <v>#N/A</v>
      </c>
    </row>
    <row r="1804" customHeight="1" spans="8:8">
      <c r="H1804" s="39" t="e">
        <f>VLOOKUP(E1804,基础信息!C:E,3,FALSE)</f>
        <v>#N/A</v>
      </c>
    </row>
    <row r="1805" customHeight="1" spans="8:8">
      <c r="H1805" s="39" t="e">
        <f>VLOOKUP(E1805,基础信息!C:E,3,FALSE)</f>
        <v>#N/A</v>
      </c>
    </row>
    <row r="1806" customHeight="1" spans="8:8">
      <c r="H1806" s="39" t="e">
        <f>VLOOKUP(E1806,基础信息!C:E,3,FALSE)</f>
        <v>#N/A</v>
      </c>
    </row>
    <row r="1807" customHeight="1" spans="8:8">
      <c r="H1807" s="39" t="e">
        <f>VLOOKUP(E1807,基础信息!C:E,3,FALSE)</f>
        <v>#N/A</v>
      </c>
    </row>
    <row r="1808" customHeight="1" spans="8:8">
      <c r="H1808" s="39" t="e">
        <f>VLOOKUP(E1808,基础信息!C:E,3,FALSE)</f>
        <v>#N/A</v>
      </c>
    </row>
    <row r="1809" customHeight="1" spans="8:8">
      <c r="H1809" s="39" t="e">
        <f>VLOOKUP(E1809,基础信息!C:E,3,FALSE)</f>
        <v>#N/A</v>
      </c>
    </row>
    <row r="1810" customHeight="1" spans="8:8">
      <c r="H1810" s="39" t="e">
        <f>VLOOKUP(E1810,基础信息!C:E,3,FALSE)</f>
        <v>#N/A</v>
      </c>
    </row>
    <row r="1811" customHeight="1" spans="8:8">
      <c r="H1811" s="39" t="e">
        <f>VLOOKUP(E1811,基础信息!C:E,3,FALSE)</f>
        <v>#N/A</v>
      </c>
    </row>
    <row r="1812" customHeight="1" spans="8:8">
      <c r="H1812" s="39" t="e">
        <f>VLOOKUP(E1812,基础信息!C:E,3,FALSE)</f>
        <v>#N/A</v>
      </c>
    </row>
    <row r="1813" customHeight="1" spans="8:8">
      <c r="H1813" s="39" t="e">
        <f>VLOOKUP(E1813,基础信息!C:E,3,FALSE)</f>
        <v>#N/A</v>
      </c>
    </row>
    <row r="1814" customHeight="1" spans="8:8">
      <c r="H1814" s="39" t="e">
        <f>VLOOKUP(E1814,基础信息!C:E,3,FALSE)</f>
        <v>#N/A</v>
      </c>
    </row>
    <row r="1815" customHeight="1" spans="8:8">
      <c r="H1815" s="39" t="e">
        <f>VLOOKUP(E1815,基础信息!C:E,3,FALSE)</f>
        <v>#N/A</v>
      </c>
    </row>
    <row r="1816" customHeight="1" spans="8:8">
      <c r="H1816" s="39" t="e">
        <f>VLOOKUP(E1816,基础信息!C:E,3,FALSE)</f>
        <v>#N/A</v>
      </c>
    </row>
    <row r="1817" customHeight="1" spans="8:8">
      <c r="H1817" s="39" t="e">
        <f>VLOOKUP(E1817,基础信息!C:E,3,FALSE)</f>
        <v>#N/A</v>
      </c>
    </row>
    <row r="1818" customHeight="1" spans="8:8">
      <c r="H1818" s="39" t="e">
        <f>VLOOKUP(E1818,基础信息!C:E,3,FALSE)</f>
        <v>#N/A</v>
      </c>
    </row>
    <row r="1819" customHeight="1" spans="8:8">
      <c r="H1819" s="39" t="e">
        <f>VLOOKUP(E1819,基础信息!C:E,3,FALSE)</f>
        <v>#N/A</v>
      </c>
    </row>
    <row r="1820" customHeight="1" spans="8:8">
      <c r="H1820" s="39" t="e">
        <f>VLOOKUP(E1820,基础信息!C:E,3,FALSE)</f>
        <v>#N/A</v>
      </c>
    </row>
    <row r="1821" customHeight="1" spans="8:8">
      <c r="H1821" s="39" t="e">
        <f>VLOOKUP(E1821,基础信息!C:E,3,FALSE)</f>
        <v>#N/A</v>
      </c>
    </row>
    <row r="1822" customHeight="1" spans="8:8">
      <c r="H1822" s="39" t="e">
        <f>VLOOKUP(E1822,基础信息!C:E,3,FALSE)</f>
        <v>#N/A</v>
      </c>
    </row>
    <row r="1823" customHeight="1" spans="8:8">
      <c r="H1823" s="39" t="e">
        <f>VLOOKUP(E1823,基础信息!C:E,3,FALSE)</f>
        <v>#N/A</v>
      </c>
    </row>
    <row r="1824" customHeight="1" spans="8:8">
      <c r="H1824" s="39" t="e">
        <f>VLOOKUP(E1824,基础信息!C:E,3,FALSE)</f>
        <v>#N/A</v>
      </c>
    </row>
    <row r="1825" customHeight="1" spans="8:8">
      <c r="H1825" s="39" t="e">
        <f>VLOOKUP(E1825,基础信息!C:E,3,FALSE)</f>
        <v>#N/A</v>
      </c>
    </row>
    <row r="1826" customHeight="1" spans="8:8">
      <c r="H1826" s="39" t="e">
        <f>VLOOKUP(E1826,基础信息!C:E,3,FALSE)</f>
        <v>#N/A</v>
      </c>
    </row>
    <row r="1827" customHeight="1" spans="8:8">
      <c r="H1827" s="39" t="e">
        <f>VLOOKUP(E1827,基础信息!C:E,3,FALSE)</f>
        <v>#N/A</v>
      </c>
    </row>
    <row r="1828" customHeight="1" spans="8:8">
      <c r="H1828" s="39" t="e">
        <f>VLOOKUP(E1828,基础信息!C:E,3,FALSE)</f>
        <v>#N/A</v>
      </c>
    </row>
    <row r="1829" customHeight="1" spans="8:8">
      <c r="H1829" s="39" t="e">
        <f>VLOOKUP(E1829,基础信息!C:E,3,FALSE)</f>
        <v>#N/A</v>
      </c>
    </row>
    <row r="1830" customHeight="1" spans="8:8">
      <c r="H1830" s="39" t="e">
        <f>VLOOKUP(E1830,基础信息!C:E,3,FALSE)</f>
        <v>#N/A</v>
      </c>
    </row>
    <row r="1831" customHeight="1" spans="8:8">
      <c r="H1831" s="39" t="e">
        <f>VLOOKUP(E1831,基础信息!C:E,3,FALSE)</f>
        <v>#N/A</v>
      </c>
    </row>
    <row r="1832" customHeight="1" spans="8:8">
      <c r="H1832" s="39" t="e">
        <f>VLOOKUP(E1832,基础信息!C:E,3,FALSE)</f>
        <v>#N/A</v>
      </c>
    </row>
    <row r="1833" customHeight="1" spans="8:8">
      <c r="H1833" s="39" t="e">
        <f>VLOOKUP(E1833,基础信息!C:E,3,FALSE)</f>
        <v>#N/A</v>
      </c>
    </row>
    <row r="1834" customHeight="1" spans="8:8">
      <c r="H1834" s="39" t="e">
        <f>VLOOKUP(E1834,基础信息!C:E,3,FALSE)</f>
        <v>#N/A</v>
      </c>
    </row>
    <row r="1835" customHeight="1" spans="8:8">
      <c r="H1835" s="39" t="e">
        <f>VLOOKUP(E1835,基础信息!C:E,3,FALSE)</f>
        <v>#N/A</v>
      </c>
    </row>
    <row r="1836" customHeight="1" spans="8:8">
      <c r="H1836" s="39" t="e">
        <f>VLOOKUP(E1836,基础信息!C:E,3,FALSE)</f>
        <v>#N/A</v>
      </c>
    </row>
    <row r="1837" customHeight="1" spans="8:8">
      <c r="H1837" s="39" t="e">
        <f>VLOOKUP(E1837,基础信息!C:E,3,FALSE)</f>
        <v>#N/A</v>
      </c>
    </row>
    <row r="1838" customHeight="1" spans="8:8">
      <c r="H1838" s="39" t="e">
        <f>VLOOKUP(E1838,基础信息!C:E,3,FALSE)</f>
        <v>#N/A</v>
      </c>
    </row>
    <row r="1839" customHeight="1" spans="8:8">
      <c r="H1839" s="39" t="e">
        <f>VLOOKUP(E1839,基础信息!C:E,3,FALSE)</f>
        <v>#N/A</v>
      </c>
    </row>
    <row r="1840" customHeight="1" spans="8:8">
      <c r="H1840" s="39" t="e">
        <f>VLOOKUP(E1840,基础信息!C:E,3,FALSE)</f>
        <v>#N/A</v>
      </c>
    </row>
    <row r="1841" customHeight="1" spans="8:8">
      <c r="H1841" s="39" t="e">
        <f>VLOOKUP(E1841,基础信息!C:E,3,FALSE)</f>
        <v>#N/A</v>
      </c>
    </row>
    <row r="1842" customHeight="1" spans="8:8">
      <c r="H1842" s="39" t="e">
        <f>VLOOKUP(E1842,基础信息!C:E,3,FALSE)</f>
        <v>#N/A</v>
      </c>
    </row>
    <row r="1843" customHeight="1" spans="8:8">
      <c r="H1843" s="39" t="e">
        <f>VLOOKUP(E1843,基础信息!C:E,3,FALSE)</f>
        <v>#N/A</v>
      </c>
    </row>
    <row r="1844" customHeight="1" spans="8:8">
      <c r="H1844" s="39" t="e">
        <f>VLOOKUP(E1844,基础信息!C:E,3,FALSE)</f>
        <v>#N/A</v>
      </c>
    </row>
    <row r="1845" customHeight="1" spans="8:8">
      <c r="H1845" s="39" t="e">
        <f>VLOOKUP(E1845,基础信息!C:E,3,FALSE)</f>
        <v>#N/A</v>
      </c>
    </row>
    <row r="1846" customHeight="1" spans="8:8">
      <c r="H1846" s="39" t="e">
        <f>VLOOKUP(E1846,基础信息!C:E,3,FALSE)</f>
        <v>#N/A</v>
      </c>
    </row>
    <row r="1847" customHeight="1" spans="8:8">
      <c r="H1847" s="39" t="e">
        <f>VLOOKUP(E1847,基础信息!C:E,3,FALSE)</f>
        <v>#N/A</v>
      </c>
    </row>
    <row r="1848" customHeight="1" spans="8:8">
      <c r="H1848" s="39" t="e">
        <f>VLOOKUP(E1848,基础信息!C:E,3,FALSE)</f>
        <v>#N/A</v>
      </c>
    </row>
    <row r="1849" customHeight="1" spans="8:8">
      <c r="H1849" s="39" t="e">
        <f>VLOOKUP(E1849,基础信息!C:E,3,FALSE)</f>
        <v>#N/A</v>
      </c>
    </row>
    <row r="1850" customHeight="1" spans="8:8">
      <c r="H1850" s="39" t="e">
        <f>VLOOKUP(E1850,基础信息!C:E,3,FALSE)</f>
        <v>#N/A</v>
      </c>
    </row>
    <row r="1851" customHeight="1" spans="8:8">
      <c r="H1851" s="39" t="e">
        <f>VLOOKUP(E1851,基础信息!C:E,3,FALSE)</f>
        <v>#N/A</v>
      </c>
    </row>
    <row r="1852" customHeight="1" spans="8:8">
      <c r="H1852" s="39" t="e">
        <f>VLOOKUP(E1852,基础信息!C:E,3,FALSE)</f>
        <v>#N/A</v>
      </c>
    </row>
    <row r="1853" customHeight="1" spans="8:8">
      <c r="H1853" s="39" t="e">
        <f>VLOOKUP(E1853,基础信息!C:E,3,FALSE)</f>
        <v>#N/A</v>
      </c>
    </row>
    <row r="1854" customHeight="1" spans="8:8">
      <c r="H1854" s="39" t="e">
        <f>VLOOKUP(E1854,基础信息!C:E,3,FALSE)</f>
        <v>#N/A</v>
      </c>
    </row>
    <row r="1855" customHeight="1" spans="8:8">
      <c r="H1855" s="39" t="e">
        <f>VLOOKUP(E1855,基础信息!C:E,3,FALSE)</f>
        <v>#N/A</v>
      </c>
    </row>
    <row r="1856" customHeight="1" spans="8:8">
      <c r="H1856" s="39" t="e">
        <f>VLOOKUP(E1856,基础信息!C:E,3,FALSE)</f>
        <v>#N/A</v>
      </c>
    </row>
    <row r="1857" customHeight="1" spans="8:8">
      <c r="H1857" s="39" t="e">
        <f>VLOOKUP(E1857,基础信息!C:E,3,FALSE)</f>
        <v>#N/A</v>
      </c>
    </row>
    <row r="1858" customHeight="1" spans="8:8">
      <c r="H1858" s="39" t="e">
        <f>VLOOKUP(E1858,基础信息!C:E,3,FALSE)</f>
        <v>#N/A</v>
      </c>
    </row>
    <row r="1859" customHeight="1" spans="8:8">
      <c r="H1859" s="39" t="e">
        <f>VLOOKUP(E1859,基础信息!C:E,3,FALSE)</f>
        <v>#N/A</v>
      </c>
    </row>
    <row r="1860" customHeight="1" spans="8:8">
      <c r="H1860" s="39" t="e">
        <f>VLOOKUP(E1860,基础信息!C:E,3,FALSE)</f>
        <v>#N/A</v>
      </c>
    </row>
    <row r="1861" customHeight="1" spans="8:8">
      <c r="H1861" s="39" t="e">
        <f>VLOOKUP(E1861,基础信息!C:E,3,FALSE)</f>
        <v>#N/A</v>
      </c>
    </row>
    <row r="1862" customHeight="1" spans="8:8">
      <c r="H1862" s="39" t="e">
        <f>VLOOKUP(E1862,基础信息!C:E,3,FALSE)</f>
        <v>#N/A</v>
      </c>
    </row>
    <row r="1863" customHeight="1" spans="8:8">
      <c r="H1863" s="39" t="e">
        <f>VLOOKUP(E1863,基础信息!C:E,3,FALSE)</f>
        <v>#N/A</v>
      </c>
    </row>
    <row r="1864" customHeight="1" spans="8:8">
      <c r="H1864" s="39" t="e">
        <f>VLOOKUP(E1864,基础信息!C:E,3,FALSE)</f>
        <v>#N/A</v>
      </c>
    </row>
    <row r="1865" customHeight="1" spans="8:8">
      <c r="H1865" s="39" t="e">
        <f>VLOOKUP(E1865,基础信息!C:E,3,FALSE)</f>
        <v>#N/A</v>
      </c>
    </row>
    <row r="1866" customHeight="1" spans="8:8">
      <c r="H1866" s="39" t="e">
        <f>VLOOKUP(E1866,基础信息!C:E,3,FALSE)</f>
        <v>#N/A</v>
      </c>
    </row>
    <row r="1867" customHeight="1" spans="8:8">
      <c r="H1867" s="39" t="e">
        <f>VLOOKUP(E1867,基础信息!C:E,3,FALSE)</f>
        <v>#N/A</v>
      </c>
    </row>
    <row r="1868" customHeight="1" spans="8:8">
      <c r="H1868" s="39" t="e">
        <f>VLOOKUP(E1868,基础信息!C:E,3,FALSE)</f>
        <v>#N/A</v>
      </c>
    </row>
    <row r="1869" customHeight="1" spans="8:8">
      <c r="H1869" s="39" t="e">
        <f>VLOOKUP(E1869,基础信息!C:E,3,FALSE)</f>
        <v>#N/A</v>
      </c>
    </row>
    <row r="1870" customHeight="1" spans="8:8">
      <c r="H1870" s="39" t="e">
        <f>VLOOKUP(E1870,基础信息!C:E,3,FALSE)</f>
        <v>#N/A</v>
      </c>
    </row>
    <row r="1871" customHeight="1" spans="8:8">
      <c r="H1871" s="39" t="e">
        <f>VLOOKUP(E1871,基础信息!C:E,3,FALSE)</f>
        <v>#N/A</v>
      </c>
    </row>
    <row r="1872" customHeight="1" spans="8:8">
      <c r="H1872" s="39" t="e">
        <f>VLOOKUP(E1872,基础信息!C:E,3,FALSE)</f>
        <v>#N/A</v>
      </c>
    </row>
    <row r="1873" customHeight="1" spans="8:8">
      <c r="H1873" s="39" t="e">
        <f>VLOOKUP(E1873,基础信息!C:E,3,FALSE)</f>
        <v>#N/A</v>
      </c>
    </row>
    <row r="1874" customHeight="1" spans="8:8">
      <c r="H1874" s="39" t="e">
        <f>VLOOKUP(E1874,基础信息!C:E,3,FALSE)</f>
        <v>#N/A</v>
      </c>
    </row>
    <row r="1875" customHeight="1" spans="8:8">
      <c r="H1875" s="39" t="e">
        <f>VLOOKUP(E1875,基础信息!C:E,3,FALSE)</f>
        <v>#N/A</v>
      </c>
    </row>
    <row r="1876" customHeight="1" spans="8:8">
      <c r="H1876" s="39" t="e">
        <f>VLOOKUP(E1876,基础信息!C:E,3,FALSE)</f>
        <v>#N/A</v>
      </c>
    </row>
    <row r="1877" customHeight="1" spans="8:8">
      <c r="H1877" s="39" t="e">
        <f>VLOOKUP(E1877,基础信息!C:E,3,FALSE)</f>
        <v>#N/A</v>
      </c>
    </row>
    <row r="1878" customHeight="1" spans="8:8">
      <c r="H1878" s="39" t="e">
        <f>VLOOKUP(E1878,基础信息!C:E,3,FALSE)</f>
        <v>#N/A</v>
      </c>
    </row>
    <row r="1879" customHeight="1" spans="8:8">
      <c r="H1879" s="39" t="e">
        <f>VLOOKUP(E1879,基础信息!C:E,3,FALSE)</f>
        <v>#N/A</v>
      </c>
    </row>
    <row r="1880" customHeight="1" spans="8:8">
      <c r="H1880" s="39" t="e">
        <f>VLOOKUP(E1880,基础信息!C:E,3,FALSE)</f>
        <v>#N/A</v>
      </c>
    </row>
    <row r="1881" customHeight="1" spans="8:8">
      <c r="H1881" s="39" t="e">
        <f>VLOOKUP(E1881,基础信息!C:E,3,FALSE)</f>
        <v>#N/A</v>
      </c>
    </row>
    <row r="1882" customHeight="1" spans="8:8">
      <c r="H1882" s="39" t="e">
        <f>VLOOKUP(E1882,基础信息!C:E,3,FALSE)</f>
        <v>#N/A</v>
      </c>
    </row>
    <row r="1883" customHeight="1" spans="8:8">
      <c r="H1883" s="39" t="e">
        <f>VLOOKUP(E1883,基础信息!C:E,3,FALSE)</f>
        <v>#N/A</v>
      </c>
    </row>
    <row r="1884" customHeight="1" spans="8:8">
      <c r="H1884" s="39" t="e">
        <f>VLOOKUP(E1884,基础信息!C:E,3,FALSE)</f>
        <v>#N/A</v>
      </c>
    </row>
    <row r="1885" customHeight="1" spans="8:8">
      <c r="H1885" s="39" t="e">
        <f>VLOOKUP(E1885,基础信息!C:E,3,FALSE)</f>
        <v>#N/A</v>
      </c>
    </row>
    <row r="1886" customHeight="1" spans="8:8">
      <c r="H1886" s="39" t="e">
        <f>VLOOKUP(E1886,基础信息!C:E,3,FALSE)</f>
        <v>#N/A</v>
      </c>
    </row>
    <row r="1887" customHeight="1" spans="8:8">
      <c r="H1887" s="39" t="e">
        <f>VLOOKUP(E1887,基础信息!C:E,3,FALSE)</f>
        <v>#N/A</v>
      </c>
    </row>
    <row r="1888" customHeight="1" spans="8:8">
      <c r="H1888" s="39" t="e">
        <f>VLOOKUP(E1888,基础信息!C:E,3,FALSE)</f>
        <v>#N/A</v>
      </c>
    </row>
    <row r="1889" customHeight="1" spans="8:8">
      <c r="H1889" s="39" t="e">
        <f>VLOOKUP(E1889,基础信息!C:E,3,FALSE)</f>
        <v>#N/A</v>
      </c>
    </row>
    <row r="1890" customHeight="1" spans="8:8">
      <c r="H1890" s="39" t="e">
        <f>VLOOKUP(E1890,基础信息!C:E,3,FALSE)</f>
        <v>#N/A</v>
      </c>
    </row>
    <row r="1891" customHeight="1" spans="8:8">
      <c r="H1891" s="39" t="e">
        <f>VLOOKUP(E1891,基础信息!C:E,3,FALSE)</f>
        <v>#N/A</v>
      </c>
    </row>
    <row r="1892" customHeight="1" spans="8:8">
      <c r="H1892" s="39" t="e">
        <f>VLOOKUP(E1892,基础信息!C:E,3,FALSE)</f>
        <v>#N/A</v>
      </c>
    </row>
    <row r="1893" customHeight="1" spans="8:8">
      <c r="H1893" s="39" t="e">
        <f>VLOOKUP(E1893,基础信息!C:E,3,FALSE)</f>
        <v>#N/A</v>
      </c>
    </row>
    <row r="1894" customHeight="1" spans="8:8">
      <c r="H1894" s="39" t="e">
        <f>VLOOKUP(E1894,基础信息!C:E,3,FALSE)</f>
        <v>#N/A</v>
      </c>
    </row>
    <row r="1895" customHeight="1" spans="8:8">
      <c r="H1895" s="39" t="e">
        <f>VLOOKUP(E1895,基础信息!C:E,3,FALSE)</f>
        <v>#N/A</v>
      </c>
    </row>
    <row r="1896" customHeight="1" spans="8:8">
      <c r="H1896" s="39" t="e">
        <f>VLOOKUP(E1896,基础信息!C:E,3,FALSE)</f>
        <v>#N/A</v>
      </c>
    </row>
    <row r="1897" customHeight="1" spans="8:8">
      <c r="H1897" s="39" t="e">
        <f>VLOOKUP(E1897,基础信息!C:E,3,FALSE)</f>
        <v>#N/A</v>
      </c>
    </row>
    <row r="1898" customHeight="1" spans="8:8">
      <c r="H1898" s="39" t="e">
        <f>VLOOKUP(E1898,基础信息!C:E,3,FALSE)</f>
        <v>#N/A</v>
      </c>
    </row>
    <row r="1899" customHeight="1" spans="8:8">
      <c r="H1899" s="39" t="e">
        <f>VLOOKUP(E1899,基础信息!C:E,3,FALSE)</f>
        <v>#N/A</v>
      </c>
    </row>
    <row r="1900" customHeight="1" spans="8:8">
      <c r="H1900" s="39" t="e">
        <f>VLOOKUP(E1900,基础信息!C:E,3,FALSE)</f>
        <v>#N/A</v>
      </c>
    </row>
    <row r="1901" customHeight="1" spans="8:8">
      <c r="H1901" s="39" t="e">
        <f>VLOOKUP(E1901,基础信息!C:E,3,FALSE)</f>
        <v>#N/A</v>
      </c>
    </row>
    <row r="1902" customHeight="1" spans="8:8">
      <c r="H1902" s="39" t="e">
        <f>VLOOKUP(E1902,基础信息!C:E,3,FALSE)</f>
        <v>#N/A</v>
      </c>
    </row>
    <row r="1903" customHeight="1" spans="8:8">
      <c r="H1903" s="39" t="e">
        <f>VLOOKUP(E1903,基础信息!C:E,3,FALSE)</f>
        <v>#N/A</v>
      </c>
    </row>
    <row r="1904" customHeight="1" spans="8:8">
      <c r="H1904" s="39" t="e">
        <f>VLOOKUP(E1904,基础信息!C:E,3,FALSE)</f>
        <v>#N/A</v>
      </c>
    </row>
    <row r="1905" customHeight="1" spans="8:8">
      <c r="H1905" s="39" t="e">
        <f>VLOOKUP(E1905,基础信息!C:E,3,FALSE)</f>
        <v>#N/A</v>
      </c>
    </row>
    <row r="1906" customHeight="1" spans="8:8">
      <c r="H1906" s="39" t="e">
        <f>VLOOKUP(E1906,基础信息!C:E,3,FALSE)</f>
        <v>#N/A</v>
      </c>
    </row>
    <row r="1907" customHeight="1" spans="8:8">
      <c r="H1907" s="39" t="e">
        <f>VLOOKUP(E1907,基础信息!C:E,3,FALSE)</f>
        <v>#N/A</v>
      </c>
    </row>
    <row r="1908" customHeight="1" spans="8:8">
      <c r="H1908" s="39" t="e">
        <f>VLOOKUP(E1908,基础信息!C:E,3,FALSE)</f>
        <v>#N/A</v>
      </c>
    </row>
    <row r="1909" customHeight="1" spans="8:8">
      <c r="H1909" s="39" t="e">
        <f>VLOOKUP(E1909,基础信息!C:E,3,FALSE)</f>
        <v>#N/A</v>
      </c>
    </row>
    <row r="1910" customHeight="1" spans="8:8">
      <c r="H1910" s="39" t="e">
        <f>VLOOKUP(E1910,基础信息!C:E,3,FALSE)</f>
        <v>#N/A</v>
      </c>
    </row>
    <row r="1911" customHeight="1" spans="8:8">
      <c r="H1911" s="39" t="e">
        <f>VLOOKUP(E1911,基础信息!C:E,3,FALSE)</f>
        <v>#N/A</v>
      </c>
    </row>
    <row r="1912" customHeight="1" spans="8:8">
      <c r="H1912" s="39" t="e">
        <f>VLOOKUP(E1912,基础信息!C:E,3,FALSE)</f>
        <v>#N/A</v>
      </c>
    </row>
    <row r="1913" customHeight="1" spans="8:8">
      <c r="H1913" s="39" t="e">
        <f>VLOOKUP(E1913,基础信息!C:E,3,FALSE)</f>
        <v>#N/A</v>
      </c>
    </row>
    <row r="1914" customHeight="1" spans="8:8">
      <c r="H1914" s="39" t="e">
        <f>VLOOKUP(E1914,基础信息!C:E,3,FALSE)</f>
        <v>#N/A</v>
      </c>
    </row>
    <row r="1915" customHeight="1" spans="8:8">
      <c r="H1915" s="39" t="e">
        <f>VLOOKUP(E1915,基础信息!C:E,3,FALSE)</f>
        <v>#N/A</v>
      </c>
    </row>
    <row r="1916" customHeight="1" spans="8:8">
      <c r="H1916" s="39" t="e">
        <f>VLOOKUP(E1916,基础信息!C:E,3,FALSE)</f>
        <v>#N/A</v>
      </c>
    </row>
    <row r="1917" customHeight="1" spans="8:8">
      <c r="H1917" s="39" t="e">
        <f>VLOOKUP(E1917,基础信息!C:E,3,FALSE)</f>
        <v>#N/A</v>
      </c>
    </row>
    <row r="1918" customHeight="1" spans="8:8">
      <c r="H1918" s="39" t="e">
        <f>VLOOKUP(E1918,基础信息!C:E,3,FALSE)</f>
        <v>#N/A</v>
      </c>
    </row>
    <row r="1919" customHeight="1" spans="8:8">
      <c r="H1919" s="39" t="e">
        <f>VLOOKUP(E1919,基础信息!C:E,3,FALSE)</f>
        <v>#N/A</v>
      </c>
    </row>
    <row r="1920" customHeight="1" spans="8:8">
      <c r="H1920" s="39" t="e">
        <f>VLOOKUP(E1920,基础信息!C:E,3,FALSE)</f>
        <v>#N/A</v>
      </c>
    </row>
    <row r="1921" customHeight="1" spans="8:8">
      <c r="H1921" s="39" t="e">
        <f>VLOOKUP(E1921,基础信息!C:E,3,FALSE)</f>
        <v>#N/A</v>
      </c>
    </row>
    <row r="1922" customHeight="1" spans="8:8">
      <c r="H1922" s="39" t="e">
        <f>VLOOKUP(E1922,基础信息!C:E,3,FALSE)</f>
        <v>#N/A</v>
      </c>
    </row>
    <row r="1923" customHeight="1" spans="8:8">
      <c r="H1923" s="39" t="e">
        <f>VLOOKUP(E1923,基础信息!C:E,3,FALSE)</f>
        <v>#N/A</v>
      </c>
    </row>
    <row r="1924" customHeight="1" spans="8:8">
      <c r="H1924" s="39" t="e">
        <f>VLOOKUP(E1924,基础信息!C:E,3,FALSE)</f>
        <v>#N/A</v>
      </c>
    </row>
    <row r="1925" customHeight="1" spans="8:8">
      <c r="H1925" s="39" t="e">
        <f>VLOOKUP(E1925,基础信息!C:E,3,FALSE)</f>
        <v>#N/A</v>
      </c>
    </row>
    <row r="1926" customHeight="1" spans="8:8">
      <c r="H1926" s="39" t="e">
        <f>VLOOKUP(E1926,基础信息!C:E,3,FALSE)</f>
        <v>#N/A</v>
      </c>
    </row>
    <row r="1927" customHeight="1" spans="8:8">
      <c r="H1927" s="39" t="e">
        <f>VLOOKUP(E1927,基础信息!C:E,3,FALSE)</f>
        <v>#N/A</v>
      </c>
    </row>
    <row r="1928" customHeight="1" spans="8:8">
      <c r="H1928" s="39" t="e">
        <f>VLOOKUP(E1928,基础信息!C:E,3,FALSE)</f>
        <v>#N/A</v>
      </c>
    </row>
    <row r="1929" customHeight="1" spans="8:8">
      <c r="H1929" s="39" t="e">
        <f>VLOOKUP(E1929,基础信息!C:E,3,FALSE)</f>
        <v>#N/A</v>
      </c>
    </row>
    <row r="1930" customHeight="1" spans="8:8">
      <c r="H1930" s="39" t="e">
        <f>VLOOKUP(E1930,基础信息!C:E,3,FALSE)</f>
        <v>#N/A</v>
      </c>
    </row>
    <row r="1931" customHeight="1" spans="8:8">
      <c r="H1931" s="39" t="e">
        <f>VLOOKUP(E1931,基础信息!C:E,3,FALSE)</f>
        <v>#N/A</v>
      </c>
    </row>
    <row r="1932" customHeight="1" spans="8:8">
      <c r="H1932" s="39" t="e">
        <f>VLOOKUP(E1932,基础信息!C:E,3,FALSE)</f>
        <v>#N/A</v>
      </c>
    </row>
    <row r="1933" customHeight="1" spans="8:8">
      <c r="H1933" s="39" t="e">
        <f>VLOOKUP(E1933,基础信息!C:E,3,FALSE)</f>
        <v>#N/A</v>
      </c>
    </row>
    <row r="1934" customHeight="1" spans="8:8">
      <c r="H1934" s="39" t="e">
        <f>VLOOKUP(E1934,基础信息!C:E,3,FALSE)</f>
        <v>#N/A</v>
      </c>
    </row>
    <row r="1935" customHeight="1" spans="8:8">
      <c r="H1935" s="39" t="e">
        <f>VLOOKUP(E1935,基础信息!C:E,3,FALSE)</f>
        <v>#N/A</v>
      </c>
    </row>
    <row r="1936" customHeight="1" spans="8:8">
      <c r="H1936" s="39" t="e">
        <f>VLOOKUP(E1936,基础信息!C:E,3,FALSE)</f>
        <v>#N/A</v>
      </c>
    </row>
    <row r="1937" customHeight="1" spans="8:8">
      <c r="H1937" s="39" t="e">
        <f>VLOOKUP(E1937,基础信息!C:E,3,FALSE)</f>
        <v>#N/A</v>
      </c>
    </row>
    <row r="1938" customHeight="1" spans="8:8">
      <c r="H1938" s="39" t="e">
        <f>VLOOKUP(E1938,基础信息!C:E,3,FALSE)</f>
        <v>#N/A</v>
      </c>
    </row>
    <row r="1939" customHeight="1" spans="8:8">
      <c r="H1939" s="39" t="e">
        <f>VLOOKUP(E1939,基础信息!C:E,3,FALSE)</f>
        <v>#N/A</v>
      </c>
    </row>
    <row r="1940" customHeight="1" spans="8:8">
      <c r="H1940" s="39" t="e">
        <f>VLOOKUP(E1940,基础信息!C:E,3,FALSE)</f>
        <v>#N/A</v>
      </c>
    </row>
    <row r="1941" customHeight="1" spans="8:8">
      <c r="H1941" s="39" t="e">
        <f>VLOOKUP(E1941,基础信息!C:E,3,FALSE)</f>
        <v>#N/A</v>
      </c>
    </row>
    <row r="1942" customHeight="1" spans="8:8">
      <c r="H1942" s="39" t="e">
        <f>VLOOKUP(E1942,基础信息!C:E,3,FALSE)</f>
        <v>#N/A</v>
      </c>
    </row>
    <row r="1943" customHeight="1" spans="8:8">
      <c r="H1943" s="39" t="e">
        <f>VLOOKUP(E1943,基础信息!C:E,3,FALSE)</f>
        <v>#N/A</v>
      </c>
    </row>
    <row r="1944" customHeight="1" spans="8:8">
      <c r="H1944" s="39" t="e">
        <f>VLOOKUP(E1944,基础信息!C:E,3,FALSE)</f>
        <v>#N/A</v>
      </c>
    </row>
    <row r="1945" customHeight="1" spans="8:8">
      <c r="H1945" s="39" t="e">
        <f>VLOOKUP(E1945,基础信息!C:E,3,FALSE)</f>
        <v>#N/A</v>
      </c>
    </row>
    <row r="1946" customHeight="1" spans="8:8">
      <c r="H1946" s="39" t="e">
        <f>VLOOKUP(E1946,基础信息!C:E,3,FALSE)</f>
        <v>#N/A</v>
      </c>
    </row>
    <row r="1947" customHeight="1" spans="8:8">
      <c r="H1947" s="39" t="e">
        <f>VLOOKUP(E1947,基础信息!C:E,3,FALSE)</f>
        <v>#N/A</v>
      </c>
    </row>
    <row r="1948" customHeight="1" spans="8:8">
      <c r="H1948" s="39" t="e">
        <f>VLOOKUP(E1948,基础信息!C:E,3,FALSE)</f>
        <v>#N/A</v>
      </c>
    </row>
    <row r="1949" customHeight="1" spans="8:8">
      <c r="H1949" s="39" t="e">
        <f>VLOOKUP(E1949,基础信息!C:E,3,FALSE)</f>
        <v>#N/A</v>
      </c>
    </row>
    <row r="1950" customHeight="1" spans="8:8">
      <c r="H1950" s="39" t="e">
        <f>VLOOKUP(E1950,基础信息!C:E,3,FALSE)</f>
        <v>#N/A</v>
      </c>
    </row>
    <row r="1951" customHeight="1" spans="8:8">
      <c r="H1951" s="39" t="e">
        <f>VLOOKUP(E1951,基础信息!C:E,3,FALSE)</f>
        <v>#N/A</v>
      </c>
    </row>
    <row r="1952" customHeight="1" spans="8:8">
      <c r="H1952" s="39" t="e">
        <f>VLOOKUP(E1952,基础信息!C:E,3,FALSE)</f>
        <v>#N/A</v>
      </c>
    </row>
    <row r="1953" customHeight="1" spans="8:8">
      <c r="H1953" s="39" t="e">
        <f>VLOOKUP(E1953,基础信息!C:E,3,FALSE)</f>
        <v>#N/A</v>
      </c>
    </row>
    <row r="1954" customHeight="1" spans="8:8">
      <c r="H1954" s="39" t="e">
        <f>VLOOKUP(E1954,基础信息!C:E,3,FALSE)</f>
        <v>#N/A</v>
      </c>
    </row>
    <row r="1955" customHeight="1" spans="8:8">
      <c r="H1955" s="39" t="e">
        <f>VLOOKUP(E1955,基础信息!C:E,3,FALSE)</f>
        <v>#N/A</v>
      </c>
    </row>
    <row r="1956" customHeight="1" spans="8:8">
      <c r="H1956" s="39" t="e">
        <f>VLOOKUP(E1956,基础信息!C:E,3,FALSE)</f>
        <v>#N/A</v>
      </c>
    </row>
    <row r="1957" customHeight="1" spans="8:8">
      <c r="H1957" s="39" t="e">
        <f>VLOOKUP(E1957,基础信息!C:E,3,FALSE)</f>
        <v>#N/A</v>
      </c>
    </row>
    <row r="1958" customHeight="1" spans="8:8">
      <c r="H1958" s="39" t="e">
        <f>VLOOKUP(E1958,基础信息!C:E,3,FALSE)</f>
        <v>#N/A</v>
      </c>
    </row>
    <row r="1959" customHeight="1" spans="8:8">
      <c r="H1959" s="39" t="e">
        <f>VLOOKUP(E1959,基础信息!C:E,3,FALSE)</f>
        <v>#N/A</v>
      </c>
    </row>
    <row r="1960" customHeight="1" spans="8:8">
      <c r="H1960" s="39" t="e">
        <f>VLOOKUP(E1960,基础信息!C:E,3,FALSE)</f>
        <v>#N/A</v>
      </c>
    </row>
    <row r="1961" customHeight="1" spans="8:8">
      <c r="H1961" s="39" t="e">
        <f>VLOOKUP(E1961,基础信息!C:E,3,FALSE)</f>
        <v>#N/A</v>
      </c>
    </row>
    <row r="1962" customHeight="1" spans="8:8">
      <c r="H1962" s="39" t="e">
        <f>VLOOKUP(E1962,基础信息!C:E,3,FALSE)</f>
        <v>#N/A</v>
      </c>
    </row>
    <row r="1963" customHeight="1" spans="8:8">
      <c r="H1963" s="39" t="e">
        <f>VLOOKUP(E1963,基础信息!C:E,3,FALSE)</f>
        <v>#N/A</v>
      </c>
    </row>
    <row r="1964" customHeight="1" spans="8:8">
      <c r="H1964" s="39" t="e">
        <f>VLOOKUP(E1964,基础信息!C:E,3,FALSE)</f>
        <v>#N/A</v>
      </c>
    </row>
    <row r="1965" customHeight="1" spans="8:8">
      <c r="H1965" s="39" t="e">
        <f>VLOOKUP(E1965,基础信息!C:E,3,FALSE)</f>
        <v>#N/A</v>
      </c>
    </row>
    <row r="1966" customHeight="1" spans="8:8">
      <c r="H1966" s="39" t="e">
        <f>VLOOKUP(E1966,基础信息!C:E,3,FALSE)</f>
        <v>#N/A</v>
      </c>
    </row>
    <row r="1967" customHeight="1" spans="8:8">
      <c r="H1967" s="39" t="e">
        <f>VLOOKUP(E1967,基础信息!C:E,3,FALSE)</f>
        <v>#N/A</v>
      </c>
    </row>
    <row r="1968" customHeight="1" spans="8:8">
      <c r="H1968" s="39" t="e">
        <f>VLOOKUP(E1968,基础信息!C:E,3,FALSE)</f>
        <v>#N/A</v>
      </c>
    </row>
    <row r="1969" customHeight="1" spans="8:8">
      <c r="H1969" s="39" t="e">
        <f>VLOOKUP(E1969,基础信息!C:E,3,FALSE)</f>
        <v>#N/A</v>
      </c>
    </row>
    <row r="1970" customHeight="1" spans="8:8">
      <c r="H1970" s="39" t="e">
        <f>VLOOKUP(E1970,基础信息!C:E,3,FALSE)</f>
        <v>#N/A</v>
      </c>
    </row>
    <row r="1971" customHeight="1" spans="8:8">
      <c r="H1971" s="39" t="e">
        <f>VLOOKUP(E1971,基础信息!C:E,3,FALSE)</f>
        <v>#N/A</v>
      </c>
    </row>
    <row r="1972" customHeight="1" spans="8:8">
      <c r="H1972" s="39" t="e">
        <f>VLOOKUP(E1972,基础信息!C:E,3,FALSE)</f>
        <v>#N/A</v>
      </c>
    </row>
    <row r="1973" customHeight="1" spans="8:8">
      <c r="H1973" s="39" t="e">
        <f>VLOOKUP(E1973,基础信息!C:E,3,FALSE)</f>
        <v>#N/A</v>
      </c>
    </row>
    <row r="1974" customHeight="1" spans="8:8">
      <c r="H1974" s="39" t="e">
        <f>VLOOKUP(E1974,基础信息!C:E,3,FALSE)</f>
        <v>#N/A</v>
      </c>
    </row>
    <row r="1975" customHeight="1" spans="8:8">
      <c r="H1975" s="39" t="e">
        <f>VLOOKUP(E1975,基础信息!C:E,3,FALSE)</f>
        <v>#N/A</v>
      </c>
    </row>
    <row r="1976" customHeight="1" spans="8:8">
      <c r="H1976" s="39" t="e">
        <f>VLOOKUP(E1976,基础信息!C:E,3,FALSE)</f>
        <v>#N/A</v>
      </c>
    </row>
    <row r="1977" customHeight="1" spans="8:8">
      <c r="H1977" s="39" t="e">
        <f>VLOOKUP(E1977,基础信息!C:E,3,FALSE)</f>
        <v>#N/A</v>
      </c>
    </row>
    <row r="1978" customHeight="1" spans="8:8">
      <c r="H1978" s="39" t="e">
        <f>VLOOKUP(E1978,基础信息!C:E,3,FALSE)</f>
        <v>#N/A</v>
      </c>
    </row>
    <row r="1979" customHeight="1" spans="8:8">
      <c r="H1979" s="39" t="e">
        <f>VLOOKUP(E1979,基础信息!C:E,3,FALSE)</f>
        <v>#N/A</v>
      </c>
    </row>
    <row r="1980" customHeight="1" spans="8:8">
      <c r="H1980" s="39" t="e">
        <f>VLOOKUP(E1980,基础信息!C:E,3,FALSE)</f>
        <v>#N/A</v>
      </c>
    </row>
    <row r="1981" customHeight="1" spans="8:8">
      <c r="H1981" s="39" t="e">
        <f>VLOOKUP(E1981,基础信息!C:E,3,FALSE)</f>
        <v>#N/A</v>
      </c>
    </row>
    <row r="1982" customHeight="1" spans="8:8">
      <c r="H1982" s="39" t="e">
        <f>VLOOKUP(E1982,基础信息!C:E,3,FALSE)</f>
        <v>#N/A</v>
      </c>
    </row>
    <row r="1983" customHeight="1" spans="8:8">
      <c r="H1983" s="39" t="e">
        <f>VLOOKUP(E1983,基础信息!C:E,3,FALSE)</f>
        <v>#N/A</v>
      </c>
    </row>
    <row r="1984" customHeight="1" spans="8:8">
      <c r="H1984" s="39" t="e">
        <f>VLOOKUP(E1984,基础信息!C:E,3,FALSE)</f>
        <v>#N/A</v>
      </c>
    </row>
    <row r="1985" customHeight="1" spans="8:8">
      <c r="H1985" s="39" t="e">
        <f>VLOOKUP(E1985,基础信息!C:E,3,FALSE)</f>
        <v>#N/A</v>
      </c>
    </row>
    <row r="1986" customHeight="1" spans="8:8">
      <c r="H1986" s="39" t="e">
        <f>VLOOKUP(E1986,基础信息!C:E,3,FALSE)</f>
        <v>#N/A</v>
      </c>
    </row>
    <row r="1987" customHeight="1" spans="8:8">
      <c r="H1987" s="39" t="e">
        <f>VLOOKUP(E1987,基础信息!C:E,3,FALSE)</f>
        <v>#N/A</v>
      </c>
    </row>
    <row r="1988" customHeight="1" spans="8:8">
      <c r="H1988" s="39" t="e">
        <f>VLOOKUP(E1988,基础信息!C:E,3,FALSE)</f>
        <v>#N/A</v>
      </c>
    </row>
    <row r="1989" customHeight="1" spans="8:8">
      <c r="H1989" s="39" t="e">
        <f>VLOOKUP(E1989,基础信息!C:E,3,FALSE)</f>
        <v>#N/A</v>
      </c>
    </row>
    <row r="1990" customHeight="1" spans="8:8">
      <c r="H1990" s="39" t="e">
        <f>VLOOKUP(E1990,基础信息!C:E,3,FALSE)</f>
        <v>#N/A</v>
      </c>
    </row>
    <row r="1991" customHeight="1" spans="8:8">
      <c r="H1991" s="39" t="e">
        <f>VLOOKUP(E1991,基础信息!C:E,3,FALSE)</f>
        <v>#N/A</v>
      </c>
    </row>
    <row r="1992" customHeight="1" spans="8:8">
      <c r="H1992" s="39" t="e">
        <f>VLOOKUP(E1992,基础信息!C:E,3,FALSE)</f>
        <v>#N/A</v>
      </c>
    </row>
    <row r="1993" customHeight="1" spans="8:8">
      <c r="H1993" s="39" t="e">
        <f>VLOOKUP(E1993,基础信息!C:E,3,FALSE)</f>
        <v>#N/A</v>
      </c>
    </row>
    <row r="1994" customHeight="1" spans="8:8">
      <c r="H1994" s="39" t="e">
        <f>VLOOKUP(E1994,基础信息!C:E,3,FALSE)</f>
        <v>#N/A</v>
      </c>
    </row>
    <row r="1995" customHeight="1" spans="8:8">
      <c r="H1995" s="39" t="e">
        <f>VLOOKUP(E1995,基础信息!C:E,3,FALSE)</f>
        <v>#N/A</v>
      </c>
    </row>
    <row r="1996" customHeight="1" spans="8:8">
      <c r="H1996" s="39" t="e">
        <f>VLOOKUP(E1996,基础信息!C:E,3,FALSE)</f>
        <v>#N/A</v>
      </c>
    </row>
    <row r="1997" customHeight="1" spans="8:8">
      <c r="H1997" s="39" t="e">
        <f>VLOOKUP(E1997,基础信息!C:E,3,FALSE)</f>
        <v>#N/A</v>
      </c>
    </row>
    <row r="1998" customHeight="1" spans="8:8">
      <c r="H1998" s="39" t="e">
        <f>VLOOKUP(E1998,基础信息!C:E,3,FALSE)</f>
        <v>#N/A</v>
      </c>
    </row>
    <row r="1999" customHeight="1" spans="8:8">
      <c r="H1999" s="39" t="e">
        <f>VLOOKUP(E1999,基础信息!C:E,3,FALSE)</f>
        <v>#N/A</v>
      </c>
    </row>
    <row r="2000" customHeight="1" spans="8:8">
      <c r="H2000" s="39" t="e">
        <f>VLOOKUP(E2000,基础信息!C:E,3,FALSE)</f>
        <v>#N/A</v>
      </c>
    </row>
    <row r="2001" customHeight="1" spans="8:8">
      <c r="H2001" s="39" t="e">
        <f>VLOOKUP(E2001,基础信息!C:E,3,FALSE)</f>
        <v>#N/A</v>
      </c>
    </row>
    <row r="2002" customHeight="1" spans="8:8">
      <c r="H2002" s="39" t="e">
        <f>VLOOKUP(E2002,基础信息!C:E,3,FALSE)</f>
        <v>#N/A</v>
      </c>
    </row>
    <row r="2003" customHeight="1" spans="8:8">
      <c r="H2003" s="39" t="e">
        <f>VLOOKUP(E2003,基础信息!C:E,3,FALSE)</f>
        <v>#N/A</v>
      </c>
    </row>
    <row r="2004" customHeight="1" spans="8:8">
      <c r="H2004" s="39" t="e">
        <f>VLOOKUP(E2004,基础信息!C:E,3,FALSE)</f>
        <v>#N/A</v>
      </c>
    </row>
    <row r="2005" customHeight="1" spans="8:8">
      <c r="H2005" s="39" t="e">
        <f>VLOOKUP(E2005,基础信息!C:E,3,FALSE)</f>
        <v>#N/A</v>
      </c>
    </row>
    <row r="2006" customHeight="1" spans="8:8">
      <c r="H2006" s="39" t="e">
        <f>VLOOKUP(E2006,基础信息!C:E,3,FALSE)</f>
        <v>#N/A</v>
      </c>
    </row>
    <row r="2007" customHeight="1" spans="8:8">
      <c r="H2007" s="39" t="e">
        <f>VLOOKUP(E2007,基础信息!C:E,3,FALSE)</f>
        <v>#N/A</v>
      </c>
    </row>
    <row r="2008" customHeight="1" spans="8:8">
      <c r="H2008" s="39" t="e">
        <f>VLOOKUP(E2008,基础信息!C:E,3,FALSE)</f>
        <v>#N/A</v>
      </c>
    </row>
    <row r="2009" customHeight="1" spans="8:8">
      <c r="H2009" s="39" t="e">
        <f>VLOOKUP(E2009,基础信息!C:E,3,FALSE)</f>
        <v>#N/A</v>
      </c>
    </row>
    <row r="2010" customHeight="1" spans="8:8">
      <c r="H2010" s="39" t="e">
        <f>VLOOKUP(E2010,基础信息!C:E,3,FALSE)</f>
        <v>#N/A</v>
      </c>
    </row>
    <row r="2011" customHeight="1" spans="8:8">
      <c r="H2011" s="39" t="e">
        <f>VLOOKUP(E2011,基础信息!C:E,3,FALSE)</f>
        <v>#N/A</v>
      </c>
    </row>
    <row r="2012" customHeight="1" spans="8:8">
      <c r="H2012" s="39" t="e">
        <f>VLOOKUP(E2012,基础信息!C:E,3,FALSE)</f>
        <v>#N/A</v>
      </c>
    </row>
    <row r="2013" customHeight="1" spans="8:8">
      <c r="H2013" s="39" t="e">
        <f>VLOOKUP(E2013,基础信息!C:E,3,FALSE)</f>
        <v>#N/A</v>
      </c>
    </row>
    <row r="2014" customHeight="1" spans="8:8">
      <c r="H2014" s="39" t="e">
        <f>VLOOKUP(E2014,基础信息!C:E,3,FALSE)</f>
        <v>#N/A</v>
      </c>
    </row>
    <row r="2015" customHeight="1" spans="8:8">
      <c r="H2015" s="39" t="e">
        <f>VLOOKUP(E2015,基础信息!C:E,3,FALSE)</f>
        <v>#N/A</v>
      </c>
    </row>
    <row r="2016" customHeight="1" spans="8:8">
      <c r="H2016" s="39" t="e">
        <f>VLOOKUP(E2016,基础信息!C:E,3,FALSE)</f>
        <v>#N/A</v>
      </c>
    </row>
    <row r="2017" customHeight="1" spans="8:8">
      <c r="H2017" s="39" t="e">
        <f>VLOOKUP(E2017,基础信息!C:E,3,FALSE)</f>
        <v>#N/A</v>
      </c>
    </row>
    <row r="2018" customHeight="1" spans="8:8">
      <c r="H2018" s="39" t="e">
        <f>VLOOKUP(E2018,基础信息!C:E,3,FALSE)</f>
        <v>#N/A</v>
      </c>
    </row>
    <row r="2019" customHeight="1" spans="8:8">
      <c r="H2019" s="39" t="e">
        <f>VLOOKUP(E2019,基础信息!C:E,3,FALSE)</f>
        <v>#N/A</v>
      </c>
    </row>
    <row r="2020" customHeight="1" spans="8:8">
      <c r="H2020" s="39" t="e">
        <f>VLOOKUP(E2020,基础信息!C:E,3,FALSE)</f>
        <v>#N/A</v>
      </c>
    </row>
    <row r="2021" customHeight="1" spans="8:8">
      <c r="H2021" s="39" t="e">
        <f>VLOOKUP(E2021,基础信息!C:E,3,FALSE)</f>
        <v>#N/A</v>
      </c>
    </row>
    <row r="2022" customHeight="1" spans="8:8">
      <c r="H2022" s="39" t="e">
        <f>VLOOKUP(E2022,基础信息!C:E,3,FALSE)</f>
        <v>#N/A</v>
      </c>
    </row>
    <row r="2023" customHeight="1" spans="8:8">
      <c r="H2023" s="39" t="e">
        <f>VLOOKUP(E2023,基础信息!C:E,3,FALSE)</f>
        <v>#N/A</v>
      </c>
    </row>
    <row r="2024" customHeight="1" spans="8:8">
      <c r="H2024" s="39" t="e">
        <f>VLOOKUP(E2024,基础信息!C:E,3,FALSE)</f>
        <v>#N/A</v>
      </c>
    </row>
    <row r="2025" customHeight="1" spans="8:8">
      <c r="H2025" s="39" t="e">
        <f>VLOOKUP(E2025,基础信息!C:E,3,FALSE)</f>
        <v>#N/A</v>
      </c>
    </row>
    <row r="2026" customHeight="1" spans="8:8">
      <c r="H2026" s="39" t="e">
        <f>VLOOKUP(E2026,基础信息!C:E,3,FALSE)</f>
        <v>#N/A</v>
      </c>
    </row>
    <row r="2027" customHeight="1" spans="8:8">
      <c r="H2027" s="39" t="e">
        <f>VLOOKUP(E2027,基础信息!C:E,3,FALSE)</f>
        <v>#N/A</v>
      </c>
    </row>
    <row r="2028" customHeight="1" spans="8:8">
      <c r="H2028" s="39" t="e">
        <f>VLOOKUP(E2028,基础信息!C:E,3,FALSE)</f>
        <v>#N/A</v>
      </c>
    </row>
    <row r="2029" customHeight="1" spans="8:8">
      <c r="H2029" s="39" t="e">
        <f>VLOOKUP(E2029,基础信息!C:E,3,FALSE)</f>
        <v>#N/A</v>
      </c>
    </row>
    <row r="2030" customHeight="1" spans="8:8">
      <c r="H2030" s="39" t="e">
        <f>VLOOKUP(E2030,基础信息!C:E,3,FALSE)</f>
        <v>#N/A</v>
      </c>
    </row>
    <row r="2031" customHeight="1" spans="8:8">
      <c r="H2031" s="39" t="e">
        <f>VLOOKUP(E2031,基础信息!C:E,3,FALSE)</f>
        <v>#N/A</v>
      </c>
    </row>
    <row r="2032" customHeight="1" spans="8:8">
      <c r="H2032" s="39" t="e">
        <f>VLOOKUP(E2032,基础信息!C:E,3,FALSE)</f>
        <v>#N/A</v>
      </c>
    </row>
    <row r="2033" customHeight="1" spans="8:8">
      <c r="H2033" s="39" t="e">
        <f>VLOOKUP(E2033,基础信息!C:E,3,FALSE)</f>
        <v>#N/A</v>
      </c>
    </row>
    <row r="2034" customHeight="1" spans="8:8">
      <c r="H2034" s="39" t="e">
        <f>VLOOKUP(E2034,基础信息!C:E,3,FALSE)</f>
        <v>#N/A</v>
      </c>
    </row>
    <row r="2035" customHeight="1" spans="8:8">
      <c r="H2035" s="39" t="e">
        <f>VLOOKUP(E2035,基础信息!C:E,3,FALSE)</f>
        <v>#N/A</v>
      </c>
    </row>
    <row r="2036" customHeight="1" spans="8:8">
      <c r="H2036" s="39" t="e">
        <f>VLOOKUP(E2036,基础信息!C:E,3,FALSE)</f>
        <v>#N/A</v>
      </c>
    </row>
    <row r="2037" customHeight="1" spans="8:8">
      <c r="H2037" s="39" t="e">
        <f>VLOOKUP(E2037,基础信息!C:E,3,FALSE)</f>
        <v>#N/A</v>
      </c>
    </row>
    <row r="2038" customHeight="1" spans="8:8">
      <c r="H2038" s="39" t="e">
        <f>VLOOKUP(E2038,基础信息!C:E,3,FALSE)</f>
        <v>#N/A</v>
      </c>
    </row>
    <row r="2039" customHeight="1" spans="8:8">
      <c r="H2039" s="39" t="e">
        <f>VLOOKUP(E2039,基础信息!C:E,3,FALSE)</f>
        <v>#N/A</v>
      </c>
    </row>
    <row r="2040" customHeight="1" spans="8:8">
      <c r="H2040" s="39" t="e">
        <f>VLOOKUP(E2040,基础信息!C:E,3,FALSE)</f>
        <v>#N/A</v>
      </c>
    </row>
    <row r="2041" customHeight="1" spans="8:8">
      <c r="H2041" s="39" t="e">
        <f>VLOOKUP(E2041,基础信息!C:E,3,FALSE)</f>
        <v>#N/A</v>
      </c>
    </row>
    <row r="2042" customHeight="1" spans="8:8">
      <c r="H2042" s="39" t="e">
        <f>VLOOKUP(E2042,基础信息!C:E,3,FALSE)</f>
        <v>#N/A</v>
      </c>
    </row>
    <row r="2043" customHeight="1" spans="8:8">
      <c r="H2043" s="39" t="e">
        <f>VLOOKUP(E2043,基础信息!C:E,3,FALSE)</f>
        <v>#N/A</v>
      </c>
    </row>
    <row r="2044" customHeight="1" spans="8:8">
      <c r="H2044" s="39" t="e">
        <f>VLOOKUP(E2044,基础信息!C:E,3,FALSE)</f>
        <v>#N/A</v>
      </c>
    </row>
    <row r="2045" customHeight="1" spans="8:8">
      <c r="H2045" s="39" t="e">
        <f>VLOOKUP(E2045,基础信息!C:E,3,FALSE)</f>
        <v>#N/A</v>
      </c>
    </row>
    <row r="2046" customHeight="1" spans="8:8">
      <c r="H2046" s="39" t="e">
        <f>VLOOKUP(E2046,基础信息!C:E,3,FALSE)</f>
        <v>#N/A</v>
      </c>
    </row>
    <row r="2047" customHeight="1" spans="8:8">
      <c r="H2047" s="39" t="e">
        <f>VLOOKUP(E2047,基础信息!C:E,3,FALSE)</f>
        <v>#N/A</v>
      </c>
    </row>
    <row r="2048" customHeight="1" spans="8:8">
      <c r="H2048" s="39" t="e">
        <f>VLOOKUP(E2048,基础信息!C:E,3,FALSE)</f>
        <v>#N/A</v>
      </c>
    </row>
    <row r="2049" customHeight="1" spans="8:8">
      <c r="H2049" s="39" t="e">
        <f>VLOOKUP(E2049,基础信息!C:E,3,FALSE)</f>
        <v>#N/A</v>
      </c>
    </row>
    <row r="2050" customHeight="1" spans="8:8">
      <c r="H2050" s="39" t="e">
        <f>VLOOKUP(E2050,基础信息!C:E,3,FALSE)</f>
        <v>#N/A</v>
      </c>
    </row>
    <row r="2051" customHeight="1" spans="8:8">
      <c r="H2051" s="39" t="e">
        <f>VLOOKUP(E2051,基础信息!C:E,3,FALSE)</f>
        <v>#N/A</v>
      </c>
    </row>
    <row r="2052" customHeight="1" spans="8:8">
      <c r="H2052" s="39" t="e">
        <f>VLOOKUP(E2052,基础信息!C:E,3,FALSE)</f>
        <v>#N/A</v>
      </c>
    </row>
    <row r="2053" customHeight="1" spans="8:8">
      <c r="H2053" s="39" t="e">
        <f>VLOOKUP(E2053,基础信息!C:E,3,FALSE)</f>
        <v>#N/A</v>
      </c>
    </row>
    <row r="2054" customHeight="1" spans="8:8">
      <c r="H2054" s="39" t="e">
        <f>VLOOKUP(E2054,基础信息!C:E,3,FALSE)</f>
        <v>#N/A</v>
      </c>
    </row>
    <row r="2055" customHeight="1" spans="8:8">
      <c r="H2055" s="39" t="e">
        <f>VLOOKUP(E2055,基础信息!C:E,3,FALSE)</f>
        <v>#N/A</v>
      </c>
    </row>
    <row r="2056" customHeight="1" spans="8:8">
      <c r="H2056" s="39" t="e">
        <f>VLOOKUP(E2056,基础信息!C:E,3,FALSE)</f>
        <v>#N/A</v>
      </c>
    </row>
    <row r="2057" customHeight="1" spans="8:8">
      <c r="H2057" s="39" t="e">
        <f>VLOOKUP(E2057,基础信息!C:E,3,FALSE)</f>
        <v>#N/A</v>
      </c>
    </row>
    <row r="2058" customHeight="1" spans="8:8">
      <c r="H2058" s="39" t="e">
        <f>VLOOKUP(E2058,基础信息!C:E,3,FALSE)</f>
        <v>#N/A</v>
      </c>
    </row>
    <row r="2059" customHeight="1" spans="8:8">
      <c r="H2059" s="39" t="e">
        <f>VLOOKUP(E2059,基础信息!C:E,3,FALSE)</f>
        <v>#N/A</v>
      </c>
    </row>
    <row r="2060" customHeight="1" spans="8:8">
      <c r="H2060" s="39" t="e">
        <f>VLOOKUP(E2060,基础信息!C:E,3,FALSE)</f>
        <v>#N/A</v>
      </c>
    </row>
    <row r="2061" customHeight="1" spans="8:8">
      <c r="H2061" s="39" t="e">
        <f>VLOOKUP(E2061,基础信息!C:E,3,FALSE)</f>
        <v>#N/A</v>
      </c>
    </row>
    <row r="2062" customHeight="1" spans="8:8">
      <c r="H2062" s="39" t="e">
        <f>VLOOKUP(E2062,基础信息!C:E,3,FALSE)</f>
        <v>#N/A</v>
      </c>
    </row>
    <row r="2063" customHeight="1" spans="8:8">
      <c r="H2063" s="39" t="e">
        <f>VLOOKUP(E2063,基础信息!C:E,3,FALSE)</f>
        <v>#N/A</v>
      </c>
    </row>
    <row r="2064" customHeight="1" spans="8:8">
      <c r="H2064" s="39" t="e">
        <f>VLOOKUP(E2064,基础信息!C:E,3,FALSE)</f>
        <v>#N/A</v>
      </c>
    </row>
    <row r="2065" customHeight="1" spans="8:8">
      <c r="H2065" s="39" t="e">
        <f>VLOOKUP(E2065,基础信息!C:E,3,FALSE)</f>
        <v>#N/A</v>
      </c>
    </row>
    <row r="2066" customHeight="1" spans="8:8">
      <c r="H2066" s="39" t="e">
        <f>VLOOKUP(E2066,基础信息!C:E,3,FALSE)</f>
        <v>#N/A</v>
      </c>
    </row>
    <row r="2067" customHeight="1" spans="8:8">
      <c r="H2067" s="39" t="e">
        <f>VLOOKUP(E2067,基础信息!C:E,3,FALSE)</f>
        <v>#N/A</v>
      </c>
    </row>
    <row r="2068" customHeight="1" spans="8:8">
      <c r="H2068" s="39" t="e">
        <f>VLOOKUP(E2068,基础信息!C:E,3,FALSE)</f>
        <v>#N/A</v>
      </c>
    </row>
    <row r="2069" customHeight="1" spans="8:8">
      <c r="H2069" s="39" t="e">
        <f>VLOOKUP(E2069,基础信息!C:E,3,FALSE)</f>
        <v>#N/A</v>
      </c>
    </row>
    <row r="2070" customHeight="1" spans="8:8">
      <c r="H2070" s="39" t="e">
        <f>VLOOKUP(E2070,基础信息!C:E,3,FALSE)</f>
        <v>#N/A</v>
      </c>
    </row>
    <row r="2071" customHeight="1" spans="8:8">
      <c r="H2071" s="39" t="e">
        <f>VLOOKUP(E2071,基础信息!C:E,3,FALSE)</f>
        <v>#N/A</v>
      </c>
    </row>
    <row r="2072" customHeight="1" spans="8:8">
      <c r="H2072" s="39" t="e">
        <f>VLOOKUP(E2072,基础信息!C:E,3,FALSE)</f>
        <v>#N/A</v>
      </c>
    </row>
    <row r="2073" customHeight="1" spans="8:8">
      <c r="H2073" s="39" t="e">
        <f>VLOOKUP(E2073,基础信息!C:E,3,FALSE)</f>
        <v>#N/A</v>
      </c>
    </row>
    <row r="2074" customHeight="1" spans="8:8">
      <c r="H2074" s="39" t="e">
        <f>VLOOKUP(E2074,基础信息!C:E,3,FALSE)</f>
        <v>#N/A</v>
      </c>
    </row>
    <row r="2075" customHeight="1" spans="8:8">
      <c r="H2075" s="39" t="e">
        <f>VLOOKUP(E2075,基础信息!C:E,3,FALSE)</f>
        <v>#N/A</v>
      </c>
    </row>
    <row r="2076" customHeight="1" spans="8:8">
      <c r="H2076" s="39" t="e">
        <f>VLOOKUP(E2076,基础信息!C:E,3,FALSE)</f>
        <v>#N/A</v>
      </c>
    </row>
    <row r="2077" customHeight="1" spans="8:8">
      <c r="H2077" s="39" t="e">
        <f>VLOOKUP(E2077,基础信息!C:E,3,FALSE)</f>
        <v>#N/A</v>
      </c>
    </row>
    <row r="2078" customHeight="1" spans="8:8">
      <c r="H2078" s="39" t="e">
        <f>VLOOKUP(E2078,基础信息!C:E,3,FALSE)</f>
        <v>#N/A</v>
      </c>
    </row>
    <row r="2079" customHeight="1" spans="8:8">
      <c r="H2079" s="39" t="e">
        <f>VLOOKUP(E2079,基础信息!C:E,3,FALSE)</f>
        <v>#N/A</v>
      </c>
    </row>
    <row r="2080" customHeight="1" spans="8:8">
      <c r="H2080" s="39" t="e">
        <f>VLOOKUP(E2080,基础信息!C:E,3,FALSE)</f>
        <v>#N/A</v>
      </c>
    </row>
    <row r="2081" customHeight="1" spans="8:8">
      <c r="H2081" s="39" t="e">
        <f>VLOOKUP(E2081,基础信息!C:E,3,FALSE)</f>
        <v>#N/A</v>
      </c>
    </row>
    <row r="2082" customHeight="1" spans="8:8">
      <c r="H2082" s="39" t="e">
        <f>VLOOKUP(E2082,基础信息!C:E,3,FALSE)</f>
        <v>#N/A</v>
      </c>
    </row>
    <row r="2083" customHeight="1" spans="8:8">
      <c r="H2083" s="39" t="e">
        <f>VLOOKUP(E2083,基础信息!C:E,3,FALSE)</f>
        <v>#N/A</v>
      </c>
    </row>
    <row r="2084" customHeight="1" spans="8:8">
      <c r="H2084" s="39" t="e">
        <f>VLOOKUP(E2084,基础信息!C:E,3,FALSE)</f>
        <v>#N/A</v>
      </c>
    </row>
    <row r="2085" customHeight="1" spans="8:8">
      <c r="H2085" s="39" t="e">
        <f>VLOOKUP(E2085,基础信息!C:E,3,FALSE)</f>
        <v>#N/A</v>
      </c>
    </row>
    <row r="2086" customHeight="1" spans="8:8">
      <c r="H2086" s="39" t="e">
        <f>VLOOKUP(E2086,基础信息!C:E,3,FALSE)</f>
        <v>#N/A</v>
      </c>
    </row>
    <row r="2087" customHeight="1" spans="8:8">
      <c r="H2087" s="39" t="e">
        <f>VLOOKUP(E2087,基础信息!C:E,3,FALSE)</f>
        <v>#N/A</v>
      </c>
    </row>
    <row r="2088" customHeight="1" spans="8:8">
      <c r="H2088" s="39" t="e">
        <f>VLOOKUP(E2088,基础信息!C:E,3,FALSE)</f>
        <v>#N/A</v>
      </c>
    </row>
    <row r="2089" customHeight="1" spans="8:8">
      <c r="H2089" s="39" t="e">
        <f>VLOOKUP(E2089,基础信息!C:E,3,FALSE)</f>
        <v>#N/A</v>
      </c>
    </row>
    <row r="2090" customHeight="1" spans="8:8">
      <c r="H2090" s="39" t="e">
        <f>VLOOKUP(E2090,基础信息!C:E,3,FALSE)</f>
        <v>#N/A</v>
      </c>
    </row>
    <row r="2091" customHeight="1" spans="8:8">
      <c r="H2091" s="39" t="e">
        <f>VLOOKUP(E2091,基础信息!C:E,3,FALSE)</f>
        <v>#N/A</v>
      </c>
    </row>
    <row r="2092" customHeight="1" spans="8:8">
      <c r="H2092" s="39" t="e">
        <f>VLOOKUP(E2092,基础信息!C:E,3,FALSE)</f>
        <v>#N/A</v>
      </c>
    </row>
    <row r="2093" customHeight="1" spans="8:8">
      <c r="H2093" s="39" t="e">
        <f>VLOOKUP(E2093,基础信息!C:E,3,FALSE)</f>
        <v>#N/A</v>
      </c>
    </row>
    <row r="2094" customHeight="1" spans="8:8">
      <c r="H2094" s="39" t="e">
        <f>VLOOKUP(E2094,基础信息!C:E,3,FALSE)</f>
        <v>#N/A</v>
      </c>
    </row>
    <row r="2095" customHeight="1" spans="8:8">
      <c r="H2095" s="39" t="e">
        <f>VLOOKUP(E2095,基础信息!C:E,3,FALSE)</f>
        <v>#N/A</v>
      </c>
    </row>
    <row r="2096" customHeight="1" spans="8:8">
      <c r="H2096" s="39" t="e">
        <f>VLOOKUP(E2096,基础信息!C:E,3,FALSE)</f>
        <v>#N/A</v>
      </c>
    </row>
    <row r="2097" customHeight="1" spans="8:8">
      <c r="H2097" s="39" t="e">
        <f>VLOOKUP(E2097,基础信息!C:E,3,FALSE)</f>
        <v>#N/A</v>
      </c>
    </row>
    <row r="2098" customHeight="1" spans="8:8">
      <c r="H2098" s="39" t="e">
        <f>VLOOKUP(E2098,基础信息!C:E,3,FALSE)</f>
        <v>#N/A</v>
      </c>
    </row>
    <row r="2099" customHeight="1" spans="8:8">
      <c r="H2099" s="39" t="e">
        <f>VLOOKUP(E2099,基础信息!C:E,3,FALSE)</f>
        <v>#N/A</v>
      </c>
    </row>
    <row r="2100" customHeight="1" spans="8:8">
      <c r="H2100" s="39" t="e">
        <f>VLOOKUP(E2100,基础信息!C:E,3,FALSE)</f>
        <v>#N/A</v>
      </c>
    </row>
    <row r="2101" customHeight="1" spans="8:8">
      <c r="H2101" s="39" t="e">
        <f>VLOOKUP(E2101,基础信息!C:E,3,FALSE)</f>
        <v>#N/A</v>
      </c>
    </row>
    <row r="2102" customHeight="1" spans="8:8">
      <c r="H2102" s="39" t="e">
        <f>VLOOKUP(E2102,基础信息!C:E,3,FALSE)</f>
        <v>#N/A</v>
      </c>
    </row>
    <row r="2103" customHeight="1" spans="8:8">
      <c r="H2103" s="39" t="e">
        <f>VLOOKUP(E2103,基础信息!C:E,3,FALSE)</f>
        <v>#N/A</v>
      </c>
    </row>
    <row r="2104" customHeight="1" spans="8:8">
      <c r="H2104" s="39" t="e">
        <f>VLOOKUP(E2104,基础信息!C:E,3,FALSE)</f>
        <v>#N/A</v>
      </c>
    </row>
    <row r="2105" customHeight="1" spans="8:8">
      <c r="H2105" s="39" t="e">
        <f>VLOOKUP(E2105,基础信息!C:E,3,FALSE)</f>
        <v>#N/A</v>
      </c>
    </row>
    <row r="2106" customHeight="1" spans="8:8">
      <c r="H2106" s="39" t="e">
        <f>VLOOKUP(E2106,基础信息!C:E,3,FALSE)</f>
        <v>#N/A</v>
      </c>
    </row>
    <row r="2107" customHeight="1" spans="8:8">
      <c r="H2107" s="39" t="e">
        <f>VLOOKUP(E2107,基础信息!C:E,3,FALSE)</f>
        <v>#N/A</v>
      </c>
    </row>
    <row r="2108" customHeight="1" spans="8:8">
      <c r="H2108" s="39" t="e">
        <f>VLOOKUP(E2108,基础信息!C:E,3,FALSE)</f>
        <v>#N/A</v>
      </c>
    </row>
    <row r="2109" customHeight="1" spans="8:8">
      <c r="H2109" s="39" t="e">
        <f>VLOOKUP(E2109,基础信息!C:E,3,FALSE)</f>
        <v>#N/A</v>
      </c>
    </row>
    <row r="2110" customHeight="1" spans="8:8">
      <c r="H2110" s="39" t="e">
        <f>VLOOKUP(E2110,基础信息!C:E,3,FALSE)</f>
        <v>#N/A</v>
      </c>
    </row>
    <row r="2111" customHeight="1" spans="8:8">
      <c r="H2111" s="39" t="e">
        <f>VLOOKUP(E2111,基础信息!C:E,3,FALSE)</f>
        <v>#N/A</v>
      </c>
    </row>
    <row r="2112" customHeight="1" spans="8:8">
      <c r="H2112" s="39" t="e">
        <f>VLOOKUP(E2112,基础信息!C:E,3,FALSE)</f>
        <v>#N/A</v>
      </c>
    </row>
    <row r="2113" customHeight="1" spans="8:8">
      <c r="H2113" s="39" t="e">
        <f>VLOOKUP(E2113,基础信息!C:E,3,FALSE)</f>
        <v>#N/A</v>
      </c>
    </row>
    <row r="2114" customHeight="1" spans="8:8">
      <c r="H2114" s="39" t="e">
        <f>VLOOKUP(E2114,基础信息!C:E,3,FALSE)</f>
        <v>#N/A</v>
      </c>
    </row>
    <row r="2115" customHeight="1" spans="8:8">
      <c r="H2115" s="39" t="e">
        <f>VLOOKUP(E2115,基础信息!C:E,3,FALSE)</f>
        <v>#N/A</v>
      </c>
    </row>
    <row r="2116" customHeight="1" spans="8:8">
      <c r="H2116" s="39" t="e">
        <f>VLOOKUP(E2116,基础信息!C:E,3,FALSE)</f>
        <v>#N/A</v>
      </c>
    </row>
    <row r="2117" customHeight="1" spans="8:8">
      <c r="H2117" s="39" t="e">
        <f>VLOOKUP(E2117,基础信息!C:E,3,FALSE)</f>
        <v>#N/A</v>
      </c>
    </row>
    <row r="2118" customHeight="1" spans="8:8">
      <c r="H2118" s="39" t="e">
        <f>VLOOKUP(E2118,基础信息!C:E,3,FALSE)</f>
        <v>#N/A</v>
      </c>
    </row>
    <row r="2119" customHeight="1" spans="8:8">
      <c r="H2119" s="39" t="e">
        <f>VLOOKUP(E2119,基础信息!C:E,3,FALSE)</f>
        <v>#N/A</v>
      </c>
    </row>
    <row r="2120" customHeight="1" spans="8:8">
      <c r="H2120" s="39" t="e">
        <f>VLOOKUP(E2120,基础信息!C:E,3,FALSE)</f>
        <v>#N/A</v>
      </c>
    </row>
    <row r="2121" customHeight="1" spans="8:8">
      <c r="H2121" s="39" t="e">
        <f>VLOOKUP(E2121,基础信息!C:E,3,FALSE)</f>
        <v>#N/A</v>
      </c>
    </row>
    <row r="2122" customHeight="1" spans="8:8">
      <c r="H2122" s="39" t="e">
        <f>VLOOKUP(E2122,基础信息!C:E,3,FALSE)</f>
        <v>#N/A</v>
      </c>
    </row>
    <row r="2123" customHeight="1" spans="8:8">
      <c r="H2123" s="39" t="e">
        <f>VLOOKUP(E2123,基础信息!C:E,3,FALSE)</f>
        <v>#N/A</v>
      </c>
    </row>
    <row r="2124" customHeight="1" spans="8:8">
      <c r="H2124" s="39" t="e">
        <f>VLOOKUP(E2124,基础信息!C:E,3,FALSE)</f>
        <v>#N/A</v>
      </c>
    </row>
    <row r="2125" customHeight="1" spans="8:8">
      <c r="H2125" s="39" t="e">
        <f>VLOOKUP(E2125,基础信息!C:E,3,FALSE)</f>
        <v>#N/A</v>
      </c>
    </row>
    <row r="2126" customHeight="1" spans="8:8">
      <c r="H2126" s="39" t="e">
        <f>VLOOKUP(E2126,基础信息!C:E,3,FALSE)</f>
        <v>#N/A</v>
      </c>
    </row>
    <row r="2127" customHeight="1" spans="8:8">
      <c r="H2127" s="39" t="e">
        <f>VLOOKUP(E2127,基础信息!C:E,3,FALSE)</f>
        <v>#N/A</v>
      </c>
    </row>
    <row r="2128" customHeight="1" spans="8:8">
      <c r="H2128" s="39" t="e">
        <f>VLOOKUP(E2128,基础信息!C:E,3,FALSE)</f>
        <v>#N/A</v>
      </c>
    </row>
    <row r="2129" customHeight="1" spans="8:8">
      <c r="H2129" s="39" t="e">
        <f>VLOOKUP(E2129,基础信息!C:E,3,FALSE)</f>
        <v>#N/A</v>
      </c>
    </row>
    <row r="2130" customHeight="1" spans="8:8">
      <c r="H2130" s="39" t="e">
        <f>VLOOKUP(E2130,基础信息!C:E,3,FALSE)</f>
        <v>#N/A</v>
      </c>
    </row>
    <row r="2131" customHeight="1" spans="8:8">
      <c r="H2131" s="39" t="e">
        <f>VLOOKUP(E2131,基础信息!C:E,3,FALSE)</f>
        <v>#N/A</v>
      </c>
    </row>
    <row r="2132" customHeight="1" spans="8:8">
      <c r="H2132" s="39" t="e">
        <f>VLOOKUP(E2132,基础信息!C:E,3,FALSE)</f>
        <v>#N/A</v>
      </c>
    </row>
    <row r="2133" customHeight="1" spans="8:8">
      <c r="H2133" s="39" t="e">
        <f>VLOOKUP(E2133,基础信息!C:E,3,FALSE)</f>
        <v>#N/A</v>
      </c>
    </row>
    <row r="2134" customHeight="1" spans="8:8">
      <c r="H2134" s="39" t="e">
        <f>VLOOKUP(E2134,基础信息!C:E,3,FALSE)</f>
        <v>#N/A</v>
      </c>
    </row>
    <row r="2135" customHeight="1" spans="8:8">
      <c r="H2135" s="39" t="e">
        <f>VLOOKUP(E2135,基础信息!C:E,3,FALSE)</f>
        <v>#N/A</v>
      </c>
    </row>
    <row r="2136" customHeight="1" spans="8:8">
      <c r="H2136" s="39" t="e">
        <f>VLOOKUP(E2136,基础信息!C:E,3,FALSE)</f>
        <v>#N/A</v>
      </c>
    </row>
    <row r="2137" customHeight="1" spans="8:8">
      <c r="H2137" s="39" t="e">
        <f>VLOOKUP(E2137,基础信息!C:E,3,FALSE)</f>
        <v>#N/A</v>
      </c>
    </row>
    <row r="2138" customHeight="1" spans="8:8">
      <c r="H2138" s="39" t="e">
        <f>VLOOKUP(E2138,基础信息!C:E,3,FALSE)</f>
        <v>#N/A</v>
      </c>
    </row>
    <row r="2139" customHeight="1" spans="8:8">
      <c r="H2139" s="39" t="e">
        <f>VLOOKUP(E2139,基础信息!C:E,3,FALSE)</f>
        <v>#N/A</v>
      </c>
    </row>
    <row r="2140" customHeight="1" spans="8:8">
      <c r="H2140" s="39" t="e">
        <f>VLOOKUP(E2140,基础信息!C:E,3,FALSE)</f>
        <v>#N/A</v>
      </c>
    </row>
    <row r="2141" customHeight="1" spans="8:8">
      <c r="H2141" s="39" t="e">
        <f>VLOOKUP(E2141,基础信息!C:E,3,FALSE)</f>
        <v>#N/A</v>
      </c>
    </row>
    <row r="2142" customHeight="1" spans="8:8">
      <c r="H2142" s="39" t="e">
        <f>VLOOKUP(E2142,基础信息!C:E,3,FALSE)</f>
        <v>#N/A</v>
      </c>
    </row>
    <row r="2143" customHeight="1" spans="8:8">
      <c r="H2143" s="39" t="e">
        <f>VLOOKUP(E2143,基础信息!C:E,3,FALSE)</f>
        <v>#N/A</v>
      </c>
    </row>
    <row r="2144" customHeight="1" spans="8:8">
      <c r="H2144" s="39" t="e">
        <f>VLOOKUP(E2144,基础信息!C:E,3,FALSE)</f>
        <v>#N/A</v>
      </c>
    </row>
    <row r="2145" customHeight="1" spans="8:8">
      <c r="H2145" s="39" t="e">
        <f>VLOOKUP(E2145,基础信息!C:E,3,FALSE)</f>
        <v>#N/A</v>
      </c>
    </row>
    <row r="2146" customHeight="1" spans="8:8">
      <c r="H2146" s="39" t="e">
        <f>VLOOKUP(E2146,基础信息!C:E,3,FALSE)</f>
        <v>#N/A</v>
      </c>
    </row>
    <row r="2147" customHeight="1" spans="8:8">
      <c r="H2147" s="39" t="e">
        <f>VLOOKUP(E2147,基础信息!C:E,3,FALSE)</f>
        <v>#N/A</v>
      </c>
    </row>
    <row r="2148" customHeight="1" spans="8:8">
      <c r="H2148" s="39" t="e">
        <f>VLOOKUP(E2148,基础信息!C:E,3,FALSE)</f>
        <v>#N/A</v>
      </c>
    </row>
    <row r="2149" customHeight="1" spans="8:8">
      <c r="H2149" s="39" t="e">
        <f>VLOOKUP(E2149,基础信息!C:E,3,FALSE)</f>
        <v>#N/A</v>
      </c>
    </row>
    <row r="2150" customHeight="1" spans="8:8">
      <c r="H2150" s="39" t="e">
        <f>VLOOKUP(E2150,基础信息!C:E,3,FALSE)</f>
        <v>#N/A</v>
      </c>
    </row>
    <row r="2151" customHeight="1" spans="8:8">
      <c r="H2151" s="39" t="e">
        <f>VLOOKUP(E2151,基础信息!C:E,3,FALSE)</f>
        <v>#N/A</v>
      </c>
    </row>
    <row r="2152" customHeight="1" spans="8:8">
      <c r="H2152" s="39" t="e">
        <f>VLOOKUP(E2152,基础信息!C:E,3,FALSE)</f>
        <v>#N/A</v>
      </c>
    </row>
    <row r="2153" customHeight="1" spans="8:8">
      <c r="H2153" s="39" t="e">
        <f>VLOOKUP(E2153,基础信息!C:E,3,FALSE)</f>
        <v>#N/A</v>
      </c>
    </row>
    <row r="2154" customHeight="1" spans="8:8">
      <c r="H2154" s="39" t="e">
        <f>VLOOKUP(E2154,基础信息!C:E,3,FALSE)</f>
        <v>#N/A</v>
      </c>
    </row>
    <row r="2155" customHeight="1" spans="8:8">
      <c r="H2155" s="39" t="e">
        <f>VLOOKUP(E2155,基础信息!C:E,3,FALSE)</f>
        <v>#N/A</v>
      </c>
    </row>
    <row r="2156" customHeight="1" spans="8:8">
      <c r="H2156" s="39" t="e">
        <f>VLOOKUP(E2156,基础信息!C:E,3,FALSE)</f>
        <v>#N/A</v>
      </c>
    </row>
    <row r="2157" customHeight="1" spans="8:8">
      <c r="H2157" s="39" t="e">
        <f>VLOOKUP(E2157,基础信息!C:E,3,FALSE)</f>
        <v>#N/A</v>
      </c>
    </row>
    <row r="2158" customHeight="1" spans="8:8">
      <c r="H2158" s="39" t="e">
        <f>VLOOKUP(E2158,基础信息!C:E,3,FALSE)</f>
        <v>#N/A</v>
      </c>
    </row>
    <row r="2159" customHeight="1" spans="8:8">
      <c r="H2159" s="39" t="e">
        <f>VLOOKUP(E2159,基础信息!C:E,3,FALSE)</f>
        <v>#N/A</v>
      </c>
    </row>
    <row r="2160" customHeight="1" spans="8:8">
      <c r="H2160" s="39" t="e">
        <f>VLOOKUP(E2160,基础信息!C:E,3,FALSE)</f>
        <v>#N/A</v>
      </c>
    </row>
    <row r="2161" customHeight="1" spans="8:8">
      <c r="H2161" s="39" t="e">
        <f>VLOOKUP(E2161,基础信息!C:E,3,FALSE)</f>
        <v>#N/A</v>
      </c>
    </row>
    <row r="2162" customHeight="1" spans="8:8">
      <c r="H2162" s="39" t="e">
        <f>VLOOKUP(E2162,基础信息!C:E,3,FALSE)</f>
        <v>#N/A</v>
      </c>
    </row>
    <row r="2163" customHeight="1" spans="8:8">
      <c r="H2163" s="39" t="e">
        <f>VLOOKUP(E2163,基础信息!C:E,3,FALSE)</f>
        <v>#N/A</v>
      </c>
    </row>
    <row r="2164" customHeight="1" spans="8:8">
      <c r="H2164" s="39" t="e">
        <f>VLOOKUP(E2164,基础信息!C:E,3,FALSE)</f>
        <v>#N/A</v>
      </c>
    </row>
    <row r="2165" customHeight="1" spans="8:8">
      <c r="H2165" s="39" t="e">
        <f>VLOOKUP(E2165,基础信息!C:E,3,FALSE)</f>
        <v>#N/A</v>
      </c>
    </row>
    <row r="2166" customHeight="1" spans="8:8">
      <c r="H2166" s="39" t="e">
        <f>VLOOKUP(E2166,基础信息!C:E,3,FALSE)</f>
        <v>#N/A</v>
      </c>
    </row>
    <row r="2167" customHeight="1" spans="8:8">
      <c r="H2167" s="39" t="e">
        <f>VLOOKUP(E2167,基础信息!C:E,3,FALSE)</f>
        <v>#N/A</v>
      </c>
    </row>
    <row r="2168" customHeight="1" spans="8:8">
      <c r="H2168" s="39" t="e">
        <f>VLOOKUP(E2168,基础信息!C:E,3,FALSE)</f>
        <v>#N/A</v>
      </c>
    </row>
    <row r="2169" customHeight="1" spans="8:8">
      <c r="H2169" s="39" t="e">
        <f>VLOOKUP(E2169,基础信息!C:E,3,FALSE)</f>
        <v>#N/A</v>
      </c>
    </row>
    <row r="2170" customHeight="1" spans="8:8">
      <c r="H2170" s="39" t="e">
        <f>VLOOKUP(E2170,基础信息!C:E,3,FALSE)</f>
        <v>#N/A</v>
      </c>
    </row>
    <row r="2171" customHeight="1" spans="8:8">
      <c r="H2171" s="39" t="e">
        <f>VLOOKUP(E2171,基础信息!C:E,3,FALSE)</f>
        <v>#N/A</v>
      </c>
    </row>
    <row r="2172" customHeight="1" spans="8:8">
      <c r="H2172" s="39" t="e">
        <f>VLOOKUP(E2172,基础信息!C:E,3,FALSE)</f>
        <v>#N/A</v>
      </c>
    </row>
    <row r="2173" customHeight="1" spans="8:8">
      <c r="H2173" s="39" t="e">
        <f>VLOOKUP(E2173,基础信息!C:E,3,FALSE)</f>
        <v>#N/A</v>
      </c>
    </row>
    <row r="2174" customHeight="1" spans="8:8">
      <c r="H2174" s="39" t="e">
        <f>VLOOKUP(E2174,基础信息!C:E,3,FALSE)</f>
        <v>#N/A</v>
      </c>
    </row>
    <row r="2175" customHeight="1" spans="8:8">
      <c r="H2175" s="39" t="e">
        <f>VLOOKUP(E2175,基础信息!C:E,3,FALSE)</f>
        <v>#N/A</v>
      </c>
    </row>
    <row r="2176" customHeight="1" spans="8:8">
      <c r="H2176" s="39" t="e">
        <f>VLOOKUP(E2176,基础信息!C:E,3,FALSE)</f>
        <v>#N/A</v>
      </c>
    </row>
    <row r="2177" customHeight="1" spans="8:8">
      <c r="H2177" s="39" t="e">
        <f>VLOOKUP(E2177,基础信息!C:E,3,FALSE)</f>
        <v>#N/A</v>
      </c>
    </row>
    <row r="2178" customHeight="1" spans="8:8">
      <c r="H2178" s="39" t="e">
        <f>VLOOKUP(E2178,基础信息!C:E,3,FALSE)</f>
        <v>#N/A</v>
      </c>
    </row>
    <row r="2179" customHeight="1" spans="8:8">
      <c r="H2179" s="39" t="e">
        <f>VLOOKUP(E2179,基础信息!C:E,3,FALSE)</f>
        <v>#N/A</v>
      </c>
    </row>
    <row r="2180" customHeight="1" spans="8:8">
      <c r="H2180" s="39" t="e">
        <f>VLOOKUP(E2180,基础信息!C:E,3,FALSE)</f>
        <v>#N/A</v>
      </c>
    </row>
    <row r="2181" customHeight="1" spans="8:8">
      <c r="H2181" s="39" t="e">
        <f>VLOOKUP(E2181,基础信息!C:E,3,FALSE)</f>
        <v>#N/A</v>
      </c>
    </row>
    <row r="2182" customHeight="1" spans="8:8">
      <c r="H2182" s="39" t="e">
        <f>VLOOKUP(E2182,基础信息!C:E,3,FALSE)</f>
        <v>#N/A</v>
      </c>
    </row>
    <row r="2183" customHeight="1" spans="8:8">
      <c r="H2183" s="39" t="e">
        <f>VLOOKUP(E2183,基础信息!C:E,3,FALSE)</f>
        <v>#N/A</v>
      </c>
    </row>
    <row r="2184" customHeight="1" spans="8:8">
      <c r="H2184" s="39" t="e">
        <f>VLOOKUP(E2184,基础信息!C:E,3,FALSE)</f>
        <v>#N/A</v>
      </c>
    </row>
    <row r="2185" customHeight="1" spans="8:8">
      <c r="H2185" s="39" t="e">
        <f>VLOOKUP(E2185,基础信息!C:E,3,FALSE)</f>
        <v>#N/A</v>
      </c>
    </row>
    <row r="2186" customHeight="1" spans="8:8">
      <c r="H2186" s="39" t="e">
        <f>VLOOKUP(E2186,基础信息!C:E,3,FALSE)</f>
        <v>#N/A</v>
      </c>
    </row>
    <row r="2187" customHeight="1" spans="8:8">
      <c r="H2187" s="39" t="e">
        <f>VLOOKUP(E2187,基础信息!C:E,3,FALSE)</f>
        <v>#N/A</v>
      </c>
    </row>
    <row r="2188" customHeight="1" spans="8:8">
      <c r="H2188" s="39" t="e">
        <f>VLOOKUP(E2188,基础信息!C:E,3,FALSE)</f>
        <v>#N/A</v>
      </c>
    </row>
    <row r="2189" customHeight="1" spans="8:8">
      <c r="H2189" s="39" t="e">
        <f>VLOOKUP(E2189,基础信息!C:E,3,FALSE)</f>
        <v>#N/A</v>
      </c>
    </row>
    <row r="2190" customHeight="1" spans="8:8">
      <c r="H2190" s="39" t="e">
        <f>VLOOKUP(E2190,基础信息!C:E,3,FALSE)</f>
        <v>#N/A</v>
      </c>
    </row>
    <row r="2191" customHeight="1" spans="8:8">
      <c r="H2191" s="39" t="e">
        <f>VLOOKUP(E2191,基础信息!C:E,3,FALSE)</f>
        <v>#N/A</v>
      </c>
    </row>
    <row r="2192" customHeight="1" spans="8:8">
      <c r="H2192" s="39" t="e">
        <f>VLOOKUP(E2192,基础信息!C:E,3,FALSE)</f>
        <v>#N/A</v>
      </c>
    </row>
    <row r="2193" customHeight="1" spans="8:8">
      <c r="H2193" s="39" t="e">
        <f>VLOOKUP(E2193,基础信息!C:E,3,FALSE)</f>
        <v>#N/A</v>
      </c>
    </row>
    <row r="2194" customHeight="1" spans="8:8">
      <c r="H2194" s="39" t="e">
        <f>VLOOKUP(E2194,基础信息!C:E,3,FALSE)</f>
        <v>#N/A</v>
      </c>
    </row>
    <row r="2195" customHeight="1" spans="8:8">
      <c r="H2195" s="39" t="e">
        <f>VLOOKUP(E2195,基础信息!C:E,3,FALSE)</f>
        <v>#N/A</v>
      </c>
    </row>
    <row r="2196" customHeight="1" spans="8:8">
      <c r="H2196" s="39" t="e">
        <f>VLOOKUP(E2196,基础信息!C:E,3,FALSE)</f>
        <v>#N/A</v>
      </c>
    </row>
    <row r="2197" customHeight="1" spans="8:8">
      <c r="H2197" s="39" t="e">
        <f>VLOOKUP(E2197,基础信息!C:E,3,FALSE)</f>
        <v>#N/A</v>
      </c>
    </row>
    <row r="2198" customHeight="1" spans="8:8">
      <c r="H2198" s="39" t="e">
        <f>VLOOKUP(E2198,基础信息!C:E,3,FALSE)</f>
        <v>#N/A</v>
      </c>
    </row>
    <row r="2199" customHeight="1" spans="8:8">
      <c r="H2199" s="39" t="e">
        <f>VLOOKUP(E2199,基础信息!C:E,3,FALSE)</f>
        <v>#N/A</v>
      </c>
    </row>
    <row r="2200" customHeight="1" spans="8:8">
      <c r="H2200" s="39" t="e">
        <f>VLOOKUP(E2200,基础信息!C:E,3,FALSE)</f>
        <v>#N/A</v>
      </c>
    </row>
    <row r="2201" customHeight="1" spans="8:8">
      <c r="H2201" s="39" t="e">
        <f>VLOOKUP(E2201,基础信息!C:E,3,FALSE)</f>
        <v>#N/A</v>
      </c>
    </row>
    <row r="2202" customHeight="1" spans="8:8">
      <c r="H2202" s="39" t="e">
        <f>VLOOKUP(E2202,基础信息!C:E,3,FALSE)</f>
        <v>#N/A</v>
      </c>
    </row>
    <row r="2203" customHeight="1" spans="8:8">
      <c r="H2203" s="39" t="e">
        <f>VLOOKUP(E2203,基础信息!C:E,3,FALSE)</f>
        <v>#N/A</v>
      </c>
    </row>
    <row r="2204" customHeight="1" spans="8:8">
      <c r="H2204" s="39" t="e">
        <f>VLOOKUP(E2204,基础信息!C:E,3,FALSE)</f>
        <v>#N/A</v>
      </c>
    </row>
    <row r="2205" customHeight="1" spans="8:8">
      <c r="H2205" s="39" t="e">
        <f>VLOOKUP(E2205,基础信息!C:E,3,FALSE)</f>
        <v>#N/A</v>
      </c>
    </row>
    <row r="2206" customHeight="1" spans="8:8">
      <c r="H2206" s="39" t="e">
        <f>VLOOKUP(E2206,基础信息!C:E,3,FALSE)</f>
        <v>#N/A</v>
      </c>
    </row>
    <row r="2207" customHeight="1" spans="8:8">
      <c r="H2207" s="39" t="e">
        <f>VLOOKUP(E2207,基础信息!C:E,3,FALSE)</f>
        <v>#N/A</v>
      </c>
    </row>
    <row r="2208" customHeight="1" spans="8:8">
      <c r="H2208" s="39" t="e">
        <f>VLOOKUP(E2208,基础信息!C:E,3,FALSE)</f>
        <v>#N/A</v>
      </c>
    </row>
    <row r="2209" customHeight="1" spans="8:8">
      <c r="H2209" s="39" t="e">
        <f>VLOOKUP(E2209,基础信息!C:E,3,FALSE)</f>
        <v>#N/A</v>
      </c>
    </row>
    <row r="2210" customHeight="1" spans="8:8">
      <c r="H2210" s="39" t="e">
        <f>VLOOKUP(E2210,基础信息!C:E,3,FALSE)</f>
        <v>#N/A</v>
      </c>
    </row>
    <row r="2211" customHeight="1" spans="8:8">
      <c r="H2211" s="39" t="e">
        <f>VLOOKUP(E2211,基础信息!C:E,3,FALSE)</f>
        <v>#N/A</v>
      </c>
    </row>
    <row r="2212" customHeight="1" spans="8:8">
      <c r="H2212" s="39" t="e">
        <f>VLOOKUP(E2212,基础信息!C:E,3,FALSE)</f>
        <v>#N/A</v>
      </c>
    </row>
    <row r="2213" customHeight="1" spans="8:8">
      <c r="H2213" s="39" t="e">
        <f>VLOOKUP(E2213,基础信息!C:E,3,FALSE)</f>
        <v>#N/A</v>
      </c>
    </row>
    <row r="2214" customHeight="1" spans="8:8">
      <c r="H2214" s="39" t="e">
        <f>VLOOKUP(E2214,基础信息!C:E,3,FALSE)</f>
        <v>#N/A</v>
      </c>
    </row>
    <row r="2215" customHeight="1" spans="8:8">
      <c r="H2215" s="39" t="e">
        <f>VLOOKUP(E2215,基础信息!C:E,3,FALSE)</f>
        <v>#N/A</v>
      </c>
    </row>
    <row r="2216" customHeight="1" spans="8:8">
      <c r="H2216" s="39" t="e">
        <f>VLOOKUP(E2216,基础信息!C:E,3,FALSE)</f>
        <v>#N/A</v>
      </c>
    </row>
    <row r="2217" customHeight="1" spans="8:8">
      <c r="H2217" s="39" t="e">
        <f>VLOOKUP(E2217,基础信息!C:E,3,FALSE)</f>
        <v>#N/A</v>
      </c>
    </row>
    <row r="2218" customHeight="1" spans="8:8">
      <c r="H2218" s="39" t="e">
        <f>VLOOKUP(E2218,基础信息!C:E,3,FALSE)</f>
        <v>#N/A</v>
      </c>
    </row>
    <row r="2219" customHeight="1" spans="8:8">
      <c r="H2219" s="39" t="e">
        <f>VLOOKUP(E2219,基础信息!C:E,3,FALSE)</f>
        <v>#N/A</v>
      </c>
    </row>
    <row r="2220" customHeight="1" spans="8:8">
      <c r="H2220" s="39" t="e">
        <f>VLOOKUP(E2220,基础信息!C:E,3,FALSE)</f>
        <v>#N/A</v>
      </c>
    </row>
    <row r="2221" customHeight="1" spans="8:8">
      <c r="H2221" s="39" t="e">
        <f>VLOOKUP(E2221,基础信息!C:E,3,FALSE)</f>
        <v>#N/A</v>
      </c>
    </row>
    <row r="2222" customHeight="1" spans="8:8">
      <c r="H2222" s="39" t="e">
        <f>VLOOKUP(E2222,基础信息!C:E,3,FALSE)</f>
        <v>#N/A</v>
      </c>
    </row>
    <row r="2223" customHeight="1" spans="8:8">
      <c r="H2223" s="39" t="e">
        <f>VLOOKUP(E2223,基础信息!C:E,3,FALSE)</f>
        <v>#N/A</v>
      </c>
    </row>
    <row r="2224" customHeight="1" spans="8:8">
      <c r="H2224" s="39" t="e">
        <f>VLOOKUP(E2224,基础信息!C:E,3,FALSE)</f>
        <v>#N/A</v>
      </c>
    </row>
    <row r="2225" customHeight="1" spans="8:8">
      <c r="H2225" s="39" t="e">
        <f>VLOOKUP(E2225,基础信息!C:E,3,FALSE)</f>
        <v>#N/A</v>
      </c>
    </row>
    <row r="2226" customHeight="1" spans="8:8">
      <c r="H2226" s="39" t="e">
        <f>VLOOKUP(E2226,基础信息!C:E,3,FALSE)</f>
        <v>#N/A</v>
      </c>
    </row>
    <row r="2227" customHeight="1" spans="8:8">
      <c r="H2227" s="39" t="e">
        <f>VLOOKUP(E2227,基础信息!C:E,3,FALSE)</f>
        <v>#N/A</v>
      </c>
    </row>
    <row r="2228" customHeight="1" spans="8:8">
      <c r="H2228" s="39" t="e">
        <f>VLOOKUP(E2228,基础信息!C:E,3,FALSE)</f>
        <v>#N/A</v>
      </c>
    </row>
    <row r="2229" customHeight="1" spans="8:8">
      <c r="H2229" s="39" t="e">
        <f>VLOOKUP(E2229,基础信息!C:E,3,FALSE)</f>
        <v>#N/A</v>
      </c>
    </row>
    <row r="2230" customHeight="1" spans="8:8">
      <c r="H2230" s="39" t="e">
        <f>VLOOKUP(E2230,基础信息!C:E,3,FALSE)</f>
        <v>#N/A</v>
      </c>
    </row>
    <row r="2231" customHeight="1" spans="8:8">
      <c r="H2231" s="39" t="e">
        <f>VLOOKUP(E2231,基础信息!C:E,3,FALSE)</f>
        <v>#N/A</v>
      </c>
    </row>
    <row r="2232" customHeight="1" spans="8:8">
      <c r="H2232" s="39" t="e">
        <f>VLOOKUP(E2232,基础信息!C:E,3,FALSE)</f>
        <v>#N/A</v>
      </c>
    </row>
    <row r="2233" customHeight="1" spans="8:8">
      <c r="H2233" s="39" t="e">
        <f>VLOOKUP(E2233,基础信息!C:E,3,FALSE)</f>
        <v>#N/A</v>
      </c>
    </row>
    <row r="2234" customHeight="1" spans="8:8">
      <c r="H2234" s="39" t="e">
        <f>VLOOKUP(E2234,基础信息!C:E,3,FALSE)</f>
        <v>#N/A</v>
      </c>
    </row>
    <row r="2235" customHeight="1" spans="8:8">
      <c r="H2235" s="39" t="e">
        <f>VLOOKUP(E2235,基础信息!C:E,3,FALSE)</f>
        <v>#N/A</v>
      </c>
    </row>
    <row r="2236" customHeight="1" spans="8:8">
      <c r="H2236" s="39" t="e">
        <f>VLOOKUP(E2236,基础信息!C:E,3,FALSE)</f>
        <v>#N/A</v>
      </c>
    </row>
    <row r="2237" customHeight="1" spans="8:8">
      <c r="H2237" s="39" t="e">
        <f>VLOOKUP(E2237,基础信息!C:E,3,FALSE)</f>
        <v>#N/A</v>
      </c>
    </row>
    <row r="2238" customHeight="1" spans="8:8">
      <c r="H2238" s="39" t="e">
        <f>VLOOKUP(E2238,基础信息!C:E,3,FALSE)</f>
        <v>#N/A</v>
      </c>
    </row>
    <row r="2239" customHeight="1" spans="8:8">
      <c r="H2239" s="39" t="e">
        <f>VLOOKUP(E2239,基础信息!C:E,3,FALSE)</f>
        <v>#N/A</v>
      </c>
    </row>
    <row r="2240" customHeight="1" spans="8:8">
      <c r="H2240" s="39" t="e">
        <f>VLOOKUP(E2240,基础信息!C:E,3,FALSE)</f>
        <v>#N/A</v>
      </c>
    </row>
    <row r="2241" customHeight="1" spans="8:8">
      <c r="H2241" s="39" t="e">
        <f>VLOOKUP(E2241,基础信息!C:E,3,FALSE)</f>
        <v>#N/A</v>
      </c>
    </row>
    <row r="2242" customHeight="1" spans="8:8">
      <c r="H2242" s="39" t="e">
        <f>VLOOKUP(E2242,基础信息!C:E,3,FALSE)</f>
        <v>#N/A</v>
      </c>
    </row>
    <row r="2243" customHeight="1" spans="8:8">
      <c r="H2243" s="39" t="e">
        <f>VLOOKUP(E2243,基础信息!C:E,3,FALSE)</f>
        <v>#N/A</v>
      </c>
    </row>
    <row r="2244" customHeight="1" spans="8:8">
      <c r="H2244" s="39" t="e">
        <f>VLOOKUP(E2244,基础信息!C:E,3,FALSE)</f>
        <v>#N/A</v>
      </c>
    </row>
    <row r="2245" customHeight="1" spans="8:8">
      <c r="H2245" s="39" t="e">
        <f>VLOOKUP(E2245,基础信息!C:E,3,FALSE)</f>
        <v>#N/A</v>
      </c>
    </row>
    <row r="2246" customHeight="1" spans="8:8">
      <c r="H2246" s="39" t="e">
        <f>VLOOKUP(E2246,基础信息!C:E,3,FALSE)</f>
        <v>#N/A</v>
      </c>
    </row>
    <row r="2247" customHeight="1" spans="8:8">
      <c r="H2247" s="39" t="e">
        <f>VLOOKUP(E2247,基础信息!C:E,3,FALSE)</f>
        <v>#N/A</v>
      </c>
    </row>
    <row r="2248" customHeight="1" spans="8:8">
      <c r="H2248" s="39" t="e">
        <f>VLOOKUP(E2248,基础信息!C:E,3,FALSE)</f>
        <v>#N/A</v>
      </c>
    </row>
    <row r="2249" customHeight="1" spans="8:8">
      <c r="H2249" s="39" t="e">
        <f>VLOOKUP(E2249,基础信息!C:E,3,FALSE)</f>
        <v>#N/A</v>
      </c>
    </row>
    <row r="2250" customHeight="1" spans="8:8">
      <c r="H2250" s="39" t="e">
        <f>VLOOKUP(E2250,基础信息!C:E,3,FALSE)</f>
        <v>#N/A</v>
      </c>
    </row>
    <row r="2251" customHeight="1" spans="8:8">
      <c r="H2251" s="39" t="e">
        <f>VLOOKUP(E2251,基础信息!C:E,3,FALSE)</f>
        <v>#N/A</v>
      </c>
    </row>
    <row r="2252" customHeight="1" spans="8:8">
      <c r="H2252" s="39" t="e">
        <f>VLOOKUP(E2252,基础信息!C:E,3,FALSE)</f>
        <v>#N/A</v>
      </c>
    </row>
    <row r="2253" customHeight="1" spans="8:8">
      <c r="H2253" s="39" t="e">
        <f>VLOOKUP(E2253,基础信息!C:E,3,FALSE)</f>
        <v>#N/A</v>
      </c>
    </row>
    <row r="2254" customHeight="1" spans="8:8">
      <c r="H2254" s="39" t="e">
        <f>VLOOKUP(E2254,基础信息!C:E,3,FALSE)</f>
        <v>#N/A</v>
      </c>
    </row>
    <row r="2255" customHeight="1" spans="8:8">
      <c r="H2255" s="39" t="e">
        <f>VLOOKUP(E2255,基础信息!C:E,3,FALSE)</f>
        <v>#N/A</v>
      </c>
    </row>
    <row r="2256" customHeight="1" spans="8:8">
      <c r="H2256" s="39" t="e">
        <f>VLOOKUP(E2256,基础信息!C:E,3,FALSE)</f>
        <v>#N/A</v>
      </c>
    </row>
    <row r="2257" customHeight="1" spans="8:8">
      <c r="H2257" s="39" t="e">
        <f>VLOOKUP(E2257,基础信息!C:E,3,FALSE)</f>
        <v>#N/A</v>
      </c>
    </row>
    <row r="2258" customHeight="1" spans="8:8">
      <c r="H2258" s="39" t="e">
        <f>VLOOKUP(E2258,基础信息!C:E,3,FALSE)</f>
        <v>#N/A</v>
      </c>
    </row>
    <row r="2259" customHeight="1" spans="8:8">
      <c r="H2259" s="39" t="e">
        <f>VLOOKUP(E2259,基础信息!C:E,3,FALSE)</f>
        <v>#N/A</v>
      </c>
    </row>
    <row r="2260" customHeight="1" spans="8:8">
      <c r="H2260" s="39" t="e">
        <f>VLOOKUP(E2260,基础信息!C:E,3,FALSE)</f>
        <v>#N/A</v>
      </c>
    </row>
    <row r="2261" customHeight="1" spans="8:8">
      <c r="H2261" s="39" t="e">
        <f>VLOOKUP(E2261,基础信息!C:E,3,FALSE)</f>
        <v>#N/A</v>
      </c>
    </row>
    <row r="2262" customHeight="1" spans="8:8">
      <c r="H2262" s="39" t="e">
        <f>VLOOKUP(E2262,基础信息!C:E,3,FALSE)</f>
        <v>#N/A</v>
      </c>
    </row>
    <row r="2263" customHeight="1" spans="8:8">
      <c r="H2263" s="39" t="e">
        <f>VLOOKUP(E2263,基础信息!C:E,3,FALSE)</f>
        <v>#N/A</v>
      </c>
    </row>
    <row r="2264" customHeight="1" spans="8:8">
      <c r="H2264" s="39" t="e">
        <f>VLOOKUP(E2264,基础信息!C:E,3,FALSE)</f>
        <v>#N/A</v>
      </c>
    </row>
    <row r="2265" customHeight="1" spans="8:8">
      <c r="H2265" s="39" t="e">
        <f>VLOOKUP(E2265,基础信息!C:E,3,FALSE)</f>
        <v>#N/A</v>
      </c>
    </row>
    <row r="2266" customHeight="1" spans="8:8">
      <c r="H2266" s="39" t="e">
        <f>VLOOKUP(E2266,基础信息!C:E,3,FALSE)</f>
        <v>#N/A</v>
      </c>
    </row>
    <row r="2267" customHeight="1" spans="8:8">
      <c r="H2267" s="39" t="e">
        <f>VLOOKUP(E2267,基础信息!C:E,3,FALSE)</f>
        <v>#N/A</v>
      </c>
    </row>
    <row r="2268" customHeight="1" spans="8:8">
      <c r="H2268" s="39" t="e">
        <f>VLOOKUP(E2268,基础信息!C:E,3,FALSE)</f>
        <v>#N/A</v>
      </c>
    </row>
    <row r="2269" customHeight="1" spans="8:8">
      <c r="H2269" s="39" t="e">
        <f>VLOOKUP(E2269,基础信息!C:E,3,FALSE)</f>
        <v>#N/A</v>
      </c>
    </row>
    <row r="2270" customHeight="1" spans="8:8">
      <c r="H2270" s="39" t="e">
        <f>VLOOKUP(E2270,基础信息!C:E,3,FALSE)</f>
        <v>#N/A</v>
      </c>
    </row>
    <row r="2271" customHeight="1" spans="8:8">
      <c r="H2271" s="39" t="e">
        <f>VLOOKUP(E2271,基础信息!C:E,3,FALSE)</f>
        <v>#N/A</v>
      </c>
    </row>
    <row r="2272" customHeight="1" spans="8:8">
      <c r="H2272" s="39" t="e">
        <f>VLOOKUP(E2272,基础信息!C:E,3,FALSE)</f>
        <v>#N/A</v>
      </c>
    </row>
    <row r="2273" customHeight="1" spans="8:8">
      <c r="H2273" s="39" t="e">
        <f>VLOOKUP(E2273,基础信息!C:E,3,FALSE)</f>
        <v>#N/A</v>
      </c>
    </row>
    <row r="2274" customHeight="1" spans="8:8">
      <c r="H2274" s="39" t="e">
        <f>VLOOKUP(E2274,基础信息!C:E,3,FALSE)</f>
        <v>#N/A</v>
      </c>
    </row>
    <row r="2275" customHeight="1" spans="8:8">
      <c r="H2275" s="39" t="e">
        <f>VLOOKUP(E2275,基础信息!C:E,3,FALSE)</f>
        <v>#N/A</v>
      </c>
    </row>
    <row r="2276" customHeight="1" spans="8:8">
      <c r="H2276" s="39" t="e">
        <f>VLOOKUP(E2276,基础信息!C:E,3,FALSE)</f>
        <v>#N/A</v>
      </c>
    </row>
    <row r="2277" customHeight="1" spans="8:8">
      <c r="H2277" s="39" t="e">
        <f>VLOOKUP(E2277,基础信息!C:E,3,FALSE)</f>
        <v>#N/A</v>
      </c>
    </row>
    <row r="2278" customHeight="1" spans="8:8">
      <c r="H2278" s="39" t="e">
        <f>VLOOKUP(E2278,基础信息!C:E,3,FALSE)</f>
        <v>#N/A</v>
      </c>
    </row>
    <row r="2279" customHeight="1" spans="8:8">
      <c r="H2279" s="39" t="e">
        <f>VLOOKUP(E2279,基础信息!C:E,3,FALSE)</f>
        <v>#N/A</v>
      </c>
    </row>
    <row r="2280" customHeight="1" spans="8:8">
      <c r="H2280" s="39" t="e">
        <f>VLOOKUP(E2280,基础信息!C:E,3,FALSE)</f>
        <v>#N/A</v>
      </c>
    </row>
    <row r="2281" customHeight="1" spans="8:8">
      <c r="H2281" s="39" t="e">
        <f>VLOOKUP(E2281,基础信息!C:E,3,FALSE)</f>
        <v>#N/A</v>
      </c>
    </row>
    <row r="2282" customHeight="1" spans="8:8">
      <c r="H2282" s="39" t="e">
        <f>VLOOKUP(E2282,基础信息!C:E,3,FALSE)</f>
        <v>#N/A</v>
      </c>
    </row>
    <row r="2283" customHeight="1" spans="8:8">
      <c r="H2283" s="39" t="e">
        <f>VLOOKUP(E2283,基础信息!C:E,3,FALSE)</f>
        <v>#N/A</v>
      </c>
    </row>
    <row r="2284" customHeight="1" spans="8:8">
      <c r="H2284" s="39" t="e">
        <f>VLOOKUP(E2284,基础信息!C:E,3,FALSE)</f>
        <v>#N/A</v>
      </c>
    </row>
    <row r="2285" customHeight="1" spans="8:8">
      <c r="H2285" s="39" t="e">
        <f>VLOOKUP(E2285,基础信息!C:E,3,FALSE)</f>
        <v>#N/A</v>
      </c>
    </row>
    <row r="2286" customHeight="1" spans="8:8">
      <c r="H2286" s="39" t="e">
        <f>VLOOKUP(E2286,基础信息!C:E,3,FALSE)</f>
        <v>#N/A</v>
      </c>
    </row>
    <row r="2287" customHeight="1" spans="8:8">
      <c r="H2287" s="39" t="e">
        <f>VLOOKUP(E2287,基础信息!C:E,3,FALSE)</f>
        <v>#N/A</v>
      </c>
    </row>
    <row r="2288" customHeight="1" spans="8:8">
      <c r="H2288" s="39" t="e">
        <f>VLOOKUP(E2288,基础信息!C:E,3,FALSE)</f>
        <v>#N/A</v>
      </c>
    </row>
    <row r="2289" customHeight="1" spans="8:8">
      <c r="H2289" s="39" t="e">
        <f>VLOOKUP(E2289,基础信息!C:E,3,FALSE)</f>
        <v>#N/A</v>
      </c>
    </row>
    <row r="2290" customHeight="1" spans="8:8">
      <c r="H2290" s="39" t="e">
        <f>VLOOKUP(E2290,基础信息!C:E,3,FALSE)</f>
        <v>#N/A</v>
      </c>
    </row>
    <row r="2291" customHeight="1" spans="8:8">
      <c r="H2291" s="39" t="e">
        <f>VLOOKUP(E2291,基础信息!C:E,3,FALSE)</f>
        <v>#N/A</v>
      </c>
    </row>
    <row r="2292" customHeight="1" spans="8:8">
      <c r="H2292" s="39" t="e">
        <f>VLOOKUP(E2292,基础信息!C:E,3,FALSE)</f>
        <v>#N/A</v>
      </c>
    </row>
    <row r="2293" customHeight="1" spans="8:8">
      <c r="H2293" s="39" t="e">
        <f>VLOOKUP(E2293,基础信息!C:E,3,FALSE)</f>
        <v>#N/A</v>
      </c>
    </row>
    <row r="2294" customHeight="1" spans="8:8">
      <c r="H2294" s="39" t="e">
        <f>VLOOKUP(E2294,基础信息!C:E,3,FALSE)</f>
        <v>#N/A</v>
      </c>
    </row>
    <row r="2295" customHeight="1" spans="8:8">
      <c r="H2295" s="39" t="e">
        <f>VLOOKUP(E2295,基础信息!C:E,3,FALSE)</f>
        <v>#N/A</v>
      </c>
    </row>
    <row r="2296" customHeight="1" spans="8:8">
      <c r="H2296" s="39" t="e">
        <f>VLOOKUP(E2296,基础信息!C:E,3,FALSE)</f>
        <v>#N/A</v>
      </c>
    </row>
    <row r="2297" customHeight="1" spans="8:8">
      <c r="H2297" s="39" t="e">
        <f>VLOOKUP(E2297,基础信息!C:E,3,FALSE)</f>
        <v>#N/A</v>
      </c>
    </row>
    <row r="2298" customHeight="1" spans="8:8">
      <c r="H2298" s="39" t="e">
        <f>VLOOKUP(E2298,基础信息!C:E,3,FALSE)</f>
        <v>#N/A</v>
      </c>
    </row>
    <row r="2299" customHeight="1" spans="8:8">
      <c r="H2299" s="39" t="e">
        <f>VLOOKUP(E2299,基础信息!C:E,3,FALSE)</f>
        <v>#N/A</v>
      </c>
    </row>
    <row r="2300" customHeight="1" spans="8:8">
      <c r="H2300" s="39" t="e">
        <f>VLOOKUP(E2300,基础信息!C:E,3,FALSE)</f>
        <v>#N/A</v>
      </c>
    </row>
    <row r="2301" customHeight="1" spans="8:8">
      <c r="H2301" s="39" t="e">
        <f>VLOOKUP(E2301,基础信息!C:E,3,FALSE)</f>
        <v>#N/A</v>
      </c>
    </row>
    <row r="2302" customHeight="1" spans="8:8">
      <c r="H2302" s="39" t="e">
        <f>VLOOKUP(E2302,基础信息!C:E,3,FALSE)</f>
        <v>#N/A</v>
      </c>
    </row>
    <row r="2303" customHeight="1" spans="8:8">
      <c r="H2303" s="39" t="e">
        <f>VLOOKUP(E2303,基础信息!C:E,3,FALSE)</f>
        <v>#N/A</v>
      </c>
    </row>
    <row r="2304" customHeight="1" spans="8:8">
      <c r="H2304" s="39" t="e">
        <f>VLOOKUP(E2304,基础信息!C:E,3,FALSE)</f>
        <v>#N/A</v>
      </c>
    </row>
    <row r="2305" customHeight="1" spans="8:8">
      <c r="H2305" s="39" t="e">
        <f>VLOOKUP(E2305,基础信息!C:E,3,FALSE)</f>
        <v>#N/A</v>
      </c>
    </row>
    <row r="2306" customHeight="1" spans="8:8">
      <c r="H2306" s="39" t="e">
        <f>VLOOKUP(E2306,基础信息!C:E,3,FALSE)</f>
        <v>#N/A</v>
      </c>
    </row>
    <row r="2307" customHeight="1" spans="8:8">
      <c r="H2307" s="39" t="e">
        <f>VLOOKUP(E2307,基础信息!C:E,3,FALSE)</f>
        <v>#N/A</v>
      </c>
    </row>
    <row r="2308" customHeight="1" spans="8:8">
      <c r="H2308" s="39" t="e">
        <f>VLOOKUP(E2308,基础信息!C:E,3,FALSE)</f>
        <v>#N/A</v>
      </c>
    </row>
    <row r="2309" customHeight="1" spans="8:8">
      <c r="H2309" s="39" t="e">
        <f>VLOOKUP(E2309,基础信息!C:E,3,FALSE)</f>
        <v>#N/A</v>
      </c>
    </row>
    <row r="2310" customHeight="1" spans="8:8">
      <c r="H2310" s="39" t="e">
        <f>VLOOKUP(E2310,基础信息!C:E,3,FALSE)</f>
        <v>#N/A</v>
      </c>
    </row>
    <row r="2311" customHeight="1" spans="8:8">
      <c r="H2311" s="39" t="e">
        <f>VLOOKUP(E2311,基础信息!C:E,3,FALSE)</f>
        <v>#N/A</v>
      </c>
    </row>
    <row r="2312" customHeight="1" spans="8:8">
      <c r="H2312" s="39" t="e">
        <f>VLOOKUP(E2312,基础信息!C:E,3,FALSE)</f>
        <v>#N/A</v>
      </c>
    </row>
    <row r="2313" customHeight="1" spans="8:8">
      <c r="H2313" s="39" t="e">
        <f>VLOOKUP(E2313,基础信息!C:E,3,FALSE)</f>
        <v>#N/A</v>
      </c>
    </row>
    <row r="2314" customHeight="1" spans="8:8">
      <c r="H2314" s="39" t="e">
        <f>VLOOKUP(E2314,基础信息!C:E,3,FALSE)</f>
        <v>#N/A</v>
      </c>
    </row>
    <row r="2315" customHeight="1" spans="8:8">
      <c r="H2315" s="39" t="e">
        <f>VLOOKUP(E2315,基础信息!C:E,3,FALSE)</f>
        <v>#N/A</v>
      </c>
    </row>
    <row r="2316" customHeight="1" spans="8:8">
      <c r="H2316" s="39" t="e">
        <f>VLOOKUP(E2316,基础信息!C:E,3,FALSE)</f>
        <v>#N/A</v>
      </c>
    </row>
    <row r="2317" customHeight="1" spans="8:8">
      <c r="H2317" s="39" t="e">
        <f>VLOOKUP(E2317,基础信息!C:E,3,FALSE)</f>
        <v>#N/A</v>
      </c>
    </row>
    <row r="2318" customHeight="1" spans="8:8">
      <c r="H2318" s="39" t="e">
        <f>VLOOKUP(E2318,基础信息!C:E,3,FALSE)</f>
        <v>#N/A</v>
      </c>
    </row>
    <row r="2319" customHeight="1" spans="8:8">
      <c r="H2319" s="39" t="e">
        <f>VLOOKUP(E2319,基础信息!C:E,3,FALSE)</f>
        <v>#N/A</v>
      </c>
    </row>
    <row r="2320" customHeight="1" spans="8:8">
      <c r="H2320" s="39" t="e">
        <f>VLOOKUP(E2320,基础信息!C:E,3,FALSE)</f>
        <v>#N/A</v>
      </c>
    </row>
    <row r="2321" customHeight="1" spans="8:8">
      <c r="H2321" s="39" t="e">
        <f>VLOOKUP(E2321,基础信息!C:E,3,FALSE)</f>
        <v>#N/A</v>
      </c>
    </row>
    <row r="2322" customHeight="1" spans="8:8">
      <c r="H2322" s="39" t="e">
        <f>VLOOKUP(E2322,基础信息!C:E,3,FALSE)</f>
        <v>#N/A</v>
      </c>
    </row>
    <row r="2323" customHeight="1" spans="8:8">
      <c r="H2323" s="39" t="e">
        <f>VLOOKUP(E2323,基础信息!C:E,3,FALSE)</f>
        <v>#N/A</v>
      </c>
    </row>
    <row r="2324" customHeight="1" spans="8:8">
      <c r="H2324" s="39" t="e">
        <f>VLOOKUP(E2324,基础信息!C:E,3,FALSE)</f>
        <v>#N/A</v>
      </c>
    </row>
    <row r="2325" customHeight="1" spans="8:8">
      <c r="H2325" s="39" t="e">
        <f>VLOOKUP(E2325,基础信息!C:E,3,FALSE)</f>
        <v>#N/A</v>
      </c>
    </row>
    <row r="2326" customHeight="1" spans="8:8">
      <c r="H2326" s="39" t="e">
        <f>VLOOKUP(E2326,基础信息!C:E,3,FALSE)</f>
        <v>#N/A</v>
      </c>
    </row>
    <row r="2327" customHeight="1" spans="8:8">
      <c r="H2327" s="39" t="e">
        <f>VLOOKUP(E2327,基础信息!C:E,3,FALSE)</f>
        <v>#N/A</v>
      </c>
    </row>
    <row r="2328" customHeight="1" spans="8:8">
      <c r="H2328" s="39" t="e">
        <f>VLOOKUP(E2328,基础信息!C:E,3,FALSE)</f>
        <v>#N/A</v>
      </c>
    </row>
    <row r="2329" customHeight="1" spans="8:8">
      <c r="H2329" s="39" t="e">
        <f>VLOOKUP(E2329,基础信息!C:E,3,FALSE)</f>
        <v>#N/A</v>
      </c>
    </row>
    <row r="2330" customHeight="1" spans="8:8">
      <c r="H2330" s="39" t="e">
        <f>VLOOKUP(E2330,基础信息!C:E,3,FALSE)</f>
        <v>#N/A</v>
      </c>
    </row>
    <row r="2331" customHeight="1" spans="8:8">
      <c r="H2331" s="39" t="e">
        <f>VLOOKUP(E2331,基础信息!C:E,3,FALSE)</f>
        <v>#N/A</v>
      </c>
    </row>
    <row r="2332" customHeight="1" spans="8:8">
      <c r="H2332" s="39" t="e">
        <f>VLOOKUP(E2332,基础信息!C:E,3,FALSE)</f>
        <v>#N/A</v>
      </c>
    </row>
    <row r="2333" customHeight="1" spans="8:8">
      <c r="H2333" s="39" t="e">
        <f>VLOOKUP(E2333,基础信息!C:E,3,FALSE)</f>
        <v>#N/A</v>
      </c>
    </row>
    <row r="2334" customHeight="1" spans="8:8">
      <c r="H2334" s="39" t="e">
        <f>VLOOKUP(E2334,基础信息!C:E,3,FALSE)</f>
        <v>#N/A</v>
      </c>
    </row>
    <row r="2335" customHeight="1" spans="8:8">
      <c r="H2335" s="39" t="e">
        <f>VLOOKUP(E2335,基础信息!C:E,3,FALSE)</f>
        <v>#N/A</v>
      </c>
    </row>
    <row r="2336" customHeight="1" spans="8:8">
      <c r="H2336" s="39" t="e">
        <f>VLOOKUP(E2336,基础信息!C:E,3,FALSE)</f>
        <v>#N/A</v>
      </c>
    </row>
    <row r="2337" customHeight="1" spans="8:8">
      <c r="H2337" s="39" t="e">
        <f>VLOOKUP(E2337,基础信息!C:E,3,FALSE)</f>
        <v>#N/A</v>
      </c>
    </row>
    <row r="2338" customHeight="1" spans="8:8">
      <c r="H2338" s="39" t="e">
        <f>VLOOKUP(E2338,基础信息!C:E,3,FALSE)</f>
        <v>#N/A</v>
      </c>
    </row>
    <row r="2339" customHeight="1" spans="8:8">
      <c r="H2339" s="39" t="e">
        <f>VLOOKUP(E2339,基础信息!C:E,3,FALSE)</f>
        <v>#N/A</v>
      </c>
    </row>
    <row r="2340" customHeight="1" spans="8:8">
      <c r="H2340" s="39" t="e">
        <f>VLOOKUP(E2340,基础信息!C:E,3,FALSE)</f>
        <v>#N/A</v>
      </c>
    </row>
    <row r="2341" customHeight="1" spans="8:8">
      <c r="H2341" s="39" t="e">
        <f>VLOOKUP(E2341,基础信息!C:E,3,FALSE)</f>
        <v>#N/A</v>
      </c>
    </row>
    <row r="2342" customHeight="1" spans="8:8">
      <c r="H2342" s="39" t="e">
        <f>VLOOKUP(E2342,基础信息!C:E,3,FALSE)</f>
        <v>#N/A</v>
      </c>
    </row>
    <row r="2343" customHeight="1" spans="8:8">
      <c r="H2343" s="39" t="e">
        <f>VLOOKUP(E2343,基础信息!C:E,3,FALSE)</f>
        <v>#N/A</v>
      </c>
    </row>
    <row r="2344" customHeight="1" spans="8:8">
      <c r="H2344" s="39" t="e">
        <f>VLOOKUP(E2344,基础信息!C:E,3,FALSE)</f>
        <v>#N/A</v>
      </c>
    </row>
    <row r="2345" customHeight="1" spans="8:8">
      <c r="H2345" s="39" t="e">
        <f>VLOOKUP(E2345,基础信息!C:E,3,FALSE)</f>
        <v>#N/A</v>
      </c>
    </row>
    <row r="2346" customHeight="1" spans="8:8">
      <c r="H2346" s="39" t="e">
        <f>VLOOKUP(E2346,基础信息!C:E,3,FALSE)</f>
        <v>#N/A</v>
      </c>
    </row>
    <row r="2347" customHeight="1" spans="8:8">
      <c r="H2347" s="39" t="e">
        <f>VLOOKUP(E2347,基础信息!C:E,3,FALSE)</f>
        <v>#N/A</v>
      </c>
    </row>
    <row r="2348" customHeight="1" spans="8:8">
      <c r="H2348" s="39" t="e">
        <f>VLOOKUP(E2348,基础信息!C:E,3,FALSE)</f>
        <v>#N/A</v>
      </c>
    </row>
    <row r="2349" customHeight="1" spans="8:8">
      <c r="H2349" s="39" t="e">
        <f>VLOOKUP(E2349,基础信息!C:E,3,FALSE)</f>
        <v>#N/A</v>
      </c>
    </row>
    <row r="2350" customHeight="1" spans="8:8">
      <c r="H2350" s="39" t="e">
        <f>VLOOKUP(E2350,基础信息!C:E,3,FALSE)</f>
        <v>#N/A</v>
      </c>
    </row>
    <row r="2351" customHeight="1" spans="8:8">
      <c r="H2351" s="39" t="e">
        <f>VLOOKUP(E2351,基础信息!C:E,3,FALSE)</f>
        <v>#N/A</v>
      </c>
    </row>
    <row r="2352" customHeight="1" spans="8:8">
      <c r="H2352" s="39" t="e">
        <f>VLOOKUP(E2352,基础信息!C:E,3,FALSE)</f>
        <v>#N/A</v>
      </c>
    </row>
    <row r="2353" customHeight="1" spans="8:8">
      <c r="H2353" s="39" t="e">
        <f>VLOOKUP(E2353,基础信息!C:E,3,FALSE)</f>
        <v>#N/A</v>
      </c>
    </row>
    <row r="2354" customHeight="1" spans="8:8">
      <c r="H2354" s="39" t="e">
        <f>VLOOKUP(E2354,基础信息!C:E,3,FALSE)</f>
        <v>#N/A</v>
      </c>
    </row>
    <row r="2355" customHeight="1" spans="8:8">
      <c r="H2355" s="39" t="e">
        <f>VLOOKUP(E2355,基础信息!C:E,3,FALSE)</f>
        <v>#N/A</v>
      </c>
    </row>
    <row r="2356" customHeight="1" spans="8:8">
      <c r="H2356" s="39" t="e">
        <f>VLOOKUP(E2356,基础信息!C:E,3,FALSE)</f>
        <v>#N/A</v>
      </c>
    </row>
    <row r="2357" customHeight="1" spans="8:8">
      <c r="H2357" s="39" t="e">
        <f>VLOOKUP(E2357,基础信息!C:E,3,FALSE)</f>
        <v>#N/A</v>
      </c>
    </row>
    <row r="2358" customHeight="1" spans="8:8">
      <c r="H2358" s="39" t="e">
        <f>VLOOKUP(E2358,基础信息!C:E,3,FALSE)</f>
        <v>#N/A</v>
      </c>
    </row>
    <row r="2359" customHeight="1" spans="8:8">
      <c r="H2359" s="39" t="e">
        <f>VLOOKUP(E2359,基础信息!C:E,3,FALSE)</f>
        <v>#N/A</v>
      </c>
    </row>
    <row r="2360" customHeight="1" spans="8:8">
      <c r="H2360" s="39" t="e">
        <f>VLOOKUP(E2360,基础信息!C:E,3,FALSE)</f>
        <v>#N/A</v>
      </c>
    </row>
    <row r="2361" customHeight="1" spans="8:8">
      <c r="H2361" s="39" t="e">
        <f>VLOOKUP(E2361,基础信息!C:E,3,FALSE)</f>
        <v>#N/A</v>
      </c>
    </row>
    <row r="2362" customHeight="1" spans="8:8">
      <c r="H2362" s="39" t="e">
        <f>VLOOKUP(E2362,基础信息!C:E,3,FALSE)</f>
        <v>#N/A</v>
      </c>
    </row>
    <row r="2363" customHeight="1" spans="8:8">
      <c r="H2363" s="39" t="e">
        <f>VLOOKUP(E2363,基础信息!C:E,3,FALSE)</f>
        <v>#N/A</v>
      </c>
    </row>
    <row r="2364" customHeight="1" spans="8:8">
      <c r="H2364" s="39" t="e">
        <f>VLOOKUP(E2364,基础信息!C:E,3,FALSE)</f>
        <v>#N/A</v>
      </c>
    </row>
    <row r="2365" customHeight="1" spans="8:8">
      <c r="H2365" s="39" t="e">
        <f>VLOOKUP(E2365,基础信息!C:E,3,FALSE)</f>
        <v>#N/A</v>
      </c>
    </row>
    <row r="2366" customHeight="1" spans="8:8">
      <c r="H2366" s="39" t="e">
        <f>VLOOKUP(E2366,基础信息!C:E,3,FALSE)</f>
        <v>#N/A</v>
      </c>
    </row>
    <row r="2367" customHeight="1" spans="8:8">
      <c r="H2367" s="39" t="e">
        <f>VLOOKUP(E2367,基础信息!C:E,3,FALSE)</f>
        <v>#N/A</v>
      </c>
    </row>
    <row r="2368" customHeight="1" spans="8:8">
      <c r="H2368" s="39" t="e">
        <f>VLOOKUP(E2368,基础信息!C:E,3,FALSE)</f>
        <v>#N/A</v>
      </c>
    </row>
    <row r="2369" customHeight="1" spans="8:8">
      <c r="H2369" s="39" t="e">
        <f>VLOOKUP(E2369,基础信息!C:E,3,FALSE)</f>
        <v>#N/A</v>
      </c>
    </row>
    <row r="2370" customHeight="1" spans="8:8">
      <c r="H2370" s="39" t="e">
        <f>VLOOKUP(E2370,基础信息!C:E,3,FALSE)</f>
        <v>#N/A</v>
      </c>
    </row>
    <row r="2371" customHeight="1" spans="8:8">
      <c r="H2371" s="39" t="e">
        <f>VLOOKUP(E2371,基础信息!C:E,3,FALSE)</f>
        <v>#N/A</v>
      </c>
    </row>
    <row r="2372" customHeight="1" spans="8:8">
      <c r="H2372" s="39" t="e">
        <f>VLOOKUP(E2372,基础信息!C:E,3,FALSE)</f>
        <v>#N/A</v>
      </c>
    </row>
    <row r="2373" customHeight="1" spans="8:8">
      <c r="H2373" s="39" t="e">
        <f>VLOOKUP(E2373,基础信息!C:E,3,FALSE)</f>
        <v>#N/A</v>
      </c>
    </row>
    <row r="2374" customHeight="1" spans="8:8">
      <c r="H2374" s="39" t="e">
        <f>VLOOKUP(E2374,基础信息!C:E,3,FALSE)</f>
        <v>#N/A</v>
      </c>
    </row>
    <row r="2375" customHeight="1" spans="8:8">
      <c r="H2375" s="39" t="e">
        <f>VLOOKUP(E2375,基础信息!C:E,3,FALSE)</f>
        <v>#N/A</v>
      </c>
    </row>
    <row r="2376" customHeight="1" spans="8:8">
      <c r="H2376" s="39" t="e">
        <f>VLOOKUP(E2376,基础信息!C:E,3,FALSE)</f>
        <v>#N/A</v>
      </c>
    </row>
    <row r="2377" customHeight="1" spans="8:8">
      <c r="H2377" s="39" t="e">
        <f>VLOOKUP(E2377,基础信息!C:E,3,FALSE)</f>
        <v>#N/A</v>
      </c>
    </row>
    <row r="2378" customHeight="1" spans="8:8">
      <c r="H2378" s="39" t="e">
        <f>VLOOKUP(E2378,基础信息!C:E,3,FALSE)</f>
        <v>#N/A</v>
      </c>
    </row>
    <row r="2379" customHeight="1" spans="8:8">
      <c r="H2379" s="39" t="e">
        <f>VLOOKUP(E2379,基础信息!C:E,3,FALSE)</f>
        <v>#N/A</v>
      </c>
    </row>
    <row r="2380" customHeight="1" spans="8:8">
      <c r="H2380" s="39" t="e">
        <f>VLOOKUP(E2380,基础信息!C:E,3,FALSE)</f>
        <v>#N/A</v>
      </c>
    </row>
    <row r="2381" customHeight="1" spans="8:8">
      <c r="H2381" s="39" t="e">
        <f>VLOOKUP(E2381,基础信息!C:E,3,FALSE)</f>
        <v>#N/A</v>
      </c>
    </row>
    <row r="2382" customHeight="1" spans="8:8">
      <c r="H2382" s="39" t="e">
        <f>VLOOKUP(E2382,基础信息!C:E,3,FALSE)</f>
        <v>#N/A</v>
      </c>
    </row>
    <row r="2383" customHeight="1" spans="8:8">
      <c r="H2383" s="39" t="e">
        <f>VLOOKUP(E2383,基础信息!C:E,3,FALSE)</f>
        <v>#N/A</v>
      </c>
    </row>
    <row r="2384" customHeight="1" spans="8:8">
      <c r="H2384" s="39" t="e">
        <f>VLOOKUP(E2384,基础信息!C:E,3,FALSE)</f>
        <v>#N/A</v>
      </c>
    </row>
    <row r="2385" customHeight="1" spans="8:8">
      <c r="H2385" s="39" t="e">
        <f>VLOOKUP(E2385,基础信息!C:E,3,FALSE)</f>
        <v>#N/A</v>
      </c>
    </row>
    <row r="2386" customHeight="1" spans="8:8">
      <c r="H2386" s="39" t="e">
        <f>VLOOKUP(E2386,基础信息!C:E,3,FALSE)</f>
        <v>#N/A</v>
      </c>
    </row>
    <row r="2387" customHeight="1" spans="8:8">
      <c r="H2387" s="39" t="e">
        <f>VLOOKUP(E2387,基础信息!C:E,3,FALSE)</f>
        <v>#N/A</v>
      </c>
    </row>
    <row r="2388" customHeight="1" spans="8:8">
      <c r="H2388" s="39" t="e">
        <f>VLOOKUP(E2388,基础信息!C:E,3,FALSE)</f>
        <v>#N/A</v>
      </c>
    </row>
    <row r="2389" customHeight="1" spans="8:8">
      <c r="H2389" s="39" t="e">
        <f>VLOOKUP(E2389,基础信息!C:E,3,FALSE)</f>
        <v>#N/A</v>
      </c>
    </row>
    <row r="2390" customHeight="1" spans="8:8">
      <c r="H2390" s="39" t="e">
        <f>VLOOKUP(E2390,基础信息!C:E,3,FALSE)</f>
        <v>#N/A</v>
      </c>
    </row>
    <row r="2391" customHeight="1" spans="8:8">
      <c r="H2391" s="39" t="e">
        <f>VLOOKUP(E2391,基础信息!C:E,3,FALSE)</f>
        <v>#N/A</v>
      </c>
    </row>
    <row r="2392" customHeight="1" spans="8:8">
      <c r="H2392" s="39" t="e">
        <f>VLOOKUP(E2392,基础信息!C:E,3,FALSE)</f>
        <v>#N/A</v>
      </c>
    </row>
    <row r="2393" customHeight="1" spans="8:8">
      <c r="H2393" s="39" t="e">
        <f>VLOOKUP(E2393,基础信息!C:E,3,FALSE)</f>
        <v>#N/A</v>
      </c>
    </row>
    <row r="2394" customHeight="1" spans="8:8">
      <c r="H2394" s="39" t="e">
        <f>VLOOKUP(E2394,基础信息!C:E,3,FALSE)</f>
        <v>#N/A</v>
      </c>
    </row>
    <row r="2395" customHeight="1" spans="8:8">
      <c r="H2395" s="39" t="e">
        <f>VLOOKUP(E2395,基础信息!C:E,3,FALSE)</f>
        <v>#N/A</v>
      </c>
    </row>
    <row r="2396" customHeight="1" spans="8:8">
      <c r="H2396" s="39" t="e">
        <f>VLOOKUP(E2396,基础信息!C:E,3,FALSE)</f>
        <v>#N/A</v>
      </c>
    </row>
    <row r="2397" customHeight="1" spans="8:8">
      <c r="H2397" s="39" t="e">
        <f>VLOOKUP(E2397,基础信息!C:E,3,FALSE)</f>
        <v>#N/A</v>
      </c>
    </row>
    <row r="2398" customHeight="1" spans="8:8">
      <c r="H2398" s="39" t="e">
        <f>VLOOKUP(E2398,基础信息!C:E,3,FALSE)</f>
        <v>#N/A</v>
      </c>
    </row>
    <row r="2399" customHeight="1" spans="8:8">
      <c r="H2399" s="39" t="e">
        <f>VLOOKUP(E2399,基础信息!C:E,3,FALSE)</f>
        <v>#N/A</v>
      </c>
    </row>
    <row r="2400" customHeight="1" spans="8:8">
      <c r="H2400" s="39" t="e">
        <f>VLOOKUP(E2400,基础信息!C:E,3,FALSE)</f>
        <v>#N/A</v>
      </c>
    </row>
    <row r="2401" customHeight="1" spans="8:8">
      <c r="H2401" s="39" t="e">
        <f>VLOOKUP(E2401,基础信息!C:E,3,FALSE)</f>
        <v>#N/A</v>
      </c>
    </row>
    <row r="2402" customHeight="1" spans="8:8">
      <c r="H2402" s="39" t="e">
        <f>VLOOKUP(E2402,基础信息!C:E,3,FALSE)</f>
        <v>#N/A</v>
      </c>
    </row>
    <row r="2403" customHeight="1" spans="8:8">
      <c r="H2403" s="39" t="e">
        <f>VLOOKUP(E2403,基础信息!C:E,3,FALSE)</f>
        <v>#N/A</v>
      </c>
    </row>
    <row r="2404" customHeight="1" spans="8:8">
      <c r="H2404" s="39" t="e">
        <f>VLOOKUP(E2404,基础信息!C:E,3,FALSE)</f>
        <v>#N/A</v>
      </c>
    </row>
    <row r="2405" customHeight="1" spans="8:8">
      <c r="H2405" s="39" t="e">
        <f>VLOOKUP(E2405,基础信息!C:E,3,FALSE)</f>
        <v>#N/A</v>
      </c>
    </row>
    <row r="2406" customHeight="1" spans="8:8">
      <c r="H2406" s="39" t="e">
        <f>VLOOKUP(E2406,基础信息!C:E,3,FALSE)</f>
        <v>#N/A</v>
      </c>
    </row>
    <row r="2407" customHeight="1" spans="8:8">
      <c r="H2407" s="39" t="e">
        <f>VLOOKUP(E2407,基础信息!C:E,3,FALSE)</f>
        <v>#N/A</v>
      </c>
    </row>
    <row r="2408" customHeight="1" spans="8:8">
      <c r="H2408" s="39" t="e">
        <f>VLOOKUP(E2408,基础信息!C:E,3,FALSE)</f>
        <v>#N/A</v>
      </c>
    </row>
    <row r="2409" customHeight="1" spans="8:8">
      <c r="H2409" s="39" t="e">
        <f>VLOOKUP(E2409,基础信息!C:E,3,FALSE)</f>
        <v>#N/A</v>
      </c>
    </row>
    <row r="2410" customHeight="1" spans="8:8">
      <c r="H2410" s="39" t="e">
        <f>VLOOKUP(E2410,基础信息!C:E,3,FALSE)</f>
        <v>#N/A</v>
      </c>
    </row>
    <row r="2411" customHeight="1" spans="8:8">
      <c r="H2411" s="39" t="e">
        <f>VLOOKUP(E2411,基础信息!C:E,3,FALSE)</f>
        <v>#N/A</v>
      </c>
    </row>
    <row r="2412" customHeight="1" spans="8:8">
      <c r="H2412" s="39" t="e">
        <f>VLOOKUP(E2412,基础信息!C:E,3,FALSE)</f>
        <v>#N/A</v>
      </c>
    </row>
    <row r="2413" customHeight="1" spans="8:8">
      <c r="H2413" s="39" t="e">
        <f>VLOOKUP(E2413,基础信息!C:E,3,FALSE)</f>
        <v>#N/A</v>
      </c>
    </row>
    <row r="2414" customHeight="1" spans="8:8">
      <c r="H2414" s="39" t="e">
        <f>VLOOKUP(E2414,基础信息!C:E,3,FALSE)</f>
        <v>#N/A</v>
      </c>
    </row>
    <row r="2415" customHeight="1" spans="8:8">
      <c r="H2415" s="39" t="e">
        <f>VLOOKUP(E2415,基础信息!C:E,3,FALSE)</f>
        <v>#N/A</v>
      </c>
    </row>
    <row r="2416" customHeight="1" spans="8:8">
      <c r="H2416" s="39" t="e">
        <f>VLOOKUP(E2416,基础信息!C:E,3,FALSE)</f>
        <v>#N/A</v>
      </c>
    </row>
    <row r="2417" customHeight="1" spans="8:8">
      <c r="H2417" s="39" t="e">
        <f>VLOOKUP(E2417,基础信息!C:E,3,FALSE)</f>
        <v>#N/A</v>
      </c>
    </row>
    <row r="2418" customHeight="1" spans="8:8">
      <c r="H2418" s="39" t="e">
        <f>VLOOKUP(E2418,基础信息!C:E,3,FALSE)</f>
        <v>#N/A</v>
      </c>
    </row>
    <row r="2419" customHeight="1" spans="8:8">
      <c r="H2419" s="39" t="e">
        <f>VLOOKUP(E2419,基础信息!C:E,3,FALSE)</f>
        <v>#N/A</v>
      </c>
    </row>
    <row r="2420" customHeight="1" spans="8:8">
      <c r="H2420" s="39" t="e">
        <f>VLOOKUP(E2420,基础信息!C:E,3,FALSE)</f>
        <v>#N/A</v>
      </c>
    </row>
    <row r="2421" customHeight="1" spans="8:8">
      <c r="H2421" s="39" t="e">
        <f>VLOOKUP(E2421,基础信息!C:E,3,FALSE)</f>
        <v>#N/A</v>
      </c>
    </row>
    <row r="2422" customHeight="1" spans="8:8">
      <c r="H2422" s="39" t="e">
        <f>VLOOKUP(E2422,基础信息!C:E,3,FALSE)</f>
        <v>#N/A</v>
      </c>
    </row>
    <row r="2423" customHeight="1" spans="8:8">
      <c r="H2423" s="39" t="e">
        <f>VLOOKUP(E2423,基础信息!C:E,3,FALSE)</f>
        <v>#N/A</v>
      </c>
    </row>
    <row r="2424" customHeight="1" spans="8:8">
      <c r="H2424" s="39" t="e">
        <f>VLOOKUP(E2424,基础信息!C:E,3,FALSE)</f>
        <v>#N/A</v>
      </c>
    </row>
    <row r="2425" customHeight="1" spans="8:8">
      <c r="H2425" s="39" t="e">
        <f>VLOOKUP(E2425,基础信息!C:E,3,FALSE)</f>
        <v>#N/A</v>
      </c>
    </row>
    <row r="2426" customHeight="1" spans="8:8">
      <c r="H2426" s="39" t="e">
        <f>VLOOKUP(E2426,基础信息!C:E,3,FALSE)</f>
        <v>#N/A</v>
      </c>
    </row>
    <row r="2427" customHeight="1" spans="8:8">
      <c r="H2427" s="39" t="e">
        <f>VLOOKUP(E2427,基础信息!C:E,3,FALSE)</f>
        <v>#N/A</v>
      </c>
    </row>
    <row r="2428" customHeight="1" spans="8:8">
      <c r="H2428" s="39" t="e">
        <f>VLOOKUP(E2428,基础信息!C:E,3,FALSE)</f>
        <v>#N/A</v>
      </c>
    </row>
    <row r="2429" customHeight="1" spans="8:8">
      <c r="H2429" s="39" t="e">
        <f>VLOOKUP(E2429,基础信息!C:E,3,FALSE)</f>
        <v>#N/A</v>
      </c>
    </row>
    <row r="2430" customHeight="1" spans="8:8">
      <c r="H2430" s="39" t="e">
        <f>VLOOKUP(E2430,基础信息!C:E,3,FALSE)</f>
        <v>#N/A</v>
      </c>
    </row>
    <row r="2431" customHeight="1" spans="8:8">
      <c r="H2431" s="39" t="e">
        <f>VLOOKUP(E2431,基础信息!C:E,3,FALSE)</f>
        <v>#N/A</v>
      </c>
    </row>
    <row r="2432" customHeight="1" spans="8:8">
      <c r="H2432" s="39" t="e">
        <f>VLOOKUP(E2432,基础信息!C:E,3,FALSE)</f>
        <v>#N/A</v>
      </c>
    </row>
    <row r="2433" customHeight="1" spans="8:8">
      <c r="H2433" s="39" t="e">
        <f>VLOOKUP(E2433,基础信息!C:E,3,FALSE)</f>
        <v>#N/A</v>
      </c>
    </row>
    <row r="2434" customHeight="1" spans="8:8">
      <c r="H2434" s="39" t="e">
        <f>VLOOKUP(E2434,基础信息!C:E,3,FALSE)</f>
        <v>#N/A</v>
      </c>
    </row>
    <row r="2435" customHeight="1" spans="8:8">
      <c r="H2435" s="39" t="e">
        <f>VLOOKUP(E2435,基础信息!C:E,3,FALSE)</f>
        <v>#N/A</v>
      </c>
    </row>
    <row r="2436" customHeight="1" spans="8:8">
      <c r="H2436" s="39" t="e">
        <f>VLOOKUP(E2436,基础信息!C:E,3,FALSE)</f>
        <v>#N/A</v>
      </c>
    </row>
    <row r="2437" customHeight="1" spans="8:8">
      <c r="H2437" s="39" t="e">
        <f>VLOOKUP(E2437,基础信息!C:E,3,FALSE)</f>
        <v>#N/A</v>
      </c>
    </row>
    <row r="2438" customHeight="1" spans="8:8">
      <c r="H2438" s="39" t="e">
        <f>VLOOKUP(E2438,基础信息!C:E,3,FALSE)</f>
        <v>#N/A</v>
      </c>
    </row>
    <row r="2439" customHeight="1" spans="8:8">
      <c r="H2439" s="39" t="e">
        <f>VLOOKUP(E2439,基础信息!C:E,3,FALSE)</f>
        <v>#N/A</v>
      </c>
    </row>
    <row r="2440" customHeight="1" spans="8:8">
      <c r="H2440" s="39" t="e">
        <f>VLOOKUP(E2440,基础信息!C:E,3,FALSE)</f>
        <v>#N/A</v>
      </c>
    </row>
    <row r="2441" customHeight="1" spans="8:8">
      <c r="H2441" s="39" t="e">
        <f>VLOOKUP(E2441,基础信息!C:E,3,FALSE)</f>
        <v>#N/A</v>
      </c>
    </row>
    <row r="2442" customHeight="1" spans="8:8">
      <c r="H2442" s="39" t="e">
        <f>VLOOKUP(E2442,基础信息!C:E,3,FALSE)</f>
        <v>#N/A</v>
      </c>
    </row>
    <row r="2443" customHeight="1" spans="8:8">
      <c r="H2443" s="39" t="e">
        <f>VLOOKUP(E2443,基础信息!C:E,3,FALSE)</f>
        <v>#N/A</v>
      </c>
    </row>
    <row r="2444" customHeight="1" spans="8:8">
      <c r="H2444" s="39" t="e">
        <f>VLOOKUP(E2444,基础信息!C:E,3,FALSE)</f>
        <v>#N/A</v>
      </c>
    </row>
    <row r="2445" customHeight="1" spans="8:8">
      <c r="H2445" s="39" t="e">
        <f>VLOOKUP(E2445,基础信息!C:E,3,FALSE)</f>
        <v>#N/A</v>
      </c>
    </row>
    <row r="2446" customHeight="1" spans="8:8">
      <c r="H2446" s="39" t="e">
        <f>VLOOKUP(E2446,基础信息!C:E,3,FALSE)</f>
        <v>#N/A</v>
      </c>
    </row>
    <row r="2447" customHeight="1" spans="8:8">
      <c r="H2447" s="39" t="e">
        <f>VLOOKUP(E2447,基础信息!C:E,3,FALSE)</f>
        <v>#N/A</v>
      </c>
    </row>
    <row r="2448" customHeight="1" spans="8:8">
      <c r="H2448" s="39" t="e">
        <f>VLOOKUP(E2448,基础信息!C:E,3,FALSE)</f>
        <v>#N/A</v>
      </c>
    </row>
    <row r="2449" customHeight="1" spans="8:8">
      <c r="H2449" s="39" t="e">
        <f>VLOOKUP(E2449,基础信息!C:E,3,FALSE)</f>
        <v>#N/A</v>
      </c>
    </row>
    <row r="2450" customHeight="1" spans="8:8">
      <c r="H2450" s="39" t="e">
        <f>VLOOKUP(E2450,基础信息!C:E,3,FALSE)</f>
        <v>#N/A</v>
      </c>
    </row>
    <row r="2451" customHeight="1" spans="8:8">
      <c r="H2451" s="39" t="e">
        <f>VLOOKUP(E2451,基础信息!C:E,3,FALSE)</f>
        <v>#N/A</v>
      </c>
    </row>
    <row r="2452" customHeight="1" spans="8:8">
      <c r="H2452" s="39" t="e">
        <f>VLOOKUP(E2452,基础信息!C:E,3,FALSE)</f>
        <v>#N/A</v>
      </c>
    </row>
    <row r="2453" customHeight="1" spans="8:8">
      <c r="H2453" s="39" t="e">
        <f>VLOOKUP(E2453,基础信息!C:E,3,FALSE)</f>
        <v>#N/A</v>
      </c>
    </row>
    <row r="2454" customHeight="1" spans="8:8">
      <c r="H2454" s="39" t="e">
        <f>VLOOKUP(E2454,基础信息!C:E,3,FALSE)</f>
        <v>#N/A</v>
      </c>
    </row>
    <row r="2455" customHeight="1" spans="8:8">
      <c r="H2455" s="39" t="e">
        <f>VLOOKUP(E2455,基础信息!C:E,3,FALSE)</f>
        <v>#N/A</v>
      </c>
    </row>
    <row r="2456" customHeight="1" spans="8:8">
      <c r="H2456" s="39" t="e">
        <f>VLOOKUP(E2456,基础信息!C:E,3,FALSE)</f>
        <v>#N/A</v>
      </c>
    </row>
    <row r="2457" customHeight="1" spans="8:8">
      <c r="H2457" s="39" t="e">
        <f>VLOOKUP(E2457,基础信息!C:E,3,FALSE)</f>
        <v>#N/A</v>
      </c>
    </row>
    <row r="2458" customHeight="1" spans="8:8">
      <c r="H2458" s="39" t="e">
        <f>VLOOKUP(E2458,基础信息!C:E,3,FALSE)</f>
        <v>#N/A</v>
      </c>
    </row>
    <row r="2459" customHeight="1" spans="8:8">
      <c r="H2459" s="39" t="e">
        <f>VLOOKUP(E2459,基础信息!C:E,3,FALSE)</f>
        <v>#N/A</v>
      </c>
    </row>
    <row r="2460" customHeight="1" spans="8:8">
      <c r="H2460" s="39" t="e">
        <f>VLOOKUP(E2460,基础信息!C:E,3,FALSE)</f>
        <v>#N/A</v>
      </c>
    </row>
    <row r="2461" customHeight="1" spans="8:8">
      <c r="H2461" s="39" t="e">
        <f>VLOOKUP(E2461,基础信息!C:E,3,FALSE)</f>
        <v>#N/A</v>
      </c>
    </row>
    <row r="2462" customHeight="1" spans="8:8">
      <c r="H2462" s="39" t="e">
        <f>VLOOKUP(E2462,基础信息!C:E,3,FALSE)</f>
        <v>#N/A</v>
      </c>
    </row>
    <row r="2463" customHeight="1" spans="8:8">
      <c r="H2463" s="39" t="e">
        <f>VLOOKUP(E2463,基础信息!C:E,3,FALSE)</f>
        <v>#N/A</v>
      </c>
    </row>
    <row r="2464" customHeight="1" spans="8:8">
      <c r="H2464" s="39" t="e">
        <f>VLOOKUP(E2464,基础信息!C:E,3,FALSE)</f>
        <v>#N/A</v>
      </c>
    </row>
    <row r="2465" customHeight="1" spans="8:8">
      <c r="H2465" s="39" t="e">
        <f>VLOOKUP(E2465,基础信息!C:E,3,FALSE)</f>
        <v>#N/A</v>
      </c>
    </row>
    <row r="2466" customHeight="1" spans="8:8">
      <c r="H2466" s="39" t="e">
        <f>VLOOKUP(E2466,基础信息!C:E,3,FALSE)</f>
        <v>#N/A</v>
      </c>
    </row>
    <row r="2467" customHeight="1" spans="8:8">
      <c r="H2467" s="39" t="e">
        <f>VLOOKUP(E2467,基础信息!C:E,3,FALSE)</f>
        <v>#N/A</v>
      </c>
    </row>
    <row r="2468" customHeight="1" spans="8:8">
      <c r="H2468" s="39" t="e">
        <f>VLOOKUP(E2468,基础信息!C:E,3,FALSE)</f>
        <v>#N/A</v>
      </c>
    </row>
    <row r="2469" customHeight="1" spans="8:8">
      <c r="H2469" s="39" t="e">
        <f>VLOOKUP(E2469,基础信息!C:E,3,FALSE)</f>
        <v>#N/A</v>
      </c>
    </row>
    <row r="2470" customHeight="1" spans="8:8">
      <c r="H2470" s="39" t="e">
        <f>VLOOKUP(E2470,基础信息!C:E,3,FALSE)</f>
        <v>#N/A</v>
      </c>
    </row>
    <row r="2471" customHeight="1" spans="8:8">
      <c r="H2471" s="39" t="e">
        <f>VLOOKUP(E2471,基础信息!C:E,3,FALSE)</f>
        <v>#N/A</v>
      </c>
    </row>
    <row r="2472" customHeight="1" spans="8:8">
      <c r="H2472" s="39" t="e">
        <f>VLOOKUP(E2472,基础信息!C:E,3,FALSE)</f>
        <v>#N/A</v>
      </c>
    </row>
    <row r="2473" customHeight="1" spans="8:8">
      <c r="H2473" s="39" t="e">
        <f>VLOOKUP(E2473,基础信息!C:E,3,FALSE)</f>
        <v>#N/A</v>
      </c>
    </row>
    <row r="2474" customHeight="1" spans="8:8">
      <c r="H2474" s="39" t="e">
        <f>VLOOKUP(E2474,基础信息!C:E,3,FALSE)</f>
        <v>#N/A</v>
      </c>
    </row>
    <row r="2475" customHeight="1" spans="8:8">
      <c r="H2475" s="39" t="e">
        <f>VLOOKUP(E2475,基础信息!C:E,3,FALSE)</f>
        <v>#N/A</v>
      </c>
    </row>
    <row r="2476" customHeight="1" spans="8:8">
      <c r="H2476" s="39" t="e">
        <f>VLOOKUP(E2476,基础信息!C:E,3,FALSE)</f>
        <v>#N/A</v>
      </c>
    </row>
    <row r="2477" customHeight="1" spans="8:8">
      <c r="H2477" s="39" t="e">
        <f>VLOOKUP(E2477,基础信息!C:E,3,FALSE)</f>
        <v>#N/A</v>
      </c>
    </row>
    <row r="2478" customHeight="1" spans="8:8">
      <c r="H2478" s="39" t="e">
        <f>VLOOKUP(E2478,基础信息!C:E,3,FALSE)</f>
        <v>#N/A</v>
      </c>
    </row>
    <row r="2479" customHeight="1" spans="8:8">
      <c r="H2479" s="39" t="e">
        <f>VLOOKUP(E2479,基础信息!C:E,3,FALSE)</f>
        <v>#N/A</v>
      </c>
    </row>
    <row r="2480" customHeight="1" spans="8:8">
      <c r="H2480" s="39" t="e">
        <f>VLOOKUP(E2480,基础信息!C:E,3,FALSE)</f>
        <v>#N/A</v>
      </c>
    </row>
    <row r="2481" customHeight="1" spans="8:8">
      <c r="H2481" s="39" t="e">
        <f>VLOOKUP(E2481,基础信息!C:E,3,FALSE)</f>
        <v>#N/A</v>
      </c>
    </row>
    <row r="2482" customHeight="1" spans="8:8">
      <c r="H2482" s="39" t="e">
        <f>VLOOKUP(E2482,基础信息!C:E,3,FALSE)</f>
        <v>#N/A</v>
      </c>
    </row>
    <row r="2483" customHeight="1" spans="8:8">
      <c r="H2483" s="39" t="e">
        <f>VLOOKUP(E2483,基础信息!C:E,3,FALSE)</f>
        <v>#N/A</v>
      </c>
    </row>
    <row r="2484" customHeight="1" spans="8:8">
      <c r="H2484" s="39" t="e">
        <f>VLOOKUP(E2484,基础信息!C:E,3,FALSE)</f>
        <v>#N/A</v>
      </c>
    </row>
    <row r="2485" customHeight="1" spans="8:8">
      <c r="H2485" s="39" t="e">
        <f>VLOOKUP(E2485,基础信息!C:E,3,FALSE)</f>
        <v>#N/A</v>
      </c>
    </row>
    <row r="2486" customHeight="1" spans="8:8">
      <c r="H2486" s="39" t="e">
        <f>VLOOKUP(E2486,基础信息!C:E,3,FALSE)</f>
        <v>#N/A</v>
      </c>
    </row>
    <row r="2487" customHeight="1" spans="8:8">
      <c r="H2487" s="39" t="e">
        <f>VLOOKUP(E2487,基础信息!C:E,3,FALSE)</f>
        <v>#N/A</v>
      </c>
    </row>
    <row r="2488" customHeight="1" spans="8:8">
      <c r="H2488" s="39" t="e">
        <f>VLOOKUP(E2488,基础信息!C:E,3,FALSE)</f>
        <v>#N/A</v>
      </c>
    </row>
    <row r="2489" customHeight="1" spans="8:8">
      <c r="H2489" s="39" t="e">
        <f>VLOOKUP(E2489,基础信息!C:E,3,FALSE)</f>
        <v>#N/A</v>
      </c>
    </row>
    <row r="2490" customHeight="1" spans="8:8">
      <c r="H2490" s="39" t="e">
        <f>VLOOKUP(E2490,基础信息!C:E,3,FALSE)</f>
        <v>#N/A</v>
      </c>
    </row>
    <row r="2491" customHeight="1" spans="8:8">
      <c r="H2491" s="39" t="e">
        <f>VLOOKUP(E2491,基础信息!C:E,3,FALSE)</f>
        <v>#N/A</v>
      </c>
    </row>
    <row r="2492" customHeight="1" spans="8:8">
      <c r="H2492" s="39" t="e">
        <f>VLOOKUP(E2492,基础信息!C:E,3,FALSE)</f>
        <v>#N/A</v>
      </c>
    </row>
    <row r="2493" customHeight="1" spans="8:8">
      <c r="H2493" s="39" t="e">
        <f>VLOOKUP(E2493,基础信息!C:E,3,FALSE)</f>
        <v>#N/A</v>
      </c>
    </row>
    <row r="2494" customHeight="1" spans="8:8">
      <c r="H2494" s="39" t="e">
        <f>VLOOKUP(E2494,基础信息!C:E,3,FALSE)</f>
        <v>#N/A</v>
      </c>
    </row>
    <row r="2495" customHeight="1" spans="8:8">
      <c r="H2495" s="39" t="e">
        <f>VLOOKUP(E2495,基础信息!C:E,3,FALSE)</f>
        <v>#N/A</v>
      </c>
    </row>
    <row r="2496" customHeight="1" spans="8:8">
      <c r="H2496" s="39" t="e">
        <f>VLOOKUP(E2496,基础信息!C:E,3,FALSE)</f>
        <v>#N/A</v>
      </c>
    </row>
    <row r="2497" customHeight="1" spans="8:8">
      <c r="H2497" s="39" t="e">
        <f>VLOOKUP(E2497,基础信息!C:E,3,FALSE)</f>
        <v>#N/A</v>
      </c>
    </row>
    <row r="2498" customHeight="1" spans="8:8">
      <c r="H2498" s="39" t="e">
        <f>VLOOKUP(E2498,基础信息!C:E,3,FALSE)</f>
        <v>#N/A</v>
      </c>
    </row>
    <row r="2499" customHeight="1" spans="8:8">
      <c r="H2499" s="39" t="e">
        <f>VLOOKUP(E2499,基础信息!C:E,3,FALSE)</f>
        <v>#N/A</v>
      </c>
    </row>
    <row r="2500" customHeight="1" spans="8:8">
      <c r="H2500" s="39" t="e">
        <f>VLOOKUP(E2500,基础信息!C:E,3,FALSE)</f>
        <v>#N/A</v>
      </c>
    </row>
    <row r="2501" customHeight="1" spans="8:8">
      <c r="H2501" s="39" t="e">
        <f>VLOOKUP(E2501,基础信息!C:E,3,FALSE)</f>
        <v>#N/A</v>
      </c>
    </row>
    <row r="2502" customHeight="1" spans="8:8">
      <c r="H2502" s="39" t="e">
        <f>VLOOKUP(E2502,基础信息!C:E,3,FALSE)</f>
        <v>#N/A</v>
      </c>
    </row>
    <row r="2503" customHeight="1" spans="8:8">
      <c r="H2503" s="39" t="e">
        <f>VLOOKUP(E2503,基础信息!C:E,3,FALSE)</f>
        <v>#N/A</v>
      </c>
    </row>
    <row r="2504" customHeight="1" spans="8:8">
      <c r="H2504" s="39" t="e">
        <f>VLOOKUP(E2504,基础信息!C:E,3,FALSE)</f>
        <v>#N/A</v>
      </c>
    </row>
    <row r="2505" customHeight="1" spans="8:8">
      <c r="H2505" s="39" t="e">
        <f>VLOOKUP(E2505,基础信息!C:E,3,FALSE)</f>
        <v>#N/A</v>
      </c>
    </row>
    <row r="2506" customHeight="1" spans="8:8">
      <c r="H2506" s="39" t="e">
        <f>VLOOKUP(E2506,基础信息!C:E,3,FALSE)</f>
        <v>#N/A</v>
      </c>
    </row>
    <row r="2507" customHeight="1" spans="8:8">
      <c r="H2507" s="39" t="e">
        <f>VLOOKUP(E2507,基础信息!C:E,3,FALSE)</f>
        <v>#N/A</v>
      </c>
    </row>
    <row r="2508" customHeight="1" spans="8:8">
      <c r="H2508" s="39" t="e">
        <f>VLOOKUP(E2508,基础信息!C:E,3,FALSE)</f>
        <v>#N/A</v>
      </c>
    </row>
    <row r="2509" customHeight="1" spans="8:8">
      <c r="H2509" s="39" t="e">
        <f>VLOOKUP(E2509,基础信息!C:E,3,FALSE)</f>
        <v>#N/A</v>
      </c>
    </row>
    <row r="2510" customHeight="1" spans="8:8">
      <c r="H2510" s="39" t="e">
        <f>VLOOKUP(E2510,基础信息!C:E,3,FALSE)</f>
        <v>#N/A</v>
      </c>
    </row>
    <row r="2511" customHeight="1" spans="8:8">
      <c r="H2511" s="39" t="e">
        <f>VLOOKUP(E2511,基础信息!C:E,3,FALSE)</f>
        <v>#N/A</v>
      </c>
    </row>
    <row r="2512" customHeight="1" spans="8:8">
      <c r="H2512" s="39" t="e">
        <f>VLOOKUP(E2512,基础信息!C:E,3,FALSE)</f>
        <v>#N/A</v>
      </c>
    </row>
    <row r="2513" customHeight="1" spans="8:8">
      <c r="H2513" s="39" t="e">
        <f>VLOOKUP(E2513,基础信息!C:E,3,FALSE)</f>
        <v>#N/A</v>
      </c>
    </row>
    <row r="2514" customHeight="1" spans="8:8">
      <c r="H2514" s="39" t="e">
        <f>VLOOKUP(E2514,基础信息!C:E,3,FALSE)</f>
        <v>#N/A</v>
      </c>
    </row>
    <row r="2515" customHeight="1" spans="8:8">
      <c r="H2515" s="39" t="e">
        <f>VLOOKUP(E2515,基础信息!C:E,3,FALSE)</f>
        <v>#N/A</v>
      </c>
    </row>
    <row r="2516" customHeight="1" spans="8:8">
      <c r="H2516" s="39" t="e">
        <f>VLOOKUP(E2516,基础信息!C:E,3,FALSE)</f>
        <v>#N/A</v>
      </c>
    </row>
    <row r="2517" customHeight="1" spans="8:8">
      <c r="H2517" s="39" t="e">
        <f>VLOOKUP(E2517,基础信息!C:E,3,FALSE)</f>
        <v>#N/A</v>
      </c>
    </row>
    <row r="2518" customHeight="1" spans="8:8">
      <c r="H2518" s="39" t="e">
        <f>VLOOKUP(E2518,基础信息!C:E,3,FALSE)</f>
        <v>#N/A</v>
      </c>
    </row>
    <row r="2519" customHeight="1" spans="8:8">
      <c r="H2519" s="39" t="e">
        <f>VLOOKUP(E2519,基础信息!C:E,3,FALSE)</f>
        <v>#N/A</v>
      </c>
    </row>
    <row r="2520" customHeight="1" spans="8:8">
      <c r="H2520" s="39" t="e">
        <f>VLOOKUP(E2520,基础信息!C:E,3,FALSE)</f>
        <v>#N/A</v>
      </c>
    </row>
    <row r="2521" customHeight="1" spans="8:8">
      <c r="H2521" s="39" t="e">
        <f>VLOOKUP(E2521,基础信息!C:E,3,FALSE)</f>
        <v>#N/A</v>
      </c>
    </row>
    <row r="2522" customHeight="1" spans="8:8">
      <c r="H2522" s="39" t="e">
        <f>VLOOKUP(E2522,基础信息!C:E,3,FALSE)</f>
        <v>#N/A</v>
      </c>
    </row>
    <row r="2523" customHeight="1" spans="8:8">
      <c r="H2523" s="39" t="e">
        <f>VLOOKUP(E2523,基础信息!C:E,3,FALSE)</f>
        <v>#N/A</v>
      </c>
    </row>
    <row r="2524" customHeight="1" spans="8:8">
      <c r="H2524" s="39" t="e">
        <f>VLOOKUP(E2524,基础信息!C:E,3,FALSE)</f>
        <v>#N/A</v>
      </c>
    </row>
    <row r="2525" customHeight="1" spans="8:8">
      <c r="H2525" s="39" t="e">
        <f>VLOOKUP(E2525,基础信息!C:E,3,FALSE)</f>
        <v>#N/A</v>
      </c>
    </row>
    <row r="2526" customHeight="1" spans="8:8">
      <c r="H2526" s="39" t="e">
        <f>VLOOKUP(E2526,基础信息!C:E,3,FALSE)</f>
        <v>#N/A</v>
      </c>
    </row>
    <row r="2527" customHeight="1" spans="8:8">
      <c r="H2527" s="39" t="e">
        <f>VLOOKUP(E2527,基础信息!C:E,3,FALSE)</f>
        <v>#N/A</v>
      </c>
    </row>
    <row r="2528" customHeight="1" spans="8:8">
      <c r="H2528" s="39" t="e">
        <f>VLOOKUP(E2528,基础信息!C:E,3,FALSE)</f>
        <v>#N/A</v>
      </c>
    </row>
    <row r="2529" customHeight="1" spans="8:8">
      <c r="H2529" s="39" t="e">
        <f>VLOOKUP(E2529,基础信息!C:E,3,FALSE)</f>
        <v>#N/A</v>
      </c>
    </row>
    <row r="2530" customHeight="1" spans="8:8">
      <c r="H2530" s="39" t="e">
        <f>VLOOKUP(E2530,基础信息!C:E,3,FALSE)</f>
        <v>#N/A</v>
      </c>
    </row>
    <row r="2531" customHeight="1" spans="8:8">
      <c r="H2531" s="39" t="e">
        <f>VLOOKUP(E2531,基础信息!C:E,3,FALSE)</f>
        <v>#N/A</v>
      </c>
    </row>
    <row r="2532" customHeight="1" spans="8:8">
      <c r="H2532" s="39" t="e">
        <f>VLOOKUP(E2532,基础信息!C:E,3,FALSE)</f>
        <v>#N/A</v>
      </c>
    </row>
    <row r="2533" customHeight="1" spans="8:8">
      <c r="H2533" s="39" t="e">
        <f>VLOOKUP(E2533,基础信息!C:E,3,FALSE)</f>
        <v>#N/A</v>
      </c>
    </row>
    <row r="2534" customHeight="1" spans="8:8">
      <c r="H2534" s="39" t="e">
        <f>VLOOKUP(E2534,基础信息!C:E,3,FALSE)</f>
        <v>#N/A</v>
      </c>
    </row>
    <row r="2535" customHeight="1" spans="8:8">
      <c r="H2535" s="39" t="e">
        <f>VLOOKUP(E2535,基础信息!C:E,3,FALSE)</f>
        <v>#N/A</v>
      </c>
    </row>
    <row r="2536" customHeight="1" spans="8:8">
      <c r="H2536" s="39" t="e">
        <f>VLOOKUP(E2536,基础信息!C:E,3,FALSE)</f>
        <v>#N/A</v>
      </c>
    </row>
    <row r="2537" customHeight="1" spans="8:8">
      <c r="H2537" s="39" t="e">
        <f>VLOOKUP(E2537,基础信息!C:E,3,FALSE)</f>
        <v>#N/A</v>
      </c>
    </row>
    <row r="2538" customHeight="1" spans="8:8">
      <c r="H2538" s="39" t="e">
        <f>VLOOKUP(E2538,基础信息!C:E,3,FALSE)</f>
        <v>#N/A</v>
      </c>
    </row>
    <row r="2539" customHeight="1" spans="8:8">
      <c r="H2539" s="39" t="e">
        <f>VLOOKUP(E2539,基础信息!C:E,3,FALSE)</f>
        <v>#N/A</v>
      </c>
    </row>
    <row r="2540" customHeight="1" spans="8:8">
      <c r="H2540" s="39" t="e">
        <f>VLOOKUP(E2540,基础信息!C:E,3,FALSE)</f>
        <v>#N/A</v>
      </c>
    </row>
    <row r="2541" customHeight="1" spans="8:8">
      <c r="H2541" s="39" t="e">
        <f>VLOOKUP(E2541,基础信息!C:E,3,FALSE)</f>
        <v>#N/A</v>
      </c>
    </row>
    <row r="2542" customHeight="1" spans="8:8">
      <c r="H2542" s="39" t="e">
        <f>VLOOKUP(E2542,基础信息!C:E,3,FALSE)</f>
        <v>#N/A</v>
      </c>
    </row>
    <row r="2543" customHeight="1" spans="8:8">
      <c r="H2543" s="39" t="e">
        <f>VLOOKUP(E2543,基础信息!C:E,3,FALSE)</f>
        <v>#N/A</v>
      </c>
    </row>
    <row r="2544" customHeight="1" spans="8:8">
      <c r="H2544" s="39" t="e">
        <f>VLOOKUP(E2544,基础信息!C:E,3,FALSE)</f>
        <v>#N/A</v>
      </c>
    </row>
    <row r="2545" customHeight="1" spans="8:8">
      <c r="H2545" s="39" t="e">
        <f>VLOOKUP(E2545,基础信息!C:E,3,FALSE)</f>
        <v>#N/A</v>
      </c>
    </row>
    <row r="2546" customHeight="1" spans="8:8">
      <c r="H2546" s="39" t="e">
        <f>VLOOKUP(E2546,基础信息!C:E,3,FALSE)</f>
        <v>#N/A</v>
      </c>
    </row>
    <row r="2547" customHeight="1" spans="8:8">
      <c r="H2547" s="39" t="e">
        <f>VLOOKUP(E2547,基础信息!C:E,3,FALSE)</f>
        <v>#N/A</v>
      </c>
    </row>
    <row r="2548" customHeight="1" spans="8:8">
      <c r="H2548" s="39" t="e">
        <f>VLOOKUP(E2548,基础信息!C:E,3,FALSE)</f>
        <v>#N/A</v>
      </c>
    </row>
    <row r="2549" customHeight="1" spans="8:8">
      <c r="H2549" s="39" t="e">
        <f>VLOOKUP(E2549,基础信息!C:E,3,FALSE)</f>
        <v>#N/A</v>
      </c>
    </row>
    <row r="2550" customHeight="1" spans="8:8">
      <c r="H2550" s="39" t="e">
        <f>VLOOKUP(E2550,基础信息!C:E,3,FALSE)</f>
        <v>#N/A</v>
      </c>
    </row>
    <row r="2551" customHeight="1" spans="8:8">
      <c r="H2551" s="39" t="e">
        <f>VLOOKUP(E2551,基础信息!C:E,3,FALSE)</f>
        <v>#N/A</v>
      </c>
    </row>
    <row r="2552" customHeight="1" spans="8:8">
      <c r="H2552" s="39" t="e">
        <f>VLOOKUP(E2552,基础信息!C:E,3,FALSE)</f>
        <v>#N/A</v>
      </c>
    </row>
    <row r="2553" customHeight="1" spans="8:8">
      <c r="H2553" s="39" t="e">
        <f>VLOOKUP(E2553,基础信息!C:E,3,FALSE)</f>
        <v>#N/A</v>
      </c>
    </row>
    <row r="2554" customHeight="1" spans="8:8">
      <c r="H2554" s="39" t="e">
        <f>VLOOKUP(E2554,基础信息!C:E,3,FALSE)</f>
        <v>#N/A</v>
      </c>
    </row>
    <row r="2555" customHeight="1" spans="8:8">
      <c r="H2555" s="39" t="e">
        <f>VLOOKUP(E2555,基础信息!C:E,3,FALSE)</f>
        <v>#N/A</v>
      </c>
    </row>
    <row r="2556" customHeight="1" spans="8:8">
      <c r="H2556" s="39" t="e">
        <f>VLOOKUP(E2556,基础信息!C:E,3,FALSE)</f>
        <v>#N/A</v>
      </c>
    </row>
    <row r="2557" customHeight="1" spans="8:8">
      <c r="H2557" s="39" t="e">
        <f>VLOOKUP(E2557,基础信息!C:E,3,FALSE)</f>
        <v>#N/A</v>
      </c>
    </row>
    <row r="2558" customHeight="1" spans="8:8">
      <c r="H2558" s="39" t="e">
        <f>VLOOKUP(E2558,基础信息!C:E,3,FALSE)</f>
        <v>#N/A</v>
      </c>
    </row>
    <row r="2559" customHeight="1" spans="8:8">
      <c r="H2559" s="39" t="e">
        <f>VLOOKUP(E2559,基础信息!C:E,3,FALSE)</f>
        <v>#N/A</v>
      </c>
    </row>
    <row r="2560" customHeight="1" spans="8:8">
      <c r="H2560" s="39" t="e">
        <f>VLOOKUP(E2560,基础信息!C:E,3,FALSE)</f>
        <v>#N/A</v>
      </c>
    </row>
    <row r="2561" customHeight="1" spans="8:8">
      <c r="H2561" s="39" t="e">
        <f>VLOOKUP(E2561,基础信息!C:E,3,FALSE)</f>
        <v>#N/A</v>
      </c>
    </row>
    <row r="2562" customHeight="1" spans="8:8">
      <c r="H2562" s="39" t="e">
        <f>VLOOKUP(E2562,基础信息!C:E,3,FALSE)</f>
        <v>#N/A</v>
      </c>
    </row>
    <row r="2563" customHeight="1" spans="8:8">
      <c r="H2563" s="39" t="e">
        <f>VLOOKUP(E2563,基础信息!C:E,3,FALSE)</f>
        <v>#N/A</v>
      </c>
    </row>
    <row r="2564" customHeight="1" spans="8:8">
      <c r="H2564" s="39" t="e">
        <f>VLOOKUP(E2564,基础信息!C:E,3,FALSE)</f>
        <v>#N/A</v>
      </c>
    </row>
    <row r="2565" customHeight="1" spans="8:8">
      <c r="H2565" s="39" t="e">
        <f>VLOOKUP(E2565,基础信息!C:E,3,FALSE)</f>
        <v>#N/A</v>
      </c>
    </row>
    <row r="2566" customHeight="1" spans="8:8">
      <c r="H2566" s="39" t="e">
        <f>VLOOKUP(E2566,基础信息!C:E,3,FALSE)</f>
        <v>#N/A</v>
      </c>
    </row>
    <row r="2567" customHeight="1" spans="8:8">
      <c r="H2567" s="39" t="e">
        <f>VLOOKUP(E2567,基础信息!C:E,3,FALSE)</f>
        <v>#N/A</v>
      </c>
    </row>
    <row r="2568" customHeight="1" spans="8:8">
      <c r="H2568" s="39" t="e">
        <f>VLOOKUP(E2568,基础信息!C:E,3,FALSE)</f>
        <v>#N/A</v>
      </c>
    </row>
    <row r="2569" customHeight="1" spans="8:8">
      <c r="H2569" s="39" t="e">
        <f>VLOOKUP(E2569,基础信息!C:E,3,FALSE)</f>
        <v>#N/A</v>
      </c>
    </row>
    <row r="2570" customHeight="1" spans="8:8">
      <c r="H2570" s="39" t="e">
        <f>VLOOKUP(E2570,基础信息!C:E,3,FALSE)</f>
        <v>#N/A</v>
      </c>
    </row>
    <row r="2571" customHeight="1" spans="8:8">
      <c r="H2571" s="39" t="e">
        <f>VLOOKUP(E2571,基础信息!C:E,3,FALSE)</f>
        <v>#N/A</v>
      </c>
    </row>
    <row r="2572" customHeight="1" spans="8:8">
      <c r="H2572" s="39" t="e">
        <f>VLOOKUP(E2572,基础信息!C:E,3,FALSE)</f>
        <v>#N/A</v>
      </c>
    </row>
    <row r="2573" customHeight="1" spans="8:8">
      <c r="H2573" s="39" t="e">
        <f>VLOOKUP(E2573,基础信息!C:E,3,FALSE)</f>
        <v>#N/A</v>
      </c>
    </row>
    <row r="2574" customHeight="1" spans="8:8">
      <c r="H2574" s="39" t="e">
        <f>VLOOKUP(E2574,基础信息!C:E,3,FALSE)</f>
        <v>#N/A</v>
      </c>
    </row>
    <row r="2575" customHeight="1" spans="8:8">
      <c r="H2575" s="39" t="e">
        <f>VLOOKUP(E2575,基础信息!C:E,3,FALSE)</f>
        <v>#N/A</v>
      </c>
    </row>
    <row r="2576" customHeight="1" spans="8:8">
      <c r="H2576" s="39" t="e">
        <f>VLOOKUP(E2576,基础信息!C:E,3,FALSE)</f>
        <v>#N/A</v>
      </c>
    </row>
    <row r="2577" customHeight="1" spans="8:8">
      <c r="H2577" s="39" t="e">
        <f>VLOOKUP(E2577,基础信息!C:E,3,FALSE)</f>
        <v>#N/A</v>
      </c>
    </row>
    <row r="2578" customHeight="1" spans="8:8">
      <c r="H2578" s="39" t="e">
        <f>VLOOKUP(E2578,基础信息!C:E,3,FALSE)</f>
        <v>#N/A</v>
      </c>
    </row>
    <row r="2579" customHeight="1" spans="8:8">
      <c r="H2579" s="39" t="e">
        <f>VLOOKUP(E2579,基础信息!C:E,3,FALSE)</f>
        <v>#N/A</v>
      </c>
    </row>
    <row r="2580" customHeight="1" spans="8:8">
      <c r="H2580" s="39" t="e">
        <f>VLOOKUP(E2580,基础信息!C:E,3,FALSE)</f>
        <v>#N/A</v>
      </c>
    </row>
    <row r="2581" customHeight="1" spans="8:8">
      <c r="H2581" s="39" t="e">
        <f>VLOOKUP(E2581,基础信息!C:E,3,FALSE)</f>
        <v>#N/A</v>
      </c>
    </row>
    <row r="2582" customHeight="1" spans="8:8">
      <c r="H2582" s="39" t="e">
        <f>VLOOKUP(E2582,基础信息!C:E,3,FALSE)</f>
        <v>#N/A</v>
      </c>
    </row>
    <row r="2583" customHeight="1" spans="8:8">
      <c r="H2583" s="39" t="e">
        <f>VLOOKUP(E2583,基础信息!C:E,3,FALSE)</f>
        <v>#N/A</v>
      </c>
    </row>
    <row r="2584" customHeight="1" spans="8:8">
      <c r="H2584" s="39" t="e">
        <f>VLOOKUP(E2584,基础信息!C:E,3,FALSE)</f>
        <v>#N/A</v>
      </c>
    </row>
    <row r="2585" customHeight="1" spans="8:8">
      <c r="H2585" s="39" t="e">
        <f>VLOOKUP(E2585,基础信息!C:E,3,FALSE)</f>
        <v>#N/A</v>
      </c>
    </row>
    <row r="2586" customHeight="1" spans="8:8">
      <c r="H2586" s="39" t="e">
        <f>VLOOKUP(E2586,基础信息!C:E,3,FALSE)</f>
        <v>#N/A</v>
      </c>
    </row>
    <row r="2587" customHeight="1" spans="8:8">
      <c r="H2587" s="39" t="e">
        <f>VLOOKUP(E2587,基础信息!C:E,3,FALSE)</f>
        <v>#N/A</v>
      </c>
    </row>
    <row r="2588" customHeight="1" spans="8:8">
      <c r="H2588" s="39" t="e">
        <f>VLOOKUP(E2588,基础信息!C:E,3,FALSE)</f>
        <v>#N/A</v>
      </c>
    </row>
    <row r="2589" customHeight="1" spans="8:8">
      <c r="H2589" s="39" t="e">
        <f>VLOOKUP(E2589,基础信息!C:E,3,FALSE)</f>
        <v>#N/A</v>
      </c>
    </row>
    <row r="2590" customHeight="1" spans="8:8">
      <c r="H2590" s="39" t="e">
        <f>VLOOKUP(E2590,基础信息!C:E,3,FALSE)</f>
        <v>#N/A</v>
      </c>
    </row>
    <row r="2591" customHeight="1" spans="8:8">
      <c r="H2591" s="39" t="e">
        <f>VLOOKUP(E2591,基础信息!C:E,3,FALSE)</f>
        <v>#N/A</v>
      </c>
    </row>
    <row r="2592" customHeight="1" spans="8:8">
      <c r="H2592" s="39" t="e">
        <f>VLOOKUP(E2592,基础信息!C:E,3,FALSE)</f>
        <v>#N/A</v>
      </c>
    </row>
    <row r="2593" customHeight="1" spans="8:8">
      <c r="H2593" s="39" t="e">
        <f>VLOOKUP(E2593,基础信息!C:E,3,FALSE)</f>
        <v>#N/A</v>
      </c>
    </row>
    <row r="2594" customHeight="1" spans="8:8">
      <c r="H2594" s="39" t="e">
        <f>VLOOKUP(E2594,基础信息!C:E,3,FALSE)</f>
        <v>#N/A</v>
      </c>
    </row>
    <row r="2595" customHeight="1" spans="8:8">
      <c r="H2595" s="39" t="e">
        <f>VLOOKUP(E2595,基础信息!C:E,3,FALSE)</f>
        <v>#N/A</v>
      </c>
    </row>
    <row r="2596" customHeight="1" spans="8:8">
      <c r="H2596" s="39" t="e">
        <f>VLOOKUP(E2596,基础信息!C:E,3,FALSE)</f>
        <v>#N/A</v>
      </c>
    </row>
    <row r="2597" customHeight="1" spans="8:8">
      <c r="H2597" s="39" t="e">
        <f>VLOOKUP(E2597,基础信息!C:E,3,FALSE)</f>
        <v>#N/A</v>
      </c>
    </row>
    <row r="2598" customHeight="1" spans="8:8">
      <c r="H2598" s="39" t="e">
        <f>VLOOKUP(E2598,基础信息!C:E,3,FALSE)</f>
        <v>#N/A</v>
      </c>
    </row>
    <row r="2599" customHeight="1" spans="8:8">
      <c r="H2599" s="39" t="e">
        <f>VLOOKUP(E2599,基础信息!C:E,3,FALSE)</f>
        <v>#N/A</v>
      </c>
    </row>
    <row r="2600" customHeight="1" spans="8:8">
      <c r="H2600" s="39" t="e">
        <f>VLOOKUP(E2600,基础信息!C:E,3,FALSE)</f>
        <v>#N/A</v>
      </c>
    </row>
    <row r="2601" customHeight="1" spans="8:8">
      <c r="H2601" s="39" t="e">
        <f>VLOOKUP(E2601,基础信息!C:E,3,FALSE)</f>
        <v>#N/A</v>
      </c>
    </row>
    <row r="2602" customHeight="1" spans="8:8">
      <c r="H2602" s="39" t="e">
        <f>VLOOKUP(E2602,基础信息!C:E,3,FALSE)</f>
        <v>#N/A</v>
      </c>
    </row>
    <row r="2603" customHeight="1" spans="8:8">
      <c r="H2603" s="39" t="e">
        <f>VLOOKUP(E2603,基础信息!C:E,3,FALSE)</f>
        <v>#N/A</v>
      </c>
    </row>
    <row r="2604" customHeight="1" spans="8:8">
      <c r="H2604" s="39" t="e">
        <f>VLOOKUP(E2604,基础信息!C:E,3,FALSE)</f>
        <v>#N/A</v>
      </c>
    </row>
    <row r="2605" customHeight="1" spans="8:8">
      <c r="H2605" s="39" t="e">
        <f>VLOOKUP(E2605,基础信息!C:E,3,FALSE)</f>
        <v>#N/A</v>
      </c>
    </row>
    <row r="2606" customHeight="1" spans="8:8">
      <c r="H2606" s="39" t="e">
        <f>VLOOKUP(E2606,基础信息!C:E,3,FALSE)</f>
        <v>#N/A</v>
      </c>
    </row>
    <row r="2607" customHeight="1" spans="8:8">
      <c r="H2607" s="39" t="e">
        <f>VLOOKUP(E2607,基础信息!C:E,3,FALSE)</f>
        <v>#N/A</v>
      </c>
    </row>
    <row r="2608" customHeight="1" spans="8:8">
      <c r="H2608" s="39" t="e">
        <f>VLOOKUP(E2608,基础信息!C:E,3,FALSE)</f>
        <v>#N/A</v>
      </c>
    </row>
    <row r="2609" customHeight="1" spans="8:8">
      <c r="H2609" s="39" t="e">
        <f>VLOOKUP(E2609,基础信息!C:E,3,FALSE)</f>
        <v>#N/A</v>
      </c>
    </row>
    <row r="2610" customHeight="1" spans="8:8">
      <c r="H2610" s="39" t="e">
        <f>VLOOKUP(E2610,基础信息!C:E,3,FALSE)</f>
        <v>#N/A</v>
      </c>
    </row>
    <row r="2611" customHeight="1" spans="8:8">
      <c r="H2611" s="39" t="e">
        <f>VLOOKUP(E2611,基础信息!C:E,3,FALSE)</f>
        <v>#N/A</v>
      </c>
    </row>
    <row r="2612" customHeight="1" spans="8:8">
      <c r="H2612" s="39" t="e">
        <f>VLOOKUP(E2612,基础信息!C:E,3,FALSE)</f>
        <v>#N/A</v>
      </c>
    </row>
    <row r="2613" customHeight="1" spans="8:8">
      <c r="H2613" s="39" t="e">
        <f>VLOOKUP(E2613,基础信息!C:E,3,FALSE)</f>
        <v>#N/A</v>
      </c>
    </row>
    <row r="2614" customHeight="1" spans="8:8">
      <c r="H2614" s="39" t="e">
        <f>VLOOKUP(E2614,基础信息!C:E,3,FALSE)</f>
        <v>#N/A</v>
      </c>
    </row>
    <row r="2615" customHeight="1" spans="8:8">
      <c r="H2615" s="39" t="e">
        <f>VLOOKUP(E2615,基础信息!C:E,3,FALSE)</f>
        <v>#N/A</v>
      </c>
    </row>
    <row r="2616" customHeight="1" spans="8:8">
      <c r="H2616" s="39" t="e">
        <f>VLOOKUP(E2616,基础信息!C:E,3,FALSE)</f>
        <v>#N/A</v>
      </c>
    </row>
    <row r="2617" customHeight="1" spans="8:8">
      <c r="H2617" s="39" t="e">
        <f>VLOOKUP(E2617,基础信息!C:E,3,FALSE)</f>
        <v>#N/A</v>
      </c>
    </row>
    <row r="2618" customHeight="1" spans="8:8">
      <c r="H2618" s="39" t="e">
        <f>VLOOKUP(E2618,基础信息!C:E,3,FALSE)</f>
        <v>#N/A</v>
      </c>
    </row>
    <row r="2619" customHeight="1" spans="8:8">
      <c r="H2619" s="39" t="e">
        <f>VLOOKUP(E2619,基础信息!C:E,3,FALSE)</f>
        <v>#N/A</v>
      </c>
    </row>
    <row r="2620" customHeight="1" spans="8:8">
      <c r="H2620" s="39" t="e">
        <f>VLOOKUP(E2620,基础信息!C:E,3,FALSE)</f>
        <v>#N/A</v>
      </c>
    </row>
    <row r="2621" customHeight="1" spans="8:8">
      <c r="H2621" s="39" t="e">
        <f>VLOOKUP(E2621,基础信息!C:E,3,FALSE)</f>
        <v>#N/A</v>
      </c>
    </row>
    <row r="2622" customHeight="1" spans="8:8">
      <c r="H2622" s="39" t="e">
        <f>VLOOKUP(E2622,基础信息!C:E,3,FALSE)</f>
        <v>#N/A</v>
      </c>
    </row>
    <row r="2623" customHeight="1" spans="8:8">
      <c r="H2623" s="39" t="e">
        <f>VLOOKUP(E2623,基础信息!C:E,3,FALSE)</f>
        <v>#N/A</v>
      </c>
    </row>
    <row r="2624" customHeight="1" spans="8:8">
      <c r="H2624" s="39" t="e">
        <f>VLOOKUP(E2624,基础信息!C:E,3,FALSE)</f>
        <v>#N/A</v>
      </c>
    </row>
    <row r="2625" customHeight="1" spans="8:8">
      <c r="H2625" s="39" t="e">
        <f>VLOOKUP(E2625,基础信息!C:E,3,FALSE)</f>
        <v>#N/A</v>
      </c>
    </row>
    <row r="2626" customHeight="1" spans="8:8">
      <c r="H2626" s="39" t="e">
        <f>VLOOKUP(E2626,基础信息!C:E,3,FALSE)</f>
        <v>#N/A</v>
      </c>
    </row>
    <row r="2627" customHeight="1" spans="8:8">
      <c r="H2627" s="39" t="e">
        <f>VLOOKUP(E2627,基础信息!C:E,3,FALSE)</f>
        <v>#N/A</v>
      </c>
    </row>
    <row r="2628" customHeight="1" spans="8:8">
      <c r="H2628" s="39" t="e">
        <f>VLOOKUP(E2628,基础信息!C:E,3,FALSE)</f>
        <v>#N/A</v>
      </c>
    </row>
    <row r="2629" customHeight="1" spans="8:8">
      <c r="H2629" s="39" t="e">
        <f>VLOOKUP(E2629,基础信息!C:E,3,FALSE)</f>
        <v>#N/A</v>
      </c>
    </row>
    <row r="2630" customHeight="1" spans="8:8">
      <c r="H2630" s="39" t="e">
        <f>VLOOKUP(E2630,基础信息!C:E,3,FALSE)</f>
        <v>#N/A</v>
      </c>
    </row>
    <row r="2631" customHeight="1" spans="8:8">
      <c r="H2631" s="39" t="e">
        <f>VLOOKUP(E2631,基础信息!C:E,3,FALSE)</f>
        <v>#N/A</v>
      </c>
    </row>
    <row r="2632" customHeight="1" spans="8:8">
      <c r="H2632" s="39" t="e">
        <f>VLOOKUP(E2632,基础信息!C:E,3,FALSE)</f>
        <v>#N/A</v>
      </c>
    </row>
    <row r="2633" customHeight="1" spans="8:8">
      <c r="H2633" s="39" t="e">
        <f>VLOOKUP(E2633,基础信息!C:E,3,FALSE)</f>
        <v>#N/A</v>
      </c>
    </row>
    <row r="2634" customHeight="1" spans="8:8">
      <c r="H2634" s="39" t="e">
        <f>VLOOKUP(E2634,基础信息!C:E,3,FALSE)</f>
        <v>#N/A</v>
      </c>
    </row>
    <row r="2635" customHeight="1" spans="8:8">
      <c r="H2635" s="39" t="e">
        <f>VLOOKUP(E2635,基础信息!C:E,3,FALSE)</f>
        <v>#N/A</v>
      </c>
    </row>
    <row r="2636" customHeight="1" spans="8:8">
      <c r="H2636" s="39" t="e">
        <f>VLOOKUP(E2636,基础信息!C:E,3,FALSE)</f>
        <v>#N/A</v>
      </c>
    </row>
    <row r="2637" customHeight="1" spans="8:8">
      <c r="H2637" s="39" t="e">
        <f>VLOOKUP(E2637,基础信息!C:E,3,FALSE)</f>
        <v>#N/A</v>
      </c>
    </row>
    <row r="2638" customHeight="1" spans="8:8">
      <c r="H2638" s="39" t="e">
        <f>VLOOKUP(E2638,基础信息!C:E,3,FALSE)</f>
        <v>#N/A</v>
      </c>
    </row>
    <row r="2639" customHeight="1" spans="8:8">
      <c r="H2639" s="39" t="e">
        <f>VLOOKUP(E2639,基础信息!C:E,3,FALSE)</f>
        <v>#N/A</v>
      </c>
    </row>
    <row r="2640" customHeight="1" spans="8:8">
      <c r="H2640" s="39" t="e">
        <f>VLOOKUP(E2640,基础信息!C:E,3,FALSE)</f>
        <v>#N/A</v>
      </c>
    </row>
    <row r="2641" customHeight="1" spans="8:8">
      <c r="H2641" s="39" t="e">
        <f>VLOOKUP(E2641,基础信息!C:E,3,FALSE)</f>
        <v>#N/A</v>
      </c>
    </row>
    <row r="2642" customHeight="1" spans="8:8">
      <c r="H2642" s="39" t="e">
        <f>VLOOKUP(E2642,基础信息!C:E,3,FALSE)</f>
        <v>#N/A</v>
      </c>
    </row>
    <row r="2643" customHeight="1" spans="8:8">
      <c r="H2643" s="39" t="e">
        <f>VLOOKUP(E2643,基础信息!C:E,3,FALSE)</f>
        <v>#N/A</v>
      </c>
    </row>
    <row r="2644" customHeight="1" spans="8:8">
      <c r="H2644" s="39" t="e">
        <f>VLOOKUP(E2644,基础信息!C:E,3,FALSE)</f>
        <v>#N/A</v>
      </c>
    </row>
    <row r="2645" customHeight="1" spans="8:8">
      <c r="H2645" s="39" t="e">
        <f>VLOOKUP(E2645,基础信息!C:E,3,FALSE)</f>
        <v>#N/A</v>
      </c>
    </row>
    <row r="2646" customHeight="1" spans="8:8">
      <c r="H2646" s="39" t="e">
        <f>VLOOKUP(E2646,基础信息!C:E,3,FALSE)</f>
        <v>#N/A</v>
      </c>
    </row>
    <row r="2647" customHeight="1" spans="8:8">
      <c r="H2647" s="39" t="e">
        <f>VLOOKUP(E2647,基础信息!C:E,3,FALSE)</f>
        <v>#N/A</v>
      </c>
    </row>
    <row r="2648" customHeight="1" spans="8:8">
      <c r="H2648" s="39" t="e">
        <f>VLOOKUP(E2648,基础信息!C:E,3,FALSE)</f>
        <v>#N/A</v>
      </c>
    </row>
    <row r="2649" customHeight="1" spans="8:8">
      <c r="H2649" s="39" t="e">
        <f>VLOOKUP(E2649,基础信息!C:E,3,FALSE)</f>
        <v>#N/A</v>
      </c>
    </row>
    <row r="2650" customHeight="1" spans="8:8">
      <c r="H2650" s="39" t="e">
        <f>VLOOKUP(E2650,基础信息!C:E,3,FALSE)</f>
        <v>#N/A</v>
      </c>
    </row>
    <row r="2651" customHeight="1" spans="8:8">
      <c r="H2651" s="39" t="e">
        <f>VLOOKUP(E2651,基础信息!C:E,3,FALSE)</f>
        <v>#N/A</v>
      </c>
    </row>
    <row r="2652" customHeight="1" spans="8:8">
      <c r="H2652" s="39" t="e">
        <f>VLOOKUP(E2652,基础信息!C:E,3,FALSE)</f>
        <v>#N/A</v>
      </c>
    </row>
    <row r="2653" customHeight="1" spans="8:8">
      <c r="H2653" s="39" t="e">
        <f>VLOOKUP(E2653,基础信息!C:E,3,FALSE)</f>
        <v>#N/A</v>
      </c>
    </row>
    <row r="2654" customHeight="1" spans="8:8">
      <c r="H2654" s="39" t="e">
        <f>VLOOKUP(E2654,基础信息!C:E,3,FALSE)</f>
        <v>#N/A</v>
      </c>
    </row>
    <row r="2655" customHeight="1" spans="8:8">
      <c r="H2655" s="39" t="e">
        <f>VLOOKUP(E2655,基础信息!C:E,3,FALSE)</f>
        <v>#N/A</v>
      </c>
    </row>
    <row r="2656" customHeight="1" spans="8:8">
      <c r="H2656" s="39" t="e">
        <f>VLOOKUP(E2656,基础信息!C:E,3,FALSE)</f>
        <v>#N/A</v>
      </c>
    </row>
    <row r="2657" customHeight="1" spans="8:8">
      <c r="H2657" s="39" t="e">
        <f>VLOOKUP(E2657,基础信息!C:E,3,FALSE)</f>
        <v>#N/A</v>
      </c>
    </row>
    <row r="2658" customHeight="1" spans="8:8">
      <c r="H2658" s="39" t="e">
        <f>VLOOKUP(E2658,基础信息!C:E,3,FALSE)</f>
        <v>#N/A</v>
      </c>
    </row>
    <row r="2659" customHeight="1" spans="8:8">
      <c r="H2659" s="39" t="e">
        <f>VLOOKUP(E2659,基础信息!C:E,3,FALSE)</f>
        <v>#N/A</v>
      </c>
    </row>
    <row r="2660" customHeight="1" spans="8:8">
      <c r="H2660" s="39" t="e">
        <f>VLOOKUP(E2660,基础信息!C:E,3,FALSE)</f>
        <v>#N/A</v>
      </c>
    </row>
    <row r="2661" customHeight="1" spans="8:8">
      <c r="H2661" s="39" t="e">
        <f>VLOOKUP(E2661,基础信息!C:E,3,FALSE)</f>
        <v>#N/A</v>
      </c>
    </row>
    <row r="2662" customHeight="1" spans="8:8">
      <c r="H2662" s="39" t="e">
        <f>VLOOKUP(E2662,基础信息!C:E,3,FALSE)</f>
        <v>#N/A</v>
      </c>
    </row>
    <row r="2663" customHeight="1" spans="8:8">
      <c r="H2663" s="39" t="e">
        <f>VLOOKUP(E2663,基础信息!C:E,3,FALSE)</f>
        <v>#N/A</v>
      </c>
    </row>
    <row r="2664" customHeight="1" spans="8:8">
      <c r="H2664" s="39" t="e">
        <f>VLOOKUP(E2664,基础信息!C:E,3,FALSE)</f>
        <v>#N/A</v>
      </c>
    </row>
    <row r="2665" customHeight="1" spans="8:8">
      <c r="H2665" s="39" t="e">
        <f>VLOOKUP(E2665,基础信息!C:E,3,FALSE)</f>
        <v>#N/A</v>
      </c>
    </row>
    <row r="2666" customHeight="1" spans="8:8">
      <c r="H2666" s="39" t="e">
        <f>VLOOKUP(E2666,基础信息!C:E,3,FALSE)</f>
        <v>#N/A</v>
      </c>
    </row>
    <row r="2667" customHeight="1" spans="8:8">
      <c r="H2667" s="39" t="e">
        <f>VLOOKUP(E2667,基础信息!C:E,3,FALSE)</f>
        <v>#N/A</v>
      </c>
    </row>
    <row r="2668" customHeight="1" spans="8:8">
      <c r="H2668" s="39" t="e">
        <f>VLOOKUP(E2668,基础信息!C:E,3,FALSE)</f>
        <v>#N/A</v>
      </c>
    </row>
    <row r="2669" customHeight="1" spans="8:8">
      <c r="H2669" s="39" t="e">
        <f>VLOOKUP(E2669,基础信息!C:E,3,FALSE)</f>
        <v>#N/A</v>
      </c>
    </row>
    <row r="2670" customHeight="1" spans="8:8">
      <c r="H2670" s="39" t="e">
        <f>VLOOKUP(E2670,基础信息!C:E,3,FALSE)</f>
        <v>#N/A</v>
      </c>
    </row>
    <row r="2671" customHeight="1" spans="8:8">
      <c r="H2671" s="39" t="e">
        <f>VLOOKUP(E2671,基础信息!C:E,3,FALSE)</f>
        <v>#N/A</v>
      </c>
    </row>
    <row r="2672" customHeight="1" spans="8:8">
      <c r="H2672" s="39" t="e">
        <f>VLOOKUP(E2672,基础信息!C:E,3,FALSE)</f>
        <v>#N/A</v>
      </c>
    </row>
    <row r="2673" customHeight="1" spans="8:8">
      <c r="H2673" s="39" t="e">
        <f>VLOOKUP(E2673,基础信息!C:E,3,FALSE)</f>
        <v>#N/A</v>
      </c>
    </row>
    <row r="2674" customHeight="1" spans="8:8">
      <c r="H2674" s="39" t="e">
        <f>VLOOKUP(E2674,基础信息!C:E,3,FALSE)</f>
        <v>#N/A</v>
      </c>
    </row>
    <row r="2675" customHeight="1" spans="8:8">
      <c r="H2675" s="39" t="e">
        <f>VLOOKUP(E2675,基础信息!C:E,3,FALSE)</f>
        <v>#N/A</v>
      </c>
    </row>
    <row r="2676" customHeight="1" spans="8:8">
      <c r="H2676" s="39" t="e">
        <f>VLOOKUP(E2676,基础信息!C:E,3,FALSE)</f>
        <v>#N/A</v>
      </c>
    </row>
    <row r="2677" customHeight="1" spans="8:8">
      <c r="H2677" s="39" t="e">
        <f>VLOOKUP(E2677,基础信息!C:E,3,FALSE)</f>
        <v>#N/A</v>
      </c>
    </row>
    <row r="2678" customHeight="1" spans="8:8">
      <c r="H2678" s="39" t="e">
        <f>VLOOKUP(E2678,基础信息!C:E,3,FALSE)</f>
        <v>#N/A</v>
      </c>
    </row>
    <row r="2679" customHeight="1" spans="8:8">
      <c r="H2679" s="39" t="e">
        <f>VLOOKUP(E2679,基础信息!C:E,3,FALSE)</f>
        <v>#N/A</v>
      </c>
    </row>
    <row r="2680" customHeight="1" spans="8:8">
      <c r="H2680" s="39" t="e">
        <f>VLOOKUP(E2680,基础信息!C:E,3,FALSE)</f>
        <v>#N/A</v>
      </c>
    </row>
    <row r="2681" customHeight="1" spans="8:8">
      <c r="H2681" s="39" t="e">
        <f>VLOOKUP(E2681,基础信息!C:E,3,FALSE)</f>
        <v>#N/A</v>
      </c>
    </row>
    <row r="2682" customHeight="1" spans="8:8">
      <c r="H2682" s="39" t="e">
        <f>VLOOKUP(E2682,基础信息!C:E,3,FALSE)</f>
        <v>#N/A</v>
      </c>
    </row>
    <row r="2683" customHeight="1" spans="8:8">
      <c r="H2683" s="39" t="e">
        <f>VLOOKUP(E2683,基础信息!C:E,3,FALSE)</f>
        <v>#N/A</v>
      </c>
    </row>
    <row r="2684" customHeight="1" spans="8:8">
      <c r="H2684" s="39" t="e">
        <f>VLOOKUP(E2684,基础信息!C:E,3,FALSE)</f>
        <v>#N/A</v>
      </c>
    </row>
    <row r="2685" customHeight="1" spans="8:8">
      <c r="H2685" s="39" t="e">
        <f>VLOOKUP(E2685,基础信息!C:E,3,FALSE)</f>
        <v>#N/A</v>
      </c>
    </row>
    <row r="2686" customHeight="1" spans="8:8">
      <c r="H2686" s="39" t="e">
        <f>VLOOKUP(E2686,基础信息!C:E,3,FALSE)</f>
        <v>#N/A</v>
      </c>
    </row>
    <row r="2687" customHeight="1" spans="8:8">
      <c r="H2687" s="39" t="e">
        <f>VLOOKUP(E2687,基础信息!C:E,3,FALSE)</f>
        <v>#N/A</v>
      </c>
    </row>
    <row r="2688" customHeight="1" spans="8:8">
      <c r="H2688" s="39" t="e">
        <f>VLOOKUP(E2688,基础信息!C:E,3,FALSE)</f>
        <v>#N/A</v>
      </c>
    </row>
    <row r="2689" customHeight="1" spans="8:8">
      <c r="H2689" s="39" t="e">
        <f>VLOOKUP(E2689,基础信息!C:E,3,FALSE)</f>
        <v>#N/A</v>
      </c>
    </row>
    <row r="2690" customHeight="1" spans="8:8">
      <c r="H2690" s="39" t="e">
        <f>VLOOKUP(E2690,基础信息!C:E,3,FALSE)</f>
        <v>#N/A</v>
      </c>
    </row>
    <row r="2691" customHeight="1" spans="8:8">
      <c r="H2691" s="39" t="e">
        <f>VLOOKUP(E2691,基础信息!C:E,3,FALSE)</f>
        <v>#N/A</v>
      </c>
    </row>
    <row r="2692" customHeight="1" spans="8:8">
      <c r="H2692" s="39" t="e">
        <f>VLOOKUP(E2692,基础信息!C:E,3,FALSE)</f>
        <v>#N/A</v>
      </c>
    </row>
    <row r="2693" customHeight="1" spans="8:8">
      <c r="H2693" s="39" t="e">
        <f>VLOOKUP(E2693,基础信息!C:E,3,FALSE)</f>
        <v>#N/A</v>
      </c>
    </row>
    <row r="2694" customHeight="1" spans="8:8">
      <c r="H2694" s="39" t="e">
        <f>VLOOKUP(E2694,基础信息!C:E,3,FALSE)</f>
        <v>#N/A</v>
      </c>
    </row>
    <row r="2695" customHeight="1" spans="8:8">
      <c r="H2695" s="39" t="e">
        <f>VLOOKUP(E2695,基础信息!C:E,3,FALSE)</f>
        <v>#N/A</v>
      </c>
    </row>
    <row r="2696" customHeight="1" spans="8:8">
      <c r="H2696" s="39" t="e">
        <f>VLOOKUP(E2696,基础信息!C:E,3,FALSE)</f>
        <v>#N/A</v>
      </c>
    </row>
    <row r="2697" customHeight="1" spans="8:8">
      <c r="H2697" s="39" t="e">
        <f>VLOOKUP(E2697,基础信息!C:E,3,FALSE)</f>
        <v>#N/A</v>
      </c>
    </row>
    <row r="2698" customHeight="1" spans="8:8">
      <c r="H2698" s="39" t="e">
        <f>VLOOKUP(E2698,基础信息!C:E,3,FALSE)</f>
        <v>#N/A</v>
      </c>
    </row>
    <row r="2699" customHeight="1" spans="8:8">
      <c r="H2699" s="39" t="e">
        <f>VLOOKUP(E2699,基础信息!C:E,3,FALSE)</f>
        <v>#N/A</v>
      </c>
    </row>
    <row r="2700" customHeight="1" spans="8:8">
      <c r="H2700" s="39" t="e">
        <f>VLOOKUP(E2700,基础信息!C:E,3,FALSE)</f>
        <v>#N/A</v>
      </c>
    </row>
    <row r="2701" customHeight="1" spans="8:8">
      <c r="H2701" s="39" t="e">
        <f>VLOOKUP(E2701,基础信息!C:E,3,FALSE)</f>
        <v>#N/A</v>
      </c>
    </row>
    <row r="2702" customHeight="1" spans="8:8">
      <c r="H2702" s="39" t="e">
        <f>VLOOKUP(E2702,基础信息!C:E,3,FALSE)</f>
        <v>#N/A</v>
      </c>
    </row>
    <row r="2703" customHeight="1" spans="8:8">
      <c r="H2703" s="39" t="e">
        <f>VLOOKUP(E2703,基础信息!C:E,3,FALSE)</f>
        <v>#N/A</v>
      </c>
    </row>
    <row r="2704" customHeight="1" spans="8:8">
      <c r="H2704" s="39" t="e">
        <f>VLOOKUP(E2704,基础信息!C:E,3,FALSE)</f>
        <v>#N/A</v>
      </c>
    </row>
    <row r="2705" customHeight="1" spans="8:8">
      <c r="H2705" s="39" t="e">
        <f>VLOOKUP(E2705,基础信息!C:E,3,FALSE)</f>
        <v>#N/A</v>
      </c>
    </row>
    <row r="2706" customHeight="1" spans="8:8">
      <c r="H2706" s="39" t="e">
        <f>VLOOKUP(E2706,基础信息!C:E,3,FALSE)</f>
        <v>#N/A</v>
      </c>
    </row>
    <row r="2707" customHeight="1" spans="8:8">
      <c r="H2707" s="39" t="e">
        <f>VLOOKUP(E2707,基础信息!C:E,3,FALSE)</f>
        <v>#N/A</v>
      </c>
    </row>
    <row r="2708" customHeight="1" spans="8:8">
      <c r="H2708" s="39" t="e">
        <f>VLOOKUP(E2708,基础信息!C:E,3,FALSE)</f>
        <v>#N/A</v>
      </c>
    </row>
    <row r="2709" customHeight="1" spans="8:8">
      <c r="H2709" s="39" t="e">
        <f>VLOOKUP(E2709,基础信息!C:E,3,FALSE)</f>
        <v>#N/A</v>
      </c>
    </row>
    <row r="2710" customHeight="1" spans="8:8">
      <c r="H2710" s="39" t="e">
        <f>VLOOKUP(E2710,基础信息!C:E,3,FALSE)</f>
        <v>#N/A</v>
      </c>
    </row>
    <row r="2711" customHeight="1" spans="8:8">
      <c r="H2711" s="39" t="e">
        <f>VLOOKUP(E2711,基础信息!C:E,3,FALSE)</f>
        <v>#N/A</v>
      </c>
    </row>
    <row r="2712" customHeight="1" spans="8:8">
      <c r="H2712" s="39" t="e">
        <f>VLOOKUP(E2712,基础信息!C:E,3,FALSE)</f>
        <v>#N/A</v>
      </c>
    </row>
    <row r="2713" customHeight="1" spans="8:8">
      <c r="H2713" s="39" t="e">
        <f>VLOOKUP(E2713,基础信息!C:E,3,FALSE)</f>
        <v>#N/A</v>
      </c>
    </row>
    <row r="2714" customHeight="1" spans="8:8">
      <c r="H2714" s="39" t="e">
        <f>VLOOKUP(E2714,基础信息!C:E,3,FALSE)</f>
        <v>#N/A</v>
      </c>
    </row>
    <row r="2715" customHeight="1" spans="8:8">
      <c r="H2715" s="39" t="e">
        <f>VLOOKUP(E2715,基础信息!C:E,3,FALSE)</f>
        <v>#N/A</v>
      </c>
    </row>
    <row r="2716" customHeight="1" spans="8:8">
      <c r="H2716" s="39" t="e">
        <f>VLOOKUP(E2716,基础信息!C:E,3,FALSE)</f>
        <v>#N/A</v>
      </c>
    </row>
    <row r="2717" customHeight="1" spans="8:8">
      <c r="H2717" s="39" t="e">
        <f>VLOOKUP(E2717,基础信息!C:E,3,FALSE)</f>
        <v>#N/A</v>
      </c>
    </row>
    <row r="2718" customHeight="1" spans="8:8">
      <c r="H2718" s="39" t="e">
        <f>VLOOKUP(E2718,基础信息!C:E,3,FALSE)</f>
        <v>#N/A</v>
      </c>
    </row>
    <row r="2719" customHeight="1" spans="8:8">
      <c r="H2719" s="39" t="e">
        <f>VLOOKUP(E2719,基础信息!C:E,3,FALSE)</f>
        <v>#N/A</v>
      </c>
    </row>
    <row r="2720" customHeight="1" spans="8:8">
      <c r="H2720" s="39" t="e">
        <f>VLOOKUP(E2720,基础信息!C:E,3,FALSE)</f>
        <v>#N/A</v>
      </c>
    </row>
    <row r="2721" customHeight="1" spans="8:8">
      <c r="H2721" s="39" t="e">
        <f>VLOOKUP(E2721,基础信息!C:E,3,FALSE)</f>
        <v>#N/A</v>
      </c>
    </row>
    <row r="2722" customHeight="1" spans="8:8">
      <c r="H2722" s="39" t="e">
        <f>VLOOKUP(E2722,基础信息!C:E,3,FALSE)</f>
        <v>#N/A</v>
      </c>
    </row>
    <row r="2723" customHeight="1" spans="8:8">
      <c r="H2723" s="39" t="e">
        <f>VLOOKUP(E2723,基础信息!C:E,3,FALSE)</f>
        <v>#N/A</v>
      </c>
    </row>
    <row r="2724" customHeight="1" spans="8:8">
      <c r="H2724" s="39" t="e">
        <f>VLOOKUP(E2724,基础信息!C:E,3,FALSE)</f>
        <v>#N/A</v>
      </c>
    </row>
    <row r="2725" customHeight="1" spans="8:8">
      <c r="H2725" s="39" t="e">
        <f>VLOOKUP(E2725,基础信息!C:E,3,FALSE)</f>
        <v>#N/A</v>
      </c>
    </row>
    <row r="2726" customHeight="1" spans="8:8">
      <c r="H2726" s="39" t="e">
        <f>VLOOKUP(E2726,基础信息!C:E,3,FALSE)</f>
        <v>#N/A</v>
      </c>
    </row>
    <row r="2727" customHeight="1" spans="8:8">
      <c r="H2727" s="39" t="e">
        <f>VLOOKUP(E2727,基础信息!C:E,3,FALSE)</f>
        <v>#N/A</v>
      </c>
    </row>
    <row r="2728" customHeight="1" spans="8:8">
      <c r="H2728" s="39" t="e">
        <f>VLOOKUP(E2728,基础信息!C:E,3,FALSE)</f>
        <v>#N/A</v>
      </c>
    </row>
    <row r="2729" customHeight="1" spans="8:8">
      <c r="H2729" s="39" t="e">
        <f>VLOOKUP(E2729,基础信息!C:E,3,FALSE)</f>
        <v>#N/A</v>
      </c>
    </row>
    <row r="2730" customHeight="1" spans="8:8">
      <c r="H2730" s="39" t="e">
        <f>VLOOKUP(E2730,基础信息!C:E,3,FALSE)</f>
        <v>#N/A</v>
      </c>
    </row>
    <row r="2731" customHeight="1" spans="8:8">
      <c r="H2731" s="39" t="e">
        <f>VLOOKUP(E2731,基础信息!C:E,3,FALSE)</f>
        <v>#N/A</v>
      </c>
    </row>
    <row r="2732" customHeight="1" spans="8:8">
      <c r="H2732" s="39" t="e">
        <f>VLOOKUP(E2732,基础信息!C:E,3,FALSE)</f>
        <v>#N/A</v>
      </c>
    </row>
    <row r="2733" customHeight="1" spans="8:8">
      <c r="H2733" s="39" t="e">
        <f>VLOOKUP(E2733,基础信息!C:E,3,FALSE)</f>
        <v>#N/A</v>
      </c>
    </row>
    <row r="2734" customHeight="1" spans="8:8">
      <c r="H2734" s="39" t="e">
        <f>VLOOKUP(E2734,基础信息!C:E,3,FALSE)</f>
        <v>#N/A</v>
      </c>
    </row>
    <row r="2735" customHeight="1" spans="8:8">
      <c r="H2735" s="39" t="e">
        <f>VLOOKUP(E2735,基础信息!C:E,3,FALSE)</f>
        <v>#N/A</v>
      </c>
    </row>
    <row r="2736" customHeight="1" spans="8:8">
      <c r="H2736" s="39" t="e">
        <f>VLOOKUP(E2736,基础信息!C:E,3,FALSE)</f>
        <v>#N/A</v>
      </c>
    </row>
    <row r="2737" customHeight="1" spans="8:8">
      <c r="H2737" s="39" t="e">
        <f>VLOOKUP(E2737,基础信息!C:E,3,FALSE)</f>
        <v>#N/A</v>
      </c>
    </row>
    <row r="2738" customHeight="1" spans="8:8">
      <c r="H2738" s="39" t="e">
        <f>VLOOKUP(E2738,基础信息!C:E,3,FALSE)</f>
        <v>#N/A</v>
      </c>
    </row>
    <row r="2739" customHeight="1" spans="8:8">
      <c r="H2739" s="39" t="e">
        <f>VLOOKUP(E2739,基础信息!C:E,3,FALSE)</f>
        <v>#N/A</v>
      </c>
    </row>
    <row r="2740" customHeight="1" spans="8:8">
      <c r="H2740" s="39" t="e">
        <f>VLOOKUP(E2740,基础信息!C:E,3,FALSE)</f>
        <v>#N/A</v>
      </c>
    </row>
    <row r="2741" customHeight="1" spans="8:8">
      <c r="H2741" s="39" t="e">
        <f>VLOOKUP(E2741,基础信息!C:E,3,FALSE)</f>
        <v>#N/A</v>
      </c>
    </row>
    <row r="2742" customHeight="1" spans="8:8">
      <c r="H2742" s="39" t="e">
        <f>VLOOKUP(E2742,基础信息!C:E,3,FALSE)</f>
        <v>#N/A</v>
      </c>
    </row>
    <row r="2743" customHeight="1" spans="8:8">
      <c r="H2743" s="39" t="e">
        <f>VLOOKUP(E2743,基础信息!C:E,3,FALSE)</f>
        <v>#N/A</v>
      </c>
    </row>
    <row r="2744" customHeight="1" spans="8:8">
      <c r="H2744" s="39" t="e">
        <f>VLOOKUP(E2744,基础信息!C:E,3,FALSE)</f>
        <v>#N/A</v>
      </c>
    </row>
    <row r="2745" customHeight="1" spans="8:8">
      <c r="H2745" s="39" t="e">
        <f>VLOOKUP(E2745,基础信息!C:E,3,FALSE)</f>
        <v>#N/A</v>
      </c>
    </row>
    <row r="2746" customHeight="1" spans="8:8">
      <c r="H2746" s="39" t="e">
        <f>VLOOKUP(E2746,基础信息!C:E,3,FALSE)</f>
        <v>#N/A</v>
      </c>
    </row>
    <row r="2747" customHeight="1" spans="8:8">
      <c r="H2747" s="39" t="e">
        <f>VLOOKUP(E2747,基础信息!C:E,3,FALSE)</f>
        <v>#N/A</v>
      </c>
    </row>
    <row r="2748" customHeight="1" spans="8:8">
      <c r="H2748" s="39" t="e">
        <f>VLOOKUP(E2748,基础信息!C:E,3,FALSE)</f>
        <v>#N/A</v>
      </c>
    </row>
    <row r="2749" customHeight="1" spans="8:8">
      <c r="H2749" s="39" t="e">
        <f>VLOOKUP(E2749,基础信息!C:E,3,FALSE)</f>
        <v>#N/A</v>
      </c>
    </row>
    <row r="2750" customHeight="1" spans="8:8">
      <c r="H2750" s="39" t="e">
        <f>VLOOKUP(E2750,基础信息!C:E,3,FALSE)</f>
        <v>#N/A</v>
      </c>
    </row>
    <row r="2751" customHeight="1" spans="8:8">
      <c r="H2751" s="39" t="e">
        <f>VLOOKUP(E2751,基础信息!C:E,3,FALSE)</f>
        <v>#N/A</v>
      </c>
    </row>
    <row r="2752" customHeight="1" spans="8:8">
      <c r="H2752" s="39" t="e">
        <f>VLOOKUP(E2752,基础信息!C:E,3,FALSE)</f>
        <v>#N/A</v>
      </c>
    </row>
    <row r="2753" customHeight="1" spans="8:8">
      <c r="H2753" s="39" t="e">
        <f>VLOOKUP(E2753,基础信息!C:E,3,FALSE)</f>
        <v>#N/A</v>
      </c>
    </row>
    <row r="2754" customHeight="1" spans="8:8">
      <c r="H2754" s="39" t="e">
        <f>VLOOKUP(E2754,基础信息!C:E,3,FALSE)</f>
        <v>#N/A</v>
      </c>
    </row>
    <row r="2755" customHeight="1" spans="8:8">
      <c r="H2755" s="39" t="e">
        <f>VLOOKUP(E2755,基础信息!C:E,3,FALSE)</f>
        <v>#N/A</v>
      </c>
    </row>
    <row r="2756" customHeight="1" spans="8:8">
      <c r="H2756" s="39" t="e">
        <f>VLOOKUP(E2756,基础信息!C:E,3,FALSE)</f>
        <v>#N/A</v>
      </c>
    </row>
    <row r="2757" customHeight="1" spans="8:8">
      <c r="H2757" s="39" t="e">
        <f>VLOOKUP(E2757,基础信息!C:E,3,FALSE)</f>
        <v>#N/A</v>
      </c>
    </row>
    <row r="2758" customHeight="1" spans="8:8">
      <c r="H2758" s="39" t="e">
        <f>VLOOKUP(E2758,基础信息!C:E,3,FALSE)</f>
        <v>#N/A</v>
      </c>
    </row>
    <row r="2759" customHeight="1" spans="8:8">
      <c r="H2759" s="39" t="e">
        <f>VLOOKUP(E2759,基础信息!C:E,3,FALSE)</f>
        <v>#N/A</v>
      </c>
    </row>
    <row r="2760" customHeight="1" spans="8:8">
      <c r="H2760" s="39" t="e">
        <f>VLOOKUP(E2760,基础信息!C:E,3,FALSE)</f>
        <v>#N/A</v>
      </c>
    </row>
    <row r="2761" customHeight="1" spans="8:8">
      <c r="H2761" s="39" t="e">
        <f>VLOOKUP(E2761,基础信息!C:E,3,FALSE)</f>
        <v>#N/A</v>
      </c>
    </row>
    <row r="2762" customHeight="1" spans="8:8">
      <c r="H2762" s="39" t="e">
        <f>VLOOKUP(E2762,基础信息!C:E,3,FALSE)</f>
        <v>#N/A</v>
      </c>
    </row>
    <row r="2763" customHeight="1" spans="8:8">
      <c r="H2763" s="39" t="e">
        <f>VLOOKUP(E2763,基础信息!C:E,3,FALSE)</f>
        <v>#N/A</v>
      </c>
    </row>
    <row r="2764" customHeight="1" spans="8:8">
      <c r="H2764" s="39" t="e">
        <f>VLOOKUP(E2764,基础信息!C:E,3,FALSE)</f>
        <v>#N/A</v>
      </c>
    </row>
    <row r="2765" customHeight="1" spans="8:8">
      <c r="H2765" s="39" t="e">
        <f>VLOOKUP(E2765,基础信息!C:E,3,FALSE)</f>
        <v>#N/A</v>
      </c>
    </row>
    <row r="2766" customHeight="1" spans="8:8">
      <c r="H2766" s="39" t="e">
        <f>VLOOKUP(E2766,基础信息!C:E,3,FALSE)</f>
        <v>#N/A</v>
      </c>
    </row>
    <row r="2767" customHeight="1" spans="8:8">
      <c r="H2767" s="39" t="e">
        <f>VLOOKUP(E2767,基础信息!C:E,3,FALSE)</f>
        <v>#N/A</v>
      </c>
    </row>
    <row r="2768" customHeight="1" spans="8:8">
      <c r="H2768" s="39" t="e">
        <f>VLOOKUP(E2768,基础信息!C:E,3,FALSE)</f>
        <v>#N/A</v>
      </c>
    </row>
    <row r="2769" customHeight="1" spans="8:8">
      <c r="H2769" s="39" t="e">
        <f>VLOOKUP(E2769,基础信息!C:E,3,FALSE)</f>
        <v>#N/A</v>
      </c>
    </row>
    <row r="2770" customHeight="1" spans="8:8">
      <c r="H2770" s="39" t="e">
        <f>VLOOKUP(E2770,基础信息!C:E,3,FALSE)</f>
        <v>#N/A</v>
      </c>
    </row>
    <row r="2771" customHeight="1" spans="8:8">
      <c r="H2771" s="39" t="e">
        <f>VLOOKUP(E2771,基础信息!C:E,3,FALSE)</f>
        <v>#N/A</v>
      </c>
    </row>
    <row r="2772" customHeight="1" spans="8:8">
      <c r="H2772" s="39" t="e">
        <f>VLOOKUP(E2772,基础信息!C:E,3,FALSE)</f>
        <v>#N/A</v>
      </c>
    </row>
    <row r="2773" customHeight="1" spans="8:8">
      <c r="H2773" s="39" t="e">
        <f>VLOOKUP(E2773,基础信息!C:E,3,FALSE)</f>
        <v>#N/A</v>
      </c>
    </row>
    <row r="2774" customHeight="1" spans="8:8">
      <c r="H2774" s="39" t="e">
        <f>VLOOKUP(E2774,基础信息!C:E,3,FALSE)</f>
        <v>#N/A</v>
      </c>
    </row>
    <row r="2775" customHeight="1" spans="8:8">
      <c r="H2775" s="39" t="e">
        <f>VLOOKUP(E2775,基础信息!C:E,3,FALSE)</f>
        <v>#N/A</v>
      </c>
    </row>
    <row r="2776" customHeight="1" spans="8:8">
      <c r="H2776" s="39" t="e">
        <f>VLOOKUP(E2776,基础信息!C:E,3,FALSE)</f>
        <v>#N/A</v>
      </c>
    </row>
    <row r="2777" customHeight="1" spans="8:8">
      <c r="H2777" s="39" t="e">
        <f>VLOOKUP(E2777,基础信息!C:E,3,FALSE)</f>
        <v>#N/A</v>
      </c>
    </row>
    <row r="2778" customHeight="1" spans="8:8">
      <c r="H2778" s="39" t="e">
        <f>VLOOKUP(E2778,基础信息!C:E,3,FALSE)</f>
        <v>#N/A</v>
      </c>
    </row>
    <row r="2779" customHeight="1" spans="8:8">
      <c r="H2779" s="39" t="e">
        <f>VLOOKUP(E2779,基础信息!C:E,3,FALSE)</f>
        <v>#N/A</v>
      </c>
    </row>
    <row r="2780" customHeight="1" spans="8:8">
      <c r="H2780" s="39" t="e">
        <f>VLOOKUP(E2780,基础信息!C:E,3,FALSE)</f>
        <v>#N/A</v>
      </c>
    </row>
    <row r="2781" customHeight="1" spans="8:8">
      <c r="H2781" s="39" t="e">
        <f>VLOOKUP(E2781,基础信息!C:E,3,FALSE)</f>
        <v>#N/A</v>
      </c>
    </row>
    <row r="2782" customHeight="1" spans="8:8">
      <c r="H2782" s="39" t="e">
        <f>VLOOKUP(E2782,基础信息!C:E,3,FALSE)</f>
        <v>#N/A</v>
      </c>
    </row>
    <row r="2783" customHeight="1" spans="8:8">
      <c r="H2783" s="39" t="e">
        <f>VLOOKUP(E2783,基础信息!C:E,3,FALSE)</f>
        <v>#N/A</v>
      </c>
    </row>
    <row r="2784" customHeight="1" spans="8:8">
      <c r="H2784" s="39" t="e">
        <f>VLOOKUP(E2784,基础信息!C:E,3,FALSE)</f>
        <v>#N/A</v>
      </c>
    </row>
    <row r="2785" customHeight="1" spans="8:8">
      <c r="H2785" s="39" t="e">
        <f>VLOOKUP(E2785,基础信息!C:E,3,FALSE)</f>
        <v>#N/A</v>
      </c>
    </row>
    <row r="2786" customHeight="1" spans="8:8">
      <c r="H2786" s="39" t="e">
        <f>VLOOKUP(E2786,基础信息!C:E,3,FALSE)</f>
        <v>#N/A</v>
      </c>
    </row>
    <row r="2787" customHeight="1" spans="8:8">
      <c r="H2787" s="39" t="e">
        <f>VLOOKUP(E2787,基础信息!C:E,3,FALSE)</f>
        <v>#N/A</v>
      </c>
    </row>
    <row r="2788" customHeight="1" spans="8:8">
      <c r="H2788" s="39" t="e">
        <f>VLOOKUP(E2788,基础信息!C:E,3,FALSE)</f>
        <v>#N/A</v>
      </c>
    </row>
    <row r="2789" customHeight="1" spans="8:8">
      <c r="H2789" s="39" t="e">
        <f>VLOOKUP(E2789,基础信息!C:E,3,FALSE)</f>
        <v>#N/A</v>
      </c>
    </row>
    <row r="2790" customHeight="1" spans="8:8">
      <c r="H2790" s="39" t="e">
        <f>VLOOKUP(E2790,基础信息!C:E,3,FALSE)</f>
        <v>#N/A</v>
      </c>
    </row>
    <row r="2791" customHeight="1" spans="8:8">
      <c r="H2791" s="39" t="e">
        <f>VLOOKUP(E2791,基础信息!C:E,3,FALSE)</f>
        <v>#N/A</v>
      </c>
    </row>
    <row r="2792" customHeight="1" spans="8:8">
      <c r="H2792" s="39" t="e">
        <f>VLOOKUP(E2792,基础信息!C:E,3,FALSE)</f>
        <v>#N/A</v>
      </c>
    </row>
    <row r="2793" customHeight="1" spans="8:8">
      <c r="H2793" s="39" t="e">
        <f>VLOOKUP(E2793,基础信息!C:E,3,FALSE)</f>
        <v>#N/A</v>
      </c>
    </row>
    <row r="2794" customHeight="1" spans="8:8">
      <c r="H2794" s="39" t="e">
        <f>VLOOKUP(E2794,基础信息!C:E,3,FALSE)</f>
        <v>#N/A</v>
      </c>
    </row>
    <row r="2795" customHeight="1" spans="8:8">
      <c r="H2795" s="39" t="e">
        <f>VLOOKUP(E2795,基础信息!C:E,3,FALSE)</f>
        <v>#N/A</v>
      </c>
    </row>
    <row r="2796" customHeight="1" spans="8:8">
      <c r="H2796" s="39" t="e">
        <f>VLOOKUP(E2796,基础信息!C:E,3,FALSE)</f>
        <v>#N/A</v>
      </c>
    </row>
    <row r="2797" customHeight="1" spans="8:8">
      <c r="H2797" s="39" t="e">
        <f>VLOOKUP(E2797,基础信息!C:E,3,FALSE)</f>
        <v>#N/A</v>
      </c>
    </row>
    <row r="2798" customHeight="1" spans="8:8">
      <c r="H2798" s="39" t="e">
        <f>VLOOKUP(E2798,基础信息!C:E,3,FALSE)</f>
        <v>#N/A</v>
      </c>
    </row>
    <row r="2799" customHeight="1" spans="8:8">
      <c r="H2799" s="39" t="e">
        <f>VLOOKUP(E2799,基础信息!C:E,3,FALSE)</f>
        <v>#N/A</v>
      </c>
    </row>
    <row r="2800" customHeight="1" spans="8:8">
      <c r="H2800" s="39" t="e">
        <f>VLOOKUP(E2800,基础信息!C:E,3,FALSE)</f>
        <v>#N/A</v>
      </c>
    </row>
    <row r="2801" customHeight="1" spans="8:8">
      <c r="H2801" s="39" t="e">
        <f>VLOOKUP(E2801,基础信息!C:E,3,FALSE)</f>
        <v>#N/A</v>
      </c>
    </row>
    <row r="2802" customHeight="1" spans="8:8">
      <c r="H2802" s="39" t="e">
        <f>VLOOKUP(E2802,基础信息!C:E,3,FALSE)</f>
        <v>#N/A</v>
      </c>
    </row>
    <row r="2803" customHeight="1" spans="8:8">
      <c r="H2803" s="39" t="e">
        <f>VLOOKUP(E2803,基础信息!C:E,3,FALSE)</f>
        <v>#N/A</v>
      </c>
    </row>
    <row r="2804" customHeight="1" spans="8:8">
      <c r="H2804" s="39" t="e">
        <f>VLOOKUP(E2804,基础信息!C:E,3,FALSE)</f>
        <v>#N/A</v>
      </c>
    </row>
    <row r="2805" customHeight="1" spans="8:8">
      <c r="H2805" s="39" t="e">
        <f>VLOOKUP(E2805,基础信息!C:E,3,FALSE)</f>
        <v>#N/A</v>
      </c>
    </row>
    <row r="2806" customHeight="1" spans="8:8">
      <c r="H2806" s="39" t="e">
        <f>VLOOKUP(E2806,基础信息!C:E,3,FALSE)</f>
        <v>#N/A</v>
      </c>
    </row>
    <row r="2807" customHeight="1" spans="8:8">
      <c r="H2807" s="39" t="e">
        <f>VLOOKUP(E2807,基础信息!C:E,3,FALSE)</f>
        <v>#N/A</v>
      </c>
    </row>
    <row r="2808" customHeight="1" spans="8:8">
      <c r="H2808" s="39" t="e">
        <f>VLOOKUP(E2808,基础信息!C:E,3,FALSE)</f>
        <v>#N/A</v>
      </c>
    </row>
    <row r="2809" customHeight="1" spans="8:8">
      <c r="H2809" s="39" t="e">
        <f>VLOOKUP(E2809,基础信息!C:E,3,FALSE)</f>
        <v>#N/A</v>
      </c>
    </row>
    <row r="2810" customHeight="1" spans="8:8">
      <c r="H2810" s="39" t="e">
        <f>VLOOKUP(E2810,基础信息!C:E,3,FALSE)</f>
        <v>#N/A</v>
      </c>
    </row>
    <row r="2811" customHeight="1" spans="8:8">
      <c r="H2811" s="39" t="e">
        <f>VLOOKUP(E2811,基础信息!C:E,3,FALSE)</f>
        <v>#N/A</v>
      </c>
    </row>
    <row r="2812" customHeight="1" spans="8:8">
      <c r="H2812" s="39" t="e">
        <f>VLOOKUP(E2812,基础信息!C:E,3,FALSE)</f>
        <v>#N/A</v>
      </c>
    </row>
    <row r="2813" customHeight="1" spans="8:8">
      <c r="H2813" s="39" t="e">
        <f>VLOOKUP(E2813,基础信息!C:E,3,FALSE)</f>
        <v>#N/A</v>
      </c>
    </row>
    <row r="2814" customHeight="1" spans="8:8">
      <c r="H2814" s="39" t="e">
        <f>VLOOKUP(E2814,基础信息!C:E,3,FALSE)</f>
        <v>#N/A</v>
      </c>
    </row>
    <row r="2815" customHeight="1" spans="8:8">
      <c r="H2815" s="39" t="e">
        <f>VLOOKUP(E2815,基础信息!C:E,3,FALSE)</f>
        <v>#N/A</v>
      </c>
    </row>
    <row r="2816" customHeight="1" spans="8:8">
      <c r="H2816" s="39" t="e">
        <f>VLOOKUP(E2816,基础信息!C:E,3,FALSE)</f>
        <v>#N/A</v>
      </c>
    </row>
    <row r="2817" customHeight="1" spans="8:8">
      <c r="H2817" s="39" t="e">
        <f>VLOOKUP(E2817,基础信息!C:E,3,FALSE)</f>
        <v>#N/A</v>
      </c>
    </row>
    <row r="2818" customHeight="1" spans="8:8">
      <c r="H2818" s="39" t="e">
        <f>VLOOKUP(E2818,基础信息!C:E,3,FALSE)</f>
        <v>#N/A</v>
      </c>
    </row>
    <row r="2819" customHeight="1" spans="8:8">
      <c r="H2819" s="39" t="e">
        <f>VLOOKUP(E2819,基础信息!C:E,3,FALSE)</f>
        <v>#N/A</v>
      </c>
    </row>
    <row r="2820" customHeight="1" spans="8:8">
      <c r="H2820" s="39" t="e">
        <f>VLOOKUP(E2820,基础信息!C:E,3,FALSE)</f>
        <v>#N/A</v>
      </c>
    </row>
    <row r="2821" customHeight="1" spans="8:8">
      <c r="H2821" s="39" t="e">
        <f>VLOOKUP(E2821,基础信息!C:E,3,FALSE)</f>
        <v>#N/A</v>
      </c>
    </row>
    <row r="2822" customHeight="1" spans="8:8">
      <c r="H2822" s="39" t="e">
        <f>VLOOKUP(E2822,基础信息!C:E,3,FALSE)</f>
        <v>#N/A</v>
      </c>
    </row>
    <row r="2823" customHeight="1" spans="8:8">
      <c r="H2823" s="39" t="e">
        <f>VLOOKUP(E2823,基础信息!C:E,3,FALSE)</f>
        <v>#N/A</v>
      </c>
    </row>
    <row r="2824" customHeight="1" spans="8:8">
      <c r="H2824" s="39" t="e">
        <f>VLOOKUP(E2824,基础信息!C:E,3,FALSE)</f>
        <v>#N/A</v>
      </c>
    </row>
    <row r="2825" customHeight="1" spans="8:8">
      <c r="H2825" s="39" t="e">
        <f>VLOOKUP(E2825,基础信息!C:E,3,FALSE)</f>
        <v>#N/A</v>
      </c>
    </row>
    <row r="2826" customHeight="1" spans="8:8">
      <c r="H2826" s="39" t="e">
        <f>VLOOKUP(E2826,基础信息!C:E,3,FALSE)</f>
        <v>#N/A</v>
      </c>
    </row>
    <row r="2827" customHeight="1" spans="8:8">
      <c r="H2827" s="39" t="e">
        <f>VLOOKUP(E2827,基础信息!C:E,3,FALSE)</f>
        <v>#N/A</v>
      </c>
    </row>
    <row r="2828" customHeight="1" spans="8:8">
      <c r="H2828" s="39" t="e">
        <f>VLOOKUP(E2828,基础信息!C:E,3,FALSE)</f>
        <v>#N/A</v>
      </c>
    </row>
    <row r="2829" customHeight="1" spans="8:8">
      <c r="H2829" s="39" t="e">
        <f>VLOOKUP(E2829,基础信息!C:E,3,FALSE)</f>
        <v>#N/A</v>
      </c>
    </row>
    <row r="2830" customHeight="1" spans="8:8">
      <c r="H2830" s="39" t="e">
        <f>VLOOKUP(E2830,基础信息!C:E,3,FALSE)</f>
        <v>#N/A</v>
      </c>
    </row>
    <row r="2831" customHeight="1" spans="8:8">
      <c r="H2831" s="39" t="e">
        <f>VLOOKUP(E2831,基础信息!C:E,3,FALSE)</f>
        <v>#N/A</v>
      </c>
    </row>
    <row r="2832" customHeight="1" spans="8:8">
      <c r="H2832" s="39" t="e">
        <f>VLOOKUP(E2832,基础信息!C:E,3,FALSE)</f>
        <v>#N/A</v>
      </c>
    </row>
    <row r="2833" customHeight="1" spans="8:8">
      <c r="H2833" s="39" t="e">
        <f>VLOOKUP(E2833,基础信息!C:E,3,FALSE)</f>
        <v>#N/A</v>
      </c>
    </row>
    <row r="2834" customHeight="1" spans="8:8">
      <c r="H2834" s="39" t="e">
        <f>VLOOKUP(E2834,基础信息!C:E,3,FALSE)</f>
        <v>#N/A</v>
      </c>
    </row>
    <row r="2835" customHeight="1" spans="8:8">
      <c r="H2835" s="39" t="e">
        <f>VLOOKUP(E2835,基础信息!C:E,3,FALSE)</f>
        <v>#N/A</v>
      </c>
    </row>
    <row r="2836" customHeight="1" spans="8:8">
      <c r="H2836" s="39" t="e">
        <f>VLOOKUP(E2836,基础信息!C:E,3,FALSE)</f>
        <v>#N/A</v>
      </c>
    </row>
    <row r="2837" customHeight="1" spans="8:8">
      <c r="H2837" s="39" t="e">
        <f>VLOOKUP(E2837,基础信息!C:E,3,FALSE)</f>
        <v>#N/A</v>
      </c>
    </row>
    <row r="2838" customHeight="1" spans="8:8">
      <c r="H2838" s="39" t="e">
        <f>VLOOKUP(E2838,基础信息!C:E,3,FALSE)</f>
        <v>#N/A</v>
      </c>
    </row>
    <row r="2839" customHeight="1" spans="8:8">
      <c r="H2839" s="39" t="e">
        <f>VLOOKUP(E2839,基础信息!C:E,3,FALSE)</f>
        <v>#N/A</v>
      </c>
    </row>
    <row r="2840" customHeight="1" spans="8:8">
      <c r="H2840" s="39" t="e">
        <f>VLOOKUP(E2840,基础信息!C:E,3,FALSE)</f>
        <v>#N/A</v>
      </c>
    </row>
    <row r="2841" customHeight="1" spans="8:8">
      <c r="H2841" s="39" t="e">
        <f>VLOOKUP(E2841,基础信息!C:E,3,FALSE)</f>
        <v>#N/A</v>
      </c>
    </row>
    <row r="2842" customHeight="1" spans="8:8">
      <c r="H2842" s="39" t="e">
        <f>VLOOKUP(E2842,基础信息!C:E,3,FALSE)</f>
        <v>#N/A</v>
      </c>
    </row>
    <row r="2843" customHeight="1" spans="8:8">
      <c r="H2843" s="39" t="e">
        <f>VLOOKUP(E2843,基础信息!C:E,3,FALSE)</f>
        <v>#N/A</v>
      </c>
    </row>
    <row r="2844" customHeight="1" spans="8:8">
      <c r="H2844" s="39" t="e">
        <f>VLOOKUP(E2844,基础信息!C:E,3,FALSE)</f>
        <v>#N/A</v>
      </c>
    </row>
    <row r="2845" customHeight="1" spans="8:8">
      <c r="H2845" s="39" t="e">
        <f>VLOOKUP(E2845,基础信息!C:E,3,FALSE)</f>
        <v>#N/A</v>
      </c>
    </row>
    <row r="2846" customHeight="1" spans="8:8">
      <c r="H2846" s="39" t="e">
        <f>VLOOKUP(E2846,基础信息!C:E,3,FALSE)</f>
        <v>#N/A</v>
      </c>
    </row>
    <row r="2847" customHeight="1" spans="8:8">
      <c r="H2847" s="39" t="e">
        <f>VLOOKUP(E2847,基础信息!C:E,3,FALSE)</f>
        <v>#N/A</v>
      </c>
    </row>
    <row r="2848" customHeight="1" spans="8:8">
      <c r="H2848" s="39" t="e">
        <f>VLOOKUP(E2848,基础信息!C:E,3,FALSE)</f>
        <v>#N/A</v>
      </c>
    </row>
    <row r="2849" customHeight="1" spans="8:8">
      <c r="H2849" s="39" t="e">
        <f>VLOOKUP(E2849,基础信息!C:E,3,FALSE)</f>
        <v>#N/A</v>
      </c>
    </row>
    <row r="2850" customHeight="1" spans="8:8">
      <c r="H2850" s="39" t="e">
        <f>VLOOKUP(E2850,基础信息!C:E,3,FALSE)</f>
        <v>#N/A</v>
      </c>
    </row>
    <row r="2851" customHeight="1" spans="8:8">
      <c r="H2851" s="39" t="e">
        <f>VLOOKUP(E2851,基础信息!C:E,3,FALSE)</f>
        <v>#N/A</v>
      </c>
    </row>
    <row r="2852" customHeight="1" spans="8:8">
      <c r="H2852" s="39" t="e">
        <f>VLOOKUP(E2852,基础信息!C:E,3,FALSE)</f>
        <v>#N/A</v>
      </c>
    </row>
    <row r="2853" customHeight="1" spans="8:8">
      <c r="H2853" s="39" t="e">
        <f>VLOOKUP(E2853,基础信息!C:E,3,FALSE)</f>
        <v>#N/A</v>
      </c>
    </row>
    <row r="2854" customHeight="1" spans="8:8">
      <c r="H2854" s="39" t="e">
        <f>VLOOKUP(E2854,基础信息!C:E,3,FALSE)</f>
        <v>#N/A</v>
      </c>
    </row>
    <row r="2855" customHeight="1" spans="8:8">
      <c r="H2855" s="39" t="e">
        <f>VLOOKUP(E2855,基础信息!C:E,3,FALSE)</f>
        <v>#N/A</v>
      </c>
    </row>
    <row r="2856" customHeight="1" spans="8:8">
      <c r="H2856" s="39" t="e">
        <f>VLOOKUP(E2856,基础信息!C:E,3,FALSE)</f>
        <v>#N/A</v>
      </c>
    </row>
    <row r="2857" customHeight="1" spans="8:8">
      <c r="H2857" s="39" t="e">
        <f>VLOOKUP(E2857,基础信息!C:E,3,FALSE)</f>
        <v>#N/A</v>
      </c>
    </row>
    <row r="2858" customHeight="1" spans="8:8">
      <c r="H2858" s="39" t="e">
        <f>VLOOKUP(E2858,基础信息!C:E,3,FALSE)</f>
        <v>#N/A</v>
      </c>
    </row>
    <row r="2859" customHeight="1" spans="8:8">
      <c r="H2859" s="39" t="e">
        <f>VLOOKUP(E2859,基础信息!C:E,3,FALSE)</f>
        <v>#N/A</v>
      </c>
    </row>
    <row r="2860" customHeight="1" spans="8:8">
      <c r="H2860" s="39" t="e">
        <f>VLOOKUP(E2860,基础信息!C:E,3,FALSE)</f>
        <v>#N/A</v>
      </c>
    </row>
    <row r="2861" customHeight="1" spans="8:8">
      <c r="H2861" s="39" t="e">
        <f>VLOOKUP(E2861,基础信息!C:E,3,FALSE)</f>
        <v>#N/A</v>
      </c>
    </row>
    <row r="2862" customHeight="1" spans="8:8">
      <c r="H2862" s="39" t="e">
        <f>VLOOKUP(E2862,基础信息!C:E,3,FALSE)</f>
        <v>#N/A</v>
      </c>
    </row>
    <row r="2863" customHeight="1" spans="8:8">
      <c r="H2863" s="39" t="e">
        <f>VLOOKUP(E2863,基础信息!C:E,3,FALSE)</f>
        <v>#N/A</v>
      </c>
    </row>
    <row r="2864" customHeight="1" spans="8:8">
      <c r="H2864" s="39" t="e">
        <f>VLOOKUP(E2864,基础信息!C:E,3,FALSE)</f>
        <v>#N/A</v>
      </c>
    </row>
    <row r="2865" customHeight="1" spans="8:8">
      <c r="H2865" s="39" t="e">
        <f>VLOOKUP(E2865,基础信息!C:E,3,FALSE)</f>
        <v>#N/A</v>
      </c>
    </row>
    <row r="2866" customHeight="1" spans="8:8">
      <c r="H2866" s="39" t="e">
        <f>VLOOKUP(E2866,基础信息!C:E,3,FALSE)</f>
        <v>#N/A</v>
      </c>
    </row>
    <row r="2867" customHeight="1" spans="8:8">
      <c r="H2867" s="39" t="e">
        <f>VLOOKUP(E2867,基础信息!C:E,3,FALSE)</f>
        <v>#N/A</v>
      </c>
    </row>
    <row r="2868" customHeight="1" spans="8:8">
      <c r="H2868" s="39" t="e">
        <f>VLOOKUP(E2868,基础信息!C:E,3,FALSE)</f>
        <v>#N/A</v>
      </c>
    </row>
    <row r="2869" customHeight="1" spans="8:8">
      <c r="H2869" s="39" t="e">
        <f>VLOOKUP(E2869,基础信息!C:E,3,FALSE)</f>
        <v>#N/A</v>
      </c>
    </row>
    <row r="2870" customHeight="1" spans="8:8">
      <c r="H2870" s="39" t="e">
        <f>VLOOKUP(E2870,基础信息!C:E,3,FALSE)</f>
        <v>#N/A</v>
      </c>
    </row>
    <row r="2871" customHeight="1" spans="8:8">
      <c r="H2871" s="39" t="e">
        <f>VLOOKUP(E2871,基础信息!C:E,3,FALSE)</f>
        <v>#N/A</v>
      </c>
    </row>
    <row r="2872" customHeight="1" spans="8:8">
      <c r="H2872" s="39" t="e">
        <f>VLOOKUP(E2872,基础信息!C:E,3,FALSE)</f>
        <v>#N/A</v>
      </c>
    </row>
    <row r="2873" customHeight="1" spans="8:8">
      <c r="H2873" s="39" t="e">
        <f>VLOOKUP(E2873,基础信息!C:E,3,FALSE)</f>
        <v>#N/A</v>
      </c>
    </row>
    <row r="2874" customHeight="1" spans="8:8">
      <c r="H2874" s="39" t="e">
        <f>VLOOKUP(E2874,基础信息!C:E,3,FALSE)</f>
        <v>#N/A</v>
      </c>
    </row>
    <row r="2875" customHeight="1" spans="8:8">
      <c r="H2875" s="39" t="e">
        <f>VLOOKUP(E2875,基础信息!C:E,3,FALSE)</f>
        <v>#N/A</v>
      </c>
    </row>
    <row r="2876" customHeight="1" spans="8:8">
      <c r="H2876" s="39" t="e">
        <f>VLOOKUP(E2876,基础信息!C:E,3,FALSE)</f>
        <v>#N/A</v>
      </c>
    </row>
    <row r="2877" customHeight="1" spans="8:8">
      <c r="H2877" s="39" t="e">
        <f>VLOOKUP(E2877,基础信息!C:E,3,FALSE)</f>
        <v>#N/A</v>
      </c>
    </row>
    <row r="2878" customHeight="1" spans="8:8">
      <c r="H2878" s="39" t="e">
        <f>VLOOKUP(E2878,基础信息!C:E,3,FALSE)</f>
        <v>#N/A</v>
      </c>
    </row>
    <row r="2879" customHeight="1" spans="8:8">
      <c r="H2879" s="39" t="e">
        <f>VLOOKUP(E2879,基础信息!C:E,3,FALSE)</f>
        <v>#N/A</v>
      </c>
    </row>
    <row r="2880" customHeight="1" spans="8:8">
      <c r="H2880" s="39" t="e">
        <f>VLOOKUP(E2880,基础信息!C:E,3,FALSE)</f>
        <v>#N/A</v>
      </c>
    </row>
    <row r="2881" customHeight="1" spans="8:8">
      <c r="H2881" s="39" t="e">
        <f>VLOOKUP(E2881,基础信息!C:E,3,FALSE)</f>
        <v>#N/A</v>
      </c>
    </row>
    <row r="2882" customHeight="1" spans="8:8">
      <c r="H2882" s="39" t="e">
        <f>VLOOKUP(E2882,基础信息!C:E,3,FALSE)</f>
        <v>#N/A</v>
      </c>
    </row>
    <row r="2883" customHeight="1" spans="8:8">
      <c r="H2883" s="39" t="e">
        <f>VLOOKUP(E2883,基础信息!C:E,3,FALSE)</f>
        <v>#N/A</v>
      </c>
    </row>
    <row r="2884" customHeight="1" spans="8:8">
      <c r="H2884" s="39" t="e">
        <f>VLOOKUP(E2884,基础信息!C:E,3,FALSE)</f>
        <v>#N/A</v>
      </c>
    </row>
    <row r="2885" customHeight="1" spans="8:8">
      <c r="H2885" s="39" t="e">
        <f>VLOOKUP(E2885,基础信息!C:E,3,FALSE)</f>
        <v>#N/A</v>
      </c>
    </row>
    <row r="2886" customHeight="1" spans="8:8">
      <c r="H2886" s="39" t="e">
        <f>VLOOKUP(E2886,基础信息!C:E,3,FALSE)</f>
        <v>#N/A</v>
      </c>
    </row>
    <row r="2887" customHeight="1" spans="8:8">
      <c r="H2887" s="39" t="e">
        <f>VLOOKUP(E2887,基础信息!C:E,3,FALSE)</f>
        <v>#N/A</v>
      </c>
    </row>
    <row r="2888" customHeight="1" spans="8:8">
      <c r="H2888" s="39" t="e">
        <f>VLOOKUP(E2888,基础信息!C:E,3,FALSE)</f>
        <v>#N/A</v>
      </c>
    </row>
    <row r="2889" customHeight="1" spans="8:8">
      <c r="H2889" s="39" t="e">
        <f>VLOOKUP(E2889,基础信息!C:E,3,FALSE)</f>
        <v>#N/A</v>
      </c>
    </row>
    <row r="2890" customHeight="1" spans="8:8">
      <c r="H2890" s="39" t="e">
        <f>VLOOKUP(E2890,基础信息!C:E,3,FALSE)</f>
        <v>#N/A</v>
      </c>
    </row>
    <row r="2891" customHeight="1" spans="8:8">
      <c r="H2891" s="39" t="e">
        <f>VLOOKUP(E2891,基础信息!C:E,3,FALSE)</f>
        <v>#N/A</v>
      </c>
    </row>
    <row r="2892" customHeight="1" spans="8:8">
      <c r="H2892" s="39" t="e">
        <f>VLOOKUP(E2892,基础信息!C:E,3,FALSE)</f>
        <v>#N/A</v>
      </c>
    </row>
    <row r="2893" customHeight="1" spans="8:8">
      <c r="H2893" s="39" t="e">
        <f>VLOOKUP(E2893,基础信息!C:E,3,FALSE)</f>
        <v>#N/A</v>
      </c>
    </row>
    <row r="2894" customHeight="1" spans="8:8">
      <c r="H2894" s="39" t="e">
        <f>VLOOKUP(E2894,基础信息!C:E,3,FALSE)</f>
        <v>#N/A</v>
      </c>
    </row>
    <row r="2895" customHeight="1" spans="8:8">
      <c r="H2895" s="39" t="e">
        <f>VLOOKUP(E2895,基础信息!C:E,3,FALSE)</f>
        <v>#N/A</v>
      </c>
    </row>
    <row r="2896" customHeight="1" spans="8:8">
      <c r="H2896" s="39" t="e">
        <f>VLOOKUP(E2896,基础信息!C:E,3,FALSE)</f>
        <v>#N/A</v>
      </c>
    </row>
    <row r="2897" customHeight="1" spans="8:8">
      <c r="H2897" s="39" t="e">
        <f>VLOOKUP(E2897,基础信息!C:E,3,FALSE)</f>
        <v>#N/A</v>
      </c>
    </row>
    <row r="2898" customHeight="1" spans="8:8">
      <c r="H2898" s="39" t="e">
        <f>VLOOKUP(E2898,基础信息!C:E,3,FALSE)</f>
        <v>#N/A</v>
      </c>
    </row>
    <row r="2899" customHeight="1" spans="8:8">
      <c r="H2899" s="39" t="e">
        <f>VLOOKUP(E2899,基础信息!C:E,3,FALSE)</f>
        <v>#N/A</v>
      </c>
    </row>
    <row r="2900" customHeight="1" spans="8:8">
      <c r="H2900" s="39" t="e">
        <f>VLOOKUP(E2900,基础信息!C:E,3,FALSE)</f>
        <v>#N/A</v>
      </c>
    </row>
    <row r="2901" customHeight="1" spans="8:8">
      <c r="H2901" s="39" t="e">
        <f>VLOOKUP(E2901,基础信息!C:E,3,FALSE)</f>
        <v>#N/A</v>
      </c>
    </row>
    <row r="2902" customHeight="1" spans="8:8">
      <c r="H2902" s="39" t="e">
        <f>VLOOKUP(E2902,基础信息!C:E,3,FALSE)</f>
        <v>#N/A</v>
      </c>
    </row>
    <row r="2903" customHeight="1" spans="8:8">
      <c r="H2903" s="39" t="e">
        <f>VLOOKUP(E2903,基础信息!C:E,3,FALSE)</f>
        <v>#N/A</v>
      </c>
    </row>
    <row r="2904" customHeight="1" spans="8:8">
      <c r="H2904" s="39" t="e">
        <f>VLOOKUP(E2904,基础信息!C:E,3,FALSE)</f>
        <v>#N/A</v>
      </c>
    </row>
    <row r="2905" customHeight="1" spans="8:8">
      <c r="H2905" s="39" t="e">
        <f>VLOOKUP(E2905,基础信息!C:E,3,FALSE)</f>
        <v>#N/A</v>
      </c>
    </row>
    <row r="2906" customHeight="1" spans="8:8">
      <c r="H2906" s="39" t="e">
        <f>VLOOKUP(E2906,基础信息!C:E,3,FALSE)</f>
        <v>#N/A</v>
      </c>
    </row>
    <row r="2907" customHeight="1" spans="8:8">
      <c r="H2907" s="39" t="e">
        <f>VLOOKUP(E2907,基础信息!C:E,3,FALSE)</f>
        <v>#N/A</v>
      </c>
    </row>
    <row r="2908" customHeight="1" spans="8:8">
      <c r="H2908" s="39" t="e">
        <f>VLOOKUP(E2908,基础信息!C:E,3,FALSE)</f>
        <v>#N/A</v>
      </c>
    </row>
    <row r="2909" customHeight="1" spans="8:8">
      <c r="H2909" s="39" t="e">
        <f>VLOOKUP(E2909,基础信息!C:E,3,FALSE)</f>
        <v>#N/A</v>
      </c>
    </row>
    <row r="2910" customHeight="1" spans="8:8">
      <c r="H2910" s="39" t="e">
        <f>VLOOKUP(E2910,基础信息!C:E,3,FALSE)</f>
        <v>#N/A</v>
      </c>
    </row>
    <row r="2911" customHeight="1" spans="8:8">
      <c r="H2911" s="39" t="e">
        <f>VLOOKUP(E2911,基础信息!C:E,3,FALSE)</f>
        <v>#N/A</v>
      </c>
    </row>
    <row r="2912" customHeight="1" spans="8:8">
      <c r="H2912" s="39" t="e">
        <f>VLOOKUP(E2912,基础信息!C:E,3,FALSE)</f>
        <v>#N/A</v>
      </c>
    </row>
    <row r="2913" customHeight="1" spans="8:8">
      <c r="H2913" s="39" t="e">
        <f>VLOOKUP(E2913,基础信息!C:E,3,FALSE)</f>
        <v>#N/A</v>
      </c>
    </row>
    <row r="2914" customHeight="1" spans="8:8">
      <c r="H2914" s="39" t="e">
        <f>VLOOKUP(E2914,基础信息!C:E,3,FALSE)</f>
        <v>#N/A</v>
      </c>
    </row>
    <row r="2915" customHeight="1" spans="8:8">
      <c r="H2915" s="39" t="e">
        <f>VLOOKUP(E2915,基础信息!C:E,3,FALSE)</f>
        <v>#N/A</v>
      </c>
    </row>
    <row r="2916" customHeight="1" spans="8:8">
      <c r="H2916" s="39" t="e">
        <f>VLOOKUP(E2916,基础信息!C:E,3,FALSE)</f>
        <v>#N/A</v>
      </c>
    </row>
    <row r="2917" customHeight="1" spans="8:8">
      <c r="H2917" s="39" t="e">
        <f>VLOOKUP(E2917,基础信息!C:E,3,FALSE)</f>
        <v>#N/A</v>
      </c>
    </row>
    <row r="2918" customHeight="1" spans="8:8">
      <c r="H2918" s="39" t="e">
        <f>VLOOKUP(E2918,基础信息!C:E,3,FALSE)</f>
        <v>#N/A</v>
      </c>
    </row>
    <row r="2919" customHeight="1" spans="8:8">
      <c r="H2919" s="39" t="e">
        <f>VLOOKUP(E2919,基础信息!C:E,3,FALSE)</f>
        <v>#N/A</v>
      </c>
    </row>
    <row r="2920" customHeight="1" spans="8:8">
      <c r="H2920" s="39" t="e">
        <f>VLOOKUP(E2920,基础信息!C:E,3,FALSE)</f>
        <v>#N/A</v>
      </c>
    </row>
    <row r="2921" customHeight="1" spans="8:8">
      <c r="H2921" s="39" t="e">
        <f>VLOOKUP(E2921,基础信息!C:E,3,FALSE)</f>
        <v>#N/A</v>
      </c>
    </row>
    <row r="2922" customHeight="1" spans="8:8">
      <c r="H2922" s="39" t="e">
        <f>VLOOKUP(E2922,基础信息!C:E,3,FALSE)</f>
        <v>#N/A</v>
      </c>
    </row>
    <row r="2923" customHeight="1" spans="8:8">
      <c r="H2923" s="39" t="e">
        <f>VLOOKUP(E2923,基础信息!C:E,3,FALSE)</f>
        <v>#N/A</v>
      </c>
    </row>
    <row r="2924" customHeight="1" spans="8:8">
      <c r="H2924" s="39" t="e">
        <f>VLOOKUP(E2924,基础信息!C:E,3,FALSE)</f>
        <v>#N/A</v>
      </c>
    </row>
    <row r="2925" customHeight="1" spans="8:8">
      <c r="H2925" s="39" t="e">
        <f>VLOOKUP(E2925,基础信息!C:E,3,FALSE)</f>
        <v>#N/A</v>
      </c>
    </row>
    <row r="2926" customHeight="1" spans="8:8">
      <c r="H2926" s="39" t="e">
        <f>VLOOKUP(E2926,基础信息!C:E,3,FALSE)</f>
        <v>#N/A</v>
      </c>
    </row>
    <row r="2927" customHeight="1" spans="8:8">
      <c r="H2927" s="39" t="e">
        <f>VLOOKUP(E2927,基础信息!C:E,3,FALSE)</f>
        <v>#N/A</v>
      </c>
    </row>
    <row r="2928" customHeight="1" spans="8:8">
      <c r="H2928" s="39" t="e">
        <f>VLOOKUP(E2928,基础信息!C:E,3,FALSE)</f>
        <v>#N/A</v>
      </c>
    </row>
    <row r="2929" customHeight="1" spans="8:8">
      <c r="H2929" s="39" t="e">
        <f>VLOOKUP(E2929,基础信息!C:E,3,FALSE)</f>
        <v>#N/A</v>
      </c>
    </row>
    <row r="2930" customHeight="1" spans="8:8">
      <c r="H2930" s="39" t="e">
        <f>VLOOKUP(E2930,基础信息!C:E,3,FALSE)</f>
        <v>#N/A</v>
      </c>
    </row>
    <row r="2931" customHeight="1" spans="8:8">
      <c r="H2931" s="39" t="e">
        <f>VLOOKUP(E2931,基础信息!C:E,3,FALSE)</f>
        <v>#N/A</v>
      </c>
    </row>
    <row r="2932" customHeight="1" spans="8:8">
      <c r="H2932" s="39" t="e">
        <f>VLOOKUP(E2932,基础信息!C:E,3,FALSE)</f>
        <v>#N/A</v>
      </c>
    </row>
    <row r="2933" customHeight="1" spans="8:8">
      <c r="H2933" s="39" t="e">
        <f>VLOOKUP(E2933,基础信息!C:E,3,FALSE)</f>
        <v>#N/A</v>
      </c>
    </row>
    <row r="2934" customHeight="1" spans="8:8">
      <c r="H2934" s="39" t="e">
        <f>VLOOKUP(E2934,基础信息!C:E,3,FALSE)</f>
        <v>#N/A</v>
      </c>
    </row>
    <row r="2935" customHeight="1" spans="8:8">
      <c r="H2935" s="39" t="e">
        <f>VLOOKUP(E2935,基础信息!C:E,3,FALSE)</f>
        <v>#N/A</v>
      </c>
    </row>
    <row r="2936" customHeight="1" spans="8:8">
      <c r="H2936" s="39" t="e">
        <f>VLOOKUP(E2936,基础信息!C:E,3,FALSE)</f>
        <v>#N/A</v>
      </c>
    </row>
    <row r="2937" customHeight="1" spans="8:8">
      <c r="H2937" s="39" t="e">
        <f>VLOOKUP(E2937,基础信息!C:E,3,FALSE)</f>
        <v>#N/A</v>
      </c>
    </row>
    <row r="2938" customHeight="1" spans="8:8">
      <c r="H2938" s="39" t="e">
        <f>VLOOKUP(E2938,基础信息!C:E,3,FALSE)</f>
        <v>#N/A</v>
      </c>
    </row>
    <row r="2939" customHeight="1" spans="8:8">
      <c r="H2939" s="39" t="e">
        <f>VLOOKUP(E2939,基础信息!C:E,3,FALSE)</f>
        <v>#N/A</v>
      </c>
    </row>
    <row r="2940" customHeight="1" spans="8:8">
      <c r="H2940" s="39" t="e">
        <f>VLOOKUP(E2940,基础信息!C:E,3,FALSE)</f>
        <v>#N/A</v>
      </c>
    </row>
    <row r="2941" customHeight="1" spans="8:8">
      <c r="H2941" s="39" t="e">
        <f>VLOOKUP(E2941,基础信息!C:E,3,FALSE)</f>
        <v>#N/A</v>
      </c>
    </row>
    <row r="2942" customHeight="1" spans="8:8">
      <c r="H2942" s="39" t="e">
        <f>VLOOKUP(E2942,基础信息!C:E,3,FALSE)</f>
        <v>#N/A</v>
      </c>
    </row>
    <row r="2943" customHeight="1" spans="8:8">
      <c r="H2943" s="39" t="e">
        <f>VLOOKUP(E2943,基础信息!C:E,3,FALSE)</f>
        <v>#N/A</v>
      </c>
    </row>
    <row r="2944" customHeight="1" spans="8:8">
      <c r="H2944" s="39" t="e">
        <f>VLOOKUP(E2944,基础信息!C:E,3,FALSE)</f>
        <v>#N/A</v>
      </c>
    </row>
    <row r="2945" customHeight="1" spans="8:8">
      <c r="H2945" s="39" t="e">
        <f>VLOOKUP(E2945,基础信息!C:E,3,FALSE)</f>
        <v>#N/A</v>
      </c>
    </row>
    <row r="2946" customHeight="1" spans="8:8">
      <c r="H2946" s="39" t="e">
        <f>VLOOKUP(E2946,基础信息!C:E,3,FALSE)</f>
        <v>#N/A</v>
      </c>
    </row>
    <row r="2947" customHeight="1" spans="8:8">
      <c r="H2947" s="39" t="e">
        <f>VLOOKUP(E2947,基础信息!C:E,3,FALSE)</f>
        <v>#N/A</v>
      </c>
    </row>
    <row r="2948" customHeight="1" spans="8:8">
      <c r="H2948" s="39" t="e">
        <f>VLOOKUP(E2948,基础信息!C:E,3,FALSE)</f>
        <v>#N/A</v>
      </c>
    </row>
    <row r="2949" customHeight="1" spans="8:8">
      <c r="H2949" s="39" t="e">
        <f>VLOOKUP(E2949,基础信息!C:E,3,FALSE)</f>
        <v>#N/A</v>
      </c>
    </row>
    <row r="2950" customHeight="1" spans="8:8">
      <c r="H2950" s="39" t="e">
        <f>VLOOKUP(E2950,基础信息!C:E,3,FALSE)</f>
        <v>#N/A</v>
      </c>
    </row>
    <row r="2951" customHeight="1" spans="8:8">
      <c r="H2951" s="39" t="e">
        <f>VLOOKUP(E2951,基础信息!C:E,3,FALSE)</f>
        <v>#N/A</v>
      </c>
    </row>
    <row r="2952" customHeight="1" spans="8:8">
      <c r="H2952" s="39" t="e">
        <f>VLOOKUP(E2952,基础信息!C:E,3,FALSE)</f>
        <v>#N/A</v>
      </c>
    </row>
    <row r="2953" customHeight="1" spans="8:8">
      <c r="H2953" s="39" t="e">
        <f>VLOOKUP(E2953,基础信息!C:E,3,FALSE)</f>
        <v>#N/A</v>
      </c>
    </row>
    <row r="2954" customHeight="1" spans="8:8">
      <c r="H2954" s="39" t="e">
        <f>VLOOKUP(E2954,基础信息!C:E,3,FALSE)</f>
        <v>#N/A</v>
      </c>
    </row>
    <row r="2955" customHeight="1" spans="8:8">
      <c r="H2955" s="39" t="e">
        <f>VLOOKUP(E2955,基础信息!C:E,3,FALSE)</f>
        <v>#N/A</v>
      </c>
    </row>
    <row r="2956" customHeight="1" spans="8:8">
      <c r="H2956" s="39" t="e">
        <f>VLOOKUP(E2956,基础信息!C:E,3,FALSE)</f>
        <v>#N/A</v>
      </c>
    </row>
    <row r="2957" customHeight="1" spans="8:8">
      <c r="H2957" s="39" t="e">
        <f>VLOOKUP(E2957,基础信息!C:E,3,FALSE)</f>
        <v>#N/A</v>
      </c>
    </row>
    <row r="2958" customHeight="1" spans="8:8">
      <c r="H2958" s="39" t="e">
        <f>VLOOKUP(E2958,基础信息!C:E,3,FALSE)</f>
        <v>#N/A</v>
      </c>
    </row>
    <row r="2959" customHeight="1" spans="8:8">
      <c r="H2959" s="39" t="e">
        <f>VLOOKUP(E2959,基础信息!C:E,3,FALSE)</f>
        <v>#N/A</v>
      </c>
    </row>
    <row r="2960" customHeight="1" spans="8:8">
      <c r="H2960" s="39" t="e">
        <f>VLOOKUP(E2960,基础信息!C:E,3,FALSE)</f>
        <v>#N/A</v>
      </c>
    </row>
    <row r="2961" customHeight="1" spans="8:8">
      <c r="H2961" s="39" t="e">
        <f>VLOOKUP(E2961,基础信息!C:E,3,FALSE)</f>
        <v>#N/A</v>
      </c>
    </row>
    <row r="2962" customHeight="1" spans="8:8">
      <c r="H2962" s="39" t="e">
        <f>VLOOKUP(E2962,基础信息!C:E,3,FALSE)</f>
        <v>#N/A</v>
      </c>
    </row>
    <row r="2963" customHeight="1" spans="8:8">
      <c r="H2963" s="39" t="e">
        <f>VLOOKUP(E2963,基础信息!C:E,3,FALSE)</f>
        <v>#N/A</v>
      </c>
    </row>
    <row r="2964" customHeight="1" spans="8:8">
      <c r="H2964" s="39" t="e">
        <f>VLOOKUP(E2964,基础信息!C:E,3,FALSE)</f>
        <v>#N/A</v>
      </c>
    </row>
    <row r="2965" customHeight="1" spans="8:8">
      <c r="H2965" s="39" t="e">
        <f>VLOOKUP(E2965,基础信息!C:E,3,FALSE)</f>
        <v>#N/A</v>
      </c>
    </row>
    <row r="2966" customHeight="1" spans="8:8">
      <c r="H2966" s="39" t="e">
        <f>VLOOKUP(E2966,基础信息!C:E,3,FALSE)</f>
        <v>#N/A</v>
      </c>
    </row>
    <row r="2967" customHeight="1" spans="8:8">
      <c r="H2967" s="39" t="e">
        <f>VLOOKUP(E2967,基础信息!C:E,3,FALSE)</f>
        <v>#N/A</v>
      </c>
    </row>
    <row r="2968" customHeight="1" spans="8:8">
      <c r="H2968" s="39" t="e">
        <f>VLOOKUP(E2968,基础信息!C:E,3,FALSE)</f>
        <v>#N/A</v>
      </c>
    </row>
    <row r="2969" customHeight="1" spans="8:8">
      <c r="H2969" s="39" t="e">
        <f>VLOOKUP(E2969,基础信息!C:E,3,FALSE)</f>
        <v>#N/A</v>
      </c>
    </row>
    <row r="2970" customHeight="1" spans="8:8">
      <c r="H2970" s="39" t="e">
        <f>VLOOKUP(E2970,基础信息!C:E,3,FALSE)</f>
        <v>#N/A</v>
      </c>
    </row>
    <row r="2971" customHeight="1" spans="8:8">
      <c r="H2971" s="39" t="e">
        <f>VLOOKUP(E2971,基础信息!C:E,3,FALSE)</f>
        <v>#N/A</v>
      </c>
    </row>
    <row r="2972" customHeight="1" spans="8:8">
      <c r="H2972" s="39" t="e">
        <f>VLOOKUP(E2972,基础信息!C:E,3,FALSE)</f>
        <v>#N/A</v>
      </c>
    </row>
    <row r="2973" customHeight="1" spans="8:8">
      <c r="H2973" s="39" t="e">
        <f>VLOOKUP(E2973,基础信息!C:E,3,FALSE)</f>
        <v>#N/A</v>
      </c>
    </row>
    <row r="2974" customHeight="1" spans="8:8">
      <c r="H2974" s="39" t="e">
        <f>VLOOKUP(E2974,基础信息!C:E,3,FALSE)</f>
        <v>#N/A</v>
      </c>
    </row>
    <row r="2975" customHeight="1" spans="8:8">
      <c r="H2975" s="39" t="e">
        <f>VLOOKUP(E2975,基础信息!C:E,3,FALSE)</f>
        <v>#N/A</v>
      </c>
    </row>
    <row r="2976" customHeight="1" spans="8:8">
      <c r="H2976" s="39" t="e">
        <f>VLOOKUP(E2976,基础信息!C:E,3,FALSE)</f>
        <v>#N/A</v>
      </c>
    </row>
    <row r="2977" customHeight="1" spans="8:8">
      <c r="H2977" s="39" t="e">
        <f>VLOOKUP(E2977,基础信息!C:E,3,FALSE)</f>
        <v>#N/A</v>
      </c>
    </row>
    <row r="2978" customHeight="1" spans="8:8">
      <c r="H2978" s="39" t="e">
        <f>VLOOKUP(E2978,基础信息!C:E,3,FALSE)</f>
        <v>#N/A</v>
      </c>
    </row>
    <row r="2979" customHeight="1" spans="8:8">
      <c r="H2979" s="39" t="e">
        <f>VLOOKUP(E2979,基础信息!C:E,3,FALSE)</f>
        <v>#N/A</v>
      </c>
    </row>
    <row r="2980" customHeight="1" spans="8:8">
      <c r="H2980" s="39" t="e">
        <f>VLOOKUP(E2980,基础信息!C:E,3,FALSE)</f>
        <v>#N/A</v>
      </c>
    </row>
    <row r="2981" customHeight="1" spans="8:8">
      <c r="H2981" s="39" t="e">
        <f>VLOOKUP(E2981,基础信息!C:E,3,FALSE)</f>
        <v>#N/A</v>
      </c>
    </row>
    <row r="2982" customHeight="1" spans="8:8">
      <c r="H2982" s="39" t="e">
        <f>VLOOKUP(E2982,基础信息!C:E,3,FALSE)</f>
        <v>#N/A</v>
      </c>
    </row>
    <row r="2983" customHeight="1" spans="8:8">
      <c r="H2983" s="39" t="e">
        <f>VLOOKUP(E2983,基础信息!C:E,3,FALSE)</f>
        <v>#N/A</v>
      </c>
    </row>
    <row r="2984" customHeight="1" spans="8:8">
      <c r="H2984" s="39" t="e">
        <f>VLOOKUP(E2984,基础信息!C:E,3,FALSE)</f>
        <v>#N/A</v>
      </c>
    </row>
    <row r="2985" customHeight="1" spans="8:8">
      <c r="H2985" s="39" t="e">
        <f>VLOOKUP(E2985,基础信息!C:E,3,FALSE)</f>
        <v>#N/A</v>
      </c>
    </row>
    <row r="2986" customHeight="1" spans="8:8">
      <c r="H2986" s="39" t="e">
        <f>VLOOKUP(E2986,基础信息!C:E,3,FALSE)</f>
        <v>#N/A</v>
      </c>
    </row>
    <row r="2987" customHeight="1" spans="8:8">
      <c r="H2987" s="39" t="e">
        <f>VLOOKUP(E2987,基础信息!C:E,3,FALSE)</f>
        <v>#N/A</v>
      </c>
    </row>
    <row r="2988" customHeight="1" spans="8:8">
      <c r="H2988" s="39" t="e">
        <f>VLOOKUP(E2988,基础信息!C:E,3,FALSE)</f>
        <v>#N/A</v>
      </c>
    </row>
    <row r="2989" customHeight="1" spans="8:8">
      <c r="H2989" s="39" t="e">
        <f>VLOOKUP(E2989,基础信息!C:E,3,FALSE)</f>
        <v>#N/A</v>
      </c>
    </row>
    <row r="2990" customHeight="1" spans="8:8">
      <c r="H2990" s="39" t="e">
        <f>VLOOKUP(E2990,基础信息!C:E,3,FALSE)</f>
        <v>#N/A</v>
      </c>
    </row>
    <row r="2991" customHeight="1" spans="8:8">
      <c r="H2991" s="39" t="e">
        <f>VLOOKUP(E2991,基础信息!C:E,3,FALSE)</f>
        <v>#N/A</v>
      </c>
    </row>
    <row r="2992" customHeight="1" spans="8:8">
      <c r="H2992" s="39" t="e">
        <f>VLOOKUP(E2992,基础信息!C:E,3,FALSE)</f>
        <v>#N/A</v>
      </c>
    </row>
    <row r="2993" customHeight="1" spans="8:8">
      <c r="H2993" s="39" t="e">
        <f>VLOOKUP(E2993,基础信息!C:E,3,FALSE)</f>
        <v>#N/A</v>
      </c>
    </row>
    <row r="2994" customHeight="1" spans="8:8">
      <c r="H2994" s="39" t="e">
        <f>VLOOKUP(E2994,基础信息!C:E,3,FALSE)</f>
        <v>#N/A</v>
      </c>
    </row>
    <row r="2995" customHeight="1" spans="8:8">
      <c r="H2995" s="39" t="e">
        <f>VLOOKUP(E2995,基础信息!C:E,3,FALSE)</f>
        <v>#N/A</v>
      </c>
    </row>
    <row r="2996" customHeight="1" spans="8:8">
      <c r="H2996" s="39" t="e">
        <f>VLOOKUP(E2996,基础信息!C:E,3,FALSE)</f>
        <v>#N/A</v>
      </c>
    </row>
    <row r="2997" customHeight="1" spans="8:8">
      <c r="H2997" s="39" t="e">
        <f>VLOOKUP(E2997,基础信息!C:E,3,FALSE)</f>
        <v>#N/A</v>
      </c>
    </row>
    <row r="2998" customHeight="1" spans="8:8">
      <c r="H2998" s="39" t="e">
        <f>VLOOKUP(E2998,基础信息!C:E,3,FALSE)</f>
        <v>#N/A</v>
      </c>
    </row>
    <row r="2999" customHeight="1" spans="8:8">
      <c r="H2999" s="39" t="e">
        <f>VLOOKUP(E2999,基础信息!C:E,3,FALSE)</f>
        <v>#N/A</v>
      </c>
    </row>
    <row r="3000" customHeight="1" spans="8:8">
      <c r="H3000" s="39" t="e">
        <f>VLOOKUP(E3000,基础信息!C:E,3,FALSE)</f>
        <v>#N/A</v>
      </c>
    </row>
    <row r="3001" customHeight="1" spans="8:8">
      <c r="H3001" s="39" t="e">
        <f>VLOOKUP(E3001,基础信息!C:E,3,FALSE)</f>
        <v>#N/A</v>
      </c>
    </row>
    <row r="3002" customHeight="1" spans="8:8">
      <c r="H3002" s="39" t="e">
        <f>VLOOKUP(E3002,基础信息!C:E,3,FALSE)</f>
        <v>#N/A</v>
      </c>
    </row>
    <row r="3003" customHeight="1" spans="8:8">
      <c r="H3003" s="39" t="e">
        <f>VLOOKUP(E3003,基础信息!C:E,3,FALSE)</f>
        <v>#N/A</v>
      </c>
    </row>
    <row r="3004" customHeight="1" spans="8:8">
      <c r="H3004" s="39" t="e">
        <f>VLOOKUP(E3004,基础信息!C:E,3,FALSE)</f>
        <v>#N/A</v>
      </c>
    </row>
    <row r="3005" customHeight="1" spans="8:8">
      <c r="H3005" s="39" t="e">
        <f>VLOOKUP(E3005,基础信息!C:E,3,FALSE)</f>
        <v>#N/A</v>
      </c>
    </row>
    <row r="3006" customHeight="1" spans="8:8">
      <c r="H3006" s="39" t="e">
        <f>VLOOKUP(E3006,基础信息!C:E,3,FALSE)</f>
        <v>#N/A</v>
      </c>
    </row>
    <row r="3007" customHeight="1" spans="8:8">
      <c r="H3007" s="39" t="e">
        <f>VLOOKUP(E3007,基础信息!C:E,3,FALSE)</f>
        <v>#N/A</v>
      </c>
    </row>
    <row r="3008" customHeight="1" spans="8:8">
      <c r="H3008" s="39" t="e">
        <f>VLOOKUP(E3008,基础信息!C:E,3,FALSE)</f>
        <v>#N/A</v>
      </c>
    </row>
    <row r="3009" customHeight="1" spans="8:8">
      <c r="H3009" s="39" t="e">
        <f>VLOOKUP(E3009,基础信息!C:E,3,FALSE)</f>
        <v>#N/A</v>
      </c>
    </row>
    <row r="3010" customHeight="1" spans="8:8">
      <c r="H3010" s="39" t="e">
        <f>VLOOKUP(E3010,基础信息!C:E,3,FALSE)</f>
        <v>#N/A</v>
      </c>
    </row>
    <row r="3011" customHeight="1" spans="8:8">
      <c r="H3011" s="39" t="e">
        <f>VLOOKUP(E3011,基础信息!C:E,3,FALSE)</f>
        <v>#N/A</v>
      </c>
    </row>
    <row r="3012" customHeight="1" spans="8:8">
      <c r="H3012" s="39" t="e">
        <f>VLOOKUP(E3012,基础信息!C:E,3,FALSE)</f>
        <v>#N/A</v>
      </c>
    </row>
    <row r="3013" customHeight="1" spans="8:8">
      <c r="H3013" s="39" t="e">
        <f>VLOOKUP(E3013,基础信息!C:E,3,FALSE)</f>
        <v>#N/A</v>
      </c>
    </row>
    <row r="3014" customHeight="1" spans="8:8">
      <c r="H3014" s="39" t="e">
        <f>VLOOKUP(E3014,基础信息!C:E,3,FALSE)</f>
        <v>#N/A</v>
      </c>
    </row>
    <row r="3015" customHeight="1" spans="8:8">
      <c r="H3015" s="39" t="e">
        <f>VLOOKUP(E3015,基础信息!C:E,3,FALSE)</f>
        <v>#N/A</v>
      </c>
    </row>
    <row r="3016" customHeight="1" spans="8:8">
      <c r="H3016" s="39" t="e">
        <f>VLOOKUP(E3016,基础信息!C:E,3,FALSE)</f>
        <v>#N/A</v>
      </c>
    </row>
    <row r="3017" customHeight="1" spans="8:8">
      <c r="H3017" s="39" t="e">
        <f>VLOOKUP(E3017,基础信息!C:E,3,FALSE)</f>
        <v>#N/A</v>
      </c>
    </row>
    <row r="3018" customHeight="1" spans="8:8">
      <c r="H3018" s="39" t="e">
        <f>VLOOKUP(E3018,基础信息!C:E,3,FALSE)</f>
        <v>#N/A</v>
      </c>
    </row>
    <row r="3019" customHeight="1" spans="8:8">
      <c r="H3019" s="39" t="e">
        <f>VLOOKUP(E3019,基础信息!C:E,3,FALSE)</f>
        <v>#N/A</v>
      </c>
    </row>
    <row r="3020" customHeight="1" spans="8:8">
      <c r="H3020" s="39" t="e">
        <f>VLOOKUP(E3020,基础信息!C:E,3,FALSE)</f>
        <v>#N/A</v>
      </c>
    </row>
    <row r="3021" customHeight="1" spans="8:8">
      <c r="H3021" s="39" t="e">
        <f>VLOOKUP(E3021,基础信息!C:E,3,FALSE)</f>
        <v>#N/A</v>
      </c>
    </row>
    <row r="3022" customHeight="1" spans="8:8">
      <c r="H3022" s="39" t="e">
        <f>VLOOKUP(E3022,基础信息!C:E,3,FALSE)</f>
        <v>#N/A</v>
      </c>
    </row>
    <row r="3023" customHeight="1" spans="8:8">
      <c r="H3023" s="39" t="e">
        <f>VLOOKUP(E3023,基础信息!C:E,3,FALSE)</f>
        <v>#N/A</v>
      </c>
    </row>
    <row r="3024" customHeight="1" spans="8:8">
      <c r="H3024" s="39" t="e">
        <f>VLOOKUP(E3024,基础信息!C:E,3,FALSE)</f>
        <v>#N/A</v>
      </c>
    </row>
    <row r="3025" customHeight="1" spans="8:8">
      <c r="H3025" s="39" t="e">
        <f>VLOOKUP(E3025,基础信息!C:E,3,FALSE)</f>
        <v>#N/A</v>
      </c>
    </row>
    <row r="3026" customHeight="1" spans="8:8">
      <c r="H3026" s="39" t="e">
        <f>VLOOKUP(E3026,基础信息!C:E,3,FALSE)</f>
        <v>#N/A</v>
      </c>
    </row>
    <row r="3027" customHeight="1" spans="8:8">
      <c r="H3027" s="39" t="e">
        <f>VLOOKUP(E3027,基础信息!C:E,3,FALSE)</f>
        <v>#N/A</v>
      </c>
    </row>
    <row r="3028" customHeight="1" spans="8:8">
      <c r="H3028" s="39" t="e">
        <f>VLOOKUP(E3028,基础信息!C:E,3,FALSE)</f>
        <v>#N/A</v>
      </c>
    </row>
    <row r="3029" customHeight="1" spans="8:8">
      <c r="H3029" s="39" t="e">
        <f>VLOOKUP(E3029,基础信息!C:E,3,FALSE)</f>
        <v>#N/A</v>
      </c>
    </row>
    <row r="3030" customHeight="1" spans="8:8">
      <c r="H3030" s="39" t="e">
        <f>VLOOKUP(E3030,基础信息!C:E,3,FALSE)</f>
        <v>#N/A</v>
      </c>
    </row>
    <row r="3031" customHeight="1" spans="8:8">
      <c r="H3031" s="39" t="e">
        <f>VLOOKUP(E3031,基础信息!C:E,3,FALSE)</f>
        <v>#N/A</v>
      </c>
    </row>
    <row r="3032" customHeight="1" spans="8:8">
      <c r="H3032" s="39" t="e">
        <f>VLOOKUP(E3032,基础信息!C:E,3,FALSE)</f>
        <v>#N/A</v>
      </c>
    </row>
    <row r="3033" customHeight="1" spans="8:8">
      <c r="H3033" s="39" t="e">
        <f>VLOOKUP(E3033,基础信息!C:E,3,FALSE)</f>
        <v>#N/A</v>
      </c>
    </row>
    <row r="3034" customHeight="1" spans="8:8">
      <c r="H3034" s="39" t="e">
        <f>VLOOKUP(E3034,基础信息!C:E,3,FALSE)</f>
        <v>#N/A</v>
      </c>
    </row>
    <row r="3035" customHeight="1" spans="8:8">
      <c r="H3035" s="39" t="e">
        <f>VLOOKUP(E3035,基础信息!C:E,3,FALSE)</f>
        <v>#N/A</v>
      </c>
    </row>
    <row r="3036" customHeight="1" spans="8:8">
      <c r="H3036" s="39" t="e">
        <f>VLOOKUP(E3036,基础信息!C:E,3,FALSE)</f>
        <v>#N/A</v>
      </c>
    </row>
    <row r="3037" customHeight="1" spans="8:8">
      <c r="H3037" s="39" t="e">
        <f>VLOOKUP(E3037,基础信息!C:E,3,FALSE)</f>
        <v>#N/A</v>
      </c>
    </row>
    <row r="3038" customHeight="1" spans="8:8">
      <c r="H3038" s="39" t="e">
        <f>VLOOKUP(E3038,基础信息!C:E,3,FALSE)</f>
        <v>#N/A</v>
      </c>
    </row>
    <row r="3039" customHeight="1" spans="8:8">
      <c r="H3039" s="39" t="e">
        <f>VLOOKUP(E3039,基础信息!C:E,3,FALSE)</f>
        <v>#N/A</v>
      </c>
    </row>
    <row r="3040" customHeight="1" spans="8:8">
      <c r="H3040" s="39" t="e">
        <f>VLOOKUP(E3040,基础信息!C:E,3,FALSE)</f>
        <v>#N/A</v>
      </c>
    </row>
    <row r="3041" customHeight="1" spans="8:8">
      <c r="H3041" s="39" t="e">
        <f>VLOOKUP(E3041,基础信息!C:E,3,FALSE)</f>
        <v>#N/A</v>
      </c>
    </row>
    <row r="3042" customHeight="1" spans="8:8">
      <c r="H3042" s="39" t="e">
        <f>VLOOKUP(E3042,基础信息!C:E,3,FALSE)</f>
        <v>#N/A</v>
      </c>
    </row>
    <row r="3043" customHeight="1" spans="8:8">
      <c r="H3043" s="39" t="e">
        <f>VLOOKUP(E3043,基础信息!C:E,3,FALSE)</f>
        <v>#N/A</v>
      </c>
    </row>
    <row r="3044" customHeight="1" spans="8:8">
      <c r="H3044" s="39" t="e">
        <f>VLOOKUP(E3044,基础信息!C:E,3,FALSE)</f>
        <v>#N/A</v>
      </c>
    </row>
    <row r="3045" customHeight="1" spans="8:8">
      <c r="H3045" s="39" t="e">
        <f>VLOOKUP(E3045,基础信息!C:E,3,FALSE)</f>
        <v>#N/A</v>
      </c>
    </row>
    <row r="3046" customHeight="1" spans="8:8">
      <c r="H3046" s="39" t="e">
        <f>VLOOKUP(E3046,基础信息!C:E,3,FALSE)</f>
        <v>#N/A</v>
      </c>
    </row>
    <row r="3047" customHeight="1" spans="8:8">
      <c r="H3047" s="39" t="e">
        <f>VLOOKUP(E3047,基础信息!C:E,3,FALSE)</f>
        <v>#N/A</v>
      </c>
    </row>
    <row r="3048" customHeight="1" spans="8:8">
      <c r="H3048" s="39" t="e">
        <f>VLOOKUP(E3048,基础信息!C:E,3,FALSE)</f>
        <v>#N/A</v>
      </c>
    </row>
    <row r="3049" customHeight="1" spans="8:8">
      <c r="H3049" s="39" t="e">
        <f>VLOOKUP(E3049,基础信息!C:E,3,FALSE)</f>
        <v>#N/A</v>
      </c>
    </row>
    <row r="3050" customHeight="1" spans="8:8">
      <c r="H3050" s="39" t="e">
        <f>VLOOKUP(E3050,基础信息!C:E,3,FALSE)</f>
        <v>#N/A</v>
      </c>
    </row>
    <row r="3051" customHeight="1" spans="8:8">
      <c r="H3051" s="39" t="e">
        <f>VLOOKUP(E3051,基础信息!C:E,3,FALSE)</f>
        <v>#N/A</v>
      </c>
    </row>
    <row r="3052" customHeight="1" spans="8:8">
      <c r="H3052" s="39" t="e">
        <f>VLOOKUP(E3052,基础信息!C:E,3,FALSE)</f>
        <v>#N/A</v>
      </c>
    </row>
    <row r="3053" customHeight="1" spans="8:8">
      <c r="H3053" s="39" t="e">
        <f>VLOOKUP(E3053,基础信息!C:E,3,FALSE)</f>
        <v>#N/A</v>
      </c>
    </row>
    <row r="3054" customHeight="1" spans="8:8">
      <c r="H3054" s="39" t="e">
        <f>VLOOKUP(E3054,基础信息!C:E,3,FALSE)</f>
        <v>#N/A</v>
      </c>
    </row>
    <row r="3055" customHeight="1" spans="8:8">
      <c r="H3055" s="39" t="e">
        <f>VLOOKUP(E3055,基础信息!C:E,3,FALSE)</f>
        <v>#N/A</v>
      </c>
    </row>
    <row r="3056" customHeight="1" spans="8:8">
      <c r="H3056" s="39" t="e">
        <f>VLOOKUP(E3056,基础信息!C:E,3,FALSE)</f>
        <v>#N/A</v>
      </c>
    </row>
    <row r="3057" customHeight="1" spans="8:8">
      <c r="H3057" s="39" t="e">
        <f>VLOOKUP(E3057,基础信息!C:E,3,FALSE)</f>
        <v>#N/A</v>
      </c>
    </row>
    <row r="3058" customHeight="1" spans="8:8">
      <c r="H3058" s="39" t="e">
        <f>VLOOKUP(E3058,基础信息!C:E,3,FALSE)</f>
        <v>#N/A</v>
      </c>
    </row>
    <row r="3059" customHeight="1" spans="8:8">
      <c r="H3059" s="39" t="e">
        <f>VLOOKUP(E3059,基础信息!C:E,3,FALSE)</f>
        <v>#N/A</v>
      </c>
    </row>
    <row r="3060" customHeight="1" spans="8:8">
      <c r="H3060" s="39" t="e">
        <f>VLOOKUP(E3060,基础信息!C:E,3,FALSE)</f>
        <v>#N/A</v>
      </c>
    </row>
    <row r="3061" customHeight="1" spans="8:8">
      <c r="H3061" s="39" t="e">
        <f>VLOOKUP(E3061,基础信息!C:E,3,FALSE)</f>
        <v>#N/A</v>
      </c>
    </row>
    <row r="3062" customHeight="1" spans="8:8">
      <c r="H3062" s="39" t="e">
        <f>VLOOKUP(E3062,基础信息!C:E,3,FALSE)</f>
        <v>#N/A</v>
      </c>
    </row>
    <row r="3063" customHeight="1" spans="8:8">
      <c r="H3063" s="39" t="e">
        <f>VLOOKUP(E3063,基础信息!C:E,3,FALSE)</f>
        <v>#N/A</v>
      </c>
    </row>
    <row r="3064" customHeight="1" spans="8:8">
      <c r="H3064" s="39" t="e">
        <f>VLOOKUP(E3064,基础信息!C:E,3,FALSE)</f>
        <v>#N/A</v>
      </c>
    </row>
    <row r="3065" customHeight="1" spans="8:8">
      <c r="H3065" s="39" t="e">
        <f>VLOOKUP(E3065,基础信息!C:E,3,FALSE)</f>
        <v>#N/A</v>
      </c>
    </row>
    <row r="3066" customHeight="1" spans="8:8">
      <c r="H3066" s="39" t="e">
        <f>VLOOKUP(E3066,基础信息!C:E,3,FALSE)</f>
        <v>#N/A</v>
      </c>
    </row>
    <row r="3067" customHeight="1" spans="8:8">
      <c r="H3067" s="39" t="e">
        <f>VLOOKUP(E3067,基础信息!C:E,3,FALSE)</f>
        <v>#N/A</v>
      </c>
    </row>
    <row r="3068" customHeight="1" spans="8:8">
      <c r="H3068" s="39" t="e">
        <f>VLOOKUP(E3068,基础信息!C:E,3,FALSE)</f>
        <v>#N/A</v>
      </c>
    </row>
    <row r="3069" customHeight="1" spans="8:8">
      <c r="H3069" s="39" t="e">
        <f>VLOOKUP(E3069,基础信息!C:E,3,FALSE)</f>
        <v>#N/A</v>
      </c>
    </row>
    <row r="3070" customHeight="1" spans="8:8">
      <c r="H3070" s="39" t="e">
        <f>VLOOKUP(E3070,基础信息!C:E,3,FALSE)</f>
        <v>#N/A</v>
      </c>
    </row>
    <row r="3071" customHeight="1" spans="8:8">
      <c r="H3071" s="39" t="e">
        <f>VLOOKUP(E3071,基础信息!C:E,3,FALSE)</f>
        <v>#N/A</v>
      </c>
    </row>
    <row r="3072" customHeight="1" spans="8:8">
      <c r="H3072" s="39" t="e">
        <f>VLOOKUP(E3072,基础信息!C:E,3,FALSE)</f>
        <v>#N/A</v>
      </c>
    </row>
    <row r="3073" customHeight="1" spans="8:8">
      <c r="H3073" s="39" t="e">
        <f>VLOOKUP(E3073,基础信息!C:E,3,FALSE)</f>
        <v>#N/A</v>
      </c>
    </row>
    <row r="3074" customHeight="1" spans="8:8">
      <c r="H3074" s="39" t="e">
        <f>VLOOKUP(E3074,基础信息!C:E,3,FALSE)</f>
        <v>#N/A</v>
      </c>
    </row>
    <row r="3075" customHeight="1" spans="8:8">
      <c r="H3075" s="39" t="e">
        <f>VLOOKUP(E3075,基础信息!C:E,3,FALSE)</f>
        <v>#N/A</v>
      </c>
    </row>
    <row r="3076" customHeight="1" spans="8:8">
      <c r="H3076" s="39" t="e">
        <f>VLOOKUP(E3076,基础信息!C:E,3,FALSE)</f>
        <v>#N/A</v>
      </c>
    </row>
    <row r="3077" customHeight="1" spans="8:8">
      <c r="H3077" s="39" t="e">
        <f>VLOOKUP(E3077,基础信息!C:E,3,FALSE)</f>
        <v>#N/A</v>
      </c>
    </row>
    <row r="3078" customHeight="1" spans="8:8">
      <c r="H3078" s="39" t="e">
        <f>VLOOKUP(E3078,基础信息!C:E,3,FALSE)</f>
        <v>#N/A</v>
      </c>
    </row>
    <row r="3079" customHeight="1" spans="8:8">
      <c r="H3079" s="39" t="e">
        <f>VLOOKUP(E3079,基础信息!C:E,3,FALSE)</f>
        <v>#N/A</v>
      </c>
    </row>
    <row r="3080" customHeight="1" spans="8:8">
      <c r="H3080" s="39" t="e">
        <f>VLOOKUP(E3080,基础信息!C:E,3,FALSE)</f>
        <v>#N/A</v>
      </c>
    </row>
    <row r="3081" customHeight="1" spans="8:8">
      <c r="H3081" s="39" t="e">
        <f>VLOOKUP(E3081,基础信息!C:E,3,FALSE)</f>
        <v>#N/A</v>
      </c>
    </row>
    <row r="3082" customHeight="1" spans="8:8">
      <c r="H3082" s="39" t="e">
        <f>VLOOKUP(E3082,基础信息!C:E,3,FALSE)</f>
        <v>#N/A</v>
      </c>
    </row>
    <row r="3083" customHeight="1" spans="8:8">
      <c r="H3083" s="39" t="e">
        <f>VLOOKUP(E3083,基础信息!C:E,3,FALSE)</f>
        <v>#N/A</v>
      </c>
    </row>
    <row r="3084" customHeight="1" spans="8:8">
      <c r="H3084" s="39" t="e">
        <f>VLOOKUP(E3084,基础信息!C:E,3,FALSE)</f>
        <v>#N/A</v>
      </c>
    </row>
    <row r="3085" customHeight="1" spans="8:8">
      <c r="H3085" s="39" t="e">
        <f>VLOOKUP(E3085,基础信息!C:E,3,FALSE)</f>
        <v>#N/A</v>
      </c>
    </row>
    <row r="3086" customHeight="1" spans="8:8">
      <c r="H3086" s="39" t="e">
        <f>VLOOKUP(E3086,基础信息!C:E,3,FALSE)</f>
        <v>#N/A</v>
      </c>
    </row>
    <row r="3087" customHeight="1" spans="8:8">
      <c r="H3087" s="39" t="e">
        <f>VLOOKUP(E3087,基础信息!C:E,3,FALSE)</f>
        <v>#N/A</v>
      </c>
    </row>
    <row r="3088" customHeight="1" spans="8:8">
      <c r="H3088" s="39" t="e">
        <f>VLOOKUP(E3088,基础信息!C:E,3,FALSE)</f>
        <v>#N/A</v>
      </c>
    </row>
    <row r="3089" customHeight="1" spans="8:8">
      <c r="H3089" s="39" t="e">
        <f>VLOOKUP(E3089,基础信息!C:E,3,FALSE)</f>
        <v>#N/A</v>
      </c>
    </row>
    <row r="3090" customHeight="1" spans="8:8">
      <c r="H3090" s="39" t="e">
        <f>VLOOKUP(E3090,基础信息!C:E,3,FALSE)</f>
        <v>#N/A</v>
      </c>
    </row>
    <row r="3091" customHeight="1" spans="8:8">
      <c r="H3091" s="39" t="e">
        <f>VLOOKUP(E3091,基础信息!C:E,3,FALSE)</f>
        <v>#N/A</v>
      </c>
    </row>
    <row r="3092" customHeight="1" spans="8:8">
      <c r="H3092" s="39" t="e">
        <f>VLOOKUP(E3092,基础信息!C:E,3,FALSE)</f>
        <v>#N/A</v>
      </c>
    </row>
    <row r="3093" customHeight="1" spans="8:8">
      <c r="H3093" s="39" t="e">
        <f>VLOOKUP(E3093,基础信息!C:E,3,FALSE)</f>
        <v>#N/A</v>
      </c>
    </row>
    <row r="3094" customHeight="1" spans="8:8">
      <c r="H3094" s="39" t="e">
        <f>VLOOKUP(E3094,基础信息!C:E,3,FALSE)</f>
        <v>#N/A</v>
      </c>
    </row>
    <row r="3095" customHeight="1" spans="8:8">
      <c r="H3095" s="39" t="e">
        <f>VLOOKUP(E3095,基础信息!C:E,3,FALSE)</f>
        <v>#N/A</v>
      </c>
    </row>
    <row r="3096" customHeight="1" spans="8:8">
      <c r="H3096" s="39" t="e">
        <f>VLOOKUP(E3096,基础信息!C:E,3,FALSE)</f>
        <v>#N/A</v>
      </c>
    </row>
    <row r="3097" customHeight="1" spans="8:8">
      <c r="H3097" s="39" t="e">
        <f>VLOOKUP(E3097,基础信息!C:E,3,FALSE)</f>
        <v>#N/A</v>
      </c>
    </row>
    <row r="3098" customHeight="1" spans="8:8">
      <c r="H3098" s="39" t="e">
        <f>VLOOKUP(E3098,基础信息!C:E,3,FALSE)</f>
        <v>#N/A</v>
      </c>
    </row>
    <row r="3099" customHeight="1" spans="8:8">
      <c r="H3099" s="39" t="e">
        <f>VLOOKUP(E3099,基础信息!C:E,3,FALSE)</f>
        <v>#N/A</v>
      </c>
    </row>
    <row r="3100" customHeight="1" spans="8:8">
      <c r="H3100" s="39" t="e">
        <f>VLOOKUP(E3100,基础信息!C:E,3,FALSE)</f>
        <v>#N/A</v>
      </c>
    </row>
    <row r="3101" customHeight="1" spans="8:8">
      <c r="H3101" s="39" t="e">
        <f>VLOOKUP(E3101,基础信息!C:E,3,FALSE)</f>
        <v>#N/A</v>
      </c>
    </row>
    <row r="3102" customHeight="1" spans="8:8">
      <c r="H3102" s="39" t="e">
        <f>VLOOKUP(E3102,基础信息!C:E,3,FALSE)</f>
        <v>#N/A</v>
      </c>
    </row>
    <row r="3103" customHeight="1" spans="8:8">
      <c r="H3103" s="39" t="e">
        <f>VLOOKUP(E3103,基础信息!C:E,3,FALSE)</f>
        <v>#N/A</v>
      </c>
    </row>
    <row r="3104" customHeight="1" spans="8:8">
      <c r="H3104" s="39" t="e">
        <f>VLOOKUP(E3104,基础信息!C:E,3,FALSE)</f>
        <v>#N/A</v>
      </c>
    </row>
    <row r="3105" customHeight="1" spans="8:8">
      <c r="H3105" s="39" t="e">
        <f>VLOOKUP(E3105,基础信息!C:E,3,FALSE)</f>
        <v>#N/A</v>
      </c>
    </row>
    <row r="3106" customHeight="1" spans="8:8">
      <c r="H3106" s="39" t="e">
        <f>VLOOKUP(E3106,基础信息!C:E,3,FALSE)</f>
        <v>#N/A</v>
      </c>
    </row>
    <row r="3107" customHeight="1" spans="8:8">
      <c r="H3107" s="39" t="e">
        <f>VLOOKUP(E3107,基础信息!C:E,3,FALSE)</f>
        <v>#N/A</v>
      </c>
    </row>
    <row r="3108" customHeight="1" spans="8:8">
      <c r="H3108" s="39" t="e">
        <f>VLOOKUP(E3108,基础信息!C:E,3,FALSE)</f>
        <v>#N/A</v>
      </c>
    </row>
    <row r="3109" customHeight="1" spans="8:8">
      <c r="H3109" s="39" t="e">
        <f>VLOOKUP(E3109,基础信息!C:E,3,FALSE)</f>
        <v>#N/A</v>
      </c>
    </row>
    <row r="3110" customHeight="1" spans="8:8">
      <c r="H3110" s="39" t="e">
        <f>VLOOKUP(E3110,基础信息!C:E,3,FALSE)</f>
        <v>#N/A</v>
      </c>
    </row>
    <row r="3111" customHeight="1" spans="8:8">
      <c r="H3111" s="39" t="e">
        <f>VLOOKUP(E3111,基础信息!C:E,3,FALSE)</f>
        <v>#N/A</v>
      </c>
    </row>
    <row r="3112" customHeight="1" spans="8:8">
      <c r="H3112" s="39" t="e">
        <f>VLOOKUP(E3112,基础信息!C:E,3,FALSE)</f>
        <v>#N/A</v>
      </c>
    </row>
    <row r="3113" customHeight="1" spans="8:8">
      <c r="H3113" s="39" t="e">
        <f>VLOOKUP(E3113,基础信息!C:E,3,FALSE)</f>
        <v>#N/A</v>
      </c>
    </row>
    <row r="3114" customHeight="1" spans="8:8">
      <c r="H3114" s="39" t="e">
        <f>VLOOKUP(E3114,基础信息!C:E,3,FALSE)</f>
        <v>#N/A</v>
      </c>
    </row>
    <row r="3115" customHeight="1" spans="8:8">
      <c r="H3115" s="39" t="e">
        <f>VLOOKUP(E3115,基础信息!C:E,3,FALSE)</f>
        <v>#N/A</v>
      </c>
    </row>
    <row r="3116" customHeight="1" spans="8:8">
      <c r="H3116" s="39" t="e">
        <f>VLOOKUP(E3116,基础信息!C:E,3,FALSE)</f>
        <v>#N/A</v>
      </c>
    </row>
    <row r="3117" customHeight="1" spans="8:8">
      <c r="H3117" s="39" t="e">
        <f>VLOOKUP(E3117,基础信息!C:E,3,FALSE)</f>
        <v>#N/A</v>
      </c>
    </row>
    <row r="3118" customHeight="1" spans="8:8">
      <c r="H3118" s="39" t="e">
        <f>VLOOKUP(E3118,基础信息!C:E,3,FALSE)</f>
        <v>#N/A</v>
      </c>
    </row>
    <row r="3119" customHeight="1" spans="8:8">
      <c r="H3119" s="39" t="e">
        <f>VLOOKUP(E3119,基础信息!C:E,3,FALSE)</f>
        <v>#N/A</v>
      </c>
    </row>
    <row r="3120" customHeight="1" spans="8:8">
      <c r="H3120" s="39" t="e">
        <f>VLOOKUP(E3120,基础信息!C:E,3,FALSE)</f>
        <v>#N/A</v>
      </c>
    </row>
    <row r="3121" customHeight="1" spans="8:8">
      <c r="H3121" s="39" t="e">
        <f>VLOOKUP(E3121,基础信息!C:E,3,FALSE)</f>
        <v>#N/A</v>
      </c>
    </row>
    <row r="3122" customHeight="1" spans="8:8">
      <c r="H3122" s="39" t="e">
        <f>VLOOKUP(E3122,基础信息!C:E,3,FALSE)</f>
        <v>#N/A</v>
      </c>
    </row>
    <row r="3123" customHeight="1" spans="8:8">
      <c r="H3123" s="39" t="e">
        <f>VLOOKUP(E3123,基础信息!C:E,3,FALSE)</f>
        <v>#N/A</v>
      </c>
    </row>
    <row r="3124" customHeight="1" spans="8:8">
      <c r="H3124" s="39" t="e">
        <f>VLOOKUP(E3124,基础信息!C:E,3,FALSE)</f>
        <v>#N/A</v>
      </c>
    </row>
    <row r="3125" customHeight="1" spans="8:8">
      <c r="H3125" s="39" t="e">
        <f>VLOOKUP(E3125,基础信息!C:E,3,FALSE)</f>
        <v>#N/A</v>
      </c>
    </row>
    <row r="3126" customHeight="1" spans="8:8">
      <c r="H3126" s="39" t="e">
        <f>VLOOKUP(E3126,基础信息!C:E,3,FALSE)</f>
        <v>#N/A</v>
      </c>
    </row>
    <row r="3127" customHeight="1" spans="8:8">
      <c r="H3127" s="39" t="e">
        <f>VLOOKUP(E3127,基础信息!C:E,3,FALSE)</f>
        <v>#N/A</v>
      </c>
    </row>
    <row r="3128" customHeight="1" spans="8:8">
      <c r="H3128" s="39" t="e">
        <f>VLOOKUP(E3128,基础信息!C:E,3,FALSE)</f>
        <v>#N/A</v>
      </c>
    </row>
    <row r="3129" customHeight="1" spans="8:8">
      <c r="H3129" s="39" t="e">
        <f>VLOOKUP(E3129,基础信息!C:E,3,FALSE)</f>
        <v>#N/A</v>
      </c>
    </row>
    <row r="3130" customHeight="1" spans="8:8">
      <c r="H3130" s="39" t="e">
        <f>VLOOKUP(E3130,基础信息!C:E,3,FALSE)</f>
        <v>#N/A</v>
      </c>
    </row>
    <row r="3131" customHeight="1" spans="8:8">
      <c r="H3131" s="39" t="e">
        <f>VLOOKUP(E3131,基础信息!C:E,3,FALSE)</f>
        <v>#N/A</v>
      </c>
    </row>
    <row r="3132" customHeight="1" spans="8:8">
      <c r="H3132" s="39" t="e">
        <f>VLOOKUP(E3132,基础信息!C:E,3,FALSE)</f>
        <v>#N/A</v>
      </c>
    </row>
    <row r="3133" customHeight="1" spans="8:8">
      <c r="H3133" s="39" t="e">
        <f>VLOOKUP(E3133,基础信息!C:E,3,FALSE)</f>
        <v>#N/A</v>
      </c>
    </row>
    <row r="3134" customHeight="1" spans="8:8">
      <c r="H3134" s="39" t="e">
        <f>VLOOKUP(E3134,基础信息!C:E,3,FALSE)</f>
        <v>#N/A</v>
      </c>
    </row>
    <row r="3135" customHeight="1" spans="8:8">
      <c r="H3135" s="39" t="e">
        <f>VLOOKUP(E3135,基础信息!C:E,3,FALSE)</f>
        <v>#N/A</v>
      </c>
    </row>
    <row r="3136" customHeight="1" spans="8:8">
      <c r="H3136" s="39" t="e">
        <f>VLOOKUP(E3136,基础信息!C:E,3,FALSE)</f>
        <v>#N/A</v>
      </c>
    </row>
    <row r="3137" customHeight="1" spans="8:8">
      <c r="H3137" s="39" t="e">
        <f>VLOOKUP(E3137,基础信息!C:E,3,FALSE)</f>
        <v>#N/A</v>
      </c>
    </row>
    <row r="3138" customHeight="1" spans="8:8">
      <c r="H3138" s="39" t="e">
        <f>VLOOKUP(E3138,基础信息!C:E,3,FALSE)</f>
        <v>#N/A</v>
      </c>
    </row>
    <row r="3139" customHeight="1" spans="8:8">
      <c r="H3139" s="39" t="e">
        <f>VLOOKUP(E3139,基础信息!C:E,3,FALSE)</f>
        <v>#N/A</v>
      </c>
    </row>
    <row r="3140" customHeight="1" spans="8:8">
      <c r="H3140" s="39" t="e">
        <f>VLOOKUP(E3140,基础信息!C:E,3,FALSE)</f>
        <v>#N/A</v>
      </c>
    </row>
    <row r="3141" customHeight="1" spans="8:8">
      <c r="H3141" s="39" t="e">
        <f>VLOOKUP(E3141,基础信息!C:E,3,FALSE)</f>
        <v>#N/A</v>
      </c>
    </row>
    <row r="3142" customHeight="1" spans="8:8">
      <c r="H3142" s="39" t="e">
        <f>VLOOKUP(E3142,基础信息!C:E,3,FALSE)</f>
        <v>#N/A</v>
      </c>
    </row>
    <row r="3143" customHeight="1" spans="8:8">
      <c r="H3143" s="39" t="e">
        <f>VLOOKUP(E3143,基础信息!C:E,3,FALSE)</f>
        <v>#N/A</v>
      </c>
    </row>
    <row r="3144" customHeight="1" spans="8:8">
      <c r="H3144" s="39" t="e">
        <f>VLOOKUP(E3144,基础信息!C:E,3,FALSE)</f>
        <v>#N/A</v>
      </c>
    </row>
    <row r="3145" customHeight="1" spans="8:8">
      <c r="H3145" s="39" t="e">
        <f>VLOOKUP(E3145,基础信息!C:E,3,FALSE)</f>
        <v>#N/A</v>
      </c>
    </row>
    <row r="3146" customHeight="1" spans="8:8">
      <c r="H3146" s="39" t="e">
        <f>VLOOKUP(E3146,基础信息!C:E,3,FALSE)</f>
        <v>#N/A</v>
      </c>
    </row>
    <row r="3147" customHeight="1" spans="8:8">
      <c r="H3147" s="39" t="e">
        <f>VLOOKUP(E3147,基础信息!C:E,3,FALSE)</f>
        <v>#N/A</v>
      </c>
    </row>
    <row r="3148" customHeight="1" spans="8:8">
      <c r="H3148" s="39" t="e">
        <f>VLOOKUP(E3148,基础信息!C:E,3,FALSE)</f>
        <v>#N/A</v>
      </c>
    </row>
    <row r="3149" customHeight="1" spans="8:8">
      <c r="H3149" s="39" t="e">
        <f>VLOOKUP(E3149,基础信息!C:E,3,FALSE)</f>
        <v>#N/A</v>
      </c>
    </row>
    <row r="3150" customHeight="1" spans="8:8">
      <c r="H3150" s="39" t="e">
        <f>VLOOKUP(E3150,基础信息!C:E,3,FALSE)</f>
        <v>#N/A</v>
      </c>
    </row>
    <row r="3151" customHeight="1" spans="8:8">
      <c r="H3151" s="39" t="e">
        <f>VLOOKUP(E3151,基础信息!C:E,3,FALSE)</f>
        <v>#N/A</v>
      </c>
    </row>
    <row r="3152" customHeight="1" spans="8:8">
      <c r="H3152" s="39" t="e">
        <f>VLOOKUP(E3152,基础信息!C:E,3,FALSE)</f>
        <v>#N/A</v>
      </c>
    </row>
    <row r="3153" customHeight="1" spans="8:8">
      <c r="H3153" s="39" t="e">
        <f>VLOOKUP(E3153,基础信息!C:E,3,FALSE)</f>
        <v>#N/A</v>
      </c>
    </row>
    <row r="3154" customHeight="1" spans="8:8">
      <c r="H3154" s="39" t="e">
        <f>VLOOKUP(E3154,基础信息!C:E,3,FALSE)</f>
        <v>#N/A</v>
      </c>
    </row>
    <row r="3155" customHeight="1" spans="8:8">
      <c r="H3155" s="39" t="e">
        <f>VLOOKUP(E3155,基础信息!C:E,3,FALSE)</f>
        <v>#N/A</v>
      </c>
    </row>
    <row r="3156" customHeight="1" spans="8:8">
      <c r="H3156" s="39" t="e">
        <f>VLOOKUP(E3156,基础信息!C:E,3,FALSE)</f>
        <v>#N/A</v>
      </c>
    </row>
    <row r="3157" customHeight="1" spans="8:8">
      <c r="H3157" s="39" t="e">
        <f>VLOOKUP(E3157,基础信息!C:E,3,FALSE)</f>
        <v>#N/A</v>
      </c>
    </row>
    <row r="3158" customHeight="1" spans="8:8">
      <c r="H3158" s="39" t="e">
        <f>VLOOKUP(E3158,基础信息!C:E,3,FALSE)</f>
        <v>#N/A</v>
      </c>
    </row>
    <row r="3159" customHeight="1" spans="8:8">
      <c r="H3159" s="39" t="e">
        <f>VLOOKUP(E3159,基础信息!C:E,3,FALSE)</f>
        <v>#N/A</v>
      </c>
    </row>
    <row r="3160" customHeight="1" spans="8:8">
      <c r="H3160" s="39" t="e">
        <f>VLOOKUP(E3160,基础信息!C:E,3,FALSE)</f>
        <v>#N/A</v>
      </c>
    </row>
    <row r="3161" customHeight="1" spans="8:8">
      <c r="H3161" s="39" t="e">
        <f>VLOOKUP(E3161,基础信息!C:E,3,FALSE)</f>
        <v>#N/A</v>
      </c>
    </row>
    <row r="3162" customHeight="1" spans="8:8">
      <c r="H3162" s="39" t="e">
        <f>VLOOKUP(E3162,基础信息!C:E,3,FALSE)</f>
        <v>#N/A</v>
      </c>
    </row>
    <row r="3163" customHeight="1" spans="8:8">
      <c r="H3163" s="39" t="e">
        <f>VLOOKUP(E3163,基础信息!C:E,3,FALSE)</f>
        <v>#N/A</v>
      </c>
    </row>
    <row r="3164" customHeight="1" spans="8:8">
      <c r="H3164" s="39" t="e">
        <f>VLOOKUP(E3164,基础信息!C:E,3,FALSE)</f>
        <v>#N/A</v>
      </c>
    </row>
    <row r="3165" customHeight="1" spans="8:8">
      <c r="H3165" s="39" t="e">
        <f>VLOOKUP(E3165,基础信息!C:E,3,FALSE)</f>
        <v>#N/A</v>
      </c>
    </row>
    <row r="3166" customHeight="1" spans="8:8">
      <c r="H3166" s="39" t="e">
        <f>VLOOKUP(E3166,基础信息!C:E,3,FALSE)</f>
        <v>#N/A</v>
      </c>
    </row>
    <row r="3167" customHeight="1" spans="8:8">
      <c r="H3167" s="39" t="e">
        <f>VLOOKUP(E3167,基础信息!C:E,3,FALSE)</f>
        <v>#N/A</v>
      </c>
    </row>
    <row r="3168" customHeight="1" spans="8:8">
      <c r="H3168" s="39" t="e">
        <f>VLOOKUP(E3168,基础信息!C:E,3,FALSE)</f>
        <v>#N/A</v>
      </c>
    </row>
    <row r="3169" customHeight="1" spans="8:8">
      <c r="H3169" s="39" t="e">
        <f>VLOOKUP(E3169,基础信息!C:E,3,FALSE)</f>
        <v>#N/A</v>
      </c>
    </row>
    <row r="3170" customHeight="1" spans="8:8">
      <c r="H3170" s="39" t="e">
        <f>VLOOKUP(E3170,基础信息!C:E,3,FALSE)</f>
        <v>#N/A</v>
      </c>
    </row>
    <row r="3171" customHeight="1" spans="8:8">
      <c r="H3171" s="39" t="e">
        <f>VLOOKUP(E3171,基础信息!C:E,3,FALSE)</f>
        <v>#N/A</v>
      </c>
    </row>
    <row r="3172" customHeight="1" spans="8:8">
      <c r="H3172" s="39" t="e">
        <f>VLOOKUP(E3172,基础信息!C:E,3,FALSE)</f>
        <v>#N/A</v>
      </c>
    </row>
    <row r="3173" customHeight="1" spans="8:8">
      <c r="H3173" s="39" t="e">
        <f>VLOOKUP(E3173,基础信息!C:E,3,FALSE)</f>
        <v>#N/A</v>
      </c>
    </row>
    <row r="3174" customHeight="1" spans="8:8">
      <c r="H3174" s="39" t="e">
        <f>VLOOKUP(E3174,基础信息!C:E,3,FALSE)</f>
        <v>#N/A</v>
      </c>
    </row>
    <row r="3175" customHeight="1" spans="8:8">
      <c r="H3175" s="39" t="e">
        <f>VLOOKUP(E3175,基础信息!C:E,3,FALSE)</f>
        <v>#N/A</v>
      </c>
    </row>
    <row r="3176" customHeight="1" spans="8:8">
      <c r="H3176" s="39" t="e">
        <f>VLOOKUP(E3176,基础信息!C:E,3,FALSE)</f>
        <v>#N/A</v>
      </c>
    </row>
    <row r="3177" customHeight="1" spans="8:8">
      <c r="H3177" s="39" t="e">
        <f>VLOOKUP(E3177,基础信息!C:E,3,FALSE)</f>
        <v>#N/A</v>
      </c>
    </row>
    <row r="3178" customHeight="1" spans="8:8">
      <c r="H3178" s="39" t="e">
        <f>VLOOKUP(E3178,基础信息!C:E,3,FALSE)</f>
        <v>#N/A</v>
      </c>
    </row>
    <row r="3179" customHeight="1" spans="8:8">
      <c r="H3179" s="39" t="e">
        <f>VLOOKUP(E3179,基础信息!C:E,3,FALSE)</f>
        <v>#N/A</v>
      </c>
    </row>
    <row r="3180" customHeight="1" spans="8:8">
      <c r="H3180" s="39" t="e">
        <f>VLOOKUP(E3180,基础信息!C:E,3,FALSE)</f>
        <v>#N/A</v>
      </c>
    </row>
    <row r="3181" customHeight="1" spans="8:8">
      <c r="H3181" s="39" t="e">
        <f>VLOOKUP(E3181,基础信息!C:E,3,FALSE)</f>
        <v>#N/A</v>
      </c>
    </row>
    <row r="3182" customHeight="1" spans="8:8">
      <c r="H3182" s="39" t="e">
        <f>VLOOKUP(E3182,基础信息!C:E,3,FALSE)</f>
        <v>#N/A</v>
      </c>
    </row>
    <row r="3183" customHeight="1" spans="8:8">
      <c r="H3183" s="39" t="e">
        <f>VLOOKUP(E3183,基础信息!C:E,3,FALSE)</f>
        <v>#N/A</v>
      </c>
    </row>
    <row r="3184" customHeight="1" spans="8:8">
      <c r="H3184" s="39" t="e">
        <f>VLOOKUP(E3184,基础信息!C:E,3,FALSE)</f>
        <v>#N/A</v>
      </c>
    </row>
    <row r="3185" customHeight="1" spans="8:8">
      <c r="H3185" s="39" t="e">
        <f>VLOOKUP(E3185,基础信息!C:E,3,FALSE)</f>
        <v>#N/A</v>
      </c>
    </row>
    <row r="3186" customHeight="1" spans="8:8">
      <c r="H3186" s="39" t="e">
        <f>VLOOKUP(E3186,基础信息!C:E,3,FALSE)</f>
        <v>#N/A</v>
      </c>
    </row>
    <row r="3187" customHeight="1" spans="8:8">
      <c r="H3187" s="39" t="e">
        <f>VLOOKUP(E3187,基础信息!C:E,3,FALSE)</f>
        <v>#N/A</v>
      </c>
    </row>
    <row r="3188" customHeight="1" spans="8:8">
      <c r="H3188" s="39" t="e">
        <f>VLOOKUP(E3188,基础信息!C:E,3,FALSE)</f>
        <v>#N/A</v>
      </c>
    </row>
    <row r="3189" customHeight="1" spans="8:8">
      <c r="H3189" s="39" t="e">
        <f>VLOOKUP(E3189,基础信息!C:E,3,FALSE)</f>
        <v>#N/A</v>
      </c>
    </row>
    <row r="3190" customHeight="1" spans="8:8">
      <c r="H3190" s="39" t="e">
        <f>VLOOKUP(E3190,基础信息!C:E,3,FALSE)</f>
        <v>#N/A</v>
      </c>
    </row>
    <row r="3191" customHeight="1" spans="8:8">
      <c r="H3191" s="39" t="e">
        <f>VLOOKUP(E3191,基础信息!C:E,3,FALSE)</f>
        <v>#N/A</v>
      </c>
    </row>
    <row r="3192" customHeight="1" spans="8:8">
      <c r="H3192" s="39" t="e">
        <f>VLOOKUP(E3192,基础信息!C:E,3,FALSE)</f>
        <v>#N/A</v>
      </c>
    </row>
    <row r="3193" customHeight="1" spans="8:8">
      <c r="H3193" s="39" t="e">
        <f>VLOOKUP(E3193,基础信息!C:E,3,FALSE)</f>
        <v>#N/A</v>
      </c>
    </row>
    <row r="3194" customHeight="1" spans="8:8">
      <c r="H3194" s="39" t="e">
        <f>VLOOKUP(E3194,基础信息!C:E,3,FALSE)</f>
        <v>#N/A</v>
      </c>
    </row>
    <row r="3195" customHeight="1" spans="8:8">
      <c r="H3195" s="39" t="e">
        <f>VLOOKUP(E3195,基础信息!C:E,3,FALSE)</f>
        <v>#N/A</v>
      </c>
    </row>
    <row r="3196" customHeight="1" spans="8:8">
      <c r="H3196" s="39" t="e">
        <f>VLOOKUP(E3196,基础信息!C:E,3,FALSE)</f>
        <v>#N/A</v>
      </c>
    </row>
    <row r="3197" customHeight="1" spans="8:8">
      <c r="H3197" s="39" t="e">
        <f>VLOOKUP(E3197,基础信息!C:E,3,FALSE)</f>
        <v>#N/A</v>
      </c>
    </row>
    <row r="3198" customHeight="1" spans="8:8">
      <c r="H3198" s="39" t="e">
        <f>VLOOKUP(E3198,基础信息!C:E,3,FALSE)</f>
        <v>#N/A</v>
      </c>
    </row>
    <row r="3199" customHeight="1" spans="8:8">
      <c r="H3199" s="39" t="e">
        <f>VLOOKUP(E3199,基础信息!C:E,3,FALSE)</f>
        <v>#N/A</v>
      </c>
    </row>
    <row r="3200" customHeight="1" spans="8:8">
      <c r="H3200" s="39" t="e">
        <f>VLOOKUP(E3200,基础信息!C:E,3,FALSE)</f>
        <v>#N/A</v>
      </c>
    </row>
    <row r="3201" customHeight="1" spans="8:8">
      <c r="H3201" s="39" t="e">
        <f>VLOOKUP(E3201,基础信息!C:E,3,FALSE)</f>
        <v>#N/A</v>
      </c>
    </row>
    <row r="3202" customHeight="1" spans="8:8">
      <c r="H3202" s="39" t="e">
        <f>VLOOKUP(E3202,基础信息!C:E,3,FALSE)</f>
        <v>#N/A</v>
      </c>
    </row>
    <row r="3203" customHeight="1" spans="8:8">
      <c r="H3203" s="39" t="e">
        <f>VLOOKUP(E3203,基础信息!C:E,3,FALSE)</f>
        <v>#N/A</v>
      </c>
    </row>
    <row r="3204" customHeight="1" spans="8:8">
      <c r="H3204" s="39" t="e">
        <f>VLOOKUP(E3204,基础信息!C:E,3,FALSE)</f>
        <v>#N/A</v>
      </c>
    </row>
    <row r="3205" customHeight="1" spans="8:8">
      <c r="H3205" s="39" t="e">
        <f>VLOOKUP(E3205,基础信息!C:E,3,FALSE)</f>
        <v>#N/A</v>
      </c>
    </row>
    <row r="3206" customHeight="1" spans="8:8">
      <c r="H3206" s="39" t="e">
        <f>VLOOKUP(E3206,基础信息!C:E,3,FALSE)</f>
        <v>#N/A</v>
      </c>
    </row>
    <row r="3207" customHeight="1" spans="8:8">
      <c r="H3207" s="39" t="e">
        <f>VLOOKUP(E3207,基础信息!C:E,3,FALSE)</f>
        <v>#N/A</v>
      </c>
    </row>
    <row r="3208" customHeight="1" spans="8:8">
      <c r="H3208" s="39" t="e">
        <f>VLOOKUP(E3208,基础信息!C:E,3,FALSE)</f>
        <v>#N/A</v>
      </c>
    </row>
    <row r="3209" customHeight="1" spans="8:8">
      <c r="H3209" s="39" t="e">
        <f>VLOOKUP(E3209,基础信息!C:E,3,FALSE)</f>
        <v>#N/A</v>
      </c>
    </row>
    <row r="3210" customHeight="1" spans="8:8">
      <c r="H3210" s="39" t="e">
        <f>VLOOKUP(E3210,基础信息!C:E,3,FALSE)</f>
        <v>#N/A</v>
      </c>
    </row>
    <row r="3211" customHeight="1" spans="8:8">
      <c r="H3211" s="39" t="e">
        <f>VLOOKUP(E3211,基础信息!C:E,3,FALSE)</f>
        <v>#N/A</v>
      </c>
    </row>
    <row r="3212" customHeight="1" spans="8:8">
      <c r="H3212" s="39" t="e">
        <f>VLOOKUP(E3212,基础信息!C:E,3,FALSE)</f>
        <v>#N/A</v>
      </c>
    </row>
    <row r="3213" customHeight="1" spans="8:8">
      <c r="H3213" s="39" t="e">
        <f>VLOOKUP(E3213,基础信息!C:E,3,FALSE)</f>
        <v>#N/A</v>
      </c>
    </row>
    <row r="3214" customHeight="1" spans="8:8">
      <c r="H3214" s="39" t="e">
        <f>VLOOKUP(E3214,基础信息!C:E,3,FALSE)</f>
        <v>#N/A</v>
      </c>
    </row>
    <row r="3215" customHeight="1" spans="8:8">
      <c r="H3215" s="39" t="e">
        <f>VLOOKUP(E3215,基础信息!C:E,3,FALSE)</f>
        <v>#N/A</v>
      </c>
    </row>
    <row r="3216" customHeight="1" spans="8:8">
      <c r="H3216" s="39" t="e">
        <f>VLOOKUP(E3216,基础信息!C:E,3,FALSE)</f>
        <v>#N/A</v>
      </c>
    </row>
    <row r="3217" customHeight="1" spans="8:8">
      <c r="H3217" s="39" t="e">
        <f>VLOOKUP(E3217,基础信息!C:E,3,FALSE)</f>
        <v>#N/A</v>
      </c>
    </row>
    <row r="3218" customHeight="1" spans="8:8">
      <c r="H3218" s="39" t="e">
        <f>VLOOKUP(E3218,基础信息!C:E,3,FALSE)</f>
        <v>#N/A</v>
      </c>
    </row>
    <row r="3219" customHeight="1" spans="8:8">
      <c r="H3219" s="39" t="e">
        <f>VLOOKUP(E3219,基础信息!C:E,3,FALSE)</f>
        <v>#N/A</v>
      </c>
    </row>
    <row r="3220" customHeight="1" spans="8:8">
      <c r="H3220" s="39" t="e">
        <f>VLOOKUP(E3220,基础信息!C:E,3,FALSE)</f>
        <v>#N/A</v>
      </c>
    </row>
    <row r="3221" customHeight="1" spans="8:8">
      <c r="H3221" s="39" t="e">
        <f>VLOOKUP(E3221,基础信息!C:E,3,FALSE)</f>
        <v>#N/A</v>
      </c>
    </row>
    <row r="3222" customHeight="1" spans="8:8">
      <c r="H3222" s="39" t="e">
        <f>VLOOKUP(E3222,基础信息!C:E,3,FALSE)</f>
        <v>#N/A</v>
      </c>
    </row>
    <row r="3223" customHeight="1" spans="8:8">
      <c r="H3223" s="39" t="e">
        <f>VLOOKUP(E3223,基础信息!C:E,3,FALSE)</f>
        <v>#N/A</v>
      </c>
    </row>
    <row r="3224" customHeight="1" spans="8:8">
      <c r="H3224" s="39" t="e">
        <f>VLOOKUP(E3224,基础信息!C:E,3,FALSE)</f>
        <v>#N/A</v>
      </c>
    </row>
    <row r="3225" customHeight="1" spans="8:8">
      <c r="H3225" s="39" t="e">
        <f>VLOOKUP(E3225,基础信息!C:E,3,FALSE)</f>
        <v>#N/A</v>
      </c>
    </row>
    <row r="3226" customHeight="1" spans="8:8">
      <c r="H3226" s="39" t="e">
        <f>VLOOKUP(E3226,基础信息!C:E,3,FALSE)</f>
        <v>#N/A</v>
      </c>
    </row>
    <row r="3227" customHeight="1" spans="8:8">
      <c r="H3227" s="39" t="e">
        <f>VLOOKUP(E3227,基础信息!C:E,3,FALSE)</f>
        <v>#N/A</v>
      </c>
    </row>
    <row r="3228" customHeight="1" spans="8:8">
      <c r="H3228" s="39" t="e">
        <f>VLOOKUP(E3228,基础信息!C:E,3,FALSE)</f>
        <v>#N/A</v>
      </c>
    </row>
    <row r="3229" customHeight="1" spans="8:8">
      <c r="H3229" s="39" t="e">
        <f>VLOOKUP(E3229,基础信息!C:E,3,FALSE)</f>
        <v>#N/A</v>
      </c>
    </row>
    <row r="3230" customHeight="1" spans="8:8">
      <c r="H3230" s="39" t="e">
        <f>VLOOKUP(E3230,基础信息!C:E,3,FALSE)</f>
        <v>#N/A</v>
      </c>
    </row>
    <row r="3231" customHeight="1" spans="8:8">
      <c r="H3231" s="39" t="e">
        <f>VLOOKUP(E3231,基础信息!C:E,3,FALSE)</f>
        <v>#N/A</v>
      </c>
    </row>
    <row r="3232" customHeight="1" spans="8:8">
      <c r="H3232" s="39" t="e">
        <f>VLOOKUP(E3232,基础信息!C:E,3,FALSE)</f>
        <v>#N/A</v>
      </c>
    </row>
    <row r="3233" customHeight="1" spans="8:8">
      <c r="H3233" s="39" t="e">
        <f>VLOOKUP(E3233,基础信息!C:E,3,FALSE)</f>
        <v>#N/A</v>
      </c>
    </row>
    <row r="3234" customHeight="1" spans="8:8">
      <c r="H3234" s="39" t="e">
        <f>VLOOKUP(E3234,基础信息!C:E,3,FALSE)</f>
        <v>#N/A</v>
      </c>
    </row>
    <row r="3235" customHeight="1" spans="8:8">
      <c r="H3235" s="39" t="e">
        <f>VLOOKUP(E3235,基础信息!C:E,3,FALSE)</f>
        <v>#N/A</v>
      </c>
    </row>
    <row r="3236" customHeight="1" spans="8:8">
      <c r="H3236" s="39" t="e">
        <f>VLOOKUP(E3236,基础信息!C:E,3,FALSE)</f>
        <v>#N/A</v>
      </c>
    </row>
    <row r="3237" customHeight="1" spans="8:8">
      <c r="H3237" s="39" t="e">
        <f>VLOOKUP(E3237,基础信息!C:E,3,FALSE)</f>
        <v>#N/A</v>
      </c>
    </row>
    <row r="3238" customHeight="1" spans="8:8">
      <c r="H3238" s="39" t="e">
        <f>VLOOKUP(E3238,基础信息!C:E,3,FALSE)</f>
        <v>#N/A</v>
      </c>
    </row>
    <row r="3239" customHeight="1" spans="8:8">
      <c r="H3239" s="39" t="e">
        <f>VLOOKUP(E3239,基础信息!C:E,3,FALSE)</f>
        <v>#N/A</v>
      </c>
    </row>
    <row r="3240" customHeight="1" spans="8:8">
      <c r="H3240" s="39" t="e">
        <f>VLOOKUP(E3240,基础信息!C:E,3,FALSE)</f>
        <v>#N/A</v>
      </c>
    </row>
    <row r="3241" customHeight="1" spans="8:8">
      <c r="H3241" s="39" t="e">
        <f>VLOOKUP(E3241,基础信息!C:E,3,FALSE)</f>
        <v>#N/A</v>
      </c>
    </row>
    <row r="3242" customHeight="1" spans="8:8">
      <c r="H3242" s="39" t="e">
        <f>VLOOKUP(E3242,基础信息!C:E,3,FALSE)</f>
        <v>#N/A</v>
      </c>
    </row>
    <row r="3243" customHeight="1" spans="8:8">
      <c r="H3243" s="39" t="e">
        <f>VLOOKUP(E3243,基础信息!C:E,3,FALSE)</f>
        <v>#N/A</v>
      </c>
    </row>
    <row r="3244" customHeight="1" spans="8:8">
      <c r="H3244" s="39" t="e">
        <f>VLOOKUP(E3244,基础信息!C:E,3,FALSE)</f>
        <v>#N/A</v>
      </c>
    </row>
    <row r="3245" customHeight="1" spans="8:8">
      <c r="H3245" s="39" t="e">
        <f>VLOOKUP(E3245,基础信息!C:E,3,FALSE)</f>
        <v>#N/A</v>
      </c>
    </row>
    <row r="3246" customHeight="1" spans="8:8">
      <c r="H3246" s="39" t="e">
        <f>VLOOKUP(E3246,基础信息!C:E,3,FALSE)</f>
        <v>#N/A</v>
      </c>
    </row>
    <row r="3247" customHeight="1" spans="8:8">
      <c r="H3247" s="39" t="e">
        <f>VLOOKUP(E3247,基础信息!C:E,3,FALSE)</f>
        <v>#N/A</v>
      </c>
    </row>
    <row r="3248" customHeight="1" spans="8:8">
      <c r="H3248" s="39" t="e">
        <f>VLOOKUP(E3248,基础信息!C:E,3,FALSE)</f>
        <v>#N/A</v>
      </c>
    </row>
    <row r="3249" customHeight="1" spans="8:8">
      <c r="H3249" s="39" t="e">
        <f>VLOOKUP(E3249,基础信息!C:E,3,FALSE)</f>
        <v>#N/A</v>
      </c>
    </row>
    <row r="3250" customHeight="1" spans="8:8">
      <c r="H3250" s="39" t="e">
        <f>VLOOKUP(E3250,基础信息!C:E,3,FALSE)</f>
        <v>#N/A</v>
      </c>
    </row>
    <row r="3251" customHeight="1" spans="8:8">
      <c r="H3251" s="39" t="e">
        <f>VLOOKUP(E3251,基础信息!C:E,3,FALSE)</f>
        <v>#N/A</v>
      </c>
    </row>
    <row r="3252" customHeight="1" spans="8:8">
      <c r="H3252" s="39" t="e">
        <f>VLOOKUP(E3252,基础信息!C:E,3,FALSE)</f>
        <v>#N/A</v>
      </c>
    </row>
    <row r="3253" customHeight="1" spans="8:8">
      <c r="H3253" s="39" t="e">
        <f>VLOOKUP(E3253,基础信息!C:E,3,FALSE)</f>
        <v>#N/A</v>
      </c>
    </row>
    <row r="3254" customHeight="1" spans="8:8">
      <c r="H3254" s="39" t="e">
        <f>VLOOKUP(E3254,基础信息!C:E,3,FALSE)</f>
        <v>#N/A</v>
      </c>
    </row>
    <row r="3255" customHeight="1" spans="8:8">
      <c r="H3255" s="39" t="e">
        <f>VLOOKUP(E3255,基础信息!C:E,3,FALSE)</f>
        <v>#N/A</v>
      </c>
    </row>
    <row r="3256" customHeight="1" spans="8:8">
      <c r="H3256" s="39" t="e">
        <f>VLOOKUP(E3256,基础信息!C:E,3,FALSE)</f>
        <v>#N/A</v>
      </c>
    </row>
    <row r="3257" customHeight="1" spans="8:8">
      <c r="H3257" s="39" t="e">
        <f>VLOOKUP(E3257,基础信息!C:E,3,FALSE)</f>
        <v>#N/A</v>
      </c>
    </row>
    <row r="3258" customHeight="1" spans="8:8">
      <c r="H3258" s="39" t="e">
        <f>VLOOKUP(E3258,基础信息!C:E,3,FALSE)</f>
        <v>#N/A</v>
      </c>
    </row>
    <row r="3259" customHeight="1" spans="8:8">
      <c r="H3259" s="39" t="e">
        <f>VLOOKUP(E3259,基础信息!C:E,3,FALSE)</f>
        <v>#N/A</v>
      </c>
    </row>
    <row r="3260" customHeight="1" spans="8:8">
      <c r="H3260" s="39" t="e">
        <f>VLOOKUP(E3260,基础信息!C:E,3,FALSE)</f>
        <v>#N/A</v>
      </c>
    </row>
    <row r="3261" customHeight="1" spans="8:8">
      <c r="H3261" s="39" t="e">
        <f>VLOOKUP(E3261,基础信息!C:E,3,FALSE)</f>
        <v>#N/A</v>
      </c>
    </row>
    <row r="3262" customHeight="1" spans="8:8">
      <c r="H3262" s="39" t="e">
        <f>VLOOKUP(E3262,基础信息!C:E,3,FALSE)</f>
        <v>#N/A</v>
      </c>
    </row>
    <row r="3263" customHeight="1" spans="8:8">
      <c r="H3263" s="39" t="e">
        <f>VLOOKUP(E3263,基础信息!C:E,3,FALSE)</f>
        <v>#N/A</v>
      </c>
    </row>
    <row r="3264" customHeight="1" spans="8:8">
      <c r="H3264" s="39" t="e">
        <f>VLOOKUP(E3264,基础信息!C:E,3,FALSE)</f>
        <v>#N/A</v>
      </c>
    </row>
    <row r="3265" customHeight="1" spans="8:8">
      <c r="H3265" s="39" t="e">
        <f>VLOOKUP(E3265,基础信息!C:E,3,FALSE)</f>
        <v>#N/A</v>
      </c>
    </row>
    <row r="3266" customHeight="1" spans="8:8">
      <c r="H3266" s="39" t="e">
        <f>VLOOKUP(E3266,基础信息!C:E,3,FALSE)</f>
        <v>#N/A</v>
      </c>
    </row>
    <row r="3267" customHeight="1" spans="8:8">
      <c r="H3267" s="39" t="e">
        <f>VLOOKUP(E3267,基础信息!C:E,3,FALSE)</f>
        <v>#N/A</v>
      </c>
    </row>
    <row r="3268" customHeight="1" spans="8:8">
      <c r="H3268" s="39" t="e">
        <f>VLOOKUP(E3268,基础信息!C:E,3,FALSE)</f>
        <v>#N/A</v>
      </c>
    </row>
    <row r="3269" customHeight="1" spans="8:8">
      <c r="H3269" s="39" t="e">
        <f>VLOOKUP(E3269,基础信息!C:E,3,FALSE)</f>
        <v>#N/A</v>
      </c>
    </row>
    <row r="3270" customHeight="1" spans="8:8">
      <c r="H3270" s="39" t="e">
        <f>VLOOKUP(E3270,基础信息!C:E,3,FALSE)</f>
        <v>#N/A</v>
      </c>
    </row>
    <row r="3271" customHeight="1" spans="8:8">
      <c r="H3271" s="39" t="e">
        <f>VLOOKUP(E3271,基础信息!C:E,3,FALSE)</f>
        <v>#N/A</v>
      </c>
    </row>
    <row r="3272" customHeight="1" spans="8:8">
      <c r="H3272" s="39" t="e">
        <f>VLOOKUP(E3272,基础信息!C:E,3,FALSE)</f>
        <v>#N/A</v>
      </c>
    </row>
    <row r="3273" customHeight="1" spans="8:8">
      <c r="H3273" s="39" t="e">
        <f>VLOOKUP(E3273,基础信息!C:E,3,FALSE)</f>
        <v>#N/A</v>
      </c>
    </row>
    <row r="3274" customHeight="1" spans="8:8">
      <c r="H3274" s="39" t="e">
        <f>VLOOKUP(E3274,基础信息!C:E,3,FALSE)</f>
        <v>#N/A</v>
      </c>
    </row>
    <row r="3275" customHeight="1" spans="8:8">
      <c r="H3275" s="39" t="e">
        <f>VLOOKUP(E3275,基础信息!C:E,3,FALSE)</f>
        <v>#N/A</v>
      </c>
    </row>
    <row r="3276" customHeight="1" spans="8:8">
      <c r="H3276" s="39" t="e">
        <f>VLOOKUP(E3276,基础信息!C:E,3,FALSE)</f>
        <v>#N/A</v>
      </c>
    </row>
    <row r="3277" customHeight="1" spans="8:8">
      <c r="H3277" s="39" t="e">
        <f>VLOOKUP(E3277,基础信息!C:E,3,FALSE)</f>
        <v>#N/A</v>
      </c>
    </row>
    <row r="3278" customHeight="1" spans="8:8">
      <c r="H3278" s="39" t="e">
        <f>VLOOKUP(E3278,基础信息!C:E,3,FALSE)</f>
        <v>#N/A</v>
      </c>
    </row>
    <row r="3279" customHeight="1" spans="8:8">
      <c r="H3279" s="39" t="e">
        <f>VLOOKUP(E3279,基础信息!C:E,3,FALSE)</f>
        <v>#N/A</v>
      </c>
    </row>
    <row r="3280" customHeight="1" spans="8:8">
      <c r="H3280" s="39" t="e">
        <f>VLOOKUP(E3280,基础信息!C:E,3,FALSE)</f>
        <v>#N/A</v>
      </c>
    </row>
    <row r="3281" customHeight="1" spans="8:8">
      <c r="H3281" s="39" t="e">
        <f>VLOOKUP(E3281,基础信息!C:E,3,FALSE)</f>
        <v>#N/A</v>
      </c>
    </row>
    <row r="3282" customHeight="1" spans="8:8">
      <c r="H3282" s="39" t="e">
        <f>VLOOKUP(E3282,基础信息!C:E,3,FALSE)</f>
        <v>#N/A</v>
      </c>
    </row>
    <row r="3283" customHeight="1" spans="8:8">
      <c r="H3283" s="39" t="e">
        <f>VLOOKUP(E3283,基础信息!C:E,3,FALSE)</f>
        <v>#N/A</v>
      </c>
    </row>
    <row r="3284" customHeight="1" spans="8:8">
      <c r="H3284" s="39" t="e">
        <f>VLOOKUP(E3284,基础信息!C:E,3,FALSE)</f>
        <v>#N/A</v>
      </c>
    </row>
    <row r="3285" customHeight="1" spans="8:8">
      <c r="H3285" s="39" t="e">
        <f>VLOOKUP(E3285,基础信息!C:E,3,FALSE)</f>
        <v>#N/A</v>
      </c>
    </row>
    <row r="3286" customHeight="1" spans="8:8">
      <c r="H3286" s="39" t="e">
        <f>VLOOKUP(E3286,基础信息!C:E,3,FALSE)</f>
        <v>#N/A</v>
      </c>
    </row>
    <row r="3287" customHeight="1" spans="8:8">
      <c r="H3287" s="39" t="e">
        <f>VLOOKUP(E3287,基础信息!C:E,3,FALSE)</f>
        <v>#N/A</v>
      </c>
    </row>
    <row r="3288" customHeight="1" spans="8:8">
      <c r="H3288" s="39" t="e">
        <f>VLOOKUP(E3288,基础信息!C:E,3,FALSE)</f>
        <v>#N/A</v>
      </c>
    </row>
    <row r="3289" customHeight="1" spans="8:8">
      <c r="H3289" s="39" t="e">
        <f>VLOOKUP(E3289,基础信息!C:E,3,FALSE)</f>
        <v>#N/A</v>
      </c>
    </row>
    <row r="3290" customHeight="1" spans="8:8">
      <c r="H3290" s="39" t="e">
        <f>VLOOKUP(E3290,基础信息!C:E,3,FALSE)</f>
        <v>#N/A</v>
      </c>
    </row>
    <row r="3291" customHeight="1" spans="8:8">
      <c r="H3291" s="39" t="e">
        <f>VLOOKUP(E3291,基础信息!C:E,3,FALSE)</f>
        <v>#N/A</v>
      </c>
    </row>
    <row r="3292" customHeight="1" spans="8:8">
      <c r="H3292" s="39" t="e">
        <f>VLOOKUP(E3292,基础信息!C:E,3,FALSE)</f>
        <v>#N/A</v>
      </c>
    </row>
    <row r="3293" customHeight="1" spans="8:8">
      <c r="H3293" s="39" t="e">
        <f>VLOOKUP(E3293,基础信息!C:E,3,FALSE)</f>
        <v>#N/A</v>
      </c>
    </row>
    <row r="3294" customHeight="1" spans="8:8">
      <c r="H3294" s="39" t="e">
        <f>VLOOKUP(E3294,基础信息!C:E,3,FALSE)</f>
        <v>#N/A</v>
      </c>
    </row>
    <row r="3295" customHeight="1" spans="8:8">
      <c r="H3295" s="39" t="e">
        <f>VLOOKUP(E3295,基础信息!C:E,3,FALSE)</f>
        <v>#N/A</v>
      </c>
    </row>
    <row r="3296" customHeight="1" spans="8:8">
      <c r="H3296" s="39" t="e">
        <f>VLOOKUP(E3296,基础信息!C:E,3,FALSE)</f>
        <v>#N/A</v>
      </c>
    </row>
    <row r="3297" customHeight="1" spans="8:8">
      <c r="H3297" s="39" t="e">
        <f>VLOOKUP(E3297,基础信息!C:E,3,FALSE)</f>
        <v>#N/A</v>
      </c>
    </row>
    <row r="3298" customHeight="1" spans="8:8">
      <c r="H3298" s="39" t="e">
        <f>VLOOKUP(E3298,基础信息!C:E,3,FALSE)</f>
        <v>#N/A</v>
      </c>
    </row>
    <row r="3299" customHeight="1" spans="8:8">
      <c r="H3299" s="39" t="e">
        <f>VLOOKUP(E3299,基础信息!C:E,3,FALSE)</f>
        <v>#N/A</v>
      </c>
    </row>
    <row r="3300" customHeight="1" spans="8:8">
      <c r="H3300" s="39" t="e">
        <f>VLOOKUP(E3300,基础信息!C:E,3,FALSE)</f>
        <v>#N/A</v>
      </c>
    </row>
    <row r="3301" customHeight="1" spans="8:8">
      <c r="H3301" s="39" t="e">
        <f>VLOOKUP(E3301,基础信息!C:E,3,FALSE)</f>
        <v>#N/A</v>
      </c>
    </row>
    <row r="3302" customHeight="1" spans="8:8">
      <c r="H3302" s="39" t="e">
        <f>VLOOKUP(E3302,基础信息!C:E,3,FALSE)</f>
        <v>#N/A</v>
      </c>
    </row>
    <row r="3303" customHeight="1" spans="8:8">
      <c r="H3303" s="39" t="e">
        <f>VLOOKUP(E3303,基础信息!C:E,3,FALSE)</f>
        <v>#N/A</v>
      </c>
    </row>
    <row r="3304" customHeight="1" spans="8:8">
      <c r="H3304" s="39" t="e">
        <f>VLOOKUP(E3304,基础信息!C:E,3,FALSE)</f>
        <v>#N/A</v>
      </c>
    </row>
    <row r="3305" customHeight="1" spans="8:8">
      <c r="H3305" s="39" t="e">
        <f>VLOOKUP(E3305,基础信息!C:E,3,FALSE)</f>
        <v>#N/A</v>
      </c>
    </row>
    <row r="3306" customHeight="1" spans="8:8">
      <c r="H3306" s="39" t="e">
        <f>VLOOKUP(E3306,基础信息!C:E,3,FALSE)</f>
        <v>#N/A</v>
      </c>
    </row>
    <row r="3307" customHeight="1" spans="8:8">
      <c r="H3307" s="39" t="e">
        <f>VLOOKUP(E3307,基础信息!C:E,3,FALSE)</f>
        <v>#N/A</v>
      </c>
    </row>
    <row r="3308" customHeight="1" spans="8:8">
      <c r="H3308" s="39" t="e">
        <f>VLOOKUP(E3308,基础信息!C:E,3,FALSE)</f>
        <v>#N/A</v>
      </c>
    </row>
    <row r="3309" customHeight="1" spans="8:8">
      <c r="H3309" s="39" t="e">
        <f>VLOOKUP(E3309,基础信息!C:E,3,FALSE)</f>
        <v>#N/A</v>
      </c>
    </row>
    <row r="3310" customHeight="1" spans="8:8">
      <c r="H3310" s="39" t="e">
        <f>VLOOKUP(E3310,基础信息!C:E,3,FALSE)</f>
        <v>#N/A</v>
      </c>
    </row>
    <row r="3311" customHeight="1" spans="8:8">
      <c r="H3311" s="39" t="e">
        <f>VLOOKUP(E3311,基础信息!C:E,3,FALSE)</f>
        <v>#N/A</v>
      </c>
    </row>
    <row r="3312" customHeight="1" spans="8:8">
      <c r="H3312" s="39" t="e">
        <f>VLOOKUP(E3312,基础信息!C:E,3,FALSE)</f>
        <v>#N/A</v>
      </c>
    </row>
    <row r="3313" customHeight="1" spans="8:8">
      <c r="H3313" s="39" t="e">
        <f>VLOOKUP(E3313,基础信息!C:E,3,FALSE)</f>
        <v>#N/A</v>
      </c>
    </row>
    <row r="3314" customHeight="1" spans="8:8">
      <c r="H3314" s="39" t="e">
        <f>VLOOKUP(E3314,基础信息!C:E,3,FALSE)</f>
        <v>#N/A</v>
      </c>
    </row>
    <row r="3315" customHeight="1" spans="8:8">
      <c r="H3315" s="39" t="e">
        <f>VLOOKUP(E3315,基础信息!C:E,3,FALSE)</f>
        <v>#N/A</v>
      </c>
    </row>
    <row r="3316" customHeight="1" spans="8:8">
      <c r="H3316" s="39" t="e">
        <f>VLOOKUP(E3316,基础信息!C:E,3,FALSE)</f>
        <v>#N/A</v>
      </c>
    </row>
    <row r="3317" customHeight="1" spans="8:8">
      <c r="H3317" s="39" t="e">
        <f>VLOOKUP(E3317,基础信息!C:E,3,FALSE)</f>
        <v>#N/A</v>
      </c>
    </row>
    <row r="3318" customHeight="1" spans="8:8">
      <c r="H3318" s="39" t="e">
        <f>VLOOKUP(E3318,基础信息!C:E,3,FALSE)</f>
        <v>#N/A</v>
      </c>
    </row>
    <row r="3319" customHeight="1" spans="8:8">
      <c r="H3319" s="39" t="e">
        <f>VLOOKUP(E3319,基础信息!C:E,3,FALSE)</f>
        <v>#N/A</v>
      </c>
    </row>
    <row r="3320" customHeight="1" spans="8:8">
      <c r="H3320" s="39" t="e">
        <f>VLOOKUP(E3320,基础信息!C:E,3,FALSE)</f>
        <v>#N/A</v>
      </c>
    </row>
    <row r="3321" customHeight="1" spans="8:8">
      <c r="H3321" s="39" t="e">
        <f>VLOOKUP(E3321,基础信息!C:E,3,FALSE)</f>
        <v>#N/A</v>
      </c>
    </row>
    <row r="3322" customHeight="1" spans="8:8">
      <c r="H3322" s="39" t="e">
        <f>VLOOKUP(E3322,基础信息!C:E,3,FALSE)</f>
        <v>#N/A</v>
      </c>
    </row>
    <row r="3323" customHeight="1" spans="8:8">
      <c r="H3323" s="39" t="e">
        <f>VLOOKUP(E3323,基础信息!C:E,3,FALSE)</f>
        <v>#N/A</v>
      </c>
    </row>
    <row r="3324" customHeight="1" spans="8:8">
      <c r="H3324" s="39" t="e">
        <f>VLOOKUP(E3324,基础信息!C:E,3,FALSE)</f>
        <v>#N/A</v>
      </c>
    </row>
    <row r="3325" customHeight="1" spans="8:8">
      <c r="H3325" s="39" t="e">
        <f>VLOOKUP(E3325,基础信息!C:E,3,FALSE)</f>
        <v>#N/A</v>
      </c>
    </row>
    <row r="3326" customHeight="1" spans="8:8">
      <c r="H3326" s="39" t="e">
        <f>VLOOKUP(E3326,基础信息!C:E,3,FALSE)</f>
        <v>#N/A</v>
      </c>
    </row>
    <row r="3327" customHeight="1" spans="8:8">
      <c r="H3327" s="39" t="e">
        <f>VLOOKUP(E3327,基础信息!C:E,3,FALSE)</f>
        <v>#N/A</v>
      </c>
    </row>
    <row r="3328" customHeight="1" spans="8:8">
      <c r="H3328" s="39" t="e">
        <f>VLOOKUP(E3328,基础信息!C:E,3,FALSE)</f>
        <v>#N/A</v>
      </c>
    </row>
    <row r="3329" customHeight="1" spans="8:8">
      <c r="H3329" s="39" t="e">
        <f>VLOOKUP(E3329,基础信息!C:E,3,FALSE)</f>
        <v>#N/A</v>
      </c>
    </row>
    <row r="3330" customHeight="1" spans="8:8">
      <c r="H3330" s="39" t="e">
        <f>VLOOKUP(E3330,基础信息!C:E,3,FALSE)</f>
        <v>#N/A</v>
      </c>
    </row>
    <row r="3331" customHeight="1" spans="8:8">
      <c r="H3331" s="39" t="e">
        <f>VLOOKUP(E3331,基础信息!C:E,3,FALSE)</f>
        <v>#N/A</v>
      </c>
    </row>
    <row r="3332" customHeight="1" spans="8:8">
      <c r="H3332" s="39" t="e">
        <f>VLOOKUP(E3332,基础信息!C:E,3,FALSE)</f>
        <v>#N/A</v>
      </c>
    </row>
    <row r="3333" customHeight="1" spans="8:8">
      <c r="H3333" s="39" t="e">
        <f>VLOOKUP(E3333,基础信息!C:E,3,FALSE)</f>
        <v>#N/A</v>
      </c>
    </row>
    <row r="3334" customHeight="1" spans="8:8">
      <c r="H3334" s="39" t="e">
        <f>VLOOKUP(E3334,基础信息!C:E,3,FALSE)</f>
        <v>#N/A</v>
      </c>
    </row>
    <row r="3335" customHeight="1" spans="8:8">
      <c r="H3335" s="39" t="e">
        <f>VLOOKUP(E3335,基础信息!C:E,3,FALSE)</f>
        <v>#N/A</v>
      </c>
    </row>
    <row r="3336" customHeight="1" spans="8:8">
      <c r="H3336" s="39" t="e">
        <f>VLOOKUP(E3336,基础信息!C:E,3,FALSE)</f>
        <v>#N/A</v>
      </c>
    </row>
    <row r="3337" customHeight="1" spans="8:8">
      <c r="H3337" s="39" t="e">
        <f>VLOOKUP(E3337,基础信息!C:E,3,FALSE)</f>
        <v>#N/A</v>
      </c>
    </row>
    <row r="3338" customHeight="1" spans="8:8">
      <c r="H3338" s="39" t="e">
        <f>VLOOKUP(E3338,基础信息!C:E,3,FALSE)</f>
        <v>#N/A</v>
      </c>
    </row>
    <row r="3339" customHeight="1" spans="8:8">
      <c r="H3339" s="39" t="e">
        <f>VLOOKUP(E3339,基础信息!C:E,3,FALSE)</f>
        <v>#N/A</v>
      </c>
    </row>
    <row r="3340" customHeight="1" spans="8:8">
      <c r="H3340" s="39" t="e">
        <f>VLOOKUP(E3340,基础信息!C:E,3,FALSE)</f>
        <v>#N/A</v>
      </c>
    </row>
    <row r="3341" customHeight="1" spans="8:8">
      <c r="H3341" s="39" t="e">
        <f>VLOOKUP(E3341,基础信息!C:E,3,FALSE)</f>
        <v>#N/A</v>
      </c>
    </row>
    <row r="3342" customHeight="1" spans="8:8">
      <c r="H3342" s="39" t="e">
        <f>VLOOKUP(E3342,基础信息!C:E,3,FALSE)</f>
        <v>#N/A</v>
      </c>
    </row>
    <row r="3343" customHeight="1" spans="8:8">
      <c r="H3343" s="39" t="e">
        <f>VLOOKUP(E3343,基础信息!C:E,3,FALSE)</f>
        <v>#N/A</v>
      </c>
    </row>
    <row r="3344" customHeight="1" spans="8:8">
      <c r="H3344" s="39" t="e">
        <f>VLOOKUP(E3344,基础信息!C:E,3,FALSE)</f>
        <v>#N/A</v>
      </c>
    </row>
    <row r="3345" customHeight="1" spans="8:8">
      <c r="H3345" s="39" t="e">
        <f>VLOOKUP(E3345,基础信息!C:E,3,FALSE)</f>
        <v>#N/A</v>
      </c>
    </row>
    <row r="3346" customHeight="1" spans="8:8">
      <c r="H3346" s="39" t="e">
        <f>VLOOKUP(E3346,基础信息!C:E,3,FALSE)</f>
        <v>#N/A</v>
      </c>
    </row>
    <row r="3347" customHeight="1" spans="8:8">
      <c r="H3347" s="39" t="e">
        <f>VLOOKUP(E3347,基础信息!C:E,3,FALSE)</f>
        <v>#N/A</v>
      </c>
    </row>
    <row r="3348" customHeight="1" spans="8:8">
      <c r="H3348" s="39" t="e">
        <f>VLOOKUP(E3348,基础信息!C:E,3,FALSE)</f>
        <v>#N/A</v>
      </c>
    </row>
    <row r="3349" customHeight="1" spans="8:8">
      <c r="H3349" s="39" t="e">
        <f>VLOOKUP(E3349,基础信息!C:E,3,FALSE)</f>
        <v>#N/A</v>
      </c>
    </row>
    <row r="3350" customHeight="1" spans="8:8">
      <c r="H3350" s="39" t="e">
        <f>VLOOKUP(E3350,基础信息!C:E,3,FALSE)</f>
        <v>#N/A</v>
      </c>
    </row>
    <row r="3351" customHeight="1" spans="8:8">
      <c r="H3351" s="39" t="e">
        <f>VLOOKUP(E3351,基础信息!C:E,3,FALSE)</f>
        <v>#N/A</v>
      </c>
    </row>
    <row r="3352" customHeight="1" spans="8:8">
      <c r="H3352" s="39" t="e">
        <f>VLOOKUP(E3352,基础信息!C:E,3,FALSE)</f>
        <v>#N/A</v>
      </c>
    </row>
    <row r="3353" customHeight="1" spans="8:8">
      <c r="H3353" s="39" t="e">
        <f>VLOOKUP(E3353,基础信息!C:E,3,FALSE)</f>
        <v>#N/A</v>
      </c>
    </row>
    <row r="3354" customHeight="1" spans="8:8">
      <c r="H3354" s="39" t="e">
        <f>VLOOKUP(E3354,基础信息!C:E,3,FALSE)</f>
        <v>#N/A</v>
      </c>
    </row>
    <row r="3355" customHeight="1" spans="8:8">
      <c r="H3355" s="39" t="e">
        <f>VLOOKUP(E3355,基础信息!C:E,3,FALSE)</f>
        <v>#N/A</v>
      </c>
    </row>
    <row r="3356" customHeight="1" spans="8:8">
      <c r="H3356" s="39" t="e">
        <f>VLOOKUP(E3356,基础信息!C:E,3,FALSE)</f>
        <v>#N/A</v>
      </c>
    </row>
    <row r="3357" customHeight="1" spans="8:8">
      <c r="H3357" s="39" t="e">
        <f>VLOOKUP(E3357,基础信息!C:E,3,FALSE)</f>
        <v>#N/A</v>
      </c>
    </row>
    <row r="3358" customHeight="1" spans="8:8">
      <c r="H3358" s="39" t="e">
        <f>VLOOKUP(E3358,基础信息!C:E,3,FALSE)</f>
        <v>#N/A</v>
      </c>
    </row>
    <row r="3359" customHeight="1" spans="8:8">
      <c r="H3359" s="39" t="e">
        <f>VLOOKUP(E3359,基础信息!C:E,3,FALSE)</f>
        <v>#N/A</v>
      </c>
    </row>
    <row r="3360" customHeight="1" spans="8:8">
      <c r="H3360" s="39" t="e">
        <f>VLOOKUP(E3360,基础信息!C:E,3,FALSE)</f>
        <v>#N/A</v>
      </c>
    </row>
    <row r="3361" customHeight="1" spans="8:8">
      <c r="H3361" s="39" t="e">
        <f>VLOOKUP(E3361,基础信息!C:E,3,FALSE)</f>
        <v>#N/A</v>
      </c>
    </row>
    <row r="3362" customHeight="1" spans="8:8">
      <c r="H3362" s="39" t="e">
        <f>VLOOKUP(E3362,基础信息!C:E,3,FALSE)</f>
        <v>#N/A</v>
      </c>
    </row>
    <row r="3363" customHeight="1" spans="8:8">
      <c r="H3363" s="39" t="e">
        <f>VLOOKUP(E3363,基础信息!C:E,3,FALSE)</f>
        <v>#N/A</v>
      </c>
    </row>
    <row r="3364" customHeight="1" spans="8:8">
      <c r="H3364" s="39" t="e">
        <f>VLOOKUP(E3364,基础信息!C:E,3,FALSE)</f>
        <v>#N/A</v>
      </c>
    </row>
    <row r="3365" customHeight="1" spans="8:8">
      <c r="H3365" s="39" t="e">
        <f>VLOOKUP(E3365,基础信息!C:E,3,FALSE)</f>
        <v>#N/A</v>
      </c>
    </row>
    <row r="3366" customHeight="1" spans="8:8">
      <c r="H3366" s="39" t="e">
        <f>VLOOKUP(E3366,基础信息!C:E,3,FALSE)</f>
        <v>#N/A</v>
      </c>
    </row>
    <row r="3367" customHeight="1" spans="8:8">
      <c r="H3367" s="39" t="e">
        <f>VLOOKUP(E3367,基础信息!C:E,3,FALSE)</f>
        <v>#N/A</v>
      </c>
    </row>
    <row r="3368" customHeight="1" spans="8:8">
      <c r="H3368" s="39" t="e">
        <f>VLOOKUP(E3368,基础信息!C:E,3,FALSE)</f>
        <v>#N/A</v>
      </c>
    </row>
    <row r="3369" customHeight="1" spans="8:8">
      <c r="H3369" s="39" t="e">
        <f>VLOOKUP(E3369,基础信息!C:E,3,FALSE)</f>
        <v>#N/A</v>
      </c>
    </row>
    <row r="3370" customHeight="1" spans="8:8">
      <c r="H3370" s="39" t="e">
        <f>VLOOKUP(E3370,基础信息!C:E,3,FALSE)</f>
        <v>#N/A</v>
      </c>
    </row>
    <row r="3371" customHeight="1" spans="8:8">
      <c r="H3371" s="39" t="e">
        <f>VLOOKUP(E3371,基础信息!C:E,3,FALSE)</f>
        <v>#N/A</v>
      </c>
    </row>
    <row r="3372" customHeight="1" spans="8:8">
      <c r="H3372" s="39" t="e">
        <f>VLOOKUP(E3372,基础信息!C:E,3,FALSE)</f>
        <v>#N/A</v>
      </c>
    </row>
    <row r="3373" customHeight="1" spans="8:8">
      <c r="H3373" s="39" t="e">
        <f>VLOOKUP(E3373,基础信息!C:E,3,FALSE)</f>
        <v>#N/A</v>
      </c>
    </row>
    <row r="3374" customHeight="1" spans="8:8">
      <c r="H3374" s="39" t="e">
        <f>VLOOKUP(E3374,基础信息!C:E,3,FALSE)</f>
        <v>#N/A</v>
      </c>
    </row>
    <row r="3375" customHeight="1" spans="8:8">
      <c r="H3375" s="39" t="e">
        <f>VLOOKUP(E3375,基础信息!C:E,3,FALSE)</f>
        <v>#N/A</v>
      </c>
    </row>
    <row r="3376" customHeight="1" spans="8:8">
      <c r="H3376" s="39" t="e">
        <f>VLOOKUP(E3376,基础信息!C:E,3,FALSE)</f>
        <v>#N/A</v>
      </c>
    </row>
    <row r="3377" customHeight="1" spans="8:8">
      <c r="H3377" s="39" t="e">
        <f>VLOOKUP(E3377,基础信息!C:E,3,FALSE)</f>
        <v>#N/A</v>
      </c>
    </row>
    <row r="3378" customHeight="1" spans="8:8">
      <c r="H3378" s="39" t="e">
        <f>VLOOKUP(E3378,基础信息!C:E,3,FALSE)</f>
        <v>#N/A</v>
      </c>
    </row>
    <row r="3379" customHeight="1" spans="8:8">
      <c r="H3379" s="39" t="e">
        <f>VLOOKUP(E3379,基础信息!C:E,3,FALSE)</f>
        <v>#N/A</v>
      </c>
    </row>
    <row r="3380" customHeight="1" spans="8:8">
      <c r="H3380" s="39" t="e">
        <f>VLOOKUP(E3380,基础信息!C:E,3,FALSE)</f>
        <v>#N/A</v>
      </c>
    </row>
    <row r="3381" customHeight="1" spans="8:8">
      <c r="H3381" s="39" t="e">
        <f>VLOOKUP(E3381,基础信息!C:E,3,FALSE)</f>
        <v>#N/A</v>
      </c>
    </row>
    <row r="3382" customHeight="1" spans="8:8">
      <c r="H3382" s="39" t="e">
        <f>VLOOKUP(E3382,基础信息!C:E,3,FALSE)</f>
        <v>#N/A</v>
      </c>
    </row>
    <row r="3383" customHeight="1" spans="8:8">
      <c r="H3383" s="39" t="e">
        <f>VLOOKUP(E3383,基础信息!C:E,3,FALSE)</f>
        <v>#N/A</v>
      </c>
    </row>
    <row r="3384" customHeight="1" spans="8:8">
      <c r="H3384" s="39" t="e">
        <f>VLOOKUP(E3384,基础信息!C:E,3,FALSE)</f>
        <v>#N/A</v>
      </c>
    </row>
    <row r="3385" customHeight="1" spans="8:8">
      <c r="H3385" s="39" t="e">
        <f>VLOOKUP(E3385,基础信息!C:E,3,FALSE)</f>
        <v>#N/A</v>
      </c>
    </row>
    <row r="3386" customHeight="1" spans="8:8">
      <c r="H3386" s="39" t="e">
        <f>VLOOKUP(E3386,基础信息!C:E,3,FALSE)</f>
        <v>#N/A</v>
      </c>
    </row>
    <row r="3387" customHeight="1" spans="8:8">
      <c r="H3387" s="39" t="e">
        <f>VLOOKUP(E3387,基础信息!C:E,3,FALSE)</f>
        <v>#N/A</v>
      </c>
    </row>
    <row r="3388" customHeight="1" spans="8:8">
      <c r="H3388" s="39" t="e">
        <f>VLOOKUP(E3388,基础信息!C:E,3,FALSE)</f>
        <v>#N/A</v>
      </c>
    </row>
    <row r="3389" customHeight="1" spans="8:8">
      <c r="H3389" s="39" t="e">
        <f>VLOOKUP(E3389,基础信息!C:E,3,FALSE)</f>
        <v>#N/A</v>
      </c>
    </row>
    <row r="3390" customHeight="1" spans="8:8">
      <c r="H3390" s="39" t="e">
        <f>VLOOKUP(E3390,基础信息!C:E,3,FALSE)</f>
        <v>#N/A</v>
      </c>
    </row>
    <row r="3391" customHeight="1" spans="8:8">
      <c r="H3391" s="39" t="e">
        <f>VLOOKUP(E3391,基础信息!C:E,3,FALSE)</f>
        <v>#N/A</v>
      </c>
    </row>
    <row r="3392" customHeight="1" spans="8:8">
      <c r="H3392" s="39" t="e">
        <f>VLOOKUP(E3392,基础信息!C:E,3,FALSE)</f>
        <v>#N/A</v>
      </c>
    </row>
    <row r="3393" customHeight="1" spans="8:8">
      <c r="H3393" s="39" t="e">
        <f>VLOOKUP(E3393,基础信息!C:E,3,FALSE)</f>
        <v>#N/A</v>
      </c>
    </row>
    <row r="3394" customHeight="1" spans="8:8">
      <c r="H3394" s="39" t="e">
        <f>VLOOKUP(E3394,基础信息!C:E,3,FALSE)</f>
        <v>#N/A</v>
      </c>
    </row>
    <row r="3395" customHeight="1" spans="8:8">
      <c r="H3395" s="39" t="e">
        <f>VLOOKUP(E3395,基础信息!C:E,3,FALSE)</f>
        <v>#N/A</v>
      </c>
    </row>
    <row r="3396" customHeight="1" spans="8:8">
      <c r="H3396" s="39" t="e">
        <f>VLOOKUP(E3396,基础信息!C:E,3,FALSE)</f>
        <v>#N/A</v>
      </c>
    </row>
    <row r="3397" customHeight="1" spans="8:8">
      <c r="H3397" s="39" t="e">
        <f>VLOOKUP(E3397,基础信息!C:E,3,FALSE)</f>
        <v>#N/A</v>
      </c>
    </row>
    <row r="3398" customHeight="1" spans="8:8">
      <c r="H3398" s="39" t="e">
        <f>VLOOKUP(E3398,基础信息!C:E,3,FALSE)</f>
        <v>#N/A</v>
      </c>
    </row>
    <row r="3399" customHeight="1" spans="8:8">
      <c r="H3399" s="39" t="e">
        <f>VLOOKUP(E3399,基础信息!C:E,3,FALSE)</f>
        <v>#N/A</v>
      </c>
    </row>
    <row r="3400" customHeight="1" spans="8:8">
      <c r="H3400" s="39" t="e">
        <f>VLOOKUP(E3400,基础信息!C:E,3,FALSE)</f>
        <v>#N/A</v>
      </c>
    </row>
    <row r="3401" customHeight="1" spans="8:8">
      <c r="H3401" s="39" t="e">
        <f>VLOOKUP(E3401,基础信息!C:E,3,FALSE)</f>
        <v>#N/A</v>
      </c>
    </row>
    <row r="3402" customHeight="1" spans="8:8">
      <c r="H3402" s="39" t="e">
        <f>VLOOKUP(E3402,基础信息!C:E,3,FALSE)</f>
        <v>#N/A</v>
      </c>
    </row>
    <row r="3403" customHeight="1" spans="8:8">
      <c r="H3403" s="39" t="e">
        <f>VLOOKUP(E3403,基础信息!C:E,3,FALSE)</f>
        <v>#N/A</v>
      </c>
    </row>
    <row r="3404" customHeight="1" spans="8:8">
      <c r="H3404" s="39" t="e">
        <f>VLOOKUP(E3404,基础信息!C:E,3,FALSE)</f>
        <v>#N/A</v>
      </c>
    </row>
    <row r="3405" customHeight="1" spans="8:8">
      <c r="H3405" s="39" t="e">
        <f>VLOOKUP(E3405,基础信息!C:E,3,FALSE)</f>
        <v>#N/A</v>
      </c>
    </row>
    <row r="3406" customHeight="1" spans="8:8">
      <c r="H3406" s="39" t="e">
        <f>VLOOKUP(E3406,基础信息!C:E,3,FALSE)</f>
        <v>#N/A</v>
      </c>
    </row>
    <row r="3407" customHeight="1" spans="8:8">
      <c r="H3407" s="39" t="e">
        <f>VLOOKUP(E3407,基础信息!C:E,3,FALSE)</f>
        <v>#N/A</v>
      </c>
    </row>
    <row r="3408" customHeight="1" spans="8:8">
      <c r="H3408" s="39" t="e">
        <f>VLOOKUP(E3408,基础信息!C:E,3,FALSE)</f>
        <v>#N/A</v>
      </c>
    </row>
    <row r="3409" customHeight="1" spans="8:8">
      <c r="H3409" s="39" t="e">
        <f>VLOOKUP(E3409,基础信息!C:E,3,FALSE)</f>
        <v>#N/A</v>
      </c>
    </row>
    <row r="3410" customHeight="1" spans="8:8">
      <c r="H3410" s="39" t="e">
        <f>VLOOKUP(E3410,基础信息!C:E,3,FALSE)</f>
        <v>#N/A</v>
      </c>
    </row>
    <row r="3411" customHeight="1" spans="8:8">
      <c r="H3411" s="39" t="e">
        <f>VLOOKUP(E3411,基础信息!C:E,3,FALSE)</f>
        <v>#N/A</v>
      </c>
    </row>
    <row r="3412" customHeight="1" spans="8:8">
      <c r="H3412" s="39" t="e">
        <f>VLOOKUP(E3412,基础信息!C:E,3,FALSE)</f>
        <v>#N/A</v>
      </c>
    </row>
    <row r="3413" customHeight="1" spans="8:8">
      <c r="H3413" s="39" t="e">
        <f>VLOOKUP(E3413,基础信息!C:E,3,FALSE)</f>
        <v>#N/A</v>
      </c>
    </row>
    <row r="3414" customHeight="1" spans="8:8">
      <c r="H3414" s="39" t="e">
        <f>VLOOKUP(E3414,基础信息!C:E,3,FALSE)</f>
        <v>#N/A</v>
      </c>
    </row>
    <row r="3415" customHeight="1" spans="8:8">
      <c r="H3415" s="39" t="e">
        <f>VLOOKUP(E3415,基础信息!C:E,3,FALSE)</f>
        <v>#N/A</v>
      </c>
    </row>
    <row r="3416" customHeight="1" spans="8:8">
      <c r="H3416" s="39" t="e">
        <f>VLOOKUP(E3416,基础信息!C:E,3,FALSE)</f>
        <v>#N/A</v>
      </c>
    </row>
    <row r="3417" customHeight="1" spans="8:8">
      <c r="H3417" s="39" t="e">
        <f>VLOOKUP(E3417,基础信息!C:E,3,FALSE)</f>
        <v>#N/A</v>
      </c>
    </row>
    <row r="3418" customHeight="1" spans="8:8">
      <c r="H3418" s="39" t="e">
        <f>VLOOKUP(E3418,基础信息!C:E,3,FALSE)</f>
        <v>#N/A</v>
      </c>
    </row>
    <row r="3419" customHeight="1" spans="8:8">
      <c r="H3419" s="39" t="e">
        <f>VLOOKUP(E3419,基础信息!C:E,3,FALSE)</f>
        <v>#N/A</v>
      </c>
    </row>
    <row r="3420" customHeight="1" spans="8:8">
      <c r="H3420" s="39" t="e">
        <f>VLOOKUP(E3420,基础信息!C:E,3,FALSE)</f>
        <v>#N/A</v>
      </c>
    </row>
    <row r="3421" customHeight="1" spans="8:8">
      <c r="H3421" s="39" t="e">
        <f>VLOOKUP(E3421,基础信息!C:E,3,FALSE)</f>
        <v>#N/A</v>
      </c>
    </row>
    <row r="3422" customHeight="1" spans="8:8">
      <c r="H3422" s="39" t="e">
        <f>VLOOKUP(E3422,基础信息!C:E,3,FALSE)</f>
        <v>#N/A</v>
      </c>
    </row>
    <row r="3423" customHeight="1" spans="8:8">
      <c r="H3423" s="39" t="e">
        <f>VLOOKUP(E3423,基础信息!C:E,3,FALSE)</f>
        <v>#N/A</v>
      </c>
    </row>
    <row r="3424" customHeight="1" spans="8:8">
      <c r="H3424" s="39" t="e">
        <f>VLOOKUP(E3424,基础信息!C:E,3,FALSE)</f>
        <v>#N/A</v>
      </c>
    </row>
    <row r="3425" customHeight="1" spans="8:8">
      <c r="H3425" s="39" t="e">
        <f>VLOOKUP(E3425,基础信息!C:E,3,FALSE)</f>
        <v>#N/A</v>
      </c>
    </row>
    <row r="3426" customHeight="1" spans="8:8">
      <c r="H3426" s="39" t="e">
        <f>VLOOKUP(E3426,基础信息!C:E,3,FALSE)</f>
        <v>#N/A</v>
      </c>
    </row>
    <row r="3427" customHeight="1" spans="8:8">
      <c r="H3427" s="39" t="e">
        <f>VLOOKUP(E3427,基础信息!C:E,3,FALSE)</f>
        <v>#N/A</v>
      </c>
    </row>
    <row r="3428" customHeight="1" spans="8:8">
      <c r="H3428" s="39" t="e">
        <f>VLOOKUP(E3428,基础信息!C:E,3,FALSE)</f>
        <v>#N/A</v>
      </c>
    </row>
    <row r="3429" customHeight="1" spans="8:8">
      <c r="H3429" s="39" t="e">
        <f>VLOOKUP(E3429,基础信息!C:E,3,FALSE)</f>
        <v>#N/A</v>
      </c>
    </row>
    <row r="3430" customHeight="1" spans="8:8">
      <c r="H3430" s="39" t="e">
        <f>VLOOKUP(E3430,基础信息!C:E,3,FALSE)</f>
        <v>#N/A</v>
      </c>
    </row>
    <row r="3431" customHeight="1" spans="8:8">
      <c r="H3431" s="39" t="e">
        <f>VLOOKUP(E3431,基础信息!C:E,3,FALSE)</f>
        <v>#N/A</v>
      </c>
    </row>
    <row r="3432" customHeight="1" spans="8:8">
      <c r="H3432" s="39" t="e">
        <f>VLOOKUP(E3432,基础信息!C:E,3,FALSE)</f>
        <v>#N/A</v>
      </c>
    </row>
    <row r="3433" customHeight="1" spans="8:8">
      <c r="H3433" s="39" t="e">
        <f>VLOOKUP(E3433,基础信息!C:E,3,FALSE)</f>
        <v>#N/A</v>
      </c>
    </row>
    <row r="3434" customHeight="1" spans="8:8">
      <c r="H3434" s="39" t="e">
        <f>VLOOKUP(E3434,基础信息!C:E,3,FALSE)</f>
        <v>#N/A</v>
      </c>
    </row>
    <row r="3435" customHeight="1" spans="8:8">
      <c r="H3435" s="39" t="e">
        <f>VLOOKUP(E3435,基础信息!C:E,3,FALSE)</f>
        <v>#N/A</v>
      </c>
    </row>
    <row r="3436" customHeight="1" spans="8:8">
      <c r="H3436" s="39" t="e">
        <f>VLOOKUP(E3436,基础信息!C:E,3,FALSE)</f>
        <v>#N/A</v>
      </c>
    </row>
    <row r="3437" customHeight="1" spans="8:8">
      <c r="H3437" s="39" t="e">
        <f>VLOOKUP(E3437,基础信息!C:E,3,FALSE)</f>
        <v>#N/A</v>
      </c>
    </row>
    <row r="3438" customHeight="1" spans="8:8">
      <c r="H3438" s="39" t="e">
        <f>VLOOKUP(E3438,基础信息!C:E,3,FALSE)</f>
        <v>#N/A</v>
      </c>
    </row>
    <row r="3439" customHeight="1" spans="8:8">
      <c r="H3439" s="39" t="e">
        <f>VLOOKUP(E3439,基础信息!C:E,3,FALSE)</f>
        <v>#N/A</v>
      </c>
    </row>
    <row r="3440" customHeight="1" spans="8:8">
      <c r="H3440" s="39" t="e">
        <f>VLOOKUP(E3440,基础信息!C:E,3,FALSE)</f>
        <v>#N/A</v>
      </c>
    </row>
    <row r="3441" customHeight="1" spans="8:8">
      <c r="H3441" s="39" t="e">
        <f>VLOOKUP(E3441,基础信息!C:E,3,FALSE)</f>
        <v>#N/A</v>
      </c>
    </row>
    <row r="3442" customHeight="1" spans="8:8">
      <c r="H3442" s="39" t="e">
        <f>VLOOKUP(E3442,基础信息!C:E,3,FALSE)</f>
        <v>#N/A</v>
      </c>
    </row>
    <row r="3443" customHeight="1" spans="8:8">
      <c r="H3443" s="39" t="e">
        <f>VLOOKUP(E3443,基础信息!C:E,3,FALSE)</f>
        <v>#N/A</v>
      </c>
    </row>
    <row r="3444" customHeight="1" spans="8:8">
      <c r="H3444" s="39" t="e">
        <f>VLOOKUP(E3444,基础信息!C:E,3,FALSE)</f>
        <v>#N/A</v>
      </c>
    </row>
    <row r="3445" customHeight="1" spans="8:8">
      <c r="H3445" s="39" t="e">
        <f>VLOOKUP(E3445,基础信息!C:E,3,FALSE)</f>
        <v>#N/A</v>
      </c>
    </row>
    <row r="3446" customHeight="1" spans="8:8">
      <c r="H3446" s="39" t="e">
        <f>VLOOKUP(E3446,基础信息!C:E,3,FALSE)</f>
        <v>#N/A</v>
      </c>
    </row>
    <row r="3447" customHeight="1" spans="8:8">
      <c r="H3447" s="39" t="e">
        <f>VLOOKUP(E3447,基础信息!C:E,3,FALSE)</f>
        <v>#N/A</v>
      </c>
    </row>
    <row r="3448" customHeight="1" spans="8:8">
      <c r="H3448" s="39" t="e">
        <f>VLOOKUP(E3448,基础信息!C:E,3,FALSE)</f>
        <v>#N/A</v>
      </c>
    </row>
    <row r="3449" customHeight="1" spans="8:8">
      <c r="H3449" s="39" t="e">
        <f>VLOOKUP(E3449,基础信息!C:E,3,FALSE)</f>
        <v>#N/A</v>
      </c>
    </row>
    <row r="3450" customHeight="1" spans="8:8">
      <c r="H3450" s="39" t="e">
        <f>VLOOKUP(E3450,基础信息!C:E,3,FALSE)</f>
        <v>#N/A</v>
      </c>
    </row>
    <row r="3451" customHeight="1" spans="8:8">
      <c r="H3451" s="39" t="e">
        <f>VLOOKUP(E3451,基础信息!C:E,3,FALSE)</f>
        <v>#N/A</v>
      </c>
    </row>
    <row r="3452" customHeight="1" spans="8:8">
      <c r="H3452" s="39" t="e">
        <f>VLOOKUP(E3452,基础信息!C:E,3,FALSE)</f>
        <v>#N/A</v>
      </c>
    </row>
    <row r="3453" customHeight="1" spans="8:8">
      <c r="H3453" s="39" t="e">
        <f>VLOOKUP(E3453,基础信息!C:E,3,FALSE)</f>
        <v>#N/A</v>
      </c>
    </row>
    <row r="3454" customHeight="1" spans="8:8">
      <c r="H3454" s="39" t="e">
        <f>VLOOKUP(E3454,基础信息!C:E,3,FALSE)</f>
        <v>#N/A</v>
      </c>
    </row>
    <row r="3455" customHeight="1" spans="8:8">
      <c r="H3455" s="39" t="e">
        <f>VLOOKUP(E3455,基础信息!C:E,3,FALSE)</f>
        <v>#N/A</v>
      </c>
    </row>
    <row r="3456" customHeight="1" spans="8:8">
      <c r="H3456" s="39" t="e">
        <f>VLOOKUP(E3456,基础信息!C:E,3,FALSE)</f>
        <v>#N/A</v>
      </c>
    </row>
    <row r="3457" customHeight="1" spans="8:8">
      <c r="H3457" s="39" t="e">
        <f>VLOOKUP(E3457,基础信息!C:E,3,FALSE)</f>
        <v>#N/A</v>
      </c>
    </row>
    <row r="3458" customHeight="1" spans="8:8">
      <c r="H3458" s="39" t="e">
        <f>VLOOKUP(E3458,基础信息!C:E,3,FALSE)</f>
        <v>#N/A</v>
      </c>
    </row>
    <row r="3459" customHeight="1" spans="8:8">
      <c r="H3459" s="39" t="e">
        <f>VLOOKUP(E3459,基础信息!C:E,3,FALSE)</f>
        <v>#N/A</v>
      </c>
    </row>
    <row r="3460" customHeight="1" spans="8:8">
      <c r="H3460" s="39" t="e">
        <f>VLOOKUP(E3460,基础信息!C:E,3,FALSE)</f>
        <v>#N/A</v>
      </c>
    </row>
    <row r="3461" customHeight="1" spans="8:8">
      <c r="H3461" s="39" t="e">
        <f>VLOOKUP(E3461,基础信息!C:E,3,FALSE)</f>
        <v>#N/A</v>
      </c>
    </row>
    <row r="3462" customHeight="1" spans="8:8">
      <c r="H3462" s="39" t="e">
        <f>VLOOKUP(E3462,基础信息!C:E,3,FALSE)</f>
        <v>#N/A</v>
      </c>
    </row>
    <row r="3463" customHeight="1" spans="8:8">
      <c r="H3463" s="39" t="e">
        <f>VLOOKUP(E3463,基础信息!C:E,3,FALSE)</f>
        <v>#N/A</v>
      </c>
    </row>
    <row r="3464" customHeight="1" spans="8:8">
      <c r="H3464" s="39" t="e">
        <f>VLOOKUP(E3464,基础信息!C:E,3,FALSE)</f>
        <v>#N/A</v>
      </c>
    </row>
    <row r="3465" customHeight="1" spans="8:8">
      <c r="H3465" s="39" t="e">
        <f>VLOOKUP(E3465,基础信息!C:E,3,FALSE)</f>
        <v>#N/A</v>
      </c>
    </row>
    <row r="3466" customHeight="1" spans="8:8">
      <c r="H3466" s="39" t="e">
        <f>VLOOKUP(E3466,基础信息!C:E,3,FALSE)</f>
        <v>#N/A</v>
      </c>
    </row>
    <row r="3467" customHeight="1" spans="8:8">
      <c r="H3467" s="39" t="e">
        <f>VLOOKUP(E3467,基础信息!C:E,3,FALSE)</f>
        <v>#N/A</v>
      </c>
    </row>
    <row r="3468" customHeight="1" spans="8:8">
      <c r="H3468" s="39" t="e">
        <f>VLOOKUP(E3468,基础信息!C:E,3,FALSE)</f>
        <v>#N/A</v>
      </c>
    </row>
    <row r="3469" customHeight="1" spans="8:8">
      <c r="H3469" s="39" t="e">
        <f>VLOOKUP(E3469,基础信息!C:E,3,FALSE)</f>
        <v>#N/A</v>
      </c>
    </row>
    <row r="3470" customHeight="1" spans="8:8">
      <c r="H3470" s="39" t="e">
        <f>VLOOKUP(E3470,基础信息!C:E,3,FALSE)</f>
        <v>#N/A</v>
      </c>
    </row>
    <row r="3471" customHeight="1" spans="8:8">
      <c r="H3471" s="39" t="e">
        <f>VLOOKUP(E3471,基础信息!C:E,3,FALSE)</f>
        <v>#N/A</v>
      </c>
    </row>
    <row r="3472" customHeight="1" spans="8:8">
      <c r="H3472" s="39" t="e">
        <f>VLOOKUP(E3472,基础信息!C:E,3,FALSE)</f>
        <v>#N/A</v>
      </c>
    </row>
    <row r="3473" customHeight="1" spans="8:8">
      <c r="H3473" s="39" t="e">
        <f>VLOOKUP(E3473,基础信息!C:E,3,FALSE)</f>
        <v>#N/A</v>
      </c>
    </row>
    <row r="3474" customHeight="1" spans="8:8">
      <c r="H3474" s="39" t="e">
        <f>VLOOKUP(E3474,基础信息!C:E,3,FALSE)</f>
        <v>#N/A</v>
      </c>
    </row>
    <row r="3475" customHeight="1" spans="8:8">
      <c r="H3475" s="39" t="e">
        <f>VLOOKUP(E3475,基础信息!C:E,3,FALSE)</f>
        <v>#N/A</v>
      </c>
    </row>
    <row r="3476" customHeight="1" spans="8:8">
      <c r="H3476" s="39" t="e">
        <f>VLOOKUP(E3476,基础信息!C:E,3,FALSE)</f>
        <v>#N/A</v>
      </c>
    </row>
    <row r="3477" customHeight="1" spans="8:8">
      <c r="H3477" s="39" t="e">
        <f>VLOOKUP(E3477,基础信息!C:E,3,FALSE)</f>
        <v>#N/A</v>
      </c>
    </row>
    <row r="3478" customHeight="1" spans="8:8">
      <c r="H3478" s="39" t="e">
        <f>VLOOKUP(E3478,基础信息!C:E,3,FALSE)</f>
        <v>#N/A</v>
      </c>
    </row>
    <row r="3479" customHeight="1" spans="8:8">
      <c r="H3479" s="39" t="e">
        <f>VLOOKUP(E3479,基础信息!C:E,3,FALSE)</f>
        <v>#N/A</v>
      </c>
    </row>
    <row r="3480" customHeight="1" spans="8:8">
      <c r="H3480" s="39" t="e">
        <f>VLOOKUP(E3480,基础信息!C:E,3,FALSE)</f>
        <v>#N/A</v>
      </c>
    </row>
    <row r="3481" customHeight="1" spans="8:8">
      <c r="H3481" s="39" t="e">
        <f>VLOOKUP(E3481,基础信息!C:E,3,FALSE)</f>
        <v>#N/A</v>
      </c>
    </row>
    <row r="3482" customHeight="1" spans="8:8">
      <c r="H3482" s="39" t="e">
        <f>VLOOKUP(E3482,基础信息!C:E,3,FALSE)</f>
        <v>#N/A</v>
      </c>
    </row>
    <row r="3483" customHeight="1" spans="8:8">
      <c r="H3483" s="39" t="e">
        <f>VLOOKUP(E3483,基础信息!C:E,3,FALSE)</f>
        <v>#N/A</v>
      </c>
    </row>
    <row r="3484" customHeight="1" spans="8:8">
      <c r="H3484" s="39" t="e">
        <f>VLOOKUP(E3484,基础信息!C:E,3,FALSE)</f>
        <v>#N/A</v>
      </c>
    </row>
    <row r="3485" customHeight="1" spans="8:8">
      <c r="H3485" s="39" t="e">
        <f>VLOOKUP(E3485,基础信息!C:E,3,FALSE)</f>
        <v>#N/A</v>
      </c>
    </row>
    <row r="3486" customHeight="1" spans="8:8">
      <c r="H3486" s="39" t="e">
        <f>VLOOKUP(E3486,基础信息!C:E,3,FALSE)</f>
        <v>#N/A</v>
      </c>
    </row>
    <row r="3487" customHeight="1" spans="8:8">
      <c r="H3487" s="39" t="e">
        <f>VLOOKUP(E3487,基础信息!C:E,3,FALSE)</f>
        <v>#N/A</v>
      </c>
    </row>
    <row r="3488" customHeight="1" spans="8:8">
      <c r="H3488" s="39" t="e">
        <f>VLOOKUP(E3488,基础信息!C:E,3,FALSE)</f>
        <v>#N/A</v>
      </c>
    </row>
    <row r="3489" customHeight="1" spans="8:8">
      <c r="H3489" s="39" t="e">
        <f>VLOOKUP(E3489,基础信息!C:E,3,FALSE)</f>
        <v>#N/A</v>
      </c>
    </row>
    <row r="3490" customHeight="1" spans="8:8">
      <c r="H3490" s="39" t="e">
        <f>VLOOKUP(E3490,基础信息!C:E,3,FALSE)</f>
        <v>#N/A</v>
      </c>
    </row>
    <row r="3491" customHeight="1" spans="8:8">
      <c r="H3491" s="39" t="e">
        <f>VLOOKUP(E3491,基础信息!C:E,3,FALSE)</f>
        <v>#N/A</v>
      </c>
    </row>
    <row r="3492" customHeight="1" spans="8:8">
      <c r="H3492" s="39" t="e">
        <f>VLOOKUP(E3492,基础信息!C:E,3,FALSE)</f>
        <v>#N/A</v>
      </c>
    </row>
    <row r="3493" customHeight="1" spans="8:8">
      <c r="H3493" s="39" t="e">
        <f>VLOOKUP(E3493,基础信息!C:E,3,FALSE)</f>
        <v>#N/A</v>
      </c>
    </row>
    <row r="3494" customHeight="1" spans="8:8">
      <c r="H3494" s="39" t="e">
        <f>VLOOKUP(E3494,基础信息!C:E,3,FALSE)</f>
        <v>#N/A</v>
      </c>
    </row>
    <row r="3495" customHeight="1" spans="8:8">
      <c r="H3495" s="39" t="e">
        <f>VLOOKUP(E3495,基础信息!C:E,3,FALSE)</f>
        <v>#N/A</v>
      </c>
    </row>
    <row r="3496" customHeight="1" spans="8:8">
      <c r="H3496" s="39" t="e">
        <f>VLOOKUP(E3496,基础信息!C:E,3,FALSE)</f>
        <v>#N/A</v>
      </c>
    </row>
    <row r="3497" customHeight="1" spans="8:8">
      <c r="H3497" s="39" t="e">
        <f>VLOOKUP(E3497,基础信息!C:E,3,FALSE)</f>
        <v>#N/A</v>
      </c>
    </row>
    <row r="3498" customHeight="1" spans="8:8">
      <c r="H3498" s="39" t="e">
        <f>VLOOKUP(E3498,基础信息!C:E,3,FALSE)</f>
        <v>#N/A</v>
      </c>
    </row>
    <row r="3499" customHeight="1" spans="8:8">
      <c r="H3499" s="39" t="e">
        <f>VLOOKUP(E3499,基础信息!C:E,3,FALSE)</f>
        <v>#N/A</v>
      </c>
    </row>
    <row r="3500" customHeight="1" spans="8:8">
      <c r="H3500" s="39" t="e">
        <f>VLOOKUP(E3500,基础信息!C:E,3,FALSE)</f>
        <v>#N/A</v>
      </c>
    </row>
    <row r="3501" customHeight="1" spans="8:8">
      <c r="H3501" s="39" t="e">
        <f>VLOOKUP(E3501,基础信息!C:E,3,FALSE)</f>
        <v>#N/A</v>
      </c>
    </row>
    <row r="3502" customHeight="1" spans="8:8">
      <c r="H3502" s="39" t="e">
        <f>VLOOKUP(E3502,基础信息!C:E,3,FALSE)</f>
        <v>#N/A</v>
      </c>
    </row>
    <row r="3503" customHeight="1" spans="8:8">
      <c r="H3503" s="39" t="e">
        <f>VLOOKUP(E3503,基础信息!C:E,3,FALSE)</f>
        <v>#N/A</v>
      </c>
    </row>
    <row r="3504" customHeight="1" spans="8:8">
      <c r="H3504" s="39" t="e">
        <f>VLOOKUP(E3504,基础信息!C:E,3,FALSE)</f>
        <v>#N/A</v>
      </c>
    </row>
    <row r="3505" customHeight="1" spans="8:8">
      <c r="H3505" s="39" t="e">
        <f>VLOOKUP(E3505,基础信息!C:E,3,FALSE)</f>
        <v>#N/A</v>
      </c>
    </row>
    <row r="3506" customHeight="1" spans="8:8">
      <c r="H3506" s="39" t="e">
        <f>VLOOKUP(E3506,基础信息!C:E,3,FALSE)</f>
        <v>#N/A</v>
      </c>
    </row>
    <row r="3507" customHeight="1" spans="8:8">
      <c r="H3507" s="39" t="e">
        <f>VLOOKUP(E3507,基础信息!C:E,3,FALSE)</f>
        <v>#N/A</v>
      </c>
    </row>
    <row r="3508" customHeight="1" spans="8:8">
      <c r="H3508" s="39" t="e">
        <f>VLOOKUP(E3508,基础信息!C:E,3,FALSE)</f>
        <v>#N/A</v>
      </c>
    </row>
    <row r="3509" customHeight="1" spans="8:8">
      <c r="H3509" s="39" t="e">
        <f>VLOOKUP(E3509,基础信息!C:E,3,FALSE)</f>
        <v>#N/A</v>
      </c>
    </row>
    <row r="3510" customHeight="1" spans="8:8">
      <c r="H3510" s="39" t="e">
        <f>VLOOKUP(E3510,基础信息!C:E,3,FALSE)</f>
        <v>#N/A</v>
      </c>
    </row>
    <row r="3511" customHeight="1" spans="8:8">
      <c r="H3511" s="39" t="e">
        <f>VLOOKUP(E3511,基础信息!C:E,3,FALSE)</f>
        <v>#N/A</v>
      </c>
    </row>
    <row r="3512" customHeight="1" spans="8:8">
      <c r="H3512" s="39" t="e">
        <f>VLOOKUP(E3512,基础信息!C:E,3,FALSE)</f>
        <v>#N/A</v>
      </c>
    </row>
    <row r="3513" customHeight="1" spans="8:8">
      <c r="H3513" s="39" t="e">
        <f>VLOOKUP(E3513,基础信息!C:E,3,FALSE)</f>
        <v>#N/A</v>
      </c>
    </row>
    <row r="3514" customHeight="1" spans="8:8">
      <c r="H3514" s="39" t="e">
        <f>VLOOKUP(E3514,基础信息!C:E,3,FALSE)</f>
        <v>#N/A</v>
      </c>
    </row>
    <row r="3515" customHeight="1" spans="8:8">
      <c r="H3515" s="39" t="e">
        <f>VLOOKUP(E3515,基础信息!C:E,3,FALSE)</f>
        <v>#N/A</v>
      </c>
    </row>
    <row r="3516" customHeight="1" spans="8:8">
      <c r="H3516" s="39" t="e">
        <f>VLOOKUP(E3516,基础信息!C:E,3,FALSE)</f>
        <v>#N/A</v>
      </c>
    </row>
    <row r="3517" customHeight="1" spans="8:8">
      <c r="H3517" s="39" t="e">
        <f>VLOOKUP(E3517,基础信息!C:E,3,FALSE)</f>
        <v>#N/A</v>
      </c>
    </row>
    <row r="3518" customHeight="1" spans="8:8">
      <c r="H3518" s="39" t="e">
        <f>VLOOKUP(E3518,基础信息!C:E,3,FALSE)</f>
        <v>#N/A</v>
      </c>
    </row>
    <row r="3519" customHeight="1" spans="8:8">
      <c r="H3519" s="39" t="e">
        <f>VLOOKUP(E3519,基础信息!C:E,3,FALSE)</f>
        <v>#N/A</v>
      </c>
    </row>
    <row r="3520" customHeight="1" spans="8:8">
      <c r="H3520" s="39" t="e">
        <f>VLOOKUP(E3520,基础信息!C:E,3,FALSE)</f>
        <v>#N/A</v>
      </c>
    </row>
    <row r="3521" customHeight="1" spans="8:8">
      <c r="H3521" s="39" t="e">
        <f>VLOOKUP(E3521,基础信息!C:E,3,FALSE)</f>
        <v>#N/A</v>
      </c>
    </row>
    <row r="3522" customHeight="1" spans="8:8">
      <c r="H3522" s="39" t="e">
        <f>VLOOKUP(E3522,基础信息!C:E,3,FALSE)</f>
        <v>#N/A</v>
      </c>
    </row>
    <row r="3523" customHeight="1" spans="8:8">
      <c r="H3523" s="39" t="e">
        <f>VLOOKUP(E3523,基础信息!C:E,3,FALSE)</f>
        <v>#N/A</v>
      </c>
    </row>
    <row r="3524" customHeight="1" spans="8:8">
      <c r="H3524" s="39" t="e">
        <f>VLOOKUP(E3524,基础信息!C:E,3,FALSE)</f>
        <v>#N/A</v>
      </c>
    </row>
    <row r="3525" customHeight="1" spans="8:8">
      <c r="H3525" s="39" t="e">
        <f>VLOOKUP(E3525,基础信息!C:E,3,FALSE)</f>
        <v>#N/A</v>
      </c>
    </row>
    <row r="3526" customHeight="1" spans="8:8">
      <c r="H3526" s="39" t="e">
        <f>VLOOKUP(E3526,基础信息!C:E,3,FALSE)</f>
        <v>#N/A</v>
      </c>
    </row>
    <row r="3527" customHeight="1" spans="8:8">
      <c r="H3527" s="39" t="e">
        <f>VLOOKUP(E3527,基础信息!C:E,3,FALSE)</f>
        <v>#N/A</v>
      </c>
    </row>
    <row r="3528" customHeight="1" spans="8:8">
      <c r="H3528" s="39" t="e">
        <f>VLOOKUP(E3528,基础信息!C:E,3,FALSE)</f>
        <v>#N/A</v>
      </c>
    </row>
    <row r="3529" customHeight="1" spans="8:8">
      <c r="H3529" s="39" t="e">
        <f>VLOOKUP(E3529,基础信息!C:E,3,FALSE)</f>
        <v>#N/A</v>
      </c>
    </row>
    <row r="3530" customHeight="1" spans="8:8">
      <c r="H3530" s="39" t="e">
        <f>VLOOKUP(E3530,基础信息!C:E,3,FALSE)</f>
        <v>#N/A</v>
      </c>
    </row>
    <row r="3531" customHeight="1" spans="8:8">
      <c r="H3531" s="39" t="e">
        <f>VLOOKUP(E3531,基础信息!C:E,3,FALSE)</f>
        <v>#N/A</v>
      </c>
    </row>
    <row r="3532" customHeight="1" spans="8:8">
      <c r="H3532" s="39" t="e">
        <f>VLOOKUP(E3532,基础信息!C:E,3,FALSE)</f>
        <v>#N/A</v>
      </c>
    </row>
    <row r="3533" customHeight="1" spans="8:8">
      <c r="H3533" s="39" t="e">
        <f>VLOOKUP(E3533,基础信息!C:E,3,FALSE)</f>
        <v>#N/A</v>
      </c>
    </row>
    <row r="3534" customHeight="1" spans="8:8">
      <c r="H3534" s="39" t="e">
        <f>VLOOKUP(E3534,基础信息!C:E,3,FALSE)</f>
        <v>#N/A</v>
      </c>
    </row>
    <row r="3535" customHeight="1" spans="8:8">
      <c r="H3535" s="39" t="e">
        <f>VLOOKUP(E3535,基础信息!C:E,3,FALSE)</f>
        <v>#N/A</v>
      </c>
    </row>
    <row r="3536" customHeight="1" spans="8:8">
      <c r="H3536" s="39" t="e">
        <f>VLOOKUP(E3536,基础信息!C:E,3,FALSE)</f>
        <v>#N/A</v>
      </c>
    </row>
    <row r="3537" customHeight="1" spans="8:8">
      <c r="H3537" s="39" t="e">
        <f>VLOOKUP(E3537,基础信息!C:E,3,FALSE)</f>
        <v>#N/A</v>
      </c>
    </row>
    <row r="3538" customHeight="1" spans="8:8">
      <c r="H3538" s="39" t="e">
        <f>VLOOKUP(E3538,基础信息!C:E,3,FALSE)</f>
        <v>#N/A</v>
      </c>
    </row>
    <row r="3539" customHeight="1" spans="8:8">
      <c r="H3539" s="39" t="e">
        <f>VLOOKUP(E3539,基础信息!C:E,3,FALSE)</f>
        <v>#N/A</v>
      </c>
    </row>
    <row r="3540" customHeight="1" spans="8:8">
      <c r="H3540" s="39" t="e">
        <f>VLOOKUP(E3540,基础信息!C:E,3,FALSE)</f>
        <v>#N/A</v>
      </c>
    </row>
    <row r="3541" customHeight="1" spans="8:8">
      <c r="H3541" s="39" t="e">
        <f>VLOOKUP(E3541,基础信息!C:E,3,FALSE)</f>
        <v>#N/A</v>
      </c>
    </row>
    <row r="3542" customHeight="1" spans="8:8">
      <c r="H3542" s="39" t="e">
        <f>VLOOKUP(E3542,基础信息!C:E,3,FALSE)</f>
        <v>#N/A</v>
      </c>
    </row>
    <row r="3543" customHeight="1" spans="8:8">
      <c r="H3543" s="39" t="e">
        <f>VLOOKUP(E3543,基础信息!C:E,3,FALSE)</f>
        <v>#N/A</v>
      </c>
    </row>
    <row r="3544" customHeight="1" spans="8:8">
      <c r="H3544" s="39" t="e">
        <f>VLOOKUP(E3544,基础信息!C:E,3,FALSE)</f>
        <v>#N/A</v>
      </c>
    </row>
    <row r="3545" customHeight="1" spans="8:8">
      <c r="H3545" s="39" t="e">
        <f>VLOOKUP(E3545,基础信息!C:E,3,FALSE)</f>
        <v>#N/A</v>
      </c>
    </row>
    <row r="3546" customHeight="1" spans="8:8">
      <c r="H3546" s="39" t="e">
        <f>VLOOKUP(E3546,基础信息!C:E,3,FALSE)</f>
        <v>#N/A</v>
      </c>
    </row>
    <row r="3547" customHeight="1" spans="8:8">
      <c r="H3547" s="39" t="e">
        <f>VLOOKUP(E3547,基础信息!C:E,3,FALSE)</f>
        <v>#N/A</v>
      </c>
    </row>
    <row r="3548" customHeight="1" spans="8:8">
      <c r="H3548" s="39" t="e">
        <f>VLOOKUP(E3548,基础信息!C:E,3,FALSE)</f>
        <v>#N/A</v>
      </c>
    </row>
    <row r="3549" customHeight="1" spans="8:8">
      <c r="H3549" s="39" t="e">
        <f>VLOOKUP(E3549,基础信息!C:E,3,FALSE)</f>
        <v>#N/A</v>
      </c>
    </row>
    <row r="3550" customHeight="1" spans="8:8">
      <c r="H3550" s="39" t="e">
        <f>VLOOKUP(E3550,基础信息!C:E,3,FALSE)</f>
        <v>#N/A</v>
      </c>
    </row>
    <row r="3551" customHeight="1" spans="8:8">
      <c r="H3551" s="39" t="e">
        <f>VLOOKUP(E3551,基础信息!C:E,3,FALSE)</f>
        <v>#N/A</v>
      </c>
    </row>
    <row r="3552" customHeight="1" spans="8:8">
      <c r="H3552" s="39" t="e">
        <f>VLOOKUP(E3552,基础信息!C:E,3,FALSE)</f>
        <v>#N/A</v>
      </c>
    </row>
    <row r="3553" customHeight="1" spans="8:8">
      <c r="H3553" s="39" t="e">
        <f>VLOOKUP(E3553,基础信息!C:E,3,FALSE)</f>
        <v>#N/A</v>
      </c>
    </row>
    <row r="3554" customHeight="1" spans="8:8">
      <c r="H3554" s="39" t="e">
        <f>VLOOKUP(E3554,基础信息!C:E,3,FALSE)</f>
        <v>#N/A</v>
      </c>
    </row>
    <row r="3555" customHeight="1" spans="8:8">
      <c r="H3555" s="39" t="e">
        <f>VLOOKUP(E3555,基础信息!C:E,3,FALSE)</f>
        <v>#N/A</v>
      </c>
    </row>
    <row r="3556" customHeight="1" spans="8:8">
      <c r="H3556" s="39" t="e">
        <f>VLOOKUP(E3556,基础信息!C:E,3,FALSE)</f>
        <v>#N/A</v>
      </c>
    </row>
    <row r="3557" customHeight="1" spans="8:8">
      <c r="H3557" s="39" t="e">
        <f>VLOOKUP(E3557,基础信息!C:E,3,FALSE)</f>
        <v>#N/A</v>
      </c>
    </row>
    <row r="3558" customHeight="1" spans="8:8">
      <c r="H3558" s="39" t="e">
        <f>VLOOKUP(E3558,基础信息!C:E,3,FALSE)</f>
        <v>#N/A</v>
      </c>
    </row>
    <row r="3559" customHeight="1" spans="8:8">
      <c r="H3559" s="39" t="e">
        <f>VLOOKUP(E3559,基础信息!C:E,3,FALSE)</f>
        <v>#N/A</v>
      </c>
    </row>
    <row r="3560" customHeight="1" spans="8:8">
      <c r="H3560" s="39" t="e">
        <f>VLOOKUP(E3560,基础信息!C:E,3,FALSE)</f>
        <v>#N/A</v>
      </c>
    </row>
    <row r="3561" customHeight="1" spans="8:8">
      <c r="H3561" s="39" t="e">
        <f>VLOOKUP(E3561,基础信息!C:E,3,FALSE)</f>
        <v>#N/A</v>
      </c>
    </row>
    <row r="3562" customHeight="1" spans="8:8">
      <c r="H3562" s="39" t="e">
        <f>VLOOKUP(E3562,基础信息!C:E,3,FALSE)</f>
        <v>#N/A</v>
      </c>
    </row>
    <row r="3563" customHeight="1" spans="8:8">
      <c r="H3563" s="39" t="e">
        <f>VLOOKUP(E3563,基础信息!C:E,3,FALSE)</f>
        <v>#N/A</v>
      </c>
    </row>
    <row r="3564" customHeight="1" spans="8:8">
      <c r="H3564" s="39" t="e">
        <f>VLOOKUP(E3564,基础信息!C:E,3,FALSE)</f>
        <v>#N/A</v>
      </c>
    </row>
    <row r="3565" customHeight="1" spans="8:8">
      <c r="H3565" s="39" t="e">
        <f>VLOOKUP(E3565,基础信息!C:E,3,FALSE)</f>
        <v>#N/A</v>
      </c>
    </row>
    <row r="3566" customHeight="1" spans="8:8">
      <c r="H3566" s="39" t="e">
        <f>VLOOKUP(E3566,基础信息!C:E,3,FALSE)</f>
        <v>#N/A</v>
      </c>
    </row>
    <row r="3567" customHeight="1" spans="8:8">
      <c r="H3567" s="39" t="e">
        <f>VLOOKUP(E3567,基础信息!C:E,3,FALSE)</f>
        <v>#N/A</v>
      </c>
    </row>
    <row r="3568" customHeight="1" spans="8:8">
      <c r="H3568" s="39" t="e">
        <f>VLOOKUP(E3568,基础信息!C:E,3,FALSE)</f>
        <v>#N/A</v>
      </c>
    </row>
    <row r="3569" customHeight="1" spans="8:8">
      <c r="H3569" s="39" t="e">
        <f>VLOOKUP(E3569,基础信息!C:E,3,FALSE)</f>
        <v>#N/A</v>
      </c>
    </row>
    <row r="3570" customHeight="1" spans="8:8">
      <c r="H3570" s="39" t="e">
        <f>VLOOKUP(E3570,基础信息!C:E,3,FALSE)</f>
        <v>#N/A</v>
      </c>
    </row>
    <row r="3571" customHeight="1" spans="8:8">
      <c r="H3571" s="39" t="e">
        <f>VLOOKUP(E3571,基础信息!C:E,3,FALSE)</f>
        <v>#N/A</v>
      </c>
    </row>
    <row r="3572" customHeight="1" spans="8:8">
      <c r="H3572" s="39" t="e">
        <f>VLOOKUP(E3572,基础信息!C:E,3,FALSE)</f>
        <v>#N/A</v>
      </c>
    </row>
    <row r="3573" customHeight="1" spans="8:8">
      <c r="H3573" s="39" t="e">
        <f>VLOOKUP(E3573,基础信息!C:E,3,FALSE)</f>
        <v>#N/A</v>
      </c>
    </row>
    <row r="3574" customHeight="1" spans="8:8">
      <c r="H3574" s="39" t="e">
        <f>VLOOKUP(E3574,基础信息!C:E,3,FALSE)</f>
        <v>#N/A</v>
      </c>
    </row>
    <row r="3575" customHeight="1" spans="8:8">
      <c r="H3575" s="39" t="e">
        <f>VLOOKUP(E3575,基础信息!C:E,3,FALSE)</f>
        <v>#N/A</v>
      </c>
    </row>
    <row r="3576" customHeight="1" spans="8:8">
      <c r="H3576" s="39" t="e">
        <f>VLOOKUP(E3576,基础信息!C:E,3,FALSE)</f>
        <v>#N/A</v>
      </c>
    </row>
    <row r="3577" customHeight="1" spans="8:8">
      <c r="H3577" s="39" t="e">
        <f>VLOOKUP(E3577,基础信息!C:E,3,FALSE)</f>
        <v>#N/A</v>
      </c>
    </row>
    <row r="3578" customHeight="1" spans="8:8">
      <c r="H3578" s="39" t="e">
        <f>VLOOKUP(E3578,基础信息!C:E,3,FALSE)</f>
        <v>#N/A</v>
      </c>
    </row>
    <row r="3579" customHeight="1" spans="8:8">
      <c r="H3579" s="39" t="e">
        <f>VLOOKUP(E3579,基础信息!C:E,3,FALSE)</f>
        <v>#N/A</v>
      </c>
    </row>
    <row r="3580" customHeight="1" spans="8:8">
      <c r="H3580" s="39" t="e">
        <f>VLOOKUP(E3580,基础信息!C:E,3,FALSE)</f>
        <v>#N/A</v>
      </c>
    </row>
    <row r="3581" customHeight="1" spans="8:8">
      <c r="H3581" s="39" t="e">
        <f>VLOOKUP(E3581,基础信息!C:E,3,FALSE)</f>
        <v>#N/A</v>
      </c>
    </row>
    <row r="3582" customHeight="1" spans="8:8">
      <c r="H3582" s="39" t="e">
        <f>VLOOKUP(E3582,基础信息!C:E,3,FALSE)</f>
        <v>#N/A</v>
      </c>
    </row>
    <row r="3583" customHeight="1" spans="8:8">
      <c r="H3583" s="39" t="e">
        <f>VLOOKUP(E3583,基础信息!C:E,3,FALSE)</f>
        <v>#N/A</v>
      </c>
    </row>
    <row r="3584" customHeight="1" spans="8:8">
      <c r="H3584" s="39" t="e">
        <f>VLOOKUP(E3584,基础信息!C:E,3,FALSE)</f>
        <v>#N/A</v>
      </c>
    </row>
    <row r="3585" customHeight="1" spans="8:8">
      <c r="H3585" s="39" t="e">
        <f>VLOOKUP(E3585,基础信息!C:E,3,FALSE)</f>
        <v>#N/A</v>
      </c>
    </row>
    <row r="3586" customHeight="1" spans="8:8">
      <c r="H3586" s="39" t="e">
        <f>VLOOKUP(E3586,基础信息!C:E,3,FALSE)</f>
        <v>#N/A</v>
      </c>
    </row>
    <row r="3587" customHeight="1" spans="8:8">
      <c r="H3587" s="39" t="e">
        <f>VLOOKUP(E3587,基础信息!C:E,3,FALSE)</f>
        <v>#N/A</v>
      </c>
    </row>
    <row r="3588" customHeight="1" spans="8:8">
      <c r="H3588" s="39" t="e">
        <f>VLOOKUP(E3588,基础信息!C:E,3,FALSE)</f>
        <v>#N/A</v>
      </c>
    </row>
    <row r="3589" customHeight="1" spans="8:8">
      <c r="H3589" s="39" t="e">
        <f>VLOOKUP(E3589,基础信息!C:E,3,FALSE)</f>
        <v>#N/A</v>
      </c>
    </row>
    <row r="3590" customHeight="1" spans="8:8">
      <c r="H3590" s="39" t="e">
        <f>VLOOKUP(E3590,基础信息!C:E,3,FALSE)</f>
        <v>#N/A</v>
      </c>
    </row>
    <row r="3591" customHeight="1" spans="8:8">
      <c r="H3591" s="39" t="e">
        <f>VLOOKUP(E3591,基础信息!C:E,3,FALSE)</f>
        <v>#N/A</v>
      </c>
    </row>
    <row r="3592" customHeight="1" spans="8:8">
      <c r="H3592" s="39" t="e">
        <f>VLOOKUP(E3592,基础信息!C:E,3,FALSE)</f>
        <v>#N/A</v>
      </c>
    </row>
    <row r="3593" customHeight="1" spans="8:8">
      <c r="H3593" s="39" t="e">
        <f>VLOOKUP(E3593,基础信息!C:E,3,FALSE)</f>
        <v>#N/A</v>
      </c>
    </row>
    <row r="3594" customHeight="1" spans="8:8">
      <c r="H3594" s="39" t="e">
        <f>VLOOKUP(E3594,基础信息!C:E,3,FALSE)</f>
        <v>#N/A</v>
      </c>
    </row>
    <row r="3595" customHeight="1" spans="8:8">
      <c r="H3595" s="39" t="e">
        <f>VLOOKUP(E3595,基础信息!C:E,3,FALSE)</f>
        <v>#N/A</v>
      </c>
    </row>
    <row r="3596" customHeight="1" spans="8:8">
      <c r="H3596" s="39" t="e">
        <f>VLOOKUP(E3596,基础信息!C:E,3,FALSE)</f>
        <v>#N/A</v>
      </c>
    </row>
    <row r="3597" customHeight="1" spans="8:8">
      <c r="H3597" s="39" t="e">
        <f>VLOOKUP(E3597,基础信息!C:E,3,FALSE)</f>
        <v>#N/A</v>
      </c>
    </row>
    <row r="3598" customHeight="1" spans="8:8">
      <c r="H3598" s="39" t="e">
        <f>VLOOKUP(E3598,基础信息!C:E,3,FALSE)</f>
        <v>#N/A</v>
      </c>
    </row>
    <row r="3599" customHeight="1" spans="8:8">
      <c r="H3599" s="39" t="e">
        <f>VLOOKUP(E3599,基础信息!C:E,3,FALSE)</f>
        <v>#N/A</v>
      </c>
    </row>
    <row r="3600" customHeight="1" spans="8:8">
      <c r="H3600" s="39" t="e">
        <f>VLOOKUP(E3600,基础信息!C:E,3,FALSE)</f>
        <v>#N/A</v>
      </c>
    </row>
    <row r="3601" customHeight="1" spans="8:8">
      <c r="H3601" s="39" t="e">
        <f>VLOOKUP(E3601,基础信息!C:E,3,FALSE)</f>
        <v>#N/A</v>
      </c>
    </row>
    <row r="3602" customHeight="1" spans="8:8">
      <c r="H3602" s="39" t="e">
        <f>VLOOKUP(E3602,基础信息!C:E,3,FALSE)</f>
        <v>#N/A</v>
      </c>
    </row>
    <row r="3603" customHeight="1" spans="8:8">
      <c r="H3603" s="39" t="e">
        <f>VLOOKUP(E3603,基础信息!C:E,3,FALSE)</f>
        <v>#N/A</v>
      </c>
    </row>
    <row r="3604" customHeight="1" spans="8:8">
      <c r="H3604" s="39" t="e">
        <f>VLOOKUP(E3604,基础信息!C:E,3,FALSE)</f>
        <v>#N/A</v>
      </c>
    </row>
    <row r="3605" customHeight="1" spans="8:8">
      <c r="H3605" s="39" t="e">
        <f>VLOOKUP(E3605,基础信息!C:E,3,FALSE)</f>
        <v>#N/A</v>
      </c>
    </row>
    <row r="3606" customHeight="1" spans="8:8">
      <c r="H3606" s="39" t="e">
        <f>VLOOKUP(E3606,基础信息!C:E,3,FALSE)</f>
        <v>#N/A</v>
      </c>
    </row>
    <row r="3607" customHeight="1" spans="8:8">
      <c r="H3607" s="39" t="e">
        <f>VLOOKUP(E3607,基础信息!C:E,3,FALSE)</f>
        <v>#N/A</v>
      </c>
    </row>
    <row r="3608" customHeight="1" spans="8:8">
      <c r="H3608" s="39" t="e">
        <f>VLOOKUP(E3608,基础信息!C:E,3,FALSE)</f>
        <v>#N/A</v>
      </c>
    </row>
    <row r="3609" customHeight="1" spans="8:8">
      <c r="H3609" s="39" t="e">
        <f>VLOOKUP(E3609,基础信息!C:E,3,FALSE)</f>
        <v>#N/A</v>
      </c>
    </row>
    <row r="3610" customHeight="1" spans="8:8">
      <c r="H3610" s="39" t="e">
        <f>VLOOKUP(E3610,基础信息!C:E,3,FALSE)</f>
        <v>#N/A</v>
      </c>
    </row>
    <row r="3611" customHeight="1" spans="8:8">
      <c r="H3611" s="39" t="e">
        <f>VLOOKUP(E3611,基础信息!C:E,3,FALSE)</f>
        <v>#N/A</v>
      </c>
    </row>
    <row r="3612" customHeight="1" spans="8:8">
      <c r="H3612" s="39" t="e">
        <f>VLOOKUP(E3612,基础信息!C:E,3,FALSE)</f>
        <v>#N/A</v>
      </c>
    </row>
    <row r="3613" customHeight="1" spans="8:8">
      <c r="H3613" s="39" t="e">
        <f>VLOOKUP(E3613,基础信息!C:E,3,FALSE)</f>
        <v>#N/A</v>
      </c>
    </row>
    <row r="3614" customHeight="1" spans="8:8">
      <c r="H3614" s="39" t="e">
        <f>VLOOKUP(E3614,基础信息!C:E,3,FALSE)</f>
        <v>#N/A</v>
      </c>
    </row>
    <row r="3615" customHeight="1" spans="8:8">
      <c r="H3615" s="39" t="e">
        <f>VLOOKUP(E3615,基础信息!C:E,3,FALSE)</f>
        <v>#N/A</v>
      </c>
    </row>
    <row r="3616" customHeight="1" spans="8:8">
      <c r="H3616" s="39" t="e">
        <f>VLOOKUP(E3616,基础信息!C:E,3,FALSE)</f>
        <v>#N/A</v>
      </c>
    </row>
    <row r="3617" customHeight="1" spans="8:8">
      <c r="H3617" s="39" t="e">
        <f>VLOOKUP(E3617,基础信息!C:E,3,FALSE)</f>
        <v>#N/A</v>
      </c>
    </row>
    <row r="3618" customHeight="1" spans="8:8">
      <c r="H3618" s="39" t="e">
        <f>VLOOKUP(E3618,基础信息!C:E,3,FALSE)</f>
        <v>#N/A</v>
      </c>
    </row>
    <row r="3619" customHeight="1" spans="8:8">
      <c r="H3619" s="39" t="e">
        <f>VLOOKUP(E3619,基础信息!C:E,3,FALSE)</f>
        <v>#N/A</v>
      </c>
    </row>
    <row r="3620" customHeight="1" spans="8:8">
      <c r="H3620" s="39" t="e">
        <f>VLOOKUP(E3620,基础信息!C:E,3,FALSE)</f>
        <v>#N/A</v>
      </c>
    </row>
    <row r="3621" customHeight="1" spans="8:8">
      <c r="H3621" s="39" t="e">
        <f>VLOOKUP(E3621,基础信息!C:E,3,FALSE)</f>
        <v>#N/A</v>
      </c>
    </row>
    <row r="3622" customHeight="1" spans="8:8">
      <c r="H3622" s="39" t="e">
        <f>VLOOKUP(E3622,基础信息!C:E,3,FALSE)</f>
        <v>#N/A</v>
      </c>
    </row>
    <row r="3623" customHeight="1" spans="8:8">
      <c r="H3623" s="39" t="e">
        <f>VLOOKUP(E3623,基础信息!C:E,3,FALSE)</f>
        <v>#N/A</v>
      </c>
    </row>
    <row r="3624" customHeight="1" spans="8:8">
      <c r="H3624" s="39" t="e">
        <f>VLOOKUP(E3624,基础信息!C:E,3,FALSE)</f>
        <v>#N/A</v>
      </c>
    </row>
    <row r="3625" customHeight="1" spans="8:8">
      <c r="H3625" s="39" t="e">
        <f>VLOOKUP(E3625,基础信息!C:E,3,FALSE)</f>
        <v>#N/A</v>
      </c>
    </row>
    <row r="3626" customHeight="1" spans="8:8">
      <c r="H3626" s="39" t="e">
        <f>VLOOKUP(E3626,基础信息!C:E,3,FALSE)</f>
        <v>#N/A</v>
      </c>
    </row>
    <row r="3627" customHeight="1" spans="8:8">
      <c r="H3627" s="39" t="e">
        <f>VLOOKUP(E3627,基础信息!C:E,3,FALSE)</f>
        <v>#N/A</v>
      </c>
    </row>
    <row r="3628" customHeight="1" spans="8:8">
      <c r="H3628" s="39" t="e">
        <f>VLOOKUP(E3628,基础信息!C:E,3,FALSE)</f>
        <v>#N/A</v>
      </c>
    </row>
    <row r="3629" customHeight="1" spans="8:8">
      <c r="H3629" s="39" t="e">
        <f>VLOOKUP(E3629,基础信息!C:E,3,FALSE)</f>
        <v>#N/A</v>
      </c>
    </row>
    <row r="3630" customHeight="1" spans="8:8">
      <c r="H3630" s="39" t="e">
        <f>VLOOKUP(E3630,基础信息!C:E,3,FALSE)</f>
        <v>#N/A</v>
      </c>
    </row>
    <row r="3631" customHeight="1" spans="8:8">
      <c r="H3631" s="39" t="e">
        <f>VLOOKUP(E3631,基础信息!C:E,3,FALSE)</f>
        <v>#N/A</v>
      </c>
    </row>
    <row r="3632" customHeight="1" spans="8:8">
      <c r="H3632" s="39" t="e">
        <f>VLOOKUP(E3632,基础信息!C:E,3,FALSE)</f>
        <v>#N/A</v>
      </c>
    </row>
    <row r="3633" customHeight="1" spans="8:8">
      <c r="H3633" s="39" t="e">
        <f>VLOOKUP(E3633,基础信息!C:E,3,FALSE)</f>
        <v>#N/A</v>
      </c>
    </row>
    <row r="3634" customHeight="1" spans="8:8">
      <c r="H3634" s="39" t="e">
        <f>VLOOKUP(E3634,基础信息!C:E,3,FALSE)</f>
        <v>#N/A</v>
      </c>
    </row>
    <row r="3635" customHeight="1" spans="8:8">
      <c r="H3635" s="39" t="e">
        <f>VLOOKUP(E3635,基础信息!C:E,3,FALSE)</f>
        <v>#N/A</v>
      </c>
    </row>
    <row r="3636" customHeight="1" spans="8:8">
      <c r="H3636" s="39" t="e">
        <f>VLOOKUP(E3636,基础信息!C:E,3,FALSE)</f>
        <v>#N/A</v>
      </c>
    </row>
    <row r="3637" customHeight="1" spans="8:8">
      <c r="H3637" s="39" t="e">
        <f>VLOOKUP(E3637,基础信息!C:E,3,FALSE)</f>
        <v>#N/A</v>
      </c>
    </row>
    <row r="3638" customHeight="1" spans="8:8">
      <c r="H3638" s="39" t="e">
        <f>VLOOKUP(E3638,基础信息!C:E,3,FALSE)</f>
        <v>#N/A</v>
      </c>
    </row>
    <row r="3639" customHeight="1" spans="8:8">
      <c r="H3639" s="39" t="e">
        <f>VLOOKUP(E3639,基础信息!C:E,3,FALSE)</f>
        <v>#N/A</v>
      </c>
    </row>
    <row r="3640" customHeight="1" spans="8:8">
      <c r="H3640" s="39" t="e">
        <f>VLOOKUP(E3640,基础信息!C:E,3,FALSE)</f>
        <v>#N/A</v>
      </c>
    </row>
    <row r="3641" customHeight="1" spans="8:8">
      <c r="H3641" s="39" t="e">
        <f>VLOOKUP(E3641,基础信息!C:E,3,FALSE)</f>
        <v>#N/A</v>
      </c>
    </row>
    <row r="3642" customHeight="1" spans="8:8">
      <c r="H3642" s="39" t="e">
        <f>VLOOKUP(E3642,基础信息!C:E,3,FALSE)</f>
        <v>#N/A</v>
      </c>
    </row>
    <row r="3643" customHeight="1" spans="8:8">
      <c r="H3643" s="39" t="e">
        <f>VLOOKUP(E3643,基础信息!C:E,3,FALSE)</f>
        <v>#N/A</v>
      </c>
    </row>
    <row r="3644" customHeight="1" spans="8:8">
      <c r="H3644" s="39" t="e">
        <f>VLOOKUP(E3644,基础信息!C:E,3,FALSE)</f>
        <v>#N/A</v>
      </c>
    </row>
    <row r="3645" customHeight="1" spans="8:8">
      <c r="H3645" s="39" t="e">
        <f>VLOOKUP(E3645,基础信息!C:E,3,FALSE)</f>
        <v>#N/A</v>
      </c>
    </row>
    <row r="3646" customHeight="1" spans="8:8">
      <c r="H3646" s="39" t="e">
        <f>VLOOKUP(E3646,基础信息!C:E,3,FALSE)</f>
        <v>#N/A</v>
      </c>
    </row>
    <row r="3647" customHeight="1" spans="8:8">
      <c r="H3647" s="39" t="e">
        <f>VLOOKUP(E3647,基础信息!C:E,3,FALSE)</f>
        <v>#N/A</v>
      </c>
    </row>
    <row r="3648" customHeight="1" spans="8:8">
      <c r="H3648" s="39" t="e">
        <f>VLOOKUP(E3648,基础信息!C:E,3,FALSE)</f>
        <v>#N/A</v>
      </c>
    </row>
    <row r="3649" customHeight="1" spans="8:8">
      <c r="H3649" s="39" t="e">
        <f>VLOOKUP(E3649,基础信息!C:E,3,FALSE)</f>
        <v>#N/A</v>
      </c>
    </row>
    <row r="3650" customHeight="1" spans="8:8">
      <c r="H3650" s="39" t="e">
        <f>VLOOKUP(E3650,基础信息!C:E,3,FALSE)</f>
        <v>#N/A</v>
      </c>
    </row>
    <row r="3651" customHeight="1" spans="8:8">
      <c r="H3651" s="39" t="e">
        <f>VLOOKUP(E3651,基础信息!C:E,3,FALSE)</f>
        <v>#N/A</v>
      </c>
    </row>
    <row r="3652" customHeight="1" spans="8:8">
      <c r="H3652" s="39" t="e">
        <f>VLOOKUP(E3652,基础信息!C:E,3,FALSE)</f>
        <v>#N/A</v>
      </c>
    </row>
    <row r="3653" customHeight="1" spans="8:8">
      <c r="H3653" s="39" t="e">
        <f>VLOOKUP(E3653,基础信息!C:E,3,FALSE)</f>
        <v>#N/A</v>
      </c>
    </row>
    <row r="3654" customHeight="1" spans="8:8">
      <c r="H3654" s="39" t="e">
        <f>VLOOKUP(E3654,基础信息!C:E,3,FALSE)</f>
        <v>#N/A</v>
      </c>
    </row>
    <row r="3655" customHeight="1" spans="8:8">
      <c r="H3655" s="39" t="e">
        <f>VLOOKUP(E3655,基础信息!C:E,3,FALSE)</f>
        <v>#N/A</v>
      </c>
    </row>
    <row r="3656" customHeight="1" spans="8:8">
      <c r="H3656" s="39" t="e">
        <f>VLOOKUP(E3656,基础信息!C:E,3,FALSE)</f>
        <v>#N/A</v>
      </c>
    </row>
    <row r="3657" customHeight="1" spans="8:8">
      <c r="H3657" s="39" t="e">
        <f>VLOOKUP(E3657,基础信息!C:E,3,FALSE)</f>
        <v>#N/A</v>
      </c>
    </row>
    <row r="3658" customHeight="1" spans="8:8">
      <c r="H3658" s="39" t="e">
        <f>VLOOKUP(E3658,基础信息!C:E,3,FALSE)</f>
        <v>#N/A</v>
      </c>
    </row>
    <row r="3659" customHeight="1" spans="8:8">
      <c r="H3659" s="39" t="e">
        <f>VLOOKUP(E3659,基础信息!C:E,3,FALSE)</f>
        <v>#N/A</v>
      </c>
    </row>
    <row r="3660" customHeight="1" spans="8:8">
      <c r="H3660" s="39" t="e">
        <f>VLOOKUP(E3660,基础信息!C:E,3,FALSE)</f>
        <v>#N/A</v>
      </c>
    </row>
    <row r="3661" customHeight="1" spans="8:8">
      <c r="H3661" s="39" t="e">
        <f>VLOOKUP(E3661,基础信息!C:E,3,FALSE)</f>
        <v>#N/A</v>
      </c>
    </row>
    <row r="3662" customHeight="1" spans="8:8">
      <c r="H3662" s="39" t="e">
        <f>VLOOKUP(E3662,基础信息!C:E,3,FALSE)</f>
        <v>#N/A</v>
      </c>
    </row>
    <row r="3663" customHeight="1" spans="8:8">
      <c r="H3663" s="39" t="e">
        <f>VLOOKUP(E3663,基础信息!C:E,3,FALSE)</f>
        <v>#N/A</v>
      </c>
    </row>
    <row r="3664" customHeight="1" spans="8:8">
      <c r="H3664" s="39" t="e">
        <f>VLOOKUP(E3664,基础信息!C:E,3,FALSE)</f>
        <v>#N/A</v>
      </c>
    </row>
    <row r="3665" customHeight="1" spans="8:8">
      <c r="H3665" s="39" t="e">
        <f>VLOOKUP(E3665,基础信息!C:E,3,FALSE)</f>
        <v>#N/A</v>
      </c>
    </row>
    <row r="3666" customHeight="1" spans="8:8">
      <c r="H3666" s="39" t="e">
        <f>VLOOKUP(E3666,基础信息!C:E,3,FALSE)</f>
        <v>#N/A</v>
      </c>
    </row>
    <row r="3667" customHeight="1" spans="8:8">
      <c r="H3667" s="39" t="e">
        <f>VLOOKUP(E3667,基础信息!C:E,3,FALSE)</f>
        <v>#N/A</v>
      </c>
    </row>
    <row r="3668" customHeight="1" spans="8:8">
      <c r="H3668" s="39" t="e">
        <f>VLOOKUP(E3668,基础信息!C:E,3,FALSE)</f>
        <v>#N/A</v>
      </c>
    </row>
    <row r="3669" customHeight="1" spans="8:8">
      <c r="H3669" s="39" t="e">
        <f>VLOOKUP(E3669,基础信息!C:E,3,FALSE)</f>
        <v>#N/A</v>
      </c>
    </row>
    <row r="3670" customHeight="1" spans="8:8">
      <c r="H3670" s="39" t="e">
        <f>VLOOKUP(E3670,基础信息!C:E,3,FALSE)</f>
        <v>#N/A</v>
      </c>
    </row>
    <row r="3671" customHeight="1" spans="8:8">
      <c r="H3671" s="39" t="e">
        <f>VLOOKUP(E3671,基础信息!C:E,3,FALSE)</f>
        <v>#N/A</v>
      </c>
    </row>
    <row r="3672" customHeight="1" spans="8:8">
      <c r="H3672" s="39" t="e">
        <f>VLOOKUP(E3672,基础信息!C:E,3,FALSE)</f>
        <v>#N/A</v>
      </c>
    </row>
    <row r="3673" customHeight="1" spans="8:8">
      <c r="H3673" s="39" t="e">
        <f>VLOOKUP(E3673,基础信息!C:E,3,FALSE)</f>
        <v>#N/A</v>
      </c>
    </row>
    <row r="3674" customHeight="1" spans="8:8">
      <c r="H3674" s="39" t="e">
        <f>VLOOKUP(E3674,基础信息!C:E,3,FALSE)</f>
        <v>#N/A</v>
      </c>
    </row>
    <row r="3675" customHeight="1" spans="8:8">
      <c r="H3675" s="39" t="e">
        <f>VLOOKUP(E3675,基础信息!C:E,3,FALSE)</f>
        <v>#N/A</v>
      </c>
    </row>
    <row r="3676" customHeight="1" spans="8:8">
      <c r="H3676" s="39" t="e">
        <f>VLOOKUP(E3676,基础信息!C:E,3,FALSE)</f>
        <v>#N/A</v>
      </c>
    </row>
    <row r="3677" customHeight="1" spans="8:8">
      <c r="H3677" s="39" t="e">
        <f>VLOOKUP(E3677,基础信息!C:E,3,FALSE)</f>
        <v>#N/A</v>
      </c>
    </row>
    <row r="3678" customHeight="1" spans="8:8">
      <c r="H3678" s="39" t="e">
        <f>VLOOKUP(E3678,基础信息!C:E,3,FALSE)</f>
        <v>#N/A</v>
      </c>
    </row>
    <row r="3679" customHeight="1" spans="8:8">
      <c r="H3679" s="39" t="e">
        <f>VLOOKUP(E3679,基础信息!C:E,3,FALSE)</f>
        <v>#N/A</v>
      </c>
    </row>
    <row r="3680" customHeight="1" spans="8:8">
      <c r="H3680" s="39" t="e">
        <f>VLOOKUP(E3680,基础信息!C:E,3,FALSE)</f>
        <v>#N/A</v>
      </c>
    </row>
    <row r="3681" customHeight="1" spans="8:8">
      <c r="H3681" s="39" t="e">
        <f>VLOOKUP(E3681,基础信息!C:E,3,FALSE)</f>
        <v>#N/A</v>
      </c>
    </row>
    <row r="3682" customHeight="1" spans="8:8">
      <c r="H3682" s="39" t="e">
        <f>VLOOKUP(E3682,基础信息!C:E,3,FALSE)</f>
        <v>#N/A</v>
      </c>
    </row>
    <row r="3683" customHeight="1" spans="8:8">
      <c r="H3683" s="39" t="e">
        <f>VLOOKUP(E3683,基础信息!C:E,3,FALSE)</f>
        <v>#N/A</v>
      </c>
    </row>
    <row r="3684" customHeight="1" spans="8:8">
      <c r="H3684" s="39" t="e">
        <f>VLOOKUP(E3684,基础信息!C:E,3,FALSE)</f>
        <v>#N/A</v>
      </c>
    </row>
    <row r="3685" customHeight="1" spans="8:8">
      <c r="H3685" s="39" t="e">
        <f>VLOOKUP(E3685,基础信息!C:E,3,FALSE)</f>
        <v>#N/A</v>
      </c>
    </row>
    <row r="3686" customHeight="1" spans="8:8">
      <c r="H3686" s="39" t="e">
        <f>VLOOKUP(E3686,基础信息!C:E,3,FALSE)</f>
        <v>#N/A</v>
      </c>
    </row>
    <row r="3687" customHeight="1" spans="8:8">
      <c r="H3687" s="39" t="e">
        <f>VLOOKUP(E3687,基础信息!C:E,3,FALSE)</f>
        <v>#N/A</v>
      </c>
    </row>
    <row r="3688" customHeight="1" spans="8:8">
      <c r="H3688" s="39" t="e">
        <f>VLOOKUP(E3688,基础信息!C:E,3,FALSE)</f>
        <v>#N/A</v>
      </c>
    </row>
    <row r="3689" customHeight="1" spans="8:8">
      <c r="H3689" s="39" t="e">
        <f>VLOOKUP(E3689,基础信息!C:E,3,FALSE)</f>
        <v>#N/A</v>
      </c>
    </row>
    <row r="3690" customHeight="1" spans="8:8">
      <c r="H3690" s="39" t="e">
        <f>VLOOKUP(E3690,基础信息!C:E,3,FALSE)</f>
        <v>#N/A</v>
      </c>
    </row>
    <row r="3691" customHeight="1" spans="8:8">
      <c r="H3691" s="39" t="e">
        <f>VLOOKUP(E3691,基础信息!C:E,3,FALSE)</f>
        <v>#N/A</v>
      </c>
    </row>
    <row r="3692" customHeight="1" spans="8:8">
      <c r="H3692" s="39" t="e">
        <f>VLOOKUP(E3692,基础信息!C:E,3,FALSE)</f>
        <v>#N/A</v>
      </c>
    </row>
    <row r="3693" customHeight="1" spans="8:8">
      <c r="H3693" s="39" t="e">
        <f>VLOOKUP(E3693,基础信息!C:E,3,FALSE)</f>
        <v>#N/A</v>
      </c>
    </row>
    <row r="3694" customHeight="1" spans="8:8">
      <c r="H3694" s="39" t="e">
        <f>VLOOKUP(E3694,基础信息!C:E,3,FALSE)</f>
        <v>#N/A</v>
      </c>
    </row>
    <row r="3695" customHeight="1" spans="8:8">
      <c r="H3695" s="39" t="e">
        <f>VLOOKUP(E3695,基础信息!C:E,3,FALSE)</f>
        <v>#N/A</v>
      </c>
    </row>
    <row r="3696" customHeight="1" spans="8:8">
      <c r="H3696" s="39" t="e">
        <f>VLOOKUP(E3696,基础信息!C:E,3,FALSE)</f>
        <v>#N/A</v>
      </c>
    </row>
    <row r="3697" customHeight="1" spans="8:8">
      <c r="H3697" s="39" t="e">
        <f>VLOOKUP(E3697,基础信息!C:E,3,FALSE)</f>
        <v>#N/A</v>
      </c>
    </row>
    <row r="3698" customHeight="1" spans="8:8">
      <c r="H3698" s="39" t="e">
        <f>VLOOKUP(E3698,基础信息!C:E,3,FALSE)</f>
        <v>#N/A</v>
      </c>
    </row>
    <row r="3699" customHeight="1" spans="8:8">
      <c r="H3699" s="39" t="e">
        <f>VLOOKUP(E3699,基础信息!C:E,3,FALSE)</f>
        <v>#N/A</v>
      </c>
    </row>
    <row r="3700" customHeight="1" spans="8:8">
      <c r="H3700" s="39" t="e">
        <f>VLOOKUP(E3700,基础信息!C:E,3,FALSE)</f>
        <v>#N/A</v>
      </c>
    </row>
    <row r="3701" customHeight="1" spans="8:8">
      <c r="H3701" s="39" t="e">
        <f>VLOOKUP(E3701,基础信息!C:E,3,FALSE)</f>
        <v>#N/A</v>
      </c>
    </row>
    <row r="3702" customHeight="1" spans="8:8">
      <c r="H3702" s="39" t="e">
        <f>VLOOKUP(E3702,基础信息!C:E,3,FALSE)</f>
        <v>#N/A</v>
      </c>
    </row>
    <row r="3703" customHeight="1" spans="8:8">
      <c r="H3703" s="39" t="e">
        <f>VLOOKUP(E3703,基础信息!C:E,3,FALSE)</f>
        <v>#N/A</v>
      </c>
    </row>
    <row r="3704" customHeight="1" spans="8:8">
      <c r="H3704" s="39" t="e">
        <f>VLOOKUP(E3704,基础信息!C:E,3,FALSE)</f>
        <v>#N/A</v>
      </c>
    </row>
    <row r="3705" customHeight="1" spans="8:8">
      <c r="H3705" s="39" t="e">
        <f>VLOOKUP(E3705,基础信息!C:E,3,FALSE)</f>
        <v>#N/A</v>
      </c>
    </row>
    <row r="3706" customHeight="1" spans="8:8">
      <c r="H3706" s="39" t="e">
        <f>VLOOKUP(E3706,基础信息!C:E,3,FALSE)</f>
        <v>#N/A</v>
      </c>
    </row>
    <row r="3707" customHeight="1" spans="8:8">
      <c r="H3707" s="39" t="e">
        <f>VLOOKUP(E3707,基础信息!C:E,3,FALSE)</f>
        <v>#N/A</v>
      </c>
    </row>
    <row r="3708" customHeight="1" spans="8:8">
      <c r="H3708" s="39" t="e">
        <f>VLOOKUP(E3708,基础信息!C:E,3,FALSE)</f>
        <v>#N/A</v>
      </c>
    </row>
    <row r="3709" customHeight="1" spans="8:8">
      <c r="H3709" s="39" t="e">
        <f>VLOOKUP(E3709,基础信息!C:E,3,FALSE)</f>
        <v>#N/A</v>
      </c>
    </row>
    <row r="3710" customHeight="1" spans="8:8">
      <c r="H3710" s="39" t="e">
        <f>VLOOKUP(E3710,基础信息!C:E,3,FALSE)</f>
        <v>#N/A</v>
      </c>
    </row>
    <row r="3711" customHeight="1" spans="8:8">
      <c r="H3711" s="39" t="e">
        <f>VLOOKUP(E3711,基础信息!C:E,3,FALSE)</f>
        <v>#N/A</v>
      </c>
    </row>
    <row r="3712" customHeight="1" spans="8:8">
      <c r="H3712" s="39" t="e">
        <f>VLOOKUP(E3712,基础信息!C:E,3,FALSE)</f>
        <v>#N/A</v>
      </c>
    </row>
    <row r="3713" customHeight="1" spans="8:8">
      <c r="H3713" s="39" t="e">
        <f>VLOOKUP(E3713,基础信息!C:E,3,FALSE)</f>
        <v>#N/A</v>
      </c>
    </row>
    <row r="3714" customHeight="1" spans="8:8">
      <c r="H3714" s="39" t="e">
        <f>VLOOKUP(E3714,基础信息!C:E,3,FALSE)</f>
        <v>#N/A</v>
      </c>
    </row>
    <row r="3715" customHeight="1" spans="8:8">
      <c r="H3715" s="39" t="e">
        <f>VLOOKUP(E3715,基础信息!C:E,3,FALSE)</f>
        <v>#N/A</v>
      </c>
    </row>
    <row r="3716" customHeight="1" spans="8:8">
      <c r="H3716" s="39" t="e">
        <f>VLOOKUP(E3716,基础信息!C:E,3,FALSE)</f>
        <v>#N/A</v>
      </c>
    </row>
    <row r="3717" customHeight="1" spans="8:8">
      <c r="H3717" s="39" t="e">
        <f>VLOOKUP(E3717,基础信息!C:E,3,FALSE)</f>
        <v>#N/A</v>
      </c>
    </row>
    <row r="3718" customHeight="1" spans="8:8">
      <c r="H3718" s="39" t="e">
        <f>VLOOKUP(E3718,基础信息!C:E,3,FALSE)</f>
        <v>#N/A</v>
      </c>
    </row>
    <row r="3719" customHeight="1" spans="8:8">
      <c r="H3719" s="39" t="e">
        <f>VLOOKUP(E3719,基础信息!C:E,3,FALSE)</f>
        <v>#N/A</v>
      </c>
    </row>
    <row r="3720" customHeight="1" spans="8:8">
      <c r="H3720" s="39" t="e">
        <f>VLOOKUP(E3720,基础信息!C:E,3,FALSE)</f>
        <v>#N/A</v>
      </c>
    </row>
    <row r="3721" customHeight="1" spans="8:8">
      <c r="H3721" s="39" t="e">
        <f>VLOOKUP(E3721,基础信息!C:E,3,FALSE)</f>
        <v>#N/A</v>
      </c>
    </row>
    <row r="3722" customHeight="1" spans="8:8">
      <c r="H3722" s="39" t="e">
        <f>VLOOKUP(E3722,基础信息!C:E,3,FALSE)</f>
        <v>#N/A</v>
      </c>
    </row>
    <row r="3723" customHeight="1" spans="8:8">
      <c r="H3723" s="39" t="e">
        <f>VLOOKUP(E3723,基础信息!C:E,3,FALSE)</f>
        <v>#N/A</v>
      </c>
    </row>
    <row r="3724" customHeight="1" spans="8:8">
      <c r="H3724" s="39" t="e">
        <f>VLOOKUP(E3724,基础信息!C:E,3,FALSE)</f>
        <v>#N/A</v>
      </c>
    </row>
    <row r="3725" customHeight="1" spans="8:8">
      <c r="H3725" s="39" t="e">
        <f>VLOOKUP(E3725,基础信息!C:E,3,FALSE)</f>
        <v>#N/A</v>
      </c>
    </row>
    <row r="3726" customHeight="1" spans="8:8">
      <c r="H3726" s="39" t="e">
        <f>VLOOKUP(E3726,基础信息!C:E,3,FALSE)</f>
        <v>#N/A</v>
      </c>
    </row>
    <row r="3727" customHeight="1" spans="8:8">
      <c r="H3727" s="39" t="e">
        <f>VLOOKUP(E3727,基础信息!C:E,3,FALSE)</f>
        <v>#N/A</v>
      </c>
    </row>
    <row r="3728" customHeight="1" spans="8:8">
      <c r="H3728" s="39" t="e">
        <f>VLOOKUP(E3728,基础信息!C:E,3,FALSE)</f>
        <v>#N/A</v>
      </c>
    </row>
    <row r="3729" customHeight="1" spans="8:8">
      <c r="H3729" s="39" t="e">
        <f>VLOOKUP(E3729,基础信息!C:E,3,FALSE)</f>
        <v>#N/A</v>
      </c>
    </row>
    <row r="3730" customHeight="1" spans="8:8">
      <c r="H3730" s="39" t="e">
        <f>VLOOKUP(E3730,基础信息!C:E,3,FALSE)</f>
        <v>#N/A</v>
      </c>
    </row>
    <row r="3731" customHeight="1" spans="8:8">
      <c r="H3731" s="39" t="e">
        <f>VLOOKUP(E3731,基础信息!C:E,3,FALSE)</f>
        <v>#N/A</v>
      </c>
    </row>
    <row r="3732" customHeight="1" spans="8:8">
      <c r="H3732" s="39" t="e">
        <f>VLOOKUP(E3732,基础信息!C:E,3,FALSE)</f>
        <v>#N/A</v>
      </c>
    </row>
    <row r="3733" customHeight="1" spans="8:8">
      <c r="H3733" s="39" t="e">
        <f>VLOOKUP(E3733,基础信息!C:E,3,FALSE)</f>
        <v>#N/A</v>
      </c>
    </row>
    <row r="3734" customHeight="1" spans="8:8">
      <c r="H3734" s="39" t="e">
        <f>VLOOKUP(E3734,基础信息!C:E,3,FALSE)</f>
        <v>#N/A</v>
      </c>
    </row>
    <row r="3735" customHeight="1" spans="8:8">
      <c r="H3735" s="39" t="e">
        <f>VLOOKUP(E3735,基础信息!C:E,3,FALSE)</f>
        <v>#N/A</v>
      </c>
    </row>
    <row r="3736" customHeight="1" spans="8:8">
      <c r="H3736" s="39" t="e">
        <f>VLOOKUP(E3736,基础信息!C:E,3,FALSE)</f>
        <v>#N/A</v>
      </c>
    </row>
    <row r="3737" customHeight="1" spans="8:8">
      <c r="H3737" s="39" t="e">
        <f>VLOOKUP(E3737,基础信息!C:E,3,FALSE)</f>
        <v>#N/A</v>
      </c>
    </row>
    <row r="3738" customHeight="1" spans="8:8">
      <c r="H3738" s="39" t="e">
        <f>VLOOKUP(E3738,基础信息!C:E,3,FALSE)</f>
        <v>#N/A</v>
      </c>
    </row>
    <row r="3739" customHeight="1" spans="8:8">
      <c r="H3739" s="39" t="e">
        <f>VLOOKUP(E3739,基础信息!C:E,3,FALSE)</f>
        <v>#N/A</v>
      </c>
    </row>
    <row r="3740" customHeight="1" spans="8:8">
      <c r="H3740" s="39" t="e">
        <f>VLOOKUP(E3740,基础信息!C:E,3,FALSE)</f>
        <v>#N/A</v>
      </c>
    </row>
    <row r="3741" customHeight="1" spans="8:8">
      <c r="H3741" s="39" t="e">
        <f>VLOOKUP(E3741,基础信息!C:E,3,FALSE)</f>
        <v>#N/A</v>
      </c>
    </row>
    <row r="3742" customHeight="1" spans="8:8">
      <c r="H3742" s="39" t="e">
        <f>VLOOKUP(E3742,基础信息!C:E,3,FALSE)</f>
        <v>#N/A</v>
      </c>
    </row>
    <row r="3743" customHeight="1" spans="8:8">
      <c r="H3743" s="39" t="e">
        <f>VLOOKUP(E3743,基础信息!C:E,3,FALSE)</f>
        <v>#N/A</v>
      </c>
    </row>
    <row r="3744" customHeight="1" spans="8:8">
      <c r="H3744" s="39" t="e">
        <f>VLOOKUP(E3744,基础信息!C:E,3,FALSE)</f>
        <v>#N/A</v>
      </c>
    </row>
    <row r="3745" customHeight="1" spans="8:8">
      <c r="H3745" s="39" t="e">
        <f>VLOOKUP(E3745,基础信息!C:E,3,FALSE)</f>
        <v>#N/A</v>
      </c>
    </row>
    <row r="3746" customHeight="1" spans="8:8">
      <c r="H3746" s="39" t="e">
        <f>VLOOKUP(E3746,基础信息!C:E,3,FALSE)</f>
        <v>#N/A</v>
      </c>
    </row>
    <row r="3747" customHeight="1" spans="8:8">
      <c r="H3747" s="39" t="e">
        <f>VLOOKUP(E3747,基础信息!C:E,3,FALSE)</f>
        <v>#N/A</v>
      </c>
    </row>
    <row r="3748" customHeight="1" spans="8:8">
      <c r="H3748" s="39" t="e">
        <f>VLOOKUP(E3748,基础信息!C:E,3,FALSE)</f>
        <v>#N/A</v>
      </c>
    </row>
    <row r="3749" customHeight="1" spans="8:8">
      <c r="H3749" s="39" t="e">
        <f>VLOOKUP(E3749,基础信息!C:E,3,FALSE)</f>
        <v>#N/A</v>
      </c>
    </row>
    <row r="3750" customHeight="1" spans="8:8">
      <c r="H3750" s="39" t="e">
        <f>VLOOKUP(E3750,基础信息!C:E,3,FALSE)</f>
        <v>#N/A</v>
      </c>
    </row>
    <row r="3751" customHeight="1" spans="8:8">
      <c r="H3751" s="39" t="e">
        <f>VLOOKUP(E3751,基础信息!C:E,3,FALSE)</f>
        <v>#N/A</v>
      </c>
    </row>
    <row r="3752" customHeight="1" spans="8:8">
      <c r="H3752" s="39" t="e">
        <f>VLOOKUP(E3752,基础信息!C:E,3,FALSE)</f>
        <v>#N/A</v>
      </c>
    </row>
    <row r="3753" customHeight="1" spans="8:8">
      <c r="H3753" s="39" t="e">
        <f>VLOOKUP(E3753,基础信息!C:E,3,FALSE)</f>
        <v>#N/A</v>
      </c>
    </row>
    <row r="3754" customHeight="1" spans="8:8">
      <c r="H3754" s="39" t="e">
        <f>VLOOKUP(E3754,基础信息!C:E,3,FALSE)</f>
        <v>#N/A</v>
      </c>
    </row>
    <row r="3755" customHeight="1" spans="8:8">
      <c r="H3755" s="39" t="e">
        <f>VLOOKUP(E3755,基础信息!C:E,3,FALSE)</f>
        <v>#N/A</v>
      </c>
    </row>
    <row r="3756" customHeight="1" spans="8:8">
      <c r="H3756" s="39" t="e">
        <f>VLOOKUP(E3756,基础信息!C:E,3,FALSE)</f>
        <v>#N/A</v>
      </c>
    </row>
    <row r="3757" customHeight="1" spans="8:8">
      <c r="H3757" s="39" t="e">
        <f>VLOOKUP(E3757,基础信息!C:E,3,FALSE)</f>
        <v>#N/A</v>
      </c>
    </row>
    <row r="3758" customHeight="1" spans="8:8">
      <c r="H3758" s="39" t="e">
        <f>VLOOKUP(E3758,基础信息!C:E,3,FALSE)</f>
        <v>#N/A</v>
      </c>
    </row>
    <row r="3759" customHeight="1" spans="8:8">
      <c r="H3759" s="39" t="e">
        <f>VLOOKUP(E3759,基础信息!C:E,3,FALSE)</f>
        <v>#N/A</v>
      </c>
    </row>
    <row r="3760" customHeight="1" spans="8:8">
      <c r="H3760" s="39" t="e">
        <f>VLOOKUP(E3760,基础信息!C:E,3,FALSE)</f>
        <v>#N/A</v>
      </c>
    </row>
    <row r="3761" customHeight="1" spans="8:8">
      <c r="H3761" s="39" t="e">
        <f>VLOOKUP(E3761,基础信息!C:E,3,FALSE)</f>
        <v>#N/A</v>
      </c>
    </row>
    <row r="3762" customHeight="1" spans="8:8">
      <c r="H3762" s="39" t="e">
        <f>VLOOKUP(E3762,基础信息!C:E,3,FALSE)</f>
        <v>#N/A</v>
      </c>
    </row>
    <row r="3763" customHeight="1" spans="8:8">
      <c r="H3763" s="39" t="e">
        <f>VLOOKUP(E3763,基础信息!C:E,3,FALSE)</f>
        <v>#N/A</v>
      </c>
    </row>
    <row r="3764" customHeight="1" spans="8:8">
      <c r="H3764" s="39" t="e">
        <f>VLOOKUP(E3764,基础信息!C:E,3,FALSE)</f>
        <v>#N/A</v>
      </c>
    </row>
    <row r="3765" customHeight="1" spans="8:8">
      <c r="H3765" s="39" t="e">
        <f>VLOOKUP(E3765,基础信息!C:E,3,FALSE)</f>
        <v>#N/A</v>
      </c>
    </row>
    <row r="3766" customHeight="1" spans="8:8">
      <c r="H3766" s="39" t="e">
        <f>VLOOKUP(E3766,基础信息!C:E,3,FALSE)</f>
        <v>#N/A</v>
      </c>
    </row>
    <row r="3767" customHeight="1" spans="8:8">
      <c r="H3767" s="39" t="e">
        <f>VLOOKUP(E3767,基础信息!C:E,3,FALSE)</f>
        <v>#N/A</v>
      </c>
    </row>
    <row r="3768" customHeight="1" spans="8:8">
      <c r="H3768" s="39" t="e">
        <f>VLOOKUP(E3768,基础信息!C:E,3,FALSE)</f>
        <v>#N/A</v>
      </c>
    </row>
    <row r="3769" customHeight="1" spans="8:8">
      <c r="H3769" s="39" t="e">
        <f>VLOOKUP(E3769,基础信息!C:E,3,FALSE)</f>
        <v>#N/A</v>
      </c>
    </row>
    <row r="3770" customHeight="1" spans="8:8">
      <c r="H3770" s="39" t="e">
        <f>VLOOKUP(E3770,基础信息!C:E,3,FALSE)</f>
        <v>#N/A</v>
      </c>
    </row>
    <row r="3771" customHeight="1" spans="8:8">
      <c r="H3771" s="39" t="e">
        <f>VLOOKUP(E3771,基础信息!C:E,3,FALSE)</f>
        <v>#N/A</v>
      </c>
    </row>
    <row r="3772" customHeight="1" spans="8:8">
      <c r="H3772" s="39" t="e">
        <f>VLOOKUP(E3772,基础信息!C:E,3,FALSE)</f>
        <v>#N/A</v>
      </c>
    </row>
    <row r="3773" customHeight="1" spans="8:8">
      <c r="H3773" s="39" t="e">
        <f>VLOOKUP(E3773,基础信息!C:E,3,FALSE)</f>
        <v>#N/A</v>
      </c>
    </row>
    <row r="3774" customHeight="1" spans="8:8">
      <c r="H3774" s="39" t="e">
        <f>VLOOKUP(E3774,基础信息!C:E,3,FALSE)</f>
        <v>#N/A</v>
      </c>
    </row>
    <row r="3775" customHeight="1" spans="8:8">
      <c r="H3775" s="39" t="e">
        <f>VLOOKUP(E3775,基础信息!C:E,3,FALSE)</f>
        <v>#N/A</v>
      </c>
    </row>
    <row r="3776" customHeight="1" spans="8:8">
      <c r="H3776" s="39" t="e">
        <f>VLOOKUP(E3776,基础信息!C:E,3,FALSE)</f>
        <v>#N/A</v>
      </c>
    </row>
    <row r="3777" customHeight="1" spans="8:8">
      <c r="H3777" s="39" t="e">
        <f>VLOOKUP(E3777,基础信息!C:E,3,FALSE)</f>
        <v>#N/A</v>
      </c>
    </row>
    <row r="3778" customHeight="1" spans="8:8">
      <c r="H3778" s="39" t="e">
        <f>VLOOKUP(E3778,基础信息!C:E,3,FALSE)</f>
        <v>#N/A</v>
      </c>
    </row>
    <row r="3779" customHeight="1" spans="8:8">
      <c r="H3779" s="39" t="e">
        <f>VLOOKUP(E3779,基础信息!C:E,3,FALSE)</f>
        <v>#N/A</v>
      </c>
    </row>
    <row r="3780" customHeight="1" spans="8:8">
      <c r="H3780" s="39" t="e">
        <f>VLOOKUP(E3780,基础信息!C:E,3,FALSE)</f>
        <v>#N/A</v>
      </c>
    </row>
    <row r="3781" customHeight="1" spans="8:8">
      <c r="H3781" s="39" t="e">
        <f>VLOOKUP(E3781,基础信息!C:E,3,FALSE)</f>
        <v>#N/A</v>
      </c>
    </row>
    <row r="3782" customHeight="1" spans="8:8">
      <c r="H3782" s="39" t="e">
        <f>VLOOKUP(E3782,基础信息!C:E,3,FALSE)</f>
        <v>#N/A</v>
      </c>
    </row>
    <row r="3783" customHeight="1" spans="8:8">
      <c r="H3783" s="39" t="e">
        <f>VLOOKUP(E3783,基础信息!C:E,3,FALSE)</f>
        <v>#N/A</v>
      </c>
    </row>
    <row r="3784" customHeight="1" spans="8:8">
      <c r="H3784" s="39" t="e">
        <f>VLOOKUP(E3784,基础信息!C:E,3,FALSE)</f>
        <v>#N/A</v>
      </c>
    </row>
    <row r="3785" customHeight="1" spans="8:8">
      <c r="H3785" s="39" t="e">
        <f>VLOOKUP(E3785,基础信息!C:E,3,FALSE)</f>
        <v>#N/A</v>
      </c>
    </row>
    <row r="3786" customHeight="1" spans="8:8">
      <c r="H3786" s="39" t="e">
        <f>VLOOKUP(E3786,基础信息!C:E,3,FALSE)</f>
        <v>#N/A</v>
      </c>
    </row>
    <row r="3787" customHeight="1" spans="8:8">
      <c r="H3787" s="39" t="e">
        <f>VLOOKUP(E3787,基础信息!C:E,3,FALSE)</f>
        <v>#N/A</v>
      </c>
    </row>
    <row r="3788" customHeight="1" spans="8:8">
      <c r="H3788" s="39" t="e">
        <f>VLOOKUP(E3788,基础信息!C:E,3,FALSE)</f>
        <v>#N/A</v>
      </c>
    </row>
    <row r="3789" customHeight="1" spans="8:8">
      <c r="H3789" s="39" t="e">
        <f>VLOOKUP(E3789,基础信息!C:E,3,FALSE)</f>
        <v>#N/A</v>
      </c>
    </row>
    <row r="3790" customHeight="1" spans="8:8">
      <c r="H3790" s="39" t="e">
        <f>VLOOKUP(E3790,基础信息!C:E,3,FALSE)</f>
        <v>#N/A</v>
      </c>
    </row>
    <row r="3791" customHeight="1" spans="8:8">
      <c r="H3791" s="39" t="e">
        <f>VLOOKUP(E3791,基础信息!C:E,3,FALSE)</f>
        <v>#N/A</v>
      </c>
    </row>
    <row r="3792" customHeight="1" spans="8:8">
      <c r="H3792" s="39" t="e">
        <f>VLOOKUP(E3792,基础信息!C:E,3,FALSE)</f>
        <v>#N/A</v>
      </c>
    </row>
    <row r="3793" customHeight="1" spans="8:8">
      <c r="H3793" s="39" t="e">
        <f>VLOOKUP(E3793,基础信息!C:E,3,FALSE)</f>
        <v>#N/A</v>
      </c>
    </row>
    <row r="3794" customHeight="1" spans="8:8">
      <c r="H3794" s="39" t="e">
        <f>VLOOKUP(E3794,基础信息!C:E,3,FALSE)</f>
        <v>#N/A</v>
      </c>
    </row>
    <row r="3795" customHeight="1" spans="8:8">
      <c r="H3795" s="39" t="e">
        <f>VLOOKUP(E3795,基础信息!C:E,3,FALSE)</f>
        <v>#N/A</v>
      </c>
    </row>
    <row r="3796" customHeight="1" spans="8:8">
      <c r="H3796" s="39" t="e">
        <f>VLOOKUP(E3796,基础信息!C:E,3,FALSE)</f>
        <v>#N/A</v>
      </c>
    </row>
    <row r="3797" customHeight="1" spans="8:8">
      <c r="H3797" s="39" t="e">
        <f>VLOOKUP(E3797,基础信息!C:E,3,FALSE)</f>
        <v>#N/A</v>
      </c>
    </row>
    <row r="3798" customHeight="1" spans="8:8">
      <c r="H3798" s="39" t="e">
        <f>VLOOKUP(E3798,基础信息!C:E,3,FALSE)</f>
        <v>#N/A</v>
      </c>
    </row>
    <row r="3799" customHeight="1" spans="8:8">
      <c r="H3799" s="39" t="e">
        <f>VLOOKUP(E3799,基础信息!C:E,3,FALSE)</f>
        <v>#N/A</v>
      </c>
    </row>
    <row r="3800" customHeight="1" spans="8:8">
      <c r="H3800" s="39" t="e">
        <f>VLOOKUP(E3800,基础信息!C:E,3,FALSE)</f>
        <v>#N/A</v>
      </c>
    </row>
    <row r="3801" customHeight="1" spans="8:8">
      <c r="H3801" s="39" t="e">
        <f>VLOOKUP(E3801,基础信息!C:E,3,FALSE)</f>
        <v>#N/A</v>
      </c>
    </row>
    <row r="3802" customHeight="1" spans="8:8">
      <c r="H3802" s="39" t="e">
        <f>VLOOKUP(E3802,基础信息!C:E,3,FALSE)</f>
        <v>#N/A</v>
      </c>
    </row>
    <row r="3803" customHeight="1" spans="8:8">
      <c r="H3803" s="39" t="e">
        <f>VLOOKUP(E3803,基础信息!C:E,3,FALSE)</f>
        <v>#N/A</v>
      </c>
    </row>
    <row r="3804" customHeight="1" spans="8:8">
      <c r="H3804" s="39" t="e">
        <f>VLOOKUP(E3804,基础信息!C:E,3,FALSE)</f>
        <v>#N/A</v>
      </c>
    </row>
    <row r="3805" customHeight="1" spans="8:8">
      <c r="H3805" s="39" t="e">
        <f>VLOOKUP(E3805,基础信息!C:E,3,FALSE)</f>
        <v>#N/A</v>
      </c>
    </row>
    <row r="3806" customHeight="1" spans="8:8">
      <c r="H3806" s="39" t="e">
        <f>VLOOKUP(E3806,基础信息!C:E,3,FALSE)</f>
        <v>#N/A</v>
      </c>
    </row>
    <row r="3807" customHeight="1" spans="8:8">
      <c r="H3807" s="39" t="e">
        <f>VLOOKUP(E3807,基础信息!C:E,3,FALSE)</f>
        <v>#N/A</v>
      </c>
    </row>
    <row r="3808" customHeight="1" spans="8:8">
      <c r="H3808" s="39" t="e">
        <f>VLOOKUP(E3808,基础信息!C:E,3,FALSE)</f>
        <v>#N/A</v>
      </c>
    </row>
    <row r="3809" customHeight="1" spans="8:8">
      <c r="H3809" s="39" t="e">
        <f>VLOOKUP(E3809,基础信息!C:E,3,FALSE)</f>
        <v>#N/A</v>
      </c>
    </row>
    <row r="3810" customHeight="1" spans="8:8">
      <c r="H3810" s="39" t="e">
        <f>VLOOKUP(E3810,基础信息!C:E,3,FALSE)</f>
        <v>#N/A</v>
      </c>
    </row>
    <row r="3811" customHeight="1" spans="8:8">
      <c r="H3811" s="39" t="e">
        <f>VLOOKUP(E3811,基础信息!C:E,3,FALSE)</f>
        <v>#N/A</v>
      </c>
    </row>
    <row r="3812" customHeight="1" spans="8:8">
      <c r="H3812" s="39" t="e">
        <f>VLOOKUP(E3812,基础信息!C:E,3,FALSE)</f>
        <v>#N/A</v>
      </c>
    </row>
    <row r="3813" customHeight="1" spans="8:8">
      <c r="H3813" s="39" t="e">
        <f>VLOOKUP(E3813,基础信息!C:E,3,FALSE)</f>
        <v>#N/A</v>
      </c>
    </row>
    <row r="3814" customHeight="1" spans="8:8">
      <c r="H3814" s="39" t="e">
        <f>VLOOKUP(E3814,基础信息!C:E,3,FALSE)</f>
        <v>#N/A</v>
      </c>
    </row>
    <row r="3815" customHeight="1" spans="8:8">
      <c r="H3815" s="39" t="e">
        <f>VLOOKUP(E3815,基础信息!C:E,3,FALSE)</f>
        <v>#N/A</v>
      </c>
    </row>
    <row r="3816" customHeight="1" spans="8:8">
      <c r="H3816" s="39" t="e">
        <f>VLOOKUP(E3816,基础信息!C:E,3,FALSE)</f>
        <v>#N/A</v>
      </c>
    </row>
    <row r="3817" customHeight="1" spans="8:8">
      <c r="H3817" s="39" t="e">
        <f>VLOOKUP(E3817,基础信息!C:E,3,FALSE)</f>
        <v>#N/A</v>
      </c>
    </row>
    <row r="3818" customHeight="1" spans="8:8">
      <c r="H3818" s="39" t="e">
        <f>VLOOKUP(E3818,基础信息!C:E,3,FALSE)</f>
        <v>#N/A</v>
      </c>
    </row>
    <row r="3819" customHeight="1" spans="8:8">
      <c r="H3819" s="39" t="e">
        <f>VLOOKUP(E3819,基础信息!C:E,3,FALSE)</f>
        <v>#N/A</v>
      </c>
    </row>
    <row r="3820" customHeight="1" spans="8:8">
      <c r="H3820" s="39" t="e">
        <f>VLOOKUP(E3820,基础信息!C:E,3,FALSE)</f>
        <v>#N/A</v>
      </c>
    </row>
    <row r="3821" customHeight="1" spans="8:8">
      <c r="H3821" s="39" t="e">
        <f>VLOOKUP(E3821,基础信息!C:E,3,FALSE)</f>
        <v>#N/A</v>
      </c>
    </row>
    <row r="3822" customHeight="1" spans="8:8">
      <c r="H3822" s="39" t="e">
        <f>VLOOKUP(E3822,基础信息!C:E,3,FALSE)</f>
        <v>#N/A</v>
      </c>
    </row>
    <row r="3823" customHeight="1" spans="8:8">
      <c r="H3823" s="39" t="e">
        <f>VLOOKUP(E3823,基础信息!C:E,3,FALSE)</f>
        <v>#N/A</v>
      </c>
    </row>
    <row r="3824" customHeight="1" spans="8:8">
      <c r="H3824" s="39" t="e">
        <f>VLOOKUP(E3824,基础信息!C:E,3,FALSE)</f>
        <v>#N/A</v>
      </c>
    </row>
    <row r="3825" customHeight="1" spans="8:8">
      <c r="H3825" s="39" t="e">
        <f>VLOOKUP(E3825,基础信息!C:E,3,FALSE)</f>
        <v>#N/A</v>
      </c>
    </row>
    <row r="3826" customHeight="1" spans="8:8">
      <c r="H3826" s="39" t="e">
        <f>VLOOKUP(E3826,基础信息!C:E,3,FALSE)</f>
        <v>#N/A</v>
      </c>
    </row>
    <row r="3827" customHeight="1" spans="8:8">
      <c r="H3827" s="39" t="e">
        <f>VLOOKUP(E3827,基础信息!C:E,3,FALSE)</f>
        <v>#N/A</v>
      </c>
    </row>
    <row r="3828" customHeight="1" spans="8:8">
      <c r="H3828" s="39" t="e">
        <f>VLOOKUP(E3828,基础信息!C:E,3,FALSE)</f>
        <v>#N/A</v>
      </c>
    </row>
    <row r="3829" customHeight="1" spans="8:8">
      <c r="H3829" s="39" t="e">
        <f>VLOOKUP(E3829,基础信息!C:E,3,FALSE)</f>
        <v>#N/A</v>
      </c>
    </row>
    <row r="3830" customHeight="1" spans="8:8">
      <c r="H3830" s="39" t="e">
        <f>VLOOKUP(E3830,基础信息!C:E,3,FALSE)</f>
        <v>#N/A</v>
      </c>
    </row>
    <row r="3831" customHeight="1" spans="8:8">
      <c r="H3831" s="39" t="e">
        <f>VLOOKUP(E3831,基础信息!C:E,3,FALSE)</f>
        <v>#N/A</v>
      </c>
    </row>
    <row r="3832" customHeight="1" spans="8:8">
      <c r="H3832" s="39" t="e">
        <f>VLOOKUP(E3832,基础信息!C:E,3,FALSE)</f>
        <v>#N/A</v>
      </c>
    </row>
    <row r="3833" customHeight="1" spans="8:8">
      <c r="H3833" s="39" t="e">
        <f>VLOOKUP(E3833,基础信息!C:E,3,FALSE)</f>
        <v>#N/A</v>
      </c>
    </row>
    <row r="3834" customHeight="1" spans="8:8">
      <c r="H3834" s="39" t="e">
        <f>VLOOKUP(E3834,基础信息!C:E,3,FALSE)</f>
        <v>#N/A</v>
      </c>
    </row>
    <row r="3835" customHeight="1" spans="8:8">
      <c r="H3835" s="39" t="e">
        <f>VLOOKUP(E3835,基础信息!C:E,3,FALSE)</f>
        <v>#N/A</v>
      </c>
    </row>
    <row r="3836" customHeight="1" spans="8:8">
      <c r="H3836" s="39" t="e">
        <f>VLOOKUP(E3836,基础信息!C:E,3,FALSE)</f>
        <v>#N/A</v>
      </c>
    </row>
    <row r="3837" customHeight="1" spans="8:8">
      <c r="H3837" s="39" t="e">
        <f>VLOOKUP(E3837,基础信息!C:E,3,FALSE)</f>
        <v>#N/A</v>
      </c>
    </row>
    <row r="3838" customHeight="1" spans="8:8">
      <c r="H3838" s="39" t="e">
        <f>VLOOKUP(E3838,基础信息!C:E,3,FALSE)</f>
        <v>#N/A</v>
      </c>
    </row>
    <row r="3839" customHeight="1" spans="8:8">
      <c r="H3839" s="39" t="e">
        <f>VLOOKUP(E3839,基础信息!C:E,3,FALSE)</f>
        <v>#N/A</v>
      </c>
    </row>
    <row r="3840" customHeight="1" spans="8:8">
      <c r="H3840" s="39" t="e">
        <f>VLOOKUP(E3840,基础信息!C:E,3,FALSE)</f>
        <v>#N/A</v>
      </c>
    </row>
    <row r="3841" customHeight="1" spans="8:8">
      <c r="H3841" s="39" t="e">
        <f>VLOOKUP(E3841,基础信息!C:E,3,FALSE)</f>
        <v>#N/A</v>
      </c>
    </row>
    <row r="3842" customHeight="1" spans="8:8">
      <c r="H3842" s="39" t="e">
        <f>VLOOKUP(E3842,基础信息!C:E,3,FALSE)</f>
        <v>#N/A</v>
      </c>
    </row>
    <row r="3843" customHeight="1" spans="8:8">
      <c r="H3843" s="39" t="e">
        <f>VLOOKUP(E3843,基础信息!C:E,3,FALSE)</f>
        <v>#N/A</v>
      </c>
    </row>
    <row r="3844" customHeight="1" spans="8:8">
      <c r="H3844" s="39" t="e">
        <f>VLOOKUP(E3844,基础信息!C:E,3,FALSE)</f>
        <v>#N/A</v>
      </c>
    </row>
    <row r="3845" customHeight="1" spans="8:8">
      <c r="H3845" s="39" t="e">
        <f>VLOOKUP(E3845,基础信息!C:E,3,FALSE)</f>
        <v>#N/A</v>
      </c>
    </row>
    <row r="3846" customHeight="1" spans="8:8">
      <c r="H3846" s="39" t="e">
        <f>VLOOKUP(E3846,基础信息!C:E,3,FALSE)</f>
        <v>#N/A</v>
      </c>
    </row>
    <row r="3847" customHeight="1" spans="8:8">
      <c r="H3847" s="39" t="e">
        <f>VLOOKUP(E3847,基础信息!C:E,3,FALSE)</f>
        <v>#N/A</v>
      </c>
    </row>
    <row r="3848" customHeight="1" spans="8:8">
      <c r="H3848" s="39" t="e">
        <f>VLOOKUP(E3848,基础信息!C:E,3,FALSE)</f>
        <v>#N/A</v>
      </c>
    </row>
    <row r="3849" customHeight="1" spans="8:8">
      <c r="H3849" s="39" t="e">
        <f>VLOOKUP(E3849,基础信息!C:E,3,FALSE)</f>
        <v>#N/A</v>
      </c>
    </row>
    <row r="3850" customHeight="1" spans="8:8">
      <c r="H3850" s="39" t="e">
        <f>VLOOKUP(E3850,基础信息!C:E,3,FALSE)</f>
        <v>#N/A</v>
      </c>
    </row>
    <row r="3851" customHeight="1" spans="8:8">
      <c r="H3851" s="39" t="e">
        <f>VLOOKUP(E3851,基础信息!C:E,3,FALSE)</f>
        <v>#N/A</v>
      </c>
    </row>
    <row r="3852" customHeight="1" spans="8:8">
      <c r="H3852" s="39" t="e">
        <f>VLOOKUP(E3852,基础信息!C:E,3,FALSE)</f>
        <v>#N/A</v>
      </c>
    </row>
    <row r="3853" customHeight="1" spans="8:8">
      <c r="H3853" s="39" t="e">
        <f>VLOOKUP(E3853,基础信息!C:E,3,FALSE)</f>
        <v>#N/A</v>
      </c>
    </row>
    <row r="3854" customHeight="1" spans="8:8">
      <c r="H3854" s="39" t="e">
        <f>VLOOKUP(E3854,基础信息!C:E,3,FALSE)</f>
        <v>#N/A</v>
      </c>
    </row>
    <row r="3855" customHeight="1" spans="8:8">
      <c r="H3855" s="39" t="e">
        <f>VLOOKUP(E3855,基础信息!C:E,3,FALSE)</f>
        <v>#N/A</v>
      </c>
    </row>
    <row r="3856" customHeight="1" spans="8:8">
      <c r="H3856" s="39" t="e">
        <f>VLOOKUP(E3856,基础信息!C:E,3,FALSE)</f>
        <v>#N/A</v>
      </c>
    </row>
    <row r="3857" customHeight="1" spans="8:8">
      <c r="H3857" s="39" t="e">
        <f>VLOOKUP(E3857,基础信息!C:E,3,FALSE)</f>
        <v>#N/A</v>
      </c>
    </row>
    <row r="3858" customHeight="1" spans="8:8">
      <c r="H3858" s="39" t="e">
        <f>VLOOKUP(E3858,基础信息!C:E,3,FALSE)</f>
        <v>#N/A</v>
      </c>
    </row>
    <row r="3859" customHeight="1" spans="8:8">
      <c r="H3859" s="39" t="e">
        <f>VLOOKUP(E3859,基础信息!C:E,3,FALSE)</f>
        <v>#N/A</v>
      </c>
    </row>
    <row r="3860" customHeight="1" spans="8:8">
      <c r="H3860" s="39" t="e">
        <f>VLOOKUP(E3860,基础信息!C:E,3,FALSE)</f>
        <v>#N/A</v>
      </c>
    </row>
    <row r="3861" customHeight="1" spans="8:8">
      <c r="H3861" s="39" t="e">
        <f>VLOOKUP(E3861,基础信息!C:E,3,FALSE)</f>
        <v>#N/A</v>
      </c>
    </row>
    <row r="3862" customHeight="1" spans="8:8">
      <c r="H3862" s="39" t="e">
        <f>VLOOKUP(E3862,基础信息!C:E,3,FALSE)</f>
        <v>#N/A</v>
      </c>
    </row>
    <row r="3863" customHeight="1" spans="8:8">
      <c r="H3863" s="39" t="e">
        <f>VLOOKUP(E3863,基础信息!C:E,3,FALSE)</f>
        <v>#N/A</v>
      </c>
    </row>
    <row r="3864" customHeight="1" spans="8:8">
      <c r="H3864" s="39" t="e">
        <f>VLOOKUP(E3864,基础信息!C:E,3,FALSE)</f>
        <v>#N/A</v>
      </c>
    </row>
    <row r="3865" customHeight="1" spans="8:8">
      <c r="H3865" s="39" t="e">
        <f>VLOOKUP(E3865,基础信息!C:E,3,FALSE)</f>
        <v>#N/A</v>
      </c>
    </row>
    <row r="3866" customHeight="1" spans="8:8">
      <c r="H3866" s="39" t="e">
        <f>VLOOKUP(E3866,基础信息!C:E,3,FALSE)</f>
        <v>#N/A</v>
      </c>
    </row>
    <row r="3867" customHeight="1" spans="8:8">
      <c r="H3867" s="39" t="e">
        <f>VLOOKUP(E3867,基础信息!C:E,3,FALSE)</f>
        <v>#N/A</v>
      </c>
    </row>
    <row r="3868" customHeight="1" spans="8:8">
      <c r="H3868" s="39" t="e">
        <f>VLOOKUP(E3868,基础信息!C:E,3,FALSE)</f>
        <v>#N/A</v>
      </c>
    </row>
    <row r="3869" customHeight="1" spans="8:8">
      <c r="H3869" s="39" t="e">
        <f>VLOOKUP(E3869,基础信息!C:E,3,FALSE)</f>
        <v>#N/A</v>
      </c>
    </row>
    <row r="3870" customHeight="1" spans="8:8">
      <c r="H3870" s="39" t="e">
        <f>VLOOKUP(E3870,基础信息!C:E,3,FALSE)</f>
        <v>#N/A</v>
      </c>
    </row>
    <row r="3871" customHeight="1" spans="8:8">
      <c r="H3871" s="39" t="e">
        <f>VLOOKUP(E3871,基础信息!C:E,3,FALSE)</f>
        <v>#N/A</v>
      </c>
    </row>
    <row r="3872" customHeight="1" spans="8:8">
      <c r="H3872" s="39" t="e">
        <f>VLOOKUP(E3872,基础信息!C:E,3,FALSE)</f>
        <v>#N/A</v>
      </c>
    </row>
    <row r="3873" customHeight="1" spans="8:8">
      <c r="H3873" s="39" t="e">
        <f>VLOOKUP(E3873,基础信息!C:E,3,FALSE)</f>
        <v>#N/A</v>
      </c>
    </row>
    <row r="3874" customHeight="1" spans="8:8">
      <c r="H3874" s="39" t="e">
        <f>VLOOKUP(E3874,基础信息!C:E,3,FALSE)</f>
        <v>#N/A</v>
      </c>
    </row>
    <row r="3875" customHeight="1" spans="8:8">
      <c r="H3875" s="39" t="e">
        <f>VLOOKUP(E3875,基础信息!C:E,3,FALSE)</f>
        <v>#N/A</v>
      </c>
    </row>
    <row r="3876" customHeight="1" spans="8:8">
      <c r="H3876" s="39" t="e">
        <f>VLOOKUP(E3876,基础信息!C:E,3,FALSE)</f>
        <v>#N/A</v>
      </c>
    </row>
    <row r="3877" customHeight="1" spans="8:8">
      <c r="H3877" s="39" t="e">
        <f>VLOOKUP(E3877,基础信息!C:E,3,FALSE)</f>
        <v>#N/A</v>
      </c>
    </row>
    <row r="3878" customHeight="1" spans="8:8">
      <c r="H3878" s="39" t="e">
        <f>VLOOKUP(E3878,基础信息!C:E,3,FALSE)</f>
        <v>#N/A</v>
      </c>
    </row>
    <row r="3879" customHeight="1" spans="8:8">
      <c r="H3879" s="39" t="e">
        <f>VLOOKUP(E3879,基础信息!C:E,3,FALSE)</f>
        <v>#N/A</v>
      </c>
    </row>
    <row r="3880" customHeight="1" spans="8:8">
      <c r="H3880" s="39" t="e">
        <f>VLOOKUP(E3880,基础信息!C:E,3,FALSE)</f>
        <v>#N/A</v>
      </c>
    </row>
    <row r="3881" customHeight="1" spans="8:8">
      <c r="H3881" s="39" t="e">
        <f>VLOOKUP(E3881,基础信息!C:E,3,FALSE)</f>
        <v>#N/A</v>
      </c>
    </row>
    <row r="3882" customHeight="1" spans="8:8">
      <c r="H3882" s="39" t="e">
        <f>VLOOKUP(E3882,基础信息!C:E,3,FALSE)</f>
        <v>#N/A</v>
      </c>
    </row>
    <row r="3883" customHeight="1" spans="8:8">
      <c r="H3883" s="39" t="e">
        <f>VLOOKUP(E3883,基础信息!C:E,3,FALSE)</f>
        <v>#N/A</v>
      </c>
    </row>
    <row r="3884" customHeight="1" spans="8:8">
      <c r="H3884" s="39" t="e">
        <f>VLOOKUP(E3884,基础信息!C:E,3,FALSE)</f>
        <v>#N/A</v>
      </c>
    </row>
    <row r="3885" customHeight="1" spans="8:8">
      <c r="H3885" s="39" t="e">
        <f>VLOOKUP(E3885,基础信息!C:E,3,FALSE)</f>
        <v>#N/A</v>
      </c>
    </row>
    <row r="3886" customHeight="1" spans="8:8">
      <c r="H3886" s="39" t="e">
        <f>VLOOKUP(E3886,基础信息!C:E,3,FALSE)</f>
        <v>#N/A</v>
      </c>
    </row>
    <row r="3887" customHeight="1" spans="8:8">
      <c r="H3887" s="39" t="e">
        <f>VLOOKUP(E3887,基础信息!C:E,3,FALSE)</f>
        <v>#N/A</v>
      </c>
    </row>
    <row r="3888" customHeight="1" spans="8:8">
      <c r="H3888" s="39" t="e">
        <f>VLOOKUP(E3888,基础信息!C:E,3,FALSE)</f>
        <v>#N/A</v>
      </c>
    </row>
    <row r="3889" customHeight="1" spans="8:8">
      <c r="H3889" s="39" t="e">
        <f>VLOOKUP(E3889,基础信息!C:E,3,FALSE)</f>
        <v>#N/A</v>
      </c>
    </row>
    <row r="3890" customHeight="1" spans="8:8">
      <c r="H3890" s="39" t="e">
        <f>VLOOKUP(E3890,基础信息!C:E,3,FALSE)</f>
        <v>#N/A</v>
      </c>
    </row>
    <row r="3891" customHeight="1" spans="8:8">
      <c r="H3891" s="39" t="e">
        <f>VLOOKUP(E3891,基础信息!C:E,3,FALSE)</f>
        <v>#N/A</v>
      </c>
    </row>
    <row r="3892" customHeight="1" spans="8:8">
      <c r="H3892" s="39" t="e">
        <f>VLOOKUP(E3892,基础信息!C:E,3,FALSE)</f>
        <v>#N/A</v>
      </c>
    </row>
    <row r="3893" customHeight="1" spans="8:8">
      <c r="H3893" s="39" t="e">
        <f>VLOOKUP(E3893,基础信息!C:E,3,FALSE)</f>
        <v>#N/A</v>
      </c>
    </row>
    <row r="3894" customHeight="1" spans="8:8">
      <c r="H3894" s="39" t="e">
        <f>VLOOKUP(E3894,基础信息!C:E,3,FALSE)</f>
        <v>#N/A</v>
      </c>
    </row>
    <row r="3895" customHeight="1" spans="8:8">
      <c r="H3895" s="39" t="e">
        <f>VLOOKUP(E3895,基础信息!C:E,3,FALSE)</f>
        <v>#N/A</v>
      </c>
    </row>
    <row r="3896" customHeight="1" spans="8:8">
      <c r="H3896" s="39" t="e">
        <f>VLOOKUP(E3896,基础信息!C:E,3,FALSE)</f>
        <v>#N/A</v>
      </c>
    </row>
    <row r="3897" customHeight="1" spans="8:8">
      <c r="H3897" s="39" t="e">
        <f>VLOOKUP(E3897,基础信息!C:E,3,FALSE)</f>
        <v>#N/A</v>
      </c>
    </row>
    <row r="3898" customHeight="1" spans="8:8">
      <c r="H3898" s="39" t="e">
        <f>VLOOKUP(E3898,基础信息!C:E,3,FALSE)</f>
        <v>#N/A</v>
      </c>
    </row>
    <row r="3899" customHeight="1" spans="8:8">
      <c r="H3899" s="39" t="e">
        <f>VLOOKUP(E3899,基础信息!C:E,3,FALSE)</f>
        <v>#N/A</v>
      </c>
    </row>
    <row r="3900" customHeight="1" spans="8:8">
      <c r="H3900" s="39" t="e">
        <f>VLOOKUP(E3900,基础信息!C:E,3,FALSE)</f>
        <v>#N/A</v>
      </c>
    </row>
    <row r="3901" customHeight="1" spans="8:8">
      <c r="H3901" s="39" t="e">
        <f>VLOOKUP(E3901,基础信息!C:E,3,FALSE)</f>
        <v>#N/A</v>
      </c>
    </row>
    <row r="3902" customHeight="1" spans="8:8">
      <c r="H3902" s="39" t="e">
        <f>VLOOKUP(E3902,基础信息!C:E,3,FALSE)</f>
        <v>#N/A</v>
      </c>
    </row>
    <row r="3903" customHeight="1" spans="8:8">
      <c r="H3903" s="39" t="e">
        <f>VLOOKUP(E3903,基础信息!C:E,3,FALSE)</f>
        <v>#N/A</v>
      </c>
    </row>
    <row r="3904" customHeight="1" spans="8:8">
      <c r="H3904" s="39" t="e">
        <f>VLOOKUP(E3904,基础信息!C:E,3,FALSE)</f>
        <v>#N/A</v>
      </c>
    </row>
    <row r="3905" customHeight="1" spans="8:8">
      <c r="H3905" s="39" t="e">
        <f>VLOOKUP(E3905,基础信息!C:E,3,FALSE)</f>
        <v>#N/A</v>
      </c>
    </row>
    <row r="3906" customHeight="1" spans="8:8">
      <c r="H3906" s="39" t="e">
        <f>VLOOKUP(E3906,基础信息!C:E,3,FALSE)</f>
        <v>#N/A</v>
      </c>
    </row>
    <row r="3907" customHeight="1" spans="8:8">
      <c r="H3907" s="39" t="e">
        <f>VLOOKUP(E3907,基础信息!C:E,3,FALSE)</f>
        <v>#N/A</v>
      </c>
    </row>
    <row r="3908" customHeight="1" spans="8:8">
      <c r="H3908" s="39" t="e">
        <f>VLOOKUP(E3908,基础信息!C:E,3,FALSE)</f>
        <v>#N/A</v>
      </c>
    </row>
    <row r="3909" customHeight="1" spans="8:8">
      <c r="H3909" s="39" t="e">
        <f>VLOOKUP(E3909,基础信息!C:E,3,FALSE)</f>
        <v>#N/A</v>
      </c>
    </row>
    <row r="3910" customHeight="1" spans="8:8">
      <c r="H3910" s="39" t="e">
        <f>VLOOKUP(E3910,基础信息!C:E,3,FALSE)</f>
        <v>#N/A</v>
      </c>
    </row>
    <row r="3911" customHeight="1" spans="8:8">
      <c r="H3911" s="39" t="e">
        <f>VLOOKUP(E3911,基础信息!C:E,3,FALSE)</f>
        <v>#N/A</v>
      </c>
    </row>
    <row r="3912" customHeight="1" spans="8:8">
      <c r="H3912" s="39" t="e">
        <f>VLOOKUP(E3912,基础信息!C:E,3,FALSE)</f>
        <v>#N/A</v>
      </c>
    </row>
    <row r="3913" customHeight="1" spans="8:8">
      <c r="H3913" s="39" t="e">
        <f>VLOOKUP(E3913,基础信息!C:E,3,FALSE)</f>
        <v>#N/A</v>
      </c>
    </row>
    <row r="3914" customHeight="1" spans="8:8">
      <c r="H3914" s="39" t="e">
        <f>VLOOKUP(E3914,基础信息!C:E,3,FALSE)</f>
        <v>#N/A</v>
      </c>
    </row>
    <row r="3915" customHeight="1" spans="8:8">
      <c r="H3915" s="39" t="e">
        <f>VLOOKUP(E3915,基础信息!C:E,3,FALSE)</f>
        <v>#N/A</v>
      </c>
    </row>
    <row r="3916" customHeight="1" spans="8:8">
      <c r="H3916" s="39" t="e">
        <f>VLOOKUP(E3916,基础信息!C:E,3,FALSE)</f>
        <v>#N/A</v>
      </c>
    </row>
    <row r="3917" customHeight="1" spans="8:8">
      <c r="H3917" s="39" t="e">
        <f>VLOOKUP(E3917,基础信息!C:E,3,FALSE)</f>
        <v>#N/A</v>
      </c>
    </row>
    <row r="3918" customHeight="1" spans="8:8">
      <c r="H3918" s="39" t="e">
        <f>VLOOKUP(E3918,基础信息!C:E,3,FALSE)</f>
        <v>#N/A</v>
      </c>
    </row>
    <row r="3919" customHeight="1" spans="8:8">
      <c r="H3919" s="39" t="e">
        <f>VLOOKUP(E3919,基础信息!C:E,3,FALSE)</f>
        <v>#N/A</v>
      </c>
    </row>
    <row r="3920" customHeight="1" spans="8:8">
      <c r="H3920" s="39" t="e">
        <f>VLOOKUP(E3920,基础信息!C:E,3,FALSE)</f>
        <v>#N/A</v>
      </c>
    </row>
    <row r="3921" customHeight="1" spans="8:8">
      <c r="H3921" s="39" t="e">
        <f>VLOOKUP(E3921,基础信息!C:E,3,FALSE)</f>
        <v>#N/A</v>
      </c>
    </row>
    <row r="3922" customHeight="1" spans="8:8">
      <c r="H3922" s="39" t="e">
        <f>VLOOKUP(E3922,基础信息!C:E,3,FALSE)</f>
        <v>#N/A</v>
      </c>
    </row>
    <row r="3923" customHeight="1" spans="8:8">
      <c r="H3923" s="39" t="e">
        <f>VLOOKUP(E3923,基础信息!C:E,3,FALSE)</f>
        <v>#N/A</v>
      </c>
    </row>
    <row r="3924" customHeight="1" spans="8:8">
      <c r="H3924" s="39" t="e">
        <f>VLOOKUP(E3924,基础信息!C:E,3,FALSE)</f>
        <v>#N/A</v>
      </c>
    </row>
    <row r="3925" customHeight="1" spans="8:8">
      <c r="H3925" s="39" t="e">
        <f>VLOOKUP(E3925,基础信息!C:E,3,FALSE)</f>
        <v>#N/A</v>
      </c>
    </row>
    <row r="3926" customHeight="1" spans="8:8">
      <c r="H3926" s="39" t="e">
        <f>VLOOKUP(E3926,基础信息!C:E,3,FALSE)</f>
        <v>#N/A</v>
      </c>
    </row>
    <row r="3927" customHeight="1" spans="8:8">
      <c r="H3927" s="39" t="e">
        <f>VLOOKUP(E3927,基础信息!C:E,3,FALSE)</f>
        <v>#N/A</v>
      </c>
    </row>
    <row r="3928" customHeight="1" spans="8:8">
      <c r="H3928" s="39" t="e">
        <f>VLOOKUP(E3928,基础信息!C:E,3,FALSE)</f>
        <v>#N/A</v>
      </c>
    </row>
    <row r="3929" customHeight="1" spans="8:8">
      <c r="H3929" s="39" t="e">
        <f>VLOOKUP(E3929,基础信息!C:E,3,FALSE)</f>
        <v>#N/A</v>
      </c>
    </row>
    <row r="3930" customHeight="1" spans="8:8">
      <c r="H3930" s="39" t="e">
        <f>VLOOKUP(E3930,基础信息!C:E,3,FALSE)</f>
        <v>#N/A</v>
      </c>
    </row>
    <row r="3931" customHeight="1" spans="8:8">
      <c r="H3931" s="39" t="e">
        <f>VLOOKUP(E3931,基础信息!C:E,3,FALSE)</f>
        <v>#N/A</v>
      </c>
    </row>
    <row r="3932" customHeight="1" spans="8:8">
      <c r="H3932" s="39" t="e">
        <f>VLOOKUP(E3932,基础信息!C:E,3,FALSE)</f>
        <v>#N/A</v>
      </c>
    </row>
    <row r="3933" customHeight="1" spans="8:8">
      <c r="H3933" s="39" t="e">
        <f>VLOOKUP(E3933,基础信息!C:E,3,FALSE)</f>
        <v>#N/A</v>
      </c>
    </row>
    <row r="3934" customHeight="1" spans="8:8">
      <c r="H3934" s="39" t="e">
        <f>VLOOKUP(E3934,基础信息!C:E,3,FALSE)</f>
        <v>#N/A</v>
      </c>
    </row>
    <row r="3935" customHeight="1" spans="8:8">
      <c r="H3935" s="39" t="e">
        <f>VLOOKUP(E3935,基础信息!C:E,3,FALSE)</f>
        <v>#N/A</v>
      </c>
    </row>
    <row r="3936" customHeight="1" spans="8:8">
      <c r="H3936" s="39" t="e">
        <f>VLOOKUP(E3936,基础信息!C:E,3,FALSE)</f>
        <v>#N/A</v>
      </c>
    </row>
    <row r="3937" customHeight="1" spans="8:8">
      <c r="H3937" s="39" t="e">
        <f>VLOOKUP(E3937,基础信息!C:E,3,FALSE)</f>
        <v>#N/A</v>
      </c>
    </row>
    <row r="3938" customHeight="1" spans="8:8">
      <c r="H3938" s="39" t="e">
        <f>VLOOKUP(E3938,基础信息!C:E,3,FALSE)</f>
        <v>#N/A</v>
      </c>
    </row>
    <row r="3939" customHeight="1" spans="8:8">
      <c r="H3939" s="39" t="e">
        <f>VLOOKUP(E3939,基础信息!C:E,3,FALSE)</f>
        <v>#N/A</v>
      </c>
    </row>
    <row r="3940" customHeight="1" spans="8:8">
      <c r="H3940" s="39" t="e">
        <f>VLOOKUP(E3940,基础信息!C:E,3,FALSE)</f>
        <v>#N/A</v>
      </c>
    </row>
    <row r="3941" customHeight="1" spans="8:8">
      <c r="H3941" s="39" t="e">
        <f>VLOOKUP(E3941,基础信息!C:E,3,FALSE)</f>
        <v>#N/A</v>
      </c>
    </row>
    <row r="3942" customHeight="1" spans="8:8">
      <c r="H3942" s="39" t="e">
        <f>VLOOKUP(E3942,基础信息!C:E,3,FALSE)</f>
        <v>#N/A</v>
      </c>
    </row>
    <row r="3943" customHeight="1" spans="8:8">
      <c r="H3943" s="39" t="e">
        <f>VLOOKUP(E3943,基础信息!C:E,3,FALSE)</f>
        <v>#N/A</v>
      </c>
    </row>
    <row r="3944" customHeight="1" spans="8:8">
      <c r="H3944" s="39" t="e">
        <f>VLOOKUP(E3944,基础信息!C:E,3,FALSE)</f>
        <v>#N/A</v>
      </c>
    </row>
    <row r="3945" customHeight="1" spans="8:8">
      <c r="H3945" s="39" t="e">
        <f>VLOOKUP(E3945,基础信息!C:E,3,FALSE)</f>
        <v>#N/A</v>
      </c>
    </row>
    <row r="3946" customHeight="1" spans="8:8">
      <c r="H3946" s="39" t="e">
        <f>VLOOKUP(E3946,基础信息!C:E,3,FALSE)</f>
        <v>#N/A</v>
      </c>
    </row>
    <row r="3947" customHeight="1" spans="8:8">
      <c r="H3947" s="39" t="e">
        <f>VLOOKUP(E3947,基础信息!C:E,3,FALSE)</f>
        <v>#N/A</v>
      </c>
    </row>
    <row r="3948" customHeight="1" spans="8:8">
      <c r="H3948" s="39" t="e">
        <f>VLOOKUP(E3948,基础信息!C:E,3,FALSE)</f>
        <v>#N/A</v>
      </c>
    </row>
    <row r="3949" customHeight="1" spans="8:8">
      <c r="H3949" s="39" t="e">
        <f>VLOOKUP(E3949,基础信息!C:E,3,FALSE)</f>
        <v>#N/A</v>
      </c>
    </row>
    <row r="3950" customHeight="1" spans="8:8">
      <c r="H3950" s="39" t="e">
        <f>VLOOKUP(E3950,基础信息!C:E,3,FALSE)</f>
        <v>#N/A</v>
      </c>
    </row>
    <row r="3951" customHeight="1" spans="8:8">
      <c r="H3951" s="39" t="e">
        <f>VLOOKUP(E3951,基础信息!C:E,3,FALSE)</f>
        <v>#N/A</v>
      </c>
    </row>
    <row r="3952" customHeight="1" spans="8:8">
      <c r="H3952" s="39" t="e">
        <f>VLOOKUP(E3952,基础信息!C:E,3,FALSE)</f>
        <v>#N/A</v>
      </c>
    </row>
    <row r="3953" customHeight="1" spans="8:8">
      <c r="H3953" s="39" t="e">
        <f>VLOOKUP(E3953,基础信息!C:E,3,FALSE)</f>
        <v>#N/A</v>
      </c>
    </row>
    <row r="3954" customHeight="1" spans="8:8">
      <c r="H3954" s="39" t="e">
        <f>VLOOKUP(E3954,基础信息!C:E,3,FALSE)</f>
        <v>#N/A</v>
      </c>
    </row>
    <row r="3955" customHeight="1" spans="8:8">
      <c r="H3955" s="39" t="e">
        <f>VLOOKUP(E3955,基础信息!C:E,3,FALSE)</f>
        <v>#N/A</v>
      </c>
    </row>
    <row r="3956" customHeight="1" spans="8:8">
      <c r="H3956" s="39" t="e">
        <f>VLOOKUP(E3956,基础信息!C:E,3,FALSE)</f>
        <v>#N/A</v>
      </c>
    </row>
    <row r="3957" customHeight="1" spans="8:8">
      <c r="H3957" s="39" t="e">
        <f>VLOOKUP(E3957,基础信息!C:E,3,FALSE)</f>
        <v>#N/A</v>
      </c>
    </row>
    <row r="3958" customHeight="1" spans="8:8">
      <c r="H3958" s="39" t="e">
        <f>VLOOKUP(E3958,基础信息!C:E,3,FALSE)</f>
        <v>#N/A</v>
      </c>
    </row>
    <row r="3959" customHeight="1" spans="8:8">
      <c r="H3959" s="39" t="e">
        <f>VLOOKUP(E3959,基础信息!C:E,3,FALSE)</f>
        <v>#N/A</v>
      </c>
    </row>
    <row r="3960" customHeight="1" spans="8:8">
      <c r="H3960" s="39" t="e">
        <f>VLOOKUP(E3960,基础信息!C:E,3,FALSE)</f>
        <v>#N/A</v>
      </c>
    </row>
    <row r="3961" customHeight="1" spans="8:8">
      <c r="H3961" s="39" t="e">
        <f>VLOOKUP(E3961,基础信息!C:E,3,FALSE)</f>
        <v>#N/A</v>
      </c>
    </row>
    <row r="3962" customHeight="1" spans="8:8">
      <c r="H3962" s="39" t="e">
        <f>VLOOKUP(E3962,基础信息!C:E,3,FALSE)</f>
        <v>#N/A</v>
      </c>
    </row>
    <row r="3963" customHeight="1" spans="8:8">
      <c r="H3963" s="39" t="e">
        <f>VLOOKUP(E3963,基础信息!C:E,3,FALSE)</f>
        <v>#N/A</v>
      </c>
    </row>
    <row r="3964" customHeight="1" spans="8:8">
      <c r="H3964" s="39" t="e">
        <f>VLOOKUP(E3964,基础信息!C:E,3,FALSE)</f>
        <v>#N/A</v>
      </c>
    </row>
    <row r="3965" customHeight="1" spans="8:8">
      <c r="H3965" s="39" t="e">
        <f>VLOOKUP(E3965,基础信息!C:E,3,FALSE)</f>
        <v>#N/A</v>
      </c>
    </row>
    <row r="3966" customHeight="1" spans="8:8">
      <c r="H3966" s="39" t="e">
        <f>VLOOKUP(E3966,基础信息!C:E,3,FALSE)</f>
        <v>#N/A</v>
      </c>
    </row>
    <row r="3967" customHeight="1" spans="8:8">
      <c r="H3967" s="39" t="e">
        <f>VLOOKUP(E3967,基础信息!C:E,3,FALSE)</f>
        <v>#N/A</v>
      </c>
    </row>
    <row r="3968" customHeight="1" spans="8:8">
      <c r="H3968" s="39" t="e">
        <f>VLOOKUP(E3968,基础信息!C:E,3,FALSE)</f>
        <v>#N/A</v>
      </c>
    </row>
    <row r="3969" customHeight="1" spans="8:8">
      <c r="H3969" s="39" t="e">
        <f>VLOOKUP(E3969,基础信息!C:E,3,FALSE)</f>
        <v>#N/A</v>
      </c>
    </row>
    <row r="3970" customHeight="1" spans="8:8">
      <c r="H3970" s="39" t="e">
        <f>VLOOKUP(E3970,基础信息!C:E,3,FALSE)</f>
        <v>#N/A</v>
      </c>
    </row>
    <row r="3971" customHeight="1" spans="8:8">
      <c r="H3971" s="39" t="e">
        <f>VLOOKUP(E3971,基础信息!C:E,3,FALSE)</f>
        <v>#N/A</v>
      </c>
    </row>
    <row r="3972" customHeight="1" spans="8:8">
      <c r="H3972" s="39" t="e">
        <f>VLOOKUP(E3972,基础信息!C:E,3,FALSE)</f>
        <v>#N/A</v>
      </c>
    </row>
    <row r="3973" customHeight="1" spans="8:8">
      <c r="H3973" s="39" t="e">
        <f>VLOOKUP(E3973,基础信息!C:E,3,FALSE)</f>
        <v>#N/A</v>
      </c>
    </row>
    <row r="3974" customHeight="1" spans="8:8">
      <c r="H3974" s="39" t="e">
        <f>VLOOKUP(E3974,基础信息!C:E,3,FALSE)</f>
        <v>#N/A</v>
      </c>
    </row>
    <row r="3975" customHeight="1" spans="8:8">
      <c r="H3975" s="39" t="e">
        <f>VLOOKUP(E3975,基础信息!C:E,3,FALSE)</f>
        <v>#N/A</v>
      </c>
    </row>
    <row r="3976" customHeight="1" spans="8:8">
      <c r="H3976" s="39" t="e">
        <f>VLOOKUP(E3976,基础信息!C:E,3,FALSE)</f>
        <v>#N/A</v>
      </c>
    </row>
    <row r="3977" customHeight="1" spans="8:8">
      <c r="H3977" s="39" t="e">
        <f>VLOOKUP(E3977,基础信息!C:E,3,FALSE)</f>
        <v>#N/A</v>
      </c>
    </row>
    <row r="3978" customHeight="1" spans="8:8">
      <c r="H3978" s="39" t="e">
        <f>VLOOKUP(E3978,基础信息!C:E,3,FALSE)</f>
        <v>#N/A</v>
      </c>
    </row>
    <row r="3979" customHeight="1" spans="8:8">
      <c r="H3979" s="39" t="e">
        <f>VLOOKUP(E3979,基础信息!C:E,3,FALSE)</f>
        <v>#N/A</v>
      </c>
    </row>
    <row r="3980" customHeight="1" spans="8:8">
      <c r="H3980" s="39" t="e">
        <f>VLOOKUP(E3980,基础信息!C:E,3,FALSE)</f>
        <v>#N/A</v>
      </c>
    </row>
    <row r="3981" customHeight="1" spans="8:8">
      <c r="H3981" s="39" t="e">
        <f>VLOOKUP(E3981,基础信息!C:E,3,FALSE)</f>
        <v>#N/A</v>
      </c>
    </row>
    <row r="3982" customHeight="1" spans="8:8">
      <c r="H3982" s="39" t="e">
        <f>VLOOKUP(E3982,基础信息!C:E,3,FALSE)</f>
        <v>#N/A</v>
      </c>
    </row>
    <row r="3983" customHeight="1" spans="8:8">
      <c r="H3983" s="39" t="e">
        <f>VLOOKUP(E3983,基础信息!C:E,3,FALSE)</f>
        <v>#N/A</v>
      </c>
    </row>
    <row r="3984" customHeight="1" spans="8:8">
      <c r="H3984" s="39" t="e">
        <f>VLOOKUP(E3984,基础信息!C:E,3,FALSE)</f>
        <v>#N/A</v>
      </c>
    </row>
    <row r="3985" customHeight="1" spans="8:8">
      <c r="H3985" s="39" t="e">
        <f>VLOOKUP(E3985,基础信息!C:E,3,FALSE)</f>
        <v>#N/A</v>
      </c>
    </row>
    <row r="3986" customHeight="1" spans="8:8">
      <c r="H3986" s="39" t="e">
        <f>VLOOKUP(E3986,基础信息!C:E,3,FALSE)</f>
        <v>#N/A</v>
      </c>
    </row>
    <row r="3987" customHeight="1" spans="8:8">
      <c r="H3987" s="39" t="e">
        <f>VLOOKUP(E3987,基础信息!C:E,3,FALSE)</f>
        <v>#N/A</v>
      </c>
    </row>
    <row r="3988" customHeight="1" spans="8:8">
      <c r="H3988" s="39" t="e">
        <f>VLOOKUP(E3988,基础信息!C:E,3,FALSE)</f>
        <v>#N/A</v>
      </c>
    </row>
    <row r="3989" customHeight="1" spans="8:8">
      <c r="H3989" s="39" t="e">
        <f>VLOOKUP(E3989,基础信息!C:E,3,FALSE)</f>
        <v>#N/A</v>
      </c>
    </row>
    <row r="3990" customHeight="1" spans="8:8">
      <c r="H3990" s="39" t="e">
        <f>VLOOKUP(E3990,基础信息!C:E,3,FALSE)</f>
        <v>#N/A</v>
      </c>
    </row>
    <row r="3991" customHeight="1" spans="8:8">
      <c r="H3991" s="39" t="e">
        <f>VLOOKUP(E3991,基础信息!C:E,3,FALSE)</f>
        <v>#N/A</v>
      </c>
    </row>
    <row r="3992" customHeight="1" spans="8:8">
      <c r="H3992" s="39" t="e">
        <f>VLOOKUP(E3992,基础信息!C:E,3,FALSE)</f>
        <v>#N/A</v>
      </c>
    </row>
    <row r="3993" customHeight="1" spans="8:8">
      <c r="H3993" s="39" t="e">
        <f>VLOOKUP(E3993,基础信息!C:E,3,FALSE)</f>
        <v>#N/A</v>
      </c>
    </row>
    <row r="3994" customHeight="1" spans="8:8">
      <c r="H3994" s="39" t="e">
        <f>VLOOKUP(E3994,基础信息!C:E,3,FALSE)</f>
        <v>#N/A</v>
      </c>
    </row>
    <row r="3995" customHeight="1" spans="8:8">
      <c r="H3995" s="39" t="e">
        <f>VLOOKUP(E3995,基础信息!C:E,3,FALSE)</f>
        <v>#N/A</v>
      </c>
    </row>
    <row r="3996" customHeight="1" spans="8:8">
      <c r="H3996" s="39" t="e">
        <f>VLOOKUP(E3996,基础信息!C:E,3,FALSE)</f>
        <v>#N/A</v>
      </c>
    </row>
    <row r="3997" customHeight="1" spans="8:8">
      <c r="H3997" s="39" t="e">
        <f>VLOOKUP(E3997,基础信息!C:E,3,FALSE)</f>
        <v>#N/A</v>
      </c>
    </row>
    <row r="3998" customHeight="1" spans="8:8">
      <c r="H3998" s="39" t="e">
        <f>VLOOKUP(E3998,基础信息!C:E,3,FALSE)</f>
        <v>#N/A</v>
      </c>
    </row>
    <row r="3999" customHeight="1" spans="8:8">
      <c r="H3999" s="39" t="e">
        <f>VLOOKUP(E3999,基础信息!C:E,3,FALSE)</f>
        <v>#N/A</v>
      </c>
    </row>
    <row r="4000" customHeight="1" spans="8:8">
      <c r="H4000" s="39" t="e">
        <f>VLOOKUP(E4000,基础信息!C:E,3,FALSE)</f>
        <v>#N/A</v>
      </c>
    </row>
    <row r="4001" customHeight="1" spans="8:8">
      <c r="H4001" s="39" t="e">
        <f>VLOOKUP(E4001,基础信息!C:E,3,FALSE)</f>
        <v>#N/A</v>
      </c>
    </row>
    <row r="4002" customHeight="1" spans="8:8">
      <c r="H4002" s="39" t="e">
        <f>VLOOKUP(E4002,基础信息!C:E,3,FALSE)</f>
        <v>#N/A</v>
      </c>
    </row>
    <row r="4003" customHeight="1" spans="8:8">
      <c r="H4003" s="39" t="e">
        <f>VLOOKUP(E4003,基础信息!C:E,3,FALSE)</f>
        <v>#N/A</v>
      </c>
    </row>
    <row r="4004" customHeight="1" spans="8:8">
      <c r="H4004" s="39" t="e">
        <f>VLOOKUP(E4004,基础信息!C:E,3,FALSE)</f>
        <v>#N/A</v>
      </c>
    </row>
    <row r="4005" customHeight="1" spans="8:8">
      <c r="H4005" s="39" t="e">
        <f>VLOOKUP(E4005,基础信息!C:E,3,FALSE)</f>
        <v>#N/A</v>
      </c>
    </row>
    <row r="4006" customHeight="1" spans="8:8">
      <c r="H4006" s="39" t="e">
        <f>VLOOKUP(E4006,基础信息!C:E,3,FALSE)</f>
        <v>#N/A</v>
      </c>
    </row>
    <row r="4007" customHeight="1" spans="8:8">
      <c r="H4007" s="39" t="e">
        <f>VLOOKUP(E4007,基础信息!C:E,3,FALSE)</f>
        <v>#N/A</v>
      </c>
    </row>
    <row r="4008" customHeight="1" spans="8:8">
      <c r="H4008" s="39" t="e">
        <f>VLOOKUP(E4008,基础信息!C:E,3,FALSE)</f>
        <v>#N/A</v>
      </c>
    </row>
    <row r="4009" customHeight="1" spans="8:8">
      <c r="H4009" s="39" t="e">
        <f>VLOOKUP(E4009,基础信息!C:E,3,FALSE)</f>
        <v>#N/A</v>
      </c>
    </row>
    <row r="4010" customHeight="1" spans="8:8">
      <c r="H4010" s="39" t="e">
        <f>VLOOKUP(E4010,基础信息!C:E,3,FALSE)</f>
        <v>#N/A</v>
      </c>
    </row>
    <row r="4011" customHeight="1" spans="8:8">
      <c r="H4011" s="39" t="e">
        <f>VLOOKUP(E4011,基础信息!C:E,3,FALSE)</f>
        <v>#N/A</v>
      </c>
    </row>
    <row r="4012" customHeight="1" spans="8:8">
      <c r="H4012" s="39" t="e">
        <f>VLOOKUP(E4012,基础信息!C:E,3,FALSE)</f>
        <v>#N/A</v>
      </c>
    </row>
    <row r="4013" customHeight="1" spans="8:8">
      <c r="H4013" s="39" t="e">
        <f>VLOOKUP(E4013,基础信息!C:E,3,FALSE)</f>
        <v>#N/A</v>
      </c>
    </row>
    <row r="4014" customHeight="1" spans="8:8">
      <c r="H4014" s="39" t="e">
        <f>VLOOKUP(E4014,基础信息!C:E,3,FALSE)</f>
        <v>#N/A</v>
      </c>
    </row>
    <row r="4015" customHeight="1" spans="8:8">
      <c r="H4015" s="39" t="e">
        <f>VLOOKUP(E4015,基础信息!C:E,3,FALSE)</f>
        <v>#N/A</v>
      </c>
    </row>
    <row r="4016" customHeight="1" spans="8:8">
      <c r="H4016" s="39" t="e">
        <f>VLOOKUP(E4016,基础信息!C:E,3,FALSE)</f>
        <v>#N/A</v>
      </c>
    </row>
    <row r="4017" customHeight="1" spans="8:8">
      <c r="H4017" s="39" t="e">
        <f>VLOOKUP(E4017,基础信息!C:E,3,FALSE)</f>
        <v>#N/A</v>
      </c>
    </row>
    <row r="4018" customHeight="1" spans="8:8">
      <c r="H4018" s="39" t="e">
        <f>VLOOKUP(E4018,基础信息!C:E,3,FALSE)</f>
        <v>#N/A</v>
      </c>
    </row>
    <row r="4019" customHeight="1" spans="8:8">
      <c r="H4019" s="39" t="e">
        <f>VLOOKUP(E4019,基础信息!C:E,3,FALSE)</f>
        <v>#N/A</v>
      </c>
    </row>
    <row r="4020" customHeight="1" spans="8:8">
      <c r="H4020" s="39" t="e">
        <f>VLOOKUP(E4020,基础信息!C:E,3,FALSE)</f>
        <v>#N/A</v>
      </c>
    </row>
    <row r="4021" customHeight="1" spans="8:8">
      <c r="H4021" s="39" t="e">
        <f>VLOOKUP(E4021,基础信息!C:E,3,FALSE)</f>
        <v>#N/A</v>
      </c>
    </row>
    <row r="4022" customHeight="1" spans="8:8">
      <c r="H4022" s="39" t="e">
        <f>VLOOKUP(E4022,基础信息!C:E,3,FALSE)</f>
        <v>#N/A</v>
      </c>
    </row>
    <row r="4023" customHeight="1" spans="8:8">
      <c r="H4023" s="39" t="e">
        <f>VLOOKUP(E4023,基础信息!C:E,3,FALSE)</f>
        <v>#N/A</v>
      </c>
    </row>
    <row r="4024" customHeight="1" spans="8:8">
      <c r="H4024" s="39" t="e">
        <f>VLOOKUP(E4024,基础信息!C:E,3,FALSE)</f>
        <v>#N/A</v>
      </c>
    </row>
    <row r="4025" customHeight="1" spans="8:8">
      <c r="H4025" s="39" t="e">
        <f>VLOOKUP(E4025,基础信息!C:E,3,FALSE)</f>
        <v>#N/A</v>
      </c>
    </row>
    <row r="4026" customHeight="1" spans="8:8">
      <c r="H4026" s="39" t="e">
        <f>VLOOKUP(E4026,基础信息!C:E,3,FALSE)</f>
        <v>#N/A</v>
      </c>
    </row>
    <row r="4027" customHeight="1" spans="8:8">
      <c r="H4027" s="39" t="e">
        <f>VLOOKUP(E4027,基础信息!C:E,3,FALSE)</f>
        <v>#N/A</v>
      </c>
    </row>
    <row r="4028" customHeight="1" spans="8:8">
      <c r="H4028" s="39" t="e">
        <f>VLOOKUP(E4028,基础信息!C:E,3,FALSE)</f>
        <v>#N/A</v>
      </c>
    </row>
    <row r="4029" customHeight="1" spans="8:8">
      <c r="H4029" s="39" t="e">
        <f>VLOOKUP(E4029,基础信息!C:E,3,FALSE)</f>
        <v>#N/A</v>
      </c>
    </row>
    <row r="4030" customHeight="1" spans="8:8">
      <c r="H4030" s="39" t="e">
        <f>VLOOKUP(E4030,基础信息!C:E,3,FALSE)</f>
        <v>#N/A</v>
      </c>
    </row>
    <row r="4031" customHeight="1" spans="8:8">
      <c r="H4031" s="39" t="e">
        <f>VLOOKUP(E4031,基础信息!C:E,3,FALSE)</f>
        <v>#N/A</v>
      </c>
    </row>
    <row r="4032" customHeight="1" spans="8:8">
      <c r="H4032" s="39" t="e">
        <f>VLOOKUP(E4032,基础信息!C:E,3,FALSE)</f>
        <v>#N/A</v>
      </c>
    </row>
    <row r="4033" customHeight="1" spans="8:8">
      <c r="H4033" s="39" t="e">
        <f>VLOOKUP(E4033,基础信息!C:E,3,FALSE)</f>
        <v>#N/A</v>
      </c>
    </row>
    <row r="4034" customHeight="1" spans="8:8">
      <c r="H4034" s="39" t="e">
        <f>VLOOKUP(E4034,基础信息!C:E,3,FALSE)</f>
        <v>#N/A</v>
      </c>
    </row>
    <row r="4035" customHeight="1" spans="8:8">
      <c r="H4035" s="39" t="e">
        <f>VLOOKUP(E4035,基础信息!C:E,3,FALSE)</f>
        <v>#N/A</v>
      </c>
    </row>
    <row r="4036" customHeight="1" spans="8:8">
      <c r="H4036" s="39" t="e">
        <f>VLOOKUP(E4036,基础信息!C:E,3,FALSE)</f>
        <v>#N/A</v>
      </c>
    </row>
    <row r="4037" customHeight="1" spans="8:8">
      <c r="H4037" s="39" t="e">
        <f>VLOOKUP(E4037,基础信息!C:E,3,FALSE)</f>
        <v>#N/A</v>
      </c>
    </row>
    <row r="4038" customHeight="1" spans="8:8">
      <c r="H4038" s="39" t="e">
        <f>VLOOKUP(E4038,基础信息!C:E,3,FALSE)</f>
        <v>#N/A</v>
      </c>
    </row>
    <row r="4039" customHeight="1" spans="8:8">
      <c r="H4039" s="39" t="e">
        <f>VLOOKUP(E4039,基础信息!C:E,3,FALSE)</f>
        <v>#N/A</v>
      </c>
    </row>
    <row r="4040" customHeight="1" spans="8:8">
      <c r="H4040" s="39" t="e">
        <f>VLOOKUP(E4040,基础信息!C:E,3,FALSE)</f>
        <v>#N/A</v>
      </c>
    </row>
    <row r="4041" customHeight="1" spans="8:8">
      <c r="H4041" s="39" t="e">
        <f>VLOOKUP(E4041,基础信息!C:E,3,FALSE)</f>
        <v>#N/A</v>
      </c>
    </row>
    <row r="4042" customHeight="1" spans="8:8">
      <c r="H4042" s="39" t="e">
        <f>VLOOKUP(E4042,基础信息!C:E,3,FALSE)</f>
        <v>#N/A</v>
      </c>
    </row>
    <row r="4043" customHeight="1" spans="8:8">
      <c r="H4043" s="39" t="e">
        <f>VLOOKUP(E4043,基础信息!C:E,3,FALSE)</f>
        <v>#N/A</v>
      </c>
    </row>
    <row r="4044" customHeight="1" spans="8:8">
      <c r="H4044" s="39" t="e">
        <f>VLOOKUP(E4044,基础信息!C:E,3,FALSE)</f>
        <v>#N/A</v>
      </c>
    </row>
    <row r="4045" customHeight="1" spans="8:8">
      <c r="H4045" s="39" t="e">
        <f>VLOOKUP(E4045,基础信息!C:E,3,FALSE)</f>
        <v>#N/A</v>
      </c>
    </row>
    <row r="4046" customHeight="1" spans="8:8">
      <c r="H4046" s="39" t="e">
        <f>VLOOKUP(E4046,基础信息!C:E,3,FALSE)</f>
        <v>#N/A</v>
      </c>
    </row>
    <row r="4047" customHeight="1" spans="8:8">
      <c r="H4047" s="39" t="e">
        <f>VLOOKUP(E4047,基础信息!C:E,3,FALSE)</f>
        <v>#N/A</v>
      </c>
    </row>
    <row r="4048" customHeight="1" spans="8:8">
      <c r="H4048" s="39" t="e">
        <f>VLOOKUP(E4048,基础信息!C:E,3,FALSE)</f>
        <v>#N/A</v>
      </c>
    </row>
    <row r="4049" customHeight="1" spans="8:8">
      <c r="H4049" s="39" t="e">
        <f>VLOOKUP(E4049,基础信息!C:E,3,FALSE)</f>
        <v>#N/A</v>
      </c>
    </row>
    <row r="4050" customHeight="1" spans="8:8">
      <c r="H4050" s="39" t="e">
        <f>VLOOKUP(E4050,基础信息!C:E,3,FALSE)</f>
        <v>#N/A</v>
      </c>
    </row>
    <row r="4051" customHeight="1" spans="8:8">
      <c r="H4051" s="39" t="e">
        <f>VLOOKUP(E4051,基础信息!C:E,3,FALSE)</f>
        <v>#N/A</v>
      </c>
    </row>
    <row r="4052" customHeight="1" spans="8:8">
      <c r="H4052" s="39" t="e">
        <f>VLOOKUP(E4052,基础信息!C:E,3,FALSE)</f>
        <v>#N/A</v>
      </c>
    </row>
    <row r="4053" customHeight="1" spans="8:8">
      <c r="H4053" s="39" t="e">
        <f>VLOOKUP(E4053,基础信息!C:E,3,FALSE)</f>
        <v>#N/A</v>
      </c>
    </row>
    <row r="4054" customHeight="1" spans="8:8">
      <c r="H4054" s="39" t="e">
        <f>VLOOKUP(E4054,基础信息!C:E,3,FALSE)</f>
        <v>#N/A</v>
      </c>
    </row>
    <row r="4055" customHeight="1" spans="8:8">
      <c r="H4055" s="39" t="e">
        <f>VLOOKUP(E4055,基础信息!C:E,3,FALSE)</f>
        <v>#N/A</v>
      </c>
    </row>
    <row r="4056" customHeight="1" spans="8:8">
      <c r="H4056" s="39" t="e">
        <f>VLOOKUP(E4056,基础信息!C:E,3,FALSE)</f>
        <v>#N/A</v>
      </c>
    </row>
    <row r="4057" customHeight="1" spans="8:8">
      <c r="H4057" s="39" t="e">
        <f>VLOOKUP(E4057,基础信息!C:E,3,FALSE)</f>
        <v>#N/A</v>
      </c>
    </row>
    <row r="4058" customHeight="1" spans="8:8">
      <c r="H4058" s="39" t="e">
        <f>VLOOKUP(E4058,基础信息!C:E,3,FALSE)</f>
        <v>#N/A</v>
      </c>
    </row>
    <row r="4059" customHeight="1" spans="8:8">
      <c r="H4059" s="39" t="e">
        <f>VLOOKUP(E4059,基础信息!C:E,3,FALSE)</f>
        <v>#N/A</v>
      </c>
    </row>
    <row r="4060" customHeight="1" spans="8:8">
      <c r="H4060" s="39" t="e">
        <f>VLOOKUP(E4060,基础信息!C:E,3,FALSE)</f>
        <v>#N/A</v>
      </c>
    </row>
    <row r="4061" customHeight="1" spans="8:8">
      <c r="H4061" s="39" t="e">
        <f>VLOOKUP(E4061,基础信息!C:E,3,FALSE)</f>
        <v>#N/A</v>
      </c>
    </row>
    <row r="4062" customHeight="1" spans="8:8">
      <c r="H4062" s="39" t="e">
        <f>VLOOKUP(E4062,基础信息!C:E,3,FALSE)</f>
        <v>#N/A</v>
      </c>
    </row>
    <row r="4063" customHeight="1" spans="8:8">
      <c r="H4063" s="39" t="e">
        <f>VLOOKUP(E4063,基础信息!C:E,3,FALSE)</f>
        <v>#N/A</v>
      </c>
    </row>
    <row r="4064" customHeight="1" spans="8:8">
      <c r="H4064" s="39" t="e">
        <f>VLOOKUP(E4064,基础信息!C:E,3,FALSE)</f>
        <v>#N/A</v>
      </c>
    </row>
    <row r="4065" customHeight="1" spans="8:8">
      <c r="H4065" s="39" t="e">
        <f>VLOOKUP(E4065,基础信息!C:E,3,FALSE)</f>
        <v>#N/A</v>
      </c>
    </row>
    <row r="4066" customHeight="1" spans="8:8">
      <c r="H4066" s="39" t="e">
        <f>VLOOKUP(E4066,基础信息!C:E,3,FALSE)</f>
        <v>#N/A</v>
      </c>
    </row>
    <row r="4067" customHeight="1" spans="8:8">
      <c r="H4067" s="39" t="e">
        <f>VLOOKUP(E4067,基础信息!C:E,3,FALSE)</f>
        <v>#N/A</v>
      </c>
    </row>
    <row r="4068" customHeight="1" spans="8:8">
      <c r="H4068" s="39" t="e">
        <f>VLOOKUP(E4068,基础信息!C:E,3,FALSE)</f>
        <v>#N/A</v>
      </c>
    </row>
    <row r="4069" customHeight="1" spans="8:8">
      <c r="H4069" s="39" t="e">
        <f>VLOOKUP(E4069,基础信息!C:E,3,FALSE)</f>
        <v>#N/A</v>
      </c>
    </row>
    <row r="4070" customHeight="1" spans="8:8">
      <c r="H4070" s="39" t="e">
        <f>VLOOKUP(E4070,基础信息!C:E,3,FALSE)</f>
        <v>#N/A</v>
      </c>
    </row>
    <row r="4071" customHeight="1" spans="8:8">
      <c r="H4071" s="39" t="e">
        <f>VLOOKUP(E4071,基础信息!C:E,3,FALSE)</f>
        <v>#N/A</v>
      </c>
    </row>
    <row r="4072" customHeight="1" spans="8:8">
      <c r="H4072" s="39" t="e">
        <f>VLOOKUP(E4072,基础信息!C:E,3,FALSE)</f>
        <v>#N/A</v>
      </c>
    </row>
    <row r="4073" customHeight="1" spans="8:8">
      <c r="H4073" s="39" t="e">
        <f>VLOOKUP(E4073,基础信息!C:E,3,FALSE)</f>
        <v>#N/A</v>
      </c>
    </row>
    <row r="4074" customHeight="1" spans="8:8">
      <c r="H4074" s="39" t="e">
        <f>VLOOKUP(E4074,基础信息!C:E,3,FALSE)</f>
        <v>#N/A</v>
      </c>
    </row>
    <row r="4075" customHeight="1" spans="8:8">
      <c r="H4075" s="39" t="e">
        <f>VLOOKUP(E4075,基础信息!C:E,3,FALSE)</f>
        <v>#N/A</v>
      </c>
    </row>
    <row r="4076" customHeight="1" spans="8:8">
      <c r="H4076" s="39" t="e">
        <f>VLOOKUP(E4076,基础信息!C:E,3,FALSE)</f>
        <v>#N/A</v>
      </c>
    </row>
    <row r="4077" customHeight="1" spans="8:8">
      <c r="H4077" s="39" t="e">
        <f>VLOOKUP(E4077,基础信息!C:E,3,FALSE)</f>
        <v>#N/A</v>
      </c>
    </row>
    <row r="4078" customHeight="1" spans="8:8">
      <c r="H4078" s="39" t="e">
        <f>VLOOKUP(E4078,基础信息!C:E,3,FALSE)</f>
        <v>#N/A</v>
      </c>
    </row>
    <row r="4079" customHeight="1" spans="8:8">
      <c r="H4079" s="39" t="e">
        <f>VLOOKUP(E4079,基础信息!C:E,3,FALSE)</f>
        <v>#N/A</v>
      </c>
    </row>
    <row r="4080" customHeight="1" spans="8:8">
      <c r="H4080" s="39" t="e">
        <f>VLOOKUP(E4080,基础信息!C:E,3,FALSE)</f>
        <v>#N/A</v>
      </c>
    </row>
    <row r="4081" customHeight="1" spans="8:8">
      <c r="H4081" s="39" t="e">
        <f>VLOOKUP(E4081,基础信息!C:E,3,FALSE)</f>
        <v>#N/A</v>
      </c>
    </row>
    <row r="4082" customHeight="1" spans="8:8">
      <c r="H4082" s="39" t="e">
        <f>VLOOKUP(E4082,基础信息!C:E,3,FALSE)</f>
        <v>#N/A</v>
      </c>
    </row>
    <row r="4083" customHeight="1" spans="8:8">
      <c r="H4083" s="39" t="e">
        <f>VLOOKUP(E4083,基础信息!C:E,3,FALSE)</f>
        <v>#N/A</v>
      </c>
    </row>
    <row r="4084" customHeight="1" spans="8:8">
      <c r="H4084" s="39" t="e">
        <f>VLOOKUP(E4084,基础信息!C:E,3,FALSE)</f>
        <v>#N/A</v>
      </c>
    </row>
    <row r="4085" customHeight="1" spans="8:8">
      <c r="H4085" s="39" t="e">
        <f>VLOOKUP(E4085,基础信息!C:E,3,FALSE)</f>
        <v>#N/A</v>
      </c>
    </row>
    <row r="4086" customHeight="1" spans="8:8">
      <c r="H4086" s="39" t="e">
        <f>VLOOKUP(E4086,基础信息!C:E,3,FALSE)</f>
        <v>#N/A</v>
      </c>
    </row>
    <row r="4087" customHeight="1" spans="8:8">
      <c r="H4087" s="39" t="e">
        <f>VLOOKUP(E4087,基础信息!C:E,3,FALSE)</f>
        <v>#N/A</v>
      </c>
    </row>
    <row r="4088" customHeight="1" spans="8:8">
      <c r="H4088" s="39" t="e">
        <f>VLOOKUP(E4088,基础信息!C:E,3,FALSE)</f>
        <v>#N/A</v>
      </c>
    </row>
    <row r="4089" customHeight="1" spans="8:8">
      <c r="H4089" s="39" t="e">
        <f>VLOOKUP(E4089,基础信息!C:E,3,FALSE)</f>
        <v>#N/A</v>
      </c>
    </row>
    <row r="4090" customHeight="1" spans="8:8">
      <c r="H4090" s="39" t="e">
        <f>VLOOKUP(E4090,基础信息!C:E,3,FALSE)</f>
        <v>#N/A</v>
      </c>
    </row>
    <row r="4091" customHeight="1" spans="8:8">
      <c r="H4091" s="39" t="e">
        <f>VLOOKUP(E4091,基础信息!C:E,3,FALSE)</f>
        <v>#N/A</v>
      </c>
    </row>
    <row r="4092" customHeight="1" spans="8:8">
      <c r="H4092" s="39" t="e">
        <f>VLOOKUP(E4092,基础信息!C:E,3,FALSE)</f>
        <v>#N/A</v>
      </c>
    </row>
    <row r="4093" customHeight="1" spans="8:8">
      <c r="H4093" s="39" t="e">
        <f>VLOOKUP(E4093,基础信息!C:E,3,FALSE)</f>
        <v>#N/A</v>
      </c>
    </row>
    <row r="4094" customHeight="1" spans="8:8">
      <c r="H4094" s="39" t="e">
        <f>VLOOKUP(E4094,基础信息!C:E,3,FALSE)</f>
        <v>#N/A</v>
      </c>
    </row>
    <row r="4095" customHeight="1" spans="8:8">
      <c r="H4095" s="39" t="e">
        <f>VLOOKUP(E4095,基础信息!C:E,3,FALSE)</f>
        <v>#N/A</v>
      </c>
    </row>
    <row r="4096" customHeight="1" spans="8:8">
      <c r="H4096" s="39" t="e">
        <f>VLOOKUP(E4096,基础信息!C:E,3,FALSE)</f>
        <v>#N/A</v>
      </c>
    </row>
    <row r="4097" customHeight="1" spans="8:8">
      <c r="H4097" s="39" t="e">
        <f>VLOOKUP(E4097,基础信息!C:E,3,FALSE)</f>
        <v>#N/A</v>
      </c>
    </row>
    <row r="4098" customHeight="1" spans="8:8">
      <c r="H4098" s="39" t="e">
        <f>VLOOKUP(E4098,基础信息!C:E,3,FALSE)</f>
        <v>#N/A</v>
      </c>
    </row>
    <row r="4099" customHeight="1" spans="8:8">
      <c r="H4099" s="39" t="e">
        <f>VLOOKUP(E4099,基础信息!C:E,3,FALSE)</f>
        <v>#N/A</v>
      </c>
    </row>
    <row r="4100" customHeight="1" spans="8:8">
      <c r="H4100" s="39" t="e">
        <f>VLOOKUP(E4100,基础信息!C:E,3,FALSE)</f>
        <v>#N/A</v>
      </c>
    </row>
    <row r="4101" customHeight="1" spans="8:8">
      <c r="H4101" s="39" t="e">
        <f>VLOOKUP(E4101,基础信息!C:E,3,FALSE)</f>
        <v>#N/A</v>
      </c>
    </row>
    <row r="4102" customHeight="1" spans="8:8">
      <c r="H4102" s="39" t="e">
        <f>VLOOKUP(E4102,基础信息!C:E,3,FALSE)</f>
        <v>#N/A</v>
      </c>
    </row>
    <row r="4103" customHeight="1" spans="8:8">
      <c r="H4103" s="39" t="e">
        <f>VLOOKUP(E4103,基础信息!C:E,3,FALSE)</f>
        <v>#N/A</v>
      </c>
    </row>
    <row r="4104" customHeight="1" spans="8:8">
      <c r="H4104" s="39" t="e">
        <f>VLOOKUP(E4104,基础信息!C:E,3,FALSE)</f>
        <v>#N/A</v>
      </c>
    </row>
    <row r="4105" customHeight="1" spans="8:8">
      <c r="H4105" s="39" t="e">
        <f>VLOOKUP(E4105,基础信息!C:E,3,FALSE)</f>
        <v>#N/A</v>
      </c>
    </row>
    <row r="4106" customHeight="1" spans="8:8">
      <c r="H4106" s="39" t="e">
        <f>VLOOKUP(E4106,基础信息!C:E,3,FALSE)</f>
        <v>#N/A</v>
      </c>
    </row>
    <row r="4107" customHeight="1" spans="8:8">
      <c r="H4107" s="39" t="e">
        <f>VLOOKUP(E4107,基础信息!C:E,3,FALSE)</f>
        <v>#N/A</v>
      </c>
    </row>
    <row r="4108" customHeight="1" spans="8:8">
      <c r="H4108" s="39" t="e">
        <f>VLOOKUP(E4108,基础信息!C:E,3,FALSE)</f>
        <v>#N/A</v>
      </c>
    </row>
    <row r="4109" customHeight="1" spans="8:8">
      <c r="H4109" s="39" t="e">
        <f>VLOOKUP(E4109,基础信息!C:E,3,FALSE)</f>
        <v>#N/A</v>
      </c>
    </row>
    <row r="4110" customHeight="1" spans="8:8">
      <c r="H4110" s="39" t="e">
        <f>VLOOKUP(E4110,基础信息!C:E,3,FALSE)</f>
        <v>#N/A</v>
      </c>
    </row>
    <row r="4111" customHeight="1" spans="8:8">
      <c r="H4111" s="39" t="e">
        <f>VLOOKUP(E4111,基础信息!C:E,3,FALSE)</f>
        <v>#N/A</v>
      </c>
    </row>
    <row r="4112" customHeight="1" spans="8:8">
      <c r="H4112" s="39" t="e">
        <f>VLOOKUP(E4112,基础信息!C:E,3,FALSE)</f>
        <v>#N/A</v>
      </c>
    </row>
    <row r="4113" customHeight="1" spans="8:8">
      <c r="H4113" s="39" t="e">
        <f>VLOOKUP(E4113,基础信息!C:E,3,FALSE)</f>
        <v>#N/A</v>
      </c>
    </row>
    <row r="4114" customHeight="1" spans="8:8">
      <c r="H4114" s="39" t="e">
        <f>VLOOKUP(E4114,基础信息!C:E,3,FALSE)</f>
        <v>#N/A</v>
      </c>
    </row>
    <row r="4115" customHeight="1" spans="8:8">
      <c r="H4115" s="39" t="e">
        <f>VLOOKUP(E4115,基础信息!C:E,3,FALSE)</f>
        <v>#N/A</v>
      </c>
    </row>
    <row r="4116" customHeight="1" spans="8:8">
      <c r="H4116" s="39" t="e">
        <f>VLOOKUP(E4116,基础信息!C:E,3,FALSE)</f>
        <v>#N/A</v>
      </c>
    </row>
    <row r="4117" customHeight="1" spans="8:8">
      <c r="H4117" s="39" t="e">
        <f>VLOOKUP(E4117,基础信息!C:E,3,FALSE)</f>
        <v>#N/A</v>
      </c>
    </row>
    <row r="4118" customHeight="1" spans="8:8">
      <c r="H4118" s="39" t="e">
        <f>VLOOKUP(E4118,基础信息!C:E,3,FALSE)</f>
        <v>#N/A</v>
      </c>
    </row>
    <row r="4119" customHeight="1" spans="8:8">
      <c r="H4119" s="39" t="e">
        <f>VLOOKUP(E4119,基础信息!C:E,3,FALSE)</f>
        <v>#N/A</v>
      </c>
    </row>
    <row r="4120" customHeight="1" spans="8:8">
      <c r="H4120" s="39" t="e">
        <f>VLOOKUP(E4120,基础信息!C:E,3,FALSE)</f>
        <v>#N/A</v>
      </c>
    </row>
    <row r="4121" customHeight="1" spans="8:8">
      <c r="H4121" s="39" t="e">
        <f>VLOOKUP(E4121,基础信息!C:E,3,FALSE)</f>
        <v>#N/A</v>
      </c>
    </row>
    <row r="4122" customHeight="1" spans="8:8">
      <c r="H4122" s="39" t="e">
        <f>VLOOKUP(E4122,基础信息!C:E,3,FALSE)</f>
        <v>#N/A</v>
      </c>
    </row>
    <row r="4123" customHeight="1" spans="8:8">
      <c r="H4123" s="39" t="e">
        <f>VLOOKUP(E4123,基础信息!C:E,3,FALSE)</f>
        <v>#N/A</v>
      </c>
    </row>
    <row r="4124" customHeight="1" spans="8:8">
      <c r="H4124" s="39" t="e">
        <f>VLOOKUP(E4124,基础信息!C:E,3,FALSE)</f>
        <v>#N/A</v>
      </c>
    </row>
    <row r="4125" customHeight="1" spans="8:8">
      <c r="H4125" s="39" t="e">
        <f>VLOOKUP(E4125,基础信息!C:E,3,FALSE)</f>
        <v>#N/A</v>
      </c>
    </row>
    <row r="4126" customHeight="1" spans="8:8">
      <c r="H4126" s="39" t="e">
        <f>VLOOKUP(E4126,基础信息!C:E,3,FALSE)</f>
        <v>#N/A</v>
      </c>
    </row>
    <row r="4127" customHeight="1" spans="8:8">
      <c r="H4127" s="39" t="e">
        <f>VLOOKUP(E4127,基础信息!C:E,3,FALSE)</f>
        <v>#N/A</v>
      </c>
    </row>
    <row r="4128" customHeight="1" spans="8:8">
      <c r="H4128" s="39" t="e">
        <f>VLOOKUP(E4128,基础信息!C:E,3,FALSE)</f>
        <v>#N/A</v>
      </c>
    </row>
    <row r="4129" customHeight="1" spans="8:8">
      <c r="H4129" s="39" t="e">
        <f>VLOOKUP(E4129,基础信息!C:E,3,FALSE)</f>
        <v>#N/A</v>
      </c>
    </row>
    <row r="4130" customHeight="1" spans="8:8">
      <c r="H4130" s="39" t="e">
        <f>VLOOKUP(E4130,基础信息!C:E,3,FALSE)</f>
        <v>#N/A</v>
      </c>
    </row>
    <row r="4131" customHeight="1" spans="8:8">
      <c r="H4131" s="39" t="e">
        <f>VLOOKUP(E4131,基础信息!C:E,3,FALSE)</f>
        <v>#N/A</v>
      </c>
    </row>
    <row r="4132" customHeight="1" spans="8:8">
      <c r="H4132" s="39" t="e">
        <f>VLOOKUP(E4132,基础信息!C:E,3,FALSE)</f>
        <v>#N/A</v>
      </c>
    </row>
    <row r="4133" customHeight="1" spans="8:8">
      <c r="H4133" s="39" t="e">
        <f>VLOOKUP(E4133,基础信息!C:E,3,FALSE)</f>
        <v>#N/A</v>
      </c>
    </row>
    <row r="4134" customHeight="1" spans="8:8">
      <c r="H4134" s="39" t="e">
        <f>VLOOKUP(E4134,基础信息!C:E,3,FALSE)</f>
        <v>#N/A</v>
      </c>
    </row>
    <row r="4135" customHeight="1" spans="8:8">
      <c r="H4135" s="39" t="e">
        <f>VLOOKUP(E4135,基础信息!C:E,3,FALSE)</f>
        <v>#N/A</v>
      </c>
    </row>
    <row r="4136" customHeight="1" spans="8:8">
      <c r="H4136" s="39" t="e">
        <f>VLOOKUP(E4136,基础信息!C:E,3,FALSE)</f>
        <v>#N/A</v>
      </c>
    </row>
    <row r="4137" customHeight="1" spans="8:8">
      <c r="H4137" s="39" t="e">
        <f>VLOOKUP(E4137,基础信息!C:E,3,FALSE)</f>
        <v>#N/A</v>
      </c>
    </row>
    <row r="4138" customHeight="1" spans="8:8">
      <c r="H4138" s="39" t="e">
        <f>VLOOKUP(E4138,基础信息!C:E,3,FALSE)</f>
        <v>#N/A</v>
      </c>
    </row>
    <row r="4139" customHeight="1" spans="8:8">
      <c r="H4139" s="39" t="e">
        <f>VLOOKUP(E4139,基础信息!C:E,3,FALSE)</f>
        <v>#N/A</v>
      </c>
    </row>
    <row r="4140" customHeight="1" spans="8:8">
      <c r="H4140" s="39" t="e">
        <f>VLOOKUP(E4140,基础信息!C:E,3,FALSE)</f>
        <v>#N/A</v>
      </c>
    </row>
    <row r="4141" customHeight="1" spans="8:8">
      <c r="H4141" s="39" t="e">
        <f>VLOOKUP(E4141,基础信息!C:E,3,FALSE)</f>
        <v>#N/A</v>
      </c>
    </row>
    <row r="4142" customHeight="1" spans="8:8">
      <c r="H4142" s="39" t="e">
        <f>VLOOKUP(E4142,基础信息!C:E,3,FALSE)</f>
        <v>#N/A</v>
      </c>
    </row>
    <row r="4143" customHeight="1" spans="8:8">
      <c r="H4143" s="39" t="e">
        <f>VLOOKUP(E4143,基础信息!C:E,3,FALSE)</f>
        <v>#N/A</v>
      </c>
    </row>
    <row r="4144" customHeight="1" spans="8:8">
      <c r="H4144" s="39" t="e">
        <f>VLOOKUP(E4144,基础信息!C:E,3,FALSE)</f>
        <v>#N/A</v>
      </c>
    </row>
    <row r="4145" customHeight="1" spans="8:8">
      <c r="H4145" s="39" t="e">
        <f>VLOOKUP(E4145,基础信息!C:E,3,FALSE)</f>
        <v>#N/A</v>
      </c>
    </row>
    <row r="4146" customHeight="1" spans="8:8">
      <c r="H4146" s="39" t="e">
        <f>VLOOKUP(E4146,基础信息!C:E,3,FALSE)</f>
        <v>#N/A</v>
      </c>
    </row>
    <row r="4147" customHeight="1" spans="8:8">
      <c r="H4147" s="39" t="e">
        <f>VLOOKUP(E4147,基础信息!C:E,3,FALSE)</f>
        <v>#N/A</v>
      </c>
    </row>
    <row r="4148" customHeight="1" spans="8:8">
      <c r="H4148" s="39" t="e">
        <f>VLOOKUP(E4148,基础信息!C:E,3,FALSE)</f>
        <v>#N/A</v>
      </c>
    </row>
    <row r="4149" customHeight="1" spans="8:8">
      <c r="H4149" s="39" t="e">
        <f>VLOOKUP(E4149,基础信息!C:E,3,FALSE)</f>
        <v>#N/A</v>
      </c>
    </row>
    <row r="4150" customHeight="1" spans="8:8">
      <c r="H4150" s="39" t="e">
        <f>VLOOKUP(E4150,基础信息!C:E,3,FALSE)</f>
        <v>#N/A</v>
      </c>
    </row>
    <row r="4151" customHeight="1" spans="8:8">
      <c r="H4151" s="39" t="e">
        <f>VLOOKUP(E4151,基础信息!C:E,3,FALSE)</f>
        <v>#N/A</v>
      </c>
    </row>
    <row r="4152" customHeight="1" spans="8:8">
      <c r="H4152" s="39" t="e">
        <f>VLOOKUP(E4152,基础信息!C:E,3,FALSE)</f>
        <v>#N/A</v>
      </c>
    </row>
    <row r="4153" customHeight="1" spans="8:8">
      <c r="H4153" s="39" t="e">
        <f>VLOOKUP(E4153,基础信息!C:E,3,FALSE)</f>
        <v>#N/A</v>
      </c>
    </row>
    <row r="4154" customHeight="1" spans="8:8">
      <c r="H4154" s="39" t="e">
        <f>VLOOKUP(E4154,基础信息!C:E,3,FALSE)</f>
        <v>#N/A</v>
      </c>
    </row>
    <row r="4155" customHeight="1" spans="8:8">
      <c r="H4155" s="39" t="e">
        <f>VLOOKUP(E4155,基础信息!C:E,3,FALSE)</f>
        <v>#N/A</v>
      </c>
    </row>
    <row r="4156" customHeight="1" spans="8:8">
      <c r="H4156" s="39" t="e">
        <f>VLOOKUP(E4156,基础信息!C:E,3,FALSE)</f>
        <v>#N/A</v>
      </c>
    </row>
    <row r="4157" customHeight="1" spans="8:8">
      <c r="H4157" s="39" t="e">
        <f>VLOOKUP(E4157,基础信息!C:E,3,FALSE)</f>
        <v>#N/A</v>
      </c>
    </row>
    <row r="4158" customHeight="1" spans="8:8">
      <c r="H4158" s="39" t="e">
        <f>VLOOKUP(E4158,基础信息!C:E,3,FALSE)</f>
        <v>#N/A</v>
      </c>
    </row>
    <row r="4159" customHeight="1" spans="8:8">
      <c r="H4159" s="39" t="e">
        <f>VLOOKUP(E4159,基础信息!C:E,3,FALSE)</f>
        <v>#N/A</v>
      </c>
    </row>
    <row r="4160" customHeight="1" spans="8:8">
      <c r="H4160" s="39" t="e">
        <f>VLOOKUP(E4160,基础信息!C:E,3,FALSE)</f>
        <v>#N/A</v>
      </c>
    </row>
    <row r="4161" customHeight="1" spans="8:8">
      <c r="H4161" s="39" t="e">
        <f>VLOOKUP(E4161,基础信息!C:E,3,FALSE)</f>
        <v>#N/A</v>
      </c>
    </row>
    <row r="4162" customHeight="1" spans="8:8">
      <c r="H4162" s="39" t="e">
        <f>VLOOKUP(E4162,基础信息!C:E,3,FALSE)</f>
        <v>#N/A</v>
      </c>
    </row>
    <row r="4163" customHeight="1" spans="8:8">
      <c r="H4163" s="39" t="e">
        <f>VLOOKUP(E4163,基础信息!C:E,3,FALSE)</f>
        <v>#N/A</v>
      </c>
    </row>
    <row r="4164" customHeight="1" spans="8:8">
      <c r="H4164" s="39" t="e">
        <f>VLOOKUP(E4164,基础信息!C:E,3,FALSE)</f>
        <v>#N/A</v>
      </c>
    </row>
    <row r="4165" customHeight="1" spans="8:8">
      <c r="H4165" s="39" t="e">
        <f>VLOOKUP(E4165,基础信息!C:E,3,FALSE)</f>
        <v>#N/A</v>
      </c>
    </row>
    <row r="4166" customHeight="1" spans="8:8">
      <c r="H4166" s="39" t="e">
        <f>VLOOKUP(E4166,基础信息!C:E,3,FALSE)</f>
        <v>#N/A</v>
      </c>
    </row>
    <row r="4167" customHeight="1" spans="8:8">
      <c r="H4167" s="39" t="e">
        <f>VLOOKUP(E4167,基础信息!C:E,3,FALSE)</f>
        <v>#N/A</v>
      </c>
    </row>
    <row r="4168" customHeight="1" spans="8:8">
      <c r="H4168" s="39" t="e">
        <f>VLOOKUP(E4168,基础信息!C:E,3,FALSE)</f>
        <v>#N/A</v>
      </c>
    </row>
    <row r="4169" customHeight="1" spans="8:8">
      <c r="H4169" s="39" t="e">
        <f>VLOOKUP(E4169,基础信息!C:E,3,FALSE)</f>
        <v>#N/A</v>
      </c>
    </row>
    <row r="4170" customHeight="1" spans="8:8">
      <c r="H4170" s="39" t="e">
        <f>VLOOKUP(E4170,基础信息!C:E,3,FALSE)</f>
        <v>#N/A</v>
      </c>
    </row>
    <row r="4171" customHeight="1" spans="8:8">
      <c r="H4171" s="39" t="e">
        <f>VLOOKUP(E4171,基础信息!C:E,3,FALSE)</f>
        <v>#N/A</v>
      </c>
    </row>
    <row r="4172" customHeight="1" spans="8:8">
      <c r="H4172" s="39" t="e">
        <f>VLOOKUP(E4172,基础信息!C:E,3,FALSE)</f>
        <v>#N/A</v>
      </c>
    </row>
    <row r="4173" customHeight="1" spans="8:8">
      <c r="H4173" s="39" t="e">
        <f>VLOOKUP(E4173,基础信息!C:E,3,FALSE)</f>
        <v>#N/A</v>
      </c>
    </row>
    <row r="4174" customHeight="1" spans="8:8">
      <c r="H4174" s="39" t="e">
        <f>VLOOKUP(E4174,基础信息!C:E,3,FALSE)</f>
        <v>#N/A</v>
      </c>
    </row>
    <row r="4175" customHeight="1" spans="8:8">
      <c r="H4175" s="39" t="e">
        <f>VLOOKUP(E4175,基础信息!C:E,3,FALSE)</f>
        <v>#N/A</v>
      </c>
    </row>
    <row r="4176" customHeight="1" spans="8:8">
      <c r="H4176" s="39" t="e">
        <f>VLOOKUP(E4176,基础信息!C:E,3,FALSE)</f>
        <v>#N/A</v>
      </c>
    </row>
    <row r="4177" customHeight="1" spans="8:8">
      <c r="H4177" s="39" t="e">
        <f>VLOOKUP(E4177,基础信息!C:E,3,FALSE)</f>
        <v>#N/A</v>
      </c>
    </row>
    <row r="4178" customHeight="1" spans="8:8">
      <c r="H4178" s="39" t="e">
        <f>VLOOKUP(E4178,基础信息!C:E,3,FALSE)</f>
        <v>#N/A</v>
      </c>
    </row>
    <row r="4179" customHeight="1" spans="8:8">
      <c r="H4179" s="39" t="e">
        <f>VLOOKUP(E4179,基础信息!C:E,3,FALSE)</f>
        <v>#N/A</v>
      </c>
    </row>
    <row r="4180" customHeight="1" spans="8:8">
      <c r="H4180" s="39" t="e">
        <f>VLOOKUP(E4180,基础信息!C:E,3,FALSE)</f>
        <v>#N/A</v>
      </c>
    </row>
    <row r="4181" customHeight="1" spans="8:8">
      <c r="H4181" s="39" t="e">
        <f>VLOOKUP(E4181,基础信息!C:E,3,FALSE)</f>
        <v>#N/A</v>
      </c>
    </row>
    <row r="4182" customHeight="1" spans="8:8">
      <c r="H4182" s="39" t="e">
        <f>VLOOKUP(E4182,基础信息!C:E,3,FALSE)</f>
        <v>#N/A</v>
      </c>
    </row>
    <row r="4183" customHeight="1" spans="8:8">
      <c r="H4183" s="39" t="e">
        <f>VLOOKUP(E4183,基础信息!C:E,3,FALSE)</f>
        <v>#N/A</v>
      </c>
    </row>
    <row r="4184" customHeight="1" spans="8:8">
      <c r="H4184" s="39" t="e">
        <f>VLOOKUP(E4184,基础信息!C:E,3,FALSE)</f>
        <v>#N/A</v>
      </c>
    </row>
    <row r="4185" customHeight="1" spans="8:8">
      <c r="H4185" s="39" t="e">
        <f>VLOOKUP(E4185,基础信息!C:E,3,FALSE)</f>
        <v>#N/A</v>
      </c>
    </row>
    <row r="4186" customHeight="1" spans="8:8">
      <c r="H4186" s="39" t="e">
        <f>VLOOKUP(E4186,基础信息!C:E,3,FALSE)</f>
        <v>#N/A</v>
      </c>
    </row>
    <row r="4187" customHeight="1" spans="8:8">
      <c r="H4187" s="39" t="e">
        <f>VLOOKUP(E4187,基础信息!C:E,3,FALSE)</f>
        <v>#N/A</v>
      </c>
    </row>
    <row r="4188" customHeight="1" spans="8:8">
      <c r="H4188" s="39" t="e">
        <f>VLOOKUP(E4188,基础信息!C:E,3,FALSE)</f>
        <v>#N/A</v>
      </c>
    </row>
    <row r="4189" customHeight="1" spans="8:8">
      <c r="H4189" s="39" t="e">
        <f>VLOOKUP(E4189,基础信息!C:E,3,FALSE)</f>
        <v>#N/A</v>
      </c>
    </row>
    <row r="4190" customHeight="1" spans="8:8">
      <c r="H4190" s="39" t="e">
        <f>VLOOKUP(E4190,基础信息!C:E,3,FALSE)</f>
        <v>#N/A</v>
      </c>
    </row>
    <row r="4191" customHeight="1" spans="8:8">
      <c r="H4191" s="39" t="e">
        <f>VLOOKUP(E4191,基础信息!C:E,3,FALSE)</f>
        <v>#N/A</v>
      </c>
    </row>
    <row r="4192" customHeight="1" spans="8:8">
      <c r="H4192" s="39" t="e">
        <f>VLOOKUP(E4192,基础信息!C:E,3,FALSE)</f>
        <v>#N/A</v>
      </c>
    </row>
    <row r="4193" customHeight="1" spans="8:8">
      <c r="H4193" s="39" t="e">
        <f>VLOOKUP(E4193,基础信息!C:E,3,FALSE)</f>
        <v>#N/A</v>
      </c>
    </row>
    <row r="4194" customHeight="1" spans="8:8">
      <c r="H4194" s="39" t="e">
        <f>VLOOKUP(E4194,基础信息!C:E,3,FALSE)</f>
        <v>#N/A</v>
      </c>
    </row>
    <row r="4195" customHeight="1" spans="8:8">
      <c r="H4195" s="39" t="e">
        <f>VLOOKUP(E4195,基础信息!C:E,3,FALSE)</f>
        <v>#N/A</v>
      </c>
    </row>
    <row r="4196" customHeight="1" spans="8:8">
      <c r="H4196" s="39" t="e">
        <f>VLOOKUP(E4196,基础信息!C:E,3,FALSE)</f>
        <v>#N/A</v>
      </c>
    </row>
    <row r="4197" customHeight="1" spans="8:8">
      <c r="H4197" s="39" t="e">
        <f>VLOOKUP(E4197,基础信息!C:E,3,FALSE)</f>
        <v>#N/A</v>
      </c>
    </row>
    <row r="4198" customHeight="1" spans="8:8">
      <c r="H4198" s="39" t="e">
        <f>VLOOKUP(E4198,基础信息!C:E,3,FALSE)</f>
        <v>#N/A</v>
      </c>
    </row>
    <row r="4199" customHeight="1" spans="8:8">
      <c r="H4199" s="39" t="e">
        <f>VLOOKUP(E4199,基础信息!C:E,3,FALSE)</f>
        <v>#N/A</v>
      </c>
    </row>
    <row r="4200" customHeight="1" spans="8:8">
      <c r="H4200" s="39" t="e">
        <f>VLOOKUP(E4200,基础信息!C:E,3,FALSE)</f>
        <v>#N/A</v>
      </c>
    </row>
    <row r="4201" customHeight="1" spans="8:8">
      <c r="H4201" s="39" t="e">
        <f>VLOOKUP(E4201,基础信息!C:E,3,FALSE)</f>
        <v>#N/A</v>
      </c>
    </row>
    <row r="4202" customHeight="1" spans="8:8">
      <c r="H4202" s="39" t="e">
        <f>VLOOKUP(E4202,基础信息!C:E,3,FALSE)</f>
        <v>#N/A</v>
      </c>
    </row>
    <row r="4203" customHeight="1" spans="8:8">
      <c r="H4203" s="39" t="e">
        <f>VLOOKUP(E4203,基础信息!C:E,3,FALSE)</f>
        <v>#N/A</v>
      </c>
    </row>
    <row r="4204" customHeight="1" spans="8:8">
      <c r="H4204" s="39" t="e">
        <f>VLOOKUP(E4204,基础信息!C:E,3,FALSE)</f>
        <v>#N/A</v>
      </c>
    </row>
    <row r="4205" customHeight="1" spans="8:8">
      <c r="H4205" s="39" t="e">
        <f>VLOOKUP(E4205,基础信息!C:E,3,FALSE)</f>
        <v>#N/A</v>
      </c>
    </row>
    <row r="4206" customHeight="1" spans="8:8">
      <c r="H4206" s="39" t="e">
        <f>VLOOKUP(E4206,基础信息!C:E,3,FALSE)</f>
        <v>#N/A</v>
      </c>
    </row>
    <row r="4207" customHeight="1" spans="8:8">
      <c r="H4207" s="39" t="e">
        <f>VLOOKUP(E4207,基础信息!C:E,3,FALSE)</f>
        <v>#N/A</v>
      </c>
    </row>
    <row r="4208" customHeight="1" spans="8:8">
      <c r="H4208" s="39" t="e">
        <f>VLOOKUP(E4208,基础信息!C:E,3,FALSE)</f>
        <v>#N/A</v>
      </c>
    </row>
    <row r="4209" customHeight="1" spans="8:8">
      <c r="H4209" s="39" t="e">
        <f>VLOOKUP(E4209,基础信息!C:E,3,FALSE)</f>
        <v>#N/A</v>
      </c>
    </row>
    <row r="4210" customHeight="1" spans="8:8">
      <c r="H4210" s="39" t="e">
        <f>VLOOKUP(E4210,基础信息!C:E,3,FALSE)</f>
        <v>#N/A</v>
      </c>
    </row>
    <row r="4211" customHeight="1" spans="8:8">
      <c r="H4211" s="39" t="e">
        <f>VLOOKUP(E4211,基础信息!C:E,3,FALSE)</f>
        <v>#N/A</v>
      </c>
    </row>
    <row r="4212" customHeight="1" spans="8:8">
      <c r="H4212" s="39" t="e">
        <f>VLOOKUP(E4212,基础信息!C:E,3,FALSE)</f>
        <v>#N/A</v>
      </c>
    </row>
    <row r="4213" customHeight="1" spans="8:8">
      <c r="H4213" s="39" t="e">
        <f>VLOOKUP(E4213,基础信息!C:E,3,FALSE)</f>
        <v>#N/A</v>
      </c>
    </row>
    <row r="4214" customHeight="1" spans="8:8">
      <c r="H4214" s="39" t="e">
        <f>VLOOKUP(E4214,基础信息!C:E,3,FALSE)</f>
        <v>#N/A</v>
      </c>
    </row>
    <row r="4215" customHeight="1" spans="8:8">
      <c r="H4215" s="39" t="e">
        <f>VLOOKUP(E4215,基础信息!C:E,3,FALSE)</f>
        <v>#N/A</v>
      </c>
    </row>
    <row r="4216" customHeight="1" spans="8:8">
      <c r="H4216" s="39" t="e">
        <f>VLOOKUP(E4216,基础信息!C:E,3,FALSE)</f>
        <v>#N/A</v>
      </c>
    </row>
    <row r="4217" customHeight="1" spans="8:8">
      <c r="H4217" s="39" t="e">
        <f>VLOOKUP(E4217,基础信息!C:E,3,FALSE)</f>
        <v>#N/A</v>
      </c>
    </row>
    <row r="4218" customHeight="1" spans="8:8">
      <c r="H4218" s="39" t="e">
        <f>VLOOKUP(E4218,基础信息!C:E,3,FALSE)</f>
        <v>#N/A</v>
      </c>
    </row>
    <row r="4219" customHeight="1" spans="8:8">
      <c r="H4219" s="39" t="e">
        <f>VLOOKUP(E4219,基础信息!C:E,3,FALSE)</f>
        <v>#N/A</v>
      </c>
    </row>
    <row r="4220" customHeight="1" spans="8:8">
      <c r="H4220" s="39" t="e">
        <f>VLOOKUP(E4220,基础信息!C:E,3,FALSE)</f>
        <v>#N/A</v>
      </c>
    </row>
    <row r="4221" customHeight="1" spans="8:8">
      <c r="H4221" s="39" t="e">
        <f>VLOOKUP(E4221,基础信息!C:E,3,FALSE)</f>
        <v>#N/A</v>
      </c>
    </row>
    <row r="4222" customHeight="1" spans="8:8">
      <c r="H4222" s="39" t="e">
        <f>VLOOKUP(E4222,基础信息!C:E,3,FALSE)</f>
        <v>#N/A</v>
      </c>
    </row>
    <row r="4223" customHeight="1" spans="8:8">
      <c r="H4223" s="39" t="e">
        <f>VLOOKUP(E4223,基础信息!C:E,3,FALSE)</f>
        <v>#N/A</v>
      </c>
    </row>
    <row r="4224" customHeight="1" spans="8:8">
      <c r="H4224" s="39" t="e">
        <f>VLOOKUP(E4224,基础信息!C:E,3,FALSE)</f>
        <v>#N/A</v>
      </c>
    </row>
    <row r="4225" customHeight="1" spans="8:8">
      <c r="H4225" s="39" t="e">
        <f>VLOOKUP(E4225,基础信息!C:E,3,FALSE)</f>
        <v>#N/A</v>
      </c>
    </row>
    <row r="4226" customHeight="1" spans="8:8">
      <c r="H4226" s="39" t="e">
        <f>VLOOKUP(E4226,基础信息!C:E,3,FALSE)</f>
        <v>#N/A</v>
      </c>
    </row>
    <row r="4227" customHeight="1" spans="8:8">
      <c r="H4227" s="39" t="e">
        <f>VLOOKUP(E4227,基础信息!C:E,3,FALSE)</f>
        <v>#N/A</v>
      </c>
    </row>
    <row r="4228" customHeight="1" spans="8:8">
      <c r="H4228" s="39" t="e">
        <f>VLOOKUP(E4228,基础信息!C:E,3,FALSE)</f>
        <v>#N/A</v>
      </c>
    </row>
    <row r="4229" customHeight="1" spans="8:8">
      <c r="H4229" s="39" t="e">
        <f>VLOOKUP(E4229,基础信息!C:E,3,FALSE)</f>
        <v>#N/A</v>
      </c>
    </row>
    <row r="4230" customHeight="1" spans="8:8">
      <c r="H4230" s="39" t="e">
        <f>VLOOKUP(E4230,基础信息!C:E,3,FALSE)</f>
        <v>#N/A</v>
      </c>
    </row>
    <row r="4231" customHeight="1" spans="8:8">
      <c r="H4231" s="39" t="e">
        <f>VLOOKUP(E4231,基础信息!C:E,3,FALSE)</f>
        <v>#N/A</v>
      </c>
    </row>
    <row r="4232" customHeight="1" spans="8:8">
      <c r="H4232" s="39" t="e">
        <f>VLOOKUP(E4232,基础信息!C:E,3,FALSE)</f>
        <v>#N/A</v>
      </c>
    </row>
    <row r="4233" customHeight="1" spans="8:8">
      <c r="H4233" s="39" t="e">
        <f>VLOOKUP(E4233,基础信息!C:E,3,FALSE)</f>
        <v>#N/A</v>
      </c>
    </row>
    <row r="4234" customHeight="1" spans="8:8">
      <c r="H4234" s="39" t="e">
        <f>VLOOKUP(E4234,基础信息!C:E,3,FALSE)</f>
        <v>#N/A</v>
      </c>
    </row>
    <row r="4235" customHeight="1" spans="8:8">
      <c r="H4235" s="39" t="e">
        <f>VLOOKUP(E4235,基础信息!C:E,3,FALSE)</f>
        <v>#N/A</v>
      </c>
    </row>
    <row r="4236" customHeight="1" spans="8:8">
      <c r="H4236" s="39" t="e">
        <f>VLOOKUP(E4236,基础信息!C:E,3,FALSE)</f>
        <v>#N/A</v>
      </c>
    </row>
    <row r="4237" customHeight="1" spans="8:8">
      <c r="H4237" s="39" t="e">
        <f>VLOOKUP(E4237,基础信息!C:E,3,FALSE)</f>
        <v>#N/A</v>
      </c>
    </row>
    <row r="4238" customHeight="1" spans="8:8">
      <c r="H4238" s="39" t="e">
        <f>VLOOKUP(E4238,基础信息!C:E,3,FALSE)</f>
        <v>#N/A</v>
      </c>
    </row>
    <row r="4239" customHeight="1" spans="8:8">
      <c r="H4239" s="39" t="e">
        <f>VLOOKUP(E4239,基础信息!C:E,3,FALSE)</f>
        <v>#N/A</v>
      </c>
    </row>
    <row r="4240" customHeight="1" spans="8:8">
      <c r="H4240" s="39" t="e">
        <f>VLOOKUP(E4240,基础信息!C:E,3,FALSE)</f>
        <v>#N/A</v>
      </c>
    </row>
    <row r="4241" customHeight="1" spans="8:8">
      <c r="H4241" s="39" t="e">
        <f>VLOOKUP(E4241,基础信息!C:E,3,FALSE)</f>
        <v>#N/A</v>
      </c>
    </row>
    <row r="4242" customHeight="1" spans="8:8">
      <c r="H4242" s="39" t="e">
        <f>VLOOKUP(E4242,基础信息!C:E,3,FALSE)</f>
        <v>#N/A</v>
      </c>
    </row>
    <row r="4243" customHeight="1" spans="8:8">
      <c r="H4243" s="39" t="e">
        <f>VLOOKUP(E4243,基础信息!C:E,3,FALSE)</f>
        <v>#N/A</v>
      </c>
    </row>
    <row r="4244" customHeight="1" spans="8:8">
      <c r="H4244" s="39" t="e">
        <f>VLOOKUP(E4244,基础信息!C:E,3,FALSE)</f>
        <v>#N/A</v>
      </c>
    </row>
    <row r="4245" customHeight="1" spans="8:8">
      <c r="H4245" s="39" t="e">
        <f>VLOOKUP(E4245,基础信息!C:E,3,FALSE)</f>
        <v>#N/A</v>
      </c>
    </row>
    <row r="4246" customHeight="1" spans="8:8">
      <c r="H4246" s="39" t="e">
        <f>VLOOKUP(E4246,基础信息!C:E,3,FALSE)</f>
        <v>#N/A</v>
      </c>
    </row>
    <row r="4247" customHeight="1" spans="8:8">
      <c r="H4247" s="39" t="e">
        <f>VLOOKUP(E4247,基础信息!C:E,3,FALSE)</f>
        <v>#N/A</v>
      </c>
    </row>
    <row r="4248" customHeight="1" spans="8:8">
      <c r="H4248" s="39" t="e">
        <f>VLOOKUP(E4248,基础信息!C:E,3,FALSE)</f>
        <v>#N/A</v>
      </c>
    </row>
    <row r="4249" customHeight="1" spans="8:8">
      <c r="H4249" s="39" t="e">
        <f>VLOOKUP(E4249,基础信息!C:E,3,FALSE)</f>
        <v>#N/A</v>
      </c>
    </row>
    <row r="4250" customHeight="1" spans="8:8">
      <c r="H4250" s="39" t="e">
        <f>VLOOKUP(E4250,基础信息!C:E,3,FALSE)</f>
        <v>#N/A</v>
      </c>
    </row>
    <row r="4251" customHeight="1" spans="8:8">
      <c r="H4251" s="39" t="e">
        <f>VLOOKUP(E4251,基础信息!C:E,3,FALSE)</f>
        <v>#N/A</v>
      </c>
    </row>
    <row r="4252" customHeight="1" spans="8:8">
      <c r="H4252" s="39" t="e">
        <f>VLOOKUP(E4252,基础信息!C:E,3,FALSE)</f>
        <v>#N/A</v>
      </c>
    </row>
    <row r="4253" customHeight="1" spans="8:8">
      <c r="H4253" s="39" t="e">
        <f>VLOOKUP(E4253,基础信息!C:E,3,FALSE)</f>
        <v>#N/A</v>
      </c>
    </row>
    <row r="4254" customHeight="1" spans="8:8">
      <c r="H4254" s="39" t="e">
        <f>VLOOKUP(E4254,基础信息!C:E,3,FALSE)</f>
        <v>#N/A</v>
      </c>
    </row>
    <row r="4255" customHeight="1" spans="8:8">
      <c r="H4255" s="39" t="e">
        <f>VLOOKUP(E4255,基础信息!C:E,3,FALSE)</f>
        <v>#N/A</v>
      </c>
    </row>
    <row r="4256" customHeight="1" spans="8:8">
      <c r="H4256" s="39" t="e">
        <f>VLOOKUP(E4256,基础信息!C:E,3,FALSE)</f>
        <v>#N/A</v>
      </c>
    </row>
    <row r="4257" customHeight="1" spans="8:8">
      <c r="H4257" s="39" t="e">
        <f>VLOOKUP(E4257,基础信息!C:E,3,FALSE)</f>
        <v>#N/A</v>
      </c>
    </row>
    <row r="4258" customHeight="1" spans="8:8">
      <c r="H4258" s="39" t="e">
        <f>VLOOKUP(E4258,基础信息!C:E,3,FALSE)</f>
        <v>#N/A</v>
      </c>
    </row>
    <row r="4259" customHeight="1" spans="8:8">
      <c r="H4259" s="39" t="e">
        <f>VLOOKUP(E4259,基础信息!C:E,3,FALSE)</f>
        <v>#N/A</v>
      </c>
    </row>
    <row r="4260" customHeight="1" spans="8:8">
      <c r="H4260" s="39" t="e">
        <f>VLOOKUP(E4260,基础信息!C:E,3,FALSE)</f>
        <v>#N/A</v>
      </c>
    </row>
    <row r="4261" customHeight="1" spans="8:8">
      <c r="H4261" s="39" t="e">
        <f>VLOOKUP(E4261,基础信息!C:E,3,FALSE)</f>
        <v>#N/A</v>
      </c>
    </row>
    <row r="4262" customHeight="1" spans="8:8">
      <c r="H4262" s="39" t="e">
        <f>VLOOKUP(E4262,基础信息!C:E,3,FALSE)</f>
        <v>#N/A</v>
      </c>
    </row>
    <row r="4263" customHeight="1" spans="8:8">
      <c r="H4263" s="39" t="e">
        <f>VLOOKUP(E4263,基础信息!C:E,3,FALSE)</f>
        <v>#N/A</v>
      </c>
    </row>
    <row r="4264" customHeight="1" spans="8:8">
      <c r="H4264" s="39" t="e">
        <f>VLOOKUP(E4264,基础信息!C:E,3,FALSE)</f>
        <v>#N/A</v>
      </c>
    </row>
    <row r="4265" customHeight="1" spans="8:8">
      <c r="H4265" s="39" t="e">
        <f>VLOOKUP(E4265,基础信息!C:E,3,FALSE)</f>
        <v>#N/A</v>
      </c>
    </row>
    <row r="4266" customHeight="1" spans="8:8">
      <c r="H4266" s="39" t="e">
        <f>VLOOKUP(E4266,基础信息!C:E,3,FALSE)</f>
        <v>#N/A</v>
      </c>
    </row>
    <row r="4267" customHeight="1" spans="8:8">
      <c r="H4267" s="39" t="e">
        <f>VLOOKUP(E4267,基础信息!C:E,3,FALSE)</f>
        <v>#N/A</v>
      </c>
    </row>
    <row r="4268" customHeight="1" spans="8:8">
      <c r="H4268" s="39" t="e">
        <f>VLOOKUP(E4268,基础信息!C:E,3,FALSE)</f>
        <v>#N/A</v>
      </c>
    </row>
    <row r="4269" customHeight="1" spans="8:8">
      <c r="H4269" s="39" t="e">
        <f>VLOOKUP(E4269,基础信息!C:E,3,FALSE)</f>
        <v>#N/A</v>
      </c>
    </row>
    <row r="4270" customHeight="1" spans="8:8">
      <c r="H4270" s="39" t="e">
        <f>VLOOKUP(E4270,基础信息!C:E,3,FALSE)</f>
        <v>#N/A</v>
      </c>
    </row>
    <row r="4271" customHeight="1" spans="8:8">
      <c r="H4271" s="39" t="e">
        <f>VLOOKUP(E4271,基础信息!C:E,3,FALSE)</f>
        <v>#N/A</v>
      </c>
    </row>
    <row r="4272" customHeight="1" spans="8:8">
      <c r="H4272" s="39" t="e">
        <f>VLOOKUP(E4272,基础信息!C:E,3,FALSE)</f>
        <v>#N/A</v>
      </c>
    </row>
    <row r="4273" customHeight="1" spans="8:8">
      <c r="H4273" s="39" t="e">
        <f>VLOOKUP(E4273,基础信息!C:E,3,FALSE)</f>
        <v>#N/A</v>
      </c>
    </row>
    <row r="4274" customHeight="1" spans="8:8">
      <c r="H4274" s="39" t="e">
        <f>VLOOKUP(E4274,基础信息!C:E,3,FALSE)</f>
        <v>#N/A</v>
      </c>
    </row>
    <row r="4275" customHeight="1" spans="8:8">
      <c r="H4275" s="39" t="e">
        <f>VLOOKUP(E4275,基础信息!C:E,3,FALSE)</f>
        <v>#N/A</v>
      </c>
    </row>
    <row r="4276" customHeight="1" spans="8:8">
      <c r="H4276" s="39" t="e">
        <f>VLOOKUP(E4276,基础信息!C:E,3,FALSE)</f>
        <v>#N/A</v>
      </c>
    </row>
    <row r="4277" customHeight="1" spans="8:8">
      <c r="H4277" s="39" t="e">
        <f>VLOOKUP(E4277,基础信息!C:E,3,FALSE)</f>
        <v>#N/A</v>
      </c>
    </row>
    <row r="4278" customHeight="1" spans="8:8">
      <c r="H4278" s="39" t="e">
        <f>VLOOKUP(E4278,基础信息!C:E,3,FALSE)</f>
        <v>#N/A</v>
      </c>
    </row>
    <row r="4279" customHeight="1" spans="8:8">
      <c r="H4279" s="39" t="e">
        <f>VLOOKUP(E4279,基础信息!C:E,3,FALSE)</f>
        <v>#N/A</v>
      </c>
    </row>
    <row r="4280" customHeight="1" spans="8:8">
      <c r="H4280" s="39" t="e">
        <f>VLOOKUP(E4280,基础信息!C:E,3,FALSE)</f>
        <v>#N/A</v>
      </c>
    </row>
    <row r="4281" customHeight="1" spans="8:8">
      <c r="H4281" s="39" t="e">
        <f>VLOOKUP(E4281,基础信息!C:E,3,FALSE)</f>
        <v>#N/A</v>
      </c>
    </row>
    <row r="4282" customHeight="1" spans="8:8">
      <c r="H4282" s="39" t="e">
        <f>VLOOKUP(E4282,基础信息!C:E,3,FALSE)</f>
        <v>#N/A</v>
      </c>
    </row>
    <row r="4283" customHeight="1" spans="8:8">
      <c r="H4283" s="39" t="e">
        <f>VLOOKUP(E4283,基础信息!C:E,3,FALSE)</f>
        <v>#N/A</v>
      </c>
    </row>
    <row r="4284" customHeight="1" spans="8:8">
      <c r="H4284" s="39" t="e">
        <f>VLOOKUP(E4284,基础信息!C:E,3,FALSE)</f>
        <v>#N/A</v>
      </c>
    </row>
    <row r="4285" customHeight="1" spans="8:8">
      <c r="H4285" s="39" t="e">
        <f>VLOOKUP(E4285,基础信息!C:E,3,FALSE)</f>
        <v>#N/A</v>
      </c>
    </row>
    <row r="4286" customHeight="1" spans="8:8">
      <c r="H4286" s="39" t="e">
        <f>VLOOKUP(E4286,基础信息!C:E,3,FALSE)</f>
        <v>#N/A</v>
      </c>
    </row>
    <row r="4287" customHeight="1" spans="8:8">
      <c r="H4287" s="39" t="e">
        <f>VLOOKUP(E4287,基础信息!C:E,3,FALSE)</f>
        <v>#N/A</v>
      </c>
    </row>
    <row r="4288" customHeight="1" spans="8:8">
      <c r="H4288" s="39" t="e">
        <f>VLOOKUP(E4288,基础信息!C:E,3,FALSE)</f>
        <v>#N/A</v>
      </c>
    </row>
    <row r="4289" customHeight="1" spans="8:8">
      <c r="H4289" s="39" t="e">
        <f>VLOOKUP(E4289,基础信息!C:E,3,FALSE)</f>
        <v>#N/A</v>
      </c>
    </row>
    <row r="4290" customHeight="1" spans="8:8">
      <c r="H4290" s="39" t="e">
        <f>VLOOKUP(E4290,基础信息!C:E,3,FALSE)</f>
        <v>#N/A</v>
      </c>
    </row>
    <row r="4291" customHeight="1" spans="8:8">
      <c r="H4291" s="39" t="e">
        <f>VLOOKUP(E4291,基础信息!C:E,3,FALSE)</f>
        <v>#N/A</v>
      </c>
    </row>
    <row r="4292" customHeight="1" spans="8:8">
      <c r="H4292" s="39" t="e">
        <f>VLOOKUP(E4292,基础信息!C:E,3,FALSE)</f>
        <v>#N/A</v>
      </c>
    </row>
    <row r="4293" customHeight="1" spans="8:8">
      <c r="H4293" s="39" t="e">
        <f>VLOOKUP(E4293,基础信息!C:E,3,FALSE)</f>
        <v>#N/A</v>
      </c>
    </row>
    <row r="4294" customHeight="1" spans="8:8">
      <c r="H4294" s="39" t="e">
        <f>VLOOKUP(E4294,基础信息!C:E,3,FALSE)</f>
        <v>#N/A</v>
      </c>
    </row>
    <row r="4295" customHeight="1" spans="8:8">
      <c r="H4295" s="39" t="e">
        <f>VLOOKUP(E4295,基础信息!C:E,3,FALSE)</f>
        <v>#N/A</v>
      </c>
    </row>
    <row r="4296" customHeight="1" spans="8:8">
      <c r="H4296" s="39" t="e">
        <f>VLOOKUP(E4296,基础信息!C:E,3,FALSE)</f>
        <v>#N/A</v>
      </c>
    </row>
    <row r="4297" customHeight="1" spans="8:8">
      <c r="H4297" s="39" t="e">
        <f>VLOOKUP(E4297,基础信息!C:E,3,FALSE)</f>
        <v>#N/A</v>
      </c>
    </row>
    <row r="4298" customHeight="1" spans="8:8">
      <c r="H4298" s="39" t="e">
        <f>VLOOKUP(E4298,基础信息!C:E,3,FALSE)</f>
        <v>#N/A</v>
      </c>
    </row>
    <row r="4299" customHeight="1" spans="8:8">
      <c r="H4299" s="39" t="e">
        <f>VLOOKUP(E4299,基础信息!C:E,3,FALSE)</f>
        <v>#N/A</v>
      </c>
    </row>
    <row r="4300" customHeight="1" spans="8:8">
      <c r="H4300" s="39" t="e">
        <f>VLOOKUP(E4300,基础信息!C:E,3,FALSE)</f>
        <v>#N/A</v>
      </c>
    </row>
    <row r="4301" customHeight="1" spans="8:8">
      <c r="H4301" s="39" t="e">
        <f>VLOOKUP(E4301,基础信息!C:E,3,FALSE)</f>
        <v>#N/A</v>
      </c>
    </row>
    <row r="4302" customHeight="1" spans="8:8">
      <c r="H4302" s="39" t="e">
        <f>VLOOKUP(E4302,基础信息!C:E,3,FALSE)</f>
        <v>#N/A</v>
      </c>
    </row>
    <row r="4303" customHeight="1" spans="8:8">
      <c r="H4303" s="39" t="e">
        <f>VLOOKUP(E4303,基础信息!C:E,3,FALSE)</f>
        <v>#N/A</v>
      </c>
    </row>
    <row r="4304" customHeight="1" spans="8:8">
      <c r="H4304" s="39" t="e">
        <f>VLOOKUP(E4304,基础信息!C:E,3,FALSE)</f>
        <v>#N/A</v>
      </c>
    </row>
    <row r="4305" customHeight="1" spans="8:8">
      <c r="H4305" s="39" t="e">
        <f>VLOOKUP(E4305,基础信息!C:E,3,FALSE)</f>
        <v>#N/A</v>
      </c>
    </row>
    <row r="4306" customHeight="1" spans="8:8">
      <c r="H4306" s="39" t="e">
        <f>VLOOKUP(E4306,基础信息!C:E,3,FALSE)</f>
        <v>#N/A</v>
      </c>
    </row>
    <row r="4307" customHeight="1" spans="8:8">
      <c r="H4307" s="39" t="e">
        <f>VLOOKUP(E4307,基础信息!C:E,3,FALSE)</f>
        <v>#N/A</v>
      </c>
    </row>
    <row r="4308" customHeight="1" spans="8:8">
      <c r="H4308" s="39" t="e">
        <f>VLOOKUP(E4308,基础信息!C:E,3,FALSE)</f>
        <v>#N/A</v>
      </c>
    </row>
    <row r="4309" customHeight="1" spans="8:8">
      <c r="H4309" s="39" t="e">
        <f>VLOOKUP(E4309,基础信息!C:E,3,FALSE)</f>
        <v>#N/A</v>
      </c>
    </row>
    <row r="4310" customHeight="1" spans="8:8">
      <c r="H4310" s="39" t="e">
        <f>VLOOKUP(E4310,基础信息!C:E,3,FALSE)</f>
        <v>#N/A</v>
      </c>
    </row>
    <row r="4311" customHeight="1" spans="8:8">
      <c r="H4311" s="39" t="e">
        <f>VLOOKUP(E4311,基础信息!C:E,3,FALSE)</f>
        <v>#N/A</v>
      </c>
    </row>
    <row r="4312" customHeight="1" spans="8:8">
      <c r="H4312" s="39" t="e">
        <f>VLOOKUP(E4312,基础信息!C:E,3,FALSE)</f>
        <v>#N/A</v>
      </c>
    </row>
    <row r="4313" customHeight="1" spans="8:8">
      <c r="H4313" s="39" t="e">
        <f>VLOOKUP(E4313,基础信息!C:E,3,FALSE)</f>
        <v>#N/A</v>
      </c>
    </row>
    <row r="4314" customHeight="1" spans="8:8">
      <c r="H4314" s="39" t="e">
        <f>VLOOKUP(E4314,基础信息!C:E,3,FALSE)</f>
        <v>#N/A</v>
      </c>
    </row>
    <row r="4315" customHeight="1" spans="8:8">
      <c r="H4315" s="39" t="e">
        <f>VLOOKUP(E4315,基础信息!C:E,3,FALSE)</f>
        <v>#N/A</v>
      </c>
    </row>
    <row r="4316" customHeight="1" spans="8:8">
      <c r="H4316" s="39" t="e">
        <f>VLOOKUP(E4316,基础信息!C:E,3,FALSE)</f>
        <v>#N/A</v>
      </c>
    </row>
    <row r="4317" customHeight="1" spans="8:8">
      <c r="H4317" s="39" t="e">
        <f>VLOOKUP(E4317,基础信息!C:E,3,FALSE)</f>
        <v>#N/A</v>
      </c>
    </row>
    <row r="4318" customHeight="1" spans="8:8">
      <c r="H4318" s="39" t="e">
        <f>VLOOKUP(E4318,基础信息!C:E,3,FALSE)</f>
        <v>#N/A</v>
      </c>
    </row>
    <row r="4319" customHeight="1" spans="8:8">
      <c r="H4319" s="39" t="e">
        <f>VLOOKUP(E4319,基础信息!C:E,3,FALSE)</f>
        <v>#N/A</v>
      </c>
    </row>
    <row r="4320" customHeight="1" spans="8:8">
      <c r="H4320" s="39" t="e">
        <f>VLOOKUP(E4320,基础信息!C:E,3,FALSE)</f>
        <v>#N/A</v>
      </c>
    </row>
    <row r="4321" customHeight="1" spans="8:8">
      <c r="H4321" s="39" t="e">
        <f>VLOOKUP(E4321,基础信息!C:E,3,FALSE)</f>
        <v>#N/A</v>
      </c>
    </row>
    <row r="4322" customHeight="1" spans="8:8">
      <c r="H4322" s="39" t="e">
        <f>VLOOKUP(E4322,基础信息!C:E,3,FALSE)</f>
        <v>#N/A</v>
      </c>
    </row>
    <row r="4323" customHeight="1" spans="8:8">
      <c r="H4323" s="39" t="e">
        <f>VLOOKUP(E4323,基础信息!C:E,3,FALSE)</f>
        <v>#N/A</v>
      </c>
    </row>
    <row r="4324" customHeight="1" spans="8:8">
      <c r="H4324" s="39" t="e">
        <f>VLOOKUP(E4324,基础信息!C:E,3,FALSE)</f>
        <v>#N/A</v>
      </c>
    </row>
    <row r="4325" customHeight="1" spans="8:8">
      <c r="H4325" s="39" t="e">
        <f>VLOOKUP(E4325,基础信息!C:E,3,FALSE)</f>
        <v>#N/A</v>
      </c>
    </row>
    <row r="4326" customHeight="1" spans="8:8">
      <c r="H4326" s="39" t="e">
        <f>VLOOKUP(E4326,基础信息!C:E,3,FALSE)</f>
        <v>#N/A</v>
      </c>
    </row>
    <row r="4327" customHeight="1" spans="8:8">
      <c r="H4327" s="39" t="e">
        <f>VLOOKUP(E4327,基础信息!C:E,3,FALSE)</f>
        <v>#N/A</v>
      </c>
    </row>
    <row r="4328" customHeight="1" spans="8:8">
      <c r="H4328" s="39" t="e">
        <f>VLOOKUP(E4328,基础信息!C:E,3,FALSE)</f>
        <v>#N/A</v>
      </c>
    </row>
    <row r="4329" customHeight="1" spans="8:8">
      <c r="H4329" s="39" t="e">
        <f>VLOOKUP(E4329,基础信息!C:E,3,FALSE)</f>
        <v>#N/A</v>
      </c>
    </row>
    <row r="4330" customHeight="1" spans="8:8">
      <c r="H4330" s="39" t="e">
        <f>VLOOKUP(E4330,基础信息!C:E,3,FALSE)</f>
        <v>#N/A</v>
      </c>
    </row>
    <row r="4331" customHeight="1" spans="8:8">
      <c r="H4331" s="39" t="e">
        <f>VLOOKUP(E4331,基础信息!C:E,3,FALSE)</f>
        <v>#N/A</v>
      </c>
    </row>
    <row r="4332" customHeight="1" spans="8:8">
      <c r="H4332" s="39" t="e">
        <f>VLOOKUP(E4332,基础信息!C:E,3,FALSE)</f>
        <v>#N/A</v>
      </c>
    </row>
    <row r="4333" customHeight="1" spans="8:8">
      <c r="H4333" s="39" t="e">
        <f>VLOOKUP(E4333,基础信息!C:E,3,FALSE)</f>
        <v>#N/A</v>
      </c>
    </row>
    <row r="4334" customHeight="1" spans="8:8">
      <c r="H4334" s="39" t="e">
        <f>VLOOKUP(E4334,基础信息!C:E,3,FALSE)</f>
        <v>#N/A</v>
      </c>
    </row>
    <row r="4335" customHeight="1" spans="8:8">
      <c r="H4335" s="39" t="e">
        <f>VLOOKUP(E4335,基础信息!C:E,3,FALSE)</f>
        <v>#N/A</v>
      </c>
    </row>
    <row r="4336" customHeight="1" spans="8:8">
      <c r="H4336" s="39" t="e">
        <f>VLOOKUP(E4336,基础信息!C:E,3,FALSE)</f>
        <v>#N/A</v>
      </c>
    </row>
    <row r="4337" customHeight="1" spans="8:8">
      <c r="H4337" s="39" t="e">
        <f>VLOOKUP(E4337,基础信息!C:E,3,FALSE)</f>
        <v>#N/A</v>
      </c>
    </row>
    <row r="4338" customHeight="1" spans="8:8">
      <c r="H4338" s="39" t="e">
        <f>VLOOKUP(E4338,基础信息!C:E,3,FALSE)</f>
        <v>#N/A</v>
      </c>
    </row>
    <row r="4339" customHeight="1" spans="8:8">
      <c r="H4339" s="39" t="e">
        <f>VLOOKUP(E4339,基础信息!C:E,3,FALSE)</f>
        <v>#N/A</v>
      </c>
    </row>
    <row r="4340" customHeight="1" spans="8:8">
      <c r="H4340" s="39" t="e">
        <f>VLOOKUP(E4340,基础信息!C:E,3,FALSE)</f>
        <v>#N/A</v>
      </c>
    </row>
    <row r="4341" customHeight="1" spans="8:8">
      <c r="H4341" s="39" t="e">
        <f>VLOOKUP(E4341,基础信息!C:E,3,FALSE)</f>
        <v>#N/A</v>
      </c>
    </row>
    <row r="4342" customHeight="1" spans="8:8">
      <c r="H4342" s="39" t="e">
        <f>VLOOKUP(E4342,基础信息!C:E,3,FALSE)</f>
        <v>#N/A</v>
      </c>
    </row>
    <row r="4343" customHeight="1" spans="8:8">
      <c r="H4343" s="39" t="e">
        <f>VLOOKUP(E4343,基础信息!C:E,3,FALSE)</f>
        <v>#N/A</v>
      </c>
    </row>
    <row r="4344" customHeight="1" spans="8:8">
      <c r="H4344" s="39" t="e">
        <f>VLOOKUP(E4344,基础信息!C:E,3,FALSE)</f>
        <v>#N/A</v>
      </c>
    </row>
    <row r="4345" customHeight="1" spans="8:8">
      <c r="H4345" s="39" t="e">
        <f>VLOOKUP(E4345,基础信息!C:E,3,FALSE)</f>
        <v>#N/A</v>
      </c>
    </row>
    <row r="4346" customHeight="1" spans="8:8">
      <c r="H4346" s="39" t="e">
        <f>VLOOKUP(E4346,基础信息!C:E,3,FALSE)</f>
        <v>#N/A</v>
      </c>
    </row>
    <row r="4347" customHeight="1" spans="8:8">
      <c r="H4347" s="39" t="e">
        <f>VLOOKUP(E4347,基础信息!C:E,3,FALSE)</f>
        <v>#N/A</v>
      </c>
    </row>
    <row r="4348" customHeight="1" spans="8:8">
      <c r="H4348" s="39" t="e">
        <f>VLOOKUP(E4348,基础信息!C:E,3,FALSE)</f>
        <v>#N/A</v>
      </c>
    </row>
    <row r="4349" customHeight="1" spans="8:8">
      <c r="H4349" s="39" t="e">
        <f>VLOOKUP(E4349,基础信息!C:E,3,FALSE)</f>
        <v>#N/A</v>
      </c>
    </row>
    <row r="4350" customHeight="1" spans="8:8">
      <c r="H4350" s="39" t="e">
        <f>VLOOKUP(E4350,基础信息!C:E,3,FALSE)</f>
        <v>#N/A</v>
      </c>
    </row>
    <row r="4351" customHeight="1" spans="8:8">
      <c r="H4351" s="39" t="e">
        <f>VLOOKUP(E4351,基础信息!C:E,3,FALSE)</f>
        <v>#N/A</v>
      </c>
    </row>
    <row r="4352" customHeight="1" spans="8:8">
      <c r="H4352" s="39" t="e">
        <f>VLOOKUP(E4352,基础信息!C:E,3,FALSE)</f>
        <v>#N/A</v>
      </c>
    </row>
    <row r="4353" customHeight="1" spans="8:8">
      <c r="H4353" s="39" t="e">
        <f>VLOOKUP(E4353,基础信息!C:E,3,FALSE)</f>
        <v>#N/A</v>
      </c>
    </row>
    <row r="4354" customHeight="1" spans="8:8">
      <c r="H4354" s="39" t="e">
        <f>VLOOKUP(E4354,基础信息!C:E,3,FALSE)</f>
        <v>#N/A</v>
      </c>
    </row>
    <row r="4355" customHeight="1" spans="8:8">
      <c r="H4355" s="39" t="e">
        <f>VLOOKUP(E4355,基础信息!C:E,3,FALSE)</f>
        <v>#N/A</v>
      </c>
    </row>
    <row r="4356" customHeight="1" spans="8:8">
      <c r="H4356" s="39" t="e">
        <f>VLOOKUP(E4356,基础信息!C:E,3,FALSE)</f>
        <v>#N/A</v>
      </c>
    </row>
    <row r="4357" customHeight="1" spans="8:8">
      <c r="H4357" s="39" t="e">
        <f>VLOOKUP(E4357,基础信息!C:E,3,FALSE)</f>
        <v>#N/A</v>
      </c>
    </row>
    <row r="4358" customHeight="1" spans="8:8">
      <c r="H4358" s="39" t="e">
        <f>VLOOKUP(E4358,基础信息!C:E,3,FALSE)</f>
        <v>#N/A</v>
      </c>
    </row>
    <row r="4359" customHeight="1" spans="8:8">
      <c r="H4359" s="39" t="e">
        <f>VLOOKUP(E4359,基础信息!C:E,3,FALSE)</f>
        <v>#N/A</v>
      </c>
    </row>
    <row r="4360" customHeight="1" spans="8:8">
      <c r="H4360" s="39" t="e">
        <f>VLOOKUP(E4360,基础信息!C:E,3,FALSE)</f>
        <v>#N/A</v>
      </c>
    </row>
    <row r="4361" customHeight="1" spans="8:8">
      <c r="H4361" s="39" t="e">
        <f>VLOOKUP(E4361,基础信息!C:E,3,FALSE)</f>
        <v>#N/A</v>
      </c>
    </row>
    <row r="4362" customHeight="1" spans="8:8">
      <c r="H4362" s="39" t="e">
        <f>VLOOKUP(E4362,基础信息!C:E,3,FALSE)</f>
        <v>#N/A</v>
      </c>
    </row>
    <row r="4363" customHeight="1" spans="8:8">
      <c r="H4363" s="39" t="e">
        <f>VLOOKUP(E4363,基础信息!C:E,3,FALSE)</f>
        <v>#N/A</v>
      </c>
    </row>
    <row r="4364" customHeight="1" spans="8:8">
      <c r="H4364" s="39" t="e">
        <f>VLOOKUP(E4364,基础信息!C:E,3,FALSE)</f>
        <v>#N/A</v>
      </c>
    </row>
    <row r="4365" customHeight="1" spans="8:8">
      <c r="H4365" s="39" t="e">
        <f>VLOOKUP(E4365,基础信息!C:E,3,FALSE)</f>
        <v>#N/A</v>
      </c>
    </row>
    <row r="4366" customHeight="1" spans="8:8">
      <c r="H4366" s="39" t="e">
        <f>VLOOKUP(E4366,基础信息!C:E,3,FALSE)</f>
        <v>#N/A</v>
      </c>
    </row>
    <row r="4367" customHeight="1" spans="8:8">
      <c r="H4367" s="39" t="e">
        <f>VLOOKUP(E4367,基础信息!C:E,3,FALSE)</f>
        <v>#N/A</v>
      </c>
    </row>
    <row r="4368" customHeight="1" spans="8:8">
      <c r="H4368" s="39" t="e">
        <f>VLOOKUP(E4368,基础信息!C:E,3,FALSE)</f>
        <v>#N/A</v>
      </c>
    </row>
    <row r="4369" customHeight="1" spans="8:8">
      <c r="H4369" s="39" t="e">
        <f>VLOOKUP(E4369,基础信息!C:E,3,FALSE)</f>
        <v>#N/A</v>
      </c>
    </row>
    <row r="4370" customHeight="1" spans="8:8">
      <c r="H4370" s="39" t="e">
        <f>VLOOKUP(E4370,基础信息!C:E,3,FALSE)</f>
        <v>#N/A</v>
      </c>
    </row>
    <row r="4371" customHeight="1" spans="8:8">
      <c r="H4371" s="39" t="e">
        <f>VLOOKUP(E4371,基础信息!C:E,3,FALSE)</f>
        <v>#N/A</v>
      </c>
    </row>
    <row r="4372" customHeight="1" spans="8:8">
      <c r="H4372" s="39" t="e">
        <f>VLOOKUP(E4372,基础信息!C:E,3,FALSE)</f>
        <v>#N/A</v>
      </c>
    </row>
    <row r="4373" customHeight="1" spans="8:8">
      <c r="H4373" s="39" t="e">
        <f>VLOOKUP(E4373,基础信息!C:E,3,FALSE)</f>
        <v>#N/A</v>
      </c>
    </row>
    <row r="4374" customHeight="1" spans="8:8">
      <c r="H4374" s="39" t="e">
        <f>VLOOKUP(E4374,基础信息!C:E,3,FALSE)</f>
        <v>#N/A</v>
      </c>
    </row>
    <row r="4375" customHeight="1" spans="8:8">
      <c r="H4375" s="39" t="e">
        <f>VLOOKUP(E4375,基础信息!C:E,3,FALSE)</f>
        <v>#N/A</v>
      </c>
    </row>
    <row r="4376" customHeight="1" spans="8:8">
      <c r="H4376" s="39" t="e">
        <f>VLOOKUP(E4376,基础信息!C:E,3,FALSE)</f>
        <v>#N/A</v>
      </c>
    </row>
    <row r="4377" customHeight="1" spans="8:8">
      <c r="H4377" s="39" t="e">
        <f>VLOOKUP(E4377,基础信息!C:E,3,FALSE)</f>
        <v>#N/A</v>
      </c>
    </row>
    <row r="4378" customHeight="1" spans="8:8">
      <c r="H4378" s="39" t="e">
        <f>VLOOKUP(E4378,基础信息!C:E,3,FALSE)</f>
        <v>#N/A</v>
      </c>
    </row>
    <row r="4379" customHeight="1" spans="8:8">
      <c r="H4379" s="39" t="e">
        <f>VLOOKUP(E4379,基础信息!C:E,3,FALSE)</f>
        <v>#N/A</v>
      </c>
    </row>
    <row r="4380" customHeight="1" spans="8:8">
      <c r="H4380" s="39" t="e">
        <f>VLOOKUP(E4380,基础信息!C:E,3,FALSE)</f>
        <v>#N/A</v>
      </c>
    </row>
    <row r="4381" customHeight="1" spans="8:8">
      <c r="H4381" s="39" t="e">
        <f>VLOOKUP(E4381,基础信息!C:E,3,FALSE)</f>
        <v>#N/A</v>
      </c>
    </row>
    <row r="4382" customHeight="1" spans="8:8">
      <c r="H4382" s="39" t="e">
        <f>VLOOKUP(E4382,基础信息!C:E,3,FALSE)</f>
        <v>#N/A</v>
      </c>
    </row>
    <row r="4383" customHeight="1" spans="8:8">
      <c r="H4383" s="39" t="e">
        <f>VLOOKUP(E4383,基础信息!C:E,3,FALSE)</f>
        <v>#N/A</v>
      </c>
    </row>
    <row r="4384" customHeight="1" spans="8:8">
      <c r="H4384" s="39" t="e">
        <f>VLOOKUP(E4384,基础信息!C:E,3,FALSE)</f>
        <v>#N/A</v>
      </c>
    </row>
    <row r="4385" customHeight="1" spans="8:8">
      <c r="H4385" s="39" t="e">
        <f>VLOOKUP(E4385,基础信息!C:E,3,FALSE)</f>
        <v>#N/A</v>
      </c>
    </row>
    <row r="4386" customHeight="1" spans="8:8">
      <c r="H4386" s="39" t="e">
        <f>VLOOKUP(E4386,基础信息!C:E,3,FALSE)</f>
        <v>#N/A</v>
      </c>
    </row>
    <row r="4387" customHeight="1" spans="8:8">
      <c r="H4387" s="39" t="e">
        <f>VLOOKUP(E4387,基础信息!C:E,3,FALSE)</f>
        <v>#N/A</v>
      </c>
    </row>
    <row r="4388" customHeight="1" spans="8:8">
      <c r="H4388" s="39" t="e">
        <f>VLOOKUP(E4388,基础信息!C:E,3,FALSE)</f>
        <v>#N/A</v>
      </c>
    </row>
    <row r="4389" customHeight="1" spans="8:8">
      <c r="H4389" s="39" t="e">
        <f>VLOOKUP(E4389,基础信息!C:E,3,FALSE)</f>
        <v>#N/A</v>
      </c>
    </row>
    <row r="4390" customHeight="1" spans="8:8">
      <c r="H4390" s="39" t="e">
        <f>VLOOKUP(E4390,基础信息!C:E,3,FALSE)</f>
        <v>#N/A</v>
      </c>
    </row>
    <row r="4391" customHeight="1" spans="8:8">
      <c r="H4391" s="39" t="e">
        <f>VLOOKUP(E4391,基础信息!C:E,3,FALSE)</f>
        <v>#N/A</v>
      </c>
    </row>
    <row r="4392" customHeight="1" spans="8:8">
      <c r="H4392" s="39" t="e">
        <f>VLOOKUP(E4392,基础信息!C:E,3,FALSE)</f>
        <v>#N/A</v>
      </c>
    </row>
    <row r="4393" customHeight="1" spans="8:8">
      <c r="H4393" s="39" t="e">
        <f>VLOOKUP(E4393,基础信息!C:E,3,FALSE)</f>
        <v>#N/A</v>
      </c>
    </row>
    <row r="4394" customHeight="1" spans="8:8">
      <c r="H4394" s="39" t="e">
        <f>VLOOKUP(E4394,基础信息!C:E,3,FALSE)</f>
        <v>#N/A</v>
      </c>
    </row>
    <row r="4395" customHeight="1" spans="8:8">
      <c r="H4395" s="39" t="e">
        <f>VLOOKUP(E4395,基础信息!C:E,3,FALSE)</f>
        <v>#N/A</v>
      </c>
    </row>
    <row r="4396" customHeight="1" spans="8:8">
      <c r="H4396" s="39" t="e">
        <f>VLOOKUP(E4396,基础信息!C:E,3,FALSE)</f>
        <v>#N/A</v>
      </c>
    </row>
    <row r="4397" customHeight="1" spans="8:8">
      <c r="H4397" s="39" t="e">
        <f>VLOOKUP(E4397,基础信息!C:E,3,FALSE)</f>
        <v>#N/A</v>
      </c>
    </row>
    <row r="4398" customHeight="1" spans="8:8">
      <c r="H4398" s="39" t="e">
        <f>VLOOKUP(E4398,基础信息!C:E,3,FALSE)</f>
        <v>#N/A</v>
      </c>
    </row>
    <row r="4399" customHeight="1" spans="8:8">
      <c r="H4399" s="39" t="e">
        <f>VLOOKUP(E4399,基础信息!C:E,3,FALSE)</f>
        <v>#N/A</v>
      </c>
    </row>
    <row r="4400" customHeight="1" spans="8:8">
      <c r="H4400" s="39" t="e">
        <f>VLOOKUP(E4400,基础信息!C:E,3,FALSE)</f>
        <v>#N/A</v>
      </c>
    </row>
    <row r="4401" customHeight="1" spans="8:8">
      <c r="H4401" s="39" t="e">
        <f>VLOOKUP(E4401,基础信息!C:E,3,FALSE)</f>
        <v>#N/A</v>
      </c>
    </row>
    <row r="4402" customHeight="1" spans="8:8">
      <c r="H4402" s="39" t="e">
        <f>VLOOKUP(E4402,基础信息!C:E,3,FALSE)</f>
        <v>#N/A</v>
      </c>
    </row>
    <row r="4403" customHeight="1" spans="8:8">
      <c r="H4403" s="39" t="e">
        <f>VLOOKUP(E4403,基础信息!C:E,3,FALSE)</f>
        <v>#N/A</v>
      </c>
    </row>
    <row r="4404" customHeight="1" spans="8:8">
      <c r="H4404" s="39" t="e">
        <f>VLOOKUP(E4404,基础信息!C:E,3,FALSE)</f>
        <v>#N/A</v>
      </c>
    </row>
    <row r="4405" customHeight="1" spans="8:8">
      <c r="H4405" s="39" t="e">
        <f>VLOOKUP(E4405,基础信息!C:E,3,FALSE)</f>
        <v>#N/A</v>
      </c>
    </row>
    <row r="4406" customHeight="1" spans="8:8">
      <c r="H4406" s="39" t="e">
        <f>VLOOKUP(E4406,基础信息!C:E,3,FALSE)</f>
        <v>#N/A</v>
      </c>
    </row>
    <row r="4407" customHeight="1" spans="8:8">
      <c r="H4407" s="39" t="e">
        <f>VLOOKUP(E4407,基础信息!C:E,3,FALSE)</f>
        <v>#N/A</v>
      </c>
    </row>
    <row r="4408" customHeight="1" spans="8:8">
      <c r="H4408" s="39" t="e">
        <f>VLOOKUP(E4408,基础信息!C:E,3,FALSE)</f>
        <v>#N/A</v>
      </c>
    </row>
    <row r="4409" customHeight="1" spans="8:8">
      <c r="H4409" s="39" t="e">
        <f>VLOOKUP(E4409,基础信息!C:E,3,FALSE)</f>
        <v>#N/A</v>
      </c>
    </row>
    <row r="4410" customHeight="1" spans="8:8">
      <c r="H4410" s="39" t="e">
        <f>VLOOKUP(E4410,基础信息!C:E,3,FALSE)</f>
        <v>#N/A</v>
      </c>
    </row>
    <row r="4411" customHeight="1" spans="8:8">
      <c r="H4411" s="39" t="e">
        <f>VLOOKUP(E4411,基础信息!C:E,3,FALSE)</f>
        <v>#N/A</v>
      </c>
    </row>
    <row r="4412" customHeight="1" spans="8:8">
      <c r="H4412" s="39" t="e">
        <f>VLOOKUP(E4412,基础信息!C:E,3,FALSE)</f>
        <v>#N/A</v>
      </c>
    </row>
    <row r="4413" customHeight="1" spans="8:8">
      <c r="H4413" s="39" t="e">
        <f>VLOOKUP(E4413,基础信息!C:E,3,FALSE)</f>
        <v>#N/A</v>
      </c>
    </row>
    <row r="4414" customHeight="1" spans="8:8">
      <c r="H4414" s="39" t="e">
        <f>VLOOKUP(E4414,基础信息!C:E,3,FALSE)</f>
        <v>#N/A</v>
      </c>
    </row>
    <row r="4415" customHeight="1" spans="8:8">
      <c r="H4415" s="39" t="e">
        <f>VLOOKUP(E4415,基础信息!C:E,3,FALSE)</f>
        <v>#N/A</v>
      </c>
    </row>
    <row r="4416" customHeight="1" spans="8:8">
      <c r="H4416" s="39" t="e">
        <f>VLOOKUP(E4416,基础信息!C:E,3,FALSE)</f>
        <v>#N/A</v>
      </c>
    </row>
    <row r="4417" customHeight="1" spans="8:8">
      <c r="H4417" s="39" t="e">
        <f>VLOOKUP(E4417,基础信息!C:E,3,FALSE)</f>
        <v>#N/A</v>
      </c>
    </row>
    <row r="4418" customHeight="1" spans="8:8">
      <c r="H4418" s="39" t="e">
        <f>VLOOKUP(E4418,基础信息!C:E,3,FALSE)</f>
        <v>#N/A</v>
      </c>
    </row>
    <row r="4419" customHeight="1" spans="8:8">
      <c r="H4419" s="39" t="e">
        <f>VLOOKUP(E4419,基础信息!C:E,3,FALSE)</f>
        <v>#N/A</v>
      </c>
    </row>
    <row r="4420" customHeight="1" spans="8:8">
      <c r="H4420" s="39" t="e">
        <f>VLOOKUP(E4420,基础信息!C:E,3,FALSE)</f>
        <v>#N/A</v>
      </c>
    </row>
    <row r="4421" customHeight="1" spans="8:8">
      <c r="H4421" s="39" t="e">
        <f>VLOOKUP(E4421,基础信息!C:E,3,FALSE)</f>
        <v>#N/A</v>
      </c>
    </row>
    <row r="4422" customHeight="1" spans="8:8">
      <c r="H4422" s="39" t="e">
        <f>VLOOKUP(E4422,基础信息!C:E,3,FALSE)</f>
        <v>#N/A</v>
      </c>
    </row>
    <row r="4423" customHeight="1" spans="8:8">
      <c r="H4423" s="39" t="e">
        <f>VLOOKUP(E4423,基础信息!C:E,3,FALSE)</f>
        <v>#N/A</v>
      </c>
    </row>
    <row r="4424" customHeight="1" spans="8:8">
      <c r="H4424" s="39" t="e">
        <f>VLOOKUP(E4424,基础信息!C:E,3,FALSE)</f>
        <v>#N/A</v>
      </c>
    </row>
    <row r="4425" customHeight="1" spans="8:8">
      <c r="H4425" s="39" t="e">
        <f>VLOOKUP(E4425,基础信息!C:E,3,FALSE)</f>
        <v>#N/A</v>
      </c>
    </row>
    <row r="4426" customHeight="1" spans="8:8">
      <c r="H4426" s="39" t="e">
        <f>VLOOKUP(E4426,基础信息!C:E,3,FALSE)</f>
        <v>#N/A</v>
      </c>
    </row>
    <row r="4427" customHeight="1" spans="8:8">
      <c r="H4427" s="39" t="e">
        <f>VLOOKUP(E4427,基础信息!C:E,3,FALSE)</f>
        <v>#N/A</v>
      </c>
    </row>
    <row r="4428" customHeight="1" spans="8:8">
      <c r="H4428" s="39" t="e">
        <f>VLOOKUP(E4428,基础信息!C:E,3,FALSE)</f>
        <v>#N/A</v>
      </c>
    </row>
    <row r="4429" customHeight="1" spans="8:8">
      <c r="H4429" s="39" t="e">
        <f>VLOOKUP(E4429,基础信息!C:E,3,FALSE)</f>
        <v>#N/A</v>
      </c>
    </row>
    <row r="4430" customHeight="1" spans="8:8">
      <c r="H4430" s="39" t="e">
        <f>VLOOKUP(E4430,基础信息!C:E,3,FALSE)</f>
        <v>#N/A</v>
      </c>
    </row>
    <row r="4431" customHeight="1" spans="8:8">
      <c r="H4431" s="39" t="e">
        <f>VLOOKUP(E4431,基础信息!C:E,3,FALSE)</f>
        <v>#N/A</v>
      </c>
    </row>
    <row r="4432" customHeight="1" spans="8:8">
      <c r="H4432" s="39" t="e">
        <f>VLOOKUP(E4432,基础信息!C:E,3,FALSE)</f>
        <v>#N/A</v>
      </c>
    </row>
    <row r="4433" customHeight="1" spans="8:8">
      <c r="H4433" s="39" t="e">
        <f>VLOOKUP(E4433,基础信息!C:E,3,FALSE)</f>
        <v>#N/A</v>
      </c>
    </row>
    <row r="4434" customHeight="1" spans="8:8">
      <c r="H4434" s="39" t="e">
        <f>VLOOKUP(E4434,基础信息!C:E,3,FALSE)</f>
        <v>#N/A</v>
      </c>
    </row>
    <row r="4435" customHeight="1" spans="8:8">
      <c r="H4435" s="39" t="e">
        <f>VLOOKUP(E4435,基础信息!C:E,3,FALSE)</f>
        <v>#N/A</v>
      </c>
    </row>
    <row r="4436" customHeight="1" spans="8:8">
      <c r="H4436" s="39" t="e">
        <f>VLOOKUP(E4436,基础信息!C:E,3,FALSE)</f>
        <v>#N/A</v>
      </c>
    </row>
    <row r="4437" customHeight="1" spans="8:8">
      <c r="H4437" s="39" t="e">
        <f>VLOOKUP(E4437,基础信息!C:E,3,FALSE)</f>
        <v>#N/A</v>
      </c>
    </row>
    <row r="4438" customHeight="1" spans="8:8">
      <c r="H4438" s="39" t="e">
        <f>VLOOKUP(E4438,基础信息!C:E,3,FALSE)</f>
        <v>#N/A</v>
      </c>
    </row>
    <row r="4439" customHeight="1" spans="8:8">
      <c r="H4439" s="39" t="e">
        <f>VLOOKUP(E4439,基础信息!C:E,3,FALSE)</f>
        <v>#N/A</v>
      </c>
    </row>
    <row r="4440" customHeight="1" spans="8:8">
      <c r="H4440" s="39" t="e">
        <f>VLOOKUP(E4440,基础信息!C:E,3,FALSE)</f>
        <v>#N/A</v>
      </c>
    </row>
    <row r="4441" customHeight="1" spans="8:8">
      <c r="H4441" s="39" t="e">
        <f>VLOOKUP(E4441,基础信息!C:E,3,FALSE)</f>
        <v>#N/A</v>
      </c>
    </row>
    <row r="4442" customHeight="1" spans="8:8">
      <c r="H4442" s="39" t="e">
        <f>VLOOKUP(E4442,基础信息!C:E,3,FALSE)</f>
        <v>#N/A</v>
      </c>
    </row>
    <row r="4443" customHeight="1" spans="8:8">
      <c r="H4443" s="39" t="e">
        <f>VLOOKUP(E4443,基础信息!C:E,3,FALSE)</f>
        <v>#N/A</v>
      </c>
    </row>
    <row r="4444" customHeight="1" spans="8:8">
      <c r="H4444" s="39" t="e">
        <f>VLOOKUP(E4444,基础信息!C:E,3,FALSE)</f>
        <v>#N/A</v>
      </c>
    </row>
    <row r="4445" customHeight="1" spans="8:8">
      <c r="H4445" s="39" t="e">
        <f>VLOOKUP(E4445,基础信息!C:E,3,FALSE)</f>
        <v>#N/A</v>
      </c>
    </row>
    <row r="4446" customHeight="1" spans="8:8">
      <c r="H4446" s="39" t="e">
        <f>VLOOKUP(E4446,基础信息!C:E,3,FALSE)</f>
        <v>#N/A</v>
      </c>
    </row>
    <row r="4447" customHeight="1" spans="8:8">
      <c r="H4447" s="39" t="e">
        <f>VLOOKUP(E4447,基础信息!C:E,3,FALSE)</f>
        <v>#N/A</v>
      </c>
    </row>
    <row r="4448" customHeight="1" spans="8:8">
      <c r="H4448" s="39" t="e">
        <f>VLOOKUP(E4448,基础信息!C:E,3,FALSE)</f>
        <v>#N/A</v>
      </c>
    </row>
    <row r="4449" customHeight="1" spans="8:8">
      <c r="H4449" s="39" t="e">
        <f>VLOOKUP(E4449,基础信息!C:E,3,FALSE)</f>
        <v>#N/A</v>
      </c>
    </row>
    <row r="4450" customHeight="1" spans="8:8">
      <c r="H4450" s="39" t="e">
        <f>VLOOKUP(E4450,基础信息!C:E,3,FALSE)</f>
        <v>#N/A</v>
      </c>
    </row>
    <row r="4451" customHeight="1" spans="8:8">
      <c r="H4451" s="39" t="e">
        <f>VLOOKUP(E4451,基础信息!C:E,3,FALSE)</f>
        <v>#N/A</v>
      </c>
    </row>
    <row r="4452" customHeight="1" spans="8:8">
      <c r="H4452" s="39" t="e">
        <f>VLOOKUP(E4452,基础信息!C:E,3,FALSE)</f>
        <v>#N/A</v>
      </c>
    </row>
    <row r="4453" customHeight="1" spans="8:8">
      <c r="H4453" s="39" t="e">
        <f>VLOOKUP(E4453,基础信息!C:E,3,FALSE)</f>
        <v>#N/A</v>
      </c>
    </row>
    <row r="4454" customHeight="1" spans="8:8">
      <c r="H4454" s="39" t="e">
        <f>VLOOKUP(E4454,基础信息!C:E,3,FALSE)</f>
        <v>#N/A</v>
      </c>
    </row>
    <row r="4455" customHeight="1" spans="8:8">
      <c r="H4455" s="39" t="e">
        <f>VLOOKUP(E4455,基础信息!C:E,3,FALSE)</f>
        <v>#N/A</v>
      </c>
    </row>
    <row r="4456" customHeight="1" spans="8:8">
      <c r="H4456" s="39" t="e">
        <f>VLOOKUP(E4456,基础信息!C:E,3,FALSE)</f>
        <v>#N/A</v>
      </c>
    </row>
    <row r="4457" customHeight="1" spans="8:8">
      <c r="H4457" s="39" t="e">
        <f>VLOOKUP(E4457,基础信息!C:E,3,FALSE)</f>
        <v>#N/A</v>
      </c>
    </row>
    <row r="4458" customHeight="1" spans="8:8">
      <c r="H4458" s="39" t="e">
        <f>VLOOKUP(E4458,基础信息!C:E,3,FALSE)</f>
        <v>#N/A</v>
      </c>
    </row>
    <row r="4459" customHeight="1" spans="8:8">
      <c r="H4459" s="39" t="e">
        <f>VLOOKUP(E4459,基础信息!C:E,3,FALSE)</f>
        <v>#N/A</v>
      </c>
    </row>
    <row r="4460" customHeight="1" spans="8:8">
      <c r="H4460" s="39" t="e">
        <f>VLOOKUP(E4460,基础信息!C:E,3,FALSE)</f>
        <v>#N/A</v>
      </c>
    </row>
    <row r="4461" customHeight="1" spans="8:8">
      <c r="H4461" s="39" t="e">
        <f>VLOOKUP(E4461,基础信息!C:E,3,FALSE)</f>
        <v>#N/A</v>
      </c>
    </row>
    <row r="4462" customHeight="1" spans="8:8">
      <c r="H4462" s="39" t="e">
        <f>VLOOKUP(E4462,基础信息!C:E,3,FALSE)</f>
        <v>#N/A</v>
      </c>
    </row>
    <row r="4463" customHeight="1" spans="8:8">
      <c r="H4463" s="39" t="e">
        <f>VLOOKUP(E4463,基础信息!C:E,3,FALSE)</f>
        <v>#N/A</v>
      </c>
    </row>
    <row r="4464" customHeight="1" spans="8:8">
      <c r="H4464" s="39" t="e">
        <f>VLOOKUP(E4464,基础信息!C:E,3,FALSE)</f>
        <v>#N/A</v>
      </c>
    </row>
    <row r="4465" customHeight="1" spans="8:8">
      <c r="H4465" s="39" t="e">
        <f>VLOOKUP(E4465,基础信息!C:E,3,FALSE)</f>
        <v>#N/A</v>
      </c>
    </row>
    <row r="4466" customHeight="1" spans="8:8">
      <c r="H4466" s="39" t="e">
        <f>VLOOKUP(E4466,基础信息!C:E,3,FALSE)</f>
        <v>#N/A</v>
      </c>
    </row>
    <row r="4467" customHeight="1" spans="8:8">
      <c r="H4467" s="39" t="e">
        <f>VLOOKUP(E4467,基础信息!C:E,3,FALSE)</f>
        <v>#N/A</v>
      </c>
    </row>
    <row r="4468" customHeight="1" spans="8:8">
      <c r="H4468" s="39" t="e">
        <f>VLOOKUP(E4468,基础信息!C:E,3,FALSE)</f>
        <v>#N/A</v>
      </c>
    </row>
    <row r="4469" customHeight="1" spans="8:8">
      <c r="H4469" s="39" t="e">
        <f>VLOOKUP(E4469,基础信息!C:E,3,FALSE)</f>
        <v>#N/A</v>
      </c>
    </row>
    <row r="4470" customHeight="1" spans="8:8">
      <c r="H4470" s="39" t="e">
        <f>VLOOKUP(E4470,基础信息!C:E,3,FALSE)</f>
        <v>#N/A</v>
      </c>
    </row>
    <row r="4471" customHeight="1" spans="8:8">
      <c r="H4471" s="39" t="e">
        <f>VLOOKUP(E4471,基础信息!C:E,3,FALSE)</f>
        <v>#N/A</v>
      </c>
    </row>
    <row r="4472" customHeight="1" spans="8:8">
      <c r="H4472" s="39" t="e">
        <f>VLOOKUP(E4472,基础信息!C:E,3,FALSE)</f>
        <v>#N/A</v>
      </c>
    </row>
    <row r="4473" customHeight="1" spans="8:8">
      <c r="H4473" s="39" t="e">
        <f>VLOOKUP(E4473,基础信息!C:E,3,FALSE)</f>
        <v>#N/A</v>
      </c>
    </row>
    <row r="4474" customHeight="1" spans="8:8">
      <c r="H4474" s="39" t="e">
        <f>VLOOKUP(E4474,基础信息!C:E,3,FALSE)</f>
        <v>#N/A</v>
      </c>
    </row>
    <row r="4475" customHeight="1" spans="8:8">
      <c r="H4475" s="39" t="e">
        <f>VLOOKUP(E4475,基础信息!C:E,3,FALSE)</f>
        <v>#N/A</v>
      </c>
    </row>
    <row r="4476" customHeight="1" spans="8:8">
      <c r="H4476" s="39" t="e">
        <f>VLOOKUP(E4476,基础信息!C:E,3,FALSE)</f>
        <v>#N/A</v>
      </c>
    </row>
    <row r="4477" customHeight="1" spans="8:8">
      <c r="H4477" s="39" t="e">
        <f>VLOOKUP(E4477,基础信息!C:E,3,FALSE)</f>
        <v>#N/A</v>
      </c>
    </row>
    <row r="4478" customHeight="1" spans="8:8">
      <c r="H4478" s="39" t="e">
        <f>VLOOKUP(E4478,基础信息!C:E,3,FALSE)</f>
        <v>#N/A</v>
      </c>
    </row>
    <row r="4479" customHeight="1" spans="8:8">
      <c r="H4479" s="39" t="e">
        <f>VLOOKUP(E4479,基础信息!C:E,3,FALSE)</f>
        <v>#N/A</v>
      </c>
    </row>
    <row r="4480" customHeight="1" spans="8:8">
      <c r="H4480" s="39" t="e">
        <f>VLOOKUP(E4480,基础信息!C:E,3,FALSE)</f>
        <v>#N/A</v>
      </c>
    </row>
    <row r="4481" customHeight="1" spans="8:8">
      <c r="H4481" s="39" t="e">
        <f>VLOOKUP(E4481,基础信息!C:E,3,FALSE)</f>
        <v>#N/A</v>
      </c>
    </row>
    <row r="4482" customHeight="1" spans="8:8">
      <c r="H4482" s="39" t="e">
        <f>VLOOKUP(E4482,基础信息!C:E,3,FALSE)</f>
        <v>#N/A</v>
      </c>
    </row>
    <row r="4483" customHeight="1" spans="8:8">
      <c r="H4483" s="39" t="e">
        <f>VLOOKUP(E4483,基础信息!C:E,3,FALSE)</f>
        <v>#N/A</v>
      </c>
    </row>
    <row r="4484" customHeight="1" spans="8:8">
      <c r="H4484" s="39" t="e">
        <f>VLOOKUP(E4484,基础信息!C:E,3,FALSE)</f>
        <v>#N/A</v>
      </c>
    </row>
    <row r="4485" customHeight="1" spans="8:8">
      <c r="H4485" s="39" t="e">
        <f>VLOOKUP(E4485,基础信息!C:E,3,FALSE)</f>
        <v>#N/A</v>
      </c>
    </row>
    <row r="4486" customHeight="1" spans="8:8">
      <c r="H4486" s="39" t="e">
        <f>VLOOKUP(E4486,基础信息!C:E,3,FALSE)</f>
        <v>#N/A</v>
      </c>
    </row>
    <row r="4487" customHeight="1" spans="8:8">
      <c r="H4487" s="39" t="e">
        <f>VLOOKUP(E4487,基础信息!C:E,3,FALSE)</f>
        <v>#N/A</v>
      </c>
    </row>
    <row r="4488" customHeight="1" spans="8:8">
      <c r="H4488" s="39" t="e">
        <f>VLOOKUP(E4488,基础信息!C:E,3,FALSE)</f>
        <v>#N/A</v>
      </c>
    </row>
    <row r="4489" customHeight="1" spans="8:8">
      <c r="H4489" s="39" t="e">
        <f>VLOOKUP(E4489,基础信息!C:E,3,FALSE)</f>
        <v>#N/A</v>
      </c>
    </row>
    <row r="4490" customHeight="1" spans="8:8">
      <c r="H4490" s="39" t="e">
        <f>VLOOKUP(E4490,基础信息!C:E,3,FALSE)</f>
        <v>#N/A</v>
      </c>
    </row>
    <row r="4491" customHeight="1" spans="8:8">
      <c r="H4491" s="39" t="e">
        <f>VLOOKUP(E4491,基础信息!C:E,3,FALSE)</f>
        <v>#N/A</v>
      </c>
    </row>
    <row r="4492" customHeight="1" spans="8:8">
      <c r="H4492" s="39" t="e">
        <f>VLOOKUP(E4492,基础信息!C:E,3,FALSE)</f>
        <v>#N/A</v>
      </c>
    </row>
    <row r="4493" customHeight="1" spans="8:8">
      <c r="H4493" s="39" t="e">
        <f>VLOOKUP(E4493,基础信息!C:E,3,FALSE)</f>
        <v>#N/A</v>
      </c>
    </row>
    <row r="4494" customHeight="1" spans="8:8">
      <c r="H4494" s="39" t="e">
        <f>VLOOKUP(E4494,基础信息!C:E,3,FALSE)</f>
        <v>#N/A</v>
      </c>
    </row>
    <row r="4495" customHeight="1" spans="8:8">
      <c r="H4495" s="39" t="e">
        <f>VLOOKUP(E4495,基础信息!C:E,3,FALSE)</f>
        <v>#N/A</v>
      </c>
    </row>
    <row r="4496" customHeight="1" spans="8:8">
      <c r="H4496" s="39" t="e">
        <f>VLOOKUP(E4496,基础信息!C:E,3,FALSE)</f>
        <v>#N/A</v>
      </c>
    </row>
    <row r="4497" customHeight="1" spans="8:8">
      <c r="H4497" s="39" t="e">
        <f>VLOOKUP(E4497,基础信息!C:E,3,FALSE)</f>
        <v>#N/A</v>
      </c>
    </row>
    <row r="4498" customHeight="1" spans="8:8">
      <c r="H4498" s="39" t="e">
        <f>VLOOKUP(E4498,基础信息!C:E,3,FALSE)</f>
        <v>#N/A</v>
      </c>
    </row>
    <row r="4499" customHeight="1" spans="8:8">
      <c r="H4499" s="39" t="e">
        <f>VLOOKUP(E4499,基础信息!C:E,3,FALSE)</f>
        <v>#N/A</v>
      </c>
    </row>
    <row r="4500" customHeight="1" spans="8:8">
      <c r="H4500" s="39" t="e">
        <f>VLOOKUP(E4500,基础信息!C:E,3,FALSE)</f>
        <v>#N/A</v>
      </c>
    </row>
    <row r="4501" customHeight="1" spans="8:8">
      <c r="H4501" s="39" t="e">
        <f>VLOOKUP(E4501,基础信息!C:E,3,FALSE)</f>
        <v>#N/A</v>
      </c>
    </row>
    <row r="4502" customHeight="1" spans="8:8">
      <c r="H4502" s="39" t="e">
        <f>VLOOKUP(E4502,基础信息!C:E,3,FALSE)</f>
        <v>#N/A</v>
      </c>
    </row>
    <row r="4503" customHeight="1" spans="8:8">
      <c r="H4503" s="39" t="e">
        <f>VLOOKUP(E4503,基础信息!C:E,3,FALSE)</f>
        <v>#N/A</v>
      </c>
    </row>
    <row r="4504" customHeight="1" spans="8:8">
      <c r="H4504" s="39" t="e">
        <f>VLOOKUP(E4504,基础信息!C:E,3,FALSE)</f>
        <v>#N/A</v>
      </c>
    </row>
    <row r="4505" customHeight="1" spans="8:8">
      <c r="H4505" s="39" t="e">
        <f>VLOOKUP(E4505,基础信息!C:E,3,FALSE)</f>
        <v>#N/A</v>
      </c>
    </row>
    <row r="4506" customHeight="1" spans="8:8">
      <c r="H4506" s="39" t="e">
        <f>VLOOKUP(E4506,基础信息!C:E,3,FALSE)</f>
        <v>#N/A</v>
      </c>
    </row>
    <row r="4507" customHeight="1" spans="8:8">
      <c r="H4507" s="39" t="e">
        <f>VLOOKUP(E4507,基础信息!C:E,3,FALSE)</f>
        <v>#N/A</v>
      </c>
    </row>
    <row r="4508" customHeight="1" spans="8:8">
      <c r="H4508" s="39" t="e">
        <f>VLOOKUP(E4508,基础信息!C:E,3,FALSE)</f>
        <v>#N/A</v>
      </c>
    </row>
    <row r="4509" customHeight="1" spans="8:8">
      <c r="H4509" s="39" t="e">
        <f>VLOOKUP(E4509,基础信息!C:E,3,FALSE)</f>
        <v>#N/A</v>
      </c>
    </row>
    <row r="4510" customHeight="1" spans="8:8">
      <c r="H4510" s="39" t="e">
        <f>VLOOKUP(E4510,基础信息!C:E,3,FALSE)</f>
        <v>#N/A</v>
      </c>
    </row>
    <row r="4511" customHeight="1" spans="8:8">
      <c r="H4511" s="39" t="e">
        <f>VLOOKUP(E4511,基础信息!C:E,3,FALSE)</f>
        <v>#N/A</v>
      </c>
    </row>
    <row r="4512" customHeight="1" spans="8:8">
      <c r="H4512" s="39" t="e">
        <f>VLOOKUP(E4512,基础信息!C:E,3,FALSE)</f>
        <v>#N/A</v>
      </c>
    </row>
    <row r="4513" customHeight="1" spans="8:8">
      <c r="H4513" s="39" t="e">
        <f>VLOOKUP(E4513,基础信息!C:E,3,FALSE)</f>
        <v>#N/A</v>
      </c>
    </row>
    <row r="4514" customHeight="1" spans="8:8">
      <c r="H4514" s="39" t="e">
        <f>VLOOKUP(E4514,基础信息!C:E,3,FALSE)</f>
        <v>#N/A</v>
      </c>
    </row>
    <row r="4515" customHeight="1" spans="8:8">
      <c r="H4515" s="39" t="e">
        <f>VLOOKUP(E4515,基础信息!C:E,3,FALSE)</f>
        <v>#N/A</v>
      </c>
    </row>
    <row r="4516" customHeight="1" spans="8:8">
      <c r="H4516" s="39" t="e">
        <f>VLOOKUP(E4516,基础信息!C:E,3,FALSE)</f>
        <v>#N/A</v>
      </c>
    </row>
    <row r="4517" customHeight="1" spans="8:8">
      <c r="H4517" s="39" t="e">
        <f>VLOOKUP(E4517,基础信息!C:E,3,FALSE)</f>
        <v>#N/A</v>
      </c>
    </row>
    <row r="4518" customHeight="1" spans="8:8">
      <c r="H4518" s="39" t="e">
        <f>VLOOKUP(E4518,基础信息!C:E,3,FALSE)</f>
        <v>#N/A</v>
      </c>
    </row>
    <row r="4519" customHeight="1" spans="8:8">
      <c r="H4519" s="39" t="e">
        <f>VLOOKUP(E4519,基础信息!C:E,3,FALSE)</f>
        <v>#N/A</v>
      </c>
    </row>
    <row r="4520" customHeight="1" spans="8:8">
      <c r="H4520" s="39" t="e">
        <f>VLOOKUP(E4520,基础信息!C:E,3,FALSE)</f>
        <v>#N/A</v>
      </c>
    </row>
    <row r="4521" customHeight="1" spans="8:8">
      <c r="H4521" s="39" t="e">
        <f>VLOOKUP(E4521,基础信息!C:E,3,FALSE)</f>
        <v>#N/A</v>
      </c>
    </row>
    <row r="4522" customHeight="1" spans="8:8">
      <c r="H4522" s="39" t="e">
        <f>VLOOKUP(E4522,基础信息!C:E,3,FALSE)</f>
        <v>#N/A</v>
      </c>
    </row>
    <row r="4523" customHeight="1" spans="8:8">
      <c r="H4523" s="39" t="e">
        <f>VLOOKUP(E4523,基础信息!C:E,3,FALSE)</f>
        <v>#N/A</v>
      </c>
    </row>
    <row r="4524" customHeight="1" spans="8:8">
      <c r="H4524" s="39" t="e">
        <f>VLOOKUP(E4524,基础信息!C:E,3,FALSE)</f>
        <v>#N/A</v>
      </c>
    </row>
    <row r="4525" customHeight="1" spans="8:8">
      <c r="H4525" s="39" t="e">
        <f>VLOOKUP(E4525,基础信息!C:E,3,FALSE)</f>
        <v>#N/A</v>
      </c>
    </row>
    <row r="4526" customHeight="1" spans="8:8">
      <c r="H4526" s="39" t="e">
        <f>VLOOKUP(E4526,基础信息!C:E,3,FALSE)</f>
        <v>#N/A</v>
      </c>
    </row>
    <row r="4527" customHeight="1" spans="8:8">
      <c r="H4527" s="39" t="e">
        <f>VLOOKUP(E4527,基础信息!C:E,3,FALSE)</f>
        <v>#N/A</v>
      </c>
    </row>
    <row r="4528" customHeight="1" spans="8:8">
      <c r="H4528" s="39" t="e">
        <f>VLOOKUP(E4528,基础信息!C:E,3,FALSE)</f>
        <v>#N/A</v>
      </c>
    </row>
    <row r="4529" customHeight="1" spans="8:8">
      <c r="H4529" s="39" t="e">
        <f>VLOOKUP(E4529,基础信息!C:E,3,FALSE)</f>
        <v>#N/A</v>
      </c>
    </row>
    <row r="4530" customHeight="1" spans="8:8">
      <c r="H4530" s="39" t="e">
        <f>VLOOKUP(E4530,基础信息!C:E,3,FALSE)</f>
        <v>#N/A</v>
      </c>
    </row>
    <row r="4531" customHeight="1" spans="8:8">
      <c r="H4531" s="39" t="e">
        <f>VLOOKUP(E4531,基础信息!C:E,3,FALSE)</f>
        <v>#N/A</v>
      </c>
    </row>
    <row r="4532" customHeight="1" spans="8:8">
      <c r="H4532" s="39" t="e">
        <f>VLOOKUP(E4532,基础信息!C:E,3,FALSE)</f>
        <v>#N/A</v>
      </c>
    </row>
    <row r="4533" customHeight="1" spans="8:8">
      <c r="H4533" s="39" t="e">
        <f>VLOOKUP(E4533,基础信息!C:E,3,FALSE)</f>
        <v>#N/A</v>
      </c>
    </row>
    <row r="4534" customHeight="1" spans="8:8">
      <c r="H4534" s="39" t="e">
        <f>VLOOKUP(E4534,基础信息!C:E,3,FALSE)</f>
        <v>#N/A</v>
      </c>
    </row>
    <row r="4535" customHeight="1" spans="8:8">
      <c r="H4535" s="39" t="e">
        <f>VLOOKUP(E4535,基础信息!C:E,3,FALSE)</f>
        <v>#N/A</v>
      </c>
    </row>
    <row r="4536" customHeight="1" spans="8:8">
      <c r="H4536" s="39" t="e">
        <f>VLOOKUP(E4536,基础信息!C:E,3,FALSE)</f>
        <v>#N/A</v>
      </c>
    </row>
    <row r="4537" customHeight="1" spans="8:8">
      <c r="H4537" s="39" t="e">
        <f>VLOOKUP(E4537,基础信息!C:E,3,FALSE)</f>
        <v>#N/A</v>
      </c>
    </row>
    <row r="4538" customHeight="1" spans="8:8">
      <c r="H4538" s="39" t="e">
        <f>VLOOKUP(E4538,基础信息!C:E,3,FALSE)</f>
        <v>#N/A</v>
      </c>
    </row>
    <row r="4539" customHeight="1" spans="8:8">
      <c r="H4539" s="39" t="e">
        <f>VLOOKUP(E4539,基础信息!C:E,3,FALSE)</f>
        <v>#N/A</v>
      </c>
    </row>
    <row r="4540" customHeight="1" spans="8:8">
      <c r="H4540" s="39" t="e">
        <f>VLOOKUP(E4540,基础信息!C:E,3,FALSE)</f>
        <v>#N/A</v>
      </c>
    </row>
    <row r="4541" customHeight="1" spans="8:8">
      <c r="H4541" s="39" t="e">
        <f>VLOOKUP(E4541,基础信息!C:E,3,FALSE)</f>
        <v>#N/A</v>
      </c>
    </row>
    <row r="4542" customHeight="1" spans="8:8">
      <c r="H4542" s="39" t="e">
        <f>VLOOKUP(E4542,基础信息!C:E,3,FALSE)</f>
        <v>#N/A</v>
      </c>
    </row>
    <row r="4543" customHeight="1" spans="8:8">
      <c r="H4543" s="39" t="e">
        <f>VLOOKUP(E4543,基础信息!C:E,3,FALSE)</f>
        <v>#N/A</v>
      </c>
    </row>
    <row r="4544" customHeight="1" spans="8:8">
      <c r="H4544" s="39" t="e">
        <f>VLOOKUP(E4544,基础信息!C:E,3,FALSE)</f>
        <v>#N/A</v>
      </c>
    </row>
    <row r="4545" customHeight="1" spans="8:8">
      <c r="H4545" s="39" t="e">
        <f>VLOOKUP(E4545,基础信息!C:E,3,FALSE)</f>
        <v>#N/A</v>
      </c>
    </row>
    <row r="4546" customHeight="1" spans="8:8">
      <c r="H4546" s="39" t="e">
        <f>VLOOKUP(E4546,基础信息!C:E,3,FALSE)</f>
        <v>#N/A</v>
      </c>
    </row>
    <row r="4547" customHeight="1" spans="8:8">
      <c r="H4547" s="39" t="e">
        <f>VLOOKUP(E4547,基础信息!C:E,3,FALSE)</f>
        <v>#N/A</v>
      </c>
    </row>
    <row r="4548" customHeight="1" spans="8:8">
      <c r="H4548" s="39" t="e">
        <f>VLOOKUP(E4548,基础信息!C:E,3,FALSE)</f>
        <v>#N/A</v>
      </c>
    </row>
    <row r="4549" customHeight="1" spans="8:8">
      <c r="H4549" s="39" t="e">
        <f>VLOOKUP(E4549,基础信息!C:E,3,FALSE)</f>
        <v>#N/A</v>
      </c>
    </row>
    <row r="4550" customHeight="1" spans="8:8">
      <c r="H4550" s="39" t="e">
        <f>VLOOKUP(E4550,基础信息!C:E,3,FALSE)</f>
        <v>#N/A</v>
      </c>
    </row>
    <row r="4551" customHeight="1" spans="8:8">
      <c r="H4551" s="39" t="e">
        <f>VLOOKUP(E4551,基础信息!C:E,3,FALSE)</f>
        <v>#N/A</v>
      </c>
    </row>
    <row r="4552" customHeight="1" spans="8:8">
      <c r="H4552" s="39" t="e">
        <f>VLOOKUP(E4552,基础信息!C:E,3,FALSE)</f>
        <v>#N/A</v>
      </c>
    </row>
    <row r="4553" customHeight="1" spans="8:8">
      <c r="H4553" s="39" t="e">
        <f>VLOOKUP(E4553,基础信息!C:E,3,FALSE)</f>
        <v>#N/A</v>
      </c>
    </row>
    <row r="4554" customHeight="1" spans="8:8">
      <c r="H4554" s="39" t="e">
        <f>VLOOKUP(E4554,基础信息!C:E,3,FALSE)</f>
        <v>#N/A</v>
      </c>
    </row>
    <row r="4555" customHeight="1" spans="8:8">
      <c r="H4555" s="39" t="e">
        <f>VLOOKUP(E4555,基础信息!C:E,3,FALSE)</f>
        <v>#N/A</v>
      </c>
    </row>
    <row r="4556" customHeight="1" spans="8:8">
      <c r="H4556" s="39" t="e">
        <f>VLOOKUP(E4556,基础信息!C:E,3,FALSE)</f>
        <v>#N/A</v>
      </c>
    </row>
    <row r="4557" customHeight="1" spans="8:8">
      <c r="H4557" s="39" t="e">
        <f>VLOOKUP(E4557,基础信息!C:E,3,FALSE)</f>
        <v>#N/A</v>
      </c>
    </row>
    <row r="4558" customHeight="1" spans="8:8">
      <c r="H4558" s="39" t="e">
        <f>VLOOKUP(E4558,基础信息!C:E,3,FALSE)</f>
        <v>#N/A</v>
      </c>
    </row>
    <row r="4559" customHeight="1" spans="8:8">
      <c r="H4559" s="39" t="e">
        <f>VLOOKUP(E4559,基础信息!C:E,3,FALSE)</f>
        <v>#N/A</v>
      </c>
    </row>
    <row r="4560" customHeight="1" spans="8:8">
      <c r="H4560" s="39" t="e">
        <f>VLOOKUP(E4560,基础信息!C:E,3,FALSE)</f>
        <v>#N/A</v>
      </c>
    </row>
    <row r="4561" customHeight="1" spans="8:8">
      <c r="H4561" s="39" t="e">
        <f>VLOOKUP(E4561,基础信息!C:E,3,FALSE)</f>
        <v>#N/A</v>
      </c>
    </row>
    <row r="4562" customHeight="1" spans="8:8">
      <c r="H4562" s="39" t="e">
        <f>VLOOKUP(E4562,基础信息!C:E,3,FALSE)</f>
        <v>#N/A</v>
      </c>
    </row>
    <row r="4563" customHeight="1" spans="8:8">
      <c r="H4563" s="39" t="e">
        <f>VLOOKUP(E4563,基础信息!C:E,3,FALSE)</f>
        <v>#N/A</v>
      </c>
    </row>
    <row r="4564" customHeight="1" spans="8:8">
      <c r="H4564" s="39" t="e">
        <f>VLOOKUP(E4564,基础信息!C:E,3,FALSE)</f>
        <v>#N/A</v>
      </c>
    </row>
    <row r="4565" customHeight="1" spans="8:8">
      <c r="H4565" s="39" t="e">
        <f>VLOOKUP(E4565,基础信息!C:E,3,FALSE)</f>
        <v>#N/A</v>
      </c>
    </row>
    <row r="4566" customHeight="1" spans="8:8">
      <c r="H4566" s="39" t="e">
        <f>VLOOKUP(E4566,基础信息!C:E,3,FALSE)</f>
        <v>#N/A</v>
      </c>
    </row>
    <row r="4567" customHeight="1" spans="8:8">
      <c r="H4567" s="39" t="e">
        <f>VLOOKUP(E4567,基础信息!C:E,3,FALSE)</f>
        <v>#N/A</v>
      </c>
    </row>
    <row r="4568" customHeight="1" spans="8:8">
      <c r="H4568" s="39" t="e">
        <f>VLOOKUP(E4568,基础信息!C:E,3,FALSE)</f>
        <v>#N/A</v>
      </c>
    </row>
    <row r="4569" customHeight="1" spans="8:8">
      <c r="H4569" s="39" t="e">
        <f>VLOOKUP(E4569,基础信息!C:E,3,FALSE)</f>
        <v>#N/A</v>
      </c>
    </row>
    <row r="4570" customHeight="1" spans="8:8">
      <c r="H4570" s="39" t="e">
        <f>VLOOKUP(E4570,基础信息!C:E,3,FALSE)</f>
        <v>#N/A</v>
      </c>
    </row>
    <row r="4571" customHeight="1" spans="8:8">
      <c r="H4571" s="39" t="e">
        <f>VLOOKUP(E4571,基础信息!C:E,3,FALSE)</f>
        <v>#N/A</v>
      </c>
    </row>
    <row r="4572" customHeight="1" spans="8:8">
      <c r="H4572" s="39" t="e">
        <f>VLOOKUP(E4572,基础信息!C:E,3,FALSE)</f>
        <v>#N/A</v>
      </c>
    </row>
    <row r="4573" customHeight="1" spans="8:8">
      <c r="H4573" s="39" t="e">
        <f>VLOOKUP(E4573,基础信息!C:E,3,FALSE)</f>
        <v>#N/A</v>
      </c>
    </row>
    <row r="4574" customHeight="1" spans="8:8">
      <c r="H4574" s="39" t="e">
        <f>VLOOKUP(E4574,基础信息!C:E,3,FALSE)</f>
        <v>#N/A</v>
      </c>
    </row>
    <row r="4575" customHeight="1" spans="8:8">
      <c r="H4575" s="39" t="e">
        <f>VLOOKUP(E4575,基础信息!C:E,3,FALSE)</f>
        <v>#N/A</v>
      </c>
    </row>
    <row r="4576" customHeight="1" spans="8:8">
      <c r="H4576" s="39" t="e">
        <f>VLOOKUP(E4576,基础信息!C:E,3,FALSE)</f>
        <v>#N/A</v>
      </c>
    </row>
    <row r="4577" customHeight="1" spans="8:8">
      <c r="H4577" s="39" t="e">
        <f>VLOOKUP(E4577,基础信息!C:E,3,FALSE)</f>
        <v>#N/A</v>
      </c>
    </row>
    <row r="4578" customHeight="1" spans="8:8">
      <c r="H4578" s="39" t="e">
        <f>VLOOKUP(E4578,基础信息!C:E,3,FALSE)</f>
        <v>#N/A</v>
      </c>
    </row>
    <row r="4579" customHeight="1" spans="8:8">
      <c r="H4579" s="39" t="e">
        <f>VLOOKUP(E4579,基础信息!C:E,3,FALSE)</f>
        <v>#N/A</v>
      </c>
    </row>
    <row r="4580" customHeight="1" spans="8:8">
      <c r="H4580" s="39" t="e">
        <f>VLOOKUP(E4580,基础信息!C:E,3,FALSE)</f>
        <v>#N/A</v>
      </c>
    </row>
    <row r="4581" customHeight="1" spans="8:8">
      <c r="H4581" s="39" t="e">
        <f>VLOOKUP(E4581,基础信息!C:E,3,FALSE)</f>
        <v>#N/A</v>
      </c>
    </row>
    <row r="4582" customHeight="1" spans="8:8">
      <c r="H4582" s="39" t="e">
        <f>VLOOKUP(E4582,基础信息!C:E,3,FALSE)</f>
        <v>#N/A</v>
      </c>
    </row>
    <row r="4583" customHeight="1" spans="8:8">
      <c r="H4583" s="39" t="e">
        <f>VLOOKUP(E4583,基础信息!C:E,3,FALSE)</f>
        <v>#N/A</v>
      </c>
    </row>
    <row r="4584" customHeight="1" spans="8:8">
      <c r="H4584" s="39" t="e">
        <f>VLOOKUP(E4584,基础信息!C:E,3,FALSE)</f>
        <v>#N/A</v>
      </c>
    </row>
    <row r="4585" customHeight="1" spans="8:8">
      <c r="H4585" s="39" t="e">
        <f>VLOOKUP(E4585,基础信息!C:E,3,FALSE)</f>
        <v>#N/A</v>
      </c>
    </row>
    <row r="4586" customHeight="1" spans="8:8">
      <c r="H4586" s="39" t="e">
        <f>VLOOKUP(E4586,基础信息!C:E,3,FALSE)</f>
        <v>#N/A</v>
      </c>
    </row>
    <row r="4587" customHeight="1" spans="8:8">
      <c r="H4587" s="39" t="e">
        <f>VLOOKUP(E4587,基础信息!C:E,3,FALSE)</f>
        <v>#N/A</v>
      </c>
    </row>
    <row r="4588" customHeight="1" spans="8:8">
      <c r="H4588" s="39" t="e">
        <f>VLOOKUP(E4588,基础信息!C:E,3,FALSE)</f>
        <v>#N/A</v>
      </c>
    </row>
    <row r="4589" customHeight="1" spans="8:8">
      <c r="H4589" s="39" t="e">
        <f>VLOOKUP(E4589,基础信息!C:E,3,FALSE)</f>
        <v>#N/A</v>
      </c>
    </row>
    <row r="4590" customHeight="1" spans="8:8">
      <c r="H4590" s="39" t="e">
        <f>VLOOKUP(E4590,基础信息!C:E,3,FALSE)</f>
        <v>#N/A</v>
      </c>
    </row>
    <row r="4591" customHeight="1" spans="8:8">
      <c r="H4591" s="39" t="e">
        <f>VLOOKUP(E4591,基础信息!C:E,3,FALSE)</f>
        <v>#N/A</v>
      </c>
    </row>
    <row r="4592" customHeight="1" spans="8:8">
      <c r="H4592" s="39" t="e">
        <f>VLOOKUP(E4592,基础信息!C:E,3,FALSE)</f>
        <v>#N/A</v>
      </c>
    </row>
    <row r="4593" customHeight="1" spans="8:8">
      <c r="H4593" s="39" t="e">
        <f>VLOOKUP(E4593,基础信息!C:E,3,FALSE)</f>
        <v>#N/A</v>
      </c>
    </row>
    <row r="4594" customHeight="1" spans="8:8">
      <c r="H4594" s="39" t="e">
        <f>VLOOKUP(E4594,基础信息!C:E,3,FALSE)</f>
        <v>#N/A</v>
      </c>
    </row>
    <row r="4595" customHeight="1" spans="8:8">
      <c r="H4595" s="39" t="e">
        <f>VLOOKUP(E4595,基础信息!C:E,3,FALSE)</f>
        <v>#N/A</v>
      </c>
    </row>
    <row r="4596" customHeight="1" spans="8:8">
      <c r="H4596" s="39" t="e">
        <f>VLOOKUP(E4596,基础信息!C:E,3,FALSE)</f>
        <v>#N/A</v>
      </c>
    </row>
    <row r="4597" customHeight="1" spans="8:8">
      <c r="H4597" s="39" t="e">
        <f>VLOOKUP(E4597,基础信息!C:E,3,FALSE)</f>
        <v>#N/A</v>
      </c>
    </row>
    <row r="4598" customHeight="1" spans="8:8">
      <c r="H4598" s="39" t="e">
        <f>VLOOKUP(E4598,基础信息!C:E,3,FALSE)</f>
        <v>#N/A</v>
      </c>
    </row>
    <row r="4599" customHeight="1" spans="8:8">
      <c r="H4599" s="39" t="e">
        <f>VLOOKUP(E4599,基础信息!C:E,3,FALSE)</f>
        <v>#N/A</v>
      </c>
    </row>
    <row r="4600" customHeight="1" spans="8:8">
      <c r="H4600" s="39" t="e">
        <f>VLOOKUP(E4600,基础信息!C:E,3,FALSE)</f>
        <v>#N/A</v>
      </c>
    </row>
    <row r="4601" customHeight="1" spans="8:8">
      <c r="H4601" s="39" t="e">
        <f>VLOOKUP(E4601,基础信息!C:E,3,FALSE)</f>
        <v>#N/A</v>
      </c>
    </row>
    <row r="4602" customHeight="1" spans="8:8">
      <c r="H4602" s="39" t="e">
        <f>VLOOKUP(E4602,基础信息!C:E,3,FALSE)</f>
        <v>#N/A</v>
      </c>
    </row>
    <row r="4603" customHeight="1" spans="8:8">
      <c r="H4603" s="39" t="e">
        <f>VLOOKUP(E4603,基础信息!C:E,3,FALSE)</f>
        <v>#N/A</v>
      </c>
    </row>
    <row r="4604" customHeight="1" spans="8:8">
      <c r="H4604" s="39" t="e">
        <f>VLOOKUP(E4604,基础信息!C:E,3,FALSE)</f>
        <v>#N/A</v>
      </c>
    </row>
    <row r="4605" customHeight="1" spans="8:8">
      <c r="H4605" s="39" t="e">
        <f>VLOOKUP(E4605,基础信息!C:E,3,FALSE)</f>
        <v>#N/A</v>
      </c>
    </row>
    <row r="4606" customHeight="1" spans="8:8">
      <c r="H4606" s="39" t="e">
        <f>VLOOKUP(E4606,基础信息!C:E,3,FALSE)</f>
        <v>#N/A</v>
      </c>
    </row>
    <row r="4607" customHeight="1" spans="8:8">
      <c r="H4607" s="39" t="e">
        <f>VLOOKUP(E4607,基础信息!C:E,3,FALSE)</f>
        <v>#N/A</v>
      </c>
    </row>
    <row r="4608" customHeight="1" spans="8:8">
      <c r="H4608" s="39" t="e">
        <f>VLOOKUP(E4608,基础信息!C:E,3,FALSE)</f>
        <v>#N/A</v>
      </c>
    </row>
    <row r="4609" customHeight="1" spans="8:8">
      <c r="H4609" s="39" t="e">
        <f>VLOOKUP(E4609,基础信息!C:E,3,FALSE)</f>
        <v>#N/A</v>
      </c>
    </row>
    <row r="4610" customHeight="1" spans="8:8">
      <c r="H4610" s="39" t="e">
        <f>VLOOKUP(E4610,基础信息!C:E,3,FALSE)</f>
        <v>#N/A</v>
      </c>
    </row>
    <row r="4611" customHeight="1" spans="8:8">
      <c r="H4611" s="39" t="e">
        <f>VLOOKUP(E4611,基础信息!C:E,3,FALSE)</f>
        <v>#N/A</v>
      </c>
    </row>
    <row r="4612" customHeight="1" spans="8:8">
      <c r="H4612" s="39" t="e">
        <f>VLOOKUP(E4612,基础信息!C:E,3,FALSE)</f>
        <v>#N/A</v>
      </c>
    </row>
    <row r="4613" customHeight="1" spans="8:8">
      <c r="H4613" s="39" t="e">
        <f>VLOOKUP(E4613,基础信息!C:E,3,FALSE)</f>
        <v>#N/A</v>
      </c>
    </row>
    <row r="4614" customHeight="1" spans="8:8">
      <c r="H4614" s="39" t="e">
        <f>VLOOKUP(E4614,基础信息!C:E,3,FALSE)</f>
        <v>#N/A</v>
      </c>
    </row>
    <row r="4615" customHeight="1" spans="8:8">
      <c r="H4615" s="39" t="e">
        <f>VLOOKUP(E4615,基础信息!C:E,3,FALSE)</f>
        <v>#N/A</v>
      </c>
    </row>
    <row r="4616" customHeight="1" spans="8:8">
      <c r="H4616" s="39" t="e">
        <f>VLOOKUP(E4616,基础信息!C:E,3,FALSE)</f>
        <v>#N/A</v>
      </c>
    </row>
    <row r="4617" customHeight="1" spans="8:8">
      <c r="H4617" s="39" t="e">
        <f>VLOOKUP(E4617,基础信息!C:E,3,FALSE)</f>
        <v>#N/A</v>
      </c>
    </row>
    <row r="4618" customHeight="1" spans="8:8">
      <c r="H4618" s="39" t="e">
        <f>VLOOKUP(E4618,基础信息!C:E,3,FALSE)</f>
        <v>#N/A</v>
      </c>
    </row>
    <row r="4619" customHeight="1" spans="8:8">
      <c r="H4619" s="39" t="e">
        <f>VLOOKUP(E4619,基础信息!C:E,3,FALSE)</f>
        <v>#N/A</v>
      </c>
    </row>
    <row r="4620" customHeight="1" spans="8:8">
      <c r="H4620" s="39" t="e">
        <f>VLOOKUP(E4620,基础信息!C:E,3,FALSE)</f>
        <v>#N/A</v>
      </c>
    </row>
    <row r="4621" customHeight="1" spans="8:8">
      <c r="H4621" s="39" t="e">
        <f>VLOOKUP(E4621,基础信息!C:E,3,FALSE)</f>
        <v>#N/A</v>
      </c>
    </row>
    <row r="4622" customHeight="1" spans="8:8">
      <c r="H4622" s="39" t="e">
        <f>VLOOKUP(E4622,基础信息!C:E,3,FALSE)</f>
        <v>#N/A</v>
      </c>
    </row>
    <row r="4623" customHeight="1" spans="8:8">
      <c r="H4623" s="39" t="e">
        <f>VLOOKUP(E4623,基础信息!C:E,3,FALSE)</f>
        <v>#N/A</v>
      </c>
    </row>
    <row r="4624" customHeight="1" spans="8:8">
      <c r="H4624" s="39" t="e">
        <f>VLOOKUP(E4624,基础信息!C:E,3,FALSE)</f>
        <v>#N/A</v>
      </c>
    </row>
    <row r="4625" customHeight="1" spans="8:8">
      <c r="H4625" s="39" t="e">
        <f>VLOOKUP(E4625,基础信息!C:E,3,FALSE)</f>
        <v>#N/A</v>
      </c>
    </row>
    <row r="4626" customHeight="1" spans="8:8">
      <c r="H4626" s="39" t="e">
        <f>VLOOKUP(E4626,基础信息!C:E,3,FALSE)</f>
        <v>#N/A</v>
      </c>
    </row>
    <row r="4627" customHeight="1" spans="8:8">
      <c r="H4627" s="39" t="e">
        <f>VLOOKUP(E4627,基础信息!C:E,3,FALSE)</f>
        <v>#N/A</v>
      </c>
    </row>
    <row r="4628" customHeight="1" spans="8:8">
      <c r="H4628" s="39" t="e">
        <f>VLOOKUP(E4628,基础信息!C:E,3,FALSE)</f>
        <v>#N/A</v>
      </c>
    </row>
    <row r="4629" customHeight="1" spans="8:8">
      <c r="H4629" s="39" t="e">
        <f>VLOOKUP(E4629,基础信息!C:E,3,FALSE)</f>
        <v>#N/A</v>
      </c>
    </row>
    <row r="4630" customHeight="1" spans="8:8">
      <c r="H4630" s="39" t="e">
        <f>VLOOKUP(E4630,基础信息!C:E,3,FALSE)</f>
        <v>#N/A</v>
      </c>
    </row>
    <row r="4631" customHeight="1" spans="8:8">
      <c r="H4631" s="39" t="e">
        <f>VLOOKUP(E4631,基础信息!C:E,3,FALSE)</f>
        <v>#N/A</v>
      </c>
    </row>
    <row r="4632" customHeight="1" spans="8:8">
      <c r="H4632" s="39" t="e">
        <f>VLOOKUP(E4632,基础信息!C:E,3,FALSE)</f>
        <v>#N/A</v>
      </c>
    </row>
    <row r="4633" customHeight="1" spans="8:8">
      <c r="H4633" s="39" t="e">
        <f>VLOOKUP(E4633,基础信息!C:E,3,FALSE)</f>
        <v>#N/A</v>
      </c>
    </row>
    <row r="4634" customHeight="1" spans="8:8">
      <c r="H4634" s="39" t="e">
        <f>VLOOKUP(E4634,基础信息!C:E,3,FALSE)</f>
        <v>#N/A</v>
      </c>
    </row>
    <row r="4635" customHeight="1" spans="8:8">
      <c r="H4635" s="39" t="e">
        <f>VLOOKUP(E4635,基础信息!C:E,3,FALSE)</f>
        <v>#N/A</v>
      </c>
    </row>
    <row r="4636" customHeight="1" spans="8:8">
      <c r="H4636" s="39" t="e">
        <f>VLOOKUP(E4636,基础信息!C:E,3,FALSE)</f>
        <v>#N/A</v>
      </c>
    </row>
    <row r="4637" customHeight="1" spans="8:8">
      <c r="H4637" s="39" t="e">
        <f>VLOOKUP(E4637,基础信息!C:E,3,FALSE)</f>
        <v>#N/A</v>
      </c>
    </row>
    <row r="4638" customHeight="1" spans="8:8">
      <c r="H4638" s="39" t="e">
        <f>VLOOKUP(E4638,基础信息!C:E,3,FALSE)</f>
        <v>#N/A</v>
      </c>
    </row>
    <row r="4639" customHeight="1" spans="8:8">
      <c r="H4639" s="39" t="e">
        <f>VLOOKUP(E4639,基础信息!C:E,3,FALSE)</f>
        <v>#N/A</v>
      </c>
    </row>
    <row r="4640" customHeight="1" spans="8:8">
      <c r="H4640" s="39" t="e">
        <f>VLOOKUP(E4640,基础信息!C:E,3,FALSE)</f>
        <v>#N/A</v>
      </c>
    </row>
    <row r="4641" customHeight="1" spans="8:8">
      <c r="H4641" s="39" t="e">
        <f>VLOOKUP(E4641,基础信息!C:E,3,FALSE)</f>
        <v>#N/A</v>
      </c>
    </row>
    <row r="4642" customHeight="1" spans="8:8">
      <c r="H4642" s="39" t="e">
        <f>VLOOKUP(E4642,基础信息!C:E,3,FALSE)</f>
        <v>#N/A</v>
      </c>
    </row>
    <row r="4643" customHeight="1" spans="8:8">
      <c r="H4643" s="39" t="e">
        <f>VLOOKUP(E4643,基础信息!C:E,3,FALSE)</f>
        <v>#N/A</v>
      </c>
    </row>
    <row r="4644" customHeight="1" spans="8:8">
      <c r="H4644" s="39" t="e">
        <f>VLOOKUP(E4644,基础信息!C:E,3,FALSE)</f>
        <v>#N/A</v>
      </c>
    </row>
    <row r="4645" customHeight="1" spans="8:8">
      <c r="H4645" s="39" t="e">
        <f>VLOOKUP(E4645,基础信息!C:E,3,FALSE)</f>
        <v>#N/A</v>
      </c>
    </row>
    <row r="4646" customHeight="1" spans="8:8">
      <c r="H4646" s="39" t="e">
        <f>VLOOKUP(E4646,基础信息!C:E,3,FALSE)</f>
        <v>#N/A</v>
      </c>
    </row>
    <row r="4647" customHeight="1" spans="8:8">
      <c r="H4647" s="39" t="e">
        <f>VLOOKUP(E4647,基础信息!C:E,3,FALSE)</f>
        <v>#N/A</v>
      </c>
    </row>
    <row r="4648" customHeight="1" spans="8:8">
      <c r="H4648" s="39" t="e">
        <f>VLOOKUP(E4648,基础信息!C:E,3,FALSE)</f>
        <v>#N/A</v>
      </c>
    </row>
    <row r="4649" customHeight="1" spans="8:8">
      <c r="H4649" s="39" t="e">
        <f>VLOOKUP(E4649,基础信息!C:E,3,FALSE)</f>
        <v>#N/A</v>
      </c>
    </row>
    <row r="4650" customHeight="1" spans="8:8">
      <c r="H4650" s="39" t="e">
        <f>VLOOKUP(E4650,基础信息!C:E,3,FALSE)</f>
        <v>#N/A</v>
      </c>
    </row>
    <row r="4651" customHeight="1" spans="8:8">
      <c r="H4651" s="39" t="e">
        <f>VLOOKUP(E4651,基础信息!C:E,3,FALSE)</f>
        <v>#N/A</v>
      </c>
    </row>
    <row r="4652" customHeight="1" spans="8:8">
      <c r="H4652" s="39" t="e">
        <f>VLOOKUP(E4652,基础信息!C:E,3,FALSE)</f>
        <v>#N/A</v>
      </c>
    </row>
    <row r="4653" customHeight="1" spans="8:8">
      <c r="H4653" s="39" t="e">
        <f>VLOOKUP(E4653,基础信息!C:E,3,FALSE)</f>
        <v>#N/A</v>
      </c>
    </row>
    <row r="4654" customHeight="1" spans="8:8">
      <c r="H4654" s="39" t="e">
        <f>VLOOKUP(E4654,基础信息!C:E,3,FALSE)</f>
        <v>#N/A</v>
      </c>
    </row>
    <row r="4655" customHeight="1" spans="8:8">
      <c r="H4655" s="39" t="e">
        <f>VLOOKUP(E4655,基础信息!C:E,3,FALSE)</f>
        <v>#N/A</v>
      </c>
    </row>
    <row r="4656" customHeight="1" spans="8:8">
      <c r="H4656" s="39" t="e">
        <f>VLOOKUP(E4656,基础信息!C:E,3,FALSE)</f>
        <v>#N/A</v>
      </c>
    </row>
    <row r="4657" customHeight="1" spans="8:8">
      <c r="H4657" s="39" t="e">
        <f>VLOOKUP(E4657,基础信息!C:E,3,FALSE)</f>
        <v>#N/A</v>
      </c>
    </row>
    <row r="4658" customHeight="1" spans="8:8">
      <c r="H4658" s="39" t="e">
        <f>VLOOKUP(E4658,基础信息!C:E,3,FALSE)</f>
        <v>#N/A</v>
      </c>
    </row>
    <row r="4659" customHeight="1" spans="8:8">
      <c r="H4659" s="39" t="e">
        <f>VLOOKUP(E4659,基础信息!C:E,3,FALSE)</f>
        <v>#N/A</v>
      </c>
    </row>
    <row r="4660" customHeight="1" spans="8:8">
      <c r="H4660" s="39" t="e">
        <f>VLOOKUP(E4660,基础信息!C:E,3,FALSE)</f>
        <v>#N/A</v>
      </c>
    </row>
    <row r="4661" customHeight="1" spans="8:8">
      <c r="H4661" s="39" t="e">
        <f>VLOOKUP(E4661,基础信息!C:E,3,FALSE)</f>
        <v>#N/A</v>
      </c>
    </row>
    <row r="4662" customHeight="1" spans="8:8">
      <c r="H4662" s="39" t="e">
        <f>VLOOKUP(E4662,基础信息!C:E,3,FALSE)</f>
        <v>#N/A</v>
      </c>
    </row>
    <row r="4663" customHeight="1" spans="8:8">
      <c r="H4663" s="39" t="e">
        <f>VLOOKUP(E4663,基础信息!C:E,3,FALSE)</f>
        <v>#N/A</v>
      </c>
    </row>
    <row r="4664" customHeight="1" spans="8:8">
      <c r="H4664" s="39" t="e">
        <f>VLOOKUP(E4664,基础信息!C:E,3,FALSE)</f>
        <v>#N/A</v>
      </c>
    </row>
    <row r="4665" customHeight="1" spans="8:8">
      <c r="H4665" s="39" t="e">
        <f>VLOOKUP(E4665,基础信息!C:E,3,FALSE)</f>
        <v>#N/A</v>
      </c>
    </row>
    <row r="4666" customHeight="1" spans="8:8">
      <c r="H4666" s="39" t="e">
        <f>VLOOKUP(E4666,基础信息!C:E,3,FALSE)</f>
        <v>#N/A</v>
      </c>
    </row>
    <row r="4667" customHeight="1" spans="8:8">
      <c r="H4667" s="39" t="e">
        <f>VLOOKUP(E4667,基础信息!C:E,3,FALSE)</f>
        <v>#N/A</v>
      </c>
    </row>
    <row r="4668" customHeight="1" spans="8:8">
      <c r="H4668" s="39" t="e">
        <f>VLOOKUP(E4668,基础信息!C:E,3,FALSE)</f>
        <v>#N/A</v>
      </c>
    </row>
    <row r="4669" customHeight="1" spans="8:8">
      <c r="H4669" s="39" t="e">
        <f>VLOOKUP(E4669,基础信息!C:E,3,FALSE)</f>
        <v>#N/A</v>
      </c>
    </row>
    <row r="4670" customHeight="1" spans="8:8">
      <c r="H4670" s="39" t="e">
        <f>VLOOKUP(E4670,基础信息!C:E,3,FALSE)</f>
        <v>#N/A</v>
      </c>
    </row>
    <row r="4671" customHeight="1" spans="8:8">
      <c r="H4671" s="39" t="e">
        <f>VLOOKUP(E4671,基础信息!C:E,3,FALSE)</f>
        <v>#N/A</v>
      </c>
    </row>
    <row r="4672" customHeight="1" spans="8:8">
      <c r="H4672" s="39" t="e">
        <f>VLOOKUP(E4672,基础信息!C:E,3,FALSE)</f>
        <v>#N/A</v>
      </c>
    </row>
    <row r="4673" customHeight="1" spans="8:8">
      <c r="H4673" s="39" t="e">
        <f>VLOOKUP(E4673,基础信息!C:E,3,FALSE)</f>
        <v>#N/A</v>
      </c>
    </row>
    <row r="4674" customHeight="1" spans="8:8">
      <c r="H4674" s="39" t="e">
        <f>VLOOKUP(E4674,基础信息!C:E,3,FALSE)</f>
        <v>#N/A</v>
      </c>
    </row>
    <row r="4675" customHeight="1" spans="8:8">
      <c r="H4675" s="39" t="e">
        <f>VLOOKUP(E4675,基础信息!C:E,3,FALSE)</f>
        <v>#N/A</v>
      </c>
    </row>
    <row r="4676" customHeight="1" spans="8:8">
      <c r="H4676" s="39" t="e">
        <f>VLOOKUP(E4676,基础信息!C:E,3,FALSE)</f>
        <v>#N/A</v>
      </c>
    </row>
    <row r="4677" customHeight="1" spans="8:8">
      <c r="H4677" s="39" t="e">
        <f>VLOOKUP(E4677,基础信息!C:E,3,FALSE)</f>
        <v>#N/A</v>
      </c>
    </row>
    <row r="4678" customHeight="1" spans="8:8">
      <c r="H4678" s="39" t="e">
        <f>VLOOKUP(E4678,基础信息!C:E,3,FALSE)</f>
        <v>#N/A</v>
      </c>
    </row>
    <row r="4679" customHeight="1" spans="8:8">
      <c r="H4679" s="39" t="e">
        <f>VLOOKUP(E4679,基础信息!C:E,3,FALSE)</f>
        <v>#N/A</v>
      </c>
    </row>
    <row r="4680" customHeight="1" spans="8:8">
      <c r="H4680" s="39" t="e">
        <f>VLOOKUP(E4680,基础信息!C:E,3,FALSE)</f>
        <v>#N/A</v>
      </c>
    </row>
    <row r="4681" customHeight="1" spans="8:8">
      <c r="H4681" s="39" t="e">
        <f>VLOOKUP(E4681,基础信息!C:E,3,FALSE)</f>
        <v>#N/A</v>
      </c>
    </row>
    <row r="4682" customHeight="1" spans="8:8">
      <c r="H4682" s="39" t="e">
        <f>VLOOKUP(E4682,基础信息!C:E,3,FALSE)</f>
        <v>#N/A</v>
      </c>
    </row>
    <row r="4683" customHeight="1" spans="8:8">
      <c r="H4683" s="39" t="e">
        <f>VLOOKUP(E4683,基础信息!C:E,3,FALSE)</f>
        <v>#N/A</v>
      </c>
    </row>
    <row r="4684" customHeight="1" spans="8:8">
      <c r="H4684" s="39" t="e">
        <f>VLOOKUP(E4684,基础信息!C:E,3,FALSE)</f>
        <v>#N/A</v>
      </c>
    </row>
    <row r="4685" customHeight="1" spans="8:8">
      <c r="H4685" s="39" t="e">
        <f>VLOOKUP(E4685,基础信息!C:E,3,FALSE)</f>
        <v>#N/A</v>
      </c>
    </row>
    <row r="4686" customHeight="1" spans="8:8">
      <c r="H4686" s="39" t="e">
        <f>VLOOKUP(E4686,基础信息!C:E,3,FALSE)</f>
        <v>#N/A</v>
      </c>
    </row>
    <row r="4687" customHeight="1" spans="8:8">
      <c r="H4687" s="39" t="e">
        <f>VLOOKUP(E4687,基础信息!C:E,3,FALSE)</f>
        <v>#N/A</v>
      </c>
    </row>
    <row r="4688" customHeight="1" spans="8:8">
      <c r="H4688" s="39" t="e">
        <f>VLOOKUP(E4688,基础信息!C:E,3,FALSE)</f>
        <v>#N/A</v>
      </c>
    </row>
    <row r="4689" customHeight="1" spans="8:8">
      <c r="H4689" s="39" t="e">
        <f>VLOOKUP(E4689,基础信息!C:E,3,FALSE)</f>
        <v>#N/A</v>
      </c>
    </row>
    <row r="4690" customHeight="1" spans="8:8">
      <c r="H4690" s="39" t="e">
        <f>VLOOKUP(E4690,基础信息!C:E,3,FALSE)</f>
        <v>#N/A</v>
      </c>
    </row>
    <row r="4691" customHeight="1" spans="8:8">
      <c r="H4691" s="39" t="e">
        <f>VLOOKUP(E4691,基础信息!C:E,3,FALSE)</f>
        <v>#N/A</v>
      </c>
    </row>
    <row r="4692" customHeight="1" spans="8:8">
      <c r="H4692" s="39" t="e">
        <f>VLOOKUP(E4692,基础信息!C:E,3,FALSE)</f>
        <v>#N/A</v>
      </c>
    </row>
    <row r="4693" customHeight="1" spans="8:8">
      <c r="H4693" s="39" t="e">
        <f>VLOOKUP(E4693,基础信息!C:E,3,FALSE)</f>
        <v>#N/A</v>
      </c>
    </row>
    <row r="4694" customHeight="1" spans="8:8">
      <c r="H4694" s="39" t="e">
        <f>VLOOKUP(E4694,基础信息!C:E,3,FALSE)</f>
        <v>#N/A</v>
      </c>
    </row>
    <row r="4695" customHeight="1" spans="8:8">
      <c r="H4695" s="39" t="e">
        <f>VLOOKUP(E4695,基础信息!C:E,3,FALSE)</f>
        <v>#N/A</v>
      </c>
    </row>
    <row r="4696" customHeight="1" spans="8:8">
      <c r="H4696" s="39" t="e">
        <f>VLOOKUP(E4696,基础信息!C:E,3,FALSE)</f>
        <v>#N/A</v>
      </c>
    </row>
    <row r="4697" customHeight="1" spans="8:8">
      <c r="H4697" s="39" t="e">
        <f>VLOOKUP(E4697,基础信息!C:E,3,FALSE)</f>
        <v>#N/A</v>
      </c>
    </row>
    <row r="4698" customHeight="1" spans="8:8">
      <c r="H4698" s="39" t="e">
        <f>VLOOKUP(E4698,基础信息!C:E,3,FALSE)</f>
        <v>#N/A</v>
      </c>
    </row>
    <row r="4699" customHeight="1" spans="8:8">
      <c r="H4699" s="39" t="e">
        <f>VLOOKUP(E4699,基础信息!C:E,3,FALSE)</f>
        <v>#N/A</v>
      </c>
    </row>
    <row r="4700" customHeight="1" spans="8:8">
      <c r="H4700" s="39" t="e">
        <f>VLOOKUP(E4700,基础信息!C:E,3,FALSE)</f>
        <v>#N/A</v>
      </c>
    </row>
    <row r="4701" customHeight="1" spans="8:8">
      <c r="H4701" s="39" t="e">
        <f>VLOOKUP(E4701,基础信息!C:E,3,FALSE)</f>
        <v>#N/A</v>
      </c>
    </row>
    <row r="4702" customHeight="1" spans="8:8">
      <c r="H4702" s="39" t="e">
        <f>VLOOKUP(E4702,基础信息!C:E,3,FALSE)</f>
        <v>#N/A</v>
      </c>
    </row>
    <row r="4703" customHeight="1" spans="8:8">
      <c r="H4703" s="39" t="e">
        <f>VLOOKUP(E4703,基础信息!C:E,3,FALSE)</f>
        <v>#N/A</v>
      </c>
    </row>
    <row r="4704" customHeight="1" spans="8:8">
      <c r="H4704" s="39" t="e">
        <f>VLOOKUP(E4704,基础信息!C:E,3,FALSE)</f>
        <v>#N/A</v>
      </c>
    </row>
    <row r="4705" customHeight="1" spans="8:8">
      <c r="H4705" s="39" t="e">
        <f>VLOOKUP(E4705,基础信息!C:E,3,FALSE)</f>
        <v>#N/A</v>
      </c>
    </row>
    <row r="4706" customHeight="1" spans="8:8">
      <c r="H4706" s="39" t="e">
        <f>VLOOKUP(E4706,基础信息!C:E,3,FALSE)</f>
        <v>#N/A</v>
      </c>
    </row>
    <row r="4707" customHeight="1" spans="8:8">
      <c r="H4707" s="39" t="e">
        <f>VLOOKUP(E4707,基础信息!C:E,3,FALSE)</f>
        <v>#N/A</v>
      </c>
    </row>
    <row r="4708" customHeight="1" spans="8:8">
      <c r="H4708" s="39" t="e">
        <f>VLOOKUP(E4708,基础信息!C:E,3,FALSE)</f>
        <v>#N/A</v>
      </c>
    </row>
    <row r="4709" customHeight="1" spans="8:8">
      <c r="H4709" s="39" t="e">
        <f>VLOOKUP(E4709,基础信息!C:E,3,FALSE)</f>
        <v>#N/A</v>
      </c>
    </row>
    <row r="4710" customHeight="1" spans="8:8">
      <c r="H4710" s="39" t="e">
        <f>VLOOKUP(E4710,基础信息!C:E,3,FALSE)</f>
        <v>#N/A</v>
      </c>
    </row>
    <row r="4711" customHeight="1" spans="8:8">
      <c r="H4711" s="39" t="e">
        <f>VLOOKUP(E4711,基础信息!C:E,3,FALSE)</f>
        <v>#N/A</v>
      </c>
    </row>
    <row r="4712" customHeight="1" spans="8:8">
      <c r="H4712" s="39" t="e">
        <f>VLOOKUP(E4712,基础信息!C:E,3,FALSE)</f>
        <v>#N/A</v>
      </c>
    </row>
    <row r="4713" customHeight="1" spans="8:8">
      <c r="H4713" s="39" t="e">
        <f>VLOOKUP(E4713,基础信息!C:E,3,FALSE)</f>
        <v>#N/A</v>
      </c>
    </row>
    <row r="4714" customHeight="1" spans="8:8">
      <c r="H4714" s="39" t="e">
        <f>VLOOKUP(E4714,基础信息!C:E,3,FALSE)</f>
        <v>#N/A</v>
      </c>
    </row>
    <row r="4715" customHeight="1" spans="8:8">
      <c r="H4715" s="39" t="e">
        <f>VLOOKUP(E4715,基础信息!C:E,3,FALSE)</f>
        <v>#N/A</v>
      </c>
    </row>
    <row r="4716" customHeight="1" spans="8:8">
      <c r="H4716" s="39" t="e">
        <f>VLOOKUP(E4716,基础信息!C:E,3,FALSE)</f>
        <v>#N/A</v>
      </c>
    </row>
    <row r="4717" customHeight="1" spans="8:8">
      <c r="H4717" s="39" t="e">
        <f>VLOOKUP(E4717,基础信息!C:E,3,FALSE)</f>
        <v>#N/A</v>
      </c>
    </row>
    <row r="4718" customHeight="1" spans="8:8">
      <c r="H4718" s="39" t="e">
        <f>VLOOKUP(E4718,基础信息!C:E,3,FALSE)</f>
        <v>#N/A</v>
      </c>
    </row>
    <row r="4719" customHeight="1" spans="8:8">
      <c r="H4719" s="39" t="e">
        <f>VLOOKUP(E4719,基础信息!C:E,3,FALSE)</f>
        <v>#N/A</v>
      </c>
    </row>
    <row r="4720" customHeight="1" spans="8:8">
      <c r="H4720" s="39" t="e">
        <f>VLOOKUP(E4720,基础信息!C:E,3,FALSE)</f>
        <v>#N/A</v>
      </c>
    </row>
    <row r="4721" customHeight="1" spans="8:8">
      <c r="H4721" s="39" t="e">
        <f>VLOOKUP(E4721,基础信息!C:E,3,FALSE)</f>
        <v>#N/A</v>
      </c>
    </row>
    <row r="4722" customHeight="1" spans="8:8">
      <c r="H4722" s="39" t="e">
        <f>VLOOKUP(E4722,基础信息!C:E,3,FALSE)</f>
        <v>#N/A</v>
      </c>
    </row>
    <row r="4723" customHeight="1" spans="8:8">
      <c r="H4723" s="39" t="e">
        <f>VLOOKUP(E4723,基础信息!C:E,3,FALSE)</f>
        <v>#N/A</v>
      </c>
    </row>
    <row r="4724" customHeight="1" spans="8:8">
      <c r="H4724" s="39" t="e">
        <f>VLOOKUP(E4724,基础信息!C:E,3,FALSE)</f>
        <v>#N/A</v>
      </c>
    </row>
    <row r="4725" customHeight="1" spans="8:8">
      <c r="H4725" s="39" t="e">
        <f>VLOOKUP(E4725,基础信息!C:E,3,FALSE)</f>
        <v>#N/A</v>
      </c>
    </row>
    <row r="4726" customHeight="1" spans="8:8">
      <c r="H4726" s="39" t="e">
        <f>VLOOKUP(E4726,基础信息!C:E,3,FALSE)</f>
        <v>#N/A</v>
      </c>
    </row>
    <row r="4727" customHeight="1" spans="8:8">
      <c r="H4727" s="39" t="e">
        <f>VLOOKUP(E4727,基础信息!C:E,3,FALSE)</f>
        <v>#N/A</v>
      </c>
    </row>
    <row r="4728" customHeight="1" spans="8:8">
      <c r="H4728" s="39" t="e">
        <f>VLOOKUP(E4728,基础信息!C:E,3,FALSE)</f>
        <v>#N/A</v>
      </c>
    </row>
    <row r="4729" customHeight="1" spans="8:8">
      <c r="H4729" s="39" t="e">
        <f>VLOOKUP(E4729,基础信息!C:E,3,FALSE)</f>
        <v>#N/A</v>
      </c>
    </row>
    <row r="4730" customHeight="1" spans="8:8">
      <c r="H4730" s="39" t="e">
        <f>VLOOKUP(E4730,基础信息!C:E,3,FALSE)</f>
        <v>#N/A</v>
      </c>
    </row>
    <row r="4731" customHeight="1" spans="8:8">
      <c r="H4731" s="39" t="e">
        <f>VLOOKUP(E4731,基础信息!C:E,3,FALSE)</f>
        <v>#N/A</v>
      </c>
    </row>
    <row r="4732" customHeight="1" spans="8:8">
      <c r="H4732" s="39" t="e">
        <f>VLOOKUP(E4732,基础信息!C:E,3,FALSE)</f>
        <v>#N/A</v>
      </c>
    </row>
    <row r="4733" customHeight="1" spans="8:8">
      <c r="H4733" s="39" t="e">
        <f>VLOOKUP(E4733,基础信息!C:E,3,FALSE)</f>
        <v>#N/A</v>
      </c>
    </row>
    <row r="4734" customHeight="1" spans="8:8">
      <c r="H4734" s="39" t="e">
        <f>VLOOKUP(E4734,基础信息!C:E,3,FALSE)</f>
        <v>#N/A</v>
      </c>
    </row>
    <row r="4735" customHeight="1" spans="8:8">
      <c r="H4735" s="39" t="e">
        <f>VLOOKUP(E4735,基础信息!C:E,3,FALSE)</f>
        <v>#N/A</v>
      </c>
    </row>
    <row r="4736" customHeight="1" spans="8:8">
      <c r="H4736" s="39" t="e">
        <f>VLOOKUP(E4736,基础信息!C:E,3,FALSE)</f>
        <v>#N/A</v>
      </c>
    </row>
    <row r="4737" customHeight="1" spans="8:8">
      <c r="H4737" s="39" t="e">
        <f>VLOOKUP(E4737,基础信息!C:E,3,FALSE)</f>
        <v>#N/A</v>
      </c>
    </row>
    <row r="4738" customHeight="1" spans="8:8">
      <c r="H4738" s="39" t="e">
        <f>VLOOKUP(E4738,基础信息!C:E,3,FALSE)</f>
        <v>#N/A</v>
      </c>
    </row>
    <row r="4739" customHeight="1" spans="8:8">
      <c r="H4739" s="39" t="e">
        <f>VLOOKUP(E4739,基础信息!C:E,3,FALSE)</f>
        <v>#N/A</v>
      </c>
    </row>
    <row r="4740" customHeight="1" spans="8:8">
      <c r="H4740" s="39" t="e">
        <f>VLOOKUP(E4740,基础信息!C:E,3,FALSE)</f>
        <v>#N/A</v>
      </c>
    </row>
    <row r="4741" customHeight="1" spans="8:8">
      <c r="H4741" s="39" t="e">
        <f>VLOOKUP(E4741,基础信息!C:E,3,FALSE)</f>
        <v>#N/A</v>
      </c>
    </row>
    <row r="4742" customHeight="1" spans="8:8">
      <c r="H4742" s="39" t="e">
        <f>VLOOKUP(E4742,基础信息!C:E,3,FALSE)</f>
        <v>#N/A</v>
      </c>
    </row>
    <row r="4743" customHeight="1" spans="8:8">
      <c r="H4743" s="39" t="e">
        <f>VLOOKUP(E4743,基础信息!C:E,3,FALSE)</f>
        <v>#N/A</v>
      </c>
    </row>
    <row r="4744" customHeight="1" spans="8:8">
      <c r="H4744" s="39" t="e">
        <f>VLOOKUP(E4744,基础信息!C:E,3,FALSE)</f>
        <v>#N/A</v>
      </c>
    </row>
    <row r="4745" customHeight="1" spans="8:8">
      <c r="H4745" s="39" t="e">
        <f>VLOOKUP(E4745,基础信息!C:E,3,FALSE)</f>
        <v>#N/A</v>
      </c>
    </row>
    <row r="4746" customHeight="1" spans="8:8">
      <c r="H4746" s="39" t="e">
        <f>VLOOKUP(E4746,基础信息!C:E,3,FALSE)</f>
        <v>#N/A</v>
      </c>
    </row>
    <row r="4747" customHeight="1" spans="8:8">
      <c r="H4747" s="39" t="e">
        <f>VLOOKUP(E4747,基础信息!C:E,3,FALSE)</f>
        <v>#N/A</v>
      </c>
    </row>
    <row r="4748" customHeight="1" spans="8:8">
      <c r="H4748" s="39" t="e">
        <f>VLOOKUP(E4748,基础信息!C:E,3,FALSE)</f>
        <v>#N/A</v>
      </c>
    </row>
    <row r="4749" customHeight="1" spans="8:8">
      <c r="H4749" s="39" t="e">
        <f>VLOOKUP(E4749,基础信息!C:E,3,FALSE)</f>
        <v>#N/A</v>
      </c>
    </row>
    <row r="4750" customHeight="1" spans="8:8">
      <c r="H4750" s="39" t="e">
        <f>VLOOKUP(E4750,基础信息!C:E,3,FALSE)</f>
        <v>#N/A</v>
      </c>
    </row>
    <row r="4751" customHeight="1" spans="8:8">
      <c r="H4751" s="39" t="e">
        <f>VLOOKUP(E4751,基础信息!C:E,3,FALSE)</f>
        <v>#N/A</v>
      </c>
    </row>
    <row r="4752" customHeight="1" spans="8:8">
      <c r="H4752" s="39" t="e">
        <f>VLOOKUP(E4752,基础信息!C:E,3,FALSE)</f>
        <v>#N/A</v>
      </c>
    </row>
    <row r="4753" customHeight="1" spans="8:8">
      <c r="H4753" s="39" t="e">
        <f>VLOOKUP(E4753,基础信息!C:E,3,FALSE)</f>
        <v>#N/A</v>
      </c>
    </row>
    <row r="4754" customHeight="1" spans="8:8">
      <c r="H4754" s="39" t="e">
        <f>VLOOKUP(E4754,基础信息!C:E,3,FALSE)</f>
        <v>#N/A</v>
      </c>
    </row>
    <row r="4755" customHeight="1" spans="8:8">
      <c r="H4755" s="39" t="e">
        <f>VLOOKUP(E4755,基础信息!C:E,3,FALSE)</f>
        <v>#N/A</v>
      </c>
    </row>
    <row r="4756" customHeight="1" spans="8:8">
      <c r="H4756" s="39" t="e">
        <f>VLOOKUP(E4756,基础信息!C:E,3,FALSE)</f>
        <v>#N/A</v>
      </c>
    </row>
    <row r="4757" customHeight="1" spans="8:8">
      <c r="H4757" s="39" t="e">
        <f>VLOOKUP(E4757,基础信息!C:E,3,FALSE)</f>
        <v>#N/A</v>
      </c>
    </row>
    <row r="4758" customHeight="1" spans="8:8">
      <c r="H4758" s="39" t="e">
        <f>VLOOKUP(E4758,基础信息!C:E,3,FALSE)</f>
        <v>#N/A</v>
      </c>
    </row>
    <row r="4759" customHeight="1" spans="8:8">
      <c r="H4759" s="39" t="e">
        <f>VLOOKUP(E4759,基础信息!C:E,3,FALSE)</f>
        <v>#N/A</v>
      </c>
    </row>
    <row r="4760" customHeight="1" spans="8:8">
      <c r="H4760" s="39" t="e">
        <f>VLOOKUP(E4760,基础信息!C:E,3,FALSE)</f>
        <v>#N/A</v>
      </c>
    </row>
    <row r="4761" customHeight="1" spans="8:8">
      <c r="H4761" s="39" t="e">
        <f>VLOOKUP(E4761,基础信息!C:E,3,FALSE)</f>
        <v>#N/A</v>
      </c>
    </row>
    <row r="4762" customHeight="1" spans="8:8">
      <c r="H4762" s="39" t="e">
        <f>VLOOKUP(E4762,基础信息!C:E,3,FALSE)</f>
        <v>#N/A</v>
      </c>
    </row>
    <row r="4763" customHeight="1" spans="8:8">
      <c r="H4763" s="39" t="e">
        <f>VLOOKUP(E4763,基础信息!C:E,3,FALSE)</f>
        <v>#N/A</v>
      </c>
    </row>
    <row r="4764" customHeight="1" spans="8:8">
      <c r="H4764" s="39" t="e">
        <f>VLOOKUP(E4764,基础信息!C:E,3,FALSE)</f>
        <v>#N/A</v>
      </c>
    </row>
    <row r="4765" customHeight="1" spans="8:8">
      <c r="H4765" s="39" t="e">
        <f>VLOOKUP(E4765,基础信息!C:E,3,FALSE)</f>
        <v>#N/A</v>
      </c>
    </row>
    <row r="4766" customHeight="1" spans="8:8">
      <c r="H4766" s="39" t="e">
        <f>VLOOKUP(E4766,基础信息!C:E,3,FALSE)</f>
        <v>#N/A</v>
      </c>
    </row>
    <row r="4767" customHeight="1" spans="8:8">
      <c r="H4767" s="39" t="e">
        <f>VLOOKUP(E4767,基础信息!C:E,3,FALSE)</f>
        <v>#N/A</v>
      </c>
    </row>
    <row r="4768" customHeight="1" spans="8:8">
      <c r="H4768" s="39" t="e">
        <f>VLOOKUP(E4768,基础信息!C:E,3,FALSE)</f>
        <v>#N/A</v>
      </c>
    </row>
    <row r="4769" customHeight="1" spans="8:8">
      <c r="H4769" s="39" t="e">
        <f>VLOOKUP(E4769,基础信息!C:E,3,FALSE)</f>
        <v>#N/A</v>
      </c>
    </row>
    <row r="4770" customHeight="1" spans="8:8">
      <c r="H4770" s="39" t="e">
        <f>VLOOKUP(E4770,基础信息!C:E,3,FALSE)</f>
        <v>#N/A</v>
      </c>
    </row>
    <row r="4771" customHeight="1" spans="8:8">
      <c r="H4771" s="39" t="e">
        <f>VLOOKUP(E4771,基础信息!C:E,3,FALSE)</f>
        <v>#N/A</v>
      </c>
    </row>
    <row r="4772" customHeight="1" spans="8:8">
      <c r="H4772" s="39" t="e">
        <f>VLOOKUP(E4772,基础信息!C:E,3,FALSE)</f>
        <v>#N/A</v>
      </c>
    </row>
    <row r="4773" customHeight="1" spans="8:8">
      <c r="H4773" s="39" t="e">
        <f>VLOOKUP(E4773,基础信息!C:E,3,FALSE)</f>
        <v>#N/A</v>
      </c>
    </row>
    <row r="4774" customHeight="1" spans="8:8">
      <c r="H4774" s="39" t="e">
        <f>VLOOKUP(E4774,基础信息!C:E,3,FALSE)</f>
        <v>#N/A</v>
      </c>
    </row>
    <row r="4775" customHeight="1" spans="8:8">
      <c r="H4775" s="39" t="e">
        <f>VLOOKUP(E4775,基础信息!C:E,3,FALSE)</f>
        <v>#N/A</v>
      </c>
    </row>
    <row r="4776" customHeight="1" spans="8:8">
      <c r="H4776" s="39" t="e">
        <f>VLOOKUP(E4776,基础信息!C:E,3,FALSE)</f>
        <v>#N/A</v>
      </c>
    </row>
    <row r="4777" customHeight="1" spans="8:8">
      <c r="H4777" s="39" t="e">
        <f>VLOOKUP(E4777,基础信息!C:E,3,FALSE)</f>
        <v>#N/A</v>
      </c>
    </row>
    <row r="4778" customHeight="1" spans="8:8">
      <c r="H4778" s="39" t="e">
        <f>VLOOKUP(E4778,基础信息!C:E,3,FALSE)</f>
        <v>#N/A</v>
      </c>
    </row>
    <row r="4779" customHeight="1" spans="8:8">
      <c r="H4779" s="39" t="e">
        <f>VLOOKUP(E4779,基础信息!C:E,3,FALSE)</f>
        <v>#N/A</v>
      </c>
    </row>
    <row r="4780" customHeight="1" spans="8:8">
      <c r="H4780" s="39" t="e">
        <f>VLOOKUP(E4780,基础信息!C:E,3,FALSE)</f>
        <v>#N/A</v>
      </c>
    </row>
    <row r="4781" customHeight="1" spans="8:8">
      <c r="H4781" s="39" t="e">
        <f>VLOOKUP(E4781,基础信息!C:E,3,FALSE)</f>
        <v>#N/A</v>
      </c>
    </row>
    <row r="4782" customHeight="1" spans="8:8">
      <c r="H4782" s="39" t="e">
        <f>VLOOKUP(E4782,基础信息!C:E,3,FALSE)</f>
        <v>#N/A</v>
      </c>
    </row>
    <row r="4783" customHeight="1" spans="8:8">
      <c r="H4783" s="39" t="e">
        <f>VLOOKUP(E4783,基础信息!C:E,3,FALSE)</f>
        <v>#N/A</v>
      </c>
    </row>
    <row r="4784" customHeight="1" spans="8:8">
      <c r="H4784" s="39" t="e">
        <f>VLOOKUP(E4784,基础信息!C:E,3,FALSE)</f>
        <v>#N/A</v>
      </c>
    </row>
    <row r="4785" customHeight="1" spans="8:8">
      <c r="H4785" s="39" t="e">
        <f>VLOOKUP(E4785,基础信息!C:E,3,FALSE)</f>
        <v>#N/A</v>
      </c>
    </row>
    <row r="4786" customHeight="1" spans="8:8">
      <c r="H4786" s="39" t="e">
        <f>VLOOKUP(E4786,基础信息!C:E,3,FALSE)</f>
        <v>#N/A</v>
      </c>
    </row>
    <row r="4787" customHeight="1" spans="8:8">
      <c r="H4787" s="39" t="e">
        <f>VLOOKUP(E4787,基础信息!C:E,3,FALSE)</f>
        <v>#N/A</v>
      </c>
    </row>
    <row r="4788" customHeight="1" spans="8:8">
      <c r="H4788" s="39" t="e">
        <f>VLOOKUP(E4788,基础信息!C:E,3,FALSE)</f>
        <v>#N/A</v>
      </c>
    </row>
    <row r="4789" customHeight="1" spans="8:8">
      <c r="H4789" s="39" t="e">
        <f>VLOOKUP(E4789,基础信息!C:E,3,FALSE)</f>
        <v>#N/A</v>
      </c>
    </row>
    <row r="4790" customHeight="1" spans="8:8">
      <c r="H4790" s="39" t="e">
        <f>VLOOKUP(E4790,基础信息!C:E,3,FALSE)</f>
        <v>#N/A</v>
      </c>
    </row>
    <row r="4791" customHeight="1" spans="8:8">
      <c r="H4791" s="39" t="e">
        <f>VLOOKUP(E4791,基础信息!C:E,3,FALSE)</f>
        <v>#N/A</v>
      </c>
    </row>
    <row r="4792" customHeight="1" spans="8:8">
      <c r="H4792" s="39" t="e">
        <f>VLOOKUP(E4792,基础信息!C:E,3,FALSE)</f>
        <v>#N/A</v>
      </c>
    </row>
    <row r="4793" customHeight="1" spans="8:8">
      <c r="H4793" s="39" t="e">
        <f>VLOOKUP(E4793,基础信息!C:E,3,FALSE)</f>
        <v>#N/A</v>
      </c>
    </row>
    <row r="4794" customHeight="1" spans="8:8">
      <c r="H4794" s="39" t="e">
        <f>VLOOKUP(E4794,基础信息!C:E,3,FALSE)</f>
        <v>#N/A</v>
      </c>
    </row>
    <row r="4795" customHeight="1" spans="8:8">
      <c r="H4795" s="39" t="e">
        <f>VLOOKUP(E4795,基础信息!C:E,3,FALSE)</f>
        <v>#N/A</v>
      </c>
    </row>
    <row r="4796" customHeight="1" spans="8:8">
      <c r="H4796" s="39" t="e">
        <f>VLOOKUP(E4796,基础信息!C:E,3,FALSE)</f>
        <v>#N/A</v>
      </c>
    </row>
    <row r="4797" customHeight="1" spans="8:8">
      <c r="H4797" s="39" t="e">
        <f>VLOOKUP(E4797,基础信息!C:E,3,FALSE)</f>
        <v>#N/A</v>
      </c>
    </row>
    <row r="4798" customHeight="1" spans="8:8">
      <c r="H4798" s="39" t="e">
        <f>VLOOKUP(E4798,基础信息!C:E,3,FALSE)</f>
        <v>#N/A</v>
      </c>
    </row>
    <row r="4799" customHeight="1" spans="8:8">
      <c r="H4799" s="39" t="e">
        <f>VLOOKUP(E4799,基础信息!C:E,3,FALSE)</f>
        <v>#N/A</v>
      </c>
    </row>
    <row r="4800" customHeight="1" spans="8:8">
      <c r="H4800" s="39" t="e">
        <f>VLOOKUP(E4800,基础信息!C:E,3,FALSE)</f>
        <v>#N/A</v>
      </c>
    </row>
    <row r="4801" customHeight="1" spans="8:8">
      <c r="H4801" s="39" t="e">
        <f>VLOOKUP(E4801,基础信息!C:E,3,FALSE)</f>
        <v>#N/A</v>
      </c>
    </row>
    <row r="4802" customHeight="1" spans="8:8">
      <c r="H4802" s="39" t="e">
        <f>VLOOKUP(E4802,基础信息!C:E,3,FALSE)</f>
        <v>#N/A</v>
      </c>
    </row>
    <row r="4803" customHeight="1" spans="8:8">
      <c r="H4803" s="39" t="e">
        <f>VLOOKUP(E4803,基础信息!C:E,3,FALSE)</f>
        <v>#N/A</v>
      </c>
    </row>
    <row r="4804" customHeight="1" spans="8:8">
      <c r="H4804" s="39" t="e">
        <f>VLOOKUP(E4804,基础信息!C:E,3,FALSE)</f>
        <v>#N/A</v>
      </c>
    </row>
    <row r="4805" customHeight="1" spans="8:8">
      <c r="H4805" s="39" t="e">
        <f>VLOOKUP(E4805,基础信息!C:E,3,FALSE)</f>
        <v>#N/A</v>
      </c>
    </row>
    <row r="4806" customHeight="1" spans="8:8">
      <c r="H4806" s="39" t="e">
        <f>VLOOKUP(E4806,基础信息!C:E,3,FALSE)</f>
        <v>#N/A</v>
      </c>
    </row>
    <row r="4807" customHeight="1" spans="8:8">
      <c r="H4807" s="39" t="e">
        <f>VLOOKUP(E4807,基础信息!C:E,3,FALSE)</f>
        <v>#N/A</v>
      </c>
    </row>
    <row r="4808" customHeight="1" spans="8:8">
      <c r="H4808" s="39" t="e">
        <f>VLOOKUP(E4808,基础信息!C:E,3,FALSE)</f>
        <v>#N/A</v>
      </c>
    </row>
    <row r="4809" customHeight="1" spans="8:8">
      <c r="H4809" s="39" t="e">
        <f>VLOOKUP(E4809,基础信息!C:E,3,FALSE)</f>
        <v>#N/A</v>
      </c>
    </row>
    <row r="4810" customHeight="1" spans="8:8">
      <c r="H4810" s="39" t="e">
        <f>VLOOKUP(E4810,基础信息!C:E,3,FALSE)</f>
        <v>#N/A</v>
      </c>
    </row>
    <row r="4811" customHeight="1" spans="8:8">
      <c r="H4811" s="39" t="e">
        <f>VLOOKUP(E4811,基础信息!C:E,3,FALSE)</f>
        <v>#N/A</v>
      </c>
    </row>
    <row r="4812" customHeight="1" spans="8:8">
      <c r="H4812" s="39" t="e">
        <f>VLOOKUP(E4812,基础信息!C:E,3,FALSE)</f>
        <v>#N/A</v>
      </c>
    </row>
    <row r="4813" customHeight="1" spans="8:8">
      <c r="H4813" s="39" t="e">
        <f>VLOOKUP(E4813,基础信息!C:E,3,FALSE)</f>
        <v>#N/A</v>
      </c>
    </row>
    <row r="4814" customHeight="1" spans="8:8">
      <c r="H4814" s="39" t="e">
        <f>VLOOKUP(E4814,基础信息!C:E,3,FALSE)</f>
        <v>#N/A</v>
      </c>
    </row>
    <row r="4815" customHeight="1" spans="8:8">
      <c r="H4815" s="39" t="e">
        <f>VLOOKUP(E4815,基础信息!C:E,3,FALSE)</f>
        <v>#N/A</v>
      </c>
    </row>
    <row r="4816" customHeight="1" spans="8:8">
      <c r="H4816" s="39" t="e">
        <f>VLOOKUP(E4816,基础信息!C:E,3,FALSE)</f>
        <v>#N/A</v>
      </c>
    </row>
    <row r="4817" customHeight="1" spans="8:8">
      <c r="H4817" s="39" t="e">
        <f>VLOOKUP(E4817,基础信息!C:E,3,FALSE)</f>
        <v>#N/A</v>
      </c>
    </row>
    <row r="4818" customHeight="1" spans="8:8">
      <c r="H4818" s="39" t="e">
        <f>VLOOKUP(E4818,基础信息!C:E,3,FALSE)</f>
        <v>#N/A</v>
      </c>
    </row>
    <row r="4819" customHeight="1" spans="8:8">
      <c r="H4819" s="39" t="e">
        <f>VLOOKUP(E4819,基础信息!C:E,3,FALSE)</f>
        <v>#N/A</v>
      </c>
    </row>
    <row r="4820" customHeight="1" spans="8:8">
      <c r="H4820" s="39" t="e">
        <f>VLOOKUP(E4820,基础信息!C:E,3,FALSE)</f>
        <v>#N/A</v>
      </c>
    </row>
    <row r="4821" customHeight="1" spans="8:8">
      <c r="H4821" s="39" t="e">
        <f>VLOOKUP(E4821,基础信息!C:E,3,FALSE)</f>
        <v>#N/A</v>
      </c>
    </row>
    <row r="4822" customHeight="1" spans="8:8">
      <c r="H4822" s="39" t="e">
        <f>VLOOKUP(E4822,基础信息!C:E,3,FALSE)</f>
        <v>#N/A</v>
      </c>
    </row>
    <row r="4823" customHeight="1" spans="8:8">
      <c r="H4823" s="39" t="e">
        <f>VLOOKUP(E4823,基础信息!C:E,3,FALSE)</f>
        <v>#N/A</v>
      </c>
    </row>
    <row r="4824" customHeight="1" spans="8:8">
      <c r="H4824" s="39" t="e">
        <f>VLOOKUP(E4824,基础信息!C:E,3,FALSE)</f>
        <v>#N/A</v>
      </c>
    </row>
    <row r="4825" customHeight="1" spans="8:8">
      <c r="H4825" s="39" t="e">
        <f>VLOOKUP(E4825,基础信息!C:E,3,FALSE)</f>
        <v>#N/A</v>
      </c>
    </row>
    <row r="4826" customHeight="1" spans="8:8">
      <c r="H4826" s="39" t="e">
        <f>VLOOKUP(E4826,基础信息!C:E,3,FALSE)</f>
        <v>#N/A</v>
      </c>
    </row>
    <row r="4827" customHeight="1" spans="8:8">
      <c r="H4827" s="39" t="e">
        <f>VLOOKUP(E4827,基础信息!C:E,3,FALSE)</f>
        <v>#N/A</v>
      </c>
    </row>
    <row r="4828" customHeight="1" spans="8:8">
      <c r="H4828" s="39" t="e">
        <f>VLOOKUP(E4828,基础信息!C:E,3,FALSE)</f>
        <v>#N/A</v>
      </c>
    </row>
    <row r="4829" customHeight="1" spans="8:8">
      <c r="H4829" s="39" t="e">
        <f>VLOOKUP(E4829,基础信息!C:E,3,FALSE)</f>
        <v>#N/A</v>
      </c>
    </row>
    <row r="4830" customHeight="1" spans="8:8">
      <c r="H4830" s="39" t="e">
        <f>VLOOKUP(E4830,基础信息!C:E,3,FALSE)</f>
        <v>#N/A</v>
      </c>
    </row>
    <row r="4831" customHeight="1" spans="8:8">
      <c r="H4831" s="39" t="e">
        <f>VLOOKUP(E4831,基础信息!C:E,3,FALSE)</f>
        <v>#N/A</v>
      </c>
    </row>
    <row r="4832" customHeight="1" spans="8:8">
      <c r="H4832" s="39" t="e">
        <f>VLOOKUP(E4832,基础信息!C:E,3,FALSE)</f>
        <v>#N/A</v>
      </c>
    </row>
    <row r="4833" customHeight="1" spans="8:8">
      <c r="H4833" s="39" t="e">
        <f>VLOOKUP(E4833,基础信息!C:E,3,FALSE)</f>
        <v>#N/A</v>
      </c>
    </row>
    <row r="4834" customHeight="1" spans="8:8">
      <c r="H4834" s="39" t="e">
        <f>VLOOKUP(E4834,基础信息!C:E,3,FALSE)</f>
        <v>#N/A</v>
      </c>
    </row>
    <row r="4835" customHeight="1" spans="8:8">
      <c r="H4835" s="39" t="e">
        <f>VLOOKUP(E4835,基础信息!C:E,3,FALSE)</f>
        <v>#N/A</v>
      </c>
    </row>
    <row r="4836" customHeight="1" spans="8:8">
      <c r="H4836" s="39" t="e">
        <f>VLOOKUP(E4836,基础信息!C:E,3,FALSE)</f>
        <v>#N/A</v>
      </c>
    </row>
    <row r="4837" customHeight="1" spans="8:8">
      <c r="H4837" s="39" t="e">
        <f>VLOOKUP(E4837,基础信息!C:E,3,FALSE)</f>
        <v>#N/A</v>
      </c>
    </row>
    <row r="4838" customHeight="1" spans="8:8">
      <c r="H4838" s="39" t="e">
        <f>VLOOKUP(E4838,基础信息!C:E,3,FALSE)</f>
        <v>#N/A</v>
      </c>
    </row>
    <row r="4839" customHeight="1" spans="8:8">
      <c r="H4839" s="39" t="e">
        <f>VLOOKUP(E4839,基础信息!C:E,3,FALSE)</f>
        <v>#N/A</v>
      </c>
    </row>
    <row r="4840" customHeight="1" spans="8:8">
      <c r="H4840" s="39" t="e">
        <f>VLOOKUP(E4840,基础信息!C:E,3,FALSE)</f>
        <v>#N/A</v>
      </c>
    </row>
    <row r="4841" customHeight="1" spans="8:8">
      <c r="H4841" s="39" t="e">
        <f>VLOOKUP(E4841,基础信息!C:E,3,FALSE)</f>
        <v>#N/A</v>
      </c>
    </row>
    <row r="4842" customHeight="1" spans="8:8">
      <c r="H4842" s="39" t="e">
        <f>VLOOKUP(E4842,基础信息!C:E,3,FALSE)</f>
        <v>#N/A</v>
      </c>
    </row>
    <row r="4843" customHeight="1" spans="8:8">
      <c r="H4843" s="39" t="e">
        <f>VLOOKUP(E4843,基础信息!C:E,3,FALSE)</f>
        <v>#N/A</v>
      </c>
    </row>
    <row r="4844" customHeight="1" spans="8:8">
      <c r="H4844" s="39" t="e">
        <f>VLOOKUP(E4844,基础信息!C:E,3,FALSE)</f>
        <v>#N/A</v>
      </c>
    </row>
    <row r="4845" customHeight="1" spans="8:8">
      <c r="H4845" s="39" t="e">
        <f>VLOOKUP(E4845,基础信息!C:E,3,FALSE)</f>
        <v>#N/A</v>
      </c>
    </row>
    <row r="4846" customHeight="1" spans="8:8">
      <c r="H4846" s="39" t="e">
        <f>VLOOKUP(E4846,基础信息!C:E,3,FALSE)</f>
        <v>#N/A</v>
      </c>
    </row>
    <row r="4847" customHeight="1" spans="8:8">
      <c r="H4847" s="39" t="e">
        <f>VLOOKUP(E4847,基础信息!C:E,3,FALSE)</f>
        <v>#N/A</v>
      </c>
    </row>
    <row r="4848" customHeight="1" spans="8:8">
      <c r="H4848" s="39" t="e">
        <f>VLOOKUP(E4848,基础信息!C:E,3,FALSE)</f>
        <v>#N/A</v>
      </c>
    </row>
    <row r="4849" customHeight="1" spans="8:8">
      <c r="H4849" s="39" t="e">
        <f>VLOOKUP(E4849,基础信息!C:E,3,FALSE)</f>
        <v>#N/A</v>
      </c>
    </row>
    <row r="4850" customHeight="1" spans="8:8">
      <c r="H4850" s="39" t="e">
        <f>VLOOKUP(E4850,基础信息!C:E,3,FALSE)</f>
        <v>#N/A</v>
      </c>
    </row>
    <row r="4851" customHeight="1" spans="8:8">
      <c r="H4851" s="39" t="e">
        <f>VLOOKUP(E4851,基础信息!C:E,3,FALSE)</f>
        <v>#N/A</v>
      </c>
    </row>
    <row r="4852" customHeight="1" spans="8:8">
      <c r="H4852" s="39" t="e">
        <f>VLOOKUP(E4852,基础信息!C:E,3,FALSE)</f>
        <v>#N/A</v>
      </c>
    </row>
    <row r="4853" customHeight="1" spans="8:8">
      <c r="H4853" s="39" t="e">
        <f>VLOOKUP(E4853,基础信息!C:E,3,FALSE)</f>
        <v>#N/A</v>
      </c>
    </row>
    <row r="4854" customHeight="1" spans="8:8">
      <c r="H4854" s="39" t="e">
        <f>VLOOKUP(E4854,基础信息!C:E,3,FALSE)</f>
        <v>#N/A</v>
      </c>
    </row>
    <row r="4855" customHeight="1" spans="8:8">
      <c r="H4855" s="39" t="e">
        <f>VLOOKUP(E4855,基础信息!C:E,3,FALSE)</f>
        <v>#N/A</v>
      </c>
    </row>
    <row r="4856" customHeight="1" spans="8:8">
      <c r="H4856" s="39" t="e">
        <f>VLOOKUP(E4856,基础信息!C:E,3,FALSE)</f>
        <v>#N/A</v>
      </c>
    </row>
    <row r="4857" customHeight="1" spans="8:8">
      <c r="H4857" s="39" t="e">
        <f>VLOOKUP(E4857,基础信息!C:E,3,FALSE)</f>
        <v>#N/A</v>
      </c>
    </row>
    <row r="4858" customHeight="1" spans="8:8">
      <c r="H4858" s="39" t="e">
        <f>VLOOKUP(E4858,基础信息!C:E,3,FALSE)</f>
        <v>#N/A</v>
      </c>
    </row>
    <row r="4859" customHeight="1" spans="8:8">
      <c r="H4859" s="39" t="e">
        <f>VLOOKUP(E4859,基础信息!C:E,3,FALSE)</f>
        <v>#N/A</v>
      </c>
    </row>
    <row r="4860" customHeight="1" spans="8:8">
      <c r="H4860" s="39" t="e">
        <f>VLOOKUP(E4860,基础信息!C:E,3,FALSE)</f>
        <v>#N/A</v>
      </c>
    </row>
    <row r="4861" customHeight="1" spans="8:8">
      <c r="H4861" s="39" t="e">
        <f>VLOOKUP(E4861,基础信息!C:E,3,FALSE)</f>
        <v>#N/A</v>
      </c>
    </row>
    <row r="4862" customHeight="1" spans="8:8">
      <c r="H4862" s="39" t="e">
        <f>VLOOKUP(E4862,基础信息!C:E,3,FALSE)</f>
        <v>#N/A</v>
      </c>
    </row>
    <row r="4863" customHeight="1" spans="8:8">
      <c r="H4863" s="39" t="e">
        <f>VLOOKUP(E4863,基础信息!C:E,3,FALSE)</f>
        <v>#N/A</v>
      </c>
    </row>
    <row r="4864" customHeight="1" spans="8:8">
      <c r="H4864" s="39" t="e">
        <f>VLOOKUP(E4864,基础信息!C:E,3,FALSE)</f>
        <v>#N/A</v>
      </c>
    </row>
    <row r="4865" customHeight="1" spans="8:8">
      <c r="H4865" s="39" t="e">
        <f>VLOOKUP(E4865,基础信息!C:E,3,FALSE)</f>
        <v>#N/A</v>
      </c>
    </row>
    <row r="4866" customHeight="1" spans="8:8">
      <c r="H4866" s="39" t="e">
        <f>VLOOKUP(E4866,基础信息!C:E,3,FALSE)</f>
        <v>#N/A</v>
      </c>
    </row>
    <row r="4867" customHeight="1" spans="8:8">
      <c r="H4867" s="39" t="e">
        <f>VLOOKUP(E4867,基础信息!C:E,3,FALSE)</f>
        <v>#N/A</v>
      </c>
    </row>
    <row r="4868" customHeight="1" spans="8:8">
      <c r="H4868" s="39" t="e">
        <f>VLOOKUP(E4868,基础信息!C:E,3,FALSE)</f>
        <v>#N/A</v>
      </c>
    </row>
    <row r="4869" customHeight="1" spans="8:8">
      <c r="H4869" s="39" t="e">
        <f>VLOOKUP(E4869,基础信息!C:E,3,FALSE)</f>
        <v>#N/A</v>
      </c>
    </row>
    <row r="4870" customHeight="1" spans="8:8">
      <c r="H4870" s="39" t="e">
        <f>VLOOKUP(E4870,基础信息!C:E,3,FALSE)</f>
        <v>#N/A</v>
      </c>
    </row>
    <row r="4871" customHeight="1" spans="8:8">
      <c r="H4871" s="39" t="e">
        <f>VLOOKUP(E4871,基础信息!C:E,3,FALSE)</f>
        <v>#N/A</v>
      </c>
    </row>
    <row r="4872" customHeight="1" spans="8:8">
      <c r="H4872" s="39" t="e">
        <f>VLOOKUP(E4872,基础信息!C:E,3,FALSE)</f>
        <v>#N/A</v>
      </c>
    </row>
    <row r="4873" customHeight="1" spans="8:8">
      <c r="H4873" s="39" t="e">
        <f>VLOOKUP(E4873,基础信息!C:E,3,FALSE)</f>
        <v>#N/A</v>
      </c>
    </row>
    <row r="4874" customHeight="1" spans="8:8">
      <c r="H4874" s="39" t="e">
        <f>VLOOKUP(E4874,基础信息!C:E,3,FALSE)</f>
        <v>#N/A</v>
      </c>
    </row>
    <row r="4875" customHeight="1" spans="8:8">
      <c r="H4875" s="39" t="e">
        <f>VLOOKUP(E4875,基础信息!C:E,3,FALSE)</f>
        <v>#N/A</v>
      </c>
    </row>
    <row r="4876" customHeight="1" spans="8:8">
      <c r="H4876" s="39" t="e">
        <f>VLOOKUP(E4876,基础信息!C:E,3,FALSE)</f>
        <v>#N/A</v>
      </c>
    </row>
    <row r="4877" customHeight="1" spans="8:8">
      <c r="H4877" s="39" t="e">
        <f>VLOOKUP(E4877,基础信息!C:E,3,FALSE)</f>
        <v>#N/A</v>
      </c>
    </row>
    <row r="4878" customHeight="1" spans="8:8">
      <c r="H4878" s="39" t="e">
        <f>VLOOKUP(E4878,基础信息!C:E,3,FALSE)</f>
        <v>#N/A</v>
      </c>
    </row>
    <row r="4879" customHeight="1" spans="8:8">
      <c r="H4879" s="39" t="e">
        <f>VLOOKUP(E4879,基础信息!C:E,3,FALSE)</f>
        <v>#N/A</v>
      </c>
    </row>
    <row r="4880" customHeight="1" spans="8:8">
      <c r="H4880" s="39" t="e">
        <f>VLOOKUP(E4880,基础信息!C:E,3,FALSE)</f>
        <v>#N/A</v>
      </c>
    </row>
    <row r="4881" customHeight="1" spans="8:8">
      <c r="H4881" s="39" t="e">
        <f>VLOOKUP(E4881,基础信息!C:E,3,FALSE)</f>
        <v>#N/A</v>
      </c>
    </row>
    <row r="4882" customHeight="1" spans="8:8">
      <c r="H4882" s="39" t="e">
        <f>VLOOKUP(E4882,基础信息!C:E,3,FALSE)</f>
        <v>#N/A</v>
      </c>
    </row>
    <row r="4883" customHeight="1" spans="8:8">
      <c r="H4883" s="39" t="e">
        <f>VLOOKUP(E4883,基础信息!C:E,3,FALSE)</f>
        <v>#N/A</v>
      </c>
    </row>
    <row r="4884" customHeight="1" spans="8:8">
      <c r="H4884" s="39" t="e">
        <f>VLOOKUP(E4884,基础信息!C:E,3,FALSE)</f>
        <v>#N/A</v>
      </c>
    </row>
    <row r="4885" customHeight="1" spans="8:8">
      <c r="H4885" s="39" t="e">
        <f>VLOOKUP(E4885,基础信息!C:E,3,FALSE)</f>
        <v>#N/A</v>
      </c>
    </row>
    <row r="4886" customHeight="1" spans="8:8">
      <c r="H4886" s="39" t="e">
        <f>VLOOKUP(E4886,基础信息!C:E,3,FALSE)</f>
        <v>#N/A</v>
      </c>
    </row>
    <row r="4887" customHeight="1" spans="8:8">
      <c r="H4887" s="39" t="e">
        <f>VLOOKUP(E4887,基础信息!C:E,3,FALSE)</f>
        <v>#N/A</v>
      </c>
    </row>
    <row r="4888" customHeight="1" spans="8:8">
      <c r="H4888" s="39" t="e">
        <f>VLOOKUP(E4888,基础信息!C:E,3,FALSE)</f>
        <v>#N/A</v>
      </c>
    </row>
    <row r="4889" customHeight="1" spans="8:8">
      <c r="H4889" s="39" t="e">
        <f>VLOOKUP(E4889,基础信息!C:E,3,FALSE)</f>
        <v>#N/A</v>
      </c>
    </row>
    <row r="4890" customHeight="1" spans="8:8">
      <c r="H4890" s="39" t="e">
        <f>VLOOKUP(E4890,基础信息!C:E,3,FALSE)</f>
        <v>#N/A</v>
      </c>
    </row>
    <row r="4891" customHeight="1" spans="8:8">
      <c r="H4891" s="39" t="e">
        <f>VLOOKUP(E4891,基础信息!C:E,3,FALSE)</f>
        <v>#N/A</v>
      </c>
    </row>
    <row r="4892" customHeight="1" spans="8:8">
      <c r="H4892" s="39" t="e">
        <f>VLOOKUP(E4892,基础信息!C:E,3,FALSE)</f>
        <v>#N/A</v>
      </c>
    </row>
    <row r="4893" customHeight="1" spans="8:8">
      <c r="H4893" s="39" t="e">
        <f>VLOOKUP(E4893,基础信息!C:E,3,FALSE)</f>
        <v>#N/A</v>
      </c>
    </row>
    <row r="4894" customHeight="1" spans="8:8">
      <c r="H4894" s="39" t="e">
        <f>VLOOKUP(E4894,基础信息!C:E,3,FALSE)</f>
        <v>#N/A</v>
      </c>
    </row>
    <row r="4895" customHeight="1" spans="8:8">
      <c r="H4895" s="39" t="e">
        <f>VLOOKUP(E4895,基础信息!C:E,3,FALSE)</f>
        <v>#N/A</v>
      </c>
    </row>
    <row r="4896" customHeight="1" spans="8:8">
      <c r="H4896" s="39" t="e">
        <f>VLOOKUP(E4896,基础信息!C:E,3,FALSE)</f>
        <v>#N/A</v>
      </c>
    </row>
    <row r="4897" customHeight="1" spans="8:8">
      <c r="H4897" s="39" t="e">
        <f>VLOOKUP(E4897,基础信息!C:E,3,FALSE)</f>
        <v>#N/A</v>
      </c>
    </row>
    <row r="4898" customHeight="1" spans="8:8">
      <c r="H4898" s="39" t="e">
        <f>VLOOKUP(E4898,基础信息!C:E,3,FALSE)</f>
        <v>#N/A</v>
      </c>
    </row>
    <row r="4899" customHeight="1" spans="8:8">
      <c r="H4899" s="39" t="e">
        <f>VLOOKUP(E4899,基础信息!C:E,3,FALSE)</f>
        <v>#N/A</v>
      </c>
    </row>
    <row r="4900" customHeight="1" spans="8:8">
      <c r="H4900" s="39" t="e">
        <f>VLOOKUP(E4900,基础信息!C:E,3,FALSE)</f>
        <v>#N/A</v>
      </c>
    </row>
    <row r="4901" customHeight="1" spans="8:8">
      <c r="H4901" s="39" t="e">
        <f>VLOOKUP(E4901,基础信息!C:E,3,FALSE)</f>
        <v>#N/A</v>
      </c>
    </row>
    <row r="4902" customHeight="1" spans="8:8">
      <c r="H4902" s="39" t="e">
        <f>VLOOKUP(E4902,基础信息!C:E,3,FALSE)</f>
        <v>#N/A</v>
      </c>
    </row>
    <row r="4903" customHeight="1" spans="8:8">
      <c r="H4903" s="39" t="e">
        <f>VLOOKUP(E4903,基础信息!C:E,3,FALSE)</f>
        <v>#N/A</v>
      </c>
    </row>
    <row r="4904" customHeight="1" spans="8:8">
      <c r="H4904" s="39" t="e">
        <f>VLOOKUP(E4904,基础信息!C:E,3,FALSE)</f>
        <v>#N/A</v>
      </c>
    </row>
    <row r="4905" customHeight="1" spans="8:8">
      <c r="H4905" s="39" t="e">
        <f>VLOOKUP(E4905,基础信息!C:E,3,FALSE)</f>
        <v>#N/A</v>
      </c>
    </row>
    <row r="4906" customHeight="1" spans="8:8">
      <c r="H4906" s="39" t="e">
        <f>VLOOKUP(E4906,基础信息!C:E,3,FALSE)</f>
        <v>#N/A</v>
      </c>
    </row>
    <row r="4907" customHeight="1" spans="8:8">
      <c r="H4907" s="39" t="e">
        <f>VLOOKUP(E4907,基础信息!C:E,3,FALSE)</f>
        <v>#N/A</v>
      </c>
    </row>
    <row r="4908" customHeight="1" spans="8:8">
      <c r="H4908" s="39" t="e">
        <f>VLOOKUP(E4908,基础信息!C:E,3,FALSE)</f>
        <v>#N/A</v>
      </c>
    </row>
    <row r="4909" customHeight="1" spans="8:8">
      <c r="H4909" s="39" t="e">
        <f>VLOOKUP(E4909,基础信息!C:E,3,FALSE)</f>
        <v>#N/A</v>
      </c>
    </row>
    <row r="4910" customHeight="1" spans="8:8">
      <c r="H4910" s="39" t="e">
        <f>VLOOKUP(E4910,基础信息!C:E,3,FALSE)</f>
        <v>#N/A</v>
      </c>
    </row>
    <row r="4911" customHeight="1" spans="8:8">
      <c r="H4911" s="39" t="e">
        <f>VLOOKUP(E4911,基础信息!C:E,3,FALSE)</f>
        <v>#N/A</v>
      </c>
    </row>
    <row r="4912" customHeight="1" spans="8:8">
      <c r="H4912" s="39" t="e">
        <f>VLOOKUP(E4912,基础信息!C:E,3,FALSE)</f>
        <v>#N/A</v>
      </c>
    </row>
    <row r="4913" customHeight="1" spans="8:8">
      <c r="H4913" s="39" t="e">
        <f>VLOOKUP(E4913,基础信息!C:E,3,FALSE)</f>
        <v>#N/A</v>
      </c>
    </row>
    <row r="4914" customHeight="1" spans="8:8">
      <c r="H4914" s="39" t="e">
        <f>VLOOKUP(E4914,基础信息!C:E,3,FALSE)</f>
        <v>#N/A</v>
      </c>
    </row>
    <row r="4915" customHeight="1" spans="8:8">
      <c r="H4915" s="39" t="e">
        <f>VLOOKUP(E4915,基础信息!C:E,3,FALSE)</f>
        <v>#N/A</v>
      </c>
    </row>
    <row r="4916" customHeight="1" spans="8:8">
      <c r="H4916" s="39" t="e">
        <f>VLOOKUP(E4916,基础信息!C:E,3,FALSE)</f>
        <v>#N/A</v>
      </c>
    </row>
    <row r="4917" customHeight="1" spans="8:8">
      <c r="H4917" s="39" t="e">
        <f>VLOOKUP(E4917,基础信息!C:E,3,FALSE)</f>
        <v>#N/A</v>
      </c>
    </row>
    <row r="4918" customHeight="1" spans="8:8">
      <c r="H4918" s="39" t="e">
        <f>VLOOKUP(E4918,基础信息!C:E,3,FALSE)</f>
        <v>#N/A</v>
      </c>
    </row>
    <row r="4919" customHeight="1" spans="8:8">
      <c r="H4919" s="39" t="e">
        <f>VLOOKUP(E4919,基础信息!C:E,3,FALSE)</f>
        <v>#N/A</v>
      </c>
    </row>
    <row r="4920" customHeight="1" spans="8:8">
      <c r="H4920" s="39" t="e">
        <f>VLOOKUP(E4920,基础信息!C:E,3,FALSE)</f>
        <v>#N/A</v>
      </c>
    </row>
    <row r="4921" customHeight="1" spans="8:8">
      <c r="H4921" s="39" t="e">
        <f>VLOOKUP(E4921,基础信息!C:E,3,FALSE)</f>
        <v>#N/A</v>
      </c>
    </row>
    <row r="4922" customHeight="1" spans="8:8">
      <c r="H4922" s="39" t="e">
        <f>VLOOKUP(E4922,基础信息!C:E,3,FALSE)</f>
        <v>#N/A</v>
      </c>
    </row>
    <row r="4923" customHeight="1" spans="8:8">
      <c r="H4923" s="39" t="e">
        <f>VLOOKUP(E4923,基础信息!C:E,3,FALSE)</f>
        <v>#N/A</v>
      </c>
    </row>
    <row r="4924" customHeight="1" spans="8:8">
      <c r="H4924" s="39" t="e">
        <f>VLOOKUP(E4924,基础信息!C:E,3,FALSE)</f>
        <v>#N/A</v>
      </c>
    </row>
    <row r="4925" customHeight="1" spans="8:8">
      <c r="H4925" s="39" t="e">
        <f>VLOOKUP(E4925,基础信息!C:E,3,FALSE)</f>
        <v>#N/A</v>
      </c>
    </row>
    <row r="4926" customHeight="1" spans="8:8">
      <c r="H4926" s="39" t="e">
        <f>VLOOKUP(E4926,基础信息!C:E,3,FALSE)</f>
        <v>#N/A</v>
      </c>
    </row>
    <row r="4927" customHeight="1" spans="8:8">
      <c r="H4927" s="39" t="e">
        <f>VLOOKUP(E4927,基础信息!C:E,3,FALSE)</f>
        <v>#N/A</v>
      </c>
    </row>
    <row r="4928" customHeight="1" spans="8:8">
      <c r="H4928" s="39" t="e">
        <f>VLOOKUP(E4928,基础信息!C:E,3,FALSE)</f>
        <v>#N/A</v>
      </c>
    </row>
    <row r="4929" customHeight="1" spans="8:8">
      <c r="H4929" s="39" t="e">
        <f>VLOOKUP(E4929,基础信息!C:E,3,FALSE)</f>
        <v>#N/A</v>
      </c>
    </row>
    <row r="4930" customHeight="1" spans="8:8">
      <c r="H4930" s="39" t="e">
        <f>VLOOKUP(E4930,基础信息!C:E,3,FALSE)</f>
        <v>#N/A</v>
      </c>
    </row>
    <row r="4931" customHeight="1" spans="8:8">
      <c r="H4931" s="39" t="e">
        <f>VLOOKUP(E4931,基础信息!C:E,3,FALSE)</f>
        <v>#N/A</v>
      </c>
    </row>
    <row r="4932" customHeight="1" spans="8:8">
      <c r="H4932" s="39" t="e">
        <f>VLOOKUP(E4932,基础信息!C:E,3,FALSE)</f>
        <v>#N/A</v>
      </c>
    </row>
    <row r="4933" customHeight="1" spans="8:8">
      <c r="H4933" s="39" t="e">
        <f>VLOOKUP(E4933,基础信息!C:E,3,FALSE)</f>
        <v>#N/A</v>
      </c>
    </row>
    <row r="4934" customHeight="1" spans="8:8">
      <c r="H4934" s="39" t="e">
        <f>VLOOKUP(E4934,基础信息!C:E,3,FALSE)</f>
        <v>#N/A</v>
      </c>
    </row>
    <row r="4935" customHeight="1" spans="8:8">
      <c r="H4935" s="39" t="e">
        <f>VLOOKUP(E4935,基础信息!C:E,3,FALSE)</f>
        <v>#N/A</v>
      </c>
    </row>
    <row r="4936" customHeight="1" spans="8:8">
      <c r="H4936" s="39" t="e">
        <f>VLOOKUP(E4936,基础信息!C:E,3,FALSE)</f>
        <v>#N/A</v>
      </c>
    </row>
    <row r="4937" customHeight="1" spans="8:8">
      <c r="H4937" s="39" t="e">
        <f>VLOOKUP(E4937,基础信息!C:E,3,FALSE)</f>
        <v>#N/A</v>
      </c>
    </row>
    <row r="4938" customHeight="1" spans="8:8">
      <c r="H4938" s="39" t="e">
        <f>VLOOKUP(E4938,基础信息!C:E,3,FALSE)</f>
        <v>#N/A</v>
      </c>
    </row>
    <row r="4939" customHeight="1" spans="8:8">
      <c r="H4939" s="39" t="e">
        <f>VLOOKUP(E4939,基础信息!C:E,3,FALSE)</f>
        <v>#N/A</v>
      </c>
    </row>
    <row r="4940" customHeight="1" spans="8:8">
      <c r="H4940" s="39" t="e">
        <f>VLOOKUP(E4940,基础信息!C:E,3,FALSE)</f>
        <v>#N/A</v>
      </c>
    </row>
    <row r="4941" customHeight="1" spans="8:8">
      <c r="H4941" s="39" t="e">
        <f>VLOOKUP(E4941,基础信息!C:E,3,FALSE)</f>
        <v>#N/A</v>
      </c>
    </row>
    <row r="4942" customHeight="1" spans="8:8">
      <c r="H4942" s="39" t="e">
        <f>VLOOKUP(E4942,基础信息!C:E,3,FALSE)</f>
        <v>#N/A</v>
      </c>
    </row>
    <row r="4943" customHeight="1" spans="8:8">
      <c r="H4943" s="39" t="e">
        <f>VLOOKUP(E4943,基础信息!C:E,3,FALSE)</f>
        <v>#N/A</v>
      </c>
    </row>
    <row r="4944" customHeight="1" spans="8:8">
      <c r="H4944" s="39" t="e">
        <f>VLOOKUP(E4944,基础信息!C:E,3,FALSE)</f>
        <v>#N/A</v>
      </c>
    </row>
    <row r="4945" customHeight="1" spans="8:8">
      <c r="H4945" s="39" t="e">
        <f>VLOOKUP(E4945,基础信息!C:E,3,FALSE)</f>
        <v>#N/A</v>
      </c>
    </row>
    <row r="4946" customHeight="1" spans="8:8">
      <c r="H4946" s="39" t="e">
        <f>VLOOKUP(E4946,基础信息!C:E,3,FALSE)</f>
        <v>#N/A</v>
      </c>
    </row>
    <row r="4947" customHeight="1" spans="8:8">
      <c r="H4947" s="39" t="e">
        <f>VLOOKUP(E4947,基础信息!C:E,3,FALSE)</f>
        <v>#N/A</v>
      </c>
    </row>
    <row r="4948" customHeight="1" spans="8:8">
      <c r="H4948" s="39" t="e">
        <f>VLOOKUP(E4948,基础信息!C:E,3,FALSE)</f>
        <v>#N/A</v>
      </c>
    </row>
    <row r="4949" customHeight="1" spans="8:8">
      <c r="H4949" s="39" t="e">
        <f>VLOOKUP(E4949,基础信息!C:E,3,FALSE)</f>
        <v>#N/A</v>
      </c>
    </row>
    <row r="4950" customHeight="1" spans="8:8">
      <c r="H4950" s="39" t="e">
        <f>VLOOKUP(E4950,基础信息!C:E,3,FALSE)</f>
        <v>#N/A</v>
      </c>
    </row>
    <row r="4951" customHeight="1" spans="8:8">
      <c r="H4951" s="39" t="e">
        <f>VLOOKUP(E4951,基础信息!C:E,3,FALSE)</f>
        <v>#N/A</v>
      </c>
    </row>
    <row r="4952" customHeight="1" spans="8:8">
      <c r="H4952" s="39" t="e">
        <f>VLOOKUP(E4952,基础信息!C:E,3,FALSE)</f>
        <v>#N/A</v>
      </c>
    </row>
    <row r="4953" customHeight="1" spans="8:8">
      <c r="H4953" s="39" t="e">
        <f>VLOOKUP(E4953,基础信息!C:E,3,FALSE)</f>
        <v>#N/A</v>
      </c>
    </row>
    <row r="4954" customHeight="1" spans="8:8">
      <c r="H4954" s="39" t="e">
        <f>VLOOKUP(E4954,基础信息!C:E,3,FALSE)</f>
        <v>#N/A</v>
      </c>
    </row>
    <row r="4955" customHeight="1" spans="8:8">
      <c r="H4955" s="39" t="e">
        <f>VLOOKUP(E4955,基础信息!C:E,3,FALSE)</f>
        <v>#N/A</v>
      </c>
    </row>
    <row r="4956" customHeight="1" spans="8:8">
      <c r="H4956" s="39" t="e">
        <f>VLOOKUP(E4956,基础信息!C:E,3,FALSE)</f>
        <v>#N/A</v>
      </c>
    </row>
    <row r="4957" customHeight="1" spans="8:8">
      <c r="H4957" s="39" t="e">
        <f>VLOOKUP(E4957,基础信息!C:E,3,FALSE)</f>
        <v>#N/A</v>
      </c>
    </row>
    <row r="4958" customHeight="1" spans="8:8">
      <c r="H4958" s="39" t="e">
        <f>VLOOKUP(E4958,基础信息!C:E,3,FALSE)</f>
        <v>#N/A</v>
      </c>
    </row>
    <row r="4959" customHeight="1" spans="8:8">
      <c r="H4959" s="39" t="e">
        <f>VLOOKUP(E4959,基础信息!C:E,3,FALSE)</f>
        <v>#N/A</v>
      </c>
    </row>
    <row r="4960" customHeight="1" spans="8:8">
      <c r="H4960" s="39" t="e">
        <f>VLOOKUP(E4960,基础信息!C:E,3,FALSE)</f>
        <v>#N/A</v>
      </c>
    </row>
    <row r="4961" customHeight="1" spans="8:8">
      <c r="H4961" s="39" t="e">
        <f>VLOOKUP(E4961,基础信息!C:E,3,FALSE)</f>
        <v>#N/A</v>
      </c>
    </row>
    <row r="4962" customHeight="1" spans="8:8">
      <c r="H4962" s="39" t="e">
        <f>VLOOKUP(E4962,基础信息!C:E,3,FALSE)</f>
        <v>#N/A</v>
      </c>
    </row>
    <row r="4963" customHeight="1" spans="8:8">
      <c r="H4963" s="39" t="e">
        <f>VLOOKUP(E4963,基础信息!C:E,3,FALSE)</f>
        <v>#N/A</v>
      </c>
    </row>
    <row r="4964" customHeight="1" spans="8:8">
      <c r="H4964" s="39" t="e">
        <f>VLOOKUP(E4964,基础信息!C:E,3,FALSE)</f>
        <v>#N/A</v>
      </c>
    </row>
    <row r="4965" customHeight="1" spans="8:8">
      <c r="H4965" s="39" t="e">
        <f>VLOOKUP(E4965,基础信息!C:E,3,FALSE)</f>
        <v>#N/A</v>
      </c>
    </row>
    <row r="4966" customHeight="1" spans="8:8">
      <c r="H4966" s="39" t="e">
        <f>VLOOKUP(E4966,基础信息!C:E,3,FALSE)</f>
        <v>#N/A</v>
      </c>
    </row>
    <row r="4967" customHeight="1" spans="8:8">
      <c r="H4967" s="39" t="e">
        <f>VLOOKUP(E4967,基础信息!C:E,3,FALSE)</f>
        <v>#N/A</v>
      </c>
    </row>
    <row r="4968" customHeight="1" spans="8:8">
      <c r="H4968" s="39" t="e">
        <f>VLOOKUP(E4968,基础信息!C:E,3,FALSE)</f>
        <v>#N/A</v>
      </c>
    </row>
    <row r="4969" customHeight="1" spans="8:8">
      <c r="H4969" s="39" t="e">
        <f>VLOOKUP(E4969,基础信息!C:E,3,FALSE)</f>
        <v>#N/A</v>
      </c>
    </row>
    <row r="4970" customHeight="1" spans="8:8">
      <c r="H4970" s="39" t="e">
        <f>VLOOKUP(E4970,基础信息!C:E,3,FALSE)</f>
        <v>#N/A</v>
      </c>
    </row>
    <row r="4971" customHeight="1" spans="8:8">
      <c r="H4971" s="39" t="e">
        <f>VLOOKUP(E4971,基础信息!C:E,3,FALSE)</f>
        <v>#N/A</v>
      </c>
    </row>
    <row r="4972" customHeight="1" spans="8:8">
      <c r="H4972" s="39" t="e">
        <f>VLOOKUP(E4972,基础信息!C:E,3,FALSE)</f>
        <v>#N/A</v>
      </c>
    </row>
    <row r="4973" customHeight="1" spans="8:8">
      <c r="H4973" s="39" t="e">
        <f>VLOOKUP(E4973,基础信息!C:E,3,FALSE)</f>
        <v>#N/A</v>
      </c>
    </row>
    <row r="4974" customHeight="1" spans="8:8">
      <c r="H4974" s="39" t="e">
        <f>VLOOKUP(E4974,基础信息!C:E,3,FALSE)</f>
        <v>#N/A</v>
      </c>
    </row>
    <row r="4975" customHeight="1" spans="8:8">
      <c r="H4975" s="39" t="e">
        <f>VLOOKUP(E4975,基础信息!C:E,3,FALSE)</f>
        <v>#N/A</v>
      </c>
    </row>
    <row r="4976" customHeight="1" spans="8:8">
      <c r="H4976" s="39" t="e">
        <f>VLOOKUP(E4976,基础信息!C:E,3,FALSE)</f>
        <v>#N/A</v>
      </c>
    </row>
    <row r="4977" customHeight="1" spans="8:8">
      <c r="H4977" s="39" t="e">
        <f>VLOOKUP(E4977,基础信息!C:E,3,FALSE)</f>
        <v>#N/A</v>
      </c>
    </row>
    <row r="4978" customHeight="1" spans="8:8">
      <c r="H4978" s="39" t="e">
        <f>VLOOKUP(E4978,基础信息!C:E,3,FALSE)</f>
        <v>#N/A</v>
      </c>
    </row>
    <row r="4979" customHeight="1" spans="8:8">
      <c r="H4979" s="39" t="e">
        <f>VLOOKUP(E4979,基础信息!C:E,3,FALSE)</f>
        <v>#N/A</v>
      </c>
    </row>
    <row r="4980" customHeight="1" spans="8:8">
      <c r="H4980" s="39" t="e">
        <f>VLOOKUP(E4980,基础信息!C:E,3,FALSE)</f>
        <v>#N/A</v>
      </c>
    </row>
    <row r="4981" customHeight="1" spans="8:8">
      <c r="H4981" s="39" t="e">
        <f>VLOOKUP(E4981,基础信息!C:E,3,FALSE)</f>
        <v>#N/A</v>
      </c>
    </row>
    <row r="4982" customHeight="1" spans="8:8">
      <c r="H4982" s="39" t="e">
        <f>VLOOKUP(E4982,基础信息!C:E,3,FALSE)</f>
        <v>#N/A</v>
      </c>
    </row>
    <row r="4983" customHeight="1" spans="8:8">
      <c r="H4983" s="39" t="e">
        <f>VLOOKUP(E4983,基础信息!C:E,3,FALSE)</f>
        <v>#N/A</v>
      </c>
    </row>
    <row r="4984" customHeight="1" spans="8:8">
      <c r="H4984" s="39" t="e">
        <f>VLOOKUP(E4984,基础信息!C:E,3,FALSE)</f>
        <v>#N/A</v>
      </c>
    </row>
    <row r="4985" customHeight="1" spans="8:8">
      <c r="H4985" s="39" t="e">
        <f>VLOOKUP(E4985,基础信息!C:E,3,FALSE)</f>
        <v>#N/A</v>
      </c>
    </row>
    <row r="4986" customHeight="1" spans="8:8">
      <c r="H4986" s="39" t="e">
        <f>VLOOKUP(E4986,基础信息!C:E,3,FALSE)</f>
        <v>#N/A</v>
      </c>
    </row>
    <row r="4987" customHeight="1" spans="8:8">
      <c r="H4987" s="39" t="e">
        <f>VLOOKUP(E4987,基础信息!C:E,3,FALSE)</f>
        <v>#N/A</v>
      </c>
    </row>
    <row r="4988" customHeight="1" spans="8:8">
      <c r="H4988" s="39" t="e">
        <f>VLOOKUP(E4988,基础信息!C:E,3,FALSE)</f>
        <v>#N/A</v>
      </c>
    </row>
    <row r="4989" customHeight="1" spans="8:8">
      <c r="H4989" s="39" t="e">
        <f>VLOOKUP(E4989,基础信息!C:E,3,FALSE)</f>
        <v>#N/A</v>
      </c>
    </row>
    <row r="4990" customHeight="1" spans="8:8">
      <c r="H4990" s="39" t="e">
        <f>VLOOKUP(E4990,基础信息!C:E,3,FALSE)</f>
        <v>#N/A</v>
      </c>
    </row>
    <row r="4991" customHeight="1" spans="8:8">
      <c r="H4991" s="39" t="e">
        <f>VLOOKUP(E4991,基础信息!C:E,3,FALSE)</f>
        <v>#N/A</v>
      </c>
    </row>
    <row r="4992" customHeight="1" spans="8:8">
      <c r="H4992" s="39" t="e">
        <f>VLOOKUP(E4992,基础信息!C:E,3,FALSE)</f>
        <v>#N/A</v>
      </c>
    </row>
    <row r="4993" customHeight="1" spans="8:8">
      <c r="H4993" s="39" t="e">
        <f>VLOOKUP(E4993,基础信息!C:E,3,FALSE)</f>
        <v>#N/A</v>
      </c>
    </row>
    <row r="4994" customHeight="1" spans="8:8">
      <c r="H4994" s="39" t="e">
        <f>VLOOKUP(E4994,基础信息!C:E,3,FALSE)</f>
        <v>#N/A</v>
      </c>
    </row>
    <row r="4995" customHeight="1" spans="8:8">
      <c r="H4995" s="39" t="e">
        <f>VLOOKUP(E4995,基础信息!C:E,3,FALSE)</f>
        <v>#N/A</v>
      </c>
    </row>
    <row r="4996" customHeight="1" spans="8:8">
      <c r="H4996" s="39" t="e">
        <f>VLOOKUP(E4996,基础信息!C:E,3,FALSE)</f>
        <v>#N/A</v>
      </c>
    </row>
    <row r="4997" customHeight="1" spans="8:8">
      <c r="H4997" s="39" t="e">
        <f>VLOOKUP(E4997,基础信息!C:E,3,FALSE)</f>
        <v>#N/A</v>
      </c>
    </row>
    <row r="4998" customHeight="1" spans="8:8">
      <c r="H4998" s="39" t="e">
        <f>VLOOKUP(E4998,基础信息!C:E,3,FALSE)</f>
        <v>#N/A</v>
      </c>
    </row>
    <row r="4999" customHeight="1" spans="8:8">
      <c r="H4999" s="39" t="e">
        <f>VLOOKUP(E4999,基础信息!C:E,3,FALSE)</f>
        <v>#N/A</v>
      </c>
    </row>
    <row r="5000" customHeight="1" spans="8:8">
      <c r="H5000" s="39" t="e">
        <f>VLOOKUP(E5000,基础信息!C:E,3,FALSE)</f>
        <v>#N/A</v>
      </c>
    </row>
    <row r="5001" customHeight="1" spans="8:8">
      <c r="H5001" s="39" t="e">
        <f>VLOOKUP(E5001,基础信息!C:E,3,FALSE)</f>
        <v>#N/A</v>
      </c>
    </row>
    <row r="5002" customHeight="1" spans="8:8">
      <c r="H5002" s="39" t="e">
        <f>VLOOKUP(E5002,基础信息!C:E,3,FALSE)</f>
        <v>#N/A</v>
      </c>
    </row>
    <row r="5003" customHeight="1" spans="8:8">
      <c r="H5003" s="39" t="e">
        <f>VLOOKUP(E5003,基础信息!C:E,3,FALSE)</f>
        <v>#N/A</v>
      </c>
    </row>
    <row r="5004" customHeight="1" spans="8:8">
      <c r="H5004" s="39" t="e">
        <f>VLOOKUP(E5004,基础信息!C:E,3,FALSE)</f>
        <v>#N/A</v>
      </c>
    </row>
    <row r="5005" customHeight="1" spans="8:8">
      <c r="H5005" s="39" t="e">
        <f>VLOOKUP(E5005,基础信息!C:E,3,FALSE)</f>
        <v>#N/A</v>
      </c>
    </row>
    <row r="5006" customHeight="1" spans="8:8">
      <c r="H5006" s="39" t="e">
        <f>VLOOKUP(E5006,基础信息!C:E,3,FALSE)</f>
        <v>#N/A</v>
      </c>
    </row>
    <row r="5007" customHeight="1" spans="8:8">
      <c r="H5007" s="39" t="e">
        <f>VLOOKUP(E5007,基础信息!C:E,3,FALSE)</f>
        <v>#N/A</v>
      </c>
    </row>
    <row r="5008" customHeight="1" spans="8:8">
      <c r="H5008" s="39" t="e">
        <f>VLOOKUP(E5008,基础信息!C:E,3,FALSE)</f>
        <v>#N/A</v>
      </c>
    </row>
    <row r="5009" customHeight="1" spans="8:8">
      <c r="H5009" s="39" t="e">
        <f>VLOOKUP(E5009,基础信息!C:E,3,FALSE)</f>
        <v>#N/A</v>
      </c>
    </row>
    <row r="5010" customHeight="1" spans="8:8">
      <c r="H5010" s="39" t="e">
        <f>VLOOKUP(E5010,基础信息!C:E,3,FALSE)</f>
        <v>#N/A</v>
      </c>
    </row>
    <row r="5011" customHeight="1" spans="8:8">
      <c r="H5011" s="39" t="e">
        <f>VLOOKUP(E5011,基础信息!C:E,3,FALSE)</f>
        <v>#N/A</v>
      </c>
    </row>
    <row r="5012" customHeight="1" spans="8:8">
      <c r="H5012" s="39" t="e">
        <f>VLOOKUP(E5012,基础信息!C:E,3,FALSE)</f>
        <v>#N/A</v>
      </c>
    </row>
    <row r="5013" customHeight="1" spans="8:8">
      <c r="H5013" s="39" t="e">
        <f>VLOOKUP(E5013,基础信息!C:E,3,FALSE)</f>
        <v>#N/A</v>
      </c>
    </row>
    <row r="5014" customHeight="1" spans="8:8">
      <c r="H5014" s="39" t="e">
        <f>VLOOKUP(E5014,基础信息!C:E,3,FALSE)</f>
        <v>#N/A</v>
      </c>
    </row>
    <row r="5015" customHeight="1" spans="8:8">
      <c r="H5015" s="39" t="e">
        <f>VLOOKUP(E5015,基础信息!C:E,3,FALSE)</f>
        <v>#N/A</v>
      </c>
    </row>
    <row r="5016" customHeight="1" spans="8:8">
      <c r="H5016" s="39" t="e">
        <f>VLOOKUP(E5016,基础信息!C:E,3,FALSE)</f>
        <v>#N/A</v>
      </c>
    </row>
    <row r="5017" customHeight="1" spans="8:8">
      <c r="H5017" s="39" t="e">
        <f>VLOOKUP(E5017,基础信息!C:E,3,FALSE)</f>
        <v>#N/A</v>
      </c>
    </row>
    <row r="5018" customHeight="1" spans="8:8">
      <c r="H5018" s="39" t="e">
        <f>VLOOKUP(E5018,基础信息!C:E,3,FALSE)</f>
        <v>#N/A</v>
      </c>
    </row>
    <row r="5019" customHeight="1" spans="8:8">
      <c r="H5019" s="39" t="e">
        <f>VLOOKUP(E5019,基础信息!C:E,3,FALSE)</f>
        <v>#N/A</v>
      </c>
    </row>
    <row r="5020" customHeight="1" spans="8:8">
      <c r="H5020" s="39" t="e">
        <f>VLOOKUP(E5020,基础信息!C:E,3,FALSE)</f>
        <v>#N/A</v>
      </c>
    </row>
    <row r="5021" customHeight="1" spans="8:8">
      <c r="H5021" s="39" t="e">
        <f>VLOOKUP(E5021,基础信息!C:E,3,FALSE)</f>
        <v>#N/A</v>
      </c>
    </row>
    <row r="5022" customHeight="1" spans="8:8">
      <c r="H5022" s="39" t="e">
        <f>VLOOKUP(E5022,基础信息!C:E,3,FALSE)</f>
        <v>#N/A</v>
      </c>
    </row>
    <row r="5023" customHeight="1" spans="8:8">
      <c r="H5023" s="39" t="e">
        <f>VLOOKUP(E5023,基础信息!C:E,3,FALSE)</f>
        <v>#N/A</v>
      </c>
    </row>
    <row r="5024" customHeight="1" spans="8:8">
      <c r="H5024" s="39" t="e">
        <f>VLOOKUP(E5024,基础信息!C:E,3,FALSE)</f>
        <v>#N/A</v>
      </c>
    </row>
    <row r="5025" customHeight="1" spans="8:8">
      <c r="H5025" s="39" t="e">
        <f>VLOOKUP(E5025,基础信息!C:E,3,FALSE)</f>
        <v>#N/A</v>
      </c>
    </row>
    <row r="5026" customHeight="1" spans="8:8">
      <c r="H5026" s="39" t="e">
        <f>VLOOKUP(E5026,基础信息!C:E,3,FALSE)</f>
        <v>#N/A</v>
      </c>
    </row>
    <row r="5027" customHeight="1" spans="8:8">
      <c r="H5027" s="39" t="e">
        <f>VLOOKUP(E5027,基础信息!C:E,3,FALSE)</f>
        <v>#N/A</v>
      </c>
    </row>
    <row r="5028" customHeight="1" spans="8:8">
      <c r="H5028" s="39" t="e">
        <f>VLOOKUP(E5028,基础信息!C:E,3,FALSE)</f>
        <v>#N/A</v>
      </c>
    </row>
    <row r="5029" customHeight="1" spans="8:8">
      <c r="H5029" s="39" t="e">
        <f>VLOOKUP(E5029,基础信息!C:E,3,FALSE)</f>
        <v>#N/A</v>
      </c>
    </row>
    <row r="5030" customHeight="1" spans="8:8">
      <c r="H5030" s="39" t="e">
        <f>VLOOKUP(E5030,基础信息!C:E,3,FALSE)</f>
        <v>#N/A</v>
      </c>
    </row>
    <row r="5031" customHeight="1" spans="8:8">
      <c r="H5031" s="39" t="e">
        <f>VLOOKUP(E5031,基础信息!C:E,3,FALSE)</f>
        <v>#N/A</v>
      </c>
    </row>
    <row r="5032" customHeight="1" spans="8:8">
      <c r="H5032" s="39" t="e">
        <f>VLOOKUP(E5032,基础信息!C:E,3,FALSE)</f>
        <v>#N/A</v>
      </c>
    </row>
    <row r="5033" customHeight="1" spans="8:8">
      <c r="H5033" s="39" t="e">
        <f>VLOOKUP(E5033,基础信息!C:E,3,FALSE)</f>
        <v>#N/A</v>
      </c>
    </row>
    <row r="5034" customHeight="1" spans="8:8">
      <c r="H5034" s="39" t="e">
        <f>VLOOKUP(E5034,基础信息!C:E,3,FALSE)</f>
        <v>#N/A</v>
      </c>
    </row>
    <row r="5035" customHeight="1" spans="8:8">
      <c r="H5035" s="39" t="e">
        <f>VLOOKUP(E5035,基础信息!C:E,3,FALSE)</f>
        <v>#N/A</v>
      </c>
    </row>
    <row r="5036" customHeight="1" spans="8:8">
      <c r="H5036" s="39" t="e">
        <f>VLOOKUP(E5036,基础信息!C:E,3,FALSE)</f>
        <v>#N/A</v>
      </c>
    </row>
    <row r="5037" customHeight="1" spans="8:8">
      <c r="H5037" s="39" t="e">
        <f>VLOOKUP(E5037,基础信息!C:E,3,FALSE)</f>
        <v>#N/A</v>
      </c>
    </row>
    <row r="5038" customHeight="1" spans="8:8">
      <c r="H5038" s="39" t="e">
        <f>VLOOKUP(E5038,基础信息!C:E,3,FALSE)</f>
        <v>#N/A</v>
      </c>
    </row>
    <row r="5039" customHeight="1" spans="8:8">
      <c r="H5039" s="39" t="e">
        <f>VLOOKUP(E5039,基础信息!C:E,3,FALSE)</f>
        <v>#N/A</v>
      </c>
    </row>
    <row r="5040" customHeight="1" spans="8:8">
      <c r="H5040" s="39" t="e">
        <f>VLOOKUP(E5040,基础信息!C:E,3,FALSE)</f>
        <v>#N/A</v>
      </c>
    </row>
    <row r="5041" customHeight="1" spans="8:8">
      <c r="H5041" s="39" t="e">
        <f>VLOOKUP(E5041,基础信息!C:E,3,FALSE)</f>
        <v>#N/A</v>
      </c>
    </row>
    <row r="5042" customHeight="1" spans="8:8">
      <c r="H5042" s="39" t="e">
        <f>VLOOKUP(E5042,基础信息!C:E,3,FALSE)</f>
        <v>#N/A</v>
      </c>
    </row>
    <row r="5043" customHeight="1" spans="8:8">
      <c r="H5043" s="39" t="e">
        <f>VLOOKUP(E5043,基础信息!C:E,3,FALSE)</f>
        <v>#N/A</v>
      </c>
    </row>
    <row r="5044" customHeight="1" spans="8:8">
      <c r="H5044" s="39" t="e">
        <f>VLOOKUP(E5044,基础信息!C:E,3,FALSE)</f>
        <v>#N/A</v>
      </c>
    </row>
    <row r="5045" customHeight="1" spans="8:8">
      <c r="H5045" s="39" t="e">
        <f>VLOOKUP(E5045,基础信息!C:E,3,FALSE)</f>
        <v>#N/A</v>
      </c>
    </row>
    <row r="5046" customHeight="1" spans="8:8">
      <c r="H5046" s="39" t="e">
        <f>VLOOKUP(E5046,基础信息!C:E,3,FALSE)</f>
        <v>#N/A</v>
      </c>
    </row>
    <row r="5047" customHeight="1" spans="8:8">
      <c r="H5047" s="39" t="e">
        <f>VLOOKUP(E5047,基础信息!C:E,3,FALSE)</f>
        <v>#N/A</v>
      </c>
    </row>
    <row r="5048" customHeight="1" spans="8:8">
      <c r="H5048" s="39" t="e">
        <f>VLOOKUP(E5048,基础信息!C:E,3,FALSE)</f>
        <v>#N/A</v>
      </c>
    </row>
    <row r="5049" customHeight="1" spans="8:8">
      <c r="H5049" s="39" t="e">
        <f>VLOOKUP(E5049,基础信息!C:E,3,FALSE)</f>
        <v>#N/A</v>
      </c>
    </row>
    <row r="5050" customHeight="1" spans="8:8">
      <c r="H5050" s="39" t="e">
        <f>VLOOKUP(E5050,基础信息!C:E,3,FALSE)</f>
        <v>#N/A</v>
      </c>
    </row>
    <row r="5051" customHeight="1" spans="8:8">
      <c r="H5051" s="39" t="e">
        <f>VLOOKUP(E5051,基础信息!C:E,3,FALSE)</f>
        <v>#N/A</v>
      </c>
    </row>
    <row r="5052" customHeight="1" spans="8:8">
      <c r="H5052" s="39" t="e">
        <f>VLOOKUP(E5052,基础信息!C:E,3,FALSE)</f>
        <v>#N/A</v>
      </c>
    </row>
    <row r="5053" customHeight="1" spans="8:8">
      <c r="H5053" s="39" t="e">
        <f>VLOOKUP(E5053,基础信息!C:E,3,FALSE)</f>
        <v>#N/A</v>
      </c>
    </row>
    <row r="5054" customHeight="1" spans="8:8">
      <c r="H5054" s="39" t="e">
        <f>VLOOKUP(E5054,基础信息!C:E,3,FALSE)</f>
        <v>#N/A</v>
      </c>
    </row>
    <row r="5055" customHeight="1" spans="8:8">
      <c r="H5055" s="39" t="e">
        <f>VLOOKUP(E5055,基础信息!C:E,3,FALSE)</f>
        <v>#N/A</v>
      </c>
    </row>
    <row r="5056" customHeight="1" spans="8:8">
      <c r="H5056" s="39" t="e">
        <f>VLOOKUP(E5056,基础信息!C:E,3,FALSE)</f>
        <v>#N/A</v>
      </c>
    </row>
    <row r="5057" customHeight="1" spans="8:8">
      <c r="H5057" s="39" t="e">
        <f>VLOOKUP(E5057,基础信息!C:E,3,FALSE)</f>
        <v>#N/A</v>
      </c>
    </row>
    <row r="5058" customHeight="1" spans="8:8">
      <c r="H5058" s="39" t="e">
        <f>VLOOKUP(E5058,基础信息!C:E,3,FALSE)</f>
        <v>#N/A</v>
      </c>
    </row>
    <row r="5059" customHeight="1" spans="8:8">
      <c r="H5059" s="39" t="e">
        <f>VLOOKUP(E5059,基础信息!C:E,3,FALSE)</f>
        <v>#N/A</v>
      </c>
    </row>
    <row r="5060" customHeight="1" spans="8:8">
      <c r="H5060" s="39" t="e">
        <f>VLOOKUP(E5060,基础信息!C:E,3,FALSE)</f>
        <v>#N/A</v>
      </c>
    </row>
    <row r="5061" customHeight="1" spans="8:8">
      <c r="H5061" s="39" t="e">
        <f>VLOOKUP(E5061,基础信息!C:E,3,FALSE)</f>
        <v>#N/A</v>
      </c>
    </row>
    <row r="5062" customHeight="1" spans="8:8">
      <c r="H5062" s="39" t="e">
        <f>VLOOKUP(E5062,基础信息!C:E,3,FALSE)</f>
        <v>#N/A</v>
      </c>
    </row>
    <row r="5063" customHeight="1" spans="8:8">
      <c r="H5063" s="39" t="e">
        <f>VLOOKUP(E5063,基础信息!C:E,3,FALSE)</f>
        <v>#N/A</v>
      </c>
    </row>
    <row r="5064" customHeight="1" spans="8:8">
      <c r="H5064" s="39" t="e">
        <f>VLOOKUP(E5064,基础信息!C:E,3,FALSE)</f>
        <v>#N/A</v>
      </c>
    </row>
    <row r="5065" customHeight="1" spans="8:8">
      <c r="H5065" s="39" t="e">
        <f>VLOOKUP(E5065,基础信息!C:E,3,FALSE)</f>
        <v>#N/A</v>
      </c>
    </row>
    <row r="5066" customHeight="1" spans="8:8">
      <c r="H5066" s="39" t="e">
        <f>VLOOKUP(E5066,基础信息!C:E,3,FALSE)</f>
        <v>#N/A</v>
      </c>
    </row>
    <row r="5067" customHeight="1" spans="8:8">
      <c r="H5067" s="39" t="e">
        <f>VLOOKUP(E5067,基础信息!C:E,3,FALSE)</f>
        <v>#N/A</v>
      </c>
    </row>
    <row r="5068" customHeight="1" spans="8:8">
      <c r="H5068" s="39" t="e">
        <f>VLOOKUP(E5068,基础信息!C:E,3,FALSE)</f>
        <v>#N/A</v>
      </c>
    </row>
    <row r="5069" customHeight="1" spans="8:8">
      <c r="H5069" s="39" t="e">
        <f>VLOOKUP(E5069,基础信息!C:E,3,FALSE)</f>
        <v>#N/A</v>
      </c>
    </row>
    <row r="5070" customHeight="1" spans="8:8">
      <c r="H5070" s="39" t="e">
        <f>VLOOKUP(E5070,基础信息!C:E,3,FALSE)</f>
        <v>#N/A</v>
      </c>
    </row>
    <row r="5071" customHeight="1" spans="8:8">
      <c r="H5071" s="39" t="e">
        <f>VLOOKUP(E5071,基础信息!C:E,3,FALSE)</f>
        <v>#N/A</v>
      </c>
    </row>
    <row r="5072" customHeight="1" spans="8:8">
      <c r="H5072" s="39" t="e">
        <f>VLOOKUP(E5072,基础信息!C:E,3,FALSE)</f>
        <v>#N/A</v>
      </c>
    </row>
    <row r="5073" customHeight="1" spans="8:8">
      <c r="H5073" s="39" t="e">
        <f>VLOOKUP(E5073,基础信息!C:E,3,FALSE)</f>
        <v>#N/A</v>
      </c>
    </row>
    <row r="5074" customHeight="1" spans="8:8">
      <c r="H5074" s="39" t="e">
        <f>VLOOKUP(E5074,基础信息!C:E,3,FALSE)</f>
        <v>#N/A</v>
      </c>
    </row>
    <row r="5075" customHeight="1" spans="8:8">
      <c r="H5075" s="39" t="e">
        <f>VLOOKUP(E5075,基础信息!C:E,3,FALSE)</f>
        <v>#N/A</v>
      </c>
    </row>
    <row r="5076" customHeight="1" spans="8:8">
      <c r="H5076" s="39" t="e">
        <f>VLOOKUP(E5076,基础信息!C:E,3,FALSE)</f>
        <v>#N/A</v>
      </c>
    </row>
    <row r="5077" customHeight="1" spans="8:8">
      <c r="H5077" s="39" t="e">
        <f>VLOOKUP(E5077,基础信息!C:E,3,FALSE)</f>
        <v>#N/A</v>
      </c>
    </row>
    <row r="5078" customHeight="1" spans="8:8">
      <c r="H5078" s="39" t="e">
        <f>VLOOKUP(E5078,基础信息!C:E,3,FALSE)</f>
        <v>#N/A</v>
      </c>
    </row>
    <row r="5079" customHeight="1" spans="8:8">
      <c r="H5079" s="39" t="e">
        <f>VLOOKUP(E5079,基础信息!C:E,3,FALSE)</f>
        <v>#N/A</v>
      </c>
    </row>
    <row r="5080" customHeight="1" spans="8:8">
      <c r="H5080" s="39" t="e">
        <f>VLOOKUP(E5080,基础信息!C:E,3,FALSE)</f>
        <v>#N/A</v>
      </c>
    </row>
    <row r="5081" customHeight="1" spans="8:8">
      <c r="H5081" s="39" t="e">
        <f>VLOOKUP(E5081,基础信息!C:E,3,FALSE)</f>
        <v>#N/A</v>
      </c>
    </row>
    <row r="5082" customHeight="1" spans="8:8">
      <c r="H5082" s="39" t="e">
        <f>VLOOKUP(E5082,基础信息!C:E,3,FALSE)</f>
        <v>#N/A</v>
      </c>
    </row>
    <row r="5083" customHeight="1" spans="8:8">
      <c r="H5083" s="39" t="e">
        <f>VLOOKUP(E5083,基础信息!C:E,3,FALSE)</f>
        <v>#N/A</v>
      </c>
    </row>
    <row r="5084" customHeight="1" spans="8:8">
      <c r="H5084" s="39" t="e">
        <f>VLOOKUP(E5084,基础信息!C:E,3,FALSE)</f>
        <v>#N/A</v>
      </c>
    </row>
    <row r="5085" customHeight="1" spans="8:8">
      <c r="H5085" s="39" t="e">
        <f>VLOOKUP(E5085,基础信息!C:E,3,FALSE)</f>
        <v>#N/A</v>
      </c>
    </row>
    <row r="5086" customHeight="1" spans="8:8">
      <c r="H5086" s="39" t="e">
        <f>VLOOKUP(E5086,基础信息!C:E,3,FALSE)</f>
        <v>#N/A</v>
      </c>
    </row>
    <row r="5087" customHeight="1" spans="8:8">
      <c r="H5087" s="39" t="e">
        <f>VLOOKUP(E5087,基础信息!C:E,3,FALSE)</f>
        <v>#N/A</v>
      </c>
    </row>
    <row r="5088" customHeight="1" spans="8:8">
      <c r="H5088" s="39" t="e">
        <f>VLOOKUP(E5088,基础信息!C:E,3,FALSE)</f>
        <v>#N/A</v>
      </c>
    </row>
    <row r="5089" customHeight="1" spans="8:8">
      <c r="H5089" s="39" t="e">
        <f>VLOOKUP(E5089,基础信息!C:E,3,FALSE)</f>
        <v>#N/A</v>
      </c>
    </row>
    <row r="5090" customHeight="1" spans="8:8">
      <c r="H5090" s="39" t="e">
        <f>VLOOKUP(E5090,基础信息!C:E,3,FALSE)</f>
        <v>#N/A</v>
      </c>
    </row>
    <row r="5091" customHeight="1" spans="8:8">
      <c r="H5091" s="39" t="e">
        <f>VLOOKUP(E5091,基础信息!C:E,3,FALSE)</f>
        <v>#N/A</v>
      </c>
    </row>
    <row r="5092" customHeight="1" spans="8:8">
      <c r="H5092" s="39" t="e">
        <f>VLOOKUP(E5092,基础信息!C:E,3,FALSE)</f>
        <v>#N/A</v>
      </c>
    </row>
    <row r="5093" customHeight="1" spans="8:8">
      <c r="H5093" s="39" t="e">
        <f>VLOOKUP(E5093,基础信息!C:E,3,FALSE)</f>
        <v>#N/A</v>
      </c>
    </row>
    <row r="5094" customHeight="1" spans="8:8">
      <c r="H5094" s="39" t="e">
        <f>VLOOKUP(E5094,基础信息!C:E,3,FALSE)</f>
        <v>#N/A</v>
      </c>
    </row>
    <row r="5095" customHeight="1" spans="8:8">
      <c r="H5095" s="39" t="e">
        <f>VLOOKUP(E5095,基础信息!C:E,3,FALSE)</f>
        <v>#N/A</v>
      </c>
    </row>
    <row r="5096" customHeight="1" spans="8:8">
      <c r="H5096" s="39" t="e">
        <f>VLOOKUP(E5096,基础信息!C:E,3,FALSE)</f>
        <v>#N/A</v>
      </c>
    </row>
    <row r="5097" customHeight="1" spans="8:8">
      <c r="H5097" s="39" t="e">
        <f>VLOOKUP(E5097,基础信息!C:E,3,FALSE)</f>
        <v>#N/A</v>
      </c>
    </row>
    <row r="5098" customHeight="1" spans="8:8">
      <c r="H5098" s="39" t="e">
        <f>VLOOKUP(E5098,基础信息!C:E,3,FALSE)</f>
        <v>#N/A</v>
      </c>
    </row>
    <row r="5099" customHeight="1" spans="8:8">
      <c r="H5099" s="39" t="e">
        <f>VLOOKUP(E5099,基础信息!C:E,3,FALSE)</f>
        <v>#N/A</v>
      </c>
    </row>
    <row r="5100" customHeight="1" spans="8:8">
      <c r="H5100" s="39" t="e">
        <f>VLOOKUP(E5100,基础信息!C:E,3,FALSE)</f>
        <v>#N/A</v>
      </c>
    </row>
    <row r="5101" customHeight="1" spans="8:8">
      <c r="H5101" s="39" t="e">
        <f>VLOOKUP(E5101,基础信息!C:E,3,FALSE)</f>
        <v>#N/A</v>
      </c>
    </row>
    <row r="5102" customHeight="1" spans="8:8">
      <c r="H5102" s="39" t="e">
        <f>VLOOKUP(E5102,基础信息!C:E,3,FALSE)</f>
        <v>#N/A</v>
      </c>
    </row>
    <row r="5103" customHeight="1" spans="8:8">
      <c r="H5103" s="39" t="e">
        <f>VLOOKUP(E5103,基础信息!C:E,3,FALSE)</f>
        <v>#N/A</v>
      </c>
    </row>
    <row r="5104" customHeight="1" spans="8:8">
      <c r="H5104" s="39" t="e">
        <f>VLOOKUP(E5104,基础信息!C:E,3,FALSE)</f>
        <v>#N/A</v>
      </c>
    </row>
    <row r="5105" customHeight="1" spans="8:8">
      <c r="H5105" s="39" t="e">
        <f>VLOOKUP(E5105,基础信息!C:E,3,FALSE)</f>
        <v>#N/A</v>
      </c>
    </row>
    <row r="5106" customHeight="1" spans="8:8">
      <c r="H5106" s="39" t="e">
        <f>VLOOKUP(E5106,基础信息!C:E,3,FALSE)</f>
        <v>#N/A</v>
      </c>
    </row>
    <row r="5107" customHeight="1" spans="8:8">
      <c r="H5107" s="39" t="e">
        <f>VLOOKUP(E5107,基础信息!C:E,3,FALSE)</f>
        <v>#N/A</v>
      </c>
    </row>
    <row r="5108" customHeight="1" spans="8:8">
      <c r="H5108" s="39" t="e">
        <f>VLOOKUP(E5108,基础信息!C:E,3,FALSE)</f>
        <v>#N/A</v>
      </c>
    </row>
    <row r="5109" customHeight="1" spans="8:8">
      <c r="H5109" s="39" t="e">
        <f>VLOOKUP(E5109,基础信息!C:E,3,FALSE)</f>
        <v>#N/A</v>
      </c>
    </row>
    <row r="5110" customHeight="1" spans="8:8">
      <c r="H5110" s="39" t="e">
        <f>VLOOKUP(E5110,基础信息!C:E,3,FALSE)</f>
        <v>#N/A</v>
      </c>
    </row>
    <row r="5111" customHeight="1" spans="8:8">
      <c r="H5111" s="39" t="e">
        <f>VLOOKUP(E5111,基础信息!C:E,3,FALSE)</f>
        <v>#N/A</v>
      </c>
    </row>
    <row r="5112" customHeight="1" spans="8:8">
      <c r="H5112" s="39" t="e">
        <f>VLOOKUP(E5112,基础信息!C:E,3,FALSE)</f>
        <v>#N/A</v>
      </c>
    </row>
    <row r="5113" customHeight="1" spans="8:8">
      <c r="H5113" s="39" t="e">
        <f>VLOOKUP(E5113,基础信息!C:E,3,FALSE)</f>
        <v>#N/A</v>
      </c>
    </row>
    <row r="5114" customHeight="1" spans="8:8">
      <c r="H5114" s="39" t="e">
        <f>VLOOKUP(E5114,基础信息!C:E,3,FALSE)</f>
        <v>#N/A</v>
      </c>
    </row>
    <row r="5115" customHeight="1" spans="8:8">
      <c r="H5115" s="39" t="e">
        <f>VLOOKUP(E5115,基础信息!C:E,3,FALSE)</f>
        <v>#N/A</v>
      </c>
    </row>
    <row r="5116" customHeight="1" spans="8:8">
      <c r="H5116" s="39" t="e">
        <f>VLOOKUP(E5116,基础信息!C:E,3,FALSE)</f>
        <v>#N/A</v>
      </c>
    </row>
    <row r="5117" customHeight="1" spans="8:8">
      <c r="H5117" s="39" t="e">
        <f>VLOOKUP(E5117,基础信息!C:E,3,FALSE)</f>
        <v>#N/A</v>
      </c>
    </row>
    <row r="5118" customHeight="1" spans="8:8">
      <c r="H5118" s="39" t="e">
        <f>VLOOKUP(E5118,基础信息!C:E,3,FALSE)</f>
        <v>#N/A</v>
      </c>
    </row>
    <row r="5119" customHeight="1" spans="8:8">
      <c r="H5119" s="39" t="e">
        <f>VLOOKUP(E5119,基础信息!C:E,3,FALSE)</f>
        <v>#N/A</v>
      </c>
    </row>
    <row r="5120" customHeight="1" spans="8:8">
      <c r="H5120" s="39" t="e">
        <f>VLOOKUP(E5120,基础信息!C:E,3,FALSE)</f>
        <v>#N/A</v>
      </c>
    </row>
    <row r="5121" customHeight="1" spans="8:8">
      <c r="H5121" s="39" t="e">
        <f>VLOOKUP(E5121,基础信息!C:E,3,FALSE)</f>
        <v>#N/A</v>
      </c>
    </row>
    <row r="5122" customHeight="1" spans="8:8">
      <c r="H5122" s="39" t="e">
        <f>VLOOKUP(E5122,基础信息!C:E,3,FALSE)</f>
        <v>#N/A</v>
      </c>
    </row>
    <row r="5123" customHeight="1" spans="8:8">
      <c r="H5123" s="39" t="e">
        <f>VLOOKUP(E5123,基础信息!C:E,3,FALSE)</f>
        <v>#N/A</v>
      </c>
    </row>
    <row r="5124" customHeight="1" spans="8:8">
      <c r="H5124" s="39" t="e">
        <f>VLOOKUP(E5124,基础信息!C:E,3,FALSE)</f>
        <v>#N/A</v>
      </c>
    </row>
    <row r="5125" customHeight="1" spans="8:8">
      <c r="H5125" s="39" t="e">
        <f>VLOOKUP(E5125,基础信息!C:E,3,FALSE)</f>
        <v>#N/A</v>
      </c>
    </row>
    <row r="5126" customHeight="1" spans="8:8">
      <c r="H5126" s="39" t="e">
        <f>VLOOKUP(E5126,基础信息!C:E,3,FALSE)</f>
        <v>#N/A</v>
      </c>
    </row>
    <row r="5127" customHeight="1" spans="8:8">
      <c r="H5127" s="39" t="e">
        <f>VLOOKUP(E5127,基础信息!C:E,3,FALSE)</f>
        <v>#N/A</v>
      </c>
    </row>
    <row r="5128" customHeight="1" spans="8:8">
      <c r="H5128" s="39" t="e">
        <f>VLOOKUP(E5128,基础信息!C:E,3,FALSE)</f>
        <v>#N/A</v>
      </c>
    </row>
    <row r="5129" customHeight="1" spans="8:8">
      <c r="H5129" s="39" t="e">
        <f>VLOOKUP(E5129,基础信息!C:E,3,FALSE)</f>
        <v>#N/A</v>
      </c>
    </row>
    <row r="5130" customHeight="1" spans="8:8">
      <c r="H5130" s="39" t="e">
        <f>VLOOKUP(E5130,基础信息!C:E,3,FALSE)</f>
        <v>#N/A</v>
      </c>
    </row>
    <row r="5131" customHeight="1" spans="8:8">
      <c r="H5131" s="39" t="e">
        <f>VLOOKUP(E5131,基础信息!C:E,3,FALSE)</f>
        <v>#N/A</v>
      </c>
    </row>
    <row r="5132" customHeight="1" spans="8:8">
      <c r="H5132" s="39" t="e">
        <f>VLOOKUP(E5132,基础信息!C:E,3,FALSE)</f>
        <v>#N/A</v>
      </c>
    </row>
    <row r="5133" customHeight="1" spans="8:8">
      <c r="H5133" s="39" t="e">
        <f>VLOOKUP(E5133,基础信息!C:E,3,FALSE)</f>
        <v>#N/A</v>
      </c>
    </row>
    <row r="5134" customHeight="1" spans="8:8">
      <c r="H5134" s="39" t="e">
        <f>VLOOKUP(E5134,基础信息!C:E,3,FALSE)</f>
        <v>#N/A</v>
      </c>
    </row>
    <row r="5135" customHeight="1" spans="8:8">
      <c r="H5135" s="39" t="e">
        <f>VLOOKUP(E5135,基础信息!C:E,3,FALSE)</f>
        <v>#N/A</v>
      </c>
    </row>
    <row r="5136" customHeight="1" spans="8:8">
      <c r="H5136" s="39" t="e">
        <f>VLOOKUP(E5136,基础信息!C:E,3,FALSE)</f>
        <v>#N/A</v>
      </c>
    </row>
    <row r="5137" customHeight="1" spans="8:8">
      <c r="H5137" s="39" t="e">
        <f>VLOOKUP(E5137,基础信息!C:E,3,FALSE)</f>
        <v>#N/A</v>
      </c>
    </row>
    <row r="5138" customHeight="1" spans="8:8">
      <c r="H5138" s="39" t="e">
        <f>VLOOKUP(E5138,基础信息!C:E,3,FALSE)</f>
        <v>#N/A</v>
      </c>
    </row>
    <row r="5139" customHeight="1" spans="8:8">
      <c r="H5139" s="39" t="e">
        <f>VLOOKUP(E5139,基础信息!C:E,3,FALSE)</f>
        <v>#N/A</v>
      </c>
    </row>
    <row r="5140" customHeight="1" spans="8:8">
      <c r="H5140" s="39" t="e">
        <f>VLOOKUP(E5140,基础信息!C:E,3,FALSE)</f>
        <v>#N/A</v>
      </c>
    </row>
    <row r="5141" customHeight="1" spans="8:8">
      <c r="H5141" s="39" t="e">
        <f>VLOOKUP(E5141,基础信息!C:E,3,FALSE)</f>
        <v>#N/A</v>
      </c>
    </row>
    <row r="5142" customHeight="1" spans="8:8">
      <c r="H5142" s="39" t="e">
        <f>VLOOKUP(E5142,基础信息!C:E,3,FALSE)</f>
        <v>#N/A</v>
      </c>
    </row>
    <row r="5143" customHeight="1" spans="8:8">
      <c r="H5143" s="39" t="e">
        <f>VLOOKUP(E5143,基础信息!C:E,3,FALSE)</f>
        <v>#N/A</v>
      </c>
    </row>
    <row r="5144" customHeight="1" spans="8:8">
      <c r="H5144" s="39" t="e">
        <f>VLOOKUP(E5144,基础信息!C:E,3,FALSE)</f>
        <v>#N/A</v>
      </c>
    </row>
    <row r="5145" customHeight="1" spans="8:8">
      <c r="H5145" s="39" t="e">
        <f>VLOOKUP(E5145,基础信息!C:E,3,FALSE)</f>
        <v>#N/A</v>
      </c>
    </row>
    <row r="5146" customHeight="1" spans="8:8">
      <c r="H5146" s="39" t="e">
        <f>VLOOKUP(E5146,基础信息!C:E,3,FALSE)</f>
        <v>#N/A</v>
      </c>
    </row>
    <row r="5147" customHeight="1" spans="8:8">
      <c r="H5147" s="39" t="e">
        <f>VLOOKUP(E5147,基础信息!C:E,3,FALSE)</f>
        <v>#N/A</v>
      </c>
    </row>
    <row r="5148" customHeight="1" spans="8:8">
      <c r="H5148" s="39" t="e">
        <f>VLOOKUP(E5148,基础信息!C:E,3,FALSE)</f>
        <v>#N/A</v>
      </c>
    </row>
    <row r="5149" customHeight="1" spans="8:8">
      <c r="H5149" s="39" t="e">
        <f>VLOOKUP(E5149,基础信息!C:E,3,FALSE)</f>
        <v>#N/A</v>
      </c>
    </row>
    <row r="5150" customHeight="1" spans="8:8">
      <c r="H5150" s="39" t="e">
        <f>VLOOKUP(E5150,基础信息!C:E,3,FALSE)</f>
        <v>#N/A</v>
      </c>
    </row>
    <row r="5151" customHeight="1" spans="8:8">
      <c r="H5151" s="39" t="e">
        <f>VLOOKUP(E5151,基础信息!C:E,3,FALSE)</f>
        <v>#N/A</v>
      </c>
    </row>
    <row r="5152" customHeight="1" spans="8:8">
      <c r="H5152" s="39" t="e">
        <f>VLOOKUP(E5152,基础信息!C:E,3,FALSE)</f>
        <v>#N/A</v>
      </c>
    </row>
    <row r="5153" customHeight="1" spans="8:8">
      <c r="H5153" s="39" t="e">
        <f>VLOOKUP(E5153,基础信息!C:E,3,FALSE)</f>
        <v>#N/A</v>
      </c>
    </row>
    <row r="5154" customHeight="1" spans="8:8">
      <c r="H5154" s="39" t="e">
        <f>VLOOKUP(E5154,基础信息!C:E,3,FALSE)</f>
        <v>#N/A</v>
      </c>
    </row>
    <row r="5155" customHeight="1" spans="8:8">
      <c r="H5155" s="39" t="e">
        <f>VLOOKUP(E5155,基础信息!C:E,3,FALSE)</f>
        <v>#N/A</v>
      </c>
    </row>
    <row r="5156" customHeight="1" spans="8:8">
      <c r="H5156" s="39" t="e">
        <f>VLOOKUP(E5156,基础信息!C:E,3,FALSE)</f>
        <v>#N/A</v>
      </c>
    </row>
    <row r="5157" customHeight="1" spans="8:8">
      <c r="H5157" s="39" t="e">
        <f>VLOOKUP(E5157,基础信息!C:E,3,FALSE)</f>
        <v>#N/A</v>
      </c>
    </row>
    <row r="5158" customHeight="1" spans="8:8">
      <c r="H5158" s="39" t="e">
        <f>VLOOKUP(E5158,基础信息!C:E,3,FALSE)</f>
        <v>#N/A</v>
      </c>
    </row>
    <row r="5159" customHeight="1" spans="8:8">
      <c r="H5159" s="39" t="e">
        <f>VLOOKUP(E5159,基础信息!C:E,3,FALSE)</f>
        <v>#N/A</v>
      </c>
    </row>
    <row r="5160" customHeight="1" spans="8:8">
      <c r="H5160" s="39" t="e">
        <f>VLOOKUP(E5160,基础信息!C:E,3,FALSE)</f>
        <v>#N/A</v>
      </c>
    </row>
    <row r="5161" customHeight="1" spans="8:8">
      <c r="H5161" s="39" t="e">
        <f>VLOOKUP(E5161,基础信息!C:E,3,FALSE)</f>
        <v>#N/A</v>
      </c>
    </row>
    <row r="5162" customHeight="1" spans="8:8">
      <c r="H5162" s="39" t="e">
        <f>VLOOKUP(E5162,基础信息!C:E,3,FALSE)</f>
        <v>#N/A</v>
      </c>
    </row>
    <row r="5163" customHeight="1" spans="8:8">
      <c r="H5163" s="39" t="e">
        <f>VLOOKUP(E5163,基础信息!C:E,3,FALSE)</f>
        <v>#N/A</v>
      </c>
    </row>
    <row r="5164" customHeight="1" spans="8:8">
      <c r="H5164" s="39" t="e">
        <f>VLOOKUP(E5164,基础信息!C:E,3,FALSE)</f>
        <v>#N/A</v>
      </c>
    </row>
    <row r="5165" customHeight="1" spans="8:8">
      <c r="H5165" s="39" t="e">
        <f>VLOOKUP(E5165,基础信息!C:E,3,FALSE)</f>
        <v>#N/A</v>
      </c>
    </row>
    <row r="5166" customHeight="1" spans="8:8">
      <c r="H5166" s="39" t="e">
        <f>VLOOKUP(E5166,基础信息!C:E,3,FALSE)</f>
        <v>#N/A</v>
      </c>
    </row>
    <row r="5167" customHeight="1" spans="8:8">
      <c r="H5167" s="39" t="e">
        <f>VLOOKUP(E5167,基础信息!C:E,3,FALSE)</f>
        <v>#N/A</v>
      </c>
    </row>
    <row r="5168" customHeight="1" spans="8:8">
      <c r="H5168" s="39" t="e">
        <f>VLOOKUP(E5168,基础信息!C:E,3,FALSE)</f>
        <v>#N/A</v>
      </c>
    </row>
    <row r="5169" customHeight="1" spans="8:8">
      <c r="H5169" s="39" t="e">
        <f>VLOOKUP(E5169,基础信息!C:E,3,FALSE)</f>
        <v>#N/A</v>
      </c>
    </row>
    <row r="5170" customHeight="1" spans="8:8">
      <c r="H5170" s="39" t="e">
        <f>VLOOKUP(E5170,基础信息!C:E,3,FALSE)</f>
        <v>#N/A</v>
      </c>
    </row>
    <row r="5171" customHeight="1" spans="8:8">
      <c r="H5171" s="39" t="e">
        <f>VLOOKUP(E5171,基础信息!C:E,3,FALSE)</f>
        <v>#N/A</v>
      </c>
    </row>
    <row r="5172" customHeight="1" spans="8:8">
      <c r="H5172" s="39" t="e">
        <f>VLOOKUP(E5172,基础信息!C:E,3,FALSE)</f>
        <v>#N/A</v>
      </c>
    </row>
    <row r="5173" customHeight="1" spans="8:8">
      <c r="H5173" s="39" t="e">
        <f>VLOOKUP(E5173,基础信息!C:E,3,FALSE)</f>
        <v>#N/A</v>
      </c>
    </row>
    <row r="5174" customHeight="1" spans="8:8">
      <c r="H5174" s="39" t="e">
        <f>VLOOKUP(E5174,基础信息!C:E,3,FALSE)</f>
        <v>#N/A</v>
      </c>
    </row>
    <row r="5175" customHeight="1" spans="8:8">
      <c r="H5175" s="39" t="e">
        <f>VLOOKUP(E5175,基础信息!C:E,3,FALSE)</f>
        <v>#N/A</v>
      </c>
    </row>
    <row r="5176" customHeight="1" spans="8:8">
      <c r="H5176" s="39" t="e">
        <f>VLOOKUP(E5176,基础信息!C:E,3,FALSE)</f>
        <v>#N/A</v>
      </c>
    </row>
    <row r="5177" customHeight="1" spans="8:8">
      <c r="H5177" s="39" t="e">
        <f>VLOOKUP(E5177,基础信息!C:E,3,FALSE)</f>
        <v>#N/A</v>
      </c>
    </row>
    <row r="5178" customHeight="1" spans="8:8">
      <c r="H5178" s="39" t="e">
        <f>VLOOKUP(E5178,基础信息!C:E,3,FALSE)</f>
        <v>#N/A</v>
      </c>
    </row>
    <row r="5179" customHeight="1" spans="8:8">
      <c r="H5179" s="39" t="e">
        <f>VLOOKUP(E5179,基础信息!C:E,3,FALSE)</f>
        <v>#N/A</v>
      </c>
    </row>
    <row r="5180" customHeight="1" spans="8:8">
      <c r="H5180" s="39" t="e">
        <f>VLOOKUP(E5180,基础信息!C:E,3,FALSE)</f>
        <v>#N/A</v>
      </c>
    </row>
    <row r="5181" customHeight="1" spans="8:8">
      <c r="H5181" s="39" t="e">
        <f>VLOOKUP(E5181,基础信息!C:E,3,FALSE)</f>
        <v>#N/A</v>
      </c>
    </row>
    <row r="5182" customHeight="1" spans="8:8">
      <c r="H5182" s="39" t="e">
        <f>VLOOKUP(E5182,基础信息!C:E,3,FALSE)</f>
        <v>#N/A</v>
      </c>
    </row>
    <row r="5183" customHeight="1" spans="8:8">
      <c r="H5183" s="39" t="e">
        <f>VLOOKUP(E5183,基础信息!C:E,3,FALSE)</f>
        <v>#N/A</v>
      </c>
    </row>
    <row r="5184" customHeight="1" spans="8:8">
      <c r="H5184" s="39" t="e">
        <f>VLOOKUP(E5184,基础信息!C:E,3,FALSE)</f>
        <v>#N/A</v>
      </c>
    </row>
    <row r="5185" customHeight="1" spans="8:8">
      <c r="H5185" s="39" t="e">
        <f>VLOOKUP(E5185,基础信息!C:E,3,FALSE)</f>
        <v>#N/A</v>
      </c>
    </row>
    <row r="5186" customHeight="1" spans="8:8">
      <c r="H5186" s="39" t="e">
        <f>VLOOKUP(E5186,基础信息!C:E,3,FALSE)</f>
        <v>#N/A</v>
      </c>
    </row>
    <row r="5187" customHeight="1" spans="8:8">
      <c r="H5187" s="39" t="e">
        <f>VLOOKUP(E5187,基础信息!C:E,3,FALSE)</f>
        <v>#N/A</v>
      </c>
    </row>
    <row r="5188" customHeight="1" spans="8:8">
      <c r="H5188" s="39" t="e">
        <f>VLOOKUP(E5188,基础信息!C:E,3,FALSE)</f>
        <v>#N/A</v>
      </c>
    </row>
    <row r="5189" customHeight="1" spans="8:8">
      <c r="H5189" s="39" t="e">
        <f>VLOOKUP(E5189,基础信息!C:E,3,FALSE)</f>
        <v>#N/A</v>
      </c>
    </row>
    <row r="5190" customHeight="1" spans="8:8">
      <c r="H5190" s="39" t="e">
        <f>VLOOKUP(E5190,基础信息!C:E,3,FALSE)</f>
        <v>#N/A</v>
      </c>
    </row>
    <row r="5191" customHeight="1" spans="8:8">
      <c r="H5191" s="39" t="e">
        <f>VLOOKUP(E5191,基础信息!C:E,3,FALSE)</f>
        <v>#N/A</v>
      </c>
    </row>
    <row r="5192" customHeight="1" spans="8:8">
      <c r="H5192" s="39" t="e">
        <f>VLOOKUP(E5192,基础信息!C:E,3,FALSE)</f>
        <v>#N/A</v>
      </c>
    </row>
    <row r="5193" customHeight="1" spans="8:8">
      <c r="H5193" s="39" t="e">
        <f>VLOOKUP(E5193,基础信息!C:E,3,FALSE)</f>
        <v>#N/A</v>
      </c>
    </row>
    <row r="5194" customHeight="1" spans="8:8">
      <c r="H5194" s="39" t="e">
        <f>VLOOKUP(E5194,基础信息!C:E,3,FALSE)</f>
        <v>#N/A</v>
      </c>
    </row>
    <row r="5195" customHeight="1" spans="8:8">
      <c r="H5195" s="39" t="e">
        <f>VLOOKUP(E5195,基础信息!C:E,3,FALSE)</f>
        <v>#N/A</v>
      </c>
    </row>
    <row r="5196" customHeight="1" spans="8:8">
      <c r="H5196" s="39" t="e">
        <f>VLOOKUP(E5196,基础信息!C:E,3,FALSE)</f>
        <v>#N/A</v>
      </c>
    </row>
    <row r="5197" customHeight="1" spans="8:8">
      <c r="H5197" s="39" t="e">
        <f>VLOOKUP(E5197,基础信息!C:E,3,FALSE)</f>
        <v>#N/A</v>
      </c>
    </row>
    <row r="5198" customHeight="1" spans="8:8">
      <c r="H5198" s="39" t="e">
        <f>VLOOKUP(E5198,基础信息!C:E,3,FALSE)</f>
        <v>#N/A</v>
      </c>
    </row>
    <row r="5199" customHeight="1" spans="8:8">
      <c r="H5199" s="39" t="e">
        <f>VLOOKUP(E5199,基础信息!C:E,3,FALSE)</f>
        <v>#N/A</v>
      </c>
    </row>
    <row r="5200" customHeight="1" spans="8:8">
      <c r="H5200" s="39" t="e">
        <f>VLOOKUP(E5200,基础信息!C:E,3,FALSE)</f>
        <v>#N/A</v>
      </c>
    </row>
    <row r="5201" customHeight="1" spans="8:8">
      <c r="H5201" s="39" t="e">
        <f>VLOOKUP(E5201,基础信息!C:E,3,FALSE)</f>
        <v>#N/A</v>
      </c>
    </row>
    <row r="5202" customHeight="1" spans="8:8">
      <c r="H5202" s="39" t="e">
        <f>VLOOKUP(E5202,基础信息!C:E,3,FALSE)</f>
        <v>#N/A</v>
      </c>
    </row>
    <row r="5203" customHeight="1" spans="8:8">
      <c r="H5203" s="39" t="e">
        <f>VLOOKUP(E5203,基础信息!C:E,3,FALSE)</f>
        <v>#N/A</v>
      </c>
    </row>
    <row r="5204" customHeight="1" spans="8:8">
      <c r="H5204" s="39" t="e">
        <f>VLOOKUP(E5204,基础信息!C:E,3,FALSE)</f>
        <v>#N/A</v>
      </c>
    </row>
    <row r="5205" customHeight="1" spans="8:8">
      <c r="H5205" s="39" t="e">
        <f>VLOOKUP(E5205,基础信息!C:E,3,FALSE)</f>
        <v>#N/A</v>
      </c>
    </row>
    <row r="5206" customHeight="1" spans="8:8">
      <c r="H5206" s="39" t="e">
        <f>VLOOKUP(E5206,基础信息!C:E,3,FALSE)</f>
        <v>#N/A</v>
      </c>
    </row>
    <row r="5207" customHeight="1" spans="8:8">
      <c r="H5207" s="39" t="e">
        <f>VLOOKUP(E5207,基础信息!C:E,3,FALSE)</f>
        <v>#N/A</v>
      </c>
    </row>
    <row r="5208" customHeight="1" spans="8:8">
      <c r="H5208" s="39" t="e">
        <f>VLOOKUP(E5208,基础信息!C:E,3,FALSE)</f>
        <v>#N/A</v>
      </c>
    </row>
    <row r="5209" customHeight="1" spans="8:8">
      <c r="H5209" s="39" t="e">
        <f>VLOOKUP(E5209,基础信息!C:E,3,FALSE)</f>
        <v>#N/A</v>
      </c>
    </row>
    <row r="5210" customHeight="1" spans="8:8">
      <c r="H5210" s="39" t="e">
        <f>VLOOKUP(E5210,基础信息!C:E,3,FALSE)</f>
        <v>#N/A</v>
      </c>
    </row>
    <row r="5211" customHeight="1" spans="8:8">
      <c r="H5211" s="39" t="e">
        <f>VLOOKUP(E5211,基础信息!C:E,3,FALSE)</f>
        <v>#N/A</v>
      </c>
    </row>
    <row r="5212" customHeight="1" spans="8:8">
      <c r="H5212" s="39" t="e">
        <f>VLOOKUP(E5212,基础信息!C:E,3,FALSE)</f>
        <v>#N/A</v>
      </c>
    </row>
    <row r="5213" customHeight="1" spans="8:8">
      <c r="H5213" s="39" t="e">
        <f>VLOOKUP(E5213,基础信息!C:E,3,FALSE)</f>
        <v>#N/A</v>
      </c>
    </row>
    <row r="5214" customHeight="1" spans="8:8">
      <c r="H5214" s="39" t="e">
        <f>VLOOKUP(E5214,基础信息!C:E,3,FALSE)</f>
        <v>#N/A</v>
      </c>
    </row>
    <row r="5215" customHeight="1" spans="8:8">
      <c r="H5215" s="39" t="e">
        <f>VLOOKUP(E5215,基础信息!C:E,3,FALSE)</f>
        <v>#N/A</v>
      </c>
    </row>
    <row r="5216" customHeight="1" spans="8:8">
      <c r="H5216" s="39" t="e">
        <f>VLOOKUP(E5216,基础信息!C:E,3,FALSE)</f>
        <v>#N/A</v>
      </c>
    </row>
    <row r="5217" customHeight="1" spans="8:8">
      <c r="H5217" s="39" t="e">
        <f>VLOOKUP(E5217,基础信息!C:E,3,FALSE)</f>
        <v>#N/A</v>
      </c>
    </row>
    <row r="5218" customHeight="1" spans="8:8">
      <c r="H5218" s="39" t="e">
        <f>VLOOKUP(E5218,基础信息!C:E,3,FALSE)</f>
        <v>#N/A</v>
      </c>
    </row>
    <row r="5219" customHeight="1" spans="8:8">
      <c r="H5219" s="39" t="e">
        <f>VLOOKUP(E5219,基础信息!C:E,3,FALSE)</f>
        <v>#N/A</v>
      </c>
    </row>
    <row r="5220" customHeight="1" spans="8:8">
      <c r="H5220" s="39" t="e">
        <f>VLOOKUP(E5220,基础信息!C:E,3,FALSE)</f>
        <v>#N/A</v>
      </c>
    </row>
    <row r="5221" customHeight="1" spans="8:8">
      <c r="H5221" s="39" t="e">
        <f>VLOOKUP(E5221,基础信息!C:E,3,FALSE)</f>
        <v>#N/A</v>
      </c>
    </row>
    <row r="5222" customHeight="1" spans="8:8">
      <c r="H5222" s="39" t="e">
        <f>VLOOKUP(E5222,基础信息!C:E,3,FALSE)</f>
        <v>#N/A</v>
      </c>
    </row>
    <row r="5223" customHeight="1" spans="8:8">
      <c r="H5223" s="39" t="e">
        <f>VLOOKUP(E5223,基础信息!C:E,3,FALSE)</f>
        <v>#N/A</v>
      </c>
    </row>
    <row r="5224" customHeight="1" spans="8:8">
      <c r="H5224" s="39" t="e">
        <f>VLOOKUP(E5224,基础信息!C:E,3,FALSE)</f>
        <v>#N/A</v>
      </c>
    </row>
    <row r="5225" customHeight="1" spans="8:8">
      <c r="H5225" s="39" t="e">
        <f>VLOOKUP(E5225,基础信息!C:E,3,FALSE)</f>
        <v>#N/A</v>
      </c>
    </row>
    <row r="5226" customHeight="1" spans="8:8">
      <c r="H5226" s="39" t="e">
        <f>VLOOKUP(E5226,基础信息!C:E,3,FALSE)</f>
        <v>#N/A</v>
      </c>
    </row>
    <row r="5227" customHeight="1" spans="8:8">
      <c r="H5227" s="39" t="e">
        <f>VLOOKUP(E5227,基础信息!C:E,3,FALSE)</f>
        <v>#N/A</v>
      </c>
    </row>
    <row r="5228" customHeight="1" spans="8:8">
      <c r="H5228" s="39" t="e">
        <f>VLOOKUP(E5228,基础信息!C:E,3,FALSE)</f>
        <v>#N/A</v>
      </c>
    </row>
    <row r="5229" customHeight="1" spans="8:8">
      <c r="H5229" s="39" t="e">
        <f>VLOOKUP(E5229,基础信息!C:E,3,FALSE)</f>
        <v>#N/A</v>
      </c>
    </row>
    <row r="5230" customHeight="1" spans="8:8">
      <c r="H5230" s="39" t="e">
        <f>VLOOKUP(E5230,基础信息!C:E,3,FALSE)</f>
        <v>#N/A</v>
      </c>
    </row>
    <row r="5231" customHeight="1" spans="8:8">
      <c r="H5231" s="39" t="e">
        <f>VLOOKUP(E5231,基础信息!C:E,3,FALSE)</f>
        <v>#N/A</v>
      </c>
    </row>
    <row r="5232" customHeight="1" spans="8:8">
      <c r="H5232" s="39" t="e">
        <f>VLOOKUP(E5232,基础信息!C:E,3,FALSE)</f>
        <v>#N/A</v>
      </c>
    </row>
    <row r="5233" customHeight="1" spans="8:8">
      <c r="H5233" s="39" t="e">
        <f>VLOOKUP(E5233,基础信息!C:E,3,FALSE)</f>
        <v>#N/A</v>
      </c>
    </row>
    <row r="5234" customHeight="1" spans="8:8">
      <c r="H5234" s="39" t="e">
        <f>VLOOKUP(E5234,基础信息!C:E,3,FALSE)</f>
        <v>#N/A</v>
      </c>
    </row>
    <row r="5235" customHeight="1" spans="8:8">
      <c r="H5235" s="39" t="e">
        <f>VLOOKUP(E5235,基础信息!C:E,3,FALSE)</f>
        <v>#N/A</v>
      </c>
    </row>
    <row r="5236" customHeight="1" spans="8:8">
      <c r="H5236" s="39" t="e">
        <f>VLOOKUP(E5236,基础信息!C:E,3,FALSE)</f>
        <v>#N/A</v>
      </c>
    </row>
    <row r="5237" customHeight="1" spans="8:8">
      <c r="H5237" s="39" t="e">
        <f>VLOOKUP(E5237,基础信息!C:E,3,FALSE)</f>
        <v>#N/A</v>
      </c>
    </row>
    <row r="5238" customHeight="1" spans="8:8">
      <c r="H5238" s="39" t="e">
        <f>VLOOKUP(E5238,基础信息!C:E,3,FALSE)</f>
        <v>#N/A</v>
      </c>
    </row>
    <row r="5239" customHeight="1" spans="8:8">
      <c r="H5239" s="39" t="e">
        <f>VLOOKUP(E5239,基础信息!C:E,3,FALSE)</f>
        <v>#N/A</v>
      </c>
    </row>
    <row r="5240" customHeight="1" spans="8:8">
      <c r="H5240" s="39" t="e">
        <f>VLOOKUP(E5240,基础信息!C:E,3,FALSE)</f>
        <v>#N/A</v>
      </c>
    </row>
    <row r="5241" customHeight="1" spans="8:8">
      <c r="H5241" s="39" t="e">
        <f>VLOOKUP(E5241,基础信息!C:E,3,FALSE)</f>
        <v>#N/A</v>
      </c>
    </row>
    <row r="5242" customHeight="1" spans="8:8">
      <c r="H5242" s="39" t="e">
        <f>VLOOKUP(E5242,基础信息!C:E,3,FALSE)</f>
        <v>#N/A</v>
      </c>
    </row>
    <row r="5243" customHeight="1" spans="8:8">
      <c r="H5243" s="39" t="e">
        <f>VLOOKUP(E5243,基础信息!C:E,3,FALSE)</f>
        <v>#N/A</v>
      </c>
    </row>
    <row r="5244" customHeight="1" spans="8:8">
      <c r="H5244" s="39" t="e">
        <f>VLOOKUP(E5244,基础信息!C:E,3,FALSE)</f>
        <v>#N/A</v>
      </c>
    </row>
    <row r="5245" customHeight="1" spans="8:8">
      <c r="H5245" s="39" t="e">
        <f>VLOOKUP(E5245,基础信息!C:E,3,FALSE)</f>
        <v>#N/A</v>
      </c>
    </row>
    <row r="5246" customHeight="1" spans="8:8">
      <c r="H5246" s="39" t="e">
        <f>VLOOKUP(E5246,基础信息!C:E,3,FALSE)</f>
        <v>#N/A</v>
      </c>
    </row>
    <row r="5247" customHeight="1" spans="8:8">
      <c r="H5247" s="39" t="e">
        <f>VLOOKUP(E5247,基础信息!C:E,3,FALSE)</f>
        <v>#N/A</v>
      </c>
    </row>
    <row r="5248" customHeight="1" spans="8:8">
      <c r="H5248" s="39" t="e">
        <f>VLOOKUP(E5248,基础信息!C:E,3,FALSE)</f>
        <v>#N/A</v>
      </c>
    </row>
    <row r="5249" customHeight="1" spans="8:8">
      <c r="H5249" s="39" t="e">
        <f>VLOOKUP(E5249,基础信息!C:E,3,FALSE)</f>
        <v>#N/A</v>
      </c>
    </row>
    <row r="5250" customHeight="1" spans="8:8">
      <c r="H5250" s="39" t="e">
        <f>VLOOKUP(E5250,基础信息!C:E,3,FALSE)</f>
        <v>#N/A</v>
      </c>
    </row>
    <row r="5251" customHeight="1" spans="8:8">
      <c r="H5251" s="39" t="e">
        <f>VLOOKUP(E5251,基础信息!C:E,3,FALSE)</f>
        <v>#N/A</v>
      </c>
    </row>
    <row r="5252" customHeight="1" spans="8:8">
      <c r="H5252" s="39" t="e">
        <f>VLOOKUP(E5252,基础信息!C:E,3,FALSE)</f>
        <v>#N/A</v>
      </c>
    </row>
    <row r="5253" customHeight="1" spans="8:8">
      <c r="H5253" s="39" t="e">
        <f>VLOOKUP(E5253,基础信息!C:E,3,FALSE)</f>
        <v>#N/A</v>
      </c>
    </row>
    <row r="5254" customHeight="1" spans="8:8">
      <c r="H5254" s="39" t="e">
        <f>VLOOKUP(E5254,基础信息!C:E,3,FALSE)</f>
        <v>#N/A</v>
      </c>
    </row>
    <row r="5255" customHeight="1" spans="8:8">
      <c r="H5255" s="39" t="e">
        <f>VLOOKUP(E5255,基础信息!C:E,3,FALSE)</f>
        <v>#N/A</v>
      </c>
    </row>
    <row r="5256" customHeight="1" spans="8:8">
      <c r="H5256" s="39" t="e">
        <f>VLOOKUP(E5256,基础信息!C:E,3,FALSE)</f>
        <v>#N/A</v>
      </c>
    </row>
    <row r="5257" customHeight="1" spans="8:8">
      <c r="H5257" s="39" t="e">
        <f>VLOOKUP(E5257,基础信息!C:E,3,FALSE)</f>
        <v>#N/A</v>
      </c>
    </row>
    <row r="5258" customHeight="1" spans="8:8">
      <c r="H5258" s="39" t="e">
        <f>VLOOKUP(E5258,基础信息!C:E,3,FALSE)</f>
        <v>#N/A</v>
      </c>
    </row>
    <row r="5259" customHeight="1" spans="8:8">
      <c r="H5259" s="39" t="e">
        <f>VLOOKUP(E5259,基础信息!C:E,3,FALSE)</f>
        <v>#N/A</v>
      </c>
    </row>
    <row r="5260" customHeight="1" spans="8:8">
      <c r="H5260" s="39" t="e">
        <f>VLOOKUP(E5260,基础信息!C:E,3,FALSE)</f>
        <v>#N/A</v>
      </c>
    </row>
    <row r="5261" customHeight="1" spans="8:8">
      <c r="H5261" s="39" t="e">
        <f>VLOOKUP(E5261,基础信息!C:E,3,FALSE)</f>
        <v>#N/A</v>
      </c>
    </row>
    <row r="5262" customHeight="1" spans="8:8">
      <c r="H5262" s="39" t="e">
        <f>VLOOKUP(E5262,基础信息!C:E,3,FALSE)</f>
        <v>#N/A</v>
      </c>
    </row>
    <row r="5263" customHeight="1" spans="8:8">
      <c r="H5263" s="39" t="e">
        <f>VLOOKUP(E5263,基础信息!C:E,3,FALSE)</f>
        <v>#N/A</v>
      </c>
    </row>
    <row r="5264" customHeight="1" spans="8:8">
      <c r="H5264" s="39" t="e">
        <f>VLOOKUP(E5264,基础信息!C:E,3,FALSE)</f>
        <v>#N/A</v>
      </c>
    </row>
    <row r="5265" customHeight="1" spans="8:8">
      <c r="H5265" s="39" t="e">
        <f>VLOOKUP(E5265,基础信息!C:E,3,FALSE)</f>
        <v>#N/A</v>
      </c>
    </row>
    <row r="5266" customHeight="1" spans="8:8">
      <c r="H5266" s="39" t="e">
        <f>VLOOKUP(E5266,基础信息!C:E,3,FALSE)</f>
        <v>#N/A</v>
      </c>
    </row>
    <row r="5267" customHeight="1" spans="8:8">
      <c r="H5267" s="39" t="e">
        <f>VLOOKUP(E5267,基础信息!C:E,3,FALSE)</f>
        <v>#N/A</v>
      </c>
    </row>
    <row r="5268" customHeight="1" spans="8:8">
      <c r="H5268" s="39" t="e">
        <f>VLOOKUP(E5268,基础信息!C:E,3,FALSE)</f>
        <v>#N/A</v>
      </c>
    </row>
    <row r="5269" customHeight="1" spans="8:8">
      <c r="H5269" s="39" t="e">
        <f>VLOOKUP(E5269,基础信息!C:E,3,FALSE)</f>
        <v>#N/A</v>
      </c>
    </row>
    <row r="5270" customHeight="1" spans="8:8">
      <c r="H5270" s="39" t="e">
        <f>VLOOKUP(E5270,基础信息!C:E,3,FALSE)</f>
        <v>#N/A</v>
      </c>
    </row>
    <row r="5271" customHeight="1" spans="8:8">
      <c r="H5271" s="39" t="e">
        <f>VLOOKUP(E5271,基础信息!C:E,3,FALSE)</f>
        <v>#N/A</v>
      </c>
    </row>
    <row r="5272" customHeight="1" spans="8:8">
      <c r="H5272" s="39" t="e">
        <f>VLOOKUP(E5272,基础信息!C:E,3,FALSE)</f>
        <v>#N/A</v>
      </c>
    </row>
    <row r="5273" customHeight="1" spans="8:8">
      <c r="H5273" s="39" t="e">
        <f>VLOOKUP(E5273,基础信息!C:E,3,FALSE)</f>
        <v>#N/A</v>
      </c>
    </row>
    <row r="5274" customHeight="1" spans="8:8">
      <c r="H5274" s="39" t="e">
        <f>VLOOKUP(E5274,基础信息!C:E,3,FALSE)</f>
        <v>#N/A</v>
      </c>
    </row>
    <row r="5275" customHeight="1" spans="8:8">
      <c r="H5275" s="39" t="e">
        <f>VLOOKUP(E5275,基础信息!C:E,3,FALSE)</f>
        <v>#N/A</v>
      </c>
    </row>
    <row r="5276" customHeight="1" spans="8:8">
      <c r="H5276" s="39" t="e">
        <f>VLOOKUP(E5276,基础信息!C:E,3,FALSE)</f>
        <v>#N/A</v>
      </c>
    </row>
    <row r="5277" customHeight="1" spans="8:8">
      <c r="H5277" s="39" t="e">
        <f>VLOOKUP(E5277,基础信息!C:E,3,FALSE)</f>
        <v>#N/A</v>
      </c>
    </row>
    <row r="5278" customHeight="1" spans="8:8">
      <c r="H5278" s="39" t="e">
        <f>VLOOKUP(E5278,基础信息!C:E,3,FALSE)</f>
        <v>#N/A</v>
      </c>
    </row>
    <row r="5279" customHeight="1" spans="8:8">
      <c r="H5279" s="39" t="e">
        <f>VLOOKUP(E5279,基础信息!C:E,3,FALSE)</f>
        <v>#N/A</v>
      </c>
    </row>
    <row r="5280" customHeight="1" spans="8:8">
      <c r="H5280" s="39" t="e">
        <f>VLOOKUP(E5280,基础信息!C:E,3,FALSE)</f>
        <v>#N/A</v>
      </c>
    </row>
    <row r="5281" customHeight="1" spans="8:8">
      <c r="H5281" s="39" t="e">
        <f>VLOOKUP(E5281,基础信息!C:E,3,FALSE)</f>
        <v>#N/A</v>
      </c>
    </row>
    <row r="5282" customHeight="1" spans="8:8">
      <c r="H5282" s="39" t="e">
        <f>VLOOKUP(E5282,基础信息!C:E,3,FALSE)</f>
        <v>#N/A</v>
      </c>
    </row>
    <row r="5283" customHeight="1" spans="8:8">
      <c r="H5283" s="39" t="e">
        <f>VLOOKUP(E5283,基础信息!C:E,3,FALSE)</f>
        <v>#N/A</v>
      </c>
    </row>
    <row r="5284" customHeight="1" spans="8:8">
      <c r="H5284" s="39" t="e">
        <f>VLOOKUP(E5284,基础信息!C:E,3,FALSE)</f>
        <v>#N/A</v>
      </c>
    </row>
    <row r="5285" customHeight="1" spans="8:8">
      <c r="H5285" s="39" t="e">
        <f>VLOOKUP(E5285,基础信息!C:E,3,FALSE)</f>
        <v>#N/A</v>
      </c>
    </row>
    <row r="5286" customHeight="1" spans="8:8">
      <c r="H5286" s="39" t="e">
        <f>VLOOKUP(E5286,基础信息!C:E,3,FALSE)</f>
        <v>#N/A</v>
      </c>
    </row>
    <row r="5287" customHeight="1" spans="8:8">
      <c r="H5287" s="39" t="e">
        <f>VLOOKUP(E5287,基础信息!C:E,3,FALSE)</f>
        <v>#N/A</v>
      </c>
    </row>
    <row r="5288" customHeight="1" spans="8:8">
      <c r="H5288" s="39" t="e">
        <f>VLOOKUP(E5288,基础信息!C:E,3,FALSE)</f>
        <v>#N/A</v>
      </c>
    </row>
    <row r="5289" customHeight="1" spans="8:8">
      <c r="H5289" s="39" t="e">
        <f>VLOOKUP(E5289,基础信息!C:E,3,FALSE)</f>
        <v>#N/A</v>
      </c>
    </row>
    <row r="5290" customHeight="1" spans="8:8">
      <c r="H5290" s="39" t="e">
        <f>VLOOKUP(E5290,基础信息!C:E,3,FALSE)</f>
        <v>#N/A</v>
      </c>
    </row>
    <row r="5291" customHeight="1" spans="8:8">
      <c r="H5291" s="39" t="e">
        <f>VLOOKUP(E5291,基础信息!C:E,3,FALSE)</f>
        <v>#N/A</v>
      </c>
    </row>
    <row r="5292" customHeight="1" spans="8:8">
      <c r="H5292" s="39" t="e">
        <f>VLOOKUP(E5292,基础信息!C:E,3,FALSE)</f>
        <v>#N/A</v>
      </c>
    </row>
    <row r="5293" customHeight="1" spans="8:8">
      <c r="H5293" s="39" t="e">
        <f>VLOOKUP(E5293,基础信息!C:E,3,FALSE)</f>
        <v>#N/A</v>
      </c>
    </row>
    <row r="5294" customHeight="1" spans="8:8">
      <c r="H5294" s="39" t="e">
        <f>VLOOKUP(E5294,基础信息!C:E,3,FALSE)</f>
        <v>#N/A</v>
      </c>
    </row>
    <row r="5295" customHeight="1" spans="8:8">
      <c r="H5295" s="39" t="e">
        <f>VLOOKUP(E5295,基础信息!C:E,3,FALSE)</f>
        <v>#N/A</v>
      </c>
    </row>
    <row r="5296" customHeight="1" spans="8:8">
      <c r="H5296" s="39" t="e">
        <f>VLOOKUP(E5296,基础信息!C:E,3,FALSE)</f>
        <v>#N/A</v>
      </c>
    </row>
    <row r="5297" customHeight="1" spans="8:8">
      <c r="H5297" s="39" t="e">
        <f>VLOOKUP(E5297,基础信息!C:E,3,FALSE)</f>
        <v>#N/A</v>
      </c>
    </row>
    <row r="5298" customHeight="1" spans="8:8">
      <c r="H5298" s="39" t="e">
        <f>VLOOKUP(E5298,基础信息!C:E,3,FALSE)</f>
        <v>#N/A</v>
      </c>
    </row>
    <row r="5299" customHeight="1" spans="8:8">
      <c r="H5299" s="39" t="e">
        <f>VLOOKUP(E5299,基础信息!C:E,3,FALSE)</f>
        <v>#N/A</v>
      </c>
    </row>
    <row r="5300" customHeight="1" spans="8:8">
      <c r="H5300" s="39" t="e">
        <f>VLOOKUP(E5300,基础信息!C:E,3,FALSE)</f>
        <v>#N/A</v>
      </c>
    </row>
    <row r="5301" customHeight="1" spans="8:8">
      <c r="H5301" s="39" t="e">
        <f>VLOOKUP(E5301,基础信息!C:E,3,FALSE)</f>
        <v>#N/A</v>
      </c>
    </row>
    <row r="5302" customHeight="1" spans="8:8">
      <c r="H5302" s="39" t="e">
        <f>VLOOKUP(E5302,基础信息!C:E,3,FALSE)</f>
        <v>#N/A</v>
      </c>
    </row>
    <row r="5303" customHeight="1" spans="8:8">
      <c r="H5303" s="39" t="e">
        <f>VLOOKUP(E5303,基础信息!C:E,3,FALSE)</f>
        <v>#N/A</v>
      </c>
    </row>
    <row r="5304" customHeight="1" spans="8:8">
      <c r="H5304" s="39" t="e">
        <f>VLOOKUP(E5304,基础信息!C:E,3,FALSE)</f>
        <v>#N/A</v>
      </c>
    </row>
    <row r="5305" customHeight="1" spans="8:8">
      <c r="H5305" s="39" t="e">
        <f>VLOOKUP(E5305,基础信息!C:E,3,FALSE)</f>
        <v>#N/A</v>
      </c>
    </row>
    <row r="5306" customHeight="1" spans="8:8">
      <c r="H5306" s="39" t="e">
        <f>VLOOKUP(E5306,基础信息!C:E,3,FALSE)</f>
        <v>#N/A</v>
      </c>
    </row>
    <row r="5307" customHeight="1" spans="8:8">
      <c r="H5307" s="39" t="e">
        <f>VLOOKUP(E5307,基础信息!C:E,3,FALSE)</f>
        <v>#N/A</v>
      </c>
    </row>
    <row r="5308" customHeight="1" spans="8:8">
      <c r="H5308" s="39" t="e">
        <f>VLOOKUP(E5308,基础信息!C:E,3,FALSE)</f>
        <v>#N/A</v>
      </c>
    </row>
    <row r="5309" customHeight="1" spans="8:8">
      <c r="H5309" s="39" t="e">
        <f>VLOOKUP(E5309,基础信息!C:E,3,FALSE)</f>
        <v>#N/A</v>
      </c>
    </row>
    <row r="5310" customHeight="1" spans="8:8">
      <c r="H5310" s="39" t="e">
        <f>VLOOKUP(E5310,基础信息!C:E,3,FALSE)</f>
        <v>#N/A</v>
      </c>
    </row>
    <row r="5311" customHeight="1" spans="8:8">
      <c r="H5311" s="39" t="e">
        <f>VLOOKUP(E5311,基础信息!C:E,3,FALSE)</f>
        <v>#N/A</v>
      </c>
    </row>
    <row r="5312" customHeight="1" spans="8:8">
      <c r="H5312" s="39" t="e">
        <f>VLOOKUP(E5312,基础信息!C:E,3,FALSE)</f>
        <v>#N/A</v>
      </c>
    </row>
    <row r="5313" customHeight="1" spans="8:8">
      <c r="H5313" s="39" t="e">
        <f>VLOOKUP(E5313,基础信息!C:E,3,FALSE)</f>
        <v>#N/A</v>
      </c>
    </row>
    <row r="5314" customHeight="1" spans="8:8">
      <c r="H5314" s="39" t="e">
        <f>VLOOKUP(E5314,基础信息!C:E,3,FALSE)</f>
        <v>#N/A</v>
      </c>
    </row>
    <row r="5315" customHeight="1" spans="8:8">
      <c r="H5315" s="39" t="e">
        <f>VLOOKUP(E5315,基础信息!C:E,3,FALSE)</f>
        <v>#N/A</v>
      </c>
    </row>
    <row r="5316" customHeight="1" spans="8:8">
      <c r="H5316" s="39" t="e">
        <f>VLOOKUP(E5316,基础信息!C:E,3,FALSE)</f>
        <v>#N/A</v>
      </c>
    </row>
    <row r="5317" customHeight="1" spans="8:8">
      <c r="H5317" s="39" t="e">
        <f>VLOOKUP(E5317,基础信息!C:E,3,FALSE)</f>
        <v>#N/A</v>
      </c>
    </row>
    <row r="5318" customHeight="1" spans="8:8">
      <c r="H5318" s="39" t="e">
        <f>VLOOKUP(E5318,基础信息!C:E,3,FALSE)</f>
        <v>#N/A</v>
      </c>
    </row>
    <row r="5319" customHeight="1" spans="8:8">
      <c r="H5319" s="39" t="e">
        <f>VLOOKUP(E5319,基础信息!C:E,3,FALSE)</f>
        <v>#N/A</v>
      </c>
    </row>
    <row r="5320" customHeight="1" spans="8:8">
      <c r="H5320" s="39" t="e">
        <f>VLOOKUP(E5320,基础信息!C:E,3,FALSE)</f>
        <v>#N/A</v>
      </c>
    </row>
    <row r="5321" customHeight="1" spans="8:8">
      <c r="H5321" s="39" t="e">
        <f>VLOOKUP(E5321,基础信息!C:E,3,FALSE)</f>
        <v>#N/A</v>
      </c>
    </row>
    <row r="5322" customHeight="1" spans="8:8">
      <c r="H5322" s="39" t="e">
        <f>VLOOKUP(E5322,基础信息!C:E,3,FALSE)</f>
        <v>#N/A</v>
      </c>
    </row>
    <row r="5323" customHeight="1" spans="8:8">
      <c r="H5323" s="39" t="e">
        <f>VLOOKUP(E5323,基础信息!C:E,3,FALSE)</f>
        <v>#N/A</v>
      </c>
    </row>
    <row r="5324" customHeight="1" spans="8:8">
      <c r="H5324" s="39" t="e">
        <f>VLOOKUP(E5324,基础信息!C:E,3,FALSE)</f>
        <v>#N/A</v>
      </c>
    </row>
    <row r="5325" customHeight="1" spans="8:8">
      <c r="H5325" s="39" t="e">
        <f>VLOOKUP(E5325,基础信息!C:E,3,FALSE)</f>
        <v>#N/A</v>
      </c>
    </row>
    <row r="5326" customHeight="1" spans="8:8">
      <c r="H5326" s="39" t="e">
        <f>VLOOKUP(E5326,基础信息!C:E,3,FALSE)</f>
        <v>#N/A</v>
      </c>
    </row>
    <row r="5327" customHeight="1" spans="8:8">
      <c r="H5327" s="39" t="e">
        <f>VLOOKUP(E5327,基础信息!C:E,3,FALSE)</f>
        <v>#N/A</v>
      </c>
    </row>
    <row r="5328" customHeight="1" spans="8:8">
      <c r="H5328" s="39" t="e">
        <f>VLOOKUP(E5328,基础信息!C:E,3,FALSE)</f>
        <v>#N/A</v>
      </c>
    </row>
    <row r="5329" customHeight="1" spans="8:8">
      <c r="H5329" s="39" t="e">
        <f>VLOOKUP(E5329,基础信息!C:E,3,FALSE)</f>
        <v>#N/A</v>
      </c>
    </row>
    <row r="5330" customHeight="1" spans="8:8">
      <c r="H5330" s="39" t="e">
        <f>VLOOKUP(E5330,基础信息!C:E,3,FALSE)</f>
        <v>#N/A</v>
      </c>
    </row>
    <row r="5331" customHeight="1" spans="8:8">
      <c r="H5331" s="39" t="e">
        <f>VLOOKUP(E5331,基础信息!C:E,3,FALSE)</f>
        <v>#N/A</v>
      </c>
    </row>
    <row r="5332" customHeight="1" spans="8:8">
      <c r="H5332" s="39" t="e">
        <f>VLOOKUP(E5332,基础信息!C:E,3,FALSE)</f>
        <v>#N/A</v>
      </c>
    </row>
    <row r="5333" customHeight="1" spans="8:8">
      <c r="H5333" s="39" t="e">
        <f>VLOOKUP(E5333,基础信息!C:E,3,FALSE)</f>
        <v>#N/A</v>
      </c>
    </row>
    <row r="5334" customHeight="1" spans="8:8">
      <c r="H5334" s="39" t="e">
        <f>VLOOKUP(E5334,基础信息!C:E,3,FALSE)</f>
        <v>#N/A</v>
      </c>
    </row>
    <row r="5335" customHeight="1" spans="8:8">
      <c r="H5335" s="39" t="e">
        <f>VLOOKUP(E5335,基础信息!C:E,3,FALSE)</f>
        <v>#N/A</v>
      </c>
    </row>
    <row r="5336" customHeight="1" spans="8:8">
      <c r="H5336" s="39" t="e">
        <f>VLOOKUP(E5336,基础信息!C:E,3,FALSE)</f>
        <v>#N/A</v>
      </c>
    </row>
    <row r="5337" customHeight="1" spans="8:8">
      <c r="H5337" s="39" t="e">
        <f>VLOOKUP(E5337,基础信息!C:E,3,FALSE)</f>
        <v>#N/A</v>
      </c>
    </row>
    <row r="5338" customHeight="1" spans="8:8">
      <c r="H5338" s="39" t="e">
        <f>VLOOKUP(E5338,基础信息!C:E,3,FALSE)</f>
        <v>#N/A</v>
      </c>
    </row>
    <row r="5339" customHeight="1" spans="8:8">
      <c r="H5339" s="39" t="e">
        <f>VLOOKUP(E5339,基础信息!C:E,3,FALSE)</f>
        <v>#N/A</v>
      </c>
    </row>
    <row r="5340" customHeight="1" spans="8:8">
      <c r="H5340" s="39" t="e">
        <f>VLOOKUP(E5340,基础信息!C:E,3,FALSE)</f>
        <v>#N/A</v>
      </c>
    </row>
    <row r="5341" customHeight="1" spans="8:8">
      <c r="H5341" s="39" t="e">
        <f>VLOOKUP(E5341,基础信息!C:E,3,FALSE)</f>
        <v>#N/A</v>
      </c>
    </row>
    <row r="5342" customHeight="1" spans="8:8">
      <c r="H5342" s="39" t="e">
        <f>VLOOKUP(E5342,基础信息!C:E,3,FALSE)</f>
        <v>#N/A</v>
      </c>
    </row>
    <row r="5343" customHeight="1" spans="8:8">
      <c r="H5343" s="39" t="e">
        <f>VLOOKUP(E5343,基础信息!C:E,3,FALSE)</f>
        <v>#N/A</v>
      </c>
    </row>
    <row r="5344" customHeight="1" spans="8:8">
      <c r="H5344" s="39" t="e">
        <f>VLOOKUP(E5344,基础信息!C:E,3,FALSE)</f>
        <v>#N/A</v>
      </c>
    </row>
    <row r="5345" customHeight="1" spans="8:8">
      <c r="H5345" s="39" t="e">
        <f>VLOOKUP(E5345,基础信息!C:E,3,FALSE)</f>
        <v>#N/A</v>
      </c>
    </row>
    <row r="5346" customHeight="1" spans="8:8">
      <c r="H5346" s="39" t="e">
        <f>VLOOKUP(E5346,基础信息!C:E,3,FALSE)</f>
        <v>#N/A</v>
      </c>
    </row>
    <row r="5347" customHeight="1" spans="8:8">
      <c r="H5347" s="39" t="e">
        <f>VLOOKUP(E5347,基础信息!C:E,3,FALSE)</f>
        <v>#N/A</v>
      </c>
    </row>
    <row r="5348" customHeight="1" spans="8:8">
      <c r="H5348" s="39" t="e">
        <f>VLOOKUP(E5348,基础信息!C:E,3,FALSE)</f>
        <v>#N/A</v>
      </c>
    </row>
    <row r="5349" customHeight="1" spans="8:8">
      <c r="H5349" s="39" t="e">
        <f>VLOOKUP(E5349,基础信息!C:E,3,FALSE)</f>
        <v>#N/A</v>
      </c>
    </row>
    <row r="5350" customHeight="1" spans="8:8">
      <c r="H5350" s="39" t="e">
        <f>VLOOKUP(E5350,基础信息!C:E,3,FALSE)</f>
        <v>#N/A</v>
      </c>
    </row>
    <row r="5351" customHeight="1" spans="8:8">
      <c r="H5351" s="39" t="e">
        <f>VLOOKUP(E5351,基础信息!C:E,3,FALSE)</f>
        <v>#N/A</v>
      </c>
    </row>
    <row r="5352" customHeight="1" spans="8:8">
      <c r="H5352" s="39" t="e">
        <f>VLOOKUP(E5352,基础信息!C:E,3,FALSE)</f>
        <v>#N/A</v>
      </c>
    </row>
    <row r="5353" customHeight="1" spans="8:8">
      <c r="H5353" s="39" t="e">
        <f>VLOOKUP(E5353,基础信息!C:E,3,FALSE)</f>
        <v>#N/A</v>
      </c>
    </row>
    <row r="5354" customHeight="1" spans="8:8">
      <c r="H5354" s="39" t="e">
        <f>VLOOKUP(E5354,基础信息!C:E,3,FALSE)</f>
        <v>#N/A</v>
      </c>
    </row>
    <row r="5355" customHeight="1" spans="8:8">
      <c r="H5355" s="39" t="e">
        <f>VLOOKUP(E5355,基础信息!C:E,3,FALSE)</f>
        <v>#N/A</v>
      </c>
    </row>
    <row r="5356" customHeight="1" spans="8:8">
      <c r="H5356" s="39" t="e">
        <f>VLOOKUP(E5356,基础信息!C:E,3,FALSE)</f>
        <v>#N/A</v>
      </c>
    </row>
    <row r="5357" customHeight="1" spans="8:8">
      <c r="H5357" s="39" t="e">
        <f>VLOOKUP(E5357,基础信息!C:E,3,FALSE)</f>
        <v>#N/A</v>
      </c>
    </row>
    <row r="5358" customHeight="1" spans="8:8">
      <c r="H5358" s="39" t="e">
        <f>VLOOKUP(E5358,基础信息!C:E,3,FALSE)</f>
        <v>#N/A</v>
      </c>
    </row>
    <row r="5359" customHeight="1" spans="8:8">
      <c r="H5359" s="39" t="e">
        <f>VLOOKUP(E5359,基础信息!C:E,3,FALSE)</f>
        <v>#N/A</v>
      </c>
    </row>
    <row r="5360" customHeight="1" spans="8:8">
      <c r="H5360" s="39" t="e">
        <f>VLOOKUP(E5360,基础信息!C:E,3,FALSE)</f>
        <v>#N/A</v>
      </c>
    </row>
    <row r="5361" customHeight="1" spans="8:8">
      <c r="H5361" s="39" t="e">
        <f>VLOOKUP(E5361,基础信息!C:E,3,FALSE)</f>
        <v>#N/A</v>
      </c>
    </row>
    <row r="5362" customHeight="1" spans="8:8">
      <c r="H5362" s="39" t="e">
        <f>VLOOKUP(E5362,基础信息!C:E,3,FALSE)</f>
        <v>#N/A</v>
      </c>
    </row>
    <row r="5363" customHeight="1" spans="8:8">
      <c r="H5363" s="39" t="e">
        <f>VLOOKUP(E5363,基础信息!C:E,3,FALSE)</f>
        <v>#N/A</v>
      </c>
    </row>
    <row r="5364" customHeight="1" spans="8:8">
      <c r="H5364" s="39" t="e">
        <f>VLOOKUP(E5364,基础信息!C:E,3,FALSE)</f>
        <v>#N/A</v>
      </c>
    </row>
    <row r="5365" customHeight="1" spans="8:8">
      <c r="H5365" s="39" t="e">
        <f>VLOOKUP(E5365,基础信息!C:E,3,FALSE)</f>
        <v>#N/A</v>
      </c>
    </row>
    <row r="5366" customHeight="1" spans="8:8">
      <c r="H5366" s="39" t="e">
        <f>VLOOKUP(E5366,基础信息!C:E,3,FALSE)</f>
        <v>#N/A</v>
      </c>
    </row>
    <row r="5367" customHeight="1" spans="8:8">
      <c r="H5367" s="39" t="e">
        <f>VLOOKUP(E5367,基础信息!C:E,3,FALSE)</f>
        <v>#N/A</v>
      </c>
    </row>
    <row r="5368" customHeight="1" spans="8:8">
      <c r="H5368" s="39" t="e">
        <f>VLOOKUP(E5368,基础信息!C:E,3,FALSE)</f>
        <v>#N/A</v>
      </c>
    </row>
    <row r="5369" customHeight="1" spans="8:8">
      <c r="H5369" s="39" t="e">
        <f>VLOOKUP(E5369,基础信息!C:E,3,FALSE)</f>
        <v>#N/A</v>
      </c>
    </row>
    <row r="5370" customHeight="1" spans="8:8">
      <c r="H5370" s="39" t="e">
        <f>VLOOKUP(E5370,基础信息!C:E,3,FALSE)</f>
        <v>#N/A</v>
      </c>
    </row>
    <row r="5371" customHeight="1" spans="8:8">
      <c r="H5371" s="39" t="e">
        <f>VLOOKUP(E5371,基础信息!C:E,3,FALSE)</f>
        <v>#N/A</v>
      </c>
    </row>
    <row r="5372" customHeight="1" spans="8:8">
      <c r="H5372" s="39" t="e">
        <f>VLOOKUP(E5372,基础信息!C:E,3,FALSE)</f>
        <v>#N/A</v>
      </c>
    </row>
    <row r="5373" customHeight="1" spans="8:8">
      <c r="H5373" s="39" t="e">
        <f>VLOOKUP(E5373,基础信息!C:E,3,FALSE)</f>
        <v>#N/A</v>
      </c>
    </row>
    <row r="5374" customHeight="1" spans="8:8">
      <c r="H5374" s="39" t="e">
        <f>VLOOKUP(E5374,基础信息!C:E,3,FALSE)</f>
        <v>#N/A</v>
      </c>
    </row>
    <row r="5375" customHeight="1" spans="8:8">
      <c r="H5375" s="39" t="e">
        <f>VLOOKUP(E5375,基础信息!C:E,3,FALSE)</f>
        <v>#N/A</v>
      </c>
    </row>
    <row r="5376" customHeight="1" spans="8:8">
      <c r="H5376" s="39" t="e">
        <f>VLOOKUP(E5376,基础信息!C:E,3,FALSE)</f>
        <v>#N/A</v>
      </c>
    </row>
    <row r="5377" customHeight="1" spans="8:8">
      <c r="H5377" s="39" t="e">
        <f>VLOOKUP(E5377,基础信息!C:E,3,FALSE)</f>
        <v>#N/A</v>
      </c>
    </row>
    <row r="5378" customHeight="1" spans="8:8">
      <c r="H5378" s="39" t="e">
        <f>VLOOKUP(E5378,基础信息!C:E,3,FALSE)</f>
        <v>#N/A</v>
      </c>
    </row>
    <row r="5379" customHeight="1" spans="8:8">
      <c r="H5379" s="39" t="e">
        <f>VLOOKUP(E5379,基础信息!C:E,3,FALSE)</f>
        <v>#N/A</v>
      </c>
    </row>
    <row r="5380" customHeight="1" spans="8:8">
      <c r="H5380" s="39" t="e">
        <f>VLOOKUP(E5380,基础信息!C:E,3,FALSE)</f>
        <v>#N/A</v>
      </c>
    </row>
    <row r="5381" customHeight="1" spans="8:8">
      <c r="H5381" s="39" t="e">
        <f>VLOOKUP(E5381,基础信息!C:E,3,FALSE)</f>
        <v>#N/A</v>
      </c>
    </row>
    <row r="5382" customHeight="1" spans="8:8">
      <c r="H5382" s="39" t="e">
        <f>VLOOKUP(E5382,基础信息!C:E,3,FALSE)</f>
        <v>#N/A</v>
      </c>
    </row>
    <row r="5383" customHeight="1" spans="8:8">
      <c r="H5383" s="39" t="e">
        <f>VLOOKUP(E5383,基础信息!C:E,3,FALSE)</f>
        <v>#N/A</v>
      </c>
    </row>
    <row r="5384" customHeight="1" spans="8:8">
      <c r="H5384" s="39" t="e">
        <f>VLOOKUP(E5384,基础信息!C:E,3,FALSE)</f>
        <v>#N/A</v>
      </c>
    </row>
    <row r="5385" customHeight="1" spans="8:8">
      <c r="H5385" s="39" t="e">
        <f>VLOOKUP(E5385,基础信息!C:E,3,FALSE)</f>
        <v>#N/A</v>
      </c>
    </row>
    <row r="5386" customHeight="1" spans="8:8">
      <c r="H5386" s="39" t="e">
        <f>VLOOKUP(E5386,基础信息!C:E,3,FALSE)</f>
        <v>#N/A</v>
      </c>
    </row>
    <row r="5387" customHeight="1" spans="8:8">
      <c r="H5387" s="39" t="e">
        <f>VLOOKUP(E5387,基础信息!C:E,3,FALSE)</f>
        <v>#N/A</v>
      </c>
    </row>
    <row r="5388" customHeight="1" spans="8:8">
      <c r="H5388" s="39" t="e">
        <f>VLOOKUP(E5388,基础信息!C:E,3,FALSE)</f>
        <v>#N/A</v>
      </c>
    </row>
    <row r="5389" customHeight="1" spans="8:8">
      <c r="H5389" s="39" t="e">
        <f>VLOOKUP(E5389,基础信息!C:E,3,FALSE)</f>
        <v>#N/A</v>
      </c>
    </row>
    <row r="5390" customHeight="1" spans="8:8">
      <c r="H5390" s="39" t="e">
        <f>VLOOKUP(E5390,基础信息!C:E,3,FALSE)</f>
        <v>#N/A</v>
      </c>
    </row>
    <row r="5391" customHeight="1" spans="8:8">
      <c r="H5391" s="39" t="e">
        <f>VLOOKUP(E5391,基础信息!C:E,3,FALSE)</f>
        <v>#N/A</v>
      </c>
    </row>
    <row r="5392" customHeight="1" spans="8:8">
      <c r="H5392" s="39" t="e">
        <f>VLOOKUP(E5392,基础信息!C:E,3,FALSE)</f>
        <v>#N/A</v>
      </c>
    </row>
    <row r="5393" customHeight="1" spans="8:8">
      <c r="H5393" s="39" t="e">
        <f>VLOOKUP(E5393,基础信息!C:E,3,FALSE)</f>
        <v>#N/A</v>
      </c>
    </row>
    <row r="5394" customHeight="1" spans="8:8">
      <c r="H5394" s="39" t="e">
        <f>VLOOKUP(E5394,基础信息!C:E,3,FALSE)</f>
        <v>#N/A</v>
      </c>
    </row>
    <row r="5395" customHeight="1" spans="8:8">
      <c r="H5395" s="39" t="e">
        <f>VLOOKUP(E5395,基础信息!C:E,3,FALSE)</f>
        <v>#N/A</v>
      </c>
    </row>
    <row r="5396" customHeight="1" spans="8:8">
      <c r="H5396" s="39" t="e">
        <f>VLOOKUP(E5396,基础信息!C:E,3,FALSE)</f>
        <v>#N/A</v>
      </c>
    </row>
    <row r="5397" customHeight="1" spans="8:8">
      <c r="H5397" s="39" t="e">
        <f>VLOOKUP(E5397,基础信息!C:E,3,FALSE)</f>
        <v>#N/A</v>
      </c>
    </row>
    <row r="5398" customHeight="1" spans="8:8">
      <c r="H5398" s="39" t="e">
        <f>VLOOKUP(E5398,基础信息!C:E,3,FALSE)</f>
        <v>#N/A</v>
      </c>
    </row>
    <row r="5399" customHeight="1" spans="8:8">
      <c r="H5399" s="39" t="e">
        <f>VLOOKUP(E5399,基础信息!C:E,3,FALSE)</f>
        <v>#N/A</v>
      </c>
    </row>
    <row r="5400" customHeight="1" spans="8:8">
      <c r="H5400" s="39" t="e">
        <f>VLOOKUP(E5400,基础信息!C:E,3,FALSE)</f>
        <v>#N/A</v>
      </c>
    </row>
    <row r="5401" customHeight="1" spans="8:8">
      <c r="H5401" s="39" t="e">
        <f>VLOOKUP(E5401,基础信息!C:E,3,FALSE)</f>
        <v>#N/A</v>
      </c>
    </row>
    <row r="5402" customHeight="1" spans="8:8">
      <c r="H5402" s="39" t="e">
        <f>VLOOKUP(E5402,基础信息!C:E,3,FALSE)</f>
        <v>#N/A</v>
      </c>
    </row>
    <row r="5403" customHeight="1" spans="8:8">
      <c r="H5403" s="39" t="e">
        <f>VLOOKUP(E5403,基础信息!C:E,3,FALSE)</f>
        <v>#N/A</v>
      </c>
    </row>
    <row r="5404" customHeight="1" spans="8:8">
      <c r="H5404" s="39" t="e">
        <f>VLOOKUP(E5404,基础信息!C:E,3,FALSE)</f>
        <v>#N/A</v>
      </c>
    </row>
    <row r="5405" customHeight="1" spans="8:8">
      <c r="H5405" s="39" t="e">
        <f>VLOOKUP(E5405,基础信息!C:E,3,FALSE)</f>
        <v>#N/A</v>
      </c>
    </row>
    <row r="5406" customHeight="1" spans="8:8">
      <c r="H5406" s="39" t="e">
        <f>VLOOKUP(E5406,基础信息!C:E,3,FALSE)</f>
        <v>#N/A</v>
      </c>
    </row>
    <row r="5407" customHeight="1" spans="8:8">
      <c r="H5407" s="39" t="e">
        <f>VLOOKUP(E5407,基础信息!C:E,3,FALSE)</f>
        <v>#N/A</v>
      </c>
    </row>
    <row r="5408" customHeight="1" spans="8:8">
      <c r="H5408" s="39" t="e">
        <f>VLOOKUP(E5408,基础信息!C:E,3,FALSE)</f>
        <v>#N/A</v>
      </c>
    </row>
    <row r="5409" customHeight="1" spans="8:8">
      <c r="H5409" s="39" t="e">
        <f>VLOOKUP(E5409,基础信息!C:E,3,FALSE)</f>
        <v>#N/A</v>
      </c>
    </row>
    <row r="5410" customHeight="1" spans="8:8">
      <c r="H5410" s="39" t="e">
        <f>VLOOKUP(E5410,基础信息!C:E,3,FALSE)</f>
        <v>#N/A</v>
      </c>
    </row>
    <row r="5411" customHeight="1" spans="8:8">
      <c r="H5411" s="39" t="e">
        <f>VLOOKUP(E5411,基础信息!C:E,3,FALSE)</f>
        <v>#N/A</v>
      </c>
    </row>
    <row r="5412" customHeight="1" spans="8:8">
      <c r="H5412" s="39" t="e">
        <f>VLOOKUP(E5412,基础信息!C:E,3,FALSE)</f>
        <v>#N/A</v>
      </c>
    </row>
    <row r="5413" customHeight="1" spans="8:8">
      <c r="H5413" s="39" t="e">
        <f>VLOOKUP(E5413,基础信息!C:E,3,FALSE)</f>
        <v>#N/A</v>
      </c>
    </row>
    <row r="5414" customHeight="1" spans="8:8">
      <c r="H5414" s="39" t="e">
        <f>VLOOKUP(E5414,基础信息!C:E,3,FALSE)</f>
        <v>#N/A</v>
      </c>
    </row>
    <row r="5415" customHeight="1" spans="8:8">
      <c r="H5415" s="39" t="e">
        <f>VLOOKUP(E5415,基础信息!C:E,3,FALSE)</f>
        <v>#N/A</v>
      </c>
    </row>
    <row r="5416" customHeight="1" spans="8:8">
      <c r="H5416" s="39" t="e">
        <f>VLOOKUP(E5416,基础信息!C:E,3,FALSE)</f>
        <v>#N/A</v>
      </c>
    </row>
    <row r="5417" customHeight="1" spans="8:8">
      <c r="H5417" s="39" t="e">
        <f>VLOOKUP(E5417,基础信息!C:E,3,FALSE)</f>
        <v>#N/A</v>
      </c>
    </row>
    <row r="5418" customHeight="1" spans="8:8">
      <c r="H5418" s="39" t="e">
        <f>VLOOKUP(E5418,基础信息!C:E,3,FALSE)</f>
        <v>#N/A</v>
      </c>
    </row>
    <row r="5419" customHeight="1" spans="8:8">
      <c r="H5419" s="39" t="e">
        <f>VLOOKUP(E5419,基础信息!C:E,3,FALSE)</f>
        <v>#N/A</v>
      </c>
    </row>
    <row r="5420" customHeight="1" spans="8:8">
      <c r="H5420" s="39" t="e">
        <f>VLOOKUP(E5420,基础信息!C:E,3,FALSE)</f>
        <v>#N/A</v>
      </c>
    </row>
    <row r="5421" customHeight="1" spans="8:8">
      <c r="H5421" s="39" t="e">
        <f>VLOOKUP(E5421,基础信息!C:E,3,FALSE)</f>
        <v>#N/A</v>
      </c>
    </row>
    <row r="5422" customHeight="1" spans="8:8">
      <c r="H5422" s="39" t="e">
        <f>VLOOKUP(E5422,基础信息!C:E,3,FALSE)</f>
        <v>#N/A</v>
      </c>
    </row>
    <row r="5423" customHeight="1" spans="8:8">
      <c r="H5423" s="39" t="e">
        <f>VLOOKUP(E5423,基础信息!C:E,3,FALSE)</f>
        <v>#N/A</v>
      </c>
    </row>
    <row r="5424" customHeight="1" spans="8:8">
      <c r="H5424" s="39" t="e">
        <f>VLOOKUP(E5424,基础信息!C:E,3,FALSE)</f>
        <v>#N/A</v>
      </c>
    </row>
    <row r="5425" customHeight="1" spans="8:8">
      <c r="H5425" s="39" t="e">
        <f>VLOOKUP(E5425,基础信息!C:E,3,FALSE)</f>
        <v>#N/A</v>
      </c>
    </row>
    <row r="5426" customHeight="1" spans="8:8">
      <c r="H5426" s="39" t="e">
        <f>VLOOKUP(E5426,基础信息!C:E,3,FALSE)</f>
        <v>#N/A</v>
      </c>
    </row>
    <row r="5427" customHeight="1" spans="8:8">
      <c r="H5427" s="39" t="e">
        <f>VLOOKUP(E5427,基础信息!C:E,3,FALSE)</f>
        <v>#N/A</v>
      </c>
    </row>
    <row r="5428" customHeight="1" spans="8:8">
      <c r="H5428" s="39" t="e">
        <f>VLOOKUP(E5428,基础信息!C:E,3,FALSE)</f>
        <v>#N/A</v>
      </c>
    </row>
    <row r="5429" customHeight="1" spans="8:8">
      <c r="H5429" s="39" t="e">
        <f>VLOOKUP(E5429,基础信息!C:E,3,FALSE)</f>
        <v>#N/A</v>
      </c>
    </row>
    <row r="5430" customHeight="1" spans="8:8">
      <c r="H5430" s="39" t="e">
        <f>VLOOKUP(E5430,基础信息!C:E,3,FALSE)</f>
        <v>#N/A</v>
      </c>
    </row>
    <row r="5431" customHeight="1" spans="8:8">
      <c r="H5431" s="39" t="e">
        <f>VLOOKUP(E5431,基础信息!C:E,3,FALSE)</f>
        <v>#N/A</v>
      </c>
    </row>
    <row r="5432" customHeight="1" spans="8:8">
      <c r="H5432" s="39" t="e">
        <f>VLOOKUP(E5432,基础信息!C:E,3,FALSE)</f>
        <v>#N/A</v>
      </c>
    </row>
    <row r="5433" customHeight="1" spans="8:8">
      <c r="H5433" s="39" t="e">
        <f>VLOOKUP(E5433,基础信息!C:E,3,FALSE)</f>
        <v>#N/A</v>
      </c>
    </row>
    <row r="5434" customHeight="1" spans="8:8">
      <c r="H5434" s="39" t="e">
        <f>VLOOKUP(E5434,基础信息!C:E,3,FALSE)</f>
        <v>#N/A</v>
      </c>
    </row>
    <row r="5435" customHeight="1" spans="8:8">
      <c r="H5435" s="39" t="e">
        <f>VLOOKUP(E5435,基础信息!C:E,3,FALSE)</f>
        <v>#N/A</v>
      </c>
    </row>
    <row r="5436" customHeight="1" spans="8:8">
      <c r="H5436" s="39" t="e">
        <f>VLOOKUP(E5436,基础信息!C:E,3,FALSE)</f>
        <v>#N/A</v>
      </c>
    </row>
    <row r="5437" customHeight="1" spans="8:8">
      <c r="H5437" s="39" t="e">
        <f>VLOOKUP(E5437,基础信息!C:E,3,FALSE)</f>
        <v>#N/A</v>
      </c>
    </row>
    <row r="5438" customHeight="1" spans="8:8">
      <c r="H5438" s="39" t="e">
        <f>VLOOKUP(E5438,基础信息!C:E,3,FALSE)</f>
        <v>#N/A</v>
      </c>
    </row>
    <row r="5439" customHeight="1" spans="8:8">
      <c r="H5439" s="39" t="e">
        <f>VLOOKUP(E5439,基础信息!C:E,3,FALSE)</f>
        <v>#N/A</v>
      </c>
    </row>
    <row r="5440" customHeight="1" spans="8:8">
      <c r="H5440" s="39" t="e">
        <f>VLOOKUP(E5440,基础信息!C:E,3,FALSE)</f>
        <v>#N/A</v>
      </c>
    </row>
    <row r="5441" customHeight="1" spans="8:8">
      <c r="H5441" s="39" t="e">
        <f>VLOOKUP(E5441,基础信息!C:E,3,FALSE)</f>
        <v>#N/A</v>
      </c>
    </row>
    <row r="5442" customHeight="1" spans="8:8">
      <c r="H5442" s="39" t="e">
        <f>VLOOKUP(E5442,基础信息!C:E,3,FALSE)</f>
        <v>#N/A</v>
      </c>
    </row>
    <row r="5443" customHeight="1" spans="8:8">
      <c r="H5443" s="39" t="e">
        <f>VLOOKUP(E5443,基础信息!C:E,3,FALSE)</f>
        <v>#N/A</v>
      </c>
    </row>
    <row r="5444" customHeight="1" spans="8:8">
      <c r="H5444" s="39" t="e">
        <f>VLOOKUP(E5444,基础信息!C:E,3,FALSE)</f>
        <v>#N/A</v>
      </c>
    </row>
    <row r="5445" customHeight="1" spans="8:8">
      <c r="H5445" s="39" t="e">
        <f>VLOOKUP(E5445,基础信息!C:E,3,FALSE)</f>
        <v>#N/A</v>
      </c>
    </row>
    <row r="5446" customHeight="1" spans="8:8">
      <c r="H5446" s="39" t="e">
        <f>VLOOKUP(E5446,基础信息!C:E,3,FALSE)</f>
        <v>#N/A</v>
      </c>
    </row>
    <row r="5447" customHeight="1" spans="8:8">
      <c r="H5447" s="39" t="e">
        <f>VLOOKUP(E5447,基础信息!C:E,3,FALSE)</f>
        <v>#N/A</v>
      </c>
    </row>
    <row r="5448" customHeight="1" spans="8:8">
      <c r="H5448" s="39" t="e">
        <f>VLOOKUP(E5448,基础信息!C:E,3,FALSE)</f>
        <v>#N/A</v>
      </c>
    </row>
    <row r="5449" customHeight="1" spans="8:8">
      <c r="H5449" s="39" t="e">
        <f>VLOOKUP(E5449,基础信息!C:E,3,FALSE)</f>
        <v>#N/A</v>
      </c>
    </row>
    <row r="5450" customHeight="1" spans="8:8">
      <c r="H5450" s="39" t="e">
        <f>VLOOKUP(E5450,基础信息!C:E,3,FALSE)</f>
        <v>#N/A</v>
      </c>
    </row>
    <row r="5451" customHeight="1" spans="8:8">
      <c r="H5451" s="39" t="e">
        <f>VLOOKUP(E5451,基础信息!C:E,3,FALSE)</f>
        <v>#N/A</v>
      </c>
    </row>
    <row r="5452" customHeight="1" spans="8:8">
      <c r="H5452" s="39" t="e">
        <f>VLOOKUP(E5452,基础信息!C:E,3,FALSE)</f>
        <v>#N/A</v>
      </c>
    </row>
    <row r="5453" customHeight="1" spans="8:8">
      <c r="H5453" s="39" t="e">
        <f>VLOOKUP(E5453,基础信息!C:E,3,FALSE)</f>
        <v>#N/A</v>
      </c>
    </row>
    <row r="5454" customHeight="1" spans="8:8">
      <c r="H5454" s="39" t="e">
        <f>VLOOKUP(E5454,基础信息!C:E,3,FALSE)</f>
        <v>#N/A</v>
      </c>
    </row>
    <row r="5455" customHeight="1" spans="8:8">
      <c r="H5455" s="39" t="e">
        <f>VLOOKUP(E5455,基础信息!C:E,3,FALSE)</f>
        <v>#N/A</v>
      </c>
    </row>
    <row r="5456" customHeight="1" spans="8:8">
      <c r="H5456" s="39" t="e">
        <f>VLOOKUP(E5456,基础信息!C:E,3,FALSE)</f>
        <v>#N/A</v>
      </c>
    </row>
    <row r="5457" customHeight="1" spans="8:8">
      <c r="H5457" s="39" t="e">
        <f>VLOOKUP(E5457,基础信息!C:E,3,FALSE)</f>
        <v>#N/A</v>
      </c>
    </row>
    <row r="5458" customHeight="1" spans="8:8">
      <c r="H5458" s="39" t="e">
        <f>VLOOKUP(E5458,基础信息!C:E,3,FALSE)</f>
        <v>#N/A</v>
      </c>
    </row>
    <row r="5459" customHeight="1" spans="8:8">
      <c r="H5459" s="39" t="e">
        <f>VLOOKUP(E5459,基础信息!C:E,3,FALSE)</f>
        <v>#N/A</v>
      </c>
    </row>
    <row r="5460" customHeight="1" spans="8:8">
      <c r="H5460" s="39" t="e">
        <f>VLOOKUP(E5460,基础信息!C:E,3,FALSE)</f>
        <v>#N/A</v>
      </c>
    </row>
    <row r="5461" customHeight="1" spans="8:8">
      <c r="H5461" s="39" t="e">
        <f>VLOOKUP(E5461,基础信息!C:E,3,FALSE)</f>
        <v>#N/A</v>
      </c>
    </row>
    <row r="5462" customHeight="1" spans="8:8">
      <c r="H5462" s="39" t="e">
        <f>VLOOKUP(E5462,基础信息!C:E,3,FALSE)</f>
        <v>#N/A</v>
      </c>
    </row>
    <row r="5463" customHeight="1" spans="8:8">
      <c r="H5463" s="39" t="e">
        <f>VLOOKUP(E5463,基础信息!C:E,3,FALSE)</f>
        <v>#N/A</v>
      </c>
    </row>
    <row r="5464" customHeight="1" spans="8:8">
      <c r="H5464" s="39" t="e">
        <f>VLOOKUP(E5464,基础信息!C:E,3,FALSE)</f>
        <v>#N/A</v>
      </c>
    </row>
    <row r="5465" customHeight="1" spans="8:8">
      <c r="H5465" s="39" t="e">
        <f>VLOOKUP(E5465,基础信息!C:E,3,FALSE)</f>
        <v>#N/A</v>
      </c>
    </row>
    <row r="5466" customHeight="1" spans="8:8">
      <c r="H5466" s="39" t="e">
        <f>VLOOKUP(E5466,基础信息!C:E,3,FALSE)</f>
        <v>#N/A</v>
      </c>
    </row>
    <row r="5467" customHeight="1" spans="8:8">
      <c r="H5467" s="39" t="e">
        <f>VLOOKUP(E5467,基础信息!C:E,3,FALSE)</f>
        <v>#N/A</v>
      </c>
    </row>
    <row r="5468" customHeight="1" spans="8:8">
      <c r="H5468" s="39" t="e">
        <f>VLOOKUP(E5468,基础信息!C:E,3,FALSE)</f>
        <v>#N/A</v>
      </c>
    </row>
    <row r="5469" customHeight="1" spans="8:8">
      <c r="H5469" s="39" t="e">
        <f>VLOOKUP(E5469,基础信息!C:E,3,FALSE)</f>
        <v>#N/A</v>
      </c>
    </row>
    <row r="5470" customHeight="1" spans="8:8">
      <c r="H5470" s="39" t="e">
        <f>VLOOKUP(E5470,基础信息!C:E,3,FALSE)</f>
        <v>#N/A</v>
      </c>
    </row>
    <row r="5471" customHeight="1" spans="8:8">
      <c r="H5471" s="39" t="e">
        <f>VLOOKUP(E5471,基础信息!C:E,3,FALSE)</f>
        <v>#N/A</v>
      </c>
    </row>
    <row r="5472" customHeight="1" spans="8:8">
      <c r="H5472" s="39" t="e">
        <f>VLOOKUP(E5472,基础信息!C:E,3,FALSE)</f>
        <v>#N/A</v>
      </c>
    </row>
    <row r="5473" customHeight="1" spans="8:8">
      <c r="H5473" s="39" t="e">
        <f>VLOOKUP(E5473,基础信息!C:E,3,FALSE)</f>
        <v>#N/A</v>
      </c>
    </row>
    <row r="5474" customHeight="1" spans="8:8">
      <c r="H5474" s="39" t="e">
        <f>VLOOKUP(E5474,基础信息!C:E,3,FALSE)</f>
        <v>#N/A</v>
      </c>
    </row>
    <row r="5475" customHeight="1" spans="8:8">
      <c r="H5475" s="39" t="e">
        <f>VLOOKUP(E5475,基础信息!C:E,3,FALSE)</f>
        <v>#N/A</v>
      </c>
    </row>
    <row r="5476" customHeight="1" spans="8:8">
      <c r="H5476" s="39" t="e">
        <f>VLOOKUP(E5476,基础信息!C:E,3,FALSE)</f>
        <v>#N/A</v>
      </c>
    </row>
    <row r="5477" customHeight="1" spans="8:8">
      <c r="H5477" s="39" t="e">
        <f>VLOOKUP(E5477,基础信息!C:E,3,FALSE)</f>
        <v>#N/A</v>
      </c>
    </row>
    <row r="5478" customHeight="1" spans="8:8">
      <c r="H5478" s="39" t="e">
        <f>VLOOKUP(E5478,基础信息!C:E,3,FALSE)</f>
        <v>#N/A</v>
      </c>
    </row>
    <row r="5479" customHeight="1" spans="8:8">
      <c r="H5479" s="39" t="e">
        <f>VLOOKUP(E5479,基础信息!C:E,3,FALSE)</f>
        <v>#N/A</v>
      </c>
    </row>
    <row r="5480" customHeight="1" spans="8:8">
      <c r="H5480" s="39" t="e">
        <f>VLOOKUP(E5480,基础信息!C:E,3,FALSE)</f>
        <v>#N/A</v>
      </c>
    </row>
    <row r="5481" customHeight="1" spans="8:8">
      <c r="H5481" s="39" t="e">
        <f>VLOOKUP(E5481,基础信息!C:E,3,FALSE)</f>
        <v>#N/A</v>
      </c>
    </row>
    <row r="5482" customHeight="1" spans="8:8">
      <c r="H5482" s="39" t="e">
        <f>VLOOKUP(E5482,基础信息!C:E,3,FALSE)</f>
        <v>#N/A</v>
      </c>
    </row>
    <row r="5483" customHeight="1" spans="8:8">
      <c r="H5483" s="39" t="e">
        <f>VLOOKUP(E5483,基础信息!C:E,3,FALSE)</f>
        <v>#N/A</v>
      </c>
    </row>
    <row r="5484" customHeight="1" spans="8:8">
      <c r="H5484" s="39" t="e">
        <f>VLOOKUP(E5484,基础信息!C:E,3,FALSE)</f>
        <v>#N/A</v>
      </c>
    </row>
    <row r="5485" customHeight="1" spans="8:8">
      <c r="H5485" s="39" t="e">
        <f>VLOOKUP(E5485,基础信息!C:E,3,FALSE)</f>
        <v>#N/A</v>
      </c>
    </row>
    <row r="5486" customHeight="1" spans="8:8">
      <c r="H5486" s="39" t="e">
        <f>VLOOKUP(E5486,基础信息!C:E,3,FALSE)</f>
        <v>#N/A</v>
      </c>
    </row>
    <row r="5487" customHeight="1" spans="8:8">
      <c r="H5487" s="39" t="e">
        <f>VLOOKUP(E5487,基础信息!C:E,3,FALSE)</f>
        <v>#N/A</v>
      </c>
    </row>
    <row r="5488" customHeight="1" spans="8:8">
      <c r="H5488" s="39" t="e">
        <f>VLOOKUP(E5488,基础信息!C:E,3,FALSE)</f>
        <v>#N/A</v>
      </c>
    </row>
    <row r="5489" customHeight="1" spans="8:8">
      <c r="H5489" s="39" t="e">
        <f>VLOOKUP(E5489,基础信息!C:E,3,FALSE)</f>
        <v>#N/A</v>
      </c>
    </row>
    <row r="5490" customHeight="1" spans="8:8">
      <c r="H5490" s="39" t="e">
        <f>VLOOKUP(E5490,基础信息!C:E,3,FALSE)</f>
        <v>#N/A</v>
      </c>
    </row>
    <row r="5491" customHeight="1" spans="8:8">
      <c r="H5491" s="39" t="e">
        <f>VLOOKUP(E5491,基础信息!C:E,3,FALSE)</f>
        <v>#N/A</v>
      </c>
    </row>
    <row r="5492" customHeight="1" spans="8:8">
      <c r="H5492" s="39" t="e">
        <f>VLOOKUP(E5492,基础信息!C:E,3,FALSE)</f>
        <v>#N/A</v>
      </c>
    </row>
    <row r="5493" customHeight="1" spans="8:8">
      <c r="H5493" s="39" t="e">
        <f>VLOOKUP(E5493,基础信息!C:E,3,FALSE)</f>
        <v>#N/A</v>
      </c>
    </row>
    <row r="5494" customHeight="1" spans="8:8">
      <c r="H5494" s="39" t="e">
        <f>VLOOKUP(E5494,基础信息!C:E,3,FALSE)</f>
        <v>#N/A</v>
      </c>
    </row>
    <row r="5495" customHeight="1" spans="8:8">
      <c r="H5495" s="39" t="e">
        <f>VLOOKUP(E5495,基础信息!C:E,3,FALSE)</f>
        <v>#N/A</v>
      </c>
    </row>
    <row r="5496" customHeight="1" spans="8:8">
      <c r="H5496" s="39" t="e">
        <f>VLOOKUP(E5496,基础信息!C:E,3,FALSE)</f>
        <v>#N/A</v>
      </c>
    </row>
    <row r="5497" customHeight="1" spans="8:8">
      <c r="H5497" s="39" t="e">
        <f>VLOOKUP(E5497,基础信息!C:E,3,FALSE)</f>
        <v>#N/A</v>
      </c>
    </row>
    <row r="5498" customHeight="1" spans="8:8">
      <c r="H5498" s="39" t="e">
        <f>VLOOKUP(E5498,基础信息!C:E,3,FALSE)</f>
        <v>#N/A</v>
      </c>
    </row>
    <row r="5499" customHeight="1" spans="8:8">
      <c r="H5499" s="39" t="e">
        <f>VLOOKUP(E5499,基础信息!C:E,3,FALSE)</f>
        <v>#N/A</v>
      </c>
    </row>
    <row r="5500" customHeight="1" spans="8:8">
      <c r="H5500" s="39" t="e">
        <f>VLOOKUP(E5500,基础信息!C:E,3,FALSE)</f>
        <v>#N/A</v>
      </c>
    </row>
    <row r="5501" customHeight="1" spans="8:8">
      <c r="H5501" s="39" t="e">
        <f>VLOOKUP(E5501,基础信息!C:E,3,FALSE)</f>
        <v>#N/A</v>
      </c>
    </row>
    <row r="5502" customHeight="1" spans="8:8">
      <c r="H5502" s="39" t="e">
        <f>VLOOKUP(E5502,基础信息!C:E,3,FALSE)</f>
        <v>#N/A</v>
      </c>
    </row>
    <row r="5503" customHeight="1" spans="8:8">
      <c r="H5503" s="39" t="e">
        <f>VLOOKUP(E5503,基础信息!C:E,3,FALSE)</f>
        <v>#N/A</v>
      </c>
    </row>
    <row r="5504" customHeight="1" spans="8:8">
      <c r="H5504" s="39" t="e">
        <f>VLOOKUP(E5504,基础信息!C:E,3,FALSE)</f>
        <v>#N/A</v>
      </c>
    </row>
    <row r="5505" customHeight="1" spans="8:8">
      <c r="H5505" s="39" t="e">
        <f>VLOOKUP(E5505,基础信息!C:E,3,FALSE)</f>
        <v>#N/A</v>
      </c>
    </row>
    <row r="5506" customHeight="1" spans="8:8">
      <c r="H5506" s="39" t="e">
        <f>VLOOKUP(E5506,基础信息!C:E,3,FALSE)</f>
        <v>#N/A</v>
      </c>
    </row>
    <row r="5507" customHeight="1" spans="8:8">
      <c r="H5507" s="39" t="e">
        <f>VLOOKUP(E5507,基础信息!C:E,3,FALSE)</f>
        <v>#N/A</v>
      </c>
    </row>
    <row r="5508" customHeight="1" spans="8:8">
      <c r="H5508" s="39" t="e">
        <f>VLOOKUP(E5508,基础信息!C:E,3,FALSE)</f>
        <v>#N/A</v>
      </c>
    </row>
    <row r="5509" customHeight="1" spans="8:8">
      <c r="H5509" s="39" t="e">
        <f>VLOOKUP(E5509,基础信息!C:E,3,FALSE)</f>
        <v>#N/A</v>
      </c>
    </row>
    <row r="5510" customHeight="1" spans="8:8">
      <c r="H5510" s="39" t="e">
        <f>VLOOKUP(E5510,基础信息!C:E,3,FALSE)</f>
        <v>#N/A</v>
      </c>
    </row>
    <row r="5511" customHeight="1" spans="8:8">
      <c r="H5511" s="39" t="e">
        <f>VLOOKUP(E5511,基础信息!C:E,3,FALSE)</f>
        <v>#N/A</v>
      </c>
    </row>
    <row r="5512" customHeight="1" spans="8:8">
      <c r="H5512" s="39" t="e">
        <f>VLOOKUP(E5512,基础信息!C:E,3,FALSE)</f>
        <v>#N/A</v>
      </c>
    </row>
    <row r="5513" customHeight="1" spans="8:8">
      <c r="H5513" s="39" t="e">
        <f>VLOOKUP(E5513,基础信息!C:E,3,FALSE)</f>
        <v>#N/A</v>
      </c>
    </row>
    <row r="5514" customHeight="1" spans="8:8">
      <c r="H5514" s="39" t="e">
        <f>VLOOKUP(E5514,基础信息!C:E,3,FALSE)</f>
        <v>#N/A</v>
      </c>
    </row>
    <row r="5515" customHeight="1" spans="8:8">
      <c r="H5515" s="39" t="e">
        <f>VLOOKUP(E5515,基础信息!C:E,3,FALSE)</f>
        <v>#N/A</v>
      </c>
    </row>
    <row r="5516" customHeight="1" spans="8:8">
      <c r="H5516" s="39" t="e">
        <f>VLOOKUP(E5516,基础信息!C:E,3,FALSE)</f>
        <v>#N/A</v>
      </c>
    </row>
    <row r="5517" customHeight="1" spans="8:8">
      <c r="H5517" s="39" t="e">
        <f>VLOOKUP(E5517,基础信息!C:E,3,FALSE)</f>
        <v>#N/A</v>
      </c>
    </row>
    <row r="5518" customHeight="1" spans="8:8">
      <c r="H5518" s="39" t="e">
        <f>VLOOKUP(E5518,基础信息!C:E,3,FALSE)</f>
        <v>#N/A</v>
      </c>
    </row>
    <row r="5519" customHeight="1" spans="8:8">
      <c r="H5519" s="39" t="e">
        <f>VLOOKUP(E5519,基础信息!C:E,3,FALSE)</f>
        <v>#N/A</v>
      </c>
    </row>
    <row r="5520" customHeight="1" spans="8:8">
      <c r="H5520" s="39" t="e">
        <f>VLOOKUP(E5520,基础信息!C:E,3,FALSE)</f>
        <v>#N/A</v>
      </c>
    </row>
    <row r="5521" customHeight="1" spans="8:8">
      <c r="H5521" s="39" t="e">
        <f>VLOOKUP(E5521,基础信息!C:E,3,FALSE)</f>
        <v>#N/A</v>
      </c>
    </row>
    <row r="5522" customHeight="1" spans="8:8">
      <c r="H5522" s="39" t="e">
        <f>VLOOKUP(E5522,基础信息!C:E,3,FALSE)</f>
        <v>#N/A</v>
      </c>
    </row>
    <row r="5523" customHeight="1" spans="8:8">
      <c r="H5523" s="39" t="e">
        <f>VLOOKUP(E5523,基础信息!C:E,3,FALSE)</f>
        <v>#N/A</v>
      </c>
    </row>
    <row r="5524" customHeight="1" spans="8:8">
      <c r="H5524" s="39" t="e">
        <f>VLOOKUP(E5524,基础信息!C:E,3,FALSE)</f>
        <v>#N/A</v>
      </c>
    </row>
    <row r="5525" customHeight="1" spans="8:8">
      <c r="H5525" s="39" t="e">
        <f>VLOOKUP(E5525,基础信息!C:E,3,FALSE)</f>
        <v>#N/A</v>
      </c>
    </row>
    <row r="5526" customHeight="1" spans="8:8">
      <c r="H5526" s="39" t="e">
        <f>VLOOKUP(E5526,基础信息!C:E,3,FALSE)</f>
        <v>#N/A</v>
      </c>
    </row>
    <row r="5527" customHeight="1" spans="8:8">
      <c r="H5527" s="39" t="e">
        <f>VLOOKUP(E5527,基础信息!C:E,3,FALSE)</f>
        <v>#N/A</v>
      </c>
    </row>
    <row r="5528" customHeight="1" spans="8:8">
      <c r="H5528" s="39" t="e">
        <f>VLOOKUP(E5528,基础信息!C:E,3,FALSE)</f>
        <v>#N/A</v>
      </c>
    </row>
    <row r="5529" customHeight="1" spans="8:8">
      <c r="H5529" s="39" t="e">
        <f>VLOOKUP(E5529,基础信息!C:E,3,FALSE)</f>
        <v>#N/A</v>
      </c>
    </row>
    <row r="5530" customHeight="1" spans="8:8">
      <c r="H5530" s="39" t="e">
        <f>VLOOKUP(E5530,基础信息!C:E,3,FALSE)</f>
        <v>#N/A</v>
      </c>
    </row>
    <row r="5531" customHeight="1" spans="8:8">
      <c r="H5531" s="39" t="e">
        <f>VLOOKUP(E5531,基础信息!C:E,3,FALSE)</f>
        <v>#N/A</v>
      </c>
    </row>
    <row r="5532" customHeight="1" spans="8:8">
      <c r="H5532" s="39" t="e">
        <f>VLOOKUP(E5532,基础信息!C:E,3,FALSE)</f>
        <v>#N/A</v>
      </c>
    </row>
    <row r="5533" customHeight="1" spans="8:8">
      <c r="H5533" s="39" t="e">
        <f>VLOOKUP(E5533,基础信息!C:E,3,FALSE)</f>
        <v>#N/A</v>
      </c>
    </row>
    <row r="5534" customHeight="1" spans="8:8">
      <c r="H5534" s="39" t="e">
        <f>VLOOKUP(E5534,基础信息!C:E,3,FALSE)</f>
        <v>#N/A</v>
      </c>
    </row>
    <row r="5535" customHeight="1" spans="8:8">
      <c r="H5535" s="39" t="e">
        <f>VLOOKUP(E5535,基础信息!C:E,3,FALSE)</f>
        <v>#N/A</v>
      </c>
    </row>
    <row r="5536" customHeight="1" spans="8:8">
      <c r="H5536" s="39" t="e">
        <f>VLOOKUP(E5536,基础信息!C:E,3,FALSE)</f>
        <v>#N/A</v>
      </c>
    </row>
    <row r="5537" customHeight="1" spans="8:8">
      <c r="H5537" s="39" t="e">
        <f>VLOOKUP(E5537,基础信息!C:E,3,FALSE)</f>
        <v>#N/A</v>
      </c>
    </row>
    <row r="5538" customHeight="1" spans="8:8">
      <c r="H5538" s="39" t="e">
        <f>VLOOKUP(E5538,基础信息!C:E,3,FALSE)</f>
        <v>#N/A</v>
      </c>
    </row>
    <row r="5539" customHeight="1" spans="8:8">
      <c r="H5539" s="39" t="e">
        <f>VLOOKUP(E5539,基础信息!C:E,3,FALSE)</f>
        <v>#N/A</v>
      </c>
    </row>
    <row r="5540" customHeight="1" spans="8:8">
      <c r="H5540" s="39" t="e">
        <f>VLOOKUP(E5540,基础信息!C:E,3,FALSE)</f>
        <v>#N/A</v>
      </c>
    </row>
    <row r="5541" customHeight="1" spans="8:8">
      <c r="H5541" s="39" t="e">
        <f>VLOOKUP(E5541,基础信息!C:E,3,FALSE)</f>
        <v>#N/A</v>
      </c>
    </row>
    <row r="5542" customHeight="1" spans="8:8">
      <c r="H5542" s="39" t="e">
        <f>VLOOKUP(E5542,基础信息!C:E,3,FALSE)</f>
        <v>#N/A</v>
      </c>
    </row>
    <row r="5543" customHeight="1" spans="8:8">
      <c r="H5543" s="39" t="e">
        <f>VLOOKUP(E5543,基础信息!C:E,3,FALSE)</f>
        <v>#N/A</v>
      </c>
    </row>
    <row r="5544" customHeight="1" spans="8:8">
      <c r="H5544" s="39" t="e">
        <f>VLOOKUP(E5544,基础信息!C:E,3,FALSE)</f>
        <v>#N/A</v>
      </c>
    </row>
    <row r="5545" customHeight="1" spans="8:8">
      <c r="H5545" s="39" t="e">
        <f>VLOOKUP(E5545,基础信息!C:E,3,FALSE)</f>
        <v>#N/A</v>
      </c>
    </row>
    <row r="5546" customHeight="1" spans="8:8">
      <c r="H5546" s="39" t="e">
        <f>VLOOKUP(E5546,基础信息!C:E,3,FALSE)</f>
        <v>#N/A</v>
      </c>
    </row>
    <row r="5547" customHeight="1" spans="8:8">
      <c r="H5547" s="39" t="e">
        <f>VLOOKUP(E5547,基础信息!C:E,3,FALSE)</f>
        <v>#N/A</v>
      </c>
    </row>
    <row r="5548" customHeight="1" spans="8:8">
      <c r="H5548" s="39" t="e">
        <f>VLOOKUP(E5548,基础信息!C:E,3,FALSE)</f>
        <v>#N/A</v>
      </c>
    </row>
    <row r="5549" customHeight="1" spans="8:8">
      <c r="H5549" s="39" t="e">
        <f>VLOOKUP(E5549,基础信息!C:E,3,FALSE)</f>
        <v>#N/A</v>
      </c>
    </row>
    <row r="5550" customHeight="1" spans="8:8">
      <c r="H5550" s="39" t="e">
        <f>VLOOKUP(E5550,基础信息!C:E,3,FALSE)</f>
        <v>#N/A</v>
      </c>
    </row>
    <row r="5551" customHeight="1" spans="8:8">
      <c r="H5551" s="39" t="e">
        <f>VLOOKUP(E5551,基础信息!C:E,3,FALSE)</f>
        <v>#N/A</v>
      </c>
    </row>
    <row r="5552" customHeight="1" spans="8:8">
      <c r="H5552" s="39" t="e">
        <f>VLOOKUP(E5552,基础信息!C:E,3,FALSE)</f>
        <v>#N/A</v>
      </c>
    </row>
    <row r="5553" customHeight="1" spans="8:8">
      <c r="H5553" s="39" t="e">
        <f>VLOOKUP(E5553,基础信息!C:E,3,FALSE)</f>
        <v>#N/A</v>
      </c>
    </row>
    <row r="5554" customHeight="1" spans="8:8">
      <c r="H5554" s="39" t="e">
        <f>VLOOKUP(E5554,基础信息!C:E,3,FALSE)</f>
        <v>#N/A</v>
      </c>
    </row>
    <row r="5555" customHeight="1" spans="8:8">
      <c r="H5555" s="39" t="e">
        <f>VLOOKUP(E5555,基础信息!C:E,3,FALSE)</f>
        <v>#N/A</v>
      </c>
    </row>
    <row r="5556" customHeight="1" spans="8:8">
      <c r="H5556" s="39" t="e">
        <f>VLOOKUP(E5556,基础信息!C:E,3,FALSE)</f>
        <v>#N/A</v>
      </c>
    </row>
    <row r="5557" customHeight="1" spans="8:8">
      <c r="H5557" s="39" t="e">
        <f>VLOOKUP(E5557,基础信息!C:E,3,FALSE)</f>
        <v>#N/A</v>
      </c>
    </row>
    <row r="5558" customHeight="1" spans="8:8">
      <c r="H5558" s="39" t="e">
        <f>VLOOKUP(E5558,基础信息!C:E,3,FALSE)</f>
        <v>#N/A</v>
      </c>
    </row>
    <row r="5559" customHeight="1" spans="8:8">
      <c r="H5559" s="39" t="e">
        <f>VLOOKUP(E5559,基础信息!C:E,3,FALSE)</f>
        <v>#N/A</v>
      </c>
    </row>
    <row r="5560" customHeight="1" spans="8:8">
      <c r="H5560" s="39" t="e">
        <f>VLOOKUP(E5560,基础信息!C:E,3,FALSE)</f>
        <v>#N/A</v>
      </c>
    </row>
    <row r="5561" customHeight="1" spans="8:8">
      <c r="H5561" s="39" t="e">
        <f>VLOOKUP(E5561,基础信息!C:E,3,FALSE)</f>
        <v>#N/A</v>
      </c>
    </row>
    <row r="5562" customHeight="1" spans="8:8">
      <c r="H5562" s="39" t="e">
        <f>VLOOKUP(E5562,基础信息!C:E,3,FALSE)</f>
        <v>#N/A</v>
      </c>
    </row>
    <row r="5563" customHeight="1" spans="8:8">
      <c r="H5563" s="39" t="e">
        <f>VLOOKUP(E5563,基础信息!C:E,3,FALSE)</f>
        <v>#N/A</v>
      </c>
    </row>
    <row r="5564" customHeight="1" spans="8:8">
      <c r="H5564" s="39" t="e">
        <f>VLOOKUP(E5564,基础信息!C:E,3,FALSE)</f>
        <v>#N/A</v>
      </c>
    </row>
    <row r="5565" customHeight="1" spans="8:8">
      <c r="H5565" s="39" t="e">
        <f>VLOOKUP(E5565,基础信息!C:E,3,FALSE)</f>
        <v>#N/A</v>
      </c>
    </row>
    <row r="5566" customHeight="1" spans="8:8">
      <c r="H5566" s="39" t="e">
        <f>VLOOKUP(E5566,基础信息!C:E,3,FALSE)</f>
        <v>#N/A</v>
      </c>
    </row>
    <row r="5567" customHeight="1" spans="8:8">
      <c r="H5567" s="39" t="e">
        <f>VLOOKUP(E5567,基础信息!C:E,3,FALSE)</f>
        <v>#N/A</v>
      </c>
    </row>
    <row r="5568" customHeight="1" spans="8:8">
      <c r="H5568" s="39" t="e">
        <f>VLOOKUP(E5568,基础信息!C:E,3,FALSE)</f>
        <v>#N/A</v>
      </c>
    </row>
    <row r="5569" customHeight="1" spans="8:8">
      <c r="H5569" s="39" t="e">
        <f>VLOOKUP(E5569,基础信息!C:E,3,FALSE)</f>
        <v>#N/A</v>
      </c>
    </row>
    <row r="5570" customHeight="1" spans="8:8">
      <c r="H5570" s="39" t="e">
        <f>VLOOKUP(E5570,基础信息!C:E,3,FALSE)</f>
        <v>#N/A</v>
      </c>
    </row>
    <row r="5571" customHeight="1" spans="8:8">
      <c r="H5571" s="39" t="e">
        <f>VLOOKUP(E5571,基础信息!C:E,3,FALSE)</f>
        <v>#N/A</v>
      </c>
    </row>
    <row r="5572" customHeight="1" spans="8:8">
      <c r="H5572" s="39" t="e">
        <f>VLOOKUP(E5572,基础信息!C:E,3,FALSE)</f>
        <v>#N/A</v>
      </c>
    </row>
    <row r="5573" customHeight="1" spans="8:8">
      <c r="H5573" s="39" t="e">
        <f>VLOOKUP(E5573,基础信息!C:E,3,FALSE)</f>
        <v>#N/A</v>
      </c>
    </row>
    <row r="5574" customHeight="1" spans="8:8">
      <c r="H5574" s="39" t="e">
        <f>VLOOKUP(E5574,基础信息!C:E,3,FALSE)</f>
        <v>#N/A</v>
      </c>
    </row>
    <row r="5575" customHeight="1" spans="8:8">
      <c r="H5575" s="39" t="e">
        <f>VLOOKUP(E5575,基础信息!C:E,3,FALSE)</f>
        <v>#N/A</v>
      </c>
    </row>
    <row r="5576" customHeight="1" spans="8:8">
      <c r="H5576" s="39" t="e">
        <f>VLOOKUP(E5576,基础信息!C:E,3,FALSE)</f>
        <v>#N/A</v>
      </c>
    </row>
    <row r="5577" customHeight="1" spans="8:8">
      <c r="H5577" s="39" t="e">
        <f>VLOOKUP(E5577,基础信息!C:E,3,FALSE)</f>
        <v>#N/A</v>
      </c>
    </row>
    <row r="5578" customHeight="1" spans="8:8">
      <c r="H5578" s="39" t="e">
        <f>VLOOKUP(E5578,基础信息!C:E,3,FALSE)</f>
        <v>#N/A</v>
      </c>
    </row>
    <row r="5579" customHeight="1" spans="8:8">
      <c r="H5579" s="39" t="e">
        <f>VLOOKUP(E5579,基础信息!C:E,3,FALSE)</f>
        <v>#N/A</v>
      </c>
    </row>
    <row r="5580" customHeight="1" spans="8:8">
      <c r="H5580" s="39" t="e">
        <f>VLOOKUP(E5580,基础信息!C:E,3,FALSE)</f>
        <v>#N/A</v>
      </c>
    </row>
    <row r="5581" customHeight="1" spans="8:8">
      <c r="H5581" s="39" t="e">
        <f>VLOOKUP(E5581,基础信息!C:E,3,FALSE)</f>
        <v>#N/A</v>
      </c>
    </row>
    <row r="5582" customHeight="1" spans="8:8">
      <c r="H5582" s="39" t="e">
        <f>VLOOKUP(E5582,基础信息!C:E,3,FALSE)</f>
        <v>#N/A</v>
      </c>
    </row>
    <row r="5583" customHeight="1" spans="8:8">
      <c r="H5583" s="39" t="e">
        <f>VLOOKUP(E5583,基础信息!C:E,3,FALSE)</f>
        <v>#N/A</v>
      </c>
    </row>
    <row r="5584" customHeight="1" spans="8:8">
      <c r="H5584" s="39" t="e">
        <f>VLOOKUP(E5584,基础信息!C:E,3,FALSE)</f>
        <v>#N/A</v>
      </c>
    </row>
    <row r="5585" customHeight="1" spans="8:8">
      <c r="H5585" s="39" t="e">
        <f>VLOOKUP(E5585,基础信息!C:E,3,FALSE)</f>
        <v>#N/A</v>
      </c>
    </row>
    <row r="5586" customHeight="1" spans="8:8">
      <c r="H5586" s="39" t="e">
        <f>VLOOKUP(E5586,基础信息!C:E,3,FALSE)</f>
        <v>#N/A</v>
      </c>
    </row>
    <row r="5587" customHeight="1" spans="8:8">
      <c r="H5587" s="39" t="e">
        <f>VLOOKUP(E5587,基础信息!C:E,3,FALSE)</f>
        <v>#N/A</v>
      </c>
    </row>
    <row r="5588" customHeight="1" spans="8:8">
      <c r="H5588" s="39" t="e">
        <f>VLOOKUP(E5588,基础信息!C:E,3,FALSE)</f>
        <v>#N/A</v>
      </c>
    </row>
    <row r="5589" customHeight="1" spans="8:8">
      <c r="H5589" s="39" t="e">
        <f>VLOOKUP(E5589,基础信息!C:E,3,FALSE)</f>
        <v>#N/A</v>
      </c>
    </row>
    <row r="5590" customHeight="1" spans="8:8">
      <c r="H5590" s="39" t="e">
        <f>VLOOKUP(E5590,基础信息!C:E,3,FALSE)</f>
        <v>#N/A</v>
      </c>
    </row>
    <row r="5591" customHeight="1" spans="8:8">
      <c r="H5591" s="39" t="e">
        <f>VLOOKUP(E5591,基础信息!C:E,3,FALSE)</f>
        <v>#N/A</v>
      </c>
    </row>
    <row r="5592" customHeight="1" spans="8:8">
      <c r="H5592" s="39" t="e">
        <f>VLOOKUP(E5592,基础信息!C:E,3,FALSE)</f>
        <v>#N/A</v>
      </c>
    </row>
    <row r="5593" customHeight="1" spans="8:8">
      <c r="H5593" s="39" t="e">
        <f>VLOOKUP(E5593,基础信息!C:E,3,FALSE)</f>
        <v>#N/A</v>
      </c>
    </row>
    <row r="5594" customHeight="1" spans="8:8">
      <c r="H5594" s="39" t="e">
        <f>VLOOKUP(E5594,基础信息!C:E,3,FALSE)</f>
        <v>#N/A</v>
      </c>
    </row>
    <row r="5595" customHeight="1" spans="8:8">
      <c r="H5595" s="39" t="e">
        <f>VLOOKUP(E5595,基础信息!C:E,3,FALSE)</f>
        <v>#N/A</v>
      </c>
    </row>
    <row r="5596" customHeight="1" spans="8:8">
      <c r="H5596" s="39" t="e">
        <f>VLOOKUP(E5596,基础信息!C:E,3,FALSE)</f>
        <v>#N/A</v>
      </c>
    </row>
    <row r="5597" customHeight="1" spans="8:8">
      <c r="H5597" s="39" t="e">
        <f>VLOOKUP(E5597,基础信息!C:E,3,FALSE)</f>
        <v>#N/A</v>
      </c>
    </row>
    <row r="5598" customHeight="1" spans="8:8">
      <c r="H5598" s="39" t="e">
        <f>VLOOKUP(E5598,基础信息!C:E,3,FALSE)</f>
        <v>#N/A</v>
      </c>
    </row>
    <row r="5599" customHeight="1" spans="8:8">
      <c r="H5599" s="39" t="e">
        <f>VLOOKUP(E5599,基础信息!C:E,3,FALSE)</f>
        <v>#N/A</v>
      </c>
    </row>
    <row r="5600" customHeight="1" spans="8:8">
      <c r="H5600" s="39" t="e">
        <f>VLOOKUP(E5600,基础信息!C:E,3,FALSE)</f>
        <v>#N/A</v>
      </c>
    </row>
    <row r="5601" customHeight="1" spans="8:8">
      <c r="H5601" s="39" t="e">
        <f>VLOOKUP(E5601,基础信息!C:E,3,FALSE)</f>
        <v>#N/A</v>
      </c>
    </row>
    <row r="5602" customHeight="1" spans="8:8">
      <c r="H5602" s="39" t="e">
        <f>VLOOKUP(E5602,基础信息!C:E,3,FALSE)</f>
        <v>#N/A</v>
      </c>
    </row>
    <row r="5603" customHeight="1" spans="8:8">
      <c r="H5603" s="39" t="e">
        <f>VLOOKUP(E5603,基础信息!C:E,3,FALSE)</f>
        <v>#N/A</v>
      </c>
    </row>
    <row r="5604" customHeight="1" spans="8:8">
      <c r="H5604" s="39" t="e">
        <f>VLOOKUP(E5604,基础信息!C:E,3,FALSE)</f>
        <v>#N/A</v>
      </c>
    </row>
    <row r="5605" customHeight="1" spans="8:8">
      <c r="H5605" s="39" t="e">
        <f>VLOOKUP(E5605,基础信息!C:E,3,FALSE)</f>
        <v>#N/A</v>
      </c>
    </row>
    <row r="5606" customHeight="1" spans="8:8">
      <c r="H5606" s="39" t="e">
        <f>VLOOKUP(E5606,基础信息!C:E,3,FALSE)</f>
        <v>#N/A</v>
      </c>
    </row>
    <row r="5607" customHeight="1" spans="8:8">
      <c r="H5607" s="39" t="e">
        <f>VLOOKUP(E5607,基础信息!C:E,3,FALSE)</f>
        <v>#N/A</v>
      </c>
    </row>
    <row r="5608" customHeight="1" spans="8:8">
      <c r="H5608" s="39" t="e">
        <f>VLOOKUP(E5608,基础信息!C:E,3,FALSE)</f>
        <v>#N/A</v>
      </c>
    </row>
    <row r="5609" customHeight="1" spans="8:8">
      <c r="H5609" s="39" t="e">
        <f>VLOOKUP(E5609,基础信息!C:E,3,FALSE)</f>
        <v>#N/A</v>
      </c>
    </row>
    <row r="5610" customHeight="1" spans="8:8">
      <c r="H5610" s="39" t="e">
        <f>VLOOKUP(E5610,基础信息!C:E,3,FALSE)</f>
        <v>#N/A</v>
      </c>
    </row>
    <row r="5611" customHeight="1" spans="8:8">
      <c r="H5611" s="39" t="e">
        <f>VLOOKUP(E5611,基础信息!C:E,3,FALSE)</f>
        <v>#N/A</v>
      </c>
    </row>
    <row r="5612" customHeight="1" spans="8:8">
      <c r="H5612" s="39" t="e">
        <f>VLOOKUP(E5612,基础信息!C:E,3,FALSE)</f>
        <v>#N/A</v>
      </c>
    </row>
    <row r="5613" customHeight="1" spans="8:8">
      <c r="H5613" s="39" t="e">
        <f>VLOOKUP(E5613,基础信息!C:E,3,FALSE)</f>
        <v>#N/A</v>
      </c>
    </row>
    <row r="5614" customHeight="1" spans="8:8">
      <c r="H5614" s="39" t="e">
        <f>VLOOKUP(E5614,基础信息!C:E,3,FALSE)</f>
        <v>#N/A</v>
      </c>
    </row>
    <row r="5615" customHeight="1" spans="8:8">
      <c r="H5615" s="39" t="e">
        <f>VLOOKUP(E5615,基础信息!C:E,3,FALSE)</f>
        <v>#N/A</v>
      </c>
    </row>
    <row r="5616" customHeight="1" spans="8:8">
      <c r="H5616" s="39" t="e">
        <f>VLOOKUP(E5616,基础信息!C:E,3,FALSE)</f>
        <v>#N/A</v>
      </c>
    </row>
    <row r="5617" customHeight="1" spans="8:8">
      <c r="H5617" s="39" t="e">
        <f>VLOOKUP(E5617,基础信息!C:E,3,FALSE)</f>
        <v>#N/A</v>
      </c>
    </row>
    <row r="5618" customHeight="1" spans="8:8">
      <c r="H5618" s="39" t="e">
        <f>VLOOKUP(E5618,基础信息!C:E,3,FALSE)</f>
        <v>#N/A</v>
      </c>
    </row>
    <row r="5619" customHeight="1" spans="8:8">
      <c r="H5619" s="39" t="e">
        <f>VLOOKUP(E5619,基础信息!C:E,3,FALSE)</f>
        <v>#N/A</v>
      </c>
    </row>
    <row r="5620" customHeight="1" spans="8:8">
      <c r="H5620" s="39" t="e">
        <f>VLOOKUP(E5620,基础信息!C:E,3,FALSE)</f>
        <v>#N/A</v>
      </c>
    </row>
    <row r="5621" customHeight="1" spans="8:8">
      <c r="H5621" s="39" t="e">
        <f>VLOOKUP(E5621,基础信息!C:E,3,FALSE)</f>
        <v>#N/A</v>
      </c>
    </row>
    <row r="5622" customHeight="1" spans="8:8">
      <c r="H5622" s="39" t="e">
        <f>VLOOKUP(E5622,基础信息!C:E,3,FALSE)</f>
        <v>#N/A</v>
      </c>
    </row>
    <row r="5623" customHeight="1" spans="8:8">
      <c r="H5623" s="39" t="e">
        <f>VLOOKUP(E5623,基础信息!C:E,3,FALSE)</f>
        <v>#N/A</v>
      </c>
    </row>
    <row r="5624" customHeight="1" spans="8:8">
      <c r="H5624" s="39" t="e">
        <f>VLOOKUP(E5624,基础信息!C:E,3,FALSE)</f>
        <v>#N/A</v>
      </c>
    </row>
    <row r="5625" customHeight="1" spans="8:8">
      <c r="H5625" s="39" t="e">
        <f>VLOOKUP(E5625,基础信息!C:E,3,FALSE)</f>
        <v>#N/A</v>
      </c>
    </row>
    <row r="5626" customHeight="1" spans="8:8">
      <c r="H5626" s="39" t="e">
        <f>VLOOKUP(E5626,基础信息!C:E,3,FALSE)</f>
        <v>#N/A</v>
      </c>
    </row>
    <row r="5627" customHeight="1" spans="8:8">
      <c r="H5627" s="39" t="e">
        <f>VLOOKUP(E5627,基础信息!C:E,3,FALSE)</f>
        <v>#N/A</v>
      </c>
    </row>
    <row r="5628" customHeight="1" spans="8:8">
      <c r="H5628" s="39" t="e">
        <f>VLOOKUP(E5628,基础信息!C:E,3,FALSE)</f>
        <v>#N/A</v>
      </c>
    </row>
    <row r="5629" customHeight="1" spans="8:8">
      <c r="H5629" s="39" t="e">
        <f>VLOOKUP(E5629,基础信息!C:E,3,FALSE)</f>
        <v>#N/A</v>
      </c>
    </row>
    <row r="5630" customHeight="1" spans="8:8">
      <c r="H5630" s="39" t="e">
        <f>VLOOKUP(E5630,基础信息!C:E,3,FALSE)</f>
        <v>#N/A</v>
      </c>
    </row>
    <row r="5631" customHeight="1" spans="8:8">
      <c r="H5631" s="39" t="e">
        <f>VLOOKUP(E5631,基础信息!C:E,3,FALSE)</f>
        <v>#N/A</v>
      </c>
    </row>
    <row r="5632" customHeight="1" spans="8:8">
      <c r="H5632" s="39" t="e">
        <f>VLOOKUP(E5632,基础信息!C:E,3,FALSE)</f>
        <v>#N/A</v>
      </c>
    </row>
    <row r="5633" customHeight="1" spans="8:8">
      <c r="H5633" s="39" t="e">
        <f>VLOOKUP(E5633,基础信息!C:E,3,FALSE)</f>
        <v>#N/A</v>
      </c>
    </row>
    <row r="5634" customHeight="1" spans="8:8">
      <c r="H5634" s="39" t="e">
        <f>VLOOKUP(E5634,基础信息!C:E,3,FALSE)</f>
        <v>#N/A</v>
      </c>
    </row>
    <row r="5635" customHeight="1" spans="8:8">
      <c r="H5635" s="39" t="e">
        <f>VLOOKUP(E5635,基础信息!C:E,3,FALSE)</f>
        <v>#N/A</v>
      </c>
    </row>
    <row r="5636" customHeight="1" spans="8:8">
      <c r="H5636" s="39" t="e">
        <f>VLOOKUP(E5636,基础信息!C:E,3,FALSE)</f>
        <v>#N/A</v>
      </c>
    </row>
    <row r="5637" customHeight="1" spans="8:8">
      <c r="H5637" s="39" t="e">
        <f>VLOOKUP(E5637,基础信息!C:E,3,FALSE)</f>
        <v>#N/A</v>
      </c>
    </row>
    <row r="5638" customHeight="1" spans="8:8">
      <c r="H5638" s="39" t="e">
        <f>VLOOKUP(E5638,基础信息!C:E,3,FALSE)</f>
        <v>#N/A</v>
      </c>
    </row>
    <row r="5639" customHeight="1" spans="8:8">
      <c r="H5639" s="39" t="e">
        <f>VLOOKUP(E5639,基础信息!C:E,3,FALSE)</f>
        <v>#N/A</v>
      </c>
    </row>
    <row r="5640" customHeight="1" spans="8:8">
      <c r="H5640" s="39" t="e">
        <f>VLOOKUP(E5640,基础信息!C:E,3,FALSE)</f>
        <v>#N/A</v>
      </c>
    </row>
    <row r="5641" customHeight="1" spans="8:8">
      <c r="H5641" s="39" t="e">
        <f>VLOOKUP(E5641,基础信息!C:E,3,FALSE)</f>
        <v>#N/A</v>
      </c>
    </row>
    <row r="5642" customHeight="1" spans="8:8">
      <c r="H5642" s="39" t="e">
        <f>VLOOKUP(E5642,基础信息!C:E,3,FALSE)</f>
        <v>#N/A</v>
      </c>
    </row>
    <row r="5643" customHeight="1" spans="8:8">
      <c r="H5643" s="39" t="e">
        <f>VLOOKUP(E5643,基础信息!C:E,3,FALSE)</f>
        <v>#N/A</v>
      </c>
    </row>
    <row r="5644" customHeight="1" spans="8:8">
      <c r="H5644" s="39" t="e">
        <f>VLOOKUP(E5644,基础信息!C:E,3,FALSE)</f>
        <v>#N/A</v>
      </c>
    </row>
    <row r="5645" customHeight="1" spans="8:8">
      <c r="H5645" s="39" t="e">
        <f>VLOOKUP(E5645,基础信息!C:E,3,FALSE)</f>
        <v>#N/A</v>
      </c>
    </row>
    <row r="5646" customHeight="1" spans="8:8">
      <c r="H5646" s="39" t="e">
        <f>VLOOKUP(E5646,基础信息!C:E,3,FALSE)</f>
        <v>#N/A</v>
      </c>
    </row>
    <row r="5647" customHeight="1" spans="8:8">
      <c r="H5647" s="39" t="e">
        <f>VLOOKUP(E5647,基础信息!C:E,3,FALSE)</f>
        <v>#N/A</v>
      </c>
    </row>
    <row r="5648" customHeight="1" spans="8:8">
      <c r="H5648" s="39" t="e">
        <f>VLOOKUP(E5648,基础信息!C:E,3,FALSE)</f>
        <v>#N/A</v>
      </c>
    </row>
    <row r="5649" customHeight="1" spans="8:8">
      <c r="H5649" s="39" t="e">
        <f>VLOOKUP(E5649,基础信息!C:E,3,FALSE)</f>
        <v>#N/A</v>
      </c>
    </row>
    <row r="5650" customHeight="1" spans="8:8">
      <c r="H5650" s="39" t="e">
        <f>VLOOKUP(E5650,基础信息!C:E,3,FALSE)</f>
        <v>#N/A</v>
      </c>
    </row>
    <row r="5651" customHeight="1" spans="8:8">
      <c r="H5651" s="39" t="e">
        <f>VLOOKUP(E5651,基础信息!C:E,3,FALSE)</f>
        <v>#N/A</v>
      </c>
    </row>
    <row r="5652" customHeight="1" spans="8:8">
      <c r="H5652" s="39" t="e">
        <f>VLOOKUP(E5652,基础信息!C:E,3,FALSE)</f>
        <v>#N/A</v>
      </c>
    </row>
    <row r="5653" customHeight="1" spans="8:8">
      <c r="H5653" s="39" t="e">
        <f>VLOOKUP(E5653,基础信息!C:E,3,FALSE)</f>
        <v>#N/A</v>
      </c>
    </row>
    <row r="5654" customHeight="1" spans="8:8">
      <c r="H5654" s="39" t="e">
        <f>VLOOKUP(E5654,基础信息!C:E,3,FALSE)</f>
        <v>#N/A</v>
      </c>
    </row>
    <row r="5655" customHeight="1" spans="8:8">
      <c r="H5655" s="39" t="e">
        <f>VLOOKUP(E5655,基础信息!C:E,3,FALSE)</f>
        <v>#N/A</v>
      </c>
    </row>
    <row r="5656" customHeight="1" spans="8:8">
      <c r="H5656" s="39" t="e">
        <f>VLOOKUP(E5656,基础信息!C:E,3,FALSE)</f>
        <v>#N/A</v>
      </c>
    </row>
    <row r="5657" customHeight="1" spans="8:8">
      <c r="H5657" s="39" t="e">
        <f>VLOOKUP(E5657,基础信息!C:E,3,FALSE)</f>
        <v>#N/A</v>
      </c>
    </row>
    <row r="5658" customHeight="1" spans="8:8">
      <c r="H5658" s="39" t="e">
        <f>VLOOKUP(E5658,基础信息!C:E,3,FALSE)</f>
        <v>#N/A</v>
      </c>
    </row>
    <row r="5659" customHeight="1" spans="8:8">
      <c r="H5659" s="39" t="e">
        <f>VLOOKUP(E5659,基础信息!C:E,3,FALSE)</f>
        <v>#N/A</v>
      </c>
    </row>
    <row r="5660" customHeight="1" spans="8:8">
      <c r="H5660" s="39" t="e">
        <f>VLOOKUP(E5660,基础信息!C:E,3,FALSE)</f>
        <v>#N/A</v>
      </c>
    </row>
    <row r="5661" customHeight="1" spans="8:8">
      <c r="H5661" s="39" t="e">
        <f>VLOOKUP(E5661,基础信息!C:E,3,FALSE)</f>
        <v>#N/A</v>
      </c>
    </row>
    <row r="5662" customHeight="1" spans="8:8">
      <c r="H5662" s="39" t="e">
        <f>VLOOKUP(E5662,基础信息!C:E,3,FALSE)</f>
        <v>#N/A</v>
      </c>
    </row>
    <row r="5663" customHeight="1" spans="8:8">
      <c r="H5663" s="39" t="e">
        <f>VLOOKUP(E5663,基础信息!C:E,3,FALSE)</f>
        <v>#N/A</v>
      </c>
    </row>
    <row r="5664" customHeight="1" spans="8:8">
      <c r="H5664" s="39" t="e">
        <f>VLOOKUP(E5664,基础信息!C:E,3,FALSE)</f>
        <v>#N/A</v>
      </c>
    </row>
    <row r="5665" customHeight="1" spans="8:8">
      <c r="H5665" s="39" t="e">
        <f>VLOOKUP(E5665,基础信息!C:E,3,FALSE)</f>
        <v>#N/A</v>
      </c>
    </row>
    <row r="5666" customHeight="1" spans="8:8">
      <c r="H5666" s="39" t="e">
        <f>VLOOKUP(E5666,基础信息!C:E,3,FALSE)</f>
        <v>#N/A</v>
      </c>
    </row>
    <row r="5667" customHeight="1" spans="8:8">
      <c r="H5667" s="39" t="e">
        <f>VLOOKUP(E5667,基础信息!C:E,3,FALSE)</f>
        <v>#N/A</v>
      </c>
    </row>
    <row r="5668" customHeight="1" spans="8:8">
      <c r="H5668" s="39" t="e">
        <f>VLOOKUP(E5668,基础信息!C:E,3,FALSE)</f>
        <v>#N/A</v>
      </c>
    </row>
    <row r="5669" customHeight="1" spans="8:8">
      <c r="H5669" s="39" t="e">
        <f>VLOOKUP(E5669,基础信息!C:E,3,FALSE)</f>
        <v>#N/A</v>
      </c>
    </row>
    <row r="5670" customHeight="1" spans="8:8">
      <c r="H5670" s="39" t="e">
        <f>VLOOKUP(E5670,基础信息!C:E,3,FALSE)</f>
        <v>#N/A</v>
      </c>
    </row>
    <row r="5671" customHeight="1" spans="8:8">
      <c r="H5671" s="39" t="e">
        <f>VLOOKUP(E5671,基础信息!C:E,3,FALSE)</f>
        <v>#N/A</v>
      </c>
    </row>
    <row r="5672" customHeight="1" spans="8:8">
      <c r="H5672" s="39" t="e">
        <f>VLOOKUP(E5672,基础信息!C:E,3,FALSE)</f>
        <v>#N/A</v>
      </c>
    </row>
    <row r="5673" customHeight="1" spans="8:8">
      <c r="H5673" s="39" t="e">
        <f>VLOOKUP(E5673,基础信息!C:E,3,FALSE)</f>
        <v>#N/A</v>
      </c>
    </row>
    <row r="5674" customHeight="1" spans="8:8">
      <c r="H5674" s="39" t="e">
        <f>VLOOKUP(E5674,基础信息!C:E,3,FALSE)</f>
        <v>#N/A</v>
      </c>
    </row>
    <row r="5675" customHeight="1" spans="8:8">
      <c r="H5675" s="39" t="e">
        <f>VLOOKUP(E5675,基础信息!C:E,3,FALSE)</f>
        <v>#N/A</v>
      </c>
    </row>
    <row r="5676" customHeight="1" spans="8:8">
      <c r="H5676" s="39" t="e">
        <f>VLOOKUP(E5676,基础信息!C:E,3,FALSE)</f>
        <v>#N/A</v>
      </c>
    </row>
    <row r="5677" customHeight="1" spans="8:8">
      <c r="H5677" s="39" t="e">
        <f>VLOOKUP(E5677,基础信息!C:E,3,FALSE)</f>
        <v>#N/A</v>
      </c>
    </row>
    <row r="5678" customHeight="1" spans="8:8">
      <c r="H5678" s="39" t="e">
        <f>VLOOKUP(E5678,基础信息!C:E,3,FALSE)</f>
        <v>#N/A</v>
      </c>
    </row>
    <row r="5679" customHeight="1" spans="8:8">
      <c r="H5679" s="39" t="e">
        <f>VLOOKUP(E5679,基础信息!C:E,3,FALSE)</f>
        <v>#N/A</v>
      </c>
    </row>
    <row r="5680" customHeight="1" spans="8:8">
      <c r="H5680" s="39" t="e">
        <f>VLOOKUP(E5680,基础信息!C:E,3,FALSE)</f>
        <v>#N/A</v>
      </c>
    </row>
    <row r="5681" customHeight="1" spans="8:8">
      <c r="H5681" s="39" t="e">
        <f>VLOOKUP(E5681,基础信息!C:E,3,FALSE)</f>
        <v>#N/A</v>
      </c>
    </row>
    <row r="5682" customHeight="1" spans="8:8">
      <c r="H5682" s="39" t="e">
        <f>VLOOKUP(E5682,基础信息!C:E,3,FALSE)</f>
        <v>#N/A</v>
      </c>
    </row>
    <row r="5683" customHeight="1" spans="8:8">
      <c r="H5683" s="39" t="e">
        <f>VLOOKUP(E5683,基础信息!C:E,3,FALSE)</f>
        <v>#N/A</v>
      </c>
    </row>
    <row r="5684" customHeight="1" spans="8:8">
      <c r="H5684" s="39" t="e">
        <f>VLOOKUP(E5684,基础信息!C:E,3,FALSE)</f>
        <v>#N/A</v>
      </c>
    </row>
    <row r="5685" customHeight="1" spans="8:8">
      <c r="H5685" s="39" t="e">
        <f>VLOOKUP(E5685,基础信息!C:E,3,FALSE)</f>
        <v>#N/A</v>
      </c>
    </row>
    <row r="5686" customHeight="1" spans="8:8">
      <c r="H5686" s="39" t="e">
        <f>VLOOKUP(E5686,基础信息!C:E,3,FALSE)</f>
        <v>#N/A</v>
      </c>
    </row>
    <row r="5687" customHeight="1" spans="8:8">
      <c r="H5687" s="39" t="e">
        <f>VLOOKUP(E5687,基础信息!C:E,3,FALSE)</f>
        <v>#N/A</v>
      </c>
    </row>
    <row r="5688" customHeight="1" spans="8:8">
      <c r="H5688" s="39" t="e">
        <f>VLOOKUP(E5688,基础信息!C:E,3,FALSE)</f>
        <v>#N/A</v>
      </c>
    </row>
    <row r="5689" customHeight="1" spans="8:8">
      <c r="H5689" s="39" t="e">
        <f>VLOOKUP(E5689,基础信息!C:E,3,FALSE)</f>
        <v>#N/A</v>
      </c>
    </row>
    <row r="5690" customHeight="1" spans="8:8">
      <c r="H5690" s="39" t="e">
        <f>VLOOKUP(E5690,基础信息!C:E,3,FALSE)</f>
        <v>#N/A</v>
      </c>
    </row>
    <row r="5691" customHeight="1" spans="8:8">
      <c r="H5691" s="39" t="e">
        <f>VLOOKUP(E5691,基础信息!C:E,3,FALSE)</f>
        <v>#N/A</v>
      </c>
    </row>
    <row r="5692" customHeight="1" spans="8:8">
      <c r="H5692" s="39" t="e">
        <f>VLOOKUP(E5692,基础信息!C:E,3,FALSE)</f>
        <v>#N/A</v>
      </c>
    </row>
    <row r="5693" customHeight="1" spans="8:8">
      <c r="H5693" s="39" t="e">
        <f>VLOOKUP(E5693,基础信息!C:E,3,FALSE)</f>
        <v>#N/A</v>
      </c>
    </row>
    <row r="5694" customHeight="1" spans="8:8">
      <c r="H5694" s="39" t="e">
        <f>VLOOKUP(E5694,基础信息!C:E,3,FALSE)</f>
        <v>#N/A</v>
      </c>
    </row>
    <row r="5695" customHeight="1" spans="8:8">
      <c r="H5695" s="39" t="e">
        <f>VLOOKUP(E5695,基础信息!C:E,3,FALSE)</f>
        <v>#N/A</v>
      </c>
    </row>
    <row r="5696" customHeight="1" spans="8:8">
      <c r="H5696" s="39" t="e">
        <f>VLOOKUP(E5696,基础信息!C:E,3,FALSE)</f>
        <v>#N/A</v>
      </c>
    </row>
    <row r="5697" customHeight="1" spans="8:8">
      <c r="H5697" s="39" t="e">
        <f>VLOOKUP(E5697,基础信息!C:E,3,FALSE)</f>
        <v>#N/A</v>
      </c>
    </row>
    <row r="5698" customHeight="1" spans="8:8">
      <c r="H5698" s="39" t="e">
        <f>VLOOKUP(E5698,基础信息!C:E,3,FALSE)</f>
        <v>#N/A</v>
      </c>
    </row>
    <row r="5699" customHeight="1" spans="8:8">
      <c r="H5699" s="39" t="e">
        <f>VLOOKUP(E5699,基础信息!C:E,3,FALSE)</f>
        <v>#N/A</v>
      </c>
    </row>
    <row r="5700" customHeight="1" spans="8:8">
      <c r="H5700" s="39" t="e">
        <f>VLOOKUP(E5700,基础信息!C:E,3,FALSE)</f>
        <v>#N/A</v>
      </c>
    </row>
    <row r="5701" customHeight="1" spans="8:8">
      <c r="H5701" s="39" t="e">
        <f>VLOOKUP(E5701,基础信息!C:E,3,FALSE)</f>
        <v>#N/A</v>
      </c>
    </row>
    <row r="5702" customHeight="1" spans="8:8">
      <c r="H5702" s="39" t="e">
        <f>VLOOKUP(E5702,基础信息!C:E,3,FALSE)</f>
        <v>#N/A</v>
      </c>
    </row>
    <row r="5703" customHeight="1" spans="8:8">
      <c r="H5703" s="39" t="e">
        <f>VLOOKUP(E5703,基础信息!C:E,3,FALSE)</f>
        <v>#N/A</v>
      </c>
    </row>
    <row r="5704" customHeight="1" spans="8:8">
      <c r="H5704" s="39" t="e">
        <f>VLOOKUP(E5704,基础信息!C:E,3,FALSE)</f>
        <v>#N/A</v>
      </c>
    </row>
    <row r="5705" customHeight="1" spans="8:8">
      <c r="H5705" s="39" t="e">
        <f>VLOOKUP(E5705,基础信息!C:E,3,FALSE)</f>
        <v>#N/A</v>
      </c>
    </row>
    <row r="5706" customHeight="1" spans="8:8">
      <c r="H5706" s="39" t="e">
        <f>VLOOKUP(E5706,基础信息!C:E,3,FALSE)</f>
        <v>#N/A</v>
      </c>
    </row>
    <row r="5707" customHeight="1" spans="8:8">
      <c r="H5707" s="39" t="e">
        <f>VLOOKUP(E5707,基础信息!C:E,3,FALSE)</f>
        <v>#N/A</v>
      </c>
    </row>
    <row r="5708" customHeight="1" spans="8:8">
      <c r="H5708" s="39" t="e">
        <f>VLOOKUP(E5708,基础信息!C:E,3,FALSE)</f>
        <v>#N/A</v>
      </c>
    </row>
    <row r="5709" customHeight="1" spans="8:8">
      <c r="H5709" s="39" t="e">
        <f>VLOOKUP(E5709,基础信息!C:E,3,FALSE)</f>
        <v>#N/A</v>
      </c>
    </row>
    <row r="5710" customHeight="1" spans="8:8">
      <c r="H5710" s="39" t="e">
        <f>VLOOKUP(E5710,基础信息!C:E,3,FALSE)</f>
        <v>#N/A</v>
      </c>
    </row>
    <row r="5711" customHeight="1" spans="8:8">
      <c r="H5711" s="39" t="e">
        <f>VLOOKUP(E5711,基础信息!C:E,3,FALSE)</f>
        <v>#N/A</v>
      </c>
    </row>
    <row r="5712" customHeight="1" spans="8:8">
      <c r="H5712" s="39" t="e">
        <f>VLOOKUP(E5712,基础信息!C:E,3,FALSE)</f>
        <v>#N/A</v>
      </c>
    </row>
    <row r="5713" customHeight="1" spans="8:8">
      <c r="H5713" s="39" t="e">
        <f>VLOOKUP(E5713,基础信息!C:E,3,FALSE)</f>
        <v>#N/A</v>
      </c>
    </row>
    <row r="5714" customHeight="1" spans="8:8">
      <c r="H5714" s="39" t="e">
        <f>VLOOKUP(E5714,基础信息!C:E,3,FALSE)</f>
        <v>#N/A</v>
      </c>
    </row>
    <row r="5715" customHeight="1" spans="8:8">
      <c r="H5715" s="39" t="e">
        <f>VLOOKUP(E5715,基础信息!C:E,3,FALSE)</f>
        <v>#N/A</v>
      </c>
    </row>
    <row r="5716" customHeight="1" spans="8:8">
      <c r="H5716" s="39" t="e">
        <f>VLOOKUP(E5716,基础信息!C:E,3,FALSE)</f>
        <v>#N/A</v>
      </c>
    </row>
    <row r="5717" customHeight="1" spans="8:8">
      <c r="H5717" s="39" t="e">
        <f>VLOOKUP(E5717,基础信息!C:E,3,FALSE)</f>
        <v>#N/A</v>
      </c>
    </row>
    <row r="5718" customHeight="1" spans="8:8">
      <c r="H5718" s="39" t="e">
        <f>VLOOKUP(E5718,基础信息!C:E,3,FALSE)</f>
        <v>#N/A</v>
      </c>
    </row>
    <row r="5719" customHeight="1" spans="8:8">
      <c r="H5719" s="39" t="e">
        <f>VLOOKUP(E5719,基础信息!C:E,3,FALSE)</f>
        <v>#N/A</v>
      </c>
    </row>
    <row r="5720" customHeight="1" spans="8:8">
      <c r="H5720" s="39" t="e">
        <f>VLOOKUP(E5720,基础信息!C:E,3,FALSE)</f>
        <v>#N/A</v>
      </c>
    </row>
    <row r="5721" customHeight="1" spans="8:8">
      <c r="H5721" s="39" t="e">
        <f>VLOOKUP(E5721,基础信息!C:E,3,FALSE)</f>
        <v>#N/A</v>
      </c>
    </row>
    <row r="5722" customHeight="1" spans="8:8">
      <c r="H5722" s="39" t="e">
        <f>VLOOKUP(E5722,基础信息!C:E,3,FALSE)</f>
        <v>#N/A</v>
      </c>
    </row>
    <row r="5723" customHeight="1" spans="8:8">
      <c r="H5723" s="39" t="e">
        <f>VLOOKUP(E5723,基础信息!C:E,3,FALSE)</f>
        <v>#N/A</v>
      </c>
    </row>
    <row r="5724" customHeight="1" spans="8:8">
      <c r="H5724" s="39" t="e">
        <f>VLOOKUP(E5724,基础信息!C:E,3,FALSE)</f>
        <v>#N/A</v>
      </c>
    </row>
    <row r="5725" customHeight="1" spans="8:8">
      <c r="H5725" s="39" t="e">
        <f>VLOOKUP(E5725,基础信息!C:E,3,FALSE)</f>
        <v>#N/A</v>
      </c>
    </row>
    <row r="5726" customHeight="1" spans="8:8">
      <c r="H5726" s="39" t="e">
        <f>VLOOKUP(E5726,基础信息!C:E,3,FALSE)</f>
        <v>#N/A</v>
      </c>
    </row>
    <row r="5727" customHeight="1" spans="8:8">
      <c r="H5727" s="39" t="e">
        <f>VLOOKUP(E5727,基础信息!C:E,3,FALSE)</f>
        <v>#N/A</v>
      </c>
    </row>
    <row r="5728" customHeight="1" spans="8:8">
      <c r="H5728" s="39" t="e">
        <f>VLOOKUP(E5728,基础信息!C:E,3,FALSE)</f>
        <v>#N/A</v>
      </c>
    </row>
    <row r="5729" customHeight="1" spans="8:8">
      <c r="H5729" s="39" t="e">
        <f>VLOOKUP(E5729,基础信息!C:E,3,FALSE)</f>
        <v>#N/A</v>
      </c>
    </row>
    <row r="5730" customHeight="1" spans="8:8">
      <c r="H5730" s="39" t="e">
        <f>VLOOKUP(E5730,基础信息!C:E,3,FALSE)</f>
        <v>#N/A</v>
      </c>
    </row>
    <row r="5731" customHeight="1" spans="8:8">
      <c r="H5731" s="39" t="e">
        <f>VLOOKUP(E5731,基础信息!C:E,3,FALSE)</f>
        <v>#N/A</v>
      </c>
    </row>
    <row r="5732" customHeight="1" spans="8:8">
      <c r="H5732" s="39" t="e">
        <f>VLOOKUP(E5732,基础信息!C:E,3,FALSE)</f>
        <v>#N/A</v>
      </c>
    </row>
    <row r="5733" customHeight="1" spans="8:8">
      <c r="H5733" s="39" t="e">
        <f>VLOOKUP(E5733,基础信息!C:E,3,FALSE)</f>
        <v>#N/A</v>
      </c>
    </row>
    <row r="5734" customHeight="1" spans="8:8">
      <c r="H5734" s="39" t="e">
        <f>VLOOKUP(E5734,基础信息!C:E,3,FALSE)</f>
        <v>#N/A</v>
      </c>
    </row>
    <row r="5735" customHeight="1" spans="8:8">
      <c r="H5735" s="39" t="e">
        <f>VLOOKUP(E5735,基础信息!C:E,3,FALSE)</f>
        <v>#N/A</v>
      </c>
    </row>
    <row r="5736" customHeight="1" spans="8:8">
      <c r="H5736" s="39" t="e">
        <f>VLOOKUP(E5736,基础信息!C:E,3,FALSE)</f>
        <v>#N/A</v>
      </c>
    </row>
    <row r="5737" customHeight="1" spans="8:8">
      <c r="H5737" s="39" t="e">
        <f>VLOOKUP(E5737,基础信息!C:E,3,FALSE)</f>
        <v>#N/A</v>
      </c>
    </row>
    <row r="5738" customHeight="1" spans="8:8">
      <c r="H5738" s="39" t="e">
        <f>VLOOKUP(E5738,基础信息!C:E,3,FALSE)</f>
        <v>#N/A</v>
      </c>
    </row>
    <row r="5739" customHeight="1" spans="8:8">
      <c r="H5739" s="39" t="e">
        <f>VLOOKUP(E5739,基础信息!C:E,3,FALSE)</f>
        <v>#N/A</v>
      </c>
    </row>
    <row r="5740" customHeight="1" spans="8:8">
      <c r="H5740" s="39" t="e">
        <f>VLOOKUP(E5740,基础信息!C:E,3,FALSE)</f>
        <v>#N/A</v>
      </c>
    </row>
    <row r="5741" customHeight="1" spans="8:8">
      <c r="H5741" s="39" t="e">
        <f>VLOOKUP(E5741,基础信息!C:E,3,FALSE)</f>
        <v>#N/A</v>
      </c>
    </row>
    <row r="5742" customHeight="1" spans="8:8">
      <c r="H5742" s="39" t="e">
        <f>VLOOKUP(E5742,基础信息!C:E,3,FALSE)</f>
        <v>#N/A</v>
      </c>
    </row>
    <row r="5743" customHeight="1" spans="8:8">
      <c r="H5743" s="39" t="e">
        <f>VLOOKUP(E5743,基础信息!C:E,3,FALSE)</f>
        <v>#N/A</v>
      </c>
    </row>
    <row r="5744" customHeight="1" spans="8:8">
      <c r="H5744" s="39" t="e">
        <f>VLOOKUP(E5744,基础信息!C:E,3,FALSE)</f>
        <v>#N/A</v>
      </c>
    </row>
    <row r="5745" customHeight="1" spans="8:8">
      <c r="H5745" s="39" t="e">
        <f>VLOOKUP(E5745,基础信息!C:E,3,FALSE)</f>
        <v>#N/A</v>
      </c>
    </row>
    <row r="5746" customHeight="1" spans="8:8">
      <c r="H5746" s="39" t="e">
        <f>VLOOKUP(E5746,基础信息!C:E,3,FALSE)</f>
        <v>#N/A</v>
      </c>
    </row>
    <row r="5747" customHeight="1" spans="8:8">
      <c r="H5747" s="39" t="e">
        <f>VLOOKUP(E5747,基础信息!C:E,3,FALSE)</f>
        <v>#N/A</v>
      </c>
    </row>
    <row r="5748" customHeight="1" spans="8:8">
      <c r="H5748" s="39" t="e">
        <f>VLOOKUP(E5748,基础信息!C:E,3,FALSE)</f>
        <v>#N/A</v>
      </c>
    </row>
    <row r="5749" customHeight="1" spans="8:8">
      <c r="H5749" s="39" t="e">
        <f>VLOOKUP(E5749,基础信息!C:E,3,FALSE)</f>
        <v>#N/A</v>
      </c>
    </row>
    <row r="5750" customHeight="1" spans="8:8">
      <c r="H5750" s="39" t="e">
        <f>VLOOKUP(E5750,基础信息!C:E,3,FALSE)</f>
        <v>#N/A</v>
      </c>
    </row>
    <row r="5751" customHeight="1" spans="8:8">
      <c r="H5751" s="39" t="e">
        <f>VLOOKUP(E5751,基础信息!C:E,3,FALSE)</f>
        <v>#N/A</v>
      </c>
    </row>
    <row r="5752" customHeight="1" spans="8:8">
      <c r="H5752" s="39" t="e">
        <f>VLOOKUP(E5752,基础信息!C:E,3,FALSE)</f>
        <v>#N/A</v>
      </c>
    </row>
    <row r="5753" customHeight="1" spans="8:8">
      <c r="H5753" s="39" t="e">
        <f>VLOOKUP(E5753,基础信息!C:E,3,FALSE)</f>
        <v>#N/A</v>
      </c>
    </row>
    <row r="5754" customHeight="1" spans="8:8">
      <c r="H5754" s="39" t="e">
        <f>VLOOKUP(E5754,基础信息!C:E,3,FALSE)</f>
        <v>#N/A</v>
      </c>
    </row>
    <row r="5755" customHeight="1" spans="8:8">
      <c r="H5755" s="39" t="e">
        <f>VLOOKUP(E5755,基础信息!C:E,3,FALSE)</f>
        <v>#N/A</v>
      </c>
    </row>
    <row r="5756" customHeight="1" spans="8:8">
      <c r="H5756" s="39" t="e">
        <f>VLOOKUP(E5756,基础信息!C:E,3,FALSE)</f>
        <v>#N/A</v>
      </c>
    </row>
    <row r="5757" customHeight="1" spans="8:8">
      <c r="H5757" s="39" t="e">
        <f>VLOOKUP(E5757,基础信息!C:E,3,FALSE)</f>
        <v>#N/A</v>
      </c>
    </row>
    <row r="5758" customHeight="1" spans="8:8">
      <c r="H5758" s="39" t="e">
        <f>VLOOKUP(E5758,基础信息!C:E,3,FALSE)</f>
        <v>#N/A</v>
      </c>
    </row>
    <row r="5759" customHeight="1" spans="8:8">
      <c r="H5759" s="39" t="e">
        <f>VLOOKUP(E5759,基础信息!C:E,3,FALSE)</f>
        <v>#N/A</v>
      </c>
    </row>
    <row r="5760" customHeight="1" spans="8:8">
      <c r="H5760" s="39" t="e">
        <f>VLOOKUP(E5760,基础信息!C:E,3,FALSE)</f>
        <v>#N/A</v>
      </c>
    </row>
    <row r="5761" customHeight="1" spans="8:8">
      <c r="H5761" s="39" t="e">
        <f>VLOOKUP(E5761,基础信息!C:E,3,FALSE)</f>
        <v>#N/A</v>
      </c>
    </row>
    <row r="5762" customHeight="1" spans="8:8">
      <c r="H5762" s="39" t="e">
        <f>VLOOKUP(E5762,基础信息!C:E,3,FALSE)</f>
        <v>#N/A</v>
      </c>
    </row>
    <row r="5763" customHeight="1" spans="8:8">
      <c r="H5763" s="39" t="e">
        <f>VLOOKUP(E5763,基础信息!C:E,3,FALSE)</f>
        <v>#N/A</v>
      </c>
    </row>
    <row r="5764" customHeight="1" spans="8:8">
      <c r="H5764" s="39" t="e">
        <f>VLOOKUP(E5764,基础信息!C:E,3,FALSE)</f>
        <v>#N/A</v>
      </c>
    </row>
    <row r="5765" customHeight="1" spans="8:8">
      <c r="H5765" s="39" t="e">
        <f>VLOOKUP(E5765,基础信息!C:E,3,FALSE)</f>
        <v>#N/A</v>
      </c>
    </row>
    <row r="5766" customHeight="1" spans="8:8">
      <c r="H5766" s="39" t="e">
        <f>VLOOKUP(E5766,基础信息!C:E,3,FALSE)</f>
        <v>#N/A</v>
      </c>
    </row>
    <row r="5767" customHeight="1" spans="8:8">
      <c r="H5767" s="39" t="e">
        <f>VLOOKUP(E5767,基础信息!C:E,3,FALSE)</f>
        <v>#N/A</v>
      </c>
    </row>
    <row r="5768" customHeight="1" spans="8:8">
      <c r="H5768" s="39" t="e">
        <f>VLOOKUP(E5768,基础信息!C:E,3,FALSE)</f>
        <v>#N/A</v>
      </c>
    </row>
    <row r="5769" customHeight="1" spans="8:8">
      <c r="H5769" s="39" t="e">
        <f>VLOOKUP(E5769,基础信息!C:E,3,FALSE)</f>
        <v>#N/A</v>
      </c>
    </row>
    <row r="5770" customHeight="1" spans="8:8">
      <c r="H5770" s="39" t="e">
        <f>VLOOKUP(E5770,基础信息!C:E,3,FALSE)</f>
        <v>#N/A</v>
      </c>
    </row>
    <row r="5771" customHeight="1" spans="8:8">
      <c r="H5771" s="39" t="e">
        <f>VLOOKUP(E5771,基础信息!C:E,3,FALSE)</f>
        <v>#N/A</v>
      </c>
    </row>
    <row r="5772" customHeight="1" spans="8:8">
      <c r="H5772" s="39" t="e">
        <f>VLOOKUP(E5772,基础信息!C:E,3,FALSE)</f>
        <v>#N/A</v>
      </c>
    </row>
    <row r="5773" customHeight="1" spans="8:8">
      <c r="H5773" s="39" t="e">
        <f>VLOOKUP(E5773,基础信息!C:E,3,FALSE)</f>
        <v>#N/A</v>
      </c>
    </row>
    <row r="5774" customHeight="1" spans="8:8">
      <c r="H5774" s="39" t="e">
        <f>VLOOKUP(E5774,基础信息!C:E,3,FALSE)</f>
        <v>#N/A</v>
      </c>
    </row>
    <row r="5775" customHeight="1" spans="8:8">
      <c r="H5775" s="39" t="e">
        <f>VLOOKUP(E5775,基础信息!C:E,3,FALSE)</f>
        <v>#N/A</v>
      </c>
    </row>
    <row r="5776" customHeight="1" spans="8:8">
      <c r="H5776" s="39" t="e">
        <f>VLOOKUP(E5776,基础信息!C:E,3,FALSE)</f>
        <v>#N/A</v>
      </c>
    </row>
    <row r="5777" customHeight="1" spans="8:8">
      <c r="H5777" s="39" t="e">
        <f>VLOOKUP(E5777,基础信息!C:E,3,FALSE)</f>
        <v>#N/A</v>
      </c>
    </row>
    <row r="5778" customHeight="1" spans="8:8">
      <c r="H5778" s="39" t="e">
        <f>VLOOKUP(E5778,基础信息!C:E,3,FALSE)</f>
        <v>#N/A</v>
      </c>
    </row>
    <row r="5779" customHeight="1" spans="8:8">
      <c r="H5779" s="39" t="e">
        <f>VLOOKUP(E5779,基础信息!C:E,3,FALSE)</f>
        <v>#N/A</v>
      </c>
    </row>
    <row r="5780" customHeight="1" spans="8:8">
      <c r="H5780" s="39" t="e">
        <f>VLOOKUP(E5780,基础信息!C:E,3,FALSE)</f>
        <v>#N/A</v>
      </c>
    </row>
    <row r="5781" customHeight="1" spans="8:8">
      <c r="H5781" s="39" t="e">
        <f>VLOOKUP(E5781,基础信息!C:E,3,FALSE)</f>
        <v>#N/A</v>
      </c>
    </row>
    <row r="5782" customHeight="1" spans="8:8">
      <c r="H5782" s="39" t="e">
        <f>VLOOKUP(E5782,基础信息!C:E,3,FALSE)</f>
        <v>#N/A</v>
      </c>
    </row>
    <row r="5783" customHeight="1" spans="8:8">
      <c r="H5783" s="39" t="e">
        <f>VLOOKUP(E5783,基础信息!C:E,3,FALSE)</f>
        <v>#N/A</v>
      </c>
    </row>
    <row r="5784" customHeight="1" spans="8:8">
      <c r="H5784" s="39" t="e">
        <f>VLOOKUP(E5784,基础信息!C:E,3,FALSE)</f>
        <v>#N/A</v>
      </c>
    </row>
    <row r="5785" customHeight="1" spans="8:8">
      <c r="H5785" s="39" t="e">
        <f>VLOOKUP(E5785,基础信息!C:E,3,FALSE)</f>
        <v>#N/A</v>
      </c>
    </row>
    <row r="5786" customHeight="1" spans="8:8">
      <c r="H5786" s="39" t="e">
        <f>VLOOKUP(E5786,基础信息!C:E,3,FALSE)</f>
        <v>#N/A</v>
      </c>
    </row>
    <row r="5787" customHeight="1" spans="8:8">
      <c r="H5787" s="39" t="e">
        <f>VLOOKUP(E5787,基础信息!C:E,3,FALSE)</f>
        <v>#N/A</v>
      </c>
    </row>
    <row r="5788" customHeight="1" spans="8:8">
      <c r="H5788" s="39" t="e">
        <f>VLOOKUP(E5788,基础信息!C:E,3,FALSE)</f>
        <v>#N/A</v>
      </c>
    </row>
    <row r="5789" customHeight="1" spans="8:8">
      <c r="H5789" s="39" t="e">
        <f>VLOOKUP(E5789,基础信息!C:E,3,FALSE)</f>
        <v>#N/A</v>
      </c>
    </row>
    <row r="5790" customHeight="1" spans="8:8">
      <c r="H5790" s="39" t="e">
        <f>VLOOKUP(E5790,基础信息!C:E,3,FALSE)</f>
        <v>#N/A</v>
      </c>
    </row>
    <row r="5791" customHeight="1" spans="8:8">
      <c r="H5791" s="39" t="e">
        <f>VLOOKUP(E5791,基础信息!C:E,3,FALSE)</f>
        <v>#N/A</v>
      </c>
    </row>
    <row r="5792" customHeight="1" spans="8:8">
      <c r="H5792" s="39" t="e">
        <f>VLOOKUP(E5792,基础信息!C:E,3,FALSE)</f>
        <v>#N/A</v>
      </c>
    </row>
    <row r="5793" customHeight="1" spans="8:8">
      <c r="H5793" s="39" t="e">
        <f>VLOOKUP(E5793,基础信息!C:E,3,FALSE)</f>
        <v>#N/A</v>
      </c>
    </row>
    <row r="5794" customHeight="1" spans="8:8">
      <c r="H5794" s="39" t="e">
        <f>VLOOKUP(E5794,基础信息!C:E,3,FALSE)</f>
        <v>#N/A</v>
      </c>
    </row>
    <row r="5795" customHeight="1" spans="8:8">
      <c r="H5795" s="39" t="e">
        <f>VLOOKUP(E5795,基础信息!C:E,3,FALSE)</f>
        <v>#N/A</v>
      </c>
    </row>
    <row r="5796" customHeight="1" spans="8:8">
      <c r="H5796" s="39" t="e">
        <f>VLOOKUP(E5796,基础信息!C:E,3,FALSE)</f>
        <v>#N/A</v>
      </c>
    </row>
    <row r="5797" customHeight="1" spans="8:8">
      <c r="H5797" s="39" t="e">
        <f>VLOOKUP(E5797,基础信息!C:E,3,FALSE)</f>
        <v>#N/A</v>
      </c>
    </row>
    <row r="5798" customHeight="1" spans="8:8">
      <c r="H5798" s="39" t="e">
        <f>VLOOKUP(E5798,基础信息!C:E,3,FALSE)</f>
        <v>#N/A</v>
      </c>
    </row>
    <row r="5799" customHeight="1" spans="8:8">
      <c r="H5799" s="39" t="e">
        <f>VLOOKUP(E5799,基础信息!C:E,3,FALSE)</f>
        <v>#N/A</v>
      </c>
    </row>
    <row r="5800" customHeight="1" spans="8:8">
      <c r="H5800" s="39" t="e">
        <f>VLOOKUP(E5800,基础信息!C:E,3,FALSE)</f>
        <v>#N/A</v>
      </c>
    </row>
    <row r="5801" customHeight="1" spans="8:8">
      <c r="H5801" s="39" t="e">
        <f>VLOOKUP(E5801,基础信息!C:E,3,FALSE)</f>
        <v>#N/A</v>
      </c>
    </row>
    <row r="5802" customHeight="1" spans="8:8">
      <c r="H5802" s="39" t="e">
        <f>VLOOKUP(E5802,基础信息!C:E,3,FALSE)</f>
        <v>#N/A</v>
      </c>
    </row>
    <row r="5803" customHeight="1" spans="8:8">
      <c r="H5803" s="39" t="e">
        <f>VLOOKUP(E5803,基础信息!C:E,3,FALSE)</f>
        <v>#N/A</v>
      </c>
    </row>
    <row r="5804" customHeight="1" spans="8:8">
      <c r="H5804" s="39" t="e">
        <f>VLOOKUP(E5804,基础信息!C:E,3,FALSE)</f>
        <v>#N/A</v>
      </c>
    </row>
    <row r="5805" customHeight="1" spans="8:8">
      <c r="H5805" s="39" t="e">
        <f>VLOOKUP(E5805,基础信息!C:E,3,FALSE)</f>
        <v>#N/A</v>
      </c>
    </row>
    <row r="5806" customHeight="1" spans="8:8">
      <c r="H5806" s="39" t="e">
        <f>VLOOKUP(E5806,基础信息!C:E,3,FALSE)</f>
        <v>#N/A</v>
      </c>
    </row>
    <row r="5807" customHeight="1" spans="8:8">
      <c r="H5807" s="39" t="e">
        <f>VLOOKUP(E5807,基础信息!C:E,3,FALSE)</f>
        <v>#N/A</v>
      </c>
    </row>
    <row r="5808" customHeight="1" spans="8:8">
      <c r="H5808" s="39" t="e">
        <f>VLOOKUP(E5808,基础信息!C:E,3,FALSE)</f>
        <v>#N/A</v>
      </c>
    </row>
    <row r="5809" customHeight="1" spans="8:8">
      <c r="H5809" s="39" t="e">
        <f>VLOOKUP(E5809,基础信息!C:E,3,FALSE)</f>
        <v>#N/A</v>
      </c>
    </row>
    <row r="5810" customHeight="1" spans="8:8">
      <c r="H5810" s="39" t="e">
        <f>VLOOKUP(E5810,基础信息!C:E,3,FALSE)</f>
        <v>#N/A</v>
      </c>
    </row>
    <row r="5811" customHeight="1" spans="8:8">
      <c r="H5811" s="39" t="e">
        <f>VLOOKUP(E5811,基础信息!C:E,3,FALSE)</f>
        <v>#N/A</v>
      </c>
    </row>
    <row r="5812" customHeight="1" spans="8:8">
      <c r="H5812" s="39" t="e">
        <f>VLOOKUP(E5812,基础信息!C:E,3,FALSE)</f>
        <v>#N/A</v>
      </c>
    </row>
    <row r="5813" customHeight="1" spans="8:8">
      <c r="H5813" s="39" t="e">
        <f>VLOOKUP(E5813,基础信息!C:E,3,FALSE)</f>
        <v>#N/A</v>
      </c>
    </row>
    <row r="5814" customHeight="1" spans="8:8">
      <c r="H5814" s="39" t="e">
        <f>VLOOKUP(E5814,基础信息!C:E,3,FALSE)</f>
        <v>#N/A</v>
      </c>
    </row>
    <row r="5815" customHeight="1" spans="8:8">
      <c r="H5815" s="39" t="e">
        <f>VLOOKUP(E5815,基础信息!C:E,3,FALSE)</f>
        <v>#N/A</v>
      </c>
    </row>
    <row r="5816" customHeight="1" spans="8:8">
      <c r="H5816" s="39" t="e">
        <f>VLOOKUP(E5816,基础信息!C:E,3,FALSE)</f>
        <v>#N/A</v>
      </c>
    </row>
    <row r="5817" customHeight="1" spans="8:8">
      <c r="H5817" s="39" t="e">
        <f>VLOOKUP(E5817,基础信息!C:E,3,FALSE)</f>
        <v>#N/A</v>
      </c>
    </row>
    <row r="5818" customHeight="1" spans="8:8">
      <c r="H5818" s="39" t="e">
        <f>VLOOKUP(E5818,基础信息!C:E,3,FALSE)</f>
        <v>#N/A</v>
      </c>
    </row>
    <row r="5819" customHeight="1" spans="8:8">
      <c r="H5819" s="39" t="e">
        <f>VLOOKUP(E5819,基础信息!C:E,3,FALSE)</f>
        <v>#N/A</v>
      </c>
    </row>
    <row r="5820" customHeight="1" spans="8:8">
      <c r="H5820" s="39" t="e">
        <f>VLOOKUP(E5820,基础信息!C:E,3,FALSE)</f>
        <v>#N/A</v>
      </c>
    </row>
    <row r="5821" customHeight="1" spans="8:8">
      <c r="H5821" s="39" t="e">
        <f>VLOOKUP(E5821,基础信息!C:E,3,FALSE)</f>
        <v>#N/A</v>
      </c>
    </row>
    <row r="5822" customHeight="1" spans="8:8">
      <c r="H5822" s="39" t="e">
        <f>VLOOKUP(E5822,基础信息!C:E,3,FALSE)</f>
        <v>#N/A</v>
      </c>
    </row>
    <row r="5823" customHeight="1" spans="8:8">
      <c r="H5823" s="39" t="e">
        <f>VLOOKUP(E5823,基础信息!C:E,3,FALSE)</f>
        <v>#N/A</v>
      </c>
    </row>
    <row r="5824" customHeight="1" spans="8:8">
      <c r="H5824" s="39" t="e">
        <f>VLOOKUP(E5824,基础信息!C:E,3,FALSE)</f>
        <v>#N/A</v>
      </c>
    </row>
    <row r="5825" customHeight="1" spans="8:8">
      <c r="H5825" s="39" t="e">
        <f>VLOOKUP(E5825,基础信息!C:E,3,FALSE)</f>
        <v>#N/A</v>
      </c>
    </row>
    <row r="5826" customHeight="1" spans="8:8">
      <c r="H5826" s="39" t="e">
        <f>VLOOKUP(E5826,基础信息!C:E,3,FALSE)</f>
        <v>#N/A</v>
      </c>
    </row>
    <row r="5827" customHeight="1" spans="8:8">
      <c r="H5827" s="39" t="e">
        <f>VLOOKUP(E5827,基础信息!C:E,3,FALSE)</f>
        <v>#N/A</v>
      </c>
    </row>
    <row r="5828" customHeight="1" spans="8:8">
      <c r="H5828" s="39" t="e">
        <f>VLOOKUP(E5828,基础信息!C:E,3,FALSE)</f>
        <v>#N/A</v>
      </c>
    </row>
    <row r="5829" customHeight="1" spans="8:8">
      <c r="H5829" s="39" t="e">
        <f>VLOOKUP(E5829,基础信息!C:E,3,FALSE)</f>
        <v>#N/A</v>
      </c>
    </row>
    <row r="5830" customHeight="1" spans="8:8">
      <c r="H5830" s="39" t="e">
        <f>VLOOKUP(E5830,基础信息!C:E,3,FALSE)</f>
        <v>#N/A</v>
      </c>
    </row>
    <row r="5831" customHeight="1" spans="8:8">
      <c r="H5831" s="39" t="e">
        <f>VLOOKUP(E5831,基础信息!C:E,3,FALSE)</f>
        <v>#N/A</v>
      </c>
    </row>
    <row r="5832" customHeight="1" spans="8:8">
      <c r="H5832" s="39" t="e">
        <f>VLOOKUP(E5832,基础信息!C:E,3,FALSE)</f>
        <v>#N/A</v>
      </c>
    </row>
    <row r="5833" customHeight="1" spans="8:8">
      <c r="H5833" s="39" t="e">
        <f>VLOOKUP(E5833,基础信息!C:E,3,FALSE)</f>
        <v>#N/A</v>
      </c>
    </row>
    <row r="5834" customHeight="1" spans="8:8">
      <c r="H5834" s="39" t="e">
        <f>VLOOKUP(E5834,基础信息!C:E,3,FALSE)</f>
        <v>#N/A</v>
      </c>
    </row>
    <row r="5835" customHeight="1" spans="8:8">
      <c r="H5835" s="39" t="e">
        <f>VLOOKUP(E5835,基础信息!C:E,3,FALSE)</f>
        <v>#N/A</v>
      </c>
    </row>
    <row r="5836" customHeight="1" spans="8:8">
      <c r="H5836" s="39" t="e">
        <f>VLOOKUP(E5836,基础信息!C:E,3,FALSE)</f>
        <v>#N/A</v>
      </c>
    </row>
    <row r="5837" customHeight="1" spans="8:8">
      <c r="H5837" s="39" t="e">
        <f>VLOOKUP(E5837,基础信息!C:E,3,FALSE)</f>
        <v>#N/A</v>
      </c>
    </row>
    <row r="5838" customHeight="1" spans="8:8">
      <c r="H5838" s="39" t="e">
        <f>VLOOKUP(E5838,基础信息!C:E,3,FALSE)</f>
        <v>#N/A</v>
      </c>
    </row>
    <row r="5839" customHeight="1" spans="8:8">
      <c r="H5839" s="39" t="e">
        <f>VLOOKUP(E5839,基础信息!C:E,3,FALSE)</f>
        <v>#N/A</v>
      </c>
    </row>
    <row r="5840" customHeight="1" spans="8:8">
      <c r="H5840" s="39" t="e">
        <f>VLOOKUP(E5840,基础信息!C:E,3,FALSE)</f>
        <v>#N/A</v>
      </c>
    </row>
    <row r="5841" customHeight="1" spans="8:8">
      <c r="H5841" s="39" t="e">
        <f>VLOOKUP(E5841,基础信息!C:E,3,FALSE)</f>
        <v>#N/A</v>
      </c>
    </row>
    <row r="5842" customHeight="1" spans="8:8">
      <c r="H5842" s="39" t="e">
        <f>VLOOKUP(E5842,基础信息!C:E,3,FALSE)</f>
        <v>#N/A</v>
      </c>
    </row>
    <row r="5843" customHeight="1" spans="8:8">
      <c r="H5843" s="39" t="e">
        <f>VLOOKUP(E5843,基础信息!C:E,3,FALSE)</f>
        <v>#N/A</v>
      </c>
    </row>
    <row r="5844" customHeight="1" spans="8:8">
      <c r="H5844" s="39" t="e">
        <f>VLOOKUP(E5844,基础信息!C:E,3,FALSE)</f>
        <v>#N/A</v>
      </c>
    </row>
    <row r="5845" customHeight="1" spans="8:8">
      <c r="H5845" s="39" t="e">
        <f>VLOOKUP(E5845,基础信息!C:E,3,FALSE)</f>
        <v>#N/A</v>
      </c>
    </row>
    <row r="5846" customHeight="1" spans="8:8">
      <c r="H5846" s="39" t="e">
        <f>VLOOKUP(E5846,基础信息!C:E,3,FALSE)</f>
        <v>#N/A</v>
      </c>
    </row>
    <row r="5847" customHeight="1" spans="8:8">
      <c r="H5847" s="39" t="e">
        <f>VLOOKUP(E5847,基础信息!C:E,3,FALSE)</f>
        <v>#N/A</v>
      </c>
    </row>
    <row r="5848" customHeight="1" spans="8:8">
      <c r="H5848" s="39" t="e">
        <f>VLOOKUP(E5848,基础信息!C:E,3,FALSE)</f>
        <v>#N/A</v>
      </c>
    </row>
    <row r="5849" customHeight="1" spans="8:8">
      <c r="H5849" s="39" t="e">
        <f>VLOOKUP(E5849,基础信息!C:E,3,FALSE)</f>
        <v>#N/A</v>
      </c>
    </row>
    <row r="5850" customHeight="1" spans="8:8">
      <c r="H5850" s="39" t="e">
        <f>VLOOKUP(E5850,基础信息!C:E,3,FALSE)</f>
        <v>#N/A</v>
      </c>
    </row>
    <row r="5851" customHeight="1" spans="8:8">
      <c r="H5851" s="39" t="e">
        <f>VLOOKUP(E5851,基础信息!C:E,3,FALSE)</f>
        <v>#N/A</v>
      </c>
    </row>
    <row r="5852" customHeight="1" spans="8:8">
      <c r="H5852" s="39" t="e">
        <f>VLOOKUP(E5852,基础信息!C:E,3,FALSE)</f>
        <v>#N/A</v>
      </c>
    </row>
    <row r="5853" customHeight="1" spans="8:8">
      <c r="H5853" s="39" t="e">
        <f>VLOOKUP(E5853,基础信息!C:E,3,FALSE)</f>
        <v>#N/A</v>
      </c>
    </row>
    <row r="5854" customHeight="1" spans="8:8">
      <c r="H5854" s="39" t="e">
        <f>VLOOKUP(E5854,基础信息!C:E,3,FALSE)</f>
        <v>#N/A</v>
      </c>
    </row>
    <row r="5855" customHeight="1" spans="8:8">
      <c r="H5855" s="39" t="e">
        <f>VLOOKUP(E5855,基础信息!C:E,3,FALSE)</f>
        <v>#N/A</v>
      </c>
    </row>
    <row r="5856" customHeight="1" spans="8:8">
      <c r="H5856" s="39" t="e">
        <f>VLOOKUP(E5856,基础信息!C:E,3,FALSE)</f>
        <v>#N/A</v>
      </c>
    </row>
    <row r="5857" customHeight="1" spans="8:8">
      <c r="H5857" s="39" t="e">
        <f>VLOOKUP(E5857,基础信息!C:E,3,FALSE)</f>
        <v>#N/A</v>
      </c>
    </row>
    <row r="5858" customHeight="1" spans="8:8">
      <c r="H5858" s="39" t="e">
        <f>VLOOKUP(E5858,基础信息!C:E,3,FALSE)</f>
        <v>#N/A</v>
      </c>
    </row>
    <row r="5859" customHeight="1" spans="8:8">
      <c r="H5859" s="39" t="e">
        <f>VLOOKUP(E5859,基础信息!C:E,3,FALSE)</f>
        <v>#N/A</v>
      </c>
    </row>
    <row r="5860" customHeight="1" spans="8:8">
      <c r="H5860" s="39" t="e">
        <f>VLOOKUP(E5860,基础信息!C:E,3,FALSE)</f>
        <v>#N/A</v>
      </c>
    </row>
    <row r="5861" customHeight="1" spans="8:8">
      <c r="H5861" s="39" t="e">
        <f>VLOOKUP(E5861,基础信息!C:E,3,FALSE)</f>
        <v>#N/A</v>
      </c>
    </row>
    <row r="5862" customHeight="1" spans="8:8">
      <c r="H5862" s="39" t="e">
        <f>VLOOKUP(E5862,基础信息!C:E,3,FALSE)</f>
        <v>#N/A</v>
      </c>
    </row>
    <row r="5863" customHeight="1" spans="8:8">
      <c r="H5863" s="39" t="e">
        <f>VLOOKUP(E5863,基础信息!C:E,3,FALSE)</f>
        <v>#N/A</v>
      </c>
    </row>
    <row r="5864" customHeight="1" spans="8:8">
      <c r="H5864" s="39" t="e">
        <f>VLOOKUP(E5864,基础信息!C:E,3,FALSE)</f>
        <v>#N/A</v>
      </c>
    </row>
    <row r="5865" customHeight="1" spans="8:8">
      <c r="H5865" s="39" t="e">
        <f>VLOOKUP(E5865,基础信息!C:E,3,FALSE)</f>
        <v>#N/A</v>
      </c>
    </row>
    <row r="5866" customHeight="1" spans="8:8">
      <c r="H5866" s="39" t="e">
        <f>VLOOKUP(E5866,基础信息!C:E,3,FALSE)</f>
        <v>#N/A</v>
      </c>
    </row>
    <row r="5867" customHeight="1" spans="8:8">
      <c r="H5867" s="39" t="e">
        <f>VLOOKUP(E5867,基础信息!C:E,3,FALSE)</f>
        <v>#N/A</v>
      </c>
    </row>
    <row r="5868" customHeight="1" spans="8:8">
      <c r="H5868" s="39" t="e">
        <f>VLOOKUP(E5868,基础信息!C:E,3,FALSE)</f>
        <v>#N/A</v>
      </c>
    </row>
    <row r="5869" customHeight="1" spans="8:8">
      <c r="H5869" s="39" t="e">
        <f>VLOOKUP(E5869,基础信息!C:E,3,FALSE)</f>
        <v>#N/A</v>
      </c>
    </row>
    <row r="5870" customHeight="1" spans="8:8">
      <c r="H5870" s="39" t="e">
        <f>VLOOKUP(E5870,基础信息!C:E,3,FALSE)</f>
        <v>#N/A</v>
      </c>
    </row>
    <row r="5871" customHeight="1" spans="8:8">
      <c r="H5871" s="39" t="e">
        <f>VLOOKUP(E5871,基础信息!C:E,3,FALSE)</f>
        <v>#N/A</v>
      </c>
    </row>
    <row r="5872" customHeight="1" spans="8:8">
      <c r="H5872" s="39" t="e">
        <f>VLOOKUP(E5872,基础信息!C:E,3,FALSE)</f>
        <v>#N/A</v>
      </c>
    </row>
    <row r="5873" customHeight="1" spans="8:8">
      <c r="H5873" s="39" t="e">
        <f>VLOOKUP(E5873,基础信息!C:E,3,FALSE)</f>
        <v>#N/A</v>
      </c>
    </row>
    <row r="5874" customHeight="1" spans="8:8">
      <c r="H5874" s="39" t="e">
        <f>VLOOKUP(E5874,基础信息!C:E,3,FALSE)</f>
        <v>#N/A</v>
      </c>
    </row>
    <row r="5875" customHeight="1" spans="8:8">
      <c r="H5875" s="39" t="e">
        <f>VLOOKUP(E5875,基础信息!C:E,3,FALSE)</f>
        <v>#N/A</v>
      </c>
    </row>
    <row r="5876" customHeight="1" spans="8:8">
      <c r="H5876" s="39" t="e">
        <f>VLOOKUP(E5876,基础信息!C:E,3,FALSE)</f>
        <v>#N/A</v>
      </c>
    </row>
    <row r="5877" customHeight="1" spans="8:8">
      <c r="H5877" s="39" t="e">
        <f>VLOOKUP(E5877,基础信息!C:E,3,FALSE)</f>
        <v>#N/A</v>
      </c>
    </row>
    <row r="5878" customHeight="1" spans="8:8">
      <c r="H5878" s="39" t="e">
        <f>VLOOKUP(E5878,基础信息!C:E,3,FALSE)</f>
        <v>#N/A</v>
      </c>
    </row>
    <row r="5879" customHeight="1" spans="8:8">
      <c r="H5879" s="39" t="e">
        <f>VLOOKUP(E5879,基础信息!C:E,3,FALSE)</f>
        <v>#N/A</v>
      </c>
    </row>
    <row r="5880" customHeight="1" spans="8:8">
      <c r="H5880" s="39" t="e">
        <f>VLOOKUP(E5880,基础信息!C:E,3,FALSE)</f>
        <v>#N/A</v>
      </c>
    </row>
    <row r="5881" customHeight="1" spans="8:8">
      <c r="H5881" s="39" t="e">
        <f>VLOOKUP(E5881,基础信息!C:E,3,FALSE)</f>
        <v>#N/A</v>
      </c>
    </row>
    <row r="5882" customHeight="1" spans="8:8">
      <c r="H5882" s="39" t="e">
        <f>VLOOKUP(E5882,基础信息!C:E,3,FALSE)</f>
        <v>#N/A</v>
      </c>
    </row>
    <row r="5883" customHeight="1" spans="8:8">
      <c r="H5883" s="39" t="e">
        <f>VLOOKUP(E5883,基础信息!C:E,3,FALSE)</f>
        <v>#N/A</v>
      </c>
    </row>
    <row r="5884" customHeight="1" spans="8:8">
      <c r="H5884" s="39" t="e">
        <f>VLOOKUP(E5884,基础信息!C:E,3,FALSE)</f>
        <v>#N/A</v>
      </c>
    </row>
    <row r="5885" customHeight="1" spans="8:8">
      <c r="H5885" s="39" t="e">
        <f>VLOOKUP(E5885,基础信息!C:E,3,FALSE)</f>
        <v>#N/A</v>
      </c>
    </row>
    <row r="5886" customHeight="1" spans="8:8">
      <c r="H5886" s="39" t="e">
        <f>VLOOKUP(E5886,基础信息!C:E,3,FALSE)</f>
        <v>#N/A</v>
      </c>
    </row>
    <row r="5887" customHeight="1" spans="8:8">
      <c r="H5887" s="39" t="e">
        <f>VLOOKUP(E5887,基础信息!C:E,3,FALSE)</f>
        <v>#N/A</v>
      </c>
    </row>
    <row r="5888" customHeight="1" spans="8:8">
      <c r="H5888" s="39" t="e">
        <f>VLOOKUP(E5888,基础信息!C:E,3,FALSE)</f>
        <v>#N/A</v>
      </c>
    </row>
    <row r="5889" customHeight="1" spans="8:8">
      <c r="H5889" s="39" t="e">
        <f>VLOOKUP(E5889,基础信息!C:E,3,FALSE)</f>
        <v>#N/A</v>
      </c>
    </row>
    <row r="5890" customHeight="1" spans="8:8">
      <c r="H5890" s="39" t="e">
        <f>VLOOKUP(E5890,基础信息!C:E,3,FALSE)</f>
        <v>#N/A</v>
      </c>
    </row>
    <row r="5891" customHeight="1" spans="8:8">
      <c r="H5891" s="39" t="e">
        <f>VLOOKUP(E5891,基础信息!C:E,3,FALSE)</f>
        <v>#N/A</v>
      </c>
    </row>
    <row r="5892" customHeight="1" spans="8:8">
      <c r="H5892" s="39" t="e">
        <f>VLOOKUP(E5892,基础信息!C:E,3,FALSE)</f>
        <v>#N/A</v>
      </c>
    </row>
    <row r="5893" customHeight="1" spans="8:8">
      <c r="H5893" s="39" t="e">
        <f>VLOOKUP(E5893,基础信息!C:E,3,FALSE)</f>
        <v>#N/A</v>
      </c>
    </row>
    <row r="5894" customHeight="1" spans="8:8">
      <c r="H5894" s="39" t="e">
        <f>VLOOKUP(E5894,基础信息!C:E,3,FALSE)</f>
        <v>#N/A</v>
      </c>
    </row>
    <row r="5895" customHeight="1" spans="8:8">
      <c r="H5895" s="39" t="e">
        <f>VLOOKUP(E5895,基础信息!C:E,3,FALSE)</f>
        <v>#N/A</v>
      </c>
    </row>
    <row r="5896" customHeight="1" spans="8:8">
      <c r="H5896" s="39" t="e">
        <f>VLOOKUP(E5896,基础信息!C:E,3,FALSE)</f>
        <v>#N/A</v>
      </c>
    </row>
    <row r="5897" customHeight="1" spans="8:8">
      <c r="H5897" s="39" t="e">
        <f>VLOOKUP(E5897,基础信息!C:E,3,FALSE)</f>
        <v>#N/A</v>
      </c>
    </row>
    <row r="5898" customHeight="1" spans="8:8">
      <c r="H5898" s="39" t="e">
        <f>VLOOKUP(E5898,基础信息!C:E,3,FALSE)</f>
        <v>#N/A</v>
      </c>
    </row>
    <row r="5899" customHeight="1" spans="8:8">
      <c r="H5899" s="39" t="e">
        <f>VLOOKUP(E5899,基础信息!C:E,3,FALSE)</f>
        <v>#N/A</v>
      </c>
    </row>
    <row r="5900" customHeight="1" spans="8:8">
      <c r="H5900" s="39" t="e">
        <f>VLOOKUP(E5900,基础信息!C:E,3,FALSE)</f>
        <v>#N/A</v>
      </c>
    </row>
    <row r="5901" customHeight="1" spans="8:8">
      <c r="H5901" s="39" t="e">
        <f>VLOOKUP(E5901,基础信息!C:E,3,FALSE)</f>
        <v>#N/A</v>
      </c>
    </row>
    <row r="5902" customHeight="1" spans="8:8">
      <c r="H5902" s="39" t="e">
        <f>VLOOKUP(E5902,基础信息!C:E,3,FALSE)</f>
        <v>#N/A</v>
      </c>
    </row>
    <row r="5903" customHeight="1" spans="8:8">
      <c r="H5903" s="39" t="e">
        <f>VLOOKUP(E5903,基础信息!C:E,3,FALSE)</f>
        <v>#N/A</v>
      </c>
    </row>
    <row r="5904" customHeight="1" spans="8:8">
      <c r="H5904" s="39" t="e">
        <f>VLOOKUP(E5904,基础信息!C:E,3,FALSE)</f>
        <v>#N/A</v>
      </c>
    </row>
    <row r="5905" customHeight="1" spans="8:8">
      <c r="H5905" s="39" t="e">
        <f>VLOOKUP(E5905,基础信息!C:E,3,FALSE)</f>
        <v>#N/A</v>
      </c>
    </row>
    <row r="5906" customHeight="1" spans="8:8">
      <c r="H5906" s="39" t="e">
        <f>VLOOKUP(E5906,基础信息!C:E,3,FALSE)</f>
        <v>#N/A</v>
      </c>
    </row>
    <row r="5907" customHeight="1" spans="8:8">
      <c r="H5907" s="39" t="e">
        <f>VLOOKUP(E5907,基础信息!C:E,3,FALSE)</f>
        <v>#N/A</v>
      </c>
    </row>
    <row r="5908" customHeight="1" spans="8:8">
      <c r="H5908" s="39" t="e">
        <f>VLOOKUP(E5908,基础信息!C:E,3,FALSE)</f>
        <v>#N/A</v>
      </c>
    </row>
    <row r="5909" customHeight="1" spans="8:8">
      <c r="H5909" s="39" t="e">
        <f>VLOOKUP(E5909,基础信息!C:E,3,FALSE)</f>
        <v>#N/A</v>
      </c>
    </row>
    <row r="5910" customHeight="1" spans="8:8">
      <c r="H5910" s="39" t="e">
        <f>VLOOKUP(E5910,基础信息!C:E,3,FALSE)</f>
        <v>#N/A</v>
      </c>
    </row>
    <row r="5911" customHeight="1" spans="8:8">
      <c r="H5911" s="39" t="e">
        <f>VLOOKUP(E5911,基础信息!C:E,3,FALSE)</f>
        <v>#N/A</v>
      </c>
    </row>
    <row r="5912" customHeight="1" spans="8:8">
      <c r="H5912" s="39" t="e">
        <f>VLOOKUP(E5912,基础信息!C:E,3,FALSE)</f>
        <v>#N/A</v>
      </c>
    </row>
    <row r="5913" customHeight="1" spans="8:8">
      <c r="H5913" s="39" t="e">
        <f>VLOOKUP(E5913,基础信息!C:E,3,FALSE)</f>
        <v>#N/A</v>
      </c>
    </row>
    <row r="5914" customHeight="1" spans="8:8">
      <c r="H5914" s="39" t="e">
        <f>VLOOKUP(E5914,基础信息!C:E,3,FALSE)</f>
        <v>#N/A</v>
      </c>
    </row>
    <row r="5915" customHeight="1" spans="8:8">
      <c r="H5915" s="39" t="e">
        <f>VLOOKUP(E5915,基础信息!C:E,3,FALSE)</f>
        <v>#N/A</v>
      </c>
    </row>
    <row r="5916" customHeight="1" spans="8:8">
      <c r="H5916" s="39" t="e">
        <f>VLOOKUP(E5916,基础信息!C:E,3,FALSE)</f>
        <v>#N/A</v>
      </c>
    </row>
    <row r="5917" customHeight="1" spans="8:8">
      <c r="H5917" s="39" t="e">
        <f>VLOOKUP(E5917,基础信息!C:E,3,FALSE)</f>
        <v>#N/A</v>
      </c>
    </row>
    <row r="5918" customHeight="1" spans="8:8">
      <c r="H5918" s="39" t="e">
        <f>VLOOKUP(E5918,基础信息!C:E,3,FALSE)</f>
        <v>#N/A</v>
      </c>
    </row>
    <row r="5919" customHeight="1" spans="8:8">
      <c r="H5919" s="39" t="e">
        <f>VLOOKUP(E5919,基础信息!C:E,3,FALSE)</f>
        <v>#N/A</v>
      </c>
    </row>
    <row r="5920" customHeight="1" spans="8:8">
      <c r="H5920" s="39" t="e">
        <f>VLOOKUP(E5920,基础信息!C:E,3,FALSE)</f>
        <v>#N/A</v>
      </c>
    </row>
    <row r="5921" customHeight="1" spans="8:8">
      <c r="H5921" s="39" t="e">
        <f>VLOOKUP(E5921,基础信息!C:E,3,FALSE)</f>
        <v>#N/A</v>
      </c>
    </row>
    <row r="5922" customHeight="1" spans="8:8">
      <c r="H5922" s="39" t="e">
        <f>VLOOKUP(E5922,基础信息!C:E,3,FALSE)</f>
        <v>#N/A</v>
      </c>
    </row>
    <row r="5923" customHeight="1" spans="8:8">
      <c r="H5923" s="39" t="e">
        <f>VLOOKUP(E5923,基础信息!C:E,3,FALSE)</f>
        <v>#N/A</v>
      </c>
    </row>
    <row r="5924" customHeight="1" spans="8:8">
      <c r="H5924" s="39" t="e">
        <f>VLOOKUP(E5924,基础信息!C:E,3,FALSE)</f>
        <v>#N/A</v>
      </c>
    </row>
    <row r="5925" customHeight="1" spans="8:8">
      <c r="H5925" s="39" t="e">
        <f>VLOOKUP(E5925,基础信息!C:E,3,FALSE)</f>
        <v>#N/A</v>
      </c>
    </row>
    <row r="5926" customHeight="1" spans="8:8">
      <c r="H5926" s="39" t="e">
        <f>VLOOKUP(E5926,基础信息!C:E,3,FALSE)</f>
        <v>#N/A</v>
      </c>
    </row>
    <row r="5927" customHeight="1" spans="8:8">
      <c r="H5927" s="39" t="e">
        <f>VLOOKUP(E5927,基础信息!C:E,3,FALSE)</f>
        <v>#N/A</v>
      </c>
    </row>
    <row r="5928" customHeight="1" spans="8:8">
      <c r="H5928" s="39" t="e">
        <f>VLOOKUP(E5928,基础信息!C:E,3,FALSE)</f>
        <v>#N/A</v>
      </c>
    </row>
    <row r="5929" customHeight="1" spans="8:8">
      <c r="H5929" s="39" t="e">
        <f>VLOOKUP(E5929,基础信息!C:E,3,FALSE)</f>
        <v>#N/A</v>
      </c>
    </row>
    <row r="5930" customHeight="1" spans="8:8">
      <c r="H5930" s="39" t="e">
        <f>VLOOKUP(E5930,基础信息!C:E,3,FALSE)</f>
        <v>#N/A</v>
      </c>
    </row>
    <row r="5931" customHeight="1" spans="8:8">
      <c r="H5931" s="39" t="e">
        <f>VLOOKUP(E5931,基础信息!C:E,3,FALSE)</f>
        <v>#N/A</v>
      </c>
    </row>
    <row r="5932" customHeight="1" spans="8:8">
      <c r="H5932" s="39" t="e">
        <f>VLOOKUP(E5932,基础信息!C:E,3,FALSE)</f>
        <v>#N/A</v>
      </c>
    </row>
    <row r="5933" customHeight="1" spans="8:8">
      <c r="H5933" s="39" t="e">
        <f>VLOOKUP(E5933,基础信息!C:E,3,FALSE)</f>
        <v>#N/A</v>
      </c>
    </row>
    <row r="5934" customHeight="1" spans="8:8">
      <c r="H5934" s="39" t="e">
        <f>VLOOKUP(E5934,基础信息!C:E,3,FALSE)</f>
        <v>#N/A</v>
      </c>
    </row>
    <row r="5935" customHeight="1" spans="8:8">
      <c r="H5935" s="39" t="e">
        <f>VLOOKUP(E5935,基础信息!C:E,3,FALSE)</f>
        <v>#N/A</v>
      </c>
    </row>
    <row r="5936" customHeight="1" spans="8:8">
      <c r="H5936" s="39" t="e">
        <f>VLOOKUP(E5936,基础信息!C:E,3,FALSE)</f>
        <v>#N/A</v>
      </c>
    </row>
    <row r="5937" customHeight="1" spans="8:8">
      <c r="H5937" s="39" t="e">
        <f>VLOOKUP(E5937,基础信息!C:E,3,FALSE)</f>
        <v>#N/A</v>
      </c>
    </row>
    <row r="5938" customHeight="1" spans="8:8">
      <c r="H5938" s="39" t="e">
        <f>VLOOKUP(E5938,基础信息!C:E,3,FALSE)</f>
        <v>#N/A</v>
      </c>
    </row>
    <row r="5939" customHeight="1" spans="8:8">
      <c r="H5939" s="39" t="e">
        <f>VLOOKUP(E5939,基础信息!C:E,3,FALSE)</f>
        <v>#N/A</v>
      </c>
    </row>
    <row r="5940" customHeight="1" spans="8:8">
      <c r="H5940" s="39" t="e">
        <f>VLOOKUP(E5940,基础信息!C:E,3,FALSE)</f>
        <v>#N/A</v>
      </c>
    </row>
    <row r="5941" customHeight="1" spans="8:8">
      <c r="H5941" s="39" t="e">
        <f>VLOOKUP(E5941,基础信息!C:E,3,FALSE)</f>
        <v>#N/A</v>
      </c>
    </row>
    <row r="5942" customHeight="1" spans="8:8">
      <c r="H5942" s="39" t="e">
        <f>VLOOKUP(E5942,基础信息!C:E,3,FALSE)</f>
        <v>#N/A</v>
      </c>
    </row>
    <row r="5943" customHeight="1" spans="8:8">
      <c r="H5943" s="39" t="e">
        <f>VLOOKUP(E5943,基础信息!C:E,3,FALSE)</f>
        <v>#N/A</v>
      </c>
    </row>
    <row r="5944" customHeight="1" spans="8:8">
      <c r="H5944" s="39" t="e">
        <f>VLOOKUP(E5944,基础信息!C:E,3,FALSE)</f>
        <v>#N/A</v>
      </c>
    </row>
    <row r="5945" customHeight="1" spans="8:8">
      <c r="H5945" s="39" t="e">
        <f>VLOOKUP(E5945,基础信息!C:E,3,FALSE)</f>
        <v>#N/A</v>
      </c>
    </row>
    <row r="5946" customHeight="1" spans="8:8">
      <c r="H5946" s="39" t="e">
        <f>VLOOKUP(E5946,基础信息!C:E,3,FALSE)</f>
        <v>#N/A</v>
      </c>
    </row>
    <row r="5947" customHeight="1" spans="8:8">
      <c r="H5947" s="39" t="e">
        <f>VLOOKUP(E5947,基础信息!C:E,3,FALSE)</f>
        <v>#N/A</v>
      </c>
    </row>
    <row r="5948" customHeight="1" spans="8:8">
      <c r="H5948" s="39" t="e">
        <f>VLOOKUP(E5948,基础信息!C:E,3,FALSE)</f>
        <v>#N/A</v>
      </c>
    </row>
    <row r="5949" customHeight="1" spans="8:8">
      <c r="H5949" s="39" t="e">
        <f>VLOOKUP(E5949,基础信息!C:E,3,FALSE)</f>
        <v>#N/A</v>
      </c>
    </row>
    <row r="5950" customHeight="1" spans="8:8">
      <c r="H5950" s="39" t="e">
        <f>VLOOKUP(E5950,基础信息!C:E,3,FALSE)</f>
        <v>#N/A</v>
      </c>
    </row>
    <row r="5951" customHeight="1" spans="8:8">
      <c r="H5951" s="39" t="e">
        <f>VLOOKUP(E5951,基础信息!C:E,3,FALSE)</f>
        <v>#N/A</v>
      </c>
    </row>
    <row r="5952" customHeight="1" spans="8:8">
      <c r="H5952" s="39" t="e">
        <f>VLOOKUP(E5952,基础信息!C:E,3,FALSE)</f>
        <v>#N/A</v>
      </c>
    </row>
    <row r="5953" customHeight="1" spans="8:8">
      <c r="H5953" s="39" t="e">
        <f>VLOOKUP(E5953,基础信息!C:E,3,FALSE)</f>
        <v>#N/A</v>
      </c>
    </row>
    <row r="5954" customHeight="1" spans="8:8">
      <c r="H5954" s="39" t="e">
        <f>VLOOKUP(E5954,基础信息!C:E,3,FALSE)</f>
        <v>#N/A</v>
      </c>
    </row>
    <row r="5955" customHeight="1" spans="8:8">
      <c r="H5955" s="39" t="e">
        <f>VLOOKUP(E5955,基础信息!C:E,3,FALSE)</f>
        <v>#N/A</v>
      </c>
    </row>
    <row r="5956" customHeight="1" spans="8:8">
      <c r="H5956" s="39" t="e">
        <f>VLOOKUP(E5956,基础信息!C:E,3,FALSE)</f>
        <v>#N/A</v>
      </c>
    </row>
    <row r="5957" customHeight="1" spans="8:8">
      <c r="H5957" s="39" t="e">
        <f>VLOOKUP(E5957,基础信息!C:E,3,FALSE)</f>
        <v>#N/A</v>
      </c>
    </row>
    <row r="5958" customHeight="1" spans="8:8">
      <c r="H5958" s="39" t="e">
        <f>VLOOKUP(E5958,基础信息!C:E,3,FALSE)</f>
        <v>#N/A</v>
      </c>
    </row>
    <row r="5959" customHeight="1" spans="8:8">
      <c r="H5959" s="39" t="e">
        <f>VLOOKUP(E5959,基础信息!C:E,3,FALSE)</f>
        <v>#N/A</v>
      </c>
    </row>
    <row r="5960" customHeight="1" spans="8:8">
      <c r="H5960" s="39" t="e">
        <f>VLOOKUP(E5960,基础信息!C:E,3,FALSE)</f>
        <v>#N/A</v>
      </c>
    </row>
    <row r="5961" customHeight="1" spans="8:8">
      <c r="H5961" s="39" t="e">
        <f>VLOOKUP(E5961,基础信息!C:E,3,FALSE)</f>
        <v>#N/A</v>
      </c>
    </row>
    <row r="5962" customHeight="1" spans="8:8">
      <c r="H5962" s="39" t="e">
        <f>VLOOKUP(E5962,基础信息!C:E,3,FALSE)</f>
        <v>#N/A</v>
      </c>
    </row>
    <row r="5963" customHeight="1" spans="8:8">
      <c r="H5963" s="39" t="e">
        <f>VLOOKUP(E5963,基础信息!C:E,3,FALSE)</f>
        <v>#N/A</v>
      </c>
    </row>
    <row r="5964" customHeight="1" spans="8:8">
      <c r="H5964" s="39" t="e">
        <f>VLOOKUP(E5964,基础信息!C:E,3,FALSE)</f>
        <v>#N/A</v>
      </c>
    </row>
    <row r="5965" customHeight="1" spans="8:8">
      <c r="H5965" s="39" t="e">
        <f>VLOOKUP(E5965,基础信息!C:E,3,FALSE)</f>
        <v>#N/A</v>
      </c>
    </row>
    <row r="5966" customHeight="1" spans="8:8">
      <c r="H5966" s="39" t="e">
        <f>VLOOKUP(E5966,基础信息!C:E,3,FALSE)</f>
        <v>#N/A</v>
      </c>
    </row>
    <row r="5967" customHeight="1" spans="8:8">
      <c r="H5967" s="39" t="e">
        <f>VLOOKUP(E5967,基础信息!C:E,3,FALSE)</f>
        <v>#N/A</v>
      </c>
    </row>
    <row r="5968" customHeight="1" spans="8:8">
      <c r="H5968" s="39" t="e">
        <f>VLOOKUP(E5968,基础信息!C:E,3,FALSE)</f>
        <v>#N/A</v>
      </c>
    </row>
    <row r="5969" customHeight="1" spans="8:8">
      <c r="H5969" s="39" t="e">
        <f>VLOOKUP(E5969,基础信息!C:E,3,FALSE)</f>
        <v>#N/A</v>
      </c>
    </row>
    <row r="5970" customHeight="1" spans="8:8">
      <c r="H5970" s="39" t="e">
        <f>VLOOKUP(E5970,基础信息!C:E,3,FALSE)</f>
        <v>#N/A</v>
      </c>
    </row>
    <row r="5971" customHeight="1" spans="8:8">
      <c r="H5971" s="39" t="e">
        <f>VLOOKUP(E5971,基础信息!C:E,3,FALSE)</f>
        <v>#N/A</v>
      </c>
    </row>
    <row r="5972" customHeight="1" spans="8:8">
      <c r="H5972" s="39" t="e">
        <f>VLOOKUP(E5972,基础信息!C:E,3,FALSE)</f>
        <v>#N/A</v>
      </c>
    </row>
    <row r="5973" customHeight="1" spans="8:8">
      <c r="H5973" s="39" t="e">
        <f>VLOOKUP(E5973,基础信息!C:E,3,FALSE)</f>
        <v>#N/A</v>
      </c>
    </row>
    <row r="5974" customHeight="1" spans="8:8">
      <c r="H5974" s="39" t="e">
        <f>VLOOKUP(E5974,基础信息!C:E,3,FALSE)</f>
        <v>#N/A</v>
      </c>
    </row>
    <row r="5975" customHeight="1" spans="8:8">
      <c r="H5975" s="39" t="e">
        <f>VLOOKUP(E5975,基础信息!C:E,3,FALSE)</f>
        <v>#N/A</v>
      </c>
    </row>
    <row r="5976" customHeight="1" spans="8:8">
      <c r="H5976" s="39" t="e">
        <f>VLOOKUP(E5976,基础信息!C:E,3,FALSE)</f>
        <v>#N/A</v>
      </c>
    </row>
    <row r="5977" customHeight="1" spans="8:8">
      <c r="H5977" s="39" t="e">
        <f>VLOOKUP(E5977,基础信息!C:E,3,FALSE)</f>
        <v>#N/A</v>
      </c>
    </row>
    <row r="5978" customHeight="1" spans="8:8">
      <c r="H5978" s="39" t="e">
        <f>VLOOKUP(E5978,基础信息!C:E,3,FALSE)</f>
        <v>#N/A</v>
      </c>
    </row>
    <row r="5979" customHeight="1" spans="8:8">
      <c r="H5979" s="39" t="e">
        <f>VLOOKUP(E5979,基础信息!C:E,3,FALSE)</f>
        <v>#N/A</v>
      </c>
    </row>
    <row r="5980" customHeight="1" spans="8:8">
      <c r="H5980" s="39" t="e">
        <f>VLOOKUP(E5980,基础信息!C:E,3,FALSE)</f>
        <v>#N/A</v>
      </c>
    </row>
    <row r="5981" customHeight="1" spans="8:8">
      <c r="H5981" s="39" t="e">
        <f>VLOOKUP(E5981,基础信息!C:E,3,FALSE)</f>
        <v>#N/A</v>
      </c>
    </row>
    <row r="5982" customHeight="1" spans="8:8">
      <c r="H5982" s="39" t="e">
        <f>VLOOKUP(E5982,基础信息!C:E,3,FALSE)</f>
        <v>#N/A</v>
      </c>
    </row>
    <row r="5983" customHeight="1" spans="8:8">
      <c r="H5983" s="39" t="e">
        <f>VLOOKUP(E5983,基础信息!C:E,3,FALSE)</f>
        <v>#N/A</v>
      </c>
    </row>
    <row r="5984" customHeight="1" spans="8:8">
      <c r="H5984" s="39" t="e">
        <f>VLOOKUP(E5984,基础信息!C:E,3,FALSE)</f>
        <v>#N/A</v>
      </c>
    </row>
    <row r="5985" customHeight="1" spans="8:8">
      <c r="H5985" s="39" t="e">
        <f>VLOOKUP(E5985,基础信息!C:E,3,FALSE)</f>
        <v>#N/A</v>
      </c>
    </row>
    <row r="5986" customHeight="1" spans="8:8">
      <c r="H5986" s="39" t="e">
        <f>VLOOKUP(E5986,基础信息!C:E,3,FALSE)</f>
        <v>#N/A</v>
      </c>
    </row>
    <row r="5987" customHeight="1" spans="8:8">
      <c r="H5987" s="39" t="e">
        <f>VLOOKUP(E5987,基础信息!C:E,3,FALSE)</f>
        <v>#N/A</v>
      </c>
    </row>
    <row r="5988" customHeight="1" spans="8:8">
      <c r="H5988" s="39" t="e">
        <f>VLOOKUP(E5988,基础信息!C:E,3,FALSE)</f>
        <v>#N/A</v>
      </c>
    </row>
    <row r="5989" customHeight="1" spans="8:8">
      <c r="H5989" s="39" t="e">
        <f>VLOOKUP(E5989,基础信息!C:E,3,FALSE)</f>
        <v>#N/A</v>
      </c>
    </row>
    <row r="5990" customHeight="1" spans="8:8">
      <c r="H5990" s="39" t="e">
        <f>VLOOKUP(E5990,基础信息!C:E,3,FALSE)</f>
        <v>#N/A</v>
      </c>
    </row>
    <row r="5991" customHeight="1" spans="8:8">
      <c r="H5991" s="39" t="e">
        <f>VLOOKUP(E5991,基础信息!C:E,3,FALSE)</f>
        <v>#N/A</v>
      </c>
    </row>
    <row r="5992" customHeight="1" spans="8:8">
      <c r="H5992" s="39" t="e">
        <f>VLOOKUP(E5992,基础信息!C:E,3,FALSE)</f>
        <v>#N/A</v>
      </c>
    </row>
    <row r="5993" customHeight="1" spans="8:8">
      <c r="H5993" s="39" t="e">
        <f>VLOOKUP(E5993,基础信息!C:E,3,FALSE)</f>
        <v>#N/A</v>
      </c>
    </row>
    <row r="5994" customHeight="1" spans="8:8">
      <c r="H5994" s="39" t="e">
        <f>VLOOKUP(E5994,基础信息!C:E,3,FALSE)</f>
        <v>#N/A</v>
      </c>
    </row>
    <row r="5995" customHeight="1" spans="8:8">
      <c r="H5995" s="39" t="e">
        <f>VLOOKUP(E5995,基础信息!C:E,3,FALSE)</f>
        <v>#N/A</v>
      </c>
    </row>
    <row r="5996" customHeight="1" spans="8:8">
      <c r="H5996" s="39" t="e">
        <f>VLOOKUP(E5996,基础信息!C:E,3,FALSE)</f>
        <v>#N/A</v>
      </c>
    </row>
    <row r="5997" customHeight="1" spans="8:8">
      <c r="H5997" s="39" t="e">
        <f>VLOOKUP(E5997,基础信息!C:E,3,FALSE)</f>
        <v>#N/A</v>
      </c>
    </row>
    <row r="5998" customHeight="1" spans="8:8">
      <c r="H5998" s="39" t="e">
        <f>VLOOKUP(E5998,基础信息!C:E,3,FALSE)</f>
        <v>#N/A</v>
      </c>
    </row>
    <row r="5999" customHeight="1" spans="8:8">
      <c r="H5999" s="39" t="e">
        <f>VLOOKUP(E5999,基础信息!C:E,3,FALSE)</f>
        <v>#N/A</v>
      </c>
    </row>
    <row r="6000" customHeight="1" spans="8:8">
      <c r="H6000" s="39" t="e">
        <f>VLOOKUP(E6000,基础信息!C:E,3,FALSE)</f>
        <v>#N/A</v>
      </c>
    </row>
    <row r="6001" customHeight="1" spans="8:8">
      <c r="H6001" s="39" t="e">
        <f>VLOOKUP(E6001,基础信息!C:E,3,FALSE)</f>
        <v>#N/A</v>
      </c>
    </row>
    <row r="6002" customHeight="1" spans="8:8">
      <c r="H6002" s="39" t="e">
        <f>VLOOKUP(E6002,基础信息!C:E,3,FALSE)</f>
        <v>#N/A</v>
      </c>
    </row>
    <row r="6003" customHeight="1" spans="8:8">
      <c r="H6003" s="39" t="e">
        <f>VLOOKUP(E6003,基础信息!C:E,3,FALSE)</f>
        <v>#N/A</v>
      </c>
    </row>
    <row r="6004" customHeight="1" spans="8:8">
      <c r="H6004" s="39" t="e">
        <f>VLOOKUP(E6004,基础信息!C:E,3,FALSE)</f>
        <v>#N/A</v>
      </c>
    </row>
    <row r="6005" customHeight="1" spans="8:8">
      <c r="H6005" s="39" t="e">
        <f>VLOOKUP(E6005,基础信息!C:E,3,FALSE)</f>
        <v>#N/A</v>
      </c>
    </row>
    <row r="6006" customHeight="1" spans="8:8">
      <c r="H6006" s="39" t="e">
        <f>VLOOKUP(E6006,基础信息!C:E,3,FALSE)</f>
        <v>#N/A</v>
      </c>
    </row>
    <row r="6007" customHeight="1" spans="8:8">
      <c r="H6007" s="39" t="e">
        <f>VLOOKUP(E6007,基础信息!C:E,3,FALSE)</f>
        <v>#N/A</v>
      </c>
    </row>
    <row r="6008" customHeight="1" spans="8:8">
      <c r="H6008" s="39" t="e">
        <f>VLOOKUP(E6008,基础信息!C:E,3,FALSE)</f>
        <v>#N/A</v>
      </c>
    </row>
    <row r="6009" customHeight="1" spans="8:8">
      <c r="H6009" s="39" t="e">
        <f>VLOOKUP(E6009,基础信息!C:E,3,FALSE)</f>
        <v>#N/A</v>
      </c>
    </row>
    <row r="6010" customHeight="1" spans="8:8">
      <c r="H6010" s="39" t="e">
        <f>VLOOKUP(E6010,基础信息!C:E,3,FALSE)</f>
        <v>#N/A</v>
      </c>
    </row>
    <row r="6011" customHeight="1" spans="8:8">
      <c r="H6011" s="39" t="e">
        <f>VLOOKUP(E6011,基础信息!C:E,3,FALSE)</f>
        <v>#N/A</v>
      </c>
    </row>
    <row r="6012" customHeight="1" spans="8:8">
      <c r="H6012" s="39" t="e">
        <f>VLOOKUP(E6012,基础信息!C:E,3,FALSE)</f>
        <v>#N/A</v>
      </c>
    </row>
    <row r="6013" customHeight="1" spans="8:8">
      <c r="H6013" s="39" t="e">
        <f>VLOOKUP(E6013,基础信息!C:E,3,FALSE)</f>
        <v>#N/A</v>
      </c>
    </row>
    <row r="6014" customHeight="1" spans="8:8">
      <c r="H6014" s="39" t="e">
        <f>VLOOKUP(E6014,基础信息!C:E,3,FALSE)</f>
        <v>#N/A</v>
      </c>
    </row>
    <row r="6015" customHeight="1" spans="8:8">
      <c r="H6015" s="39" t="e">
        <f>VLOOKUP(E6015,基础信息!C:E,3,FALSE)</f>
        <v>#N/A</v>
      </c>
    </row>
    <row r="6016" customHeight="1" spans="8:8">
      <c r="H6016" s="39" t="e">
        <f>VLOOKUP(E6016,基础信息!C:E,3,FALSE)</f>
        <v>#N/A</v>
      </c>
    </row>
    <row r="6017" customHeight="1" spans="8:8">
      <c r="H6017" s="39" t="e">
        <f>VLOOKUP(E6017,基础信息!C:E,3,FALSE)</f>
        <v>#N/A</v>
      </c>
    </row>
    <row r="6018" customHeight="1" spans="8:8">
      <c r="H6018" s="39" t="e">
        <f>VLOOKUP(E6018,基础信息!C:E,3,FALSE)</f>
        <v>#N/A</v>
      </c>
    </row>
    <row r="6019" customHeight="1" spans="8:8">
      <c r="H6019" s="39" t="e">
        <f>VLOOKUP(E6019,基础信息!C:E,3,FALSE)</f>
        <v>#N/A</v>
      </c>
    </row>
    <row r="6020" customHeight="1" spans="8:8">
      <c r="H6020" s="39" t="e">
        <f>VLOOKUP(E6020,基础信息!C:E,3,FALSE)</f>
        <v>#N/A</v>
      </c>
    </row>
    <row r="6021" customHeight="1" spans="8:8">
      <c r="H6021" s="39" t="e">
        <f>VLOOKUP(E6021,基础信息!C:E,3,FALSE)</f>
        <v>#N/A</v>
      </c>
    </row>
    <row r="6022" customHeight="1" spans="8:8">
      <c r="H6022" s="39" t="e">
        <f>VLOOKUP(E6022,基础信息!C:E,3,FALSE)</f>
        <v>#N/A</v>
      </c>
    </row>
    <row r="6023" customHeight="1" spans="8:8">
      <c r="H6023" s="39" t="e">
        <f>VLOOKUP(E6023,基础信息!C:E,3,FALSE)</f>
        <v>#N/A</v>
      </c>
    </row>
    <row r="6024" customHeight="1" spans="8:8">
      <c r="H6024" s="39" t="e">
        <f>VLOOKUP(E6024,基础信息!C:E,3,FALSE)</f>
        <v>#N/A</v>
      </c>
    </row>
    <row r="6025" customHeight="1" spans="8:8">
      <c r="H6025" s="39" t="e">
        <f>VLOOKUP(E6025,基础信息!C:E,3,FALSE)</f>
        <v>#N/A</v>
      </c>
    </row>
    <row r="6026" customHeight="1" spans="8:8">
      <c r="H6026" s="39" t="e">
        <f>VLOOKUP(E6026,基础信息!C:E,3,FALSE)</f>
        <v>#N/A</v>
      </c>
    </row>
    <row r="6027" customHeight="1" spans="8:8">
      <c r="H6027" s="39" t="e">
        <f>VLOOKUP(E6027,基础信息!C:E,3,FALSE)</f>
        <v>#N/A</v>
      </c>
    </row>
    <row r="6028" customHeight="1" spans="8:8">
      <c r="H6028" s="39" t="e">
        <f>VLOOKUP(E6028,基础信息!C:E,3,FALSE)</f>
        <v>#N/A</v>
      </c>
    </row>
    <row r="6029" customHeight="1" spans="8:8">
      <c r="H6029" s="39" t="e">
        <f>VLOOKUP(E6029,基础信息!C:E,3,FALSE)</f>
        <v>#N/A</v>
      </c>
    </row>
    <row r="6030" customHeight="1" spans="8:8">
      <c r="H6030" s="39" t="e">
        <f>VLOOKUP(E6030,基础信息!C:E,3,FALSE)</f>
        <v>#N/A</v>
      </c>
    </row>
    <row r="6031" customHeight="1" spans="8:8">
      <c r="H6031" s="39" t="e">
        <f>VLOOKUP(E6031,基础信息!C:E,3,FALSE)</f>
        <v>#N/A</v>
      </c>
    </row>
    <row r="6032" customHeight="1" spans="8:8">
      <c r="H6032" s="39" t="e">
        <f>VLOOKUP(E6032,基础信息!C:E,3,FALSE)</f>
        <v>#N/A</v>
      </c>
    </row>
    <row r="6033" customHeight="1" spans="8:8">
      <c r="H6033" s="39" t="e">
        <f>VLOOKUP(E6033,基础信息!C:E,3,FALSE)</f>
        <v>#N/A</v>
      </c>
    </row>
    <row r="6034" customHeight="1" spans="8:8">
      <c r="H6034" s="39" t="e">
        <f>VLOOKUP(E6034,基础信息!C:E,3,FALSE)</f>
        <v>#N/A</v>
      </c>
    </row>
    <row r="6035" customHeight="1" spans="8:8">
      <c r="H6035" s="39" t="e">
        <f>VLOOKUP(E6035,基础信息!C:E,3,FALSE)</f>
        <v>#N/A</v>
      </c>
    </row>
    <row r="6036" customHeight="1" spans="8:8">
      <c r="H6036" s="39" t="e">
        <f>VLOOKUP(E6036,基础信息!C:E,3,FALSE)</f>
        <v>#N/A</v>
      </c>
    </row>
    <row r="6037" customHeight="1" spans="8:8">
      <c r="H6037" s="39" t="e">
        <f>VLOOKUP(E6037,基础信息!C:E,3,FALSE)</f>
        <v>#N/A</v>
      </c>
    </row>
    <row r="6038" customHeight="1" spans="8:8">
      <c r="H6038" s="39" t="e">
        <f>VLOOKUP(E6038,基础信息!C:E,3,FALSE)</f>
        <v>#N/A</v>
      </c>
    </row>
    <row r="6039" customHeight="1" spans="8:8">
      <c r="H6039" s="39" t="e">
        <f>VLOOKUP(E6039,基础信息!C:E,3,FALSE)</f>
        <v>#N/A</v>
      </c>
    </row>
    <row r="6040" customHeight="1" spans="8:8">
      <c r="H6040" s="39" t="e">
        <f>VLOOKUP(E6040,基础信息!C:E,3,FALSE)</f>
        <v>#N/A</v>
      </c>
    </row>
    <row r="6041" customHeight="1" spans="8:8">
      <c r="H6041" s="39" t="e">
        <f>VLOOKUP(E6041,基础信息!C:E,3,FALSE)</f>
        <v>#N/A</v>
      </c>
    </row>
    <row r="6042" customHeight="1" spans="8:8">
      <c r="H6042" s="39" t="e">
        <f>VLOOKUP(E6042,基础信息!C:E,3,FALSE)</f>
        <v>#N/A</v>
      </c>
    </row>
    <row r="6043" customHeight="1" spans="8:8">
      <c r="H6043" s="39" t="e">
        <f>VLOOKUP(E6043,基础信息!C:E,3,FALSE)</f>
        <v>#N/A</v>
      </c>
    </row>
    <row r="6044" customHeight="1" spans="8:8">
      <c r="H6044" s="39" t="e">
        <f>VLOOKUP(E6044,基础信息!C:E,3,FALSE)</f>
        <v>#N/A</v>
      </c>
    </row>
    <row r="6045" customHeight="1" spans="8:8">
      <c r="H6045" s="39" t="e">
        <f>VLOOKUP(E6045,基础信息!C:E,3,FALSE)</f>
        <v>#N/A</v>
      </c>
    </row>
    <row r="6046" customHeight="1" spans="8:8">
      <c r="H6046" s="39" t="e">
        <f>VLOOKUP(E6046,基础信息!C:E,3,FALSE)</f>
        <v>#N/A</v>
      </c>
    </row>
    <row r="6047" customHeight="1" spans="8:8">
      <c r="H6047" s="39" t="e">
        <f>VLOOKUP(E6047,基础信息!C:E,3,FALSE)</f>
        <v>#N/A</v>
      </c>
    </row>
    <row r="6048" customHeight="1" spans="8:8">
      <c r="H6048" s="39" t="e">
        <f>VLOOKUP(E6048,基础信息!C:E,3,FALSE)</f>
        <v>#N/A</v>
      </c>
    </row>
    <row r="6049" customHeight="1" spans="8:8">
      <c r="H6049" s="39" t="e">
        <f>VLOOKUP(E6049,基础信息!C:E,3,FALSE)</f>
        <v>#N/A</v>
      </c>
    </row>
    <row r="6050" customHeight="1" spans="8:8">
      <c r="H6050" s="39" t="e">
        <f>VLOOKUP(E6050,基础信息!C:E,3,FALSE)</f>
        <v>#N/A</v>
      </c>
    </row>
    <row r="6051" customHeight="1" spans="8:8">
      <c r="H6051" s="39" t="e">
        <f>VLOOKUP(E6051,基础信息!C:E,3,FALSE)</f>
        <v>#N/A</v>
      </c>
    </row>
    <row r="6052" customHeight="1" spans="8:8">
      <c r="H6052" s="39" t="e">
        <f>VLOOKUP(E6052,基础信息!C:E,3,FALSE)</f>
        <v>#N/A</v>
      </c>
    </row>
    <row r="6053" customHeight="1" spans="8:8">
      <c r="H6053" s="39" t="e">
        <f>VLOOKUP(E6053,基础信息!C:E,3,FALSE)</f>
        <v>#N/A</v>
      </c>
    </row>
    <row r="6054" customHeight="1" spans="8:8">
      <c r="H6054" s="39" t="e">
        <f>VLOOKUP(E6054,基础信息!C:E,3,FALSE)</f>
        <v>#N/A</v>
      </c>
    </row>
    <row r="6055" customHeight="1" spans="8:8">
      <c r="H6055" s="39" t="e">
        <f>VLOOKUP(E6055,基础信息!C:E,3,FALSE)</f>
        <v>#N/A</v>
      </c>
    </row>
    <row r="6056" customHeight="1" spans="8:8">
      <c r="H6056" s="39" t="e">
        <f>VLOOKUP(E6056,基础信息!C:E,3,FALSE)</f>
        <v>#N/A</v>
      </c>
    </row>
    <row r="6057" customHeight="1" spans="8:8">
      <c r="H6057" s="39" t="e">
        <f>VLOOKUP(E6057,基础信息!C:E,3,FALSE)</f>
        <v>#N/A</v>
      </c>
    </row>
    <row r="6058" customHeight="1" spans="8:8">
      <c r="H6058" s="39" t="e">
        <f>VLOOKUP(E6058,基础信息!C:E,3,FALSE)</f>
        <v>#N/A</v>
      </c>
    </row>
    <row r="6059" customHeight="1" spans="8:8">
      <c r="H6059" s="39" t="e">
        <f>VLOOKUP(E6059,基础信息!C:E,3,FALSE)</f>
        <v>#N/A</v>
      </c>
    </row>
    <row r="6060" customHeight="1" spans="8:8">
      <c r="H6060" s="39" t="e">
        <f>VLOOKUP(E6060,基础信息!C:E,3,FALSE)</f>
        <v>#N/A</v>
      </c>
    </row>
    <row r="6061" customHeight="1" spans="8:8">
      <c r="H6061" s="39" t="e">
        <f>VLOOKUP(E6061,基础信息!C:E,3,FALSE)</f>
        <v>#N/A</v>
      </c>
    </row>
    <row r="6062" customHeight="1" spans="8:8">
      <c r="H6062" s="39" t="e">
        <f>VLOOKUP(E6062,基础信息!C:E,3,FALSE)</f>
        <v>#N/A</v>
      </c>
    </row>
    <row r="6063" customHeight="1" spans="8:8">
      <c r="H6063" s="39" t="e">
        <f>VLOOKUP(E6063,基础信息!C:E,3,FALSE)</f>
        <v>#N/A</v>
      </c>
    </row>
    <row r="6064" customHeight="1" spans="8:8">
      <c r="H6064" s="39" t="e">
        <f>VLOOKUP(E6064,基础信息!C:E,3,FALSE)</f>
        <v>#N/A</v>
      </c>
    </row>
    <row r="6065" customHeight="1" spans="8:8">
      <c r="H6065" s="39" t="e">
        <f>VLOOKUP(E6065,基础信息!C:E,3,FALSE)</f>
        <v>#N/A</v>
      </c>
    </row>
    <row r="6066" customHeight="1" spans="8:8">
      <c r="H6066" s="39" t="e">
        <f>VLOOKUP(E6066,基础信息!C:E,3,FALSE)</f>
        <v>#N/A</v>
      </c>
    </row>
    <row r="6067" customHeight="1" spans="8:8">
      <c r="H6067" s="39" t="e">
        <f>VLOOKUP(E6067,基础信息!C:E,3,FALSE)</f>
        <v>#N/A</v>
      </c>
    </row>
    <row r="6068" customHeight="1" spans="8:8">
      <c r="H6068" s="39" t="e">
        <f>VLOOKUP(E6068,基础信息!C:E,3,FALSE)</f>
        <v>#N/A</v>
      </c>
    </row>
    <row r="6069" customHeight="1" spans="8:8">
      <c r="H6069" s="39" t="e">
        <f>VLOOKUP(E6069,基础信息!C:E,3,FALSE)</f>
        <v>#N/A</v>
      </c>
    </row>
    <row r="6070" customHeight="1" spans="8:8">
      <c r="H6070" s="39" t="e">
        <f>VLOOKUP(E6070,基础信息!C:E,3,FALSE)</f>
        <v>#N/A</v>
      </c>
    </row>
    <row r="6071" customHeight="1" spans="8:8">
      <c r="H6071" s="39" t="e">
        <f>VLOOKUP(E6071,基础信息!C:E,3,FALSE)</f>
        <v>#N/A</v>
      </c>
    </row>
    <row r="6072" customHeight="1" spans="8:8">
      <c r="H6072" s="39" t="e">
        <f>VLOOKUP(E6072,基础信息!C:E,3,FALSE)</f>
        <v>#N/A</v>
      </c>
    </row>
    <row r="6073" customHeight="1" spans="8:8">
      <c r="H6073" s="39" t="e">
        <f>VLOOKUP(E6073,基础信息!C:E,3,FALSE)</f>
        <v>#N/A</v>
      </c>
    </row>
    <row r="6074" customHeight="1" spans="8:8">
      <c r="H6074" s="39" t="e">
        <f>VLOOKUP(E6074,基础信息!C:E,3,FALSE)</f>
        <v>#N/A</v>
      </c>
    </row>
    <row r="6075" customHeight="1" spans="8:8">
      <c r="H6075" s="39" t="e">
        <f>VLOOKUP(E6075,基础信息!C:E,3,FALSE)</f>
        <v>#N/A</v>
      </c>
    </row>
    <row r="6076" customHeight="1" spans="8:8">
      <c r="H6076" s="39" t="e">
        <f>VLOOKUP(E6076,基础信息!C:E,3,FALSE)</f>
        <v>#N/A</v>
      </c>
    </row>
    <row r="6077" customHeight="1" spans="8:8">
      <c r="H6077" s="39" t="e">
        <f>VLOOKUP(E6077,基础信息!C:E,3,FALSE)</f>
        <v>#N/A</v>
      </c>
    </row>
    <row r="6078" customHeight="1" spans="8:8">
      <c r="H6078" s="39" t="e">
        <f>VLOOKUP(E6078,基础信息!C:E,3,FALSE)</f>
        <v>#N/A</v>
      </c>
    </row>
    <row r="6079" customHeight="1" spans="8:8">
      <c r="H6079" s="39" t="e">
        <f>VLOOKUP(E6079,基础信息!C:E,3,FALSE)</f>
        <v>#N/A</v>
      </c>
    </row>
    <row r="6080" customHeight="1" spans="8:8">
      <c r="H6080" s="39" t="e">
        <f>VLOOKUP(E6080,基础信息!C:E,3,FALSE)</f>
        <v>#N/A</v>
      </c>
    </row>
    <row r="6081" customHeight="1" spans="8:8">
      <c r="H6081" s="39" t="e">
        <f>VLOOKUP(E6081,基础信息!C:E,3,FALSE)</f>
        <v>#N/A</v>
      </c>
    </row>
    <row r="6082" customHeight="1" spans="8:8">
      <c r="H6082" s="39" t="e">
        <f>VLOOKUP(E6082,基础信息!C:E,3,FALSE)</f>
        <v>#N/A</v>
      </c>
    </row>
    <row r="6083" customHeight="1" spans="8:8">
      <c r="H6083" s="39" t="e">
        <f>VLOOKUP(E6083,基础信息!C:E,3,FALSE)</f>
        <v>#N/A</v>
      </c>
    </row>
    <row r="6084" customHeight="1" spans="8:8">
      <c r="H6084" s="39" t="e">
        <f>VLOOKUP(E6084,基础信息!C:E,3,FALSE)</f>
        <v>#N/A</v>
      </c>
    </row>
    <row r="6085" customHeight="1" spans="8:8">
      <c r="H6085" s="39" t="e">
        <f>VLOOKUP(E6085,基础信息!C:E,3,FALSE)</f>
        <v>#N/A</v>
      </c>
    </row>
    <row r="6086" customHeight="1" spans="8:8">
      <c r="H6086" s="39" t="e">
        <f>VLOOKUP(E6086,基础信息!C:E,3,FALSE)</f>
        <v>#N/A</v>
      </c>
    </row>
    <row r="6087" customHeight="1" spans="8:8">
      <c r="H6087" s="39" t="e">
        <f>VLOOKUP(E6087,基础信息!C:E,3,FALSE)</f>
        <v>#N/A</v>
      </c>
    </row>
    <row r="6088" customHeight="1" spans="8:8">
      <c r="H6088" s="39" t="e">
        <f>VLOOKUP(E6088,基础信息!C:E,3,FALSE)</f>
        <v>#N/A</v>
      </c>
    </row>
    <row r="6089" customHeight="1" spans="8:8">
      <c r="H6089" s="39" t="e">
        <f>VLOOKUP(E6089,基础信息!C:E,3,FALSE)</f>
        <v>#N/A</v>
      </c>
    </row>
    <row r="6090" customHeight="1" spans="8:8">
      <c r="H6090" s="39" t="e">
        <f>VLOOKUP(E6090,基础信息!C:E,3,FALSE)</f>
        <v>#N/A</v>
      </c>
    </row>
    <row r="6091" customHeight="1" spans="8:8">
      <c r="H6091" s="39" t="e">
        <f>VLOOKUP(E6091,基础信息!C:E,3,FALSE)</f>
        <v>#N/A</v>
      </c>
    </row>
    <row r="6092" customHeight="1" spans="8:8">
      <c r="H6092" s="39" t="e">
        <f>VLOOKUP(E6092,基础信息!C:E,3,FALSE)</f>
        <v>#N/A</v>
      </c>
    </row>
    <row r="6093" customHeight="1" spans="8:8">
      <c r="H6093" s="39" t="e">
        <f>VLOOKUP(E6093,基础信息!C:E,3,FALSE)</f>
        <v>#N/A</v>
      </c>
    </row>
    <row r="6094" customHeight="1" spans="8:8">
      <c r="H6094" s="39" t="e">
        <f>VLOOKUP(E6094,基础信息!C:E,3,FALSE)</f>
        <v>#N/A</v>
      </c>
    </row>
    <row r="6095" customHeight="1" spans="8:8">
      <c r="H6095" s="39" t="e">
        <f>VLOOKUP(E6095,基础信息!C:E,3,FALSE)</f>
        <v>#N/A</v>
      </c>
    </row>
    <row r="6096" customHeight="1" spans="8:8">
      <c r="H6096" s="39" t="e">
        <f>VLOOKUP(E6096,基础信息!C:E,3,FALSE)</f>
        <v>#N/A</v>
      </c>
    </row>
    <row r="6097" customHeight="1" spans="8:8">
      <c r="H6097" s="39" t="e">
        <f>VLOOKUP(E6097,基础信息!C:E,3,FALSE)</f>
        <v>#N/A</v>
      </c>
    </row>
    <row r="6098" customHeight="1" spans="8:8">
      <c r="H6098" s="39" t="e">
        <f>VLOOKUP(E6098,基础信息!C:E,3,FALSE)</f>
        <v>#N/A</v>
      </c>
    </row>
    <row r="6099" customHeight="1" spans="8:8">
      <c r="H6099" s="39" t="e">
        <f>VLOOKUP(E6099,基础信息!C:E,3,FALSE)</f>
        <v>#N/A</v>
      </c>
    </row>
    <row r="6100" customHeight="1" spans="8:8">
      <c r="H6100" s="39" t="e">
        <f>VLOOKUP(E6100,基础信息!C:E,3,FALSE)</f>
        <v>#N/A</v>
      </c>
    </row>
    <row r="6101" customHeight="1" spans="8:8">
      <c r="H6101" s="39" t="e">
        <f>VLOOKUP(E6101,基础信息!C:E,3,FALSE)</f>
        <v>#N/A</v>
      </c>
    </row>
    <row r="6102" customHeight="1" spans="8:8">
      <c r="H6102" s="39" t="e">
        <f>VLOOKUP(E6102,基础信息!C:E,3,FALSE)</f>
        <v>#N/A</v>
      </c>
    </row>
    <row r="6103" customHeight="1" spans="8:8">
      <c r="H6103" s="39" t="e">
        <f>VLOOKUP(E6103,基础信息!C:E,3,FALSE)</f>
        <v>#N/A</v>
      </c>
    </row>
    <row r="6104" customHeight="1" spans="8:8">
      <c r="H6104" s="39" t="e">
        <f>VLOOKUP(E6104,基础信息!C:E,3,FALSE)</f>
        <v>#N/A</v>
      </c>
    </row>
    <row r="6105" customHeight="1" spans="8:8">
      <c r="H6105" s="39" t="e">
        <f>VLOOKUP(E6105,基础信息!C:E,3,FALSE)</f>
        <v>#N/A</v>
      </c>
    </row>
    <row r="6106" customHeight="1" spans="8:8">
      <c r="H6106" s="39" t="e">
        <f>VLOOKUP(E6106,基础信息!C:E,3,FALSE)</f>
        <v>#N/A</v>
      </c>
    </row>
    <row r="6107" customHeight="1" spans="8:8">
      <c r="H6107" s="39" t="e">
        <f>VLOOKUP(E6107,基础信息!C:E,3,FALSE)</f>
        <v>#N/A</v>
      </c>
    </row>
    <row r="6108" customHeight="1" spans="8:8">
      <c r="H6108" s="39" t="e">
        <f>VLOOKUP(E6108,基础信息!C:E,3,FALSE)</f>
        <v>#N/A</v>
      </c>
    </row>
    <row r="6109" customHeight="1" spans="8:8">
      <c r="H6109" s="39" t="e">
        <f>VLOOKUP(E6109,基础信息!C:E,3,FALSE)</f>
        <v>#N/A</v>
      </c>
    </row>
    <row r="6110" customHeight="1" spans="8:8">
      <c r="H6110" s="39" t="e">
        <f>VLOOKUP(E6110,基础信息!C:E,3,FALSE)</f>
        <v>#N/A</v>
      </c>
    </row>
    <row r="6111" customHeight="1" spans="8:8">
      <c r="H6111" s="39" t="e">
        <f>VLOOKUP(E6111,基础信息!C:E,3,FALSE)</f>
        <v>#N/A</v>
      </c>
    </row>
    <row r="6112" customHeight="1" spans="8:8">
      <c r="H6112" s="39" t="e">
        <f>VLOOKUP(E6112,基础信息!C:E,3,FALSE)</f>
        <v>#N/A</v>
      </c>
    </row>
    <row r="6113" customHeight="1" spans="8:8">
      <c r="H6113" s="39" t="e">
        <f>VLOOKUP(E6113,基础信息!C:E,3,FALSE)</f>
        <v>#N/A</v>
      </c>
    </row>
    <row r="6114" customHeight="1" spans="8:8">
      <c r="H6114" s="39" t="e">
        <f>VLOOKUP(E6114,基础信息!C:E,3,FALSE)</f>
        <v>#N/A</v>
      </c>
    </row>
    <row r="6115" customHeight="1" spans="8:8">
      <c r="H6115" s="39" t="e">
        <f>VLOOKUP(E6115,基础信息!C:E,3,FALSE)</f>
        <v>#N/A</v>
      </c>
    </row>
    <row r="6116" customHeight="1" spans="8:8">
      <c r="H6116" s="39" t="e">
        <f>VLOOKUP(E6116,基础信息!C:E,3,FALSE)</f>
        <v>#N/A</v>
      </c>
    </row>
    <row r="6117" customHeight="1" spans="8:8">
      <c r="H6117" s="39" t="e">
        <f>VLOOKUP(E6117,基础信息!C:E,3,FALSE)</f>
        <v>#N/A</v>
      </c>
    </row>
    <row r="6118" customHeight="1" spans="8:8">
      <c r="H6118" s="39" t="e">
        <f>VLOOKUP(E6118,基础信息!C:E,3,FALSE)</f>
        <v>#N/A</v>
      </c>
    </row>
    <row r="6119" customHeight="1" spans="8:8">
      <c r="H6119" s="39" t="e">
        <f>VLOOKUP(E6119,基础信息!C:E,3,FALSE)</f>
        <v>#N/A</v>
      </c>
    </row>
    <row r="6120" customHeight="1" spans="8:8">
      <c r="H6120" s="39" t="e">
        <f>VLOOKUP(E6120,基础信息!C:E,3,FALSE)</f>
        <v>#N/A</v>
      </c>
    </row>
    <row r="6121" customHeight="1" spans="8:8">
      <c r="H6121" s="39" t="e">
        <f>VLOOKUP(E6121,基础信息!C:E,3,FALSE)</f>
        <v>#N/A</v>
      </c>
    </row>
    <row r="6122" customHeight="1" spans="8:8">
      <c r="H6122" s="39" t="e">
        <f>VLOOKUP(E6122,基础信息!C:E,3,FALSE)</f>
        <v>#N/A</v>
      </c>
    </row>
    <row r="6123" customHeight="1" spans="8:8">
      <c r="H6123" s="39" t="e">
        <f>VLOOKUP(E6123,基础信息!C:E,3,FALSE)</f>
        <v>#N/A</v>
      </c>
    </row>
    <row r="6124" customHeight="1" spans="8:8">
      <c r="H6124" s="39" t="e">
        <f>VLOOKUP(E6124,基础信息!C:E,3,FALSE)</f>
        <v>#N/A</v>
      </c>
    </row>
    <row r="6125" customHeight="1" spans="8:8">
      <c r="H6125" s="39" t="e">
        <f>VLOOKUP(E6125,基础信息!C:E,3,FALSE)</f>
        <v>#N/A</v>
      </c>
    </row>
    <row r="6126" customHeight="1" spans="8:8">
      <c r="H6126" s="39" t="e">
        <f>VLOOKUP(E6126,基础信息!C:E,3,FALSE)</f>
        <v>#N/A</v>
      </c>
    </row>
    <row r="6127" customHeight="1" spans="8:8">
      <c r="H6127" s="39" t="e">
        <f>VLOOKUP(E6127,基础信息!C:E,3,FALSE)</f>
        <v>#N/A</v>
      </c>
    </row>
    <row r="6128" customHeight="1" spans="8:8">
      <c r="H6128" s="39" t="e">
        <f>VLOOKUP(E6128,基础信息!C:E,3,FALSE)</f>
        <v>#N/A</v>
      </c>
    </row>
    <row r="6129" customHeight="1" spans="8:8">
      <c r="H6129" s="39" t="e">
        <f>VLOOKUP(E6129,基础信息!C:E,3,FALSE)</f>
        <v>#N/A</v>
      </c>
    </row>
    <row r="6130" customHeight="1" spans="8:8">
      <c r="H6130" s="39" t="e">
        <f>VLOOKUP(E6130,基础信息!C:E,3,FALSE)</f>
        <v>#N/A</v>
      </c>
    </row>
    <row r="6131" customHeight="1" spans="8:8">
      <c r="H6131" s="39" t="e">
        <f>VLOOKUP(E6131,基础信息!C:E,3,FALSE)</f>
        <v>#N/A</v>
      </c>
    </row>
    <row r="6132" customHeight="1" spans="8:8">
      <c r="H6132" s="39" t="e">
        <f>VLOOKUP(E6132,基础信息!C:E,3,FALSE)</f>
        <v>#N/A</v>
      </c>
    </row>
    <row r="6133" customHeight="1" spans="8:8">
      <c r="H6133" s="39" t="e">
        <f>VLOOKUP(E6133,基础信息!C:E,3,FALSE)</f>
        <v>#N/A</v>
      </c>
    </row>
    <row r="6134" customHeight="1" spans="8:8">
      <c r="H6134" s="39" t="e">
        <f>VLOOKUP(E6134,基础信息!C:E,3,FALSE)</f>
        <v>#N/A</v>
      </c>
    </row>
    <row r="6135" customHeight="1" spans="8:8">
      <c r="H6135" s="39" t="e">
        <f>VLOOKUP(E6135,基础信息!C:E,3,FALSE)</f>
        <v>#N/A</v>
      </c>
    </row>
    <row r="6136" customHeight="1" spans="8:8">
      <c r="H6136" s="39" t="e">
        <f>VLOOKUP(E6136,基础信息!C:E,3,FALSE)</f>
        <v>#N/A</v>
      </c>
    </row>
    <row r="6137" customHeight="1" spans="8:8">
      <c r="H6137" s="39" t="e">
        <f>VLOOKUP(E6137,基础信息!C:E,3,FALSE)</f>
        <v>#N/A</v>
      </c>
    </row>
    <row r="6138" customHeight="1" spans="8:8">
      <c r="H6138" s="39" t="e">
        <f>VLOOKUP(E6138,基础信息!C:E,3,FALSE)</f>
        <v>#N/A</v>
      </c>
    </row>
    <row r="6139" customHeight="1" spans="8:8">
      <c r="H6139" s="39" t="e">
        <f>VLOOKUP(E6139,基础信息!C:E,3,FALSE)</f>
        <v>#N/A</v>
      </c>
    </row>
    <row r="6140" customHeight="1" spans="8:8">
      <c r="H6140" s="39" t="e">
        <f>VLOOKUP(E6140,基础信息!C:E,3,FALSE)</f>
        <v>#N/A</v>
      </c>
    </row>
    <row r="6141" customHeight="1" spans="8:8">
      <c r="H6141" s="39" t="e">
        <f>VLOOKUP(E6141,基础信息!C:E,3,FALSE)</f>
        <v>#N/A</v>
      </c>
    </row>
    <row r="6142" customHeight="1" spans="8:8">
      <c r="H6142" s="39" t="e">
        <f>VLOOKUP(E6142,基础信息!C:E,3,FALSE)</f>
        <v>#N/A</v>
      </c>
    </row>
    <row r="6143" customHeight="1" spans="8:8">
      <c r="H6143" s="39" t="e">
        <f>VLOOKUP(E6143,基础信息!C:E,3,FALSE)</f>
        <v>#N/A</v>
      </c>
    </row>
    <row r="6144" customHeight="1" spans="8:8">
      <c r="H6144" s="39" t="e">
        <f>VLOOKUP(E6144,基础信息!C:E,3,FALSE)</f>
        <v>#N/A</v>
      </c>
    </row>
    <row r="6145" customHeight="1" spans="8:8">
      <c r="H6145" s="39" t="e">
        <f>VLOOKUP(E6145,基础信息!C:E,3,FALSE)</f>
        <v>#N/A</v>
      </c>
    </row>
    <row r="6146" customHeight="1" spans="8:8">
      <c r="H6146" s="39" t="e">
        <f>VLOOKUP(E6146,基础信息!C:E,3,FALSE)</f>
        <v>#N/A</v>
      </c>
    </row>
    <row r="6147" customHeight="1" spans="8:8">
      <c r="H6147" s="39" t="e">
        <f>VLOOKUP(E6147,基础信息!C:E,3,FALSE)</f>
        <v>#N/A</v>
      </c>
    </row>
    <row r="6148" customHeight="1" spans="8:8">
      <c r="H6148" s="39" t="e">
        <f>VLOOKUP(E6148,基础信息!C:E,3,FALSE)</f>
        <v>#N/A</v>
      </c>
    </row>
    <row r="6149" customHeight="1" spans="8:8">
      <c r="H6149" s="39" t="e">
        <f>VLOOKUP(E6149,基础信息!C:E,3,FALSE)</f>
        <v>#N/A</v>
      </c>
    </row>
    <row r="6150" customHeight="1" spans="8:8">
      <c r="H6150" s="39" t="e">
        <f>VLOOKUP(E6150,基础信息!C:E,3,FALSE)</f>
        <v>#N/A</v>
      </c>
    </row>
    <row r="6151" customHeight="1" spans="8:8">
      <c r="H6151" s="39" t="e">
        <f>VLOOKUP(E6151,基础信息!C:E,3,FALSE)</f>
        <v>#N/A</v>
      </c>
    </row>
    <row r="6152" customHeight="1" spans="8:8">
      <c r="H6152" s="39" t="e">
        <f>VLOOKUP(E6152,基础信息!C:E,3,FALSE)</f>
        <v>#N/A</v>
      </c>
    </row>
    <row r="6153" customHeight="1" spans="8:8">
      <c r="H6153" s="39" t="e">
        <f>VLOOKUP(E6153,基础信息!C:E,3,FALSE)</f>
        <v>#N/A</v>
      </c>
    </row>
    <row r="6154" customHeight="1" spans="8:8">
      <c r="H6154" s="39" t="e">
        <f>VLOOKUP(E6154,基础信息!C:E,3,FALSE)</f>
        <v>#N/A</v>
      </c>
    </row>
    <row r="6155" customHeight="1" spans="8:8">
      <c r="H6155" s="39" t="e">
        <f>VLOOKUP(E6155,基础信息!C:E,3,FALSE)</f>
        <v>#N/A</v>
      </c>
    </row>
    <row r="6156" customHeight="1" spans="8:8">
      <c r="H6156" s="39" t="e">
        <f>VLOOKUP(E6156,基础信息!C:E,3,FALSE)</f>
        <v>#N/A</v>
      </c>
    </row>
    <row r="6157" customHeight="1" spans="8:8">
      <c r="H6157" s="39" t="e">
        <f>VLOOKUP(E6157,基础信息!C:E,3,FALSE)</f>
        <v>#N/A</v>
      </c>
    </row>
    <row r="6158" customHeight="1" spans="8:8">
      <c r="H6158" s="39" t="e">
        <f>VLOOKUP(E6158,基础信息!C:E,3,FALSE)</f>
        <v>#N/A</v>
      </c>
    </row>
    <row r="6159" customHeight="1" spans="8:8">
      <c r="H6159" s="39" t="e">
        <f>VLOOKUP(E6159,基础信息!C:E,3,FALSE)</f>
        <v>#N/A</v>
      </c>
    </row>
    <row r="6160" customHeight="1" spans="8:8">
      <c r="H6160" s="39" t="e">
        <f>VLOOKUP(E6160,基础信息!C:E,3,FALSE)</f>
        <v>#N/A</v>
      </c>
    </row>
    <row r="6161" customHeight="1" spans="8:8">
      <c r="H6161" s="39" t="e">
        <f>VLOOKUP(E6161,基础信息!C:E,3,FALSE)</f>
        <v>#N/A</v>
      </c>
    </row>
    <row r="6162" customHeight="1" spans="8:8">
      <c r="H6162" s="39" t="e">
        <f>VLOOKUP(E6162,基础信息!C:E,3,FALSE)</f>
        <v>#N/A</v>
      </c>
    </row>
    <row r="6163" customHeight="1" spans="8:8">
      <c r="H6163" s="39" t="e">
        <f>VLOOKUP(E6163,基础信息!C:E,3,FALSE)</f>
        <v>#N/A</v>
      </c>
    </row>
    <row r="6164" customHeight="1" spans="8:8">
      <c r="H6164" s="39" t="e">
        <f>VLOOKUP(E6164,基础信息!C:E,3,FALSE)</f>
        <v>#N/A</v>
      </c>
    </row>
    <row r="6165" customHeight="1" spans="8:8">
      <c r="H6165" s="39" t="e">
        <f>VLOOKUP(E6165,基础信息!C:E,3,FALSE)</f>
        <v>#N/A</v>
      </c>
    </row>
    <row r="6166" customHeight="1" spans="8:8">
      <c r="H6166" s="39" t="e">
        <f>VLOOKUP(E6166,基础信息!C:E,3,FALSE)</f>
        <v>#N/A</v>
      </c>
    </row>
    <row r="6167" customHeight="1" spans="8:8">
      <c r="H6167" s="39" t="e">
        <f>VLOOKUP(E6167,基础信息!C:E,3,FALSE)</f>
        <v>#N/A</v>
      </c>
    </row>
    <row r="6168" customHeight="1" spans="8:8">
      <c r="H6168" s="39" t="e">
        <f>VLOOKUP(E6168,基础信息!C:E,3,FALSE)</f>
        <v>#N/A</v>
      </c>
    </row>
    <row r="6169" customHeight="1" spans="8:8">
      <c r="H6169" s="39" t="e">
        <f>VLOOKUP(E6169,基础信息!C:E,3,FALSE)</f>
        <v>#N/A</v>
      </c>
    </row>
    <row r="6170" customHeight="1" spans="8:8">
      <c r="H6170" s="39" t="e">
        <f>VLOOKUP(E6170,基础信息!C:E,3,FALSE)</f>
        <v>#N/A</v>
      </c>
    </row>
    <row r="6171" customHeight="1" spans="8:8">
      <c r="H6171" s="39" t="e">
        <f>VLOOKUP(E6171,基础信息!C:E,3,FALSE)</f>
        <v>#N/A</v>
      </c>
    </row>
    <row r="6172" customHeight="1" spans="8:8">
      <c r="H6172" s="39" t="e">
        <f>VLOOKUP(E6172,基础信息!C:E,3,FALSE)</f>
        <v>#N/A</v>
      </c>
    </row>
    <row r="6173" customHeight="1" spans="8:8">
      <c r="H6173" s="39" t="e">
        <f>VLOOKUP(E6173,基础信息!C:E,3,FALSE)</f>
        <v>#N/A</v>
      </c>
    </row>
    <row r="6174" customHeight="1" spans="8:8">
      <c r="H6174" s="39" t="e">
        <f>VLOOKUP(E6174,基础信息!C:E,3,FALSE)</f>
        <v>#N/A</v>
      </c>
    </row>
    <row r="6175" customHeight="1" spans="8:8">
      <c r="H6175" s="39" t="e">
        <f>VLOOKUP(E6175,基础信息!C:E,3,FALSE)</f>
        <v>#N/A</v>
      </c>
    </row>
    <row r="6176" customHeight="1" spans="8:8">
      <c r="H6176" s="39" t="e">
        <f>VLOOKUP(E6176,基础信息!C:E,3,FALSE)</f>
        <v>#N/A</v>
      </c>
    </row>
    <row r="6177" customHeight="1" spans="8:8">
      <c r="H6177" s="39" t="e">
        <f>VLOOKUP(E6177,基础信息!C:E,3,FALSE)</f>
        <v>#N/A</v>
      </c>
    </row>
    <row r="6178" customHeight="1" spans="8:8">
      <c r="H6178" s="39" t="e">
        <f>VLOOKUP(E6178,基础信息!C:E,3,FALSE)</f>
        <v>#N/A</v>
      </c>
    </row>
    <row r="6179" customHeight="1" spans="8:8">
      <c r="H6179" s="39" t="e">
        <f>VLOOKUP(E6179,基础信息!C:E,3,FALSE)</f>
        <v>#N/A</v>
      </c>
    </row>
    <row r="6180" customHeight="1" spans="8:8">
      <c r="H6180" s="39" t="e">
        <f>VLOOKUP(E6180,基础信息!C:E,3,FALSE)</f>
        <v>#N/A</v>
      </c>
    </row>
    <row r="6181" customHeight="1" spans="8:8">
      <c r="H6181" s="39" t="e">
        <f>VLOOKUP(E6181,基础信息!C:E,3,FALSE)</f>
        <v>#N/A</v>
      </c>
    </row>
    <row r="6182" customHeight="1" spans="8:8">
      <c r="H6182" s="39" t="e">
        <f>VLOOKUP(E6182,基础信息!C:E,3,FALSE)</f>
        <v>#N/A</v>
      </c>
    </row>
    <row r="6183" customHeight="1" spans="8:8">
      <c r="H6183" s="39" t="e">
        <f>VLOOKUP(E6183,基础信息!C:E,3,FALSE)</f>
        <v>#N/A</v>
      </c>
    </row>
    <row r="6184" customHeight="1" spans="8:8">
      <c r="H6184" s="39" t="e">
        <f>VLOOKUP(E6184,基础信息!C:E,3,FALSE)</f>
        <v>#N/A</v>
      </c>
    </row>
    <row r="6185" customHeight="1" spans="8:8">
      <c r="H6185" s="39" t="e">
        <f>VLOOKUP(E6185,基础信息!C:E,3,FALSE)</f>
        <v>#N/A</v>
      </c>
    </row>
    <row r="6186" customHeight="1" spans="8:8">
      <c r="H6186" s="39" t="e">
        <f>VLOOKUP(E6186,基础信息!C:E,3,FALSE)</f>
        <v>#N/A</v>
      </c>
    </row>
    <row r="6187" customHeight="1" spans="8:8">
      <c r="H6187" s="39" t="e">
        <f>VLOOKUP(E6187,基础信息!C:E,3,FALSE)</f>
        <v>#N/A</v>
      </c>
    </row>
    <row r="6188" customHeight="1" spans="8:8">
      <c r="H6188" s="39" t="e">
        <f>VLOOKUP(E6188,基础信息!C:E,3,FALSE)</f>
        <v>#N/A</v>
      </c>
    </row>
    <row r="6189" customHeight="1" spans="8:8">
      <c r="H6189" s="39" t="e">
        <f>VLOOKUP(E6189,基础信息!C:E,3,FALSE)</f>
        <v>#N/A</v>
      </c>
    </row>
    <row r="6190" customHeight="1" spans="8:8">
      <c r="H6190" s="39" t="e">
        <f>VLOOKUP(E6190,基础信息!C:E,3,FALSE)</f>
        <v>#N/A</v>
      </c>
    </row>
    <row r="6191" customHeight="1" spans="8:8">
      <c r="H6191" s="39" t="e">
        <f>VLOOKUP(E6191,基础信息!C:E,3,FALSE)</f>
        <v>#N/A</v>
      </c>
    </row>
    <row r="6192" customHeight="1" spans="8:8">
      <c r="H6192" s="39" t="e">
        <f>VLOOKUP(E6192,基础信息!C:E,3,FALSE)</f>
        <v>#N/A</v>
      </c>
    </row>
    <row r="6193" customHeight="1" spans="8:8">
      <c r="H6193" s="39" t="e">
        <f>VLOOKUP(E6193,基础信息!C:E,3,FALSE)</f>
        <v>#N/A</v>
      </c>
    </row>
    <row r="6194" customHeight="1" spans="8:8">
      <c r="H6194" s="39" t="e">
        <f>VLOOKUP(E6194,基础信息!C:E,3,FALSE)</f>
        <v>#N/A</v>
      </c>
    </row>
    <row r="6195" customHeight="1" spans="8:8">
      <c r="H6195" s="39" t="e">
        <f>VLOOKUP(E6195,基础信息!C:E,3,FALSE)</f>
        <v>#N/A</v>
      </c>
    </row>
    <row r="6196" customHeight="1" spans="8:8">
      <c r="H6196" s="39" t="e">
        <f>VLOOKUP(E6196,基础信息!C:E,3,FALSE)</f>
        <v>#N/A</v>
      </c>
    </row>
    <row r="6197" customHeight="1" spans="8:8">
      <c r="H6197" s="39" t="e">
        <f>VLOOKUP(E6197,基础信息!C:E,3,FALSE)</f>
        <v>#N/A</v>
      </c>
    </row>
    <row r="6198" customHeight="1" spans="8:8">
      <c r="H6198" s="39" t="e">
        <f>VLOOKUP(E6198,基础信息!C:E,3,FALSE)</f>
        <v>#N/A</v>
      </c>
    </row>
    <row r="6199" customHeight="1" spans="8:8">
      <c r="H6199" s="39" t="e">
        <f>VLOOKUP(E6199,基础信息!C:E,3,FALSE)</f>
        <v>#N/A</v>
      </c>
    </row>
    <row r="6200" customHeight="1" spans="8:8">
      <c r="H6200" s="39" t="e">
        <f>VLOOKUP(E6200,基础信息!C:E,3,FALSE)</f>
        <v>#N/A</v>
      </c>
    </row>
    <row r="6201" customHeight="1" spans="8:8">
      <c r="H6201" s="39" t="e">
        <f>VLOOKUP(E6201,基础信息!C:E,3,FALSE)</f>
        <v>#N/A</v>
      </c>
    </row>
    <row r="6202" customHeight="1" spans="8:8">
      <c r="H6202" s="39" t="e">
        <f>VLOOKUP(E6202,基础信息!C:E,3,FALSE)</f>
        <v>#N/A</v>
      </c>
    </row>
    <row r="6203" customHeight="1" spans="8:8">
      <c r="H6203" s="39" t="e">
        <f>VLOOKUP(E6203,基础信息!C:E,3,FALSE)</f>
        <v>#N/A</v>
      </c>
    </row>
    <row r="6204" customHeight="1" spans="8:8">
      <c r="H6204" s="39" t="e">
        <f>VLOOKUP(E6204,基础信息!C:E,3,FALSE)</f>
        <v>#N/A</v>
      </c>
    </row>
    <row r="6205" customHeight="1" spans="8:8">
      <c r="H6205" s="39" t="e">
        <f>VLOOKUP(E6205,基础信息!C:E,3,FALSE)</f>
        <v>#N/A</v>
      </c>
    </row>
    <row r="6206" customHeight="1" spans="8:8">
      <c r="H6206" s="39" t="e">
        <f>VLOOKUP(E6206,基础信息!C:E,3,FALSE)</f>
        <v>#N/A</v>
      </c>
    </row>
    <row r="6207" customHeight="1" spans="8:8">
      <c r="H6207" s="39" t="e">
        <f>VLOOKUP(E6207,基础信息!C:E,3,FALSE)</f>
        <v>#N/A</v>
      </c>
    </row>
    <row r="6208" customHeight="1" spans="8:8">
      <c r="H6208" s="39" t="e">
        <f>VLOOKUP(E6208,基础信息!C:E,3,FALSE)</f>
        <v>#N/A</v>
      </c>
    </row>
    <row r="6209" customHeight="1" spans="8:8">
      <c r="H6209" s="39" t="e">
        <f>VLOOKUP(E6209,基础信息!C:E,3,FALSE)</f>
        <v>#N/A</v>
      </c>
    </row>
    <row r="6210" customHeight="1" spans="8:8">
      <c r="H6210" s="39" t="e">
        <f>VLOOKUP(E6210,基础信息!C:E,3,FALSE)</f>
        <v>#N/A</v>
      </c>
    </row>
    <row r="6211" customHeight="1" spans="8:8">
      <c r="H6211" s="39" t="e">
        <f>VLOOKUP(E6211,基础信息!C:E,3,FALSE)</f>
        <v>#N/A</v>
      </c>
    </row>
    <row r="6212" customHeight="1" spans="8:8">
      <c r="H6212" s="39" t="e">
        <f>VLOOKUP(E6212,基础信息!C:E,3,FALSE)</f>
        <v>#N/A</v>
      </c>
    </row>
    <row r="6213" customHeight="1" spans="8:8">
      <c r="H6213" s="39" t="e">
        <f>VLOOKUP(E6213,基础信息!C:E,3,FALSE)</f>
        <v>#N/A</v>
      </c>
    </row>
    <row r="6214" customHeight="1" spans="8:8">
      <c r="H6214" s="39" t="e">
        <f>VLOOKUP(E6214,基础信息!C:E,3,FALSE)</f>
        <v>#N/A</v>
      </c>
    </row>
    <row r="6215" customHeight="1" spans="8:8">
      <c r="H6215" s="39" t="e">
        <f>VLOOKUP(E6215,基础信息!C:E,3,FALSE)</f>
        <v>#N/A</v>
      </c>
    </row>
    <row r="6216" customHeight="1" spans="8:8">
      <c r="H6216" s="39" t="e">
        <f>VLOOKUP(E6216,基础信息!C:E,3,FALSE)</f>
        <v>#N/A</v>
      </c>
    </row>
    <row r="6217" customHeight="1" spans="8:8">
      <c r="H6217" s="39" t="e">
        <f>VLOOKUP(E6217,基础信息!C:E,3,FALSE)</f>
        <v>#N/A</v>
      </c>
    </row>
    <row r="6218" customHeight="1" spans="8:8">
      <c r="H6218" s="39" t="e">
        <f>VLOOKUP(E6218,基础信息!C:E,3,FALSE)</f>
        <v>#N/A</v>
      </c>
    </row>
    <row r="6219" customHeight="1" spans="8:8">
      <c r="H6219" s="39" t="e">
        <f>VLOOKUP(E6219,基础信息!C:E,3,FALSE)</f>
        <v>#N/A</v>
      </c>
    </row>
    <row r="6220" customHeight="1" spans="8:8">
      <c r="H6220" s="39" t="e">
        <f>VLOOKUP(E6220,基础信息!C:E,3,FALSE)</f>
        <v>#N/A</v>
      </c>
    </row>
    <row r="6221" customHeight="1" spans="8:8">
      <c r="H6221" s="39" t="e">
        <f>VLOOKUP(E6221,基础信息!C:E,3,FALSE)</f>
        <v>#N/A</v>
      </c>
    </row>
    <row r="6222" customHeight="1" spans="8:8">
      <c r="H6222" s="39" t="e">
        <f>VLOOKUP(E6222,基础信息!C:E,3,FALSE)</f>
        <v>#N/A</v>
      </c>
    </row>
    <row r="6223" customHeight="1" spans="8:8">
      <c r="H6223" s="39" t="e">
        <f>VLOOKUP(E6223,基础信息!C:E,3,FALSE)</f>
        <v>#N/A</v>
      </c>
    </row>
    <row r="6224" customHeight="1" spans="8:8">
      <c r="H6224" s="39" t="e">
        <f>VLOOKUP(E6224,基础信息!C:E,3,FALSE)</f>
        <v>#N/A</v>
      </c>
    </row>
    <row r="6225" customHeight="1" spans="8:8">
      <c r="H6225" s="39" t="e">
        <f>VLOOKUP(E6225,基础信息!C:E,3,FALSE)</f>
        <v>#N/A</v>
      </c>
    </row>
    <row r="6226" customHeight="1" spans="8:8">
      <c r="H6226" s="39" t="e">
        <f>VLOOKUP(E6226,基础信息!C:E,3,FALSE)</f>
        <v>#N/A</v>
      </c>
    </row>
    <row r="6227" customHeight="1" spans="8:8">
      <c r="H6227" s="39" t="e">
        <f>VLOOKUP(E6227,基础信息!C:E,3,FALSE)</f>
        <v>#N/A</v>
      </c>
    </row>
    <row r="6228" customHeight="1" spans="8:8">
      <c r="H6228" s="39" t="e">
        <f>VLOOKUP(E6228,基础信息!C:E,3,FALSE)</f>
        <v>#N/A</v>
      </c>
    </row>
    <row r="6229" customHeight="1" spans="8:8">
      <c r="H6229" s="39" t="e">
        <f>VLOOKUP(E6229,基础信息!C:E,3,FALSE)</f>
        <v>#N/A</v>
      </c>
    </row>
    <row r="6230" customHeight="1" spans="8:8">
      <c r="H6230" s="39" t="e">
        <f>VLOOKUP(E6230,基础信息!C:E,3,FALSE)</f>
        <v>#N/A</v>
      </c>
    </row>
    <row r="6231" customHeight="1" spans="8:8">
      <c r="H6231" s="39" t="e">
        <f>VLOOKUP(E6231,基础信息!C:E,3,FALSE)</f>
        <v>#N/A</v>
      </c>
    </row>
    <row r="6232" customHeight="1" spans="8:8">
      <c r="H6232" s="39" t="e">
        <f>VLOOKUP(E6232,基础信息!C:E,3,FALSE)</f>
        <v>#N/A</v>
      </c>
    </row>
    <row r="6233" customHeight="1" spans="8:8">
      <c r="H6233" s="39" t="e">
        <f>VLOOKUP(E6233,基础信息!C:E,3,FALSE)</f>
        <v>#N/A</v>
      </c>
    </row>
    <row r="6234" customHeight="1" spans="8:8">
      <c r="H6234" s="39" t="e">
        <f>VLOOKUP(E6234,基础信息!C:E,3,FALSE)</f>
        <v>#N/A</v>
      </c>
    </row>
    <row r="6235" customHeight="1" spans="8:8">
      <c r="H6235" s="39" t="e">
        <f>VLOOKUP(E6235,基础信息!C:E,3,FALSE)</f>
        <v>#N/A</v>
      </c>
    </row>
    <row r="6236" customHeight="1" spans="8:8">
      <c r="H6236" s="39" t="e">
        <f>VLOOKUP(E6236,基础信息!C:E,3,FALSE)</f>
        <v>#N/A</v>
      </c>
    </row>
    <row r="6237" customHeight="1" spans="8:8">
      <c r="H6237" s="39" t="e">
        <f>VLOOKUP(E6237,基础信息!C:E,3,FALSE)</f>
        <v>#N/A</v>
      </c>
    </row>
    <row r="6238" customHeight="1" spans="8:8">
      <c r="H6238" s="39" t="e">
        <f>VLOOKUP(E6238,基础信息!C:E,3,FALSE)</f>
        <v>#N/A</v>
      </c>
    </row>
    <row r="6239" customHeight="1" spans="8:8">
      <c r="H6239" s="39" t="e">
        <f>VLOOKUP(E6239,基础信息!C:E,3,FALSE)</f>
        <v>#N/A</v>
      </c>
    </row>
    <row r="6240" customHeight="1" spans="8:8">
      <c r="H6240" s="39" t="e">
        <f>VLOOKUP(E6240,基础信息!C:E,3,FALSE)</f>
        <v>#N/A</v>
      </c>
    </row>
    <row r="6241" customHeight="1" spans="8:8">
      <c r="H6241" s="39" t="e">
        <f>VLOOKUP(E6241,基础信息!C:E,3,FALSE)</f>
        <v>#N/A</v>
      </c>
    </row>
    <row r="6242" customHeight="1" spans="8:8">
      <c r="H6242" s="39" t="e">
        <f>VLOOKUP(E6242,基础信息!C:E,3,FALSE)</f>
        <v>#N/A</v>
      </c>
    </row>
    <row r="6243" customHeight="1" spans="8:8">
      <c r="H6243" s="39" t="e">
        <f>VLOOKUP(E6243,基础信息!C:E,3,FALSE)</f>
        <v>#N/A</v>
      </c>
    </row>
    <row r="6244" customHeight="1" spans="8:8">
      <c r="H6244" s="39" t="e">
        <f>VLOOKUP(E6244,基础信息!C:E,3,FALSE)</f>
        <v>#N/A</v>
      </c>
    </row>
    <row r="6245" customHeight="1" spans="8:8">
      <c r="H6245" s="39" t="e">
        <f>VLOOKUP(E6245,基础信息!C:E,3,FALSE)</f>
        <v>#N/A</v>
      </c>
    </row>
    <row r="6246" customHeight="1" spans="8:8">
      <c r="H6246" s="39" t="e">
        <f>VLOOKUP(E6246,基础信息!C:E,3,FALSE)</f>
        <v>#N/A</v>
      </c>
    </row>
    <row r="6247" customHeight="1" spans="8:8">
      <c r="H6247" s="39" t="e">
        <f>VLOOKUP(E6247,基础信息!C:E,3,FALSE)</f>
        <v>#N/A</v>
      </c>
    </row>
    <row r="6248" customHeight="1" spans="8:8">
      <c r="H6248" s="39" t="e">
        <f>VLOOKUP(E6248,基础信息!C:E,3,FALSE)</f>
        <v>#N/A</v>
      </c>
    </row>
    <row r="6249" customHeight="1" spans="8:8">
      <c r="H6249" s="39" t="e">
        <f>VLOOKUP(E6249,基础信息!C:E,3,FALSE)</f>
        <v>#N/A</v>
      </c>
    </row>
    <row r="6250" customHeight="1" spans="8:8">
      <c r="H6250" s="39" t="e">
        <f>VLOOKUP(E6250,基础信息!C:E,3,FALSE)</f>
        <v>#N/A</v>
      </c>
    </row>
    <row r="6251" customHeight="1" spans="8:8">
      <c r="H6251" s="39" t="e">
        <f>VLOOKUP(E6251,基础信息!C:E,3,FALSE)</f>
        <v>#N/A</v>
      </c>
    </row>
    <row r="6252" customHeight="1" spans="8:8">
      <c r="H6252" s="39" t="e">
        <f>VLOOKUP(E6252,基础信息!C:E,3,FALSE)</f>
        <v>#N/A</v>
      </c>
    </row>
    <row r="6253" customHeight="1" spans="8:8">
      <c r="H6253" s="39" t="e">
        <f>VLOOKUP(E6253,基础信息!C:E,3,FALSE)</f>
        <v>#N/A</v>
      </c>
    </row>
    <row r="6254" customHeight="1" spans="8:8">
      <c r="H6254" s="39" t="e">
        <f>VLOOKUP(E6254,基础信息!C:E,3,FALSE)</f>
        <v>#N/A</v>
      </c>
    </row>
    <row r="6255" customHeight="1" spans="8:8">
      <c r="H6255" s="39" t="e">
        <f>VLOOKUP(E6255,基础信息!C:E,3,FALSE)</f>
        <v>#N/A</v>
      </c>
    </row>
    <row r="6256" customHeight="1" spans="8:8">
      <c r="H6256" s="39" t="e">
        <f>VLOOKUP(E6256,基础信息!C:E,3,FALSE)</f>
        <v>#N/A</v>
      </c>
    </row>
    <row r="6257" customHeight="1" spans="8:8">
      <c r="H6257" s="39" t="e">
        <f>VLOOKUP(E6257,基础信息!C:E,3,FALSE)</f>
        <v>#N/A</v>
      </c>
    </row>
    <row r="6258" customHeight="1" spans="8:8">
      <c r="H6258" s="39" t="e">
        <f>VLOOKUP(E6258,基础信息!C:E,3,FALSE)</f>
        <v>#N/A</v>
      </c>
    </row>
    <row r="6259" customHeight="1" spans="8:8">
      <c r="H6259" s="39" t="e">
        <f>VLOOKUP(E6259,基础信息!C:E,3,FALSE)</f>
        <v>#N/A</v>
      </c>
    </row>
    <row r="6260" customHeight="1" spans="8:8">
      <c r="H6260" s="39" t="e">
        <f>VLOOKUP(E6260,基础信息!C:E,3,FALSE)</f>
        <v>#N/A</v>
      </c>
    </row>
    <row r="6261" customHeight="1" spans="8:8">
      <c r="H6261" s="39" t="e">
        <f>VLOOKUP(E6261,基础信息!C:E,3,FALSE)</f>
        <v>#N/A</v>
      </c>
    </row>
    <row r="6262" customHeight="1" spans="8:8">
      <c r="H6262" s="39" t="e">
        <f>VLOOKUP(E6262,基础信息!C:E,3,FALSE)</f>
        <v>#N/A</v>
      </c>
    </row>
    <row r="6263" customHeight="1" spans="8:8">
      <c r="H6263" s="39" t="e">
        <f>VLOOKUP(E6263,基础信息!C:E,3,FALSE)</f>
        <v>#N/A</v>
      </c>
    </row>
    <row r="6264" customHeight="1" spans="8:8">
      <c r="H6264" s="39" t="e">
        <f>VLOOKUP(E6264,基础信息!C:E,3,FALSE)</f>
        <v>#N/A</v>
      </c>
    </row>
    <row r="6265" customHeight="1" spans="8:8">
      <c r="H6265" s="39" t="e">
        <f>VLOOKUP(E6265,基础信息!C:E,3,FALSE)</f>
        <v>#N/A</v>
      </c>
    </row>
    <row r="6266" customHeight="1" spans="8:8">
      <c r="H6266" s="39" t="e">
        <f>VLOOKUP(E6266,基础信息!C:E,3,FALSE)</f>
        <v>#N/A</v>
      </c>
    </row>
    <row r="6267" customHeight="1" spans="8:8">
      <c r="H6267" s="39" t="e">
        <f>VLOOKUP(E6267,基础信息!C:E,3,FALSE)</f>
        <v>#N/A</v>
      </c>
    </row>
    <row r="6268" customHeight="1" spans="8:8">
      <c r="H6268" s="39" t="e">
        <f>VLOOKUP(E6268,基础信息!C:E,3,FALSE)</f>
        <v>#N/A</v>
      </c>
    </row>
    <row r="6269" customHeight="1" spans="8:8">
      <c r="H6269" s="39" t="e">
        <f>VLOOKUP(E6269,基础信息!C:E,3,FALSE)</f>
        <v>#N/A</v>
      </c>
    </row>
    <row r="6270" customHeight="1" spans="8:8">
      <c r="H6270" s="39" t="e">
        <f>VLOOKUP(E6270,基础信息!C:E,3,FALSE)</f>
        <v>#N/A</v>
      </c>
    </row>
    <row r="6271" customHeight="1" spans="8:8">
      <c r="H6271" s="39" t="e">
        <f>VLOOKUP(E6271,基础信息!C:E,3,FALSE)</f>
        <v>#N/A</v>
      </c>
    </row>
    <row r="6272" customHeight="1" spans="8:8">
      <c r="H6272" s="39" t="e">
        <f>VLOOKUP(E6272,基础信息!C:E,3,FALSE)</f>
        <v>#N/A</v>
      </c>
    </row>
    <row r="6273" customHeight="1" spans="8:8">
      <c r="H6273" s="39" t="e">
        <f>VLOOKUP(E6273,基础信息!C:E,3,FALSE)</f>
        <v>#N/A</v>
      </c>
    </row>
    <row r="6274" customHeight="1" spans="8:8">
      <c r="H6274" s="39" t="e">
        <f>VLOOKUP(E6274,基础信息!C:E,3,FALSE)</f>
        <v>#N/A</v>
      </c>
    </row>
    <row r="6275" customHeight="1" spans="8:8">
      <c r="H6275" s="39" t="e">
        <f>VLOOKUP(E6275,基础信息!C:E,3,FALSE)</f>
        <v>#N/A</v>
      </c>
    </row>
    <row r="6276" customHeight="1" spans="8:8">
      <c r="H6276" s="39" t="e">
        <f>VLOOKUP(E6276,基础信息!C:E,3,FALSE)</f>
        <v>#N/A</v>
      </c>
    </row>
    <row r="6277" customHeight="1" spans="8:8">
      <c r="H6277" s="39" t="e">
        <f>VLOOKUP(E6277,基础信息!C:E,3,FALSE)</f>
        <v>#N/A</v>
      </c>
    </row>
    <row r="6278" customHeight="1" spans="8:8">
      <c r="H6278" s="39" t="e">
        <f>VLOOKUP(E6278,基础信息!C:E,3,FALSE)</f>
        <v>#N/A</v>
      </c>
    </row>
    <row r="6279" customHeight="1" spans="8:8">
      <c r="H6279" s="39" t="e">
        <f>VLOOKUP(E6279,基础信息!C:E,3,FALSE)</f>
        <v>#N/A</v>
      </c>
    </row>
    <row r="6280" customHeight="1" spans="8:8">
      <c r="H6280" s="39" t="e">
        <f>VLOOKUP(E6280,基础信息!C:E,3,FALSE)</f>
        <v>#N/A</v>
      </c>
    </row>
    <row r="6281" customHeight="1" spans="8:8">
      <c r="H6281" s="39" t="e">
        <f>VLOOKUP(E6281,基础信息!C:E,3,FALSE)</f>
        <v>#N/A</v>
      </c>
    </row>
    <row r="6282" customHeight="1" spans="8:8">
      <c r="H6282" s="39" t="e">
        <f>VLOOKUP(E6282,基础信息!C:E,3,FALSE)</f>
        <v>#N/A</v>
      </c>
    </row>
    <row r="6283" customHeight="1" spans="8:8">
      <c r="H6283" s="39" t="e">
        <f>VLOOKUP(E6283,基础信息!C:E,3,FALSE)</f>
        <v>#N/A</v>
      </c>
    </row>
    <row r="6284" customHeight="1" spans="8:8">
      <c r="H6284" s="39" t="e">
        <f>VLOOKUP(E6284,基础信息!C:E,3,FALSE)</f>
        <v>#N/A</v>
      </c>
    </row>
    <row r="6285" customHeight="1" spans="8:8">
      <c r="H6285" s="39" t="e">
        <f>VLOOKUP(E6285,基础信息!C:E,3,FALSE)</f>
        <v>#N/A</v>
      </c>
    </row>
    <row r="6286" customHeight="1" spans="8:8">
      <c r="H6286" s="39" t="e">
        <f>VLOOKUP(E6286,基础信息!C:E,3,FALSE)</f>
        <v>#N/A</v>
      </c>
    </row>
    <row r="6287" customHeight="1" spans="8:8">
      <c r="H6287" s="39" t="e">
        <f>VLOOKUP(E6287,基础信息!C:E,3,FALSE)</f>
        <v>#N/A</v>
      </c>
    </row>
    <row r="6288" customHeight="1" spans="8:8">
      <c r="H6288" s="39" t="e">
        <f>VLOOKUP(E6288,基础信息!C:E,3,FALSE)</f>
        <v>#N/A</v>
      </c>
    </row>
    <row r="6289" customHeight="1" spans="8:8">
      <c r="H6289" s="39" t="e">
        <f>VLOOKUP(E6289,基础信息!C:E,3,FALSE)</f>
        <v>#N/A</v>
      </c>
    </row>
    <row r="6290" customHeight="1" spans="8:8">
      <c r="H6290" s="39" t="e">
        <f>VLOOKUP(E6290,基础信息!C:E,3,FALSE)</f>
        <v>#N/A</v>
      </c>
    </row>
    <row r="6291" customHeight="1" spans="8:8">
      <c r="H6291" s="39" t="e">
        <f>VLOOKUP(E6291,基础信息!C:E,3,FALSE)</f>
        <v>#N/A</v>
      </c>
    </row>
    <row r="6292" customHeight="1" spans="8:8">
      <c r="H6292" s="39" t="e">
        <f>VLOOKUP(E6292,基础信息!C:E,3,FALSE)</f>
        <v>#N/A</v>
      </c>
    </row>
    <row r="6293" customHeight="1" spans="8:8">
      <c r="H6293" s="39" t="e">
        <f>VLOOKUP(E6293,基础信息!C:E,3,FALSE)</f>
        <v>#N/A</v>
      </c>
    </row>
    <row r="6294" customHeight="1" spans="8:8">
      <c r="H6294" s="39" t="e">
        <f>VLOOKUP(E6294,基础信息!C:E,3,FALSE)</f>
        <v>#N/A</v>
      </c>
    </row>
    <row r="6295" customHeight="1" spans="8:8">
      <c r="H6295" s="39" t="e">
        <f>VLOOKUP(E6295,基础信息!C:E,3,FALSE)</f>
        <v>#N/A</v>
      </c>
    </row>
    <row r="6296" customHeight="1" spans="8:8">
      <c r="H6296" s="39" t="e">
        <f>VLOOKUP(E6296,基础信息!C:E,3,FALSE)</f>
        <v>#N/A</v>
      </c>
    </row>
    <row r="6297" customHeight="1" spans="8:8">
      <c r="H6297" s="39" t="e">
        <f>VLOOKUP(E6297,基础信息!C:E,3,FALSE)</f>
        <v>#N/A</v>
      </c>
    </row>
    <row r="6298" customHeight="1" spans="8:8">
      <c r="H6298" s="39" t="e">
        <f>VLOOKUP(E6298,基础信息!C:E,3,FALSE)</f>
        <v>#N/A</v>
      </c>
    </row>
    <row r="6299" customHeight="1" spans="8:8">
      <c r="H6299" s="39" t="e">
        <f>VLOOKUP(E6299,基础信息!C:E,3,FALSE)</f>
        <v>#N/A</v>
      </c>
    </row>
    <row r="6300" customHeight="1" spans="8:8">
      <c r="H6300" s="39" t="e">
        <f>VLOOKUP(E6300,基础信息!C:E,3,FALSE)</f>
        <v>#N/A</v>
      </c>
    </row>
    <row r="6301" customHeight="1" spans="8:8">
      <c r="H6301" s="39" t="e">
        <f>VLOOKUP(E6301,基础信息!C:E,3,FALSE)</f>
        <v>#N/A</v>
      </c>
    </row>
    <row r="6302" customHeight="1" spans="8:8">
      <c r="H6302" s="39" t="e">
        <f>VLOOKUP(E6302,基础信息!C:E,3,FALSE)</f>
        <v>#N/A</v>
      </c>
    </row>
    <row r="6303" customHeight="1" spans="8:8">
      <c r="H6303" s="39" t="e">
        <f>VLOOKUP(E6303,基础信息!C:E,3,FALSE)</f>
        <v>#N/A</v>
      </c>
    </row>
    <row r="6304" customHeight="1" spans="8:8">
      <c r="H6304" s="39" t="e">
        <f>VLOOKUP(E6304,基础信息!C:E,3,FALSE)</f>
        <v>#N/A</v>
      </c>
    </row>
    <row r="6305" customHeight="1" spans="8:8">
      <c r="H6305" s="39" t="e">
        <f>VLOOKUP(E6305,基础信息!C:E,3,FALSE)</f>
        <v>#N/A</v>
      </c>
    </row>
    <row r="6306" customHeight="1" spans="8:8">
      <c r="H6306" s="39" t="e">
        <f>VLOOKUP(E6306,基础信息!C:E,3,FALSE)</f>
        <v>#N/A</v>
      </c>
    </row>
    <row r="6307" customHeight="1" spans="8:8">
      <c r="H6307" s="39" t="e">
        <f>VLOOKUP(E6307,基础信息!C:E,3,FALSE)</f>
        <v>#N/A</v>
      </c>
    </row>
    <row r="6308" customHeight="1" spans="8:8">
      <c r="H6308" s="39" t="e">
        <f>VLOOKUP(E6308,基础信息!C:E,3,FALSE)</f>
        <v>#N/A</v>
      </c>
    </row>
    <row r="6309" customHeight="1" spans="8:8">
      <c r="H6309" s="39" t="e">
        <f>VLOOKUP(E6309,基础信息!C:E,3,FALSE)</f>
        <v>#N/A</v>
      </c>
    </row>
    <row r="6310" customHeight="1" spans="8:8">
      <c r="H6310" s="39" t="e">
        <f>VLOOKUP(E6310,基础信息!C:E,3,FALSE)</f>
        <v>#N/A</v>
      </c>
    </row>
    <row r="6311" customHeight="1" spans="8:8">
      <c r="H6311" s="39" t="e">
        <f>VLOOKUP(E6311,基础信息!C:E,3,FALSE)</f>
        <v>#N/A</v>
      </c>
    </row>
    <row r="6312" customHeight="1" spans="8:8">
      <c r="H6312" s="39" t="e">
        <f>VLOOKUP(E6312,基础信息!C:E,3,FALSE)</f>
        <v>#N/A</v>
      </c>
    </row>
    <row r="6313" customHeight="1" spans="8:8">
      <c r="H6313" s="39" t="e">
        <f>VLOOKUP(E6313,基础信息!C:E,3,FALSE)</f>
        <v>#N/A</v>
      </c>
    </row>
    <row r="6314" customHeight="1" spans="8:8">
      <c r="H6314" s="39" t="e">
        <f>VLOOKUP(E6314,基础信息!C:E,3,FALSE)</f>
        <v>#N/A</v>
      </c>
    </row>
    <row r="6315" customHeight="1" spans="8:8">
      <c r="H6315" s="39" t="e">
        <f>VLOOKUP(E6315,基础信息!C:E,3,FALSE)</f>
        <v>#N/A</v>
      </c>
    </row>
    <row r="6316" customHeight="1" spans="8:8">
      <c r="H6316" s="39" t="e">
        <f>VLOOKUP(E6316,基础信息!C:E,3,FALSE)</f>
        <v>#N/A</v>
      </c>
    </row>
    <row r="6317" customHeight="1" spans="8:8">
      <c r="H6317" s="39" t="e">
        <f>VLOOKUP(E6317,基础信息!C:E,3,FALSE)</f>
        <v>#N/A</v>
      </c>
    </row>
    <row r="6318" customHeight="1" spans="8:8">
      <c r="H6318" s="39" t="e">
        <f>VLOOKUP(E6318,基础信息!C:E,3,FALSE)</f>
        <v>#N/A</v>
      </c>
    </row>
    <row r="6319" customHeight="1" spans="8:8">
      <c r="H6319" s="39" t="e">
        <f>VLOOKUP(E6319,基础信息!C:E,3,FALSE)</f>
        <v>#N/A</v>
      </c>
    </row>
    <row r="6320" customHeight="1" spans="8:8">
      <c r="H6320" s="39" t="e">
        <f>VLOOKUP(E6320,基础信息!C:E,3,FALSE)</f>
        <v>#N/A</v>
      </c>
    </row>
    <row r="6321" customHeight="1" spans="8:8">
      <c r="H6321" s="39" t="e">
        <f>VLOOKUP(E6321,基础信息!C:E,3,FALSE)</f>
        <v>#N/A</v>
      </c>
    </row>
    <row r="6322" customHeight="1" spans="8:8">
      <c r="H6322" s="39" t="e">
        <f>VLOOKUP(E6322,基础信息!C:E,3,FALSE)</f>
        <v>#N/A</v>
      </c>
    </row>
    <row r="6323" customHeight="1" spans="8:8">
      <c r="H6323" s="39" t="e">
        <f>VLOOKUP(E6323,基础信息!C:E,3,FALSE)</f>
        <v>#N/A</v>
      </c>
    </row>
    <row r="6324" customHeight="1" spans="8:8">
      <c r="H6324" s="39" t="e">
        <f>VLOOKUP(E6324,基础信息!C:E,3,FALSE)</f>
        <v>#N/A</v>
      </c>
    </row>
    <row r="6325" customHeight="1" spans="8:8">
      <c r="H6325" s="39" t="e">
        <f>VLOOKUP(E6325,基础信息!C:E,3,FALSE)</f>
        <v>#N/A</v>
      </c>
    </row>
    <row r="6326" customHeight="1" spans="8:8">
      <c r="H6326" s="39" t="e">
        <f>VLOOKUP(E6326,基础信息!C:E,3,FALSE)</f>
        <v>#N/A</v>
      </c>
    </row>
    <row r="6327" customHeight="1" spans="8:8">
      <c r="H6327" s="39" t="e">
        <f>VLOOKUP(E6327,基础信息!C:E,3,FALSE)</f>
        <v>#N/A</v>
      </c>
    </row>
    <row r="6328" customHeight="1" spans="8:8">
      <c r="H6328" s="39" t="e">
        <f>VLOOKUP(E6328,基础信息!C:E,3,FALSE)</f>
        <v>#N/A</v>
      </c>
    </row>
    <row r="6329" customHeight="1" spans="8:8">
      <c r="H6329" s="39" t="e">
        <f>VLOOKUP(E6329,基础信息!C:E,3,FALSE)</f>
        <v>#N/A</v>
      </c>
    </row>
    <row r="6330" customHeight="1" spans="8:8">
      <c r="H6330" s="39" t="e">
        <f>VLOOKUP(E6330,基础信息!C:E,3,FALSE)</f>
        <v>#N/A</v>
      </c>
    </row>
    <row r="6331" customHeight="1" spans="8:8">
      <c r="H6331" s="39" t="e">
        <f>VLOOKUP(E6331,基础信息!C:E,3,FALSE)</f>
        <v>#N/A</v>
      </c>
    </row>
    <row r="6332" customHeight="1" spans="8:8">
      <c r="H6332" s="39" t="e">
        <f>VLOOKUP(E6332,基础信息!C:E,3,FALSE)</f>
        <v>#N/A</v>
      </c>
    </row>
    <row r="6333" customHeight="1" spans="8:8">
      <c r="H6333" s="39" t="e">
        <f>VLOOKUP(E6333,基础信息!C:E,3,FALSE)</f>
        <v>#N/A</v>
      </c>
    </row>
    <row r="6334" customHeight="1" spans="8:8">
      <c r="H6334" s="39" t="e">
        <f>VLOOKUP(E6334,基础信息!C:E,3,FALSE)</f>
        <v>#N/A</v>
      </c>
    </row>
    <row r="6335" customHeight="1" spans="8:8">
      <c r="H6335" s="39" t="e">
        <f>VLOOKUP(E6335,基础信息!C:E,3,FALSE)</f>
        <v>#N/A</v>
      </c>
    </row>
    <row r="6336" customHeight="1" spans="8:8">
      <c r="H6336" s="39" t="e">
        <f>VLOOKUP(E6336,基础信息!C:E,3,FALSE)</f>
        <v>#N/A</v>
      </c>
    </row>
    <row r="6337" customHeight="1" spans="8:8">
      <c r="H6337" s="39" t="e">
        <f>VLOOKUP(E6337,基础信息!C:E,3,FALSE)</f>
        <v>#N/A</v>
      </c>
    </row>
    <row r="6338" customHeight="1" spans="8:8">
      <c r="H6338" s="39" t="e">
        <f>VLOOKUP(E6338,基础信息!C:E,3,FALSE)</f>
        <v>#N/A</v>
      </c>
    </row>
    <row r="6339" customHeight="1" spans="8:8">
      <c r="H6339" s="39" t="e">
        <f>VLOOKUP(E6339,基础信息!C:E,3,FALSE)</f>
        <v>#N/A</v>
      </c>
    </row>
    <row r="6340" customHeight="1" spans="8:8">
      <c r="H6340" s="39" t="e">
        <f>VLOOKUP(E6340,基础信息!C:E,3,FALSE)</f>
        <v>#N/A</v>
      </c>
    </row>
    <row r="6341" customHeight="1" spans="8:8">
      <c r="H6341" s="39" t="e">
        <f>VLOOKUP(E6341,基础信息!C:E,3,FALSE)</f>
        <v>#N/A</v>
      </c>
    </row>
    <row r="6342" customHeight="1" spans="8:8">
      <c r="H6342" s="39" t="e">
        <f>VLOOKUP(E6342,基础信息!C:E,3,FALSE)</f>
        <v>#N/A</v>
      </c>
    </row>
    <row r="6343" customHeight="1" spans="8:8">
      <c r="H6343" s="39" t="e">
        <f>VLOOKUP(E6343,基础信息!C:E,3,FALSE)</f>
        <v>#N/A</v>
      </c>
    </row>
    <row r="6344" customHeight="1" spans="8:8">
      <c r="H6344" s="39" t="e">
        <f>VLOOKUP(E6344,基础信息!C:E,3,FALSE)</f>
        <v>#N/A</v>
      </c>
    </row>
    <row r="6345" customHeight="1" spans="8:8">
      <c r="H6345" s="39" t="e">
        <f>VLOOKUP(E6345,基础信息!C:E,3,FALSE)</f>
        <v>#N/A</v>
      </c>
    </row>
    <row r="6346" customHeight="1" spans="8:8">
      <c r="H6346" s="39" t="e">
        <f>VLOOKUP(E6346,基础信息!C:E,3,FALSE)</f>
        <v>#N/A</v>
      </c>
    </row>
    <row r="6347" customHeight="1" spans="8:8">
      <c r="H6347" s="39" t="e">
        <f>VLOOKUP(E6347,基础信息!C:E,3,FALSE)</f>
        <v>#N/A</v>
      </c>
    </row>
    <row r="6348" customHeight="1" spans="8:8">
      <c r="H6348" s="39" t="e">
        <f>VLOOKUP(E6348,基础信息!C:E,3,FALSE)</f>
        <v>#N/A</v>
      </c>
    </row>
    <row r="6349" customHeight="1" spans="8:8">
      <c r="H6349" s="39" t="e">
        <f>VLOOKUP(E6349,基础信息!C:E,3,FALSE)</f>
        <v>#N/A</v>
      </c>
    </row>
    <row r="6350" customHeight="1" spans="8:8">
      <c r="H6350" s="39" t="e">
        <f>VLOOKUP(E6350,基础信息!C:E,3,FALSE)</f>
        <v>#N/A</v>
      </c>
    </row>
    <row r="6351" customHeight="1" spans="8:8">
      <c r="H6351" s="39" t="e">
        <f>VLOOKUP(E6351,基础信息!C:E,3,FALSE)</f>
        <v>#N/A</v>
      </c>
    </row>
    <row r="6352" customHeight="1" spans="8:8">
      <c r="H6352" s="39" t="e">
        <f>VLOOKUP(E6352,基础信息!C:E,3,FALSE)</f>
        <v>#N/A</v>
      </c>
    </row>
    <row r="6353" customHeight="1" spans="8:8">
      <c r="H6353" s="39" t="e">
        <f>VLOOKUP(E6353,基础信息!C:E,3,FALSE)</f>
        <v>#N/A</v>
      </c>
    </row>
    <row r="6354" customHeight="1" spans="8:8">
      <c r="H6354" s="39" t="e">
        <f>VLOOKUP(E6354,基础信息!C:E,3,FALSE)</f>
        <v>#N/A</v>
      </c>
    </row>
    <row r="6355" customHeight="1" spans="8:8">
      <c r="H6355" s="39" t="e">
        <f>VLOOKUP(E6355,基础信息!C:E,3,FALSE)</f>
        <v>#N/A</v>
      </c>
    </row>
    <row r="6356" customHeight="1" spans="8:8">
      <c r="H6356" s="39" t="e">
        <f>VLOOKUP(E6356,基础信息!C:E,3,FALSE)</f>
        <v>#N/A</v>
      </c>
    </row>
    <row r="6357" customHeight="1" spans="8:8">
      <c r="H6357" s="39" t="e">
        <f>VLOOKUP(E6357,基础信息!C:E,3,FALSE)</f>
        <v>#N/A</v>
      </c>
    </row>
    <row r="6358" customHeight="1" spans="8:8">
      <c r="H6358" s="39" t="e">
        <f>VLOOKUP(E6358,基础信息!C:E,3,FALSE)</f>
        <v>#N/A</v>
      </c>
    </row>
    <row r="6359" customHeight="1" spans="8:8">
      <c r="H6359" s="39" t="e">
        <f>VLOOKUP(E6359,基础信息!C:E,3,FALSE)</f>
        <v>#N/A</v>
      </c>
    </row>
    <row r="6360" customHeight="1" spans="8:8">
      <c r="H6360" s="39" t="e">
        <f>VLOOKUP(E6360,基础信息!C:E,3,FALSE)</f>
        <v>#N/A</v>
      </c>
    </row>
    <row r="6361" customHeight="1" spans="8:8">
      <c r="H6361" s="39" t="e">
        <f>VLOOKUP(E6361,基础信息!C:E,3,FALSE)</f>
        <v>#N/A</v>
      </c>
    </row>
    <row r="6362" customHeight="1" spans="8:8">
      <c r="H6362" s="39" t="e">
        <f>VLOOKUP(E6362,基础信息!C:E,3,FALSE)</f>
        <v>#N/A</v>
      </c>
    </row>
    <row r="6363" customHeight="1" spans="8:8">
      <c r="H6363" s="39" t="e">
        <f>VLOOKUP(E6363,基础信息!C:E,3,FALSE)</f>
        <v>#N/A</v>
      </c>
    </row>
    <row r="6364" customHeight="1" spans="8:8">
      <c r="H6364" s="39" t="e">
        <f>VLOOKUP(E6364,基础信息!C:E,3,FALSE)</f>
        <v>#N/A</v>
      </c>
    </row>
    <row r="6365" customHeight="1" spans="8:8">
      <c r="H6365" s="39" t="e">
        <f>VLOOKUP(E6365,基础信息!C:E,3,FALSE)</f>
        <v>#N/A</v>
      </c>
    </row>
    <row r="6366" customHeight="1" spans="8:8">
      <c r="H6366" s="39" t="e">
        <f>VLOOKUP(E6366,基础信息!C:E,3,FALSE)</f>
        <v>#N/A</v>
      </c>
    </row>
    <row r="6367" customHeight="1" spans="8:8">
      <c r="H6367" s="39" t="e">
        <f>VLOOKUP(E6367,基础信息!C:E,3,FALSE)</f>
        <v>#N/A</v>
      </c>
    </row>
    <row r="6368" customHeight="1" spans="8:8">
      <c r="H6368" s="39" t="e">
        <f>VLOOKUP(E6368,基础信息!C:E,3,FALSE)</f>
        <v>#N/A</v>
      </c>
    </row>
    <row r="6369" customHeight="1" spans="8:8">
      <c r="H6369" s="39" t="e">
        <f>VLOOKUP(E6369,基础信息!C:E,3,FALSE)</f>
        <v>#N/A</v>
      </c>
    </row>
    <row r="6370" customHeight="1" spans="8:8">
      <c r="H6370" s="39" t="e">
        <f>VLOOKUP(E6370,基础信息!C:E,3,FALSE)</f>
        <v>#N/A</v>
      </c>
    </row>
    <row r="6371" customHeight="1" spans="8:8">
      <c r="H6371" s="39" t="e">
        <f>VLOOKUP(E6371,基础信息!C:E,3,FALSE)</f>
        <v>#N/A</v>
      </c>
    </row>
    <row r="6372" customHeight="1" spans="8:8">
      <c r="H6372" s="39" t="e">
        <f>VLOOKUP(E6372,基础信息!C:E,3,FALSE)</f>
        <v>#N/A</v>
      </c>
    </row>
    <row r="6373" customHeight="1" spans="8:8">
      <c r="H6373" s="39" t="e">
        <f>VLOOKUP(E6373,基础信息!C:E,3,FALSE)</f>
        <v>#N/A</v>
      </c>
    </row>
    <row r="6374" customHeight="1" spans="8:8">
      <c r="H6374" s="39" t="e">
        <f>VLOOKUP(E6374,基础信息!C:E,3,FALSE)</f>
        <v>#N/A</v>
      </c>
    </row>
    <row r="6375" customHeight="1" spans="8:8">
      <c r="H6375" s="39" t="e">
        <f>VLOOKUP(E6375,基础信息!C:E,3,FALSE)</f>
        <v>#N/A</v>
      </c>
    </row>
    <row r="6376" customHeight="1" spans="8:8">
      <c r="H6376" s="39" t="e">
        <f>VLOOKUP(E6376,基础信息!C:E,3,FALSE)</f>
        <v>#N/A</v>
      </c>
    </row>
    <row r="6377" customHeight="1" spans="8:8">
      <c r="H6377" s="39" t="e">
        <f>VLOOKUP(E6377,基础信息!C:E,3,FALSE)</f>
        <v>#N/A</v>
      </c>
    </row>
    <row r="6378" customHeight="1" spans="8:8">
      <c r="H6378" s="39" t="e">
        <f>VLOOKUP(E6378,基础信息!C:E,3,FALSE)</f>
        <v>#N/A</v>
      </c>
    </row>
    <row r="6379" customHeight="1" spans="8:8">
      <c r="H6379" s="39" t="e">
        <f>VLOOKUP(E6379,基础信息!C:E,3,FALSE)</f>
        <v>#N/A</v>
      </c>
    </row>
    <row r="6380" customHeight="1" spans="8:8">
      <c r="H6380" s="39" t="e">
        <f>VLOOKUP(E6380,基础信息!C:E,3,FALSE)</f>
        <v>#N/A</v>
      </c>
    </row>
    <row r="6381" customHeight="1" spans="8:8">
      <c r="H6381" s="39" t="e">
        <f>VLOOKUP(E6381,基础信息!C:E,3,FALSE)</f>
        <v>#N/A</v>
      </c>
    </row>
    <row r="6382" customHeight="1" spans="8:8">
      <c r="H6382" s="39" t="e">
        <f>VLOOKUP(E6382,基础信息!C:E,3,FALSE)</f>
        <v>#N/A</v>
      </c>
    </row>
    <row r="6383" customHeight="1" spans="8:8">
      <c r="H6383" s="39" t="e">
        <f>VLOOKUP(E6383,基础信息!C:E,3,FALSE)</f>
        <v>#N/A</v>
      </c>
    </row>
    <row r="6384" customHeight="1" spans="8:8">
      <c r="H6384" s="39" t="e">
        <f>VLOOKUP(E6384,基础信息!C:E,3,FALSE)</f>
        <v>#N/A</v>
      </c>
    </row>
    <row r="6385" customHeight="1" spans="8:8">
      <c r="H6385" s="39" t="e">
        <f>VLOOKUP(E6385,基础信息!C:E,3,FALSE)</f>
        <v>#N/A</v>
      </c>
    </row>
    <row r="6386" customHeight="1" spans="8:8">
      <c r="H6386" s="39" t="e">
        <f>VLOOKUP(E6386,基础信息!C:E,3,FALSE)</f>
        <v>#N/A</v>
      </c>
    </row>
    <row r="6387" customHeight="1" spans="8:8">
      <c r="H6387" s="39" t="e">
        <f>VLOOKUP(E6387,基础信息!C:E,3,FALSE)</f>
        <v>#N/A</v>
      </c>
    </row>
    <row r="6388" customHeight="1" spans="8:8">
      <c r="H6388" s="39" t="e">
        <f>VLOOKUP(E6388,基础信息!C:E,3,FALSE)</f>
        <v>#N/A</v>
      </c>
    </row>
    <row r="6389" customHeight="1" spans="8:8">
      <c r="H6389" s="39" t="e">
        <f>VLOOKUP(E6389,基础信息!C:E,3,FALSE)</f>
        <v>#N/A</v>
      </c>
    </row>
    <row r="6390" customHeight="1" spans="8:8">
      <c r="H6390" s="39" t="e">
        <f>VLOOKUP(E6390,基础信息!C:E,3,FALSE)</f>
        <v>#N/A</v>
      </c>
    </row>
    <row r="6391" customHeight="1" spans="8:8">
      <c r="H6391" s="39" t="e">
        <f>VLOOKUP(E6391,基础信息!C:E,3,FALSE)</f>
        <v>#N/A</v>
      </c>
    </row>
    <row r="6392" customHeight="1" spans="8:8">
      <c r="H6392" s="39" t="e">
        <f>VLOOKUP(E6392,基础信息!C:E,3,FALSE)</f>
        <v>#N/A</v>
      </c>
    </row>
    <row r="6393" customHeight="1" spans="8:8">
      <c r="H6393" s="39" t="e">
        <f>VLOOKUP(E6393,基础信息!C:E,3,FALSE)</f>
        <v>#N/A</v>
      </c>
    </row>
    <row r="6394" customHeight="1" spans="8:8">
      <c r="H6394" s="39" t="e">
        <f>VLOOKUP(E6394,基础信息!C:E,3,FALSE)</f>
        <v>#N/A</v>
      </c>
    </row>
    <row r="6395" customHeight="1" spans="8:8">
      <c r="H6395" s="39" t="e">
        <f>VLOOKUP(E6395,基础信息!C:E,3,FALSE)</f>
        <v>#N/A</v>
      </c>
    </row>
    <row r="6396" customHeight="1" spans="8:8">
      <c r="H6396" s="39" t="e">
        <f>VLOOKUP(E6396,基础信息!C:E,3,FALSE)</f>
        <v>#N/A</v>
      </c>
    </row>
    <row r="6397" customHeight="1" spans="8:8">
      <c r="H6397" s="39" t="e">
        <f>VLOOKUP(E6397,基础信息!C:E,3,FALSE)</f>
        <v>#N/A</v>
      </c>
    </row>
    <row r="6398" customHeight="1" spans="8:8">
      <c r="H6398" s="39" t="e">
        <f>VLOOKUP(E6398,基础信息!C:E,3,FALSE)</f>
        <v>#N/A</v>
      </c>
    </row>
    <row r="6399" customHeight="1" spans="8:8">
      <c r="H6399" s="39" t="e">
        <f>VLOOKUP(E6399,基础信息!C:E,3,FALSE)</f>
        <v>#N/A</v>
      </c>
    </row>
    <row r="6400" customHeight="1" spans="8:8">
      <c r="H6400" s="39" t="e">
        <f>VLOOKUP(E6400,基础信息!C:E,3,FALSE)</f>
        <v>#N/A</v>
      </c>
    </row>
    <row r="6401" customHeight="1" spans="8:8">
      <c r="H6401" s="39" t="e">
        <f>VLOOKUP(E6401,基础信息!C:E,3,FALSE)</f>
        <v>#N/A</v>
      </c>
    </row>
    <row r="6402" customHeight="1" spans="8:8">
      <c r="H6402" s="39" t="e">
        <f>VLOOKUP(E6402,基础信息!C:E,3,FALSE)</f>
        <v>#N/A</v>
      </c>
    </row>
    <row r="6403" customHeight="1" spans="8:8">
      <c r="H6403" s="39" t="e">
        <f>VLOOKUP(E6403,基础信息!C:E,3,FALSE)</f>
        <v>#N/A</v>
      </c>
    </row>
    <row r="6404" customHeight="1" spans="8:8">
      <c r="H6404" s="39" t="e">
        <f>VLOOKUP(E6404,基础信息!C:E,3,FALSE)</f>
        <v>#N/A</v>
      </c>
    </row>
    <row r="6405" customHeight="1" spans="8:8">
      <c r="H6405" s="39" t="e">
        <f>VLOOKUP(E6405,基础信息!C:E,3,FALSE)</f>
        <v>#N/A</v>
      </c>
    </row>
    <row r="6406" customHeight="1" spans="8:8">
      <c r="H6406" s="39" t="e">
        <f>VLOOKUP(E6406,基础信息!C:E,3,FALSE)</f>
        <v>#N/A</v>
      </c>
    </row>
    <row r="6407" customHeight="1" spans="8:8">
      <c r="H6407" s="39" t="e">
        <f>VLOOKUP(E6407,基础信息!C:E,3,FALSE)</f>
        <v>#N/A</v>
      </c>
    </row>
    <row r="6408" customHeight="1" spans="8:8">
      <c r="H6408" s="39" t="e">
        <f>VLOOKUP(E6408,基础信息!C:E,3,FALSE)</f>
        <v>#N/A</v>
      </c>
    </row>
    <row r="6409" customHeight="1" spans="8:8">
      <c r="H6409" s="39" t="e">
        <f>VLOOKUP(E6409,基础信息!C:E,3,FALSE)</f>
        <v>#N/A</v>
      </c>
    </row>
    <row r="6410" customHeight="1" spans="8:8">
      <c r="H6410" s="39" t="e">
        <f>VLOOKUP(E6410,基础信息!C:E,3,FALSE)</f>
        <v>#N/A</v>
      </c>
    </row>
    <row r="6411" customHeight="1" spans="8:8">
      <c r="H6411" s="39" t="e">
        <f>VLOOKUP(E6411,基础信息!C:E,3,FALSE)</f>
        <v>#N/A</v>
      </c>
    </row>
    <row r="6412" customHeight="1" spans="8:8">
      <c r="H6412" s="39" t="e">
        <f>VLOOKUP(E6412,基础信息!C:E,3,FALSE)</f>
        <v>#N/A</v>
      </c>
    </row>
    <row r="6413" customHeight="1" spans="8:8">
      <c r="H6413" s="39" t="e">
        <f>VLOOKUP(E6413,基础信息!C:E,3,FALSE)</f>
        <v>#N/A</v>
      </c>
    </row>
    <row r="6414" customHeight="1" spans="8:8">
      <c r="H6414" s="39" t="e">
        <f>VLOOKUP(E6414,基础信息!C:E,3,FALSE)</f>
        <v>#N/A</v>
      </c>
    </row>
    <row r="6415" customHeight="1" spans="8:8">
      <c r="H6415" s="39" t="e">
        <f>VLOOKUP(E6415,基础信息!C:E,3,FALSE)</f>
        <v>#N/A</v>
      </c>
    </row>
    <row r="6416" customHeight="1" spans="8:8">
      <c r="H6416" s="39" t="e">
        <f>VLOOKUP(E6416,基础信息!C:E,3,FALSE)</f>
        <v>#N/A</v>
      </c>
    </row>
    <row r="6417" customHeight="1" spans="8:8">
      <c r="H6417" s="39" t="e">
        <f>VLOOKUP(E6417,基础信息!C:E,3,FALSE)</f>
        <v>#N/A</v>
      </c>
    </row>
    <row r="6418" customHeight="1" spans="8:8">
      <c r="H6418" s="39" t="e">
        <f>VLOOKUP(E6418,基础信息!C:E,3,FALSE)</f>
        <v>#N/A</v>
      </c>
    </row>
    <row r="6419" customHeight="1" spans="8:8">
      <c r="H6419" s="39" t="e">
        <f>VLOOKUP(E6419,基础信息!C:E,3,FALSE)</f>
        <v>#N/A</v>
      </c>
    </row>
    <row r="6420" customHeight="1" spans="8:8">
      <c r="H6420" s="39" t="e">
        <f>VLOOKUP(E6420,基础信息!C:E,3,FALSE)</f>
        <v>#N/A</v>
      </c>
    </row>
    <row r="6421" customHeight="1" spans="8:8">
      <c r="H6421" s="39" t="e">
        <f>VLOOKUP(E6421,基础信息!C:E,3,FALSE)</f>
        <v>#N/A</v>
      </c>
    </row>
    <row r="6422" customHeight="1" spans="8:8">
      <c r="H6422" s="39" t="e">
        <f>VLOOKUP(E6422,基础信息!C:E,3,FALSE)</f>
        <v>#N/A</v>
      </c>
    </row>
    <row r="6423" customHeight="1" spans="8:8">
      <c r="H6423" s="39" t="e">
        <f>VLOOKUP(E6423,基础信息!C:E,3,FALSE)</f>
        <v>#N/A</v>
      </c>
    </row>
    <row r="6424" customHeight="1" spans="8:8">
      <c r="H6424" s="39" t="e">
        <f>VLOOKUP(E6424,基础信息!C:E,3,FALSE)</f>
        <v>#N/A</v>
      </c>
    </row>
    <row r="6425" customHeight="1" spans="8:8">
      <c r="H6425" s="39" t="e">
        <f>VLOOKUP(E6425,基础信息!C:E,3,FALSE)</f>
        <v>#N/A</v>
      </c>
    </row>
    <row r="6426" customHeight="1" spans="8:8">
      <c r="H6426" s="39" t="e">
        <f>VLOOKUP(E6426,基础信息!C:E,3,FALSE)</f>
        <v>#N/A</v>
      </c>
    </row>
    <row r="6427" customHeight="1" spans="8:8">
      <c r="H6427" s="39" t="e">
        <f>VLOOKUP(E6427,基础信息!C:E,3,FALSE)</f>
        <v>#N/A</v>
      </c>
    </row>
    <row r="6428" customHeight="1" spans="8:8">
      <c r="H6428" s="39" t="e">
        <f>VLOOKUP(E6428,基础信息!C:E,3,FALSE)</f>
        <v>#N/A</v>
      </c>
    </row>
    <row r="6429" customHeight="1" spans="8:8">
      <c r="H6429" s="39" t="e">
        <f>VLOOKUP(E6429,基础信息!C:E,3,FALSE)</f>
        <v>#N/A</v>
      </c>
    </row>
    <row r="6430" customHeight="1" spans="8:8">
      <c r="H6430" s="39" t="e">
        <f>VLOOKUP(E6430,基础信息!C:E,3,FALSE)</f>
        <v>#N/A</v>
      </c>
    </row>
    <row r="6431" customHeight="1" spans="8:8">
      <c r="H6431" s="39" t="e">
        <f>VLOOKUP(E6431,基础信息!C:E,3,FALSE)</f>
        <v>#N/A</v>
      </c>
    </row>
    <row r="6432" customHeight="1" spans="8:8">
      <c r="H6432" s="39" t="e">
        <f>VLOOKUP(E6432,基础信息!C:E,3,FALSE)</f>
        <v>#N/A</v>
      </c>
    </row>
    <row r="6433" customHeight="1" spans="8:8">
      <c r="H6433" s="39" t="e">
        <f>VLOOKUP(E6433,基础信息!C:E,3,FALSE)</f>
        <v>#N/A</v>
      </c>
    </row>
    <row r="6434" customHeight="1" spans="8:8">
      <c r="H6434" s="39" t="e">
        <f>VLOOKUP(E6434,基础信息!C:E,3,FALSE)</f>
        <v>#N/A</v>
      </c>
    </row>
    <row r="6435" customHeight="1" spans="8:8">
      <c r="H6435" s="39" t="e">
        <f>VLOOKUP(E6435,基础信息!C:E,3,FALSE)</f>
        <v>#N/A</v>
      </c>
    </row>
    <row r="6436" customHeight="1" spans="8:8">
      <c r="H6436" s="39" t="e">
        <f>VLOOKUP(E6436,基础信息!C:E,3,FALSE)</f>
        <v>#N/A</v>
      </c>
    </row>
    <row r="6437" customHeight="1" spans="8:8">
      <c r="H6437" s="39" t="e">
        <f>VLOOKUP(E6437,基础信息!C:E,3,FALSE)</f>
        <v>#N/A</v>
      </c>
    </row>
    <row r="6438" customHeight="1" spans="8:8">
      <c r="H6438" s="39" t="e">
        <f>VLOOKUP(E6438,基础信息!C:E,3,FALSE)</f>
        <v>#N/A</v>
      </c>
    </row>
    <row r="6439" customHeight="1" spans="8:8">
      <c r="H6439" s="39" t="e">
        <f>VLOOKUP(E6439,基础信息!C:E,3,FALSE)</f>
        <v>#N/A</v>
      </c>
    </row>
    <row r="6440" customHeight="1" spans="8:8">
      <c r="H6440" s="39" t="e">
        <f>VLOOKUP(E6440,基础信息!C:E,3,FALSE)</f>
        <v>#N/A</v>
      </c>
    </row>
    <row r="6441" customHeight="1" spans="8:8">
      <c r="H6441" s="39" t="e">
        <f>VLOOKUP(E6441,基础信息!C:E,3,FALSE)</f>
        <v>#N/A</v>
      </c>
    </row>
    <row r="6442" customHeight="1" spans="8:8">
      <c r="H6442" s="39" t="e">
        <f>VLOOKUP(E6442,基础信息!C:E,3,FALSE)</f>
        <v>#N/A</v>
      </c>
    </row>
    <row r="6443" customHeight="1" spans="8:8">
      <c r="H6443" s="39" t="e">
        <f>VLOOKUP(E6443,基础信息!C:E,3,FALSE)</f>
        <v>#N/A</v>
      </c>
    </row>
    <row r="6444" customHeight="1" spans="8:8">
      <c r="H6444" s="39" t="e">
        <f>VLOOKUP(E6444,基础信息!C:E,3,FALSE)</f>
        <v>#N/A</v>
      </c>
    </row>
    <row r="6445" customHeight="1" spans="8:8">
      <c r="H6445" s="39" t="e">
        <f>VLOOKUP(E6445,基础信息!C:E,3,FALSE)</f>
        <v>#N/A</v>
      </c>
    </row>
    <row r="6446" customHeight="1" spans="8:8">
      <c r="H6446" s="39" t="e">
        <f>VLOOKUP(E6446,基础信息!C:E,3,FALSE)</f>
        <v>#N/A</v>
      </c>
    </row>
    <row r="6447" customHeight="1" spans="8:8">
      <c r="H6447" s="39" t="e">
        <f>VLOOKUP(E6447,基础信息!C:E,3,FALSE)</f>
        <v>#N/A</v>
      </c>
    </row>
    <row r="6448" customHeight="1" spans="8:8">
      <c r="H6448" s="39" t="e">
        <f>VLOOKUP(E6448,基础信息!C:E,3,FALSE)</f>
        <v>#N/A</v>
      </c>
    </row>
    <row r="6449" customHeight="1" spans="8:8">
      <c r="H6449" s="39" t="e">
        <f>VLOOKUP(E6449,基础信息!C:E,3,FALSE)</f>
        <v>#N/A</v>
      </c>
    </row>
    <row r="6450" customHeight="1" spans="8:8">
      <c r="H6450" s="39" t="e">
        <f>VLOOKUP(E6450,基础信息!C:E,3,FALSE)</f>
        <v>#N/A</v>
      </c>
    </row>
    <row r="6451" customHeight="1" spans="8:8">
      <c r="H6451" s="39" t="e">
        <f>VLOOKUP(E6451,基础信息!C:E,3,FALSE)</f>
        <v>#N/A</v>
      </c>
    </row>
    <row r="6452" customHeight="1" spans="8:8">
      <c r="H6452" s="39" t="e">
        <f>VLOOKUP(E6452,基础信息!C:E,3,FALSE)</f>
        <v>#N/A</v>
      </c>
    </row>
    <row r="6453" customHeight="1" spans="8:8">
      <c r="H6453" s="39" t="e">
        <f>VLOOKUP(E6453,基础信息!C:E,3,FALSE)</f>
        <v>#N/A</v>
      </c>
    </row>
    <row r="6454" customHeight="1" spans="8:8">
      <c r="H6454" s="39" t="e">
        <f>VLOOKUP(E6454,基础信息!C:E,3,FALSE)</f>
        <v>#N/A</v>
      </c>
    </row>
    <row r="6455" customHeight="1" spans="8:8">
      <c r="H6455" s="39" t="e">
        <f>VLOOKUP(E6455,基础信息!C:E,3,FALSE)</f>
        <v>#N/A</v>
      </c>
    </row>
    <row r="6456" customHeight="1" spans="8:8">
      <c r="H6456" s="39" t="e">
        <f>VLOOKUP(E6456,基础信息!C:E,3,FALSE)</f>
        <v>#N/A</v>
      </c>
    </row>
    <row r="6457" customHeight="1" spans="8:8">
      <c r="H6457" s="39" t="e">
        <f>VLOOKUP(E6457,基础信息!C:E,3,FALSE)</f>
        <v>#N/A</v>
      </c>
    </row>
    <row r="6458" customHeight="1" spans="8:8">
      <c r="H6458" s="39" t="e">
        <f>VLOOKUP(E6458,基础信息!C:E,3,FALSE)</f>
        <v>#N/A</v>
      </c>
    </row>
    <row r="6459" customHeight="1" spans="8:8">
      <c r="H6459" s="39" t="e">
        <f>VLOOKUP(E6459,基础信息!C:E,3,FALSE)</f>
        <v>#N/A</v>
      </c>
    </row>
    <row r="6460" customHeight="1" spans="8:8">
      <c r="H6460" s="39" t="e">
        <f>VLOOKUP(E6460,基础信息!C:E,3,FALSE)</f>
        <v>#N/A</v>
      </c>
    </row>
    <row r="6461" customHeight="1" spans="8:8">
      <c r="H6461" s="39" t="e">
        <f>VLOOKUP(E6461,基础信息!C:E,3,FALSE)</f>
        <v>#N/A</v>
      </c>
    </row>
    <row r="6462" customHeight="1" spans="8:8">
      <c r="H6462" s="39" t="e">
        <f>VLOOKUP(E6462,基础信息!C:E,3,FALSE)</f>
        <v>#N/A</v>
      </c>
    </row>
    <row r="6463" customHeight="1" spans="8:8">
      <c r="H6463" s="39" t="e">
        <f>VLOOKUP(E6463,基础信息!C:E,3,FALSE)</f>
        <v>#N/A</v>
      </c>
    </row>
    <row r="6464" customHeight="1" spans="8:8">
      <c r="H6464" s="39" t="e">
        <f>VLOOKUP(E6464,基础信息!C:E,3,FALSE)</f>
        <v>#N/A</v>
      </c>
    </row>
    <row r="6465" customHeight="1" spans="8:8">
      <c r="H6465" s="39" t="e">
        <f>VLOOKUP(E6465,基础信息!C:E,3,FALSE)</f>
        <v>#N/A</v>
      </c>
    </row>
    <row r="6466" customHeight="1" spans="8:8">
      <c r="H6466" s="39" t="e">
        <f>VLOOKUP(E6466,基础信息!C:E,3,FALSE)</f>
        <v>#N/A</v>
      </c>
    </row>
    <row r="6467" customHeight="1" spans="8:8">
      <c r="H6467" s="39" t="e">
        <f>VLOOKUP(E6467,基础信息!C:E,3,FALSE)</f>
        <v>#N/A</v>
      </c>
    </row>
    <row r="6468" customHeight="1" spans="8:8">
      <c r="H6468" s="39" t="e">
        <f>VLOOKUP(E6468,基础信息!C:E,3,FALSE)</f>
        <v>#N/A</v>
      </c>
    </row>
    <row r="6469" customHeight="1" spans="8:8">
      <c r="H6469" s="39" t="e">
        <f>VLOOKUP(E6469,基础信息!C:E,3,FALSE)</f>
        <v>#N/A</v>
      </c>
    </row>
    <row r="6470" customHeight="1" spans="8:8">
      <c r="H6470" s="39" t="e">
        <f>VLOOKUP(E6470,基础信息!C:E,3,FALSE)</f>
        <v>#N/A</v>
      </c>
    </row>
    <row r="6471" customHeight="1" spans="8:8">
      <c r="H6471" s="39" t="e">
        <f>VLOOKUP(E6471,基础信息!C:E,3,FALSE)</f>
        <v>#N/A</v>
      </c>
    </row>
    <row r="6472" customHeight="1" spans="8:8">
      <c r="H6472" s="39" t="e">
        <f>VLOOKUP(E6472,基础信息!C:E,3,FALSE)</f>
        <v>#N/A</v>
      </c>
    </row>
    <row r="6473" customHeight="1" spans="8:8">
      <c r="H6473" s="39" t="e">
        <f>VLOOKUP(E6473,基础信息!C:E,3,FALSE)</f>
        <v>#N/A</v>
      </c>
    </row>
    <row r="6474" customHeight="1" spans="8:8">
      <c r="H6474" s="39" t="e">
        <f>VLOOKUP(E6474,基础信息!C:E,3,FALSE)</f>
        <v>#N/A</v>
      </c>
    </row>
    <row r="6475" customHeight="1" spans="8:8">
      <c r="H6475" s="39" t="e">
        <f>VLOOKUP(E6475,基础信息!C:E,3,FALSE)</f>
        <v>#N/A</v>
      </c>
    </row>
    <row r="6476" customHeight="1" spans="8:8">
      <c r="H6476" s="39" t="e">
        <f>VLOOKUP(E6476,基础信息!C:E,3,FALSE)</f>
        <v>#N/A</v>
      </c>
    </row>
    <row r="6477" customHeight="1" spans="8:8">
      <c r="H6477" s="39" t="e">
        <f>VLOOKUP(E6477,基础信息!C:E,3,FALSE)</f>
        <v>#N/A</v>
      </c>
    </row>
    <row r="6478" customHeight="1" spans="8:8">
      <c r="H6478" s="39" t="e">
        <f>VLOOKUP(E6478,基础信息!C:E,3,FALSE)</f>
        <v>#N/A</v>
      </c>
    </row>
    <row r="6479" customHeight="1" spans="8:8">
      <c r="H6479" s="39" t="e">
        <f>VLOOKUP(E6479,基础信息!C:E,3,FALSE)</f>
        <v>#N/A</v>
      </c>
    </row>
    <row r="6480" customHeight="1" spans="8:8">
      <c r="H6480" s="39" t="e">
        <f>VLOOKUP(E6480,基础信息!C:E,3,FALSE)</f>
        <v>#N/A</v>
      </c>
    </row>
    <row r="6481" customHeight="1" spans="8:8">
      <c r="H6481" s="39" t="e">
        <f>VLOOKUP(E6481,基础信息!C:E,3,FALSE)</f>
        <v>#N/A</v>
      </c>
    </row>
    <row r="6482" customHeight="1" spans="8:8">
      <c r="H6482" s="39" t="e">
        <f>VLOOKUP(E6482,基础信息!C:E,3,FALSE)</f>
        <v>#N/A</v>
      </c>
    </row>
    <row r="6483" customHeight="1" spans="8:8">
      <c r="H6483" s="39" t="e">
        <f>VLOOKUP(E6483,基础信息!C:E,3,FALSE)</f>
        <v>#N/A</v>
      </c>
    </row>
    <row r="6484" customHeight="1" spans="8:8">
      <c r="H6484" s="39" t="e">
        <f>VLOOKUP(E6484,基础信息!C:E,3,FALSE)</f>
        <v>#N/A</v>
      </c>
    </row>
    <row r="6485" customHeight="1" spans="8:8">
      <c r="H6485" s="39" t="e">
        <f>VLOOKUP(E6485,基础信息!C:E,3,FALSE)</f>
        <v>#N/A</v>
      </c>
    </row>
    <row r="6486" customHeight="1" spans="8:8">
      <c r="H6486" s="39" t="e">
        <f>VLOOKUP(E6486,基础信息!C:E,3,FALSE)</f>
        <v>#N/A</v>
      </c>
    </row>
    <row r="6487" customHeight="1" spans="8:8">
      <c r="H6487" s="39" t="e">
        <f>VLOOKUP(E6487,基础信息!C:E,3,FALSE)</f>
        <v>#N/A</v>
      </c>
    </row>
    <row r="6488" customHeight="1" spans="8:8">
      <c r="H6488" s="39" t="e">
        <f>VLOOKUP(E6488,基础信息!C:E,3,FALSE)</f>
        <v>#N/A</v>
      </c>
    </row>
    <row r="6489" customHeight="1" spans="8:8">
      <c r="H6489" s="39" t="e">
        <f>VLOOKUP(E6489,基础信息!C:E,3,FALSE)</f>
        <v>#N/A</v>
      </c>
    </row>
    <row r="6490" customHeight="1" spans="8:8">
      <c r="H6490" s="39" t="e">
        <f>VLOOKUP(E6490,基础信息!C:E,3,FALSE)</f>
        <v>#N/A</v>
      </c>
    </row>
    <row r="6491" customHeight="1" spans="8:8">
      <c r="H6491" s="39" t="e">
        <f>VLOOKUP(E6491,基础信息!C:E,3,FALSE)</f>
        <v>#N/A</v>
      </c>
    </row>
    <row r="6492" customHeight="1" spans="8:8">
      <c r="H6492" s="39" t="e">
        <f>VLOOKUP(E6492,基础信息!C:E,3,FALSE)</f>
        <v>#N/A</v>
      </c>
    </row>
    <row r="6493" customHeight="1" spans="8:8">
      <c r="H6493" s="39" t="e">
        <f>VLOOKUP(E6493,基础信息!C:E,3,FALSE)</f>
        <v>#N/A</v>
      </c>
    </row>
    <row r="6494" customHeight="1" spans="8:8">
      <c r="H6494" s="39" t="e">
        <f>VLOOKUP(E6494,基础信息!C:E,3,FALSE)</f>
        <v>#N/A</v>
      </c>
    </row>
    <row r="6495" customHeight="1" spans="8:8">
      <c r="H6495" s="39" t="e">
        <f>VLOOKUP(E6495,基础信息!C:E,3,FALSE)</f>
        <v>#N/A</v>
      </c>
    </row>
    <row r="6496" customHeight="1" spans="8:8">
      <c r="H6496" s="39" t="e">
        <f>VLOOKUP(E6496,基础信息!C:E,3,FALSE)</f>
        <v>#N/A</v>
      </c>
    </row>
    <row r="6497" customHeight="1" spans="8:8">
      <c r="H6497" s="39" t="e">
        <f>VLOOKUP(E6497,基础信息!C:E,3,FALSE)</f>
        <v>#N/A</v>
      </c>
    </row>
    <row r="6498" customHeight="1" spans="8:8">
      <c r="H6498" s="39" t="e">
        <f>VLOOKUP(E6498,基础信息!C:E,3,FALSE)</f>
        <v>#N/A</v>
      </c>
    </row>
    <row r="6499" customHeight="1" spans="8:8">
      <c r="H6499" s="39" t="e">
        <f>VLOOKUP(E6499,基础信息!C:E,3,FALSE)</f>
        <v>#N/A</v>
      </c>
    </row>
    <row r="6500" customHeight="1" spans="8:8">
      <c r="H6500" s="39" t="e">
        <f>VLOOKUP(E6500,基础信息!C:E,3,FALSE)</f>
        <v>#N/A</v>
      </c>
    </row>
    <row r="6501" customHeight="1" spans="8:8">
      <c r="H6501" s="39" t="e">
        <f>VLOOKUP(E6501,基础信息!C:E,3,FALSE)</f>
        <v>#N/A</v>
      </c>
    </row>
    <row r="6502" customHeight="1" spans="8:8">
      <c r="H6502" s="39" t="e">
        <f>VLOOKUP(E6502,基础信息!C:E,3,FALSE)</f>
        <v>#N/A</v>
      </c>
    </row>
    <row r="6503" customHeight="1" spans="8:8">
      <c r="H6503" s="39" t="e">
        <f>VLOOKUP(E6503,基础信息!C:E,3,FALSE)</f>
        <v>#N/A</v>
      </c>
    </row>
    <row r="6504" customHeight="1" spans="8:8">
      <c r="H6504" s="39" t="e">
        <f>VLOOKUP(E6504,基础信息!C:E,3,FALSE)</f>
        <v>#N/A</v>
      </c>
    </row>
    <row r="6505" customHeight="1" spans="8:8">
      <c r="H6505" s="39" t="e">
        <f>VLOOKUP(E6505,基础信息!C:E,3,FALSE)</f>
        <v>#N/A</v>
      </c>
    </row>
    <row r="6506" customHeight="1" spans="8:8">
      <c r="H6506" s="39" t="e">
        <f>VLOOKUP(E6506,基础信息!C:E,3,FALSE)</f>
        <v>#N/A</v>
      </c>
    </row>
    <row r="6507" customHeight="1" spans="8:8">
      <c r="H6507" s="39" t="e">
        <f>VLOOKUP(E6507,基础信息!C:E,3,FALSE)</f>
        <v>#N/A</v>
      </c>
    </row>
    <row r="6508" customHeight="1" spans="8:8">
      <c r="H6508" s="39" t="e">
        <f>VLOOKUP(E6508,基础信息!C:E,3,FALSE)</f>
        <v>#N/A</v>
      </c>
    </row>
    <row r="6509" customHeight="1" spans="8:8">
      <c r="H6509" s="39" t="e">
        <f>VLOOKUP(E6509,基础信息!C:E,3,FALSE)</f>
        <v>#N/A</v>
      </c>
    </row>
    <row r="6510" customHeight="1" spans="8:8">
      <c r="H6510" s="39" t="e">
        <f>VLOOKUP(E6510,基础信息!C:E,3,FALSE)</f>
        <v>#N/A</v>
      </c>
    </row>
    <row r="6511" customHeight="1" spans="8:8">
      <c r="H6511" s="39" t="e">
        <f>VLOOKUP(E6511,基础信息!C:E,3,FALSE)</f>
        <v>#N/A</v>
      </c>
    </row>
    <row r="6512" customHeight="1" spans="8:8">
      <c r="H6512" s="39" t="e">
        <f>VLOOKUP(E6512,基础信息!C:E,3,FALSE)</f>
        <v>#N/A</v>
      </c>
    </row>
    <row r="6513" customHeight="1" spans="8:8">
      <c r="H6513" s="39" t="e">
        <f>VLOOKUP(E6513,基础信息!C:E,3,FALSE)</f>
        <v>#N/A</v>
      </c>
    </row>
    <row r="6514" customHeight="1" spans="8:8">
      <c r="H6514" s="39" t="e">
        <f>VLOOKUP(E6514,基础信息!C:E,3,FALSE)</f>
        <v>#N/A</v>
      </c>
    </row>
    <row r="6515" customHeight="1" spans="8:8">
      <c r="H6515" s="39" t="e">
        <f>VLOOKUP(E6515,基础信息!C:E,3,FALSE)</f>
        <v>#N/A</v>
      </c>
    </row>
    <row r="6516" customHeight="1" spans="8:8">
      <c r="H6516" s="39" t="e">
        <f>VLOOKUP(E6516,基础信息!C:E,3,FALSE)</f>
        <v>#N/A</v>
      </c>
    </row>
    <row r="6517" customHeight="1" spans="8:8">
      <c r="H6517" s="39" t="e">
        <f>VLOOKUP(E6517,基础信息!C:E,3,FALSE)</f>
        <v>#N/A</v>
      </c>
    </row>
    <row r="6518" customHeight="1" spans="8:8">
      <c r="H6518" s="39" t="e">
        <f>VLOOKUP(E6518,基础信息!C:E,3,FALSE)</f>
        <v>#N/A</v>
      </c>
    </row>
    <row r="6519" customHeight="1" spans="8:8">
      <c r="H6519" s="39" t="e">
        <f>VLOOKUP(E6519,基础信息!C:E,3,FALSE)</f>
        <v>#N/A</v>
      </c>
    </row>
    <row r="6520" customHeight="1" spans="8:8">
      <c r="H6520" s="39" t="e">
        <f>VLOOKUP(E6520,基础信息!C:E,3,FALSE)</f>
        <v>#N/A</v>
      </c>
    </row>
    <row r="6521" customHeight="1" spans="8:8">
      <c r="H6521" s="39" t="e">
        <f>VLOOKUP(E6521,基础信息!C:E,3,FALSE)</f>
        <v>#N/A</v>
      </c>
    </row>
    <row r="6522" customHeight="1" spans="8:8">
      <c r="H6522" s="39" t="e">
        <f>VLOOKUP(E6522,基础信息!C:E,3,FALSE)</f>
        <v>#N/A</v>
      </c>
    </row>
    <row r="6523" customHeight="1" spans="8:8">
      <c r="H6523" s="39" t="e">
        <f>VLOOKUP(E6523,基础信息!C:E,3,FALSE)</f>
        <v>#N/A</v>
      </c>
    </row>
    <row r="6524" customHeight="1" spans="8:8">
      <c r="H6524" s="39" t="e">
        <f>VLOOKUP(E6524,基础信息!C:E,3,FALSE)</f>
        <v>#N/A</v>
      </c>
    </row>
    <row r="6525" customHeight="1" spans="8:8">
      <c r="H6525" s="39" t="e">
        <f>VLOOKUP(E6525,基础信息!C:E,3,FALSE)</f>
        <v>#N/A</v>
      </c>
    </row>
    <row r="6526" customHeight="1" spans="8:8">
      <c r="H6526" s="39" t="e">
        <f>VLOOKUP(E6526,基础信息!C:E,3,FALSE)</f>
        <v>#N/A</v>
      </c>
    </row>
    <row r="6527" customHeight="1" spans="8:8">
      <c r="H6527" s="39" t="e">
        <f>VLOOKUP(E6527,基础信息!C:E,3,FALSE)</f>
        <v>#N/A</v>
      </c>
    </row>
    <row r="6528" customHeight="1" spans="8:8">
      <c r="H6528" s="39" t="e">
        <f>VLOOKUP(E6528,基础信息!C:E,3,FALSE)</f>
        <v>#N/A</v>
      </c>
    </row>
    <row r="6529" customHeight="1" spans="8:8">
      <c r="H6529" s="39" t="e">
        <f>VLOOKUP(E6529,基础信息!C:E,3,FALSE)</f>
        <v>#N/A</v>
      </c>
    </row>
    <row r="6530" customHeight="1" spans="8:8">
      <c r="H6530" s="39" t="e">
        <f>VLOOKUP(E6530,基础信息!C:E,3,FALSE)</f>
        <v>#N/A</v>
      </c>
    </row>
    <row r="6531" customHeight="1" spans="8:8">
      <c r="H6531" s="39" t="e">
        <f>VLOOKUP(E6531,基础信息!C:E,3,FALSE)</f>
        <v>#N/A</v>
      </c>
    </row>
    <row r="6532" customHeight="1" spans="8:8">
      <c r="H6532" s="39" t="e">
        <f>VLOOKUP(E6532,基础信息!C:E,3,FALSE)</f>
        <v>#N/A</v>
      </c>
    </row>
    <row r="6533" customHeight="1" spans="8:8">
      <c r="H6533" s="39" t="e">
        <f>VLOOKUP(E6533,基础信息!C:E,3,FALSE)</f>
        <v>#N/A</v>
      </c>
    </row>
    <row r="6534" customHeight="1" spans="8:8">
      <c r="H6534" s="39" t="e">
        <f>VLOOKUP(E6534,基础信息!C:E,3,FALSE)</f>
        <v>#N/A</v>
      </c>
    </row>
    <row r="6535" customHeight="1" spans="8:8">
      <c r="H6535" s="39" t="e">
        <f>VLOOKUP(E6535,基础信息!C:E,3,FALSE)</f>
        <v>#N/A</v>
      </c>
    </row>
    <row r="6536" customHeight="1" spans="8:8">
      <c r="H6536" s="39" t="e">
        <f>VLOOKUP(E6536,基础信息!C:E,3,FALSE)</f>
        <v>#N/A</v>
      </c>
    </row>
    <row r="6537" customHeight="1" spans="8:8">
      <c r="H6537" s="39" t="e">
        <f>VLOOKUP(E6537,基础信息!C:E,3,FALSE)</f>
        <v>#N/A</v>
      </c>
    </row>
    <row r="6538" customHeight="1" spans="8:8">
      <c r="H6538" s="39" t="e">
        <f>VLOOKUP(E6538,基础信息!C:E,3,FALSE)</f>
        <v>#N/A</v>
      </c>
    </row>
    <row r="6539" customHeight="1" spans="8:8">
      <c r="H6539" s="39" t="e">
        <f>VLOOKUP(E6539,基础信息!C:E,3,FALSE)</f>
        <v>#N/A</v>
      </c>
    </row>
    <row r="6540" customHeight="1" spans="8:8">
      <c r="H6540" s="39" t="e">
        <f>VLOOKUP(E6540,基础信息!C:E,3,FALSE)</f>
        <v>#N/A</v>
      </c>
    </row>
    <row r="6541" customHeight="1" spans="8:8">
      <c r="H6541" s="39" t="e">
        <f>VLOOKUP(E6541,基础信息!C:E,3,FALSE)</f>
        <v>#N/A</v>
      </c>
    </row>
    <row r="6542" customHeight="1" spans="8:8">
      <c r="H6542" s="39" t="e">
        <f>VLOOKUP(E6542,基础信息!C:E,3,FALSE)</f>
        <v>#N/A</v>
      </c>
    </row>
    <row r="6543" customHeight="1" spans="8:8">
      <c r="H6543" s="39" t="e">
        <f>VLOOKUP(E6543,基础信息!C:E,3,FALSE)</f>
        <v>#N/A</v>
      </c>
    </row>
    <row r="6544" customHeight="1" spans="8:8">
      <c r="H6544" s="39" t="e">
        <f>VLOOKUP(E6544,基础信息!C:E,3,FALSE)</f>
        <v>#N/A</v>
      </c>
    </row>
    <row r="6545" customHeight="1" spans="8:8">
      <c r="H6545" s="39" t="e">
        <f>VLOOKUP(E6545,基础信息!C:E,3,FALSE)</f>
        <v>#N/A</v>
      </c>
    </row>
    <row r="6546" customHeight="1" spans="8:8">
      <c r="H6546" s="39" t="e">
        <f>VLOOKUP(E6546,基础信息!C:E,3,FALSE)</f>
        <v>#N/A</v>
      </c>
    </row>
    <row r="6547" customHeight="1" spans="8:8">
      <c r="H6547" s="39" t="e">
        <f>VLOOKUP(E6547,基础信息!C:E,3,FALSE)</f>
        <v>#N/A</v>
      </c>
    </row>
    <row r="6548" customHeight="1" spans="8:8">
      <c r="H6548" s="39" t="e">
        <f>VLOOKUP(E6548,基础信息!C:E,3,FALSE)</f>
        <v>#N/A</v>
      </c>
    </row>
    <row r="6549" customHeight="1" spans="8:8">
      <c r="H6549" s="39" t="e">
        <f>VLOOKUP(E6549,基础信息!C:E,3,FALSE)</f>
        <v>#N/A</v>
      </c>
    </row>
    <row r="6550" customHeight="1" spans="8:8">
      <c r="H6550" s="39" t="e">
        <f>VLOOKUP(E6550,基础信息!C:E,3,FALSE)</f>
        <v>#N/A</v>
      </c>
    </row>
    <row r="6551" customHeight="1" spans="8:8">
      <c r="H6551" s="39" t="e">
        <f>VLOOKUP(E6551,基础信息!C:E,3,FALSE)</f>
        <v>#N/A</v>
      </c>
    </row>
    <row r="6552" customHeight="1" spans="8:8">
      <c r="H6552" s="39" t="e">
        <f>VLOOKUP(E6552,基础信息!C:E,3,FALSE)</f>
        <v>#N/A</v>
      </c>
    </row>
    <row r="6553" customHeight="1" spans="8:8">
      <c r="H6553" s="39" t="e">
        <f>VLOOKUP(E6553,基础信息!C:E,3,FALSE)</f>
        <v>#N/A</v>
      </c>
    </row>
    <row r="6554" customHeight="1" spans="8:8">
      <c r="H6554" s="39" t="e">
        <f>VLOOKUP(E6554,基础信息!C:E,3,FALSE)</f>
        <v>#N/A</v>
      </c>
    </row>
    <row r="6555" customHeight="1" spans="8:8">
      <c r="H6555" s="39" t="e">
        <f>VLOOKUP(E6555,基础信息!C:E,3,FALSE)</f>
        <v>#N/A</v>
      </c>
    </row>
    <row r="6556" customHeight="1" spans="8:8">
      <c r="H6556" s="39" t="e">
        <f>VLOOKUP(E6556,基础信息!C:E,3,FALSE)</f>
        <v>#N/A</v>
      </c>
    </row>
    <row r="6557" customHeight="1" spans="8:8">
      <c r="H6557" s="39" t="e">
        <f>VLOOKUP(E6557,基础信息!C:E,3,FALSE)</f>
        <v>#N/A</v>
      </c>
    </row>
    <row r="6558" customHeight="1" spans="8:8">
      <c r="H6558" s="39" t="e">
        <f>VLOOKUP(E6558,基础信息!C:E,3,FALSE)</f>
        <v>#N/A</v>
      </c>
    </row>
    <row r="6559" customHeight="1" spans="8:8">
      <c r="H6559" s="39" t="e">
        <f>VLOOKUP(E6559,基础信息!C:E,3,FALSE)</f>
        <v>#N/A</v>
      </c>
    </row>
    <row r="6560" customHeight="1" spans="8:8">
      <c r="H6560" s="39" t="e">
        <f>VLOOKUP(E6560,基础信息!C:E,3,FALSE)</f>
        <v>#N/A</v>
      </c>
    </row>
    <row r="6561" customHeight="1" spans="8:8">
      <c r="H6561" s="39" t="e">
        <f>VLOOKUP(E6561,基础信息!C:E,3,FALSE)</f>
        <v>#N/A</v>
      </c>
    </row>
    <row r="6562" customHeight="1" spans="8:8">
      <c r="H6562" s="39" t="e">
        <f>VLOOKUP(E6562,基础信息!C:E,3,FALSE)</f>
        <v>#N/A</v>
      </c>
    </row>
    <row r="6563" customHeight="1" spans="8:8">
      <c r="H6563" s="39" t="e">
        <f>VLOOKUP(E6563,基础信息!C:E,3,FALSE)</f>
        <v>#N/A</v>
      </c>
    </row>
    <row r="6564" customHeight="1" spans="8:8">
      <c r="H6564" s="39" t="e">
        <f>VLOOKUP(E6564,基础信息!C:E,3,FALSE)</f>
        <v>#N/A</v>
      </c>
    </row>
    <row r="6565" customHeight="1" spans="8:8">
      <c r="H6565" s="39" t="e">
        <f>VLOOKUP(E6565,基础信息!C:E,3,FALSE)</f>
        <v>#N/A</v>
      </c>
    </row>
    <row r="6566" customHeight="1" spans="8:8">
      <c r="H6566" s="39" t="e">
        <f>VLOOKUP(E6566,基础信息!C:E,3,FALSE)</f>
        <v>#N/A</v>
      </c>
    </row>
    <row r="6567" customHeight="1" spans="8:8">
      <c r="H6567" s="39" t="e">
        <f>VLOOKUP(E6567,基础信息!C:E,3,FALSE)</f>
        <v>#N/A</v>
      </c>
    </row>
    <row r="6568" customHeight="1" spans="8:8">
      <c r="H6568" s="39" t="e">
        <f>VLOOKUP(E6568,基础信息!C:E,3,FALSE)</f>
        <v>#N/A</v>
      </c>
    </row>
    <row r="6569" customHeight="1" spans="8:8">
      <c r="H6569" s="39" t="e">
        <f>VLOOKUP(E6569,基础信息!C:E,3,FALSE)</f>
        <v>#N/A</v>
      </c>
    </row>
    <row r="6570" customHeight="1" spans="8:8">
      <c r="H6570" s="39" t="e">
        <f>VLOOKUP(E6570,基础信息!C:E,3,FALSE)</f>
        <v>#N/A</v>
      </c>
    </row>
    <row r="6571" customHeight="1" spans="8:8">
      <c r="H6571" s="39" t="e">
        <f>VLOOKUP(E6571,基础信息!C:E,3,FALSE)</f>
        <v>#N/A</v>
      </c>
    </row>
    <row r="6572" customHeight="1" spans="8:8">
      <c r="H6572" s="39" t="e">
        <f>VLOOKUP(E6572,基础信息!C:E,3,FALSE)</f>
        <v>#N/A</v>
      </c>
    </row>
    <row r="6573" customHeight="1" spans="8:8">
      <c r="H6573" s="39" t="e">
        <f>VLOOKUP(E6573,基础信息!C:E,3,FALSE)</f>
        <v>#N/A</v>
      </c>
    </row>
    <row r="6574" customHeight="1" spans="8:8">
      <c r="H6574" s="39" t="e">
        <f>VLOOKUP(E6574,基础信息!C:E,3,FALSE)</f>
        <v>#N/A</v>
      </c>
    </row>
    <row r="6575" customHeight="1" spans="8:8">
      <c r="H6575" s="39" t="e">
        <f>VLOOKUP(E6575,基础信息!C:E,3,FALSE)</f>
        <v>#N/A</v>
      </c>
    </row>
    <row r="6576" customHeight="1" spans="8:8">
      <c r="H6576" s="39" t="e">
        <f>VLOOKUP(E6576,基础信息!C:E,3,FALSE)</f>
        <v>#N/A</v>
      </c>
    </row>
    <row r="6577" customHeight="1" spans="8:8">
      <c r="H6577" s="39" t="e">
        <f>VLOOKUP(E6577,基础信息!C:E,3,FALSE)</f>
        <v>#N/A</v>
      </c>
    </row>
    <row r="6578" customHeight="1" spans="8:8">
      <c r="H6578" s="39" t="e">
        <f>VLOOKUP(E6578,基础信息!C:E,3,FALSE)</f>
        <v>#N/A</v>
      </c>
    </row>
    <row r="6579" customHeight="1" spans="8:8">
      <c r="H6579" s="39" t="e">
        <f>VLOOKUP(E6579,基础信息!C:E,3,FALSE)</f>
        <v>#N/A</v>
      </c>
    </row>
    <row r="6580" customHeight="1" spans="8:8">
      <c r="H6580" s="39" t="e">
        <f>VLOOKUP(E6580,基础信息!C:E,3,FALSE)</f>
        <v>#N/A</v>
      </c>
    </row>
    <row r="6581" customHeight="1" spans="8:8">
      <c r="H6581" s="39" t="e">
        <f>VLOOKUP(E6581,基础信息!C:E,3,FALSE)</f>
        <v>#N/A</v>
      </c>
    </row>
    <row r="6582" customHeight="1" spans="8:8">
      <c r="H6582" s="39" t="e">
        <f>VLOOKUP(E6582,基础信息!C:E,3,FALSE)</f>
        <v>#N/A</v>
      </c>
    </row>
    <row r="6583" customHeight="1" spans="8:8">
      <c r="H6583" s="39" t="e">
        <f>VLOOKUP(E6583,基础信息!C:E,3,FALSE)</f>
        <v>#N/A</v>
      </c>
    </row>
    <row r="6584" customHeight="1" spans="8:8">
      <c r="H6584" s="39" t="e">
        <f>VLOOKUP(E6584,基础信息!C:E,3,FALSE)</f>
        <v>#N/A</v>
      </c>
    </row>
    <row r="6585" customHeight="1" spans="8:8">
      <c r="H6585" s="39" t="e">
        <f>VLOOKUP(E6585,基础信息!C:E,3,FALSE)</f>
        <v>#N/A</v>
      </c>
    </row>
    <row r="6586" customHeight="1" spans="8:8">
      <c r="H6586" s="39" t="e">
        <f>VLOOKUP(E6586,基础信息!C:E,3,FALSE)</f>
        <v>#N/A</v>
      </c>
    </row>
    <row r="6587" customHeight="1" spans="8:8">
      <c r="H6587" s="39" t="e">
        <f>VLOOKUP(E6587,基础信息!C:E,3,FALSE)</f>
        <v>#N/A</v>
      </c>
    </row>
    <row r="6588" customHeight="1" spans="8:8">
      <c r="H6588" s="39" t="e">
        <f>VLOOKUP(E6588,基础信息!C:E,3,FALSE)</f>
        <v>#N/A</v>
      </c>
    </row>
    <row r="6589" customHeight="1" spans="8:8">
      <c r="H6589" s="39" t="e">
        <f>VLOOKUP(E6589,基础信息!C:E,3,FALSE)</f>
        <v>#N/A</v>
      </c>
    </row>
    <row r="6590" customHeight="1" spans="8:8">
      <c r="H6590" s="39" t="e">
        <f>VLOOKUP(E6590,基础信息!C:E,3,FALSE)</f>
        <v>#N/A</v>
      </c>
    </row>
    <row r="6591" customHeight="1" spans="8:8">
      <c r="H6591" s="39" t="e">
        <f>VLOOKUP(E6591,基础信息!C:E,3,FALSE)</f>
        <v>#N/A</v>
      </c>
    </row>
    <row r="6592" customHeight="1" spans="8:8">
      <c r="H6592" s="39" t="e">
        <f>VLOOKUP(E6592,基础信息!C:E,3,FALSE)</f>
        <v>#N/A</v>
      </c>
    </row>
    <row r="6593" customHeight="1" spans="8:8">
      <c r="H6593" s="39" t="e">
        <f>VLOOKUP(E6593,基础信息!C:E,3,FALSE)</f>
        <v>#N/A</v>
      </c>
    </row>
    <row r="6594" customHeight="1" spans="8:8">
      <c r="H6594" s="39" t="e">
        <f>VLOOKUP(E6594,基础信息!C:E,3,FALSE)</f>
        <v>#N/A</v>
      </c>
    </row>
    <row r="6595" customHeight="1" spans="8:8">
      <c r="H6595" s="39" t="e">
        <f>VLOOKUP(E6595,基础信息!C:E,3,FALSE)</f>
        <v>#N/A</v>
      </c>
    </row>
    <row r="6596" customHeight="1" spans="8:8">
      <c r="H6596" s="39" t="e">
        <f>VLOOKUP(E6596,基础信息!C:E,3,FALSE)</f>
        <v>#N/A</v>
      </c>
    </row>
    <row r="6597" customHeight="1" spans="8:8">
      <c r="H6597" s="39" t="e">
        <f>VLOOKUP(E6597,基础信息!C:E,3,FALSE)</f>
        <v>#N/A</v>
      </c>
    </row>
    <row r="6598" customHeight="1" spans="8:8">
      <c r="H6598" s="39" t="e">
        <f>VLOOKUP(E6598,基础信息!C:E,3,FALSE)</f>
        <v>#N/A</v>
      </c>
    </row>
    <row r="6599" customHeight="1" spans="8:8">
      <c r="H6599" s="39" t="e">
        <f>VLOOKUP(E6599,基础信息!C:E,3,FALSE)</f>
        <v>#N/A</v>
      </c>
    </row>
    <row r="6600" customHeight="1" spans="8:8">
      <c r="H6600" s="39" t="e">
        <f>VLOOKUP(E6600,基础信息!C:E,3,FALSE)</f>
        <v>#N/A</v>
      </c>
    </row>
    <row r="6601" customHeight="1" spans="8:8">
      <c r="H6601" s="39" t="e">
        <f>VLOOKUP(E6601,基础信息!C:E,3,FALSE)</f>
        <v>#N/A</v>
      </c>
    </row>
    <row r="6602" customHeight="1" spans="8:8">
      <c r="H6602" s="39" t="e">
        <f>VLOOKUP(E6602,基础信息!C:E,3,FALSE)</f>
        <v>#N/A</v>
      </c>
    </row>
    <row r="6603" customHeight="1" spans="8:8">
      <c r="H6603" s="39" t="e">
        <f>VLOOKUP(E6603,基础信息!C:E,3,FALSE)</f>
        <v>#N/A</v>
      </c>
    </row>
    <row r="6604" customHeight="1" spans="8:8">
      <c r="H6604" s="39" t="e">
        <f>VLOOKUP(E6604,基础信息!C:E,3,FALSE)</f>
        <v>#N/A</v>
      </c>
    </row>
    <row r="6605" customHeight="1" spans="8:8">
      <c r="H6605" s="39" t="e">
        <f>VLOOKUP(E6605,基础信息!C:E,3,FALSE)</f>
        <v>#N/A</v>
      </c>
    </row>
    <row r="6606" customHeight="1" spans="8:8">
      <c r="H6606" s="39" t="e">
        <f>VLOOKUP(E6606,基础信息!C:E,3,FALSE)</f>
        <v>#N/A</v>
      </c>
    </row>
    <row r="6607" customHeight="1" spans="8:8">
      <c r="H6607" s="39" t="e">
        <f>VLOOKUP(E6607,基础信息!C:E,3,FALSE)</f>
        <v>#N/A</v>
      </c>
    </row>
    <row r="6608" customHeight="1" spans="8:8">
      <c r="H6608" s="39" t="e">
        <f>VLOOKUP(E6608,基础信息!C:E,3,FALSE)</f>
        <v>#N/A</v>
      </c>
    </row>
    <row r="6609" customHeight="1" spans="8:8">
      <c r="H6609" s="39" t="e">
        <f>VLOOKUP(E6609,基础信息!C:E,3,FALSE)</f>
        <v>#N/A</v>
      </c>
    </row>
    <row r="6610" customHeight="1" spans="8:8">
      <c r="H6610" s="39" t="e">
        <f>VLOOKUP(E6610,基础信息!C:E,3,FALSE)</f>
        <v>#N/A</v>
      </c>
    </row>
    <row r="6611" customHeight="1" spans="8:8">
      <c r="H6611" s="39" t="e">
        <f>VLOOKUP(E6611,基础信息!C:E,3,FALSE)</f>
        <v>#N/A</v>
      </c>
    </row>
    <row r="6612" customHeight="1" spans="8:8">
      <c r="H6612" s="39" t="e">
        <f>VLOOKUP(E6612,基础信息!C:E,3,FALSE)</f>
        <v>#N/A</v>
      </c>
    </row>
    <row r="6613" customHeight="1" spans="8:8">
      <c r="H6613" s="39" t="e">
        <f>VLOOKUP(E6613,基础信息!C:E,3,FALSE)</f>
        <v>#N/A</v>
      </c>
    </row>
    <row r="6614" customHeight="1" spans="8:8">
      <c r="H6614" s="39" t="e">
        <f>VLOOKUP(E6614,基础信息!C:E,3,FALSE)</f>
        <v>#N/A</v>
      </c>
    </row>
    <row r="6615" customHeight="1" spans="8:8">
      <c r="H6615" s="39" t="e">
        <f>VLOOKUP(E6615,基础信息!C:E,3,FALSE)</f>
        <v>#N/A</v>
      </c>
    </row>
    <row r="6616" customHeight="1" spans="8:8">
      <c r="H6616" s="39" t="e">
        <f>VLOOKUP(E6616,基础信息!C:E,3,FALSE)</f>
        <v>#N/A</v>
      </c>
    </row>
    <row r="6617" customHeight="1" spans="8:8">
      <c r="H6617" s="39" t="e">
        <f>VLOOKUP(E6617,基础信息!C:E,3,FALSE)</f>
        <v>#N/A</v>
      </c>
    </row>
    <row r="6618" customHeight="1" spans="8:8">
      <c r="H6618" s="39" t="e">
        <f>VLOOKUP(E6618,基础信息!C:E,3,FALSE)</f>
        <v>#N/A</v>
      </c>
    </row>
    <row r="6619" customHeight="1" spans="8:8">
      <c r="H6619" s="39" t="e">
        <f>VLOOKUP(E6619,基础信息!C:E,3,FALSE)</f>
        <v>#N/A</v>
      </c>
    </row>
    <row r="6620" customHeight="1" spans="8:8">
      <c r="H6620" s="39" t="e">
        <f>VLOOKUP(E6620,基础信息!C:E,3,FALSE)</f>
        <v>#N/A</v>
      </c>
    </row>
    <row r="6621" customHeight="1" spans="8:8">
      <c r="H6621" s="39" t="e">
        <f>VLOOKUP(E6621,基础信息!C:E,3,FALSE)</f>
        <v>#N/A</v>
      </c>
    </row>
    <row r="6622" customHeight="1" spans="8:8">
      <c r="H6622" s="39" t="e">
        <f>VLOOKUP(E6622,基础信息!C:E,3,FALSE)</f>
        <v>#N/A</v>
      </c>
    </row>
    <row r="6623" customHeight="1" spans="8:8">
      <c r="H6623" s="39" t="e">
        <f>VLOOKUP(E6623,基础信息!C:E,3,FALSE)</f>
        <v>#N/A</v>
      </c>
    </row>
    <row r="6624" customHeight="1" spans="8:8">
      <c r="H6624" s="39" t="e">
        <f>VLOOKUP(E6624,基础信息!C:E,3,FALSE)</f>
        <v>#N/A</v>
      </c>
    </row>
    <row r="6625" customHeight="1" spans="8:8">
      <c r="H6625" s="39" t="e">
        <f>VLOOKUP(E6625,基础信息!C:E,3,FALSE)</f>
        <v>#N/A</v>
      </c>
    </row>
    <row r="6626" customHeight="1" spans="8:8">
      <c r="H6626" s="39" t="e">
        <f>VLOOKUP(E6626,基础信息!C:E,3,FALSE)</f>
        <v>#N/A</v>
      </c>
    </row>
    <row r="6627" customHeight="1" spans="8:8">
      <c r="H6627" s="39" t="e">
        <f>VLOOKUP(E6627,基础信息!C:E,3,FALSE)</f>
        <v>#N/A</v>
      </c>
    </row>
    <row r="6628" customHeight="1" spans="8:8">
      <c r="H6628" s="39" t="e">
        <f>VLOOKUP(E6628,基础信息!C:E,3,FALSE)</f>
        <v>#N/A</v>
      </c>
    </row>
    <row r="6629" customHeight="1" spans="8:8">
      <c r="H6629" s="39" t="e">
        <f>VLOOKUP(E6629,基础信息!C:E,3,FALSE)</f>
        <v>#N/A</v>
      </c>
    </row>
    <row r="6630" customHeight="1" spans="8:8">
      <c r="H6630" s="39" t="e">
        <f>VLOOKUP(E6630,基础信息!C:E,3,FALSE)</f>
        <v>#N/A</v>
      </c>
    </row>
    <row r="6631" customHeight="1" spans="8:8">
      <c r="H6631" s="39" t="e">
        <f>VLOOKUP(E6631,基础信息!C:E,3,FALSE)</f>
        <v>#N/A</v>
      </c>
    </row>
    <row r="6632" customHeight="1" spans="8:8">
      <c r="H6632" s="39" t="e">
        <f>VLOOKUP(E6632,基础信息!C:E,3,FALSE)</f>
        <v>#N/A</v>
      </c>
    </row>
    <row r="6633" customHeight="1" spans="8:8">
      <c r="H6633" s="39" t="e">
        <f>VLOOKUP(E6633,基础信息!C:E,3,FALSE)</f>
        <v>#N/A</v>
      </c>
    </row>
    <row r="6634" customHeight="1" spans="8:8">
      <c r="H6634" s="39" t="e">
        <f>VLOOKUP(E6634,基础信息!C:E,3,FALSE)</f>
        <v>#N/A</v>
      </c>
    </row>
    <row r="6635" customHeight="1" spans="8:8">
      <c r="H6635" s="39" t="e">
        <f>VLOOKUP(E6635,基础信息!C:E,3,FALSE)</f>
        <v>#N/A</v>
      </c>
    </row>
    <row r="6636" customHeight="1" spans="8:8">
      <c r="H6636" s="39" t="e">
        <f>VLOOKUP(E6636,基础信息!C:E,3,FALSE)</f>
        <v>#N/A</v>
      </c>
    </row>
    <row r="6637" customHeight="1" spans="8:8">
      <c r="H6637" s="39" t="e">
        <f>VLOOKUP(E6637,基础信息!C:E,3,FALSE)</f>
        <v>#N/A</v>
      </c>
    </row>
    <row r="6638" customHeight="1" spans="8:8">
      <c r="H6638" s="39" t="e">
        <f>VLOOKUP(E6638,基础信息!C:E,3,FALSE)</f>
        <v>#N/A</v>
      </c>
    </row>
    <row r="6639" customHeight="1" spans="8:8">
      <c r="H6639" s="39" t="e">
        <f>VLOOKUP(E6639,基础信息!C:E,3,FALSE)</f>
        <v>#N/A</v>
      </c>
    </row>
    <row r="6640" customHeight="1" spans="8:8">
      <c r="H6640" s="39" t="e">
        <f>VLOOKUP(E6640,基础信息!C:E,3,FALSE)</f>
        <v>#N/A</v>
      </c>
    </row>
    <row r="6641" customHeight="1" spans="8:8">
      <c r="H6641" s="39" t="e">
        <f>VLOOKUP(E6641,基础信息!C:E,3,FALSE)</f>
        <v>#N/A</v>
      </c>
    </row>
    <row r="6642" customHeight="1" spans="8:8">
      <c r="H6642" s="39" t="e">
        <f>VLOOKUP(E6642,基础信息!C:E,3,FALSE)</f>
        <v>#N/A</v>
      </c>
    </row>
    <row r="6643" customHeight="1" spans="8:8">
      <c r="H6643" s="39" t="e">
        <f>VLOOKUP(E6643,基础信息!C:E,3,FALSE)</f>
        <v>#N/A</v>
      </c>
    </row>
    <row r="6644" customHeight="1" spans="8:8">
      <c r="H6644" s="39" t="e">
        <f>VLOOKUP(E6644,基础信息!C:E,3,FALSE)</f>
        <v>#N/A</v>
      </c>
    </row>
    <row r="6645" customHeight="1" spans="8:8">
      <c r="H6645" s="39" t="e">
        <f>VLOOKUP(E6645,基础信息!C:E,3,FALSE)</f>
        <v>#N/A</v>
      </c>
    </row>
    <row r="6646" customHeight="1" spans="8:8">
      <c r="H6646" s="39" t="e">
        <f>VLOOKUP(E6646,基础信息!C:E,3,FALSE)</f>
        <v>#N/A</v>
      </c>
    </row>
    <row r="6647" customHeight="1" spans="8:8">
      <c r="H6647" s="39" t="e">
        <f>VLOOKUP(E6647,基础信息!C:E,3,FALSE)</f>
        <v>#N/A</v>
      </c>
    </row>
    <row r="6648" customHeight="1" spans="8:8">
      <c r="H6648" s="39" t="e">
        <f>VLOOKUP(E6648,基础信息!C:E,3,FALSE)</f>
        <v>#N/A</v>
      </c>
    </row>
    <row r="6649" customHeight="1" spans="8:8">
      <c r="H6649" s="39" t="e">
        <f>VLOOKUP(E6649,基础信息!C:E,3,FALSE)</f>
        <v>#N/A</v>
      </c>
    </row>
    <row r="6650" customHeight="1" spans="8:8">
      <c r="H6650" s="39" t="e">
        <f>VLOOKUP(E6650,基础信息!C:E,3,FALSE)</f>
        <v>#N/A</v>
      </c>
    </row>
    <row r="6651" customHeight="1" spans="8:8">
      <c r="H6651" s="39" t="e">
        <f>VLOOKUP(E6651,基础信息!C:E,3,FALSE)</f>
        <v>#N/A</v>
      </c>
    </row>
    <row r="6652" customHeight="1" spans="8:8">
      <c r="H6652" s="39" t="e">
        <f>VLOOKUP(E6652,基础信息!C:E,3,FALSE)</f>
        <v>#N/A</v>
      </c>
    </row>
    <row r="6653" customHeight="1" spans="8:8">
      <c r="H6653" s="39" t="e">
        <f>VLOOKUP(E6653,基础信息!C:E,3,FALSE)</f>
        <v>#N/A</v>
      </c>
    </row>
    <row r="6654" customHeight="1" spans="8:8">
      <c r="H6654" s="39" t="e">
        <f>VLOOKUP(E6654,基础信息!C:E,3,FALSE)</f>
        <v>#N/A</v>
      </c>
    </row>
    <row r="6655" customHeight="1" spans="8:8">
      <c r="H6655" s="39" t="e">
        <f>VLOOKUP(E6655,基础信息!C:E,3,FALSE)</f>
        <v>#N/A</v>
      </c>
    </row>
    <row r="6656" customHeight="1" spans="8:8">
      <c r="H6656" s="39" t="e">
        <f>VLOOKUP(E6656,基础信息!C:E,3,FALSE)</f>
        <v>#N/A</v>
      </c>
    </row>
    <row r="6657" customHeight="1" spans="8:8">
      <c r="H6657" s="39" t="e">
        <f>VLOOKUP(E6657,基础信息!C:E,3,FALSE)</f>
        <v>#N/A</v>
      </c>
    </row>
    <row r="6658" customHeight="1" spans="8:8">
      <c r="H6658" s="39" t="e">
        <f>VLOOKUP(E6658,基础信息!C:E,3,FALSE)</f>
        <v>#N/A</v>
      </c>
    </row>
    <row r="6659" customHeight="1" spans="8:8">
      <c r="H6659" s="39" t="e">
        <f>VLOOKUP(E6659,基础信息!C:E,3,FALSE)</f>
        <v>#N/A</v>
      </c>
    </row>
    <row r="6660" customHeight="1" spans="8:8">
      <c r="H6660" s="39" t="e">
        <f>VLOOKUP(E6660,基础信息!C:E,3,FALSE)</f>
        <v>#N/A</v>
      </c>
    </row>
    <row r="6661" customHeight="1" spans="8:8">
      <c r="H6661" s="39" t="e">
        <f>VLOOKUP(E6661,基础信息!C:E,3,FALSE)</f>
        <v>#N/A</v>
      </c>
    </row>
    <row r="6662" customHeight="1" spans="8:8">
      <c r="H6662" s="39" t="e">
        <f>VLOOKUP(E6662,基础信息!C:E,3,FALSE)</f>
        <v>#N/A</v>
      </c>
    </row>
    <row r="6663" customHeight="1" spans="8:8">
      <c r="H6663" s="39" t="e">
        <f>VLOOKUP(E6663,基础信息!C:E,3,FALSE)</f>
        <v>#N/A</v>
      </c>
    </row>
    <row r="6664" customHeight="1" spans="8:8">
      <c r="H6664" s="39" t="e">
        <f>VLOOKUP(E6664,基础信息!C:E,3,FALSE)</f>
        <v>#N/A</v>
      </c>
    </row>
    <row r="6665" customHeight="1" spans="8:8">
      <c r="H6665" s="39" t="e">
        <f>VLOOKUP(E6665,基础信息!C:E,3,FALSE)</f>
        <v>#N/A</v>
      </c>
    </row>
    <row r="6666" customHeight="1" spans="8:8">
      <c r="H6666" s="39" t="e">
        <f>VLOOKUP(E6666,基础信息!C:E,3,FALSE)</f>
        <v>#N/A</v>
      </c>
    </row>
    <row r="6667" customHeight="1" spans="8:8">
      <c r="H6667" s="39" t="e">
        <f>VLOOKUP(E6667,基础信息!C:E,3,FALSE)</f>
        <v>#N/A</v>
      </c>
    </row>
    <row r="6668" customHeight="1" spans="8:8">
      <c r="H6668" s="39" t="e">
        <f>VLOOKUP(E6668,基础信息!C:E,3,FALSE)</f>
        <v>#N/A</v>
      </c>
    </row>
    <row r="6669" customHeight="1" spans="8:8">
      <c r="H6669" s="39" t="e">
        <f>VLOOKUP(E6669,基础信息!C:E,3,FALSE)</f>
        <v>#N/A</v>
      </c>
    </row>
    <row r="6670" customHeight="1" spans="8:8">
      <c r="H6670" s="39" t="e">
        <f>VLOOKUP(E6670,基础信息!C:E,3,FALSE)</f>
        <v>#N/A</v>
      </c>
    </row>
    <row r="6671" customHeight="1" spans="8:8">
      <c r="H6671" s="39" t="e">
        <f>VLOOKUP(E6671,基础信息!C:E,3,FALSE)</f>
        <v>#N/A</v>
      </c>
    </row>
    <row r="6672" customHeight="1" spans="8:8">
      <c r="H6672" s="39" t="e">
        <f>VLOOKUP(E6672,基础信息!C:E,3,FALSE)</f>
        <v>#N/A</v>
      </c>
    </row>
    <row r="6673" customHeight="1" spans="8:8">
      <c r="H6673" s="39" t="e">
        <f>VLOOKUP(E6673,基础信息!C:E,3,FALSE)</f>
        <v>#N/A</v>
      </c>
    </row>
    <row r="6674" customHeight="1" spans="8:8">
      <c r="H6674" s="39" t="e">
        <f>VLOOKUP(E6674,基础信息!C:E,3,FALSE)</f>
        <v>#N/A</v>
      </c>
    </row>
    <row r="6675" customHeight="1" spans="8:8">
      <c r="H6675" s="39" t="e">
        <f>VLOOKUP(E6675,基础信息!C:E,3,FALSE)</f>
        <v>#N/A</v>
      </c>
    </row>
    <row r="6676" customHeight="1" spans="8:8">
      <c r="H6676" s="39" t="e">
        <f>VLOOKUP(E6676,基础信息!C:E,3,FALSE)</f>
        <v>#N/A</v>
      </c>
    </row>
    <row r="6677" customHeight="1" spans="8:8">
      <c r="H6677" s="39" t="e">
        <f>VLOOKUP(E6677,基础信息!C:E,3,FALSE)</f>
        <v>#N/A</v>
      </c>
    </row>
    <row r="6678" customHeight="1" spans="8:8">
      <c r="H6678" s="39" t="e">
        <f>VLOOKUP(E6678,基础信息!C:E,3,FALSE)</f>
        <v>#N/A</v>
      </c>
    </row>
    <row r="6679" customHeight="1" spans="8:8">
      <c r="H6679" s="39" t="e">
        <f>VLOOKUP(E6679,基础信息!C:E,3,FALSE)</f>
        <v>#N/A</v>
      </c>
    </row>
    <row r="6680" customHeight="1" spans="8:8">
      <c r="H6680" s="39" t="e">
        <f>VLOOKUP(E6680,基础信息!C:E,3,FALSE)</f>
        <v>#N/A</v>
      </c>
    </row>
    <row r="6681" customHeight="1" spans="8:8">
      <c r="H6681" s="39" t="e">
        <f>VLOOKUP(E6681,基础信息!C:E,3,FALSE)</f>
        <v>#N/A</v>
      </c>
    </row>
    <row r="6682" customHeight="1" spans="8:8">
      <c r="H6682" s="39" t="e">
        <f>VLOOKUP(E6682,基础信息!C:E,3,FALSE)</f>
        <v>#N/A</v>
      </c>
    </row>
    <row r="6683" customHeight="1" spans="8:8">
      <c r="H6683" s="39" t="e">
        <f>VLOOKUP(E6683,基础信息!C:E,3,FALSE)</f>
        <v>#N/A</v>
      </c>
    </row>
    <row r="6684" customHeight="1" spans="8:8">
      <c r="H6684" s="39" t="e">
        <f>VLOOKUP(E6684,基础信息!C:E,3,FALSE)</f>
        <v>#N/A</v>
      </c>
    </row>
    <row r="6685" customHeight="1" spans="8:8">
      <c r="H6685" s="39" t="e">
        <f>VLOOKUP(E6685,基础信息!C:E,3,FALSE)</f>
        <v>#N/A</v>
      </c>
    </row>
    <row r="6686" customHeight="1" spans="8:8">
      <c r="H6686" s="39" t="e">
        <f>VLOOKUP(E6686,基础信息!C:E,3,FALSE)</f>
        <v>#N/A</v>
      </c>
    </row>
    <row r="6687" customHeight="1" spans="8:8">
      <c r="H6687" s="39" t="e">
        <f>VLOOKUP(E6687,基础信息!C:E,3,FALSE)</f>
        <v>#N/A</v>
      </c>
    </row>
    <row r="6688" customHeight="1" spans="8:8">
      <c r="H6688" s="39" t="e">
        <f>VLOOKUP(E6688,基础信息!C:E,3,FALSE)</f>
        <v>#N/A</v>
      </c>
    </row>
    <row r="6689" customHeight="1" spans="8:8">
      <c r="H6689" s="39" t="e">
        <f>VLOOKUP(E6689,基础信息!C:E,3,FALSE)</f>
        <v>#N/A</v>
      </c>
    </row>
    <row r="6690" customHeight="1" spans="8:8">
      <c r="H6690" s="39" t="e">
        <f>VLOOKUP(E6690,基础信息!C:E,3,FALSE)</f>
        <v>#N/A</v>
      </c>
    </row>
    <row r="6691" customHeight="1" spans="8:8">
      <c r="H6691" s="39" t="e">
        <f>VLOOKUP(E6691,基础信息!C:E,3,FALSE)</f>
        <v>#N/A</v>
      </c>
    </row>
    <row r="6692" customHeight="1" spans="8:8">
      <c r="H6692" s="39" t="e">
        <f>VLOOKUP(E6692,基础信息!C:E,3,FALSE)</f>
        <v>#N/A</v>
      </c>
    </row>
    <row r="6693" customHeight="1" spans="8:8">
      <c r="H6693" s="39" t="e">
        <f>VLOOKUP(E6693,基础信息!C:E,3,FALSE)</f>
        <v>#N/A</v>
      </c>
    </row>
    <row r="6694" customHeight="1" spans="8:8">
      <c r="H6694" s="39" t="e">
        <f>VLOOKUP(E6694,基础信息!C:E,3,FALSE)</f>
        <v>#N/A</v>
      </c>
    </row>
    <row r="6695" customHeight="1" spans="8:8">
      <c r="H6695" s="39" t="e">
        <f>VLOOKUP(E6695,基础信息!C:E,3,FALSE)</f>
        <v>#N/A</v>
      </c>
    </row>
    <row r="6696" customHeight="1" spans="8:8">
      <c r="H6696" s="39" t="e">
        <f>VLOOKUP(E6696,基础信息!C:E,3,FALSE)</f>
        <v>#N/A</v>
      </c>
    </row>
    <row r="6697" customHeight="1" spans="8:8">
      <c r="H6697" s="39" t="e">
        <f>VLOOKUP(E6697,基础信息!C:E,3,FALSE)</f>
        <v>#N/A</v>
      </c>
    </row>
    <row r="6698" customHeight="1" spans="8:8">
      <c r="H6698" s="39" t="e">
        <f>VLOOKUP(E6698,基础信息!C:E,3,FALSE)</f>
        <v>#N/A</v>
      </c>
    </row>
    <row r="6699" customHeight="1" spans="8:8">
      <c r="H6699" s="39" t="e">
        <f>VLOOKUP(E6699,基础信息!C:E,3,FALSE)</f>
        <v>#N/A</v>
      </c>
    </row>
    <row r="6700" customHeight="1" spans="8:8">
      <c r="H6700" s="39" t="e">
        <f>VLOOKUP(E6700,基础信息!C:E,3,FALSE)</f>
        <v>#N/A</v>
      </c>
    </row>
    <row r="6701" customHeight="1" spans="8:8">
      <c r="H6701" s="39" t="e">
        <f>VLOOKUP(E6701,基础信息!C:E,3,FALSE)</f>
        <v>#N/A</v>
      </c>
    </row>
    <row r="6702" customHeight="1" spans="8:8">
      <c r="H6702" s="39" t="e">
        <f>VLOOKUP(E6702,基础信息!C:E,3,FALSE)</f>
        <v>#N/A</v>
      </c>
    </row>
    <row r="6703" customHeight="1" spans="8:8">
      <c r="H6703" s="39" t="e">
        <f>VLOOKUP(E6703,基础信息!C:E,3,FALSE)</f>
        <v>#N/A</v>
      </c>
    </row>
    <row r="6704" customHeight="1" spans="8:8">
      <c r="H6704" s="39" t="e">
        <f>VLOOKUP(E6704,基础信息!C:E,3,FALSE)</f>
        <v>#N/A</v>
      </c>
    </row>
    <row r="6705" customHeight="1" spans="8:8">
      <c r="H6705" s="39" t="e">
        <f>VLOOKUP(E6705,基础信息!C:E,3,FALSE)</f>
        <v>#N/A</v>
      </c>
    </row>
    <row r="6706" customHeight="1" spans="8:8">
      <c r="H6706" s="39" t="e">
        <f>VLOOKUP(E6706,基础信息!C:E,3,FALSE)</f>
        <v>#N/A</v>
      </c>
    </row>
    <row r="6707" customHeight="1" spans="8:8">
      <c r="H6707" s="39" t="e">
        <f>VLOOKUP(E6707,基础信息!C:E,3,FALSE)</f>
        <v>#N/A</v>
      </c>
    </row>
    <row r="6708" customHeight="1" spans="8:8">
      <c r="H6708" s="39" t="e">
        <f>VLOOKUP(E6708,基础信息!C:E,3,FALSE)</f>
        <v>#N/A</v>
      </c>
    </row>
    <row r="6709" customHeight="1" spans="8:8">
      <c r="H6709" s="39" t="e">
        <f>VLOOKUP(E6709,基础信息!C:E,3,FALSE)</f>
        <v>#N/A</v>
      </c>
    </row>
    <row r="6710" customHeight="1" spans="8:8">
      <c r="H6710" s="39" t="e">
        <f>VLOOKUP(E6710,基础信息!C:E,3,FALSE)</f>
        <v>#N/A</v>
      </c>
    </row>
    <row r="6711" customHeight="1" spans="8:8">
      <c r="H6711" s="39" t="e">
        <f>VLOOKUP(E6711,基础信息!C:E,3,FALSE)</f>
        <v>#N/A</v>
      </c>
    </row>
    <row r="6712" customHeight="1" spans="8:8">
      <c r="H6712" s="39" t="e">
        <f>VLOOKUP(E6712,基础信息!C:E,3,FALSE)</f>
        <v>#N/A</v>
      </c>
    </row>
    <row r="6713" customHeight="1" spans="8:8">
      <c r="H6713" s="39" t="e">
        <f>VLOOKUP(E6713,基础信息!C:E,3,FALSE)</f>
        <v>#N/A</v>
      </c>
    </row>
    <row r="6714" customHeight="1" spans="8:8">
      <c r="H6714" s="39" t="e">
        <f>VLOOKUP(E6714,基础信息!C:E,3,FALSE)</f>
        <v>#N/A</v>
      </c>
    </row>
    <row r="6715" customHeight="1" spans="8:8">
      <c r="H6715" s="39" t="e">
        <f>VLOOKUP(E6715,基础信息!C:E,3,FALSE)</f>
        <v>#N/A</v>
      </c>
    </row>
    <row r="6716" customHeight="1" spans="8:8">
      <c r="H6716" s="39" t="e">
        <f>VLOOKUP(E6716,基础信息!C:E,3,FALSE)</f>
        <v>#N/A</v>
      </c>
    </row>
    <row r="6717" customHeight="1" spans="8:8">
      <c r="H6717" s="39" t="e">
        <f>VLOOKUP(E6717,基础信息!C:E,3,FALSE)</f>
        <v>#N/A</v>
      </c>
    </row>
    <row r="6718" customHeight="1" spans="8:8">
      <c r="H6718" s="39" t="e">
        <f>VLOOKUP(E6718,基础信息!C:E,3,FALSE)</f>
        <v>#N/A</v>
      </c>
    </row>
    <row r="6719" customHeight="1" spans="8:8">
      <c r="H6719" s="39" t="e">
        <f>VLOOKUP(E6719,基础信息!C:E,3,FALSE)</f>
        <v>#N/A</v>
      </c>
    </row>
    <row r="6720" customHeight="1" spans="8:8">
      <c r="H6720" s="39" t="e">
        <f>VLOOKUP(E6720,基础信息!C:E,3,FALSE)</f>
        <v>#N/A</v>
      </c>
    </row>
    <row r="6721" customHeight="1" spans="8:8">
      <c r="H6721" s="39" t="e">
        <f>VLOOKUP(E6721,基础信息!C:E,3,FALSE)</f>
        <v>#N/A</v>
      </c>
    </row>
    <row r="6722" customHeight="1" spans="8:8">
      <c r="H6722" s="39" t="e">
        <f>VLOOKUP(E6722,基础信息!C:E,3,FALSE)</f>
        <v>#N/A</v>
      </c>
    </row>
    <row r="6723" customHeight="1" spans="8:8">
      <c r="H6723" s="39" t="e">
        <f>VLOOKUP(E6723,基础信息!C:E,3,FALSE)</f>
        <v>#N/A</v>
      </c>
    </row>
    <row r="6724" customHeight="1" spans="8:8">
      <c r="H6724" s="39" t="e">
        <f>VLOOKUP(E6724,基础信息!C:E,3,FALSE)</f>
        <v>#N/A</v>
      </c>
    </row>
    <row r="6725" customHeight="1" spans="8:8">
      <c r="H6725" s="39" t="e">
        <f>VLOOKUP(E6725,基础信息!C:E,3,FALSE)</f>
        <v>#N/A</v>
      </c>
    </row>
    <row r="6726" customHeight="1" spans="8:8">
      <c r="H6726" s="39" t="e">
        <f>VLOOKUP(E6726,基础信息!C:E,3,FALSE)</f>
        <v>#N/A</v>
      </c>
    </row>
    <row r="6727" customHeight="1" spans="8:8">
      <c r="H6727" s="39" t="e">
        <f>VLOOKUP(E6727,基础信息!C:E,3,FALSE)</f>
        <v>#N/A</v>
      </c>
    </row>
    <row r="6728" customHeight="1" spans="8:8">
      <c r="H6728" s="39" t="e">
        <f>VLOOKUP(E6728,基础信息!C:E,3,FALSE)</f>
        <v>#N/A</v>
      </c>
    </row>
    <row r="6729" customHeight="1" spans="8:8">
      <c r="H6729" s="39" t="e">
        <f>VLOOKUP(E6729,基础信息!C:E,3,FALSE)</f>
        <v>#N/A</v>
      </c>
    </row>
    <row r="6730" customHeight="1" spans="8:8">
      <c r="H6730" s="39" t="e">
        <f>VLOOKUP(E6730,基础信息!C:E,3,FALSE)</f>
        <v>#N/A</v>
      </c>
    </row>
    <row r="6731" customHeight="1" spans="8:8">
      <c r="H6731" s="39" t="e">
        <f>VLOOKUP(E6731,基础信息!C:E,3,FALSE)</f>
        <v>#N/A</v>
      </c>
    </row>
    <row r="6732" customHeight="1" spans="8:8">
      <c r="H6732" s="39" t="e">
        <f>VLOOKUP(E6732,基础信息!C:E,3,FALSE)</f>
        <v>#N/A</v>
      </c>
    </row>
    <row r="6733" customHeight="1" spans="8:8">
      <c r="H6733" s="39" t="e">
        <f>VLOOKUP(E6733,基础信息!C:E,3,FALSE)</f>
        <v>#N/A</v>
      </c>
    </row>
    <row r="6734" customHeight="1" spans="8:8">
      <c r="H6734" s="39" t="e">
        <f>VLOOKUP(E6734,基础信息!C:E,3,FALSE)</f>
        <v>#N/A</v>
      </c>
    </row>
    <row r="6735" customHeight="1" spans="8:8">
      <c r="H6735" s="39" t="e">
        <f>VLOOKUP(E6735,基础信息!C:E,3,FALSE)</f>
        <v>#N/A</v>
      </c>
    </row>
    <row r="6736" customHeight="1" spans="8:8">
      <c r="H6736" s="39" t="e">
        <f>VLOOKUP(E6736,基础信息!C:E,3,FALSE)</f>
        <v>#N/A</v>
      </c>
    </row>
    <row r="6737" customHeight="1" spans="8:8">
      <c r="H6737" s="39" t="e">
        <f>VLOOKUP(E6737,基础信息!C:E,3,FALSE)</f>
        <v>#N/A</v>
      </c>
    </row>
    <row r="6738" customHeight="1" spans="8:8">
      <c r="H6738" s="39" t="e">
        <f>VLOOKUP(E6738,基础信息!C:E,3,FALSE)</f>
        <v>#N/A</v>
      </c>
    </row>
    <row r="6739" customHeight="1" spans="8:8">
      <c r="H6739" s="39" t="e">
        <f>VLOOKUP(E6739,基础信息!C:E,3,FALSE)</f>
        <v>#N/A</v>
      </c>
    </row>
    <row r="6740" customHeight="1" spans="8:8">
      <c r="H6740" s="39" t="e">
        <f>VLOOKUP(E6740,基础信息!C:E,3,FALSE)</f>
        <v>#N/A</v>
      </c>
    </row>
    <row r="6741" customHeight="1" spans="8:8">
      <c r="H6741" s="39" t="e">
        <f>VLOOKUP(E6741,基础信息!C:E,3,FALSE)</f>
        <v>#N/A</v>
      </c>
    </row>
    <row r="6742" customHeight="1" spans="8:8">
      <c r="H6742" s="39" t="e">
        <f>VLOOKUP(E6742,基础信息!C:E,3,FALSE)</f>
        <v>#N/A</v>
      </c>
    </row>
    <row r="6743" customHeight="1" spans="8:8">
      <c r="H6743" s="39" t="e">
        <f>VLOOKUP(E6743,基础信息!C:E,3,FALSE)</f>
        <v>#N/A</v>
      </c>
    </row>
    <row r="6744" customHeight="1" spans="8:8">
      <c r="H6744" s="39" t="e">
        <f>VLOOKUP(E6744,基础信息!C:E,3,FALSE)</f>
        <v>#N/A</v>
      </c>
    </row>
    <row r="6745" customHeight="1" spans="8:8">
      <c r="H6745" s="39" t="e">
        <f>VLOOKUP(E6745,基础信息!C:E,3,FALSE)</f>
        <v>#N/A</v>
      </c>
    </row>
    <row r="6746" customHeight="1" spans="8:8">
      <c r="H6746" s="39" t="e">
        <f>VLOOKUP(E6746,基础信息!C:E,3,FALSE)</f>
        <v>#N/A</v>
      </c>
    </row>
    <row r="6747" customHeight="1" spans="8:8">
      <c r="H6747" s="39" t="e">
        <f>VLOOKUP(E6747,基础信息!C:E,3,FALSE)</f>
        <v>#N/A</v>
      </c>
    </row>
    <row r="6748" customHeight="1" spans="8:8">
      <c r="H6748" s="39" t="e">
        <f>VLOOKUP(E6748,基础信息!C:E,3,FALSE)</f>
        <v>#N/A</v>
      </c>
    </row>
    <row r="6749" customHeight="1" spans="8:8">
      <c r="H6749" s="39" t="e">
        <f>VLOOKUP(E6749,基础信息!C:E,3,FALSE)</f>
        <v>#N/A</v>
      </c>
    </row>
    <row r="6750" customHeight="1" spans="8:8">
      <c r="H6750" s="39" t="e">
        <f>VLOOKUP(E6750,基础信息!C:E,3,FALSE)</f>
        <v>#N/A</v>
      </c>
    </row>
    <row r="6751" customHeight="1" spans="8:8">
      <c r="H6751" s="39" t="e">
        <f>VLOOKUP(E6751,基础信息!C:E,3,FALSE)</f>
        <v>#N/A</v>
      </c>
    </row>
    <row r="6752" customHeight="1" spans="8:8">
      <c r="H6752" s="39" t="e">
        <f>VLOOKUP(E6752,基础信息!C:E,3,FALSE)</f>
        <v>#N/A</v>
      </c>
    </row>
    <row r="6753" customHeight="1" spans="8:8">
      <c r="H6753" s="39" t="e">
        <f>VLOOKUP(E6753,基础信息!C:E,3,FALSE)</f>
        <v>#N/A</v>
      </c>
    </row>
    <row r="6754" customHeight="1" spans="8:8">
      <c r="H6754" s="39" t="e">
        <f>VLOOKUP(E6754,基础信息!C:E,3,FALSE)</f>
        <v>#N/A</v>
      </c>
    </row>
    <row r="6755" customHeight="1" spans="8:8">
      <c r="H6755" s="39" t="e">
        <f>VLOOKUP(E6755,基础信息!C:E,3,FALSE)</f>
        <v>#N/A</v>
      </c>
    </row>
    <row r="6756" customHeight="1" spans="8:8">
      <c r="H6756" s="39" t="e">
        <f>VLOOKUP(E6756,基础信息!C:E,3,FALSE)</f>
        <v>#N/A</v>
      </c>
    </row>
    <row r="6757" customHeight="1" spans="8:8">
      <c r="H6757" s="39" t="e">
        <f>VLOOKUP(E6757,基础信息!C:E,3,FALSE)</f>
        <v>#N/A</v>
      </c>
    </row>
    <row r="6758" customHeight="1" spans="8:8">
      <c r="H6758" s="39" t="e">
        <f>VLOOKUP(E6758,基础信息!C:E,3,FALSE)</f>
        <v>#N/A</v>
      </c>
    </row>
    <row r="6759" customHeight="1" spans="8:8">
      <c r="H6759" s="39" t="e">
        <f>VLOOKUP(E6759,基础信息!C:E,3,FALSE)</f>
        <v>#N/A</v>
      </c>
    </row>
    <row r="6760" customHeight="1" spans="8:8">
      <c r="H6760" s="39" t="e">
        <f>VLOOKUP(E6760,基础信息!C:E,3,FALSE)</f>
        <v>#N/A</v>
      </c>
    </row>
    <row r="6761" customHeight="1" spans="8:8">
      <c r="H6761" s="39" t="e">
        <f>VLOOKUP(E6761,基础信息!C:E,3,FALSE)</f>
        <v>#N/A</v>
      </c>
    </row>
    <row r="6762" customHeight="1" spans="8:8">
      <c r="H6762" s="39" t="e">
        <f>VLOOKUP(E6762,基础信息!C:E,3,FALSE)</f>
        <v>#N/A</v>
      </c>
    </row>
    <row r="6763" customHeight="1" spans="8:8">
      <c r="H6763" s="39" t="e">
        <f>VLOOKUP(E6763,基础信息!C:E,3,FALSE)</f>
        <v>#N/A</v>
      </c>
    </row>
    <row r="6764" customHeight="1" spans="8:8">
      <c r="H6764" s="39" t="e">
        <f>VLOOKUP(E6764,基础信息!C:E,3,FALSE)</f>
        <v>#N/A</v>
      </c>
    </row>
    <row r="6765" customHeight="1" spans="8:8">
      <c r="H6765" s="39" t="e">
        <f>VLOOKUP(E6765,基础信息!C:E,3,FALSE)</f>
        <v>#N/A</v>
      </c>
    </row>
    <row r="6766" customHeight="1" spans="8:8">
      <c r="H6766" s="39" t="e">
        <f>VLOOKUP(E6766,基础信息!C:E,3,FALSE)</f>
        <v>#N/A</v>
      </c>
    </row>
    <row r="6767" customHeight="1" spans="8:8">
      <c r="H6767" s="39" t="e">
        <f>VLOOKUP(E6767,基础信息!C:E,3,FALSE)</f>
        <v>#N/A</v>
      </c>
    </row>
    <row r="6768" customHeight="1" spans="8:8">
      <c r="H6768" s="39" t="e">
        <f>VLOOKUP(E6768,基础信息!C:E,3,FALSE)</f>
        <v>#N/A</v>
      </c>
    </row>
    <row r="6769" customHeight="1" spans="8:8">
      <c r="H6769" s="39" t="e">
        <f>VLOOKUP(E6769,基础信息!C:E,3,FALSE)</f>
        <v>#N/A</v>
      </c>
    </row>
    <row r="6770" customHeight="1" spans="8:8">
      <c r="H6770" s="39" t="e">
        <f>VLOOKUP(E6770,基础信息!C:E,3,FALSE)</f>
        <v>#N/A</v>
      </c>
    </row>
    <row r="6771" customHeight="1" spans="8:8">
      <c r="H6771" s="39" t="e">
        <f>VLOOKUP(E6771,基础信息!C:E,3,FALSE)</f>
        <v>#N/A</v>
      </c>
    </row>
    <row r="6772" customHeight="1" spans="8:8">
      <c r="H6772" s="39" t="e">
        <f>VLOOKUP(E6772,基础信息!C:E,3,FALSE)</f>
        <v>#N/A</v>
      </c>
    </row>
    <row r="6773" customHeight="1" spans="8:8">
      <c r="H6773" s="39" t="e">
        <f>VLOOKUP(E6773,基础信息!C:E,3,FALSE)</f>
        <v>#N/A</v>
      </c>
    </row>
    <row r="6774" customHeight="1" spans="8:8">
      <c r="H6774" s="39" t="e">
        <f>VLOOKUP(E6774,基础信息!C:E,3,FALSE)</f>
        <v>#N/A</v>
      </c>
    </row>
    <row r="6775" customHeight="1" spans="8:8">
      <c r="H6775" s="39" t="e">
        <f>VLOOKUP(E6775,基础信息!C:E,3,FALSE)</f>
        <v>#N/A</v>
      </c>
    </row>
    <row r="6776" customHeight="1" spans="8:8">
      <c r="H6776" s="39" t="e">
        <f>VLOOKUP(E6776,基础信息!C:E,3,FALSE)</f>
        <v>#N/A</v>
      </c>
    </row>
    <row r="6777" customHeight="1" spans="8:8">
      <c r="H6777" s="39" t="e">
        <f>VLOOKUP(E6777,基础信息!C:E,3,FALSE)</f>
        <v>#N/A</v>
      </c>
    </row>
    <row r="6778" customHeight="1" spans="8:8">
      <c r="H6778" s="39" t="e">
        <f>VLOOKUP(E6778,基础信息!C:E,3,FALSE)</f>
        <v>#N/A</v>
      </c>
    </row>
    <row r="6779" customHeight="1" spans="8:8">
      <c r="H6779" s="39" t="e">
        <f>VLOOKUP(E6779,基础信息!C:E,3,FALSE)</f>
        <v>#N/A</v>
      </c>
    </row>
    <row r="6780" customHeight="1" spans="8:8">
      <c r="H6780" s="39" t="e">
        <f>VLOOKUP(E6780,基础信息!C:E,3,FALSE)</f>
        <v>#N/A</v>
      </c>
    </row>
    <row r="6781" customHeight="1" spans="8:8">
      <c r="H6781" s="39" t="e">
        <f>VLOOKUP(E6781,基础信息!C:E,3,FALSE)</f>
        <v>#N/A</v>
      </c>
    </row>
    <row r="6782" customHeight="1" spans="8:8">
      <c r="H6782" s="39" t="e">
        <f>VLOOKUP(E6782,基础信息!C:E,3,FALSE)</f>
        <v>#N/A</v>
      </c>
    </row>
    <row r="6783" customHeight="1" spans="8:8">
      <c r="H6783" s="39" t="e">
        <f>VLOOKUP(E6783,基础信息!C:E,3,FALSE)</f>
        <v>#N/A</v>
      </c>
    </row>
    <row r="6784" customHeight="1" spans="8:8">
      <c r="H6784" s="39" t="e">
        <f>VLOOKUP(E6784,基础信息!C:E,3,FALSE)</f>
        <v>#N/A</v>
      </c>
    </row>
    <row r="6785" customHeight="1" spans="8:8">
      <c r="H6785" s="39" t="e">
        <f>VLOOKUP(E6785,基础信息!C:E,3,FALSE)</f>
        <v>#N/A</v>
      </c>
    </row>
    <row r="6786" customHeight="1" spans="8:8">
      <c r="H6786" s="39" t="e">
        <f>VLOOKUP(E6786,基础信息!C:E,3,FALSE)</f>
        <v>#N/A</v>
      </c>
    </row>
    <row r="6787" customHeight="1" spans="8:8">
      <c r="H6787" s="39" t="e">
        <f>VLOOKUP(E6787,基础信息!C:E,3,FALSE)</f>
        <v>#N/A</v>
      </c>
    </row>
    <row r="6788" customHeight="1" spans="8:8">
      <c r="H6788" s="39" t="e">
        <f>VLOOKUP(E6788,基础信息!C:E,3,FALSE)</f>
        <v>#N/A</v>
      </c>
    </row>
    <row r="6789" customHeight="1" spans="8:8">
      <c r="H6789" s="39" t="e">
        <f>VLOOKUP(E6789,基础信息!C:E,3,FALSE)</f>
        <v>#N/A</v>
      </c>
    </row>
    <row r="6790" customHeight="1" spans="8:8">
      <c r="H6790" s="39" t="e">
        <f>VLOOKUP(E6790,基础信息!C:E,3,FALSE)</f>
        <v>#N/A</v>
      </c>
    </row>
    <row r="6791" customHeight="1" spans="8:8">
      <c r="H6791" s="39" t="e">
        <f>VLOOKUP(E6791,基础信息!C:E,3,FALSE)</f>
        <v>#N/A</v>
      </c>
    </row>
    <row r="6792" customHeight="1" spans="8:8">
      <c r="H6792" s="39" t="e">
        <f>VLOOKUP(E6792,基础信息!C:E,3,FALSE)</f>
        <v>#N/A</v>
      </c>
    </row>
    <row r="6793" customHeight="1" spans="8:8">
      <c r="H6793" s="39" t="e">
        <f>VLOOKUP(E6793,基础信息!C:E,3,FALSE)</f>
        <v>#N/A</v>
      </c>
    </row>
    <row r="6794" customHeight="1" spans="8:8">
      <c r="H6794" s="39" t="e">
        <f>VLOOKUP(E6794,基础信息!C:E,3,FALSE)</f>
        <v>#N/A</v>
      </c>
    </row>
    <row r="6795" customHeight="1" spans="8:8">
      <c r="H6795" s="39" t="e">
        <f>VLOOKUP(E6795,基础信息!C:E,3,FALSE)</f>
        <v>#N/A</v>
      </c>
    </row>
    <row r="6796" customHeight="1" spans="8:8">
      <c r="H6796" s="39" t="e">
        <f>VLOOKUP(E6796,基础信息!C:E,3,FALSE)</f>
        <v>#N/A</v>
      </c>
    </row>
    <row r="6797" customHeight="1" spans="8:8">
      <c r="H6797" s="39" t="e">
        <f>VLOOKUP(E6797,基础信息!C:E,3,FALSE)</f>
        <v>#N/A</v>
      </c>
    </row>
    <row r="6798" customHeight="1" spans="8:8">
      <c r="H6798" s="39" t="e">
        <f>VLOOKUP(E6798,基础信息!C:E,3,FALSE)</f>
        <v>#N/A</v>
      </c>
    </row>
    <row r="6799" customHeight="1" spans="8:8">
      <c r="H6799" s="39" t="e">
        <f>VLOOKUP(E6799,基础信息!C:E,3,FALSE)</f>
        <v>#N/A</v>
      </c>
    </row>
    <row r="6800" customHeight="1" spans="8:8">
      <c r="H6800" s="39" t="e">
        <f>VLOOKUP(E6800,基础信息!C:E,3,FALSE)</f>
        <v>#N/A</v>
      </c>
    </row>
    <row r="6801" customHeight="1" spans="8:8">
      <c r="H6801" s="39" t="e">
        <f>VLOOKUP(E6801,基础信息!C:E,3,FALSE)</f>
        <v>#N/A</v>
      </c>
    </row>
    <row r="6802" customHeight="1" spans="8:8">
      <c r="H6802" s="39" t="e">
        <f>VLOOKUP(E6802,基础信息!C:E,3,FALSE)</f>
        <v>#N/A</v>
      </c>
    </row>
    <row r="6803" customHeight="1" spans="8:8">
      <c r="H6803" s="39" t="e">
        <f>VLOOKUP(E6803,基础信息!C:E,3,FALSE)</f>
        <v>#N/A</v>
      </c>
    </row>
    <row r="6804" customHeight="1" spans="8:8">
      <c r="H6804" s="39" t="e">
        <f>VLOOKUP(E6804,基础信息!C:E,3,FALSE)</f>
        <v>#N/A</v>
      </c>
    </row>
    <row r="6805" customHeight="1" spans="8:8">
      <c r="H6805" s="39" t="e">
        <f>VLOOKUP(E6805,基础信息!C:E,3,FALSE)</f>
        <v>#N/A</v>
      </c>
    </row>
    <row r="6806" customHeight="1" spans="8:8">
      <c r="H6806" s="39" t="e">
        <f>VLOOKUP(E6806,基础信息!C:E,3,FALSE)</f>
        <v>#N/A</v>
      </c>
    </row>
    <row r="6807" customHeight="1" spans="8:8">
      <c r="H6807" s="39" t="e">
        <f>VLOOKUP(E6807,基础信息!C:E,3,FALSE)</f>
        <v>#N/A</v>
      </c>
    </row>
    <row r="6808" customHeight="1" spans="8:8">
      <c r="H6808" s="39" t="e">
        <f>VLOOKUP(E6808,基础信息!C:E,3,FALSE)</f>
        <v>#N/A</v>
      </c>
    </row>
    <row r="6809" customHeight="1" spans="8:8">
      <c r="H6809" s="39" t="e">
        <f>VLOOKUP(E6809,基础信息!C:E,3,FALSE)</f>
        <v>#N/A</v>
      </c>
    </row>
    <row r="6810" customHeight="1" spans="8:8">
      <c r="H6810" s="39" t="e">
        <f>VLOOKUP(E6810,基础信息!C:E,3,FALSE)</f>
        <v>#N/A</v>
      </c>
    </row>
    <row r="6811" customHeight="1" spans="8:8">
      <c r="H6811" s="39" t="e">
        <f>VLOOKUP(E6811,基础信息!C:E,3,FALSE)</f>
        <v>#N/A</v>
      </c>
    </row>
    <row r="6812" customHeight="1" spans="8:8">
      <c r="H6812" s="39" t="e">
        <f>VLOOKUP(E6812,基础信息!C:E,3,FALSE)</f>
        <v>#N/A</v>
      </c>
    </row>
    <row r="6813" customHeight="1" spans="8:8">
      <c r="H6813" s="39" t="e">
        <f>VLOOKUP(E6813,基础信息!C:E,3,FALSE)</f>
        <v>#N/A</v>
      </c>
    </row>
    <row r="6814" customHeight="1" spans="8:8">
      <c r="H6814" s="39" t="e">
        <f>VLOOKUP(E6814,基础信息!C:E,3,FALSE)</f>
        <v>#N/A</v>
      </c>
    </row>
    <row r="6815" customHeight="1" spans="8:8">
      <c r="H6815" s="39" t="e">
        <f>VLOOKUP(E6815,基础信息!C:E,3,FALSE)</f>
        <v>#N/A</v>
      </c>
    </row>
    <row r="6816" customHeight="1" spans="8:8">
      <c r="H6816" s="39" t="e">
        <f>VLOOKUP(E6816,基础信息!C:E,3,FALSE)</f>
        <v>#N/A</v>
      </c>
    </row>
    <row r="6817" customHeight="1" spans="8:8">
      <c r="H6817" s="39" t="e">
        <f>VLOOKUP(E6817,基础信息!C:E,3,FALSE)</f>
        <v>#N/A</v>
      </c>
    </row>
    <row r="6818" customHeight="1" spans="8:8">
      <c r="H6818" s="39" t="e">
        <f>VLOOKUP(E6818,基础信息!C:E,3,FALSE)</f>
        <v>#N/A</v>
      </c>
    </row>
    <row r="6819" customHeight="1" spans="8:8">
      <c r="H6819" s="39" t="e">
        <f>VLOOKUP(E6819,基础信息!C:E,3,FALSE)</f>
        <v>#N/A</v>
      </c>
    </row>
    <row r="6820" customHeight="1" spans="8:8">
      <c r="H6820" s="39" t="e">
        <f>VLOOKUP(E6820,基础信息!C:E,3,FALSE)</f>
        <v>#N/A</v>
      </c>
    </row>
    <row r="6821" customHeight="1" spans="8:8">
      <c r="H6821" s="39" t="e">
        <f>VLOOKUP(E6821,基础信息!C:E,3,FALSE)</f>
        <v>#N/A</v>
      </c>
    </row>
    <row r="6822" customHeight="1" spans="8:8">
      <c r="H6822" s="39" t="e">
        <f>VLOOKUP(E6822,基础信息!C:E,3,FALSE)</f>
        <v>#N/A</v>
      </c>
    </row>
    <row r="6823" customHeight="1" spans="8:8">
      <c r="H6823" s="39" t="e">
        <f>VLOOKUP(E6823,基础信息!C:E,3,FALSE)</f>
        <v>#N/A</v>
      </c>
    </row>
    <row r="6824" customHeight="1" spans="8:8">
      <c r="H6824" s="39" t="e">
        <f>VLOOKUP(E6824,基础信息!C:E,3,FALSE)</f>
        <v>#N/A</v>
      </c>
    </row>
    <row r="6825" customHeight="1" spans="8:8">
      <c r="H6825" s="39" t="e">
        <f>VLOOKUP(E6825,基础信息!C:E,3,FALSE)</f>
        <v>#N/A</v>
      </c>
    </row>
    <row r="6826" customHeight="1" spans="8:8">
      <c r="H6826" s="39" t="e">
        <f>VLOOKUP(E6826,基础信息!C:E,3,FALSE)</f>
        <v>#N/A</v>
      </c>
    </row>
    <row r="6827" customHeight="1" spans="8:8">
      <c r="H6827" s="39" t="e">
        <f>VLOOKUP(E6827,基础信息!C:E,3,FALSE)</f>
        <v>#N/A</v>
      </c>
    </row>
    <row r="6828" customHeight="1" spans="8:8">
      <c r="H6828" s="39" t="e">
        <f>VLOOKUP(E6828,基础信息!C:E,3,FALSE)</f>
        <v>#N/A</v>
      </c>
    </row>
    <row r="6829" customHeight="1" spans="8:8">
      <c r="H6829" s="39" t="e">
        <f>VLOOKUP(E6829,基础信息!C:E,3,FALSE)</f>
        <v>#N/A</v>
      </c>
    </row>
    <row r="6830" customHeight="1" spans="8:8">
      <c r="H6830" s="39" t="e">
        <f>VLOOKUP(E6830,基础信息!C:E,3,FALSE)</f>
        <v>#N/A</v>
      </c>
    </row>
    <row r="6831" customHeight="1" spans="8:8">
      <c r="H6831" s="39" t="e">
        <f>VLOOKUP(E6831,基础信息!C:E,3,FALSE)</f>
        <v>#N/A</v>
      </c>
    </row>
    <row r="6832" customHeight="1" spans="8:8">
      <c r="H6832" s="39" t="e">
        <f>VLOOKUP(E6832,基础信息!C:E,3,FALSE)</f>
        <v>#N/A</v>
      </c>
    </row>
    <row r="6833" customHeight="1" spans="8:8">
      <c r="H6833" s="39" t="e">
        <f>VLOOKUP(E6833,基础信息!C:E,3,FALSE)</f>
        <v>#N/A</v>
      </c>
    </row>
    <row r="6834" customHeight="1" spans="8:8">
      <c r="H6834" s="39" t="e">
        <f>VLOOKUP(E6834,基础信息!C:E,3,FALSE)</f>
        <v>#N/A</v>
      </c>
    </row>
    <row r="6835" customHeight="1" spans="8:8">
      <c r="H6835" s="39" t="e">
        <f>VLOOKUP(E6835,基础信息!C:E,3,FALSE)</f>
        <v>#N/A</v>
      </c>
    </row>
    <row r="6836" customHeight="1" spans="8:8">
      <c r="H6836" s="39" t="e">
        <f>VLOOKUP(E6836,基础信息!C:E,3,FALSE)</f>
        <v>#N/A</v>
      </c>
    </row>
    <row r="6837" customHeight="1" spans="8:8">
      <c r="H6837" s="39" t="e">
        <f>VLOOKUP(E6837,基础信息!C:E,3,FALSE)</f>
        <v>#N/A</v>
      </c>
    </row>
    <row r="6838" customHeight="1" spans="8:8">
      <c r="H6838" s="39" t="e">
        <f>VLOOKUP(E6838,基础信息!C:E,3,FALSE)</f>
        <v>#N/A</v>
      </c>
    </row>
    <row r="6839" customHeight="1" spans="8:8">
      <c r="H6839" s="39" t="e">
        <f>VLOOKUP(E6839,基础信息!C:E,3,FALSE)</f>
        <v>#N/A</v>
      </c>
    </row>
    <row r="6840" customHeight="1" spans="8:8">
      <c r="H6840" s="39" t="e">
        <f>VLOOKUP(E6840,基础信息!C:E,3,FALSE)</f>
        <v>#N/A</v>
      </c>
    </row>
    <row r="6841" customHeight="1" spans="8:8">
      <c r="H6841" s="39" t="e">
        <f>VLOOKUP(E6841,基础信息!C:E,3,FALSE)</f>
        <v>#N/A</v>
      </c>
    </row>
    <row r="6842" customHeight="1" spans="8:8">
      <c r="H6842" s="39" t="e">
        <f>VLOOKUP(E6842,基础信息!C:E,3,FALSE)</f>
        <v>#N/A</v>
      </c>
    </row>
    <row r="6843" customHeight="1" spans="8:8">
      <c r="H6843" s="39" t="e">
        <f>VLOOKUP(E6843,基础信息!C:E,3,FALSE)</f>
        <v>#N/A</v>
      </c>
    </row>
    <row r="6844" customHeight="1" spans="8:8">
      <c r="H6844" s="39" t="e">
        <f>VLOOKUP(E6844,基础信息!C:E,3,FALSE)</f>
        <v>#N/A</v>
      </c>
    </row>
    <row r="6845" customHeight="1" spans="8:8">
      <c r="H6845" s="39" t="e">
        <f>VLOOKUP(E6845,基础信息!C:E,3,FALSE)</f>
        <v>#N/A</v>
      </c>
    </row>
    <row r="6846" customHeight="1" spans="8:8">
      <c r="H6846" s="39" t="e">
        <f>VLOOKUP(E6846,基础信息!C:E,3,FALSE)</f>
        <v>#N/A</v>
      </c>
    </row>
    <row r="6847" customHeight="1" spans="8:8">
      <c r="H6847" s="39" t="e">
        <f>VLOOKUP(E6847,基础信息!C:E,3,FALSE)</f>
        <v>#N/A</v>
      </c>
    </row>
    <row r="6848" customHeight="1" spans="8:8">
      <c r="H6848" s="39" t="e">
        <f>VLOOKUP(E6848,基础信息!C:E,3,FALSE)</f>
        <v>#N/A</v>
      </c>
    </row>
    <row r="6849" customHeight="1" spans="8:8">
      <c r="H6849" s="39" t="e">
        <f>VLOOKUP(E6849,基础信息!C:E,3,FALSE)</f>
        <v>#N/A</v>
      </c>
    </row>
    <row r="6850" customHeight="1" spans="8:8">
      <c r="H6850" s="39" t="e">
        <f>VLOOKUP(E6850,基础信息!C:E,3,FALSE)</f>
        <v>#N/A</v>
      </c>
    </row>
    <row r="6851" customHeight="1" spans="8:8">
      <c r="H6851" s="39" t="e">
        <f>VLOOKUP(E6851,基础信息!C:E,3,FALSE)</f>
        <v>#N/A</v>
      </c>
    </row>
    <row r="6852" customHeight="1" spans="8:8">
      <c r="H6852" s="39" t="e">
        <f>VLOOKUP(E6852,基础信息!C:E,3,FALSE)</f>
        <v>#N/A</v>
      </c>
    </row>
    <row r="6853" customHeight="1" spans="8:8">
      <c r="H6853" s="39" t="e">
        <f>VLOOKUP(E6853,基础信息!C:E,3,FALSE)</f>
        <v>#N/A</v>
      </c>
    </row>
    <row r="6854" customHeight="1" spans="8:8">
      <c r="H6854" s="39" t="e">
        <f>VLOOKUP(E6854,基础信息!C:E,3,FALSE)</f>
        <v>#N/A</v>
      </c>
    </row>
    <row r="6855" customHeight="1" spans="8:8">
      <c r="H6855" s="39" t="e">
        <f>VLOOKUP(E6855,基础信息!C:E,3,FALSE)</f>
        <v>#N/A</v>
      </c>
    </row>
    <row r="6856" customHeight="1" spans="8:8">
      <c r="H6856" s="39" t="e">
        <f>VLOOKUP(E6856,基础信息!C:E,3,FALSE)</f>
        <v>#N/A</v>
      </c>
    </row>
    <row r="6857" customHeight="1" spans="8:8">
      <c r="H6857" s="39" t="e">
        <f>VLOOKUP(E6857,基础信息!C:E,3,FALSE)</f>
        <v>#N/A</v>
      </c>
    </row>
    <row r="6858" customHeight="1" spans="8:8">
      <c r="H6858" s="39" t="e">
        <f>VLOOKUP(E6858,基础信息!C:E,3,FALSE)</f>
        <v>#N/A</v>
      </c>
    </row>
    <row r="6859" customHeight="1" spans="8:8">
      <c r="H6859" s="39" t="e">
        <f>VLOOKUP(E6859,基础信息!C:E,3,FALSE)</f>
        <v>#N/A</v>
      </c>
    </row>
    <row r="6860" customHeight="1" spans="8:8">
      <c r="H6860" s="39" t="e">
        <f>VLOOKUP(E6860,基础信息!C:E,3,FALSE)</f>
        <v>#N/A</v>
      </c>
    </row>
    <row r="6861" customHeight="1" spans="8:8">
      <c r="H6861" s="39" t="e">
        <f>VLOOKUP(E6861,基础信息!C:E,3,FALSE)</f>
        <v>#N/A</v>
      </c>
    </row>
    <row r="6862" customHeight="1" spans="8:8">
      <c r="H6862" s="39" t="e">
        <f>VLOOKUP(E6862,基础信息!C:E,3,FALSE)</f>
        <v>#N/A</v>
      </c>
    </row>
    <row r="6863" customHeight="1" spans="8:8">
      <c r="H6863" s="39" t="e">
        <f>VLOOKUP(E6863,基础信息!C:E,3,FALSE)</f>
        <v>#N/A</v>
      </c>
    </row>
    <row r="6864" customHeight="1" spans="8:8">
      <c r="H6864" s="39" t="e">
        <f>VLOOKUP(E6864,基础信息!C:E,3,FALSE)</f>
        <v>#N/A</v>
      </c>
    </row>
    <row r="6865" customHeight="1" spans="8:8">
      <c r="H6865" s="39" t="e">
        <f>VLOOKUP(E6865,基础信息!C:E,3,FALSE)</f>
        <v>#N/A</v>
      </c>
    </row>
    <row r="6866" customHeight="1" spans="8:8">
      <c r="H6866" s="39" t="e">
        <f>VLOOKUP(E6866,基础信息!C:E,3,FALSE)</f>
        <v>#N/A</v>
      </c>
    </row>
    <row r="6867" customHeight="1" spans="8:8">
      <c r="H6867" s="39" t="e">
        <f>VLOOKUP(E6867,基础信息!C:E,3,FALSE)</f>
        <v>#N/A</v>
      </c>
    </row>
    <row r="6868" customHeight="1" spans="8:8">
      <c r="H6868" s="39" t="e">
        <f>VLOOKUP(E6868,基础信息!C:E,3,FALSE)</f>
        <v>#N/A</v>
      </c>
    </row>
    <row r="6869" customHeight="1" spans="8:8">
      <c r="H6869" s="39" t="e">
        <f>VLOOKUP(E6869,基础信息!C:E,3,FALSE)</f>
        <v>#N/A</v>
      </c>
    </row>
    <row r="6870" customHeight="1" spans="8:8">
      <c r="H6870" s="39" t="e">
        <f>VLOOKUP(E6870,基础信息!C:E,3,FALSE)</f>
        <v>#N/A</v>
      </c>
    </row>
    <row r="6871" customHeight="1" spans="8:8">
      <c r="H6871" s="39" t="e">
        <f>VLOOKUP(E6871,基础信息!C:E,3,FALSE)</f>
        <v>#N/A</v>
      </c>
    </row>
    <row r="6872" customHeight="1" spans="8:8">
      <c r="H6872" s="39" t="e">
        <f>VLOOKUP(E6872,基础信息!C:E,3,FALSE)</f>
        <v>#N/A</v>
      </c>
    </row>
    <row r="6873" customHeight="1" spans="8:8">
      <c r="H6873" s="39" t="e">
        <f>VLOOKUP(E6873,基础信息!C:E,3,FALSE)</f>
        <v>#N/A</v>
      </c>
    </row>
    <row r="6874" customHeight="1" spans="8:8">
      <c r="H6874" s="39" t="e">
        <f>VLOOKUP(E6874,基础信息!C:E,3,FALSE)</f>
        <v>#N/A</v>
      </c>
    </row>
    <row r="6875" customHeight="1" spans="8:8">
      <c r="H6875" s="39" t="e">
        <f>VLOOKUP(E6875,基础信息!C:E,3,FALSE)</f>
        <v>#N/A</v>
      </c>
    </row>
    <row r="6876" customHeight="1" spans="8:8">
      <c r="H6876" s="39" t="e">
        <f>VLOOKUP(E6876,基础信息!C:E,3,FALSE)</f>
        <v>#N/A</v>
      </c>
    </row>
    <row r="6877" customHeight="1" spans="8:8">
      <c r="H6877" s="39" t="e">
        <f>VLOOKUP(E6877,基础信息!C:E,3,FALSE)</f>
        <v>#N/A</v>
      </c>
    </row>
    <row r="6878" customHeight="1" spans="8:8">
      <c r="H6878" s="39" t="e">
        <f>VLOOKUP(E6878,基础信息!C:E,3,FALSE)</f>
        <v>#N/A</v>
      </c>
    </row>
    <row r="6879" customHeight="1" spans="8:8">
      <c r="H6879" s="39" t="e">
        <f>VLOOKUP(E6879,基础信息!C:E,3,FALSE)</f>
        <v>#N/A</v>
      </c>
    </row>
    <row r="6880" customHeight="1" spans="8:8">
      <c r="H6880" s="39" t="e">
        <f>VLOOKUP(E6880,基础信息!C:E,3,FALSE)</f>
        <v>#N/A</v>
      </c>
    </row>
    <row r="6881" customHeight="1" spans="8:8">
      <c r="H6881" s="39" t="e">
        <f>VLOOKUP(E6881,基础信息!C:E,3,FALSE)</f>
        <v>#N/A</v>
      </c>
    </row>
    <row r="6882" customHeight="1" spans="8:8">
      <c r="H6882" s="39" t="e">
        <f>VLOOKUP(E6882,基础信息!C:E,3,FALSE)</f>
        <v>#N/A</v>
      </c>
    </row>
    <row r="6883" customHeight="1" spans="8:8">
      <c r="H6883" s="39" t="e">
        <f>VLOOKUP(E6883,基础信息!C:E,3,FALSE)</f>
        <v>#N/A</v>
      </c>
    </row>
    <row r="6884" customHeight="1" spans="8:8">
      <c r="H6884" s="39" t="e">
        <f>VLOOKUP(E6884,基础信息!C:E,3,FALSE)</f>
        <v>#N/A</v>
      </c>
    </row>
    <row r="6885" customHeight="1" spans="8:8">
      <c r="H6885" s="39" t="e">
        <f>VLOOKUP(E6885,基础信息!C:E,3,FALSE)</f>
        <v>#N/A</v>
      </c>
    </row>
    <row r="6886" customHeight="1" spans="8:8">
      <c r="H6886" s="39" t="e">
        <f>VLOOKUP(E6886,基础信息!C:E,3,FALSE)</f>
        <v>#N/A</v>
      </c>
    </row>
    <row r="6887" customHeight="1" spans="8:8">
      <c r="H6887" s="39" t="e">
        <f>VLOOKUP(E6887,基础信息!C:E,3,FALSE)</f>
        <v>#N/A</v>
      </c>
    </row>
    <row r="6888" customHeight="1" spans="8:8">
      <c r="H6888" s="39" t="e">
        <f>VLOOKUP(E6888,基础信息!C:E,3,FALSE)</f>
        <v>#N/A</v>
      </c>
    </row>
    <row r="6889" customHeight="1" spans="8:8">
      <c r="H6889" s="39" t="e">
        <f>VLOOKUP(E6889,基础信息!C:E,3,FALSE)</f>
        <v>#N/A</v>
      </c>
    </row>
    <row r="6890" customHeight="1" spans="8:8">
      <c r="H6890" s="39" t="e">
        <f>VLOOKUP(E6890,基础信息!C:E,3,FALSE)</f>
        <v>#N/A</v>
      </c>
    </row>
    <row r="6891" customHeight="1" spans="8:8">
      <c r="H6891" s="39" t="e">
        <f>VLOOKUP(E6891,基础信息!C:E,3,FALSE)</f>
        <v>#N/A</v>
      </c>
    </row>
    <row r="6892" customHeight="1" spans="8:8">
      <c r="H6892" s="39" t="e">
        <f>VLOOKUP(E6892,基础信息!C:E,3,FALSE)</f>
        <v>#N/A</v>
      </c>
    </row>
    <row r="6893" customHeight="1" spans="8:8">
      <c r="H6893" s="39" t="e">
        <f>VLOOKUP(E6893,基础信息!C:E,3,FALSE)</f>
        <v>#N/A</v>
      </c>
    </row>
    <row r="6894" customHeight="1" spans="8:8">
      <c r="H6894" s="39" t="e">
        <f>VLOOKUP(E6894,基础信息!C:E,3,FALSE)</f>
        <v>#N/A</v>
      </c>
    </row>
    <row r="6895" customHeight="1" spans="8:8">
      <c r="H6895" s="39" t="e">
        <f>VLOOKUP(E6895,基础信息!C:E,3,FALSE)</f>
        <v>#N/A</v>
      </c>
    </row>
    <row r="6896" customHeight="1" spans="8:8">
      <c r="H6896" s="39" t="e">
        <f>VLOOKUP(E6896,基础信息!C:E,3,FALSE)</f>
        <v>#N/A</v>
      </c>
    </row>
    <row r="6897" customHeight="1" spans="8:8">
      <c r="H6897" s="39" t="e">
        <f>VLOOKUP(E6897,基础信息!C:E,3,FALSE)</f>
        <v>#N/A</v>
      </c>
    </row>
    <row r="6898" customHeight="1" spans="8:8">
      <c r="H6898" s="39" t="e">
        <f>VLOOKUP(E6898,基础信息!C:E,3,FALSE)</f>
        <v>#N/A</v>
      </c>
    </row>
    <row r="6899" customHeight="1" spans="8:8">
      <c r="H6899" s="39" t="e">
        <f>VLOOKUP(E6899,基础信息!C:E,3,FALSE)</f>
        <v>#N/A</v>
      </c>
    </row>
    <row r="6900" customHeight="1" spans="8:8">
      <c r="H6900" s="39" t="e">
        <f>VLOOKUP(E6900,基础信息!C:E,3,FALSE)</f>
        <v>#N/A</v>
      </c>
    </row>
    <row r="6901" customHeight="1" spans="8:8">
      <c r="H6901" s="39" t="e">
        <f>VLOOKUP(E6901,基础信息!C:E,3,FALSE)</f>
        <v>#N/A</v>
      </c>
    </row>
    <row r="6902" customHeight="1" spans="8:8">
      <c r="H6902" s="39" t="e">
        <f>VLOOKUP(E6902,基础信息!C:E,3,FALSE)</f>
        <v>#N/A</v>
      </c>
    </row>
    <row r="6903" customHeight="1" spans="8:8">
      <c r="H6903" s="39" t="e">
        <f>VLOOKUP(E6903,基础信息!C:E,3,FALSE)</f>
        <v>#N/A</v>
      </c>
    </row>
    <row r="6904" customHeight="1" spans="8:8">
      <c r="H6904" s="39" t="e">
        <f>VLOOKUP(E6904,基础信息!C:E,3,FALSE)</f>
        <v>#N/A</v>
      </c>
    </row>
    <row r="6905" customHeight="1" spans="8:8">
      <c r="H6905" s="39" t="e">
        <f>VLOOKUP(E6905,基础信息!C:E,3,FALSE)</f>
        <v>#N/A</v>
      </c>
    </row>
    <row r="6906" customHeight="1" spans="8:8">
      <c r="H6906" s="39" t="e">
        <f>VLOOKUP(E6906,基础信息!C:E,3,FALSE)</f>
        <v>#N/A</v>
      </c>
    </row>
    <row r="6907" customHeight="1" spans="8:8">
      <c r="H6907" s="39" t="e">
        <f>VLOOKUP(E6907,基础信息!C:E,3,FALSE)</f>
        <v>#N/A</v>
      </c>
    </row>
    <row r="6908" customHeight="1" spans="8:8">
      <c r="H6908" s="39" t="e">
        <f>VLOOKUP(E6908,基础信息!C:E,3,FALSE)</f>
        <v>#N/A</v>
      </c>
    </row>
    <row r="6909" customHeight="1" spans="8:8">
      <c r="H6909" s="39" t="e">
        <f>VLOOKUP(E6909,基础信息!C:E,3,FALSE)</f>
        <v>#N/A</v>
      </c>
    </row>
    <row r="6910" customHeight="1" spans="8:8">
      <c r="H6910" s="39" t="e">
        <f>VLOOKUP(E6910,基础信息!C:E,3,FALSE)</f>
        <v>#N/A</v>
      </c>
    </row>
    <row r="6911" customHeight="1" spans="8:8">
      <c r="H6911" s="39" t="e">
        <f>VLOOKUP(E6911,基础信息!C:E,3,FALSE)</f>
        <v>#N/A</v>
      </c>
    </row>
    <row r="6912" customHeight="1" spans="8:8">
      <c r="H6912" s="39" t="e">
        <f>VLOOKUP(E6912,基础信息!C:E,3,FALSE)</f>
        <v>#N/A</v>
      </c>
    </row>
    <row r="6913" customHeight="1" spans="8:8">
      <c r="H6913" s="39" t="e">
        <f>VLOOKUP(E6913,基础信息!C:E,3,FALSE)</f>
        <v>#N/A</v>
      </c>
    </row>
    <row r="6914" customHeight="1" spans="8:8">
      <c r="H6914" s="39" t="e">
        <f>VLOOKUP(E6914,基础信息!C:E,3,FALSE)</f>
        <v>#N/A</v>
      </c>
    </row>
    <row r="6915" customHeight="1" spans="8:8">
      <c r="H6915" s="39" t="e">
        <f>VLOOKUP(E6915,基础信息!C:E,3,FALSE)</f>
        <v>#N/A</v>
      </c>
    </row>
    <row r="6916" customHeight="1" spans="8:8">
      <c r="H6916" s="39" t="e">
        <f>VLOOKUP(E6916,基础信息!C:E,3,FALSE)</f>
        <v>#N/A</v>
      </c>
    </row>
    <row r="6917" customHeight="1" spans="8:8">
      <c r="H6917" s="39" t="e">
        <f>VLOOKUP(E6917,基础信息!C:E,3,FALSE)</f>
        <v>#N/A</v>
      </c>
    </row>
    <row r="6918" customHeight="1" spans="8:8">
      <c r="H6918" s="39" t="e">
        <f>VLOOKUP(E6918,基础信息!C:E,3,FALSE)</f>
        <v>#N/A</v>
      </c>
    </row>
    <row r="6919" customHeight="1" spans="8:8">
      <c r="H6919" s="39" t="e">
        <f>VLOOKUP(E6919,基础信息!C:E,3,FALSE)</f>
        <v>#N/A</v>
      </c>
    </row>
    <row r="6920" customHeight="1" spans="8:8">
      <c r="H6920" s="39" t="e">
        <f>VLOOKUP(E6920,基础信息!C:E,3,FALSE)</f>
        <v>#N/A</v>
      </c>
    </row>
    <row r="6921" customHeight="1" spans="8:8">
      <c r="H6921" s="39" t="e">
        <f>VLOOKUP(E6921,基础信息!C:E,3,FALSE)</f>
        <v>#N/A</v>
      </c>
    </row>
    <row r="6922" customHeight="1" spans="8:8">
      <c r="H6922" s="39" t="e">
        <f>VLOOKUP(E6922,基础信息!C:E,3,FALSE)</f>
        <v>#N/A</v>
      </c>
    </row>
    <row r="6923" customHeight="1" spans="8:8">
      <c r="H6923" s="39" t="e">
        <f>VLOOKUP(E6923,基础信息!C:E,3,FALSE)</f>
        <v>#N/A</v>
      </c>
    </row>
    <row r="6924" customHeight="1" spans="8:8">
      <c r="H6924" s="39" t="e">
        <f>VLOOKUP(E6924,基础信息!C:E,3,FALSE)</f>
        <v>#N/A</v>
      </c>
    </row>
    <row r="6925" customHeight="1" spans="8:8">
      <c r="H6925" s="39" t="e">
        <f>VLOOKUP(E6925,基础信息!C:E,3,FALSE)</f>
        <v>#N/A</v>
      </c>
    </row>
    <row r="6926" customHeight="1" spans="8:8">
      <c r="H6926" s="39" t="e">
        <f>VLOOKUP(E6926,基础信息!C:E,3,FALSE)</f>
        <v>#N/A</v>
      </c>
    </row>
    <row r="6927" customHeight="1" spans="8:8">
      <c r="H6927" s="39" t="e">
        <f>VLOOKUP(E6927,基础信息!C:E,3,FALSE)</f>
        <v>#N/A</v>
      </c>
    </row>
    <row r="6928" customHeight="1" spans="8:8">
      <c r="H6928" s="39" t="e">
        <f>VLOOKUP(E6928,基础信息!C:E,3,FALSE)</f>
        <v>#N/A</v>
      </c>
    </row>
    <row r="6929" customHeight="1" spans="8:8">
      <c r="H6929" s="39" t="e">
        <f>VLOOKUP(E6929,基础信息!C:E,3,FALSE)</f>
        <v>#N/A</v>
      </c>
    </row>
    <row r="6930" customHeight="1" spans="8:8">
      <c r="H6930" s="39" t="e">
        <f>VLOOKUP(E6930,基础信息!C:E,3,FALSE)</f>
        <v>#N/A</v>
      </c>
    </row>
    <row r="6931" customHeight="1" spans="8:8">
      <c r="H6931" s="39" t="e">
        <f>VLOOKUP(E6931,基础信息!C:E,3,FALSE)</f>
        <v>#N/A</v>
      </c>
    </row>
    <row r="6932" customHeight="1" spans="8:8">
      <c r="H6932" s="39" t="e">
        <f>VLOOKUP(E6932,基础信息!C:E,3,FALSE)</f>
        <v>#N/A</v>
      </c>
    </row>
    <row r="6933" customHeight="1" spans="8:8">
      <c r="H6933" s="39" t="e">
        <f>VLOOKUP(E6933,基础信息!C:E,3,FALSE)</f>
        <v>#N/A</v>
      </c>
    </row>
    <row r="6934" customHeight="1" spans="8:8">
      <c r="H6934" s="39" t="e">
        <f>VLOOKUP(E6934,基础信息!C:E,3,FALSE)</f>
        <v>#N/A</v>
      </c>
    </row>
    <row r="6935" customHeight="1" spans="8:8">
      <c r="H6935" s="39" t="e">
        <f>VLOOKUP(E6935,基础信息!C:E,3,FALSE)</f>
        <v>#N/A</v>
      </c>
    </row>
    <row r="6936" customHeight="1" spans="8:8">
      <c r="H6936" s="39" t="e">
        <f>VLOOKUP(E6936,基础信息!C:E,3,FALSE)</f>
        <v>#N/A</v>
      </c>
    </row>
    <row r="6937" customHeight="1" spans="8:8">
      <c r="H6937" s="39" t="e">
        <f>VLOOKUP(E6937,基础信息!C:E,3,FALSE)</f>
        <v>#N/A</v>
      </c>
    </row>
    <row r="6938" customHeight="1" spans="8:8">
      <c r="H6938" s="39" t="e">
        <f>VLOOKUP(E6938,基础信息!C:E,3,FALSE)</f>
        <v>#N/A</v>
      </c>
    </row>
    <row r="6939" customHeight="1" spans="8:8">
      <c r="H6939" s="39" t="e">
        <f>VLOOKUP(E6939,基础信息!C:E,3,FALSE)</f>
        <v>#N/A</v>
      </c>
    </row>
    <row r="6940" customHeight="1" spans="8:8">
      <c r="H6940" s="39" t="e">
        <f>VLOOKUP(E6940,基础信息!C:E,3,FALSE)</f>
        <v>#N/A</v>
      </c>
    </row>
    <row r="6941" customHeight="1" spans="8:8">
      <c r="H6941" s="39" t="e">
        <f>VLOOKUP(E6941,基础信息!C:E,3,FALSE)</f>
        <v>#N/A</v>
      </c>
    </row>
    <row r="6942" customHeight="1" spans="8:8">
      <c r="H6942" s="39" t="e">
        <f>VLOOKUP(E6942,基础信息!C:E,3,FALSE)</f>
        <v>#N/A</v>
      </c>
    </row>
    <row r="6943" customHeight="1" spans="8:8">
      <c r="H6943" s="39" t="e">
        <f>VLOOKUP(E6943,基础信息!C:E,3,FALSE)</f>
        <v>#N/A</v>
      </c>
    </row>
    <row r="6944" customHeight="1" spans="8:8">
      <c r="H6944" s="39" t="e">
        <f>VLOOKUP(E6944,基础信息!C:E,3,FALSE)</f>
        <v>#N/A</v>
      </c>
    </row>
    <row r="6945" customHeight="1" spans="8:8">
      <c r="H6945" s="39" t="e">
        <f>VLOOKUP(E6945,基础信息!C:E,3,FALSE)</f>
        <v>#N/A</v>
      </c>
    </row>
    <row r="6946" customHeight="1" spans="8:8">
      <c r="H6946" s="39" t="e">
        <f>VLOOKUP(E6946,基础信息!C:E,3,FALSE)</f>
        <v>#N/A</v>
      </c>
    </row>
    <row r="6947" customHeight="1" spans="8:8">
      <c r="H6947" s="39" t="e">
        <f>VLOOKUP(E6947,基础信息!C:E,3,FALSE)</f>
        <v>#N/A</v>
      </c>
    </row>
    <row r="6948" customHeight="1" spans="8:8">
      <c r="H6948" s="39" t="e">
        <f>VLOOKUP(E6948,基础信息!C:E,3,FALSE)</f>
        <v>#N/A</v>
      </c>
    </row>
    <row r="6949" customHeight="1" spans="8:8">
      <c r="H6949" s="39" t="e">
        <f>VLOOKUP(E6949,基础信息!C:E,3,FALSE)</f>
        <v>#N/A</v>
      </c>
    </row>
    <row r="6950" customHeight="1" spans="8:8">
      <c r="H6950" s="39" t="e">
        <f>VLOOKUP(E6950,基础信息!C:E,3,FALSE)</f>
        <v>#N/A</v>
      </c>
    </row>
    <row r="6951" customHeight="1" spans="8:8">
      <c r="H6951" s="39" t="e">
        <f>VLOOKUP(E6951,基础信息!C:E,3,FALSE)</f>
        <v>#N/A</v>
      </c>
    </row>
    <row r="6952" customHeight="1" spans="8:8">
      <c r="H6952" s="39" t="e">
        <f>VLOOKUP(E6952,基础信息!C:E,3,FALSE)</f>
        <v>#N/A</v>
      </c>
    </row>
    <row r="6953" customHeight="1" spans="8:8">
      <c r="H6953" s="39" t="e">
        <f>VLOOKUP(E6953,基础信息!C:E,3,FALSE)</f>
        <v>#N/A</v>
      </c>
    </row>
    <row r="6954" customHeight="1" spans="8:8">
      <c r="H6954" s="39" t="e">
        <f>VLOOKUP(E6954,基础信息!C:E,3,FALSE)</f>
        <v>#N/A</v>
      </c>
    </row>
    <row r="6955" customHeight="1" spans="8:8">
      <c r="H6955" s="39" t="e">
        <f>VLOOKUP(E6955,基础信息!C:E,3,FALSE)</f>
        <v>#N/A</v>
      </c>
    </row>
    <row r="6956" customHeight="1" spans="8:8">
      <c r="H6956" s="39" t="e">
        <f>VLOOKUP(E6956,基础信息!C:E,3,FALSE)</f>
        <v>#N/A</v>
      </c>
    </row>
    <row r="6957" customHeight="1" spans="8:8">
      <c r="H6957" s="39" t="e">
        <f>VLOOKUP(E6957,基础信息!C:E,3,FALSE)</f>
        <v>#N/A</v>
      </c>
    </row>
    <row r="6958" customHeight="1" spans="8:8">
      <c r="H6958" s="39" t="e">
        <f>VLOOKUP(E6958,基础信息!C:E,3,FALSE)</f>
        <v>#N/A</v>
      </c>
    </row>
    <row r="6959" customHeight="1" spans="8:8">
      <c r="H6959" s="39" t="e">
        <f>VLOOKUP(E6959,基础信息!C:E,3,FALSE)</f>
        <v>#N/A</v>
      </c>
    </row>
    <row r="6960" customHeight="1" spans="8:8">
      <c r="H6960" s="39" t="e">
        <f>VLOOKUP(E6960,基础信息!C:E,3,FALSE)</f>
        <v>#N/A</v>
      </c>
    </row>
    <row r="6961" customHeight="1" spans="8:8">
      <c r="H6961" s="39" t="e">
        <f>VLOOKUP(E6961,基础信息!C:E,3,FALSE)</f>
        <v>#N/A</v>
      </c>
    </row>
    <row r="6962" customHeight="1" spans="8:8">
      <c r="H6962" s="39" t="e">
        <f>VLOOKUP(E6962,基础信息!C:E,3,FALSE)</f>
        <v>#N/A</v>
      </c>
    </row>
    <row r="6963" customHeight="1" spans="8:8">
      <c r="H6963" s="39" t="e">
        <f>VLOOKUP(E6963,基础信息!C:E,3,FALSE)</f>
        <v>#N/A</v>
      </c>
    </row>
    <row r="6964" customHeight="1" spans="8:8">
      <c r="H6964" s="39" t="e">
        <f>VLOOKUP(E6964,基础信息!C:E,3,FALSE)</f>
        <v>#N/A</v>
      </c>
    </row>
    <row r="6965" customHeight="1" spans="8:8">
      <c r="H6965" s="39" t="e">
        <f>VLOOKUP(E6965,基础信息!C:E,3,FALSE)</f>
        <v>#N/A</v>
      </c>
    </row>
    <row r="6966" customHeight="1" spans="8:8">
      <c r="H6966" s="39" t="e">
        <f>VLOOKUP(E6966,基础信息!C:E,3,FALSE)</f>
        <v>#N/A</v>
      </c>
    </row>
    <row r="6967" customHeight="1" spans="8:8">
      <c r="H6967" s="39" t="e">
        <f>VLOOKUP(E6967,基础信息!C:E,3,FALSE)</f>
        <v>#N/A</v>
      </c>
    </row>
    <row r="6968" customHeight="1" spans="8:8">
      <c r="H6968" s="39" t="e">
        <f>VLOOKUP(E6968,基础信息!C:E,3,FALSE)</f>
        <v>#N/A</v>
      </c>
    </row>
    <row r="6969" customHeight="1" spans="8:8">
      <c r="H6969" s="39" t="e">
        <f>VLOOKUP(E6969,基础信息!C:E,3,FALSE)</f>
        <v>#N/A</v>
      </c>
    </row>
    <row r="6970" customHeight="1" spans="8:8">
      <c r="H6970" s="39" t="e">
        <f>VLOOKUP(E6970,基础信息!C:E,3,FALSE)</f>
        <v>#N/A</v>
      </c>
    </row>
    <row r="6971" customHeight="1" spans="8:8">
      <c r="H6971" s="39" t="e">
        <f>VLOOKUP(E6971,基础信息!C:E,3,FALSE)</f>
        <v>#N/A</v>
      </c>
    </row>
    <row r="6972" customHeight="1" spans="8:8">
      <c r="H6972" s="39" t="e">
        <f>VLOOKUP(E6972,基础信息!C:E,3,FALSE)</f>
        <v>#N/A</v>
      </c>
    </row>
    <row r="6973" customHeight="1" spans="8:8">
      <c r="H6973" s="39" t="e">
        <f>VLOOKUP(E6973,基础信息!C:E,3,FALSE)</f>
        <v>#N/A</v>
      </c>
    </row>
    <row r="6974" customHeight="1" spans="8:8">
      <c r="H6974" s="39" t="e">
        <f>VLOOKUP(E6974,基础信息!C:E,3,FALSE)</f>
        <v>#N/A</v>
      </c>
    </row>
    <row r="6975" customHeight="1" spans="8:8">
      <c r="H6975" s="39" t="e">
        <f>VLOOKUP(E6975,基础信息!C:E,3,FALSE)</f>
        <v>#N/A</v>
      </c>
    </row>
    <row r="6976" customHeight="1" spans="8:8">
      <c r="H6976" s="39" t="e">
        <f>VLOOKUP(E6976,基础信息!C:E,3,FALSE)</f>
        <v>#N/A</v>
      </c>
    </row>
    <row r="6977" customHeight="1" spans="8:8">
      <c r="H6977" s="39" t="e">
        <f>VLOOKUP(E6977,基础信息!C:E,3,FALSE)</f>
        <v>#N/A</v>
      </c>
    </row>
    <row r="6978" customHeight="1" spans="8:8">
      <c r="H6978" s="39" t="e">
        <f>VLOOKUP(E6978,基础信息!C:E,3,FALSE)</f>
        <v>#N/A</v>
      </c>
    </row>
    <row r="6979" customHeight="1" spans="8:8">
      <c r="H6979" s="39" t="e">
        <f>VLOOKUP(E6979,基础信息!C:E,3,FALSE)</f>
        <v>#N/A</v>
      </c>
    </row>
    <row r="6980" customHeight="1" spans="8:8">
      <c r="H6980" s="39" t="e">
        <f>VLOOKUP(E6980,基础信息!C:E,3,FALSE)</f>
        <v>#N/A</v>
      </c>
    </row>
    <row r="6981" customHeight="1" spans="8:8">
      <c r="H6981" s="39" t="e">
        <f>VLOOKUP(E6981,基础信息!C:E,3,FALSE)</f>
        <v>#N/A</v>
      </c>
    </row>
    <row r="6982" customHeight="1" spans="8:8">
      <c r="H6982" s="39" t="e">
        <f>VLOOKUP(E6982,基础信息!C:E,3,FALSE)</f>
        <v>#N/A</v>
      </c>
    </row>
    <row r="6983" customHeight="1" spans="8:8">
      <c r="H6983" s="39" t="e">
        <f>VLOOKUP(E6983,基础信息!C:E,3,FALSE)</f>
        <v>#N/A</v>
      </c>
    </row>
    <row r="6984" customHeight="1" spans="8:8">
      <c r="H6984" s="39" t="e">
        <f>VLOOKUP(E6984,基础信息!C:E,3,FALSE)</f>
        <v>#N/A</v>
      </c>
    </row>
    <row r="6985" customHeight="1" spans="8:8">
      <c r="H6985" s="39" t="e">
        <f>VLOOKUP(E6985,基础信息!C:E,3,FALSE)</f>
        <v>#N/A</v>
      </c>
    </row>
    <row r="6986" customHeight="1" spans="8:8">
      <c r="H6986" s="39" t="e">
        <f>VLOOKUP(E6986,基础信息!C:E,3,FALSE)</f>
        <v>#N/A</v>
      </c>
    </row>
    <row r="6987" customHeight="1" spans="8:8">
      <c r="H6987" s="39" t="e">
        <f>VLOOKUP(E6987,基础信息!C:E,3,FALSE)</f>
        <v>#N/A</v>
      </c>
    </row>
    <row r="6988" customHeight="1" spans="8:8">
      <c r="H6988" s="39" t="e">
        <f>VLOOKUP(E6988,基础信息!C:E,3,FALSE)</f>
        <v>#N/A</v>
      </c>
    </row>
    <row r="6989" customHeight="1" spans="8:8">
      <c r="H6989" s="39" t="e">
        <f>VLOOKUP(E6989,基础信息!C:E,3,FALSE)</f>
        <v>#N/A</v>
      </c>
    </row>
    <row r="6990" customHeight="1" spans="8:8">
      <c r="H6990" s="39" t="e">
        <f>VLOOKUP(E6990,基础信息!C:E,3,FALSE)</f>
        <v>#N/A</v>
      </c>
    </row>
    <row r="6991" customHeight="1" spans="8:8">
      <c r="H6991" s="39" t="e">
        <f>VLOOKUP(E6991,基础信息!C:E,3,FALSE)</f>
        <v>#N/A</v>
      </c>
    </row>
    <row r="6992" customHeight="1" spans="8:8">
      <c r="H6992" s="39" t="e">
        <f>VLOOKUP(E6992,基础信息!C:E,3,FALSE)</f>
        <v>#N/A</v>
      </c>
    </row>
    <row r="6993" customHeight="1" spans="8:8">
      <c r="H6993" s="39" t="e">
        <f>VLOOKUP(E6993,基础信息!C:E,3,FALSE)</f>
        <v>#N/A</v>
      </c>
    </row>
    <row r="6994" customHeight="1" spans="8:8">
      <c r="H6994" s="39" t="e">
        <f>VLOOKUP(E6994,基础信息!C:E,3,FALSE)</f>
        <v>#N/A</v>
      </c>
    </row>
    <row r="6995" customHeight="1" spans="8:8">
      <c r="H6995" s="39" t="e">
        <f>VLOOKUP(E6995,基础信息!C:E,3,FALSE)</f>
        <v>#N/A</v>
      </c>
    </row>
    <row r="6996" customHeight="1" spans="8:8">
      <c r="H6996" s="39" t="e">
        <f>VLOOKUP(E6996,基础信息!C:E,3,FALSE)</f>
        <v>#N/A</v>
      </c>
    </row>
    <row r="6997" customHeight="1" spans="8:8">
      <c r="H6997" s="39" t="e">
        <f>VLOOKUP(E6997,基础信息!C:E,3,FALSE)</f>
        <v>#N/A</v>
      </c>
    </row>
    <row r="6998" customHeight="1" spans="8:8">
      <c r="H6998" s="39" t="e">
        <f>VLOOKUP(E6998,基础信息!C:E,3,FALSE)</f>
        <v>#N/A</v>
      </c>
    </row>
    <row r="6999" customHeight="1" spans="8:8">
      <c r="H6999" s="39" t="e">
        <f>VLOOKUP(E6999,基础信息!C:E,3,FALSE)</f>
        <v>#N/A</v>
      </c>
    </row>
    <row r="7000" customHeight="1" spans="8:8">
      <c r="H7000" s="39" t="e">
        <f>VLOOKUP(E7000,基础信息!C:E,3,FALSE)</f>
        <v>#N/A</v>
      </c>
    </row>
    <row r="7001" customHeight="1" spans="8:8">
      <c r="H7001" s="39" t="e">
        <f>VLOOKUP(E7001,基础信息!C:E,3,FALSE)</f>
        <v>#N/A</v>
      </c>
    </row>
    <row r="7002" customHeight="1" spans="8:8">
      <c r="H7002" s="39" t="e">
        <f>VLOOKUP(E7002,基础信息!C:E,3,FALSE)</f>
        <v>#N/A</v>
      </c>
    </row>
    <row r="7003" customHeight="1" spans="8:8">
      <c r="H7003" s="39" t="e">
        <f>VLOOKUP(E7003,基础信息!C:E,3,FALSE)</f>
        <v>#N/A</v>
      </c>
    </row>
    <row r="7004" customHeight="1" spans="8:8">
      <c r="H7004" s="39" t="e">
        <f>VLOOKUP(E7004,基础信息!C:E,3,FALSE)</f>
        <v>#N/A</v>
      </c>
    </row>
    <row r="7005" customHeight="1" spans="8:8">
      <c r="H7005" s="39" t="e">
        <f>VLOOKUP(E7005,基础信息!C:E,3,FALSE)</f>
        <v>#N/A</v>
      </c>
    </row>
    <row r="7006" customHeight="1" spans="8:8">
      <c r="H7006" s="39" t="e">
        <f>VLOOKUP(E7006,基础信息!C:E,3,FALSE)</f>
        <v>#N/A</v>
      </c>
    </row>
    <row r="7007" customHeight="1" spans="8:8">
      <c r="H7007" s="39" t="e">
        <f>VLOOKUP(E7007,基础信息!C:E,3,FALSE)</f>
        <v>#N/A</v>
      </c>
    </row>
    <row r="7008" customHeight="1" spans="8:8">
      <c r="H7008" s="39" t="e">
        <f>VLOOKUP(E7008,基础信息!C:E,3,FALSE)</f>
        <v>#N/A</v>
      </c>
    </row>
    <row r="7009" customHeight="1" spans="8:8">
      <c r="H7009" s="39" t="e">
        <f>VLOOKUP(E7009,基础信息!C:E,3,FALSE)</f>
        <v>#N/A</v>
      </c>
    </row>
    <row r="7010" customHeight="1" spans="8:8">
      <c r="H7010" s="39" t="e">
        <f>VLOOKUP(E7010,基础信息!C:E,3,FALSE)</f>
        <v>#N/A</v>
      </c>
    </row>
    <row r="7011" customHeight="1" spans="8:8">
      <c r="H7011" s="39" t="e">
        <f>VLOOKUP(E7011,基础信息!C:E,3,FALSE)</f>
        <v>#N/A</v>
      </c>
    </row>
    <row r="7012" customHeight="1" spans="8:8">
      <c r="H7012" s="39" t="e">
        <f>VLOOKUP(E7012,基础信息!C:E,3,FALSE)</f>
        <v>#N/A</v>
      </c>
    </row>
    <row r="7013" customHeight="1" spans="8:8">
      <c r="H7013" s="39" t="e">
        <f>VLOOKUP(E7013,基础信息!C:E,3,FALSE)</f>
        <v>#N/A</v>
      </c>
    </row>
    <row r="7014" customHeight="1" spans="8:8">
      <c r="H7014" s="39" t="e">
        <f>VLOOKUP(E7014,基础信息!C:E,3,FALSE)</f>
        <v>#N/A</v>
      </c>
    </row>
    <row r="7015" customHeight="1" spans="8:8">
      <c r="H7015" s="39" t="e">
        <f>VLOOKUP(E7015,基础信息!C:E,3,FALSE)</f>
        <v>#N/A</v>
      </c>
    </row>
    <row r="7016" customHeight="1" spans="8:8">
      <c r="H7016" s="39" t="e">
        <f>VLOOKUP(E7016,基础信息!C:E,3,FALSE)</f>
        <v>#N/A</v>
      </c>
    </row>
    <row r="7017" customHeight="1" spans="8:8">
      <c r="H7017" s="39" t="e">
        <f>VLOOKUP(E7017,基础信息!C:E,3,FALSE)</f>
        <v>#N/A</v>
      </c>
    </row>
    <row r="7018" customHeight="1" spans="8:8">
      <c r="H7018" s="39" t="e">
        <f>VLOOKUP(E7018,基础信息!C:E,3,FALSE)</f>
        <v>#N/A</v>
      </c>
    </row>
    <row r="7019" customHeight="1" spans="8:8">
      <c r="H7019" s="39" t="e">
        <f>VLOOKUP(E7019,基础信息!C:E,3,FALSE)</f>
        <v>#N/A</v>
      </c>
    </row>
    <row r="7020" customHeight="1" spans="8:8">
      <c r="H7020" s="39" t="e">
        <f>VLOOKUP(E7020,基础信息!C:E,3,FALSE)</f>
        <v>#N/A</v>
      </c>
    </row>
    <row r="7021" customHeight="1" spans="8:8">
      <c r="H7021" s="39" t="e">
        <f>VLOOKUP(E7021,基础信息!C:E,3,FALSE)</f>
        <v>#N/A</v>
      </c>
    </row>
    <row r="7022" customHeight="1" spans="8:8">
      <c r="H7022" s="39" t="e">
        <f>VLOOKUP(E7022,基础信息!C:E,3,FALSE)</f>
        <v>#N/A</v>
      </c>
    </row>
    <row r="7023" customHeight="1" spans="8:8">
      <c r="H7023" s="39" t="e">
        <f>VLOOKUP(E7023,基础信息!C:E,3,FALSE)</f>
        <v>#N/A</v>
      </c>
    </row>
    <row r="7024" customHeight="1" spans="8:8">
      <c r="H7024" s="39" t="e">
        <f>VLOOKUP(E7024,基础信息!C:E,3,FALSE)</f>
        <v>#N/A</v>
      </c>
    </row>
    <row r="7025" customHeight="1" spans="8:8">
      <c r="H7025" s="39" t="e">
        <f>VLOOKUP(E7025,基础信息!C:E,3,FALSE)</f>
        <v>#N/A</v>
      </c>
    </row>
    <row r="7026" customHeight="1" spans="8:8">
      <c r="H7026" s="39" t="e">
        <f>VLOOKUP(E7026,基础信息!C:E,3,FALSE)</f>
        <v>#N/A</v>
      </c>
    </row>
    <row r="7027" customHeight="1" spans="8:8">
      <c r="H7027" s="39" t="e">
        <f>VLOOKUP(E7027,基础信息!C:E,3,FALSE)</f>
        <v>#N/A</v>
      </c>
    </row>
    <row r="7028" customHeight="1" spans="8:8">
      <c r="H7028" s="39" t="e">
        <f>VLOOKUP(E7028,基础信息!C:E,3,FALSE)</f>
        <v>#N/A</v>
      </c>
    </row>
    <row r="7029" customHeight="1" spans="8:8">
      <c r="H7029" s="39" t="e">
        <f>VLOOKUP(E7029,基础信息!C:E,3,FALSE)</f>
        <v>#N/A</v>
      </c>
    </row>
    <row r="7030" customHeight="1" spans="8:8">
      <c r="H7030" s="39" t="e">
        <f>VLOOKUP(E7030,基础信息!C:E,3,FALSE)</f>
        <v>#N/A</v>
      </c>
    </row>
    <row r="7031" customHeight="1" spans="8:8">
      <c r="H7031" s="39" t="e">
        <f>VLOOKUP(E7031,基础信息!C:E,3,FALSE)</f>
        <v>#N/A</v>
      </c>
    </row>
    <row r="7032" customHeight="1" spans="8:8">
      <c r="H7032" s="39" t="e">
        <f>VLOOKUP(E7032,基础信息!C:E,3,FALSE)</f>
        <v>#N/A</v>
      </c>
    </row>
    <row r="7033" customHeight="1" spans="8:8">
      <c r="H7033" s="39" t="e">
        <f>VLOOKUP(E7033,基础信息!C:E,3,FALSE)</f>
        <v>#N/A</v>
      </c>
    </row>
    <row r="7034" customHeight="1" spans="8:8">
      <c r="H7034" s="39" t="e">
        <f>VLOOKUP(E7034,基础信息!C:E,3,FALSE)</f>
        <v>#N/A</v>
      </c>
    </row>
    <row r="7035" customHeight="1" spans="8:8">
      <c r="H7035" s="39" t="e">
        <f>VLOOKUP(E7035,基础信息!C:E,3,FALSE)</f>
        <v>#N/A</v>
      </c>
    </row>
    <row r="7036" customHeight="1" spans="8:8">
      <c r="H7036" s="39" t="e">
        <f>VLOOKUP(E7036,基础信息!C:E,3,FALSE)</f>
        <v>#N/A</v>
      </c>
    </row>
    <row r="7037" customHeight="1" spans="8:8">
      <c r="H7037" s="39" t="e">
        <f>VLOOKUP(E7037,基础信息!C:E,3,FALSE)</f>
        <v>#N/A</v>
      </c>
    </row>
    <row r="7038" customHeight="1" spans="8:8">
      <c r="H7038" s="39" t="e">
        <f>VLOOKUP(E7038,基础信息!C:E,3,FALSE)</f>
        <v>#N/A</v>
      </c>
    </row>
    <row r="7039" customHeight="1" spans="8:8">
      <c r="H7039" s="39" t="e">
        <f>VLOOKUP(E7039,基础信息!C:E,3,FALSE)</f>
        <v>#N/A</v>
      </c>
    </row>
    <row r="7040" customHeight="1" spans="8:8">
      <c r="H7040" s="39" t="e">
        <f>VLOOKUP(E7040,基础信息!C:E,3,FALSE)</f>
        <v>#N/A</v>
      </c>
    </row>
    <row r="7041" customHeight="1" spans="8:8">
      <c r="H7041" s="39" t="e">
        <f>VLOOKUP(E7041,基础信息!C:E,3,FALSE)</f>
        <v>#N/A</v>
      </c>
    </row>
    <row r="7042" customHeight="1" spans="8:8">
      <c r="H7042" s="39" t="e">
        <f>VLOOKUP(E7042,基础信息!C:E,3,FALSE)</f>
        <v>#N/A</v>
      </c>
    </row>
    <row r="7043" customHeight="1" spans="8:8">
      <c r="H7043" s="39" t="e">
        <f>VLOOKUP(E7043,基础信息!C:E,3,FALSE)</f>
        <v>#N/A</v>
      </c>
    </row>
    <row r="7044" customHeight="1" spans="8:8">
      <c r="H7044" s="39" t="e">
        <f>VLOOKUP(E7044,基础信息!C:E,3,FALSE)</f>
        <v>#N/A</v>
      </c>
    </row>
    <row r="7045" customHeight="1" spans="8:8">
      <c r="H7045" s="39" t="e">
        <f>VLOOKUP(E7045,基础信息!C:E,3,FALSE)</f>
        <v>#N/A</v>
      </c>
    </row>
    <row r="7046" customHeight="1" spans="8:8">
      <c r="H7046" s="39" t="e">
        <f>VLOOKUP(E7046,基础信息!C:E,3,FALSE)</f>
        <v>#N/A</v>
      </c>
    </row>
    <row r="7047" customHeight="1" spans="8:8">
      <c r="H7047" s="39" t="e">
        <f>VLOOKUP(E7047,基础信息!C:E,3,FALSE)</f>
        <v>#N/A</v>
      </c>
    </row>
    <row r="7048" customHeight="1" spans="8:8">
      <c r="H7048" s="39" t="e">
        <f>VLOOKUP(E7048,基础信息!C:E,3,FALSE)</f>
        <v>#N/A</v>
      </c>
    </row>
    <row r="7049" customHeight="1" spans="8:8">
      <c r="H7049" s="39" t="e">
        <f>VLOOKUP(E7049,基础信息!C:E,3,FALSE)</f>
        <v>#N/A</v>
      </c>
    </row>
    <row r="7050" customHeight="1" spans="8:8">
      <c r="H7050" s="39" t="e">
        <f>VLOOKUP(E7050,基础信息!C:E,3,FALSE)</f>
        <v>#N/A</v>
      </c>
    </row>
    <row r="7051" customHeight="1" spans="8:8">
      <c r="H7051" s="39" t="e">
        <f>VLOOKUP(E7051,基础信息!C:E,3,FALSE)</f>
        <v>#N/A</v>
      </c>
    </row>
    <row r="7052" customHeight="1" spans="8:8">
      <c r="H7052" s="39" t="e">
        <f>VLOOKUP(E7052,基础信息!C:E,3,FALSE)</f>
        <v>#N/A</v>
      </c>
    </row>
    <row r="7053" customHeight="1" spans="8:8">
      <c r="H7053" s="39" t="e">
        <f>VLOOKUP(E7053,基础信息!C:E,3,FALSE)</f>
        <v>#N/A</v>
      </c>
    </row>
    <row r="7054" customHeight="1" spans="8:8">
      <c r="H7054" s="39" t="e">
        <f>VLOOKUP(E7054,基础信息!C:E,3,FALSE)</f>
        <v>#N/A</v>
      </c>
    </row>
    <row r="7055" customHeight="1" spans="8:8">
      <c r="H7055" s="39" t="e">
        <f>VLOOKUP(E7055,基础信息!C:E,3,FALSE)</f>
        <v>#N/A</v>
      </c>
    </row>
    <row r="7056" customHeight="1" spans="8:8">
      <c r="H7056" s="39" t="e">
        <f>VLOOKUP(E7056,基础信息!C:E,3,FALSE)</f>
        <v>#N/A</v>
      </c>
    </row>
    <row r="7057" customHeight="1" spans="8:8">
      <c r="H7057" s="39" t="e">
        <f>VLOOKUP(E7057,基础信息!C:E,3,FALSE)</f>
        <v>#N/A</v>
      </c>
    </row>
    <row r="7058" customHeight="1" spans="8:8">
      <c r="H7058" s="39" t="e">
        <f>VLOOKUP(E7058,基础信息!C:E,3,FALSE)</f>
        <v>#N/A</v>
      </c>
    </row>
    <row r="7059" customHeight="1" spans="8:8">
      <c r="H7059" s="39" t="e">
        <f>VLOOKUP(E7059,基础信息!C:E,3,FALSE)</f>
        <v>#N/A</v>
      </c>
    </row>
    <row r="7060" customHeight="1" spans="8:8">
      <c r="H7060" s="39" t="e">
        <f>VLOOKUP(E7060,基础信息!C:E,3,FALSE)</f>
        <v>#N/A</v>
      </c>
    </row>
    <row r="7061" customHeight="1" spans="8:8">
      <c r="H7061" s="39" t="e">
        <f>VLOOKUP(E7061,基础信息!C:E,3,FALSE)</f>
        <v>#N/A</v>
      </c>
    </row>
    <row r="7062" customHeight="1" spans="8:8">
      <c r="H7062" s="39" t="e">
        <f>VLOOKUP(E7062,基础信息!C:E,3,FALSE)</f>
        <v>#N/A</v>
      </c>
    </row>
    <row r="7063" customHeight="1" spans="8:8">
      <c r="H7063" s="39" t="e">
        <f>VLOOKUP(E7063,基础信息!C:E,3,FALSE)</f>
        <v>#N/A</v>
      </c>
    </row>
    <row r="7064" customHeight="1" spans="8:8">
      <c r="H7064" s="39" t="e">
        <f>VLOOKUP(E7064,基础信息!C:E,3,FALSE)</f>
        <v>#N/A</v>
      </c>
    </row>
    <row r="7065" customHeight="1" spans="8:8">
      <c r="H7065" s="39" t="e">
        <f>VLOOKUP(E7065,基础信息!C:E,3,FALSE)</f>
        <v>#N/A</v>
      </c>
    </row>
    <row r="7066" customHeight="1" spans="8:8">
      <c r="H7066" s="39" t="e">
        <f>VLOOKUP(E7066,基础信息!C:E,3,FALSE)</f>
        <v>#N/A</v>
      </c>
    </row>
    <row r="7067" customHeight="1" spans="8:8">
      <c r="H7067" s="39" t="e">
        <f>VLOOKUP(E7067,基础信息!C:E,3,FALSE)</f>
        <v>#N/A</v>
      </c>
    </row>
    <row r="7068" customHeight="1" spans="8:8">
      <c r="H7068" s="39" t="e">
        <f>VLOOKUP(E7068,基础信息!C:E,3,FALSE)</f>
        <v>#N/A</v>
      </c>
    </row>
    <row r="7069" customHeight="1" spans="8:8">
      <c r="H7069" s="39" t="e">
        <f>VLOOKUP(E7069,基础信息!C:E,3,FALSE)</f>
        <v>#N/A</v>
      </c>
    </row>
    <row r="7070" customHeight="1" spans="8:8">
      <c r="H7070" s="39" t="e">
        <f>VLOOKUP(E7070,基础信息!C:E,3,FALSE)</f>
        <v>#N/A</v>
      </c>
    </row>
    <row r="7071" customHeight="1" spans="8:8">
      <c r="H7071" s="39" t="e">
        <f>VLOOKUP(E7071,基础信息!C:E,3,FALSE)</f>
        <v>#N/A</v>
      </c>
    </row>
    <row r="7072" customHeight="1" spans="8:8">
      <c r="H7072" s="39" t="e">
        <f>VLOOKUP(E7072,基础信息!C:E,3,FALSE)</f>
        <v>#N/A</v>
      </c>
    </row>
    <row r="7073" customHeight="1" spans="8:8">
      <c r="H7073" s="39" t="e">
        <f>VLOOKUP(E7073,基础信息!C:E,3,FALSE)</f>
        <v>#N/A</v>
      </c>
    </row>
    <row r="7074" customHeight="1" spans="8:8">
      <c r="H7074" s="39" t="e">
        <f>VLOOKUP(E7074,基础信息!C:E,3,FALSE)</f>
        <v>#N/A</v>
      </c>
    </row>
    <row r="7075" customHeight="1" spans="8:8">
      <c r="H7075" s="39" t="e">
        <f>VLOOKUP(E7075,基础信息!C:E,3,FALSE)</f>
        <v>#N/A</v>
      </c>
    </row>
    <row r="7076" customHeight="1" spans="8:8">
      <c r="H7076" s="39" t="e">
        <f>VLOOKUP(E7076,基础信息!C:E,3,FALSE)</f>
        <v>#N/A</v>
      </c>
    </row>
    <row r="7077" customHeight="1" spans="8:8">
      <c r="H7077" s="39" t="e">
        <f>VLOOKUP(E7077,基础信息!C:E,3,FALSE)</f>
        <v>#N/A</v>
      </c>
    </row>
    <row r="7078" customHeight="1" spans="8:8">
      <c r="H7078" s="39" t="e">
        <f>VLOOKUP(E7078,基础信息!C:E,3,FALSE)</f>
        <v>#N/A</v>
      </c>
    </row>
    <row r="7079" customHeight="1" spans="8:8">
      <c r="H7079" s="39" t="e">
        <f>VLOOKUP(E7079,基础信息!C:E,3,FALSE)</f>
        <v>#N/A</v>
      </c>
    </row>
    <row r="7080" customHeight="1" spans="8:8">
      <c r="H7080" s="39" t="e">
        <f>VLOOKUP(E7080,基础信息!C:E,3,FALSE)</f>
        <v>#N/A</v>
      </c>
    </row>
    <row r="7081" customHeight="1" spans="8:8">
      <c r="H7081" s="39" t="e">
        <f>VLOOKUP(E7081,基础信息!C:E,3,FALSE)</f>
        <v>#N/A</v>
      </c>
    </row>
    <row r="7082" customHeight="1" spans="8:8">
      <c r="H7082" s="39" t="e">
        <f>VLOOKUP(E7082,基础信息!C:E,3,FALSE)</f>
        <v>#N/A</v>
      </c>
    </row>
    <row r="7083" customHeight="1" spans="8:8">
      <c r="H7083" s="39" t="e">
        <f>VLOOKUP(E7083,基础信息!C:E,3,FALSE)</f>
        <v>#N/A</v>
      </c>
    </row>
    <row r="7084" customHeight="1" spans="8:8">
      <c r="H7084" s="39" t="e">
        <f>VLOOKUP(E7084,基础信息!C:E,3,FALSE)</f>
        <v>#N/A</v>
      </c>
    </row>
    <row r="7085" customHeight="1" spans="8:8">
      <c r="H7085" s="39" t="e">
        <f>VLOOKUP(E7085,基础信息!C:E,3,FALSE)</f>
        <v>#N/A</v>
      </c>
    </row>
    <row r="7086" customHeight="1" spans="8:8">
      <c r="H7086" s="39" t="e">
        <f>VLOOKUP(E7086,基础信息!C:E,3,FALSE)</f>
        <v>#N/A</v>
      </c>
    </row>
    <row r="7087" customHeight="1" spans="8:8">
      <c r="H7087" s="39" t="e">
        <f>VLOOKUP(E7087,基础信息!C:E,3,FALSE)</f>
        <v>#N/A</v>
      </c>
    </row>
    <row r="7088" customHeight="1" spans="8:8">
      <c r="H7088" s="39" t="e">
        <f>VLOOKUP(E7088,基础信息!C:E,3,FALSE)</f>
        <v>#N/A</v>
      </c>
    </row>
    <row r="7089" customHeight="1" spans="8:8">
      <c r="H7089" s="39" t="e">
        <f>VLOOKUP(E7089,基础信息!C:E,3,FALSE)</f>
        <v>#N/A</v>
      </c>
    </row>
    <row r="7090" customHeight="1" spans="8:8">
      <c r="H7090" s="39" t="e">
        <f>VLOOKUP(E7090,基础信息!C:E,3,FALSE)</f>
        <v>#N/A</v>
      </c>
    </row>
    <row r="7091" customHeight="1" spans="8:8">
      <c r="H7091" s="39" t="e">
        <f>VLOOKUP(E7091,基础信息!C:E,3,FALSE)</f>
        <v>#N/A</v>
      </c>
    </row>
    <row r="7092" customHeight="1" spans="8:8">
      <c r="H7092" s="39" t="e">
        <f>VLOOKUP(E7092,基础信息!C:E,3,FALSE)</f>
        <v>#N/A</v>
      </c>
    </row>
    <row r="7093" customHeight="1" spans="8:8">
      <c r="H7093" s="39" t="e">
        <f>VLOOKUP(E7093,基础信息!C:E,3,FALSE)</f>
        <v>#N/A</v>
      </c>
    </row>
    <row r="7094" customHeight="1" spans="8:8">
      <c r="H7094" s="39" t="e">
        <f>VLOOKUP(E7094,基础信息!C:E,3,FALSE)</f>
        <v>#N/A</v>
      </c>
    </row>
    <row r="7095" customHeight="1" spans="8:8">
      <c r="H7095" s="39" t="e">
        <f>VLOOKUP(E7095,基础信息!C:E,3,FALSE)</f>
        <v>#N/A</v>
      </c>
    </row>
    <row r="7096" customHeight="1" spans="8:8">
      <c r="H7096" s="39" t="e">
        <f>VLOOKUP(E7096,基础信息!C:E,3,FALSE)</f>
        <v>#N/A</v>
      </c>
    </row>
    <row r="7097" customHeight="1" spans="8:8">
      <c r="H7097" s="39" t="e">
        <f>VLOOKUP(E7097,基础信息!C:E,3,FALSE)</f>
        <v>#N/A</v>
      </c>
    </row>
    <row r="7098" customHeight="1" spans="8:8">
      <c r="H7098" s="39" t="e">
        <f>VLOOKUP(E7098,基础信息!C:E,3,FALSE)</f>
        <v>#N/A</v>
      </c>
    </row>
    <row r="7099" customHeight="1" spans="8:8">
      <c r="H7099" s="39" t="e">
        <f>VLOOKUP(E7099,基础信息!C:E,3,FALSE)</f>
        <v>#N/A</v>
      </c>
    </row>
    <row r="7100" customHeight="1" spans="8:8">
      <c r="H7100" s="39" t="e">
        <f>VLOOKUP(E7100,基础信息!C:E,3,FALSE)</f>
        <v>#N/A</v>
      </c>
    </row>
    <row r="7101" customHeight="1" spans="8:8">
      <c r="H7101" s="39" t="e">
        <f>VLOOKUP(E7101,基础信息!C:E,3,FALSE)</f>
        <v>#N/A</v>
      </c>
    </row>
    <row r="7102" customHeight="1" spans="8:8">
      <c r="H7102" s="39" t="e">
        <f>VLOOKUP(E7102,基础信息!C:E,3,FALSE)</f>
        <v>#N/A</v>
      </c>
    </row>
    <row r="7103" customHeight="1" spans="8:8">
      <c r="H7103" s="39" t="e">
        <f>VLOOKUP(E7103,基础信息!C:E,3,FALSE)</f>
        <v>#N/A</v>
      </c>
    </row>
    <row r="7104" customHeight="1" spans="8:8">
      <c r="H7104" s="39" t="e">
        <f>VLOOKUP(E7104,基础信息!C:E,3,FALSE)</f>
        <v>#N/A</v>
      </c>
    </row>
    <row r="7105" customHeight="1" spans="8:8">
      <c r="H7105" s="39" t="e">
        <f>VLOOKUP(E7105,基础信息!C:E,3,FALSE)</f>
        <v>#N/A</v>
      </c>
    </row>
    <row r="7106" customHeight="1" spans="8:8">
      <c r="H7106" s="39" t="e">
        <f>VLOOKUP(E7106,基础信息!C:E,3,FALSE)</f>
        <v>#N/A</v>
      </c>
    </row>
    <row r="7107" customHeight="1" spans="8:8">
      <c r="H7107" s="39" t="e">
        <f>VLOOKUP(E7107,基础信息!C:E,3,FALSE)</f>
        <v>#N/A</v>
      </c>
    </row>
    <row r="7108" customHeight="1" spans="8:8">
      <c r="H7108" s="39" t="e">
        <f>VLOOKUP(E7108,基础信息!C:E,3,FALSE)</f>
        <v>#N/A</v>
      </c>
    </row>
    <row r="7109" customHeight="1" spans="8:8">
      <c r="H7109" s="39" t="e">
        <f>VLOOKUP(E7109,基础信息!C:E,3,FALSE)</f>
        <v>#N/A</v>
      </c>
    </row>
    <row r="7110" customHeight="1" spans="8:8">
      <c r="H7110" s="39" t="e">
        <f>VLOOKUP(E7110,基础信息!C:E,3,FALSE)</f>
        <v>#N/A</v>
      </c>
    </row>
    <row r="7111" customHeight="1" spans="8:8">
      <c r="H7111" s="39" t="e">
        <f>VLOOKUP(E7111,基础信息!C:E,3,FALSE)</f>
        <v>#N/A</v>
      </c>
    </row>
    <row r="7112" customHeight="1" spans="8:8">
      <c r="H7112" s="39" t="e">
        <f>VLOOKUP(E7112,基础信息!C:E,3,FALSE)</f>
        <v>#N/A</v>
      </c>
    </row>
    <row r="7113" customHeight="1" spans="8:8">
      <c r="H7113" s="39" t="e">
        <f>VLOOKUP(E7113,基础信息!C:E,3,FALSE)</f>
        <v>#N/A</v>
      </c>
    </row>
    <row r="7114" customHeight="1" spans="8:8">
      <c r="H7114" s="39" t="e">
        <f>VLOOKUP(E7114,基础信息!C:E,3,FALSE)</f>
        <v>#N/A</v>
      </c>
    </row>
    <row r="7115" customHeight="1" spans="8:8">
      <c r="H7115" s="39" t="e">
        <f>VLOOKUP(E7115,基础信息!C:E,3,FALSE)</f>
        <v>#N/A</v>
      </c>
    </row>
    <row r="7116" customHeight="1" spans="8:8">
      <c r="H7116" s="39" t="e">
        <f>VLOOKUP(E7116,基础信息!C:E,3,FALSE)</f>
        <v>#N/A</v>
      </c>
    </row>
    <row r="7117" customHeight="1" spans="8:8">
      <c r="H7117" s="39" t="e">
        <f>VLOOKUP(E7117,基础信息!C:E,3,FALSE)</f>
        <v>#N/A</v>
      </c>
    </row>
    <row r="7118" customHeight="1" spans="8:8">
      <c r="H7118" s="39" t="e">
        <f>VLOOKUP(E7118,基础信息!C:E,3,FALSE)</f>
        <v>#N/A</v>
      </c>
    </row>
    <row r="7119" customHeight="1" spans="8:8">
      <c r="H7119" s="39" t="e">
        <f>VLOOKUP(E7119,基础信息!C:E,3,FALSE)</f>
        <v>#N/A</v>
      </c>
    </row>
    <row r="7120" customHeight="1" spans="8:8">
      <c r="H7120" s="39" t="e">
        <f>VLOOKUP(E7120,基础信息!C:E,3,FALSE)</f>
        <v>#N/A</v>
      </c>
    </row>
    <row r="7121" customHeight="1" spans="8:8">
      <c r="H7121" s="39" t="e">
        <f>VLOOKUP(E7121,基础信息!C:E,3,FALSE)</f>
        <v>#N/A</v>
      </c>
    </row>
    <row r="7122" customHeight="1" spans="8:8">
      <c r="H7122" s="39" t="e">
        <f>VLOOKUP(E7122,基础信息!C:E,3,FALSE)</f>
        <v>#N/A</v>
      </c>
    </row>
    <row r="7123" customHeight="1" spans="8:8">
      <c r="H7123" s="39" t="e">
        <f>VLOOKUP(E7123,基础信息!C:E,3,FALSE)</f>
        <v>#N/A</v>
      </c>
    </row>
    <row r="7124" customHeight="1" spans="8:8">
      <c r="H7124" s="39" t="e">
        <f>VLOOKUP(E7124,基础信息!C:E,3,FALSE)</f>
        <v>#N/A</v>
      </c>
    </row>
    <row r="7125" customHeight="1" spans="8:8">
      <c r="H7125" s="39" t="e">
        <f>VLOOKUP(E7125,基础信息!C:E,3,FALSE)</f>
        <v>#N/A</v>
      </c>
    </row>
    <row r="7126" customHeight="1" spans="8:8">
      <c r="H7126" s="39" t="e">
        <f>VLOOKUP(E7126,基础信息!C:E,3,FALSE)</f>
        <v>#N/A</v>
      </c>
    </row>
    <row r="7127" customHeight="1" spans="8:8">
      <c r="H7127" s="39" t="e">
        <f>VLOOKUP(E7127,基础信息!C:E,3,FALSE)</f>
        <v>#N/A</v>
      </c>
    </row>
    <row r="7128" customHeight="1" spans="8:8">
      <c r="H7128" s="39" t="e">
        <f>VLOOKUP(E7128,基础信息!C:E,3,FALSE)</f>
        <v>#N/A</v>
      </c>
    </row>
    <row r="7129" customHeight="1" spans="8:8">
      <c r="H7129" s="39" t="e">
        <f>VLOOKUP(E7129,基础信息!C:E,3,FALSE)</f>
        <v>#N/A</v>
      </c>
    </row>
    <row r="7130" customHeight="1" spans="8:8">
      <c r="H7130" s="39" t="e">
        <f>VLOOKUP(E7130,基础信息!C:E,3,FALSE)</f>
        <v>#N/A</v>
      </c>
    </row>
    <row r="7131" customHeight="1" spans="8:8">
      <c r="H7131" s="39" t="e">
        <f>VLOOKUP(E7131,基础信息!C:E,3,FALSE)</f>
        <v>#N/A</v>
      </c>
    </row>
    <row r="7132" customHeight="1" spans="8:8">
      <c r="H7132" s="39" t="e">
        <f>VLOOKUP(E7132,基础信息!C:E,3,FALSE)</f>
        <v>#N/A</v>
      </c>
    </row>
    <row r="7133" customHeight="1" spans="8:8">
      <c r="H7133" s="39" t="e">
        <f>VLOOKUP(E7133,基础信息!C:E,3,FALSE)</f>
        <v>#N/A</v>
      </c>
    </row>
    <row r="7134" customHeight="1" spans="8:8">
      <c r="H7134" s="39" t="e">
        <f>VLOOKUP(E7134,基础信息!C:E,3,FALSE)</f>
        <v>#N/A</v>
      </c>
    </row>
    <row r="7135" customHeight="1" spans="8:8">
      <c r="H7135" s="39" t="e">
        <f>VLOOKUP(E7135,基础信息!C:E,3,FALSE)</f>
        <v>#N/A</v>
      </c>
    </row>
    <row r="7136" customHeight="1" spans="8:8">
      <c r="H7136" s="39" t="e">
        <f>VLOOKUP(E7136,基础信息!C:E,3,FALSE)</f>
        <v>#N/A</v>
      </c>
    </row>
    <row r="7137" customHeight="1" spans="8:8">
      <c r="H7137" s="39" t="e">
        <f>VLOOKUP(E7137,基础信息!C:E,3,FALSE)</f>
        <v>#N/A</v>
      </c>
    </row>
    <row r="7138" customHeight="1" spans="8:8">
      <c r="H7138" s="39" t="e">
        <f>VLOOKUP(E7138,基础信息!C:E,3,FALSE)</f>
        <v>#N/A</v>
      </c>
    </row>
    <row r="7139" customHeight="1" spans="8:8">
      <c r="H7139" s="39" t="e">
        <f>VLOOKUP(E7139,基础信息!C:E,3,FALSE)</f>
        <v>#N/A</v>
      </c>
    </row>
    <row r="7140" customHeight="1" spans="8:8">
      <c r="H7140" s="39" t="e">
        <f>VLOOKUP(E7140,基础信息!C:E,3,FALSE)</f>
        <v>#N/A</v>
      </c>
    </row>
    <row r="7141" customHeight="1" spans="8:8">
      <c r="H7141" s="39" t="e">
        <f>VLOOKUP(E7141,基础信息!C:E,3,FALSE)</f>
        <v>#N/A</v>
      </c>
    </row>
    <row r="7142" customHeight="1" spans="8:8">
      <c r="H7142" s="39" t="e">
        <f>VLOOKUP(E7142,基础信息!C:E,3,FALSE)</f>
        <v>#N/A</v>
      </c>
    </row>
    <row r="7143" customHeight="1" spans="8:8">
      <c r="H7143" s="39" t="e">
        <f>VLOOKUP(E7143,基础信息!C:E,3,FALSE)</f>
        <v>#N/A</v>
      </c>
    </row>
    <row r="7144" customHeight="1" spans="8:8">
      <c r="H7144" s="39" t="e">
        <f>VLOOKUP(E7144,基础信息!C:E,3,FALSE)</f>
        <v>#N/A</v>
      </c>
    </row>
    <row r="7145" customHeight="1" spans="8:8">
      <c r="H7145" s="39" t="e">
        <f>VLOOKUP(E7145,基础信息!C:E,3,FALSE)</f>
        <v>#N/A</v>
      </c>
    </row>
    <row r="7146" customHeight="1" spans="8:8">
      <c r="H7146" s="39" t="e">
        <f>VLOOKUP(E7146,基础信息!C:E,3,FALSE)</f>
        <v>#N/A</v>
      </c>
    </row>
    <row r="7147" customHeight="1" spans="8:8">
      <c r="H7147" s="39" t="e">
        <f>VLOOKUP(E7147,基础信息!C:E,3,FALSE)</f>
        <v>#N/A</v>
      </c>
    </row>
    <row r="7148" customHeight="1" spans="8:8">
      <c r="H7148" s="39" t="e">
        <f>VLOOKUP(E7148,基础信息!C:E,3,FALSE)</f>
        <v>#N/A</v>
      </c>
    </row>
    <row r="7149" customHeight="1" spans="8:8">
      <c r="H7149" s="39" t="e">
        <f>VLOOKUP(E7149,基础信息!C:E,3,FALSE)</f>
        <v>#N/A</v>
      </c>
    </row>
    <row r="7150" customHeight="1" spans="8:8">
      <c r="H7150" s="39" t="e">
        <f>VLOOKUP(E7150,基础信息!C:E,3,FALSE)</f>
        <v>#N/A</v>
      </c>
    </row>
    <row r="7151" customHeight="1" spans="8:8">
      <c r="H7151" s="39" t="e">
        <f>VLOOKUP(E7151,基础信息!C:E,3,FALSE)</f>
        <v>#N/A</v>
      </c>
    </row>
    <row r="7152" customHeight="1" spans="8:8">
      <c r="H7152" s="39" t="e">
        <f>VLOOKUP(E7152,基础信息!C:E,3,FALSE)</f>
        <v>#N/A</v>
      </c>
    </row>
    <row r="7153" customHeight="1" spans="8:8">
      <c r="H7153" s="39" t="e">
        <f>VLOOKUP(E7153,基础信息!C:E,3,FALSE)</f>
        <v>#N/A</v>
      </c>
    </row>
    <row r="7154" customHeight="1" spans="8:8">
      <c r="H7154" s="39" t="e">
        <f>VLOOKUP(E7154,基础信息!C:E,3,FALSE)</f>
        <v>#N/A</v>
      </c>
    </row>
    <row r="7155" customHeight="1" spans="8:8">
      <c r="H7155" s="39" t="e">
        <f>VLOOKUP(E7155,基础信息!C:E,3,FALSE)</f>
        <v>#N/A</v>
      </c>
    </row>
    <row r="7156" customHeight="1" spans="8:8">
      <c r="H7156" s="39" t="e">
        <f>VLOOKUP(E7156,基础信息!C:E,3,FALSE)</f>
        <v>#N/A</v>
      </c>
    </row>
    <row r="7157" customHeight="1" spans="8:8">
      <c r="H7157" s="39" t="e">
        <f>VLOOKUP(E7157,基础信息!C:E,3,FALSE)</f>
        <v>#N/A</v>
      </c>
    </row>
    <row r="7158" customHeight="1" spans="8:8">
      <c r="H7158" s="39" t="e">
        <f>VLOOKUP(E7158,基础信息!C:E,3,FALSE)</f>
        <v>#N/A</v>
      </c>
    </row>
    <row r="7159" customHeight="1" spans="8:8">
      <c r="H7159" s="39" t="e">
        <f>VLOOKUP(E7159,基础信息!C:E,3,FALSE)</f>
        <v>#N/A</v>
      </c>
    </row>
    <row r="7160" customHeight="1" spans="8:8">
      <c r="H7160" s="39" t="e">
        <f>VLOOKUP(E7160,基础信息!C:E,3,FALSE)</f>
        <v>#N/A</v>
      </c>
    </row>
    <row r="7161" customHeight="1" spans="8:8">
      <c r="H7161" s="39" t="e">
        <f>VLOOKUP(E7161,基础信息!C:E,3,FALSE)</f>
        <v>#N/A</v>
      </c>
    </row>
    <row r="7162" customHeight="1" spans="8:8">
      <c r="H7162" s="39" t="e">
        <f>VLOOKUP(E7162,基础信息!C:E,3,FALSE)</f>
        <v>#N/A</v>
      </c>
    </row>
    <row r="7163" customHeight="1" spans="8:8">
      <c r="H7163" s="39" t="e">
        <f>VLOOKUP(E7163,基础信息!C:E,3,FALSE)</f>
        <v>#N/A</v>
      </c>
    </row>
    <row r="7164" customHeight="1" spans="8:8">
      <c r="H7164" s="39" t="e">
        <f>VLOOKUP(E7164,基础信息!C:E,3,FALSE)</f>
        <v>#N/A</v>
      </c>
    </row>
    <row r="7165" customHeight="1" spans="8:8">
      <c r="H7165" s="39" t="e">
        <f>VLOOKUP(E7165,基础信息!C:E,3,FALSE)</f>
        <v>#N/A</v>
      </c>
    </row>
    <row r="7166" customHeight="1" spans="8:8">
      <c r="H7166" s="39" t="e">
        <f>VLOOKUP(E7166,基础信息!C:E,3,FALSE)</f>
        <v>#N/A</v>
      </c>
    </row>
    <row r="7167" customHeight="1" spans="8:8">
      <c r="H7167" s="39" t="e">
        <f>VLOOKUP(E7167,基础信息!C:E,3,FALSE)</f>
        <v>#N/A</v>
      </c>
    </row>
    <row r="7168" customHeight="1" spans="8:8">
      <c r="H7168" s="39" t="e">
        <f>VLOOKUP(E7168,基础信息!C:E,3,FALSE)</f>
        <v>#N/A</v>
      </c>
    </row>
    <row r="7169" customHeight="1" spans="8:8">
      <c r="H7169" s="39" t="e">
        <f>VLOOKUP(E7169,基础信息!C:E,3,FALSE)</f>
        <v>#N/A</v>
      </c>
    </row>
    <row r="7170" customHeight="1" spans="8:8">
      <c r="H7170" s="39" t="e">
        <f>VLOOKUP(E7170,基础信息!C:E,3,FALSE)</f>
        <v>#N/A</v>
      </c>
    </row>
    <row r="7171" customHeight="1" spans="8:8">
      <c r="H7171" s="39" t="e">
        <f>VLOOKUP(E7171,基础信息!C:E,3,FALSE)</f>
        <v>#N/A</v>
      </c>
    </row>
    <row r="7172" customHeight="1" spans="8:8">
      <c r="H7172" s="39" t="e">
        <f>VLOOKUP(E7172,基础信息!C:E,3,FALSE)</f>
        <v>#N/A</v>
      </c>
    </row>
    <row r="7173" customHeight="1" spans="8:8">
      <c r="H7173" s="39" t="e">
        <f>VLOOKUP(E7173,基础信息!C:E,3,FALSE)</f>
        <v>#N/A</v>
      </c>
    </row>
    <row r="7174" customHeight="1" spans="8:8">
      <c r="H7174" s="39" t="e">
        <f>VLOOKUP(E7174,基础信息!C:E,3,FALSE)</f>
        <v>#N/A</v>
      </c>
    </row>
    <row r="7175" customHeight="1" spans="8:8">
      <c r="H7175" s="39" t="e">
        <f>VLOOKUP(E7175,基础信息!C:E,3,FALSE)</f>
        <v>#N/A</v>
      </c>
    </row>
    <row r="7176" customHeight="1" spans="8:8">
      <c r="H7176" s="39" t="e">
        <f>VLOOKUP(E7176,基础信息!C:E,3,FALSE)</f>
        <v>#N/A</v>
      </c>
    </row>
    <row r="7177" customHeight="1" spans="8:8">
      <c r="H7177" s="39" t="e">
        <f>VLOOKUP(E7177,基础信息!C:E,3,FALSE)</f>
        <v>#N/A</v>
      </c>
    </row>
    <row r="7178" customHeight="1" spans="8:8">
      <c r="H7178" s="39" t="e">
        <f>VLOOKUP(E7178,基础信息!C:E,3,FALSE)</f>
        <v>#N/A</v>
      </c>
    </row>
    <row r="7179" customHeight="1" spans="8:8">
      <c r="H7179" s="39" t="e">
        <f>VLOOKUP(E7179,基础信息!C:E,3,FALSE)</f>
        <v>#N/A</v>
      </c>
    </row>
    <row r="7180" customHeight="1" spans="8:8">
      <c r="H7180" s="39" t="e">
        <f>VLOOKUP(E7180,基础信息!C:E,3,FALSE)</f>
        <v>#N/A</v>
      </c>
    </row>
    <row r="7181" customHeight="1" spans="8:8">
      <c r="H7181" s="39" t="e">
        <f>VLOOKUP(E7181,基础信息!C:E,3,FALSE)</f>
        <v>#N/A</v>
      </c>
    </row>
    <row r="7182" customHeight="1" spans="8:8">
      <c r="H7182" s="39" t="e">
        <f>VLOOKUP(E7182,基础信息!C:E,3,FALSE)</f>
        <v>#N/A</v>
      </c>
    </row>
    <row r="7183" customHeight="1" spans="8:8">
      <c r="H7183" s="39" t="e">
        <f>VLOOKUP(E7183,基础信息!C:E,3,FALSE)</f>
        <v>#N/A</v>
      </c>
    </row>
    <row r="7184" customHeight="1" spans="8:8">
      <c r="H7184" s="39" t="e">
        <f>VLOOKUP(E7184,基础信息!C:E,3,FALSE)</f>
        <v>#N/A</v>
      </c>
    </row>
    <row r="7185" customHeight="1" spans="8:8">
      <c r="H7185" s="39" t="e">
        <f>VLOOKUP(E7185,基础信息!C:E,3,FALSE)</f>
        <v>#N/A</v>
      </c>
    </row>
    <row r="7186" customHeight="1" spans="8:8">
      <c r="H7186" s="39" t="e">
        <f>VLOOKUP(E7186,基础信息!C:E,3,FALSE)</f>
        <v>#N/A</v>
      </c>
    </row>
    <row r="7187" customHeight="1" spans="8:8">
      <c r="H7187" s="39" t="e">
        <f>VLOOKUP(E7187,基础信息!C:E,3,FALSE)</f>
        <v>#N/A</v>
      </c>
    </row>
    <row r="7188" customHeight="1" spans="8:8">
      <c r="H7188" s="39" t="e">
        <f>VLOOKUP(E7188,基础信息!C:E,3,FALSE)</f>
        <v>#N/A</v>
      </c>
    </row>
    <row r="7189" customHeight="1" spans="8:8">
      <c r="H7189" s="39" t="e">
        <f>VLOOKUP(E7189,基础信息!C:E,3,FALSE)</f>
        <v>#N/A</v>
      </c>
    </row>
    <row r="7190" customHeight="1" spans="8:8">
      <c r="H7190" s="39" t="e">
        <f>VLOOKUP(E7190,基础信息!C:E,3,FALSE)</f>
        <v>#N/A</v>
      </c>
    </row>
    <row r="7191" customHeight="1" spans="8:8">
      <c r="H7191" s="39" t="e">
        <f>VLOOKUP(E7191,基础信息!C:E,3,FALSE)</f>
        <v>#N/A</v>
      </c>
    </row>
    <row r="7192" customHeight="1" spans="8:8">
      <c r="H7192" s="39" t="e">
        <f>VLOOKUP(E7192,基础信息!C:E,3,FALSE)</f>
        <v>#N/A</v>
      </c>
    </row>
    <row r="7193" customHeight="1" spans="8:8">
      <c r="H7193" s="39" t="e">
        <f>VLOOKUP(E7193,基础信息!C:E,3,FALSE)</f>
        <v>#N/A</v>
      </c>
    </row>
    <row r="7194" customHeight="1" spans="8:8">
      <c r="H7194" s="39" t="e">
        <f>VLOOKUP(E7194,基础信息!C:E,3,FALSE)</f>
        <v>#N/A</v>
      </c>
    </row>
    <row r="7195" customHeight="1" spans="8:8">
      <c r="H7195" s="39" t="e">
        <f>VLOOKUP(E7195,基础信息!C:E,3,FALSE)</f>
        <v>#N/A</v>
      </c>
    </row>
    <row r="7196" customHeight="1" spans="8:8">
      <c r="H7196" s="39" t="e">
        <f>VLOOKUP(E7196,基础信息!C:E,3,FALSE)</f>
        <v>#N/A</v>
      </c>
    </row>
    <row r="7197" customHeight="1" spans="8:8">
      <c r="H7197" s="39" t="e">
        <f>VLOOKUP(E7197,基础信息!C:E,3,FALSE)</f>
        <v>#N/A</v>
      </c>
    </row>
    <row r="7198" customHeight="1" spans="8:8">
      <c r="H7198" s="39" t="e">
        <f>VLOOKUP(E7198,基础信息!C:E,3,FALSE)</f>
        <v>#N/A</v>
      </c>
    </row>
    <row r="7199" customHeight="1" spans="8:8">
      <c r="H7199" s="39" t="e">
        <f>VLOOKUP(E7199,基础信息!C:E,3,FALSE)</f>
        <v>#N/A</v>
      </c>
    </row>
    <row r="7200" customHeight="1" spans="8:8">
      <c r="H7200" s="39" t="e">
        <f>VLOOKUP(E7200,基础信息!C:E,3,FALSE)</f>
        <v>#N/A</v>
      </c>
    </row>
    <row r="7201" customHeight="1" spans="8:8">
      <c r="H7201" s="39" t="e">
        <f>VLOOKUP(E7201,基础信息!C:E,3,FALSE)</f>
        <v>#N/A</v>
      </c>
    </row>
    <row r="7202" customHeight="1" spans="8:8">
      <c r="H7202" s="39" t="e">
        <f>VLOOKUP(E7202,基础信息!C:E,3,FALSE)</f>
        <v>#N/A</v>
      </c>
    </row>
    <row r="7203" customHeight="1" spans="8:8">
      <c r="H7203" s="39" t="e">
        <f>VLOOKUP(E7203,基础信息!C:E,3,FALSE)</f>
        <v>#N/A</v>
      </c>
    </row>
    <row r="7204" customHeight="1" spans="8:8">
      <c r="H7204" s="39" t="e">
        <f>VLOOKUP(E7204,基础信息!C:E,3,FALSE)</f>
        <v>#N/A</v>
      </c>
    </row>
    <row r="7205" customHeight="1" spans="8:8">
      <c r="H7205" s="39" t="e">
        <f>VLOOKUP(E7205,基础信息!C:E,3,FALSE)</f>
        <v>#N/A</v>
      </c>
    </row>
    <row r="7206" customHeight="1" spans="8:8">
      <c r="H7206" s="39" t="e">
        <f>VLOOKUP(E7206,基础信息!C:E,3,FALSE)</f>
        <v>#N/A</v>
      </c>
    </row>
    <row r="7207" customHeight="1" spans="8:8">
      <c r="H7207" s="39" t="e">
        <f>VLOOKUP(E7207,基础信息!C:E,3,FALSE)</f>
        <v>#N/A</v>
      </c>
    </row>
    <row r="7208" customHeight="1" spans="8:8">
      <c r="H7208" s="39" t="e">
        <f>VLOOKUP(E7208,基础信息!C:E,3,FALSE)</f>
        <v>#N/A</v>
      </c>
    </row>
    <row r="7209" customHeight="1" spans="8:8">
      <c r="H7209" s="39" t="e">
        <f>VLOOKUP(E7209,基础信息!C:E,3,FALSE)</f>
        <v>#N/A</v>
      </c>
    </row>
    <row r="7210" customHeight="1" spans="8:8">
      <c r="H7210" s="39" t="e">
        <f>VLOOKUP(E7210,基础信息!C:E,3,FALSE)</f>
        <v>#N/A</v>
      </c>
    </row>
    <row r="7211" customHeight="1" spans="8:8">
      <c r="H7211" s="39" t="e">
        <f>VLOOKUP(E7211,基础信息!C:E,3,FALSE)</f>
        <v>#N/A</v>
      </c>
    </row>
    <row r="7212" customHeight="1" spans="8:8">
      <c r="H7212" s="39" t="e">
        <f>VLOOKUP(E7212,基础信息!C:E,3,FALSE)</f>
        <v>#N/A</v>
      </c>
    </row>
    <row r="7213" customHeight="1" spans="8:8">
      <c r="H7213" s="39" t="e">
        <f>VLOOKUP(E7213,基础信息!C:E,3,FALSE)</f>
        <v>#N/A</v>
      </c>
    </row>
    <row r="7214" customHeight="1" spans="8:8">
      <c r="H7214" s="39" t="e">
        <f>VLOOKUP(E7214,基础信息!C:E,3,FALSE)</f>
        <v>#N/A</v>
      </c>
    </row>
    <row r="7215" customHeight="1" spans="8:8">
      <c r="H7215" s="39" t="e">
        <f>VLOOKUP(E7215,基础信息!C:E,3,FALSE)</f>
        <v>#N/A</v>
      </c>
    </row>
    <row r="7216" customHeight="1" spans="8:8">
      <c r="H7216" s="39" t="e">
        <f>VLOOKUP(E7216,基础信息!C:E,3,FALSE)</f>
        <v>#N/A</v>
      </c>
    </row>
    <row r="7217" customHeight="1" spans="8:8">
      <c r="H7217" s="39" t="e">
        <f>VLOOKUP(E7217,基础信息!C:E,3,FALSE)</f>
        <v>#N/A</v>
      </c>
    </row>
    <row r="7218" customHeight="1" spans="8:8">
      <c r="H7218" s="39" t="e">
        <f>VLOOKUP(E7218,基础信息!C:E,3,FALSE)</f>
        <v>#N/A</v>
      </c>
    </row>
    <row r="7219" customHeight="1" spans="8:8">
      <c r="H7219" s="39" t="e">
        <f>VLOOKUP(E7219,基础信息!C:E,3,FALSE)</f>
        <v>#N/A</v>
      </c>
    </row>
    <row r="7220" customHeight="1" spans="8:8">
      <c r="H7220" s="39" t="e">
        <f>VLOOKUP(E7220,基础信息!C:E,3,FALSE)</f>
        <v>#N/A</v>
      </c>
    </row>
    <row r="7221" customHeight="1" spans="8:8">
      <c r="H7221" s="39" t="e">
        <f>VLOOKUP(E7221,基础信息!C:E,3,FALSE)</f>
        <v>#N/A</v>
      </c>
    </row>
    <row r="7222" customHeight="1" spans="8:8">
      <c r="H7222" s="39" t="e">
        <f>VLOOKUP(E7222,基础信息!C:E,3,FALSE)</f>
        <v>#N/A</v>
      </c>
    </row>
    <row r="7223" customHeight="1" spans="8:8">
      <c r="H7223" s="39" t="e">
        <f>VLOOKUP(E7223,基础信息!C:E,3,FALSE)</f>
        <v>#N/A</v>
      </c>
    </row>
    <row r="7224" customHeight="1" spans="8:8">
      <c r="H7224" s="39" t="e">
        <f>VLOOKUP(E7224,基础信息!C:E,3,FALSE)</f>
        <v>#N/A</v>
      </c>
    </row>
    <row r="7225" customHeight="1" spans="8:8">
      <c r="H7225" s="39" t="e">
        <f>VLOOKUP(E7225,基础信息!C:E,3,FALSE)</f>
        <v>#N/A</v>
      </c>
    </row>
    <row r="7226" customHeight="1" spans="8:8">
      <c r="H7226" s="39" t="e">
        <f>VLOOKUP(E7226,基础信息!C:E,3,FALSE)</f>
        <v>#N/A</v>
      </c>
    </row>
    <row r="7227" customHeight="1" spans="8:8">
      <c r="H7227" s="39" t="e">
        <f>VLOOKUP(E7227,基础信息!C:E,3,FALSE)</f>
        <v>#N/A</v>
      </c>
    </row>
    <row r="7228" customHeight="1" spans="8:8">
      <c r="H7228" s="39" t="e">
        <f>VLOOKUP(E7228,基础信息!C:E,3,FALSE)</f>
        <v>#N/A</v>
      </c>
    </row>
    <row r="7229" customHeight="1" spans="8:8">
      <c r="H7229" s="39" t="e">
        <f>VLOOKUP(E7229,基础信息!C:E,3,FALSE)</f>
        <v>#N/A</v>
      </c>
    </row>
    <row r="7230" customHeight="1" spans="8:8">
      <c r="H7230" s="39" t="e">
        <f>VLOOKUP(E7230,基础信息!C:E,3,FALSE)</f>
        <v>#N/A</v>
      </c>
    </row>
    <row r="7231" customHeight="1" spans="8:8">
      <c r="H7231" s="39" t="e">
        <f>VLOOKUP(E7231,基础信息!C:E,3,FALSE)</f>
        <v>#N/A</v>
      </c>
    </row>
    <row r="7232" customHeight="1" spans="8:8">
      <c r="H7232" s="39" t="e">
        <f>VLOOKUP(E7232,基础信息!C:E,3,FALSE)</f>
        <v>#N/A</v>
      </c>
    </row>
    <row r="7233" customHeight="1" spans="8:8">
      <c r="H7233" s="39" t="e">
        <f>VLOOKUP(E7233,基础信息!C:E,3,FALSE)</f>
        <v>#N/A</v>
      </c>
    </row>
    <row r="7234" customHeight="1" spans="8:8">
      <c r="H7234" s="39" t="e">
        <f>VLOOKUP(E7234,基础信息!C:E,3,FALSE)</f>
        <v>#N/A</v>
      </c>
    </row>
    <row r="7235" customHeight="1" spans="8:8">
      <c r="H7235" s="39" t="e">
        <f>VLOOKUP(E7235,基础信息!C:E,3,FALSE)</f>
        <v>#N/A</v>
      </c>
    </row>
    <row r="7236" customHeight="1" spans="8:8">
      <c r="H7236" s="39" t="e">
        <f>VLOOKUP(E7236,基础信息!C:E,3,FALSE)</f>
        <v>#N/A</v>
      </c>
    </row>
    <row r="7237" customHeight="1" spans="8:8">
      <c r="H7237" s="39" t="e">
        <f>VLOOKUP(E7237,基础信息!C:E,3,FALSE)</f>
        <v>#N/A</v>
      </c>
    </row>
    <row r="7238" customHeight="1" spans="8:8">
      <c r="H7238" s="39" t="e">
        <f>VLOOKUP(E7238,基础信息!C:E,3,FALSE)</f>
        <v>#N/A</v>
      </c>
    </row>
    <row r="7239" customHeight="1" spans="8:8">
      <c r="H7239" s="39" t="e">
        <f>VLOOKUP(E7239,基础信息!C:E,3,FALSE)</f>
        <v>#N/A</v>
      </c>
    </row>
    <row r="7240" customHeight="1" spans="8:8">
      <c r="H7240" s="39" t="e">
        <f>VLOOKUP(E7240,基础信息!C:E,3,FALSE)</f>
        <v>#N/A</v>
      </c>
    </row>
    <row r="7241" customHeight="1" spans="8:8">
      <c r="H7241" s="39" t="e">
        <f>VLOOKUP(E7241,基础信息!C:E,3,FALSE)</f>
        <v>#N/A</v>
      </c>
    </row>
    <row r="7242" customHeight="1" spans="8:8">
      <c r="H7242" s="39" t="e">
        <f>VLOOKUP(E7242,基础信息!C:E,3,FALSE)</f>
        <v>#N/A</v>
      </c>
    </row>
    <row r="7243" customHeight="1" spans="8:8">
      <c r="H7243" s="39" t="e">
        <f>VLOOKUP(E7243,基础信息!C:E,3,FALSE)</f>
        <v>#N/A</v>
      </c>
    </row>
    <row r="7244" customHeight="1" spans="8:8">
      <c r="H7244" s="39" t="e">
        <f>VLOOKUP(E7244,基础信息!C:E,3,FALSE)</f>
        <v>#N/A</v>
      </c>
    </row>
    <row r="7245" customHeight="1" spans="8:8">
      <c r="H7245" s="39" t="e">
        <f>VLOOKUP(E7245,基础信息!C:E,3,FALSE)</f>
        <v>#N/A</v>
      </c>
    </row>
    <row r="7246" customHeight="1" spans="8:8">
      <c r="H7246" s="39" t="e">
        <f>VLOOKUP(E7246,基础信息!C:E,3,FALSE)</f>
        <v>#N/A</v>
      </c>
    </row>
    <row r="7247" customHeight="1" spans="8:8">
      <c r="H7247" s="39" t="e">
        <f>VLOOKUP(E7247,基础信息!C:E,3,FALSE)</f>
        <v>#N/A</v>
      </c>
    </row>
    <row r="7248" customHeight="1" spans="8:8">
      <c r="H7248" s="39" t="e">
        <f>VLOOKUP(E7248,基础信息!C:E,3,FALSE)</f>
        <v>#N/A</v>
      </c>
    </row>
    <row r="7249" customHeight="1" spans="8:8">
      <c r="H7249" s="39" t="e">
        <f>VLOOKUP(E7249,基础信息!C:E,3,FALSE)</f>
        <v>#N/A</v>
      </c>
    </row>
    <row r="7250" customHeight="1" spans="8:8">
      <c r="H7250" s="39" t="e">
        <f>VLOOKUP(E7250,基础信息!C:E,3,FALSE)</f>
        <v>#N/A</v>
      </c>
    </row>
    <row r="7251" customHeight="1" spans="8:8">
      <c r="H7251" s="39" t="e">
        <f>VLOOKUP(E7251,基础信息!C:E,3,FALSE)</f>
        <v>#N/A</v>
      </c>
    </row>
    <row r="7252" customHeight="1" spans="8:8">
      <c r="H7252" s="39" t="e">
        <f>VLOOKUP(E7252,基础信息!C:E,3,FALSE)</f>
        <v>#N/A</v>
      </c>
    </row>
    <row r="7253" customHeight="1" spans="8:8">
      <c r="H7253" s="39" t="e">
        <f>VLOOKUP(E7253,基础信息!C:E,3,FALSE)</f>
        <v>#N/A</v>
      </c>
    </row>
    <row r="7254" customHeight="1" spans="8:8">
      <c r="H7254" s="39" t="e">
        <f>VLOOKUP(E7254,基础信息!C:E,3,FALSE)</f>
        <v>#N/A</v>
      </c>
    </row>
    <row r="7255" customHeight="1" spans="8:8">
      <c r="H7255" s="39" t="e">
        <f>VLOOKUP(E7255,基础信息!C:E,3,FALSE)</f>
        <v>#N/A</v>
      </c>
    </row>
    <row r="7256" customHeight="1" spans="8:8">
      <c r="H7256" s="39" t="e">
        <f>VLOOKUP(E7256,基础信息!C:E,3,FALSE)</f>
        <v>#N/A</v>
      </c>
    </row>
    <row r="7257" customHeight="1" spans="8:8">
      <c r="H7257" s="39" t="e">
        <f>VLOOKUP(E7257,基础信息!C:E,3,FALSE)</f>
        <v>#N/A</v>
      </c>
    </row>
    <row r="7258" customHeight="1" spans="8:8">
      <c r="H7258" s="39" t="e">
        <f>VLOOKUP(E7258,基础信息!C:E,3,FALSE)</f>
        <v>#N/A</v>
      </c>
    </row>
    <row r="7259" customHeight="1" spans="8:8">
      <c r="H7259" s="39" t="e">
        <f>VLOOKUP(E7259,基础信息!C:E,3,FALSE)</f>
        <v>#N/A</v>
      </c>
    </row>
    <row r="7260" customHeight="1" spans="8:8">
      <c r="H7260" s="39" t="e">
        <f>VLOOKUP(E7260,基础信息!C:E,3,FALSE)</f>
        <v>#N/A</v>
      </c>
    </row>
    <row r="7261" customHeight="1" spans="8:8">
      <c r="H7261" s="39" t="e">
        <f>VLOOKUP(E7261,基础信息!C:E,3,FALSE)</f>
        <v>#N/A</v>
      </c>
    </row>
    <row r="7262" customHeight="1" spans="8:8">
      <c r="H7262" s="39" t="e">
        <f>VLOOKUP(E7262,基础信息!C:E,3,FALSE)</f>
        <v>#N/A</v>
      </c>
    </row>
    <row r="7263" customHeight="1" spans="8:8">
      <c r="H7263" s="39" t="e">
        <f>VLOOKUP(E7263,基础信息!C:E,3,FALSE)</f>
        <v>#N/A</v>
      </c>
    </row>
    <row r="7264" customHeight="1" spans="8:8">
      <c r="H7264" s="39" t="e">
        <f>VLOOKUP(E7264,基础信息!C:E,3,FALSE)</f>
        <v>#N/A</v>
      </c>
    </row>
    <row r="7265" customHeight="1" spans="8:8">
      <c r="H7265" s="39" t="e">
        <f>VLOOKUP(E7265,基础信息!C:E,3,FALSE)</f>
        <v>#N/A</v>
      </c>
    </row>
    <row r="7266" customHeight="1" spans="8:8">
      <c r="H7266" s="39" t="e">
        <f>VLOOKUP(E7266,基础信息!C:E,3,FALSE)</f>
        <v>#N/A</v>
      </c>
    </row>
    <row r="7267" customHeight="1" spans="8:8">
      <c r="H7267" s="39" t="e">
        <f>VLOOKUP(E7267,基础信息!C:E,3,FALSE)</f>
        <v>#N/A</v>
      </c>
    </row>
    <row r="7268" customHeight="1" spans="8:8">
      <c r="H7268" s="39" t="e">
        <f>VLOOKUP(E7268,基础信息!C:E,3,FALSE)</f>
        <v>#N/A</v>
      </c>
    </row>
    <row r="7269" customHeight="1" spans="8:8">
      <c r="H7269" s="39" t="e">
        <f>VLOOKUP(E7269,基础信息!C:E,3,FALSE)</f>
        <v>#N/A</v>
      </c>
    </row>
    <row r="7270" customHeight="1" spans="8:8">
      <c r="H7270" s="39" t="e">
        <f>VLOOKUP(E7270,基础信息!C:E,3,FALSE)</f>
        <v>#N/A</v>
      </c>
    </row>
    <row r="7271" customHeight="1" spans="8:8">
      <c r="H7271" s="39" t="e">
        <f>VLOOKUP(E7271,基础信息!C:E,3,FALSE)</f>
        <v>#N/A</v>
      </c>
    </row>
    <row r="7272" customHeight="1" spans="8:8">
      <c r="H7272" s="39" t="e">
        <f>VLOOKUP(E7272,基础信息!C:E,3,FALSE)</f>
        <v>#N/A</v>
      </c>
    </row>
    <row r="7273" customHeight="1" spans="8:8">
      <c r="H7273" s="39" t="e">
        <f>VLOOKUP(E7273,基础信息!C:E,3,FALSE)</f>
        <v>#N/A</v>
      </c>
    </row>
    <row r="7274" customHeight="1" spans="8:8">
      <c r="H7274" s="39" t="e">
        <f>VLOOKUP(E7274,基础信息!C:E,3,FALSE)</f>
        <v>#N/A</v>
      </c>
    </row>
    <row r="7275" customHeight="1" spans="8:8">
      <c r="H7275" s="39" t="e">
        <f>VLOOKUP(E7275,基础信息!C:E,3,FALSE)</f>
        <v>#N/A</v>
      </c>
    </row>
    <row r="7276" customHeight="1" spans="8:8">
      <c r="H7276" s="39" t="e">
        <f>VLOOKUP(E7276,基础信息!C:E,3,FALSE)</f>
        <v>#N/A</v>
      </c>
    </row>
    <row r="7277" customHeight="1" spans="8:8">
      <c r="H7277" s="39" t="e">
        <f>VLOOKUP(E7277,基础信息!C:E,3,FALSE)</f>
        <v>#N/A</v>
      </c>
    </row>
    <row r="7278" customHeight="1" spans="8:8">
      <c r="H7278" s="39" t="e">
        <f>VLOOKUP(E7278,基础信息!C:E,3,FALSE)</f>
        <v>#N/A</v>
      </c>
    </row>
    <row r="7279" customHeight="1" spans="8:8">
      <c r="H7279" s="39" t="e">
        <f>VLOOKUP(E7279,基础信息!C:E,3,FALSE)</f>
        <v>#N/A</v>
      </c>
    </row>
    <row r="7280" customHeight="1" spans="8:8">
      <c r="H7280" s="39" t="e">
        <f>VLOOKUP(E7280,基础信息!C:E,3,FALSE)</f>
        <v>#N/A</v>
      </c>
    </row>
    <row r="7281" customHeight="1" spans="8:8">
      <c r="H7281" s="39" t="e">
        <f>VLOOKUP(E7281,基础信息!C:E,3,FALSE)</f>
        <v>#N/A</v>
      </c>
    </row>
    <row r="7282" customHeight="1" spans="8:8">
      <c r="H7282" s="39" t="e">
        <f>VLOOKUP(E7282,基础信息!C:E,3,FALSE)</f>
        <v>#N/A</v>
      </c>
    </row>
    <row r="7283" customHeight="1" spans="8:8">
      <c r="H7283" s="39" t="e">
        <f>VLOOKUP(E7283,基础信息!C:E,3,FALSE)</f>
        <v>#N/A</v>
      </c>
    </row>
    <row r="7284" customHeight="1" spans="8:8">
      <c r="H7284" s="39" t="e">
        <f>VLOOKUP(E7284,基础信息!C:E,3,FALSE)</f>
        <v>#N/A</v>
      </c>
    </row>
    <row r="7285" customHeight="1" spans="8:8">
      <c r="H7285" s="39" t="e">
        <f>VLOOKUP(E7285,基础信息!C:E,3,FALSE)</f>
        <v>#N/A</v>
      </c>
    </row>
    <row r="7286" customHeight="1" spans="8:8">
      <c r="H7286" s="39" t="e">
        <f>VLOOKUP(E7286,基础信息!C:E,3,FALSE)</f>
        <v>#N/A</v>
      </c>
    </row>
    <row r="7287" customHeight="1" spans="8:8">
      <c r="H7287" s="39" t="e">
        <f>VLOOKUP(E7287,基础信息!C:E,3,FALSE)</f>
        <v>#N/A</v>
      </c>
    </row>
    <row r="7288" customHeight="1" spans="8:8">
      <c r="H7288" s="39" t="e">
        <f>VLOOKUP(E7288,基础信息!C:E,3,FALSE)</f>
        <v>#N/A</v>
      </c>
    </row>
    <row r="7289" customHeight="1" spans="8:8">
      <c r="H7289" s="39" t="e">
        <f>VLOOKUP(E7289,基础信息!C:E,3,FALSE)</f>
        <v>#N/A</v>
      </c>
    </row>
    <row r="7290" customHeight="1" spans="8:8">
      <c r="H7290" s="39" t="e">
        <f>VLOOKUP(E7290,基础信息!C:E,3,FALSE)</f>
        <v>#N/A</v>
      </c>
    </row>
    <row r="7291" customHeight="1" spans="8:8">
      <c r="H7291" s="39" t="e">
        <f>VLOOKUP(E7291,基础信息!C:E,3,FALSE)</f>
        <v>#N/A</v>
      </c>
    </row>
    <row r="7292" customHeight="1" spans="8:8">
      <c r="H7292" s="39" t="e">
        <f>VLOOKUP(E7292,基础信息!C:E,3,FALSE)</f>
        <v>#N/A</v>
      </c>
    </row>
    <row r="7293" customHeight="1" spans="8:8">
      <c r="H7293" s="39" t="e">
        <f>VLOOKUP(E7293,基础信息!C:E,3,FALSE)</f>
        <v>#N/A</v>
      </c>
    </row>
    <row r="7294" customHeight="1" spans="8:8">
      <c r="H7294" s="39" t="e">
        <f>VLOOKUP(E7294,基础信息!C:E,3,FALSE)</f>
        <v>#N/A</v>
      </c>
    </row>
    <row r="7295" customHeight="1" spans="8:8">
      <c r="H7295" s="39" t="e">
        <f>VLOOKUP(E7295,基础信息!C:E,3,FALSE)</f>
        <v>#N/A</v>
      </c>
    </row>
    <row r="7296" customHeight="1" spans="8:8">
      <c r="H7296" s="39" t="e">
        <f>VLOOKUP(E7296,基础信息!C:E,3,FALSE)</f>
        <v>#N/A</v>
      </c>
    </row>
    <row r="7297" customHeight="1" spans="8:8">
      <c r="H7297" s="39" t="e">
        <f>VLOOKUP(E7297,基础信息!C:E,3,FALSE)</f>
        <v>#N/A</v>
      </c>
    </row>
    <row r="7298" customHeight="1" spans="8:8">
      <c r="H7298" s="39" t="e">
        <f>VLOOKUP(E7298,基础信息!C:E,3,FALSE)</f>
        <v>#N/A</v>
      </c>
    </row>
    <row r="7299" customHeight="1" spans="8:8">
      <c r="H7299" s="39" t="e">
        <f>VLOOKUP(E7299,基础信息!C:E,3,FALSE)</f>
        <v>#N/A</v>
      </c>
    </row>
    <row r="7300" customHeight="1" spans="8:8">
      <c r="H7300" s="39" t="e">
        <f>VLOOKUP(E7300,基础信息!C:E,3,FALSE)</f>
        <v>#N/A</v>
      </c>
    </row>
    <row r="7301" customHeight="1" spans="8:8">
      <c r="H7301" s="39" t="e">
        <f>VLOOKUP(E7301,基础信息!C:E,3,FALSE)</f>
        <v>#N/A</v>
      </c>
    </row>
    <row r="7302" customHeight="1" spans="8:8">
      <c r="H7302" s="39" t="e">
        <f>VLOOKUP(E7302,基础信息!C:E,3,FALSE)</f>
        <v>#N/A</v>
      </c>
    </row>
    <row r="7303" customHeight="1" spans="8:8">
      <c r="H7303" s="39" t="e">
        <f>VLOOKUP(E7303,基础信息!C:E,3,FALSE)</f>
        <v>#N/A</v>
      </c>
    </row>
    <row r="7304" customHeight="1" spans="8:8">
      <c r="H7304" s="39" t="e">
        <f>VLOOKUP(E7304,基础信息!C:E,3,FALSE)</f>
        <v>#N/A</v>
      </c>
    </row>
    <row r="7305" customHeight="1" spans="8:8">
      <c r="H7305" s="39" t="e">
        <f>VLOOKUP(E7305,基础信息!C:E,3,FALSE)</f>
        <v>#N/A</v>
      </c>
    </row>
    <row r="7306" customHeight="1" spans="8:8">
      <c r="H7306" s="39" t="e">
        <f>VLOOKUP(E7306,基础信息!C:E,3,FALSE)</f>
        <v>#N/A</v>
      </c>
    </row>
    <row r="7307" customHeight="1" spans="8:8">
      <c r="H7307" s="39" t="e">
        <f>VLOOKUP(E7307,基础信息!C:E,3,FALSE)</f>
        <v>#N/A</v>
      </c>
    </row>
    <row r="7308" customHeight="1" spans="8:8">
      <c r="H7308" s="39" t="e">
        <f>VLOOKUP(E7308,基础信息!C:E,3,FALSE)</f>
        <v>#N/A</v>
      </c>
    </row>
    <row r="7309" customHeight="1" spans="8:8">
      <c r="H7309" s="39" t="e">
        <f>VLOOKUP(E7309,基础信息!C:E,3,FALSE)</f>
        <v>#N/A</v>
      </c>
    </row>
    <row r="7310" customHeight="1" spans="8:8">
      <c r="H7310" s="39" t="e">
        <f>VLOOKUP(E7310,基础信息!C:E,3,FALSE)</f>
        <v>#N/A</v>
      </c>
    </row>
    <row r="7311" customHeight="1" spans="8:8">
      <c r="H7311" s="39" t="e">
        <f>VLOOKUP(E7311,基础信息!C:E,3,FALSE)</f>
        <v>#N/A</v>
      </c>
    </row>
    <row r="7312" customHeight="1" spans="8:8">
      <c r="H7312" s="39" t="e">
        <f>VLOOKUP(E7312,基础信息!C:E,3,FALSE)</f>
        <v>#N/A</v>
      </c>
    </row>
    <row r="7313" customHeight="1" spans="8:8">
      <c r="H7313" s="39" t="e">
        <f>VLOOKUP(E7313,基础信息!C:E,3,FALSE)</f>
        <v>#N/A</v>
      </c>
    </row>
    <row r="7314" customHeight="1" spans="8:8">
      <c r="H7314" s="39" t="e">
        <f>VLOOKUP(E7314,基础信息!C:E,3,FALSE)</f>
        <v>#N/A</v>
      </c>
    </row>
    <row r="7315" customHeight="1" spans="8:8">
      <c r="H7315" s="39" t="e">
        <f>VLOOKUP(E7315,基础信息!C:E,3,FALSE)</f>
        <v>#N/A</v>
      </c>
    </row>
    <row r="7316" customHeight="1" spans="8:8">
      <c r="H7316" s="39" t="e">
        <f>VLOOKUP(E7316,基础信息!C:E,3,FALSE)</f>
        <v>#N/A</v>
      </c>
    </row>
    <row r="7317" customHeight="1" spans="8:8">
      <c r="H7317" s="39" t="e">
        <f>VLOOKUP(E7317,基础信息!C:E,3,FALSE)</f>
        <v>#N/A</v>
      </c>
    </row>
    <row r="7318" customHeight="1" spans="8:8">
      <c r="H7318" s="39" t="e">
        <f>VLOOKUP(E7318,基础信息!C:E,3,FALSE)</f>
        <v>#N/A</v>
      </c>
    </row>
    <row r="7319" customHeight="1" spans="8:8">
      <c r="H7319" s="39" t="e">
        <f>VLOOKUP(E7319,基础信息!C:E,3,FALSE)</f>
        <v>#N/A</v>
      </c>
    </row>
    <row r="7320" customHeight="1" spans="8:8">
      <c r="H7320" s="39" t="e">
        <f>VLOOKUP(E7320,基础信息!C:E,3,FALSE)</f>
        <v>#N/A</v>
      </c>
    </row>
    <row r="7321" customHeight="1" spans="8:8">
      <c r="H7321" s="39" t="e">
        <f>VLOOKUP(E7321,基础信息!C:E,3,FALSE)</f>
        <v>#N/A</v>
      </c>
    </row>
    <row r="7322" customHeight="1" spans="8:8">
      <c r="H7322" s="39" t="e">
        <f>VLOOKUP(E7322,基础信息!C:E,3,FALSE)</f>
        <v>#N/A</v>
      </c>
    </row>
    <row r="7323" customHeight="1" spans="8:8">
      <c r="H7323" s="39" t="e">
        <f>VLOOKUP(E7323,基础信息!C:E,3,FALSE)</f>
        <v>#N/A</v>
      </c>
    </row>
    <row r="7324" customHeight="1" spans="8:8">
      <c r="H7324" s="39" t="e">
        <f>VLOOKUP(E7324,基础信息!C:E,3,FALSE)</f>
        <v>#N/A</v>
      </c>
    </row>
    <row r="7325" customHeight="1" spans="8:8">
      <c r="H7325" s="39" t="e">
        <f>VLOOKUP(E7325,基础信息!C:E,3,FALSE)</f>
        <v>#N/A</v>
      </c>
    </row>
    <row r="7326" customHeight="1" spans="8:8">
      <c r="H7326" s="39" t="e">
        <f>VLOOKUP(E7326,基础信息!C:E,3,FALSE)</f>
        <v>#N/A</v>
      </c>
    </row>
    <row r="7327" customHeight="1" spans="8:8">
      <c r="H7327" s="39" t="e">
        <f>VLOOKUP(E7327,基础信息!C:E,3,FALSE)</f>
        <v>#N/A</v>
      </c>
    </row>
    <row r="7328" customHeight="1" spans="8:8">
      <c r="H7328" s="39" t="e">
        <f>VLOOKUP(E7328,基础信息!C:E,3,FALSE)</f>
        <v>#N/A</v>
      </c>
    </row>
    <row r="7329" customHeight="1" spans="8:8">
      <c r="H7329" s="39" t="e">
        <f>VLOOKUP(E7329,基础信息!C:E,3,FALSE)</f>
        <v>#N/A</v>
      </c>
    </row>
    <row r="7330" customHeight="1" spans="8:8">
      <c r="H7330" s="39" t="e">
        <f>VLOOKUP(E7330,基础信息!C:E,3,FALSE)</f>
        <v>#N/A</v>
      </c>
    </row>
    <row r="7331" customHeight="1" spans="8:8">
      <c r="H7331" s="39" t="e">
        <f>VLOOKUP(E7331,基础信息!C:E,3,FALSE)</f>
        <v>#N/A</v>
      </c>
    </row>
    <row r="7332" customHeight="1" spans="8:8">
      <c r="H7332" s="39" t="e">
        <f>VLOOKUP(E7332,基础信息!C:E,3,FALSE)</f>
        <v>#N/A</v>
      </c>
    </row>
    <row r="7333" customHeight="1" spans="8:8">
      <c r="H7333" s="39" t="e">
        <f>VLOOKUP(E7333,基础信息!C:E,3,FALSE)</f>
        <v>#N/A</v>
      </c>
    </row>
    <row r="7334" customHeight="1" spans="8:8">
      <c r="H7334" s="39" t="e">
        <f>VLOOKUP(E7334,基础信息!C:E,3,FALSE)</f>
        <v>#N/A</v>
      </c>
    </row>
    <row r="7335" customHeight="1" spans="8:8">
      <c r="H7335" s="39" t="e">
        <f>VLOOKUP(E7335,基础信息!C:E,3,FALSE)</f>
        <v>#N/A</v>
      </c>
    </row>
    <row r="7336" customHeight="1" spans="8:8">
      <c r="H7336" s="39" t="e">
        <f>VLOOKUP(E7336,基础信息!C:E,3,FALSE)</f>
        <v>#N/A</v>
      </c>
    </row>
    <row r="7337" customHeight="1" spans="8:8">
      <c r="H7337" s="39" t="e">
        <f>VLOOKUP(E7337,基础信息!C:E,3,FALSE)</f>
        <v>#N/A</v>
      </c>
    </row>
    <row r="7338" customHeight="1" spans="8:8">
      <c r="H7338" s="39" t="e">
        <f>VLOOKUP(E7338,基础信息!C:E,3,FALSE)</f>
        <v>#N/A</v>
      </c>
    </row>
    <row r="7339" customHeight="1" spans="8:8">
      <c r="H7339" s="39" t="e">
        <f>VLOOKUP(E7339,基础信息!C:E,3,FALSE)</f>
        <v>#N/A</v>
      </c>
    </row>
    <row r="7340" customHeight="1" spans="8:8">
      <c r="H7340" s="39" t="e">
        <f>VLOOKUP(E7340,基础信息!C:E,3,FALSE)</f>
        <v>#N/A</v>
      </c>
    </row>
    <row r="7341" customHeight="1" spans="8:8">
      <c r="H7341" s="39" t="e">
        <f>VLOOKUP(E7341,基础信息!C:E,3,FALSE)</f>
        <v>#N/A</v>
      </c>
    </row>
    <row r="7342" customHeight="1" spans="8:8">
      <c r="H7342" s="39" t="e">
        <f>VLOOKUP(E7342,基础信息!C:E,3,FALSE)</f>
        <v>#N/A</v>
      </c>
    </row>
    <row r="7343" customHeight="1" spans="8:8">
      <c r="H7343" s="39" t="e">
        <f>VLOOKUP(E7343,基础信息!C:E,3,FALSE)</f>
        <v>#N/A</v>
      </c>
    </row>
    <row r="7344" customHeight="1" spans="8:8">
      <c r="H7344" s="39" t="e">
        <f>VLOOKUP(E7344,基础信息!C:E,3,FALSE)</f>
        <v>#N/A</v>
      </c>
    </row>
    <row r="7345" customHeight="1" spans="8:8">
      <c r="H7345" s="39" t="e">
        <f>VLOOKUP(E7345,基础信息!C:E,3,FALSE)</f>
        <v>#N/A</v>
      </c>
    </row>
    <row r="7346" customHeight="1" spans="8:8">
      <c r="H7346" s="39" t="e">
        <f>VLOOKUP(E7346,基础信息!C:E,3,FALSE)</f>
        <v>#N/A</v>
      </c>
    </row>
    <row r="7347" customHeight="1" spans="8:8">
      <c r="H7347" s="39" t="e">
        <f>VLOOKUP(E7347,基础信息!C:E,3,FALSE)</f>
        <v>#N/A</v>
      </c>
    </row>
    <row r="7348" customHeight="1" spans="8:8">
      <c r="H7348" s="39" t="e">
        <f>VLOOKUP(E7348,基础信息!C:E,3,FALSE)</f>
        <v>#N/A</v>
      </c>
    </row>
    <row r="7349" customHeight="1" spans="8:8">
      <c r="H7349" s="39" t="e">
        <f>VLOOKUP(E7349,基础信息!C:E,3,FALSE)</f>
        <v>#N/A</v>
      </c>
    </row>
    <row r="7350" customHeight="1" spans="8:8">
      <c r="H7350" s="39" t="e">
        <f>VLOOKUP(E7350,基础信息!C:E,3,FALSE)</f>
        <v>#N/A</v>
      </c>
    </row>
    <row r="7351" customHeight="1" spans="8:8">
      <c r="H7351" s="39" t="e">
        <f>VLOOKUP(E7351,基础信息!C:E,3,FALSE)</f>
        <v>#N/A</v>
      </c>
    </row>
    <row r="7352" customHeight="1" spans="8:8">
      <c r="H7352" s="39" t="e">
        <f>VLOOKUP(E7352,基础信息!C:E,3,FALSE)</f>
        <v>#N/A</v>
      </c>
    </row>
    <row r="7353" customHeight="1" spans="8:8">
      <c r="H7353" s="39" t="e">
        <f>VLOOKUP(E7353,基础信息!C:E,3,FALSE)</f>
        <v>#N/A</v>
      </c>
    </row>
    <row r="7354" customHeight="1" spans="8:8">
      <c r="H7354" s="39" t="e">
        <f>VLOOKUP(E7354,基础信息!C:E,3,FALSE)</f>
        <v>#N/A</v>
      </c>
    </row>
    <row r="7355" customHeight="1" spans="8:8">
      <c r="H7355" s="39" t="e">
        <f>VLOOKUP(E7355,基础信息!C:E,3,FALSE)</f>
        <v>#N/A</v>
      </c>
    </row>
    <row r="7356" customHeight="1" spans="8:8">
      <c r="H7356" s="39" t="e">
        <f>VLOOKUP(E7356,基础信息!C:E,3,FALSE)</f>
        <v>#N/A</v>
      </c>
    </row>
    <row r="7357" customHeight="1" spans="8:8">
      <c r="H7357" s="39" t="e">
        <f>VLOOKUP(E7357,基础信息!C:E,3,FALSE)</f>
        <v>#N/A</v>
      </c>
    </row>
    <row r="7358" customHeight="1" spans="8:8">
      <c r="H7358" s="39" t="e">
        <f>VLOOKUP(E7358,基础信息!C:E,3,FALSE)</f>
        <v>#N/A</v>
      </c>
    </row>
    <row r="7359" customHeight="1" spans="8:8">
      <c r="H7359" s="39" t="e">
        <f>VLOOKUP(E7359,基础信息!C:E,3,FALSE)</f>
        <v>#N/A</v>
      </c>
    </row>
    <row r="7360" customHeight="1" spans="8:8">
      <c r="H7360" s="39" t="e">
        <f>VLOOKUP(E7360,基础信息!C:E,3,FALSE)</f>
        <v>#N/A</v>
      </c>
    </row>
    <row r="7361" customHeight="1" spans="8:8">
      <c r="H7361" s="39" t="e">
        <f>VLOOKUP(E7361,基础信息!C:E,3,FALSE)</f>
        <v>#N/A</v>
      </c>
    </row>
    <row r="7362" customHeight="1" spans="8:8">
      <c r="H7362" s="39" t="e">
        <f>VLOOKUP(E7362,基础信息!C:E,3,FALSE)</f>
        <v>#N/A</v>
      </c>
    </row>
    <row r="7363" customHeight="1" spans="8:8">
      <c r="H7363" s="39" t="e">
        <f>VLOOKUP(E7363,基础信息!C:E,3,FALSE)</f>
        <v>#N/A</v>
      </c>
    </row>
    <row r="7364" customHeight="1" spans="8:8">
      <c r="H7364" s="39" t="e">
        <f>VLOOKUP(E7364,基础信息!C:E,3,FALSE)</f>
        <v>#N/A</v>
      </c>
    </row>
    <row r="7365" customHeight="1" spans="8:8">
      <c r="H7365" s="39" t="e">
        <f>VLOOKUP(E7365,基础信息!C:E,3,FALSE)</f>
        <v>#N/A</v>
      </c>
    </row>
    <row r="7366" customHeight="1" spans="8:8">
      <c r="H7366" s="39" t="e">
        <f>VLOOKUP(E7366,基础信息!C:E,3,FALSE)</f>
        <v>#N/A</v>
      </c>
    </row>
    <row r="7367" customHeight="1" spans="8:8">
      <c r="H7367" s="39" t="e">
        <f>VLOOKUP(E7367,基础信息!C:E,3,FALSE)</f>
        <v>#N/A</v>
      </c>
    </row>
    <row r="7368" customHeight="1" spans="8:8">
      <c r="H7368" s="39" t="e">
        <f>VLOOKUP(E7368,基础信息!C:E,3,FALSE)</f>
        <v>#N/A</v>
      </c>
    </row>
    <row r="7369" customHeight="1" spans="8:8">
      <c r="H7369" s="39" t="e">
        <f>VLOOKUP(E7369,基础信息!C:E,3,FALSE)</f>
        <v>#N/A</v>
      </c>
    </row>
    <row r="7370" customHeight="1" spans="8:8">
      <c r="H7370" s="39" t="e">
        <f>VLOOKUP(E7370,基础信息!C:E,3,FALSE)</f>
        <v>#N/A</v>
      </c>
    </row>
    <row r="7371" customHeight="1" spans="8:8">
      <c r="H7371" s="39" t="e">
        <f>VLOOKUP(E7371,基础信息!C:E,3,FALSE)</f>
        <v>#N/A</v>
      </c>
    </row>
    <row r="7372" customHeight="1" spans="8:8">
      <c r="H7372" s="39" t="e">
        <f>VLOOKUP(E7372,基础信息!C:E,3,FALSE)</f>
        <v>#N/A</v>
      </c>
    </row>
    <row r="7373" customHeight="1" spans="8:8">
      <c r="H7373" s="39" t="e">
        <f>VLOOKUP(E7373,基础信息!C:E,3,FALSE)</f>
        <v>#N/A</v>
      </c>
    </row>
    <row r="7374" customHeight="1" spans="8:8">
      <c r="H7374" s="39" t="e">
        <f>VLOOKUP(E7374,基础信息!C:E,3,FALSE)</f>
        <v>#N/A</v>
      </c>
    </row>
    <row r="7375" customHeight="1" spans="8:8">
      <c r="H7375" s="39" t="e">
        <f>VLOOKUP(E7375,基础信息!C:E,3,FALSE)</f>
        <v>#N/A</v>
      </c>
    </row>
    <row r="7376" customHeight="1" spans="8:8">
      <c r="H7376" s="39" t="e">
        <f>VLOOKUP(E7376,基础信息!C:E,3,FALSE)</f>
        <v>#N/A</v>
      </c>
    </row>
    <row r="7377" customHeight="1" spans="8:8">
      <c r="H7377" s="39" t="e">
        <f>VLOOKUP(E7377,基础信息!C:E,3,FALSE)</f>
        <v>#N/A</v>
      </c>
    </row>
    <row r="7378" customHeight="1" spans="8:8">
      <c r="H7378" s="39" t="e">
        <f>VLOOKUP(E7378,基础信息!C:E,3,FALSE)</f>
        <v>#N/A</v>
      </c>
    </row>
    <row r="7379" customHeight="1" spans="8:8">
      <c r="H7379" s="39" t="e">
        <f>VLOOKUP(E7379,基础信息!C:E,3,FALSE)</f>
        <v>#N/A</v>
      </c>
    </row>
    <row r="7380" customHeight="1" spans="8:8">
      <c r="H7380" s="39" t="e">
        <f>VLOOKUP(E7380,基础信息!C:E,3,FALSE)</f>
        <v>#N/A</v>
      </c>
    </row>
    <row r="7381" customHeight="1" spans="8:8">
      <c r="H7381" s="39" t="e">
        <f>VLOOKUP(E7381,基础信息!C:E,3,FALSE)</f>
        <v>#N/A</v>
      </c>
    </row>
    <row r="7382" customHeight="1" spans="8:8">
      <c r="H7382" s="39" t="e">
        <f>VLOOKUP(E7382,基础信息!C:E,3,FALSE)</f>
        <v>#N/A</v>
      </c>
    </row>
    <row r="7383" customHeight="1" spans="8:8">
      <c r="H7383" s="39" t="e">
        <f>VLOOKUP(E7383,基础信息!C:E,3,FALSE)</f>
        <v>#N/A</v>
      </c>
    </row>
    <row r="7384" customHeight="1" spans="8:8">
      <c r="H7384" s="39" t="e">
        <f>VLOOKUP(E7384,基础信息!C:E,3,FALSE)</f>
        <v>#N/A</v>
      </c>
    </row>
    <row r="7385" customHeight="1" spans="8:8">
      <c r="H7385" s="39" t="e">
        <f>VLOOKUP(E7385,基础信息!C:E,3,FALSE)</f>
        <v>#N/A</v>
      </c>
    </row>
    <row r="7386" customHeight="1" spans="8:8">
      <c r="H7386" s="39" t="e">
        <f>VLOOKUP(E7386,基础信息!C:E,3,FALSE)</f>
        <v>#N/A</v>
      </c>
    </row>
    <row r="7387" customHeight="1" spans="8:8">
      <c r="H7387" s="39" t="e">
        <f>VLOOKUP(E7387,基础信息!C:E,3,FALSE)</f>
        <v>#N/A</v>
      </c>
    </row>
    <row r="7388" customHeight="1" spans="8:8">
      <c r="H7388" s="39" t="e">
        <f>VLOOKUP(E7388,基础信息!C:E,3,FALSE)</f>
        <v>#N/A</v>
      </c>
    </row>
    <row r="7389" customHeight="1" spans="8:8">
      <c r="H7389" s="39" t="e">
        <f>VLOOKUP(E7389,基础信息!C:E,3,FALSE)</f>
        <v>#N/A</v>
      </c>
    </row>
    <row r="7390" customHeight="1" spans="8:8">
      <c r="H7390" s="39" t="e">
        <f>VLOOKUP(E7390,基础信息!C:E,3,FALSE)</f>
        <v>#N/A</v>
      </c>
    </row>
    <row r="7391" customHeight="1" spans="8:8">
      <c r="H7391" s="39" t="e">
        <f>VLOOKUP(E7391,基础信息!C:E,3,FALSE)</f>
        <v>#N/A</v>
      </c>
    </row>
    <row r="7392" customHeight="1" spans="8:8">
      <c r="H7392" s="39" t="e">
        <f>VLOOKUP(E7392,基础信息!C:E,3,FALSE)</f>
        <v>#N/A</v>
      </c>
    </row>
    <row r="7393" customHeight="1" spans="8:8">
      <c r="H7393" s="39" t="e">
        <f>VLOOKUP(E7393,基础信息!C:E,3,FALSE)</f>
        <v>#N/A</v>
      </c>
    </row>
    <row r="7394" customHeight="1" spans="8:8">
      <c r="H7394" s="39" t="e">
        <f>VLOOKUP(E7394,基础信息!C:E,3,FALSE)</f>
        <v>#N/A</v>
      </c>
    </row>
    <row r="7395" customHeight="1" spans="8:8">
      <c r="H7395" s="39" t="e">
        <f>VLOOKUP(E7395,基础信息!C:E,3,FALSE)</f>
        <v>#N/A</v>
      </c>
    </row>
    <row r="7396" customHeight="1" spans="8:8">
      <c r="H7396" s="39" t="e">
        <f>VLOOKUP(E7396,基础信息!C:E,3,FALSE)</f>
        <v>#N/A</v>
      </c>
    </row>
    <row r="7397" customHeight="1" spans="8:8">
      <c r="H7397" s="39" t="e">
        <f>VLOOKUP(E7397,基础信息!C:E,3,FALSE)</f>
        <v>#N/A</v>
      </c>
    </row>
    <row r="7398" customHeight="1" spans="8:8">
      <c r="H7398" s="39" t="e">
        <f>VLOOKUP(E7398,基础信息!C:E,3,FALSE)</f>
        <v>#N/A</v>
      </c>
    </row>
    <row r="7399" customHeight="1" spans="8:8">
      <c r="H7399" s="39" t="e">
        <f>VLOOKUP(E7399,基础信息!C:E,3,FALSE)</f>
        <v>#N/A</v>
      </c>
    </row>
    <row r="7400" customHeight="1" spans="8:8">
      <c r="H7400" s="39" t="e">
        <f>VLOOKUP(E7400,基础信息!C:E,3,FALSE)</f>
        <v>#N/A</v>
      </c>
    </row>
    <row r="7401" customHeight="1" spans="8:8">
      <c r="H7401" s="39" t="e">
        <f>VLOOKUP(E7401,基础信息!C:E,3,FALSE)</f>
        <v>#N/A</v>
      </c>
    </row>
    <row r="7402" customHeight="1" spans="8:8">
      <c r="H7402" s="39" t="e">
        <f>VLOOKUP(E7402,基础信息!C:E,3,FALSE)</f>
        <v>#N/A</v>
      </c>
    </row>
    <row r="7403" customHeight="1" spans="8:8">
      <c r="H7403" s="39" t="e">
        <f>VLOOKUP(E7403,基础信息!C:E,3,FALSE)</f>
        <v>#N/A</v>
      </c>
    </row>
    <row r="7404" customHeight="1" spans="8:8">
      <c r="H7404" s="39" t="e">
        <f>VLOOKUP(E7404,基础信息!C:E,3,FALSE)</f>
        <v>#N/A</v>
      </c>
    </row>
    <row r="7405" customHeight="1" spans="8:8">
      <c r="H7405" s="39" t="e">
        <f>VLOOKUP(E7405,基础信息!C:E,3,FALSE)</f>
        <v>#N/A</v>
      </c>
    </row>
    <row r="7406" customHeight="1" spans="8:8">
      <c r="H7406" s="39" t="e">
        <f>VLOOKUP(E7406,基础信息!C:E,3,FALSE)</f>
        <v>#N/A</v>
      </c>
    </row>
    <row r="7407" customHeight="1" spans="8:8">
      <c r="H7407" s="39" t="e">
        <f>VLOOKUP(E7407,基础信息!C:E,3,FALSE)</f>
        <v>#N/A</v>
      </c>
    </row>
    <row r="7408" customHeight="1" spans="8:8">
      <c r="H7408" s="39" t="e">
        <f>VLOOKUP(E7408,基础信息!C:E,3,FALSE)</f>
        <v>#N/A</v>
      </c>
    </row>
    <row r="7409" customHeight="1" spans="8:8">
      <c r="H7409" s="39" t="e">
        <f>VLOOKUP(E7409,基础信息!C:E,3,FALSE)</f>
        <v>#N/A</v>
      </c>
    </row>
    <row r="7410" customHeight="1" spans="8:8">
      <c r="H7410" s="39" t="e">
        <f>VLOOKUP(E7410,基础信息!C:E,3,FALSE)</f>
        <v>#N/A</v>
      </c>
    </row>
    <row r="7411" customHeight="1" spans="8:8">
      <c r="H7411" s="39" t="e">
        <f>VLOOKUP(E7411,基础信息!C:E,3,FALSE)</f>
        <v>#N/A</v>
      </c>
    </row>
    <row r="7412" customHeight="1" spans="8:8">
      <c r="H7412" s="39" t="e">
        <f>VLOOKUP(E7412,基础信息!C:E,3,FALSE)</f>
        <v>#N/A</v>
      </c>
    </row>
    <row r="7413" customHeight="1" spans="8:8">
      <c r="H7413" s="39" t="e">
        <f>VLOOKUP(E7413,基础信息!C:E,3,FALSE)</f>
        <v>#N/A</v>
      </c>
    </row>
    <row r="7414" customHeight="1" spans="8:8">
      <c r="H7414" s="39" t="e">
        <f>VLOOKUP(E7414,基础信息!C:E,3,FALSE)</f>
        <v>#N/A</v>
      </c>
    </row>
    <row r="7415" customHeight="1" spans="8:8">
      <c r="H7415" s="39" t="e">
        <f>VLOOKUP(E7415,基础信息!C:E,3,FALSE)</f>
        <v>#N/A</v>
      </c>
    </row>
    <row r="7416" customHeight="1" spans="8:8">
      <c r="H7416" s="39" t="e">
        <f>VLOOKUP(E7416,基础信息!C:E,3,FALSE)</f>
        <v>#N/A</v>
      </c>
    </row>
    <row r="7417" customHeight="1" spans="8:8">
      <c r="H7417" s="39" t="e">
        <f>VLOOKUP(E7417,基础信息!C:E,3,FALSE)</f>
        <v>#N/A</v>
      </c>
    </row>
    <row r="7418" customHeight="1" spans="8:8">
      <c r="H7418" s="39" t="e">
        <f>VLOOKUP(E7418,基础信息!C:E,3,FALSE)</f>
        <v>#N/A</v>
      </c>
    </row>
    <row r="7419" customHeight="1" spans="8:8">
      <c r="H7419" s="39" t="e">
        <f>VLOOKUP(E7419,基础信息!C:E,3,FALSE)</f>
        <v>#N/A</v>
      </c>
    </row>
    <row r="7420" customHeight="1" spans="8:8">
      <c r="H7420" s="39" t="e">
        <f>VLOOKUP(E7420,基础信息!C:E,3,FALSE)</f>
        <v>#N/A</v>
      </c>
    </row>
    <row r="7421" customHeight="1" spans="8:8">
      <c r="H7421" s="39" t="e">
        <f>VLOOKUP(E7421,基础信息!C:E,3,FALSE)</f>
        <v>#N/A</v>
      </c>
    </row>
    <row r="7422" customHeight="1" spans="8:8">
      <c r="H7422" s="39" t="e">
        <f>VLOOKUP(E7422,基础信息!C:E,3,FALSE)</f>
        <v>#N/A</v>
      </c>
    </row>
    <row r="7423" customHeight="1" spans="8:8">
      <c r="H7423" s="39" t="e">
        <f>VLOOKUP(E7423,基础信息!C:E,3,FALSE)</f>
        <v>#N/A</v>
      </c>
    </row>
    <row r="7424" customHeight="1" spans="8:8">
      <c r="H7424" s="39" t="e">
        <f>VLOOKUP(E7424,基础信息!C:E,3,FALSE)</f>
        <v>#N/A</v>
      </c>
    </row>
    <row r="7425" customHeight="1" spans="8:8">
      <c r="H7425" s="39" t="e">
        <f>VLOOKUP(E7425,基础信息!C:E,3,FALSE)</f>
        <v>#N/A</v>
      </c>
    </row>
    <row r="7426" customHeight="1" spans="8:8">
      <c r="H7426" s="39" t="e">
        <f>VLOOKUP(E7426,基础信息!C:E,3,FALSE)</f>
        <v>#N/A</v>
      </c>
    </row>
    <row r="7427" customHeight="1" spans="8:8">
      <c r="H7427" s="39" t="e">
        <f>VLOOKUP(E7427,基础信息!C:E,3,FALSE)</f>
        <v>#N/A</v>
      </c>
    </row>
    <row r="7428" customHeight="1" spans="8:8">
      <c r="H7428" s="39" t="e">
        <f>VLOOKUP(E7428,基础信息!C:E,3,FALSE)</f>
        <v>#N/A</v>
      </c>
    </row>
    <row r="7429" customHeight="1" spans="8:8">
      <c r="H7429" s="39" t="e">
        <f>VLOOKUP(E7429,基础信息!C:E,3,FALSE)</f>
        <v>#N/A</v>
      </c>
    </row>
    <row r="7430" customHeight="1" spans="8:8">
      <c r="H7430" s="39" t="e">
        <f>VLOOKUP(E7430,基础信息!C:E,3,FALSE)</f>
        <v>#N/A</v>
      </c>
    </row>
    <row r="7431" customHeight="1" spans="8:8">
      <c r="H7431" s="39" t="e">
        <f>VLOOKUP(E7431,基础信息!C:E,3,FALSE)</f>
        <v>#N/A</v>
      </c>
    </row>
    <row r="7432" customHeight="1" spans="8:8">
      <c r="H7432" s="39" t="e">
        <f>VLOOKUP(E7432,基础信息!C:E,3,FALSE)</f>
        <v>#N/A</v>
      </c>
    </row>
    <row r="7433" customHeight="1" spans="8:8">
      <c r="H7433" s="39" t="e">
        <f>VLOOKUP(E7433,基础信息!C:E,3,FALSE)</f>
        <v>#N/A</v>
      </c>
    </row>
    <row r="7434" customHeight="1" spans="8:8">
      <c r="H7434" s="39" t="e">
        <f>VLOOKUP(E7434,基础信息!C:E,3,FALSE)</f>
        <v>#N/A</v>
      </c>
    </row>
    <row r="7435" customHeight="1" spans="8:8">
      <c r="H7435" s="39" t="e">
        <f>VLOOKUP(E7435,基础信息!C:E,3,FALSE)</f>
        <v>#N/A</v>
      </c>
    </row>
    <row r="7436" customHeight="1" spans="8:8">
      <c r="H7436" s="39" t="e">
        <f>VLOOKUP(E7436,基础信息!C:E,3,FALSE)</f>
        <v>#N/A</v>
      </c>
    </row>
    <row r="7437" customHeight="1" spans="8:8">
      <c r="H7437" s="39" t="e">
        <f>VLOOKUP(E7437,基础信息!C:E,3,FALSE)</f>
        <v>#N/A</v>
      </c>
    </row>
    <row r="7438" customHeight="1" spans="8:8">
      <c r="H7438" s="39" t="e">
        <f>VLOOKUP(E7438,基础信息!C:E,3,FALSE)</f>
        <v>#N/A</v>
      </c>
    </row>
    <row r="7439" customHeight="1" spans="8:8">
      <c r="H7439" s="39" t="e">
        <f>VLOOKUP(E7439,基础信息!C:E,3,FALSE)</f>
        <v>#N/A</v>
      </c>
    </row>
    <row r="7440" customHeight="1" spans="8:8">
      <c r="H7440" s="39" t="e">
        <f>VLOOKUP(E7440,基础信息!C:E,3,FALSE)</f>
        <v>#N/A</v>
      </c>
    </row>
    <row r="7441" customHeight="1" spans="8:8">
      <c r="H7441" s="39" t="e">
        <f>VLOOKUP(E7441,基础信息!C:E,3,FALSE)</f>
        <v>#N/A</v>
      </c>
    </row>
    <row r="7442" customHeight="1" spans="8:8">
      <c r="H7442" s="39" t="e">
        <f>VLOOKUP(E7442,基础信息!C:E,3,FALSE)</f>
        <v>#N/A</v>
      </c>
    </row>
    <row r="7443" customHeight="1" spans="8:8">
      <c r="H7443" s="39" t="e">
        <f>VLOOKUP(E7443,基础信息!C:E,3,FALSE)</f>
        <v>#N/A</v>
      </c>
    </row>
    <row r="7444" customHeight="1" spans="8:8">
      <c r="H7444" s="39" t="e">
        <f>VLOOKUP(E7444,基础信息!C:E,3,FALSE)</f>
        <v>#N/A</v>
      </c>
    </row>
    <row r="7445" customHeight="1" spans="8:8">
      <c r="H7445" s="39" t="e">
        <f>VLOOKUP(E7445,基础信息!C:E,3,FALSE)</f>
        <v>#N/A</v>
      </c>
    </row>
    <row r="7446" customHeight="1" spans="8:8">
      <c r="H7446" s="39" t="e">
        <f>VLOOKUP(E7446,基础信息!C:E,3,FALSE)</f>
        <v>#N/A</v>
      </c>
    </row>
    <row r="7447" customHeight="1" spans="8:8">
      <c r="H7447" s="39" t="e">
        <f>VLOOKUP(E7447,基础信息!C:E,3,FALSE)</f>
        <v>#N/A</v>
      </c>
    </row>
    <row r="7448" customHeight="1" spans="8:8">
      <c r="H7448" s="39" t="e">
        <f>VLOOKUP(E7448,基础信息!C:E,3,FALSE)</f>
        <v>#N/A</v>
      </c>
    </row>
    <row r="7449" customHeight="1" spans="8:8">
      <c r="H7449" s="39" t="e">
        <f>VLOOKUP(E7449,基础信息!C:E,3,FALSE)</f>
        <v>#N/A</v>
      </c>
    </row>
    <row r="7450" customHeight="1" spans="8:8">
      <c r="H7450" s="39" t="e">
        <f>VLOOKUP(E7450,基础信息!C:E,3,FALSE)</f>
        <v>#N/A</v>
      </c>
    </row>
    <row r="7451" customHeight="1" spans="8:8">
      <c r="H7451" s="39" t="e">
        <f>VLOOKUP(E7451,基础信息!C:E,3,FALSE)</f>
        <v>#N/A</v>
      </c>
    </row>
    <row r="7452" customHeight="1" spans="8:8">
      <c r="H7452" s="39" t="e">
        <f>VLOOKUP(E7452,基础信息!C:E,3,FALSE)</f>
        <v>#N/A</v>
      </c>
    </row>
    <row r="7453" customHeight="1" spans="8:8">
      <c r="H7453" s="39" t="e">
        <f>VLOOKUP(E7453,基础信息!C:E,3,FALSE)</f>
        <v>#N/A</v>
      </c>
    </row>
    <row r="7454" customHeight="1" spans="8:8">
      <c r="H7454" s="39" t="e">
        <f>VLOOKUP(E7454,基础信息!C:E,3,FALSE)</f>
        <v>#N/A</v>
      </c>
    </row>
    <row r="7455" customHeight="1" spans="8:8">
      <c r="H7455" s="39" t="e">
        <f>VLOOKUP(E7455,基础信息!C:E,3,FALSE)</f>
        <v>#N/A</v>
      </c>
    </row>
    <row r="7456" customHeight="1" spans="8:8">
      <c r="H7456" s="39" t="e">
        <f>VLOOKUP(E7456,基础信息!C:E,3,FALSE)</f>
        <v>#N/A</v>
      </c>
    </row>
    <row r="7457" customHeight="1" spans="8:8">
      <c r="H7457" s="39" t="e">
        <f>VLOOKUP(E7457,基础信息!C:E,3,FALSE)</f>
        <v>#N/A</v>
      </c>
    </row>
    <row r="7458" customHeight="1" spans="8:8">
      <c r="H7458" s="39" t="e">
        <f>VLOOKUP(E7458,基础信息!C:E,3,FALSE)</f>
        <v>#N/A</v>
      </c>
    </row>
    <row r="7459" customHeight="1" spans="8:8">
      <c r="H7459" s="39" t="e">
        <f>VLOOKUP(E7459,基础信息!C:E,3,FALSE)</f>
        <v>#N/A</v>
      </c>
    </row>
    <row r="7460" customHeight="1" spans="8:8">
      <c r="H7460" s="39" t="e">
        <f>VLOOKUP(E7460,基础信息!C:E,3,FALSE)</f>
        <v>#N/A</v>
      </c>
    </row>
    <row r="7461" customHeight="1" spans="8:8">
      <c r="H7461" s="39" t="e">
        <f>VLOOKUP(E7461,基础信息!C:E,3,FALSE)</f>
        <v>#N/A</v>
      </c>
    </row>
    <row r="7462" customHeight="1" spans="8:8">
      <c r="H7462" s="39" t="e">
        <f>VLOOKUP(E7462,基础信息!C:E,3,FALSE)</f>
        <v>#N/A</v>
      </c>
    </row>
    <row r="7463" customHeight="1" spans="8:8">
      <c r="H7463" s="39" t="e">
        <f>VLOOKUP(E7463,基础信息!C:E,3,FALSE)</f>
        <v>#N/A</v>
      </c>
    </row>
    <row r="7464" customHeight="1" spans="8:8">
      <c r="H7464" s="39" t="e">
        <f>VLOOKUP(E7464,基础信息!C:E,3,FALSE)</f>
        <v>#N/A</v>
      </c>
    </row>
    <row r="7465" customHeight="1" spans="8:8">
      <c r="H7465" s="39" t="e">
        <f>VLOOKUP(E7465,基础信息!C:E,3,FALSE)</f>
        <v>#N/A</v>
      </c>
    </row>
    <row r="7466" customHeight="1" spans="8:8">
      <c r="H7466" s="39" t="e">
        <f>VLOOKUP(E7466,基础信息!C:E,3,FALSE)</f>
        <v>#N/A</v>
      </c>
    </row>
    <row r="7467" customHeight="1" spans="8:8">
      <c r="H7467" s="39" t="e">
        <f>VLOOKUP(E7467,基础信息!C:E,3,FALSE)</f>
        <v>#N/A</v>
      </c>
    </row>
    <row r="7468" customHeight="1" spans="8:8">
      <c r="H7468" s="39" t="e">
        <f>VLOOKUP(E7468,基础信息!C:E,3,FALSE)</f>
        <v>#N/A</v>
      </c>
    </row>
    <row r="7469" customHeight="1" spans="8:8">
      <c r="H7469" s="39" t="e">
        <f>VLOOKUP(E7469,基础信息!C:E,3,FALSE)</f>
        <v>#N/A</v>
      </c>
    </row>
    <row r="7470" customHeight="1" spans="8:8">
      <c r="H7470" s="39" t="e">
        <f>VLOOKUP(E7470,基础信息!C:E,3,FALSE)</f>
        <v>#N/A</v>
      </c>
    </row>
    <row r="7471" customHeight="1" spans="8:8">
      <c r="H7471" s="39" t="e">
        <f>VLOOKUP(E7471,基础信息!C:E,3,FALSE)</f>
        <v>#N/A</v>
      </c>
    </row>
    <row r="7472" customHeight="1" spans="8:8">
      <c r="H7472" s="39" t="e">
        <f>VLOOKUP(E7472,基础信息!C:E,3,FALSE)</f>
        <v>#N/A</v>
      </c>
    </row>
    <row r="7473" customHeight="1" spans="8:8">
      <c r="H7473" s="39" t="e">
        <f>VLOOKUP(E7473,基础信息!C:E,3,FALSE)</f>
        <v>#N/A</v>
      </c>
    </row>
    <row r="7474" customHeight="1" spans="8:8">
      <c r="H7474" s="39" t="e">
        <f>VLOOKUP(E7474,基础信息!C:E,3,FALSE)</f>
        <v>#N/A</v>
      </c>
    </row>
    <row r="7475" customHeight="1" spans="8:8">
      <c r="H7475" s="39" t="e">
        <f>VLOOKUP(E7475,基础信息!C:E,3,FALSE)</f>
        <v>#N/A</v>
      </c>
    </row>
    <row r="7476" customHeight="1" spans="8:8">
      <c r="H7476" s="39" t="e">
        <f>VLOOKUP(E7476,基础信息!C:E,3,FALSE)</f>
        <v>#N/A</v>
      </c>
    </row>
    <row r="7477" customHeight="1" spans="8:8">
      <c r="H7477" s="39" t="e">
        <f>VLOOKUP(E7477,基础信息!C:E,3,FALSE)</f>
        <v>#N/A</v>
      </c>
    </row>
    <row r="7478" customHeight="1" spans="8:8">
      <c r="H7478" s="39" t="e">
        <f>VLOOKUP(E7478,基础信息!C:E,3,FALSE)</f>
        <v>#N/A</v>
      </c>
    </row>
    <row r="7479" customHeight="1" spans="8:8">
      <c r="H7479" s="39" t="e">
        <f>VLOOKUP(E7479,基础信息!C:E,3,FALSE)</f>
        <v>#N/A</v>
      </c>
    </row>
    <row r="7480" customHeight="1" spans="8:8">
      <c r="H7480" s="39" t="e">
        <f>VLOOKUP(E7480,基础信息!C:E,3,FALSE)</f>
        <v>#N/A</v>
      </c>
    </row>
    <row r="7481" customHeight="1" spans="8:8">
      <c r="H7481" s="39" t="e">
        <f>VLOOKUP(E7481,基础信息!C:E,3,FALSE)</f>
        <v>#N/A</v>
      </c>
    </row>
    <row r="7482" customHeight="1" spans="8:8">
      <c r="H7482" s="39" t="e">
        <f>VLOOKUP(E7482,基础信息!C:E,3,FALSE)</f>
        <v>#N/A</v>
      </c>
    </row>
    <row r="7483" customHeight="1" spans="8:8">
      <c r="H7483" s="39" t="e">
        <f>VLOOKUP(E7483,基础信息!C:E,3,FALSE)</f>
        <v>#N/A</v>
      </c>
    </row>
    <row r="7484" customHeight="1" spans="8:8">
      <c r="H7484" s="39" t="e">
        <f>VLOOKUP(E7484,基础信息!C:E,3,FALSE)</f>
        <v>#N/A</v>
      </c>
    </row>
    <row r="7485" customHeight="1" spans="8:8">
      <c r="H7485" s="39" t="e">
        <f>VLOOKUP(E7485,基础信息!C:E,3,FALSE)</f>
        <v>#N/A</v>
      </c>
    </row>
    <row r="7486" customHeight="1" spans="8:8">
      <c r="H7486" s="39" t="e">
        <f>VLOOKUP(E7486,基础信息!C:E,3,FALSE)</f>
        <v>#N/A</v>
      </c>
    </row>
    <row r="7487" customHeight="1" spans="8:8">
      <c r="H7487" s="39" t="e">
        <f>VLOOKUP(E7487,基础信息!C:E,3,FALSE)</f>
        <v>#N/A</v>
      </c>
    </row>
    <row r="7488" customHeight="1" spans="8:8">
      <c r="H7488" s="39" t="e">
        <f>VLOOKUP(E7488,基础信息!C:E,3,FALSE)</f>
        <v>#N/A</v>
      </c>
    </row>
    <row r="7489" customHeight="1" spans="8:8">
      <c r="H7489" s="39" t="e">
        <f>VLOOKUP(E7489,基础信息!C:E,3,FALSE)</f>
        <v>#N/A</v>
      </c>
    </row>
    <row r="7490" customHeight="1" spans="8:8">
      <c r="H7490" s="39" t="e">
        <f>VLOOKUP(E7490,基础信息!C:E,3,FALSE)</f>
        <v>#N/A</v>
      </c>
    </row>
    <row r="7491" customHeight="1" spans="8:8">
      <c r="H7491" s="39" t="e">
        <f>VLOOKUP(E7491,基础信息!C:E,3,FALSE)</f>
        <v>#N/A</v>
      </c>
    </row>
    <row r="7492" customHeight="1" spans="8:8">
      <c r="H7492" s="39" t="e">
        <f>VLOOKUP(E7492,基础信息!C:E,3,FALSE)</f>
        <v>#N/A</v>
      </c>
    </row>
    <row r="7493" customHeight="1" spans="8:8">
      <c r="H7493" s="39" t="e">
        <f>VLOOKUP(E7493,基础信息!C:E,3,FALSE)</f>
        <v>#N/A</v>
      </c>
    </row>
    <row r="7494" customHeight="1" spans="8:8">
      <c r="H7494" s="39" t="e">
        <f>VLOOKUP(E7494,基础信息!C:E,3,FALSE)</f>
        <v>#N/A</v>
      </c>
    </row>
    <row r="7495" customHeight="1" spans="8:8">
      <c r="H7495" s="39" t="e">
        <f>VLOOKUP(E7495,基础信息!C:E,3,FALSE)</f>
        <v>#N/A</v>
      </c>
    </row>
    <row r="7496" customHeight="1" spans="8:8">
      <c r="H7496" s="39" t="e">
        <f>VLOOKUP(E7496,基础信息!C:E,3,FALSE)</f>
        <v>#N/A</v>
      </c>
    </row>
    <row r="7497" customHeight="1" spans="8:8">
      <c r="H7497" s="39" t="e">
        <f>VLOOKUP(E7497,基础信息!C:E,3,FALSE)</f>
        <v>#N/A</v>
      </c>
    </row>
    <row r="7498" customHeight="1" spans="8:8">
      <c r="H7498" s="39" t="e">
        <f>VLOOKUP(E7498,基础信息!C:E,3,FALSE)</f>
        <v>#N/A</v>
      </c>
    </row>
    <row r="7499" customHeight="1" spans="8:8">
      <c r="H7499" s="39" t="e">
        <f>VLOOKUP(E7499,基础信息!C:E,3,FALSE)</f>
        <v>#N/A</v>
      </c>
    </row>
    <row r="7500" customHeight="1" spans="8:8">
      <c r="H7500" s="39" t="e">
        <f>VLOOKUP(E7500,基础信息!C:E,3,FALSE)</f>
        <v>#N/A</v>
      </c>
    </row>
    <row r="7501" customHeight="1" spans="8:8">
      <c r="H7501" s="39" t="e">
        <f>VLOOKUP(E7501,基础信息!C:E,3,FALSE)</f>
        <v>#N/A</v>
      </c>
    </row>
    <row r="7502" customHeight="1" spans="8:8">
      <c r="H7502" s="39" t="e">
        <f>VLOOKUP(E7502,基础信息!C:E,3,FALSE)</f>
        <v>#N/A</v>
      </c>
    </row>
    <row r="7503" customHeight="1" spans="8:8">
      <c r="H7503" s="39" t="e">
        <f>VLOOKUP(E7503,基础信息!C:E,3,FALSE)</f>
        <v>#N/A</v>
      </c>
    </row>
    <row r="7504" customHeight="1" spans="8:8">
      <c r="H7504" s="39" t="e">
        <f>VLOOKUP(E7504,基础信息!C:E,3,FALSE)</f>
        <v>#N/A</v>
      </c>
    </row>
    <row r="7505" customHeight="1" spans="8:8">
      <c r="H7505" s="39" t="e">
        <f>VLOOKUP(E7505,基础信息!C:E,3,FALSE)</f>
        <v>#N/A</v>
      </c>
    </row>
    <row r="7506" customHeight="1" spans="8:8">
      <c r="H7506" s="39" t="e">
        <f>VLOOKUP(E7506,基础信息!C:E,3,FALSE)</f>
        <v>#N/A</v>
      </c>
    </row>
    <row r="7507" customHeight="1" spans="8:8">
      <c r="H7507" s="39" t="e">
        <f>VLOOKUP(E7507,基础信息!C:E,3,FALSE)</f>
        <v>#N/A</v>
      </c>
    </row>
    <row r="7508" customHeight="1" spans="8:8">
      <c r="H7508" s="39" t="e">
        <f>VLOOKUP(E7508,基础信息!C:E,3,FALSE)</f>
        <v>#N/A</v>
      </c>
    </row>
    <row r="7509" customHeight="1" spans="8:8">
      <c r="H7509" s="39" t="e">
        <f>VLOOKUP(E7509,基础信息!C:E,3,FALSE)</f>
        <v>#N/A</v>
      </c>
    </row>
    <row r="7510" customHeight="1" spans="8:8">
      <c r="H7510" s="39" t="e">
        <f>VLOOKUP(E7510,基础信息!C:E,3,FALSE)</f>
        <v>#N/A</v>
      </c>
    </row>
    <row r="7511" customHeight="1" spans="8:8">
      <c r="H7511" s="39" t="e">
        <f>VLOOKUP(E7511,基础信息!C:E,3,FALSE)</f>
        <v>#N/A</v>
      </c>
    </row>
    <row r="7512" customHeight="1" spans="8:8">
      <c r="H7512" s="39" t="e">
        <f>VLOOKUP(E7512,基础信息!C:E,3,FALSE)</f>
        <v>#N/A</v>
      </c>
    </row>
    <row r="7513" customHeight="1" spans="8:8">
      <c r="H7513" s="39" t="e">
        <f>VLOOKUP(E7513,基础信息!C:E,3,FALSE)</f>
        <v>#N/A</v>
      </c>
    </row>
    <row r="7514" customHeight="1" spans="8:8">
      <c r="H7514" s="39" t="e">
        <f>VLOOKUP(E7514,基础信息!C:E,3,FALSE)</f>
        <v>#N/A</v>
      </c>
    </row>
    <row r="7515" customHeight="1" spans="8:8">
      <c r="H7515" s="39" t="e">
        <f>VLOOKUP(E7515,基础信息!C:E,3,FALSE)</f>
        <v>#N/A</v>
      </c>
    </row>
    <row r="7516" customHeight="1" spans="8:8">
      <c r="H7516" s="39" t="e">
        <f>VLOOKUP(E7516,基础信息!C:E,3,FALSE)</f>
        <v>#N/A</v>
      </c>
    </row>
    <row r="7517" customHeight="1" spans="8:8">
      <c r="H7517" s="39" t="e">
        <f>VLOOKUP(E7517,基础信息!C:E,3,FALSE)</f>
        <v>#N/A</v>
      </c>
    </row>
    <row r="7518" customHeight="1" spans="8:8">
      <c r="H7518" s="39" t="e">
        <f>VLOOKUP(E7518,基础信息!C:E,3,FALSE)</f>
        <v>#N/A</v>
      </c>
    </row>
    <row r="7519" customHeight="1" spans="8:8">
      <c r="H7519" s="39" t="e">
        <f>VLOOKUP(E7519,基础信息!C:E,3,FALSE)</f>
        <v>#N/A</v>
      </c>
    </row>
    <row r="7520" customHeight="1" spans="8:8">
      <c r="H7520" s="39" t="e">
        <f>VLOOKUP(E7520,基础信息!C:E,3,FALSE)</f>
        <v>#N/A</v>
      </c>
    </row>
    <row r="7521" customHeight="1" spans="8:8">
      <c r="H7521" s="39" t="e">
        <f>VLOOKUP(E7521,基础信息!C:E,3,FALSE)</f>
        <v>#N/A</v>
      </c>
    </row>
    <row r="7522" customHeight="1" spans="8:8">
      <c r="H7522" s="39" t="e">
        <f>VLOOKUP(E7522,基础信息!C:E,3,FALSE)</f>
        <v>#N/A</v>
      </c>
    </row>
    <row r="7523" customHeight="1" spans="8:8">
      <c r="H7523" s="39" t="e">
        <f>VLOOKUP(E7523,基础信息!C:E,3,FALSE)</f>
        <v>#N/A</v>
      </c>
    </row>
    <row r="7524" customHeight="1" spans="8:8">
      <c r="H7524" s="39" t="e">
        <f>VLOOKUP(E7524,基础信息!C:E,3,FALSE)</f>
        <v>#N/A</v>
      </c>
    </row>
    <row r="7525" customHeight="1" spans="8:8">
      <c r="H7525" s="39" t="e">
        <f>VLOOKUP(E7525,基础信息!C:E,3,FALSE)</f>
        <v>#N/A</v>
      </c>
    </row>
    <row r="7526" customHeight="1" spans="8:8">
      <c r="H7526" s="39" t="e">
        <f>VLOOKUP(E7526,基础信息!C:E,3,FALSE)</f>
        <v>#N/A</v>
      </c>
    </row>
    <row r="7527" customHeight="1" spans="8:8">
      <c r="H7527" s="39" t="e">
        <f>VLOOKUP(E7527,基础信息!C:E,3,FALSE)</f>
        <v>#N/A</v>
      </c>
    </row>
    <row r="7528" customHeight="1" spans="8:8">
      <c r="H7528" s="39" t="e">
        <f>VLOOKUP(E7528,基础信息!C:E,3,FALSE)</f>
        <v>#N/A</v>
      </c>
    </row>
    <row r="7529" customHeight="1" spans="8:8">
      <c r="H7529" s="39" t="e">
        <f>VLOOKUP(E7529,基础信息!C:E,3,FALSE)</f>
        <v>#N/A</v>
      </c>
    </row>
    <row r="7530" customHeight="1" spans="8:8">
      <c r="H7530" s="39" t="e">
        <f>VLOOKUP(E7530,基础信息!C:E,3,FALSE)</f>
        <v>#N/A</v>
      </c>
    </row>
    <row r="7531" customHeight="1" spans="8:8">
      <c r="H7531" s="39" t="e">
        <f>VLOOKUP(E7531,基础信息!C:E,3,FALSE)</f>
        <v>#N/A</v>
      </c>
    </row>
    <row r="7532" customHeight="1" spans="8:8">
      <c r="H7532" s="39" t="e">
        <f>VLOOKUP(E7532,基础信息!C:E,3,FALSE)</f>
        <v>#N/A</v>
      </c>
    </row>
    <row r="7533" customHeight="1" spans="8:8">
      <c r="H7533" s="39" t="e">
        <f>VLOOKUP(E7533,基础信息!C:E,3,FALSE)</f>
        <v>#N/A</v>
      </c>
    </row>
    <row r="7534" customHeight="1" spans="8:8">
      <c r="H7534" s="39" t="e">
        <f>VLOOKUP(E7534,基础信息!C:E,3,FALSE)</f>
        <v>#N/A</v>
      </c>
    </row>
    <row r="7535" customHeight="1" spans="8:8">
      <c r="H7535" s="39" t="e">
        <f>VLOOKUP(E7535,基础信息!C:E,3,FALSE)</f>
        <v>#N/A</v>
      </c>
    </row>
    <row r="7536" customHeight="1" spans="8:8">
      <c r="H7536" s="39" t="e">
        <f>VLOOKUP(E7536,基础信息!C:E,3,FALSE)</f>
        <v>#N/A</v>
      </c>
    </row>
    <row r="7537" customHeight="1" spans="8:8">
      <c r="H7537" s="39" t="e">
        <f>VLOOKUP(E7537,基础信息!C:E,3,FALSE)</f>
        <v>#N/A</v>
      </c>
    </row>
    <row r="7538" customHeight="1" spans="8:8">
      <c r="H7538" s="39" t="e">
        <f>VLOOKUP(E7538,基础信息!C:E,3,FALSE)</f>
        <v>#N/A</v>
      </c>
    </row>
    <row r="7539" customHeight="1" spans="8:8">
      <c r="H7539" s="39" t="e">
        <f>VLOOKUP(E7539,基础信息!C:E,3,FALSE)</f>
        <v>#N/A</v>
      </c>
    </row>
    <row r="7540" customHeight="1" spans="8:8">
      <c r="H7540" s="39" t="e">
        <f>VLOOKUP(E7540,基础信息!C:E,3,FALSE)</f>
        <v>#N/A</v>
      </c>
    </row>
    <row r="7541" customHeight="1" spans="8:8">
      <c r="H7541" s="39" t="e">
        <f>VLOOKUP(E7541,基础信息!C:E,3,FALSE)</f>
        <v>#N/A</v>
      </c>
    </row>
    <row r="7542" customHeight="1" spans="8:8">
      <c r="H7542" s="39" t="e">
        <f>VLOOKUP(E7542,基础信息!C:E,3,FALSE)</f>
        <v>#N/A</v>
      </c>
    </row>
    <row r="7543" customHeight="1" spans="8:8">
      <c r="H7543" s="39" t="e">
        <f>VLOOKUP(E7543,基础信息!C:E,3,FALSE)</f>
        <v>#N/A</v>
      </c>
    </row>
    <row r="7544" customHeight="1" spans="8:8">
      <c r="H7544" s="39" t="e">
        <f>VLOOKUP(E7544,基础信息!C:E,3,FALSE)</f>
        <v>#N/A</v>
      </c>
    </row>
    <row r="7545" customHeight="1" spans="8:8">
      <c r="H7545" s="39" t="e">
        <f>VLOOKUP(E7545,基础信息!C:E,3,FALSE)</f>
        <v>#N/A</v>
      </c>
    </row>
    <row r="7546" customHeight="1" spans="8:8">
      <c r="H7546" s="39" t="e">
        <f>VLOOKUP(E7546,基础信息!C:E,3,FALSE)</f>
        <v>#N/A</v>
      </c>
    </row>
    <row r="7547" customHeight="1" spans="8:8">
      <c r="H7547" s="39" t="e">
        <f>VLOOKUP(E7547,基础信息!C:E,3,FALSE)</f>
        <v>#N/A</v>
      </c>
    </row>
    <row r="7548" customHeight="1" spans="8:8">
      <c r="H7548" s="39" t="e">
        <f>VLOOKUP(E7548,基础信息!C:E,3,FALSE)</f>
        <v>#N/A</v>
      </c>
    </row>
    <row r="7549" customHeight="1" spans="8:8">
      <c r="H7549" s="39" t="e">
        <f>VLOOKUP(E7549,基础信息!C:E,3,FALSE)</f>
        <v>#N/A</v>
      </c>
    </row>
    <row r="7550" customHeight="1" spans="8:8">
      <c r="H7550" s="39" t="e">
        <f>VLOOKUP(E7550,基础信息!C:E,3,FALSE)</f>
        <v>#N/A</v>
      </c>
    </row>
    <row r="7551" customHeight="1" spans="8:8">
      <c r="H7551" s="39" t="e">
        <f>VLOOKUP(E7551,基础信息!C:E,3,FALSE)</f>
        <v>#N/A</v>
      </c>
    </row>
    <row r="7552" customHeight="1" spans="8:8">
      <c r="H7552" s="39" t="e">
        <f>VLOOKUP(E7552,基础信息!C:E,3,FALSE)</f>
        <v>#N/A</v>
      </c>
    </row>
    <row r="7553" customHeight="1" spans="8:8">
      <c r="H7553" s="39" t="e">
        <f>VLOOKUP(E7553,基础信息!C:E,3,FALSE)</f>
        <v>#N/A</v>
      </c>
    </row>
    <row r="7554" customHeight="1" spans="8:8">
      <c r="H7554" s="39" t="e">
        <f>VLOOKUP(E7554,基础信息!C:E,3,FALSE)</f>
        <v>#N/A</v>
      </c>
    </row>
    <row r="7555" customHeight="1" spans="8:8">
      <c r="H7555" s="39" t="e">
        <f>VLOOKUP(E7555,基础信息!C:E,3,FALSE)</f>
        <v>#N/A</v>
      </c>
    </row>
    <row r="7556" customHeight="1" spans="8:8">
      <c r="H7556" s="39" t="e">
        <f>VLOOKUP(E7556,基础信息!C:E,3,FALSE)</f>
        <v>#N/A</v>
      </c>
    </row>
    <row r="7557" customHeight="1" spans="8:8">
      <c r="H7557" s="39" t="e">
        <f>VLOOKUP(E7557,基础信息!C:E,3,FALSE)</f>
        <v>#N/A</v>
      </c>
    </row>
    <row r="7558" customHeight="1" spans="8:8">
      <c r="H7558" s="39" t="e">
        <f>VLOOKUP(E7558,基础信息!C:E,3,FALSE)</f>
        <v>#N/A</v>
      </c>
    </row>
    <row r="7559" customHeight="1" spans="8:8">
      <c r="H7559" s="39" t="e">
        <f>VLOOKUP(E7559,基础信息!C:E,3,FALSE)</f>
        <v>#N/A</v>
      </c>
    </row>
    <row r="7560" customHeight="1" spans="8:8">
      <c r="H7560" s="39" t="e">
        <f>VLOOKUP(E7560,基础信息!C:E,3,FALSE)</f>
        <v>#N/A</v>
      </c>
    </row>
    <row r="7561" customHeight="1" spans="8:8">
      <c r="H7561" s="39" t="e">
        <f>VLOOKUP(E7561,基础信息!C:E,3,FALSE)</f>
        <v>#N/A</v>
      </c>
    </row>
    <row r="7562" customHeight="1" spans="8:8">
      <c r="H7562" s="39" t="e">
        <f>VLOOKUP(E7562,基础信息!C:E,3,FALSE)</f>
        <v>#N/A</v>
      </c>
    </row>
    <row r="7563" customHeight="1" spans="8:8">
      <c r="H7563" s="39" t="e">
        <f>VLOOKUP(E7563,基础信息!C:E,3,FALSE)</f>
        <v>#N/A</v>
      </c>
    </row>
    <row r="7564" customHeight="1" spans="8:8">
      <c r="H7564" s="39" t="e">
        <f>VLOOKUP(E7564,基础信息!C:E,3,FALSE)</f>
        <v>#N/A</v>
      </c>
    </row>
    <row r="7565" customHeight="1" spans="8:8">
      <c r="H7565" s="39" t="e">
        <f>VLOOKUP(E7565,基础信息!C:E,3,FALSE)</f>
        <v>#N/A</v>
      </c>
    </row>
    <row r="7566" customHeight="1" spans="8:8">
      <c r="H7566" s="39" t="e">
        <f>VLOOKUP(E7566,基础信息!C:E,3,FALSE)</f>
        <v>#N/A</v>
      </c>
    </row>
    <row r="7567" customHeight="1" spans="8:8">
      <c r="H7567" s="39" t="e">
        <f>VLOOKUP(E7567,基础信息!C:E,3,FALSE)</f>
        <v>#N/A</v>
      </c>
    </row>
    <row r="7568" customHeight="1" spans="8:8">
      <c r="H7568" s="39" t="e">
        <f>VLOOKUP(E7568,基础信息!C:E,3,FALSE)</f>
        <v>#N/A</v>
      </c>
    </row>
    <row r="7569" customHeight="1" spans="8:8">
      <c r="H7569" s="39" t="e">
        <f>VLOOKUP(E7569,基础信息!C:E,3,FALSE)</f>
        <v>#N/A</v>
      </c>
    </row>
    <row r="7570" customHeight="1" spans="8:8">
      <c r="H7570" s="39" t="e">
        <f>VLOOKUP(E7570,基础信息!C:E,3,FALSE)</f>
        <v>#N/A</v>
      </c>
    </row>
    <row r="7571" customHeight="1" spans="8:8">
      <c r="H7571" s="39" t="e">
        <f>VLOOKUP(E7571,基础信息!C:E,3,FALSE)</f>
        <v>#N/A</v>
      </c>
    </row>
    <row r="7572" customHeight="1" spans="8:8">
      <c r="H7572" s="39" t="e">
        <f>VLOOKUP(E7572,基础信息!C:E,3,FALSE)</f>
        <v>#N/A</v>
      </c>
    </row>
    <row r="7573" customHeight="1" spans="8:8">
      <c r="H7573" s="39" t="e">
        <f>VLOOKUP(E7573,基础信息!C:E,3,FALSE)</f>
        <v>#N/A</v>
      </c>
    </row>
    <row r="7574" customHeight="1" spans="8:8">
      <c r="H7574" s="39" t="e">
        <f>VLOOKUP(E7574,基础信息!C:E,3,FALSE)</f>
        <v>#N/A</v>
      </c>
    </row>
    <row r="7575" customHeight="1" spans="8:8">
      <c r="H7575" s="39" t="e">
        <f>VLOOKUP(E7575,基础信息!C:E,3,FALSE)</f>
        <v>#N/A</v>
      </c>
    </row>
    <row r="7576" customHeight="1" spans="8:8">
      <c r="H7576" s="39" t="e">
        <f>VLOOKUP(E7576,基础信息!C:E,3,FALSE)</f>
        <v>#N/A</v>
      </c>
    </row>
    <row r="7577" customHeight="1" spans="8:8">
      <c r="H7577" s="39" t="e">
        <f>VLOOKUP(E7577,基础信息!C:E,3,FALSE)</f>
        <v>#N/A</v>
      </c>
    </row>
    <row r="7578" customHeight="1" spans="8:8">
      <c r="H7578" s="39" t="e">
        <f>VLOOKUP(E7578,基础信息!C:E,3,FALSE)</f>
        <v>#N/A</v>
      </c>
    </row>
    <row r="7579" customHeight="1" spans="8:8">
      <c r="H7579" s="39" t="e">
        <f>VLOOKUP(E7579,基础信息!C:E,3,FALSE)</f>
        <v>#N/A</v>
      </c>
    </row>
    <row r="7580" customHeight="1" spans="8:8">
      <c r="H7580" s="39" t="e">
        <f>VLOOKUP(E7580,基础信息!C:E,3,FALSE)</f>
        <v>#N/A</v>
      </c>
    </row>
    <row r="7581" customHeight="1" spans="8:8">
      <c r="H7581" s="39" t="e">
        <f>VLOOKUP(E7581,基础信息!C:E,3,FALSE)</f>
        <v>#N/A</v>
      </c>
    </row>
    <row r="7582" customHeight="1" spans="8:8">
      <c r="H7582" s="39" t="e">
        <f>VLOOKUP(E7582,基础信息!C:E,3,FALSE)</f>
        <v>#N/A</v>
      </c>
    </row>
    <row r="7583" customHeight="1" spans="8:8">
      <c r="H7583" s="39" t="e">
        <f>VLOOKUP(E7583,基础信息!C:E,3,FALSE)</f>
        <v>#N/A</v>
      </c>
    </row>
    <row r="7584" customHeight="1" spans="8:8">
      <c r="H7584" s="39" t="e">
        <f>VLOOKUP(E7584,基础信息!C:E,3,FALSE)</f>
        <v>#N/A</v>
      </c>
    </row>
    <row r="7585" customHeight="1" spans="8:8">
      <c r="H7585" s="39" t="e">
        <f>VLOOKUP(E7585,基础信息!C:E,3,FALSE)</f>
        <v>#N/A</v>
      </c>
    </row>
    <row r="7586" customHeight="1" spans="8:8">
      <c r="H7586" s="39" t="e">
        <f>VLOOKUP(E7586,基础信息!C:E,3,FALSE)</f>
        <v>#N/A</v>
      </c>
    </row>
    <row r="7587" customHeight="1" spans="8:8">
      <c r="H7587" s="39" t="e">
        <f>VLOOKUP(E7587,基础信息!C:E,3,FALSE)</f>
        <v>#N/A</v>
      </c>
    </row>
    <row r="7588" customHeight="1" spans="8:8">
      <c r="H7588" s="39" t="e">
        <f>VLOOKUP(E7588,基础信息!C:E,3,FALSE)</f>
        <v>#N/A</v>
      </c>
    </row>
    <row r="7589" customHeight="1" spans="8:8">
      <c r="H7589" s="39" t="e">
        <f>VLOOKUP(E7589,基础信息!C:E,3,FALSE)</f>
        <v>#N/A</v>
      </c>
    </row>
    <row r="7590" customHeight="1" spans="8:8">
      <c r="H7590" s="39" t="e">
        <f>VLOOKUP(E7590,基础信息!C:E,3,FALSE)</f>
        <v>#N/A</v>
      </c>
    </row>
    <row r="7591" customHeight="1" spans="8:8">
      <c r="H7591" s="39" t="e">
        <f>VLOOKUP(E7591,基础信息!C:E,3,FALSE)</f>
        <v>#N/A</v>
      </c>
    </row>
    <row r="7592" customHeight="1" spans="8:8">
      <c r="H7592" s="39" t="e">
        <f>VLOOKUP(E7592,基础信息!C:E,3,FALSE)</f>
        <v>#N/A</v>
      </c>
    </row>
    <row r="7593" customHeight="1" spans="8:8">
      <c r="H7593" s="39" t="e">
        <f>VLOOKUP(E7593,基础信息!C:E,3,FALSE)</f>
        <v>#N/A</v>
      </c>
    </row>
    <row r="7594" customHeight="1" spans="8:8">
      <c r="H7594" s="39" t="e">
        <f>VLOOKUP(E7594,基础信息!C:E,3,FALSE)</f>
        <v>#N/A</v>
      </c>
    </row>
    <row r="7595" customHeight="1" spans="8:8">
      <c r="H7595" s="39" t="e">
        <f>VLOOKUP(E7595,基础信息!C:E,3,FALSE)</f>
        <v>#N/A</v>
      </c>
    </row>
    <row r="7596" customHeight="1" spans="8:8">
      <c r="H7596" s="39" t="e">
        <f>VLOOKUP(E7596,基础信息!C:E,3,FALSE)</f>
        <v>#N/A</v>
      </c>
    </row>
    <row r="7597" customHeight="1" spans="8:8">
      <c r="H7597" s="39" t="e">
        <f>VLOOKUP(E7597,基础信息!C:E,3,FALSE)</f>
        <v>#N/A</v>
      </c>
    </row>
    <row r="7598" customHeight="1" spans="8:8">
      <c r="H7598" s="39" t="e">
        <f>VLOOKUP(E7598,基础信息!C:E,3,FALSE)</f>
        <v>#N/A</v>
      </c>
    </row>
    <row r="7599" customHeight="1" spans="8:8">
      <c r="H7599" s="39" t="e">
        <f>VLOOKUP(E7599,基础信息!C:E,3,FALSE)</f>
        <v>#N/A</v>
      </c>
    </row>
    <row r="7600" customHeight="1" spans="8:8">
      <c r="H7600" s="39" t="e">
        <f>VLOOKUP(E7600,基础信息!C:E,3,FALSE)</f>
        <v>#N/A</v>
      </c>
    </row>
    <row r="7601" customHeight="1" spans="8:8">
      <c r="H7601" s="39" t="e">
        <f>VLOOKUP(E7601,基础信息!C:E,3,FALSE)</f>
        <v>#N/A</v>
      </c>
    </row>
    <row r="7602" customHeight="1" spans="8:8">
      <c r="H7602" s="39" t="e">
        <f>VLOOKUP(E7602,基础信息!C:E,3,FALSE)</f>
        <v>#N/A</v>
      </c>
    </row>
    <row r="7603" customHeight="1" spans="8:8">
      <c r="H7603" s="39" t="e">
        <f>VLOOKUP(E7603,基础信息!C:E,3,FALSE)</f>
        <v>#N/A</v>
      </c>
    </row>
    <row r="7604" customHeight="1" spans="8:8">
      <c r="H7604" s="39" t="e">
        <f>VLOOKUP(E7604,基础信息!C:E,3,FALSE)</f>
        <v>#N/A</v>
      </c>
    </row>
    <row r="7605" customHeight="1" spans="8:8">
      <c r="H7605" s="39" t="e">
        <f>VLOOKUP(E7605,基础信息!C:E,3,FALSE)</f>
        <v>#N/A</v>
      </c>
    </row>
    <row r="7606" customHeight="1" spans="8:8">
      <c r="H7606" s="39" t="e">
        <f>VLOOKUP(E7606,基础信息!C:E,3,FALSE)</f>
        <v>#N/A</v>
      </c>
    </row>
    <row r="7607" customHeight="1" spans="8:8">
      <c r="H7607" s="39" t="e">
        <f>VLOOKUP(E7607,基础信息!C:E,3,FALSE)</f>
        <v>#N/A</v>
      </c>
    </row>
    <row r="7608" customHeight="1" spans="8:8">
      <c r="H7608" s="39" t="e">
        <f>VLOOKUP(E7608,基础信息!C:E,3,FALSE)</f>
        <v>#N/A</v>
      </c>
    </row>
    <row r="7609" customHeight="1" spans="8:8">
      <c r="H7609" s="39" t="e">
        <f>VLOOKUP(E7609,基础信息!C:E,3,FALSE)</f>
        <v>#N/A</v>
      </c>
    </row>
    <row r="7610" customHeight="1" spans="8:8">
      <c r="H7610" s="39" t="e">
        <f>VLOOKUP(E7610,基础信息!C:E,3,FALSE)</f>
        <v>#N/A</v>
      </c>
    </row>
    <row r="7611" customHeight="1" spans="8:8">
      <c r="H7611" s="39" t="e">
        <f>VLOOKUP(E7611,基础信息!C:E,3,FALSE)</f>
        <v>#N/A</v>
      </c>
    </row>
    <row r="7612" customHeight="1" spans="8:8">
      <c r="H7612" s="39" t="e">
        <f>VLOOKUP(E7612,基础信息!C:E,3,FALSE)</f>
        <v>#N/A</v>
      </c>
    </row>
    <row r="7613" customHeight="1" spans="8:8">
      <c r="H7613" s="39" t="e">
        <f>VLOOKUP(E7613,基础信息!C:E,3,FALSE)</f>
        <v>#N/A</v>
      </c>
    </row>
    <row r="7614" customHeight="1" spans="8:8">
      <c r="H7614" s="39" t="e">
        <f>VLOOKUP(E7614,基础信息!C:E,3,FALSE)</f>
        <v>#N/A</v>
      </c>
    </row>
    <row r="7615" customHeight="1" spans="8:8">
      <c r="H7615" s="39" t="e">
        <f>VLOOKUP(E7615,基础信息!C:E,3,FALSE)</f>
        <v>#N/A</v>
      </c>
    </row>
    <row r="7616" customHeight="1" spans="8:8">
      <c r="H7616" s="39" t="e">
        <f>VLOOKUP(E7616,基础信息!C:E,3,FALSE)</f>
        <v>#N/A</v>
      </c>
    </row>
    <row r="7617" customHeight="1" spans="8:8">
      <c r="H7617" s="39" t="e">
        <f>VLOOKUP(E7617,基础信息!C:E,3,FALSE)</f>
        <v>#N/A</v>
      </c>
    </row>
    <row r="7618" customHeight="1" spans="8:8">
      <c r="H7618" s="39" t="e">
        <f>VLOOKUP(E7618,基础信息!C:E,3,FALSE)</f>
        <v>#N/A</v>
      </c>
    </row>
    <row r="7619" customHeight="1" spans="8:8">
      <c r="H7619" s="39" t="e">
        <f>VLOOKUP(E7619,基础信息!C:E,3,FALSE)</f>
        <v>#N/A</v>
      </c>
    </row>
    <row r="7620" customHeight="1" spans="8:8">
      <c r="H7620" s="39" t="e">
        <f>VLOOKUP(E7620,基础信息!C:E,3,FALSE)</f>
        <v>#N/A</v>
      </c>
    </row>
    <row r="7621" customHeight="1" spans="8:8">
      <c r="H7621" s="39" t="e">
        <f>VLOOKUP(E7621,基础信息!C:E,3,FALSE)</f>
        <v>#N/A</v>
      </c>
    </row>
    <row r="7622" customHeight="1" spans="8:8">
      <c r="H7622" s="39" t="e">
        <f>VLOOKUP(E7622,基础信息!C:E,3,FALSE)</f>
        <v>#N/A</v>
      </c>
    </row>
    <row r="7623" customHeight="1" spans="8:8">
      <c r="H7623" s="39" t="e">
        <f>VLOOKUP(E7623,基础信息!C:E,3,FALSE)</f>
        <v>#N/A</v>
      </c>
    </row>
    <row r="7624" customHeight="1" spans="8:8">
      <c r="H7624" s="39" t="e">
        <f>VLOOKUP(E7624,基础信息!C:E,3,FALSE)</f>
        <v>#N/A</v>
      </c>
    </row>
    <row r="7625" customHeight="1" spans="8:8">
      <c r="H7625" s="39" t="e">
        <f>VLOOKUP(E7625,基础信息!C:E,3,FALSE)</f>
        <v>#N/A</v>
      </c>
    </row>
    <row r="7626" customHeight="1" spans="8:8">
      <c r="H7626" s="39" t="e">
        <f>VLOOKUP(E7626,基础信息!C:E,3,FALSE)</f>
        <v>#N/A</v>
      </c>
    </row>
    <row r="7627" customHeight="1" spans="8:8">
      <c r="H7627" s="39" t="e">
        <f>VLOOKUP(E7627,基础信息!C:E,3,FALSE)</f>
        <v>#N/A</v>
      </c>
    </row>
    <row r="7628" customHeight="1" spans="8:8">
      <c r="H7628" s="39" t="e">
        <f>VLOOKUP(E7628,基础信息!C:E,3,FALSE)</f>
        <v>#N/A</v>
      </c>
    </row>
    <row r="7629" customHeight="1" spans="8:8">
      <c r="H7629" s="39" t="e">
        <f>VLOOKUP(E7629,基础信息!C:E,3,FALSE)</f>
        <v>#N/A</v>
      </c>
    </row>
    <row r="7630" customHeight="1" spans="8:8">
      <c r="H7630" s="39" t="e">
        <f>VLOOKUP(E7630,基础信息!C:E,3,FALSE)</f>
        <v>#N/A</v>
      </c>
    </row>
    <row r="7631" customHeight="1" spans="8:8">
      <c r="H7631" s="39" t="e">
        <f>VLOOKUP(E7631,基础信息!C:E,3,FALSE)</f>
        <v>#N/A</v>
      </c>
    </row>
    <row r="7632" customHeight="1" spans="8:8">
      <c r="H7632" s="39" t="e">
        <f>VLOOKUP(E7632,基础信息!C:E,3,FALSE)</f>
        <v>#N/A</v>
      </c>
    </row>
    <row r="7633" customHeight="1" spans="8:8">
      <c r="H7633" s="39" t="e">
        <f>VLOOKUP(E7633,基础信息!C:E,3,FALSE)</f>
        <v>#N/A</v>
      </c>
    </row>
    <row r="7634" customHeight="1" spans="8:8">
      <c r="H7634" s="39" t="e">
        <f>VLOOKUP(E7634,基础信息!C:E,3,FALSE)</f>
        <v>#N/A</v>
      </c>
    </row>
    <row r="7635" customHeight="1" spans="8:8">
      <c r="H7635" s="39" t="e">
        <f>VLOOKUP(E7635,基础信息!C:E,3,FALSE)</f>
        <v>#N/A</v>
      </c>
    </row>
    <row r="7636" customHeight="1" spans="8:8">
      <c r="H7636" s="39" t="e">
        <f>VLOOKUP(E7636,基础信息!C:E,3,FALSE)</f>
        <v>#N/A</v>
      </c>
    </row>
    <row r="7637" customHeight="1" spans="8:8">
      <c r="H7637" s="39" t="e">
        <f>VLOOKUP(E7637,基础信息!C:E,3,FALSE)</f>
        <v>#N/A</v>
      </c>
    </row>
    <row r="7638" customHeight="1" spans="8:8">
      <c r="H7638" s="39" t="e">
        <f>VLOOKUP(E7638,基础信息!C:E,3,FALSE)</f>
        <v>#N/A</v>
      </c>
    </row>
    <row r="7639" customHeight="1" spans="8:8">
      <c r="H7639" s="39" t="e">
        <f>VLOOKUP(E7639,基础信息!C:E,3,FALSE)</f>
        <v>#N/A</v>
      </c>
    </row>
    <row r="7640" customHeight="1" spans="8:8">
      <c r="H7640" s="39" t="e">
        <f>VLOOKUP(E7640,基础信息!C:E,3,FALSE)</f>
        <v>#N/A</v>
      </c>
    </row>
    <row r="7641" customHeight="1" spans="8:8">
      <c r="H7641" s="39" t="e">
        <f>VLOOKUP(E7641,基础信息!C:E,3,FALSE)</f>
        <v>#N/A</v>
      </c>
    </row>
    <row r="7642" customHeight="1" spans="8:8">
      <c r="H7642" s="39" t="e">
        <f>VLOOKUP(E7642,基础信息!C:E,3,FALSE)</f>
        <v>#N/A</v>
      </c>
    </row>
    <row r="7643" customHeight="1" spans="8:8">
      <c r="H7643" s="39" t="e">
        <f>VLOOKUP(E7643,基础信息!C:E,3,FALSE)</f>
        <v>#N/A</v>
      </c>
    </row>
    <row r="7644" customHeight="1" spans="8:8">
      <c r="H7644" s="39" t="e">
        <f>VLOOKUP(E7644,基础信息!C:E,3,FALSE)</f>
        <v>#N/A</v>
      </c>
    </row>
    <row r="7645" customHeight="1" spans="8:8">
      <c r="H7645" s="39" t="e">
        <f>VLOOKUP(E7645,基础信息!C:E,3,FALSE)</f>
        <v>#N/A</v>
      </c>
    </row>
    <row r="7646" customHeight="1" spans="8:8">
      <c r="H7646" s="39" t="e">
        <f>VLOOKUP(E7646,基础信息!C:E,3,FALSE)</f>
        <v>#N/A</v>
      </c>
    </row>
    <row r="7647" customHeight="1" spans="8:8">
      <c r="H7647" s="39" t="e">
        <f>VLOOKUP(E7647,基础信息!C:E,3,FALSE)</f>
        <v>#N/A</v>
      </c>
    </row>
    <row r="7648" customHeight="1" spans="8:8">
      <c r="H7648" s="39" t="e">
        <f>VLOOKUP(E7648,基础信息!C:E,3,FALSE)</f>
        <v>#N/A</v>
      </c>
    </row>
    <row r="7649" customHeight="1" spans="8:8">
      <c r="H7649" s="39" t="e">
        <f>VLOOKUP(E7649,基础信息!C:E,3,FALSE)</f>
        <v>#N/A</v>
      </c>
    </row>
    <row r="7650" customHeight="1" spans="8:8">
      <c r="H7650" s="39" t="e">
        <f>VLOOKUP(E7650,基础信息!C:E,3,FALSE)</f>
        <v>#N/A</v>
      </c>
    </row>
    <row r="7651" customHeight="1" spans="8:8">
      <c r="H7651" s="39" t="e">
        <f>VLOOKUP(E7651,基础信息!C:E,3,FALSE)</f>
        <v>#N/A</v>
      </c>
    </row>
    <row r="7652" customHeight="1" spans="8:8">
      <c r="H7652" s="39" t="e">
        <f>VLOOKUP(E7652,基础信息!C:E,3,FALSE)</f>
        <v>#N/A</v>
      </c>
    </row>
    <row r="7653" customHeight="1" spans="8:8">
      <c r="H7653" s="39" t="e">
        <f>VLOOKUP(E7653,基础信息!C:E,3,FALSE)</f>
        <v>#N/A</v>
      </c>
    </row>
    <row r="7654" customHeight="1" spans="8:8">
      <c r="H7654" s="39" t="e">
        <f>VLOOKUP(E7654,基础信息!C:E,3,FALSE)</f>
        <v>#N/A</v>
      </c>
    </row>
    <row r="7655" customHeight="1" spans="8:8">
      <c r="H7655" s="39" t="e">
        <f>VLOOKUP(E7655,基础信息!C:E,3,FALSE)</f>
        <v>#N/A</v>
      </c>
    </row>
    <row r="7656" customHeight="1" spans="8:8">
      <c r="H7656" s="39" t="e">
        <f>VLOOKUP(E7656,基础信息!C:E,3,FALSE)</f>
        <v>#N/A</v>
      </c>
    </row>
    <row r="7657" customHeight="1" spans="8:8">
      <c r="H7657" s="39" t="e">
        <f>VLOOKUP(E7657,基础信息!C:E,3,FALSE)</f>
        <v>#N/A</v>
      </c>
    </row>
    <row r="7658" customHeight="1" spans="8:8">
      <c r="H7658" s="39" t="e">
        <f>VLOOKUP(E7658,基础信息!C:E,3,FALSE)</f>
        <v>#N/A</v>
      </c>
    </row>
    <row r="7659" customHeight="1" spans="8:8">
      <c r="H7659" s="39" t="e">
        <f>VLOOKUP(E7659,基础信息!C:E,3,FALSE)</f>
        <v>#N/A</v>
      </c>
    </row>
    <row r="7660" customHeight="1" spans="8:8">
      <c r="H7660" s="39" t="e">
        <f>VLOOKUP(E7660,基础信息!C:E,3,FALSE)</f>
        <v>#N/A</v>
      </c>
    </row>
    <row r="7661" customHeight="1" spans="8:8">
      <c r="H7661" s="39" t="e">
        <f>VLOOKUP(E7661,基础信息!C:E,3,FALSE)</f>
        <v>#N/A</v>
      </c>
    </row>
    <row r="7662" customHeight="1" spans="8:8">
      <c r="H7662" s="39" t="e">
        <f>VLOOKUP(E7662,基础信息!C:E,3,FALSE)</f>
        <v>#N/A</v>
      </c>
    </row>
    <row r="7663" customHeight="1" spans="8:8">
      <c r="H7663" s="39" t="e">
        <f>VLOOKUP(E7663,基础信息!C:E,3,FALSE)</f>
        <v>#N/A</v>
      </c>
    </row>
    <row r="7664" customHeight="1" spans="8:8">
      <c r="H7664" s="39" t="e">
        <f>VLOOKUP(E7664,基础信息!C:E,3,FALSE)</f>
        <v>#N/A</v>
      </c>
    </row>
    <row r="7665" customHeight="1" spans="8:8">
      <c r="H7665" s="39" t="e">
        <f>VLOOKUP(E7665,基础信息!C:E,3,FALSE)</f>
        <v>#N/A</v>
      </c>
    </row>
    <row r="7666" customHeight="1" spans="8:8">
      <c r="H7666" s="39" t="e">
        <f>VLOOKUP(E7666,基础信息!C:E,3,FALSE)</f>
        <v>#N/A</v>
      </c>
    </row>
    <row r="7667" customHeight="1" spans="8:8">
      <c r="H7667" s="39" t="e">
        <f>VLOOKUP(E7667,基础信息!C:E,3,FALSE)</f>
        <v>#N/A</v>
      </c>
    </row>
    <row r="7668" customHeight="1" spans="8:8">
      <c r="H7668" s="39" t="e">
        <f>VLOOKUP(E7668,基础信息!C:E,3,FALSE)</f>
        <v>#N/A</v>
      </c>
    </row>
    <row r="7669" customHeight="1" spans="8:8">
      <c r="H7669" s="39" t="e">
        <f>VLOOKUP(E7669,基础信息!C:E,3,FALSE)</f>
        <v>#N/A</v>
      </c>
    </row>
    <row r="7670" customHeight="1" spans="8:8">
      <c r="H7670" s="39" t="e">
        <f>VLOOKUP(E7670,基础信息!C:E,3,FALSE)</f>
        <v>#N/A</v>
      </c>
    </row>
    <row r="7671" customHeight="1" spans="8:8">
      <c r="H7671" s="39" t="e">
        <f>VLOOKUP(E7671,基础信息!C:E,3,FALSE)</f>
        <v>#N/A</v>
      </c>
    </row>
    <row r="7672" customHeight="1" spans="8:8">
      <c r="H7672" s="39" t="e">
        <f>VLOOKUP(E7672,基础信息!C:E,3,FALSE)</f>
        <v>#N/A</v>
      </c>
    </row>
    <row r="7673" customHeight="1" spans="8:8">
      <c r="H7673" s="39" t="e">
        <f>VLOOKUP(E7673,基础信息!C:E,3,FALSE)</f>
        <v>#N/A</v>
      </c>
    </row>
    <row r="7674" customHeight="1" spans="8:8">
      <c r="H7674" s="39" t="e">
        <f>VLOOKUP(E7674,基础信息!C:E,3,FALSE)</f>
        <v>#N/A</v>
      </c>
    </row>
    <row r="7675" customHeight="1" spans="8:8">
      <c r="H7675" s="39" t="e">
        <f>VLOOKUP(E7675,基础信息!C:E,3,FALSE)</f>
        <v>#N/A</v>
      </c>
    </row>
    <row r="7676" customHeight="1" spans="8:8">
      <c r="H7676" s="39" t="e">
        <f>VLOOKUP(E7676,基础信息!C:E,3,FALSE)</f>
        <v>#N/A</v>
      </c>
    </row>
    <row r="7677" customHeight="1" spans="8:8">
      <c r="H7677" s="39" t="e">
        <f>VLOOKUP(E7677,基础信息!C:E,3,FALSE)</f>
        <v>#N/A</v>
      </c>
    </row>
    <row r="7678" customHeight="1" spans="8:8">
      <c r="H7678" s="39" t="e">
        <f>VLOOKUP(E7678,基础信息!C:E,3,FALSE)</f>
        <v>#N/A</v>
      </c>
    </row>
    <row r="7679" customHeight="1" spans="8:8">
      <c r="H7679" s="39" t="e">
        <f>VLOOKUP(E7679,基础信息!C:E,3,FALSE)</f>
        <v>#N/A</v>
      </c>
    </row>
    <row r="7680" customHeight="1" spans="8:8">
      <c r="H7680" s="39" t="e">
        <f>VLOOKUP(E7680,基础信息!C:E,3,FALSE)</f>
        <v>#N/A</v>
      </c>
    </row>
    <row r="7681" customHeight="1" spans="8:8">
      <c r="H7681" s="39" t="e">
        <f>VLOOKUP(E7681,基础信息!C:E,3,FALSE)</f>
        <v>#N/A</v>
      </c>
    </row>
    <row r="7682" customHeight="1" spans="8:8">
      <c r="H7682" s="39" t="e">
        <f>VLOOKUP(E7682,基础信息!C:E,3,FALSE)</f>
        <v>#N/A</v>
      </c>
    </row>
    <row r="7683" customHeight="1" spans="8:8">
      <c r="H7683" s="39" t="e">
        <f>VLOOKUP(E7683,基础信息!C:E,3,FALSE)</f>
        <v>#N/A</v>
      </c>
    </row>
    <row r="7684" customHeight="1" spans="8:8">
      <c r="H7684" s="39" t="e">
        <f>VLOOKUP(E7684,基础信息!C:E,3,FALSE)</f>
        <v>#N/A</v>
      </c>
    </row>
    <row r="7685" customHeight="1" spans="8:8">
      <c r="H7685" s="39" t="e">
        <f>VLOOKUP(E7685,基础信息!C:E,3,FALSE)</f>
        <v>#N/A</v>
      </c>
    </row>
    <row r="7686" customHeight="1" spans="8:8">
      <c r="H7686" s="39" t="e">
        <f>VLOOKUP(E7686,基础信息!C:E,3,FALSE)</f>
        <v>#N/A</v>
      </c>
    </row>
    <row r="7687" customHeight="1" spans="8:8">
      <c r="H7687" s="39" t="e">
        <f>VLOOKUP(E7687,基础信息!C:E,3,FALSE)</f>
        <v>#N/A</v>
      </c>
    </row>
    <row r="7688" customHeight="1" spans="8:8">
      <c r="H7688" s="39" t="e">
        <f>VLOOKUP(E7688,基础信息!C:E,3,FALSE)</f>
        <v>#N/A</v>
      </c>
    </row>
    <row r="7689" customHeight="1" spans="8:8">
      <c r="H7689" s="39" t="e">
        <f>VLOOKUP(E7689,基础信息!C:E,3,FALSE)</f>
        <v>#N/A</v>
      </c>
    </row>
    <row r="7690" customHeight="1" spans="8:8">
      <c r="H7690" s="39" t="e">
        <f>VLOOKUP(E7690,基础信息!C:E,3,FALSE)</f>
        <v>#N/A</v>
      </c>
    </row>
    <row r="7691" customHeight="1" spans="8:8">
      <c r="H7691" s="39" t="e">
        <f>VLOOKUP(E7691,基础信息!C:E,3,FALSE)</f>
        <v>#N/A</v>
      </c>
    </row>
    <row r="7692" customHeight="1" spans="8:8">
      <c r="H7692" s="39" t="e">
        <f>VLOOKUP(E7692,基础信息!C:E,3,FALSE)</f>
        <v>#N/A</v>
      </c>
    </row>
    <row r="7693" customHeight="1" spans="8:8">
      <c r="H7693" s="39" t="e">
        <f>VLOOKUP(E7693,基础信息!C:E,3,FALSE)</f>
        <v>#N/A</v>
      </c>
    </row>
    <row r="7694" customHeight="1" spans="8:8">
      <c r="H7694" s="39" t="e">
        <f>VLOOKUP(E7694,基础信息!C:E,3,FALSE)</f>
        <v>#N/A</v>
      </c>
    </row>
    <row r="7695" customHeight="1" spans="8:8">
      <c r="H7695" s="39" t="e">
        <f>VLOOKUP(E7695,基础信息!C:E,3,FALSE)</f>
        <v>#N/A</v>
      </c>
    </row>
    <row r="7696" customHeight="1" spans="8:8">
      <c r="H7696" s="39" t="e">
        <f>VLOOKUP(E7696,基础信息!C:E,3,FALSE)</f>
        <v>#N/A</v>
      </c>
    </row>
    <row r="7697" customHeight="1" spans="8:8">
      <c r="H7697" s="39" t="e">
        <f>VLOOKUP(E7697,基础信息!C:E,3,FALSE)</f>
        <v>#N/A</v>
      </c>
    </row>
    <row r="7698" customHeight="1" spans="8:8">
      <c r="H7698" s="39" t="e">
        <f>VLOOKUP(E7698,基础信息!C:E,3,FALSE)</f>
        <v>#N/A</v>
      </c>
    </row>
    <row r="7699" customHeight="1" spans="8:8">
      <c r="H7699" s="39" t="e">
        <f>VLOOKUP(E7699,基础信息!C:E,3,FALSE)</f>
        <v>#N/A</v>
      </c>
    </row>
    <row r="7700" customHeight="1" spans="8:8">
      <c r="H7700" s="39" t="e">
        <f>VLOOKUP(E7700,基础信息!C:E,3,FALSE)</f>
        <v>#N/A</v>
      </c>
    </row>
    <row r="7701" customHeight="1" spans="8:8">
      <c r="H7701" s="39" t="e">
        <f>VLOOKUP(E7701,基础信息!C:E,3,FALSE)</f>
        <v>#N/A</v>
      </c>
    </row>
    <row r="7702" customHeight="1" spans="8:8">
      <c r="H7702" s="39" t="e">
        <f>VLOOKUP(E7702,基础信息!C:E,3,FALSE)</f>
        <v>#N/A</v>
      </c>
    </row>
    <row r="7703" customHeight="1" spans="8:8">
      <c r="H7703" s="39" t="e">
        <f>VLOOKUP(E7703,基础信息!C:E,3,FALSE)</f>
        <v>#N/A</v>
      </c>
    </row>
    <row r="7704" customHeight="1" spans="8:8">
      <c r="H7704" s="39" t="e">
        <f>VLOOKUP(E7704,基础信息!C:E,3,FALSE)</f>
        <v>#N/A</v>
      </c>
    </row>
    <row r="7705" customHeight="1" spans="8:8">
      <c r="H7705" s="39" t="e">
        <f>VLOOKUP(E7705,基础信息!C:E,3,FALSE)</f>
        <v>#N/A</v>
      </c>
    </row>
    <row r="7706" customHeight="1" spans="8:8">
      <c r="H7706" s="39" t="e">
        <f>VLOOKUP(E7706,基础信息!C:E,3,FALSE)</f>
        <v>#N/A</v>
      </c>
    </row>
    <row r="7707" customHeight="1" spans="8:8">
      <c r="H7707" s="39" t="e">
        <f>VLOOKUP(E7707,基础信息!C:E,3,FALSE)</f>
        <v>#N/A</v>
      </c>
    </row>
    <row r="7708" customHeight="1" spans="8:8">
      <c r="H7708" s="39" t="e">
        <f>VLOOKUP(E7708,基础信息!C:E,3,FALSE)</f>
        <v>#N/A</v>
      </c>
    </row>
    <row r="7709" customHeight="1" spans="8:8">
      <c r="H7709" s="39" t="e">
        <f>VLOOKUP(E7709,基础信息!C:E,3,FALSE)</f>
        <v>#N/A</v>
      </c>
    </row>
    <row r="7710" customHeight="1" spans="8:8">
      <c r="H7710" s="39" t="e">
        <f>VLOOKUP(E7710,基础信息!C:E,3,FALSE)</f>
        <v>#N/A</v>
      </c>
    </row>
    <row r="7711" customHeight="1" spans="8:8">
      <c r="H7711" s="39" t="e">
        <f>VLOOKUP(E7711,基础信息!C:E,3,FALSE)</f>
        <v>#N/A</v>
      </c>
    </row>
    <row r="7712" customHeight="1" spans="8:8">
      <c r="H7712" s="39" t="e">
        <f>VLOOKUP(E7712,基础信息!C:E,3,FALSE)</f>
        <v>#N/A</v>
      </c>
    </row>
    <row r="7713" customHeight="1" spans="8:8">
      <c r="H7713" s="39" t="e">
        <f>VLOOKUP(E7713,基础信息!C:E,3,FALSE)</f>
        <v>#N/A</v>
      </c>
    </row>
    <row r="7714" customHeight="1" spans="8:8">
      <c r="H7714" s="39" t="e">
        <f>VLOOKUP(E7714,基础信息!C:E,3,FALSE)</f>
        <v>#N/A</v>
      </c>
    </row>
    <row r="7715" customHeight="1" spans="8:8">
      <c r="H7715" s="39" t="e">
        <f>VLOOKUP(E7715,基础信息!C:E,3,FALSE)</f>
        <v>#N/A</v>
      </c>
    </row>
    <row r="7716" customHeight="1" spans="8:8">
      <c r="H7716" s="39" t="e">
        <f>VLOOKUP(E7716,基础信息!C:E,3,FALSE)</f>
        <v>#N/A</v>
      </c>
    </row>
    <row r="7717" customHeight="1" spans="8:8">
      <c r="H7717" s="39" t="e">
        <f>VLOOKUP(E7717,基础信息!C:E,3,FALSE)</f>
        <v>#N/A</v>
      </c>
    </row>
    <row r="7718" customHeight="1" spans="8:8">
      <c r="H7718" s="39" t="e">
        <f>VLOOKUP(E7718,基础信息!C:E,3,FALSE)</f>
        <v>#N/A</v>
      </c>
    </row>
    <row r="7719" customHeight="1" spans="8:8">
      <c r="H7719" s="39" t="e">
        <f>VLOOKUP(E7719,基础信息!C:E,3,FALSE)</f>
        <v>#N/A</v>
      </c>
    </row>
    <row r="7720" customHeight="1" spans="8:8">
      <c r="H7720" s="39" t="e">
        <f>VLOOKUP(E7720,基础信息!C:E,3,FALSE)</f>
        <v>#N/A</v>
      </c>
    </row>
    <row r="7721" customHeight="1" spans="8:8">
      <c r="H7721" s="39" t="e">
        <f>VLOOKUP(E7721,基础信息!C:E,3,FALSE)</f>
        <v>#N/A</v>
      </c>
    </row>
    <row r="7722" customHeight="1" spans="8:8">
      <c r="H7722" s="39" t="e">
        <f>VLOOKUP(E7722,基础信息!C:E,3,FALSE)</f>
        <v>#N/A</v>
      </c>
    </row>
    <row r="7723" customHeight="1" spans="8:8">
      <c r="H7723" s="39" t="e">
        <f>VLOOKUP(E7723,基础信息!C:E,3,FALSE)</f>
        <v>#N/A</v>
      </c>
    </row>
    <row r="7724" customHeight="1" spans="8:8">
      <c r="H7724" s="39" t="e">
        <f>VLOOKUP(E7724,基础信息!C:E,3,FALSE)</f>
        <v>#N/A</v>
      </c>
    </row>
    <row r="7725" customHeight="1" spans="8:8">
      <c r="H7725" s="39" t="e">
        <f>VLOOKUP(E7725,基础信息!C:E,3,FALSE)</f>
        <v>#N/A</v>
      </c>
    </row>
    <row r="7726" customHeight="1" spans="8:8">
      <c r="H7726" s="39" t="e">
        <f>VLOOKUP(E7726,基础信息!C:E,3,FALSE)</f>
        <v>#N/A</v>
      </c>
    </row>
    <row r="7727" customHeight="1" spans="8:8">
      <c r="H7727" s="39" t="e">
        <f>VLOOKUP(E7727,基础信息!C:E,3,FALSE)</f>
        <v>#N/A</v>
      </c>
    </row>
    <row r="7728" customHeight="1" spans="8:8">
      <c r="H7728" s="39" t="e">
        <f>VLOOKUP(E7728,基础信息!C:E,3,FALSE)</f>
        <v>#N/A</v>
      </c>
    </row>
    <row r="7729" customHeight="1" spans="8:8">
      <c r="H7729" s="39" t="e">
        <f>VLOOKUP(E7729,基础信息!C:E,3,FALSE)</f>
        <v>#N/A</v>
      </c>
    </row>
    <row r="7730" customHeight="1" spans="8:8">
      <c r="H7730" s="39" t="e">
        <f>VLOOKUP(E7730,基础信息!C:E,3,FALSE)</f>
        <v>#N/A</v>
      </c>
    </row>
    <row r="7731" customHeight="1" spans="8:8">
      <c r="H7731" s="39" t="e">
        <f>VLOOKUP(E7731,基础信息!C:E,3,FALSE)</f>
        <v>#N/A</v>
      </c>
    </row>
    <row r="7732" customHeight="1" spans="8:8">
      <c r="H7732" s="39" t="e">
        <f>VLOOKUP(E7732,基础信息!C:E,3,FALSE)</f>
        <v>#N/A</v>
      </c>
    </row>
    <row r="7733" customHeight="1" spans="8:8">
      <c r="H7733" s="39" t="e">
        <f>VLOOKUP(E7733,基础信息!C:E,3,FALSE)</f>
        <v>#N/A</v>
      </c>
    </row>
    <row r="7734" customHeight="1" spans="8:8">
      <c r="H7734" s="39" t="e">
        <f>VLOOKUP(E7734,基础信息!C:E,3,FALSE)</f>
        <v>#N/A</v>
      </c>
    </row>
    <row r="7735" customHeight="1" spans="8:8">
      <c r="H7735" s="39" t="e">
        <f>VLOOKUP(E7735,基础信息!C:E,3,FALSE)</f>
        <v>#N/A</v>
      </c>
    </row>
    <row r="7736" customHeight="1" spans="8:8">
      <c r="H7736" s="39" t="e">
        <f>VLOOKUP(E7736,基础信息!C:E,3,FALSE)</f>
        <v>#N/A</v>
      </c>
    </row>
    <row r="7737" customHeight="1" spans="8:8">
      <c r="H7737" s="39" t="e">
        <f>VLOOKUP(E7737,基础信息!C:E,3,FALSE)</f>
        <v>#N/A</v>
      </c>
    </row>
    <row r="7738" customHeight="1" spans="8:8">
      <c r="H7738" s="39" t="e">
        <f>VLOOKUP(E7738,基础信息!C:E,3,FALSE)</f>
        <v>#N/A</v>
      </c>
    </row>
    <row r="7739" customHeight="1" spans="8:8">
      <c r="H7739" s="39" t="e">
        <f>VLOOKUP(E7739,基础信息!C:E,3,FALSE)</f>
        <v>#N/A</v>
      </c>
    </row>
    <row r="7740" customHeight="1" spans="8:8">
      <c r="H7740" s="39" t="e">
        <f>VLOOKUP(E7740,基础信息!C:E,3,FALSE)</f>
        <v>#N/A</v>
      </c>
    </row>
    <row r="7741" customHeight="1" spans="8:8">
      <c r="H7741" s="39" t="e">
        <f>VLOOKUP(E7741,基础信息!C:E,3,FALSE)</f>
        <v>#N/A</v>
      </c>
    </row>
    <row r="7742" customHeight="1" spans="8:8">
      <c r="H7742" s="39" t="e">
        <f>VLOOKUP(E7742,基础信息!C:E,3,FALSE)</f>
        <v>#N/A</v>
      </c>
    </row>
    <row r="7743" customHeight="1" spans="8:8">
      <c r="H7743" s="39" t="e">
        <f>VLOOKUP(E7743,基础信息!C:E,3,FALSE)</f>
        <v>#N/A</v>
      </c>
    </row>
    <row r="7744" customHeight="1" spans="8:8">
      <c r="H7744" s="39" t="e">
        <f>VLOOKUP(E7744,基础信息!C:E,3,FALSE)</f>
        <v>#N/A</v>
      </c>
    </row>
    <row r="7745" customHeight="1" spans="8:8">
      <c r="H7745" s="39" t="e">
        <f>VLOOKUP(E7745,基础信息!C:E,3,FALSE)</f>
        <v>#N/A</v>
      </c>
    </row>
    <row r="7746" customHeight="1" spans="8:8">
      <c r="H7746" s="39" t="e">
        <f>VLOOKUP(E7746,基础信息!C:E,3,FALSE)</f>
        <v>#N/A</v>
      </c>
    </row>
    <row r="7747" customHeight="1" spans="8:8">
      <c r="H7747" s="39" t="e">
        <f>VLOOKUP(E7747,基础信息!C:E,3,FALSE)</f>
        <v>#N/A</v>
      </c>
    </row>
    <row r="7748" customHeight="1" spans="8:8">
      <c r="H7748" s="39" t="e">
        <f>VLOOKUP(E7748,基础信息!C:E,3,FALSE)</f>
        <v>#N/A</v>
      </c>
    </row>
    <row r="7749" customHeight="1" spans="8:8">
      <c r="H7749" s="39" t="e">
        <f>VLOOKUP(E7749,基础信息!C:E,3,FALSE)</f>
        <v>#N/A</v>
      </c>
    </row>
    <row r="7750" customHeight="1" spans="8:8">
      <c r="H7750" s="39" t="e">
        <f>VLOOKUP(E7750,基础信息!C:E,3,FALSE)</f>
        <v>#N/A</v>
      </c>
    </row>
    <row r="7751" customHeight="1" spans="8:8">
      <c r="H7751" s="39" t="e">
        <f>VLOOKUP(E7751,基础信息!C:E,3,FALSE)</f>
        <v>#N/A</v>
      </c>
    </row>
    <row r="7752" customHeight="1" spans="8:8">
      <c r="H7752" s="39" t="e">
        <f>VLOOKUP(E7752,基础信息!C:E,3,FALSE)</f>
        <v>#N/A</v>
      </c>
    </row>
    <row r="7753" customHeight="1" spans="8:8">
      <c r="H7753" s="39" t="e">
        <f>VLOOKUP(E7753,基础信息!C:E,3,FALSE)</f>
        <v>#N/A</v>
      </c>
    </row>
    <row r="7754" customHeight="1" spans="8:8">
      <c r="H7754" s="39" t="e">
        <f>VLOOKUP(E7754,基础信息!C:E,3,FALSE)</f>
        <v>#N/A</v>
      </c>
    </row>
    <row r="7755" customHeight="1" spans="8:8">
      <c r="H7755" s="39" t="e">
        <f>VLOOKUP(E7755,基础信息!C:E,3,FALSE)</f>
        <v>#N/A</v>
      </c>
    </row>
    <row r="7756" customHeight="1" spans="8:8">
      <c r="H7756" s="39" t="e">
        <f>VLOOKUP(E7756,基础信息!C:E,3,FALSE)</f>
        <v>#N/A</v>
      </c>
    </row>
    <row r="7757" customHeight="1" spans="8:8">
      <c r="H7757" s="39" t="e">
        <f>VLOOKUP(E7757,基础信息!C:E,3,FALSE)</f>
        <v>#N/A</v>
      </c>
    </row>
    <row r="7758" customHeight="1" spans="8:8">
      <c r="H7758" s="39" t="e">
        <f>VLOOKUP(E7758,基础信息!C:E,3,FALSE)</f>
        <v>#N/A</v>
      </c>
    </row>
    <row r="7759" customHeight="1" spans="8:8">
      <c r="H7759" s="39" t="e">
        <f>VLOOKUP(E7759,基础信息!C:E,3,FALSE)</f>
        <v>#N/A</v>
      </c>
    </row>
    <row r="7760" customHeight="1" spans="8:8">
      <c r="H7760" s="39" t="e">
        <f>VLOOKUP(E7760,基础信息!C:E,3,FALSE)</f>
        <v>#N/A</v>
      </c>
    </row>
    <row r="7761" customHeight="1" spans="8:8">
      <c r="H7761" s="39" t="e">
        <f>VLOOKUP(E7761,基础信息!C:E,3,FALSE)</f>
        <v>#N/A</v>
      </c>
    </row>
    <row r="7762" customHeight="1" spans="8:8">
      <c r="H7762" s="39" t="e">
        <f>VLOOKUP(E7762,基础信息!C:E,3,FALSE)</f>
        <v>#N/A</v>
      </c>
    </row>
    <row r="7763" customHeight="1" spans="8:8">
      <c r="H7763" s="39" t="e">
        <f>VLOOKUP(E7763,基础信息!C:E,3,FALSE)</f>
        <v>#N/A</v>
      </c>
    </row>
    <row r="7764" customHeight="1" spans="8:8">
      <c r="H7764" s="39" t="e">
        <f>VLOOKUP(E7764,基础信息!C:E,3,FALSE)</f>
        <v>#N/A</v>
      </c>
    </row>
    <row r="7765" customHeight="1" spans="8:8">
      <c r="H7765" s="39" t="e">
        <f>VLOOKUP(E7765,基础信息!C:E,3,FALSE)</f>
        <v>#N/A</v>
      </c>
    </row>
    <row r="7766" customHeight="1" spans="8:8">
      <c r="H7766" s="39" t="e">
        <f>VLOOKUP(E7766,基础信息!C:E,3,FALSE)</f>
        <v>#N/A</v>
      </c>
    </row>
    <row r="7767" customHeight="1" spans="8:8">
      <c r="H7767" s="39" t="e">
        <f>VLOOKUP(E7767,基础信息!C:E,3,FALSE)</f>
        <v>#N/A</v>
      </c>
    </row>
    <row r="7768" customHeight="1" spans="8:8">
      <c r="H7768" s="39" t="e">
        <f>VLOOKUP(E7768,基础信息!C:E,3,FALSE)</f>
        <v>#N/A</v>
      </c>
    </row>
    <row r="7769" customHeight="1" spans="8:8">
      <c r="H7769" s="39" t="e">
        <f>VLOOKUP(E7769,基础信息!C:E,3,FALSE)</f>
        <v>#N/A</v>
      </c>
    </row>
    <row r="7770" customHeight="1" spans="8:8">
      <c r="H7770" s="39" t="e">
        <f>VLOOKUP(E7770,基础信息!C:E,3,FALSE)</f>
        <v>#N/A</v>
      </c>
    </row>
    <row r="7771" customHeight="1" spans="8:8">
      <c r="H7771" s="39" t="e">
        <f>VLOOKUP(E7771,基础信息!C:E,3,FALSE)</f>
        <v>#N/A</v>
      </c>
    </row>
    <row r="7772" customHeight="1" spans="8:8">
      <c r="H7772" s="39" t="e">
        <f>VLOOKUP(E7772,基础信息!C:E,3,FALSE)</f>
        <v>#N/A</v>
      </c>
    </row>
    <row r="7773" customHeight="1" spans="8:8">
      <c r="H7773" s="39" t="e">
        <f>VLOOKUP(E7773,基础信息!C:E,3,FALSE)</f>
        <v>#N/A</v>
      </c>
    </row>
    <row r="7774" customHeight="1" spans="8:8">
      <c r="H7774" s="39" t="e">
        <f>VLOOKUP(E7774,基础信息!C:E,3,FALSE)</f>
        <v>#N/A</v>
      </c>
    </row>
    <row r="7775" customHeight="1" spans="8:8">
      <c r="H7775" s="39" t="e">
        <f>VLOOKUP(E7775,基础信息!C:E,3,FALSE)</f>
        <v>#N/A</v>
      </c>
    </row>
    <row r="7776" customHeight="1" spans="8:8">
      <c r="H7776" s="39" t="e">
        <f>VLOOKUP(E7776,基础信息!C:E,3,FALSE)</f>
        <v>#N/A</v>
      </c>
    </row>
    <row r="7777" customHeight="1" spans="8:8">
      <c r="H7777" s="39" t="e">
        <f>VLOOKUP(E7777,基础信息!C:E,3,FALSE)</f>
        <v>#N/A</v>
      </c>
    </row>
    <row r="7778" customHeight="1" spans="8:8">
      <c r="H7778" s="39" t="e">
        <f>VLOOKUP(E7778,基础信息!C:E,3,FALSE)</f>
        <v>#N/A</v>
      </c>
    </row>
    <row r="7779" customHeight="1" spans="8:8">
      <c r="H7779" s="39" t="e">
        <f>VLOOKUP(E7779,基础信息!C:E,3,FALSE)</f>
        <v>#N/A</v>
      </c>
    </row>
    <row r="7780" customHeight="1" spans="8:8">
      <c r="H7780" s="39" t="e">
        <f>VLOOKUP(E7780,基础信息!C:E,3,FALSE)</f>
        <v>#N/A</v>
      </c>
    </row>
    <row r="7781" customHeight="1" spans="8:8">
      <c r="H7781" s="39" t="e">
        <f>VLOOKUP(E7781,基础信息!C:E,3,FALSE)</f>
        <v>#N/A</v>
      </c>
    </row>
    <row r="7782" customHeight="1" spans="8:8">
      <c r="H7782" s="39" t="e">
        <f>VLOOKUP(E7782,基础信息!C:E,3,FALSE)</f>
        <v>#N/A</v>
      </c>
    </row>
    <row r="7783" customHeight="1" spans="8:8">
      <c r="H7783" s="39" t="e">
        <f>VLOOKUP(E7783,基础信息!C:E,3,FALSE)</f>
        <v>#N/A</v>
      </c>
    </row>
    <row r="7784" customHeight="1" spans="8:8">
      <c r="H7784" s="39" t="e">
        <f>VLOOKUP(E7784,基础信息!C:E,3,FALSE)</f>
        <v>#N/A</v>
      </c>
    </row>
    <row r="7785" customHeight="1" spans="8:8">
      <c r="H7785" s="39" t="e">
        <f>VLOOKUP(E7785,基础信息!C:E,3,FALSE)</f>
        <v>#N/A</v>
      </c>
    </row>
    <row r="7786" customHeight="1" spans="8:8">
      <c r="H7786" s="39" t="e">
        <f>VLOOKUP(E7786,基础信息!C:E,3,FALSE)</f>
        <v>#N/A</v>
      </c>
    </row>
    <row r="7787" customHeight="1" spans="8:8">
      <c r="H7787" s="39" t="e">
        <f>VLOOKUP(E7787,基础信息!C:E,3,FALSE)</f>
        <v>#N/A</v>
      </c>
    </row>
    <row r="7788" customHeight="1" spans="8:8">
      <c r="H7788" s="39" t="e">
        <f>VLOOKUP(E7788,基础信息!C:E,3,FALSE)</f>
        <v>#N/A</v>
      </c>
    </row>
    <row r="7789" customHeight="1" spans="8:8">
      <c r="H7789" s="39" t="e">
        <f>VLOOKUP(E7789,基础信息!C:E,3,FALSE)</f>
        <v>#N/A</v>
      </c>
    </row>
    <row r="7790" customHeight="1" spans="8:8">
      <c r="H7790" s="39" t="e">
        <f>VLOOKUP(E7790,基础信息!C:E,3,FALSE)</f>
        <v>#N/A</v>
      </c>
    </row>
    <row r="7791" customHeight="1" spans="8:8">
      <c r="H7791" s="39" t="e">
        <f>VLOOKUP(E7791,基础信息!C:E,3,FALSE)</f>
        <v>#N/A</v>
      </c>
    </row>
    <row r="7792" customHeight="1" spans="8:8">
      <c r="H7792" s="39" t="e">
        <f>VLOOKUP(E7792,基础信息!C:E,3,FALSE)</f>
        <v>#N/A</v>
      </c>
    </row>
    <row r="7793" customHeight="1" spans="8:8">
      <c r="H7793" s="39" t="e">
        <f>VLOOKUP(E7793,基础信息!C:E,3,FALSE)</f>
        <v>#N/A</v>
      </c>
    </row>
    <row r="7794" customHeight="1" spans="8:8">
      <c r="H7794" s="39" t="e">
        <f>VLOOKUP(E7794,基础信息!C:E,3,FALSE)</f>
        <v>#N/A</v>
      </c>
    </row>
    <row r="7795" customHeight="1" spans="8:8">
      <c r="H7795" s="39" t="e">
        <f>VLOOKUP(E7795,基础信息!C:E,3,FALSE)</f>
        <v>#N/A</v>
      </c>
    </row>
    <row r="7796" customHeight="1" spans="8:8">
      <c r="H7796" s="39" t="e">
        <f>VLOOKUP(E7796,基础信息!C:E,3,FALSE)</f>
        <v>#N/A</v>
      </c>
    </row>
    <row r="7797" customHeight="1" spans="8:8">
      <c r="H7797" s="39" t="e">
        <f>VLOOKUP(E7797,基础信息!C:E,3,FALSE)</f>
        <v>#N/A</v>
      </c>
    </row>
    <row r="7798" customHeight="1" spans="8:8">
      <c r="H7798" s="39" t="e">
        <f>VLOOKUP(E7798,基础信息!C:E,3,FALSE)</f>
        <v>#N/A</v>
      </c>
    </row>
    <row r="7799" customHeight="1" spans="8:8">
      <c r="H7799" s="39" t="e">
        <f>VLOOKUP(E7799,基础信息!C:E,3,FALSE)</f>
        <v>#N/A</v>
      </c>
    </row>
    <row r="7800" customHeight="1" spans="8:8">
      <c r="H7800" s="39" t="e">
        <f>VLOOKUP(E7800,基础信息!C:E,3,FALSE)</f>
        <v>#N/A</v>
      </c>
    </row>
    <row r="7801" customHeight="1" spans="8:8">
      <c r="H7801" s="39" t="e">
        <f>VLOOKUP(E7801,基础信息!C:E,3,FALSE)</f>
        <v>#N/A</v>
      </c>
    </row>
    <row r="7802" customHeight="1" spans="8:8">
      <c r="H7802" s="39" t="e">
        <f>VLOOKUP(E7802,基础信息!C:E,3,FALSE)</f>
        <v>#N/A</v>
      </c>
    </row>
    <row r="7803" customHeight="1" spans="8:8">
      <c r="H7803" s="39" t="e">
        <f>VLOOKUP(E7803,基础信息!C:E,3,FALSE)</f>
        <v>#N/A</v>
      </c>
    </row>
    <row r="7804" customHeight="1" spans="8:8">
      <c r="H7804" s="39" t="e">
        <f>VLOOKUP(E7804,基础信息!C:E,3,FALSE)</f>
        <v>#N/A</v>
      </c>
    </row>
    <row r="7805" customHeight="1" spans="8:8">
      <c r="H7805" s="39" t="e">
        <f>VLOOKUP(E7805,基础信息!C:E,3,FALSE)</f>
        <v>#N/A</v>
      </c>
    </row>
    <row r="7806" customHeight="1" spans="8:8">
      <c r="H7806" s="39" t="e">
        <f>VLOOKUP(E7806,基础信息!C:E,3,FALSE)</f>
        <v>#N/A</v>
      </c>
    </row>
    <row r="7807" customHeight="1" spans="8:8">
      <c r="H7807" s="39" t="e">
        <f>VLOOKUP(E7807,基础信息!C:E,3,FALSE)</f>
        <v>#N/A</v>
      </c>
    </row>
    <row r="7808" customHeight="1" spans="8:8">
      <c r="H7808" s="39" t="e">
        <f>VLOOKUP(E7808,基础信息!C:E,3,FALSE)</f>
        <v>#N/A</v>
      </c>
    </row>
    <row r="7809" customHeight="1" spans="8:8">
      <c r="H7809" s="39" t="e">
        <f>VLOOKUP(E7809,基础信息!C:E,3,FALSE)</f>
        <v>#N/A</v>
      </c>
    </row>
    <row r="7810" customHeight="1" spans="8:8">
      <c r="H7810" s="39" t="e">
        <f>VLOOKUP(E7810,基础信息!C:E,3,FALSE)</f>
        <v>#N/A</v>
      </c>
    </row>
    <row r="7811" customHeight="1" spans="8:8">
      <c r="H7811" s="39" t="e">
        <f>VLOOKUP(E7811,基础信息!C:E,3,FALSE)</f>
        <v>#N/A</v>
      </c>
    </row>
    <row r="7812" customHeight="1" spans="8:8">
      <c r="H7812" s="39" t="e">
        <f>VLOOKUP(E7812,基础信息!C:E,3,FALSE)</f>
        <v>#N/A</v>
      </c>
    </row>
    <row r="7813" customHeight="1" spans="8:8">
      <c r="H7813" s="39" t="e">
        <f>VLOOKUP(E7813,基础信息!C:E,3,FALSE)</f>
        <v>#N/A</v>
      </c>
    </row>
    <row r="7814" customHeight="1" spans="8:8">
      <c r="H7814" s="39" t="e">
        <f>VLOOKUP(E7814,基础信息!C:E,3,FALSE)</f>
        <v>#N/A</v>
      </c>
    </row>
    <row r="7815" customHeight="1" spans="8:8">
      <c r="H7815" s="39" t="e">
        <f>VLOOKUP(E7815,基础信息!C:E,3,FALSE)</f>
        <v>#N/A</v>
      </c>
    </row>
    <row r="7816" customHeight="1" spans="8:8">
      <c r="H7816" s="39" t="e">
        <f>VLOOKUP(E7816,基础信息!C:E,3,FALSE)</f>
        <v>#N/A</v>
      </c>
    </row>
    <row r="7817" customHeight="1" spans="8:8">
      <c r="H7817" s="39" t="e">
        <f>VLOOKUP(E7817,基础信息!C:E,3,FALSE)</f>
        <v>#N/A</v>
      </c>
    </row>
    <row r="7818" customHeight="1" spans="8:8">
      <c r="H7818" s="39" t="e">
        <f>VLOOKUP(E7818,基础信息!C:E,3,FALSE)</f>
        <v>#N/A</v>
      </c>
    </row>
    <row r="7819" customHeight="1" spans="8:8">
      <c r="H7819" s="39" t="e">
        <f>VLOOKUP(E7819,基础信息!C:E,3,FALSE)</f>
        <v>#N/A</v>
      </c>
    </row>
    <row r="7820" customHeight="1" spans="8:8">
      <c r="H7820" s="39" t="e">
        <f>VLOOKUP(E7820,基础信息!C:E,3,FALSE)</f>
        <v>#N/A</v>
      </c>
    </row>
    <row r="7821" customHeight="1" spans="8:8">
      <c r="H7821" s="39" t="e">
        <f>VLOOKUP(E7821,基础信息!C:E,3,FALSE)</f>
        <v>#N/A</v>
      </c>
    </row>
    <row r="7822" customHeight="1" spans="8:8">
      <c r="H7822" s="39" t="e">
        <f>VLOOKUP(E7822,基础信息!C:E,3,FALSE)</f>
        <v>#N/A</v>
      </c>
    </row>
    <row r="7823" customHeight="1" spans="8:8">
      <c r="H7823" s="39" t="e">
        <f>VLOOKUP(E7823,基础信息!C:E,3,FALSE)</f>
        <v>#N/A</v>
      </c>
    </row>
    <row r="7824" customHeight="1" spans="8:8">
      <c r="H7824" s="39" t="e">
        <f>VLOOKUP(E7824,基础信息!C:E,3,FALSE)</f>
        <v>#N/A</v>
      </c>
    </row>
    <row r="7825" customHeight="1" spans="8:8">
      <c r="H7825" s="39" t="e">
        <f>VLOOKUP(E7825,基础信息!C:E,3,FALSE)</f>
        <v>#N/A</v>
      </c>
    </row>
    <row r="7826" customHeight="1" spans="8:8">
      <c r="H7826" s="39" t="e">
        <f>VLOOKUP(E7826,基础信息!C:E,3,FALSE)</f>
        <v>#N/A</v>
      </c>
    </row>
    <row r="7827" customHeight="1" spans="8:8">
      <c r="H7827" s="39" t="e">
        <f>VLOOKUP(E7827,基础信息!C:E,3,FALSE)</f>
        <v>#N/A</v>
      </c>
    </row>
    <row r="7828" customHeight="1" spans="8:8">
      <c r="H7828" s="39" t="e">
        <f>VLOOKUP(E7828,基础信息!C:E,3,FALSE)</f>
        <v>#N/A</v>
      </c>
    </row>
    <row r="7829" customHeight="1" spans="8:8">
      <c r="H7829" s="39" t="e">
        <f>VLOOKUP(E7829,基础信息!C:E,3,FALSE)</f>
        <v>#N/A</v>
      </c>
    </row>
    <row r="7830" customHeight="1" spans="8:8">
      <c r="H7830" s="39" t="e">
        <f>VLOOKUP(E7830,基础信息!C:E,3,FALSE)</f>
        <v>#N/A</v>
      </c>
    </row>
    <row r="7831" customHeight="1" spans="8:8">
      <c r="H7831" s="39" t="e">
        <f>VLOOKUP(E7831,基础信息!C:E,3,FALSE)</f>
        <v>#N/A</v>
      </c>
    </row>
    <row r="7832" customHeight="1" spans="8:8">
      <c r="H7832" s="39" t="e">
        <f>VLOOKUP(E7832,基础信息!C:E,3,FALSE)</f>
        <v>#N/A</v>
      </c>
    </row>
    <row r="7833" customHeight="1" spans="8:8">
      <c r="H7833" s="39" t="e">
        <f>VLOOKUP(E7833,基础信息!C:E,3,FALSE)</f>
        <v>#N/A</v>
      </c>
    </row>
    <row r="7834" customHeight="1" spans="8:8">
      <c r="H7834" s="39" t="e">
        <f>VLOOKUP(E7834,基础信息!C:E,3,FALSE)</f>
        <v>#N/A</v>
      </c>
    </row>
    <row r="7835" customHeight="1" spans="8:8">
      <c r="H7835" s="39" t="e">
        <f>VLOOKUP(E7835,基础信息!C:E,3,FALSE)</f>
        <v>#N/A</v>
      </c>
    </row>
    <row r="7836" customHeight="1" spans="8:8">
      <c r="H7836" s="39" t="e">
        <f>VLOOKUP(E7836,基础信息!C:E,3,FALSE)</f>
        <v>#N/A</v>
      </c>
    </row>
    <row r="7837" customHeight="1" spans="8:8">
      <c r="H7837" s="39" t="e">
        <f>VLOOKUP(E7837,基础信息!C:E,3,FALSE)</f>
        <v>#N/A</v>
      </c>
    </row>
    <row r="7838" customHeight="1" spans="8:8">
      <c r="H7838" s="39" t="e">
        <f>VLOOKUP(E7838,基础信息!C:E,3,FALSE)</f>
        <v>#N/A</v>
      </c>
    </row>
    <row r="7839" customHeight="1" spans="8:8">
      <c r="H7839" s="39" t="e">
        <f>VLOOKUP(E7839,基础信息!C:E,3,FALSE)</f>
        <v>#N/A</v>
      </c>
    </row>
    <row r="7840" customHeight="1" spans="8:8">
      <c r="H7840" s="39" t="e">
        <f>VLOOKUP(E7840,基础信息!C:E,3,FALSE)</f>
        <v>#N/A</v>
      </c>
    </row>
    <row r="7841" customHeight="1" spans="8:8">
      <c r="H7841" s="39" t="e">
        <f>VLOOKUP(E7841,基础信息!C:E,3,FALSE)</f>
        <v>#N/A</v>
      </c>
    </row>
    <row r="7842" customHeight="1" spans="8:8">
      <c r="H7842" s="39" t="e">
        <f>VLOOKUP(E7842,基础信息!C:E,3,FALSE)</f>
        <v>#N/A</v>
      </c>
    </row>
    <row r="7843" customHeight="1" spans="8:8">
      <c r="H7843" s="39" t="e">
        <f>VLOOKUP(E7843,基础信息!C:E,3,FALSE)</f>
        <v>#N/A</v>
      </c>
    </row>
    <row r="7844" customHeight="1" spans="8:8">
      <c r="H7844" s="39" t="e">
        <f>VLOOKUP(E7844,基础信息!C:E,3,FALSE)</f>
        <v>#N/A</v>
      </c>
    </row>
    <row r="7845" customHeight="1" spans="8:8">
      <c r="H7845" s="39" t="e">
        <f>VLOOKUP(E7845,基础信息!C:E,3,FALSE)</f>
        <v>#N/A</v>
      </c>
    </row>
    <row r="7846" customHeight="1" spans="8:8">
      <c r="H7846" s="39" t="e">
        <f>VLOOKUP(E7846,基础信息!C:E,3,FALSE)</f>
        <v>#N/A</v>
      </c>
    </row>
    <row r="7847" customHeight="1" spans="8:8">
      <c r="H7847" s="39" t="e">
        <f>VLOOKUP(E7847,基础信息!C:E,3,FALSE)</f>
        <v>#N/A</v>
      </c>
    </row>
    <row r="7848" customHeight="1" spans="8:8">
      <c r="H7848" s="39" t="e">
        <f>VLOOKUP(E7848,基础信息!C:E,3,FALSE)</f>
        <v>#N/A</v>
      </c>
    </row>
    <row r="7849" customHeight="1" spans="8:8">
      <c r="H7849" s="39" t="e">
        <f>VLOOKUP(E7849,基础信息!C:E,3,FALSE)</f>
        <v>#N/A</v>
      </c>
    </row>
    <row r="7850" customHeight="1" spans="8:8">
      <c r="H7850" s="39" t="e">
        <f>VLOOKUP(E7850,基础信息!C:E,3,FALSE)</f>
        <v>#N/A</v>
      </c>
    </row>
    <row r="7851" customHeight="1" spans="8:8">
      <c r="H7851" s="39" t="e">
        <f>VLOOKUP(E7851,基础信息!C:E,3,FALSE)</f>
        <v>#N/A</v>
      </c>
    </row>
    <row r="7852" customHeight="1" spans="8:8">
      <c r="H7852" s="39" t="e">
        <f>VLOOKUP(E7852,基础信息!C:E,3,FALSE)</f>
        <v>#N/A</v>
      </c>
    </row>
    <row r="7853" customHeight="1" spans="8:8">
      <c r="H7853" s="39" t="e">
        <f>VLOOKUP(E7853,基础信息!C:E,3,FALSE)</f>
        <v>#N/A</v>
      </c>
    </row>
    <row r="7854" customHeight="1" spans="8:8">
      <c r="H7854" s="39" t="e">
        <f>VLOOKUP(E7854,基础信息!C:E,3,FALSE)</f>
        <v>#N/A</v>
      </c>
    </row>
    <row r="7855" customHeight="1" spans="8:8">
      <c r="H7855" s="39" t="e">
        <f>VLOOKUP(E7855,基础信息!C:E,3,FALSE)</f>
        <v>#N/A</v>
      </c>
    </row>
    <row r="7856" customHeight="1" spans="8:8">
      <c r="H7856" s="39" t="e">
        <f>VLOOKUP(E7856,基础信息!C:E,3,FALSE)</f>
        <v>#N/A</v>
      </c>
    </row>
    <row r="7857" customHeight="1" spans="8:8">
      <c r="H7857" s="39" t="e">
        <f>VLOOKUP(E7857,基础信息!C:E,3,FALSE)</f>
        <v>#N/A</v>
      </c>
    </row>
    <row r="7858" customHeight="1" spans="8:8">
      <c r="H7858" s="39" t="e">
        <f>VLOOKUP(E7858,基础信息!C:E,3,FALSE)</f>
        <v>#N/A</v>
      </c>
    </row>
    <row r="7859" customHeight="1" spans="8:8">
      <c r="H7859" s="39" t="e">
        <f>VLOOKUP(E7859,基础信息!C:E,3,FALSE)</f>
        <v>#N/A</v>
      </c>
    </row>
    <row r="7860" customHeight="1" spans="8:8">
      <c r="H7860" s="39" t="e">
        <f>VLOOKUP(E7860,基础信息!C:E,3,FALSE)</f>
        <v>#N/A</v>
      </c>
    </row>
    <row r="7861" customHeight="1" spans="8:8">
      <c r="H7861" s="39" t="e">
        <f>VLOOKUP(E7861,基础信息!C:E,3,FALSE)</f>
        <v>#N/A</v>
      </c>
    </row>
    <row r="7862" customHeight="1" spans="8:8">
      <c r="H7862" s="39" t="e">
        <f>VLOOKUP(E7862,基础信息!C:E,3,FALSE)</f>
        <v>#N/A</v>
      </c>
    </row>
    <row r="7863" customHeight="1" spans="8:8">
      <c r="H7863" s="39" t="e">
        <f>VLOOKUP(E7863,基础信息!C:E,3,FALSE)</f>
        <v>#N/A</v>
      </c>
    </row>
    <row r="7864" customHeight="1" spans="8:8">
      <c r="H7864" s="39" t="e">
        <f>VLOOKUP(E7864,基础信息!C:E,3,FALSE)</f>
        <v>#N/A</v>
      </c>
    </row>
    <row r="7865" customHeight="1" spans="8:8">
      <c r="H7865" s="39" t="e">
        <f>VLOOKUP(E7865,基础信息!C:E,3,FALSE)</f>
        <v>#N/A</v>
      </c>
    </row>
    <row r="7866" customHeight="1" spans="8:8">
      <c r="H7866" s="39" t="e">
        <f>VLOOKUP(E7866,基础信息!C:E,3,FALSE)</f>
        <v>#N/A</v>
      </c>
    </row>
    <row r="7867" customHeight="1" spans="8:8">
      <c r="H7867" s="39" t="e">
        <f>VLOOKUP(E7867,基础信息!C:E,3,FALSE)</f>
        <v>#N/A</v>
      </c>
    </row>
    <row r="7868" customHeight="1" spans="8:8">
      <c r="H7868" s="39" t="e">
        <f>VLOOKUP(E7868,基础信息!C:E,3,FALSE)</f>
        <v>#N/A</v>
      </c>
    </row>
    <row r="7869" customHeight="1" spans="8:8">
      <c r="H7869" s="39" t="e">
        <f>VLOOKUP(E7869,基础信息!C:E,3,FALSE)</f>
        <v>#N/A</v>
      </c>
    </row>
    <row r="7870" customHeight="1" spans="8:8">
      <c r="H7870" s="39" t="e">
        <f>VLOOKUP(E7870,基础信息!C:E,3,FALSE)</f>
        <v>#N/A</v>
      </c>
    </row>
    <row r="7871" customHeight="1" spans="8:8">
      <c r="H7871" s="39" t="e">
        <f>VLOOKUP(E7871,基础信息!C:E,3,FALSE)</f>
        <v>#N/A</v>
      </c>
    </row>
    <row r="7872" customHeight="1" spans="8:8">
      <c r="H7872" s="39" t="e">
        <f>VLOOKUP(E7872,基础信息!C:E,3,FALSE)</f>
        <v>#N/A</v>
      </c>
    </row>
    <row r="7873" customHeight="1" spans="8:8">
      <c r="H7873" s="39" t="e">
        <f>VLOOKUP(E7873,基础信息!C:E,3,FALSE)</f>
        <v>#N/A</v>
      </c>
    </row>
    <row r="7874" customHeight="1" spans="8:8">
      <c r="H7874" s="39" t="e">
        <f>VLOOKUP(E7874,基础信息!C:E,3,FALSE)</f>
        <v>#N/A</v>
      </c>
    </row>
    <row r="7875" customHeight="1" spans="8:8">
      <c r="H7875" s="39" t="e">
        <f>VLOOKUP(E7875,基础信息!C:E,3,FALSE)</f>
        <v>#N/A</v>
      </c>
    </row>
    <row r="7876" customHeight="1" spans="8:8">
      <c r="H7876" s="39" t="e">
        <f>VLOOKUP(E7876,基础信息!C:E,3,FALSE)</f>
        <v>#N/A</v>
      </c>
    </row>
    <row r="7877" customHeight="1" spans="8:8">
      <c r="H7877" s="39" t="e">
        <f>VLOOKUP(E7877,基础信息!C:E,3,FALSE)</f>
        <v>#N/A</v>
      </c>
    </row>
    <row r="7878" customHeight="1" spans="8:8">
      <c r="H7878" s="39" t="e">
        <f>VLOOKUP(E7878,基础信息!C:E,3,FALSE)</f>
        <v>#N/A</v>
      </c>
    </row>
    <row r="7879" customHeight="1" spans="8:8">
      <c r="H7879" s="39" t="e">
        <f>VLOOKUP(E7879,基础信息!C:E,3,FALSE)</f>
        <v>#N/A</v>
      </c>
    </row>
    <row r="7880" customHeight="1" spans="8:8">
      <c r="H7880" s="39" t="e">
        <f>VLOOKUP(E7880,基础信息!C:E,3,FALSE)</f>
        <v>#N/A</v>
      </c>
    </row>
    <row r="7881" customHeight="1" spans="8:8">
      <c r="H7881" s="39" t="e">
        <f>VLOOKUP(E7881,基础信息!C:E,3,FALSE)</f>
        <v>#N/A</v>
      </c>
    </row>
    <row r="7882" customHeight="1" spans="8:8">
      <c r="H7882" s="39" t="e">
        <f>VLOOKUP(E7882,基础信息!C:E,3,FALSE)</f>
        <v>#N/A</v>
      </c>
    </row>
    <row r="7883" customHeight="1" spans="8:8">
      <c r="H7883" s="39" t="e">
        <f>VLOOKUP(E7883,基础信息!C:E,3,FALSE)</f>
        <v>#N/A</v>
      </c>
    </row>
    <row r="7884" customHeight="1" spans="8:8">
      <c r="H7884" s="39" t="e">
        <f>VLOOKUP(E7884,基础信息!C:E,3,FALSE)</f>
        <v>#N/A</v>
      </c>
    </row>
    <row r="7885" customHeight="1" spans="8:8">
      <c r="H7885" s="39" t="e">
        <f>VLOOKUP(E7885,基础信息!C:E,3,FALSE)</f>
        <v>#N/A</v>
      </c>
    </row>
    <row r="7886" customHeight="1" spans="8:8">
      <c r="H7886" s="39" t="e">
        <f>VLOOKUP(E7886,基础信息!C:E,3,FALSE)</f>
        <v>#N/A</v>
      </c>
    </row>
    <row r="7887" customHeight="1" spans="8:8">
      <c r="H7887" s="39" t="e">
        <f>VLOOKUP(E7887,基础信息!C:E,3,FALSE)</f>
        <v>#N/A</v>
      </c>
    </row>
    <row r="7888" customHeight="1" spans="8:8">
      <c r="H7888" s="39" t="e">
        <f>VLOOKUP(E7888,基础信息!C:E,3,FALSE)</f>
        <v>#N/A</v>
      </c>
    </row>
    <row r="7889" customHeight="1" spans="8:8">
      <c r="H7889" s="39" t="e">
        <f>VLOOKUP(E7889,基础信息!C:E,3,FALSE)</f>
        <v>#N/A</v>
      </c>
    </row>
    <row r="7890" customHeight="1" spans="8:8">
      <c r="H7890" s="39" t="e">
        <f>VLOOKUP(E7890,基础信息!C:E,3,FALSE)</f>
        <v>#N/A</v>
      </c>
    </row>
    <row r="7891" customHeight="1" spans="8:8">
      <c r="H7891" s="39" t="e">
        <f>VLOOKUP(E7891,基础信息!C:E,3,FALSE)</f>
        <v>#N/A</v>
      </c>
    </row>
    <row r="7892" customHeight="1" spans="8:8">
      <c r="H7892" s="39" t="e">
        <f>VLOOKUP(E7892,基础信息!C:E,3,FALSE)</f>
        <v>#N/A</v>
      </c>
    </row>
    <row r="7893" customHeight="1" spans="8:8">
      <c r="H7893" s="39" t="e">
        <f>VLOOKUP(E7893,基础信息!C:E,3,FALSE)</f>
        <v>#N/A</v>
      </c>
    </row>
    <row r="7894" customHeight="1" spans="8:8">
      <c r="H7894" s="39" t="e">
        <f>VLOOKUP(E7894,基础信息!C:E,3,FALSE)</f>
        <v>#N/A</v>
      </c>
    </row>
    <row r="7895" customHeight="1" spans="8:8">
      <c r="H7895" s="39" t="e">
        <f>VLOOKUP(E7895,基础信息!C:E,3,FALSE)</f>
        <v>#N/A</v>
      </c>
    </row>
    <row r="7896" customHeight="1" spans="8:8">
      <c r="H7896" s="39" t="e">
        <f>VLOOKUP(E7896,基础信息!C:E,3,FALSE)</f>
        <v>#N/A</v>
      </c>
    </row>
    <row r="7897" customHeight="1" spans="8:8">
      <c r="H7897" s="39" t="e">
        <f>VLOOKUP(E7897,基础信息!C:E,3,FALSE)</f>
        <v>#N/A</v>
      </c>
    </row>
    <row r="7898" customHeight="1" spans="8:8">
      <c r="H7898" s="39" t="e">
        <f>VLOOKUP(E7898,基础信息!C:E,3,FALSE)</f>
        <v>#N/A</v>
      </c>
    </row>
    <row r="7899" customHeight="1" spans="8:8">
      <c r="H7899" s="39" t="e">
        <f>VLOOKUP(E7899,基础信息!C:E,3,FALSE)</f>
        <v>#N/A</v>
      </c>
    </row>
    <row r="7900" customHeight="1" spans="8:8">
      <c r="H7900" s="39" t="e">
        <f>VLOOKUP(E7900,基础信息!C:E,3,FALSE)</f>
        <v>#N/A</v>
      </c>
    </row>
    <row r="7901" customHeight="1" spans="8:8">
      <c r="H7901" s="39" t="e">
        <f>VLOOKUP(E7901,基础信息!C:E,3,FALSE)</f>
        <v>#N/A</v>
      </c>
    </row>
    <row r="7902" customHeight="1" spans="8:8">
      <c r="H7902" s="39" t="e">
        <f>VLOOKUP(E7902,基础信息!C:E,3,FALSE)</f>
        <v>#N/A</v>
      </c>
    </row>
    <row r="7903" customHeight="1" spans="8:8">
      <c r="H7903" s="39" t="e">
        <f>VLOOKUP(E7903,基础信息!C:E,3,FALSE)</f>
        <v>#N/A</v>
      </c>
    </row>
    <row r="7904" customHeight="1" spans="8:8">
      <c r="H7904" s="39" t="e">
        <f>VLOOKUP(E7904,基础信息!C:E,3,FALSE)</f>
        <v>#N/A</v>
      </c>
    </row>
    <row r="7905" customHeight="1" spans="8:8">
      <c r="H7905" s="39" t="e">
        <f>VLOOKUP(E7905,基础信息!C:E,3,FALSE)</f>
        <v>#N/A</v>
      </c>
    </row>
    <row r="7906" customHeight="1" spans="8:8">
      <c r="H7906" s="39" t="e">
        <f>VLOOKUP(E7906,基础信息!C:E,3,FALSE)</f>
        <v>#N/A</v>
      </c>
    </row>
    <row r="7907" customHeight="1" spans="8:8">
      <c r="H7907" s="39" t="e">
        <f>VLOOKUP(E7907,基础信息!C:E,3,FALSE)</f>
        <v>#N/A</v>
      </c>
    </row>
    <row r="7908" customHeight="1" spans="8:8">
      <c r="H7908" s="39" t="e">
        <f>VLOOKUP(E7908,基础信息!C:E,3,FALSE)</f>
        <v>#N/A</v>
      </c>
    </row>
    <row r="7909" customHeight="1" spans="8:8">
      <c r="H7909" s="39" t="e">
        <f>VLOOKUP(E7909,基础信息!C:E,3,FALSE)</f>
        <v>#N/A</v>
      </c>
    </row>
    <row r="7910" customHeight="1" spans="8:8">
      <c r="H7910" s="39" t="e">
        <f>VLOOKUP(E7910,基础信息!C:E,3,FALSE)</f>
        <v>#N/A</v>
      </c>
    </row>
    <row r="7911" customHeight="1" spans="8:8">
      <c r="H7911" s="39" t="e">
        <f>VLOOKUP(E7911,基础信息!C:E,3,FALSE)</f>
        <v>#N/A</v>
      </c>
    </row>
    <row r="7912" customHeight="1" spans="8:8">
      <c r="H7912" s="39" t="e">
        <f>VLOOKUP(E7912,基础信息!C:E,3,FALSE)</f>
        <v>#N/A</v>
      </c>
    </row>
    <row r="7913" customHeight="1" spans="8:8">
      <c r="H7913" s="39" t="e">
        <f>VLOOKUP(E7913,基础信息!C:E,3,FALSE)</f>
        <v>#N/A</v>
      </c>
    </row>
    <row r="7914" customHeight="1" spans="8:8">
      <c r="H7914" s="39" t="e">
        <f>VLOOKUP(E7914,基础信息!C:E,3,FALSE)</f>
        <v>#N/A</v>
      </c>
    </row>
    <row r="7915" customHeight="1" spans="8:8">
      <c r="H7915" s="39" t="e">
        <f>VLOOKUP(E7915,基础信息!C:E,3,FALSE)</f>
        <v>#N/A</v>
      </c>
    </row>
    <row r="7916" customHeight="1" spans="8:8">
      <c r="H7916" s="39" t="e">
        <f>VLOOKUP(E7916,基础信息!C:E,3,FALSE)</f>
        <v>#N/A</v>
      </c>
    </row>
    <row r="7917" customHeight="1" spans="8:8">
      <c r="H7917" s="39" t="e">
        <f>VLOOKUP(E7917,基础信息!C:E,3,FALSE)</f>
        <v>#N/A</v>
      </c>
    </row>
    <row r="7918" customHeight="1" spans="8:8">
      <c r="H7918" s="39" t="e">
        <f>VLOOKUP(E7918,基础信息!C:E,3,FALSE)</f>
        <v>#N/A</v>
      </c>
    </row>
    <row r="7919" customHeight="1" spans="8:8">
      <c r="H7919" s="39" t="e">
        <f>VLOOKUP(E7919,基础信息!C:E,3,FALSE)</f>
        <v>#N/A</v>
      </c>
    </row>
    <row r="7920" customHeight="1" spans="8:8">
      <c r="H7920" s="39" t="e">
        <f>VLOOKUP(E7920,基础信息!C:E,3,FALSE)</f>
        <v>#N/A</v>
      </c>
    </row>
    <row r="7921" customHeight="1" spans="8:8">
      <c r="H7921" s="39" t="e">
        <f>VLOOKUP(E7921,基础信息!C:E,3,FALSE)</f>
        <v>#N/A</v>
      </c>
    </row>
    <row r="7922" customHeight="1" spans="8:8">
      <c r="H7922" s="39" t="e">
        <f>VLOOKUP(E7922,基础信息!C:E,3,FALSE)</f>
        <v>#N/A</v>
      </c>
    </row>
    <row r="7923" customHeight="1" spans="8:8">
      <c r="H7923" s="39" t="e">
        <f>VLOOKUP(E7923,基础信息!C:E,3,FALSE)</f>
        <v>#N/A</v>
      </c>
    </row>
    <row r="7924" customHeight="1" spans="8:8">
      <c r="H7924" s="39" t="e">
        <f>VLOOKUP(E7924,基础信息!C:E,3,FALSE)</f>
        <v>#N/A</v>
      </c>
    </row>
    <row r="7925" customHeight="1" spans="8:8">
      <c r="H7925" s="39" t="e">
        <f>VLOOKUP(E7925,基础信息!C:E,3,FALSE)</f>
        <v>#N/A</v>
      </c>
    </row>
    <row r="7926" customHeight="1" spans="8:8">
      <c r="H7926" s="39" t="e">
        <f>VLOOKUP(E7926,基础信息!C:E,3,FALSE)</f>
        <v>#N/A</v>
      </c>
    </row>
    <row r="7927" customHeight="1" spans="8:8">
      <c r="H7927" s="39" t="e">
        <f>VLOOKUP(E7927,基础信息!C:E,3,FALSE)</f>
        <v>#N/A</v>
      </c>
    </row>
    <row r="7928" customHeight="1" spans="8:8">
      <c r="H7928" s="39" t="e">
        <f>VLOOKUP(E7928,基础信息!C:E,3,FALSE)</f>
        <v>#N/A</v>
      </c>
    </row>
    <row r="7929" customHeight="1" spans="8:8">
      <c r="H7929" s="39" t="e">
        <f>VLOOKUP(E7929,基础信息!C:E,3,FALSE)</f>
        <v>#N/A</v>
      </c>
    </row>
    <row r="7930" customHeight="1" spans="8:8">
      <c r="H7930" s="39" t="e">
        <f>VLOOKUP(E7930,基础信息!C:E,3,FALSE)</f>
        <v>#N/A</v>
      </c>
    </row>
    <row r="7931" customHeight="1" spans="8:8">
      <c r="H7931" s="39" t="e">
        <f>VLOOKUP(E7931,基础信息!C:E,3,FALSE)</f>
        <v>#N/A</v>
      </c>
    </row>
    <row r="7932" customHeight="1" spans="8:8">
      <c r="H7932" s="39" t="e">
        <f>VLOOKUP(E7932,基础信息!C:E,3,FALSE)</f>
        <v>#N/A</v>
      </c>
    </row>
    <row r="7933" customHeight="1" spans="8:8">
      <c r="H7933" s="39" t="e">
        <f>VLOOKUP(E7933,基础信息!C:E,3,FALSE)</f>
        <v>#N/A</v>
      </c>
    </row>
    <row r="7934" customHeight="1" spans="8:8">
      <c r="H7934" s="39" t="e">
        <f>VLOOKUP(E7934,基础信息!C:E,3,FALSE)</f>
        <v>#N/A</v>
      </c>
    </row>
    <row r="7935" customHeight="1" spans="8:8">
      <c r="H7935" s="39" t="e">
        <f>VLOOKUP(E7935,基础信息!C:E,3,FALSE)</f>
        <v>#N/A</v>
      </c>
    </row>
    <row r="7936" customHeight="1" spans="8:8">
      <c r="H7936" s="39" t="e">
        <f>VLOOKUP(E7936,基础信息!C:E,3,FALSE)</f>
        <v>#N/A</v>
      </c>
    </row>
    <row r="7937" customHeight="1" spans="8:8">
      <c r="H7937" s="39" t="e">
        <f>VLOOKUP(E7937,基础信息!C:E,3,FALSE)</f>
        <v>#N/A</v>
      </c>
    </row>
    <row r="7938" customHeight="1" spans="8:8">
      <c r="H7938" s="39" t="e">
        <f>VLOOKUP(E7938,基础信息!C:E,3,FALSE)</f>
        <v>#N/A</v>
      </c>
    </row>
    <row r="7939" customHeight="1" spans="8:8">
      <c r="H7939" s="39" t="e">
        <f>VLOOKUP(E7939,基础信息!C:E,3,FALSE)</f>
        <v>#N/A</v>
      </c>
    </row>
    <row r="7940" customHeight="1" spans="8:8">
      <c r="H7940" s="39" t="e">
        <f>VLOOKUP(E7940,基础信息!C:E,3,FALSE)</f>
        <v>#N/A</v>
      </c>
    </row>
    <row r="7941" customHeight="1" spans="8:8">
      <c r="H7941" s="39" t="e">
        <f>VLOOKUP(E7941,基础信息!C:E,3,FALSE)</f>
        <v>#N/A</v>
      </c>
    </row>
    <row r="7942" customHeight="1" spans="8:8">
      <c r="H7942" s="39" t="e">
        <f>VLOOKUP(E7942,基础信息!C:E,3,FALSE)</f>
        <v>#N/A</v>
      </c>
    </row>
    <row r="7943" customHeight="1" spans="8:8">
      <c r="H7943" s="39" t="e">
        <f>VLOOKUP(E7943,基础信息!C:E,3,FALSE)</f>
        <v>#N/A</v>
      </c>
    </row>
    <row r="7944" customHeight="1" spans="8:8">
      <c r="H7944" s="39" t="e">
        <f>VLOOKUP(E7944,基础信息!C:E,3,FALSE)</f>
        <v>#N/A</v>
      </c>
    </row>
    <row r="7945" customHeight="1" spans="8:8">
      <c r="H7945" s="39" t="e">
        <f>VLOOKUP(E7945,基础信息!C:E,3,FALSE)</f>
        <v>#N/A</v>
      </c>
    </row>
    <row r="7946" customHeight="1" spans="8:8">
      <c r="H7946" s="39" t="e">
        <f>VLOOKUP(E7946,基础信息!C:E,3,FALSE)</f>
        <v>#N/A</v>
      </c>
    </row>
    <row r="7947" customHeight="1" spans="8:8">
      <c r="H7947" s="39" t="e">
        <f>VLOOKUP(E7947,基础信息!C:E,3,FALSE)</f>
        <v>#N/A</v>
      </c>
    </row>
    <row r="7948" customHeight="1" spans="8:8">
      <c r="H7948" s="39" t="e">
        <f>VLOOKUP(E7948,基础信息!C:E,3,FALSE)</f>
        <v>#N/A</v>
      </c>
    </row>
    <row r="7949" customHeight="1" spans="8:8">
      <c r="H7949" s="39" t="e">
        <f>VLOOKUP(E7949,基础信息!C:E,3,FALSE)</f>
        <v>#N/A</v>
      </c>
    </row>
    <row r="7950" customHeight="1" spans="8:8">
      <c r="H7950" s="39" t="e">
        <f>VLOOKUP(E7950,基础信息!C:E,3,FALSE)</f>
        <v>#N/A</v>
      </c>
    </row>
    <row r="7951" customHeight="1" spans="8:8">
      <c r="H7951" s="39" t="e">
        <f>VLOOKUP(E7951,基础信息!C:E,3,FALSE)</f>
        <v>#N/A</v>
      </c>
    </row>
    <row r="7952" customHeight="1" spans="8:8">
      <c r="H7952" s="39" t="e">
        <f>VLOOKUP(E7952,基础信息!C:E,3,FALSE)</f>
        <v>#N/A</v>
      </c>
    </row>
    <row r="7953" customHeight="1" spans="8:8">
      <c r="H7953" s="39" t="e">
        <f>VLOOKUP(E7953,基础信息!C:E,3,FALSE)</f>
        <v>#N/A</v>
      </c>
    </row>
    <row r="7954" customHeight="1" spans="8:8">
      <c r="H7954" s="39" t="e">
        <f>VLOOKUP(E7954,基础信息!C:E,3,FALSE)</f>
        <v>#N/A</v>
      </c>
    </row>
    <row r="7955" customHeight="1" spans="8:8">
      <c r="H7955" s="39" t="e">
        <f>VLOOKUP(E7955,基础信息!C:E,3,FALSE)</f>
        <v>#N/A</v>
      </c>
    </row>
    <row r="7956" customHeight="1" spans="8:8">
      <c r="H7956" s="39" t="e">
        <f>VLOOKUP(E7956,基础信息!C:E,3,FALSE)</f>
        <v>#N/A</v>
      </c>
    </row>
    <row r="7957" customHeight="1" spans="8:8">
      <c r="H7957" s="39" t="e">
        <f>VLOOKUP(E7957,基础信息!C:E,3,FALSE)</f>
        <v>#N/A</v>
      </c>
    </row>
    <row r="7958" customHeight="1" spans="8:8">
      <c r="H7958" s="39" t="e">
        <f>VLOOKUP(E7958,基础信息!C:E,3,FALSE)</f>
        <v>#N/A</v>
      </c>
    </row>
    <row r="7959" customHeight="1" spans="8:8">
      <c r="H7959" s="39" t="e">
        <f>VLOOKUP(E7959,基础信息!C:E,3,FALSE)</f>
        <v>#N/A</v>
      </c>
    </row>
    <row r="7960" customHeight="1" spans="8:8">
      <c r="H7960" s="39" t="e">
        <f>VLOOKUP(E7960,基础信息!C:E,3,FALSE)</f>
        <v>#N/A</v>
      </c>
    </row>
    <row r="7961" customHeight="1" spans="8:8">
      <c r="H7961" s="39" t="e">
        <f>VLOOKUP(E7961,基础信息!C:E,3,FALSE)</f>
        <v>#N/A</v>
      </c>
    </row>
    <row r="7962" customHeight="1" spans="8:8">
      <c r="H7962" s="39" t="e">
        <f>VLOOKUP(E7962,基础信息!C:E,3,FALSE)</f>
        <v>#N/A</v>
      </c>
    </row>
    <row r="7963" customHeight="1" spans="8:8">
      <c r="H7963" s="39" t="e">
        <f>VLOOKUP(E7963,基础信息!C:E,3,FALSE)</f>
        <v>#N/A</v>
      </c>
    </row>
    <row r="7964" customHeight="1" spans="8:8">
      <c r="H7964" s="39" t="e">
        <f>VLOOKUP(E7964,基础信息!C:E,3,FALSE)</f>
        <v>#N/A</v>
      </c>
    </row>
    <row r="7965" customHeight="1" spans="8:8">
      <c r="H7965" s="39" t="e">
        <f>VLOOKUP(E7965,基础信息!C:E,3,FALSE)</f>
        <v>#N/A</v>
      </c>
    </row>
    <row r="7966" customHeight="1" spans="8:8">
      <c r="H7966" s="39" t="e">
        <f>VLOOKUP(E7966,基础信息!C:E,3,FALSE)</f>
        <v>#N/A</v>
      </c>
    </row>
    <row r="7967" customHeight="1" spans="8:8">
      <c r="H7967" s="39" t="e">
        <f>VLOOKUP(E7967,基础信息!C:E,3,FALSE)</f>
        <v>#N/A</v>
      </c>
    </row>
    <row r="7968" customHeight="1" spans="8:8">
      <c r="H7968" s="39" t="e">
        <f>VLOOKUP(E7968,基础信息!C:E,3,FALSE)</f>
        <v>#N/A</v>
      </c>
    </row>
    <row r="7969" customHeight="1" spans="8:8">
      <c r="H7969" s="39" t="e">
        <f>VLOOKUP(E7969,基础信息!C:E,3,FALSE)</f>
        <v>#N/A</v>
      </c>
    </row>
    <row r="7970" customHeight="1" spans="8:8">
      <c r="H7970" s="39" t="e">
        <f>VLOOKUP(E7970,基础信息!C:E,3,FALSE)</f>
        <v>#N/A</v>
      </c>
    </row>
    <row r="7971" customHeight="1" spans="8:8">
      <c r="H7971" s="39" t="e">
        <f>VLOOKUP(E7971,基础信息!C:E,3,FALSE)</f>
        <v>#N/A</v>
      </c>
    </row>
    <row r="7972" customHeight="1" spans="8:8">
      <c r="H7972" s="39" t="e">
        <f>VLOOKUP(E7972,基础信息!C:E,3,FALSE)</f>
        <v>#N/A</v>
      </c>
    </row>
    <row r="7973" customHeight="1" spans="8:8">
      <c r="H7973" s="39" t="e">
        <f>VLOOKUP(E7973,基础信息!C:E,3,FALSE)</f>
        <v>#N/A</v>
      </c>
    </row>
    <row r="7974" customHeight="1" spans="8:8">
      <c r="H7974" s="39" t="e">
        <f>VLOOKUP(E7974,基础信息!C:E,3,FALSE)</f>
        <v>#N/A</v>
      </c>
    </row>
    <row r="7975" customHeight="1" spans="8:8">
      <c r="H7975" s="39" t="e">
        <f>VLOOKUP(E7975,基础信息!C:E,3,FALSE)</f>
        <v>#N/A</v>
      </c>
    </row>
    <row r="7976" customHeight="1" spans="8:8">
      <c r="H7976" s="39" t="e">
        <f>VLOOKUP(E7976,基础信息!C:E,3,FALSE)</f>
        <v>#N/A</v>
      </c>
    </row>
    <row r="7977" customHeight="1" spans="8:8">
      <c r="H7977" s="39" t="e">
        <f>VLOOKUP(E7977,基础信息!C:E,3,FALSE)</f>
        <v>#N/A</v>
      </c>
    </row>
    <row r="7978" customHeight="1" spans="8:8">
      <c r="H7978" s="39" t="e">
        <f>VLOOKUP(E7978,基础信息!C:E,3,FALSE)</f>
        <v>#N/A</v>
      </c>
    </row>
    <row r="7979" customHeight="1" spans="8:8">
      <c r="H7979" s="39" t="e">
        <f>VLOOKUP(E7979,基础信息!C:E,3,FALSE)</f>
        <v>#N/A</v>
      </c>
    </row>
    <row r="7980" customHeight="1" spans="8:8">
      <c r="H7980" s="39" t="e">
        <f>VLOOKUP(E7980,基础信息!C:E,3,FALSE)</f>
        <v>#N/A</v>
      </c>
    </row>
    <row r="7981" customHeight="1" spans="8:8">
      <c r="H7981" s="39" t="e">
        <f>VLOOKUP(E7981,基础信息!C:E,3,FALSE)</f>
        <v>#N/A</v>
      </c>
    </row>
    <row r="7982" customHeight="1" spans="8:8">
      <c r="H7982" s="39" t="e">
        <f>VLOOKUP(E7982,基础信息!C:E,3,FALSE)</f>
        <v>#N/A</v>
      </c>
    </row>
    <row r="7983" customHeight="1" spans="8:8">
      <c r="H7983" s="39" t="e">
        <f>VLOOKUP(E7983,基础信息!C:E,3,FALSE)</f>
        <v>#N/A</v>
      </c>
    </row>
    <row r="7984" customHeight="1" spans="8:8">
      <c r="H7984" s="39" t="e">
        <f>VLOOKUP(E7984,基础信息!C:E,3,FALSE)</f>
        <v>#N/A</v>
      </c>
    </row>
    <row r="7985" customHeight="1" spans="8:8">
      <c r="H7985" s="39" t="e">
        <f>VLOOKUP(E7985,基础信息!C:E,3,FALSE)</f>
        <v>#N/A</v>
      </c>
    </row>
    <row r="7986" customHeight="1" spans="8:8">
      <c r="H7986" s="39" t="e">
        <f>VLOOKUP(E7986,基础信息!C:E,3,FALSE)</f>
        <v>#N/A</v>
      </c>
    </row>
    <row r="7987" customHeight="1" spans="8:8">
      <c r="H7987" s="39" t="e">
        <f>VLOOKUP(E7987,基础信息!C:E,3,FALSE)</f>
        <v>#N/A</v>
      </c>
    </row>
    <row r="7988" customHeight="1" spans="8:8">
      <c r="H7988" s="39" t="e">
        <f>VLOOKUP(E7988,基础信息!C:E,3,FALSE)</f>
        <v>#N/A</v>
      </c>
    </row>
    <row r="7989" customHeight="1" spans="8:8">
      <c r="H7989" s="39" t="e">
        <f>VLOOKUP(E7989,基础信息!C:E,3,FALSE)</f>
        <v>#N/A</v>
      </c>
    </row>
    <row r="7990" customHeight="1" spans="8:8">
      <c r="H7990" s="39" t="e">
        <f>VLOOKUP(E7990,基础信息!C:E,3,FALSE)</f>
        <v>#N/A</v>
      </c>
    </row>
    <row r="7991" customHeight="1" spans="8:8">
      <c r="H7991" s="39" t="e">
        <f>VLOOKUP(E7991,基础信息!C:E,3,FALSE)</f>
        <v>#N/A</v>
      </c>
    </row>
    <row r="7992" customHeight="1" spans="8:8">
      <c r="H7992" s="39" t="e">
        <f>VLOOKUP(E7992,基础信息!C:E,3,FALSE)</f>
        <v>#N/A</v>
      </c>
    </row>
    <row r="7993" customHeight="1" spans="8:8">
      <c r="H7993" s="39" t="e">
        <f>VLOOKUP(E7993,基础信息!C:E,3,FALSE)</f>
        <v>#N/A</v>
      </c>
    </row>
    <row r="7994" customHeight="1" spans="8:8">
      <c r="H7994" s="39" t="e">
        <f>VLOOKUP(E7994,基础信息!C:E,3,FALSE)</f>
        <v>#N/A</v>
      </c>
    </row>
    <row r="7995" customHeight="1" spans="8:8">
      <c r="H7995" s="39" t="e">
        <f>VLOOKUP(E7995,基础信息!C:E,3,FALSE)</f>
        <v>#N/A</v>
      </c>
    </row>
    <row r="7996" customHeight="1" spans="8:8">
      <c r="H7996" s="39" t="e">
        <f>VLOOKUP(E7996,基础信息!C:E,3,FALSE)</f>
        <v>#N/A</v>
      </c>
    </row>
    <row r="7997" customHeight="1" spans="8:8">
      <c r="H7997" s="39" t="e">
        <f>VLOOKUP(E7997,基础信息!C:E,3,FALSE)</f>
        <v>#N/A</v>
      </c>
    </row>
    <row r="7998" customHeight="1" spans="8:8">
      <c r="H7998" s="39" t="e">
        <f>VLOOKUP(E7998,基础信息!C:E,3,FALSE)</f>
        <v>#N/A</v>
      </c>
    </row>
    <row r="7999" customHeight="1" spans="8:8">
      <c r="H7999" s="39" t="e">
        <f>VLOOKUP(E7999,基础信息!C:E,3,FALSE)</f>
        <v>#N/A</v>
      </c>
    </row>
    <row r="8000" customHeight="1" spans="8:8">
      <c r="H8000" s="39" t="e">
        <f>VLOOKUP(E8000,基础信息!C:E,3,FALSE)</f>
        <v>#N/A</v>
      </c>
    </row>
    <row r="8001" customHeight="1" spans="8:8">
      <c r="H8001" s="39" t="e">
        <f>VLOOKUP(E8001,基础信息!C:E,3,FALSE)</f>
        <v>#N/A</v>
      </c>
    </row>
    <row r="8002" customHeight="1" spans="8:8">
      <c r="H8002" s="39" t="e">
        <f>VLOOKUP(E8002,基础信息!C:E,3,FALSE)</f>
        <v>#N/A</v>
      </c>
    </row>
    <row r="8003" customHeight="1" spans="8:8">
      <c r="H8003" s="39" t="e">
        <f>VLOOKUP(E8003,基础信息!C:E,3,FALSE)</f>
        <v>#N/A</v>
      </c>
    </row>
    <row r="8004" customHeight="1" spans="8:8">
      <c r="H8004" s="39" t="e">
        <f>VLOOKUP(E8004,基础信息!C:E,3,FALSE)</f>
        <v>#N/A</v>
      </c>
    </row>
    <row r="8005" customHeight="1" spans="8:8">
      <c r="H8005" s="39" t="e">
        <f>VLOOKUP(E8005,基础信息!C:E,3,FALSE)</f>
        <v>#N/A</v>
      </c>
    </row>
    <row r="8006" customHeight="1" spans="8:8">
      <c r="H8006" s="39" t="e">
        <f>VLOOKUP(E8006,基础信息!C:E,3,FALSE)</f>
        <v>#N/A</v>
      </c>
    </row>
    <row r="8007" customHeight="1" spans="8:8">
      <c r="H8007" s="39" t="e">
        <f>VLOOKUP(E8007,基础信息!C:E,3,FALSE)</f>
        <v>#N/A</v>
      </c>
    </row>
    <row r="8008" customHeight="1" spans="8:8">
      <c r="H8008" s="39" t="e">
        <f>VLOOKUP(E8008,基础信息!C:E,3,FALSE)</f>
        <v>#N/A</v>
      </c>
    </row>
    <row r="8009" customHeight="1" spans="8:8">
      <c r="H8009" s="39" t="e">
        <f>VLOOKUP(E8009,基础信息!C:E,3,FALSE)</f>
        <v>#N/A</v>
      </c>
    </row>
    <row r="8010" customHeight="1" spans="8:8">
      <c r="H8010" s="39" t="e">
        <f>VLOOKUP(E8010,基础信息!C:E,3,FALSE)</f>
        <v>#N/A</v>
      </c>
    </row>
    <row r="8011" customHeight="1" spans="8:8">
      <c r="H8011" s="39" t="e">
        <f>VLOOKUP(E8011,基础信息!C:E,3,FALSE)</f>
        <v>#N/A</v>
      </c>
    </row>
    <row r="8012" customHeight="1" spans="8:8">
      <c r="H8012" s="39" t="e">
        <f>VLOOKUP(E8012,基础信息!C:E,3,FALSE)</f>
        <v>#N/A</v>
      </c>
    </row>
    <row r="8013" customHeight="1" spans="8:8">
      <c r="H8013" s="39" t="e">
        <f>VLOOKUP(E8013,基础信息!C:E,3,FALSE)</f>
        <v>#N/A</v>
      </c>
    </row>
    <row r="8014" customHeight="1" spans="8:8">
      <c r="H8014" s="39" t="e">
        <f>VLOOKUP(E8014,基础信息!C:E,3,FALSE)</f>
        <v>#N/A</v>
      </c>
    </row>
    <row r="8015" customHeight="1" spans="8:8">
      <c r="H8015" s="39" t="e">
        <f>VLOOKUP(E8015,基础信息!C:E,3,FALSE)</f>
        <v>#N/A</v>
      </c>
    </row>
    <row r="8016" customHeight="1" spans="8:8">
      <c r="H8016" s="39" t="e">
        <f>VLOOKUP(E8016,基础信息!C:E,3,FALSE)</f>
        <v>#N/A</v>
      </c>
    </row>
    <row r="8017" customHeight="1" spans="8:8">
      <c r="H8017" s="39" t="e">
        <f>VLOOKUP(E8017,基础信息!C:E,3,FALSE)</f>
        <v>#N/A</v>
      </c>
    </row>
    <row r="8018" customHeight="1" spans="8:8">
      <c r="H8018" s="39" t="e">
        <f>VLOOKUP(E8018,基础信息!C:E,3,FALSE)</f>
        <v>#N/A</v>
      </c>
    </row>
    <row r="8019" customHeight="1" spans="8:8">
      <c r="H8019" s="39" t="e">
        <f>VLOOKUP(E8019,基础信息!C:E,3,FALSE)</f>
        <v>#N/A</v>
      </c>
    </row>
    <row r="8020" customHeight="1" spans="8:8">
      <c r="H8020" s="39" t="e">
        <f>VLOOKUP(E8020,基础信息!C:E,3,FALSE)</f>
        <v>#N/A</v>
      </c>
    </row>
    <row r="8021" customHeight="1" spans="8:8">
      <c r="H8021" s="39" t="e">
        <f>VLOOKUP(E8021,基础信息!C:E,3,FALSE)</f>
        <v>#N/A</v>
      </c>
    </row>
    <row r="8022" customHeight="1" spans="8:8">
      <c r="H8022" s="39" t="e">
        <f>VLOOKUP(E8022,基础信息!C:E,3,FALSE)</f>
        <v>#N/A</v>
      </c>
    </row>
    <row r="8023" customHeight="1" spans="8:8">
      <c r="H8023" s="39" t="e">
        <f>VLOOKUP(E8023,基础信息!C:E,3,FALSE)</f>
        <v>#N/A</v>
      </c>
    </row>
    <row r="8024" customHeight="1" spans="8:8">
      <c r="H8024" s="39" t="e">
        <f>VLOOKUP(E8024,基础信息!C:E,3,FALSE)</f>
        <v>#N/A</v>
      </c>
    </row>
    <row r="8025" customHeight="1" spans="8:8">
      <c r="H8025" s="39" t="e">
        <f>VLOOKUP(E8025,基础信息!C:E,3,FALSE)</f>
        <v>#N/A</v>
      </c>
    </row>
    <row r="8026" customHeight="1" spans="8:8">
      <c r="H8026" s="39" t="e">
        <f>VLOOKUP(E8026,基础信息!C:E,3,FALSE)</f>
        <v>#N/A</v>
      </c>
    </row>
    <row r="8027" customHeight="1" spans="8:8">
      <c r="H8027" s="39" t="e">
        <f>VLOOKUP(E8027,基础信息!C:E,3,FALSE)</f>
        <v>#N/A</v>
      </c>
    </row>
    <row r="8028" customHeight="1" spans="8:8">
      <c r="H8028" s="39" t="e">
        <f>VLOOKUP(E8028,基础信息!C:E,3,FALSE)</f>
        <v>#N/A</v>
      </c>
    </row>
    <row r="8029" customHeight="1" spans="8:8">
      <c r="H8029" s="39" t="e">
        <f>VLOOKUP(E8029,基础信息!C:E,3,FALSE)</f>
        <v>#N/A</v>
      </c>
    </row>
    <row r="8030" customHeight="1" spans="8:8">
      <c r="H8030" s="39" t="e">
        <f>VLOOKUP(E8030,基础信息!C:E,3,FALSE)</f>
        <v>#N/A</v>
      </c>
    </row>
    <row r="8031" customHeight="1" spans="8:8">
      <c r="H8031" s="39" t="e">
        <f>VLOOKUP(E8031,基础信息!C:E,3,FALSE)</f>
        <v>#N/A</v>
      </c>
    </row>
    <row r="8032" customHeight="1" spans="8:8">
      <c r="H8032" s="39" t="e">
        <f>VLOOKUP(E8032,基础信息!C:E,3,FALSE)</f>
        <v>#N/A</v>
      </c>
    </row>
    <row r="8033" customHeight="1" spans="8:8">
      <c r="H8033" s="39" t="e">
        <f>VLOOKUP(E8033,基础信息!C:E,3,FALSE)</f>
        <v>#N/A</v>
      </c>
    </row>
    <row r="8034" customHeight="1" spans="8:8">
      <c r="H8034" s="39" t="e">
        <f>VLOOKUP(E8034,基础信息!C:E,3,FALSE)</f>
        <v>#N/A</v>
      </c>
    </row>
    <row r="8035" customHeight="1" spans="8:8">
      <c r="H8035" s="39" t="e">
        <f>VLOOKUP(E8035,基础信息!C:E,3,FALSE)</f>
        <v>#N/A</v>
      </c>
    </row>
    <row r="8036" customHeight="1" spans="8:8">
      <c r="H8036" s="39" t="e">
        <f>VLOOKUP(E8036,基础信息!C:E,3,FALSE)</f>
        <v>#N/A</v>
      </c>
    </row>
    <row r="8037" customHeight="1" spans="8:8">
      <c r="H8037" s="39" t="e">
        <f>VLOOKUP(E8037,基础信息!C:E,3,FALSE)</f>
        <v>#N/A</v>
      </c>
    </row>
    <row r="8038" customHeight="1" spans="8:8">
      <c r="H8038" s="39" t="e">
        <f>VLOOKUP(E8038,基础信息!C:E,3,FALSE)</f>
        <v>#N/A</v>
      </c>
    </row>
    <row r="8039" customHeight="1" spans="8:8">
      <c r="H8039" s="39" t="e">
        <f>VLOOKUP(E8039,基础信息!C:E,3,FALSE)</f>
        <v>#N/A</v>
      </c>
    </row>
    <row r="8040" customHeight="1" spans="8:8">
      <c r="H8040" s="39" t="e">
        <f>VLOOKUP(E8040,基础信息!C:E,3,FALSE)</f>
        <v>#N/A</v>
      </c>
    </row>
    <row r="8041" customHeight="1" spans="8:8">
      <c r="H8041" s="39" t="e">
        <f>VLOOKUP(E8041,基础信息!C:E,3,FALSE)</f>
        <v>#N/A</v>
      </c>
    </row>
    <row r="8042" customHeight="1" spans="8:8">
      <c r="H8042" s="39" t="e">
        <f>VLOOKUP(E8042,基础信息!C:E,3,FALSE)</f>
        <v>#N/A</v>
      </c>
    </row>
    <row r="8043" customHeight="1" spans="8:8">
      <c r="H8043" s="39" t="e">
        <f>VLOOKUP(E8043,基础信息!C:E,3,FALSE)</f>
        <v>#N/A</v>
      </c>
    </row>
    <row r="8044" customHeight="1" spans="8:8">
      <c r="H8044" s="39" t="e">
        <f>VLOOKUP(E8044,基础信息!C:E,3,FALSE)</f>
        <v>#N/A</v>
      </c>
    </row>
    <row r="8045" customHeight="1" spans="8:8">
      <c r="H8045" s="39" t="e">
        <f>VLOOKUP(E8045,基础信息!C:E,3,FALSE)</f>
        <v>#N/A</v>
      </c>
    </row>
    <row r="8046" customHeight="1" spans="8:8">
      <c r="H8046" s="39" t="e">
        <f>VLOOKUP(E8046,基础信息!C:E,3,FALSE)</f>
        <v>#N/A</v>
      </c>
    </row>
    <row r="8047" customHeight="1" spans="8:8">
      <c r="H8047" s="39" t="e">
        <f>VLOOKUP(E8047,基础信息!C:E,3,FALSE)</f>
        <v>#N/A</v>
      </c>
    </row>
    <row r="8048" customHeight="1" spans="8:8">
      <c r="H8048" s="39" t="e">
        <f>VLOOKUP(E8048,基础信息!C:E,3,FALSE)</f>
        <v>#N/A</v>
      </c>
    </row>
    <row r="8049" customHeight="1" spans="8:8">
      <c r="H8049" s="39" t="e">
        <f>VLOOKUP(E8049,基础信息!C:E,3,FALSE)</f>
        <v>#N/A</v>
      </c>
    </row>
    <row r="8050" customHeight="1" spans="8:8">
      <c r="H8050" s="39" t="e">
        <f>VLOOKUP(E8050,基础信息!C:E,3,FALSE)</f>
        <v>#N/A</v>
      </c>
    </row>
    <row r="8051" customHeight="1" spans="8:8">
      <c r="H8051" s="39" t="e">
        <f>VLOOKUP(E8051,基础信息!C:E,3,FALSE)</f>
        <v>#N/A</v>
      </c>
    </row>
    <row r="8052" customHeight="1" spans="8:8">
      <c r="H8052" s="39" t="e">
        <f>VLOOKUP(E8052,基础信息!C:E,3,FALSE)</f>
        <v>#N/A</v>
      </c>
    </row>
    <row r="8053" customHeight="1" spans="8:8">
      <c r="H8053" s="39" t="e">
        <f>VLOOKUP(E8053,基础信息!C:E,3,FALSE)</f>
        <v>#N/A</v>
      </c>
    </row>
    <row r="8054" customHeight="1" spans="8:8">
      <c r="H8054" s="39" t="e">
        <f>VLOOKUP(E8054,基础信息!C:E,3,FALSE)</f>
        <v>#N/A</v>
      </c>
    </row>
    <row r="8055" customHeight="1" spans="8:8">
      <c r="H8055" s="39" t="e">
        <f>VLOOKUP(E8055,基础信息!C:E,3,FALSE)</f>
        <v>#N/A</v>
      </c>
    </row>
    <row r="8056" customHeight="1" spans="8:8">
      <c r="H8056" s="39" t="e">
        <f>VLOOKUP(E8056,基础信息!C:E,3,FALSE)</f>
        <v>#N/A</v>
      </c>
    </row>
    <row r="8057" customHeight="1" spans="8:8">
      <c r="H8057" s="39" t="e">
        <f>VLOOKUP(E8057,基础信息!C:E,3,FALSE)</f>
        <v>#N/A</v>
      </c>
    </row>
    <row r="8058" customHeight="1" spans="8:8">
      <c r="H8058" s="39" t="e">
        <f>VLOOKUP(E8058,基础信息!C:E,3,FALSE)</f>
        <v>#N/A</v>
      </c>
    </row>
    <row r="8059" customHeight="1" spans="8:8">
      <c r="H8059" s="39" t="e">
        <f>VLOOKUP(E8059,基础信息!C:E,3,FALSE)</f>
        <v>#N/A</v>
      </c>
    </row>
    <row r="8060" customHeight="1" spans="8:8">
      <c r="H8060" s="39" t="e">
        <f>VLOOKUP(E8060,基础信息!C:E,3,FALSE)</f>
        <v>#N/A</v>
      </c>
    </row>
    <row r="8061" customHeight="1" spans="8:8">
      <c r="H8061" s="39" t="e">
        <f>VLOOKUP(E8061,基础信息!C:E,3,FALSE)</f>
        <v>#N/A</v>
      </c>
    </row>
    <row r="8062" customHeight="1" spans="8:8">
      <c r="H8062" s="39" t="e">
        <f>VLOOKUP(E8062,基础信息!C:E,3,FALSE)</f>
        <v>#N/A</v>
      </c>
    </row>
    <row r="8063" customHeight="1" spans="8:8">
      <c r="H8063" s="39" t="e">
        <f>VLOOKUP(E8063,基础信息!C:E,3,FALSE)</f>
        <v>#N/A</v>
      </c>
    </row>
    <row r="8064" customHeight="1" spans="8:8">
      <c r="H8064" s="39" t="e">
        <f>VLOOKUP(E8064,基础信息!C:E,3,FALSE)</f>
        <v>#N/A</v>
      </c>
    </row>
    <row r="8065" customHeight="1" spans="8:8">
      <c r="H8065" s="39" t="e">
        <f>VLOOKUP(E8065,基础信息!C:E,3,FALSE)</f>
        <v>#N/A</v>
      </c>
    </row>
    <row r="8066" customHeight="1" spans="8:8">
      <c r="H8066" s="39" t="e">
        <f>VLOOKUP(E8066,基础信息!C:E,3,FALSE)</f>
        <v>#N/A</v>
      </c>
    </row>
    <row r="8067" customHeight="1" spans="8:8">
      <c r="H8067" s="39" t="e">
        <f>VLOOKUP(E8067,基础信息!C:E,3,FALSE)</f>
        <v>#N/A</v>
      </c>
    </row>
    <row r="8068" customHeight="1" spans="8:8">
      <c r="H8068" s="39" t="e">
        <f>VLOOKUP(E8068,基础信息!C:E,3,FALSE)</f>
        <v>#N/A</v>
      </c>
    </row>
    <row r="8069" customHeight="1" spans="8:8">
      <c r="H8069" s="39" t="e">
        <f>VLOOKUP(E8069,基础信息!C:E,3,FALSE)</f>
        <v>#N/A</v>
      </c>
    </row>
    <row r="8070" customHeight="1" spans="8:8">
      <c r="H8070" s="39" t="e">
        <f>VLOOKUP(E8070,基础信息!C:E,3,FALSE)</f>
        <v>#N/A</v>
      </c>
    </row>
    <row r="8071" customHeight="1" spans="8:8">
      <c r="H8071" s="39" t="e">
        <f>VLOOKUP(E8071,基础信息!C:E,3,FALSE)</f>
        <v>#N/A</v>
      </c>
    </row>
    <row r="8072" customHeight="1" spans="8:8">
      <c r="H8072" s="39" t="e">
        <f>VLOOKUP(E8072,基础信息!C:E,3,FALSE)</f>
        <v>#N/A</v>
      </c>
    </row>
    <row r="8073" customHeight="1" spans="8:8">
      <c r="H8073" s="39" t="e">
        <f>VLOOKUP(E8073,基础信息!C:E,3,FALSE)</f>
        <v>#N/A</v>
      </c>
    </row>
    <row r="8074" customHeight="1" spans="8:8">
      <c r="H8074" s="39" t="e">
        <f>VLOOKUP(E8074,基础信息!C:E,3,FALSE)</f>
        <v>#N/A</v>
      </c>
    </row>
    <row r="8075" customHeight="1" spans="8:8">
      <c r="H8075" s="39" t="e">
        <f>VLOOKUP(E8075,基础信息!C:E,3,FALSE)</f>
        <v>#N/A</v>
      </c>
    </row>
    <row r="8076" customHeight="1" spans="8:8">
      <c r="H8076" s="39" t="e">
        <f>VLOOKUP(E8076,基础信息!C:E,3,FALSE)</f>
        <v>#N/A</v>
      </c>
    </row>
    <row r="8077" customHeight="1" spans="8:8">
      <c r="H8077" s="39" t="e">
        <f>VLOOKUP(E8077,基础信息!C:E,3,FALSE)</f>
        <v>#N/A</v>
      </c>
    </row>
    <row r="8078" customHeight="1" spans="8:8">
      <c r="H8078" s="39" t="e">
        <f>VLOOKUP(E8078,基础信息!C:E,3,FALSE)</f>
        <v>#N/A</v>
      </c>
    </row>
    <row r="8079" customHeight="1" spans="8:8">
      <c r="H8079" s="39" t="e">
        <f>VLOOKUP(E8079,基础信息!C:E,3,FALSE)</f>
        <v>#N/A</v>
      </c>
    </row>
    <row r="8080" customHeight="1" spans="8:8">
      <c r="H8080" s="39" t="e">
        <f>VLOOKUP(E8080,基础信息!C:E,3,FALSE)</f>
        <v>#N/A</v>
      </c>
    </row>
    <row r="8081" customHeight="1" spans="8:8">
      <c r="H8081" s="39" t="e">
        <f>VLOOKUP(E8081,基础信息!C:E,3,FALSE)</f>
        <v>#N/A</v>
      </c>
    </row>
    <row r="8082" customHeight="1" spans="8:8">
      <c r="H8082" s="39" t="e">
        <f>VLOOKUP(E8082,基础信息!C:E,3,FALSE)</f>
        <v>#N/A</v>
      </c>
    </row>
    <row r="8083" customHeight="1" spans="8:8">
      <c r="H8083" s="39" t="e">
        <f>VLOOKUP(E8083,基础信息!C:E,3,FALSE)</f>
        <v>#N/A</v>
      </c>
    </row>
    <row r="8084" customHeight="1" spans="8:8">
      <c r="H8084" s="39" t="e">
        <f>VLOOKUP(E8084,基础信息!C:E,3,FALSE)</f>
        <v>#N/A</v>
      </c>
    </row>
    <row r="8085" customHeight="1" spans="8:8">
      <c r="H8085" s="39" t="e">
        <f>VLOOKUP(E8085,基础信息!C:E,3,FALSE)</f>
        <v>#N/A</v>
      </c>
    </row>
    <row r="8086" customHeight="1" spans="8:8">
      <c r="H8086" s="39" t="e">
        <f>VLOOKUP(E8086,基础信息!C:E,3,FALSE)</f>
        <v>#N/A</v>
      </c>
    </row>
    <row r="8087" customHeight="1" spans="8:8">
      <c r="H8087" s="39" t="e">
        <f>VLOOKUP(E8087,基础信息!C:E,3,FALSE)</f>
        <v>#N/A</v>
      </c>
    </row>
    <row r="8088" customHeight="1" spans="8:8">
      <c r="H8088" s="39" t="e">
        <f>VLOOKUP(E8088,基础信息!C:E,3,FALSE)</f>
        <v>#N/A</v>
      </c>
    </row>
    <row r="8089" customHeight="1" spans="8:8">
      <c r="H8089" s="39" t="e">
        <f>VLOOKUP(E8089,基础信息!C:E,3,FALSE)</f>
        <v>#N/A</v>
      </c>
    </row>
    <row r="8090" customHeight="1" spans="8:8">
      <c r="H8090" s="39" t="e">
        <f>VLOOKUP(E8090,基础信息!C:E,3,FALSE)</f>
        <v>#N/A</v>
      </c>
    </row>
    <row r="8091" customHeight="1" spans="8:8">
      <c r="H8091" s="39" t="e">
        <f>VLOOKUP(E8091,基础信息!C:E,3,FALSE)</f>
        <v>#N/A</v>
      </c>
    </row>
    <row r="8092" customHeight="1" spans="8:8">
      <c r="H8092" s="39" t="e">
        <f>VLOOKUP(E8092,基础信息!C:E,3,FALSE)</f>
        <v>#N/A</v>
      </c>
    </row>
    <row r="8093" customHeight="1" spans="8:8">
      <c r="H8093" s="39" t="e">
        <f>VLOOKUP(E8093,基础信息!C:E,3,FALSE)</f>
        <v>#N/A</v>
      </c>
    </row>
    <row r="8094" customHeight="1" spans="8:8">
      <c r="H8094" s="39" t="e">
        <f>VLOOKUP(E8094,基础信息!C:E,3,FALSE)</f>
        <v>#N/A</v>
      </c>
    </row>
    <row r="8095" customHeight="1" spans="8:8">
      <c r="H8095" s="39" t="e">
        <f>VLOOKUP(E8095,基础信息!C:E,3,FALSE)</f>
        <v>#N/A</v>
      </c>
    </row>
    <row r="8096" customHeight="1" spans="8:8">
      <c r="H8096" s="39" t="e">
        <f>VLOOKUP(E8096,基础信息!C:E,3,FALSE)</f>
        <v>#N/A</v>
      </c>
    </row>
    <row r="8097" customHeight="1" spans="8:8">
      <c r="H8097" s="39" t="e">
        <f>VLOOKUP(E8097,基础信息!C:E,3,FALSE)</f>
        <v>#N/A</v>
      </c>
    </row>
    <row r="8098" customHeight="1" spans="8:8">
      <c r="H8098" s="39" t="e">
        <f>VLOOKUP(E8098,基础信息!C:E,3,FALSE)</f>
        <v>#N/A</v>
      </c>
    </row>
    <row r="8099" customHeight="1" spans="8:8">
      <c r="H8099" s="39" t="e">
        <f>VLOOKUP(E8099,基础信息!C:E,3,FALSE)</f>
        <v>#N/A</v>
      </c>
    </row>
    <row r="8100" customHeight="1" spans="8:8">
      <c r="H8100" s="39" t="e">
        <f>VLOOKUP(E8100,基础信息!C:E,3,FALSE)</f>
        <v>#N/A</v>
      </c>
    </row>
    <row r="8101" customHeight="1" spans="8:8">
      <c r="H8101" s="39" t="e">
        <f>VLOOKUP(E8101,基础信息!C:E,3,FALSE)</f>
        <v>#N/A</v>
      </c>
    </row>
    <row r="8102" customHeight="1" spans="8:8">
      <c r="H8102" s="39" t="e">
        <f>VLOOKUP(E8102,基础信息!C:E,3,FALSE)</f>
        <v>#N/A</v>
      </c>
    </row>
    <row r="8103" customHeight="1" spans="8:8">
      <c r="H8103" s="39" t="e">
        <f>VLOOKUP(E8103,基础信息!C:E,3,FALSE)</f>
        <v>#N/A</v>
      </c>
    </row>
    <row r="8104" customHeight="1" spans="8:8">
      <c r="H8104" s="39" t="e">
        <f>VLOOKUP(E8104,基础信息!C:E,3,FALSE)</f>
        <v>#N/A</v>
      </c>
    </row>
    <row r="8105" customHeight="1" spans="8:8">
      <c r="H8105" s="39" t="e">
        <f>VLOOKUP(E8105,基础信息!C:E,3,FALSE)</f>
        <v>#N/A</v>
      </c>
    </row>
    <row r="8106" customHeight="1" spans="8:8">
      <c r="H8106" s="39" t="e">
        <f>VLOOKUP(E8106,基础信息!C:E,3,FALSE)</f>
        <v>#N/A</v>
      </c>
    </row>
    <row r="8107" customHeight="1" spans="8:8">
      <c r="H8107" s="39" t="e">
        <f>VLOOKUP(E8107,基础信息!C:E,3,FALSE)</f>
        <v>#N/A</v>
      </c>
    </row>
    <row r="8108" customHeight="1" spans="8:8">
      <c r="H8108" s="39" t="e">
        <f>VLOOKUP(E8108,基础信息!C:E,3,FALSE)</f>
        <v>#N/A</v>
      </c>
    </row>
    <row r="8109" customHeight="1" spans="8:8">
      <c r="H8109" s="39" t="e">
        <f>VLOOKUP(E8109,基础信息!C:E,3,FALSE)</f>
        <v>#N/A</v>
      </c>
    </row>
    <row r="8110" customHeight="1" spans="8:8">
      <c r="H8110" s="39" t="e">
        <f>VLOOKUP(E8110,基础信息!C:E,3,FALSE)</f>
        <v>#N/A</v>
      </c>
    </row>
    <row r="8111" customHeight="1" spans="8:8">
      <c r="H8111" s="39" t="e">
        <f>VLOOKUP(E8111,基础信息!C:E,3,FALSE)</f>
        <v>#N/A</v>
      </c>
    </row>
    <row r="8112" customHeight="1" spans="8:8">
      <c r="H8112" s="39" t="e">
        <f>VLOOKUP(E8112,基础信息!C:E,3,FALSE)</f>
        <v>#N/A</v>
      </c>
    </row>
    <row r="8113" customHeight="1" spans="8:8">
      <c r="H8113" s="39" t="e">
        <f>VLOOKUP(E8113,基础信息!C:E,3,FALSE)</f>
        <v>#N/A</v>
      </c>
    </row>
    <row r="8114" customHeight="1" spans="8:8">
      <c r="H8114" s="39" t="e">
        <f>VLOOKUP(E8114,基础信息!C:E,3,FALSE)</f>
        <v>#N/A</v>
      </c>
    </row>
    <row r="8115" customHeight="1" spans="8:8">
      <c r="H8115" s="39" t="e">
        <f>VLOOKUP(E8115,基础信息!C:E,3,FALSE)</f>
        <v>#N/A</v>
      </c>
    </row>
    <row r="8116" customHeight="1" spans="8:8">
      <c r="H8116" s="39" t="e">
        <f>VLOOKUP(E8116,基础信息!C:E,3,FALSE)</f>
        <v>#N/A</v>
      </c>
    </row>
    <row r="8117" customHeight="1" spans="8:8">
      <c r="H8117" s="39" t="e">
        <f>VLOOKUP(E8117,基础信息!C:E,3,FALSE)</f>
        <v>#N/A</v>
      </c>
    </row>
    <row r="8118" customHeight="1" spans="8:8">
      <c r="H8118" s="39" t="e">
        <f>VLOOKUP(E8118,基础信息!C:E,3,FALSE)</f>
        <v>#N/A</v>
      </c>
    </row>
    <row r="8119" customHeight="1" spans="8:8">
      <c r="H8119" s="39" t="e">
        <f>VLOOKUP(E8119,基础信息!C:E,3,FALSE)</f>
        <v>#N/A</v>
      </c>
    </row>
    <row r="8120" customHeight="1" spans="8:8">
      <c r="H8120" s="39" t="e">
        <f>VLOOKUP(E8120,基础信息!C:E,3,FALSE)</f>
        <v>#N/A</v>
      </c>
    </row>
    <row r="8121" customHeight="1" spans="8:8">
      <c r="H8121" s="39" t="e">
        <f>VLOOKUP(E8121,基础信息!C:E,3,FALSE)</f>
        <v>#N/A</v>
      </c>
    </row>
    <row r="8122" customHeight="1" spans="8:8">
      <c r="H8122" s="39" t="e">
        <f>VLOOKUP(E8122,基础信息!C:E,3,FALSE)</f>
        <v>#N/A</v>
      </c>
    </row>
    <row r="8123" customHeight="1" spans="8:8">
      <c r="H8123" s="39" t="e">
        <f>VLOOKUP(E8123,基础信息!C:E,3,FALSE)</f>
        <v>#N/A</v>
      </c>
    </row>
    <row r="8124" customHeight="1" spans="8:8">
      <c r="H8124" s="39" t="e">
        <f>VLOOKUP(E8124,基础信息!C:E,3,FALSE)</f>
        <v>#N/A</v>
      </c>
    </row>
    <row r="8125" customHeight="1" spans="8:8">
      <c r="H8125" s="39" t="e">
        <f>VLOOKUP(E8125,基础信息!C:E,3,FALSE)</f>
        <v>#N/A</v>
      </c>
    </row>
    <row r="8126" customHeight="1" spans="8:8">
      <c r="H8126" s="39" t="e">
        <f>VLOOKUP(E8126,基础信息!C:E,3,FALSE)</f>
        <v>#N/A</v>
      </c>
    </row>
    <row r="8127" customHeight="1" spans="8:8">
      <c r="H8127" s="39" t="e">
        <f>VLOOKUP(E8127,基础信息!C:E,3,FALSE)</f>
        <v>#N/A</v>
      </c>
    </row>
    <row r="8128" customHeight="1" spans="8:8">
      <c r="H8128" s="39" t="e">
        <f>VLOOKUP(E8128,基础信息!C:E,3,FALSE)</f>
        <v>#N/A</v>
      </c>
    </row>
    <row r="8129" customHeight="1" spans="8:8">
      <c r="H8129" s="39" t="e">
        <f>VLOOKUP(E8129,基础信息!C:E,3,FALSE)</f>
        <v>#N/A</v>
      </c>
    </row>
    <row r="8130" customHeight="1" spans="8:8">
      <c r="H8130" s="39" t="e">
        <f>VLOOKUP(E8130,基础信息!C:E,3,FALSE)</f>
        <v>#N/A</v>
      </c>
    </row>
    <row r="8131" customHeight="1" spans="8:8">
      <c r="H8131" s="39" t="e">
        <f>VLOOKUP(E8131,基础信息!C:E,3,FALSE)</f>
        <v>#N/A</v>
      </c>
    </row>
    <row r="8132" customHeight="1" spans="8:8">
      <c r="H8132" s="39" t="e">
        <f>VLOOKUP(E8132,基础信息!C:E,3,FALSE)</f>
        <v>#N/A</v>
      </c>
    </row>
    <row r="8133" customHeight="1" spans="8:8">
      <c r="H8133" s="39" t="e">
        <f>VLOOKUP(E8133,基础信息!C:E,3,FALSE)</f>
        <v>#N/A</v>
      </c>
    </row>
    <row r="8134" customHeight="1" spans="8:8">
      <c r="H8134" s="39" t="e">
        <f>VLOOKUP(E8134,基础信息!C:E,3,FALSE)</f>
        <v>#N/A</v>
      </c>
    </row>
    <row r="8135" customHeight="1" spans="8:8">
      <c r="H8135" s="39" t="e">
        <f>VLOOKUP(E8135,基础信息!C:E,3,FALSE)</f>
        <v>#N/A</v>
      </c>
    </row>
    <row r="8136" customHeight="1" spans="8:8">
      <c r="H8136" s="39" t="e">
        <f>VLOOKUP(E8136,基础信息!C:E,3,FALSE)</f>
        <v>#N/A</v>
      </c>
    </row>
    <row r="8137" customHeight="1" spans="8:8">
      <c r="H8137" s="39" t="e">
        <f>VLOOKUP(E8137,基础信息!C:E,3,FALSE)</f>
        <v>#N/A</v>
      </c>
    </row>
    <row r="8138" customHeight="1" spans="8:8">
      <c r="H8138" s="39" t="e">
        <f>VLOOKUP(E8138,基础信息!C:E,3,FALSE)</f>
        <v>#N/A</v>
      </c>
    </row>
    <row r="8139" customHeight="1" spans="8:8">
      <c r="H8139" s="39" t="e">
        <f>VLOOKUP(E8139,基础信息!C:E,3,FALSE)</f>
        <v>#N/A</v>
      </c>
    </row>
    <row r="8140" customHeight="1" spans="8:8">
      <c r="H8140" s="39" t="e">
        <f>VLOOKUP(E8140,基础信息!C:E,3,FALSE)</f>
        <v>#N/A</v>
      </c>
    </row>
    <row r="8141" customHeight="1" spans="8:8">
      <c r="H8141" s="39" t="e">
        <f>VLOOKUP(E8141,基础信息!C:E,3,FALSE)</f>
        <v>#N/A</v>
      </c>
    </row>
    <row r="8142" customHeight="1" spans="8:8">
      <c r="H8142" s="39" t="e">
        <f>VLOOKUP(E8142,基础信息!C:E,3,FALSE)</f>
        <v>#N/A</v>
      </c>
    </row>
    <row r="8143" customHeight="1" spans="8:8">
      <c r="H8143" s="39" t="e">
        <f>VLOOKUP(E8143,基础信息!C:E,3,FALSE)</f>
        <v>#N/A</v>
      </c>
    </row>
    <row r="8144" customHeight="1" spans="8:8">
      <c r="H8144" s="39" t="e">
        <f>VLOOKUP(E8144,基础信息!C:E,3,FALSE)</f>
        <v>#N/A</v>
      </c>
    </row>
    <row r="8145" customHeight="1" spans="8:8">
      <c r="H8145" s="39" t="e">
        <f>VLOOKUP(E8145,基础信息!C:E,3,FALSE)</f>
        <v>#N/A</v>
      </c>
    </row>
    <row r="8146" customHeight="1" spans="8:8">
      <c r="H8146" s="39" t="e">
        <f>VLOOKUP(E8146,基础信息!C:E,3,FALSE)</f>
        <v>#N/A</v>
      </c>
    </row>
    <row r="8147" customHeight="1" spans="8:8">
      <c r="H8147" s="39" t="e">
        <f>VLOOKUP(E8147,基础信息!C:E,3,FALSE)</f>
        <v>#N/A</v>
      </c>
    </row>
    <row r="8148" customHeight="1" spans="8:8">
      <c r="H8148" s="39" t="e">
        <f>VLOOKUP(E8148,基础信息!C:E,3,FALSE)</f>
        <v>#N/A</v>
      </c>
    </row>
    <row r="8149" customHeight="1" spans="8:8">
      <c r="H8149" s="39" t="e">
        <f>VLOOKUP(E8149,基础信息!C:E,3,FALSE)</f>
        <v>#N/A</v>
      </c>
    </row>
    <row r="8150" customHeight="1" spans="8:8">
      <c r="H8150" s="39" t="e">
        <f>VLOOKUP(E8150,基础信息!C:E,3,FALSE)</f>
        <v>#N/A</v>
      </c>
    </row>
    <row r="8151" customHeight="1" spans="8:8">
      <c r="H8151" s="39" t="e">
        <f>VLOOKUP(E8151,基础信息!C:E,3,FALSE)</f>
        <v>#N/A</v>
      </c>
    </row>
    <row r="8152" customHeight="1" spans="8:8">
      <c r="H8152" s="39" t="e">
        <f>VLOOKUP(E8152,基础信息!C:E,3,FALSE)</f>
        <v>#N/A</v>
      </c>
    </row>
    <row r="8153" customHeight="1" spans="8:8">
      <c r="H8153" s="39" t="e">
        <f>VLOOKUP(E8153,基础信息!C:E,3,FALSE)</f>
        <v>#N/A</v>
      </c>
    </row>
    <row r="8154" customHeight="1" spans="8:8">
      <c r="H8154" s="39" t="e">
        <f>VLOOKUP(E8154,基础信息!C:E,3,FALSE)</f>
        <v>#N/A</v>
      </c>
    </row>
    <row r="8155" customHeight="1" spans="8:8">
      <c r="H8155" s="39" t="e">
        <f>VLOOKUP(E8155,基础信息!C:E,3,FALSE)</f>
        <v>#N/A</v>
      </c>
    </row>
    <row r="8156" customHeight="1" spans="8:8">
      <c r="H8156" s="39" t="e">
        <f>VLOOKUP(E8156,基础信息!C:E,3,FALSE)</f>
        <v>#N/A</v>
      </c>
    </row>
    <row r="8157" customHeight="1" spans="8:8">
      <c r="H8157" s="39" t="e">
        <f>VLOOKUP(E8157,基础信息!C:E,3,FALSE)</f>
        <v>#N/A</v>
      </c>
    </row>
    <row r="8158" customHeight="1" spans="8:8">
      <c r="H8158" s="39" t="e">
        <f>VLOOKUP(E8158,基础信息!C:E,3,FALSE)</f>
        <v>#N/A</v>
      </c>
    </row>
    <row r="8159" customHeight="1" spans="8:8">
      <c r="H8159" s="39" t="e">
        <f>VLOOKUP(E8159,基础信息!C:E,3,FALSE)</f>
        <v>#N/A</v>
      </c>
    </row>
    <row r="8160" customHeight="1" spans="8:8">
      <c r="H8160" s="39" t="e">
        <f>VLOOKUP(E8160,基础信息!C:E,3,FALSE)</f>
        <v>#N/A</v>
      </c>
    </row>
    <row r="8161" customHeight="1" spans="8:8">
      <c r="H8161" s="39" t="e">
        <f>VLOOKUP(E8161,基础信息!C:E,3,FALSE)</f>
        <v>#N/A</v>
      </c>
    </row>
    <row r="8162" customHeight="1" spans="8:8">
      <c r="H8162" s="39" t="e">
        <f>VLOOKUP(E8162,基础信息!C:E,3,FALSE)</f>
        <v>#N/A</v>
      </c>
    </row>
    <row r="8163" customHeight="1" spans="8:8">
      <c r="H8163" s="39" t="e">
        <f>VLOOKUP(E8163,基础信息!C:E,3,FALSE)</f>
        <v>#N/A</v>
      </c>
    </row>
    <row r="8164" customHeight="1" spans="8:8">
      <c r="H8164" s="39" t="e">
        <f>VLOOKUP(E8164,基础信息!C:E,3,FALSE)</f>
        <v>#N/A</v>
      </c>
    </row>
    <row r="8165" customHeight="1" spans="8:8">
      <c r="H8165" s="39" t="e">
        <f>VLOOKUP(E8165,基础信息!C:E,3,FALSE)</f>
        <v>#N/A</v>
      </c>
    </row>
    <row r="8166" customHeight="1" spans="8:8">
      <c r="H8166" s="39" t="e">
        <f>VLOOKUP(E8166,基础信息!C:E,3,FALSE)</f>
        <v>#N/A</v>
      </c>
    </row>
    <row r="8167" customHeight="1" spans="8:8">
      <c r="H8167" s="39" t="e">
        <f>VLOOKUP(E8167,基础信息!C:E,3,FALSE)</f>
        <v>#N/A</v>
      </c>
    </row>
    <row r="8168" customHeight="1" spans="8:8">
      <c r="H8168" s="39" t="e">
        <f>VLOOKUP(E8168,基础信息!C:E,3,FALSE)</f>
        <v>#N/A</v>
      </c>
    </row>
    <row r="8169" customHeight="1" spans="8:8">
      <c r="H8169" s="39" t="e">
        <f>VLOOKUP(E8169,基础信息!C:E,3,FALSE)</f>
        <v>#N/A</v>
      </c>
    </row>
    <row r="8170" customHeight="1" spans="8:8">
      <c r="H8170" s="39" t="e">
        <f>VLOOKUP(E8170,基础信息!C:E,3,FALSE)</f>
        <v>#N/A</v>
      </c>
    </row>
    <row r="8171" customHeight="1" spans="8:8">
      <c r="H8171" s="39" t="e">
        <f>VLOOKUP(E8171,基础信息!C:E,3,FALSE)</f>
        <v>#N/A</v>
      </c>
    </row>
    <row r="8172" customHeight="1" spans="8:8">
      <c r="H8172" s="39" t="e">
        <f>VLOOKUP(E8172,基础信息!C:E,3,FALSE)</f>
        <v>#N/A</v>
      </c>
    </row>
    <row r="8173" customHeight="1" spans="8:8">
      <c r="H8173" s="39" t="e">
        <f>VLOOKUP(E8173,基础信息!C:E,3,FALSE)</f>
        <v>#N/A</v>
      </c>
    </row>
    <row r="8174" customHeight="1" spans="8:8">
      <c r="H8174" s="39" t="e">
        <f>VLOOKUP(E8174,基础信息!C:E,3,FALSE)</f>
        <v>#N/A</v>
      </c>
    </row>
    <row r="8175" customHeight="1" spans="8:8">
      <c r="H8175" s="39" t="e">
        <f>VLOOKUP(E8175,基础信息!C:E,3,FALSE)</f>
        <v>#N/A</v>
      </c>
    </row>
    <row r="8176" customHeight="1" spans="8:8">
      <c r="H8176" s="39" t="e">
        <f>VLOOKUP(E8176,基础信息!C:E,3,FALSE)</f>
        <v>#N/A</v>
      </c>
    </row>
    <row r="8177" customHeight="1" spans="8:8">
      <c r="H8177" s="39" t="e">
        <f>VLOOKUP(E8177,基础信息!C:E,3,FALSE)</f>
        <v>#N/A</v>
      </c>
    </row>
    <row r="8178" customHeight="1" spans="8:8">
      <c r="H8178" s="39" t="e">
        <f>VLOOKUP(E8178,基础信息!C:E,3,FALSE)</f>
        <v>#N/A</v>
      </c>
    </row>
    <row r="8179" customHeight="1" spans="8:8">
      <c r="H8179" s="39" t="e">
        <f>VLOOKUP(E8179,基础信息!C:E,3,FALSE)</f>
        <v>#N/A</v>
      </c>
    </row>
    <row r="8180" customHeight="1" spans="8:8">
      <c r="H8180" s="39" t="e">
        <f>VLOOKUP(E8180,基础信息!C:E,3,FALSE)</f>
        <v>#N/A</v>
      </c>
    </row>
    <row r="8181" customHeight="1" spans="8:8">
      <c r="H8181" s="39" t="e">
        <f>VLOOKUP(E8181,基础信息!C:E,3,FALSE)</f>
        <v>#N/A</v>
      </c>
    </row>
    <row r="8182" customHeight="1" spans="8:8">
      <c r="H8182" s="39" t="e">
        <f>VLOOKUP(E8182,基础信息!C:E,3,FALSE)</f>
        <v>#N/A</v>
      </c>
    </row>
    <row r="8183" customHeight="1" spans="8:8">
      <c r="H8183" s="39" t="e">
        <f>VLOOKUP(E8183,基础信息!C:E,3,FALSE)</f>
        <v>#N/A</v>
      </c>
    </row>
    <row r="8184" customHeight="1" spans="8:8">
      <c r="H8184" s="39" t="e">
        <f>VLOOKUP(E8184,基础信息!C:E,3,FALSE)</f>
        <v>#N/A</v>
      </c>
    </row>
    <row r="8185" customHeight="1" spans="8:8">
      <c r="H8185" s="39" t="e">
        <f>VLOOKUP(E8185,基础信息!C:E,3,FALSE)</f>
        <v>#N/A</v>
      </c>
    </row>
    <row r="8186" customHeight="1" spans="8:8">
      <c r="H8186" s="39" t="e">
        <f>VLOOKUP(E8186,基础信息!C:E,3,FALSE)</f>
        <v>#N/A</v>
      </c>
    </row>
    <row r="8187" customHeight="1" spans="8:8">
      <c r="H8187" s="39" t="e">
        <f>VLOOKUP(E8187,基础信息!C:E,3,FALSE)</f>
        <v>#N/A</v>
      </c>
    </row>
    <row r="8188" customHeight="1" spans="8:8">
      <c r="H8188" s="39" t="e">
        <f>VLOOKUP(E8188,基础信息!C:E,3,FALSE)</f>
        <v>#N/A</v>
      </c>
    </row>
    <row r="8189" customHeight="1" spans="8:8">
      <c r="H8189" s="39" t="e">
        <f>VLOOKUP(E8189,基础信息!C:E,3,FALSE)</f>
        <v>#N/A</v>
      </c>
    </row>
    <row r="8190" customHeight="1" spans="8:8">
      <c r="H8190" s="39" t="e">
        <f>VLOOKUP(E8190,基础信息!C:E,3,FALSE)</f>
        <v>#N/A</v>
      </c>
    </row>
    <row r="8191" customHeight="1" spans="8:8">
      <c r="H8191" s="39" t="e">
        <f>VLOOKUP(E8191,基础信息!C:E,3,FALSE)</f>
        <v>#N/A</v>
      </c>
    </row>
    <row r="8192" customHeight="1" spans="8:8">
      <c r="H8192" s="39" t="e">
        <f>VLOOKUP(E8192,基础信息!C:E,3,FALSE)</f>
        <v>#N/A</v>
      </c>
    </row>
    <row r="8193" customHeight="1" spans="8:8">
      <c r="H8193" s="39" t="e">
        <f>VLOOKUP(E8193,基础信息!C:E,3,FALSE)</f>
        <v>#N/A</v>
      </c>
    </row>
    <row r="8194" customHeight="1" spans="8:8">
      <c r="H8194" s="39" t="e">
        <f>VLOOKUP(E8194,基础信息!C:E,3,FALSE)</f>
        <v>#N/A</v>
      </c>
    </row>
    <row r="8195" customHeight="1" spans="8:8">
      <c r="H8195" s="39" t="e">
        <f>VLOOKUP(E8195,基础信息!C:E,3,FALSE)</f>
        <v>#N/A</v>
      </c>
    </row>
    <row r="8196" customHeight="1" spans="8:8">
      <c r="H8196" s="39" t="e">
        <f>VLOOKUP(E8196,基础信息!C:E,3,FALSE)</f>
        <v>#N/A</v>
      </c>
    </row>
    <row r="8197" customHeight="1" spans="8:8">
      <c r="H8197" s="39" t="e">
        <f>VLOOKUP(E8197,基础信息!C:E,3,FALSE)</f>
        <v>#N/A</v>
      </c>
    </row>
    <row r="8198" customHeight="1" spans="8:8">
      <c r="H8198" s="39" t="e">
        <f>VLOOKUP(E8198,基础信息!C:E,3,FALSE)</f>
        <v>#N/A</v>
      </c>
    </row>
    <row r="8199" customHeight="1" spans="8:8">
      <c r="H8199" s="39" t="e">
        <f>VLOOKUP(E8199,基础信息!C:E,3,FALSE)</f>
        <v>#N/A</v>
      </c>
    </row>
    <row r="8200" customHeight="1" spans="8:8">
      <c r="H8200" s="39" t="e">
        <f>VLOOKUP(E8200,基础信息!C:E,3,FALSE)</f>
        <v>#N/A</v>
      </c>
    </row>
    <row r="8201" customHeight="1" spans="8:8">
      <c r="H8201" s="39" t="e">
        <f>VLOOKUP(E8201,基础信息!C:E,3,FALSE)</f>
        <v>#N/A</v>
      </c>
    </row>
    <row r="8202" customHeight="1" spans="8:8">
      <c r="H8202" s="39" t="e">
        <f>VLOOKUP(E8202,基础信息!C:E,3,FALSE)</f>
        <v>#N/A</v>
      </c>
    </row>
    <row r="8203" customHeight="1" spans="8:8">
      <c r="H8203" s="39" t="e">
        <f>VLOOKUP(E8203,基础信息!C:E,3,FALSE)</f>
        <v>#N/A</v>
      </c>
    </row>
    <row r="8204" customHeight="1" spans="8:8">
      <c r="H8204" s="39" t="e">
        <f>VLOOKUP(E8204,基础信息!C:E,3,FALSE)</f>
        <v>#N/A</v>
      </c>
    </row>
    <row r="8205" customHeight="1" spans="8:8">
      <c r="H8205" s="39" t="e">
        <f>VLOOKUP(E8205,基础信息!C:E,3,FALSE)</f>
        <v>#N/A</v>
      </c>
    </row>
    <row r="8206" customHeight="1" spans="8:8">
      <c r="H8206" s="39" t="e">
        <f>VLOOKUP(E8206,基础信息!C:E,3,FALSE)</f>
        <v>#N/A</v>
      </c>
    </row>
    <row r="8207" customHeight="1" spans="8:8">
      <c r="H8207" s="39" t="e">
        <f>VLOOKUP(E8207,基础信息!C:E,3,FALSE)</f>
        <v>#N/A</v>
      </c>
    </row>
    <row r="8208" customHeight="1" spans="8:8">
      <c r="H8208" s="39" t="e">
        <f>VLOOKUP(E8208,基础信息!C:E,3,FALSE)</f>
        <v>#N/A</v>
      </c>
    </row>
    <row r="8209" customHeight="1" spans="8:8">
      <c r="H8209" s="39" t="e">
        <f>VLOOKUP(E8209,基础信息!C:E,3,FALSE)</f>
        <v>#N/A</v>
      </c>
    </row>
    <row r="8210" customHeight="1" spans="8:8">
      <c r="H8210" s="39" t="e">
        <f>VLOOKUP(E8210,基础信息!C:E,3,FALSE)</f>
        <v>#N/A</v>
      </c>
    </row>
    <row r="8211" customHeight="1" spans="8:8">
      <c r="H8211" s="39" t="e">
        <f>VLOOKUP(E8211,基础信息!C:E,3,FALSE)</f>
        <v>#N/A</v>
      </c>
    </row>
    <row r="8212" customHeight="1" spans="8:8">
      <c r="H8212" s="39" t="e">
        <f>VLOOKUP(E8212,基础信息!C:E,3,FALSE)</f>
        <v>#N/A</v>
      </c>
    </row>
    <row r="8213" customHeight="1" spans="8:8">
      <c r="H8213" s="39" t="e">
        <f>VLOOKUP(E8213,基础信息!C:E,3,FALSE)</f>
        <v>#N/A</v>
      </c>
    </row>
    <row r="8214" customHeight="1" spans="8:8">
      <c r="H8214" s="39" t="e">
        <f>VLOOKUP(E8214,基础信息!C:E,3,FALSE)</f>
        <v>#N/A</v>
      </c>
    </row>
    <row r="8215" customHeight="1" spans="8:8">
      <c r="H8215" s="39" t="e">
        <f>VLOOKUP(E8215,基础信息!C:E,3,FALSE)</f>
        <v>#N/A</v>
      </c>
    </row>
    <row r="8216" customHeight="1" spans="8:8">
      <c r="H8216" s="39" t="e">
        <f>VLOOKUP(E8216,基础信息!C:E,3,FALSE)</f>
        <v>#N/A</v>
      </c>
    </row>
    <row r="8217" customHeight="1" spans="8:8">
      <c r="H8217" s="39" t="e">
        <f>VLOOKUP(E8217,基础信息!C:E,3,FALSE)</f>
        <v>#N/A</v>
      </c>
    </row>
    <row r="8218" customHeight="1" spans="8:8">
      <c r="H8218" s="39" t="e">
        <f>VLOOKUP(E8218,基础信息!C:E,3,FALSE)</f>
        <v>#N/A</v>
      </c>
    </row>
    <row r="8219" customHeight="1" spans="8:8">
      <c r="H8219" s="39" t="e">
        <f>VLOOKUP(E8219,基础信息!C:E,3,FALSE)</f>
        <v>#N/A</v>
      </c>
    </row>
    <row r="8220" customHeight="1" spans="8:8">
      <c r="H8220" s="39" t="e">
        <f>VLOOKUP(E8220,基础信息!C:E,3,FALSE)</f>
        <v>#N/A</v>
      </c>
    </row>
    <row r="8221" customHeight="1" spans="8:8">
      <c r="H8221" s="39" t="e">
        <f>VLOOKUP(E8221,基础信息!C:E,3,FALSE)</f>
        <v>#N/A</v>
      </c>
    </row>
    <row r="8222" customHeight="1" spans="8:8">
      <c r="H8222" s="39" t="e">
        <f>VLOOKUP(E8222,基础信息!C:E,3,FALSE)</f>
        <v>#N/A</v>
      </c>
    </row>
    <row r="8223" customHeight="1" spans="8:8">
      <c r="H8223" s="39" t="e">
        <f>VLOOKUP(E8223,基础信息!C:E,3,FALSE)</f>
        <v>#N/A</v>
      </c>
    </row>
    <row r="8224" customHeight="1" spans="8:8">
      <c r="H8224" s="39" t="e">
        <f>VLOOKUP(E8224,基础信息!C:E,3,FALSE)</f>
        <v>#N/A</v>
      </c>
    </row>
    <row r="8225" customHeight="1" spans="8:8">
      <c r="H8225" s="39" t="e">
        <f>VLOOKUP(E8225,基础信息!C:E,3,FALSE)</f>
        <v>#N/A</v>
      </c>
    </row>
    <row r="8226" customHeight="1" spans="8:8">
      <c r="H8226" s="39" t="e">
        <f>VLOOKUP(E8226,基础信息!C:E,3,FALSE)</f>
        <v>#N/A</v>
      </c>
    </row>
    <row r="8227" customHeight="1" spans="8:8">
      <c r="H8227" s="39" t="e">
        <f>VLOOKUP(E8227,基础信息!C:E,3,FALSE)</f>
        <v>#N/A</v>
      </c>
    </row>
    <row r="8228" customHeight="1" spans="8:8">
      <c r="H8228" s="39" t="e">
        <f>VLOOKUP(E8228,基础信息!C:E,3,FALSE)</f>
        <v>#N/A</v>
      </c>
    </row>
    <row r="8229" customHeight="1" spans="8:8">
      <c r="H8229" s="39" t="e">
        <f>VLOOKUP(E8229,基础信息!C:E,3,FALSE)</f>
        <v>#N/A</v>
      </c>
    </row>
    <row r="8230" customHeight="1" spans="8:8">
      <c r="H8230" s="39" t="e">
        <f>VLOOKUP(E8230,基础信息!C:E,3,FALSE)</f>
        <v>#N/A</v>
      </c>
    </row>
    <row r="8231" customHeight="1" spans="8:8">
      <c r="H8231" s="39" t="e">
        <f>VLOOKUP(E8231,基础信息!C:E,3,FALSE)</f>
        <v>#N/A</v>
      </c>
    </row>
    <row r="8232" customHeight="1" spans="8:8">
      <c r="H8232" s="39" t="e">
        <f>VLOOKUP(E8232,基础信息!C:E,3,FALSE)</f>
        <v>#N/A</v>
      </c>
    </row>
    <row r="8233" customHeight="1" spans="8:8">
      <c r="H8233" s="39" t="e">
        <f>VLOOKUP(E8233,基础信息!C:E,3,FALSE)</f>
        <v>#N/A</v>
      </c>
    </row>
    <row r="8234" customHeight="1" spans="8:8">
      <c r="H8234" s="39" t="e">
        <f>VLOOKUP(E8234,基础信息!C:E,3,FALSE)</f>
        <v>#N/A</v>
      </c>
    </row>
    <row r="8235" customHeight="1" spans="8:8">
      <c r="H8235" s="39" t="e">
        <f>VLOOKUP(E8235,基础信息!C:E,3,FALSE)</f>
        <v>#N/A</v>
      </c>
    </row>
    <row r="8236" customHeight="1" spans="8:8">
      <c r="H8236" s="39" t="e">
        <f>VLOOKUP(E8236,基础信息!C:E,3,FALSE)</f>
        <v>#N/A</v>
      </c>
    </row>
    <row r="8237" customHeight="1" spans="8:8">
      <c r="H8237" s="39" t="e">
        <f>VLOOKUP(E8237,基础信息!C:E,3,FALSE)</f>
        <v>#N/A</v>
      </c>
    </row>
    <row r="8238" customHeight="1" spans="8:8">
      <c r="H8238" s="39" t="e">
        <f>VLOOKUP(E8238,基础信息!C:E,3,FALSE)</f>
        <v>#N/A</v>
      </c>
    </row>
    <row r="8239" customHeight="1" spans="8:8">
      <c r="H8239" s="39" t="e">
        <f>VLOOKUP(E8239,基础信息!C:E,3,FALSE)</f>
        <v>#N/A</v>
      </c>
    </row>
    <row r="8240" customHeight="1" spans="8:8">
      <c r="H8240" s="39" t="e">
        <f>VLOOKUP(E8240,基础信息!C:E,3,FALSE)</f>
        <v>#N/A</v>
      </c>
    </row>
    <row r="8241" customHeight="1" spans="8:8">
      <c r="H8241" s="39" t="e">
        <f>VLOOKUP(E8241,基础信息!C:E,3,FALSE)</f>
        <v>#N/A</v>
      </c>
    </row>
    <row r="8242" customHeight="1" spans="8:8">
      <c r="H8242" s="39" t="e">
        <f>VLOOKUP(E8242,基础信息!C:E,3,FALSE)</f>
        <v>#N/A</v>
      </c>
    </row>
    <row r="8243" customHeight="1" spans="8:8">
      <c r="H8243" s="39" t="e">
        <f>VLOOKUP(E8243,基础信息!C:E,3,FALSE)</f>
        <v>#N/A</v>
      </c>
    </row>
    <row r="8244" customHeight="1" spans="8:8">
      <c r="H8244" s="39" t="e">
        <f>VLOOKUP(E8244,基础信息!C:E,3,FALSE)</f>
        <v>#N/A</v>
      </c>
    </row>
    <row r="8245" customHeight="1" spans="8:8">
      <c r="H8245" s="39" t="e">
        <f>VLOOKUP(E8245,基础信息!C:E,3,FALSE)</f>
        <v>#N/A</v>
      </c>
    </row>
    <row r="8246" customHeight="1" spans="8:8">
      <c r="H8246" s="39" t="e">
        <f>VLOOKUP(E8246,基础信息!C:E,3,FALSE)</f>
        <v>#N/A</v>
      </c>
    </row>
    <row r="8247" customHeight="1" spans="8:8">
      <c r="H8247" s="39" t="e">
        <f>VLOOKUP(E8247,基础信息!C:E,3,FALSE)</f>
        <v>#N/A</v>
      </c>
    </row>
    <row r="8248" customHeight="1" spans="8:8">
      <c r="H8248" s="39" t="e">
        <f>VLOOKUP(E8248,基础信息!C:E,3,FALSE)</f>
        <v>#N/A</v>
      </c>
    </row>
    <row r="8249" customHeight="1" spans="8:8">
      <c r="H8249" s="39" t="e">
        <f>VLOOKUP(E8249,基础信息!C:E,3,FALSE)</f>
        <v>#N/A</v>
      </c>
    </row>
    <row r="8250" customHeight="1" spans="8:8">
      <c r="H8250" s="39" t="e">
        <f>VLOOKUP(E8250,基础信息!C:E,3,FALSE)</f>
        <v>#N/A</v>
      </c>
    </row>
    <row r="8251" customHeight="1" spans="8:8">
      <c r="H8251" s="39" t="e">
        <f>VLOOKUP(E8251,基础信息!C:E,3,FALSE)</f>
        <v>#N/A</v>
      </c>
    </row>
    <row r="8252" customHeight="1" spans="8:8">
      <c r="H8252" s="39" t="e">
        <f>VLOOKUP(E8252,基础信息!C:E,3,FALSE)</f>
        <v>#N/A</v>
      </c>
    </row>
    <row r="8253" customHeight="1" spans="8:8">
      <c r="H8253" s="39" t="e">
        <f>VLOOKUP(E8253,基础信息!C:E,3,FALSE)</f>
        <v>#N/A</v>
      </c>
    </row>
    <row r="8254" customHeight="1" spans="8:8">
      <c r="H8254" s="39" t="e">
        <f>VLOOKUP(E8254,基础信息!C:E,3,FALSE)</f>
        <v>#N/A</v>
      </c>
    </row>
    <row r="8255" customHeight="1" spans="8:8">
      <c r="H8255" s="39" t="e">
        <f>VLOOKUP(E8255,基础信息!C:E,3,FALSE)</f>
        <v>#N/A</v>
      </c>
    </row>
    <row r="8256" customHeight="1" spans="8:8">
      <c r="H8256" s="39" t="e">
        <f>VLOOKUP(E8256,基础信息!C:E,3,FALSE)</f>
        <v>#N/A</v>
      </c>
    </row>
    <row r="8257" customHeight="1" spans="8:8">
      <c r="H8257" s="39" t="e">
        <f>VLOOKUP(E8257,基础信息!C:E,3,FALSE)</f>
        <v>#N/A</v>
      </c>
    </row>
    <row r="8258" customHeight="1" spans="8:8">
      <c r="H8258" s="39" t="e">
        <f>VLOOKUP(E8258,基础信息!C:E,3,FALSE)</f>
        <v>#N/A</v>
      </c>
    </row>
    <row r="8259" customHeight="1" spans="8:8">
      <c r="H8259" s="39" t="e">
        <f>VLOOKUP(E8259,基础信息!C:E,3,FALSE)</f>
        <v>#N/A</v>
      </c>
    </row>
    <row r="8260" customHeight="1" spans="8:8">
      <c r="H8260" s="39" t="e">
        <f>VLOOKUP(E8260,基础信息!C:E,3,FALSE)</f>
        <v>#N/A</v>
      </c>
    </row>
    <row r="8261" customHeight="1" spans="8:8">
      <c r="H8261" s="39" t="e">
        <f>VLOOKUP(E8261,基础信息!C:E,3,FALSE)</f>
        <v>#N/A</v>
      </c>
    </row>
    <row r="8262" customHeight="1" spans="8:8">
      <c r="H8262" s="39" t="e">
        <f>VLOOKUP(E8262,基础信息!C:E,3,FALSE)</f>
        <v>#N/A</v>
      </c>
    </row>
    <row r="8263" customHeight="1" spans="8:8">
      <c r="H8263" s="39" t="e">
        <f>VLOOKUP(E8263,基础信息!C:E,3,FALSE)</f>
        <v>#N/A</v>
      </c>
    </row>
    <row r="8264" customHeight="1" spans="8:8">
      <c r="H8264" s="39" t="e">
        <f>VLOOKUP(E8264,基础信息!C:E,3,FALSE)</f>
        <v>#N/A</v>
      </c>
    </row>
    <row r="8265" customHeight="1" spans="8:8">
      <c r="H8265" s="39" t="e">
        <f>VLOOKUP(E8265,基础信息!C:E,3,FALSE)</f>
        <v>#N/A</v>
      </c>
    </row>
    <row r="8266" customHeight="1" spans="8:8">
      <c r="H8266" s="39" t="e">
        <f>VLOOKUP(E8266,基础信息!C:E,3,FALSE)</f>
        <v>#N/A</v>
      </c>
    </row>
    <row r="8267" customHeight="1" spans="8:8">
      <c r="H8267" s="39" t="e">
        <f>VLOOKUP(E8267,基础信息!C:E,3,FALSE)</f>
        <v>#N/A</v>
      </c>
    </row>
    <row r="8268" customHeight="1" spans="8:8">
      <c r="H8268" s="39" t="e">
        <f>VLOOKUP(E8268,基础信息!C:E,3,FALSE)</f>
        <v>#N/A</v>
      </c>
    </row>
    <row r="8269" customHeight="1" spans="8:8">
      <c r="H8269" s="39" t="e">
        <f>VLOOKUP(E8269,基础信息!C:E,3,FALSE)</f>
        <v>#N/A</v>
      </c>
    </row>
    <row r="8270" customHeight="1" spans="8:8">
      <c r="H8270" s="39" t="e">
        <f>VLOOKUP(E8270,基础信息!C:E,3,FALSE)</f>
        <v>#N/A</v>
      </c>
    </row>
    <row r="8271" customHeight="1" spans="8:8">
      <c r="H8271" s="39" t="e">
        <f>VLOOKUP(E8271,基础信息!C:E,3,FALSE)</f>
        <v>#N/A</v>
      </c>
    </row>
    <row r="8272" customHeight="1" spans="8:8">
      <c r="H8272" s="39" t="e">
        <f>VLOOKUP(E8272,基础信息!C:E,3,FALSE)</f>
        <v>#N/A</v>
      </c>
    </row>
    <row r="8273" customHeight="1" spans="8:8">
      <c r="H8273" s="39" t="e">
        <f>VLOOKUP(E8273,基础信息!C:E,3,FALSE)</f>
        <v>#N/A</v>
      </c>
    </row>
    <row r="8274" customHeight="1" spans="8:8">
      <c r="H8274" s="39" t="e">
        <f>VLOOKUP(E8274,基础信息!C:E,3,FALSE)</f>
        <v>#N/A</v>
      </c>
    </row>
    <row r="8275" customHeight="1" spans="8:8">
      <c r="H8275" s="39" t="e">
        <f>VLOOKUP(E8275,基础信息!C:E,3,FALSE)</f>
        <v>#N/A</v>
      </c>
    </row>
    <row r="8276" customHeight="1" spans="8:8">
      <c r="H8276" s="39" t="e">
        <f>VLOOKUP(E8276,基础信息!C:E,3,FALSE)</f>
        <v>#N/A</v>
      </c>
    </row>
    <row r="8277" customHeight="1" spans="8:8">
      <c r="H8277" s="39" t="e">
        <f>VLOOKUP(E8277,基础信息!C:E,3,FALSE)</f>
        <v>#N/A</v>
      </c>
    </row>
    <row r="8278" customHeight="1" spans="8:8">
      <c r="H8278" s="39" t="e">
        <f>VLOOKUP(E8278,基础信息!C:E,3,FALSE)</f>
        <v>#N/A</v>
      </c>
    </row>
    <row r="8279" customHeight="1" spans="8:8">
      <c r="H8279" s="39" t="e">
        <f>VLOOKUP(E8279,基础信息!C:E,3,FALSE)</f>
        <v>#N/A</v>
      </c>
    </row>
    <row r="8280" customHeight="1" spans="8:8">
      <c r="H8280" s="39" t="e">
        <f>VLOOKUP(E8280,基础信息!C:E,3,FALSE)</f>
        <v>#N/A</v>
      </c>
    </row>
    <row r="8281" customHeight="1" spans="8:8">
      <c r="H8281" s="39" t="e">
        <f>VLOOKUP(E8281,基础信息!C:E,3,FALSE)</f>
        <v>#N/A</v>
      </c>
    </row>
    <row r="8282" customHeight="1" spans="8:8">
      <c r="H8282" s="39" t="e">
        <f>VLOOKUP(E8282,基础信息!C:E,3,FALSE)</f>
        <v>#N/A</v>
      </c>
    </row>
    <row r="8283" customHeight="1" spans="8:8">
      <c r="H8283" s="39" t="e">
        <f>VLOOKUP(E8283,基础信息!C:E,3,FALSE)</f>
        <v>#N/A</v>
      </c>
    </row>
    <row r="8284" customHeight="1" spans="8:8">
      <c r="H8284" s="39" t="e">
        <f>VLOOKUP(E8284,基础信息!C:E,3,FALSE)</f>
        <v>#N/A</v>
      </c>
    </row>
    <row r="8285" customHeight="1" spans="8:8">
      <c r="H8285" s="39" t="e">
        <f>VLOOKUP(E8285,基础信息!C:E,3,FALSE)</f>
        <v>#N/A</v>
      </c>
    </row>
    <row r="8286" customHeight="1" spans="8:8">
      <c r="H8286" s="39" t="e">
        <f>VLOOKUP(E8286,基础信息!C:E,3,FALSE)</f>
        <v>#N/A</v>
      </c>
    </row>
    <row r="8287" customHeight="1" spans="8:8">
      <c r="H8287" s="39" t="e">
        <f>VLOOKUP(E8287,基础信息!C:E,3,FALSE)</f>
        <v>#N/A</v>
      </c>
    </row>
    <row r="8288" customHeight="1" spans="8:8">
      <c r="H8288" s="39" t="e">
        <f>VLOOKUP(E8288,基础信息!C:E,3,FALSE)</f>
        <v>#N/A</v>
      </c>
    </row>
    <row r="8289" customHeight="1" spans="8:8">
      <c r="H8289" s="39" t="e">
        <f>VLOOKUP(E8289,基础信息!C:E,3,FALSE)</f>
        <v>#N/A</v>
      </c>
    </row>
    <row r="8290" customHeight="1" spans="8:8">
      <c r="H8290" s="39" t="e">
        <f>VLOOKUP(E8290,基础信息!C:E,3,FALSE)</f>
        <v>#N/A</v>
      </c>
    </row>
    <row r="8291" customHeight="1" spans="8:8">
      <c r="H8291" s="39" t="e">
        <f>VLOOKUP(E8291,基础信息!C:E,3,FALSE)</f>
        <v>#N/A</v>
      </c>
    </row>
    <row r="8292" customHeight="1" spans="8:8">
      <c r="H8292" s="39" t="e">
        <f>VLOOKUP(E8292,基础信息!C:E,3,FALSE)</f>
        <v>#N/A</v>
      </c>
    </row>
    <row r="8293" customHeight="1" spans="8:8">
      <c r="H8293" s="39" t="e">
        <f>VLOOKUP(E8293,基础信息!C:E,3,FALSE)</f>
        <v>#N/A</v>
      </c>
    </row>
    <row r="8294" customHeight="1" spans="8:8">
      <c r="H8294" s="39" t="e">
        <f>VLOOKUP(E8294,基础信息!C:E,3,FALSE)</f>
        <v>#N/A</v>
      </c>
    </row>
    <row r="8295" customHeight="1" spans="8:8">
      <c r="H8295" s="39" t="e">
        <f>VLOOKUP(E8295,基础信息!C:E,3,FALSE)</f>
        <v>#N/A</v>
      </c>
    </row>
    <row r="8296" customHeight="1" spans="8:8">
      <c r="H8296" s="39" t="e">
        <f>VLOOKUP(E8296,基础信息!C:E,3,FALSE)</f>
        <v>#N/A</v>
      </c>
    </row>
    <row r="8297" customHeight="1" spans="8:8">
      <c r="H8297" s="39" t="e">
        <f>VLOOKUP(E8297,基础信息!C:E,3,FALSE)</f>
        <v>#N/A</v>
      </c>
    </row>
    <row r="8298" customHeight="1" spans="8:8">
      <c r="H8298" s="39" t="e">
        <f>VLOOKUP(E8298,基础信息!C:E,3,FALSE)</f>
        <v>#N/A</v>
      </c>
    </row>
    <row r="8299" customHeight="1" spans="8:8">
      <c r="H8299" s="39" t="e">
        <f>VLOOKUP(E8299,基础信息!C:E,3,FALSE)</f>
        <v>#N/A</v>
      </c>
    </row>
    <row r="8300" customHeight="1" spans="8:8">
      <c r="H8300" s="39" t="e">
        <f>VLOOKUP(E8300,基础信息!C:E,3,FALSE)</f>
        <v>#N/A</v>
      </c>
    </row>
    <row r="8301" customHeight="1" spans="8:8">
      <c r="H8301" s="39" t="e">
        <f>VLOOKUP(E8301,基础信息!C:E,3,FALSE)</f>
        <v>#N/A</v>
      </c>
    </row>
    <row r="8302" customHeight="1" spans="8:8">
      <c r="H8302" s="39" t="e">
        <f>VLOOKUP(E8302,基础信息!C:E,3,FALSE)</f>
        <v>#N/A</v>
      </c>
    </row>
    <row r="8303" customHeight="1" spans="8:8">
      <c r="H8303" s="39" t="e">
        <f>VLOOKUP(E8303,基础信息!C:E,3,FALSE)</f>
        <v>#N/A</v>
      </c>
    </row>
    <row r="8304" customHeight="1" spans="8:8">
      <c r="H8304" s="39" t="e">
        <f>VLOOKUP(E8304,基础信息!C:E,3,FALSE)</f>
        <v>#N/A</v>
      </c>
    </row>
    <row r="8305" customHeight="1" spans="8:8">
      <c r="H8305" s="39" t="e">
        <f>VLOOKUP(E8305,基础信息!C:E,3,FALSE)</f>
        <v>#N/A</v>
      </c>
    </row>
    <row r="8306" customHeight="1" spans="8:8">
      <c r="H8306" s="39" t="e">
        <f>VLOOKUP(E8306,基础信息!C:E,3,FALSE)</f>
        <v>#N/A</v>
      </c>
    </row>
    <row r="8307" customHeight="1" spans="8:8">
      <c r="H8307" s="39" t="e">
        <f>VLOOKUP(E8307,基础信息!C:E,3,FALSE)</f>
        <v>#N/A</v>
      </c>
    </row>
    <row r="8308" customHeight="1" spans="8:8">
      <c r="H8308" s="39" t="e">
        <f>VLOOKUP(E8308,基础信息!C:E,3,FALSE)</f>
        <v>#N/A</v>
      </c>
    </row>
    <row r="8309" customHeight="1" spans="8:8">
      <c r="H8309" s="39" t="e">
        <f>VLOOKUP(E8309,基础信息!C:E,3,FALSE)</f>
        <v>#N/A</v>
      </c>
    </row>
    <row r="8310" customHeight="1" spans="8:8">
      <c r="H8310" s="39" t="e">
        <f>VLOOKUP(E8310,基础信息!C:E,3,FALSE)</f>
        <v>#N/A</v>
      </c>
    </row>
    <row r="8311" customHeight="1" spans="8:8">
      <c r="H8311" s="39" t="e">
        <f>VLOOKUP(E8311,基础信息!C:E,3,FALSE)</f>
        <v>#N/A</v>
      </c>
    </row>
    <row r="8312" customHeight="1" spans="8:8">
      <c r="H8312" s="39" t="e">
        <f>VLOOKUP(E8312,基础信息!C:E,3,FALSE)</f>
        <v>#N/A</v>
      </c>
    </row>
    <row r="8313" customHeight="1" spans="8:8">
      <c r="H8313" s="39" t="e">
        <f>VLOOKUP(E8313,基础信息!C:E,3,FALSE)</f>
        <v>#N/A</v>
      </c>
    </row>
    <row r="8314" customHeight="1" spans="8:8">
      <c r="H8314" s="39" t="e">
        <f>VLOOKUP(E8314,基础信息!C:E,3,FALSE)</f>
        <v>#N/A</v>
      </c>
    </row>
    <row r="8315" customHeight="1" spans="8:8">
      <c r="H8315" s="39" t="e">
        <f>VLOOKUP(E8315,基础信息!C:E,3,FALSE)</f>
        <v>#N/A</v>
      </c>
    </row>
    <row r="8316" customHeight="1" spans="8:8">
      <c r="H8316" s="39" t="e">
        <f>VLOOKUP(E8316,基础信息!C:E,3,FALSE)</f>
        <v>#N/A</v>
      </c>
    </row>
    <row r="8317" customHeight="1" spans="8:8">
      <c r="H8317" s="39" t="e">
        <f>VLOOKUP(E8317,基础信息!C:E,3,FALSE)</f>
        <v>#N/A</v>
      </c>
    </row>
    <row r="8318" customHeight="1" spans="8:8">
      <c r="H8318" s="39" t="e">
        <f>VLOOKUP(E8318,基础信息!C:E,3,FALSE)</f>
        <v>#N/A</v>
      </c>
    </row>
    <row r="8319" customHeight="1" spans="8:8">
      <c r="H8319" s="39" t="e">
        <f>VLOOKUP(E8319,基础信息!C:E,3,FALSE)</f>
        <v>#N/A</v>
      </c>
    </row>
    <row r="8320" customHeight="1" spans="8:8">
      <c r="H8320" s="39" t="e">
        <f>VLOOKUP(E8320,基础信息!C:E,3,FALSE)</f>
        <v>#N/A</v>
      </c>
    </row>
    <row r="8321" customHeight="1" spans="8:8">
      <c r="H8321" s="39" t="e">
        <f>VLOOKUP(E8321,基础信息!C:E,3,FALSE)</f>
        <v>#N/A</v>
      </c>
    </row>
    <row r="8322" customHeight="1" spans="8:8">
      <c r="H8322" s="39" t="e">
        <f>VLOOKUP(E8322,基础信息!C:E,3,FALSE)</f>
        <v>#N/A</v>
      </c>
    </row>
    <row r="8323" customHeight="1" spans="8:8">
      <c r="H8323" s="39" t="e">
        <f>VLOOKUP(E8323,基础信息!C:E,3,FALSE)</f>
        <v>#N/A</v>
      </c>
    </row>
    <row r="8324" customHeight="1" spans="8:8">
      <c r="H8324" s="39" t="e">
        <f>VLOOKUP(E8324,基础信息!C:E,3,FALSE)</f>
        <v>#N/A</v>
      </c>
    </row>
    <row r="8325" customHeight="1" spans="8:8">
      <c r="H8325" s="39" t="e">
        <f>VLOOKUP(E8325,基础信息!C:E,3,FALSE)</f>
        <v>#N/A</v>
      </c>
    </row>
    <row r="8326" customHeight="1" spans="8:8">
      <c r="H8326" s="39" t="e">
        <f>VLOOKUP(E8326,基础信息!C:E,3,FALSE)</f>
        <v>#N/A</v>
      </c>
    </row>
    <row r="8327" customHeight="1" spans="8:8">
      <c r="H8327" s="39" t="e">
        <f>VLOOKUP(E8327,基础信息!C:E,3,FALSE)</f>
        <v>#N/A</v>
      </c>
    </row>
    <row r="8328" customHeight="1" spans="8:8">
      <c r="H8328" s="39" t="e">
        <f>VLOOKUP(E8328,基础信息!C:E,3,FALSE)</f>
        <v>#N/A</v>
      </c>
    </row>
    <row r="8329" customHeight="1" spans="8:8">
      <c r="H8329" s="39" t="e">
        <f>VLOOKUP(E8329,基础信息!C:E,3,FALSE)</f>
        <v>#N/A</v>
      </c>
    </row>
    <row r="8330" customHeight="1" spans="8:8">
      <c r="H8330" s="39" t="e">
        <f>VLOOKUP(E8330,基础信息!C:E,3,FALSE)</f>
        <v>#N/A</v>
      </c>
    </row>
    <row r="8331" customHeight="1" spans="8:8">
      <c r="H8331" s="39" t="e">
        <f>VLOOKUP(E8331,基础信息!C:E,3,FALSE)</f>
        <v>#N/A</v>
      </c>
    </row>
    <row r="8332" customHeight="1" spans="8:8">
      <c r="H8332" s="39" t="e">
        <f>VLOOKUP(E8332,基础信息!C:E,3,FALSE)</f>
        <v>#N/A</v>
      </c>
    </row>
    <row r="8333" customHeight="1" spans="8:8">
      <c r="H8333" s="39" t="e">
        <f>VLOOKUP(E8333,基础信息!C:E,3,FALSE)</f>
        <v>#N/A</v>
      </c>
    </row>
    <row r="8334" customHeight="1" spans="8:8">
      <c r="H8334" s="39" t="e">
        <f>VLOOKUP(E8334,基础信息!C:E,3,FALSE)</f>
        <v>#N/A</v>
      </c>
    </row>
    <row r="8335" customHeight="1" spans="8:8">
      <c r="H8335" s="39" t="e">
        <f>VLOOKUP(E8335,基础信息!C:E,3,FALSE)</f>
        <v>#N/A</v>
      </c>
    </row>
    <row r="8336" customHeight="1" spans="8:8">
      <c r="H8336" s="39" t="e">
        <f>VLOOKUP(E8336,基础信息!C:E,3,FALSE)</f>
        <v>#N/A</v>
      </c>
    </row>
    <row r="8337" customHeight="1" spans="8:8">
      <c r="H8337" s="39" t="e">
        <f>VLOOKUP(E8337,基础信息!C:E,3,FALSE)</f>
        <v>#N/A</v>
      </c>
    </row>
    <row r="8338" customHeight="1" spans="8:8">
      <c r="H8338" s="39" t="e">
        <f>VLOOKUP(E8338,基础信息!C:E,3,FALSE)</f>
        <v>#N/A</v>
      </c>
    </row>
    <row r="8339" customHeight="1" spans="8:8">
      <c r="H8339" s="39" t="e">
        <f>VLOOKUP(E8339,基础信息!C:E,3,FALSE)</f>
        <v>#N/A</v>
      </c>
    </row>
    <row r="8340" customHeight="1" spans="8:8">
      <c r="H8340" s="39" t="e">
        <f>VLOOKUP(E8340,基础信息!C:E,3,FALSE)</f>
        <v>#N/A</v>
      </c>
    </row>
    <row r="8341" customHeight="1" spans="8:8">
      <c r="H8341" s="39" t="e">
        <f>VLOOKUP(E8341,基础信息!C:E,3,FALSE)</f>
        <v>#N/A</v>
      </c>
    </row>
    <row r="8342" customHeight="1" spans="8:8">
      <c r="H8342" s="39" t="e">
        <f>VLOOKUP(E8342,基础信息!C:E,3,FALSE)</f>
        <v>#N/A</v>
      </c>
    </row>
    <row r="8343" customHeight="1" spans="8:8">
      <c r="H8343" s="39" t="e">
        <f>VLOOKUP(E8343,基础信息!C:E,3,FALSE)</f>
        <v>#N/A</v>
      </c>
    </row>
    <row r="8344" customHeight="1" spans="8:8">
      <c r="H8344" s="39" t="e">
        <f>VLOOKUP(E8344,基础信息!C:E,3,FALSE)</f>
        <v>#N/A</v>
      </c>
    </row>
    <row r="8345" customHeight="1" spans="8:8">
      <c r="H8345" s="39" t="e">
        <f>VLOOKUP(E8345,基础信息!C:E,3,FALSE)</f>
        <v>#N/A</v>
      </c>
    </row>
    <row r="8346" customHeight="1" spans="8:8">
      <c r="H8346" s="39" t="e">
        <f>VLOOKUP(E8346,基础信息!C:E,3,FALSE)</f>
        <v>#N/A</v>
      </c>
    </row>
    <row r="8347" customHeight="1" spans="8:8">
      <c r="H8347" s="39" t="e">
        <f>VLOOKUP(E8347,基础信息!C:E,3,FALSE)</f>
        <v>#N/A</v>
      </c>
    </row>
    <row r="8348" customHeight="1" spans="8:8">
      <c r="H8348" s="39" t="e">
        <f>VLOOKUP(E8348,基础信息!C:E,3,FALSE)</f>
        <v>#N/A</v>
      </c>
    </row>
    <row r="8349" customHeight="1" spans="8:8">
      <c r="H8349" s="39" t="e">
        <f>VLOOKUP(E8349,基础信息!C:E,3,FALSE)</f>
        <v>#N/A</v>
      </c>
    </row>
    <row r="8350" customHeight="1" spans="8:8">
      <c r="H8350" s="39" t="e">
        <f>VLOOKUP(E8350,基础信息!C:E,3,FALSE)</f>
        <v>#N/A</v>
      </c>
    </row>
    <row r="8351" customHeight="1" spans="8:8">
      <c r="H8351" s="39" t="e">
        <f>VLOOKUP(E8351,基础信息!C:E,3,FALSE)</f>
        <v>#N/A</v>
      </c>
    </row>
    <row r="8352" customHeight="1" spans="8:8">
      <c r="H8352" s="39" t="e">
        <f>VLOOKUP(E8352,基础信息!C:E,3,FALSE)</f>
        <v>#N/A</v>
      </c>
    </row>
    <row r="8353" customHeight="1" spans="8:8">
      <c r="H8353" s="39" t="e">
        <f>VLOOKUP(E8353,基础信息!C:E,3,FALSE)</f>
        <v>#N/A</v>
      </c>
    </row>
    <row r="8354" customHeight="1" spans="8:8">
      <c r="H8354" s="39" t="e">
        <f>VLOOKUP(E8354,基础信息!C:E,3,FALSE)</f>
        <v>#N/A</v>
      </c>
    </row>
    <row r="8355" customHeight="1" spans="8:8">
      <c r="H8355" s="39" t="e">
        <f>VLOOKUP(E8355,基础信息!C:E,3,FALSE)</f>
        <v>#N/A</v>
      </c>
    </row>
    <row r="8356" customHeight="1" spans="8:8">
      <c r="H8356" s="39" t="e">
        <f>VLOOKUP(E8356,基础信息!C:E,3,FALSE)</f>
        <v>#N/A</v>
      </c>
    </row>
    <row r="8357" customHeight="1" spans="8:8">
      <c r="H8357" s="39" t="e">
        <f>VLOOKUP(E8357,基础信息!C:E,3,FALSE)</f>
        <v>#N/A</v>
      </c>
    </row>
    <row r="8358" customHeight="1" spans="8:8">
      <c r="H8358" s="39" t="e">
        <f>VLOOKUP(E8358,基础信息!C:E,3,FALSE)</f>
        <v>#N/A</v>
      </c>
    </row>
    <row r="8359" customHeight="1" spans="8:8">
      <c r="H8359" s="39" t="e">
        <f>VLOOKUP(E8359,基础信息!C:E,3,FALSE)</f>
        <v>#N/A</v>
      </c>
    </row>
    <row r="8360" customHeight="1" spans="8:8">
      <c r="H8360" s="39" t="e">
        <f>VLOOKUP(E8360,基础信息!C:E,3,FALSE)</f>
        <v>#N/A</v>
      </c>
    </row>
    <row r="8361" customHeight="1" spans="8:8">
      <c r="H8361" s="39" t="e">
        <f>VLOOKUP(E8361,基础信息!C:E,3,FALSE)</f>
        <v>#N/A</v>
      </c>
    </row>
    <row r="8362" customHeight="1" spans="8:8">
      <c r="H8362" s="39" t="e">
        <f>VLOOKUP(E8362,基础信息!C:E,3,FALSE)</f>
        <v>#N/A</v>
      </c>
    </row>
    <row r="8363" customHeight="1" spans="8:8">
      <c r="H8363" s="39" t="e">
        <f>VLOOKUP(E8363,基础信息!C:E,3,FALSE)</f>
        <v>#N/A</v>
      </c>
    </row>
    <row r="8364" customHeight="1" spans="8:8">
      <c r="H8364" s="39" t="e">
        <f>VLOOKUP(E8364,基础信息!C:E,3,FALSE)</f>
        <v>#N/A</v>
      </c>
    </row>
    <row r="8365" customHeight="1" spans="8:8">
      <c r="H8365" s="39" t="e">
        <f>VLOOKUP(E8365,基础信息!C:E,3,FALSE)</f>
        <v>#N/A</v>
      </c>
    </row>
    <row r="8366" customHeight="1" spans="8:8">
      <c r="H8366" s="39" t="e">
        <f>VLOOKUP(E8366,基础信息!C:E,3,FALSE)</f>
        <v>#N/A</v>
      </c>
    </row>
    <row r="8367" customHeight="1" spans="8:8">
      <c r="H8367" s="39" t="e">
        <f>VLOOKUP(E8367,基础信息!C:E,3,FALSE)</f>
        <v>#N/A</v>
      </c>
    </row>
    <row r="8368" customHeight="1" spans="8:8">
      <c r="H8368" s="39" t="e">
        <f>VLOOKUP(E8368,基础信息!C:E,3,FALSE)</f>
        <v>#N/A</v>
      </c>
    </row>
    <row r="8369" customHeight="1" spans="8:8">
      <c r="H8369" s="39" t="e">
        <f>VLOOKUP(E8369,基础信息!C:E,3,FALSE)</f>
        <v>#N/A</v>
      </c>
    </row>
    <row r="8370" customHeight="1" spans="8:8">
      <c r="H8370" s="39" t="e">
        <f>VLOOKUP(E8370,基础信息!C:E,3,FALSE)</f>
        <v>#N/A</v>
      </c>
    </row>
    <row r="8371" customHeight="1" spans="8:8">
      <c r="H8371" s="39" t="e">
        <f>VLOOKUP(E8371,基础信息!C:E,3,FALSE)</f>
        <v>#N/A</v>
      </c>
    </row>
    <row r="8372" customHeight="1" spans="8:8">
      <c r="H8372" s="39" t="e">
        <f>VLOOKUP(E8372,基础信息!C:E,3,FALSE)</f>
        <v>#N/A</v>
      </c>
    </row>
    <row r="8373" customHeight="1" spans="8:8">
      <c r="H8373" s="39" t="e">
        <f>VLOOKUP(E8373,基础信息!C:E,3,FALSE)</f>
        <v>#N/A</v>
      </c>
    </row>
    <row r="8374" customHeight="1" spans="8:8">
      <c r="H8374" s="39" t="e">
        <f>VLOOKUP(E8374,基础信息!C:E,3,FALSE)</f>
        <v>#N/A</v>
      </c>
    </row>
    <row r="8375" customHeight="1" spans="8:8">
      <c r="H8375" s="39" t="e">
        <f>VLOOKUP(E8375,基础信息!C:E,3,FALSE)</f>
        <v>#N/A</v>
      </c>
    </row>
    <row r="8376" customHeight="1" spans="8:8">
      <c r="H8376" s="39" t="e">
        <f>VLOOKUP(E8376,基础信息!C:E,3,FALSE)</f>
        <v>#N/A</v>
      </c>
    </row>
    <row r="8377" customHeight="1" spans="8:8">
      <c r="H8377" s="39" t="e">
        <f>VLOOKUP(E8377,基础信息!C:E,3,FALSE)</f>
        <v>#N/A</v>
      </c>
    </row>
    <row r="8378" customHeight="1" spans="8:8">
      <c r="H8378" s="39" t="e">
        <f>VLOOKUP(E8378,基础信息!C:E,3,FALSE)</f>
        <v>#N/A</v>
      </c>
    </row>
    <row r="8379" customHeight="1" spans="8:8">
      <c r="H8379" s="39" t="e">
        <f>VLOOKUP(E8379,基础信息!C:E,3,FALSE)</f>
        <v>#N/A</v>
      </c>
    </row>
    <row r="8380" customHeight="1" spans="8:8">
      <c r="H8380" s="39" t="e">
        <f>VLOOKUP(E8380,基础信息!C:E,3,FALSE)</f>
        <v>#N/A</v>
      </c>
    </row>
    <row r="8381" customHeight="1" spans="8:8">
      <c r="H8381" s="39" t="e">
        <f>VLOOKUP(E8381,基础信息!C:E,3,FALSE)</f>
        <v>#N/A</v>
      </c>
    </row>
    <row r="8382" customHeight="1" spans="8:8">
      <c r="H8382" s="39" t="e">
        <f>VLOOKUP(E8382,基础信息!C:E,3,FALSE)</f>
        <v>#N/A</v>
      </c>
    </row>
    <row r="8383" customHeight="1" spans="8:8">
      <c r="H8383" s="39" t="e">
        <f>VLOOKUP(E8383,基础信息!C:E,3,FALSE)</f>
        <v>#N/A</v>
      </c>
    </row>
    <row r="8384" customHeight="1" spans="8:8">
      <c r="H8384" s="39" t="e">
        <f>VLOOKUP(E8384,基础信息!C:E,3,FALSE)</f>
        <v>#N/A</v>
      </c>
    </row>
    <row r="8385" customHeight="1" spans="8:8">
      <c r="H8385" s="39" t="e">
        <f>VLOOKUP(E8385,基础信息!C:E,3,FALSE)</f>
        <v>#N/A</v>
      </c>
    </row>
    <row r="8386" customHeight="1" spans="8:8">
      <c r="H8386" s="39" t="e">
        <f>VLOOKUP(E8386,基础信息!C:E,3,FALSE)</f>
        <v>#N/A</v>
      </c>
    </row>
    <row r="8387" customHeight="1" spans="8:8">
      <c r="H8387" s="39" t="e">
        <f>VLOOKUP(E8387,基础信息!C:E,3,FALSE)</f>
        <v>#N/A</v>
      </c>
    </row>
    <row r="8388" customHeight="1" spans="8:8">
      <c r="H8388" s="39" t="e">
        <f>VLOOKUP(E8388,基础信息!C:E,3,FALSE)</f>
        <v>#N/A</v>
      </c>
    </row>
    <row r="8389" customHeight="1" spans="8:8">
      <c r="H8389" s="39" t="e">
        <f>VLOOKUP(E8389,基础信息!C:E,3,FALSE)</f>
        <v>#N/A</v>
      </c>
    </row>
    <row r="8390" customHeight="1" spans="8:8">
      <c r="H8390" s="39" t="e">
        <f>VLOOKUP(E8390,基础信息!C:E,3,FALSE)</f>
        <v>#N/A</v>
      </c>
    </row>
    <row r="8391" customHeight="1" spans="8:8">
      <c r="H8391" s="39" t="e">
        <f>VLOOKUP(E8391,基础信息!C:E,3,FALSE)</f>
        <v>#N/A</v>
      </c>
    </row>
    <row r="8392" customHeight="1" spans="8:8">
      <c r="H8392" s="39" t="e">
        <f>VLOOKUP(E8392,基础信息!C:E,3,FALSE)</f>
        <v>#N/A</v>
      </c>
    </row>
    <row r="8393" customHeight="1" spans="8:8">
      <c r="H8393" s="39" t="e">
        <f>VLOOKUP(E8393,基础信息!C:E,3,FALSE)</f>
        <v>#N/A</v>
      </c>
    </row>
    <row r="8394" customHeight="1" spans="8:8">
      <c r="H8394" s="39" t="e">
        <f>VLOOKUP(E8394,基础信息!C:E,3,FALSE)</f>
        <v>#N/A</v>
      </c>
    </row>
    <row r="8395" customHeight="1" spans="8:8">
      <c r="H8395" s="39" t="e">
        <f>VLOOKUP(E8395,基础信息!C:E,3,FALSE)</f>
        <v>#N/A</v>
      </c>
    </row>
    <row r="8396" customHeight="1" spans="8:8">
      <c r="H8396" s="39" t="e">
        <f>VLOOKUP(E8396,基础信息!C:E,3,FALSE)</f>
        <v>#N/A</v>
      </c>
    </row>
    <row r="8397" customHeight="1" spans="8:8">
      <c r="H8397" s="39" t="e">
        <f>VLOOKUP(E8397,基础信息!C:E,3,FALSE)</f>
        <v>#N/A</v>
      </c>
    </row>
    <row r="8398" customHeight="1" spans="8:8">
      <c r="H8398" s="39" t="e">
        <f>VLOOKUP(E8398,基础信息!C:E,3,FALSE)</f>
        <v>#N/A</v>
      </c>
    </row>
    <row r="8399" customHeight="1" spans="8:8">
      <c r="H8399" s="39" t="e">
        <f>VLOOKUP(E8399,基础信息!C:E,3,FALSE)</f>
        <v>#N/A</v>
      </c>
    </row>
    <row r="8400" customHeight="1" spans="8:8">
      <c r="H8400" s="39" t="e">
        <f>VLOOKUP(E8400,基础信息!C:E,3,FALSE)</f>
        <v>#N/A</v>
      </c>
    </row>
    <row r="8401" customHeight="1" spans="8:8">
      <c r="H8401" s="39" t="e">
        <f>VLOOKUP(E8401,基础信息!C:E,3,FALSE)</f>
        <v>#N/A</v>
      </c>
    </row>
    <row r="8402" customHeight="1" spans="8:8">
      <c r="H8402" s="39" t="e">
        <f>VLOOKUP(E8402,基础信息!C:E,3,FALSE)</f>
        <v>#N/A</v>
      </c>
    </row>
    <row r="8403" customHeight="1" spans="8:8">
      <c r="H8403" s="39" t="e">
        <f>VLOOKUP(E8403,基础信息!C:E,3,FALSE)</f>
        <v>#N/A</v>
      </c>
    </row>
    <row r="8404" customHeight="1" spans="8:8">
      <c r="H8404" s="39" t="e">
        <f>VLOOKUP(E8404,基础信息!C:E,3,FALSE)</f>
        <v>#N/A</v>
      </c>
    </row>
    <row r="8405" customHeight="1" spans="8:8">
      <c r="H8405" s="39" t="e">
        <f>VLOOKUP(E8405,基础信息!C:E,3,FALSE)</f>
        <v>#N/A</v>
      </c>
    </row>
    <row r="8406" customHeight="1" spans="8:8">
      <c r="H8406" s="39" t="e">
        <f>VLOOKUP(E8406,基础信息!C:E,3,FALSE)</f>
        <v>#N/A</v>
      </c>
    </row>
    <row r="8407" customHeight="1" spans="8:8">
      <c r="H8407" s="39" t="e">
        <f>VLOOKUP(E8407,基础信息!C:E,3,FALSE)</f>
        <v>#N/A</v>
      </c>
    </row>
    <row r="8408" customHeight="1" spans="8:8">
      <c r="H8408" s="39" t="e">
        <f>VLOOKUP(E8408,基础信息!C:E,3,FALSE)</f>
        <v>#N/A</v>
      </c>
    </row>
    <row r="8409" customHeight="1" spans="8:8">
      <c r="H8409" s="39" t="e">
        <f>VLOOKUP(E8409,基础信息!C:E,3,FALSE)</f>
        <v>#N/A</v>
      </c>
    </row>
    <row r="8410" customHeight="1" spans="8:8">
      <c r="H8410" s="39" t="e">
        <f>VLOOKUP(E8410,基础信息!C:E,3,FALSE)</f>
        <v>#N/A</v>
      </c>
    </row>
    <row r="8411" customHeight="1" spans="8:8">
      <c r="H8411" s="39" t="e">
        <f>VLOOKUP(E8411,基础信息!C:E,3,FALSE)</f>
        <v>#N/A</v>
      </c>
    </row>
    <row r="8412" customHeight="1" spans="8:8">
      <c r="H8412" s="39" t="e">
        <f>VLOOKUP(E8412,基础信息!C:E,3,FALSE)</f>
        <v>#N/A</v>
      </c>
    </row>
    <row r="8413" customHeight="1" spans="8:8">
      <c r="H8413" s="39" t="e">
        <f>VLOOKUP(E8413,基础信息!C:E,3,FALSE)</f>
        <v>#N/A</v>
      </c>
    </row>
    <row r="8414" customHeight="1" spans="8:8">
      <c r="H8414" s="39" t="e">
        <f>VLOOKUP(E8414,基础信息!C:E,3,FALSE)</f>
        <v>#N/A</v>
      </c>
    </row>
    <row r="8415" customHeight="1" spans="8:8">
      <c r="H8415" s="39" t="e">
        <f>VLOOKUP(E8415,基础信息!C:E,3,FALSE)</f>
        <v>#N/A</v>
      </c>
    </row>
    <row r="8416" customHeight="1" spans="8:8">
      <c r="H8416" s="39" t="e">
        <f>VLOOKUP(E8416,基础信息!C:E,3,FALSE)</f>
        <v>#N/A</v>
      </c>
    </row>
    <row r="8417" customHeight="1" spans="8:8">
      <c r="H8417" s="39" t="e">
        <f>VLOOKUP(E8417,基础信息!C:E,3,FALSE)</f>
        <v>#N/A</v>
      </c>
    </row>
    <row r="8418" customHeight="1" spans="8:8">
      <c r="H8418" s="39" t="e">
        <f>VLOOKUP(E8418,基础信息!C:E,3,FALSE)</f>
        <v>#N/A</v>
      </c>
    </row>
    <row r="8419" customHeight="1" spans="8:8">
      <c r="H8419" s="39" t="e">
        <f>VLOOKUP(E8419,基础信息!C:E,3,FALSE)</f>
        <v>#N/A</v>
      </c>
    </row>
    <row r="8420" customHeight="1" spans="8:8">
      <c r="H8420" s="39" t="e">
        <f>VLOOKUP(E8420,基础信息!C:E,3,FALSE)</f>
        <v>#N/A</v>
      </c>
    </row>
    <row r="8421" customHeight="1" spans="8:8">
      <c r="H8421" s="39" t="e">
        <f>VLOOKUP(E8421,基础信息!C:E,3,FALSE)</f>
        <v>#N/A</v>
      </c>
    </row>
    <row r="8422" customHeight="1" spans="8:8">
      <c r="H8422" s="39" t="e">
        <f>VLOOKUP(E8422,基础信息!C:E,3,FALSE)</f>
        <v>#N/A</v>
      </c>
    </row>
    <row r="8423" customHeight="1" spans="8:8">
      <c r="H8423" s="39" t="e">
        <f>VLOOKUP(E8423,基础信息!C:E,3,FALSE)</f>
        <v>#N/A</v>
      </c>
    </row>
    <row r="8424" customHeight="1" spans="8:8">
      <c r="H8424" s="39" t="e">
        <f>VLOOKUP(E8424,基础信息!C:E,3,FALSE)</f>
        <v>#N/A</v>
      </c>
    </row>
    <row r="8425" customHeight="1" spans="8:8">
      <c r="H8425" s="39" t="e">
        <f>VLOOKUP(E8425,基础信息!C:E,3,FALSE)</f>
        <v>#N/A</v>
      </c>
    </row>
    <row r="8426" customHeight="1" spans="8:8">
      <c r="H8426" s="39" t="e">
        <f>VLOOKUP(E8426,基础信息!C:E,3,FALSE)</f>
        <v>#N/A</v>
      </c>
    </row>
    <row r="8427" customHeight="1" spans="8:8">
      <c r="H8427" s="39" t="e">
        <f>VLOOKUP(E8427,基础信息!C:E,3,FALSE)</f>
        <v>#N/A</v>
      </c>
    </row>
    <row r="8428" customHeight="1" spans="8:8">
      <c r="H8428" s="39" t="e">
        <f>VLOOKUP(E8428,基础信息!C:E,3,FALSE)</f>
        <v>#N/A</v>
      </c>
    </row>
    <row r="8429" customHeight="1" spans="8:8">
      <c r="H8429" s="39" t="e">
        <f>VLOOKUP(E8429,基础信息!C:E,3,FALSE)</f>
        <v>#N/A</v>
      </c>
    </row>
    <row r="8430" customHeight="1" spans="8:8">
      <c r="H8430" s="39" t="e">
        <f>VLOOKUP(E8430,基础信息!C:E,3,FALSE)</f>
        <v>#N/A</v>
      </c>
    </row>
    <row r="8431" customHeight="1" spans="8:8">
      <c r="H8431" s="39" t="e">
        <f>VLOOKUP(E8431,基础信息!C:E,3,FALSE)</f>
        <v>#N/A</v>
      </c>
    </row>
    <row r="8432" customHeight="1" spans="8:8">
      <c r="H8432" s="39" t="e">
        <f>VLOOKUP(E8432,基础信息!C:E,3,FALSE)</f>
        <v>#N/A</v>
      </c>
    </row>
    <row r="8433" customHeight="1" spans="8:8">
      <c r="H8433" s="39" t="e">
        <f>VLOOKUP(E8433,基础信息!C:E,3,FALSE)</f>
        <v>#N/A</v>
      </c>
    </row>
    <row r="8434" customHeight="1" spans="8:8">
      <c r="H8434" s="39" t="e">
        <f>VLOOKUP(E8434,基础信息!C:E,3,FALSE)</f>
        <v>#N/A</v>
      </c>
    </row>
    <row r="8435" customHeight="1" spans="8:8">
      <c r="H8435" s="39" t="e">
        <f>VLOOKUP(E8435,基础信息!C:E,3,FALSE)</f>
        <v>#N/A</v>
      </c>
    </row>
    <row r="8436" customHeight="1" spans="8:8">
      <c r="H8436" s="39" t="e">
        <f>VLOOKUP(E8436,基础信息!C:E,3,FALSE)</f>
        <v>#N/A</v>
      </c>
    </row>
    <row r="8437" customHeight="1" spans="8:8">
      <c r="H8437" s="39" t="e">
        <f>VLOOKUP(E8437,基础信息!C:E,3,FALSE)</f>
        <v>#N/A</v>
      </c>
    </row>
    <row r="8438" customHeight="1" spans="8:8">
      <c r="H8438" s="39" t="e">
        <f>VLOOKUP(E8438,基础信息!C:E,3,FALSE)</f>
        <v>#N/A</v>
      </c>
    </row>
    <row r="8439" customHeight="1" spans="8:8">
      <c r="H8439" s="39" t="e">
        <f>VLOOKUP(E8439,基础信息!C:E,3,FALSE)</f>
        <v>#N/A</v>
      </c>
    </row>
    <row r="8440" customHeight="1" spans="8:8">
      <c r="H8440" s="39" t="e">
        <f>VLOOKUP(E8440,基础信息!C:E,3,FALSE)</f>
        <v>#N/A</v>
      </c>
    </row>
    <row r="8441" customHeight="1" spans="8:8">
      <c r="H8441" s="39" t="e">
        <f>VLOOKUP(E8441,基础信息!C:E,3,FALSE)</f>
        <v>#N/A</v>
      </c>
    </row>
    <row r="8442" customHeight="1" spans="8:8">
      <c r="H8442" s="39" t="e">
        <f>VLOOKUP(E8442,基础信息!C:E,3,FALSE)</f>
        <v>#N/A</v>
      </c>
    </row>
    <row r="8443" customHeight="1" spans="8:8">
      <c r="H8443" s="39" t="e">
        <f>VLOOKUP(E8443,基础信息!C:E,3,FALSE)</f>
        <v>#N/A</v>
      </c>
    </row>
    <row r="8444" customHeight="1" spans="8:8">
      <c r="H8444" s="39" t="e">
        <f>VLOOKUP(E8444,基础信息!C:E,3,FALSE)</f>
        <v>#N/A</v>
      </c>
    </row>
    <row r="8445" customHeight="1" spans="8:8">
      <c r="H8445" s="39" t="e">
        <f>VLOOKUP(E8445,基础信息!C:E,3,FALSE)</f>
        <v>#N/A</v>
      </c>
    </row>
    <row r="8446" customHeight="1" spans="8:8">
      <c r="H8446" s="39" t="e">
        <f>VLOOKUP(E8446,基础信息!C:E,3,FALSE)</f>
        <v>#N/A</v>
      </c>
    </row>
    <row r="8447" customHeight="1" spans="8:8">
      <c r="H8447" s="39" t="e">
        <f>VLOOKUP(E8447,基础信息!C:E,3,FALSE)</f>
        <v>#N/A</v>
      </c>
    </row>
    <row r="8448" customHeight="1" spans="8:8">
      <c r="H8448" s="39" t="e">
        <f>VLOOKUP(E8448,基础信息!C:E,3,FALSE)</f>
        <v>#N/A</v>
      </c>
    </row>
    <row r="8449" customHeight="1" spans="8:8">
      <c r="H8449" s="39" t="e">
        <f>VLOOKUP(E8449,基础信息!C:E,3,FALSE)</f>
        <v>#N/A</v>
      </c>
    </row>
    <row r="8450" customHeight="1" spans="8:8">
      <c r="H8450" s="39" t="e">
        <f>VLOOKUP(E8450,基础信息!C:E,3,FALSE)</f>
        <v>#N/A</v>
      </c>
    </row>
    <row r="8451" customHeight="1" spans="8:8">
      <c r="H8451" s="39" t="e">
        <f>VLOOKUP(E8451,基础信息!C:E,3,FALSE)</f>
        <v>#N/A</v>
      </c>
    </row>
    <row r="8452" customHeight="1" spans="8:8">
      <c r="H8452" s="39" t="e">
        <f>VLOOKUP(E8452,基础信息!C:E,3,FALSE)</f>
        <v>#N/A</v>
      </c>
    </row>
    <row r="8453" customHeight="1" spans="8:8">
      <c r="H8453" s="39" t="e">
        <f>VLOOKUP(E8453,基础信息!C:E,3,FALSE)</f>
        <v>#N/A</v>
      </c>
    </row>
    <row r="8454" customHeight="1" spans="8:8">
      <c r="H8454" s="39" t="e">
        <f>VLOOKUP(E8454,基础信息!C:E,3,FALSE)</f>
        <v>#N/A</v>
      </c>
    </row>
    <row r="8455" customHeight="1" spans="8:8">
      <c r="H8455" s="39" t="e">
        <f>VLOOKUP(E8455,基础信息!C:E,3,FALSE)</f>
        <v>#N/A</v>
      </c>
    </row>
    <row r="8456" customHeight="1" spans="8:8">
      <c r="H8456" s="39" t="e">
        <f>VLOOKUP(E8456,基础信息!C:E,3,FALSE)</f>
        <v>#N/A</v>
      </c>
    </row>
    <row r="8457" customHeight="1" spans="8:8">
      <c r="H8457" s="39" t="e">
        <f>VLOOKUP(E8457,基础信息!C:E,3,FALSE)</f>
        <v>#N/A</v>
      </c>
    </row>
    <row r="8458" customHeight="1" spans="8:8">
      <c r="H8458" s="39" t="e">
        <f>VLOOKUP(E8458,基础信息!C:E,3,FALSE)</f>
        <v>#N/A</v>
      </c>
    </row>
    <row r="8459" customHeight="1" spans="8:8">
      <c r="H8459" s="39" t="e">
        <f>VLOOKUP(E8459,基础信息!C:E,3,FALSE)</f>
        <v>#N/A</v>
      </c>
    </row>
    <row r="8460" customHeight="1" spans="8:8">
      <c r="H8460" s="39" t="e">
        <f>VLOOKUP(E8460,基础信息!C:E,3,FALSE)</f>
        <v>#N/A</v>
      </c>
    </row>
    <row r="8461" customHeight="1" spans="8:8">
      <c r="H8461" s="39" t="e">
        <f>VLOOKUP(E8461,基础信息!C:E,3,FALSE)</f>
        <v>#N/A</v>
      </c>
    </row>
    <row r="8462" customHeight="1" spans="8:8">
      <c r="H8462" s="39" t="e">
        <f>VLOOKUP(E8462,基础信息!C:E,3,FALSE)</f>
        <v>#N/A</v>
      </c>
    </row>
    <row r="8463" customHeight="1" spans="8:8">
      <c r="H8463" s="39" t="e">
        <f>VLOOKUP(E8463,基础信息!C:E,3,FALSE)</f>
        <v>#N/A</v>
      </c>
    </row>
    <row r="8464" customHeight="1" spans="8:8">
      <c r="H8464" s="39" t="e">
        <f>VLOOKUP(E8464,基础信息!C:E,3,FALSE)</f>
        <v>#N/A</v>
      </c>
    </row>
    <row r="8465" customHeight="1" spans="8:8">
      <c r="H8465" s="39" t="e">
        <f>VLOOKUP(E8465,基础信息!C:E,3,FALSE)</f>
        <v>#N/A</v>
      </c>
    </row>
    <row r="8466" customHeight="1" spans="8:8">
      <c r="H8466" s="39" t="e">
        <f>VLOOKUP(E8466,基础信息!C:E,3,FALSE)</f>
        <v>#N/A</v>
      </c>
    </row>
    <row r="8467" customHeight="1" spans="8:8">
      <c r="H8467" s="39" t="e">
        <f>VLOOKUP(E8467,基础信息!C:E,3,FALSE)</f>
        <v>#N/A</v>
      </c>
    </row>
    <row r="8468" customHeight="1" spans="8:8">
      <c r="H8468" s="39" t="e">
        <f>VLOOKUP(E8468,基础信息!C:E,3,FALSE)</f>
        <v>#N/A</v>
      </c>
    </row>
    <row r="8469" customHeight="1" spans="8:8">
      <c r="H8469" s="39" t="e">
        <f>VLOOKUP(E8469,基础信息!C:E,3,FALSE)</f>
        <v>#N/A</v>
      </c>
    </row>
    <row r="8470" customHeight="1" spans="8:8">
      <c r="H8470" s="39" t="e">
        <f>VLOOKUP(E8470,基础信息!C:E,3,FALSE)</f>
        <v>#N/A</v>
      </c>
    </row>
    <row r="8471" customHeight="1" spans="8:8">
      <c r="H8471" s="39" t="e">
        <f>VLOOKUP(E8471,基础信息!C:E,3,FALSE)</f>
        <v>#N/A</v>
      </c>
    </row>
    <row r="8472" customHeight="1" spans="8:8">
      <c r="H8472" s="39" t="e">
        <f>VLOOKUP(E8472,基础信息!C:E,3,FALSE)</f>
        <v>#N/A</v>
      </c>
    </row>
    <row r="8473" customHeight="1" spans="8:8">
      <c r="H8473" s="39" t="e">
        <f>VLOOKUP(E8473,基础信息!C:E,3,FALSE)</f>
        <v>#N/A</v>
      </c>
    </row>
    <row r="8474" customHeight="1" spans="8:8">
      <c r="H8474" s="39" t="e">
        <f>VLOOKUP(E8474,基础信息!C:E,3,FALSE)</f>
        <v>#N/A</v>
      </c>
    </row>
    <row r="8475" customHeight="1" spans="8:8">
      <c r="H8475" s="39" t="e">
        <f>VLOOKUP(E8475,基础信息!C:E,3,FALSE)</f>
        <v>#N/A</v>
      </c>
    </row>
    <row r="8476" customHeight="1" spans="8:8">
      <c r="H8476" s="39" t="e">
        <f>VLOOKUP(E8476,基础信息!C:E,3,FALSE)</f>
        <v>#N/A</v>
      </c>
    </row>
    <row r="8477" customHeight="1" spans="8:8">
      <c r="H8477" s="39" t="e">
        <f>VLOOKUP(E8477,基础信息!C:E,3,FALSE)</f>
        <v>#N/A</v>
      </c>
    </row>
    <row r="8478" customHeight="1" spans="8:8">
      <c r="H8478" s="39" t="e">
        <f>VLOOKUP(E8478,基础信息!C:E,3,FALSE)</f>
        <v>#N/A</v>
      </c>
    </row>
    <row r="8479" customHeight="1" spans="8:8">
      <c r="H8479" s="39" t="e">
        <f>VLOOKUP(E8479,基础信息!C:E,3,FALSE)</f>
        <v>#N/A</v>
      </c>
    </row>
    <row r="8480" customHeight="1" spans="8:8">
      <c r="H8480" s="39" t="e">
        <f>VLOOKUP(E8480,基础信息!C:E,3,FALSE)</f>
        <v>#N/A</v>
      </c>
    </row>
    <row r="8481" customHeight="1" spans="8:8">
      <c r="H8481" s="39" t="e">
        <f>VLOOKUP(E8481,基础信息!C:E,3,FALSE)</f>
        <v>#N/A</v>
      </c>
    </row>
    <row r="8482" customHeight="1" spans="8:8">
      <c r="H8482" s="39" t="e">
        <f>VLOOKUP(E8482,基础信息!C:E,3,FALSE)</f>
        <v>#N/A</v>
      </c>
    </row>
    <row r="8483" customHeight="1" spans="8:8">
      <c r="H8483" s="39" t="e">
        <f>VLOOKUP(E8483,基础信息!C:E,3,FALSE)</f>
        <v>#N/A</v>
      </c>
    </row>
    <row r="8484" customHeight="1" spans="8:8">
      <c r="H8484" s="39" t="e">
        <f>VLOOKUP(E8484,基础信息!C:E,3,FALSE)</f>
        <v>#N/A</v>
      </c>
    </row>
    <row r="8485" customHeight="1" spans="8:8">
      <c r="H8485" s="39" t="e">
        <f>VLOOKUP(E8485,基础信息!C:E,3,FALSE)</f>
        <v>#N/A</v>
      </c>
    </row>
    <row r="8486" customHeight="1" spans="8:8">
      <c r="H8486" s="39" t="e">
        <f>VLOOKUP(E8486,基础信息!C:E,3,FALSE)</f>
        <v>#N/A</v>
      </c>
    </row>
    <row r="8487" customHeight="1" spans="8:8">
      <c r="H8487" s="39" t="e">
        <f>VLOOKUP(E8487,基础信息!C:E,3,FALSE)</f>
        <v>#N/A</v>
      </c>
    </row>
    <row r="8488" customHeight="1" spans="8:8">
      <c r="H8488" s="39" t="e">
        <f>VLOOKUP(E8488,基础信息!C:E,3,FALSE)</f>
        <v>#N/A</v>
      </c>
    </row>
    <row r="8489" customHeight="1" spans="8:8">
      <c r="H8489" s="39" t="e">
        <f>VLOOKUP(E8489,基础信息!C:E,3,FALSE)</f>
        <v>#N/A</v>
      </c>
    </row>
    <row r="8490" customHeight="1" spans="8:8">
      <c r="H8490" s="39" t="e">
        <f>VLOOKUP(E8490,基础信息!C:E,3,FALSE)</f>
        <v>#N/A</v>
      </c>
    </row>
    <row r="8491" customHeight="1" spans="8:8">
      <c r="H8491" s="39" t="e">
        <f>VLOOKUP(E8491,基础信息!C:E,3,FALSE)</f>
        <v>#N/A</v>
      </c>
    </row>
    <row r="8492" customHeight="1" spans="8:8">
      <c r="H8492" s="39" t="e">
        <f>VLOOKUP(E8492,基础信息!C:E,3,FALSE)</f>
        <v>#N/A</v>
      </c>
    </row>
    <row r="8493" customHeight="1" spans="8:8">
      <c r="H8493" s="39" t="e">
        <f>VLOOKUP(E8493,基础信息!C:E,3,FALSE)</f>
        <v>#N/A</v>
      </c>
    </row>
    <row r="8494" customHeight="1" spans="8:8">
      <c r="H8494" s="39" t="e">
        <f>VLOOKUP(E8494,基础信息!C:E,3,FALSE)</f>
        <v>#N/A</v>
      </c>
    </row>
    <row r="8495" customHeight="1" spans="8:8">
      <c r="H8495" s="39" t="e">
        <f>VLOOKUP(E8495,基础信息!C:E,3,FALSE)</f>
        <v>#N/A</v>
      </c>
    </row>
    <row r="8496" customHeight="1" spans="8:8">
      <c r="H8496" s="39" t="e">
        <f>VLOOKUP(E8496,基础信息!C:E,3,FALSE)</f>
        <v>#N/A</v>
      </c>
    </row>
    <row r="8497" customHeight="1" spans="8:8">
      <c r="H8497" s="39" t="e">
        <f>VLOOKUP(E8497,基础信息!C:E,3,FALSE)</f>
        <v>#N/A</v>
      </c>
    </row>
    <row r="8498" customHeight="1" spans="8:8">
      <c r="H8498" s="39" t="e">
        <f>VLOOKUP(E8498,基础信息!C:E,3,FALSE)</f>
        <v>#N/A</v>
      </c>
    </row>
    <row r="8499" customHeight="1" spans="8:8">
      <c r="H8499" s="39" t="e">
        <f>VLOOKUP(E8499,基础信息!C:E,3,FALSE)</f>
        <v>#N/A</v>
      </c>
    </row>
    <row r="8500" customHeight="1" spans="8:8">
      <c r="H8500" s="39" t="e">
        <f>VLOOKUP(E8500,基础信息!C:E,3,FALSE)</f>
        <v>#N/A</v>
      </c>
    </row>
    <row r="8501" customHeight="1" spans="8:8">
      <c r="H8501" s="39" t="e">
        <f>VLOOKUP(E8501,基础信息!C:E,3,FALSE)</f>
        <v>#N/A</v>
      </c>
    </row>
    <row r="8502" customHeight="1" spans="8:8">
      <c r="H8502" s="39" t="e">
        <f>VLOOKUP(E8502,基础信息!C:E,3,FALSE)</f>
        <v>#N/A</v>
      </c>
    </row>
    <row r="8503" customHeight="1" spans="8:8">
      <c r="H8503" s="39" t="e">
        <f>VLOOKUP(E8503,基础信息!C:E,3,FALSE)</f>
        <v>#N/A</v>
      </c>
    </row>
    <row r="8504" customHeight="1" spans="8:8">
      <c r="H8504" s="39" t="e">
        <f>VLOOKUP(E8504,基础信息!C:E,3,FALSE)</f>
        <v>#N/A</v>
      </c>
    </row>
    <row r="8505" customHeight="1" spans="8:8">
      <c r="H8505" s="39" t="e">
        <f>VLOOKUP(E8505,基础信息!C:E,3,FALSE)</f>
        <v>#N/A</v>
      </c>
    </row>
    <row r="8506" customHeight="1" spans="8:8">
      <c r="H8506" s="39" t="e">
        <f>VLOOKUP(E8506,基础信息!C:E,3,FALSE)</f>
        <v>#N/A</v>
      </c>
    </row>
    <row r="8507" customHeight="1" spans="8:8">
      <c r="H8507" s="39" t="e">
        <f>VLOOKUP(E8507,基础信息!C:E,3,FALSE)</f>
        <v>#N/A</v>
      </c>
    </row>
    <row r="8508" customHeight="1" spans="8:8">
      <c r="H8508" s="39" t="e">
        <f>VLOOKUP(E8508,基础信息!C:E,3,FALSE)</f>
        <v>#N/A</v>
      </c>
    </row>
    <row r="8509" customHeight="1" spans="8:8">
      <c r="H8509" s="39" t="e">
        <f>VLOOKUP(E8509,基础信息!C:E,3,FALSE)</f>
        <v>#N/A</v>
      </c>
    </row>
    <row r="8510" customHeight="1" spans="8:8">
      <c r="H8510" s="39" t="e">
        <f>VLOOKUP(E8510,基础信息!C:E,3,FALSE)</f>
        <v>#N/A</v>
      </c>
    </row>
    <row r="8511" customHeight="1" spans="8:8">
      <c r="H8511" s="39" t="e">
        <f>VLOOKUP(E8511,基础信息!C:E,3,FALSE)</f>
        <v>#N/A</v>
      </c>
    </row>
    <row r="8512" customHeight="1" spans="8:8">
      <c r="H8512" s="39" t="e">
        <f>VLOOKUP(E8512,基础信息!C:E,3,FALSE)</f>
        <v>#N/A</v>
      </c>
    </row>
    <row r="8513" customHeight="1" spans="8:8">
      <c r="H8513" s="39" t="e">
        <f>VLOOKUP(E8513,基础信息!C:E,3,FALSE)</f>
        <v>#N/A</v>
      </c>
    </row>
    <row r="8514" customHeight="1" spans="8:8">
      <c r="H8514" s="39" t="e">
        <f>VLOOKUP(E8514,基础信息!C:E,3,FALSE)</f>
        <v>#N/A</v>
      </c>
    </row>
    <row r="8515" customHeight="1" spans="8:8">
      <c r="H8515" s="39" t="e">
        <f>VLOOKUP(E8515,基础信息!C:E,3,FALSE)</f>
        <v>#N/A</v>
      </c>
    </row>
    <row r="8516" customHeight="1" spans="8:8">
      <c r="H8516" s="39" t="e">
        <f>VLOOKUP(E8516,基础信息!C:E,3,FALSE)</f>
        <v>#N/A</v>
      </c>
    </row>
    <row r="8517" customHeight="1" spans="8:8">
      <c r="H8517" s="39" t="e">
        <f>VLOOKUP(E8517,基础信息!C:E,3,FALSE)</f>
        <v>#N/A</v>
      </c>
    </row>
    <row r="8518" customHeight="1" spans="8:8">
      <c r="H8518" s="39" t="e">
        <f>VLOOKUP(E8518,基础信息!C:E,3,FALSE)</f>
        <v>#N/A</v>
      </c>
    </row>
    <row r="8519" customHeight="1" spans="8:8">
      <c r="H8519" s="39" t="e">
        <f>VLOOKUP(E8519,基础信息!C:E,3,FALSE)</f>
        <v>#N/A</v>
      </c>
    </row>
    <row r="8520" customHeight="1" spans="8:8">
      <c r="H8520" s="39" t="e">
        <f>VLOOKUP(E8520,基础信息!C:E,3,FALSE)</f>
        <v>#N/A</v>
      </c>
    </row>
    <row r="8521" customHeight="1" spans="8:8">
      <c r="H8521" s="39" t="e">
        <f>VLOOKUP(E8521,基础信息!C:E,3,FALSE)</f>
        <v>#N/A</v>
      </c>
    </row>
    <row r="8522" customHeight="1" spans="8:8">
      <c r="H8522" s="39" t="e">
        <f>VLOOKUP(E8522,基础信息!C:E,3,FALSE)</f>
        <v>#N/A</v>
      </c>
    </row>
    <row r="8523" customHeight="1" spans="8:8">
      <c r="H8523" s="39" t="e">
        <f>VLOOKUP(E8523,基础信息!C:E,3,FALSE)</f>
        <v>#N/A</v>
      </c>
    </row>
    <row r="8524" customHeight="1" spans="8:8">
      <c r="H8524" s="39" t="e">
        <f>VLOOKUP(E8524,基础信息!C:E,3,FALSE)</f>
        <v>#N/A</v>
      </c>
    </row>
    <row r="8525" customHeight="1" spans="8:8">
      <c r="H8525" s="39" t="e">
        <f>VLOOKUP(E8525,基础信息!C:E,3,FALSE)</f>
        <v>#N/A</v>
      </c>
    </row>
    <row r="8526" customHeight="1" spans="8:8">
      <c r="H8526" s="39" t="e">
        <f>VLOOKUP(E8526,基础信息!C:E,3,FALSE)</f>
        <v>#N/A</v>
      </c>
    </row>
    <row r="8527" customHeight="1" spans="8:8">
      <c r="H8527" s="39" t="e">
        <f>VLOOKUP(E8527,基础信息!C:E,3,FALSE)</f>
        <v>#N/A</v>
      </c>
    </row>
    <row r="8528" customHeight="1" spans="8:8">
      <c r="H8528" s="39" t="e">
        <f>VLOOKUP(E8528,基础信息!C:E,3,FALSE)</f>
        <v>#N/A</v>
      </c>
    </row>
    <row r="8529" customHeight="1" spans="8:8">
      <c r="H8529" s="39" t="e">
        <f>VLOOKUP(E8529,基础信息!C:E,3,FALSE)</f>
        <v>#N/A</v>
      </c>
    </row>
    <row r="8530" customHeight="1" spans="8:8">
      <c r="H8530" s="39" t="e">
        <f>VLOOKUP(E8530,基础信息!C:E,3,FALSE)</f>
        <v>#N/A</v>
      </c>
    </row>
    <row r="8531" customHeight="1" spans="8:8">
      <c r="H8531" s="39" t="e">
        <f>VLOOKUP(E8531,基础信息!C:E,3,FALSE)</f>
        <v>#N/A</v>
      </c>
    </row>
    <row r="8532" customHeight="1" spans="8:8">
      <c r="H8532" s="39" t="e">
        <f>VLOOKUP(E8532,基础信息!C:E,3,FALSE)</f>
        <v>#N/A</v>
      </c>
    </row>
    <row r="8533" customHeight="1" spans="8:8">
      <c r="H8533" s="39" t="e">
        <f>VLOOKUP(E8533,基础信息!C:E,3,FALSE)</f>
        <v>#N/A</v>
      </c>
    </row>
    <row r="8534" customHeight="1" spans="8:8">
      <c r="H8534" s="39" t="e">
        <f>VLOOKUP(E8534,基础信息!C:E,3,FALSE)</f>
        <v>#N/A</v>
      </c>
    </row>
    <row r="8535" customHeight="1" spans="8:8">
      <c r="H8535" s="39" t="e">
        <f>VLOOKUP(E8535,基础信息!C:E,3,FALSE)</f>
        <v>#N/A</v>
      </c>
    </row>
    <row r="8536" customHeight="1" spans="8:8">
      <c r="H8536" s="39" t="e">
        <f>VLOOKUP(E8536,基础信息!C:E,3,FALSE)</f>
        <v>#N/A</v>
      </c>
    </row>
    <row r="8537" customHeight="1" spans="8:8">
      <c r="H8537" s="39" t="e">
        <f>VLOOKUP(E8537,基础信息!C:E,3,FALSE)</f>
        <v>#N/A</v>
      </c>
    </row>
    <row r="8538" customHeight="1" spans="8:8">
      <c r="H8538" s="39" t="e">
        <f>VLOOKUP(E8538,基础信息!C:E,3,FALSE)</f>
        <v>#N/A</v>
      </c>
    </row>
    <row r="8539" customHeight="1" spans="8:8">
      <c r="H8539" s="39" t="e">
        <f>VLOOKUP(E8539,基础信息!C:E,3,FALSE)</f>
        <v>#N/A</v>
      </c>
    </row>
    <row r="8540" customHeight="1" spans="8:8">
      <c r="H8540" s="39" t="e">
        <f>VLOOKUP(E8540,基础信息!C:E,3,FALSE)</f>
        <v>#N/A</v>
      </c>
    </row>
    <row r="8541" customHeight="1" spans="8:8">
      <c r="H8541" s="39" t="e">
        <f>VLOOKUP(E8541,基础信息!C:E,3,FALSE)</f>
        <v>#N/A</v>
      </c>
    </row>
    <row r="8542" customHeight="1" spans="8:8">
      <c r="H8542" s="39" t="e">
        <f>VLOOKUP(E8542,基础信息!C:E,3,FALSE)</f>
        <v>#N/A</v>
      </c>
    </row>
    <row r="8543" customHeight="1" spans="8:8">
      <c r="H8543" s="39" t="e">
        <f>VLOOKUP(E8543,基础信息!C:E,3,FALSE)</f>
        <v>#N/A</v>
      </c>
    </row>
    <row r="8544" customHeight="1" spans="8:8">
      <c r="H8544" s="39" t="e">
        <f>VLOOKUP(E8544,基础信息!C:E,3,FALSE)</f>
        <v>#N/A</v>
      </c>
    </row>
    <row r="8545" customHeight="1" spans="8:8">
      <c r="H8545" s="39" t="e">
        <f>VLOOKUP(E8545,基础信息!C:E,3,FALSE)</f>
        <v>#N/A</v>
      </c>
    </row>
    <row r="8546" customHeight="1" spans="8:8">
      <c r="H8546" s="39" t="e">
        <f>VLOOKUP(E8546,基础信息!C:E,3,FALSE)</f>
        <v>#N/A</v>
      </c>
    </row>
    <row r="8547" customHeight="1" spans="8:8">
      <c r="H8547" s="39" t="e">
        <f>VLOOKUP(E8547,基础信息!C:E,3,FALSE)</f>
        <v>#N/A</v>
      </c>
    </row>
    <row r="8548" customHeight="1" spans="8:8">
      <c r="H8548" s="39" t="e">
        <f>VLOOKUP(E8548,基础信息!C:E,3,FALSE)</f>
        <v>#N/A</v>
      </c>
    </row>
    <row r="8549" customHeight="1" spans="8:8">
      <c r="H8549" s="39" t="e">
        <f>VLOOKUP(E8549,基础信息!C:E,3,FALSE)</f>
        <v>#N/A</v>
      </c>
    </row>
    <row r="8550" customHeight="1" spans="8:8">
      <c r="H8550" s="39" t="e">
        <f>VLOOKUP(E8550,基础信息!C:E,3,FALSE)</f>
        <v>#N/A</v>
      </c>
    </row>
    <row r="8551" customHeight="1" spans="8:8">
      <c r="H8551" s="39" t="e">
        <f>VLOOKUP(E8551,基础信息!C:E,3,FALSE)</f>
        <v>#N/A</v>
      </c>
    </row>
    <row r="8552" customHeight="1" spans="8:8">
      <c r="H8552" s="39" t="e">
        <f>VLOOKUP(E8552,基础信息!C:E,3,FALSE)</f>
        <v>#N/A</v>
      </c>
    </row>
    <row r="8553" customHeight="1" spans="8:8">
      <c r="H8553" s="39" t="e">
        <f>VLOOKUP(E8553,基础信息!C:E,3,FALSE)</f>
        <v>#N/A</v>
      </c>
    </row>
    <row r="8554" customHeight="1" spans="8:8">
      <c r="H8554" s="39" t="e">
        <f>VLOOKUP(E8554,基础信息!C:E,3,FALSE)</f>
        <v>#N/A</v>
      </c>
    </row>
    <row r="8555" customHeight="1" spans="8:8">
      <c r="H8555" s="39" t="e">
        <f>VLOOKUP(E8555,基础信息!C:E,3,FALSE)</f>
        <v>#N/A</v>
      </c>
    </row>
    <row r="8556" customHeight="1" spans="8:8">
      <c r="H8556" s="39" t="e">
        <f>VLOOKUP(E8556,基础信息!C:E,3,FALSE)</f>
        <v>#N/A</v>
      </c>
    </row>
    <row r="8557" customHeight="1" spans="8:8">
      <c r="H8557" s="39" t="e">
        <f>VLOOKUP(E8557,基础信息!C:E,3,FALSE)</f>
        <v>#N/A</v>
      </c>
    </row>
    <row r="8558" customHeight="1" spans="8:8">
      <c r="H8558" s="39" t="e">
        <f>VLOOKUP(E8558,基础信息!C:E,3,FALSE)</f>
        <v>#N/A</v>
      </c>
    </row>
    <row r="8559" customHeight="1" spans="8:8">
      <c r="H8559" s="39" t="e">
        <f>VLOOKUP(E8559,基础信息!C:E,3,FALSE)</f>
        <v>#N/A</v>
      </c>
    </row>
    <row r="8560" customHeight="1" spans="8:8">
      <c r="H8560" s="39" t="e">
        <f>VLOOKUP(E8560,基础信息!C:E,3,FALSE)</f>
        <v>#N/A</v>
      </c>
    </row>
    <row r="8561" customHeight="1" spans="8:8">
      <c r="H8561" s="39" t="e">
        <f>VLOOKUP(E8561,基础信息!C:E,3,FALSE)</f>
        <v>#N/A</v>
      </c>
    </row>
    <row r="8562" customHeight="1" spans="8:8">
      <c r="H8562" s="39" t="e">
        <f>VLOOKUP(E8562,基础信息!C:E,3,FALSE)</f>
        <v>#N/A</v>
      </c>
    </row>
    <row r="8563" customHeight="1" spans="8:8">
      <c r="H8563" s="39" t="e">
        <f>VLOOKUP(E8563,基础信息!C:E,3,FALSE)</f>
        <v>#N/A</v>
      </c>
    </row>
    <row r="8564" customHeight="1" spans="8:8">
      <c r="H8564" s="39" t="e">
        <f>VLOOKUP(E8564,基础信息!C:E,3,FALSE)</f>
        <v>#N/A</v>
      </c>
    </row>
    <row r="8565" customHeight="1" spans="8:8">
      <c r="H8565" s="39" t="e">
        <f>VLOOKUP(E8565,基础信息!C:E,3,FALSE)</f>
        <v>#N/A</v>
      </c>
    </row>
    <row r="8566" customHeight="1" spans="8:8">
      <c r="H8566" s="39" t="e">
        <f>VLOOKUP(E8566,基础信息!C:E,3,FALSE)</f>
        <v>#N/A</v>
      </c>
    </row>
    <row r="8567" customHeight="1" spans="8:8">
      <c r="H8567" s="39" t="e">
        <f>VLOOKUP(E8567,基础信息!C:E,3,FALSE)</f>
        <v>#N/A</v>
      </c>
    </row>
    <row r="8568" customHeight="1" spans="8:8">
      <c r="H8568" s="39" t="e">
        <f>VLOOKUP(E8568,基础信息!C:E,3,FALSE)</f>
        <v>#N/A</v>
      </c>
    </row>
    <row r="8569" customHeight="1" spans="8:8">
      <c r="H8569" s="39" t="e">
        <f>VLOOKUP(E8569,基础信息!C:E,3,FALSE)</f>
        <v>#N/A</v>
      </c>
    </row>
    <row r="8570" customHeight="1" spans="8:8">
      <c r="H8570" s="39" t="e">
        <f>VLOOKUP(E8570,基础信息!C:E,3,FALSE)</f>
        <v>#N/A</v>
      </c>
    </row>
    <row r="8571" customHeight="1" spans="8:8">
      <c r="H8571" s="39" t="e">
        <f>VLOOKUP(E8571,基础信息!C:E,3,FALSE)</f>
        <v>#N/A</v>
      </c>
    </row>
    <row r="8572" customHeight="1" spans="8:8">
      <c r="H8572" s="39" t="e">
        <f>VLOOKUP(E8572,基础信息!C:E,3,FALSE)</f>
        <v>#N/A</v>
      </c>
    </row>
    <row r="8573" customHeight="1" spans="8:8">
      <c r="H8573" s="39" t="e">
        <f>VLOOKUP(E8573,基础信息!C:E,3,FALSE)</f>
        <v>#N/A</v>
      </c>
    </row>
    <row r="8574" customHeight="1" spans="8:8">
      <c r="H8574" s="39" t="e">
        <f>VLOOKUP(E8574,基础信息!C:E,3,FALSE)</f>
        <v>#N/A</v>
      </c>
    </row>
    <row r="8575" customHeight="1" spans="8:8">
      <c r="H8575" s="39" t="e">
        <f>VLOOKUP(E8575,基础信息!C:E,3,FALSE)</f>
        <v>#N/A</v>
      </c>
    </row>
    <row r="8576" customHeight="1" spans="8:8">
      <c r="H8576" s="39" t="e">
        <f>VLOOKUP(E8576,基础信息!C:E,3,FALSE)</f>
        <v>#N/A</v>
      </c>
    </row>
    <row r="8577" customHeight="1" spans="8:8">
      <c r="H8577" s="39" t="e">
        <f>VLOOKUP(E8577,基础信息!C:E,3,FALSE)</f>
        <v>#N/A</v>
      </c>
    </row>
    <row r="8578" customHeight="1" spans="8:8">
      <c r="H8578" s="39" t="e">
        <f>VLOOKUP(E8578,基础信息!C:E,3,FALSE)</f>
        <v>#N/A</v>
      </c>
    </row>
    <row r="8579" customHeight="1" spans="8:8">
      <c r="H8579" s="39" t="e">
        <f>VLOOKUP(E8579,基础信息!C:E,3,FALSE)</f>
        <v>#N/A</v>
      </c>
    </row>
    <row r="8580" customHeight="1" spans="8:8">
      <c r="H8580" s="39" t="e">
        <f>VLOOKUP(E8580,基础信息!C:E,3,FALSE)</f>
        <v>#N/A</v>
      </c>
    </row>
    <row r="8581" customHeight="1" spans="8:8">
      <c r="H8581" s="39" t="e">
        <f>VLOOKUP(E8581,基础信息!C:E,3,FALSE)</f>
        <v>#N/A</v>
      </c>
    </row>
    <row r="8582" customHeight="1" spans="8:8">
      <c r="H8582" s="39" t="e">
        <f>VLOOKUP(E8582,基础信息!C:E,3,FALSE)</f>
        <v>#N/A</v>
      </c>
    </row>
    <row r="8583" customHeight="1" spans="8:8">
      <c r="H8583" s="39" t="e">
        <f>VLOOKUP(E8583,基础信息!C:E,3,FALSE)</f>
        <v>#N/A</v>
      </c>
    </row>
    <row r="8584" customHeight="1" spans="8:8">
      <c r="H8584" s="39" t="e">
        <f>VLOOKUP(E8584,基础信息!C:E,3,FALSE)</f>
        <v>#N/A</v>
      </c>
    </row>
    <row r="8585" customHeight="1" spans="8:8">
      <c r="H8585" s="39" t="e">
        <f>VLOOKUP(E8585,基础信息!C:E,3,FALSE)</f>
        <v>#N/A</v>
      </c>
    </row>
    <row r="8586" customHeight="1" spans="8:8">
      <c r="H8586" s="39" t="e">
        <f>VLOOKUP(E8586,基础信息!C:E,3,FALSE)</f>
        <v>#N/A</v>
      </c>
    </row>
    <row r="8587" customHeight="1" spans="8:8">
      <c r="H8587" s="39" t="e">
        <f>VLOOKUP(E8587,基础信息!C:E,3,FALSE)</f>
        <v>#N/A</v>
      </c>
    </row>
    <row r="8588" customHeight="1" spans="8:8">
      <c r="H8588" s="39" t="e">
        <f>VLOOKUP(E8588,基础信息!C:E,3,FALSE)</f>
        <v>#N/A</v>
      </c>
    </row>
    <row r="8589" customHeight="1" spans="8:8">
      <c r="H8589" s="39" t="e">
        <f>VLOOKUP(E8589,基础信息!C:E,3,FALSE)</f>
        <v>#N/A</v>
      </c>
    </row>
    <row r="8590" customHeight="1" spans="8:8">
      <c r="H8590" s="39" t="e">
        <f>VLOOKUP(E8590,基础信息!C:E,3,FALSE)</f>
        <v>#N/A</v>
      </c>
    </row>
    <row r="8591" customHeight="1" spans="8:8">
      <c r="H8591" s="39" t="e">
        <f>VLOOKUP(E8591,基础信息!C:E,3,FALSE)</f>
        <v>#N/A</v>
      </c>
    </row>
    <row r="8592" customHeight="1" spans="8:8">
      <c r="H8592" s="39" t="e">
        <f>VLOOKUP(E8592,基础信息!C:E,3,FALSE)</f>
        <v>#N/A</v>
      </c>
    </row>
    <row r="8593" customHeight="1" spans="8:8">
      <c r="H8593" s="39" t="e">
        <f>VLOOKUP(E8593,基础信息!C:E,3,FALSE)</f>
        <v>#N/A</v>
      </c>
    </row>
    <row r="8594" customHeight="1" spans="8:8">
      <c r="H8594" s="39" t="e">
        <f>VLOOKUP(E8594,基础信息!C:E,3,FALSE)</f>
        <v>#N/A</v>
      </c>
    </row>
    <row r="8595" customHeight="1" spans="8:8">
      <c r="H8595" s="39" t="e">
        <f>VLOOKUP(E8595,基础信息!C:E,3,FALSE)</f>
        <v>#N/A</v>
      </c>
    </row>
    <row r="8596" customHeight="1" spans="8:8">
      <c r="H8596" s="39" t="e">
        <f>VLOOKUP(E8596,基础信息!C:E,3,FALSE)</f>
        <v>#N/A</v>
      </c>
    </row>
    <row r="8597" customHeight="1" spans="8:8">
      <c r="H8597" s="39" t="e">
        <f>VLOOKUP(E8597,基础信息!C:E,3,FALSE)</f>
        <v>#N/A</v>
      </c>
    </row>
    <row r="8598" customHeight="1" spans="8:8">
      <c r="H8598" s="39" t="e">
        <f>VLOOKUP(E8598,基础信息!C:E,3,FALSE)</f>
        <v>#N/A</v>
      </c>
    </row>
    <row r="8599" customHeight="1" spans="8:8">
      <c r="H8599" s="39" t="e">
        <f>VLOOKUP(E8599,基础信息!C:E,3,FALSE)</f>
        <v>#N/A</v>
      </c>
    </row>
    <row r="8600" customHeight="1" spans="8:8">
      <c r="H8600" s="39" t="e">
        <f>VLOOKUP(E8600,基础信息!C:E,3,FALSE)</f>
        <v>#N/A</v>
      </c>
    </row>
    <row r="8601" customHeight="1" spans="8:8">
      <c r="H8601" s="39" t="e">
        <f>VLOOKUP(E8601,基础信息!C:E,3,FALSE)</f>
        <v>#N/A</v>
      </c>
    </row>
    <row r="8602" customHeight="1" spans="8:8">
      <c r="H8602" s="39" t="e">
        <f>VLOOKUP(E8602,基础信息!C:E,3,FALSE)</f>
        <v>#N/A</v>
      </c>
    </row>
    <row r="8603" customHeight="1" spans="8:8">
      <c r="H8603" s="39" t="e">
        <f>VLOOKUP(E8603,基础信息!C:E,3,FALSE)</f>
        <v>#N/A</v>
      </c>
    </row>
    <row r="8604" customHeight="1" spans="8:8">
      <c r="H8604" s="39" t="e">
        <f>VLOOKUP(E8604,基础信息!C:E,3,FALSE)</f>
        <v>#N/A</v>
      </c>
    </row>
    <row r="8605" customHeight="1" spans="8:8">
      <c r="H8605" s="39" t="e">
        <f>VLOOKUP(E8605,基础信息!C:E,3,FALSE)</f>
        <v>#N/A</v>
      </c>
    </row>
    <row r="8606" customHeight="1" spans="8:8">
      <c r="H8606" s="39" t="e">
        <f>VLOOKUP(E8606,基础信息!C:E,3,FALSE)</f>
        <v>#N/A</v>
      </c>
    </row>
    <row r="8607" customHeight="1" spans="8:8">
      <c r="H8607" s="39" t="e">
        <f>VLOOKUP(E8607,基础信息!C:E,3,FALSE)</f>
        <v>#N/A</v>
      </c>
    </row>
    <row r="8608" customHeight="1" spans="8:8">
      <c r="H8608" s="39" t="e">
        <f>VLOOKUP(E8608,基础信息!C:E,3,FALSE)</f>
        <v>#N/A</v>
      </c>
    </row>
    <row r="8609" customHeight="1" spans="8:8">
      <c r="H8609" s="39" t="e">
        <f>VLOOKUP(E8609,基础信息!C:E,3,FALSE)</f>
        <v>#N/A</v>
      </c>
    </row>
    <row r="8610" customHeight="1" spans="8:8">
      <c r="H8610" s="39" t="e">
        <f>VLOOKUP(E8610,基础信息!C:E,3,FALSE)</f>
        <v>#N/A</v>
      </c>
    </row>
    <row r="8611" customHeight="1" spans="8:8">
      <c r="H8611" s="39" t="e">
        <f>VLOOKUP(E8611,基础信息!C:E,3,FALSE)</f>
        <v>#N/A</v>
      </c>
    </row>
    <row r="8612" customHeight="1" spans="8:8">
      <c r="H8612" s="39" t="e">
        <f>VLOOKUP(E8612,基础信息!C:E,3,FALSE)</f>
        <v>#N/A</v>
      </c>
    </row>
    <row r="8613" customHeight="1" spans="8:8">
      <c r="H8613" s="39" t="e">
        <f>VLOOKUP(E8613,基础信息!C:E,3,FALSE)</f>
        <v>#N/A</v>
      </c>
    </row>
    <row r="8614" customHeight="1" spans="8:8">
      <c r="H8614" s="39" t="e">
        <f>VLOOKUP(E8614,基础信息!C:E,3,FALSE)</f>
        <v>#N/A</v>
      </c>
    </row>
    <row r="8615" customHeight="1" spans="8:8">
      <c r="H8615" s="39" t="e">
        <f>VLOOKUP(E8615,基础信息!C:E,3,FALSE)</f>
        <v>#N/A</v>
      </c>
    </row>
    <row r="8616" customHeight="1" spans="8:8">
      <c r="H8616" s="39" t="e">
        <f>VLOOKUP(E8616,基础信息!C:E,3,FALSE)</f>
        <v>#N/A</v>
      </c>
    </row>
    <row r="8617" customHeight="1" spans="8:8">
      <c r="H8617" s="39" t="e">
        <f>VLOOKUP(E8617,基础信息!C:E,3,FALSE)</f>
        <v>#N/A</v>
      </c>
    </row>
    <row r="8618" customHeight="1" spans="8:8">
      <c r="H8618" s="39" t="e">
        <f>VLOOKUP(E8618,基础信息!C:E,3,FALSE)</f>
        <v>#N/A</v>
      </c>
    </row>
    <row r="8619" customHeight="1" spans="8:8">
      <c r="H8619" s="39" t="e">
        <f>VLOOKUP(E8619,基础信息!C:E,3,FALSE)</f>
        <v>#N/A</v>
      </c>
    </row>
    <row r="8620" customHeight="1" spans="8:8">
      <c r="H8620" s="39" t="e">
        <f>VLOOKUP(E8620,基础信息!C:E,3,FALSE)</f>
        <v>#N/A</v>
      </c>
    </row>
    <row r="8621" customHeight="1" spans="8:8">
      <c r="H8621" s="39" t="e">
        <f>VLOOKUP(E8621,基础信息!C:E,3,FALSE)</f>
        <v>#N/A</v>
      </c>
    </row>
    <row r="8622" customHeight="1" spans="8:8">
      <c r="H8622" s="39" t="e">
        <f>VLOOKUP(E8622,基础信息!C:E,3,FALSE)</f>
        <v>#N/A</v>
      </c>
    </row>
    <row r="8623" customHeight="1" spans="8:8">
      <c r="H8623" s="39" t="e">
        <f>VLOOKUP(E8623,基础信息!C:E,3,FALSE)</f>
        <v>#N/A</v>
      </c>
    </row>
    <row r="8624" customHeight="1" spans="8:8">
      <c r="H8624" s="39" t="e">
        <f>VLOOKUP(E8624,基础信息!C:E,3,FALSE)</f>
        <v>#N/A</v>
      </c>
    </row>
    <row r="8625" customHeight="1" spans="8:8">
      <c r="H8625" s="39" t="e">
        <f>VLOOKUP(E8625,基础信息!C:E,3,FALSE)</f>
        <v>#N/A</v>
      </c>
    </row>
    <row r="8626" customHeight="1" spans="8:8">
      <c r="H8626" s="39" t="e">
        <f>VLOOKUP(E8626,基础信息!C:E,3,FALSE)</f>
        <v>#N/A</v>
      </c>
    </row>
    <row r="8627" customHeight="1" spans="8:8">
      <c r="H8627" s="39" t="e">
        <f>VLOOKUP(E8627,基础信息!C:E,3,FALSE)</f>
        <v>#N/A</v>
      </c>
    </row>
    <row r="8628" customHeight="1" spans="8:8">
      <c r="H8628" s="39" t="e">
        <f>VLOOKUP(E8628,基础信息!C:E,3,FALSE)</f>
        <v>#N/A</v>
      </c>
    </row>
    <row r="8629" customHeight="1" spans="8:8">
      <c r="H8629" s="39" t="e">
        <f>VLOOKUP(E8629,基础信息!C:E,3,FALSE)</f>
        <v>#N/A</v>
      </c>
    </row>
    <row r="8630" customHeight="1" spans="8:8">
      <c r="H8630" s="39" t="e">
        <f>VLOOKUP(E8630,基础信息!C:E,3,FALSE)</f>
        <v>#N/A</v>
      </c>
    </row>
    <row r="8631" customHeight="1" spans="8:8">
      <c r="H8631" s="39" t="e">
        <f>VLOOKUP(E8631,基础信息!C:E,3,FALSE)</f>
        <v>#N/A</v>
      </c>
    </row>
    <row r="8632" customHeight="1" spans="8:8">
      <c r="H8632" s="39" t="e">
        <f>VLOOKUP(E8632,基础信息!C:E,3,FALSE)</f>
        <v>#N/A</v>
      </c>
    </row>
    <row r="8633" customHeight="1" spans="8:8">
      <c r="H8633" s="39" t="e">
        <f>VLOOKUP(E8633,基础信息!C:E,3,FALSE)</f>
        <v>#N/A</v>
      </c>
    </row>
    <row r="8634" customHeight="1" spans="8:8">
      <c r="H8634" s="39" t="e">
        <f>VLOOKUP(E8634,基础信息!C:E,3,FALSE)</f>
        <v>#N/A</v>
      </c>
    </row>
    <row r="8635" customHeight="1" spans="8:8">
      <c r="H8635" s="39" t="e">
        <f>VLOOKUP(E8635,基础信息!C:E,3,FALSE)</f>
        <v>#N/A</v>
      </c>
    </row>
    <row r="8636" customHeight="1" spans="8:8">
      <c r="H8636" s="39" t="e">
        <f>VLOOKUP(E8636,基础信息!C:E,3,FALSE)</f>
        <v>#N/A</v>
      </c>
    </row>
    <row r="8637" customHeight="1" spans="8:8">
      <c r="H8637" s="39" t="e">
        <f>VLOOKUP(E8637,基础信息!C:E,3,FALSE)</f>
        <v>#N/A</v>
      </c>
    </row>
    <row r="8638" customHeight="1" spans="8:8">
      <c r="H8638" s="39" t="e">
        <f>VLOOKUP(E8638,基础信息!C:E,3,FALSE)</f>
        <v>#N/A</v>
      </c>
    </row>
    <row r="8639" customHeight="1" spans="8:8">
      <c r="H8639" s="39" t="e">
        <f>VLOOKUP(E8639,基础信息!C:E,3,FALSE)</f>
        <v>#N/A</v>
      </c>
    </row>
    <row r="8640" customHeight="1" spans="8:8">
      <c r="H8640" s="39" t="e">
        <f>VLOOKUP(E8640,基础信息!C:E,3,FALSE)</f>
        <v>#N/A</v>
      </c>
    </row>
    <row r="8641" customHeight="1" spans="8:8">
      <c r="H8641" s="39" t="e">
        <f>VLOOKUP(E8641,基础信息!C:E,3,FALSE)</f>
        <v>#N/A</v>
      </c>
    </row>
    <row r="8642" customHeight="1" spans="8:8">
      <c r="H8642" s="39" t="e">
        <f>VLOOKUP(E8642,基础信息!C:E,3,FALSE)</f>
        <v>#N/A</v>
      </c>
    </row>
    <row r="8643" customHeight="1" spans="8:8">
      <c r="H8643" s="39" t="e">
        <f>VLOOKUP(E8643,基础信息!C:E,3,FALSE)</f>
        <v>#N/A</v>
      </c>
    </row>
    <row r="8644" customHeight="1" spans="8:8">
      <c r="H8644" s="39" t="e">
        <f>VLOOKUP(E8644,基础信息!C:E,3,FALSE)</f>
        <v>#N/A</v>
      </c>
    </row>
    <row r="8645" customHeight="1" spans="8:8">
      <c r="H8645" s="39" t="e">
        <f>VLOOKUP(E8645,基础信息!C:E,3,FALSE)</f>
        <v>#N/A</v>
      </c>
    </row>
    <row r="8646" customHeight="1" spans="8:8">
      <c r="H8646" s="39" t="e">
        <f>VLOOKUP(E8646,基础信息!C:E,3,FALSE)</f>
        <v>#N/A</v>
      </c>
    </row>
    <row r="8647" customHeight="1" spans="8:8">
      <c r="H8647" s="39" t="e">
        <f>VLOOKUP(E8647,基础信息!C:E,3,FALSE)</f>
        <v>#N/A</v>
      </c>
    </row>
    <row r="8648" customHeight="1" spans="8:8">
      <c r="H8648" s="39" t="e">
        <f>VLOOKUP(E8648,基础信息!C:E,3,FALSE)</f>
        <v>#N/A</v>
      </c>
    </row>
    <row r="8649" customHeight="1" spans="8:8">
      <c r="H8649" s="39" t="e">
        <f>VLOOKUP(E8649,基础信息!C:E,3,FALSE)</f>
        <v>#N/A</v>
      </c>
    </row>
    <row r="8650" customHeight="1" spans="8:8">
      <c r="H8650" s="39" t="e">
        <f>VLOOKUP(E8650,基础信息!C:E,3,FALSE)</f>
        <v>#N/A</v>
      </c>
    </row>
    <row r="8651" customHeight="1" spans="8:8">
      <c r="H8651" s="39" t="e">
        <f>VLOOKUP(E8651,基础信息!C:E,3,FALSE)</f>
        <v>#N/A</v>
      </c>
    </row>
    <row r="8652" customHeight="1" spans="8:8">
      <c r="H8652" s="39" t="e">
        <f>VLOOKUP(E8652,基础信息!C:E,3,FALSE)</f>
        <v>#N/A</v>
      </c>
    </row>
    <row r="8653" customHeight="1" spans="8:8">
      <c r="H8653" s="39" t="e">
        <f>VLOOKUP(E8653,基础信息!C:E,3,FALSE)</f>
        <v>#N/A</v>
      </c>
    </row>
    <row r="8654" customHeight="1" spans="8:8">
      <c r="H8654" s="39" t="e">
        <f>VLOOKUP(E8654,基础信息!C:E,3,FALSE)</f>
        <v>#N/A</v>
      </c>
    </row>
    <row r="8655" customHeight="1" spans="8:8">
      <c r="H8655" s="39" t="e">
        <f>VLOOKUP(E8655,基础信息!C:E,3,FALSE)</f>
        <v>#N/A</v>
      </c>
    </row>
    <row r="8656" customHeight="1" spans="8:8">
      <c r="H8656" s="39" t="e">
        <f>VLOOKUP(E8656,基础信息!C:E,3,FALSE)</f>
        <v>#N/A</v>
      </c>
    </row>
    <row r="8657" customHeight="1" spans="8:8">
      <c r="H8657" s="39" t="e">
        <f>VLOOKUP(E8657,基础信息!C:E,3,FALSE)</f>
        <v>#N/A</v>
      </c>
    </row>
    <row r="8658" customHeight="1" spans="8:8">
      <c r="H8658" s="39" t="e">
        <f>VLOOKUP(E8658,基础信息!C:E,3,FALSE)</f>
        <v>#N/A</v>
      </c>
    </row>
    <row r="8659" customHeight="1" spans="8:8">
      <c r="H8659" s="39" t="e">
        <f>VLOOKUP(E8659,基础信息!C:E,3,FALSE)</f>
        <v>#N/A</v>
      </c>
    </row>
    <row r="8660" customHeight="1" spans="8:8">
      <c r="H8660" s="39" t="e">
        <f>VLOOKUP(E8660,基础信息!C:E,3,FALSE)</f>
        <v>#N/A</v>
      </c>
    </row>
    <row r="8661" customHeight="1" spans="8:8">
      <c r="H8661" s="39" t="e">
        <f>VLOOKUP(E8661,基础信息!C:E,3,FALSE)</f>
        <v>#N/A</v>
      </c>
    </row>
    <row r="8662" customHeight="1" spans="8:8">
      <c r="H8662" s="39" t="e">
        <f>VLOOKUP(E8662,基础信息!C:E,3,FALSE)</f>
        <v>#N/A</v>
      </c>
    </row>
    <row r="8663" customHeight="1" spans="8:8">
      <c r="H8663" s="39" t="e">
        <f>VLOOKUP(E8663,基础信息!C:E,3,FALSE)</f>
        <v>#N/A</v>
      </c>
    </row>
    <row r="8664" customHeight="1" spans="8:8">
      <c r="H8664" s="39" t="e">
        <f>VLOOKUP(E8664,基础信息!C:E,3,FALSE)</f>
        <v>#N/A</v>
      </c>
    </row>
    <row r="8665" customHeight="1" spans="8:8">
      <c r="H8665" s="39" t="e">
        <f>VLOOKUP(E8665,基础信息!C:E,3,FALSE)</f>
        <v>#N/A</v>
      </c>
    </row>
    <row r="8666" customHeight="1" spans="8:8">
      <c r="H8666" s="39" t="e">
        <f>VLOOKUP(E8666,基础信息!C:E,3,FALSE)</f>
        <v>#N/A</v>
      </c>
    </row>
    <row r="8667" customHeight="1" spans="8:8">
      <c r="H8667" s="39" t="e">
        <f>VLOOKUP(E8667,基础信息!C:E,3,FALSE)</f>
        <v>#N/A</v>
      </c>
    </row>
    <row r="8668" customHeight="1" spans="8:8">
      <c r="H8668" s="39" t="e">
        <f>VLOOKUP(E8668,基础信息!C:E,3,FALSE)</f>
        <v>#N/A</v>
      </c>
    </row>
    <row r="8669" customHeight="1" spans="8:8">
      <c r="H8669" s="39" t="e">
        <f>VLOOKUP(E8669,基础信息!C:E,3,FALSE)</f>
        <v>#N/A</v>
      </c>
    </row>
    <row r="8670" customHeight="1" spans="8:8">
      <c r="H8670" s="39" t="e">
        <f>VLOOKUP(E8670,基础信息!C:E,3,FALSE)</f>
        <v>#N/A</v>
      </c>
    </row>
    <row r="8671" customHeight="1" spans="8:8">
      <c r="H8671" s="39" t="e">
        <f>VLOOKUP(E8671,基础信息!C:E,3,FALSE)</f>
        <v>#N/A</v>
      </c>
    </row>
    <row r="8672" customHeight="1" spans="8:8">
      <c r="H8672" s="39" t="e">
        <f>VLOOKUP(E8672,基础信息!C:E,3,FALSE)</f>
        <v>#N/A</v>
      </c>
    </row>
    <row r="8673" customHeight="1" spans="8:8">
      <c r="H8673" s="39" t="e">
        <f>VLOOKUP(E8673,基础信息!C:E,3,FALSE)</f>
        <v>#N/A</v>
      </c>
    </row>
    <row r="8674" customHeight="1" spans="8:8">
      <c r="H8674" s="39" t="e">
        <f>VLOOKUP(E8674,基础信息!C:E,3,FALSE)</f>
        <v>#N/A</v>
      </c>
    </row>
    <row r="8675" customHeight="1" spans="8:8">
      <c r="H8675" s="39" t="e">
        <f>VLOOKUP(E8675,基础信息!C:E,3,FALSE)</f>
        <v>#N/A</v>
      </c>
    </row>
    <row r="8676" customHeight="1" spans="8:8">
      <c r="H8676" s="39" t="e">
        <f>VLOOKUP(E8676,基础信息!C:E,3,FALSE)</f>
        <v>#N/A</v>
      </c>
    </row>
    <row r="8677" customHeight="1" spans="8:8">
      <c r="H8677" s="39" t="e">
        <f>VLOOKUP(E8677,基础信息!C:E,3,FALSE)</f>
        <v>#N/A</v>
      </c>
    </row>
    <row r="8678" customHeight="1" spans="8:8">
      <c r="H8678" s="39" t="e">
        <f>VLOOKUP(E8678,基础信息!C:E,3,FALSE)</f>
        <v>#N/A</v>
      </c>
    </row>
    <row r="8679" customHeight="1" spans="8:8">
      <c r="H8679" s="39" t="e">
        <f>VLOOKUP(E8679,基础信息!C:E,3,FALSE)</f>
        <v>#N/A</v>
      </c>
    </row>
    <row r="8680" customHeight="1" spans="8:8">
      <c r="H8680" s="39" t="e">
        <f>VLOOKUP(E8680,基础信息!C:E,3,FALSE)</f>
        <v>#N/A</v>
      </c>
    </row>
    <row r="8681" customHeight="1" spans="8:8">
      <c r="H8681" s="39" t="e">
        <f>VLOOKUP(E8681,基础信息!C:E,3,FALSE)</f>
        <v>#N/A</v>
      </c>
    </row>
    <row r="8682" customHeight="1" spans="8:8">
      <c r="H8682" s="39" t="e">
        <f>VLOOKUP(E8682,基础信息!C:E,3,FALSE)</f>
        <v>#N/A</v>
      </c>
    </row>
    <row r="8683" customHeight="1" spans="8:8">
      <c r="H8683" s="39" t="e">
        <f>VLOOKUP(E8683,基础信息!C:E,3,FALSE)</f>
        <v>#N/A</v>
      </c>
    </row>
    <row r="8684" customHeight="1" spans="8:8">
      <c r="H8684" s="39" t="e">
        <f>VLOOKUP(E8684,基础信息!C:E,3,FALSE)</f>
        <v>#N/A</v>
      </c>
    </row>
    <row r="8685" customHeight="1" spans="8:8">
      <c r="H8685" s="39" t="e">
        <f>VLOOKUP(E8685,基础信息!C:E,3,FALSE)</f>
        <v>#N/A</v>
      </c>
    </row>
    <row r="8686" customHeight="1" spans="8:8">
      <c r="H8686" s="39" t="e">
        <f>VLOOKUP(E8686,基础信息!C:E,3,FALSE)</f>
        <v>#N/A</v>
      </c>
    </row>
    <row r="8687" customHeight="1" spans="8:8">
      <c r="H8687" s="39" t="e">
        <f>VLOOKUP(E8687,基础信息!C:E,3,FALSE)</f>
        <v>#N/A</v>
      </c>
    </row>
    <row r="8688" customHeight="1" spans="8:8">
      <c r="H8688" s="39" t="e">
        <f>VLOOKUP(E8688,基础信息!C:E,3,FALSE)</f>
        <v>#N/A</v>
      </c>
    </row>
    <row r="8689" customHeight="1" spans="8:8">
      <c r="H8689" s="39" t="e">
        <f>VLOOKUP(E8689,基础信息!C:E,3,FALSE)</f>
        <v>#N/A</v>
      </c>
    </row>
    <row r="8690" customHeight="1" spans="8:8">
      <c r="H8690" s="39" t="e">
        <f>VLOOKUP(E8690,基础信息!C:E,3,FALSE)</f>
        <v>#N/A</v>
      </c>
    </row>
    <row r="8691" customHeight="1" spans="8:8">
      <c r="H8691" s="39" t="e">
        <f>VLOOKUP(E8691,基础信息!C:E,3,FALSE)</f>
        <v>#N/A</v>
      </c>
    </row>
    <row r="8692" customHeight="1" spans="8:8">
      <c r="H8692" s="39" t="e">
        <f>VLOOKUP(E8692,基础信息!C:E,3,FALSE)</f>
        <v>#N/A</v>
      </c>
    </row>
    <row r="8693" customHeight="1" spans="8:8">
      <c r="H8693" s="39" t="e">
        <f>VLOOKUP(E8693,基础信息!C:E,3,FALSE)</f>
        <v>#N/A</v>
      </c>
    </row>
    <row r="8694" customHeight="1" spans="8:8">
      <c r="H8694" s="39" t="e">
        <f>VLOOKUP(E8694,基础信息!C:E,3,FALSE)</f>
        <v>#N/A</v>
      </c>
    </row>
    <row r="8695" customHeight="1" spans="8:8">
      <c r="H8695" s="39" t="e">
        <f>VLOOKUP(E8695,基础信息!C:E,3,FALSE)</f>
        <v>#N/A</v>
      </c>
    </row>
    <row r="8696" customHeight="1" spans="8:8">
      <c r="H8696" s="39" t="e">
        <f>VLOOKUP(E8696,基础信息!C:E,3,FALSE)</f>
        <v>#N/A</v>
      </c>
    </row>
    <row r="8697" customHeight="1" spans="8:8">
      <c r="H8697" s="39" t="e">
        <f>VLOOKUP(E8697,基础信息!C:E,3,FALSE)</f>
        <v>#N/A</v>
      </c>
    </row>
    <row r="8698" customHeight="1" spans="8:8">
      <c r="H8698" s="39" t="e">
        <f>VLOOKUP(E8698,基础信息!C:E,3,FALSE)</f>
        <v>#N/A</v>
      </c>
    </row>
    <row r="8699" customHeight="1" spans="8:8">
      <c r="H8699" s="39" t="e">
        <f>VLOOKUP(E8699,基础信息!C:E,3,FALSE)</f>
        <v>#N/A</v>
      </c>
    </row>
    <row r="8700" customHeight="1" spans="8:8">
      <c r="H8700" s="39" t="e">
        <f>VLOOKUP(E8700,基础信息!C:E,3,FALSE)</f>
        <v>#N/A</v>
      </c>
    </row>
    <row r="8701" customHeight="1" spans="8:8">
      <c r="H8701" s="39" t="e">
        <f>VLOOKUP(E8701,基础信息!C:E,3,FALSE)</f>
        <v>#N/A</v>
      </c>
    </row>
    <row r="8702" customHeight="1" spans="8:8">
      <c r="H8702" s="39" t="e">
        <f>VLOOKUP(E8702,基础信息!C:E,3,FALSE)</f>
        <v>#N/A</v>
      </c>
    </row>
    <row r="8703" customHeight="1" spans="8:8">
      <c r="H8703" s="39" t="e">
        <f>VLOOKUP(E8703,基础信息!C:E,3,FALSE)</f>
        <v>#N/A</v>
      </c>
    </row>
    <row r="8704" customHeight="1" spans="8:8">
      <c r="H8704" s="39" t="e">
        <f>VLOOKUP(E8704,基础信息!C:E,3,FALSE)</f>
        <v>#N/A</v>
      </c>
    </row>
    <row r="8705" customHeight="1" spans="8:8">
      <c r="H8705" s="39" t="e">
        <f>VLOOKUP(E8705,基础信息!C:E,3,FALSE)</f>
        <v>#N/A</v>
      </c>
    </row>
    <row r="8706" customHeight="1" spans="8:8">
      <c r="H8706" s="39" t="e">
        <f>VLOOKUP(E8706,基础信息!C:E,3,FALSE)</f>
        <v>#N/A</v>
      </c>
    </row>
    <row r="8707" customHeight="1" spans="8:8">
      <c r="H8707" s="39" t="e">
        <f>VLOOKUP(E8707,基础信息!C:E,3,FALSE)</f>
        <v>#N/A</v>
      </c>
    </row>
    <row r="8708" customHeight="1" spans="8:8">
      <c r="H8708" s="39" t="e">
        <f>VLOOKUP(E8708,基础信息!C:E,3,FALSE)</f>
        <v>#N/A</v>
      </c>
    </row>
    <row r="8709" customHeight="1" spans="8:8">
      <c r="H8709" s="39" t="e">
        <f>VLOOKUP(E8709,基础信息!C:E,3,FALSE)</f>
        <v>#N/A</v>
      </c>
    </row>
    <row r="8710" customHeight="1" spans="8:8">
      <c r="H8710" s="39" t="e">
        <f>VLOOKUP(E8710,基础信息!C:E,3,FALSE)</f>
        <v>#N/A</v>
      </c>
    </row>
    <row r="8711" customHeight="1" spans="8:8">
      <c r="H8711" s="39" t="e">
        <f>VLOOKUP(E8711,基础信息!C:E,3,FALSE)</f>
        <v>#N/A</v>
      </c>
    </row>
    <row r="8712" customHeight="1" spans="8:8">
      <c r="H8712" s="39" t="e">
        <f>VLOOKUP(E8712,基础信息!C:E,3,FALSE)</f>
        <v>#N/A</v>
      </c>
    </row>
    <row r="8713" customHeight="1" spans="8:8">
      <c r="H8713" s="39" t="e">
        <f>VLOOKUP(E8713,基础信息!C:E,3,FALSE)</f>
        <v>#N/A</v>
      </c>
    </row>
    <row r="8714" customHeight="1" spans="8:8">
      <c r="H8714" s="39" t="e">
        <f>VLOOKUP(E8714,基础信息!C:E,3,FALSE)</f>
        <v>#N/A</v>
      </c>
    </row>
    <row r="8715" customHeight="1" spans="8:8">
      <c r="H8715" s="39" t="e">
        <f>VLOOKUP(E8715,基础信息!C:E,3,FALSE)</f>
        <v>#N/A</v>
      </c>
    </row>
    <row r="8716" customHeight="1" spans="8:8">
      <c r="H8716" s="39" t="e">
        <f>VLOOKUP(E8716,基础信息!C:E,3,FALSE)</f>
        <v>#N/A</v>
      </c>
    </row>
    <row r="8717" customHeight="1" spans="8:8">
      <c r="H8717" s="39" t="e">
        <f>VLOOKUP(E8717,基础信息!C:E,3,FALSE)</f>
        <v>#N/A</v>
      </c>
    </row>
    <row r="8718" customHeight="1" spans="8:8">
      <c r="H8718" s="39" t="e">
        <f>VLOOKUP(E8718,基础信息!C:E,3,FALSE)</f>
        <v>#N/A</v>
      </c>
    </row>
    <row r="8719" customHeight="1" spans="8:8">
      <c r="H8719" s="39" t="e">
        <f>VLOOKUP(E8719,基础信息!C:E,3,FALSE)</f>
        <v>#N/A</v>
      </c>
    </row>
    <row r="8720" customHeight="1" spans="8:8">
      <c r="H8720" s="39" t="e">
        <f>VLOOKUP(E8720,基础信息!C:E,3,FALSE)</f>
        <v>#N/A</v>
      </c>
    </row>
    <row r="8721" customHeight="1" spans="8:8">
      <c r="H8721" s="39" t="e">
        <f>VLOOKUP(E8721,基础信息!C:E,3,FALSE)</f>
        <v>#N/A</v>
      </c>
    </row>
    <row r="8722" customHeight="1" spans="8:8">
      <c r="H8722" s="39" t="e">
        <f>VLOOKUP(E8722,基础信息!C:E,3,FALSE)</f>
        <v>#N/A</v>
      </c>
    </row>
    <row r="8723" customHeight="1" spans="8:8">
      <c r="H8723" s="39" t="e">
        <f>VLOOKUP(E8723,基础信息!C:E,3,FALSE)</f>
        <v>#N/A</v>
      </c>
    </row>
    <row r="8724" customHeight="1" spans="8:8">
      <c r="H8724" s="39" t="e">
        <f>VLOOKUP(E8724,基础信息!C:E,3,FALSE)</f>
        <v>#N/A</v>
      </c>
    </row>
    <row r="8725" customHeight="1" spans="8:8">
      <c r="H8725" s="39" t="e">
        <f>VLOOKUP(E8725,基础信息!C:E,3,FALSE)</f>
        <v>#N/A</v>
      </c>
    </row>
    <row r="8726" customHeight="1" spans="8:8">
      <c r="H8726" s="39" t="e">
        <f>VLOOKUP(E8726,基础信息!C:E,3,FALSE)</f>
        <v>#N/A</v>
      </c>
    </row>
    <row r="8727" customHeight="1" spans="8:8">
      <c r="H8727" s="39" t="e">
        <f>VLOOKUP(E8727,基础信息!C:E,3,FALSE)</f>
        <v>#N/A</v>
      </c>
    </row>
    <row r="8728" customHeight="1" spans="8:8">
      <c r="H8728" s="39" t="e">
        <f>VLOOKUP(E8728,基础信息!C:E,3,FALSE)</f>
        <v>#N/A</v>
      </c>
    </row>
    <row r="8729" customHeight="1" spans="8:8">
      <c r="H8729" s="39" t="e">
        <f>VLOOKUP(E8729,基础信息!C:E,3,FALSE)</f>
        <v>#N/A</v>
      </c>
    </row>
    <row r="8730" customHeight="1" spans="8:8">
      <c r="H8730" s="39" t="e">
        <f>VLOOKUP(E8730,基础信息!C:E,3,FALSE)</f>
        <v>#N/A</v>
      </c>
    </row>
    <row r="8731" customHeight="1" spans="8:8">
      <c r="H8731" s="39" t="e">
        <f>VLOOKUP(E8731,基础信息!C:E,3,FALSE)</f>
        <v>#N/A</v>
      </c>
    </row>
    <row r="8732" customHeight="1" spans="8:8">
      <c r="H8732" s="39" t="e">
        <f>VLOOKUP(E8732,基础信息!C:E,3,FALSE)</f>
        <v>#N/A</v>
      </c>
    </row>
    <row r="8733" customHeight="1" spans="8:8">
      <c r="H8733" s="39" t="e">
        <f>VLOOKUP(E8733,基础信息!C:E,3,FALSE)</f>
        <v>#N/A</v>
      </c>
    </row>
    <row r="8734" customHeight="1" spans="8:8">
      <c r="H8734" s="39" t="e">
        <f>VLOOKUP(E8734,基础信息!C:E,3,FALSE)</f>
        <v>#N/A</v>
      </c>
    </row>
    <row r="8735" customHeight="1" spans="8:8">
      <c r="H8735" s="39" t="e">
        <f>VLOOKUP(E8735,基础信息!C:E,3,FALSE)</f>
        <v>#N/A</v>
      </c>
    </row>
    <row r="8736" customHeight="1" spans="8:8">
      <c r="H8736" s="39" t="e">
        <f>VLOOKUP(E8736,基础信息!C:E,3,FALSE)</f>
        <v>#N/A</v>
      </c>
    </row>
    <row r="8737" customHeight="1" spans="8:8">
      <c r="H8737" s="39" t="e">
        <f>VLOOKUP(E8737,基础信息!C:E,3,FALSE)</f>
        <v>#N/A</v>
      </c>
    </row>
    <row r="8738" customHeight="1" spans="8:8">
      <c r="H8738" s="39" t="e">
        <f>VLOOKUP(E8738,基础信息!C:E,3,FALSE)</f>
        <v>#N/A</v>
      </c>
    </row>
    <row r="8739" customHeight="1" spans="8:8">
      <c r="H8739" s="39" t="e">
        <f>VLOOKUP(E8739,基础信息!C:E,3,FALSE)</f>
        <v>#N/A</v>
      </c>
    </row>
    <row r="8740" customHeight="1" spans="8:8">
      <c r="H8740" s="39" t="e">
        <f>VLOOKUP(E8740,基础信息!C:E,3,FALSE)</f>
        <v>#N/A</v>
      </c>
    </row>
    <row r="8741" customHeight="1" spans="8:8">
      <c r="H8741" s="39" t="e">
        <f>VLOOKUP(E8741,基础信息!C:E,3,FALSE)</f>
        <v>#N/A</v>
      </c>
    </row>
    <row r="8742" customHeight="1" spans="8:8">
      <c r="H8742" s="39" t="e">
        <f>VLOOKUP(E8742,基础信息!C:E,3,FALSE)</f>
        <v>#N/A</v>
      </c>
    </row>
    <row r="8743" customHeight="1" spans="8:8">
      <c r="H8743" s="39" t="e">
        <f>VLOOKUP(E8743,基础信息!C:E,3,FALSE)</f>
        <v>#N/A</v>
      </c>
    </row>
    <row r="8744" customHeight="1" spans="8:8">
      <c r="H8744" s="39" t="e">
        <f>VLOOKUP(E8744,基础信息!C:E,3,FALSE)</f>
        <v>#N/A</v>
      </c>
    </row>
    <row r="8745" customHeight="1" spans="8:8">
      <c r="H8745" s="39" t="e">
        <f>VLOOKUP(E8745,基础信息!C:E,3,FALSE)</f>
        <v>#N/A</v>
      </c>
    </row>
    <row r="8746" customHeight="1" spans="8:8">
      <c r="H8746" s="39" t="e">
        <f>VLOOKUP(E8746,基础信息!C:E,3,FALSE)</f>
        <v>#N/A</v>
      </c>
    </row>
    <row r="8747" customHeight="1" spans="8:8">
      <c r="H8747" s="39" t="e">
        <f>VLOOKUP(E8747,基础信息!C:E,3,FALSE)</f>
        <v>#N/A</v>
      </c>
    </row>
    <row r="8748" customHeight="1" spans="8:8">
      <c r="H8748" s="39" t="e">
        <f>VLOOKUP(E8748,基础信息!C:E,3,FALSE)</f>
        <v>#N/A</v>
      </c>
    </row>
    <row r="8749" customHeight="1" spans="8:8">
      <c r="H8749" s="39" t="e">
        <f>VLOOKUP(E8749,基础信息!C:E,3,FALSE)</f>
        <v>#N/A</v>
      </c>
    </row>
    <row r="8750" customHeight="1" spans="8:8">
      <c r="H8750" s="39" t="e">
        <f>VLOOKUP(E8750,基础信息!C:E,3,FALSE)</f>
        <v>#N/A</v>
      </c>
    </row>
    <row r="8751" customHeight="1" spans="8:8">
      <c r="H8751" s="39" t="e">
        <f>VLOOKUP(E8751,基础信息!C:E,3,FALSE)</f>
        <v>#N/A</v>
      </c>
    </row>
    <row r="8752" customHeight="1" spans="8:8">
      <c r="H8752" s="39" t="e">
        <f>VLOOKUP(E8752,基础信息!C:E,3,FALSE)</f>
        <v>#N/A</v>
      </c>
    </row>
    <row r="8753" customHeight="1" spans="8:8">
      <c r="H8753" s="39" t="e">
        <f>VLOOKUP(E8753,基础信息!C:E,3,FALSE)</f>
        <v>#N/A</v>
      </c>
    </row>
    <row r="8754" customHeight="1" spans="8:8">
      <c r="H8754" s="39" t="e">
        <f>VLOOKUP(E8754,基础信息!C:E,3,FALSE)</f>
        <v>#N/A</v>
      </c>
    </row>
    <row r="8755" customHeight="1" spans="8:8">
      <c r="H8755" s="39" t="e">
        <f>VLOOKUP(E8755,基础信息!C:E,3,FALSE)</f>
        <v>#N/A</v>
      </c>
    </row>
    <row r="8756" customHeight="1" spans="8:8">
      <c r="H8756" s="39" t="e">
        <f>VLOOKUP(E8756,基础信息!C:E,3,FALSE)</f>
        <v>#N/A</v>
      </c>
    </row>
    <row r="8757" customHeight="1" spans="8:8">
      <c r="H8757" s="39" t="e">
        <f>VLOOKUP(E8757,基础信息!C:E,3,FALSE)</f>
        <v>#N/A</v>
      </c>
    </row>
    <row r="8758" customHeight="1" spans="8:8">
      <c r="H8758" s="39" t="e">
        <f>VLOOKUP(E8758,基础信息!C:E,3,FALSE)</f>
        <v>#N/A</v>
      </c>
    </row>
    <row r="8759" customHeight="1" spans="8:8">
      <c r="H8759" s="39" t="e">
        <f>VLOOKUP(E8759,基础信息!C:E,3,FALSE)</f>
        <v>#N/A</v>
      </c>
    </row>
    <row r="8760" customHeight="1" spans="8:8">
      <c r="H8760" s="39" t="e">
        <f>VLOOKUP(E8760,基础信息!C:E,3,FALSE)</f>
        <v>#N/A</v>
      </c>
    </row>
    <row r="8761" customHeight="1" spans="8:8">
      <c r="H8761" s="39" t="e">
        <f>VLOOKUP(E8761,基础信息!C:E,3,FALSE)</f>
        <v>#N/A</v>
      </c>
    </row>
    <row r="8762" customHeight="1" spans="8:8">
      <c r="H8762" s="39" t="e">
        <f>VLOOKUP(E8762,基础信息!C:E,3,FALSE)</f>
        <v>#N/A</v>
      </c>
    </row>
    <row r="8763" customHeight="1" spans="8:8">
      <c r="H8763" s="39" t="e">
        <f>VLOOKUP(E8763,基础信息!C:E,3,FALSE)</f>
        <v>#N/A</v>
      </c>
    </row>
    <row r="8764" customHeight="1" spans="8:8">
      <c r="H8764" s="39" t="e">
        <f>VLOOKUP(E8764,基础信息!C:E,3,FALSE)</f>
        <v>#N/A</v>
      </c>
    </row>
    <row r="8765" customHeight="1" spans="8:8">
      <c r="H8765" s="39" t="e">
        <f>VLOOKUP(E8765,基础信息!C:E,3,FALSE)</f>
        <v>#N/A</v>
      </c>
    </row>
    <row r="8766" customHeight="1" spans="8:8">
      <c r="H8766" s="39" t="e">
        <f>VLOOKUP(E8766,基础信息!C:E,3,FALSE)</f>
        <v>#N/A</v>
      </c>
    </row>
    <row r="8767" customHeight="1" spans="8:8">
      <c r="H8767" s="39" t="e">
        <f>VLOOKUP(E8767,基础信息!C:E,3,FALSE)</f>
        <v>#N/A</v>
      </c>
    </row>
    <row r="8768" customHeight="1" spans="8:8">
      <c r="H8768" s="39" t="e">
        <f>VLOOKUP(E8768,基础信息!C:E,3,FALSE)</f>
        <v>#N/A</v>
      </c>
    </row>
    <row r="8769" customHeight="1" spans="8:8">
      <c r="H8769" s="39" t="e">
        <f>VLOOKUP(E8769,基础信息!C:E,3,FALSE)</f>
        <v>#N/A</v>
      </c>
    </row>
    <row r="8770" customHeight="1" spans="8:8">
      <c r="H8770" s="39" t="e">
        <f>VLOOKUP(E8770,基础信息!C:E,3,FALSE)</f>
        <v>#N/A</v>
      </c>
    </row>
    <row r="8771" customHeight="1" spans="8:8">
      <c r="H8771" s="39" t="e">
        <f>VLOOKUP(E8771,基础信息!C:E,3,FALSE)</f>
        <v>#N/A</v>
      </c>
    </row>
    <row r="8772" customHeight="1" spans="8:8">
      <c r="H8772" s="39" t="e">
        <f>VLOOKUP(E8772,基础信息!C:E,3,FALSE)</f>
        <v>#N/A</v>
      </c>
    </row>
    <row r="8773" customHeight="1" spans="8:8">
      <c r="H8773" s="39" t="e">
        <f>VLOOKUP(E8773,基础信息!C:E,3,FALSE)</f>
        <v>#N/A</v>
      </c>
    </row>
    <row r="8774" customHeight="1" spans="8:8">
      <c r="H8774" s="39" t="e">
        <f>VLOOKUP(E8774,基础信息!C:E,3,FALSE)</f>
        <v>#N/A</v>
      </c>
    </row>
    <row r="8775" customHeight="1" spans="8:8">
      <c r="H8775" s="39" t="e">
        <f>VLOOKUP(E8775,基础信息!C:E,3,FALSE)</f>
        <v>#N/A</v>
      </c>
    </row>
    <row r="8776" customHeight="1" spans="8:8">
      <c r="H8776" s="39" t="e">
        <f>VLOOKUP(E8776,基础信息!C:E,3,FALSE)</f>
        <v>#N/A</v>
      </c>
    </row>
    <row r="8777" customHeight="1" spans="8:8">
      <c r="H8777" s="39" t="e">
        <f>VLOOKUP(E8777,基础信息!C:E,3,FALSE)</f>
        <v>#N/A</v>
      </c>
    </row>
    <row r="8778" customHeight="1" spans="8:8">
      <c r="H8778" s="39" t="e">
        <f>VLOOKUP(E8778,基础信息!C:E,3,FALSE)</f>
        <v>#N/A</v>
      </c>
    </row>
    <row r="8779" customHeight="1" spans="8:8">
      <c r="H8779" s="39" t="e">
        <f>VLOOKUP(E8779,基础信息!C:E,3,FALSE)</f>
        <v>#N/A</v>
      </c>
    </row>
    <row r="8780" customHeight="1" spans="8:8">
      <c r="H8780" s="39" t="e">
        <f>VLOOKUP(E8780,基础信息!C:E,3,FALSE)</f>
        <v>#N/A</v>
      </c>
    </row>
    <row r="8781" customHeight="1" spans="8:8">
      <c r="H8781" s="39" t="e">
        <f>VLOOKUP(E8781,基础信息!C:E,3,FALSE)</f>
        <v>#N/A</v>
      </c>
    </row>
    <row r="8782" customHeight="1" spans="8:8">
      <c r="H8782" s="39" t="e">
        <f>VLOOKUP(E8782,基础信息!C:E,3,FALSE)</f>
        <v>#N/A</v>
      </c>
    </row>
    <row r="8783" customHeight="1" spans="8:8">
      <c r="H8783" s="39" t="e">
        <f>VLOOKUP(E8783,基础信息!C:E,3,FALSE)</f>
        <v>#N/A</v>
      </c>
    </row>
    <row r="8784" customHeight="1" spans="8:8">
      <c r="H8784" s="39" t="e">
        <f>VLOOKUP(E8784,基础信息!C:E,3,FALSE)</f>
        <v>#N/A</v>
      </c>
    </row>
    <row r="8785" customHeight="1" spans="8:8">
      <c r="H8785" s="39" t="e">
        <f>VLOOKUP(E8785,基础信息!C:E,3,FALSE)</f>
        <v>#N/A</v>
      </c>
    </row>
    <row r="8786" customHeight="1" spans="8:8">
      <c r="H8786" s="39" t="e">
        <f>VLOOKUP(E8786,基础信息!C:E,3,FALSE)</f>
        <v>#N/A</v>
      </c>
    </row>
    <row r="8787" customHeight="1" spans="8:8">
      <c r="H8787" s="39" t="e">
        <f>VLOOKUP(E8787,基础信息!C:E,3,FALSE)</f>
        <v>#N/A</v>
      </c>
    </row>
    <row r="8788" customHeight="1" spans="8:8">
      <c r="H8788" s="39" t="e">
        <f>VLOOKUP(E8788,基础信息!C:E,3,FALSE)</f>
        <v>#N/A</v>
      </c>
    </row>
    <row r="8789" customHeight="1" spans="8:8">
      <c r="H8789" s="39" t="e">
        <f>VLOOKUP(E8789,基础信息!C:E,3,FALSE)</f>
        <v>#N/A</v>
      </c>
    </row>
    <row r="8790" customHeight="1" spans="8:8">
      <c r="H8790" s="39" t="e">
        <f>VLOOKUP(E8790,基础信息!C:E,3,FALSE)</f>
        <v>#N/A</v>
      </c>
    </row>
    <row r="8791" customHeight="1" spans="8:8">
      <c r="H8791" s="39" t="e">
        <f>VLOOKUP(E8791,基础信息!C:E,3,FALSE)</f>
        <v>#N/A</v>
      </c>
    </row>
    <row r="8792" customHeight="1" spans="8:8">
      <c r="H8792" s="39" t="e">
        <f>VLOOKUP(E8792,基础信息!C:E,3,FALSE)</f>
        <v>#N/A</v>
      </c>
    </row>
    <row r="8793" customHeight="1" spans="8:8">
      <c r="H8793" s="39" t="e">
        <f>VLOOKUP(E8793,基础信息!C:E,3,FALSE)</f>
        <v>#N/A</v>
      </c>
    </row>
    <row r="8794" customHeight="1" spans="8:8">
      <c r="H8794" s="39" t="e">
        <f>VLOOKUP(E8794,基础信息!C:E,3,FALSE)</f>
        <v>#N/A</v>
      </c>
    </row>
    <row r="8795" customHeight="1" spans="8:8">
      <c r="H8795" s="39" t="e">
        <f>VLOOKUP(E8795,基础信息!C:E,3,FALSE)</f>
        <v>#N/A</v>
      </c>
    </row>
    <row r="8796" customHeight="1" spans="8:8">
      <c r="H8796" s="39" t="e">
        <f>VLOOKUP(E8796,基础信息!C:E,3,FALSE)</f>
        <v>#N/A</v>
      </c>
    </row>
    <row r="8797" customHeight="1" spans="8:8">
      <c r="H8797" s="39" t="e">
        <f>VLOOKUP(E8797,基础信息!C:E,3,FALSE)</f>
        <v>#N/A</v>
      </c>
    </row>
    <row r="8798" customHeight="1" spans="8:8">
      <c r="H8798" s="39" t="e">
        <f>VLOOKUP(E8798,基础信息!C:E,3,FALSE)</f>
        <v>#N/A</v>
      </c>
    </row>
    <row r="8799" customHeight="1" spans="8:8">
      <c r="H8799" s="39" t="e">
        <f>VLOOKUP(E8799,基础信息!C:E,3,FALSE)</f>
        <v>#N/A</v>
      </c>
    </row>
    <row r="8800" customHeight="1" spans="8:8">
      <c r="H8800" s="39" t="e">
        <f>VLOOKUP(E8800,基础信息!C:E,3,FALSE)</f>
        <v>#N/A</v>
      </c>
    </row>
    <row r="8801" customHeight="1" spans="8:8">
      <c r="H8801" s="39" t="e">
        <f>VLOOKUP(E8801,基础信息!C:E,3,FALSE)</f>
        <v>#N/A</v>
      </c>
    </row>
    <row r="8802" customHeight="1" spans="8:8">
      <c r="H8802" s="39" t="e">
        <f>VLOOKUP(E8802,基础信息!C:E,3,FALSE)</f>
        <v>#N/A</v>
      </c>
    </row>
    <row r="8803" customHeight="1" spans="8:8">
      <c r="H8803" s="39" t="e">
        <f>VLOOKUP(E8803,基础信息!C:E,3,FALSE)</f>
        <v>#N/A</v>
      </c>
    </row>
    <row r="8804" customHeight="1" spans="8:8">
      <c r="H8804" s="39" t="e">
        <f>VLOOKUP(E8804,基础信息!C:E,3,FALSE)</f>
        <v>#N/A</v>
      </c>
    </row>
    <row r="8805" customHeight="1" spans="8:8">
      <c r="H8805" s="39" t="e">
        <f>VLOOKUP(E8805,基础信息!C:E,3,FALSE)</f>
        <v>#N/A</v>
      </c>
    </row>
    <row r="8806" customHeight="1" spans="8:8">
      <c r="H8806" s="39" t="e">
        <f>VLOOKUP(E8806,基础信息!C:E,3,FALSE)</f>
        <v>#N/A</v>
      </c>
    </row>
    <row r="8807" customHeight="1" spans="8:8">
      <c r="H8807" s="39" t="e">
        <f>VLOOKUP(E8807,基础信息!C:E,3,FALSE)</f>
        <v>#N/A</v>
      </c>
    </row>
    <row r="8808" customHeight="1" spans="8:8">
      <c r="H8808" s="39" t="e">
        <f>VLOOKUP(E8808,基础信息!C:E,3,FALSE)</f>
        <v>#N/A</v>
      </c>
    </row>
    <row r="8809" customHeight="1" spans="8:8">
      <c r="H8809" s="39" t="e">
        <f>VLOOKUP(E8809,基础信息!C:E,3,FALSE)</f>
        <v>#N/A</v>
      </c>
    </row>
    <row r="8810" customHeight="1" spans="8:8">
      <c r="H8810" s="39" t="e">
        <f>VLOOKUP(E8810,基础信息!C:E,3,FALSE)</f>
        <v>#N/A</v>
      </c>
    </row>
    <row r="8811" customHeight="1" spans="8:8">
      <c r="H8811" s="39" t="e">
        <f>VLOOKUP(E8811,基础信息!C:E,3,FALSE)</f>
        <v>#N/A</v>
      </c>
    </row>
    <row r="8812" customHeight="1" spans="8:8">
      <c r="H8812" s="39" t="e">
        <f>VLOOKUP(E8812,基础信息!C:E,3,FALSE)</f>
        <v>#N/A</v>
      </c>
    </row>
    <row r="8813" customHeight="1" spans="8:8">
      <c r="H8813" s="39" t="e">
        <f>VLOOKUP(E8813,基础信息!C:E,3,FALSE)</f>
        <v>#N/A</v>
      </c>
    </row>
    <row r="8814" customHeight="1" spans="8:8">
      <c r="H8814" s="39" t="e">
        <f>VLOOKUP(E8814,基础信息!C:E,3,FALSE)</f>
        <v>#N/A</v>
      </c>
    </row>
    <row r="8815" customHeight="1" spans="8:8">
      <c r="H8815" s="39" t="e">
        <f>VLOOKUP(E8815,基础信息!C:E,3,FALSE)</f>
        <v>#N/A</v>
      </c>
    </row>
    <row r="8816" customHeight="1" spans="8:8">
      <c r="H8816" s="39" t="e">
        <f>VLOOKUP(E8816,基础信息!C:E,3,FALSE)</f>
        <v>#N/A</v>
      </c>
    </row>
    <row r="8817" customHeight="1" spans="8:8">
      <c r="H8817" s="39" t="e">
        <f>VLOOKUP(E8817,基础信息!C:E,3,FALSE)</f>
        <v>#N/A</v>
      </c>
    </row>
    <row r="8818" customHeight="1" spans="8:8">
      <c r="H8818" s="39" t="e">
        <f>VLOOKUP(E8818,基础信息!C:E,3,FALSE)</f>
        <v>#N/A</v>
      </c>
    </row>
    <row r="8819" customHeight="1" spans="8:8">
      <c r="H8819" s="39" t="e">
        <f>VLOOKUP(E8819,基础信息!C:E,3,FALSE)</f>
        <v>#N/A</v>
      </c>
    </row>
    <row r="8820" customHeight="1" spans="8:8">
      <c r="H8820" s="39" t="e">
        <f>VLOOKUP(E8820,基础信息!C:E,3,FALSE)</f>
        <v>#N/A</v>
      </c>
    </row>
    <row r="8821" customHeight="1" spans="8:8">
      <c r="H8821" s="39" t="e">
        <f>VLOOKUP(E8821,基础信息!C:E,3,FALSE)</f>
        <v>#N/A</v>
      </c>
    </row>
    <row r="8822" customHeight="1" spans="8:8">
      <c r="H8822" s="39" t="e">
        <f>VLOOKUP(E8822,基础信息!C:E,3,FALSE)</f>
        <v>#N/A</v>
      </c>
    </row>
    <row r="8823" customHeight="1" spans="8:8">
      <c r="H8823" s="39" t="e">
        <f>VLOOKUP(E8823,基础信息!C:E,3,FALSE)</f>
        <v>#N/A</v>
      </c>
    </row>
    <row r="8824" customHeight="1" spans="8:8">
      <c r="H8824" s="39" t="e">
        <f>VLOOKUP(E8824,基础信息!C:E,3,FALSE)</f>
        <v>#N/A</v>
      </c>
    </row>
    <row r="8825" customHeight="1" spans="8:8">
      <c r="H8825" s="39" t="e">
        <f>VLOOKUP(E8825,基础信息!C:E,3,FALSE)</f>
        <v>#N/A</v>
      </c>
    </row>
    <row r="8826" customHeight="1" spans="8:8">
      <c r="H8826" s="39" t="e">
        <f>VLOOKUP(E8826,基础信息!C:E,3,FALSE)</f>
        <v>#N/A</v>
      </c>
    </row>
    <row r="8827" customHeight="1" spans="8:8">
      <c r="H8827" s="39" t="e">
        <f>VLOOKUP(E8827,基础信息!C:E,3,FALSE)</f>
        <v>#N/A</v>
      </c>
    </row>
    <row r="8828" customHeight="1" spans="8:8">
      <c r="H8828" s="39" t="e">
        <f>VLOOKUP(E8828,基础信息!C:E,3,FALSE)</f>
        <v>#N/A</v>
      </c>
    </row>
    <row r="8829" customHeight="1" spans="8:8">
      <c r="H8829" s="39" t="e">
        <f>VLOOKUP(E8829,基础信息!C:E,3,FALSE)</f>
        <v>#N/A</v>
      </c>
    </row>
    <row r="8830" customHeight="1" spans="8:8">
      <c r="H8830" s="39" t="e">
        <f>VLOOKUP(E8830,基础信息!C:E,3,FALSE)</f>
        <v>#N/A</v>
      </c>
    </row>
    <row r="8831" customHeight="1" spans="8:8">
      <c r="H8831" s="39" t="e">
        <f>VLOOKUP(E8831,基础信息!C:E,3,FALSE)</f>
        <v>#N/A</v>
      </c>
    </row>
    <row r="8832" customHeight="1" spans="8:8">
      <c r="H8832" s="39" t="e">
        <f>VLOOKUP(E8832,基础信息!C:E,3,FALSE)</f>
        <v>#N/A</v>
      </c>
    </row>
    <row r="8833" customHeight="1" spans="8:8">
      <c r="H8833" s="39" t="e">
        <f>VLOOKUP(E8833,基础信息!C:E,3,FALSE)</f>
        <v>#N/A</v>
      </c>
    </row>
    <row r="8834" customHeight="1" spans="8:8">
      <c r="H8834" s="39" t="e">
        <f>VLOOKUP(E8834,基础信息!C:E,3,FALSE)</f>
        <v>#N/A</v>
      </c>
    </row>
    <row r="8835" customHeight="1" spans="8:8">
      <c r="H8835" s="39" t="e">
        <f>VLOOKUP(E8835,基础信息!C:E,3,FALSE)</f>
        <v>#N/A</v>
      </c>
    </row>
    <row r="8836" customHeight="1" spans="8:8">
      <c r="H8836" s="39" t="e">
        <f>VLOOKUP(E8836,基础信息!C:E,3,FALSE)</f>
        <v>#N/A</v>
      </c>
    </row>
    <row r="8837" customHeight="1" spans="8:8">
      <c r="H8837" s="39" t="e">
        <f>VLOOKUP(E8837,基础信息!C:E,3,FALSE)</f>
        <v>#N/A</v>
      </c>
    </row>
    <row r="8838" customHeight="1" spans="8:8">
      <c r="H8838" s="39" t="e">
        <f>VLOOKUP(E8838,基础信息!C:E,3,FALSE)</f>
        <v>#N/A</v>
      </c>
    </row>
    <row r="8839" customHeight="1" spans="8:8">
      <c r="H8839" s="39" t="e">
        <f>VLOOKUP(E8839,基础信息!C:E,3,FALSE)</f>
        <v>#N/A</v>
      </c>
    </row>
    <row r="8840" customHeight="1" spans="8:8">
      <c r="H8840" s="39" t="e">
        <f>VLOOKUP(E8840,基础信息!C:E,3,FALSE)</f>
        <v>#N/A</v>
      </c>
    </row>
    <row r="8841" customHeight="1" spans="8:8">
      <c r="H8841" s="39" t="e">
        <f>VLOOKUP(E8841,基础信息!C:E,3,FALSE)</f>
        <v>#N/A</v>
      </c>
    </row>
    <row r="8842" customHeight="1" spans="8:8">
      <c r="H8842" s="39" t="e">
        <f>VLOOKUP(E8842,基础信息!C:E,3,FALSE)</f>
        <v>#N/A</v>
      </c>
    </row>
    <row r="8843" customHeight="1" spans="8:8">
      <c r="H8843" s="39" t="e">
        <f>VLOOKUP(E8843,基础信息!C:E,3,FALSE)</f>
        <v>#N/A</v>
      </c>
    </row>
    <row r="8844" customHeight="1" spans="8:8">
      <c r="H8844" s="39" t="e">
        <f>VLOOKUP(E8844,基础信息!C:E,3,FALSE)</f>
        <v>#N/A</v>
      </c>
    </row>
    <row r="8845" customHeight="1" spans="8:8">
      <c r="H8845" s="39" t="e">
        <f>VLOOKUP(E8845,基础信息!C:E,3,FALSE)</f>
        <v>#N/A</v>
      </c>
    </row>
    <row r="8846" customHeight="1" spans="8:8">
      <c r="H8846" s="39" t="e">
        <f>VLOOKUP(E8846,基础信息!C:E,3,FALSE)</f>
        <v>#N/A</v>
      </c>
    </row>
    <row r="8847" customHeight="1" spans="8:8">
      <c r="H8847" s="39" t="e">
        <f>VLOOKUP(E8847,基础信息!C:E,3,FALSE)</f>
        <v>#N/A</v>
      </c>
    </row>
    <row r="8848" customHeight="1" spans="8:8">
      <c r="H8848" s="39" t="e">
        <f>VLOOKUP(E8848,基础信息!C:E,3,FALSE)</f>
        <v>#N/A</v>
      </c>
    </row>
    <row r="8849" customHeight="1" spans="8:8">
      <c r="H8849" s="39" t="e">
        <f>VLOOKUP(E8849,基础信息!C:E,3,FALSE)</f>
        <v>#N/A</v>
      </c>
    </row>
    <row r="8850" customHeight="1" spans="8:8">
      <c r="H8850" s="39" t="e">
        <f>VLOOKUP(E8850,基础信息!C:E,3,FALSE)</f>
        <v>#N/A</v>
      </c>
    </row>
    <row r="8851" customHeight="1" spans="8:8">
      <c r="H8851" s="39" t="e">
        <f>VLOOKUP(E8851,基础信息!C:E,3,FALSE)</f>
        <v>#N/A</v>
      </c>
    </row>
    <row r="8852" customHeight="1" spans="8:8">
      <c r="H8852" s="39" t="e">
        <f>VLOOKUP(E8852,基础信息!C:E,3,FALSE)</f>
        <v>#N/A</v>
      </c>
    </row>
    <row r="8853" customHeight="1" spans="8:8">
      <c r="H8853" s="39" t="e">
        <f>VLOOKUP(E8853,基础信息!C:E,3,FALSE)</f>
        <v>#N/A</v>
      </c>
    </row>
    <row r="8854" customHeight="1" spans="8:8">
      <c r="H8854" s="39" t="e">
        <f>VLOOKUP(E8854,基础信息!C:E,3,FALSE)</f>
        <v>#N/A</v>
      </c>
    </row>
    <row r="8855" customHeight="1" spans="8:8">
      <c r="H8855" s="39" t="e">
        <f>VLOOKUP(E8855,基础信息!C:E,3,FALSE)</f>
        <v>#N/A</v>
      </c>
    </row>
    <row r="8856" customHeight="1" spans="8:8">
      <c r="H8856" s="39" t="e">
        <f>VLOOKUP(E8856,基础信息!C:E,3,FALSE)</f>
        <v>#N/A</v>
      </c>
    </row>
    <row r="8857" customHeight="1" spans="8:8">
      <c r="H8857" s="39" t="e">
        <f>VLOOKUP(E8857,基础信息!C:E,3,FALSE)</f>
        <v>#N/A</v>
      </c>
    </row>
    <row r="8858" customHeight="1" spans="8:8">
      <c r="H8858" s="39" t="e">
        <f>VLOOKUP(E8858,基础信息!C:E,3,FALSE)</f>
        <v>#N/A</v>
      </c>
    </row>
    <row r="8859" customHeight="1" spans="8:8">
      <c r="H8859" s="39" t="e">
        <f>VLOOKUP(E8859,基础信息!C:E,3,FALSE)</f>
        <v>#N/A</v>
      </c>
    </row>
    <row r="8860" customHeight="1" spans="8:8">
      <c r="H8860" s="39" t="e">
        <f>VLOOKUP(E8860,基础信息!C:E,3,FALSE)</f>
        <v>#N/A</v>
      </c>
    </row>
    <row r="8861" customHeight="1" spans="8:8">
      <c r="H8861" s="39" t="e">
        <f>VLOOKUP(E8861,基础信息!C:E,3,FALSE)</f>
        <v>#N/A</v>
      </c>
    </row>
    <row r="8862" customHeight="1" spans="8:8">
      <c r="H8862" s="39" t="e">
        <f>VLOOKUP(E8862,基础信息!C:E,3,FALSE)</f>
        <v>#N/A</v>
      </c>
    </row>
    <row r="8863" customHeight="1" spans="8:8">
      <c r="H8863" s="39" t="e">
        <f>VLOOKUP(E8863,基础信息!C:E,3,FALSE)</f>
        <v>#N/A</v>
      </c>
    </row>
    <row r="8864" customHeight="1" spans="8:8">
      <c r="H8864" s="39" t="e">
        <f>VLOOKUP(E8864,基础信息!C:E,3,FALSE)</f>
        <v>#N/A</v>
      </c>
    </row>
    <row r="8865" customHeight="1" spans="8:8">
      <c r="H8865" s="39" t="e">
        <f>VLOOKUP(E8865,基础信息!C:E,3,FALSE)</f>
        <v>#N/A</v>
      </c>
    </row>
    <row r="8866" customHeight="1" spans="8:8">
      <c r="H8866" s="39" t="e">
        <f>VLOOKUP(E8866,基础信息!C:E,3,FALSE)</f>
        <v>#N/A</v>
      </c>
    </row>
    <row r="8867" customHeight="1" spans="8:8">
      <c r="H8867" s="39" t="e">
        <f>VLOOKUP(E8867,基础信息!C:E,3,FALSE)</f>
        <v>#N/A</v>
      </c>
    </row>
    <row r="8868" customHeight="1" spans="8:8">
      <c r="H8868" s="39" t="e">
        <f>VLOOKUP(E8868,基础信息!C:E,3,FALSE)</f>
        <v>#N/A</v>
      </c>
    </row>
    <row r="8869" customHeight="1" spans="8:8">
      <c r="H8869" s="39" t="e">
        <f>VLOOKUP(E8869,基础信息!C:E,3,FALSE)</f>
        <v>#N/A</v>
      </c>
    </row>
    <row r="8870" customHeight="1" spans="8:8">
      <c r="H8870" s="39" t="e">
        <f>VLOOKUP(E8870,基础信息!C:E,3,FALSE)</f>
        <v>#N/A</v>
      </c>
    </row>
    <row r="8871" customHeight="1" spans="8:8">
      <c r="H8871" s="39" t="e">
        <f>VLOOKUP(E8871,基础信息!C:E,3,FALSE)</f>
        <v>#N/A</v>
      </c>
    </row>
    <row r="8872" customHeight="1" spans="8:8">
      <c r="H8872" s="39" t="e">
        <f>VLOOKUP(E8872,基础信息!C:E,3,FALSE)</f>
        <v>#N/A</v>
      </c>
    </row>
    <row r="8873" customHeight="1" spans="8:8">
      <c r="H8873" s="39" t="e">
        <f>VLOOKUP(E8873,基础信息!C:E,3,FALSE)</f>
        <v>#N/A</v>
      </c>
    </row>
    <row r="8874" customHeight="1" spans="8:8">
      <c r="H8874" s="39" t="e">
        <f>VLOOKUP(E8874,基础信息!C:E,3,FALSE)</f>
        <v>#N/A</v>
      </c>
    </row>
    <row r="8875" customHeight="1" spans="8:8">
      <c r="H8875" s="39" t="e">
        <f>VLOOKUP(E8875,基础信息!C:E,3,FALSE)</f>
        <v>#N/A</v>
      </c>
    </row>
    <row r="8876" customHeight="1" spans="8:8">
      <c r="H8876" s="39" t="e">
        <f>VLOOKUP(E8876,基础信息!C:E,3,FALSE)</f>
        <v>#N/A</v>
      </c>
    </row>
    <row r="8877" customHeight="1" spans="8:8">
      <c r="H8877" s="39" t="e">
        <f>VLOOKUP(E8877,基础信息!C:E,3,FALSE)</f>
        <v>#N/A</v>
      </c>
    </row>
    <row r="8878" customHeight="1" spans="8:8">
      <c r="H8878" s="39" t="e">
        <f>VLOOKUP(E8878,基础信息!C:E,3,FALSE)</f>
        <v>#N/A</v>
      </c>
    </row>
    <row r="8879" customHeight="1" spans="8:8">
      <c r="H8879" s="39" t="e">
        <f>VLOOKUP(E8879,基础信息!C:E,3,FALSE)</f>
        <v>#N/A</v>
      </c>
    </row>
    <row r="8880" customHeight="1" spans="8:8">
      <c r="H8880" s="39" t="e">
        <f>VLOOKUP(E8880,基础信息!C:E,3,FALSE)</f>
        <v>#N/A</v>
      </c>
    </row>
    <row r="8881" customHeight="1" spans="8:8">
      <c r="H8881" s="39" t="e">
        <f>VLOOKUP(E8881,基础信息!C:E,3,FALSE)</f>
        <v>#N/A</v>
      </c>
    </row>
    <row r="8882" customHeight="1" spans="8:8">
      <c r="H8882" s="39" t="e">
        <f>VLOOKUP(E8882,基础信息!C:E,3,FALSE)</f>
        <v>#N/A</v>
      </c>
    </row>
    <row r="8883" customHeight="1" spans="8:8">
      <c r="H8883" s="39" t="e">
        <f>VLOOKUP(E8883,基础信息!C:E,3,FALSE)</f>
        <v>#N/A</v>
      </c>
    </row>
    <row r="8884" customHeight="1" spans="8:8">
      <c r="H8884" s="39" t="e">
        <f>VLOOKUP(E8884,基础信息!C:E,3,FALSE)</f>
        <v>#N/A</v>
      </c>
    </row>
    <row r="8885" customHeight="1" spans="8:8">
      <c r="H8885" s="39" t="e">
        <f>VLOOKUP(E8885,基础信息!C:E,3,FALSE)</f>
        <v>#N/A</v>
      </c>
    </row>
    <row r="8886" customHeight="1" spans="8:8">
      <c r="H8886" s="39" t="e">
        <f>VLOOKUP(E8886,基础信息!C:E,3,FALSE)</f>
        <v>#N/A</v>
      </c>
    </row>
    <row r="8887" customHeight="1" spans="8:8">
      <c r="H8887" s="39" t="e">
        <f>VLOOKUP(E8887,基础信息!C:E,3,FALSE)</f>
        <v>#N/A</v>
      </c>
    </row>
    <row r="8888" customHeight="1" spans="8:8">
      <c r="H8888" s="39" t="e">
        <f>VLOOKUP(E8888,基础信息!C:E,3,FALSE)</f>
        <v>#N/A</v>
      </c>
    </row>
    <row r="8889" customHeight="1" spans="8:8">
      <c r="H8889" s="39" t="e">
        <f>VLOOKUP(E8889,基础信息!C:E,3,FALSE)</f>
        <v>#N/A</v>
      </c>
    </row>
    <row r="8890" customHeight="1" spans="8:8">
      <c r="H8890" s="39" t="e">
        <f>VLOOKUP(E8890,基础信息!C:E,3,FALSE)</f>
        <v>#N/A</v>
      </c>
    </row>
    <row r="8891" customHeight="1" spans="8:8">
      <c r="H8891" s="39" t="e">
        <f>VLOOKUP(E8891,基础信息!C:E,3,FALSE)</f>
        <v>#N/A</v>
      </c>
    </row>
    <row r="8892" customHeight="1" spans="8:8">
      <c r="H8892" s="39" t="e">
        <f>VLOOKUP(E8892,基础信息!C:E,3,FALSE)</f>
        <v>#N/A</v>
      </c>
    </row>
    <row r="8893" customHeight="1" spans="8:8">
      <c r="H8893" s="39" t="e">
        <f>VLOOKUP(E8893,基础信息!C:E,3,FALSE)</f>
        <v>#N/A</v>
      </c>
    </row>
    <row r="8894" customHeight="1" spans="8:8">
      <c r="H8894" s="39" t="e">
        <f>VLOOKUP(E8894,基础信息!C:E,3,FALSE)</f>
        <v>#N/A</v>
      </c>
    </row>
    <row r="8895" customHeight="1" spans="8:8">
      <c r="H8895" s="39" t="e">
        <f>VLOOKUP(E8895,基础信息!C:E,3,FALSE)</f>
        <v>#N/A</v>
      </c>
    </row>
    <row r="8896" customHeight="1" spans="8:8">
      <c r="H8896" s="39" t="e">
        <f>VLOOKUP(E8896,基础信息!C:E,3,FALSE)</f>
        <v>#N/A</v>
      </c>
    </row>
    <row r="8897" customHeight="1" spans="8:8">
      <c r="H8897" s="39" t="e">
        <f>VLOOKUP(E8897,基础信息!C:E,3,FALSE)</f>
        <v>#N/A</v>
      </c>
    </row>
    <row r="8898" customHeight="1" spans="8:8">
      <c r="H8898" s="39" t="e">
        <f>VLOOKUP(E8898,基础信息!C:E,3,FALSE)</f>
        <v>#N/A</v>
      </c>
    </row>
    <row r="8899" customHeight="1" spans="8:8">
      <c r="H8899" s="39" t="e">
        <f>VLOOKUP(E8899,基础信息!C:E,3,FALSE)</f>
        <v>#N/A</v>
      </c>
    </row>
    <row r="8900" customHeight="1" spans="8:8">
      <c r="H8900" s="39" t="e">
        <f>VLOOKUP(E8900,基础信息!C:E,3,FALSE)</f>
        <v>#N/A</v>
      </c>
    </row>
    <row r="8901" customHeight="1" spans="8:8">
      <c r="H8901" s="39" t="e">
        <f>VLOOKUP(E8901,基础信息!C:E,3,FALSE)</f>
        <v>#N/A</v>
      </c>
    </row>
    <row r="8902" customHeight="1" spans="8:8">
      <c r="H8902" s="39" t="e">
        <f>VLOOKUP(E8902,基础信息!C:E,3,FALSE)</f>
        <v>#N/A</v>
      </c>
    </row>
    <row r="8903" customHeight="1" spans="8:8">
      <c r="H8903" s="39" t="e">
        <f>VLOOKUP(E8903,基础信息!C:E,3,FALSE)</f>
        <v>#N/A</v>
      </c>
    </row>
    <row r="8904" customHeight="1" spans="8:8">
      <c r="H8904" s="39" t="e">
        <f>VLOOKUP(E8904,基础信息!C:E,3,FALSE)</f>
        <v>#N/A</v>
      </c>
    </row>
    <row r="8905" customHeight="1" spans="8:8">
      <c r="H8905" s="39" t="e">
        <f>VLOOKUP(E8905,基础信息!C:E,3,FALSE)</f>
        <v>#N/A</v>
      </c>
    </row>
    <row r="8906" customHeight="1" spans="8:8">
      <c r="H8906" s="39" t="e">
        <f>VLOOKUP(E8906,基础信息!C:E,3,FALSE)</f>
        <v>#N/A</v>
      </c>
    </row>
    <row r="8907" customHeight="1" spans="8:8">
      <c r="H8907" s="39" t="e">
        <f>VLOOKUP(E8907,基础信息!C:E,3,FALSE)</f>
        <v>#N/A</v>
      </c>
    </row>
    <row r="8908" customHeight="1" spans="8:8">
      <c r="H8908" s="39" t="e">
        <f>VLOOKUP(E8908,基础信息!C:E,3,FALSE)</f>
        <v>#N/A</v>
      </c>
    </row>
    <row r="8909" customHeight="1" spans="8:8">
      <c r="H8909" s="39" t="e">
        <f>VLOOKUP(E8909,基础信息!C:E,3,FALSE)</f>
        <v>#N/A</v>
      </c>
    </row>
    <row r="8910" customHeight="1" spans="8:8">
      <c r="H8910" s="39" t="e">
        <f>VLOOKUP(E8910,基础信息!C:E,3,FALSE)</f>
        <v>#N/A</v>
      </c>
    </row>
    <row r="8911" customHeight="1" spans="8:8">
      <c r="H8911" s="39" t="e">
        <f>VLOOKUP(E8911,基础信息!C:E,3,FALSE)</f>
        <v>#N/A</v>
      </c>
    </row>
    <row r="8912" customHeight="1" spans="8:8">
      <c r="H8912" s="39" t="e">
        <f>VLOOKUP(E8912,基础信息!C:E,3,FALSE)</f>
        <v>#N/A</v>
      </c>
    </row>
    <row r="8913" customHeight="1" spans="8:8">
      <c r="H8913" s="39" t="e">
        <f>VLOOKUP(E8913,基础信息!C:E,3,FALSE)</f>
        <v>#N/A</v>
      </c>
    </row>
    <row r="8914" customHeight="1" spans="8:8">
      <c r="H8914" s="39" t="e">
        <f>VLOOKUP(E8914,基础信息!C:E,3,FALSE)</f>
        <v>#N/A</v>
      </c>
    </row>
    <row r="8915" customHeight="1" spans="8:8">
      <c r="H8915" s="39" t="e">
        <f>VLOOKUP(E8915,基础信息!C:E,3,FALSE)</f>
        <v>#N/A</v>
      </c>
    </row>
    <row r="8916" customHeight="1" spans="8:8">
      <c r="H8916" s="39" t="e">
        <f>VLOOKUP(E8916,基础信息!C:E,3,FALSE)</f>
        <v>#N/A</v>
      </c>
    </row>
    <row r="8917" customHeight="1" spans="8:8">
      <c r="H8917" s="39" t="e">
        <f>VLOOKUP(E8917,基础信息!C:E,3,FALSE)</f>
        <v>#N/A</v>
      </c>
    </row>
    <row r="8918" customHeight="1" spans="8:8">
      <c r="H8918" s="39" t="e">
        <f>VLOOKUP(E8918,基础信息!C:E,3,FALSE)</f>
        <v>#N/A</v>
      </c>
    </row>
    <row r="8919" customHeight="1" spans="8:8">
      <c r="H8919" s="39" t="e">
        <f>VLOOKUP(E8919,基础信息!C:E,3,FALSE)</f>
        <v>#N/A</v>
      </c>
    </row>
    <row r="8920" customHeight="1" spans="8:8">
      <c r="H8920" s="39" t="e">
        <f>VLOOKUP(E8920,基础信息!C:E,3,FALSE)</f>
        <v>#N/A</v>
      </c>
    </row>
    <row r="8921" customHeight="1" spans="8:8">
      <c r="H8921" s="39" t="e">
        <f>VLOOKUP(E8921,基础信息!C:E,3,FALSE)</f>
        <v>#N/A</v>
      </c>
    </row>
    <row r="8922" customHeight="1" spans="8:8">
      <c r="H8922" s="39" t="e">
        <f>VLOOKUP(E8922,基础信息!C:E,3,FALSE)</f>
        <v>#N/A</v>
      </c>
    </row>
    <row r="8923" customHeight="1" spans="8:8">
      <c r="H8923" s="39" t="e">
        <f>VLOOKUP(E8923,基础信息!C:E,3,FALSE)</f>
        <v>#N/A</v>
      </c>
    </row>
    <row r="8924" customHeight="1" spans="8:8">
      <c r="H8924" s="39" t="e">
        <f>VLOOKUP(E8924,基础信息!C:E,3,FALSE)</f>
        <v>#N/A</v>
      </c>
    </row>
    <row r="8925" customHeight="1" spans="8:8">
      <c r="H8925" s="39" t="e">
        <f>VLOOKUP(E8925,基础信息!C:E,3,FALSE)</f>
        <v>#N/A</v>
      </c>
    </row>
    <row r="8926" customHeight="1" spans="8:8">
      <c r="H8926" s="39" t="e">
        <f>VLOOKUP(E8926,基础信息!C:E,3,FALSE)</f>
        <v>#N/A</v>
      </c>
    </row>
    <row r="8927" customHeight="1" spans="8:8">
      <c r="H8927" s="39" t="e">
        <f>VLOOKUP(E8927,基础信息!C:E,3,FALSE)</f>
        <v>#N/A</v>
      </c>
    </row>
    <row r="8928" customHeight="1" spans="8:8">
      <c r="H8928" s="39" t="e">
        <f>VLOOKUP(E8928,基础信息!C:E,3,FALSE)</f>
        <v>#N/A</v>
      </c>
    </row>
    <row r="8929" customHeight="1" spans="8:8">
      <c r="H8929" s="39" t="e">
        <f>VLOOKUP(E8929,基础信息!C:E,3,FALSE)</f>
        <v>#N/A</v>
      </c>
    </row>
    <row r="8930" customHeight="1" spans="8:8">
      <c r="H8930" s="39" t="e">
        <f>VLOOKUP(E8930,基础信息!C:E,3,FALSE)</f>
        <v>#N/A</v>
      </c>
    </row>
    <row r="8931" customHeight="1" spans="8:8">
      <c r="H8931" s="39" t="e">
        <f>VLOOKUP(E8931,基础信息!C:E,3,FALSE)</f>
        <v>#N/A</v>
      </c>
    </row>
    <row r="8932" customHeight="1" spans="8:8">
      <c r="H8932" s="39" t="e">
        <f>VLOOKUP(E8932,基础信息!C:E,3,FALSE)</f>
        <v>#N/A</v>
      </c>
    </row>
    <row r="8933" customHeight="1" spans="8:8">
      <c r="H8933" s="39" t="e">
        <f>VLOOKUP(E8933,基础信息!C:E,3,FALSE)</f>
        <v>#N/A</v>
      </c>
    </row>
    <row r="8934" customHeight="1" spans="8:8">
      <c r="H8934" s="39" t="e">
        <f>VLOOKUP(E8934,基础信息!C:E,3,FALSE)</f>
        <v>#N/A</v>
      </c>
    </row>
    <row r="8935" customHeight="1" spans="8:8">
      <c r="H8935" s="39" t="e">
        <f>VLOOKUP(E8935,基础信息!C:E,3,FALSE)</f>
        <v>#N/A</v>
      </c>
    </row>
    <row r="8936" customHeight="1" spans="8:8">
      <c r="H8936" s="39" t="e">
        <f>VLOOKUP(E8936,基础信息!C:E,3,FALSE)</f>
        <v>#N/A</v>
      </c>
    </row>
    <row r="8937" customHeight="1" spans="8:8">
      <c r="H8937" s="39" t="e">
        <f>VLOOKUP(E8937,基础信息!C:E,3,FALSE)</f>
        <v>#N/A</v>
      </c>
    </row>
    <row r="8938" customHeight="1" spans="8:8">
      <c r="H8938" s="39" t="e">
        <f>VLOOKUP(E8938,基础信息!C:E,3,FALSE)</f>
        <v>#N/A</v>
      </c>
    </row>
    <row r="8939" customHeight="1" spans="8:8">
      <c r="H8939" s="39" t="e">
        <f>VLOOKUP(E8939,基础信息!C:E,3,FALSE)</f>
        <v>#N/A</v>
      </c>
    </row>
    <row r="8940" customHeight="1" spans="8:8">
      <c r="H8940" s="39" t="e">
        <f>VLOOKUP(E8940,基础信息!C:E,3,FALSE)</f>
        <v>#N/A</v>
      </c>
    </row>
    <row r="8941" customHeight="1" spans="8:8">
      <c r="H8941" s="39" t="e">
        <f>VLOOKUP(E8941,基础信息!C:E,3,FALSE)</f>
        <v>#N/A</v>
      </c>
    </row>
    <row r="8942" customHeight="1" spans="8:8">
      <c r="H8942" s="39" t="e">
        <f>VLOOKUP(E8942,基础信息!C:E,3,FALSE)</f>
        <v>#N/A</v>
      </c>
    </row>
    <row r="8943" customHeight="1" spans="8:8">
      <c r="H8943" s="39" t="e">
        <f>VLOOKUP(E8943,基础信息!C:E,3,FALSE)</f>
        <v>#N/A</v>
      </c>
    </row>
    <row r="8944" customHeight="1" spans="8:8">
      <c r="H8944" s="39" t="e">
        <f>VLOOKUP(E8944,基础信息!C:E,3,FALSE)</f>
        <v>#N/A</v>
      </c>
    </row>
    <row r="8945" customHeight="1" spans="8:8">
      <c r="H8945" s="39" t="e">
        <f>VLOOKUP(E8945,基础信息!C:E,3,FALSE)</f>
        <v>#N/A</v>
      </c>
    </row>
    <row r="8946" customHeight="1" spans="8:8">
      <c r="H8946" s="39" t="e">
        <f>VLOOKUP(E8946,基础信息!C:E,3,FALSE)</f>
        <v>#N/A</v>
      </c>
    </row>
    <row r="8947" customHeight="1" spans="8:8">
      <c r="H8947" s="39" t="e">
        <f>VLOOKUP(E8947,基础信息!C:E,3,FALSE)</f>
        <v>#N/A</v>
      </c>
    </row>
    <row r="8948" customHeight="1" spans="8:8">
      <c r="H8948" s="39" t="e">
        <f>VLOOKUP(E8948,基础信息!C:E,3,FALSE)</f>
        <v>#N/A</v>
      </c>
    </row>
    <row r="8949" customHeight="1" spans="8:8">
      <c r="H8949" s="39" t="e">
        <f>VLOOKUP(E8949,基础信息!C:E,3,FALSE)</f>
        <v>#N/A</v>
      </c>
    </row>
    <row r="8950" customHeight="1" spans="8:8">
      <c r="H8950" s="39" t="e">
        <f>VLOOKUP(E8950,基础信息!C:E,3,FALSE)</f>
        <v>#N/A</v>
      </c>
    </row>
    <row r="8951" customHeight="1" spans="8:8">
      <c r="H8951" s="39" t="e">
        <f>VLOOKUP(E8951,基础信息!C:E,3,FALSE)</f>
        <v>#N/A</v>
      </c>
    </row>
    <row r="8952" customHeight="1" spans="8:8">
      <c r="H8952" s="39" t="e">
        <f>VLOOKUP(E8952,基础信息!C:E,3,FALSE)</f>
        <v>#N/A</v>
      </c>
    </row>
    <row r="8953" customHeight="1" spans="8:8">
      <c r="H8953" s="39" t="e">
        <f>VLOOKUP(E8953,基础信息!C:E,3,FALSE)</f>
        <v>#N/A</v>
      </c>
    </row>
    <row r="8954" customHeight="1" spans="8:8">
      <c r="H8954" s="39" t="e">
        <f>VLOOKUP(E8954,基础信息!C:E,3,FALSE)</f>
        <v>#N/A</v>
      </c>
    </row>
    <row r="8955" customHeight="1" spans="8:8">
      <c r="H8955" s="39" t="e">
        <f>VLOOKUP(E8955,基础信息!C:E,3,FALSE)</f>
        <v>#N/A</v>
      </c>
    </row>
    <row r="8956" customHeight="1" spans="8:8">
      <c r="H8956" s="39" t="e">
        <f>VLOOKUP(E8956,基础信息!C:E,3,FALSE)</f>
        <v>#N/A</v>
      </c>
    </row>
    <row r="8957" customHeight="1" spans="8:8">
      <c r="H8957" s="39" t="e">
        <f>VLOOKUP(E8957,基础信息!C:E,3,FALSE)</f>
        <v>#N/A</v>
      </c>
    </row>
    <row r="8958" customHeight="1" spans="8:8">
      <c r="H8958" s="39" t="e">
        <f>VLOOKUP(E8958,基础信息!C:E,3,FALSE)</f>
        <v>#N/A</v>
      </c>
    </row>
    <row r="8959" customHeight="1" spans="8:8">
      <c r="H8959" s="39" t="e">
        <f>VLOOKUP(E8959,基础信息!C:E,3,FALSE)</f>
        <v>#N/A</v>
      </c>
    </row>
    <row r="8960" customHeight="1" spans="8:8">
      <c r="H8960" s="39" t="e">
        <f>VLOOKUP(E8960,基础信息!C:E,3,FALSE)</f>
        <v>#N/A</v>
      </c>
    </row>
    <row r="8961" customHeight="1" spans="8:8">
      <c r="H8961" s="39" t="e">
        <f>VLOOKUP(E8961,基础信息!C:E,3,FALSE)</f>
        <v>#N/A</v>
      </c>
    </row>
    <row r="8962" customHeight="1" spans="8:8">
      <c r="H8962" s="39" t="e">
        <f>VLOOKUP(E8962,基础信息!C:E,3,FALSE)</f>
        <v>#N/A</v>
      </c>
    </row>
    <row r="8963" customHeight="1" spans="8:8">
      <c r="H8963" s="39" t="e">
        <f>VLOOKUP(E8963,基础信息!C:E,3,FALSE)</f>
        <v>#N/A</v>
      </c>
    </row>
    <row r="8964" customHeight="1" spans="8:8">
      <c r="H8964" s="39" t="e">
        <f>VLOOKUP(E8964,基础信息!C:E,3,FALSE)</f>
        <v>#N/A</v>
      </c>
    </row>
    <row r="8965" customHeight="1" spans="8:8">
      <c r="H8965" s="39" t="e">
        <f>VLOOKUP(E8965,基础信息!C:E,3,FALSE)</f>
        <v>#N/A</v>
      </c>
    </row>
    <row r="8966" customHeight="1" spans="8:8">
      <c r="H8966" s="39" t="e">
        <f>VLOOKUP(E8966,基础信息!C:E,3,FALSE)</f>
        <v>#N/A</v>
      </c>
    </row>
    <row r="8967" customHeight="1" spans="8:8">
      <c r="H8967" s="39" t="e">
        <f>VLOOKUP(E8967,基础信息!C:E,3,FALSE)</f>
        <v>#N/A</v>
      </c>
    </row>
    <row r="8968" customHeight="1" spans="8:8">
      <c r="H8968" s="39" t="e">
        <f>VLOOKUP(E8968,基础信息!C:E,3,FALSE)</f>
        <v>#N/A</v>
      </c>
    </row>
    <row r="8969" customHeight="1" spans="8:8">
      <c r="H8969" s="39" t="e">
        <f>VLOOKUP(E8969,基础信息!C:E,3,FALSE)</f>
        <v>#N/A</v>
      </c>
    </row>
    <row r="8970" customHeight="1" spans="8:8">
      <c r="H8970" s="39" t="e">
        <f>VLOOKUP(E8970,基础信息!C:E,3,FALSE)</f>
        <v>#N/A</v>
      </c>
    </row>
    <row r="8971" customHeight="1" spans="8:8">
      <c r="H8971" s="39" t="e">
        <f>VLOOKUP(E8971,基础信息!C:E,3,FALSE)</f>
        <v>#N/A</v>
      </c>
    </row>
    <row r="8972" customHeight="1" spans="8:8">
      <c r="H8972" s="39" t="e">
        <f>VLOOKUP(E8972,基础信息!C:E,3,FALSE)</f>
        <v>#N/A</v>
      </c>
    </row>
    <row r="8973" customHeight="1" spans="8:8">
      <c r="H8973" s="39" t="e">
        <f>VLOOKUP(E8973,基础信息!C:E,3,FALSE)</f>
        <v>#N/A</v>
      </c>
    </row>
    <row r="8974" customHeight="1" spans="8:8">
      <c r="H8974" s="39" t="e">
        <f>VLOOKUP(E8974,基础信息!C:E,3,FALSE)</f>
        <v>#N/A</v>
      </c>
    </row>
    <row r="8975" customHeight="1" spans="8:8">
      <c r="H8975" s="39" t="e">
        <f>VLOOKUP(E8975,基础信息!C:E,3,FALSE)</f>
        <v>#N/A</v>
      </c>
    </row>
    <row r="8976" customHeight="1" spans="8:8">
      <c r="H8976" s="39" t="e">
        <f>VLOOKUP(E8976,基础信息!C:E,3,FALSE)</f>
        <v>#N/A</v>
      </c>
    </row>
    <row r="8977" customHeight="1" spans="8:8">
      <c r="H8977" s="39" t="e">
        <f>VLOOKUP(E8977,基础信息!C:E,3,FALSE)</f>
        <v>#N/A</v>
      </c>
    </row>
    <row r="8978" customHeight="1" spans="8:8">
      <c r="H8978" s="39" t="e">
        <f>VLOOKUP(E8978,基础信息!C:E,3,FALSE)</f>
        <v>#N/A</v>
      </c>
    </row>
    <row r="8979" customHeight="1" spans="8:8">
      <c r="H8979" s="39" t="e">
        <f>VLOOKUP(E8979,基础信息!C:E,3,FALSE)</f>
        <v>#N/A</v>
      </c>
    </row>
    <row r="8980" customHeight="1" spans="8:8">
      <c r="H8980" s="39" t="e">
        <f>VLOOKUP(E8980,基础信息!C:E,3,FALSE)</f>
        <v>#N/A</v>
      </c>
    </row>
    <row r="8981" customHeight="1" spans="8:8">
      <c r="H8981" s="39" t="e">
        <f>VLOOKUP(E8981,基础信息!C:E,3,FALSE)</f>
        <v>#N/A</v>
      </c>
    </row>
    <row r="8982" customHeight="1" spans="8:8">
      <c r="H8982" s="39" t="e">
        <f>VLOOKUP(E8982,基础信息!C:E,3,FALSE)</f>
        <v>#N/A</v>
      </c>
    </row>
    <row r="8983" customHeight="1" spans="8:8">
      <c r="H8983" s="39" t="e">
        <f>VLOOKUP(E8983,基础信息!C:E,3,FALSE)</f>
        <v>#N/A</v>
      </c>
    </row>
    <row r="8984" customHeight="1" spans="8:8">
      <c r="H8984" s="39" t="e">
        <f>VLOOKUP(E8984,基础信息!C:E,3,FALSE)</f>
        <v>#N/A</v>
      </c>
    </row>
    <row r="8985" customHeight="1" spans="8:8">
      <c r="H8985" s="39" t="e">
        <f>VLOOKUP(E8985,基础信息!C:E,3,FALSE)</f>
        <v>#N/A</v>
      </c>
    </row>
    <row r="8986" customHeight="1" spans="8:8">
      <c r="H8986" s="39" t="e">
        <f>VLOOKUP(E8986,基础信息!C:E,3,FALSE)</f>
        <v>#N/A</v>
      </c>
    </row>
    <row r="8987" customHeight="1" spans="8:8">
      <c r="H8987" s="39" t="e">
        <f>VLOOKUP(E8987,基础信息!C:E,3,FALSE)</f>
        <v>#N/A</v>
      </c>
    </row>
    <row r="8988" customHeight="1" spans="8:8">
      <c r="H8988" s="39" t="e">
        <f>VLOOKUP(E8988,基础信息!C:E,3,FALSE)</f>
        <v>#N/A</v>
      </c>
    </row>
    <row r="8989" customHeight="1" spans="8:8">
      <c r="H8989" s="39" t="e">
        <f>VLOOKUP(E8989,基础信息!C:E,3,FALSE)</f>
        <v>#N/A</v>
      </c>
    </row>
    <row r="8990" customHeight="1" spans="8:8">
      <c r="H8990" s="39" t="e">
        <f>VLOOKUP(E8990,基础信息!C:E,3,FALSE)</f>
        <v>#N/A</v>
      </c>
    </row>
    <row r="8991" customHeight="1" spans="8:8">
      <c r="H8991" s="39" t="e">
        <f>VLOOKUP(E8991,基础信息!C:E,3,FALSE)</f>
        <v>#N/A</v>
      </c>
    </row>
    <row r="8992" customHeight="1" spans="8:8">
      <c r="H8992" s="39" t="e">
        <f>VLOOKUP(E8992,基础信息!C:E,3,FALSE)</f>
        <v>#N/A</v>
      </c>
    </row>
    <row r="8993" customHeight="1" spans="8:8">
      <c r="H8993" s="39" t="e">
        <f>VLOOKUP(E8993,基础信息!C:E,3,FALSE)</f>
        <v>#N/A</v>
      </c>
    </row>
    <row r="8994" customHeight="1" spans="8:8">
      <c r="H8994" s="39" t="e">
        <f>VLOOKUP(E8994,基础信息!C:E,3,FALSE)</f>
        <v>#N/A</v>
      </c>
    </row>
    <row r="8995" customHeight="1" spans="8:8">
      <c r="H8995" s="39" t="e">
        <f>VLOOKUP(E8995,基础信息!C:E,3,FALSE)</f>
        <v>#N/A</v>
      </c>
    </row>
    <row r="8996" customHeight="1" spans="8:8">
      <c r="H8996" s="39" t="e">
        <f>VLOOKUP(E8996,基础信息!C:E,3,FALSE)</f>
        <v>#N/A</v>
      </c>
    </row>
    <row r="8997" customHeight="1" spans="8:8">
      <c r="H8997" s="39" t="e">
        <f>VLOOKUP(E8997,基础信息!C:E,3,FALSE)</f>
        <v>#N/A</v>
      </c>
    </row>
    <row r="8998" customHeight="1" spans="8:8">
      <c r="H8998" s="39" t="e">
        <f>VLOOKUP(E8998,基础信息!C:E,3,FALSE)</f>
        <v>#N/A</v>
      </c>
    </row>
    <row r="8999" customHeight="1" spans="8:8">
      <c r="H8999" s="39" t="e">
        <f>VLOOKUP(E8999,基础信息!C:E,3,FALSE)</f>
        <v>#N/A</v>
      </c>
    </row>
    <row r="9000" customHeight="1" spans="8:8">
      <c r="H9000" s="39" t="e">
        <f>VLOOKUP(E9000,基础信息!C:E,3,FALSE)</f>
        <v>#N/A</v>
      </c>
    </row>
    <row r="9001" customHeight="1" spans="8:8">
      <c r="H9001" s="39" t="e">
        <f>VLOOKUP(E9001,基础信息!C:E,3,FALSE)</f>
        <v>#N/A</v>
      </c>
    </row>
    <row r="9002" customHeight="1" spans="8:8">
      <c r="H9002" s="39" t="e">
        <f>VLOOKUP(E9002,基础信息!C:E,3,FALSE)</f>
        <v>#N/A</v>
      </c>
    </row>
    <row r="9003" customHeight="1" spans="8:8">
      <c r="H9003" s="39" t="e">
        <f>VLOOKUP(E9003,基础信息!C:E,3,FALSE)</f>
        <v>#N/A</v>
      </c>
    </row>
    <row r="9004" customHeight="1" spans="8:8">
      <c r="H9004" s="39" t="e">
        <f>VLOOKUP(E9004,基础信息!C:E,3,FALSE)</f>
        <v>#N/A</v>
      </c>
    </row>
    <row r="9005" customHeight="1" spans="8:8">
      <c r="H9005" s="39" t="e">
        <f>VLOOKUP(E9005,基础信息!C:E,3,FALSE)</f>
        <v>#N/A</v>
      </c>
    </row>
    <row r="9006" customHeight="1" spans="8:8">
      <c r="H9006" s="39" t="e">
        <f>VLOOKUP(E9006,基础信息!C:E,3,FALSE)</f>
        <v>#N/A</v>
      </c>
    </row>
    <row r="9007" customHeight="1" spans="8:8">
      <c r="H9007" s="39" t="e">
        <f>VLOOKUP(E9007,基础信息!C:E,3,FALSE)</f>
        <v>#N/A</v>
      </c>
    </row>
    <row r="9008" customHeight="1" spans="8:8">
      <c r="H9008" s="39" t="e">
        <f>VLOOKUP(E9008,基础信息!C:E,3,FALSE)</f>
        <v>#N/A</v>
      </c>
    </row>
    <row r="9009" customHeight="1" spans="8:8">
      <c r="H9009" s="39" t="e">
        <f>VLOOKUP(E9009,基础信息!C:E,3,FALSE)</f>
        <v>#N/A</v>
      </c>
    </row>
    <row r="9010" customHeight="1" spans="8:8">
      <c r="H9010" s="39" t="e">
        <f>VLOOKUP(E9010,基础信息!C:E,3,FALSE)</f>
        <v>#N/A</v>
      </c>
    </row>
    <row r="9011" customHeight="1" spans="8:8">
      <c r="H9011" s="39" t="e">
        <f>VLOOKUP(E9011,基础信息!C:E,3,FALSE)</f>
        <v>#N/A</v>
      </c>
    </row>
    <row r="9012" customHeight="1" spans="8:8">
      <c r="H9012" s="39" t="e">
        <f>VLOOKUP(E9012,基础信息!C:E,3,FALSE)</f>
        <v>#N/A</v>
      </c>
    </row>
    <row r="9013" customHeight="1" spans="8:8">
      <c r="H9013" s="39" t="e">
        <f>VLOOKUP(E9013,基础信息!C:E,3,FALSE)</f>
        <v>#N/A</v>
      </c>
    </row>
    <row r="9014" customHeight="1" spans="8:8">
      <c r="H9014" s="39" t="e">
        <f>VLOOKUP(E9014,基础信息!C:E,3,FALSE)</f>
        <v>#N/A</v>
      </c>
    </row>
    <row r="9015" customHeight="1" spans="8:8">
      <c r="H9015" s="39" t="e">
        <f>VLOOKUP(E9015,基础信息!C:E,3,FALSE)</f>
        <v>#N/A</v>
      </c>
    </row>
    <row r="9016" customHeight="1" spans="8:8">
      <c r="H9016" s="39" t="e">
        <f>VLOOKUP(E9016,基础信息!C:E,3,FALSE)</f>
        <v>#N/A</v>
      </c>
    </row>
    <row r="9017" customHeight="1" spans="8:8">
      <c r="H9017" s="39" t="e">
        <f>VLOOKUP(E9017,基础信息!C:E,3,FALSE)</f>
        <v>#N/A</v>
      </c>
    </row>
    <row r="9018" customHeight="1" spans="8:8">
      <c r="H9018" s="39" t="e">
        <f>VLOOKUP(E9018,基础信息!C:E,3,FALSE)</f>
        <v>#N/A</v>
      </c>
    </row>
    <row r="9019" customHeight="1" spans="8:8">
      <c r="H9019" s="39" t="e">
        <f>VLOOKUP(E9019,基础信息!C:E,3,FALSE)</f>
        <v>#N/A</v>
      </c>
    </row>
    <row r="9020" customHeight="1" spans="8:8">
      <c r="H9020" s="39" t="e">
        <f>VLOOKUP(E9020,基础信息!C:E,3,FALSE)</f>
        <v>#N/A</v>
      </c>
    </row>
    <row r="9021" customHeight="1" spans="8:8">
      <c r="H9021" s="39" t="e">
        <f>VLOOKUP(E9021,基础信息!C:E,3,FALSE)</f>
        <v>#N/A</v>
      </c>
    </row>
    <row r="9022" customHeight="1" spans="8:8">
      <c r="H9022" s="39" t="e">
        <f>VLOOKUP(E9022,基础信息!C:E,3,FALSE)</f>
        <v>#N/A</v>
      </c>
    </row>
    <row r="9023" customHeight="1" spans="8:8">
      <c r="H9023" s="39" t="e">
        <f>VLOOKUP(E9023,基础信息!C:E,3,FALSE)</f>
        <v>#N/A</v>
      </c>
    </row>
    <row r="9024" customHeight="1" spans="8:8">
      <c r="H9024" s="39" t="e">
        <f>VLOOKUP(E9024,基础信息!C:E,3,FALSE)</f>
        <v>#N/A</v>
      </c>
    </row>
    <row r="9025" customHeight="1" spans="8:8">
      <c r="H9025" s="39" t="e">
        <f>VLOOKUP(E9025,基础信息!C:E,3,FALSE)</f>
        <v>#N/A</v>
      </c>
    </row>
    <row r="9026" customHeight="1" spans="8:8">
      <c r="H9026" s="39" t="e">
        <f>VLOOKUP(E9026,基础信息!C:E,3,FALSE)</f>
        <v>#N/A</v>
      </c>
    </row>
    <row r="9027" customHeight="1" spans="8:8">
      <c r="H9027" s="39" t="e">
        <f>VLOOKUP(E9027,基础信息!C:E,3,FALSE)</f>
        <v>#N/A</v>
      </c>
    </row>
    <row r="9028" customHeight="1" spans="8:8">
      <c r="H9028" s="39" t="e">
        <f>VLOOKUP(E9028,基础信息!C:E,3,FALSE)</f>
        <v>#N/A</v>
      </c>
    </row>
    <row r="9029" customHeight="1" spans="8:8">
      <c r="H9029" s="39" t="e">
        <f>VLOOKUP(E9029,基础信息!C:E,3,FALSE)</f>
        <v>#N/A</v>
      </c>
    </row>
    <row r="9030" customHeight="1" spans="8:8">
      <c r="H9030" s="39" t="e">
        <f>VLOOKUP(E9030,基础信息!C:E,3,FALSE)</f>
        <v>#N/A</v>
      </c>
    </row>
    <row r="9031" customHeight="1" spans="8:8">
      <c r="H9031" s="39" t="e">
        <f>VLOOKUP(E9031,基础信息!C:E,3,FALSE)</f>
        <v>#N/A</v>
      </c>
    </row>
    <row r="9032" customHeight="1" spans="8:8">
      <c r="H9032" s="39" t="e">
        <f>VLOOKUP(E9032,基础信息!C:E,3,FALSE)</f>
        <v>#N/A</v>
      </c>
    </row>
    <row r="9033" customHeight="1" spans="8:8">
      <c r="H9033" s="39" t="e">
        <f>VLOOKUP(E9033,基础信息!C:E,3,FALSE)</f>
        <v>#N/A</v>
      </c>
    </row>
    <row r="9034" customHeight="1" spans="8:8">
      <c r="H9034" s="39" t="e">
        <f>VLOOKUP(E9034,基础信息!C:E,3,FALSE)</f>
        <v>#N/A</v>
      </c>
    </row>
    <row r="9035" customHeight="1" spans="8:8">
      <c r="H9035" s="39" t="e">
        <f>VLOOKUP(E9035,基础信息!C:E,3,FALSE)</f>
        <v>#N/A</v>
      </c>
    </row>
    <row r="9036" customHeight="1" spans="8:8">
      <c r="H9036" s="39" t="e">
        <f>VLOOKUP(E9036,基础信息!C:E,3,FALSE)</f>
        <v>#N/A</v>
      </c>
    </row>
    <row r="9037" customHeight="1" spans="8:8">
      <c r="H9037" s="39" t="e">
        <f>VLOOKUP(E9037,基础信息!C:E,3,FALSE)</f>
        <v>#N/A</v>
      </c>
    </row>
    <row r="9038" customHeight="1" spans="8:8">
      <c r="H9038" s="39" t="e">
        <f>VLOOKUP(E9038,基础信息!C:E,3,FALSE)</f>
        <v>#N/A</v>
      </c>
    </row>
    <row r="9039" customHeight="1" spans="8:8">
      <c r="H9039" s="39" t="e">
        <f>VLOOKUP(E9039,基础信息!C:E,3,FALSE)</f>
        <v>#N/A</v>
      </c>
    </row>
    <row r="9040" customHeight="1" spans="8:8">
      <c r="H9040" s="39" t="e">
        <f>VLOOKUP(E9040,基础信息!C:E,3,FALSE)</f>
        <v>#N/A</v>
      </c>
    </row>
    <row r="9041" customHeight="1" spans="8:8">
      <c r="H9041" s="39" t="e">
        <f>VLOOKUP(E9041,基础信息!C:E,3,FALSE)</f>
        <v>#N/A</v>
      </c>
    </row>
    <row r="9042" customHeight="1" spans="8:8">
      <c r="H9042" s="39" t="e">
        <f>VLOOKUP(E9042,基础信息!C:E,3,FALSE)</f>
        <v>#N/A</v>
      </c>
    </row>
    <row r="9043" customHeight="1" spans="8:8">
      <c r="H9043" s="39" t="e">
        <f>VLOOKUP(E9043,基础信息!C:E,3,FALSE)</f>
        <v>#N/A</v>
      </c>
    </row>
    <row r="9044" customHeight="1" spans="8:8">
      <c r="H9044" s="39" t="e">
        <f>VLOOKUP(E9044,基础信息!C:E,3,FALSE)</f>
        <v>#N/A</v>
      </c>
    </row>
    <row r="9045" customHeight="1" spans="8:8">
      <c r="H9045" s="39" t="e">
        <f>VLOOKUP(E9045,基础信息!C:E,3,FALSE)</f>
        <v>#N/A</v>
      </c>
    </row>
    <row r="9046" customHeight="1" spans="8:8">
      <c r="H9046" s="39" t="e">
        <f>VLOOKUP(E9046,基础信息!C:E,3,FALSE)</f>
        <v>#N/A</v>
      </c>
    </row>
    <row r="9047" customHeight="1" spans="8:8">
      <c r="H9047" s="39" t="e">
        <f>VLOOKUP(E9047,基础信息!C:E,3,FALSE)</f>
        <v>#N/A</v>
      </c>
    </row>
    <row r="9048" customHeight="1" spans="8:8">
      <c r="H9048" s="39" t="e">
        <f>VLOOKUP(E9048,基础信息!C:E,3,FALSE)</f>
        <v>#N/A</v>
      </c>
    </row>
    <row r="9049" customHeight="1" spans="8:8">
      <c r="H9049" s="39" t="e">
        <f>VLOOKUP(E9049,基础信息!C:E,3,FALSE)</f>
        <v>#N/A</v>
      </c>
    </row>
    <row r="9050" customHeight="1" spans="8:8">
      <c r="H9050" s="39" t="e">
        <f>VLOOKUP(E9050,基础信息!C:E,3,FALSE)</f>
        <v>#N/A</v>
      </c>
    </row>
    <row r="9051" customHeight="1" spans="8:8">
      <c r="H9051" s="39" t="e">
        <f>VLOOKUP(E9051,基础信息!C:E,3,FALSE)</f>
        <v>#N/A</v>
      </c>
    </row>
    <row r="9052" customHeight="1" spans="8:8">
      <c r="H9052" s="39" t="e">
        <f>VLOOKUP(E9052,基础信息!C:E,3,FALSE)</f>
        <v>#N/A</v>
      </c>
    </row>
    <row r="9053" customHeight="1" spans="8:8">
      <c r="H9053" s="39" t="e">
        <f>VLOOKUP(E9053,基础信息!C:E,3,FALSE)</f>
        <v>#N/A</v>
      </c>
    </row>
    <row r="9054" customHeight="1" spans="8:8">
      <c r="H9054" s="39" t="e">
        <f>VLOOKUP(E9054,基础信息!C:E,3,FALSE)</f>
        <v>#N/A</v>
      </c>
    </row>
    <row r="9055" customHeight="1" spans="8:8">
      <c r="H9055" s="39" t="e">
        <f>VLOOKUP(E9055,基础信息!C:E,3,FALSE)</f>
        <v>#N/A</v>
      </c>
    </row>
    <row r="9056" customHeight="1" spans="8:8">
      <c r="H9056" s="39" t="e">
        <f>VLOOKUP(E9056,基础信息!C:E,3,FALSE)</f>
        <v>#N/A</v>
      </c>
    </row>
    <row r="9057" customHeight="1" spans="8:8">
      <c r="H9057" s="39" t="e">
        <f>VLOOKUP(E9057,基础信息!C:E,3,FALSE)</f>
        <v>#N/A</v>
      </c>
    </row>
    <row r="9058" customHeight="1" spans="8:8">
      <c r="H9058" s="39" t="e">
        <f>VLOOKUP(E9058,基础信息!C:E,3,FALSE)</f>
        <v>#N/A</v>
      </c>
    </row>
    <row r="9059" customHeight="1" spans="8:8">
      <c r="H9059" s="39" t="e">
        <f>VLOOKUP(E9059,基础信息!C:E,3,FALSE)</f>
        <v>#N/A</v>
      </c>
    </row>
    <row r="9060" customHeight="1" spans="8:8">
      <c r="H9060" s="39" t="e">
        <f>VLOOKUP(E9060,基础信息!C:E,3,FALSE)</f>
        <v>#N/A</v>
      </c>
    </row>
    <row r="9061" customHeight="1" spans="8:8">
      <c r="H9061" s="39" t="e">
        <f>VLOOKUP(E9061,基础信息!C:E,3,FALSE)</f>
        <v>#N/A</v>
      </c>
    </row>
    <row r="9062" customHeight="1" spans="8:8">
      <c r="H9062" s="39" t="e">
        <f>VLOOKUP(E9062,基础信息!C:E,3,FALSE)</f>
        <v>#N/A</v>
      </c>
    </row>
    <row r="9063" customHeight="1" spans="8:8">
      <c r="H9063" s="39" t="e">
        <f>VLOOKUP(E9063,基础信息!C:E,3,FALSE)</f>
        <v>#N/A</v>
      </c>
    </row>
    <row r="9064" customHeight="1" spans="8:8">
      <c r="H9064" s="39" t="e">
        <f>VLOOKUP(E9064,基础信息!C:E,3,FALSE)</f>
        <v>#N/A</v>
      </c>
    </row>
    <row r="9065" customHeight="1" spans="8:8">
      <c r="H9065" s="39" t="e">
        <f>VLOOKUP(E9065,基础信息!C:E,3,FALSE)</f>
        <v>#N/A</v>
      </c>
    </row>
    <row r="9066" customHeight="1" spans="8:8">
      <c r="H9066" s="39" t="e">
        <f>VLOOKUP(E9066,基础信息!C:E,3,FALSE)</f>
        <v>#N/A</v>
      </c>
    </row>
    <row r="9067" customHeight="1" spans="8:8">
      <c r="H9067" s="39" t="e">
        <f>VLOOKUP(E9067,基础信息!C:E,3,FALSE)</f>
        <v>#N/A</v>
      </c>
    </row>
    <row r="9068" customHeight="1" spans="8:8">
      <c r="H9068" s="39" t="e">
        <f>VLOOKUP(E9068,基础信息!C:E,3,FALSE)</f>
        <v>#N/A</v>
      </c>
    </row>
    <row r="9069" customHeight="1" spans="8:8">
      <c r="H9069" s="39" t="e">
        <f>VLOOKUP(E9069,基础信息!C:E,3,FALSE)</f>
        <v>#N/A</v>
      </c>
    </row>
    <row r="9070" customHeight="1" spans="8:8">
      <c r="H9070" s="39" t="e">
        <f>VLOOKUP(E9070,基础信息!C:E,3,FALSE)</f>
        <v>#N/A</v>
      </c>
    </row>
    <row r="9071" customHeight="1" spans="8:8">
      <c r="H9071" s="39" t="e">
        <f>VLOOKUP(E9071,基础信息!C:E,3,FALSE)</f>
        <v>#N/A</v>
      </c>
    </row>
    <row r="9072" customHeight="1" spans="8:8">
      <c r="H9072" s="39" t="e">
        <f>VLOOKUP(E9072,基础信息!C:E,3,FALSE)</f>
        <v>#N/A</v>
      </c>
    </row>
    <row r="9073" customHeight="1" spans="8:8">
      <c r="H9073" s="39" t="e">
        <f>VLOOKUP(E9073,基础信息!C:E,3,FALSE)</f>
        <v>#N/A</v>
      </c>
    </row>
    <row r="9074" customHeight="1" spans="8:8">
      <c r="H9074" s="39" t="e">
        <f>VLOOKUP(E9074,基础信息!C:E,3,FALSE)</f>
        <v>#N/A</v>
      </c>
    </row>
    <row r="9075" customHeight="1" spans="8:8">
      <c r="H9075" s="39" t="e">
        <f>VLOOKUP(E9075,基础信息!C:E,3,FALSE)</f>
        <v>#N/A</v>
      </c>
    </row>
    <row r="9076" customHeight="1" spans="8:8">
      <c r="H9076" s="39" t="e">
        <f>VLOOKUP(E9076,基础信息!C:E,3,FALSE)</f>
        <v>#N/A</v>
      </c>
    </row>
    <row r="9077" customHeight="1" spans="8:8">
      <c r="H9077" s="39" t="e">
        <f>VLOOKUP(E9077,基础信息!C:E,3,FALSE)</f>
        <v>#N/A</v>
      </c>
    </row>
    <row r="9078" customHeight="1" spans="8:8">
      <c r="H9078" s="39" t="e">
        <f>VLOOKUP(E9078,基础信息!C:E,3,FALSE)</f>
        <v>#N/A</v>
      </c>
    </row>
    <row r="9079" customHeight="1" spans="8:8">
      <c r="H9079" s="39" t="e">
        <f>VLOOKUP(E9079,基础信息!C:E,3,FALSE)</f>
        <v>#N/A</v>
      </c>
    </row>
    <row r="9080" customHeight="1" spans="8:8">
      <c r="H9080" s="39" t="e">
        <f>VLOOKUP(E9080,基础信息!C:E,3,FALSE)</f>
        <v>#N/A</v>
      </c>
    </row>
    <row r="9081" customHeight="1" spans="8:8">
      <c r="H9081" s="39" t="e">
        <f>VLOOKUP(E9081,基础信息!C:E,3,FALSE)</f>
        <v>#N/A</v>
      </c>
    </row>
    <row r="9082" customHeight="1" spans="8:8">
      <c r="H9082" s="39" t="e">
        <f>VLOOKUP(E9082,基础信息!C:E,3,FALSE)</f>
        <v>#N/A</v>
      </c>
    </row>
    <row r="9083" customHeight="1" spans="8:8">
      <c r="H9083" s="39" t="e">
        <f>VLOOKUP(E9083,基础信息!C:E,3,FALSE)</f>
        <v>#N/A</v>
      </c>
    </row>
    <row r="9084" customHeight="1" spans="8:8">
      <c r="H9084" s="39" t="e">
        <f>VLOOKUP(E9084,基础信息!C:E,3,FALSE)</f>
        <v>#N/A</v>
      </c>
    </row>
    <row r="9085" customHeight="1" spans="8:8">
      <c r="H9085" s="39" t="e">
        <f>VLOOKUP(E9085,基础信息!C:E,3,FALSE)</f>
        <v>#N/A</v>
      </c>
    </row>
    <row r="9086" customHeight="1" spans="8:8">
      <c r="H9086" s="39" t="e">
        <f>VLOOKUP(E9086,基础信息!C:E,3,FALSE)</f>
        <v>#N/A</v>
      </c>
    </row>
    <row r="9087" customHeight="1" spans="8:8">
      <c r="H9087" s="39" t="e">
        <f>VLOOKUP(E9087,基础信息!C:E,3,FALSE)</f>
        <v>#N/A</v>
      </c>
    </row>
    <row r="9088" customHeight="1" spans="8:8">
      <c r="H9088" s="39" t="e">
        <f>VLOOKUP(E9088,基础信息!C:E,3,FALSE)</f>
        <v>#N/A</v>
      </c>
    </row>
    <row r="9089" customHeight="1" spans="8:8">
      <c r="H9089" s="39" t="e">
        <f>VLOOKUP(E9089,基础信息!C:E,3,FALSE)</f>
        <v>#N/A</v>
      </c>
    </row>
    <row r="9090" customHeight="1" spans="8:8">
      <c r="H9090" s="39" t="e">
        <f>VLOOKUP(E9090,基础信息!C:E,3,FALSE)</f>
        <v>#N/A</v>
      </c>
    </row>
    <row r="9091" customHeight="1" spans="8:8">
      <c r="H9091" s="39" t="e">
        <f>VLOOKUP(E9091,基础信息!C:E,3,FALSE)</f>
        <v>#N/A</v>
      </c>
    </row>
    <row r="9092" customHeight="1" spans="8:8">
      <c r="H9092" s="39" t="e">
        <f>VLOOKUP(E9092,基础信息!C:E,3,FALSE)</f>
        <v>#N/A</v>
      </c>
    </row>
    <row r="9093" customHeight="1" spans="8:8">
      <c r="H9093" s="39" t="e">
        <f>VLOOKUP(E9093,基础信息!C:E,3,FALSE)</f>
        <v>#N/A</v>
      </c>
    </row>
    <row r="9094" customHeight="1" spans="8:8">
      <c r="H9094" s="39" t="e">
        <f>VLOOKUP(E9094,基础信息!C:E,3,FALSE)</f>
        <v>#N/A</v>
      </c>
    </row>
    <row r="9095" customHeight="1" spans="8:8">
      <c r="H9095" s="39" t="e">
        <f>VLOOKUP(E9095,基础信息!C:E,3,FALSE)</f>
        <v>#N/A</v>
      </c>
    </row>
    <row r="9096" customHeight="1" spans="8:8">
      <c r="H9096" s="39" t="e">
        <f>VLOOKUP(E9096,基础信息!C:E,3,FALSE)</f>
        <v>#N/A</v>
      </c>
    </row>
    <row r="9097" customHeight="1" spans="8:8">
      <c r="H9097" s="39" t="e">
        <f>VLOOKUP(E9097,基础信息!C:E,3,FALSE)</f>
        <v>#N/A</v>
      </c>
    </row>
    <row r="9098" customHeight="1" spans="8:8">
      <c r="H9098" s="39" t="e">
        <f>VLOOKUP(E9098,基础信息!C:E,3,FALSE)</f>
        <v>#N/A</v>
      </c>
    </row>
    <row r="9099" customHeight="1" spans="8:8">
      <c r="H9099" s="39" t="e">
        <f>VLOOKUP(E9099,基础信息!C:E,3,FALSE)</f>
        <v>#N/A</v>
      </c>
    </row>
    <row r="9100" customHeight="1" spans="8:8">
      <c r="H9100" s="39" t="e">
        <f>VLOOKUP(E9100,基础信息!C:E,3,FALSE)</f>
        <v>#N/A</v>
      </c>
    </row>
    <row r="9101" customHeight="1" spans="8:8">
      <c r="H9101" s="39" t="e">
        <f>VLOOKUP(E9101,基础信息!C:E,3,FALSE)</f>
        <v>#N/A</v>
      </c>
    </row>
    <row r="9102" customHeight="1" spans="8:8">
      <c r="H9102" s="39" t="e">
        <f>VLOOKUP(E9102,基础信息!C:E,3,FALSE)</f>
        <v>#N/A</v>
      </c>
    </row>
    <row r="9103" customHeight="1" spans="8:8">
      <c r="H9103" s="39" t="e">
        <f>VLOOKUP(E9103,基础信息!C:E,3,FALSE)</f>
        <v>#N/A</v>
      </c>
    </row>
    <row r="9104" customHeight="1" spans="8:8">
      <c r="H9104" s="39" t="e">
        <f>VLOOKUP(E9104,基础信息!C:E,3,FALSE)</f>
        <v>#N/A</v>
      </c>
    </row>
    <row r="9105" customHeight="1" spans="8:8">
      <c r="H9105" s="39" t="e">
        <f>VLOOKUP(E9105,基础信息!C:E,3,FALSE)</f>
        <v>#N/A</v>
      </c>
    </row>
    <row r="9106" customHeight="1" spans="8:8">
      <c r="H9106" s="39" t="e">
        <f>VLOOKUP(E9106,基础信息!C:E,3,FALSE)</f>
        <v>#N/A</v>
      </c>
    </row>
    <row r="9107" customHeight="1" spans="8:8">
      <c r="H9107" s="39" t="e">
        <f>VLOOKUP(E9107,基础信息!C:E,3,FALSE)</f>
        <v>#N/A</v>
      </c>
    </row>
    <row r="9108" customHeight="1" spans="8:8">
      <c r="H9108" s="39" t="e">
        <f>VLOOKUP(E9108,基础信息!C:E,3,FALSE)</f>
        <v>#N/A</v>
      </c>
    </row>
    <row r="9109" customHeight="1" spans="8:8">
      <c r="H9109" s="39" t="e">
        <f>VLOOKUP(E9109,基础信息!C:E,3,FALSE)</f>
        <v>#N/A</v>
      </c>
    </row>
    <row r="9110" customHeight="1" spans="8:8">
      <c r="H9110" s="39" t="e">
        <f>VLOOKUP(E9110,基础信息!C:E,3,FALSE)</f>
        <v>#N/A</v>
      </c>
    </row>
    <row r="9111" customHeight="1" spans="8:8">
      <c r="H9111" s="39" t="e">
        <f>VLOOKUP(E9111,基础信息!C:E,3,FALSE)</f>
        <v>#N/A</v>
      </c>
    </row>
    <row r="9112" customHeight="1" spans="8:8">
      <c r="H9112" s="39" t="e">
        <f>VLOOKUP(E9112,基础信息!C:E,3,FALSE)</f>
        <v>#N/A</v>
      </c>
    </row>
    <row r="9113" customHeight="1" spans="8:8">
      <c r="H9113" s="39" t="e">
        <f>VLOOKUP(E9113,基础信息!C:E,3,FALSE)</f>
        <v>#N/A</v>
      </c>
    </row>
    <row r="9114" customHeight="1" spans="8:8">
      <c r="H9114" s="39" t="e">
        <f>VLOOKUP(E9114,基础信息!C:E,3,FALSE)</f>
        <v>#N/A</v>
      </c>
    </row>
    <row r="9115" customHeight="1" spans="8:8">
      <c r="H9115" s="39" t="e">
        <f>VLOOKUP(E9115,基础信息!C:E,3,FALSE)</f>
        <v>#N/A</v>
      </c>
    </row>
    <row r="9116" customHeight="1" spans="8:8">
      <c r="H9116" s="39" t="e">
        <f>VLOOKUP(E9116,基础信息!C:E,3,FALSE)</f>
        <v>#N/A</v>
      </c>
    </row>
    <row r="9117" customHeight="1" spans="8:8">
      <c r="H9117" s="39" t="e">
        <f>VLOOKUP(E9117,基础信息!C:E,3,FALSE)</f>
        <v>#N/A</v>
      </c>
    </row>
    <row r="9118" customHeight="1" spans="8:8">
      <c r="H9118" s="39" t="e">
        <f>VLOOKUP(E9118,基础信息!C:E,3,FALSE)</f>
        <v>#N/A</v>
      </c>
    </row>
    <row r="9119" customHeight="1" spans="8:8">
      <c r="H9119" s="39" t="e">
        <f>VLOOKUP(E9119,基础信息!C:E,3,FALSE)</f>
        <v>#N/A</v>
      </c>
    </row>
    <row r="9120" customHeight="1" spans="8:8">
      <c r="H9120" s="39" t="e">
        <f>VLOOKUP(E9120,基础信息!C:E,3,FALSE)</f>
        <v>#N/A</v>
      </c>
    </row>
    <row r="9121" customHeight="1" spans="8:8">
      <c r="H9121" s="39" t="e">
        <f>VLOOKUP(E9121,基础信息!C:E,3,FALSE)</f>
        <v>#N/A</v>
      </c>
    </row>
    <row r="9122" customHeight="1" spans="8:8">
      <c r="H9122" s="39" t="e">
        <f>VLOOKUP(E9122,基础信息!C:E,3,FALSE)</f>
        <v>#N/A</v>
      </c>
    </row>
    <row r="9123" customHeight="1" spans="8:8">
      <c r="H9123" s="39" t="e">
        <f>VLOOKUP(E9123,基础信息!C:E,3,FALSE)</f>
        <v>#N/A</v>
      </c>
    </row>
    <row r="9124" customHeight="1" spans="8:8">
      <c r="H9124" s="39" t="e">
        <f>VLOOKUP(E9124,基础信息!C:E,3,FALSE)</f>
        <v>#N/A</v>
      </c>
    </row>
    <row r="9125" customHeight="1" spans="8:8">
      <c r="H9125" s="39" t="e">
        <f>VLOOKUP(E9125,基础信息!C:E,3,FALSE)</f>
        <v>#N/A</v>
      </c>
    </row>
    <row r="9126" customHeight="1" spans="8:8">
      <c r="H9126" s="39" t="e">
        <f>VLOOKUP(E9126,基础信息!C:E,3,FALSE)</f>
        <v>#N/A</v>
      </c>
    </row>
    <row r="9127" customHeight="1" spans="8:8">
      <c r="H9127" s="39" t="e">
        <f>VLOOKUP(E9127,基础信息!C:E,3,FALSE)</f>
        <v>#N/A</v>
      </c>
    </row>
    <row r="9128" customHeight="1" spans="8:8">
      <c r="H9128" s="39" t="e">
        <f>VLOOKUP(E9128,基础信息!C:E,3,FALSE)</f>
        <v>#N/A</v>
      </c>
    </row>
    <row r="9129" customHeight="1" spans="8:8">
      <c r="H9129" s="39" t="e">
        <f>VLOOKUP(E9129,基础信息!C:E,3,FALSE)</f>
        <v>#N/A</v>
      </c>
    </row>
    <row r="9130" customHeight="1" spans="8:8">
      <c r="H9130" s="39" t="e">
        <f>VLOOKUP(E9130,基础信息!C:E,3,FALSE)</f>
        <v>#N/A</v>
      </c>
    </row>
    <row r="9131" customHeight="1" spans="8:8">
      <c r="H9131" s="39" t="e">
        <f>VLOOKUP(E9131,基础信息!C:E,3,FALSE)</f>
        <v>#N/A</v>
      </c>
    </row>
    <row r="9132" customHeight="1" spans="8:8">
      <c r="H9132" s="39" t="e">
        <f>VLOOKUP(E9132,基础信息!C:E,3,FALSE)</f>
        <v>#N/A</v>
      </c>
    </row>
    <row r="9133" customHeight="1" spans="8:8">
      <c r="H9133" s="39" t="e">
        <f>VLOOKUP(E9133,基础信息!C:E,3,FALSE)</f>
        <v>#N/A</v>
      </c>
    </row>
    <row r="9134" customHeight="1" spans="8:8">
      <c r="H9134" s="39" t="e">
        <f>VLOOKUP(E9134,基础信息!C:E,3,FALSE)</f>
        <v>#N/A</v>
      </c>
    </row>
    <row r="9135" customHeight="1" spans="8:8">
      <c r="H9135" s="39" t="e">
        <f>VLOOKUP(E9135,基础信息!C:E,3,FALSE)</f>
        <v>#N/A</v>
      </c>
    </row>
    <row r="9136" customHeight="1" spans="8:8">
      <c r="H9136" s="39" t="e">
        <f>VLOOKUP(E9136,基础信息!C:E,3,FALSE)</f>
        <v>#N/A</v>
      </c>
    </row>
    <row r="9137" customHeight="1" spans="8:8">
      <c r="H9137" s="39" t="e">
        <f>VLOOKUP(E9137,基础信息!C:E,3,FALSE)</f>
        <v>#N/A</v>
      </c>
    </row>
    <row r="9138" customHeight="1" spans="8:8">
      <c r="H9138" s="39" t="e">
        <f>VLOOKUP(E9138,基础信息!C:E,3,FALSE)</f>
        <v>#N/A</v>
      </c>
    </row>
    <row r="9139" customHeight="1" spans="8:8">
      <c r="H9139" s="39" t="e">
        <f>VLOOKUP(E9139,基础信息!C:E,3,FALSE)</f>
        <v>#N/A</v>
      </c>
    </row>
    <row r="9140" customHeight="1" spans="8:8">
      <c r="H9140" s="39" t="e">
        <f>VLOOKUP(E9140,基础信息!C:E,3,FALSE)</f>
        <v>#N/A</v>
      </c>
    </row>
    <row r="9141" customHeight="1" spans="8:8">
      <c r="H9141" s="39" t="e">
        <f>VLOOKUP(E9141,基础信息!C:E,3,FALSE)</f>
        <v>#N/A</v>
      </c>
    </row>
    <row r="9142" customHeight="1" spans="8:8">
      <c r="H9142" s="39" t="e">
        <f>VLOOKUP(E9142,基础信息!C:E,3,FALSE)</f>
        <v>#N/A</v>
      </c>
    </row>
    <row r="9143" customHeight="1" spans="8:8">
      <c r="H9143" s="39" t="e">
        <f>VLOOKUP(E9143,基础信息!C:E,3,FALSE)</f>
        <v>#N/A</v>
      </c>
    </row>
    <row r="9144" customHeight="1" spans="8:8">
      <c r="H9144" s="39" t="e">
        <f>VLOOKUP(E9144,基础信息!C:E,3,FALSE)</f>
        <v>#N/A</v>
      </c>
    </row>
    <row r="9145" customHeight="1" spans="8:8">
      <c r="H9145" s="39" t="e">
        <f>VLOOKUP(E9145,基础信息!C:E,3,FALSE)</f>
        <v>#N/A</v>
      </c>
    </row>
    <row r="9146" customHeight="1" spans="8:8">
      <c r="H9146" s="39" t="e">
        <f>VLOOKUP(E9146,基础信息!C:E,3,FALSE)</f>
        <v>#N/A</v>
      </c>
    </row>
    <row r="9147" customHeight="1" spans="8:8">
      <c r="H9147" s="39" t="e">
        <f>VLOOKUP(E9147,基础信息!C:E,3,FALSE)</f>
        <v>#N/A</v>
      </c>
    </row>
    <row r="9148" customHeight="1" spans="8:8">
      <c r="H9148" s="39" t="e">
        <f>VLOOKUP(E9148,基础信息!C:E,3,FALSE)</f>
        <v>#N/A</v>
      </c>
    </row>
    <row r="9149" customHeight="1" spans="8:8">
      <c r="H9149" s="39" t="e">
        <f>VLOOKUP(E9149,基础信息!C:E,3,FALSE)</f>
        <v>#N/A</v>
      </c>
    </row>
    <row r="9150" customHeight="1" spans="8:8">
      <c r="H9150" s="39" t="e">
        <f>VLOOKUP(E9150,基础信息!C:E,3,FALSE)</f>
        <v>#N/A</v>
      </c>
    </row>
    <row r="9151" customHeight="1" spans="8:8">
      <c r="H9151" s="39" t="e">
        <f>VLOOKUP(E9151,基础信息!C:E,3,FALSE)</f>
        <v>#N/A</v>
      </c>
    </row>
    <row r="9152" customHeight="1" spans="8:8">
      <c r="H9152" s="39" t="e">
        <f>VLOOKUP(E9152,基础信息!C:E,3,FALSE)</f>
        <v>#N/A</v>
      </c>
    </row>
    <row r="9153" customHeight="1" spans="8:8">
      <c r="H9153" s="39" t="e">
        <f>VLOOKUP(E9153,基础信息!C:E,3,FALSE)</f>
        <v>#N/A</v>
      </c>
    </row>
    <row r="9154" customHeight="1" spans="8:8">
      <c r="H9154" s="39" t="e">
        <f>VLOOKUP(E9154,基础信息!C:E,3,FALSE)</f>
        <v>#N/A</v>
      </c>
    </row>
    <row r="9155" customHeight="1" spans="8:8">
      <c r="H9155" s="39" t="e">
        <f>VLOOKUP(E9155,基础信息!C:E,3,FALSE)</f>
        <v>#N/A</v>
      </c>
    </row>
    <row r="9156" customHeight="1" spans="8:8">
      <c r="H9156" s="39" t="e">
        <f>VLOOKUP(E9156,基础信息!C:E,3,FALSE)</f>
        <v>#N/A</v>
      </c>
    </row>
    <row r="9157" customHeight="1" spans="8:8">
      <c r="H9157" s="39" t="e">
        <f>VLOOKUP(E9157,基础信息!C:E,3,FALSE)</f>
        <v>#N/A</v>
      </c>
    </row>
    <row r="9158" customHeight="1" spans="8:8">
      <c r="H9158" s="39" t="e">
        <f>VLOOKUP(E9158,基础信息!C:E,3,FALSE)</f>
        <v>#N/A</v>
      </c>
    </row>
    <row r="9159" customHeight="1" spans="8:8">
      <c r="H9159" s="39" t="e">
        <f>VLOOKUP(E9159,基础信息!C:E,3,FALSE)</f>
        <v>#N/A</v>
      </c>
    </row>
    <row r="9160" customHeight="1" spans="8:8">
      <c r="H9160" s="39" t="e">
        <f>VLOOKUP(E9160,基础信息!C:E,3,FALSE)</f>
        <v>#N/A</v>
      </c>
    </row>
    <row r="9161" customHeight="1" spans="8:8">
      <c r="H9161" s="39" t="e">
        <f>VLOOKUP(E9161,基础信息!C:E,3,FALSE)</f>
        <v>#N/A</v>
      </c>
    </row>
    <row r="9162" customHeight="1" spans="8:8">
      <c r="H9162" s="39" t="e">
        <f>VLOOKUP(E9162,基础信息!C:E,3,FALSE)</f>
        <v>#N/A</v>
      </c>
    </row>
    <row r="9163" customHeight="1" spans="8:8">
      <c r="H9163" s="39" t="e">
        <f>VLOOKUP(E9163,基础信息!C:E,3,FALSE)</f>
        <v>#N/A</v>
      </c>
    </row>
    <row r="9164" customHeight="1" spans="8:8">
      <c r="H9164" s="39" t="e">
        <f>VLOOKUP(E9164,基础信息!C:E,3,FALSE)</f>
        <v>#N/A</v>
      </c>
    </row>
    <row r="9165" customHeight="1" spans="8:8">
      <c r="H9165" s="39" t="e">
        <f>VLOOKUP(E9165,基础信息!C:E,3,FALSE)</f>
        <v>#N/A</v>
      </c>
    </row>
    <row r="9166" customHeight="1" spans="8:8">
      <c r="H9166" s="39" t="e">
        <f>VLOOKUP(E9166,基础信息!C:E,3,FALSE)</f>
        <v>#N/A</v>
      </c>
    </row>
    <row r="9167" customHeight="1" spans="8:8">
      <c r="H9167" s="39" t="e">
        <f>VLOOKUP(E9167,基础信息!C:E,3,FALSE)</f>
        <v>#N/A</v>
      </c>
    </row>
    <row r="9168" customHeight="1" spans="8:8">
      <c r="H9168" s="39" t="e">
        <f>VLOOKUP(E9168,基础信息!C:E,3,FALSE)</f>
        <v>#N/A</v>
      </c>
    </row>
    <row r="9169" customHeight="1" spans="8:8">
      <c r="H9169" s="39" t="e">
        <f>VLOOKUP(E9169,基础信息!C:E,3,FALSE)</f>
        <v>#N/A</v>
      </c>
    </row>
    <row r="9170" customHeight="1" spans="8:8">
      <c r="H9170" s="39" t="e">
        <f>VLOOKUP(E9170,基础信息!C:E,3,FALSE)</f>
        <v>#N/A</v>
      </c>
    </row>
    <row r="9171" customHeight="1" spans="8:8">
      <c r="H9171" s="39" t="e">
        <f>VLOOKUP(E9171,基础信息!C:E,3,FALSE)</f>
        <v>#N/A</v>
      </c>
    </row>
    <row r="9172" customHeight="1" spans="8:8">
      <c r="H9172" s="39" t="e">
        <f>VLOOKUP(E9172,基础信息!C:E,3,FALSE)</f>
        <v>#N/A</v>
      </c>
    </row>
    <row r="9173" customHeight="1" spans="8:8">
      <c r="H9173" s="39" t="e">
        <f>VLOOKUP(E9173,基础信息!C:E,3,FALSE)</f>
        <v>#N/A</v>
      </c>
    </row>
    <row r="9174" customHeight="1" spans="8:8">
      <c r="H9174" s="39" t="e">
        <f>VLOOKUP(E9174,基础信息!C:E,3,FALSE)</f>
        <v>#N/A</v>
      </c>
    </row>
    <row r="9175" customHeight="1" spans="8:8">
      <c r="H9175" s="39" t="e">
        <f>VLOOKUP(E9175,基础信息!C:E,3,FALSE)</f>
        <v>#N/A</v>
      </c>
    </row>
    <row r="9176" customHeight="1" spans="8:8">
      <c r="H9176" s="39" t="e">
        <f>VLOOKUP(E9176,基础信息!C:E,3,FALSE)</f>
        <v>#N/A</v>
      </c>
    </row>
    <row r="9177" customHeight="1" spans="8:8">
      <c r="H9177" s="39" t="e">
        <f>VLOOKUP(E9177,基础信息!C:E,3,FALSE)</f>
        <v>#N/A</v>
      </c>
    </row>
    <row r="9178" customHeight="1" spans="8:8">
      <c r="H9178" s="39" t="e">
        <f>VLOOKUP(E9178,基础信息!C:E,3,FALSE)</f>
        <v>#N/A</v>
      </c>
    </row>
    <row r="9179" customHeight="1" spans="8:8">
      <c r="H9179" s="39" t="e">
        <f>VLOOKUP(E9179,基础信息!C:E,3,FALSE)</f>
        <v>#N/A</v>
      </c>
    </row>
    <row r="9180" customHeight="1" spans="8:8">
      <c r="H9180" s="39" t="e">
        <f>VLOOKUP(E9180,基础信息!C:E,3,FALSE)</f>
        <v>#N/A</v>
      </c>
    </row>
    <row r="9181" customHeight="1" spans="8:8">
      <c r="H9181" s="39" t="e">
        <f>VLOOKUP(E9181,基础信息!C:E,3,FALSE)</f>
        <v>#N/A</v>
      </c>
    </row>
    <row r="9182" customHeight="1" spans="8:8">
      <c r="H9182" s="39" t="e">
        <f>VLOOKUP(E9182,基础信息!C:E,3,FALSE)</f>
        <v>#N/A</v>
      </c>
    </row>
    <row r="9183" customHeight="1" spans="8:8">
      <c r="H9183" s="39" t="e">
        <f>VLOOKUP(E9183,基础信息!C:E,3,FALSE)</f>
        <v>#N/A</v>
      </c>
    </row>
    <row r="9184" customHeight="1" spans="8:8">
      <c r="H9184" s="39" t="e">
        <f>VLOOKUP(E9184,基础信息!C:E,3,FALSE)</f>
        <v>#N/A</v>
      </c>
    </row>
    <row r="9185" customHeight="1" spans="8:8">
      <c r="H9185" s="39" t="e">
        <f>VLOOKUP(E9185,基础信息!C:E,3,FALSE)</f>
        <v>#N/A</v>
      </c>
    </row>
    <row r="9186" customHeight="1" spans="8:8">
      <c r="H9186" s="39" t="e">
        <f>VLOOKUP(E9186,基础信息!C:E,3,FALSE)</f>
        <v>#N/A</v>
      </c>
    </row>
    <row r="9187" customHeight="1" spans="8:8">
      <c r="H9187" s="39" t="e">
        <f>VLOOKUP(E9187,基础信息!C:E,3,FALSE)</f>
        <v>#N/A</v>
      </c>
    </row>
    <row r="9188" customHeight="1" spans="8:8">
      <c r="H9188" s="39" t="e">
        <f>VLOOKUP(E9188,基础信息!C:E,3,FALSE)</f>
        <v>#N/A</v>
      </c>
    </row>
    <row r="9189" customHeight="1" spans="8:8">
      <c r="H9189" s="39" t="e">
        <f>VLOOKUP(E9189,基础信息!C:E,3,FALSE)</f>
        <v>#N/A</v>
      </c>
    </row>
    <row r="9190" customHeight="1" spans="8:8">
      <c r="H9190" s="39" t="e">
        <f>VLOOKUP(E9190,基础信息!C:E,3,FALSE)</f>
        <v>#N/A</v>
      </c>
    </row>
    <row r="9191" customHeight="1" spans="8:8">
      <c r="H9191" s="39" t="e">
        <f>VLOOKUP(E9191,基础信息!C:E,3,FALSE)</f>
        <v>#N/A</v>
      </c>
    </row>
    <row r="9192" customHeight="1" spans="8:8">
      <c r="H9192" s="39" t="e">
        <f>VLOOKUP(E9192,基础信息!C:E,3,FALSE)</f>
        <v>#N/A</v>
      </c>
    </row>
    <row r="9193" customHeight="1" spans="8:8">
      <c r="H9193" s="39" t="e">
        <f>VLOOKUP(E9193,基础信息!C:E,3,FALSE)</f>
        <v>#N/A</v>
      </c>
    </row>
    <row r="9194" customHeight="1" spans="8:8">
      <c r="H9194" s="39" t="e">
        <f>VLOOKUP(E9194,基础信息!C:E,3,FALSE)</f>
        <v>#N/A</v>
      </c>
    </row>
    <row r="9195" customHeight="1" spans="8:8">
      <c r="H9195" s="39" t="e">
        <f>VLOOKUP(E9195,基础信息!C:E,3,FALSE)</f>
        <v>#N/A</v>
      </c>
    </row>
    <row r="9196" customHeight="1" spans="8:8">
      <c r="H9196" s="39" t="e">
        <f>VLOOKUP(E9196,基础信息!C:E,3,FALSE)</f>
        <v>#N/A</v>
      </c>
    </row>
    <row r="9197" customHeight="1" spans="8:8">
      <c r="H9197" s="39" t="e">
        <f>VLOOKUP(E9197,基础信息!C:E,3,FALSE)</f>
        <v>#N/A</v>
      </c>
    </row>
    <row r="9198" customHeight="1" spans="8:8">
      <c r="H9198" s="39" t="e">
        <f>VLOOKUP(E9198,基础信息!C:E,3,FALSE)</f>
        <v>#N/A</v>
      </c>
    </row>
    <row r="9199" customHeight="1" spans="8:8">
      <c r="H9199" s="39" t="e">
        <f>VLOOKUP(E9199,基础信息!C:E,3,FALSE)</f>
        <v>#N/A</v>
      </c>
    </row>
    <row r="9200" customHeight="1" spans="8:8">
      <c r="H9200" s="39" t="e">
        <f>VLOOKUP(E9200,基础信息!C:E,3,FALSE)</f>
        <v>#N/A</v>
      </c>
    </row>
    <row r="9201" customHeight="1" spans="8:8">
      <c r="H9201" s="39" t="e">
        <f>VLOOKUP(E9201,基础信息!C:E,3,FALSE)</f>
        <v>#N/A</v>
      </c>
    </row>
    <row r="9202" customHeight="1" spans="8:8">
      <c r="H9202" s="39" t="e">
        <f>VLOOKUP(E9202,基础信息!C:E,3,FALSE)</f>
        <v>#N/A</v>
      </c>
    </row>
    <row r="9203" customHeight="1" spans="8:8">
      <c r="H9203" s="39" t="e">
        <f>VLOOKUP(E9203,基础信息!C:E,3,FALSE)</f>
        <v>#N/A</v>
      </c>
    </row>
    <row r="9204" customHeight="1" spans="8:8">
      <c r="H9204" s="39" t="e">
        <f>VLOOKUP(E9204,基础信息!C:E,3,FALSE)</f>
        <v>#N/A</v>
      </c>
    </row>
    <row r="9205" customHeight="1" spans="8:8">
      <c r="H9205" s="39" t="e">
        <f>VLOOKUP(E9205,基础信息!C:E,3,FALSE)</f>
        <v>#N/A</v>
      </c>
    </row>
    <row r="9206" customHeight="1" spans="8:8">
      <c r="H9206" s="39" t="e">
        <f>VLOOKUP(E9206,基础信息!C:E,3,FALSE)</f>
        <v>#N/A</v>
      </c>
    </row>
    <row r="9207" customHeight="1" spans="8:8">
      <c r="H9207" s="39" t="e">
        <f>VLOOKUP(E9207,基础信息!C:E,3,FALSE)</f>
        <v>#N/A</v>
      </c>
    </row>
    <row r="9208" customHeight="1" spans="8:8">
      <c r="H9208" s="39" t="e">
        <f>VLOOKUP(E9208,基础信息!C:E,3,FALSE)</f>
        <v>#N/A</v>
      </c>
    </row>
    <row r="9209" customHeight="1" spans="8:8">
      <c r="H9209" s="39" t="e">
        <f>VLOOKUP(E9209,基础信息!C:E,3,FALSE)</f>
        <v>#N/A</v>
      </c>
    </row>
    <row r="9210" customHeight="1" spans="8:8">
      <c r="H9210" s="39" t="e">
        <f>VLOOKUP(E9210,基础信息!C:E,3,FALSE)</f>
        <v>#N/A</v>
      </c>
    </row>
    <row r="9211" customHeight="1" spans="8:8">
      <c r="H9211" s="39" t="e">
        <f>VLOOKUP(E9211,基础信息!C:E,3,FALSE)</f>
        <v>#N/A</v>
      </c>
    </row>
    <row r="9212" customHeight="1" spans="8:8">
      <c r="H9212" s="39" t="e">
        <f>VLOOKUP(E9212,基础信息!C:E,3,FALSE)</f>
        <v>#N/A</v>
      </c>
    </row>
    <row r="9213" customHeight="1" spans="8:8">
      <c r="H9213" s="39" t="e">
        <f>VLOOKUP(E9213,基础信息!C:E,3,FALSE)</f>
        <v>#N/A</v>
      </c>
    </row>
    <row r="9214" customHeight="1" spans="8:8">
      <c r="H9214" s="39" t="e">
        <f>VLOOKUP(E9214,基础信息!C:E,3,FALSE)</f>
        <v>#N/A</v>
      </c>
    </row>
    <row r="9215" customHeight="1" spans="8:8">
      <c r="H9215" s="39" t="e">
        <f>VLOOKUP(E9215,基础信息!C:E,3,FALSE)</f>
        <v>#N/A</v>
      </c>
    </row>
    <row r="9216" customHeight="1" spans="8:8">
      <c r="H9216" s="39" t="e">
        <f>VLOOKUP(E9216,基础信息!C:E,3,FALSE)</f>
        <v>#N/A</v>
      </c>
    </row>
    <row r="9217" customHeight="1" spans="8:8">
      <c r="H9217" s="39" t="e">
        <f>VLOOKUP(E9217,基础信息!C:E,3,FALSE)</f>
        <v>#N/A</v>
      </c>
    </row>
    <row r="9218" customHeight="1" spans="8:8">
      <c r="H9218" s="39" t="e">
        <f>VLOOKUP(E9218,基础信息!C:E,3,FALSE)</f>
        <v>#N/A</v>
      </c>
    </row>
    <row r="9219" customHeight="1" spans="8:8">
      <c r="H9219" s="39" t="e">
        <f>VLOOKUP(E9219,基础信息!C:E,3,FALSE)</f>
        <v>#N/A</v>
      </c>
    </row>
    <row r="9220" customHeight="1" spans="8:8">
      <c r="H9220" s="39" t="e">
        <f>VLOOKUP(E9220,基础信息!C:E,3,FALSE)</f>
        <v>#N/A</v>
      </c>
    </row>
    <row r="9221" customHeight="1" spans="8:8">
      <c r="H9221" s="39" t="e">
        <f>VLOOKUP(E9221,基础信息!C:E,3,FALSE)</f>
        <v>#N/A</v>
      </c>
    </row>
    <row r="9222" customHeight="1" spans="8:8">
      <c r="H9222" s="39" t="e">
        <f>VLOOKUP(E9222,基础信息!C:E,3,FALSE)</f>
        <v>#N/A</v>
      </c>
    </row>
    <row r="9223" customHeight="1" spans="8:8">
      <c r="H9223" s="39" t="e">
        <f>VLOOKUP(E9223,基础信息!C:E,3,FALSE)</f>
        <v>#N/A</v>
      </c>
    </row>
    <row r="9224" customHeight="1" spans="8:8">
      <c r="H9224" s="39" t="e">
        <f>VLOOKUP(E9224,基础信息!C:E,3,FALSE)</f>
        <v>#N/A</v>
      </c>
    </row>
    <row r="9225" customHeight="1" spans="8:8">
      <c r="H9225" s="39" t="e">
        <f>VLOOKUP(E9225,基础信息!C:E,3,FALSE)</f>
        <v>#N/A</v>
      </c>
    </row>
    <row r="9226" customHeight="1" spans="8:8">
      <c r="H9226" s="39" t="e">
        <f>VLOOKUP(E9226,基础信息!C:E,3,FALSE)</f>
        <v>#N/A</v>
      </c>
    </row>
    <row r="9227" customHeight="1" spans="8:8">
      <c r="H9227" s="39" t="e">
        <f>VLOOKUP(E9227,基础信息!C:E,3,FALSE)</f>
        <v>#N/A</v>
      </c>
    </row>
    <row r="9228" customHeight="1" spans="8:8">
      <c r="H9228" s="39" t="e">
        <f>VLOOKUP(E9228,基础信息!C:E,3,FALSE)</f>
        <v>#N/A</v>
      </c>
    </row>
    <row r="9229" customHeight="1" spans="8:8">
      <c r="H9229" s="39" t="e">
        <f>VLOOKUP(E9229,基础信息!C:E,3,FALSE)</f>
        <v>#N/A</v>
      </c>
    </row>
    <row r="9230" customHeight="1" spans="8:8">
      <c r="H9230" s="39" t="e">
        <f>VLOOKUP(E9230,基础信息!C:E,3,FALSE)</f>
        <v>#N/A</v>
      </c>
    </row>
    <row r="9231" customHeight="1" spans="8:8">
      <c r="H9231" s="39" t="e">
        <f>VLOOKUP(E9231,基础信息!C:E,3,FALSE)</f>
        <v>#N/A</v>
      </c>
    </row>
    <row r="9232" customHeight="1" spans="8:8">
      <c r="H9232" s="39" t="e">
        <f>VLOOKUP(E9232,基础信息!C:E,3,FALSE)</f>
        <v>#N/A</v>
      </c>
    </row>
    <row r="9233" customHeight="1" spans="8:8">
      <c r="H9233" s="39" t="e">
        <f>VLOOKUP(E9233,基础信息!C:E,3,FALSE)</f>
        <v>#N/A</v>
      </c>
    </row>
    <row r="9234" customHeight="1" spans="8:8">
      <c r="H9234" s="39" t="e">
        <f>VLOOKUP(E9234,基础信息!C:E,3,FALSE)</f>
        <v>#N/A</v>
      </c>
    </row>
    <row r="9235" customHeight="1" spans="8:8">
      <c r="H9235" s="39" t="e">
        <f>VLOOKUP(E9235,基础信息!C:E,3,FALSE)</f>
        <v>#N/A</v>
      </c>
    </row>
    <row r="9236" customHeight="1" spans="8:8">
      <c r="H9236" s="39" t="e">
        <f>VLOOKUP(E9236,基础信息!C:E,3,FALSE)</f>
        <v>#N/A</v>
      </c>
    </row>
    <row r="9237" customHeight="1" spans="8:8">
      <c r="H9237" s="39" t="e">
        <f>VLOOKUP(E9237,基础信息!C:E,3,FALSE)</f>
        <v>#N/A</v>
      </c>
    </row>
    <row r="9238" customHeight="1" spans="8:8">
      <c r="H9238" s="39" t="e">
        <f>VLOOKUP(E9238,基础信息!C:E,3,FALSE)</f>
        <v>#N/A</v>
      </c>
    </row>
    <row r="9239" customHeight="1" spans="8:8">
      <c r="H9239" s="39" t="e">
        <f>VLOOKUP(E9239,基础信息!C:E,3,FALSE)</f>
        <v>#N/A</v>
      </c>
    </row>
    <row r="9240" customHeight="1" spans="8:8">
      <c r="H9240" s="39" t="e">
        <f>VLOOKUP(E9240,基础信息!C:E,3,FALSE)</f>
        <v>#N/A</v>
      </c>
    </row>
    <row r="9241" customHeight="1" spans="8:8">
      <c r="H9241" s="39" t="e">
        <f>VLOOKUP(E9241,基础信息!C:E,3,FALSE)</f>
        <v>#N/A</v>
      </c>
    </row>
    <row r="9242" customHeight="1" spans="8:8">
      <c r="H9242" s="39" t="e">
        <f>VLOOKUP(E9242,基础信息!C:E,3,FALSE)</f>
        <v>#N/A</v>
      </c>
    </row>
    <row r="9243" customHeight="1" spans="8:8">
      <c r="H9243" s="39" t="e">
        <f>VLOOKUP(E9243,基础信息!C:E,3,FALSE)</f>
        <v>#N/A</v>
      </c>
    </row>
    <row r="9244" customHeight="1" spans="8:8">
      <c r="H9244" s="39" t="e">
        <f>VLOOKUP(E9244,基础信息!C:E,3,FALSE)</f>
        <v>#N/A</v>
      </c>
    </row>
    <row r="9245" customHeight="1" spans="8:8">
      <c r="H9245" s="39" t="e">
        <f>VLOOKUP(E9245,基础信息!C:E,3,FALSE)</f>
        <v>#N/A</v>
      </c>
    </row>
    <row r="9246" customHeight="1" spans="8:8">
      <c r="H9246" s="39" t="e">
        <f>VLOOKUP(E9246,基础信息!C:E,3,FALSE)</f>
        <v>#N/A</v>
      </c>
    </row>
    <row r="9247" customHeight="1" spans="8:8">
      <c r="H9247" s="39" t="e">
        <f>VLOOKUP(E9247,基础信息!C:E,3,FALSE)</f>
        <v>#N/A</v>
      </c>
    </row>
    <row r="9248" customHeight="1" spans="8:8">
      <c r="H9248" s="39" t="e">
        <f>VLOOKUP(E9248,基础信息!C:E,3,FALSE)</f>
        <v>#N/A</v>
      </c>
    </row>
    <row r="9249" customHeight="1" spans="8:8">
      <c r="H9249" s="39" t="e">
        <f>VLOOKUP(E9249,基础信息!C:E,3,FALSE)</f>
        <v>#N/A</v>
      </c>
    </row>
    <row r="9250" customHeight="1" spans="8:8">
      <c r="H9250" s="39" t="e">
        <f>VLOOKUP(E9250,基础信息!C:E,3,FALSE)</f>
        <v>#N/A</v>
      </c>
    </row>
    <row r="9251" customHeight="1" spans="8:8">
      <c r="H9251" s="39" t="e">
        <f>VLOOKUP(E9251,基础信息!C:E,3,FALSE)</f>
        <v>#N/A</v>
      </c>
    </row>
    <row r="9252" customHeight="1" spans="8:8">
      <c r="H9252" s="39" t="e">
        <f>VLOOKUP(E9252,基础信息!C:E,3,FALSE)</f>
        <v>#N/A</v>
      </c>
    </row>
    <row r="9253" customHeight="1" spans="8:8">
      <c r="H9253" s="39" t="e">
        <f>VLOOKUP(E9253,基础信息!C:E,3,FALSE)</f>
        <v>#N/A</v>
      </c>
    </row>
    <row r="9254" customHeight="1" spans="8:8">
      <c r="H9254" s="39" t="e">
        <f>VLOOKUP(E9254,基础信息!C:E,3,FALSE)</f>
        <v>#N/A</v>
      </c>
    </row>
    <row r="9255" customHeight="1" spans="8:8">
      <c r="H9255" s="39" t="e">
        <f>VLOOKUP(E9255,基础信息!C:E,3,FALSE)</f>
        <v>#N/A</v>
      </c>
    </row>
    <row r="9256" customHeight="1" spans="8:8">
      <c r="H9256" s="39" t="e">
        <f>VLOOKUP(E9256,基础信息!C:E,3,FALSE)</f>
        <v>#N/A</v>
      </c>
    </row>
    <row r="9257" customHeight="1" spans="8:8">
      <c r="H9257" s="39" t="e">
        <f>VLOOKUP(E9257,基础信息!C:E,3,FALSE)</f>
        <v>#N/A</v>
      </c>
    </row>
    <row r="9258" customHeight="1" spans="8:8">
      <c r="H9258" s="39" t="e">
        <f>VLOOKUP(E9258,基础信息!C:E,3,FALSE)</f>
        <v>#N/A</v>
      </c>
    </row>
    <row r="9259" customHeight="1" spans="8:8">
      <c r="H9259" s="39" t="e">
        <f>VLOOKUP(E9259,基础信息!C:E,3,FALSE)</f>
        <v>#N/A</v>
      </c>
    </row>
    <row r="9260" customHeight="1" spans="8:8">
      <c r="H9260" s="39" t="e">
        <f>VLOOKUP(E9260,基础信息!C:E,3,FALSE)</f>
        <v>#N/A</v>
      </c>
    </row>
    <row r="9261" customHeight="1" spans="8:8">
      <c r="H9261" s="39" t="e">
        <f>VLOOKUP(E9261,基础信息!C:E,3,FALSE)</f>
        <v>#N/A</v>
      </c>
    </row>
    <row r="9262" customHeight="1" spans="8:8">
      <c r="H9262" s="39" t="e">
        <f>VLOOKUP(E9262,基础信息!C:E,3,FALSE)</f>
        <v>#N/A</v>
      </c>
    </row>
    <row r="9263" customHeight="1" spans="8:8">
      <c r="H9263" s="39" t="e">
        <f>VLOOKUP(E9263,基础信息!C:E,3,FALSE)</f>
        <v>#N/A</v>
      </c>
    </row>
    <row r="9264" customHeight="1" spans="8:8">
      <c r="H9264" s="39" t="e">
        <f>VLOOKUP(E9264,基础信息!C:E,3,FALSE)</f>
        <v>#N/A</v>
      </c>
    </row>
    <row r="9265" customHeight="1" spans="8:8">
      <c r="H9265" s="39" t="e">
        <f>VLOOKUP(E9265,基础信息!C:E,3,FALSE)</f>
        <v>#N/A</v>
      </c>
    </row>
    <row r="9266" customHeight="1" spans="8:8">
      <c r="H9266" s="39" t="e">
        <f>VLOOKUP(E9266,基础信息!C:E,3,FALSE)</f>
        <v>#N/A</v>
      </c>
    </row>
    <row r="9267" customHeight="1" spans="8:8">
      <c r="H9267" s="39" t="e">
        <f>VLOOKUP(E9267,基础信息!C:E,3,FALSE)</f>
        <v>#N/A</v>
      </c>
    </row>
    <row r="9268" customHeight="1" spans="8:8">
      <c r="H9268" s="39" t="e">
        <f>VLOOKUP(E9268,基础信息!C:E,3,FALSE)</f>
        <v>#N/A</v>
      </c>
    </row>
    <row r="9269" customHeight="1" spans="8:8">
      <c r="H9269" s="39" t="e">
        <f>VLOOKUP(E9269,基础信息!C:E,3,FALSE)</f>
        <v>#N/A</v>
      </c>
    </row>
    <row r="9270" customHeight="1" spans="8:8">
      <c r="H9270" s="39" t="e">
        <f>VLOOKUP(E9270,基础信息!C:E,3,FALSE)</f>
        <v>#N/A</v>
      </c>
    </row>
    <row r="9271" customHeight="1" spans="8:8">
      <c r="H9271" s="39" t="e">
        <f>VLOOKUP(E9271,基础信息!C:E,3,FALSE)</f>
        <v>#N/A</v>
      </c>
    </row>
    <row r="9272" customHeight="1" spans="8:8">
      <c r="H9272" s="39" t="e">
        <f>VLOOKUP(E9272,基础信息!C:E,3,FALSE)</f>
        <v>#N/A</v>
      </c>
    </row>
    <row r="9273" customHeight="1" spans="8:8">
      <c r="H9273" s="39" t="e">
        <f>VLOOKUP(E9273,基础信息!C:E,3,FALSE)</f>
        <v>#N/A</v>
      </c>
    </row>
    <row r="9274" customHeight="1" spans="8:8">
      <c r="H9274" s="39" t="e">
        <f>VLOOKUP(E9274,基础信息!C:E,3,FALSE)</f>
        <v>#N/A</v>
      </c>
    </row>
    <row r="9275" customHeight="1" spans="8:8">
      <c r="H9275" s="39" t="e">
        <f>VLOOKUP(E9275,基础信息!C:E,3,FALSE)</f>
        <v>#N/A</v>
      </c>
    </row>
    <row r="9276" customHeight="1" spans="8:8">
      <c r="H9276" s="39" t="e">
        <f>VLOOKUP(E9276,基础信息!C:E,3,FALSE)</f>
        <v>#N/A</v>
      </c>
    </row>
    <row r="9277" customHeight="1" spans="8:8">
      <c r="H9277" s="39" t="e">
        <f>VLOOKUP(E9277,基础信息!C:E,3,FALSE)</f>
        <v>#N/A</v>
      </c>
    </row>
    <row r="9278" customHeight="1" spans="8:8">
      <c r="H9278" s="39" t="e">
        <f>VLOOKUP(E9278,基础信息!C:E,3,FALSE)</f>
        <v>#N/A</v>
      </c>
    </row>
    <row r="9279" customHeight="1" spans="8:8">
      <c r="H9279" s="39" t="e">
        <f>VLOOKUP(E9279,基础信息!C:E,3,FALSE)</f>
        <v>#N/A</v>
      </c>
    </row>
    <row r="9280" customHeight="1" spans="8:8">
      <c r="H9280" s="39" t="e">
        <f>VLOOKUP(E9280,基础信息!C:E,3,FALSE)</f>
        <v>#N/A</v>
      </c>
    </row>
    <row r="9281" customHeight="1" spans="8:8">
      <c r="H9281" s="39" t="e">
        <f>VLOOKUP(E9281,基础信息!C:E,3,FALSE)</f>
        <v>#N/A</v>
      </c>
    </row>
    <row r="9282" customHeight="1" spans="8:8">
      <c r="H9282" s="39" t="e">
        <f>VLOOKUP(E9282,基础信息!C:E,3,FALSE)</f>
        <v>#N/A</v>
      </c>
    </row>
    <row r="9283" customHeight="1" spans="8:8">
      <c r="H9283" s="39" t="e">
        <f>VLOOKUP(E9283,基础信息!C:E,3,FALSE)</f>
        <v>#N/A</v>
      </c>
    </row>
    <row r="9284" customHeight="1" spans="8:8">
      <c r="H9284" s="39" t="e">
        <f>VLOOKUP(E9284,基础信息!C:E,3,FALSE)</f>
        <v>#N/A</v>
      </c>
    </row>
    <row r="9285" customHeight="1" spans="8:8">
      <c r="H9285" s="39" t="e">
        <f>VLOOKUP(E9285,基础信息!C:E,3,FALSE)</f>
        <v>#N/A</v>
      </c>
    </row>
    <row r="9286" customHeight="1" spans="8:8">
      <c r="H9286" s="39" t="e">
        <f>VLOOKUP(E9286,基础信息!C:E,3,FALSE)</f>
        <v>#N/A</v>
      </c>
    </row>
    <row r="9287" customHeight="1" spans="8:8">
      <c r="H9287" s="39" t="e">
        <f>VLOOKUP(E9287,基础信息!C:E,3,FALSE)</f>
        <v>#N/A</v>
      </c>
    </row>
    <row r="9288" customHeight="1" spans="8:8">
      <c r="H9288" s="39" t="e">
        <f>VLOOKUP(E9288,基础信息!C:E,3,FALSE)</f>
        <v>#N/A</v>
      </c>
    </row>
    <row r="9289" customHeight="1" spans="8:8">
      <c r="H9289" s="39" t="e">
        <f>VLOOKUP(E9289,基础信息!C:E,3,FALSE)</f>
        <v>#N/A</v>
      </c>
    </row>
    <row r="9290" customHeight="1" spans="8:8">
      <c r="H9290" s="39" t="e">
        <f>VLOOKUP(E9290,基础信息!C:E,3,FALSE)</f>
        <v>#N/A</v>
      </c>
    </row>
    <row r="9291" customHeight="1" spans="8:8">
      <c r="H9291" s="39" t="e">
        <f>VLOOKUP(E9291,基础信息!C:E,3,FALSE)</f>
        <v>#N/A</v>
      </c>
    </row>
    <row r="9292" customHeight="1" spans="8:8">
      <c r="H9292" s="39" t="e">
        <f>VLOOKUP(E9292,基础信息!C:E,3,FALSE)</f>
        <v>#N/A</v>
      </c>
    </row>
    <row r="9293" customHeight="1" spans="8:8">
      <c r="H9293" s="39" t="e">
        <f>VLOOKUP(E9293,基础信息!C:E,3,FALSE)</f>
        <v>#N/A</v>
      </c>
    </row>
    <row r="9294" customHeight="1" spans="8:8">
      <c r="H9294" s="39" t="e">
        <f>VLOOKUP(E9294,基础信息!C:E,3,FALSE)</f>
        <v>#N/A</v>
      </c>
    </row>
    <row r="9295" customHeight="1" spans="8:8">
      <c r="H9295" s="39" t="e">
        <f>VLOOKUP(E9295,基础信息!C:E,3,FALSE)</f>
        <v>#N/A</v>
      </c>
    </row>
    <row r="9296" customHeight="1" spans="8:8">
      <c r="H9296" s="39" t="e">
        <f>VLOOKUP(E9296,基础信息!C:E,3,FALSE)</f>
        <v>#N/A</v>
      </c>
    </row>
    <row r="9297" customHeight="1" spans="8:8">
      <c r="H9297" s="39" t="e">
        <f>VLOOKUP(E9297,基础信息!C:E,3,FALSE)</f>
        <v>#N/A</v>
      </c>
    </row>
    <row r="9298" customHeight="1" spans="8:8">
      <c r="H9298" s="39" t="e">
        <f>VLOOKUP(E9298,基础信息!C:E,3,FALSE)</f>
        <v>#N/A</v>
      </c>
    </row>
    <row r="9299" customHeight="1" spans="8:8">
      <c r="H9299" s="39" t="e">
        <f>VLOOKUP(E9299,基础信息!C:E,3,FALSE)</f>
        <v>#N/A</v>
      </c>
    </row>
    <row r="9300" customHeight="1" spans="8:8">
      <c r="H9300" s="39" t="e">
        <f>VLOOKUP(E9300,基础信息!C:E,3,FALSE)</f>
        <v>#N/A</v>
      </c>
    </row>
    <row r="9301" customHeight="1" spans="8:8">
      <c r="H9301" s="39" t="e">
        <f>VLOOKUP(E9301,基础信息!C:E,3,FALSE)</f>
        <v>#N/A</v>
      </c>
    </row>
    <row r="9302" customHeight="1" spans="8:8">
      <c r="H9302" s="39" t="e">
        <f>VLOOKUP(E9302,基础信息!C:E,3,FALSE)</f>
        <v>#N/A</v>
      </c>
    </row>
    <row r="9303" customHeight="1" spans="8:8">
      <c r="H9303" s="39" t="e">
        <f>VLOOKUP(E9303,基础信息!C:E,3,FALSE)</f>
        <v>#N/A</v>
      </c>
    </row>
    <row r="9304" customHeight="1" spans="8:8">
      <c r="H9304" s="39" t="e">
        <f>VLOOKUP(E9304,基础信息!C:E,3,FALSE)</f>
        <v>#N/A</v>
      </c>
    </row>
    <row r="9305" customHeight="1" spans="8:8">
      <c r="H9305" s="39" t="e">
        <f>VLOOKUP(E9305,基础信息!C:E,3,FALSE)</f>
        <v>#N/A</v>
      </c>
    </row>
    <row r="9306" customHeight="1" spans="8:8">
      <c r="H9306" s="39" t="e">
        <f>VLOOKUP(E9306,基础信息!C:E,3,FALSE)</f>
        <v>#N/A</v>
      </c>
    </row>
    <row r="9307" customHeight="1" spans="8:8">
      <c r="H9307" s="39" t="e">
        <f>VLOOKUP(E9307,基础信息!C:E,3,FALSE)</f>
        <v>#N/A</v>
      </c>
    </row>
    <row r="9308" customHeight="1" spans="8:8">
      <c r="H9308" s="39" t="e">
        <f>VLOOKUP(E9308,基础信息!C:E,3,FALSE)</f>
        <v>#N/A</v>
      </c>
    </row>
    <row r="9309" customHeight="1" spans="8:8">
      <c r="H9309" s="39" t="e">
        <f>VLOOKUP(E9309,基础信息!C:E,3,FALSE)</f>
        <v>#N/A</v>
      </c>
    </row>
    <row r="9310" customHeight="1" spans="8:8">
      <c r="H9310" s="39" t="e">
        <f>VLOOKUP(E9310,基础信息!C:E,3,FALSE)</f>
        <v>#N/A</v>
      </c>
    </row>
    <row r="9311" customHeight="1" spans="8:8">
      <c r="H9311" s="39" t="e">
        <f>VLOOKUP(E9311,基础信息!C:E,3,FALSE)</f>
        <v>#N/A</v>
      </c>
    </row>
    <row r="9312" customHeight="1" spans="8:8">
      <c r="H9312" s="39" t="e">
        <f>VLOOKUP(E9312,基础信息!C:E,3,FALSE)</f>
        <v>#N/A</v>
      </c>
    </row>
    <row r="9313" customHeight="1" spans="8:8">
      <c r="H9313" s="39" t="e">
        <f>VLOOKUP(E9313,基础信息!C:E,3,FALSE)</f>
        <v>#N/A</v>
      </c>
    </row>
    <row r="9314" customHeight="1" spans="8:8">
      <c r="H9314" s="39" t="e">
        <f>VLOOKUP(E9314,基础信息!C:E,3,FALSE)</f>
        <v>#N/A</v>
      </c>
    </row>
    <row r="9315" customHeight="1" spans="8:8">
      <c r="H9315" s="39" t="e">
        <f>VLOOKUP(E9315,基础信息!C:E,3,FALSE)</f>
        <v>#N/A</v>
      </c>
    </row>
    <row r="9316" customHeight="1" spans="8:8">
      <c r="H9316" s="39" t="e">
        <f>VLOOKUP(E9316,基础信息!C:E,3,FALSE)</f>
        <v>#N/A</v>
      </c>
    </row>
    <row r="9317" customHeight="1" spans="8:8">
      <c r="H9317" s="39" t="e">
        <f>VLOOKUP(E9317,基础信息!C:E,3,FALSE)</f>
        <v>#N/A</v>
      </c>
    </row>
    <row r="9318" customHeight="1" spans="8:8">
      <c r="H9318" s="39" t="e">
        <f>VLOOKUP(E9318,基础信息!C:E,3,FALSE)</f>
        <v>#N/A</v>
      </c>
    </row>
    <row r="9319" customHeight="1" spans="8:8">
      <c r="H9319" s="39" t="e">
        <f>VLOOKUP(E9319,基础信息!C:E,3,FALSE)</f>
        <v>#N/A</v>
      </c>
    </row>
    <row r="9320" customHeight="1" spans="8:8">
      <c r="H9320" s="39" t="e">
        <f>VLOOKUP(E9320,基础信息!C:E,3,FALSE)</f>
        <v>#N/A</v>
      </c>
    </row>
    <row r="9321" customHeight="1" spans="8:8">
      <c r="H9321" s="39" t="e">
        <f>VLOOKUP(E9321,基础信息!C:E,3,FALSE)</f>
        <v>#N/A</v>
      </c>
    </row>
    <row r="9322" customHeight="1" spans="8:8">
      <c r="H9322" s="39" t="e">
        <f>VLOOKUP(E9322,基础信息!C:E,3,FALSE)</f>
        <v>#N/A</v>
      </c>
    </row>
    <row r="9323" customHeight="1" spans="8:8">
      <c r="H9323" s="39" t="e">
        <f>VLOOKUP(E9323,基础信息!C:E,3,FALSE)</f>
        <v>#N/A</v>
      </c>
    </row>
    <row r="9324" customHeight="1" spans="8:8">
      <c r="H9324" s="39" t="e">
        <f>VLOOKUP(E9324,基础信息!C:E,3,FALSE)</f>
        <v>#N/A</v>
      </c>
    </row>
    <row r="9325" customHeight="1" spans="8:8">
      <c r="H9325" s="39" t="e">
        <f>VLOOKUP(E9325,基础信息!C:E,3,FALSE)</f>
        <v>#N/A</v>
      </c>
    </row>
    <row r="9326" customHeight="1" spans="8:8">
      <c r="H9326" s="39" t="e">
        <f>VLOOKUP(E9326,基础信息!C:E,3,FALSE)</f>
        <v>#N/A</v>
      </c>
    </row>
    <row r="9327" customHeight="1" spans="8:8">
      <c r="H9327" s="39" t="e">
        <f>VLOOKUP(E9327,基础信息!C:E,3,FALSE)</f>
        <v>#N/A</v>
      </c>
    </row>
    <row r="9328" customHeight="1" spans="8:8">
      <c r="H9328" s="39" t="e">
        <f>VLOOKUP(E9328,基础信息!C:E,3,FALSE)</f>
        <v>#N/A</v>
      </c>
    </row>
    <row r="9329" customHeight="1" spans="8:8">
      <c r="H9329" s="39" t="e">
        <f>VLOOKUP(E9329,基础信息!C:E,3,FALSE)</f>
        <v>#N/A</v>
      </c>
    </row>
    <row r="9330" customHeight="1" spans="8:8">
      <c r="H9330" s="39" t="e">
        <f>VLOOKUP(E9330,基础信息!C:E,3,FALSE)</f>
        <v>#N/A</v>
      </c>
    </row>
    <row r="9331" customHeight="1" spans="8:8">
      <c r="H9331" s="39" t="e">
        <f>VLOOKUP(E9331,基础信息!C:E,3,FALSE)</f>
        <v>#N/A</v>
      </c>
    </row>
    <row r="9332" customHeight="1" spans="8:8">
      <c r="H9332" s="39" t="e">
        <f>VLOOKUP(E9332,基础信息!C:E,3,FALSE)</f>
        <v>#N/A</v>
      </c>
    </row>
    <row r="9333" customHeight="1" spans="8:8">
      <c r="H9333" s="39" t="e">
        <f>VLOOKUP(E9333,基础信息!C:E,3,FALSE)</f>
        <v>#N/A</v>
      </c>
    </row>
    <row r="9334" customHeight="1" spans="8:8">
      <c r="H9334" s="39" t="e">
        <f>VLOOKUP(E9334,基础信息!C:E,3,FALSE)</f>
        <v>#N/A</v>
      </c>
    </row>
    <row r="9335" customHeight="1" spans="8:8">
      <c r="H9335" s="39" t="e">
        <f>VLOOKUP(E9335,基础信息!C:E,3,FALSE)</f>
        <v>#N/A</v>
      </c>
    </row>
    <row r="9336" customHeight="1" spans="8:8">
      <c r="H9336" s="39" t="e">
        <f>VLOOKUP(E9336,基础信息!C:E,3,FALSE)</f>
        <v>#N/A</v>
      </c>
    </row>
    <row r="9337" customHeight="1" spans="8:8">
      <c r="H9337" s="39" t="e">
        <f>VLOOKUP(E9337,基础信息!C:E,3,FALSE)</f>
        <v>#N/A</v>
      </c>
    </row>
    <row r="9338" customHeight="1" spans="8:8">
      <c r="H9338" s="39" t="e">
        <f>VLOOKUP(E9338,基础信息!C:E,3,FALSE)</f>
        <v>#N/A</v>
      </c>
    </row>
    <row r="9339" customHeight="1" spans="8:8">
      <c r="H9339" s="39" t="e">
        <f>VLOOKUP(E9339,基础信息!C:E,3,FALSE)</f>
        <v>#N/A</v>
      </c>
    </row>
    <row r="9340" customHeight="1" spans="8:8">
      <c r="H9340" s="39" t="e">
        <f>VLOOKUP(E9340,基础信息!C:E,3,FALSE)</f>
        <v>#N/A</v>
      </c>
    </row>
    <row r="9341" customHeight="1" spans="8:8">
      <c r="H9341" s="39" t="e">
        <f>VLOOKUP(E9341,基础信息!C:E,3,FALSE)</f>
        <v>#N/A</v>
      </c>
    </row>
    <row r="9342" customHeight="1" spans="8:8">
      <c r="H9342" s="39" t="e">
        <f>VLOOKUP(E9342,基础信息!C:E,3,FALSE)</f>
        <v>#N/A</v>
      </c>
    </row>
    <row r="9343" customHeight="1" spans="8:8">
      <c r="H9343" s="39" t="e">
        <f>VLOOKUP(E9343,基础信息!C:E,3,FALSE)</f>
        <v>#N/A</v>
      </c>
    </row>
    <row r="9344" customHeight="1" spans="8:8">
      <c r="H9344" s="39" t="e">
        <f>VLOOKUP(E9344,基础信息!C:E,3,FALSE)</f>
        <v>#N/A</v>
      </c>
    </row>
    <row r="9345" customHeight="1" spans="8:8">
      <c r="H9345" s="39" t="e">
        <f>VLOOKUP(E9345,基础信息!C:E,3,FALSE)</f>
        <v>#N/A</v>
      </c>
    </row>
    <row r="9346" customHeight="1" spans="8:8">
      <c r="H9346" s="39" t="e">
        <f>VLOOKUP(E9346,基础信息!C:E,3,FALSE)</f>
        <v>#N/A</v>
      </c>
    </row>
    <row r="9347" customHeight="1" spans="8:8">
      <c r="H9347" s="39" t="e">
        <f>VLOOKUP(E9347,基础信息!C:E,3,FALSE)</f>
        <v>#N/A</v>
      </c>
    </row>
    <row r="9348" customHeight="1" spans="8:8">
      <c r="H9348" s="39" t="e">
        <f>VLOOKUP(E9348,基础信息!C:E,3,FALSE)</f>
        <v>#N/A</v>
      </c>
    </row>
    <row r="9349" customHeight="1" spans="8:8">
      <c r="H9349" s="39" t="e">
        <f>VLOOKUP(E9349,基础信息!C:E,3,FALSE)</f>
        <v>#N/A</v>
      </c>
    </row>
    <row r="9350" customHeight="1" spans="8:8">
      <c r="H9350" s="39" t="e">
        <f>VLOOKUP(E9350,基础信息!C:E,3,FALSE)</f>
        <v>#N/A</v>
      </c>
    </row>
    <row r="9351" customHeight="1" spans="8:8">
      <c r="H9351" s="39" t="e">
        <f>VLOOKUP(E9351,基础信息!C:E,3,FALSE)</f>
        <v>#N/A</v>
      </c>
    </row>
    <row r="9352" customHeight="1" spans="8:8">
      <c r="H9352" s="39" t="e">
        <f>VLOOKUP(E9352,基础信息!C:E,3,FALSE)</f>
        <v>#N/A</v>
      </c>
    </row>
    <row r="9353" customHeight="1" spans="8:8">
      <c r="H9353" s="39" t="e">
        <f>VLOOKUP(E9353,基础信息!C:E,3,FALSE)</f>
        <v>#N/A</v>
      </c>
    </row>
    <row r="9354" customHeight="1" spans="8:8">
      <c r="H9354" s="39" t="e">
        <f>VLOOKUP(E9354,基础信息!C:E,3,FALSE)</f>
        <v>#N/A</v>
      </c>
    </row>
    <row r="9355" customHeight="1" spans="8:8">
      <c r="H9355" s="39" t="e">
        <f>VLOOKUP(E9355,基础信息!C:E,3,FALSE)</f>
        <v>#N/A</v>
      </c>
    </row>
    <row r="9356" customHeight="1" spans="8:8">
      <c r="H9356" s="39" t="e">
        <f>VLOOKUP(E9356,基础信息!C:E,3,FALSE)</f>
        <v>#N/A</v>
      </c>
    </row>
    <row r="9357" customHeight="1" spans="8:8">
      <c r="H9357" s="39" t="e">
        <f>VLOOKUP(E9357,基础信息!C:E,3,FALSE)</f>
        <v>#N/A</v>
      </c>
    </row>
    <row r="9358" customHeight="1" spans="8:8">
      <c r="H9358" s="39" t="e">
        <f>VLOOKUP(E9358,基础信息!C:E,3,FALSE)</f>
        <v>#N/A</v>
      </c>
    </row>
    <row r="9359" customHeight="1" spans="8:8">
      <c r="H9359" s="39" t="e">
        <f>VLOOKUP(E9359,基础信息!C:E,3,FALSE)</f>
        <v>#N/A</v>
      </c>
    </row>
    <row r="9360" customHeight="1" spans="8:8">
      <c r="H9360" s="39" t="e">
        <f>VLOOKUP(E9360,基础信息!C:E,3,FALSE)</f>
        <v>#N/A</v>
      </c>
    </row>
    <row r="9361" customHeight="1" spans="8:8">
      <c r="H9361" s="39" t="e">
        <f>VLOOKUP(E9361,基础信息!C:E,3,FALSE)</f>
        <v>#N/A</v>
      </c>
    </row>
    <row r="9362" customHeight="1" spans="8:8">
      <c r="H9362" s="39" t="e">
        <f>VLOOKUP(E9362,基础信息!C:E,3,FALSE)</f>
        <v>#N/A</v>
      </c>
    </row>
    <row r="9363" customHeight="1" spans="8:8">
      <c r="H9363" s="39" t="e">
        <f>VLOOKUP(E9363,基础信息!C:E,3,FALSE)</f>
        <v>#N/A</v>
      </c>
    </row>
    <row r="9364" customHeight="1" spans="8:8">
      <c r="H9364" s="39" t="e">
        <f>VLOOKUP(E9364,基础信息!C:E,3,FALSE)</f>
        <v>#N/A</v>
      </c>
    </row>
    <row r="9365" customHeight="1" spans="8:8">
      <c r="H9365" s="39" t="e">
        <f>VLOOKUP(E9365,基础信息!C:E,3,FALSE)</f>
        <v>#N/A</v>
      </c>
    </row>
    <row r="9366" customHeight="1" spans="8:8">
      <c r="H9366" s="39" t="e">
        <f>VLOOKUP(E9366,基础信息!C:E,3,FALSE)</f>
        <v>#N/A</v>
      </c>
    </row>
    <row r="9367" customHeight="1" spans="8:8">
      <c r="H9367" s="39" t="e">
        <f>VLOOKUP(E9367,基础信息!C:E,3,FALSE)</f>
        <v>#N/A</v>
      </c>
    </row>
    <row r="9368" customHeight="1" spans="8:8">
      <c r="H9368" s="39" t="e">
        <f>VLOOKUP(E9368,基础信息!C:E,3,FALSE)</f>
        <v>#N/A</v>
      </c>
    </row>
    <row r="9369" customHeight="1" spans="8:8">
      <c r="H9369" s="39" t="e">
        <f>VLOOKUP(E9369,基础信息!C:E,3,FALSE)</f>
        <v>#N/A</v>
      </c>
    </row>
    <row r="9370" customHeight="1" spans="8:8">
      <c r="H9370" s="39" t="e">
        <f>VLOOKUP(E9370,基础信息!C:E,3,FALSE)</f>
        <v>#N/A</v>
      </c>
    </row>
    <row r="9371" customHeight="1" spans="8:8">
      <c r="H9371" s="39" t="e">
        <f>VLOOKUP(E9371,基础信息!C:E,3,FALSE)</f>
        <v>#N/A</v>
      </c>
    </row>
    <row r="9372" customHeight="1" spans="8:8">
      <c r="H9372" s="39" t="e">
        <f>VLOOKUP(E9372,基础信息!C:E,3,FALSE)</f>
        <v>#N/A</v>
      </c>
    </row>
    <row r="9373" customHeight="1" spans="8:8">
      <c r="H9373" s="39" t="e">
        <f>VLOOKUP(E9373,基础信息!C:E,3,FALSE)</f>
        <v>#N/A</v>
      </c>
    </row>
    <row r="9374" customHeight="1" spans="8:8">
      <c r="H9374" s="39" t="e">
        <f>VLOOKUP(E9374,基础信息!C:E,3,FALSE)</f>
        <v>#N/A</v>
      </c>
    </row>
    <row r="9375" customHeight="1" spans="8:8">
      <c r="H9375" s="39" t="e">
        <f>VLOOKUP(E9375,基础信息!C:E,3,FALSE)</f>
        <v>#N/A</v>
      </c>
    </row>
    <row r="9376" customHeight="1" spans="8:8">
      <c r="H9376" s="39" t="e">
        <f>VLOOKUP(E9376,基础信息!C:E,3,FALSE)</f>
        <v>#N/A</v>
      </c>
    </row>
    <row r="9377" customHeight="1" spans="8:8">
      <c r="H9377" s="39" t="e">
        <f>VLOOKUP(E9377,基础信息!C:E,3,FALSE)</f>
        <v>#N/A</v>
      </c>
    </row>
    <row r="9378" customHeight="1" spans="8:8">
      <c r="H9378" s="39" t="e">
        <f>VLOOKUP(E9378,基础信息!C:E,3,FALSE)</f>
        <v>#N/A</v>
      </c>
    </row>
    <row r="9379" customHeight="1" spans="8:8">
      <c r="H9379" s="39" t="e">
        <f>VLOOKUP(E9379,基础信息!C:E,3,FALSE)</f>
        <v>#N/A</v>
      </c>
    </row>
    <row r="9380" customHeight="1" spans="8:8">
      <c r="H9380" s="39" t="e">
        <f>VLOOKUP(E9380,基础信息!C:E,3,FALSE)</f>
        <v>#N/A</v>
      </c>
    </row>
    <row r="9381" customHeight="1" spans="8:8">
      <c r="H9381" s="39" t="e">
        <f>VLOOKUP(E9381,基础信息!C:E,3,FALSE)</f>
        <v>#N/A</v>
      </c>
    </row>
    <row r="9382" customHeight="1" spans="8:8">
      <c r="H9382" s="39" t="e">
        <f>VLOOKUP(E9382,基础信息!C:E,3,FALSE)</f>
        <v>#N/A</v>
      </c>
    </row>
    <row r="9383" customHeight="1" spans="8:8">
      <c r="H9383" s="39" t="e">
        <f>VLOOKUP(E9383,基础信息!C:E,3,FALSE)</f>
        <v>#N/A</v>
      </c>
    </row>
    <row r="9384" customHeight="1" spans="8:8">
      <c r="H9384" s="39" t="e">
        <f>VLOOKUP(E9384,基础信息!C:E,3,FALSE)</f>
        <v>#N/A</v>
      </c>
    </row>
    <row r="9385" customHeight="1" spans="8:8">
      <c r="H9385" s="39" t="e">
        <f>VLOOKUP(E9385,基础信息!C:E,3,FALSE)</f>
        <v>#N/A</v>
      </c>
    </row>
    <row r="9386" customHeight="1" spans="8:8">
      <c r="H9386" s="39" t="e">
        <f>VLOOKUP(E9386,基础信息!C:E,3,FALSE)</f>
        <v>#N/A</v>
      </c>
    </row>
    <row r="9387" customHeight="1" spans="8:8">
      <c r="H9387" s="39" t="e">
        <f>VLOOKUP(E9387,基础信息!C:E,3,FALSE)</f>
        <v>#N/A</v>
      </c>
    </row>
    <row r="9388" customHeight="1" spans="8:8">
      <c r="H9388" s="39" t="e">
        <f>VLOOKUP(E9388,基础信息!C:E,3,FALSE)</f>
        <v>#N/A</v>
      </c>
    </row>
    <row r="9389" customHeight="1" spans="8:8">
      <c r="H9389" s="39" t="e">
        <f>VLOOKUP(E9389,基础信息!C:E,3,FALSE)</f>
        <v>#N/A</v>
      </c>
    </row>
    <row r="9390" customHeight="1" spans="8:8">
      <c r="H9390" s="39" t="e">
        <f>VLOOKUP(E9390,基础信息!C:E,3,FALSE)</f>
        <v>#N/A</v>
      </c>
    </row>
    <row r="9391" customHeight="1" spans="8:8">
      <c r="H9391" s="39" t="e">
        <f>VLOOKUP(E9391,基础信息!C:E,3,FALSE)</f>
        <v>#N/A</v>
      </c>
    </row>
    <row r="9392" customHeight="1" spans="8:8">
      <c r="H9392" s="39" t="e">
        <f>VLOOKUP(E9392,基础信息!C:E,3,FALSE)</f>
        <v>#N/A</v>
      </c>
    </row>
    <row r="9393" customHeight="1" spans="8:8">
      <c r="H9393" s="39" t="e">
        <f>VLOOKUP(E9393,基础信息!C:E,3,FALSE)</f>
        <v>#N/A</v>
      </c>
    </row>
    <row r="9394" customHeight="1" spans="8:8">
      <c r="H9394" s="39" t="e">
        <f>VLOOKUP(E9394,基础信息!C:E,3,FALSE)</f>
        <v>#N/A</v>
      </c>
    </row>
    <row r="9395" customHeight="1" spans="8:8">
      <c r="H9395" s="39" t="e">
        <f>VLOOKUP(E9395,基础信息!C:E,3,FALSE)</f>
        <v>#N/A</v>
      </c>
    </row>
    <row r="9396" customHeight="1" spans="8:8">
      <c r="H9396" s="39" t="e">
        <f>VLOOKUP(E9396,基础信息!C:E,3,FALSE)</f>
        <v>#N/A</v>
      </c>
    </row>
    <row r="9397" customHeight="1" spans="8:8">
      <c r="H9397" s="39" t="e">
        <f>VLOOKUP(E9397,基础信息!C:E,3,FALSE)</f>
        <v>#N/A</v>
      </c>
    </row>
    <row r="9398" customHeight="1" spans="8:8">
      <c r="H9398" s="39" t="e">
        <f>VLOOKUP(E9398,基础信息!C:E,3,FALSE)</f>
        <v>#N/A</v>
      </c>
    </row>
    <row r="9399" customHeight="1" spans="8:8">
      <c r="H9399" s="39" t="e">
        <f>VLOOKUP(E9399,基础信息!C:E,3,FALSE)</f>
        <v>#N/A</v>
      </c>
    </row>
    <row r="9400" customHeight="1" spans="8:8">
      <c r="H9400" s="39" t="e">
        <f>VLOOKUP(E9400,基础信息!C:E,3,FALSE)</f>
        <v>#N/A</v>
      </c>
    </row>
    <row r="9401" customHeight="1" spans="8:8">
      <c r="H9401" s="39" t="e">
        <f>VLOOKUP(E9401,基础信息!C:E,3,FALSE)</f>
        <v>#N/A</v>
      </c>
    </row>
    <row r="9402" customHeight="1" spans="8:8">
      <c r="H9402" s="39" t="e">
        <f>VLOOKUP(E9402,基础信息!C:E,3,FALSE)</f>
        <v>#N/A</v>
      </c>
    </row>
    <row r="9403" customHeight="1" spans="8:8">
      <c r="H9403" s="39" t="e">
        <f>VLOOKUP(E9403,基础信息!C:E,3,FALSE)</f>
        <v>#N/A</v>
      </c>
    </row>
    <row r="9404" customHeight="1" spans="8:8">
      <c r="H9404" s="39" t="e">
        <f>VLOOKUP(E9404,基础信息!C:E,3,FALSE)</f>
        <v>#N/A</v>
      </c>
    </row>
    <row r="9405" customHeight="1" spans="8:8">
      <c r="H9405" s="39" t="e">
        <f>VLOOKUP(E9405,基础信息!C:E,3,FALSE)</f>
        <v>#N/A</v>
      </c>
    </row>
    <row r="9406" customHeight="1" spans="8:8">
      <c r="H9406" s="39" t="e">
        <f>VLOOKUP(E9406,基础信息!C:E,3,FALSE)</f>
        <v>#N/A</v>
      </c>
    </row>
    <row r="9407" customHeight="1" spans="8:8">
      <c r="H9407" s="39" t="e">
        <f>VLOOKUP(E9407,基础信息!C:E,3,FALSE)</f>
        <v>#N/A</v>
      </c>
    </row>
    <row r="9408" customHeight="1" spans="8:8">
      <c r="H9408" s="39" t="e">
        <f>VLOOKUP(E9408,基础信息!C:E,3,FALSE)</f>
        <v>#N/A</v>
      </c>
    </row>
    <row r="9409" customHeight="1" spans="8:8">
      <c r="H9409" s="39" t="e">
        <f>VLOOKUP(E9409,基础信息!C:E,3,FALSE)</f>
        <v>#N/A</v>
      </c>
    </row>
    <row r="9410" customHeight="1" spans="8:8">
      <c r="H9410" s="39" t="e">
        <f>VLOOKUP(E9410,基础信息!C:E,3,FALSE)</f>
        <v>#N/A</v>
      </c>
    </row>
    <row r="9411" customHeight="1" spans="8:8">
      <c r="H9411" s="39" t="e">
        <f>VLOOKUP(E9411,基础信息!C:E,3,FALSE)</f>
        <v>#N/A</v>
      </c>
    </row>
    <row r="9412" customHeight="1" spans="8:8">
      <c r="H9412" s="39" t="e">
        <f>VLOOKUP(E9412,基础信息!C:E,3,FALSE)</f>
        <v>#N/A</v>
      </c>
    </row>
    <row r="9413" customHeight="1" spans="8:8">
      <c r="H9413" s="39" t="e">
        <f>VLOOKUP(E9413,基础信息!C:E,3,FALSE)</f>
        <v>#N/A</v>
      </c>
    </row>
    <row r="9414" customHeight="1" spans="8:8">
      <c r="H9414" s="39" t="e">
        <f>VLOOKUP(E9414,基础信息!C:E,3,FALSE)</f>
        <v>#N/A</v>
      </c>
    </row>
    <row r="9415" customHeight="1" spans="8:8">
      <c r="H9415" s="39" t="e">
        <f>VLOOKUP(E9415,基础信息!C:E,3,FALSE)</f>
        <v>#N/A</v>
      </c>
    </row>
    <row r="9416" customHeight="1" spans="8:8">
      <c r="H9416" s="39" t="e">
        <f>VLOOKUP(E9416,基础信息!C:E,3,FALSE)</f>
        <v>#N/A</v>
      </c>
    </row>
    <row r="9417" customHeight="1" spans="8:8">
      <c r="H9417" s="39" t="e">
        <f>VLOOKUP(E9417,基础信息!C:E,3,FALSE)</f>
        <v>#N/A</v>
      </c>
    </row>
    <row r="9418" customHeight="1" spans="8:8">
      <c r="H9418" s="39" t="e">
        <f>VLOOKUP(E9418,基础信息!C:E,3,FALSE)</f>
        <v>#N/A</v>
      </c>
    </row>
    <row r="9419" customHeight="1" spans="8:8">
      <c r="H9419" s="39" t="e">
        <f>VLOOKUP(E9419,基础信息!C:E,3,FALSE)</f>
        <v>#N/A</v>
      </c>
    </row>
    <row r="9420" customHeight="1" spans="8:8">
      <c r="H9420" s="39" t="e">
        <f>VLOOKUP(E9420,基础信息!C:E,3,FALSE)</f>
        <v>#N/A</v>
      </c>
    </row>
    <row r="9421" customHeight="1" spans="8:8">
      <c r="H9421" s="39" t="e">
        <f>VLOOKUP(E9421,基础信息!C:E,3,FALSE)</f>
        <v>#N/A</v>
      </c>
    </row>
    <row r="9422" customHeight="1" spans="8:8">
      <c r="H9422" s="39" t="e">
        <f>VLOOKUP(E9422,基础信息!C:E,3,FALSE)</f>
        <v>#N/A</v>
      </c>
    </row>
    <row r="9423" customHeight="1" spans="8:8">
      <c r="H9423" s="39" t="e">
        <f>VLOOKUP(E9423,基础信息!C:E,3,FALSE)</f>
        <v>#N/A</v>
      </c>
    </row>
    <row r="9424" customHeight="1" spans="8:8">
      <c r="H9424" s="39" t="e">
        <f>VLOOKUP(E9424,基础信息!C:E,3,FALSE)</f>
        <v>#N/A</v>
      </c>
    </row>
    <row r="9425" customHeight="1" spans="8:8">
      <c r="H9425" s="39" t="e">
        <f>VLOOKUP(E9425,基础信息!C:E,3,FALSE)</f>
        <v>#N/A</v>
      </c>
    </row>
    <row r="9426" customHeight="1" spans="8:8">
      <c r="H9426" s="39" t="e">
        <f>VLOOKUP(E9426,基础信息!C:E,3,FALSE)</f>
        <v>#N/A</v>
      </c>
    </row>
    <row r="9427" customHeight="1" spans="8:8">
      <c r="H9427" s="39" t="e">
        <f>VLOOKUP(E9427,基础信息!C:E,3,FALSE)</f>
        <v>#N/A</v>
      </c>
    </row>
    <row r="9428" customHeight="1" spans="8:8">
      <c r="H9428" s="39" t="e">
        <f>VLOOKUP(E9428,基础信息!C:E,3,FALSE)</f>
        <v>#N/A</v>
      </c>
    </row>
    <row r="9429" customHeight="1" spans="8:8">
      <c r="H9429" s="39" t="e">
        <f>VLOOKUP(E9429,基础信息!C:E,3,FALSE)</f>
        <v>#N/A</v>
      </c>
    </row>
    <row r="9430" customHeight="1" spans="8:8">
      <c r="H9430" s="39" t="e">
        <f>VLOOKUP(E9430,基础信息!C:E,3,FALSE)</f>
        <v>#N/A</v>
      </c>
    </row>
    <row r="9431" customHeight="1" spans="8:8">
      <c r="H9431" s="39" t="e">
        <f>VLOOKUP(E9431,基础信息!C:E,3,FALSE)</f>
        <v>#N/A</v>
      </c>
    </row>
    <row r="9432" customHeight="1" spans="8:8">
      <c r="H9432" s="39" t="e">
        <f>VLOOKUP(E9432,基础信息!C:E,3,FALSE)</f>
        <v>#N/A</v>
      </c>
    </row>
    <row r="9433" customHeight="1" spans="8:8">
      <c r="H9433" s="39" t="e">
        <f>VLOOKUP(E9433,基础信息!C:E,3,FALSE)</f>
        <v>#N/A</v>
      </c>
    </row>
    <row r="9434" customHeight="1" spans="8:8">
      <c r="H9434" s="39" t="e">
        <f>VLOOKUP(E9434,基础信息!C:E,3,FALSE)</f>
        <v>#N/A</v>
      </c>
    </row>
    <row r="9435" customHeight="1" spans="8:8">
      <c r="H9435" s="39" t="e">
        <f>VLOOKUP(E9435,基础信息!C:E,3,FALSE)</f>
        <v>#N/A</v>
      </c>
    </row>
    <row r="9436" customHeight="1" spans="8:8">
      <c r="H9436" s="39" t="e">
        <f>VLOOKUP(E9436,基础信息!C:E,3,FALSE)</f>
        <v>#N/A</v>
      </c>
    </row>
    <row r="9437" customHeight="1" spans="8:8">
      <c r="H9437" s="39" t="e">
        <f>VLOOKUP(E9437,基础信息!C:E,3,FALSE)</f>
        <v>#N/A</v>
      </c>
    </row>
    <row r="9438" customHeight="1" spans="8:8">
      <c r="H9438" s="39" t="e">
        <f>VLOOKUP(E9438,基础信息!C:E,3,FALSE)</f>
        <v>#N/A</v>
      </c>
    </row>
    <row r="9439" customHeight="1" spans="8:8">
      <c r="H9439" s="39" t="e">
        <f>VLOOKUP(E9439,基础信息!C:E,3,FALSE)</f>
        <v>#N/A</v>
      </c>
    </row>
    <row r="9440" customHeight="1" spans="8:8">
      <c r="H9440" s="39" t="e">
        <f>VLOOKUP(E9440,基础信息!C:E,3,FALSE)</f>
        <v>#N/A</v>
      </c>
    </row>
    <row r="9441" customHeight="1" spans="8:8">
      <c r="H9441" s="39" t="e">
        <f>VLOOKUP(E9441,基础信息!C:E,3,FALSE)</f>
        <v>#N/A</v>
      </c>
    </row>
    <row r="9442" customHeight="1" spans="8:8">
      <c r="H9442" s="39" t="e">
        <f>VLOOKUP(E9442,基础信息!C:E,3,FALSE)</f>
        <v>#N/A</v>
      </c>
    </row>
    <row r="9443" customHeight="1" spans="8:8">
      <c r="H9443" s="39" t="e">
        <f>VLOOKUP(E9443,基础信息!C:E,3,FALSE)</f>
        <v>#N/A</v>
      </c>
    </row>
    <row r="9444" customHeight="1" spans="8:8">
      <c r="H9444" s="39" t="e">
        <f>VLOOKUP(E9444,基础信息!C:E,3,FALSE)</f>
        <v>#N/A</v>
      </c>
    </row>
    <row r="9445" customHeight="1" spans="8:8">
      <c r="H9445" s="39" t="e">
        <f>VLOOKUP(E9445,基础信息!C:E,3,FALSE)</f>
        <v>#N/A</v>
      </c>
    </row>
    <row r="9446" customHeight="1" spans="8:8">
      <c r="H9446" s="39" t="e">
        <f>VLOOKUP(E9446,基础信息!C:E,3,FALSE)</f>
        <v>#N/A</v>
      </c>
    </row>
    <row r="9447" customHeight="1" spans="8:8">
      <c r="H9447" s="39" t="e">
        <f>VLOOKUP(E9447,基础信息!C:E,3,FALSE)</f>
        <v>#N/A</v>
      </c>
    </row>
    <row r="9448" customHeight="1" spans="8:8">
      <c r="H9448" s="39" t="e">
        <f>VLOOKUP(E9448,基础信息!C:E,3,FALSE)</f>
        <v>#N/A</v>
      </c>
    </row>
    <row r="9449" customHeight="1" spans="8:8">
      <c r="H9449" s="39" t="e">
        <f>VLOOKUP(E9449,基础信息!C:E,3,FALSE)</f>
        <v>#N/A</v>
      </c>
    </row>
    <row r="9450" customHeight="1" spans="8:8">
      <c r="H9450" s="39" t="e">
        <f>VLOOKUP(E9450,基础信息!C:E,3,FALSE)</f>
        <v>#N/A</v>
      </c>
    </row>
    <row r="9451" customHeight="1" spans="8:8">
      <c r="H9451" s="39" t="e">
        <f>VLOOKUP(E9451,基础信息!C:E,3,FALSE)</f>
        <v>#N/A</v>
      </c>
    </row>
    <row r="9452" customHeight="1" spans="8:8">
      <c r="H9452" s="39" t="e">
        <f>VLOOKUP(E9452,基础信息!C:E,3,FALSE)</f>
        <v>#N/A</v>
      </c>
    </row>
    <row r="9453" customHeight="1" spans="8:8">
      <c r="H9453" s="39" t="e">
        <f>VLOOKUP(E9453,基础信息!C:E,3,FALSE)</f>
        <v>#N/A</v>
      </c>
    </row>
    <row r="9454" customHeight="1" spans="8:8">
      <c r="H9454" s="39" t="e">
        <f>VLOOKUP(E9454,基础信息!C:E,3,FALSE)</f>
        <v>#N/A</v>
      </c>
    </row>
    <row r="9455" customHeight="1" spans="8:8">
      <c r="H9455" s="39" t="e">
        <f>VLOOKUP(E9455,基础信息!C:E,3,FALSE)</f>
        <v>#N/A</v>
      </c>
    </row>
    <row r="9456" customHeight="1" spans="8:8">
      <c r="H9456" s="39" t="e">
        <f>VLOOKUP(E9456,基础信息!C:E,3,FALSE)</f>
        <v>#N/A</v>
      </c>
    </row>
    <row r="9457" customHeight="1" spans="8:8">
      <c r="H9457" s="39" t="e">
        <f>VLOOKUP(E9457,基础信息!C:E,3,FALSE)</f>
        <v>#N/A</v>
      </c>
    </row>
    <row r="9458" customHeight="1" spans="8:8">
      <c r="H9458" s="39" t="e">
        <f>VLOOKUP(E9458,基础信息!C:E,3,FALSE)</f>
        <v>#N/A</v>
      </c>
    </row>
    <row r="9459" customHeight="1" spans="8:8">
      <c r="H9459" s="39" t="e">
        <f>VLOOKUP(E9459,基础信息!C:E,3,FALSE)</f>
        <v>#N/A</v>
      </c>
    </row>
    <row r="9460" customHeight="1" spans="8:8">
      <c r="H9460" s="39" t="e">
        <f>VLOOKUP(E9460,基础信息!C:E,3,FALSE)</f>
        <v>#N/A</v>
      </c>
    </row>
    <row r="9461" customHeight="1" spans="8:8">
      <c r="H9461" s="39" t="e">
        <f>VLOOKUP(E9461,基础信息!C:E,3,FALSE)</f>
        <v>#N/A</v>
      </c>
    </row>
    <row r="9462" customHeight="1" spans="8:8">
      <c r="H9462" s="39" t="e">
        <f>VLOOKUP(E9462,基础信息!C:E,3,FALSE)</f>
        <v>#N/A</v>
      </c>
    </row>
    <row r="9463" customHeight="1" spans="8:8">
      <c r="H9463" s="39" t="e">
        <f>VLOOKUP(E9463,基础信息!C:E,3,FALSE)</f>
        <v>#N/A</v>
      </c>
    </row>
    <row r="9464" customHeight="1" spans="8:8">
      <c r="H9464" s="39" t="e">
        <f>VLOOKUP(E9464,基础信息!C:E,3,FALSE)</f>
        <v>#N/A</v>
      </c>
    </row>
    <row r="9465" customHeight="1" spans="8:8">
      <c r="H9465" s="39" t="e">
        <f>VLOOKUP(E9465,基础信息!C:E,3,FALSE)</f>
        <v>#N/A</v>
      </c>
    </row>
    <row r="9466" customHeight="1" spans="8:8">
      <c r="H9466" s="39" t="e">
        <f>VLOOKUP(E9466,基础信息!C:E,3,FALSE)</f>
        <v>#N/A</v>
      </c>
    </row>
    <row r="9467" customHeight="1" spans="8:8">
      <c r="H9467" s="39" t="e">
        <f>VLOOKUP(E9467,基础信息!C:E,3,FALSE)</f>
        <v>#N/A</v>
      </c>
    </row>
    <row r="9468" customHeight="1" spans="8:8">
      <c r="H9468" s="39" t="e">
        <f>VLOOKUP(E9468,基础信息!C:E,3,FALSE)</f>
        <v>#N/A</v>
      </c>
    </row>
    <row r="9469" customHeight="1" spans="8:8">
      <c r="H9469" s="39" t="e">
        <f>VLOOKUP(E9469,基础信息!C:E,3,FALSE)</f>
        <v>#N/A</v>
      </c>
    </row>
    <row r="9470" customHeight="1" spans="8:8">
      <c r="H9470" s="39" t="e">
        <f>VLOOKUP(E9470,基础信息!C:E,3,FALSE)</f>
        <v>#N/A</v>
      </c>
    </row>
    <row r="9471" customHeight="1" spans="8:8">
      <c r="H9471" s="39" t="e">
        <f>VLOOKUP(E9471,基础信息!C:E,3,FALSE)</f>
        <v>#N/A</v>
      </c>
    </row>
    <row r="9472" customHeight="1" spans="8:8">
      <c r="H9472" s="39" t="e">
        <f>VLOOKUP(E9472,基础信息!C:E,3,FALSE)</f>
        <v>#N/A</v>
      </c>
    </row>
    <row r="9473" customHeight="1" spans="8:8">
      <c r="H9473" s="39" t="e">
        <f>VLOOKUP(E9473,基础信息!C:E,3,FALSE)</f>
        <v>#N/A</v>
      </c>
    </row>
    <row r="9474" customHeight="1" spans="8:8">
      <c r="H9474" s="39" t="e">
        <f>VLOOKUP(E9474,基础信息!C:E,3,FALSE)</f>
        <v>#N/A</v>
      </c>
    </row>
    <row r="9475" customHeight="1" spans="8:8">
      <c r="H9475" s="39" t="e">
        <f>VLOOKUP(E9475,基础信息!C:E,3,FALSE)</f>
        <v>#N/A</v>
      </c>
    </row>
    <row r="9476" customHeight="1" spans="8:8">
      <c r="H9476" s="39" t="e">
        <f>VLOOKUP(E9476,基础信息!C:E,3,FALSE)</f>
        <v>#N/A</v>
      </c>
    </row>
    <row r="9477" customHeight="1" spans="8:8">
      <c r="H9477" s="39" t="e">
        <f>VLOOKUP(E9477,基础信息!C:E,3,FALSE)</f>
        <v>#N/A</v>
      </c>
    </row>
    <row r="9478" customHeight="1" spans="8:8">
      <c r="H9478" s="39" t="e">
        <f>VLOOKUP(E9478,基础信息!C:E,3,FALSE)</f>
        <v>#N/A</v>
      </c>
    </row>
    <row r="9479" customHeight="1" spans="8:8">
      <c r="H9479" s="39" t="e">
        <f>VLOOKUP(E9479,基础信息!C:E,3,FALSE)</f>
        <v>#N/A</v>
      </c>
    </row>
    <row r="9480" customHeight="1" spans="8:8">
      <c r="H9480" s="39" t="e">
        <f>VLOOKUP(E9480,基础信息!C:E,3,FALSE)</f>
        <v>#N/A</v>
      </c>
    </row>
    <row r="9481" customHeight="1" spans="8:8">
      <c r="H9481" s="39" t="e">
        <f>VLOOKUP(E9481,基础信息!C:E,3,FALSE)</f>
        <v>#N/A</v>
      </c>
    </row>
    <row r="9482" customHeight="1" spans="8:8">
      <c r="H9482" s="39" t="e">
        <f>VLOOKUP(E9482,基础信息!C:E,3,FALSE)</f>
        <v>#N/A</v>
      </c>
    </row>
    <row r="9483" customHeight="1" spans="8:8">
      <c r="H9483" s="39" t="e">
        <f>VLOOKUP(E9483,基础信息!C:E,3,FALSE)</f>
        <v>#N/A</v>
      </c>
    </row>
    <row r="9484" customHeight="1" spans="8:8">
      <c r="H9484" s="39" t="e">
        <f>VLOOKUP(E9484,基础信息!C:E,3,FALSE)</f>
        <v>#N/A</v>
      </c>
    </row>
    <row r="9485" customHeight="1" spans="8:8">
      <c r="H9485" s="39" t="e">
        <f>VLOOKUP(E9485,基础信息!C:E,3,FALSE)</f>
        <v>#N/A</v>
      </c>
    </row>
    <row r="9486" customHeight="1" spans="8:8">
      <c r="H9486" s="39" t="e">
        <f>VLOOKUP(E9486,基础信息!C:E,3,FALSE)</f>
        <v>#N/A</v>
      </c>
    </row>
    <row r="9487" customHeight="1" spans="8:8">
      <c r="H9487" s="39" t="e">
        <f>VLOOKUP(E9487,基础信息!C:E,3,FALSE)</f>
        <v>#N/A</v>
      </c>
    </row>
    <row r="9488" customHeight="1" spans="8:8">
      <c r="H9488" s="39" t="e">
        <f>VLOOKUP(E9488,基础信息!C:E,3,FALSE)</f>
        <v>#N/A</v>
      </c>
    </row>
    <row r="9489" customHeight="1" spans="8:8">
      <c r="H9489" s="39" t="e">
        <f>VLOOKUP(E9489,基础信息!C:E,3,FALSE)</f>
        <v>#N/A</v>
      </c>
    </row>
    <row r="9490" customHeight="1" spans="8:8">
      <c r="H9490" s="39" t="e">
        <f>VLOOKUP(E9490,基础信息!C:E,3,FALSE)</f>
        <v>#N/A</v>
      </c>
    </row>
    <row r="9491" customHeight="1" spans="8:8">
      <c r="H9491" s="39" t="e">
        <f>VLOOKUP(E9491,基础信息!C:E,3,FALSE)</f>
        <v>#N/A</v>
      </c>
    </row>
    <row r="9492" customHeight="1" spans="8:8">
      <c r="H9492" s="39" t="e">
        <f>VLOOKUP(E9492,基础信息!C:E,3,FALSE)</f>
        <v>#N/A</v>
      </c>
    </row>
    <row r="9493" customHeight="1" spans="8:8">
      <c r="H9493" s="39" t="e">
        <f>VLOOKUP(E9493,基础信息!C:E,3,FALSE)</f>
        <v>#N/A</v>
      </c>
    </row>
    <row r="9494" customHeight="1" spans="8:8">
      <c r="H9494" s="39" t="e">
        <f>VLOOKUP(E9494,基础信息!C:E,3,FALSE)</f>
        <v>#N/A</v>
      </c>
    </row>
    <row r="9495" customHeight="1" spans="8:8">
      <c r="H9495" s="39" t="e">
        <f>VLOOKUP(E9495,基础信息!C:E,3,FALSE)</f>
        <v>#N/A</v>
      </c>
    </row>
    <row r="9496" customHeight="1" spans="8:8">
      <c r="H9496" s="39" t="e">
        <f>VLOOKUP(E9496,基础信息!C:E,3,FALSE)</f>
        <v>#N/A</v>
      </c>
    </row>
    <row r="9497" customHeight="1" spans="8:8">
      <c r="H9497" s="39" t="e">
        <f>VLOOKUP(E9497,基础信息!C:E,3,FALSE)</f>
        <v>#N/A</v>
      </c>
    </row>
    <row r="9498" customHeight="1" spans="8:8">
      <c r="H9498" s="39" t="e">
        <f>VLOOKUP(E9498,基础信息!C:E,3,FALSE)</f>
        <v>#N/A</v>
      </c>
    </row>
    <row r="9499" customHeight="1" spans="8:8">
      <c r="H9499" s="39" t="e">
        <f>VLOOKUP(E9499,基础信息!C:E,3,FALSE)</f>
        <v>#N/A</v>
      </c>
    </row>
    <row r="9500" customHeight="1" spans="8:8">
      <c r="H9500" s="39" t="e">
        <f>VLOOKUP(E9500,基础信息!C:E,3,FALSE)</f>
        <v>#N/A</v>
      </c>
    </row>
    <row r="9501" customHeight="1" spans="8:8">
      <c r="H9501" s="39" t="e">
        <f>VLOOKUP(E9501,基础信息!C:E,3,FALSE)</f>
        <v>#N/A</v>
      </c>
    </row>
    <row r="9502" customHeight="1" spans="8:8">
      <c r="H9502" s="39" t="e">
        <f>VLOOKUP(E9502,基础信息!C:E,3,FALSE)</f>
        <v>#N/A</v>
      </c>
    </row>
    <row r="9503" customHeight="1" spans="8:8">
      <c r="H9503" s="39" t="e">
        <f>VLOOKUP(E9503,基础信息!C:E,3,FALSE)</f>
        <v>#N/A</v>
      </c>
    </row>
    <row r="9504" customHeight="1" spans="8:8">
      <c r="H9504" s="39" t="e">
        <f>VLOOKUP(E9504,基础信息!C:E,3,FALSE)</f>
        <v>#N/A</v>
      </c>
    </row>
    <row r="9505" customHeight="1" spans="8:8">
      <c r="H9505" s="39" t="e">
        <f>VLOOKUP(E9505,基础信息!C:E,3,FALSE)</f>
        <v>#N/A</v>
      </c>
    </row>
    <row r="9506" customHeight="1" spans="8:8">
      <c r="H9506" s="39" t="e">
        <f>VLOOKUP(E9506,基础信息!C:E,3,FALSE)</f>
        <v>#N/A</v>
      </c>
    </row>
    <row r="9507" customHeight="1" spans="8:8">
      <c r="H9507" s="39" t="e">
        <f>VLOOKUP(E9507,基础信息!C:E,3,FALSE)</f>
        <v>#N/A</v>
      </c>
    </row>
    <row r="9508" customHeight="1" spans="8:8">
      <c r="H9508" s="39" t="e">
        <f>VLOOKUP(E9508,基础信息!C:E,3,FALSE)</f>
        <v>#N/A</v>
      </c>
    </row>
    <row r="9509" customHeight="1" spans="8:8">
      <c r="H9509" s="39" t="e">
        <f>VLOOKUP(E9509,基础信息!C:E,3,FALSE)</f>
        <v>#N/A</v>
      </c>
    </row>
    <row r="9510" customHeight="1" spans="8:8">
      <c r="H9510" s="39" t="e">
        <f>VLOOKUP(E9510,基础信息!C:E,3,FALSE)</f>
        <v>#N/A</v>
      </c>
    </row>
    <row r="9511" customHeight="1" spans="8:8">
      <c r="H9511" s="39" t="e">
        <f>VLOOKUP(E9511,基础信息!C:E,3,FALSE)</f>
        <v>#N/A</v>
      </c>
    </row>
    <row r="9512" customHeight="1" spans="8:8">
      <c r="H9512" s="39" t="e">
        <f>VLOOKUP(E9512,基础信息!C:E,3,FALSE)</f>
        <v>#N/A</v>
      </c>
    </row>
    <row r="9513" customHeight="1" spans="8:8">
      <c r="H9513" s="39" t="e">
        <f>VLOOKUP(E9513,基础信息!C:E,3,FALSE)</f>
        <v>#N/A</v>
      </c>
    </row>
    <row r="9514" customHeight="1" spans="8:8">
      <c r="H9514" s="39" t="e">
        <f>VLOOKUP(E9514,基础信息!C:E,3,FALSE)</f>
        <v>#N/A</v>
      </c>
    </row>
    <row r="9515" customHeight="1" spans="8:8">
      <c r="H9515" s="39" t="e">
        <f>VLOOKUP(E9515,基础信息!C:E,3,FALSE)</f>
        <v>#N/A</v>
      </c>
    </row>
    <row r="9516" customHeight="1" spans="8:8">
      <c r="H9516" s="39" t="e">
        <f>VLOOKUP(E9516,基础信息!C:E,3,FALSE)</f>
        <v>#N/A</v>
      </c>
    </row>
    <row r="9517" customHeight="1" spans="8:8">
      <c r="H9517" s="39" t="e">
        <f>VLOOKUP(E9517,基础信息!C:E,3,FALSE)</f>
        <v>#N/A</v>
      </c>
    </row>
    <row r="9518" customHeight="1" spans="8:8">
      <c r="H9518" s="39" t="e">
        <f>VLOOKUP(E9518,基础信息!C:E,3,FALSE)</f>
        <v>#N/A</v>
      </c>
    </row>
    <row r="9519" customHeight="1" spans="8:8">
      <c r="H9519" s="39" t="e">
        <f>VLOOKUP(E9519,基础信息!C:E,3,FALSE)</f>
        <v>#N/A</v>
      </c>
    </row>
    <row r="9520" customHeight="1" spans="8:8">
      <c r="H9520" s="39" t="e">
        <f>VLOOKUP(E9520,基础信息!C:E,3,FALSE)</f>
        <v>#N/A</v>
      </c>
    </row>
    <row r="9521" customHeight="1" spans="8:8">
      <c r="H9521" s="39" t="e">
        <f>VLOOKUP(E9521,基础信息!C:E,3,FALSE)</f>
        <v>#N/A</v>
      </c>
    </row>
    <row r="9522" customHeight="1" spans="8:8">
      <c r="H9522" s="39" t="e">
        <f>VLOOKUP(E9522,基础信息!C:E,3,FALSE)</f>
        <v>#N/A</v>
      </c>
    </row>
    <row r="9523" customHeight="1" spans="8:8">
      <c r="H9523" s="39" t="e">
        <f>VLOOKUP(E9523,基础信息!C:E,3,FALSE)</f>
        <v>#N/A</v>
      </c>
    </row>
    <row r="9524" customHeight="1" spans="8:8">
      <c r="H9524" s="39" t="e">
        <f>VLOOKUP(E9524,基础信息!C:E,3,FALSE)</f>
        <v>#N/A</v>
      </c>
    </row>
    <row r="9525" customHeight="1" spans="8:8">
      <c r="H9525" s="39" t="e">
        <f>VLOOKUP(E9525,基础信息!C:E,3,FALSE)</f>
        <v>#N/A</v>
      </c>
    </row>
    <row r="9526" customHeight="1" spans="8:8">
      <c r="H9526" s="39" t="e">
        <f>VLOOKUP(E9526,基础信息!C:E,3,FALSE)</f>
        <v>#N/A</v>
      </c>
    </row>
    <row r="9527" customHeight="1" spans="8:8">
      <c r="H9527" s="39" t="e">
        <f>VLOOKUP(E9527,基础信息!C:E,3,FALSE)</f>
        <v>#N/A</v>
      </c>
    </row>
    <row r="9528" customHeight="1" spans="8:8">
      <c r="H9528" s="39" t="e">
        <f>VLOOKUP(E9528,基础信息!C:E,3,FALSE)</f>
        <v>#N/A</v>
      </c>
    </row>
    <row r="9529" customHeight="1" spans="8:8">
      <c r="H9529" s="39" t="e">
        <f>VLOOKUP(E9529,基础信息!C:E,3,FALSE)</f>
        <v>#N/A</v>
      </c>
    </row>
    <row r="9530" customHeight="1" spans="8:8">
      <c r="H9530" s="39" t="e">
        <f>VLOOKUP(E9530,基础信息!C:E,3,FALSE)</f>
        <v>#N/A</v>
      </c>
    </row>
    <row r="9531" customHeight="1" spans="8:8">
      <c r="H9531" s="39" t="e">
        <f>VLOOKUP(E9531,基础信息!C:E,3,FALSE)</f>
        <v>#N/A</v>
      </c>
    </row>
    <row r="9532" customHeight="1" spans="8:8">
      <c r="H9532" s="39" t="e">
        <f>VLOOKUP(E9532,基础信息!C:E,3,FALSE)</f>
        <v>#N/A</v>
      </c>
    </row>
    <row r="9533" customHeight="1" spans="8:8">
      <c r="H9533" s="39" t="e">
        <f>VLOOKUP(E9533,基础信息!C:E,3,FALSE)</f>
        <v>#N/A</v>
      </c>
    </row>
    <row r="9534" customHeight="1" spans="8:8">
      <c r="H9534" s="39" t="e">
        <f>VLOOKUP(E9534,基础信息!C:E,3,FALSE)</f>
        <v>#N/A</v>
      </c>
    </row>
    <row r="9535" customHeight="1" spans="8:8">
      <c r="H9535" s="39" t="e">
        <f>VLOOKUP(E9535,基础信息!C:E,3,FALSE)</f>
        <v>#N/A</v>
      </c>
    </row>
    <row r="9536" customHeight="1" spans="8:8">
      <c r="H9536" s="39" t="e">
        <f>VLOOKUP(E9536,基础信息!C:E,3,FALSE)</f>
        <v>#N/A</v>
      </c>
    </row>
    <row r="9537" customHeight="1" spans="8:8">
      <c r="H9537" s="39" t="e">
        <f>VLOOKUP(E9537,基础信息!C:E,3,FALSE)</f>
        <v>#N/A</v>
      </c>
    </row>
    <row r="9538" customHeight="1" spans="8:8">
      <c r="H9538" s="39" t="e">
        <f>VLOOKUP(E9538,基础信息!C:E,3,FALSE)</f>
        <v>#N/A</v>
      </c>
    </row>
    <row r="9539" customHeight="1" spans="8:8">
      <c r="H9539" s="39" t="e">
        <f>VLOOKUP(E9539,基础信息!C:E,3,FALSE)</f>
        <v>#N/A</v>
      </c>
    </row>
    <row r="9540" customHeight="1" spans="8:8">
      <c r="H9540" s="39" t="e">
        <f>VLOOKUP(E9540,基础信息!C:E,3,FALSE)</f>
        <v>#N/A</v>
      </c>
    </row>
    <row r="9541" customHeight="1" spans="8:8">
      <c r="H9541" s="39" t="e">
        <f>VLOOKUP(E9541,基础信息!C:E,3,FALSE)</f>
        <v>#N/A</v>
      </c>
    </row>
    <row r="9542" customHeight="1" spans="8:8">
      <c r="H9542" s="39" t="e">
        <f>VLOOKUP(E9542,基础信息!C:E,3,FALSE)</f>
        <v>#N/A</v>
      </c>
    </row>
    <row r="9543" customHeight="1" spans="8:8">
      <c r="H9543" s="39" t="e">
        <f>VLOOKUP(E9543,基础信息!C:E,3,FALSE)</f>
        <v>#N/A</v>
      </c>
    </row>
    <row r="9544" customHeight="1" spans="8:8">
      <c r="H9544" s="39" t="e">
        <f>VLOOKUP(E9544,基础信息!C:E,3,FALSE)</f>
        <v>#N/A</v>
      </c>
    </row>
    <row r="9545" customHeight="1" spans="8:8">
      <c r="H9545" s="39" t="e">
        <f>VLOOKUP(E9545,基础信息!C:E,3,FALSE)</f>
        <v>#N/A</v>
      </c>
    </row>
    <row r="9546" customHeight="1" spans="8:8">
      <c r="H9546" s="39" t="e">
        <f>VLOOKUP(E9546,基础信息!C:E,3,FALSE)</f>
        <v>#N/A</v>
      </c>
    </row>
    <row r="9547" customHeight="1" spans="8:8">
      <c r="H9547" s="39" t="e">
        <f>VLOOKUP(E9547,基础信息!C:E,3,FALSE)</f>
        <v>#N/A</v>
      </c>
    </row>
    <row r="9548" customHeight="1" spans="8:8">
      <c r="H9548" s="39" t="e">
        <f>VLOOKUP(E9548,基础信息!C:E,3,FALSE)</f>
        <v>#N/A</v>
      </c>
    </row>
    <row r="9549" customHeight="1" spans="8:8">
      <c r="H9549" s="39" t="e">
        <f>VLOOKUP(E9549,基础信息!C:E,3,FALSE)</f>
        <v>#N/A</v>
      </c>
    </row>
    <row r="9550" customHeight="1" spans="8:8">
      <c r="H9550" s="39" t="e">
        <f>VLOOKUP(E9550,基础信息!C:E,3,FALSE)</f>
        <v>#N/A</v>
      </c>
    </row>
    <row r="9551" customHeight="1" spans="8:8">
      <c r="H9551" s="39" t="e">
        <f>VLOOKUP(E9551,基础信息!C:E,3,FALSE)</f>
        <v>#N/A</v>
      </c>
    </row>
    <row r="9552" customHeight="1" spans="8:8">
      <c r="H9552" s="39" t="e">
        <f>VLOOKUP(E9552,基础信息!C:E,3,FALSE)</f>
        <v>#N/A</v>
      </c>
    </row>
    <row r="9553" customHeight="1" spans="8:8">
      <c r="H9553" s="39" t="e">
        <f>VLOOKUP(E9553,基础信息!C:E,3,FALSE)</f>
        <v>#N/A</v>
      </c>
    </row>
    <row r="9554" customHeight="1" spans="8:8">
      <c r="H9554" s="39" t="e">
        <f>VLOOKUP(E9554,基础信息!C:E,3,FALSE)</f>
        <v>#N/A</v>
      </c>
    </row>
    <row r="9555" customHeight="1" spans="8:8">
      <c r="H9555" s="39" t="e">
        <f>VLOOKUP(E9555,基础信息!C:E,3,FALSE)</f>
        <v>#N/A</v>
      </c>
    </row>
    <row r="9556" customHeight="1" spans="8:8">
      <c r="H9556" s="39" t="e">
        <f>VLOOKUP(E9556,基础信息!C:E,3,FALSE)</f>
        <v>#N/A</v>
      </c>
    </row>
    <row r="9557" customHeight="1" spans="8:8">
      <c r="H9557" s="39" t="e">
        <f>VLOOKUP(E9557,基础信息!C:E,3,FALSE)</f>
        <v>#N/A</v>
      </c>
    </row>
    <row r="9558" customHeight="1" spans="8:8">
      <c r="H9558" s="39" t="e">
        <f>VLOOKUP(E9558,基础信息!C:E,3,FALSE)</f>
        <v>#N/A</v>
      </c>
    </row>
    <row r="9559" customHeight="1" spans="8:8">
      <c r="H9559" s="39" t="e">
        <f>VLOOKUP(E9559,基础信息!C:E,3,FALSE)</f>
        <v>#N/A</v>
      </c>
    </row>
    <row r="9560" customHeight="1" spans="8:8">
      <c r="H9560" s="39" t="e">
        <f>VLOOKUP(E9560,基础信息!C:E,3,FALSE)</f>
        <v>#N/A</v>
      </c>
    </row>
    <row r="9561" customHeight="1" spans="8:8">
      <c r="H9561" s="39" t="e">
        <f>VLOOKUP(E9561,基础信息!C:E,3,FALSE)</f>
        <v>#N/A</v>
      </c>
    </row>
    <row r="9562" customHeight="1" spans="8:8">
      <c r="H9562" s="39" t="e">
        <f>VLOOKUP(E9562,基础信息!C:E,3,FALSE)</f>
        <v>#N/A</v>
      </c>
    </row>
    <row r="9563" customHeight="1" spans="8:8">
      <c r="H9563" s="39" t="e">
        <f>VLOOKUP(E9563,基础信息!C:E,3,FALSE)</f>
        <v>#N/A</v>
      </c>
    </row>
    <row r="9564" customHeight="1" spans="8:8">
      <c r="H9564" s="39" t="e">
        <f>VLOOKUP(E9564,基础信息!C:E,3,FALSE)</f>
        <v>#N/A</v>
      </c>
    </row>
    <row r="9565" customHeight="1" spans="8:8">
      <c r="H9565" s="39" t="e">
        <f>VLOOKUP(E9565,基础信息!C:E,3,FALSE)</f>
        <v>#N/A</v>
      </c>
    </row>
    <row r="9566" customHeight="1" spans="8:8">
      <c r="H9566" s="39" t="e">
        <f>VLOOKUP(E9566,基础信息!C:E,3,FALSE)</f>
        <v>#N/A</v>
      </c>
    </row>
    <row r="9567" customHeight="1" spans="8:8">
      <c r="H9567" s="39" t="e">
        <f>VLOOKUP(E9567,基础信息!C:E,3,FALSE)</f>
        <v>#N/A</v>
      </c>
    </row>
    <row r="9568" customHeight="1" spans="8:8">
      <c r="H9568" s="39" t="e">
        <f>VLOOKUP(E9568,基础信息!C:E,3,FALSE)</f>
        <v>#N/A</v>
      </c>
    </row>
    <row r="9569" customHeight="1" spans="8:8">
      <c r="H9569" s="39" t="e">
        <f>VLOOKUP(E9569,基础信息!C:E,3,FALSE)</f>
        <v>#N/A</v>
      </c>
    </row>
    <row r="9570" customHeight="1" spans="8:8">
      <c r="H9570" s="39" t="e">
        <f>VLOOKUP(E9570,基础信息!C:E,3,FALSE)</f>
        <v>#N/A</v>
      </c>
    </row>
    <row r="9571" customHeight="1" spans="8:8">
      <c r="H9571" s="39" t="e">
        <f>VLOOKUP(E9571,基础信息!C:E,3,FALSE)</f>
        <v>#N/A</v>
      </c>
    </row>
    <row r="9572" customHeight="1" spans="8:8">
      <c r="H9572" s="39" t="e">
        <f>VLOOKUP(E9572,基础信息!C:E,3,FALSE)</f>
        <v>#N/A</v>
      </c>
    </row>
    <row r="9573" customHeight="1" spans="8:8">
      <c r="H9573" s="39" t="e">
        <f>VLOOKUP(E9573,基础信息!C:E,3,FALSE)</f>
        <v>#N/A</v>
      </c>
    </row>
    <row r="9574" customHeight="1" spans="8:8">
      <c r="H9574" s="39" t="e">
        <f>VLOOKUP(E9574,基础信息!C:E,3,FALSE)</f>
        <v>#N/A</v>
      </c>
    </row>
    <row r="9575" customHeight="1" spans="8:8">
      <c r="H9575" s="39" t="e">
        <f>VLOOKUP(E9575,基础信息!C:E,3,FALSE)</f>
        <v>#N/A</v>
      </c>
    </row>
    <row r="9576" customHeight="1" spans="8:8">
      <c r="H9576" s="39" t="e">
        <f>VLOOKUP(E9576,基础信息!C:E,3,FALSE)</f>
        <v>#N/A</v>
      </c>
    </row>
    <row r="9577" customHeight="1" spans="8:8">
      <c r="H9577" s="39" t="e">
        <f>VLOOKUP(E9577,基础信息!C:E,3,FALSE)</f>
        <v>#N/A</v>
      </c>
    </row>
    <row r="9578" customHeight="1" spans="8:8">
      <c r="H9578" s="39" t="e">
        <f>VLOOKUP(E9578,基础信息!C:E,3,FALSE)</f>
        <v>#N/A</v>
      </c>
    </row>
    <row r="9579" customHeight="1" spans="8:8">
      <c r="H9579" s="39" t="e">
        <f>VLOOKUP(E9579,基础信息!C:E,3,FALSE)</f>
        <v>#N/A</v>
      </c>
    </row>
    <row r="9580" customHeight="1" spans="8:8">
      <c r="H9580" s="39" t="e">
        <f>VLOOKUP(E9580,基础信息!C:E,3,FALSE)</f>
        <v>#N/A</v>
      </c>
    </row>
    <row r="9581" customHeight="1" spans="8:8">
      <c r="H9581" s="39" t="e">
        <f>VLOOKUP(E9581,基础信息!C:E,3,FALSE)</f>
        <v>#N/A</v>
      </c>
    </row>
    <row r="9582" customHeight="1" spans="8:8">
      <c r="H9582" s="39" t="e">
        <f>VLOOKUP(E9582,基础信息!C:E,3,FALSE)</f>
        <v>#N/A</v>
      </c>
    </row>
    <row r="9583" customHeight="1" spans="8:8">
      <c r="H9583" s="39" t="e">
        <f>VLOOKUP(E9583,基础信息!C:E,3,FALSE)</f>
        <v>#N/A</v>
      </c>
    </row>
    <row r="9584" customHeight="1" spans="8:8">
      <c r="H9584" s="39" t="e">
        <f>VLOOKUP(E9584,基础信息!C:E,3,FALSE)</f>
        <v>#N/A</v>
      </c>
    </row>
    <row r="9585" customHeight="1" spans="8:8">
      <c r="H9585" s="39" t="e">
        <f>VLOOKUP(E9585,基础信息!C:E,3,FALSE)</f>
        <v>#N/A</v>
      </c>
    </row>
    <row r="9586" customHeight="1" spans="8:8">
      <c r="H9586" s="39" t="e">
        <f>VLOOKUP(E9586,基础信息!C:E,3,FALSE)</f>
        <v>#N/A</v>
      </c>
    </row>
    <row r="9587" customHeight="1" spans="8:8">
      <c r="H9587" s="39" t="e">
        <f>VLOOKUP(E9587,基础信息!C:E,3,FALSE)</f>
        <v>#N/A</v>
      </c>
    </row>
    <row r="9588" customHeight="1" spans="8:8">
      <c r="H9588" s="39" t="e">
        <f>VLOOKUP(E9588,基础信息!C:E,3,FALSE)</f>
        <v>#N/A</v>
      </c>
    </row>
    <row r="9589" customHeight="1" spans="8:8">
      <c r="H9589" s="39" t="e">
        <f>VLOOKUP(E9589,基础信息!C:E,3,FALSE)</f>
        <v>#N/A</v>
      </c>
    </row>
    <row r="9590" customHeight="1" spans="8:8">
      <c r="H9590" s="39" t="e">
        <f>VLOOKUP(E9590,基础信息!C:E,3,FALSE)</f>
        <v>#N/A</v>
      </c>
    </row>
    <row r="9591" customHeight="1" spans="8:8">
      <c r="H9591" s="39" t="e">
        <f>VLOOKUP(E9591,基础信息!C:E,3,FALSE)</f>
        <v>#N/A</v>
      </c>
    </row>
    <row r="9592" customHeight="1" spans="8:8">
      <c r="H9592" s="39" t="e">
        <f>VLOOKUP(E9592,基础信息!C:E,3,FALSE)</f>
        <v>#N/A</v>
      </c>
    </row>
    <row r="9593" customHeight="1" spans="8:8">
      <c r="H9593" s="39" t="e">
        <f>VLOOKUP(E9593,基础信息!C:E,3,FALSE)</f>
        <v>#N/A</v>
      </c>
    </row>
    <row r="9594" customHeight="1" spans="8:8">
      <c r="H9594" s="39" t="e">
        <f>VLOOKUP(E9594,基础信息!C:E,3,FALSE)</f>
        <v>#N/A</v>
      </c>
    </row>
    <row r="9595" customHeight="1" spans="8:8">
      <c r="H9595" s="39" t="e">
        <f>VLOOKUP(E9595,基础信息!C:E,3,FALSE)</f>
        <v>#N/A</v>
      </c>
    </row>
    <row r="9596" customHeight="1" spans="8:8">
      <c r="H9596" s="39" t="e">
        <f>VLOOKUP(E9596,基础信息!C:E,3,FALSE)</f>
        <v>#N/A</v>
      </c>
    </row>
    <row r="9597" customHeight="1" spans="8:8">
      <c r="H9597" s="39" t="e">
        <f>VLOOKUP(E9597,基础信息!C:E,3,FALSE)</f>
        <v>#N/A</v>
      </c>
    </row>
    <row r="9598" customHeight="1" spans="8:8">
      <c r="H9598" s="39" t="e">
        <f>VLOOKUP(E9598,基础信息!C:E,3,FALSE)</f>
        <v>#N/A</v>
      </c>
    </row>
    <row r="9599" customHeight="1" spans="8:8">
      <c r="H9599" s="39" t="e">
        <f>VLOOKUP(E9599,基础信息!C:E,3,FALSE)</f>
        <v>#N/A</v>
      </c>
    </row>
    <row r="9600" customHeight="1" spans="8:8">
      <c r="H9600" s="39" t="e">
        <f>VLOOKUP(E9600,基础信息!C:E,3,FALSE)</f>
        <v>#N/A</v>
      </c>
    </row>
    <row r="9601" customHeight="1" spans="8:8">
      <c r="H9601" s="39" t="e">
        <f>VLOOKUP(E9601,基础信息!C:E,3,FALSE)</f>
        <v>#N/A</v>
      </c>
    </row>
    <row r="9602" customHeight="1" spans="8:8">
      <c r="H9602" s="39" t="e">
        <f>VLOOKUP(E9602,基础信息!C:E,3,FALSE)</f>
        <v>#N/A</v>
      </c>
    </row>
    <row r="9603" customHeight="1" spans="8:8">
      <c r="H9603" s="39" t="e">
        <f>VLOOKUP(E9603,基础信息!C:E,3,FALSE)</f>
        <v>#N/A</v>
      </c>
    </row>
    <row r="9604" customHeight="1" spans="8:8">
      <c r="H9604" s="39" t="e">
        <f>VLOOKUP(E9604,基础信息!C:E,3,FALSE)</f>
        <v>#N/A</v>
      </c>
    </row>
    <row r="9605" customHeight="1" spans="8:8">
      <c r="H9605" s="39" t="e">
        <f>VLOOKUP(E9605,基础信息!C:E,3,FALSE)</f>
        <v>#N/A</v>
      </c>
    </row>
    <row r="9606" customHeight="1" spans="8:8">
      <c r="H9606" s="39" t="e">
        <f>VLOOKUP(E9606,基础信息!C:E,3,FALSE)</f>
        <v>#N/A</v>
      </c>
    </row>
    <row r="9607" customHeight="1" spans="8:8">
      <c r="H9607" s="39" t="e">
        <f>VLOOKUP(E9607,基础信息!C:E,3,FALSE)</f>
        <v>#N/A</v>
      </c>
    </row>
    <row r="9608" customHeight="1" spans="8:8">
      <c r="H9608" s="39" t="e">
        <f>VLOOKUP(E9608,基础信息!C:E,3,FALSE)</f>
        <v>#N/A</v>
      </c>
    </row>
    <row r="9609" customHeight="1" spans="8:8">
      <c r="H9609" s="39" t="e">
        <f>VLOOKUP(E9609,基础信息!C:E,3,FALSE)</f>
        <v>#N/A</v>
      </c>
    </row>
    <row r="9610" customHeight="1" spans="8:8">
      <c r="H9610" s="39" t="e">
        <f>VLOOKUP(E9610,基础信息!C:E,3,FALSE)</f>
        <v>#N/A</v>
      </c>
    </row>
    <row r="9611" customHeight="1" spans="8:8">
      <c r="H9611" s="39" t="e">
        <f>VLOOKUP(E9611,基础信息!C:E,3,FALSE)</f>
        <v>#N/A</v>
      </c>
    </row>
    <row r="9612" customHeight="1" spans="8:8">
      <c r="H9612" s="39" t="e">
        <f>VLOOKUP(E9612,基础信息!C:E,3,FALSE)</f>
        <v>#N/A</v>
      </c>
    </row>
    <row r="9613" customHeight="1" spans="8:8">
      <c r="H9613" s="39" t="e">
        <f>VLOOKUP(E9613,基础信息!C:E,3,FALSE)</f>
        <v>#N/A</v>
      </c>
    </row>
    <row r="9614" customHeight="1" spans="8:8">
      <c r="H9614" s="39" t="e">
        <f>VLOOKUP(E9614,基础信息!C:E,3,FALSE)</f>
        <v>#N/A</v>
      </c>
    </row>
    <row r="9615" customHeight="1" spans="8:8">
      <c r="H9615" s="39" t="e">
        <f>VLOOKUP(E9615,基础信息!C:E,3,FALSE)</f>
        <v>#N/A</v>
      </c>
    </row>
    <row r="9616" customHeight="1" spans="8:8">
      <c r="H9616" s="39" t="e">
        <f>VLOOKUP(E9616,基础信息!C:E,3,FALSE)</f>
        <v>#N/A</v>
      </c>
    </row>
    <row r="9617" customHeight="1" spans="8:8">
      <c r="H9617" s="39" t="e">
        <f>VLOOKUP(E9617,基础信息!C:E,3,FALSE)</f>
        <v>#N/A</v>
      </c>
    </row>
    <row r="9618" customHeight="1" spans="8:8">
      <c r="H9618" s="39" t="e">
        <f>VLOOKUP(E9618,基础信息!C:E,3,FALSE)</f>
        <v>#N/A</v>
      </c>
    </row>
    <row r="9619" customHeight="1" spans="8:8">
      <c r="H9619" s="39" t="e">
        <f>VLOOKUP(E9619,基础信息!C:E,3,FALSE)</f>
        <v>#N/A</v>
      </c>
    </row>
    <row r="9620" customHeight="1" spans="8:8">
      <c r="H9620" s="39" t="e">
        <f>VLOOKUP(E9620,基础信息!C:E,3,FALSE)</f>
        <v>#N/A</v>
      </c>
    </row>
    <row r="9621" customHeight="1" spans="8:8">
      <c r="H9621" s="39" t="e">
        <f>VLOOKUP(E9621,基础信息!C:E,3,FALSE)</f>
        <v>#N/A</v>
      </c>
    </row>
    <row r="9622" customHeight="1" spans="8:8">
      <c r="H9622" s="39" t="e">
        <f>VLOOKUP(E9622,基础信息!C:E,3,FALSE)</f>
        <v>#N/A</v>
      </c>
    </row>
    <row r="9623" customHeight="1" spans="8:8">
      <c r="H9623" s="39" t="e">
        <f>VLOOKUP(E9623,基础信息!C:E,3,FALSE)</f>
        <v>#N/A</v>
      </c>
    </row>
    <row r="9624" customHeight="1" spans="8:8">
      <c r="H9624" s="39" t="e">
        <f>VLOOKUP(E9624,基础信息!C:E,3,FALSE)</f>
        <v>#N/A</v>
      </c>
    </row>
    <row r="9625" customHeight="1" spans="8:8">
      <c r="H9625" s="39" t="e">
        <f>VLOOKUP(E9625,基础信息!C:E,3,FALSE)</f>
        <v>#N/A</v>
      </c>
    </row>
    <row r="9626" customHeight="1" spans="8:8">
      <c r="H9626" s="39" t="e">
        <f>VLOOKUP(E9626,基础信息!C:E,3,FALSE)</f>
        <v>#N/A</v>
      </c>
    </row>
    <row r="9627" customHeight="1" spans="8:8">
      <c r="H9627" s="39" t="e">
        <f>VLOOKUP(E9627,基础信息!C:E,3,FALSE)</f>
        <v>#N/A</v>
      </c>
    </row>
    <row r="9628" customHeight="1" spans="8:8">
      <c r="H9628" s="39" t="e">
        <f>VLOOKUP(E9628,基础信息!C:E,3,FALSE)</f>
        <v>#N/A</v>
      </c>
    </row>
    <row r="9629" customHeight="1" spans="8:8">
      <c r="H9629" s="39" t="e">
        <f>VLOOKUP(E9629,基础信息!C:E,3,FALSE)</f>
        <v>#N/A</v>
      </c>
    </row>
    <row r="9630" customHeight="1" spans="8:8">
      <c r="H9630" s="39" t="e">
        <f>VLOOKUP(E9630,基础信息!C:E,3,FALSE)</f>
        <v>#N/A</v>
      </c>
    </row>
    <row r="9631" customHeight="1" spans="8:8">
      <c r="H9631" s="39" t="e">
        <f>VLOOKUP(E9631,基础信息!C:E,3,FALSE)</f>
        <v>#N/A</v>
      </c>
    </row>
    <row r="9632" customHeight="1" spans="8:8">
      <c r="H9632" s="39" t="e">
        <f>VLOOKUP(E9632,基础信息!C:E,3,FALSE)</f>
        <v>#N/A</v>
      </c>
    </row>
    <row r="9633" customHeight="1" spans="8:8">
      <c r="H9633" s="39" t="e">
        <f>VLOOKUP(E9633,基础信息!C:E,3,FALSE)</f>
        <v>#N/A</v>
      </c>
    </row>
    <row r="9634" customHeight="1" spans="8:8">
      <c r="H9634" s="39" t="e">
        <f>VLOOKUP(E9634,基础信息!C:E,3,FALSE)</f>
        <v>#N/A</v>
      </c>
    </row>
    <row r="9635" customHeight="1" spans="8:8">
      <c r="H9635" s="39" t="e">
        <f>VLOOKUP(E9635,基础信息!C:E,3,FALSE)</f>
        <v>#N/A</v>
      </c>
    </row>
    <row r="9636" customHeight="1" spans="8:8">
      <c r="H9636" s="39" t="e">
        <f>VLOOKUP(E9636,基础信息!C:E,3,FALSE)</f>
        <v>#N/A</v>
      </c>
    </row>
    <row r="9637" customHeight="1" spans="8:8">
      <c r="H9637" s="39" t="e">
        <f>VLOOKUP(E9637,基础信息!C:E,3,FALSE)</f>
        <v>#N/A</v>
      </c>
    </row>
    <row r="9638" customHeight="1" spans="8:8">
      <c r="H9638" s="39" t="e">
        <f>VLOOKUP(E9638,基础信息!C:E,3,FALSE)</f>
        <v>#N/A</v>
      </c>
    </row>
    <row r="9639" customHeight="1" spans="8:8">
      <c r="H9639" s="39" t="e">
        <f>VLOOKUP(E9639,基础信息!C:E,3,FALSE)</f>
        <v>#N/A</v>
      </c>
    </row>
    <row r="9640" customHeight="1" spans="8:8">
      <c r="H9640" s="39" t="e">
        <f>VLOOKUP(E9640,基础信息!C:E,3,FALSE)</f>
        <v>#N/A</v>
      </c>
    </row>
    <row r="9641" customHeight="1" spans="8:8">
      <c r="H9641" s="39" t="e">
        <f>VLOOKUP(E9641,基础信息!C:E,3,FALSE)</f>
        <v>#N/A</v>
      </c>
    </row>
    <row r="9642" customHeight="1" spans="8:8">
      <c r="H9642" s="39" t="e">
        <f>VLOOKUP(E9642,基础信息!C:E,3,FALSE)</f>
        <v>#N/A</v>
      </c>
    </row>
    <row r="9643" customHeight="1" spans="8:8">
      <c r="H9643" s="39" t="e">
        <f>VLOOKUP(E9643,基础信息!C:E,3,FALSE)</f>
        <v>#N/A</v>
      </c>
    </row>
    <row r="9644" customHeight="1" spans="8:8">
      <c r="H9644" s="39" t="e">
        <f>VLOOKUP(E9644,基础信息!C:E,3,FALSE)</f>
        <v>#N/A</v>
      </c>
    </row>
    <row r="9645" customHeight="1" spans="8:8">
      <c r="H9645" s="39" t="e">
        <f>VLOOKUP(E9645,基础信息!C:E,3,FALSE)</f>
        <v>#N/A</v>
      </c>
    </row>
    <row r="9646" customHeight="1" spans="8:8">
      <c r="H9646" s="39" t="e">
        <f>VLOOKUP(E9646,基础信息!C:E,3,FALSE)</f>
        <v>#N/A</v>
      </c>
    </row>
    <row r="9647" customHeight="1" spans="8:8">
      <c r="H9647" s="39" t="e">
        <f>VLOOKUP(E9647,基础信息!C:E,3,FALSE)</f>
        <v>#N/A</v>
      </c>
    </row>
    <row r="9648" customHeight="1" spans="8:8">
      <c r="H9648" s="39" t="e">
        <f>VLOOKUP(E9648,基础信息!C:E,3,FALSE)</f>
        <v>#N/A</v>
      </c>
    </row>
    <row r="9649" customHeight="1" spans="8:8">
      <c r="H9649" s="39" t="e">
        <f>VLOOKUP(E9649,基础信息!C:E,3,FALSE)</f>
        <v>#N/A</v>
      </c>
    </row>
    <row r="9650" customHeight="1" spans="8:8">
      <c r="H9650" s="39" t="e">
        <f>VLOOKUP(E9650,基础信息!C:E,3,FALSE)</f>
        <v>#N/A</v>
      </c>
    </row>
    <row r="9651" customHeight="1" spans="8:8">
      <c r="H9651" s="39" t="e">
        <f>VLOOKUP(E9651,基础信息!C:E,3,FALSE)</f>
        <v>#N/A</v>
      </c>
    </row>
    <row r="9652" customHeight="1" spans="8:8">
      <c r="H9652" s="39" t="e">
        <f>VLOOKUP(E9652,基础信息!C:E,3,FALSE)</f>
        <v>#N/A</v>
      </c>
    </row>
    <row r="9653" customHeight="1" spans="8:8">
      <c r="H9653" s="39" t="e">
        <f>VLOOKUP(E9653,基础信息!C:E,3,FALSE)</f>
        <v>#N/A</v>
      </c>
    </row>
    <row r="9654" customHeight="1" spans="8:8">
      <c r="H9654" s="39" t="e">
        <f>VLOOKUP(E9654,基础信息!C:E,3,FALSE)</f>
        <v>#N/A</v>
      </c>
    </row>
    <row r="9655" customHeight="1" spans="8:8">
      <c r="H9655" s="39" t="e">
        <f>VLOOKUP(E9655,基础信息!C:E,3,FALSE)</f>
        <v>#N/A</v>
      </c>
    </row>
    <row r="9656" customHeight="1" spans="8:8">
      <c r="H9656" s="39" t="e">
        <f>VLOOKUP(E9656,基础信息!C:E,3,FALSE)</f>
        <v>#N/A</v>
      </c>
    </row>
    <row r="9657" customHeight="1" spans="8:8">
      <c r="H9657" s="39" t="e">
        <f>VLOOKUP(E9657,基础信息!C:E,3,FALSE)</f>
        <v>#N/A</v>
      </c>
    </row>
    <row r="9658" customHeight="1" spans="8:8">
      <c r="H9658" s="39" t="e">
        <f>VLOOKUP(E9658,基础信息!C:E,3,FALSE)</f>
        <v>#N/A</v>
      </c>
    </row>
    <row r="9659" customHeight="1" spans="8:8">
      <c r="H9659" s="39" t="e">
        <f>VLOOKUP(E9659,基础信息!C:E,3,FALSE)</f>
        <v>#N/A</v>
      </c>
    </row>
    <row r="9660" customHeight="1" spans="8:8">
      <c r="H9660" s="39" t="e">
        <f>VLOOKUP(E9660,基础信息!C:E,3,FALSE)</f>
        <v>#N/A</v>
      </c>
    </row>
    <row r="9661" customHeight="1" spans="8:8">
      <c r="H9661" s="39" t="e">
        <f>VLOOKUP(E9661,基础信息!C:E,3,FALSE)</f>
        <v>#N/A</v>
      </c>
    </row>
    <row r="9662" customHeight="1" spans="8:8">
      <c r="H9662" s="39" t="e">
        <f>VLOOKUP(E9662,基础信息!C:E,3,FALSE)</f>
        <v>#N/A</v>
      </c>
    </row>
    <row r="9663" customHeight="1" spans="8:8">
      <c r="H9663" s="39" t="e">
        <f>VLOOKUP(E9663,基础信息!C:E,3,FALSE)</f>
        <v>#N/A</v>
      </c>
    </row>
    <row r="9664" customHeight="1" spans="8:8">
      <c r="H9664" s="39" t="e">
        <f>VLOOKUP(E9664,基础信息!C:E,3,FALSE)</f>
        <v>#N/A</v>
      </c>
    </row>
    <row r="9665" customHeight="1" spans="8:8">
      <c r="H9665" s="39" t="e">
        <f>VLOOKUP(E9665,基础信息!C:E,3,FALSE)</f>
        <v>#N/A</v>
      </c>
    </row>
    <row r="9666" customHeight="1" spans="8:8">
      <c r="H9666" s="39" t="e">
        <f>VLOOKUP(E9666,基础信息!C:E,3,FALSE)</f>
        <v>#N/A</v>
      </c>
    </row>
    <row r="9667" customHeight="1" spans="8:8">
      <c r="H9667" s="39" t="e">
        <f>VLOOKUP(E9667,基础信息!C:E,3,FALSE)</f>
        <v>#N/A</v>
      </c>
    </row>
    <row r="9668" customHeight="1" spans="8:8">
      <c r="H9668" s="39" t="e">
        <f>VLOOKUP(E9668,基础信息!C:E,3,FALSE)</f>
        <v>#N/A</v>
      </c>
    </row>
    <row r="9669" customHeight="1" spans="8:8">
      <c r="H9669" s="39" t="e">
        <f>VLOOKUP(E9669,基础信息!C:E,3,FALSE)</f>
        <v>#N/A</v>
      </c>
    </row>
    <row r="9670" customHeight="1" spans="8:8">
      <c r="H9670" s="39" t="e">
        <f>VLOOKUP(E9670,基础信息!C:E,3,FALSE)</f>
        <v>#N/A</v>
      </c>
    </row>
    <row r="9671" customHeight="1" spans="8:8">
      <c r="H9671" s="39" t="e">
        <f>VLOOKUP(E9671,基础信息!C:E,3,FALSE)</f>
        <v>#N/A</v>
      </c>
    </row>
    <row r="9672" customHeight="1" spans="8:8">
      <c r="H9672" s="39" t="e">
        <f>VLOOKUP(E9672,基础信息!C:E,3,FALSE)</f>
        <v>#N/A</v>
      </c>
    </row>
    <row r="9673" customHeight="1" spans="8:8">
      <c r="H9673" s="39" t="e">
        <f>VLOOKUP(E9673,基础信息!C:E,3,FALSE)</f>
        <v>#N/A</v>
      </c>
    </row>
    <row r="9674" customHeight="1" spans="8:8">
      <c r="H9674" s="39" t="e">
        <f>VLOOKUP(E9674,基础信息!C:E,3,FALSE)</f>
        <v>#N/A</v>
      </c>
    </row>
    <row r="9675" customHeight="1" spans="8:8">
      <c r="H9675" s="39" t="e">
        <f>VLOOKUP(E9675,基础信息!C:E,3,FALSE)</f>
        <v>#N/A</v>
      </c>
    </row>
    <row r="9676" customHeight="1" spans="8:8">
      <c r="H9676" s="39" t="e">
        <f>VLOOKUP(E9676,基础信息!C:E,3,FALSE)</f>
        <v>#N/A</v>
      </c>
    </row>
    <row r="9677" customHeight="1" spans="8:8">
      <c r="H9677" s="39" t="e">
        <f>VLOOKUP(E9677,基础信息!C:E,3,FALSE)</f>
        <v>#N/A</v>
      </c>
    </row>
    <row r="9678" customHeight="1" spans="8:8">
      <c r="H9678" s="39" t="e">
        <f>VLOOKUP(E9678,基础信息!C:E,3,FALSE)</f>
        <v>#N/A</v>
      </c>
    </row>
    <row r="9679" customHeight="1" spans="8:8">
      <c r="H9679" s="39" t="e">
        <f>VLOOKUP(E9679,基础信息!C:E,3,FALSE)</f>
        <v>#N/A</v>
      </c>
    </row>
    <row r="9680" customHeight="1" spans="8:8">
      <c r="H9680" s="39" t="e">
        <f>VLOOKUP(E9680,基础信息!C:E,3,FALSE)</f>
        <v>#N/A</v>
      </c>
    </row>
    <row r="9681" customHeight="1" spans="8:8">
      <c r="H9681" s="39" t="e">
        <f>VLOOKUP(E9681,基础信息!C:E,3,FALSE)</f>
        <v>#N/A</v>
      </c>
    </row>
    <row r="9682" customHeight="1" spans="8:8">
      <c r="H9682" s="39" t="e">
        <f>VLOOKUP(E9682,基础信息!C:E,3,FALSE)</f>
        <v>#N/A</v>
      </c>
    </row>
    <row r="9683" customHeight="1" spans="8:8">
      <c r="H9683" s="39" t="e">
        <f>VLOOKUP(E9683,基础信息!C:E,3,FALSE)</f>
        <v>#N/A</v>
      </c>
    </row>
    <row r="9684" customHeight="1" spans="8:8">
      <c r="H9684" s="39" t="e">
        <f>VLOOKUP(E9684,基础信息!C:E,3,FALSE)</f>
        <v>#N/A</v>
      </c>
    </row>
    <row r="9685" customHeight="1" spans="8:8">
      <c r="H9685" s="39" t="e">
        <f>VLOOKUP(E9685,基础信息!C:E,3,FALSE)</f>
        <v>#N/A</v>
      </c>
    </row>
    <row r="9686" customHeight="1" spans="8:8">
      <c r="H9686" s="39" t="e">
        <f>VLOOKUP(E9686,基础信息!C:E,3,FALSE)</f>
        <v>#N/A</v>
      </c>
    </row>
    <row r="9687" customHeight="1" spans="8:8">
      <c r="H9687" s="39" t="e">
        <f>VLOOKUP(E9687,基础信息!C:E,3,FALSE)</f>
        <v>#N/A</v>
      </c>
    </row>
    <row r="9688" customHeight="1" spans="8:8">
      <c r="H9688" s="39" t="e">
        <f>VLOOKUP(E9688,基础信息!C:E,3,FALSE)</f>
        <v>#N/A</v>
      </c>
    </row>
    <row r="9689" customHeight="1" spans="8:8">
      <c r="H9689" s="39" t="e">
        <f>VLOOKUP(E9689,基础信息!C:E,3,FALSE)</f>
        <v>#N/A</v>
      </c>
    </row>
    <row r="9690" customHeight="1" spans="8:8">
      <c r="H9690" s="39" t="e">
        <f>VLOOKUP(E9690,基础信息!C:E,3,FALSE)</f>
        <v>#N/A</v>
      </c>
    </row>
    <row r="9691" customHeight="1" spans="8:8">
      <c r="H9691" s="39" t="e">
        <f>VLOOKUP(E9691,基础信息!C:E,3,FALSE)</f>
        <v>#N/A</v>
      </c>
    </row>
    <row r="9692" customHeight="1" spans="8:8">
      <c r="H9692" s="39" t="e">
        <f>VLOOKUP(E9692,基础信息!C:E,3,FALSE)</f>
        <v>#N/A</v>
      </c>
    </row>
    <row r="9693" customHeight="1" spans="8:8">
      <c r="H9693" s="39" t="e">
        <f>VLOOKUP(E9693,基础信息!C:E,3,FALSE)</f>
        <v>#N/A</v>
      </c>
    </row>
    <row r="9694" customHeight="1" spans="8:8">
      <c r="H9694" s="39" t="e">
        <f>VLOOKUP(E9694,基础信息!C:E,3,FALSE)</f>
        <v>#N/A</v>
      </c>
    </row>
    <row r="9695" customHeight="1" spans="8:8">
      <c r="H9695" s="39" t="e">
        <f>VLOOKUP(E9695,基础信息!C:E,3,FALSE)</f>
        <v>#N/A</v>
      </c>
    </row>
    <row r="9696" customHeight="1" spans="8:8">
      <c r="H9696" s="39" t="e">
        <f>VLOOKUP(E9696,基础信息!C:E,3,FALSE)</f>
        <v>#N/A</v>
      </c>
    </row>
    <row r="9697" customHeight="1" spans="8:8">
      <c r="H9697" s="39" t="e">
        <f>VLOOKUP(E9697,基础信息!C:E,3,FALSE)</f>
        <v>#N/A</v>
      </c>
    </row>
    <row r="9698" customHeight="1" spans="8:8">
      <c r="H9698" s="39" t="e">
        <f>VLOOKUP(E9698,基础信息!C:E,3,FALSE)</f>
        <v>#N/A</v>
      </c>
    </row>
    <row r="9699" customHeight="1" spans="8:8">
      <c r="H9699" s="39" t="e">
        <f>VLOOKUP(E9699,基础信息!C:E,3,FALSE)</f>
        <v>#N/A</v>
      </c>
    </row>
    <row r="9700" customHeight="1" spans="8:8">
      <c r="H9700" s="39" t="e">
        <f>VLOOKUP(E9700,基础信息!C:E,3,FALSE)</f>
        <v>#N/A</v>
      </c>
    </row>
    <row r="9701" customHeight="1" spans="8:8">
      <c r="H9701" s="39" t="e">
        <f>VLOOKUP(E9701,基础信息!C:E,3,FALSE)</f>
        <v>#N/A</v>
      </c>
    </row>
    <row r="9702" customHeight="1" spans="8:8">
      <c r="H9702" s="39" t="e">
        <f>VLOOKUP(E9702,基础信息!C:E,3,FALSE)</f>
        <v>#N/A</v>
      </c>
    </row>
    <row r="9703" customHeight="1" spans="8:8">
      <c r="H9703" s="39" t="e">
        <f>VLOOKUP(E9703,基础信息!C:E,3,FALSE)</f>
        <v>#N/A</v>
      </c>
    </row>
    <row r="9704" customHeight="1" spans="8:8">
      <c r="H9704" s="39" t="e">
        <f>VLOOKUP(E9704,基础信息!C:E,3,FALSE)</f>
        <v>#N/A</v>
      </c>
    </row>
    <row r="9705" customHeight="1" spans="8:8">
      <c r="H9705" s="39" t="e">
        <f>VLOOKUP(E9705,基础信息!C:E,3,FALSE)</f>
        <v>#N/A</v>
      </c>
    </row>
    <row r="9706" customHeight="1" spans="8:8">
      <c r="H9706" s="39" t="e">
        <f>VLOOKUP(E9706,基础信息!C:E,3,FALSE)</f>
        <v>#N/A</v>
      </c>
    </row>
    <row r="9707" customHeight="1" spans="8:8">
      <c r="H9707" s="39" t="e">
        <f>VLOOKUP(E9707,基础信息!C:E,3,FALSE)</f>
        <v>#N/A</v>
      </c>
    </row>
    <row r="9708" customHeight="1" spans="8:8">
      <c r="H9708" s="39" t="e">
        <f>VLOOKUP(E9708,基础信息!C:E,3,FALSE)</f>
        <v>#N/A</v>
      </c>
    </row>
    <row r="9709" customHeight="1" spans="8:8">
      <c r="H9709" s="39" t="e">
        <f>VLOOKUP(E9709,基础信息!C:E,3,FALSE)</f>
        <v>#N/A</v>
      </c>
    </row>
  </sheetData>
  <sortState ref="A2:K306">
    <sortCondition ref="A2"/>
  </sortState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23"/>
  <sheetViews>
    <sheetView workbookViewId="0">
      <selection activeCell="F933" sqref="F933"/>
    </sheetView>
  </sheetViews>
  <sheetFormatPr defaultColWidth="9" defaultRowHeight="12"/>
  <cols>
    <col min="1" max="1" width="15.4416666666667" style="61" customWidth="1"/>
    <col min="2" max="2" width="26.1083333333333" style="61" customWidth="1"/>
    <col min="3" max="3" width="15.4416666666667" style="61" customWidth="1"/>
    <col min="4" max="4" width="24.1083333333333" style="61" customWidth="1"/>
    <col min="5" max="16384" width="9" style="61"/>
  </cols>
  <sheetData>
    <row r="1" ht="18" customHeight="1" spans="1:11">
      <c r="A1" s="62" t="s">
        <v>625</v>
      </c>
      <c r="B1" s="53" t="s">
        <v>626</v>
      </c>
      <c r="C1" s="53" t="s">
        <v>627</v>
      </c>
      <c r="D1" s="53" t="s">
        <v>628</v>
      </c>
      <c r="E1" s="53" t="s">
        <v>3</v>
      </c>
      <c r="F1" s="53" t="s">
        <v>629</v>
      </c>
      <c r="G1" s="53" t="s">
        <v>630</v>
      </c>
      <c r="H1" s="63" t="s">
        <v>631</v>
      </c>
      <c r="I1" s="53" t="s">
        <v>632</v>
      </c>
      <c r="J1" s="53" t="s">
        <v>633</v>
      </c>
      <c r="K1" s="53" t="s">
        <v>422</v>
      </c>
    </row>
    <row r="2" s="60" customFormat="1" ht="18" customHeight="1" spans="1:11">
      <c r="A2" s="44"/>
      <c r="B2" s="64"/>
      <c r="C2" s="14"/>
      <c r="D2" s="65" t="e">
        <f>VLOOKUP(C:C,日报!E:F,2,0)</f>
        <v>#N/A</v>
      </c>
      <c r="E2" s="10" t="s">
        <v>634</v>
      </c>
      <c r="F2" s="66"/>
      <c r="G2" s="66"/>
      <c r="H2" s="67"/>
      <c r="I2" s="65" t="e">
        <f>VLOOKUP(C:C,日报!E:H,4,0)</f>
        <v>#N/A</v>
      </c>
      <c r="J2" s="65" t="e">
        <f>G2/I2</f>
        <v>#N/A</v>
      </c>
      <c r="K2" s="65"/>
    </row>
    <row r="3" s="60" customFormat="1" ht="18" customHeight="1" spans="1:11">
      <c r="A3" s="67"/>
      <c r="B3" s="68"/>
      <c r="C3" s="53"/>
      <c r="D3" s="65"/>
      <c r="E3" s="66"/>
      <c r="F3" s="66"/>
      <c r="G3" s="66"/>
      <c r="H3" s="67"/>
      <c r="I3" s="65"/>
      <c r="J3" s="65"/>
      <c r="K3" s="65"/>
    </row>
    <row r="4" s="60" customFormat="1" ht="18" customHeight="1" spans="1:11">
      <c r="A4" s="67"/>
      <c r="B4" s="68"/>
      <c r="C4" s="53"/>
      <c r="D4" s="65"/>
      <c r="E4" s="66"/>
      <c r="F4" s="66"/>
      <c r="G4" s="66"/>
      <c r="H4" s="67"/>
      <c r="I4" s="65"/>
      <c r="J4" s="65"/>
      <c r="K4" s="65"/>
    </row>
    <row r="5" s="60" customFormat="1" ht="18" customHeight="1" spans="1:11">
      <c r="A5" s="67"/>
      <c r="B5" s="68"/>
      <c r="C5" s="53"/>
      <c r="D5" s="65"/>
      <c r="E5" s="66"/>
      <c r="F5" s="66"/>
      <c r="G5" s="66"/>
      <c r="H5" s="67"/>
      <c r="I5" s="65"/>
      <c r="J5" s="65"/>
      <c r="K5" s="65"/>
    </row>
    <row r="6" s="60" customFormat="1" ht="18" customHeight="1" spans="1:11">
      <c r="A6" s="67"/>
      <c r="B6" s="68"/>
      <c r="C6" s="53"/>
      <c r="D6" s="65"/>
      <c r="E6" s="66"/>
      <c r="F6" s="66"/>
      <c r="G6" s="66"/>
      <c r="H6" s="67"/>
      <c r="I6" s="65"/>
      <c r="J6" s="65"/>
      <c r="K6" s="65"/>
    </row>
    <row r="7" s="60" customFormat="1" ht="18" customHeight="1" spans="1:11">
      <c r="A7" s="67"/>
      <c r="B7" s="68"/>
      <c r="C7" s="53"/>
      <c r="D7" s="65"/>
      <c r="E7" s="66"/>
      <c r="F7" s="66"/>
      <c r="G7" s="66"/>
      <c r="H7" s="67"/>
      <c r="I7" s="65"/>
      <c r="J7" s="65"/>
      <c r="K7" s="65"/>
    </row>
    <row r="8" s="60" customFormat="1" ht="18" customHeight="1" spans="1:11">
      <c r="A8" s="67"/>
      <c r="B8" s="68"/>
      <c r="C8" s="53"/>
      <c r="D8" s="65"/>
      <c r="E8" s="66"/>
      <c r="F8" s="66"/>
      <c r="G8" s="66"/>
      <c r="H8" s="67"/>
      <c r="I8" s="65"/>
      <c r="J8" s="65"/>
      <c r="K8" s="65"/>
    </row>
    <row r="9" s="60" customFormat="1" ht="18" customHeight="1" spans="1:11">
      <c r="A9" s="67"/>
      <c r="B9" s="68"/>
      <c r="C9" s="53"/>
      <c r="D9" s="65"/>
      <c r="E9" s="66"/>
      <c r="F9" s="66"/>
      <c r="G9" s="66"/>
      <c r="H9" s="67"/>
      <c r="I9" s="65"/>
      <c r="J9" s="65"/>
      <c r="K9" s="65"/>
    </row>
    <row r="10" s="60" customFormat="1" ht="18" customHeight="1" spans="1:11">
      <c r="A10" s="67"/>
      <c r="B10" s="68"/>
      <c r="C10" s="53"/>
      <c r="D10" s="65"/>
      <c r="E10" s="66"/>
      <c r="F10" s="66"/>
      <c r="G10" s="66"/>
      <c r="H10" s="67"/>
      <c r="I10" s="65"/>
      <c r="J10" s="65"/>
      <c r="K10" s="65"/>
    </row>
    <row r="11" s="60" customFormat="1" ht="18" customHeight="1" spans="1:11">
      <c r="A11" s="67"/>
      <c r="B11" s="68"/>
      <c r="C11" s="53"/>
      <c r="D11" s="65"/>
      <c r="E11" s="66"/>
      <c r="F11" s="66"/>
      <c r="G11" s="66"/>
      <c r="H11" s="67"/>
      <c r="I11" s="65"/>
      <c r="J11" s="65"/>
      <c r="K11" s="65"/>
    </row>
    <row r="12" s="60" customFormat="1" ht="18" customHeight="1" spans="1:11">
      <c r="A12" s="67"/>
      <c r="B12" s="68"/>
      <c r="C12" s="53"/>
      <c r="D12" s="65"/>
      <c r="E12" s="66"/>
      <c r="F12" s="66"/>
      <c r="G12" s="66"/>
      <c r="H12" s="67"/>
      <c r="I12" s="65"/>
      <c r="J12" s="65"/>
      <c r="K12" s="65"/>
    </row>
    <row r="13" s="60" customFormat="1" ht="18" customHeight="1" spans="1:11">
      <c r="A13" s="67"/>
      <c r="B13" s="68"/>
      <c r="C13" s="53"/>
      <c r="D13" s="65"/>
      <c r="E13" s="66"/>
      <c r="F13" s="66"/>
      <c r="G13" s="66"/>
      <c r="H13" s="67"/>
      <c r="I13" s="65"/>
      <c r="J13" s="65"/>
      <c r="K13" s="65"/>
    </row>
    <row r="14" s="60" customFormat="1" ht="18" customHeight="1" spans="1:11">
      <c r="A14" s="67"/>
      <c r="B14" s="68"/>
      <c r="C14" s="53"/>
      <c r="D14" s="65"/>
      <c r="E14" s="66"/>
      <c r="F14" s="66"/>
      <c r="G14" s="66"/>
      <c r="H14" s="67"/>
      <c r="I14" s="65"/>
      <c r="J14" s="65"/>
      <c r="K14" s="65"/>
    </row>
    <row r="15" s="60" customFormat="1" ht="18" customHeight="1" spans="1:11">
      <c r="A15" s="67"/>
      <c r="B15" s="68"/>
      <c r="C15" s="53"/>
      <c r="D15" s="65"/>
      <c r="E15" s="66"/>
      <c r="F15" s="66"/>
      <c r="G15" s="66"/>
      <c r="H15" s="67"/>
      <c r="I15" s="65"/>
      <c r="J15" s="65"/>
      <c r="K15" s="65"/>
    </row>
    <row r="16" s="60" customFormat="1" ht="18" customHeight="1" spans="1:11">
      <c r="A16" s="67"/>
      <c r="B16" s="68"/>
      <c r="C16" s="53"/>
      <c r="D16" s="65"/>
      <c r="E16" s="66"/>
      <c r="F16" s="66"/>
      <c r="G16" s="66"/>
      <c r="H16" s="67"/>
      <c r="I16" s="65"/>
      <c r="J16" s="65"/>
      <c r="K16" s="65"/>
    </row>
    <row r="17" s="60" customFormat="1" ht="18" customHeight="1" spans="1:11">
      <c r="A17" s="67"/>
      <c r="B17" s="68"/>
      <c r="C17" s="53"/>
      <c r="D17" s="65"/>
      <c r="E17" s="66"/>
      <c r="F17" s="66"/>
      <c r="G17" s="66"/>
      <c r="H17" s="67"/>
      <c r="I17" s="65"/>
      <c r="J17" s="65"/>
      <c r="K17" s="65"/>
    </row>
    <row r="18" s="60" customFormat="1" ht="18" customHeight="1" spans="1:11">
      <c r="A18" s="67"/>
      <c r="B18" s="68"/>
      <c r="C18" s="53"/>
      <c r="D18" s="65"/>
      <c r="E18" s="66"/>
      <c r="F18" s="66"/>
      <c r="G18" s="66"/>
      <c r="H18" s="67"/>
      <c r="I18" s="65"/>
      <c r="J18" s="65"/>
      <c r="K18" s="65"/>
    </row>
    <row r="19" s="60" customFormat="1" ht="18" customHeight="1" spans="1:11">
      <c r="A19" s="67"/>
      <c r="B19" s="68"/>
      <c r="C19" s="53"/>
      <c r="D19" s="65"/>
      <c r="E19" s="66"/>
      <c r="F19" s="66"/>
      <c r="G19" s="66"/>
      <c r="H19" s="67"/>
      <c r="I19" s="65"/>
      <c r="J19" s="65"/>
      <c r="K19" s="65"/>
    </row>
    <row r="20" s="60" customFormat="1" ht="18" customHeight="1" spans="1:11">
      <c r="A20" s="67"/>
      <c r="B20" s="68"/>
      <c r="C20" s="53"/>
      <c r="D20" s="65"/>
      <c r="E20" s="66"/>
      <c r="F20" s="66"/>
      <c r="G20" s="66"/>
      <c r="H20" s="67"/>
      <c r="I20" s="65"/>
      <c r="J20" s="65"/>
      <c r="K20" s="65"/>
    </row>
    <row r="21" s="60" customFormat="1" ht="18" customHeight="1" spans="1:11">
      <c r="A21" s="67"/>
      <c r="B21" s="68"/>
      <c r="C21" s="53"/>
      <c r="D21" s="65"/>
      <c r="E21" s="66"/>
      <c r="F21" s="66"/>
      <c r="G21" s="66"/>
      <c r="H21" s="67"/>
      <c r="I21" s="65"/>
      <c r="J21" s="65"/>
      <c r="K21" s="65"/>
    </row>
    <row r="22" s="60" customFormat="1" ht="18" customHeight="1" spans="1:11">
      <c r="A22" s="67"/>
      <c r="B22" s="68"/>
      <c r="C22" s="53"/>
      <c r="D22" s="65"/>
      <c r="E22" s="66"/>
      <c r="F22" s="66"/>
      <c r="G22" s="66"/>
      <c r="H22" s="67"/>
      <c r="I22" s="65"/>
      <c r="J22" s="65"/>
      <c r="K22" s="65"/>
    </row>
    <row r="23" s="60" customFormat="1" ht="18" customHeight="1" spans="1:11">
      <c r="A23" s="67"/>
      <c r="B23" s="68"/>
      <c r="C23" s="53"/>
      <c r="D23" s="65"/>
      <c r="E23" s="66"/>
      <c r="F23" s="66"/>
      <c r="G23" s="66"/>
      <c r="H23" s="67"/>
      <c r="I23" s="65"/>
      <c r="J23" s="65"/>
      <c r="K23" s="65"/>
    </row>
  </sheetData>
  <dataValidations count="1">
    <dataValidation allowBlank="1" showInputMessage="1" showErrorMessage="1" sqref="C2"/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K63"/>
  <sheetViews>
    <sheetView showGridLines="0" zoomScale="85" zoomScaleNormal="85" workbookViewId="0">
      <pane xSplit="1" ySplit="1" topLeftCell="B2" activePane="bottomRight" state="frozen"/>
      <selection/>
      <selection pane="topRight"/>
      <selection pane="bottomLeft"/>
      <selection pane="bottomRight" activeCell="E21" sqref="E21"/>
    </sheetView>
  </sheetViews>
  <sheetFormatPr defaultColWidth="15" defaultRowHeight="19.95" customHeight="1"/>
  <cols>
    <col min="1" max="1" width="15" style="44" customWidth="1"/>
    <col min="2" max="2" width="11" style="45" customWidth="1"/>
    <col min="3" max="3" width="36.5583333333333" style="44" customWidth="1"/>
    <col min="4" max="4" width="23.8833333333333" style="14" customWidth="1"/>
    <col min="5" max="5" width="34.3333333333333" style="14" customWidth="1"/>
    <col min="6" max="6" width="9.55833333333333" style="14" customWidth="1"/>
    <col min="7" max="7" width="7.775" style="14" customWidth="1"/>
    <col min="8" max="8" width="37" style="14" customWidth="1"/>
    <col min="9" max="9" width="18.8833333333333" style="1" customWidth="1"/>
    <col min="10" max="10" width="29.2166666666667" style="1" customWidth="1"/>
    <col min="11" max="16377" width="15" style="1" customWidth="1"/>
    <col min="16378" max="16384" width="15" style="1"/>
  </cols>
  <sheetData>
    <row r="1" s="42" customFormat="1" customHeight="1" spans="1:11">
      <c r="A1" s="46" t="s">
        <v>635</v>
      </c>
      <c r="B1" s="47" t="s">
        <v>418</v>
      </c>
      <c r="C1" s="46" t="s">
        <v>3</v>
      </c>
      <c r="D1" s="48" t="s">
        <v>636</v>
      </c>
      <c r="E1" s="48" t="s">
        <v>6</v>
      </c>
      <c r="F1" s="48" t="s">
        <v>637</v>
      </c>
      <c r="G1" s="48" t="s">
        <v>638</v>
      </c>
      <c r="H1" s="48" t="s">
        <v>422</v>
      </c>
      <c r="I1" s="58" t="s">
        <v>639</v>
      </c>
      <c r="J1" s="58" t="s">
        <v>640</v>
      </c>
      <c r="K1" s="59"/>
    </row>
    <row r="2" customFormat="1" customHeight="1" spans="1:10">
      <c r="A2" s="49">
        <v>44986</v>
      </c>
      <c r="B2" s="136" t="s">
        <v>19</v>
      </c>
      <c r="C2" s="137" t="s">
        <v>20</v>
      </c>
      <c r="D2" s="138" t="s">
        <v>25</v>
      </c>
      <c r="E2" s="15" t="s">
        <v>26</v>
      </c>
      <c r="F2" s="15">
        <v>40</v>
      </c>
      <c r="G2" s="15"/>
      <c r="H2" s="52" t="s">
        <v>641</v>
      </c>
      <c r="I2" s="137" t="s">
        <v>642</v>
      </c>
      <c r="J2" s="52"/>
    </row>
    <row r="3" customFormat="1" customHeight="1" spans="1:10">
      <c r="A3" s="49">
        <v>44986</v>
      </c>
      <c r="B3" s="136" t="s">
        <v>19</v>
      </c>
      <c r="C3" s="137" t="s">
        <v>20</v>
      </c>
      <c r="D3" s="138" t="s">
        <v>267</v>
      </c>
      <c r="E3" s="15" t="s">
        <v>268</v>
      </c>
      <c r="F3" s="15">
        <v>12</v>
      </c>
      <c r="G3" s="15"/>
      <c r="H3" s="52" t="s">
        <v>641</v>
      </c>
      <c r="I3" s="137" t="s">
        <v>642</v>
      </c>
      <c r="J3" s="52"/>
    </row>
    <row r="4" customFormat="1" customHeight="1" spans="1:10">
      <c r="A4" s="49">
        <v>45248</v>
      </c>
      <c r="B4" s="136" t="s">
        <v>19</v>
      </c>
      <c r="C4" s="137" t="s">
        <v>20</v>
      </c>
      <c r="D4" s="138" t="s">
        <v>43</v>
      </c>
      <c r="E4" s="15" t="s">
        <v>44</v>
      </c>
      <c r="F4" s="15">
        <v>2</v>
      </c>
      <c r="G4" s="15"/>
      <c r="H4" s="52" t="s">
        <v>643</v>
      </c>
      <c r="I4" s="137" t="s">
        <v>644</v>
      </c>
      <c r="J4" s="52"/>
    </row>
    <row r="5" customFormat="1" customHeight="1" spans="1:10">
      <c r="A5" s="49">
        <v>45254</v>
      </c>
      <c r="B5" s="136" t="s">
        <v>19</v>
      </c>
      <c r="C5" s="137" t="s">
        <v>20</v>
      </c>
      <c r="D5" s="138" t="s">
        <v>43</v>
      </c>
      <c r="E5" s="15" t="s">
        <v>44</v>
      </c>
      <c r="F5" s="15">
        <v>1</v>
      </c>
      <c r="G5" s="15"/>
      <c r="H5" s="52" t="s">
        <v>645</v>
      </c>
      <c r="I5" s="137" t="s">
        <v>646</v>
      </c>
      <c r="J5" s="52"/>
    </row>
    <row r="6" customFormat="1" customHeight="1" spans="1:10">
      <c r="A6" s="49">
        <v>45259</v>
      </c>
      <c r="B6" s="136" t="s">
        <v>19</v>
      </c>
      <c r="C6" s="137" t="s">
        <v>20</v>
      </c>
      <c r="D6" s="138" t="s">
        <v>43</v>
      </c>
      <c r="E6" s="15" t="s">
        <v>44</v>
      </c>
      <c r="F6" s="15">
        <v>1</v>
      </c>
      <c r="G6" s="15"/>
      <c r="H6" s="52" t="s">
        <v>647</v>
      </c>
      <c r="I6" s="137" t="s">
        <v>648</v>
      </c>
      <c r="J6" s="52"/>
    </row>
    <row r="7" customFormat="1" customHeight="1" spans="1:10">
      <c r="A7" s="49">
        <v>45277</v>
      </c>
      <c r="B7" s="136" t="s">
        <v>19</v>
      </c>
      <c r="C7" s="137" t="s">
        <v>20</v>
      </c>
      <c r="D7" s="138" t="s">
        <v>264</v>
      </c>
      <c r="E7" s="15" t="s">
        <v>265</v>
      </c>
      <c r="F7" s="15">
        <v>4</v>
      </c>
      <c r="G7" s="15"/>
      <c r="H7" s="52" t="s">
        <v>649</v>
      </c>
      <c r="I7" s="137" t="s">
        <v>650</v>
      </c>
      <c r="J7" s="52"/>
    </row>
    <row r="8" customFormat="1" customHeight="1" spans="1:10">
      <c r="A8" s="49">
        <v>45497</v>
      </c>
      <c r="B8" s="136" t="s">
        <v>19</v>
      </c>
      <c r="C8" s="137" t="s">
        <v>20</v>
      </c>
      <c r="D8" s="138" t="s">
        <v>267</v>
      </c>
      <c r="E8" s="15" t="s">
        <v>268</v>
      </c>
      <c r="F8" s="15">
        <v>-10</v>
      </c>
      <c r="G8" s="15"/>
      <c r="H8" s="52" t="s">
        <v>651</v>
      </c>
      <c r="I8" s="137" t="s">
        <v>652</v>
      </c>
      <c r="J8" s="52"/>
    </row>
    <row r="9" customFormat="1" customHeight="1" spans="1:10">
      <c r="A9" s="49">
        <v>45606</v>
      </c>
      <c r="B9" s="136" t="s">
        <v>19</v>
      </c>
      <c r="C9" s="137" t="s">
        <v>20</v>
      </c>
      <c r="D9" s="138" t="s">
        <v>354</v>
      </c>
      <c r="E9" s="15" t="s">
        <v>355</v>
      </c>
      <c r="F9" s="15">
        <v>1000</v>
      </c>
      <c r="G9" s="15"/>
      <c r="H9" s="52" t="s">
        <v>653</v>
      </c>
      <c r="I9" s="137" t="s">
        <v>654</v>
      </c>
      <c r="J9" s="52"/>
    </row>
    <row r="10" customFormat="1" customHeight="1" spans="1:10">
      <c r="A10" s="49">
        <v>45642</v>
      </c>
      <c r="B10" s="136" t="s">
        <v>19</v>
      </c>
      <c r="C10" s="137" t="s">
        <v>20</v>
      </c>
      <c r="D10" s="138" t="s">
        <v>43</v>
      </c>
      <c r="E10" s="15" t="s">
        <v>44</v>
      </c>
      <c r="F10" s="15">
        <v>46</v>
      </c>
      <c r="G10" s="15"/>
      <c r="H10" s="52" t="s">
        <v>655</v>
      </c>
      <c r="I10" s="137" t="s">
        <v>656</v>
      </c>
      <c r="J10" s="52"/>
    </row>
    <row r="11" customFormat="1" customHeight="1" spans="1:10">
      <c r="A11" s="49">
        <v>45727</v>
      </c>
      <c r="B11" s="50" t="s">
        <v>19</v>
      </c>
      <c r="C11" s="51" t="s">
        <v>20</v>
      </c>
      <c r="D11" s="138" t="s">
        <v>354</v>
      </c>
      <c r="E11" s="15" t="s">
        <v>355</v>
      </c>
      <c r="F11" s="15">
        <v>-1000</v>
      </c>
      <c r="G11" s="14"/>
      <c r="H11" s="52" t="s">
        <v>657</v>
      </c>
      <c r="I11" s="51" t="s">
        <v>658</v>
      </c>
      <c r="J11" s="52"/>
    </row>
    <row r="12" customFormat="1" customHeight="1" spans="1:10">
      <c r="A12" s="49">
        <v>45733</v>
      </c>
      <c r="B12" s="50" t="s">
        <v>19</v>
      </c>
      <c r="C12" s="51" t="s">
        <v>20</v>
      </c>
      <c r="D12" s="138" t="s">
        <v>25</v>
      </c>
      <c r="E12" s="15" t="s">
        <v>26</v>
      </c>
      <c r="F12" s="15">
        <v>-40</v>
      </c>
      <c r="G12" s="14"/>
      <c r="H12" s="52" t="s">
        <v>659</v>
      </c>
      <c r="I12" s="15" t="s">
        <v>660</v>
      </c>
      <c r="J12" s="1"/>
    </row>
    <row r="13" customFormat="1" customHeight="1" spans="1:10">
      <c r="A13" s="49">
        <v>45733</v>
      </c>
      <c r="B13" s="50" t="s">
        <v>19</v>
      </c>
      <c r="C13" s="51" t="s">
        <v>20</v>
      </c>
      <c r="D13" s="138" t="s">
        <v>264</v>
      </c>
      <c r="E13" s="15" t="s">
        <v>265</v>
      </c>
      <c r="F13" s="15">
        <v>-4</v>
      </c>
      <c r="G13" s="14"/>
      <c r="H13" s="52" t="s">
        <v>659</v>
      </c>
      <c r="I13" s="15" t="s">
        <v>661</v>
      </c>
      <c r="J13" s="1"/>
    </row>
    <row r="14" customFormat="1" customHeight="1" spans="1:10">
      <c r="A14" s="49">
        <v>45733</v>
      </c>
      <c r="B14" s="50" t="s">
        <v>19</v>
      </c>
      <c r="C14" s="51" t="s">
        <v>20</v>
      </c>
      <c r="D14" s="138" t="s">
        <v>267</v>
      </c>
      <c r="E14" s="15" t="s">
        <v>268</v>
      </c>
      <c r="F14" s="15">
        <v>-2</v>
      </c>
      <c r="G14" s="14"/>
      <c r="H14" s="52" t="s">
        <v>659</v>
      </c>
      <c r="I14" s="15" t="s">
        <v>661</v>
      </c>
      <c r="J14" s="1"/>
    </row>
    <row r="15" customFormat="1" customHeight="1" spans="1:10">
      <c r="A15" s="49">
        <v>45957</v>
      </c>
      <c r="B15" s="50" t="s">
        <v>19</v>
      </c>
      <c r="C15" s="51" t="s">
        <v>20</v>
      </c>
      <c r="D15" s="53" t="s">
        <v>283</v>
      </c>
      <c r="E15" s="15" t="s">
        <v>284</v>
      </c>
      <c r="F15" s="15">
        <v>100</v>
      </c>
      <c r="G15" s="14"/>
      <c r="H15" s="54" t="s">
        <v>662</v>
      </c>
      <c r="I15" s="15" t="s">
        <v>663</v>
      </c>
      <c r="J15" s="52"/>
    </row>
    <row r="16" customFormat="1" customHeight="1" spans="1:10">
      <c r="A16" s="49">
        <v>45978</v>
      </c>
      <c r="B16" s="50" t="s">
        <v>19</v>
      </c>
      <c r="C16" s="51" t="s">
        <v>20</v>
      </c>
      <c r="D16" s="53" t="s">
        <v>283</v>
      </c>
      <c r="E16" s="15" t="s">
        <v>284</v>
      </c>
      <c r="F16" s="15">
        <v>-100</v>
      </c>
      <c r="G16" s="14"/>
      <c r="H16" s="52" t="s">
        <v>664</v>
      </c>
      <c r="I16" s="15" t="s">
        <v>665</v>
      </c>
      <c r="J16" s="1"/>
    </row>
    <row r="17" customFormat="1" customHeight="1" spans="1:10">
      <c r="A17" s="49">
        <v>45983</v>
      </c>
      <c r="B17" s="50" t="s">
        <v>19</v>
      </c>
      <c r="C17" s="51" t="s">
        <v>20</v>
      </c>
      <c r="D17" s="53" t="s">
        <v>283</v>
      </c>
      <c r="E17" s="15" t="s">
        <v>284</v>
      </c>
      <c r="F17" s="15">
        <v>100</v>
      </c>
      <c r="G17" s="14"/>
      <c r="H17" s="52" t="s">
        <v>666</v>
      </c>
      <c r="I17" s="15" t="s">
        <v>667</v>
      </c>
      <c r="J17" s="1"/>
    </row>
    <row r="18" customFormat="1" customHeight="1" spans="1:10">
      <c r="A18" s="49">
        <v>45985</v>
      </c>
      <c r="B18" s="50" t="s">
        <v>19</v>
      </c>
      <c r="C18" s="51" t="s">
        <v>20</v>
      </c>
      <c r="D18" s="53" t="s">
        <v>283</v>
      </c>
      <c r="E18" s="15" t="s">
        <v>284</v>
      </c>
      <c r="F18" s="15">
        <v>-100</v>
      </c>
      <c r="G18" s="14"/>
      <c r="H18" s="52" t="s">
        <v>668</v>
      </c>
      <c r="I18" s="15" t="s">
        <v>669</v>
      </c>
      <c r="J18" s="1"/>
    </row>
    <row r="19" customFormat="1" customHeight="1" spans="1:10">
      <c r="A19" s="49">
        <v>46005</v>
      </c>
      <c r="B19" s="50" t="s">
        <v>19</v>
      </c>
      <c r="C19" s="51" t="s">
        <v>20</v>
      </c>
      <c r="D19" s="53" t="s">
        <v>283</v>
      </c>
      <c r="E19" s="15" t="s">
        <v>284</v>
      </c>
      <c r="F19" s="15">
        <v>100</v>
      </c>
      <c r="G19" s="14"/>
      <c r="H19" s="54"/>
      <c r="I19" s="15" t="s">
        <v>670</v>
      </c>
      <c r="J19" s="52"/>
    </row>
    <row r="20" customFormat="1" customHeight="1" spans="1:10">
      <c r="A20" s="49">
        <v>46029</v>
      </c>
      <c r="B20" s="50" t="s">
        <v>19</v>
      </c>
      <c r="C20" s="51" t="s">
        <v>20</v>
      </c>
      <c r="D20" s="53" t="s">
        <v>190</v>
      </c>
      <c r="E20" s="15" t="s">
        <v>191</v>
      </c>
      <c r="F20" s="15">
        <v>12</v>
      </c>
      <c r="G20" s="14"/>
      <c r="H20" s="52" t="s">
        <v>671</v>
      </c>
      <c r="I20" s="15" t="s">
        <v>672</v>
      </c>
      <c r="J20" s="1"/>
    </row>
    <row r="21" customFormat="1" customHeight="1" spans="1:10">
      <c r="A21" s="55"/>
      <c r="B21" s="56"/>
      <c r="C21" s="56"/>
      <c r="D21" s="57"/>
      <c r="E21" s="56"/>
      <c r="F21" s="56"/>
      <c r="G21" s="15"/>
      <c r="H21" s="56"/>
      <c r="I21" s="56"/>
      <c r="J21" s="52"/>
    </row>
    <row r="22" customFormat="1" customHeight="1" spans="1:10">
      <c r="A22" s="55"/>
      <c r="B22" s="56"/>
      <c r="C22" s="56"/>
      <c r="D22" s="57"/>
      <c r="E22" s="56"/>
      <c r="F22" s="56"/>
      <c r="G22" s="15"/>
      <c r="H22" s="56"/>
      <c r="I22" s="56"/>
      <c r="J22" s="52"/>
    </row>
    <row r="23" customFormat="1" customHeight="1" spans="1:10">
      <c r="A23" s="55"/>
      <c r="B23" s="56"/>
      <c r="C23" s="56"/>
      <c r="D23" s="57"/>
      <c r="E23" s="56"/>
      <c r="F23" s="56"/>
      <c r="G23" s="15"/>
      <c r="H23" s="56"/>
      <c r="I23" s="56"/>
      <c r="J23" s="52"/>
    </row>
    <row r="24" customFormat="1" customHeight="1" spans="1:10">
      <c r="A24" s="55"/>
      <c r="B24" s="56"/>
      <c r="C24" s="56"/>
      <c r="D24" s="57"/>
      <c r="E24" s="56"/>
      <c r="F24" s="56"/>
      <c r="G24" s="15"/>
      <c r="H24" s="56"/>
      <c r="I24" s="56"/>
      <c r="J24" s="52"/>
    </row>
    <row r="25" customFormat="1" customHeight="1" spans="1:10">
      <c r="A25" s="55"/>
      <c r="B25" s="56"/>
      <c r="C25" s="56"/>
      <c r="D25" s="57"/>
      <c r="E25" s="56"/>
      <c r="F25" s="56"/>
      <c r="G25" s="15"/>
      <c r="H25" s="56"/>
      <c r="I25" s="56"/>
      <c r="J25" s="52"/>
    </row>
    <row r="26" customFormat="1" customHeight="1" spans="1:10">
      <c r="A26" s="55"/>
      <c r="B26" s="56"/>
      <c r="C26" s="56"/>
      <c r="D26" s="57"/>
      <c r="E26" s="56"/>
      <c r="F26" s="56"/>
      <c r="G26" s="15"/>
      <c r="H26" s="56"/>
      <c r="I26" s="56"/>
      <c r="J26" s="52"/>
    </row>
    <row r="27" customFormat="1" customHeight="1" spans="1:10">
      <c r="A27" s="55"/>
      <c r="B27" s="56"/>
      <c r="C27" s="56"/>
      <c r="D27" s="57"/>
      <c r="E27" s="56"/>
      <c r="F27" s="56"/>
      <c r="G27" s="15"/>
      <c r="H27" s="56"/>
      <c r="I27" s="56"/>
      <c r="J27" s="52"/>
    </row>
    <row r="28" customFormat="1" customHeight="1" spans="1:10">
      <c r="A28" s="55"/>
      <c r="B28" s="56"/>
      <c r="C28" s="56"/>
      <c r="D28" s="57"/>
      <c r="E28" s="56"/>
      <c r="F28" s="56"/>
      <c r="G28" s="15"/>
      <c r="H28" s="56"/>
      <c r="I28" s="56"/>
      <c r="J28" s="52"/>
    </row>
    <row r="29" customFormat="1" customHeight="1" spans="1:10">
      <c r="A29" s="55"/>
      <c r="B29" s="56"/>
      <c r="C29" s="56"/>
      <c r="D29" s="57"/>
      <c r="E29" s="56"/>
      <c r="F29" s="56"/>
      <c r="G29" s="15"/>
      <c r="H29" s="56"/>
      <c r="I29" s="56"/>
      <c r="J29" s="52"/>
    </row>
    <row r="30" customFormat="1" customHeight="1" spans="1:10">
      <c r="A30" s="55"/>
      <c r="B30" s="56"/>
      <c r="C30" s="56"/>
      <c r="D30" s="57"/>
      <c r="E30" s="56"/>
      <c r="F30" s="56"/>
      <c r="G30" s="15"/>
      <c r="H30" s="56"/>
      <c r="I30" s="56"/>
      <c r="J30" s="52"/>
    </row>
    <row r="31" customFormat="1" customHeight="1" spans="1:10">
      <c r="A31" s="55"/>
      <c r="B31" s="56"/>
      <c r="C31" s="56"/>
      <c r="D31" s="57"/>
      <c r="E31" s="56"/>
      <c r="F31" s="56"/>
      <c r="G31" s="15"/>
      <c r="H31" s="56"/>
      <c r="I31" s="56"/>
      <c r="J31" s="52"/>
    </row>
    <row r="32" customFormat="1" customHeight="1" spans="1:10">
      <c r="A32" s="55"/>
      <c r="B32" s="56"/>
      <c r="C32" s="56"/>
      <c r="D32" s="57"/>
      <c r="E32" s="56"/>
      <c r="F32" s="56"/>
      <c r="G32" s="15"/>
      <c r="H32" s="56"/>
      <c r="I32" s="56"/>
      <c r="J32" s="52"/>
    </row>
    <row r="33" customFormat="1" customHeight="1" spans="1:10">
      <c r="A33" s="55"/>
      <c r="B33" s="56"/>
      <c r="C33" s="56"/>
      <c r="D33" s="57"/>
      <c r="E33" s="56"/>
      <c r="F33" s="56"/>
      <c r="G33" s="15"/>
      <c r="H33" s="56"/>
      <c r="I33" s="56"/>
      <c r="J33" s="52"/>
    </row>
    <row r="34" customFormat="1" customHeight="1" spans="1:10">
      <c r="A34" s="55"/>
      <c r="B34" s="56"/>
      <c r="C34" s="56"/>
      <c r="D34" s="57"/>
      <c r="E34" s="56"/>
      <c r="F34" s="56"/>
      <c r="G34" s="15"/>
      <c r="H34" s="56"/>
      <c r="I34" s="56"/>
      <c r="J34" s="52"/>
    </row>
    <row r="35" customFormat="1" customHeight="1" spans="1:10">
      <c r="A35" s="55"/>
      <c r="B35" s="56"/>
      <c r="C35" s="56"/>
      <c r="D35" s="57"/>
      <c r="E35" s="56"/>
      <c r="F35" s="56"/>
      <c r="G35" s="15"/>
      <c r="H35" s="56"/>
      <c r="I35" s="56"/>
      <c r="J35" s="52"/>
    </row>
    <row r="36" customFormat="1" customHeight="1" spans="1:10">
      <c r="A36" s="55"/>
      <c r="B36" s="56"/>
      <c r="C36" s="56"/>
      <c r="D36" s="57"/>
      <c r="E36" s="56"/>
      <c r="F36" s="56"/>
      <c r="G36" s="15"/>
      <c r="H36" s="56"/>
      <c r="I36" s="56"/>
      <c r="J36" s="52"/>
    </row>
    <row r="37" s="43" customFormat="1" customHeight="1" spans="1:10">
      <c r="A37" s="55"/>
      <c r="B37" s="56"/>
      <c r="C37" s="56"/>
      <c r="D37" s="57"/>
      <c r="E37" s="56"/>
      <c r="F37" s="56"/>
      <c r="G37" s="15"/>
      <c r="H37" s="56"/>
      <c r="I37" s="56"/>
      <c r="J37" s="52"/>
    </row>
    <row r="38" s="43" customFormat="1" customHeight="1" spans="1:10">
      <c r="A38" s="55"/>
      <c r="B38" s="56"/>
      <c r="C38" s="56"/>
      <c r="D38" s="57"/>
      <c r="E38" s="56"/>
      <c r="F38" s="56"/>
      <c r="G38" s="15"/>
      <c r="H38" s="56"/>
      <c r="I38" s="56"/>
      <c r="J38" s="52"/>
    </row>
    <row r="39" s="43" customFormat="1" customHeight="1" spans="1:10">
      <c r="A39" s="55"/>
      <c r="B39" s="56"/>
      <c r="C39" s="56"/>
      <c r="D39" s="57"/>
      <c r="E39" s="56"/>
      <c r="F39" s="56"/>
      <c r="G39" s="15"/>
      <c r="H39" s="56"/>
      <c r="I39" s="56"/>
      <c r="J39" s="52"/>
    </row>
    <row r="40" s="43" customFormat="1" customHeight="1" spans="1:10">
      <c r="A40" s="55"/>
      <c r="B40" s="56"/>
      <c r="C40" s="56"/>
      <c r="D40" s="57"/>
      <c r="E40" s="56"/>
      <c r="F40" s="56"/>
      <c r="G40" s="15"/>
      <c r="H40" s="56"/>
      <c r="I40" s="56"/>
      <c r="J40" s="52"/>
    </row>
    <row r="41" s="43" customFormat="1" customHeight="1" spans="1:10">
      <c r="A41" s="55"/>
      <c r="B41" s="56"/>
      <c r="C41" s="56"/>
      <c r="D41" s="57"/>
      <c r="E41" s="56"/>
      <c r="F41" s="56"/>
      <c r="G41" s="15"/>
      <c r="H41" s="56"/>
      <c r="I41" s="56"/>
      <c r="J41" s="52"/>
    </row>
    <row r="42" s="43" customFormat="1" customHeight="1" spans="1:10">
      <c r="A42" s="55"/>
      <c r="B42" s="56"/>
      <c r="C42" s="56"/>
      <c r="D42" s="57"/>
      <c r="E42" s="56"/>
      <c r="F42" s="56"/>
      <c r="G42" s="15"/>
      <c r="H42" s="56"/>
      <c r="I42" s="56"/>
      <c r="J42" s="52"/>
    </row>
    <row r="43" s="43" customFormat="1" customHeight="1" spans="1:10">
      <c r="A43" s="55"/>
      <c r="B43" s="56"/>
      <c r="C43" s="56"/>
      <c r="D43" s="57"/>
      <c r="E43" s="56"/>
      <c r="F43" s="56"/>
      <c r="G43" s="15"/>
      <c r="H43" s="56"/>
      <c r="I43" s="56"/>
      <c r="J43" s="52"/>
    </row>
    <row r="44" s="43" customFormat="1" customHeight="1" spans="1:10">
      <c r="A44" s="55"/>
      <c r="B44" s="56"/>
      <c r="C44" s="56"/>
      <c r="D44" s="57"/>
      <c r="E44" s="56"/>
      <c r="F44" s="56"/>
      <c r="G44" s="15"/>
      <c r="H44" s="56"/>
      <c r="I44" s="56"/>
      <c r="J44" s="52"/>
    </row>
    <row r="45" s="43" customFormat="1" customHeight="1" spans="1:10">
      <c r="A45" s="55"/>
      <c r="B45" s="56"/>
      <c r="C45" s="56"/>
      <c r="D45" s="57"/>
      <c r="E45" s="56"/>
      <c r="F45" s="56"/>
      <c r="G45" s="15"/>
      <c r="H45" s="56"/>
      <c r="I45" s="56"/>
      <c r="J45" s="52"/>
    </row>
    <row r="46" s="43" customFormat="1" customHeight="1" spans="1:10">
      <c r="A46" s="55"/>
      <c r="B46" s="56"/>
      <c r="C46" s="56"/>
      <c r="D46" s="57"/>
      <c r="E46" s="56"/>
      <c r="F46" s="56"/>
      <c r="G46" s="15"/>
      <c r="H46" s="56"/>
      <c r="I46" s="56"/>
      <c r="J46" s="52"/>
    </row>
    <row r="47" s="43" customFormat="1" customHeight="1" spans="1:10">
      <c r="A47" s="55"/>
      <c r="B47" s="56"/>
      <c r="C47" s="56"/>
      <c r="D47" s="57"/>
      <c r="E47" s="56"/>
      <c r="F47" s="56"/>
      <c r="G47" s="15"/>
      <c r="H47" s="56"/>
      <c r="I47" s="56"/>
      <c r="J47" s="52"/>
    </row>
    <row r="48" s="43" customFormat="1" customHeight="1" spans="1:10">
      <c r="A48" s="55"/>
      <c r="B48" s="56"/>
      <c r="C48" s="56"/>
      <c r="D48" s="57"/>
      <c r="E48" s="56"/>
      <c r="F48" s="56"/>
      <c r="G48" s="15"/>
      <c r="H48" s="56"/>
      <c r="I48" s="56"/>
      <c r="J48" s="52"/>
    </row>
    <row r="49" s="43" customFormat="1" customHeight="1" spans="1:10">
      <c r="A49" s="55"/>
      <c r="B49" s="56"/>
      <c r="C49" s="56"/>
      <c r="D49" s="57"/>
      <c r="E49" s="56"/>
      <c r="F49" s="56"/>
      <c r="G49" s="15"/>
      <c r="H49" s="56"/>
      <c r="I49" s="56"/>
      <c r="J49" s="52"/>
    </row>
    <row r="50" s="43" customFormat="1" customHeight="1" spans="1:10">
      <c r="A50" s="55"/>
      <c r="B50" s="56"/>
      <c r="C50" s="56"/>
      <c r="D50" s="57"/>
      <c r="E50" s="56"/>
      <c r="F50" s="56"/>
      <c r="G50" s="15"/>
      <c r="H50" s="56"/>
      <c r="I50" s="56"/>
      <c r="J50" s="52"/>
    </row>
    <row r="51" s="43" customFormat="1" customHeight="1" spans="1:10">
      <c r="A51" s="55"/>
      <c r="B51" s="56"/>
      <c r="C51" s="56"/>
      <c r="D51" s="57"/>
      <c r="E51" s="56"/>
      <c r="F51" s="56"/>
      <c r="G51" s="15"/>
      <c r="H51" s="56"/>
      <c r="I51" s="56"/>
      <c r="J51" s="52"/>
    </row>
    <row r="52" s="43" customFormat="1" customHeight="1" spans="1:10">
      <c r="A52" s="55"/>
      <c r="B52" s="56"/>
      <c r="C52" s="56"/>
      <c r="D52" s="57"/>
      <c r="E52" s="56"/>
      <c r="F52" s="56"/>
      <c r="G52" s="15"/>
      <c r="H52" s="56"/>
      <c r="I52" s="56"/>
      <c r="J52" s="52"/>
    </row>
    <row r="53" s="43" customFormat="1" customHeight="1" spans="1:10">
      <c r="A53" s="55"/>
      <c r="B53" s="56"/>
      <c r="C53" s="56"/>
      <c r="D53" s="57"/>
      <c r="E53" s="56"/>
      <c r="F53" s="56"/>
      <c r="G53" s="15"/>
      <c r="H53" s="56"/>
      <c r="I53" s="56"/>
      <c r="J53" s="52"/>
    </row>
    <row r="54" s="43" customFormat="1" customHeight="1" spans="1:10">
      <c r="A54" s="55"/>
      <c r="B54" s="56"/>
      <c r="C54" s="56"/>
      <c r="D54" s="57"/>
      <c r="E54" s="56"/>
      <c r="F54" s="56"/>
      <c r="G54" s="15"/>
      <c r="H54" s="56"/>
      <c r="I54" s="56"/>
      <c r="J54" s="52"/>
    </row>
    <row r="55" s="43" customFormat="1" ht="19.05" customHeight="1" spans="1:10">
      <c r="A55" s="55"/>
      <c r="B55" s="56"/>
      <c r="C55" s="56"/>
      <c r="D55" s="57"/>
      <c r="E55" s="56"/>
      <c r="F55" s="56"/>
      <c r="H55" s="15"/>
      <c r="I55" s="56"/>
      <c r="J55" s="52"/>
    </row>
    <row r="56" s="43" customFormat="1" ht="19.05" customHeight="1" spans="1:10">
      <c r="A56" s="55"/>
      <c r="B56" s="56"/>
      <c r="C56" s="56"/>
      <c r="D56" s="57"/>
      <c r="E56" s="56"/>
      <c r="F56" s="56"/>
      <c r="H56" s="15"/>
      <c r="I56" s="56"/>
      <c r="J56" s="52"/>
    </row>
    <row r="57" s="43" customFormat="1" ht="19.05" customHeight="1" spans="1:10">
      <c r="A57" s="55"/>
      <c r="B57" s="56"/>
      <c r="C57" s="56"/>
      <c r="D57" s="57"/>
      <c r="E57" s="56"/>
      <c r="F57" s="56"/>
      <c r="H57" s="15"/>
      <c r="I57" s="56"/>
      <c r="J57" s="52"/>
    </row>
    <row r="58" s="43" customFormat="1" ht="19.05" customHeight="1" spans="1:10">
      <c r="A58" s="55"/>
      <c r="B58" s="56"/>
      <c r="C58" s="56"/>
      <c r="D58" s="57"/>
      <c r="E58" s="56"/>
      <c r="F58" s="56"/>
      <c r="H58" s="15"/>
      <c r="I58" s="56"/>
      <c r="J58" s="52"/>
    </row>
    <row r="59" s="43" customFormat="1" ht="19.05" customHeight="1" spans="1:10">
      <c r="A59" s="55"/>
      <c r="B59" s="56"/>
      <c r="C59" s="56"/>
      <c r="D59" s="57"/>
      <c r="E59" s="56"/>
      <c r="F59" s="56"/>
      <c r="H59" s="15"/>
      <c r="I59" s="56"/>
      <c r="J59" s="52"/>
    </row>
    <row r="60" s="43" customFormat="1" ht="19.05" customHeight="1" spans="1:10">
      <c r="A60" s="55"/>
      <c r="B60" s="56"/>
      <c r="C60" s="56"/>
      <c r="D60" s="57"/>
      <c r="E60" s="56"/>
      <c r="F60" s="56"/>
      <c r="H60" s="15"/>
      <c r="I60" s="56"/>
      <c r="J60" s="52"/>
    </row>
    <row r="61" s="43" customFormat="1" ht="19.05" customHeight="1" spans="1:10">
      <c r="A61" s="55"/>
      <c r="B61" s="56"/>
      <c r="C61" s="56"/>
      <c r="D61" s="57"/>
      <c r="E61" s="56"/>
      <c r="F61" s="56"/>
      <c r="H61" s="15"/>
      <c r="I61" s="56"/>
      <c r="J61" s="52"/>
    </row>
    <row r="62" s="43" customFormat="1" ht="19.05" customHeight="1" spans="1:10">
      <c r="A62" s="55"/>
      <c r="B62" s="56"/>
      <c r="C62" s="56"/>
      <c r="D62" s="57"/>
      <c r="E62" s="56"/>
      <c r="F62" s="56"/>
      <c r="H62" s="15"/>
      <c r="I62" s="56"/>
      <c r="J62" s="52"/>
    </row>
    <row r="63" s="43" customFormat="1" ht="19.05" customHeight="1" spans="1:10">
      <c r="A63" s="55"/>
      <c r="B63" s="56"/>
      <c r="C63" s="56"/>
      <c r="D63" s="57"/>
      <c r="E63" s="56"/>
      <c r="F63" s="56"/>
      <c r="H63" s="15"/>
      <c r="I63" s="56"/>
      <c r="J63" s="52"/>
    </row>
  </sheetData>
  <autoFilter xmlns:etc="http://www.wps.cn/officeDocument/2017/etCustomData" ref="A1:J63" etc:filterBottomFollowUsedRange="0">
    <extLst/>
  </autoFilter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tabColor rgb="FFC00000"/>
  </sheetPr>
  <dimension ref="A1:A13"/>
  <sheetViews>
    <sheetView showGridLines="0" workbookViewId="0">
      <pane ySplit="1" topLeftCell="A2" activePane="bottomLeft" state="frozen"/>
      <selection/>
      <selection pane="bottomLeft" activeCell="F933" sqref="F933"/>
    </sheetView>
  </sheetViews>
  <sheetFormatPr defaultColWidth="9" defaultRowHeight="13.5"/>
  <sheetData>
    <row r="1" s="41" customFormat="1" ht="33" customHeight="1"/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</sheetData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Q198"/>
  <sheetViews>
    <sheetView showGridLines="0" workbookViewId="0">
      <pane ySplit="1" topLeftCell="A178" activePane="bottomLeft" state="frozen"/>
      <selection/>
      <selection pane="bottomLeft" activeCell="C204" sqref="C204"/>
    </sheetView>
  </sheetViews>
  <sheetFormatPr defaultColWidth="9" defaultRowHeight="16.05" customHeight="1"/>
  <cols>
    <col min="1" max="1" width="5.775" style="22" customWidth="1"/>
    <col min="2" max="2" width="32.4416666666667" style="22" customWidth="1"/>
    <col min="3" max="3" width="23.8833333333333" style="22" customWidth="1"/>
    <col min="4" max="4" width="45.775" style="22" customWidth="1"/>
    <col min="5" max="5" width="21.6666666666667" style="22" customWidth="1"/>
    <col min="6" max="6" width="11.2166666666667" style="22" customWidth="1"/>
    <col min="7" max="7" width="6.775" style="22" customWidth="1"/>
    <col min="8" max="8" width="15.3333333333333" style="22" customWidth="1"/>
    <col min="9" max="9" width="9" style="22"/>
    <col min="10" max="10" width="11.8833333333333" style="22" customWidth="1"/>
    <col min="11" max="16384" width="9" style="23"/>
  </cols>
  <sheetData>
    <row r="1" s="18" customFormat="1" customHeight="1" spans="1:10">
      <c r="A1" s="24" t="s">
        <v>2</v>
      </c>
      <c r="B1" s="24" t="s">
        <v>3</v>
      </c>
      <c r="C1" s="22" t="s">
        <v>673</v>
      </c>
      <c r="D1" s="24" t="s">
        <v>6</v>
      </c>
      <c r="E1" s="24" t="s">
        <v>4</v>
      </c>
      <c r="F1" s="24" t="s">
        <v>674</v>
      </c>
      <c r="G1" s="24" t="s">
        <v>675</v>
      </c>
      <c r="H1" s="24" t="s">
        <v>7</v>
      </c>
      <c r="I1" s="24" t="s">
        <v>676</v>
      </c>
      <c r="J1" s="27" t="s">
        <v>15</v>
      </c>
    </row>
    <row r="2" customHeight="1" spans="1:5">
      <c r="A2" s="22" t="s">
        <v>19</v>
      </c>
      <c r="B2" s="22" t="s">
        <v>20</v>
      </c>
      <c r="C2" s="22" t="s">
        <v>22</v>
      </c>
      <c r="E2" s="22" t="s">
        <v>21</v>
      </c>
    </row>
    <row r="3" customHeight="1" spans="1:5">
      <c r="A3" s="22" t="s">
        <v>19</v>
      </c>
      <c r="B3" s="22" t="s">
        <v>20</v>
      </c>
      <c r="C3" s="22" t="s">
        <v>25</v>
      </c>
      <c r="E3" s="22" t="s">
        <v>24</v>
      </c>
    </row>
    <row r="4" customHeight="1" spans="1:5">
      <c r="A4" s="22" t="s">
        <v>19</v>
      </c>
      <c r="B4" s="22" t="s">
        <v>20</v>
      </c>
      <c r="C4" s="22" t="s">
        <v>28</v>
      </c>
      <c r="E4" s="22" t="s">
        <v>27</v>
      </c>
    </row>
    <row r="5" customHeight="1" spans="1:5">
      <c r="A5" s="22" t="s">
        <v>19</v>
      </c>
      <c r="B5" s="22" t="s">
        <v>20</v>
      </c>
      <c r="C5" s="22" t="s">
        <v>31</v>
      </c>
      <c r="E5" s="22" t="s">
        <v>30</v>
      </c>
    </row>
    <row r="6" customHeight="1" spans="1:5">
      <c r="A6" s="22" t="s">
        <v>19</v>
      </c>
      <c r="B6" s="22" t="s">
        <v>20</v>
      </c>
      <c r="C6" s="22" t="s">
        <v>34</v>
      </c>
      <c r="E6" s="22" t="s">
        <v>33</v>
      </c>
    </row>
    <row r="7" customHeight="1" spans="1:5">
      <c r="A7" s="22" t="s">
        <v>19</v>
      </c>
      <c r="B7" s="22" t="s">
        <v>20</v>
      </c>
      <c r="C7" s="22" t="s">
        <v>37</v>
      </c>
      <c r="E7" s="22" t="s">
        <v>36</v>
      </c>
    </row>
    <row r="8" customHeight="1" spans="1:5">
      <c r="A8" s="22" t="s">
        <v>19</v>
      </c>
      <c r="B8" s="22" t="s">
        <v>20</v>
      </c>
      <c r="C8" s="22" t="s">
        <v>40</v>
      </c>
      <c r="E8" s="22" t="s">
        <v>39</v>
      </c>
    </row>
    <row r="9" customHeight="1" spans="1:5">
      <c r="A9" s="22" t="s">
        <v>19</v>
      </c>
      <c r="B9" s="22" t="s">
        <v>20</v>
      </c>
      <c r="C9" s="22" t="s">
        <v>43</v>
      </c>
      <c r="E9" s="22" t="s">
        <v>42</v>
      </c>
    </row>
    <row r="10" customHeight="1" spans="1:5">
      <c r="A10" s="22" t="s">
        <v>19</v>
      </c>
      <c r="B10" s="22" t="s">
        <v>20</v>
      </c>
      <c r="C10" s="22" t="s">
        <v>46</v>
      </c>
      <c r="E10" s="22" t="s">
        <v>45</v>
      </c>
    </row>
    <row r="11" customHeight="1" spans="1:5">
      <c r="A11" s="22" t="s">
        <v>19</v>
      </c>
      <c r="B11" s="22" t="s">
        <v>20</v>
      </c>
      <c r="C11" s="22" t="s">
        <v>49</v>
      </c>
      <c r="E11" s="22" t="s">
        <v>48</v>
      </c>
    </row>
    <row r="12" customHeight="1" spans="1:5">
      <c r="A12" s="22" t="s">
        <v>19</v>
      </c>
      <c r="B12" s="22" t="s">
        <v>20</v>
      </c>
      <c r="C12" s="22" t="s">
        <v>52</v>
      </c>
      <c r="E12" s="22" t="s">
        <v>51</v>
      </c>
    </row>
    <row r="13" customHeight="1" spans="1:5">
      <c r="A13" s="22" t="s">
        <v>19</v>
      </c>
      <c r="B13" s="22" t="s">
        <v>20</v>
      </c>
      <c r="C13" s="22" t="s">
        <v>55</v>
      </c>
      <c r="E13" s="22" t="s">
        <v>54</v>
      </c>
    </row>
    <row r="14" customHeight="1" spans="1:5">
      <c r="A14" s="22" t="s">
        <v>19</v>
      </c>
      <c r="B14" s="22" t="s">
        <v>20</v>
      </c>
      <c r="C14" s="22" t="s">
        <v>58</v>
      </c>
      <c r="E14" s="22" t="s">
        <v>57</v>
      </c>
    </row>
    <row r="15" customHeight="1" spans="1:5">
      <c r="A15" s="22" t="s">
        <v>19</v>
      </c>
      <c r="B15" s="22" t="s">
        <v>20</v>
      </c>
      <c r="C15" s="22" t="s">
        <v>61</v>
      </c>
      <c r="E15" s="22" t="s">
        <v>60</v>
      </c>
    </row>
    <row r="16" customHeight="1" spans="1:5">
      <c r="A16" s="22" t="s">
        <v>19</v>
      </c>
      <c r="B16" s="22" t="s">
        <v>20</v>
      </c>
      <c r="C16" s="22" t="s">
        <v>64</v>
      </c>
      <c r="E16" s="22" t="s">
        <v>63</v>
      </c>
    </row>
    <row r="17" customHeight="1" spans="1:5">
      <c r="A17" s="22" t="s">
        <v>19</v>
      </c>
      <c r="B17" s="22" t="s">
        <v>20</v>
      </c>
      <c r="C17" s="22" t="s">
        <v>67</v>
      </c>
      <c r="E17" s="22" t="s">
        <v>66</v>
      </c>
    </row>
    <row r="18" customHeight="1" spans="1:5">
      <c r="A18" s="22" t="s">
        <v>19</v>
      </c>
      <c r="B18" s="22" t="s">
        <v>20</v>
      </c>
      <c r="C18" s="22" t="s">
        <v>70</v>
      </c>
      <c r="E18" s="22" t="s">
        <v>69</v>
      </c>
    </row>
    <row r="19" customHeight="1" spans="1:5">
      <c r="A19" s="22" t="s">
        <v>19</v>
      </c>
      <c r="B19" s="22" t="s">
        <v>20</v>
      </c>
      <c r="C19" s="22" t="s">
        <v>73</v>
      </c>
      <c r="E19" s="22" t="s">
        <v>72</v>
      </c>
    </row>
    <row r="20" customHeight="1" spans="1:5">
      <c r="A20" s="22" t="s">
        <v>19</v>
      </c>
      <c r="B20" s="22" t="s">
        <v>20</v>
      </c>
      <c r="C20" s="22" t="s">
        <v>76</v>
      </c>
      <c r="E20" s="22" t="s">
        <v>75</v>
      </c>
    </row>
    <row r="21" customHeight="1" spans="1:5">
      <c r="A21" s="22" t="s">
        <v>19</v>
      </c>
      <c r="B21" s="22" t="s">
        <v>20</v>
      </c>
      <c r="C21" s="22" t="s">
        <v>79</v>
      </c>
      <c r="E21" s="22" t="s">
        <v>78</v>
      </c>
    </row>
    <row r="22" customHeight="1" spans="1:5">
      <c r="A22" s="22" t="s">
        <v>19</v>
      </c>
      <c r="B22" s="22" t="s">
        <v>20</v>
      </c>
      <c r="C22" s="22" t="s">
        <v>677</v>
      </c>
      <c r="E22" s="22" t="s">
        <v>81</v>
      </c>
    </row>
    <row r="23" customHeight="1" spans="1:5">
      <c r="A23" s="22" t="s">
        <v>19</v>
      </c>
      <c r="B23" s="22" t="s">
        <v>20</v>
      </c>
      <c r="C23" s="22" t="s">
        <v>85</v>
      </c>
      <c r="E23" s="22" t="s">
        <v>84</v>
      </c>
    </row>
    <row r="24" customHeight="1" spans="1:5">
      <c r="A24" s="22" t="s">
        <v>19</v>
      </c>
      <c r="B24" s="22" t="s">
        <v>20</v>
      </c>
      <c r="C24" s="22" t="s">
        <v>88</v>
      </c>
      <c r="E24" s="22" t="s">
        <v>87</v>
      </c>
    </row>
    <row r="25" customHeight="1" spans="1:5">
      <c r="A25" s="22" t="s">
        <v>19</v>
      </c>
      <c r="B25" s="22" t="s">
        <v>20</v>
      </c>
      <c r="C25" s="22" t="s">
        <v>91</v>
      </c>
      <c r="E25" s="22" t="s">
        <v>90</v>
      </c>
    </row>
    <row r="26" customHeight="1" spans="1:5">
      <c r="A26" s="22" t="s">
        <v>19</v>
      </c>
      <c r="B26" s="22" t="s">
        <v>20</v>
      </c>
      <c r="C26" s="22" t="s">
        <v>94</v>
      </c>
      <c r="E26" s="22" t="s">
        <v>93</v>
      </c>
    </row>
    <row r="27" customHeight="1" spans="1:5">
      <c r="A27" s="22" t="s">
        <v>19</v>
      </c>
      <c r="B27" s="22" t="s">
        <v>20</v>
      </c>
      <c r="C27" s="22" t="s">
        <v>97</v>
      </c>
      <c r="E27" s="22" t="s">
        <v>96</v>
      </c>
    </row>
    <row r="28" customHeight="1" spans="1:5">
      <c r="A28" s="22" t="s">
        <v>19</v>
      </c>
      <c r="B28" s="22" t="s">
        <v>20</v>
      </c>
      <c r="C28" s="22" t="s">
        <v>100</v>
      </c>
      <c r="E28" s="22" t="s">
        <v>99</v>
      </c>
    </row>
    <row r="29" customHeight="1" spans="1:5">
      <c r="A29" s="22" t="s">
        <v>19</v>
      </c>
      <c r="B29" s="22" t="s">
        <v>20</v>
      </c>
      <c r="C29" s="22" t="s">
        <v>103</v>
      </c>
      <c r="E29" s="22" t="s">
        <v>102</v>
      </c>
    </row>
    <row r="30" s="19" customFormat="1" customHeight="1" spans="1:10">
      <c r="A30" s="22" t="s">
        <v>19</v>
      </c>
      <c r="B30" s="22" t="s">
        <v>20</v>
      </c>
      <c r="C30" s="22" t="s">
        <v>106</v>
      </c>
      <c r="D30" s="22"/>
      <c r="E30" s="22" t="s">
        <v>105</v>
      </c>
      <c r="F30" s="22"/>
      <c r="G30" s="22"/>
      <c r="H30" s="22"/>
      <c r="I30" s="22"/>
      <c r="J30" s="22"/>
    </row>
    <row r="31" s="19" customFormat="1" customHeight="1" spans="1:10">
      <c r="A31" s="22" t="s">
        <v>19</v>
      </c>
      <c r="B31" s="22" t="s">
        <v>20</v>
      </c>
      <c r="C31" s="22" t="s">
        <v>109</v>
      </c>
      <c r="D31" s="22"/>
      <c r="E31" s="22" t="s">
        <v>108</v>
      </c>
      <c r="F31" s="22"/>
      <c r="G31" s="22"/>
      <c r="H31" s="22"/>
      <c r="I31" s="22"/>
      <c r="J31" s="22"/>
    </row>
    <row r="32" s="19" customFormat="1" customHeight="1" spans="1:17">
      <c r="A32" s="22" t="s">
        <v>19</v>
      </c>
      <c r="B32" s="22" t="s">
        <v>20</v>
      </c>
      <c r="C32" s="22" t="s">
        <v>112</v>
      </c>
      <c r="D32" s="22"/>
      <c r="E32" s="22" t="s">
        <v>111</v>
      </c>
      <c r="F32" s="22"/>
      <c r="G32" s="22"/>
      <c r="H32" s="22"/>
      <c r="I32" s="22"/>
      <c r="J32" s="22"/>
      <c r="K32" s="23"/>
      <c r="L32" s="23"/>
      <c r="M32" s="23"/>
      <c r="N32" s="23"/>
      <c r="O32" s="23"/>
      <c r="P32" s="23"/>
      <c r="Q32" s="23"/>
    </row>
    <row r="33" s="20" customFormat="1" customHeight="1" spans="1:17">
      <c r="A33" s="22" t="s">
        <v>19</v>
      </c>
      <c r="B33" s="22" t="s">
        <v>20</v>
      </c>
      <c r="C33" s="22" t="s">
        <v>115</v>
      </c>
      <c r="D33" s="22"/>
      <c r="E33" s="22" t="s">
        <v>114</v>
      </c>
      <c r="F33" s="22"/>
      <c r="G33" s="22"/>
      <c r="H33" s="22"/>
      <c r="I33" s="22"/>
      <c r="J33" s="22"/>
      <c r="K33" s="23"/>
      <c r="L33" s="23"/>
      <c r="M33" s="23"/>
      <c r="N33" s="23"/>
      <c r="O33" s="23"/>
      <c r="P33" s="23"/>
      <c r="Q33" s="23"/>
    </row>
    <row r="34" customHeight="1" spans="1:5">
      <c r="A34" s="22" t="s">
        <v>19</v>
      </c>
      <c r="B34" s="22" t="s">
        <v>20</v>
      </c>
      <c r="C34" s="22" t="s">
        <v>118</v>
      </c>
      <c r="E34" s="22" t="s">
        <v>117</v>
      </c>
    </row>
    <row r="35" customHeight="1" spans="1:5">
      <c r="A35" s="22" t="s">
        <v>19</v>
      </c>
      <c r="B35" s="22" t="s">
        <v>20</v>
      </c>
      <c r="C35" s="22" t="s">
        <v>121</v>
      </c>
      <c r="E35" s="22" t="s">
        <v>120</v>
      </c>
    </row>
    <row r="36" customHeight="1" spans="1:5">
      <c r="A36" s="22" t="s">
        <v>19</v>
      </c>
      <c r="B36" s="22" t="s">
        <v>20</v>
      </c>
      <c r="C36" s="22" t="s">
        <v>124</v>
      </c>
      <c r="E36" s="22" t="s">
        <v>123</v>
      </c>
    </row>
    <row r="37" customHeight="1" spans="1:10">
      <c r="A37" s="22" t="s">
        <v>19</v>
      </c>
      <c r="B37" s="22" t="s">
        <v>20</v>
      </c>
      <c r="C37" s="22" t="s">
        <v>127</v>
      </c>
      <c r="E37" s="22" t="s">
        <v>126</v>
      </c>
      <c r="G37" s="25"/>
      <c r="J37" s="28"/>
    </row>
    <row r="38" customHeight="1" spans="1:10">
      <c r="A38" s="22" t="s">
        <v>19</v>
      </c>
      <c r="B38" s="22" t="s">
        <v>20</v>
      </c>
      <c r="C38" s="22" t="s">
        <v>130</v>
      </c>
      <c r="E38" s="22" t="s">
        <v>129</v>
      </c>
      <c r="G38" s="25"/>
      <c r="J38" s="28"/>
    </row>
    <row r="39" customHeight="1" spans="1:10">
      <c r="A39" s="22" t="s">
        <v>19</v>
      </c>
      <c r="B39" s="22" t="s">
        <v>20</v>
      </c>
      <c r="C39" s="22" t="s">
        <v>133</v>
      </c>
      <c r="E39" s="22" t="s">
        <v>132</v>
      </c>
      <c r="G39" s="25"/>
      <c r="J39" s="28"/>
    </row>
    <row r="40" customHeight="1" spans="1:10">
      <c r="A40" s="22" t="s">
        <v>19</v>
      </c>
      <c r="B40" s="22" t="s">
        <v>20</v>
      </c>
      <c r="C40" s="22" t="s">
        <v>136</v>
      </c>
      <c r="E40" s="22" t="s">
        <v>135</v>
      </c>
      <c r="G40" s="25"/>
      <c r="J40" s="28"/>
    </row>
    <row r="41" customHeight="1" spans="1:10">
      <c r="A41" s="22" t="s">
        <v>19</v>
      </c>
      <c r="B41" s="22" t="s">
        <v>20</v>
      </c>
      <c r="C41" s="22" t="s">
        <v>139</v>
      </c>
      <c r="E41" s="22" t="s">
        <v>138</v>
      </c>
      <c r="G41" s="25"/>
      <c r="J41" s="28"/>
    </row>
    <row r="42" customHeight="1" spans="1:10">
      <c r="A42" s="22" t="s">
        <v>19</v>
      </c>
      <c r="B42" s="22" t="s">
        <v>20</v>
      </c>
      <c r="C42" s="22" t="s">
        <v>142</v>
      </c>
      <c r="E42" s="22" t="s">
        <v>141</v>
      </c>
      <c r="G42" s="25"/>
      <c r="J42" s="28"/>
    </row>
    <row r="43" customHeight="1" spans="1:10">
      <c r="A43" s="22" t="s">
        <v>19</v>
      </c>
      <c r="B43" s="22" t="s">
        <v>20</v>
      </c>
      <c r="C43" s="22" t="s">
        <v>145</v>
      </c>
      <c r="E43" s="22" t="s">
        <v>144</v>
      </c>
      <c r="G43" s="25"/>
      <c r="J43" s="28"/>
    </row>
    <row r="44" customHeight="1" spans="1:10">
      <c r="A44" s="22" t="s">
        <v>19</v>
      </c>
      <c r="B44" s="22" t="s">
        <v>20</v>
      </c>
      <c r="C44" s="22" t="s">
        <v>148</v>
      </c>
      <c r="E44" s="22" t="s">
        <v>147</v>
      </c>
      <c r="G44" s="25"/>
      <c r="J44" s="28"/>
    </row>
    <row r="45" customHeight="1" spans="1:10">
      <c r="A45" s="22" t="s">
        <v>19</v>
      </c>
      <c r="B45" s="22" t="s">
        <v>20</v>
      </c>
      <c r="C45" s="22" t="s">
        <v>151</v>
      </c>
      <c r="E45" s="22" t="s">
        <v>150</v>
      </c>
      <c r="G45" s="25"/>
      <c r="J45" s="28"/>
    </row>
    <row r="46" customHeight="1" spans="1:10">
      <c r="A46" s="22" t="s">
        <v>19</v>
      </c>
      <c r="B46" s="22" t="s">
        <v>20</v>
      </c>
      <c r="C46" s="22" t="s">
        <v>154</v>
      </c>
      <c r="E46" s="22" t="s">
        <v>153</v>
      </c>
      <c r="G46" s="25"/>
      <c r="J46" s="28"/>
    </row>
    <row r="47" customHeight="1" spans="1:10">
      <c r="A47" s="22" t="s">
        <v>19</v>
      </c>
      <c r="B47" s="22" t="s">
        <v>20</v>
      </c>
      <c r="C47" s="22" t="s">
        <v>157</v>
      </c>
      <c r="E47" s="22" t="s">
        <v>156</v>
      </c>
      <c r="G47" s="25"/>
      <c r="J47" s="28"/>
    </row>
    <row r="48" customHeight="1" spans="1:10">
      <c r="A48" s="22" t="s">
        <v>19</v>
      </c>
      <c r="B48" s="22" t="s">
        <v>20</v>
      </c>
      <c r="C48" s="22" t="s">
        <v>264</v>
      </c>
      <c r="E48" s="22" t="s">
        <v>263</v>
      </c>
      <c r="G48" s="25"/>
      <c r="J48" s="28"/>
    </row>
    <row r="49" customHeight="1" spans="1:10">
      <c r="A49" s="22" t="s">
        <v>19</v>
      </c>
      <c r="B49" s="22" t="s">
        <v>20</v>
      </c>
      <c r="C49" s="22" t="s">
        <v>267</v>
      </c>
      <c r="E49" s="22" t="s">
        <v>266</v>
      </c>
      <c r="G49" s="25"/>
      <c r="J49" s="28"/>
    </row>
    <row r="50" customHeight="1" spans="1:10">
      <c r="A50" s="22" t="s">
        <v>19</v>
      </c>
      <c r="B50" s="22" t="s">
        <v>20</v>
      </c>
      <c r="C50" s="22" t="s">
        <v>270</v>
      </c>
      <c r="E50" s="22" t="s">
        <v>269</v>
      </c>
      <c r="G50" s="25"/>
      <c r="J50" s="28"/>
    </row>
    <row r="51" customHeight="1" spans="1:10">
      <c r="A51" s="22" t="s">
        <v>19</v>
      </c>
      <c r="B51" s="22" t="s">
        <v>20</v>
      </c>
      <c r="C51" s="22" t="s">
        <v>273</v>
      </c>
      <c r="E51" s="22" t="s">
        <v>272</v>
      </c>
      <c r="G51" s="25"/>
      <c r="J51" s="28"/>
    </row>
    <row r="52" customHeight="1" spans="1:10">
      <c r="A52" s="22" t="s">
        <v>19</v>
      </c>
      <c r="B52" s="22" t="s">
        <v>20</v>
      </c>
      <c r="C52" s="22" t="s">
        <v>275</v>
      </c>
      <c r="E52" s="26">
        <v>801001003682</v>
      </c>
      <c r="G52" s="25"/>
      <c r="J52" s="28"/>
    </row>
    <row r="53" customHeight="1" spans="1:10">
      <c r="A53" s="22" t="s">
        <v>19</v>
      </c>
      <c r="B53" s="22" t="s">
        <v>20</v>
      </c>
      <c r="C53" s="22" t="s">
        <v>277</v>
      </c>
      <c r="E53" s="26">
        <v>801001003681</v>
      </c>
      <c r="G53" s="25"/>
      <c r="J53" s="28"/>
    </row>
    <row r="54" customHeight="1" spans="1:10">
      <c r="A54" s="22" t="s">
        <v>19</v>
      </c>
      <c r="B54" s="22" t="s">
        <v>20</v>
      </c>
      <c r="C54" s="22" t="s">
        <v>280</v>
      </c>
      <c r="E54" s="22" t="s">
        <v>279</v>
      </c>
      <c r="G54" s="25"/>
      <c r="J54" s="28"/>
    </row>
    <row r="55" customHeight="1" spans="1:10">
      <c r="A55" s="22" t="s">
        <v>19</v>
      </c>
      <c r="B55" s="22" t="s">
        <v>20</v>
      </c>
      <c r="C55" s="22" t="s">
        <v>283</v>
      </c>
      <c r="E55" s="22" t="s">
        <v>282</v>
      </c>
      <c r="G55" s="25"/>
      <c r="J55" s="28"/>
    </row>
    <row r="56" customHeight="1" spans="1:10">
      <c r="A56" s="22" t="s">
        <v>19</v>
      </c>
      <c r="B56" s="22" t="s">
        <v>20</v>
      </c>
      <c r="C56" s="22" t="s">
        <v>286</v>
      </c>
      <c r="E56" s="22" t="s">
        <v>285</v>
      </c>
      <c r="G56" s="25"/>
      <c r="J56" s="28"/>
    </row>
    <row r="57" customHeight="1" spans="1:10">
      <c r="A57" s="22" t="s">
        <v>19</v>
      </c>
      <c r="B57" s="22" t="s">
        <v>20</v>
      </c>
      <c r="C57" s="22" t="s">
        <v>289</v>
      </c>
      <c r="E57" s="22" t="s">
        <v>288</v>
      </c>
      <c r="G57" s="25"/>
      <c r="J57" s="28"/>
    </row>
    <row r="58" customHeight="1" spans="1:10">
      <c r="A58" s="22" t="s">
        <v>19</v>
      </c>
      <c r="B58" s="22" t="s">
        <v>20</v>
      </c>
      <c r="C58" s="22" t="s">
        <v>292</v>
      </c>
      <c r="E58" s="22" t="s">
        <v>291</v>
      </c>
      <c r="G58" s="25"/>
      <c r="J58" s="28"/>
    </row>
    <row r="59" customHeight="1" spans="1:10">
      <c r="A59" s="22" t="s">
        <v>19</v>
      </c>
      <c r="B59" s="22" t="s">
        <v>20</v>
      </c>
      <c r="C59" s="22" t="s">
        <v>295</v>
      </c>
      <c r="E59" s="22" t="s">
        <v>294</v>
      </c>
      <c r="G59" s="25"/>
      <c r="J59" s="28"/>
    </row>
    <row r="60" customHeight="1" spans="1:10">
      <c r="A60" s="22" t="s">
        <v>19</v>
      </c>
      <c r="B60" s="22" t="s">
        <v>20</v>
      </c>
      <c r="C60" s="22" t="s">
        <v>298</v>
      </c>
      <c r="E60" s="22" t="s">
        <v>297</v>
      </c>
      <c r="G60" s="25"/>
      <c r="J60" s="28"/>
    </row>
    <row r="61" customHeight="1" spans="1:10">
      <c r="A61" s="22" t="s">
        <v>19</v>
      </c>
      <c r="B61" s="22" t="s">
        <v>20</v>
      </c>
      <c r="C61" s="22" t="s">
        <v>301</v>
      </c>
      <c r="E61" s="22" t="s">
        <v>300</v>
      </c>
      <c r="G61" s="25"/>
      <c r="J61" s="28"/>
    </row>
    <row r="62" customHeight="1" spans="1:10">
      <c r="A62" s="22" t="s">
        <v>19</v>
      </c>
      <c r="B62" s="22" t="s">
        <v>20</v>
      </c>
      <c r="C62" s="22" t="s">
        <v>304</v>
      </c>
      <c r="E62" s="22" t="s">
        <v>303</v>
      </c>
      <c r="G62" s="25"/>
      <c r="J62" s="28"/>
    </row>
    <row r="63" customHeight="1" spans="1:10">
      <c r="A63" s="22" t="s">
        <v>19</v>
      </c>
      <c r="B63" s="22" t="s">
        <v>20</v>
      </c>
      <c r="C63" s="22" t="s">
        <v>307</v>
      </c>
      <c r="E63" s="22" t="s">
        <v>306</v>
      </c>
      <c r="G63" s="25"/>
      <c r="J63" s="28"/>
    </row>
    <row r="64" customHeight="1" spans="1:10">
      <c r="A64" s="22" t="s">
        <v>19</v>
      </c>
      <c r="B64" s="22" t="s">
        <v>20</v>
      </c>
      <c r="C64" s="22" t="s">
        <v>310</v>
      </c>
      <c r="E64" s="22" t="s">
        <v>309</v>
      </c>
      <c r="G64" s="25"/>
      <c r="J64" s="28"/>
    </row>
    <row r="65" customHeight="1" spans="1:10">
      <c r="A65" s="22" t="s">
        <v>19</v>
      </c>
      <c r="B65" s="22" t="s">
        <v>20</v>
      </c>
      <c r="C65" s="22" t="s">
        <v>313</v>
      </c>
      <c r="E65" s="22" t="s">
        <v>312</v>
      </c>
      <c r="G65" s="25"/>
      <c r="J65" s="28"/>
    </row>
    <row r="66" customHeight="1" spans="1:10">
      <c r="A66" s="22" t="s">
        <v>19</v>
      </c>
      <c r="B66" s="22" t="s">
        <v>20</v>
      </c>
      <c r="C66" s="22" t="s">
        <v>315</v>
      </c>
      <c r="E66" s="22" t="s">
        <v>678</v>
      </c>
      <c r="G66" s="25"/>
      <c r="J66" s="28"/>
    </row>
    <row r="67" customHeight="1" spans="1:10">
      <c r="A67" s="22" t="s">
        <v>19</v>
      </c>
      <c r="B67" s="22" t="s">
        <v>20</v>
      </c>
      <c r="C67" s="22" t="s">
        <v>318</v>
      </c>
      <c r="E67" s="22" t="s">
        <v>317</v>
      </c>
      <c r="G67" s="25"/>
      <c r="J67" s="28"/>
    </row>
    <row r="68" customHeight="1" spans="1:10">
      <c r="A68" s="22" t="s">
        <v>19</v>
      </c>
      <c r="B68" s="22" t="s">
        <v>20</v>
      </c>
      <c r="C68" s="22" t="s">
        <v>321</v>
      </c>
      <c r="E68" s="22" t="s">
        <v>320</v>
      </c>
      <c r="G68" s="25"/>
      <c r="J68" s="28"/>
    </row>
    <row r="69" customHeight="1" spans="1:10">
      <c r="A69" s="22" t="s">
        <v>19</v>
      </c>
      <c r="B69" s="22" t="s">
        <v>20</v>
      </c>
      <c r="C69" s="22" t="s">
        <v>324</v>
      </c>
      <c r="E69" s="22" t="s">
        <v>323</v>
      </c>
      <c r="G69" s="25"/>
      <c r="J69" s="28"/>
    </row>
    <row r="70" customHeight="1" spans="1:10">
      <c r="A70" s="22" t="s">
        <v>19</v>
      </c>
      <c r="B70" s="22" t="s">
        <v>20</v>
      </c>
      <c r="C70" s="22" t="s">
        <v>327</v>
      </c>
      <c r="E70" s="22" t="s">
        <v>326</v>
      </c>
      <c r="G70" s="25"/>
      <c r="J70" s="28"/>
    </row>
    <row r="71" customHeight="1" spans="1:10">
      <c r="A71" s="22" t="s">
        <v>19</v>
      </c>
      <c r="B71" s="22" t="s">
        <v>20</v>
      </c>
      <c r="C71" s="22" t="s">
        <v>330</v>
      </c>
      <c r="E71" s="22" t="s">
        <v>329</v>
      </c>
      <c r="G71" s="25"/>
      <c r="J71" s="28"/>
    </row>
    <row r="72" customHeight="1" spans="1:10">
      <c r="A72" s="22" t="s">
        <v>19</v>
      </c>
      <c r="B72" s="22" t="s">
        <v>20</v>
      </c>
      <c r="C72" s="22" t="s">
        <v>333</v>
      </c>
      <c r="E72" s="22" t="s">
        <v>332</v>
      </c>
      <c r="G72" s="25"/>
      <c r="J72" s="28"/>
    </row>
    <row r="73" customHeight="1" spans="1:10">
      <c r="A73" s="22" t="s">
        <v>19</v>
      </c>
      <c r="B73" s="22" t="s">
        <v>20</v>
      </c>
      <c r="C73" s="22" t="s">
        <v>336</v>
      </c>
      <c r="E73" s="22" t="s">
        <v>335</v>
      </c>
      <c r="G73" s="25"/>
      <c r="J73" s="28"/>
    </row>
    <row r="74" customHeight="1" spans="1:10">
      <c r="A74" s="22" t="s">
        <v>19</v>
      </c>
      <c r="B74" s="22" t="s">
        <v>20</v>
      </c>
      <c r="C74" s="22" t="s">
        <v>339</v>
      </c>
      <c r="E74" s="22" t="s">
        <v>338</v>
      </c>
      <c r="G74" s="25"/>
      <c r="J74" s="28"/>
    </row>
    <row r="75" customHeight="1" spans="1:10">
      <c r="A75" s="22" t="s">
        <v>19</v>
      </c>
      <c r="B75" s="22" t="s">
        <v>20</v>
      </c>
      <c r="C75" s="22" t="s">
        <v>342</v>
      </c>
      <c r="E75" s="22" t="s">
        <v>341</v>
      </c>
      <c r="G75" s="25"/>
      <c r="J75" s="28"/>
    </row>
    <row r="76" customHeight="1" spans="1:10">
      <c r="A76" s="22" t="s">
        <v>19</v>
      </c>
      <c r="B76" s="22" t="s">
        <v>20</v>
      </c>
      <c r="C76" s="22" t="s">
        <v>345</v>
      </c>
      <c r="E76" s="22" t="s">
        <v>344</v>
      </c>
      <c r="G76" s="25"/>
      <c r="J76" s="28"/>
    </row>
    <row r="77" customHeight="1" spans="1:10">
      <c r="A77" s="22" t="s">
        <v>19</v>
      </c>
      <c r="B77" s="22" t="s">
        <v>20</v>
      </c>
      <c r="C77" s="22" t="s">
        <v>348</v>
      </c>
      <c r="E77" s="22" t="s">
        <v>347</v>
      </c>
      <c r="G77" s="25"/>
      <c r="J77" s="28"/>
    </row>
    <row r="78" customHeight="1" spans="1:10">
      <c r="A78" s="22" t="s">
        <v>19</v>
      </c>
      <c r="B78" s="22" t="s">
        <v>20</v>
      </c>
      <c r="C78" s="22" t="s">
        <v>351</v>
      </c>
      <c r="E78" s="22" t="s">
        <v>350</v>
      </c>
      <c r="G78" s="25"/>
      <c r="J78" s="28"/>
    </row>
    <row r="79" customHeight="1" spans="1:10">
      <c r="A79" s="22" t="s">
        <v>19</v>
      </c>
      <c r="B79" s="22" t="s">
        <v>20</v>
      </c>
      <c r="C79" s="22" t="s">
        <v>354</v>
      </c>
      <c r="E79" s="22" t="s">
        <v>353</v>
      </c>
      <c r="G79" s="25"/>
      <c r="J79" s="28"/>
    </row>
    <row r="80" customHeight="1" spans="1:10">
      <c r="A80" s="22" t="s">
        <v>19</v>
      </c>
      <c r="B80" s="22" t="s">
        <v>20</v>
      </c>
      <c r="C80" s="22" t="s">
        <v>357</v>
      </c>
      <c r="E80" s="22" t="s">
        <v>356</v>
      </c>
      <c r="G80" s="25"/>
      <c r="J80" s="28"/>
    </row>
    <row r="81" customHeight="1" spans="1:10">
      <c r="A81" s="22" t="s">
        <v>19</v>
      </c>
      <c r="B81" s="22" t="s">
        <v>20</v>
      </c>
      <c r="C81" s="22" t="s">
        <v>360</v>
      </c>
      <c r="E81" s="22" t="s">
        <v>359</v>
      </c>
      <c r="G81" s="25"/>
      <c r="J81" s="28"/>
    </row>
    <row r="82" customHeight="1" spans="1:10">
      <c r="A82" s="22" t="s">
        <v>19</v>
      </c>
      <c r="B82" s="22" t="s">
        <v>20</v>
      </c>
      <c r="C82" s="22" t="s">
        <v>362</v>
      </c>
      <c r="E82" s="26">
        <v>801001003166</v>
      </c>
      <c r="G82" s="25"/>
      <c r="J82" s="28"/>
    </row>
    <row r="83" customHeight="1" spans="1:10">
      <c r="A83" s="22" t="s">
        <v>19</v>
      </c>
      <c r="B83" s="22" t="s">
        <v>20</v>
      </c>
      <c r="C83" s="22" t="s">
        <v>166</v>
      </c>
      <c r="E83" s="22" t="s">
        <v>165</v>
      </c>
      <c r="G83" s="25"/>
      <c r="J83" s="28"/>
    </row>
    <row r="84" customHeight="1" spans="1:10">
      <c r="A84" s="22" t="s">
        <v>19</v>
      </c>
      <c r="B84" s="22" t="s">
        <v>20</v>
      </c>
      <c r="C84" s="22" t="s">
        <v>169</v>
      </c>
      <c r="E84" s="22" t="s">
        <v>168</v>
      </c>
      <c r="G84" s="25"/>
      <c r="J84" s="28"/>
    </row>
    <row r="85" customHeight="1" spans="1:10">
      <c r="A85" s="22" t="s">
        <v>19</v>
      </c>
      <c r="B85" s="22" t="s">
        <v>20</v>
      </c>
      <c r="C85" s="22" t="s">
        <v>172</v>
      </c>
      <c r="E85" s="22" t="s">
        <v>171</v>
      </c>
      <c r="G85" s="25"/>
      <c r="J85" s="28"/>
    </row>
    <row r="86" customHeight="1" spans="1:10">
      <c r="A86" s="22" t="s">
        <v>19</v>
      </c>
      <c r="B86" s="22" t="s">
        <v>20</v>
      </c>
      <c r="C86" s="22" t="s">
        <v>175</v>
      </c>
      <c r="E86" s="22" t="s">
        <v>174</v>
      </c>
      <c r="G86" s="25"/>
      <c r="J86" s="28"/>
    </row>
    <row r="87" customHeight="1" spans="1:10">
      <c r="A87" s="22" t="s">
        <v>19</v>
      </c>
      <c r="B87" s="22" t="s">
        <v>20</v>
      </c>
      <c r="C87" s="22" t="s">
        <v>178</v>
      </c>
      <c r="E87" s="22" t="s">
        <v>177</v>
      </c>
      <c r="G87" s="25"/>
      <c r="J87" s="28"/>
    </row>
    <row r="88" customHeight="1" spans="1:10">
      <c r="A88" s="22" t="s">
        <v>19</v>
      </c>
      <c r="B88" s="22" t="s">
        <v>20</v>
      </c>
      <c r="C88" s="22" t="s">
        <v>181</v>
      </c>
      <c r="E88" s="22" t="s">
        <v>180</v>
      </c>
      <c r="G88" s="25"/>
      <c r="J88" s="28"/>
    </row>
    <row r="89" customHeight="1" spans="1:10">
      <c r="A89" s="22" t="s">
        <v>19</v>
      </c>
      <c r="B89" s="22" t="s">
        <v>20</v>
      </c>
      <c r="C89" s="22" t="s">
        <v>184</v>
      </c>
      <c r="E89" s="22" t="s">
        <v>183</v>
      </c>
      <c r="G89" s="25"/>
      <c r="J89" s="28"/>
    </row>
    <row r="90" customHeight="1" spans="1:10">
      <c r="A90" s="22" t="s">
        <v>19</v>
      </c>
      <c r="B90" s="22" t="s">
        <v>20</v>
      </c>
      <c r="C90" s="22" t="s">
        <v>364</v>
      </c>
      <c r="E90" s="26">
        <v>801001004706</v>
      </c>
      <c r="G90" s="25"/>
      <c r="J90" s="28"/>
    </row>
    <row r="91" customHeight="1" spans="1:10">
      <c r="A91" s="22" t="s">
        <v>19</v>
      </c>
      <c r="B91" s="22" t="s">
        <v>20</v>
      </c>
      <c r="C91" s="22" t="s">
        <v>367</v>
      </c>
      <c r="E91" s="22" t="s">
        <v>366</v>
      </c>
      <c r="G91" s="25"/>
      <c r="J91" s="28"/>
    </row>
    <row r="92" customHeight="1" spans="1:10">
      <c r="A92" s="22" t="s">
        <v>19</v>
      </c>
      <c r="B92" s="22" t="s">
        <v>20</v>
      </c>
      <c r="C92" s="22" t="s">
        <v>369</v>
      </c>
      <c r="E92" s="26">
        <v>801001004766</v>
      </c>
      <c r="G92" s="25"/>
      <c r="J92" s="28"/>
    </row>
    <row r="93" customHeight="1" spans="1:10">
      <c r="A93" s="22" t="s">
        <v>19</v>
      </c>
      <c r="B93" s="22" t="s">
        <v>20</v>
      </c>
      <c r="C93" s="22" t="s">
        <v>372</v>
      </c>
      <c r="E93" s="22" t="s">
        <v>371</v>
      </c>
      <c r="G93" s="25"/>
      <c r="J93" s="28"/>
    </row>
    <row r="94" customHeight="1" spans="1:10">
      <c r="A94" s="22" t="s">
        <v>19</v>
      </c>
      <c r="B94" s="22" t="s">
        <v>20</v>
      </c>
      <c r="C94" s="22" t="s">
        <v>375</v>
      </c>
      <c r="E94" s="22" t="s">
        <v>374</v>
      </c>
      <c r="G94" s="25"/>
      <c r="J94" s="28"/>
    </row>
    <row r="95" customHeight="1" spans="1:10">
      <c r="A95" s="22" t="s">
        <v>19</v>
      </c>
      <c r="B95" s="22" t="s">
        <v>20</v>
      </c>
      <c r="C95" s="22" t="s">
        <v>160</v>
      </c>
      <c r="E95" s="22" t="s">
        <v>159</v>
      </c>
      <c r="G95" s="25"/>
      <c r="J95" s="28"/>
    </row>
    <row r="96" customHeight="1" spans="1:10">
      <c r="A96" s="22" t="s">
        <v>19</v>
      </c>
      <c r="B96" s="22" t="s">
        <v>20</v>
      </c>
      <c r="C96" s="22" t="s">
        <v>163</v>
      </c>
      <c r="E96" s="22" t="s">
        <v>162</v>
      </c>
      <c r="G96" s="25"/>
      <c r="J96" s="28"/>
    </row>
    <row r="97" customHeight="1" spans="3:10">
      <c r="C97" s="22" t="s">
        <v>679</v>
      </c>
      <c r="E97" s="22" t="s">
        <v>680</v>
      </c>
      <c r="G97" s="25"/>
      <c r="J97" s="28"/>
    </row>
    <row r="98" customHeight="1" spans="3:10">
      <c r="C98" s="22" t="s">
        <v>681</v>
      </c>
      <c r="E98" s="22" t="s">
        <v>682</v>
      </c>
      <c r="G98" s="25"/>
      <c r="J98" s="28"/>
    </row>
    <row r="99" customHeight="1" spans="3:10">
      <c r="C99" s="22" t="s">
        <v>378</v>
      </c>
      <c r="E99" s="22" t="s">
        <v>377</v>
      </c>
      <c r="G99" s="25"/>
      <c r="J99" s="28"/>
    </row>
    <row r="100" customHeight="1" spans="3:10">
      <c r="C100" s="22" t="s">
        <v>381</v>
      </c>
      <c r="E100" s="22" t="s">
        <v>380</v>
      </c>
      <c r="G100" s="25"/>
      <c r="J100" s="28"/>
    </row>
    <row r="101" customHeight="1" spans="3:10">
      <c r="C101" s="22" t="s">
        <v>384</v>
      </c>
      <c r="D101" s="29"/>
      <c r="E101" s="22" t="s">
        <v>383</v>
      </c>
      <c r="G101" s="25"/>
      <c r="J101" s="28"/>
    </row>
    <row r="102" customHeight="1" spans="3:10">
      <c r="C102" s="22" t="s">
        <v>386</v>
      </c>
      <c r="E102" s="26">
        <v>801001005154</v>
      </c>
      <c r="G102" s="25"/>
      <c r="J102" s="28"/>
    </row>
    <row r="103" customHeight="1" spans="3:10">
      <c r="C103" s="22" t="s">
        <v>388</v>
      </c>
      <c r="E103" s="26">
        <v>801001005155</v>
      </c>
      <c r="G103" s="25"/>
      <c r="J103" s="28"/>
    </row>
    <row r="104" customHeight="1" spans="3:10">
      <c r="C104" s="22" t="s">
        <v>390</v>
      </c>
      <c r="E104" s="26">
        <v>801001005156</v>
      </c>
      <c r="G104" s="25"/>
      <c r="J104" s="28"/>
    </row>
    <row r="105" customHeight="1" spans="3:10">
      <c r="C105" s="22" t="s">
        <v>392</v>
      </c>
      <c r="E105" s="26">
        <v>801001005157</v>
      </c>
      <c r="G105" s="25"/>
      <c r="J105" s="28"/>
    </row>
    <row r="106" customHeight="1" spans="3:10">
      <c r="C106" s="22" t="s">
        <v>187</v>
      </c>
      <c r="E106" s="22" t="s">
        <v>186</v>
      </c>
      <c r="G106" s="25"/>
      <c r="J106" s="28"/>
    </row>
    <row r="107" customHeight="1" spans="3:10">
      <c r="C107" s="22" t="s">
        <v>190</v>
      </c>
      <c r="E107" s="22" t="s">
        <v>189</v>
      </c>
      <c r="G107" s="25"/>
      <c r="J107" s="28"/>
    </row>
    <row r="108" customHeight="1" spans="3:10">
      <c r="C108" s="22" t="s">
        <v>193</v>
      </c>
      <c r="E108" s="30" t="s">
        <v>192</v>
      </c>
      <c r="G108" s="25"/>
      <c r="J108" s="28"/>
    </row>
    <row r="109" customHeight="1" spans="3:10">
      <c r="C109" s="22" t="s">
        <v>196</v>
      </c>
      <c r="E109" s="30" t="s">
        <v>195</v>
      </c>
      <c r="G109" s="25"/>
      <c r="J109" s="28"/>
    </row>
    <row r="110" customHeight="1" spans="3:10">
      <c r="C110" s="22" t="s">
        <v>394</v>
      </c>
      <c r="E110" s="26">
        <v>801001004175</v>
      </c>
      <c r="G110" s="25"/>
      <c r="J110" s="28"/>
    </row>
    <row r="111" customHeight="1" spans="3:10">
      <c r="C111" s="22" t="s">
        <v>396</v>
      </c>
      <c r="E111" s="26">
        <v>801001005718</v>
      </c>
      <c r="G111" s="25"/>
      <c r="J111" s="28"/>
    </row>
    <row r="112" customHeight="1" spans="3:10">
      <c r="C112" s="22" t="s">
        <v>398</v>
      </c>
      <c r="E112" s="26">
        <v>801001005719</v>
      </c>
      <c r="G112" s="25"/>
      <c r="J112" s="28"/>
    </row>
    <row r="113" customHeight="1" spans="3:10">
      <c r="C113" s="22" t="s">
        <v>400</v>
      </c>
      <c r="E113" s="26">
        <v>801001005094</v>
      </c>
      <c r="G113" s="25"/>
      <c r="J113" s="28"/>
    </row>
    <row r="114" customHeight="1" spans="3:10">
      <c r="C114" s="22" t="s">
        <v>402</v>
      </c>
      <c r="E114" s="26">
        <v>801001005095</v>
      </c>
      <c r="G114" s="25"/>
      <c r="J114" s="28"/>
    </row>
    <row r="115" customHeight="1" spans="3:10">
      <c r="C115" s="22" t="s">
        <v>404</v>
      </c>
      <c r="E115" s="26">
        <v>801001005096</v>
      </c>
      <c r="G115" s="25"/>
      <c r="J115" s="28"/>
    </row>
    <row r="116" customHeight="1" spans="3:10">
      <c r="C116" s="22" t="s">
        <v>406</v>
      </c>
      <c r="E116" s="26">
        <v>801001005097</v>
      </c>
      <c r="G116" s="25"/>
      <c r="J116" s="28"/>
    </row>
    <row r="117" customHeight="1" spans="3:10">
      <c r="C117" s="22" t="s">
        <v>409</v>
      </c>
      <c r="E117" s="22" t="s">
        <v>408</v>
      </c>
      <c r="G117" s="25"/>
      <c r="J117" s="28"/>
    </row>
    <row r="118" customHeight="1" spans="3:10">
      <c r="C118" s="22" t="s">
        <v>412</v>
      </c>
      <c r="E118" s="22" t="s">
        <v>411</v>
      </c>
      <c r="G118" s="25"/>
      <c r="J118" s="28"/>
    </row>
    <row r="119" customHeight="1" spans="3:10">
      <c r="C119" s="22" t="s">
        <v>415</v>
      </c>
      <c r="E119" s="22" t="s">
        <v>414</v>
      </c>
      <c r="G119" s="25"/>
      <c r="J119" s="28"/>
    </row>
    <row r="120" customHeight="1" spans="3:10">
      <c r="C120" s="31" t="s">
        <v>199</v>
      </c>
      <c r="E120" s="22" t="s">
        <v>198</v>
      </c>
      <c r="G120" s="25"/>
      <c r="J120" s="28"/>
    </row>
    <row r="121" customHeight="1" spans="3:10">
      <c r="C121" s="31" t="s">
        <v>202</v>
      </c>
      <c r="E121" s="32" t="s">
        <v>201</v>
      </c>
      <c r="G121" s="25"/>
      <c r="J121" s="28"/>
    </row>
    <row r="122" customHeight="1" spans="3:10">
      <c r="C122" s="31" t="s">
        <v>205</v>
      </c>
      <c r="E122" s="32" t="s">
        <v>204</v>
      </c>
      <c r="G122" s="25"/>
      <c r="J122" s="28"/>
    </row>
    <row r="123" customHeight="1" spans="3:10">
      <c r="C123" s="31" t="s">
        <v>208</v>
      </c>
      <c r="E123" s="32" t="s">
        <v>207</v>
      </c>
      <c r="G123" s="25"/>
      <c r="J123" s="28"/>
    </row>
    <row r="124" customHeight="1" spans="3:10">
      <c r="C124" s="31" t="s">
        <v>211</v>
      </c>
      <c r="E124" s="32" t="s">
        <v>210</v>
      </c>
      <c r="G124" s="25"/>
      <c r="J124" s="28"/>
    </row>
    <row r="125" s="21" customFormat="1" customHeight="1" spans="1:10">
      <c r="A125" s="22"/>
      <c r="B125" s="22"/>
      <c r="C125" s="33" t="s">
        <v>214</v>
      </c>
      <c r="D125" s="22"/>
      <c r="E125" s="22" t="s">
        <v>213</v>
      </c>
      <c r="F125" s="22"/>
      <c r="G125" s="25"/>
      <c r="H125" s="22"/>
      <c r="I125" s="22"/>
      <c r="J125" s="28"/>
    </row>
    <row r="126" customHeight="1" spans="3:10">
      <c r="C126" s="22" t="s">
        <v>217</v>
      </c>
      <c r="E126" s="22" t="s">
        <v>216</v>
      </c>
      <c r="G126" s="25"/>
      <c r="J126" s="28"/>
    </row>
    <row r="127" customHeight="1" spans="3:10">
      <c r="C127" s="22" t="s">
        <v>220</v>
      </c>
      <c r="E127" s="22" t="s">
        <v>219</v>
      </c>
      <c r="G127" s="25"/>
      <c r="J127" s="28"/>
    </row>
    <row r="128" customHeight="1" spans="3:10">
      <c r="C128" s="31" t="s">
        <v>223</v>
      </c>
      <c r="E128" s="32" t="s">
        <v>222</v>
      </c>
      <c r="G128" s="25"/>
      <c r="J128" s="28"/>
    </row>
    <row r="129" customHeight="1" spans="3:10">
      <c r="C129" s="22" t="s">
        <v>226</v>
      </c>
      <c r="E129" s="22" t="s">
        <v>225</v>
      </c>
      <c r="G129" s="25"/>
      <c r="J129" s="28"/>
    </row>
    <row r="130" customHeight="1" spans="3:10">
      <c r="C130" s="22" t="s">
        <v>229</v>
      </c>
      <c r="E130" s="22" t="s">
        <v>228</v>
      </c>
      <c r="G130" s="25"/>
      <c r="J130" s="28"/>
    </row>
    <row r="131" customHeight="1" spans="3:10">
      <c r="C131" s="22" t="s">
        <v>232</v>
      </c>
      <c r="E131" s="22" t="s">
        <v>231</v>
      </c>
      <c r="G131" s="25"/>
      <c r="J131" s="28"/>
    </row>
    <row r="132" customHeight="1" spans="3:10">
      <c r="C132" s="22" t="s">
        <v>235</v>
      </c>
      <c r="E132" s="22" t="s">
        <v>234</v>
      </c>
      <c r="G132" s="25"/>
      <c r="J132" s="28"/>
    </row>
    <row r="133" customHeight="1" spans="3:10">
      <c r="C133" s="22" t="s">
        <v>244</v>
      </c>
      <c r="E133" s="22" t="s">
        <v>243</v>
      </c>
      <c r="G133" s="25"/>
      <c r="J133" s="28"/>
    </row>
    <row r="134" customHeight="1" spans="3:10">
      <c r="C134" s="22" t="s">
        <v>683</v>
      </c>
      <c r="E134" s="22" t="s">
        <v>684</v>
      </c>
      <c r="G134" s="25"/>
      <c r="J134" s="28"/>
    </row>
    <row r="135" customHeight="1" spans="3:10">
      <c r="C135" s="22" t="s">
        <v>685</v>
      </c>
      <c r="E135" s="22" t="s">
        <v>686</v>
      </c>
      <c r="G135" s="25"/>
      <c r="J135" s="28"/>
    </row>
    <row r="136" customHeight="1" spans="3:10">
      <c r="C136" s="22" t="s">
        <v>687</v>
      </c>
      <c r="E136" s="22" t="s">
        <v>688</v>
      </c>
      <c r="G136" s="25"/>
      <c r="J136" s="28"/>
    </row>
    <row r="137" customHeight="1" spans="3:10">
      <c r="C137" s="22" t="s">
        <v>689</v>
      </c>
      <c r="E137" s="22" t="s">
        <v>690</v>
      </c>
      <c r="G137" s="25"/>
      <c r="J137" s="28"/>
    </row>
    <row r="138" customHeight="1" spans="3:10">
      <c r="C138" s="22" t="s">
        <v>691</v>
      </c>
      <c r="E138" s="22" t="s">
        <v>692</v>
      </c>
      <c r="G138" s="25"/>
      <c r="J138" s="28"/>
    </row>
    <row r="139" customHeight="1" spans="3:10">
      <c r="C139" s="22" t="s">
        <v>693</v>
      </c>
      <c r="E139" s="22" t="s">
        <v>694</v>
      </c>
      <c r="G139" s="25"/>
      <c r="J139" s="28"/>
    </row>
    <row r="140" customHeight="1" spans="3:10">
      <c r="C140" s="22" t="s">
        <v>695</v>
      </c>
      <c r="E140" s="22" t="s">
        <v>696</v>
      </c>
      <c r="G140" s="25"/>
      <c r="J140" s="28"/>
    </row>
    <row r="141" customHeight="1" spans="3:10">
      <c r="C141" s="22" t="s">
        <v>697</v>
      </c>
      <c r="E141" s="22" t="s">
        <v>698</v>
      </c>
      <c r="G141" s="25"/>
      <c r="J141" s="28"/>
    </row>
    <row r="142" customHeight="1" spans="3:10">
      <c r="C142" s="22" t="s">
        <v>699</v>
      </c>
      <c r="E142" s="22" t="s">
        <v>700</v>
      </c>
      <c r="G142" s="25"/>
      <c r="J142" s="28"/>
    </row>
    <row r="143" customHeight="1" spans="3:10">
      <c r="C143" s="22" t="s">
        <v>701</v>
      </c>
      <c r="E143" s="22" t="s">
        <v>702</v>
      </c>
      <c r="G143" s="25"/>
      <c r="J143" s="28"/>
    </row>
    <row r="144" customHeight="1" spans="3:10">
      <c r="C144" s="22" t="s">
        <v>703</v>
      </c>
      <c r="E144" s="22" t="s">
        <v>704</v>
      </c>
      <c r="G144" s="25"/>
      <c r="J144" s="28"/>
    </row>
    <row r="145" customHeight="1" spans="3:10">
      <c r="C145" s="22" t="s">
        <v>705</v>
      </c>
      <c r="E145" s="22" t="s">
        <v>706</v>
      </c>
      <c r="G145" s="25"/>
      <c r="J145" s="28"/>
    </row>
    <row r="146" customHeight="1" spans="3:10">
      <c r="C146" s="22" t="s">
        <v>707</v>
      </c>
      <c r="E146" s="22" t="s">
        <v>708</v>
      </c>
      <c r="G146" s="25"/>
      <c r="J146" s="28"/>
    </row>
    <row r="147" customHeight="1" spans="3:10">
      <c r="C147" s="22" t="s">
        <v>709</v>
      </c>
      <c r="E147" s="22" t="s">
        <v>710</v>
      </c>
      <c r="G147" s="25"/>
      <c r="J147" s="28"/>
    </row>
    <row r="148" customHeight="1" spans="3:10">
      <c r="C148" s="22" t="s">
        <v>711</v>
      </c>
      <c r="E148" s="22" t="s">
        <v>201</v>
      </c>
      <c r="G148" s="25"/>
      <c r="J148" s="28"/>
    </row>
    <row r="149" customHeight="1" spans="3:10">
      <c r="C149" s="22" t="s">
        <v>712</v>
      </c>
      <c r="E149" s="22" t="s">
        <v>713</v>
      </c>
      <c r="G149" s="25"/>
      <c r="J149" s="28"/>
    </row>
    <row r="150" customHeight="1" spans="3:10">
      <c r="C150" s="22" t="s">
        <v>714</v>
      </c>
      <c r="E150" s="22" t="s">
        <v>715</v>
      </c>
      <c r="G150" s="25"/>
      <c r="J150" s="28"/>
    </row>
    <row r="151" customHeight="1" spans="3:10">
      <c r="C151" s="22" t="s">
        <v>716</v>
      </c>
      <c r="E151" s="22" t="s">
        <v>717</v>
      </c>
      <c r="G151" s="25"/>
      <c r="J151" s="28"/>
    </row>
    <row r="152" customHeight="1" spans="3:10">
      <c r="C152" s="22" t="s">
        <v>718</v>
      </c>
      <c r="E152" s="22" t="s">
        <v>719</v>
      </c>
      <c r="G152" s="25"/>
      <c r="J152" s="28"/>
    </row>
    <row r="153" customHeight="1" spans="3:10">
      <c r="C153" s="22" t="s">
        <v>720</v>
      </c>
      <c r="E153" s="22" t="s">
        <v>21</v>
      </c>
      <c r="G153" s="25"/>
      <c r="J153" s="28"/>
    </row>
    <row r="154" customHeight="1" spans="3:10">
      <c r="C154" s="22" t="s">
        <v>721</v>
      </c>
      <c r="E154" s="22" t="s">
        <v>24</v>
      </c>
      <c r="G154" s="25"/>
      <c r="J154" s="28"/>
    </row>
    <row r="155" customHeight="1" spans="3:10">
      <c r="C155" s="22" t="s">
        <v>722</v>
      </c>
      <c r="E155" s="22" t="s">
        <v>27</v>
      </c>
      <c r="G155" s="25"/>
      <c r="J155" s="28"/>
    </row>
    <row r="156" customHeight="1" spans="3:10">
      <c r="C156" s="22" t="s">
        <v>723</v>
      </c>
      <c r="E156" s="22" t="s">
        <v>30</v>
      </c>
      <c r="G156" s="25"/>
      <c r="J156" s="28"/>
    </row>
    <row r="157" customHeight="1" spans="3:10">
      <c r="C157" s="22" t="s">
        <v>724</v>
      </c>
      <c r="E157" s="22" t="s">
        <v>33</v>
      </c>
      <c r="G157" s="25"/>
      <c r="J157" s="28"/>
    </row>
    <row r="158" customHeight="1" spans="3:10">
      <c r="C158" s="22" t="s">
        <v>725</v>
      </c>
      <c r="E158" s="22" t="s">
        <v>36</v>
      </c>
      <c r="G158" s="25"/>
      <c r="J158" s="28"/>
    </row>
    <row r="159" customHeight="1" spans="3:10">
      <c r="C159" s="22" t="s">
        <v>726</v>
      </c>
      <c r="E159" s="22" t="s">
        <v>39</v>
      </c>
      <c r="G159" s="25"/>
      <c r="J159" s="28"/>
    </row>
    <row r="160" customHeight="1" spans="3:10">
      <c r="C160" s="22" t="s">
        <v>727</v>
      </c>
      <c r="E160" s="22" t="s">
        <v>42</v>
      </c>
      <c r="G160" s="25"/>
      <c r="J160" s="28"/>
    </row>
    <row r="161" customHeight="1" spans="3:10">
      <c r="C161" s="22" t="s">
        <v>728</v>
      </c>
      <c r="E161" s="22" t="s">
        <v>45</v>
      </c>
      <c r="G161" s="25"/>
      <c r="J161" s="28"/>
    </row>
    <row r="162" customHeight="1" spans="3:10">
      <c r="C162" s="22" t="s">
        <v>729</v>
      </c>
      <c r="E162" s="22" t="s">
        <v>48</v>
      </c>
      <c r="G162" s="25"/>
      <c r="J162" s="28"/>
    </row>
    <row r="163" customHeight="1" spans="3:10">
      <c r="C163" s="22" t="s">
        <v>730</v>
      </c>
      <c r="E163" s="22" t="s">
        <v>51</v>
      </c>
      <c r="G163" s="25"/>
      <c r="J163" s="28"/>
    </row>
    <row r="164" customHeight="1" spans="3:10">
      <c r="C164" s="22" t="s">
        <v>731</v>
      </c>
      <c r="E164" s="22" t="s">
        <v>54</v>
      </c>
      <c r="G164" s="25"/>
      <c r="J164" s="28"/>
    </row>
    <row r="165" customHeight="1" spans="3:10">
      <c r="C165" s="22" t="s">
        <v>732</v>
      </c>
      <c r="E165" s="22" t="s">
        <v>57</v>
      </c>
      <c r="G165" s="25"/>
      <c r="J165" s="28"/>
    </row>
    <row r="166" customHeight="1" spans="3:10">
      <c r="C166" s="22" t="s">
        <v>733</v>
      </c>
      <c r="E166" s="22" t="s">
        <v>60</v>
      </c>
      <c r="G166" s="25"/>
      <c r="J166" s="28"/>
    </row>
    <row r="167" customHeight="1" spans="3:10">
      <c r="C167" s="22" t="s">
        <v>734</v>
      </c>
      <c r="E167" s="22" t="s">
        <v>63</v>
      </c>
      <c r="G167" s="25"/>
      <c r="J167" s="28"/>
    </row>
    <row r="168" customHeight="1" spans="3:10">
      <c r="C168" s="22" t="s">
        <v>735</v>
      </c>
      <c r="E168" s="22" t="s">
        <v>66</v>
      </c>
      <c r="G168" s="25"/>
      <c r="J168" s="28"/>
    </row>
    <row r="169" customHeight="1" spans="3:10">
      <c r="C169" s="22" t="s">
        <v>736</v>
      </c>
      <c r="E169" s="22" t="s">
        <v>69</v>
      </c>
      <c r="G169" s="25"/>
      <c r="J169" s="28"/>
    </row>
    <row r="170" customHeight="1" spans="3:10">
      <c r="C170" s="22" t="s">
        <v>737</v>
      </c>
      <c r="E170" s="22" t="s">
        <v>72</v>
      </c>
      <c r="G170" s="25"/>
      <c r="J170" s="28"/>
    </row>
    <row r="171" customHeight="1" spans="3:10">
      <c r="C171" s="22" t="s">
        <v>82</v>
      </c>
      <c r="E171" s="22" t="s">
        <v>75</v>
      </c>
      <c r="G171" s="25"/>
      <c r="J171" s="28"/>
    </row>
    <row r="172" customHeight="1" spans="3:10">
      <c r="C172" s="22" t="s">
        <v>738</v>
      </c>
      <c r="E172" s="22" t="s">
        <v>78</v>
      </c>
      <c r="J172" s="28"/>
    </row>
    <row r="173" customHeight="1" spans="3:10">
      <c r="C173" s="22" t="s">
        <v>739</v>
      </c>
      <c r="E173" s="22" t="s">
        <v>740</v>
      </c>
      <c r="J173" s="28"/>
    </row>
    <row r="174" customHeight="1" spans="3:10">
      <c r="C174" s="22" t="s">
        <v>741</v>
      </c>
      <c r="E174" s="22" t="s">
        <v>84</v>
      </c>
      <c r="J174" s="28"/>
    </row>
    <row r="175" customHeight="1" spans="3:10">
      <c r="C175" s="22" t="s">
        <v>742</v>
      </c>
      <c r="E175" s="22" t="s">
        <v>87</v>
      </c>
      <c r="J175" s="28"/>
    </row>
    <row r="176" customHeight="1" spans="3:10">
      <c r="C176" s="22" t="s">
        <v>743</v>
      </c>
      <c r="E176" s="22" t="s">
        <v>90</v>
      </c>
      <c r="J176" s="28"/>
    </row>
    <row r="177" customHeight="1" spans="3:10">
      <c r="C177" s="22" t="s">
        <v>744</v>
      </c>
      <c r="E177" s="22" t="s">
        <v>93</v>
      </c>
      <c r="J177" s="28"/>
    </row>
    <row r="178" customHeight="1" spans="3:10">
      <c r="C178" s="22" t="s">
        <v>745</v>
      </c>
      <c r="E178" s="22" t="s">
        <v>96</v>
      </c>
      <c r="J178" s="28"/>
    </row>
    <row r="179" customHeight="1" spans="3:10">
      <c r="C179" s="22" t="s">
        <v>746</v>
      </c>
      <c r="E179" s="22" t="s">
        <v>99</v>
      </c>
      <c r="J179" s="28"/>
    </row>
    <row r="180" customHeight="1" spans="3:10">
      <c r="C180" s="22" t="s">
        <v>747</v>
      </c>
      <c r="E180" s="22" t="s">
        <v>102</v>
      </c>
      <c r="J180" s="28"/>
    </row>
    <row r="181" customHeight="1" spans="3:9">
      <c r="C181" s="22" t="s">
        <v>748</v>
      </c>
      <c r="D181" s="34"/>
      <c r="E181" s="22" t="s">
        <v>105</v>
      </c>
      <c r="H181" s="35"/>
      <c r="I181" s="38"/>
    </row>
    <row r="182" customHeight="1" spans="3:9">
      <c r="C182" s="22" t="s">
        <v>749</v>
      </c>
      <c r="D182" s="34"/>
      <c r="E182" s="22" t="s">
        <v>108</v>
      </c>
      <c r="H182" s="35"/>
      <c r="I182" s="38"/>
    </row>
    <row r="183" customHeight="1" spans="1:10">
      <c r="A183" s="36"/>
      <c r="B183" s="36"/>
      <c r="C183" s="22" t="s">
        <v>750</v>
      </c>
      <c r="D183" s="36"/>
      <c r="E183" s="22" t="s">
        <v>111</v>
      </c>
      <c r="F183" s="36"/>
      <c r="G183" s="36"/>
      <c r="H183" s="36"/>
      <c r="I183" s="36"/>
      <c r="J183" s="36"/>
    </row>
    <row r="184" s="21" customFormat="1" customHeight="1" spans="1:10">
      <c r="A184" s="37"/>
      <c r="B184" s="37"/>
      <c r="C184" s="22" t="s">
        <v>751</v>
      </c>
      <c r="D184" s="37"/>
      <c r="E184" s="22" t="s">
        <v>114</v>
      </c>
      <c r="F184" s="37"/>
      <c r="G184" s="37"/>
      <c r="H184" s="37"/>
      <c r="I184" s="37"/>
      <c r="J184" s="37"/>
    </row>
    <row r="185" customHeight="1" spans="3:5">
      <c r="C185" s="22" t="s">
        <v>752</v>
      </c>
      <c r="E185" s="22" t="s">
        <v>117</v>
      </c>
    </row>
    <row r="186" customHeight="1" spans="3:5">
      <c r="C186" s="22" t="s">
        <v>753</v>
      </c>
      <c r="E186" s="22" t="s">
        <v>120</v>
      </c>
    </row>
    <row r="187" customHeight="1" spans="3:5">
      <c r="C187" s="22" t="s">
        <v>754</v>
      </c>
      <c r="E187" s="22" t="s">
        <v>123</v>
      </c>
    </row>
    <row r="188" customHeight="1" spans="1:10">
      <c r="A188" s="36"/>
      <c r="B188" s="36"/>
      <c r="C188" s="22" t="s">
        <v>755</v>
      </c>
      <c r="D188" s="36"/>
      <c r="E188" s="22" t="s">
        <v>126</v>
      </c>
      <c r="F188" s="36"/>
      <c r="G188" s="36"/>
      <c r="H188" s="36"/>
      <c r="I188" s="36"/>
      <c r="J188" s="27"/>
    </row>
    <row r="189" customHeight="1" spans="3:10">
      <c r="C189" s="22" t="s">
        <v>756</v>
      </c>
      <c r="E189" s="22" t="s">
        <v>129</v>
      </c>
      <c r="J189" s="28"/>
    </row>
    <row r="190" customHeight="1" spans="3:10">
      <c r="C190" s="22" t="s">
        <v>238</v>
      </c>
      <c r="E190" s="32" t="s">
        <v>237</v>
      </c>
      <c r="J190" s="28"/>
    </row>
    <row r="191" customHeight="1" spans="3:10">
      <c r="C191" s="22" t="s">
        <v>757</v>
      </c>
      <c r="E191" s="22" t="s">
        <v>135</v>
      </c>
      <c r="J191" s="28"/>
    </row>
    <row r="192" customHeight="1" spans="1:10">
      <c r="A192" s="36"/>
      <c r="B192" s="36"/>
      <c r="C192" s="22" t="s">
        <v>758</v>
      </c>
      <c r="D192" s="36"/>
      <c r="E192" s="22" t="s">
        <v>138</v>
      </c>
      <c r="F192" s="36"/>
      <c r="G192" s="36"/>
      <c r="H192" s="36"/>
      <c r="I192" s="36"/>
      <c r="J192" s="36"/>
    </row>
    <row r="193" customHeight="1" spans="3:5">
      <c r="C193" s="22" t="s">
        <v>759</v>
      </c>
      <c r="E193" s="22" t="s">
        <v>141</v>
      </c>
    </row>
    <row r="194" customHeight="1" spans="3:5">
      <c r="C194" s="39" t="s">
        <v>760</v>
      </c>
      <c r="E194" s="22" t="s">
        <v>240</v>
      </c>
    </row>
    <row r="195" customHeight="1" spans="3:5">
      <c r="C195" s="33" t="s">
        <v>244</v>
      </c>
      <c r="E195" s="40" t="s">
        <v>243</v>
      </c>
    </row>
    <row r="196" customHeight="1" spans="3:5">
      <c r="C196" s="33" t="s">
        <v>247</v>
      </c>
      <c r="E196" s="40" t="s">
        <v>246</v>
      </c>
    </row>
    <row r="197" customHeight="1" spans="3:5">
      <c r="C197" s="33" t="s">
        <v>250</v>
      </c>
      <c r="E197" s="40" t="s">
        <v>249</v>
      </c>
    </row>
    <row r="198" customHeight="1" spans="3:5">
      <c r="C198" s="33" t="s">
        <v>253</v>
      </c>
      <c r="E198" s="40" t="s">
        <v>252</v>
      </c>
    </row>
  </sheetData>
  <autoFilter xmlns:etc="http://www.wps.cn/officeDocument/2017/etCustomData" ref="A1:J198" etc:filterBottomFollowUsedRange="0">
    <extLst/>
  </autoFilter>
  <sortState ref="A2:J535">
    <sortCondition ref="B327:B535"/>
  </sortState>
  <conditionalFormatting sqref="C33">
    <cfRule type="duplicateValues" dxfId="0" priority="14399"/>
  </conditionalFormatting>
  <conditionalFormatting sqref="C75">
    <cfRule type="duplicateValues" dxfId="0" priority="14401"/>
  </conditionalFormatting>
  <conditionalFormatting sqref="C76">
    <cfRule type="duplicateValues" dxfId="0" priority="14403"/>
  </conditionalFormatting>
  <conditionalFormatting sqref="C77">
    <cfRule type="duplicateValues" dxfId="0" priority="14405"/>
  </conditionalFormatting>
  <conditionalFormatting sqref="C78">
    <cfRule type="duplicateValues" dxfId="0" priority="14407"/>
  </conditionalFormatting>
  <conditionalFormatting sqref="C79">
    <cfRule type="duplicateValues" dxfId="0" priority="14409"/>
  </conditionalFormatting>
  <conditionalFormatting sqref="C80">
    <cfRule type="duplicateValues" dxfId="0" priority="14411"/>
  </conditionalFormatting>
  <conditionalFormatting sqref="C81">
    <cfRule type="duplicateValues" dxfId="0" priority="14413"/>
  </conditionalFormatting>
  <conditionalFormatting sqref="C82">
    <cfRule type="duplicateValues" dxfId="0" priority="14415"/>
  </conditionalFormatting>
  <conditionalFormatting sqref="C83">
    <cfRule type="duplicateValues" dxfId="0" priority="14417"/>
  </conditionalFormatting>
  <conditionalFormatting sqref="C84">
    <cfRule type="duplicateValues" dxfId="0" priority="14419"/>
  </conditionalFormatting>
  <conditionalFormatting sqref="C85">
    <cfRule type="duplicateValues" dxfId="0" priority="14421"/>
  </conditionalFormatting>
  <conditionalFormatting sqref="C86">
    <cfRule type="duplicateValues" dxfId="0" priority="14423"/>
  </conditionalFormatting>
  <conditionalFormatting sqref="C87">
    <cfRule type="duplicateValues" dxfId="0" priority="14425"/>
  </conditionalFormatting>
  <conditionalFormatting sqref="C88">
    <cfRule type="duplicateValues" dxfId="0" priority="14427"/>
  </conditionalFormatting>
  <conditionalFormatting sqref="C89">
    <cfRule type="duplicateValues" dxfId="0" priority="14429"/>
  </conditionalFormatting>
  <conditionalFormatting sqref="C90">
    <cfRule type="duplicateValues" dxfId="0" priority="14431"/>
  </conditionalFormatting>
  <conditionalFormatting sqref="C91">
    <cfRule type="duplicateValues" dxfId="0" priority="14433"/>
  </conditionalFormatting>
  <conditionalFormatting sqref="C92">
    <cfRule type="duplicateValues" dxfId="0" priority="14435"/>
  </conditionalFormatting>
  <conditionalFormatting sqref="C93">
    <cfRule type="duplicateValues" dxfId="0" priority="14437"/>
  </conditionalFormatting>
  <conditionalFormatting sqref="C94">
    <cfRule type="duplicateValues" dxfId="0" priority="14439"/>
  </conditionalFormatting>
  <conditionalFormatting sqref="C95">
    <cfRule type="duplicateValues" dxfId="0" priority="14441"/>
  </conditionalFormatting>
  <conditionalFormatting sqref="C101">
    <cfRule type="duplicateValues" dxfId="0" priority="14457"/>
  </conditionalFormatting>
  <conditionalFormatting sqref="C106">
    <cfRule type="duplicateValues" dxfId="0" priority="14467"/>
  </conditionalFormatting>
  <conditionalFormatting sqref="C107">
    <cfRule type="duplicateValues" dxfId="0" priority="14469"/>
  </conditionalFormatting>
  <conditionalFormatting sqref="C108">
    <cfRule type="duplicateValues" dxfId="0" priority="17"/>
    <cfRule type="duplicateValues" dxfId="0" priority="18"/>
  </conditionalFormatting>
  <conditionalFormatting sqref="C109">
    <cfRule type="duplicateValues" dxfId="0" priority="15"/>
    <cfRule type="duplicateValues" dxfId="0" priority="16"/>
  </conditionalFormatting>
  <conditionalFormatting sqref="C110">
    <cfRule type="duplicateValues" dxfId="0" priority="13"/>
    <cfRule type="duplicateValues" dxfId="0" priority="14"/>
  </conditionalFormatting>
  <conditionalFormatting sqref="C111">
    <cfRule type="duplicateValues" dxfId="0" priority="14477"/>
  </conditionalFormatting>
  <conditionalFormatting sqref="C112">
    <cfRule type="duplicateValues" dxfId="0" priority="14479"/>
  </conditionalFormatting>
  <conditionalFormatting sqref="C113">
    <cfRule type="duplicateValues" dxfId="0" priority="14481"/>
  </conditionalFormatting>
  <conditionalFormatting sqref="C114">
    <cfRule type="duplicateValues" dxfId="0" priority="14483"/>
  </conditionalFormatting>
  <conditionalFormatting sqref="C115">
    <cfRule type="duplicateValues" dxfId="0" priority="14485"/>
  </conditionalFormatting>
  <conditionalFormatting sqref="C116">
    <cfRule type="duplicateValues" dxfId="0" priority="14487"/>
  </conditionalFormatting>
  <conditionalFormatting sqref="C117">
    <cfRule type="duplicateValues" dxfId="0" priority="11"/>
    <cfRule type="duplicateValues" dxfId="0" priority="12"/>
  </conditionalFormatting>
  <conditionalFormatting sqref="C118">
    <cfRule type="duplicateValues" dxfId="0" priority="14491"/>
  </conditionalFormatting>
  <conditionalFormatting sqref="C119">
    <cfRule type="duplicateValues" dxfId="0" priority="14493"/>
  </conditionalFormatting>
  <conditionalFormatting sqref="C120">
    <cfRule type="duplicateValues" dxfId="0" priority="10"/>
  </conditionalFormatting>
  <conditionalFormatting sqref="C125">
    <cfRule type="duplicateValues" dxfId="0" priority="14505"/>
  </conditionalFormatting>
  <conditionalFormatting sqref="C126">
    <cfRule type="duplicateValues" dxfId="0" priority="14507"/>
  </conditionalFormatting>
  <conditionalFormatting sqref="C127">
    <cfRule type="duplicateValues" dxfId="0" priority="14509"/>
  </conditionalFormatting>
  <conditionalFormatting sqref="C128">
    <cfRule type="duplicateValues" dxfId="0" priority="7"/>
  </conditionalFormatting>
  <conditionalFormatting sqref="C129">
    <cfRule type="duplicateValues" dxfId="0" priority="14513"/>
  </conditionalFormatting>
  <conditionalFormatting sqref="C130">
    <cfRule type="duplicateValues" dxfId="0" priority="14515"/>
  </conditionalFormatting>
  <conditionalFormatting sqref="C131">
    <cfRule type="duplicateValues" dxfId="0" priority="14517"/>
  </conditionalFormatting>
  <conditionalFormatting sqref="C132">
    <cfRule type="duplicateValues" dxfId="0" priority="14519"/>
  </conditionalFormatting>
  <conditionalFormatting sqref="C133">
    <cfRule type="duplicateValues" dxfId="0" priority="14529"/>
  </conditionalFormatting>
  <conditionalFormatting sqref="C134">
    <cfRule type="duplicateValues" dxfId="0" priority="14531"/>
  </conditionalFormatting>
  <conditionalFormatting sqref="C135">
    <cfRule type="duplicateValues" dxfId="0" priority="14533"/>
  </conditionalFormatting>
  <conditionalFormatting sqref="C136">
    <cfRule type="duplicateValues" dxfId="0" priority="14535"/>
  </conditionalFormatting>
  <conditionalFormatting sqref="C137">
    <cfRule type="duplicateValues" dxfId="0" priority="14537"/>
  </conditionalFormatting>
  <conditionalFormatting sqref="C138">
    <cfRule type="duplicateValues" dxfId="0" priority="14539"/>
  </conditionalFormatting>
  <conditionalFormatting sqref="C139">
    <cfRule type="duplicateValues" dxfId="0" priority="14541"/>
  </conditionalFormatting>
  <conditionalFormatting sqref="C140">
    <cfRule type="duplicateValues" dxfId="0" priority="14543"/>
  </conditionalFormatting>
  <conditionalFormatting sqref="C141">
    <cfRule type="duplicateValues" dxfId="0" priority="14545"/>
  </conditionalFormatting>
  <conditionalFormatting sqref="C142">
    <cfRule type="duplicateValues" dxfId="0" priority="14547"/>
  </conditionalFormatting>
  <conditionalFormatting sqref="C143">
    <cfRule type="duplicateValues" dxfId="0" priority="14549"/>
  </conditionalFormatting>
  <conditionalFormatting sqref="C144">
    <cfRule type="duplicateValues" dxfId="0" priority="14551"/>
  </conditionalFormatting>
  <conditionalFormatting sqref="C145">
    <cfRule type="duplicateValues" dxfId="0" priority="14553"/>
  </conditionalFormatting>
  <conditionalFormatting sqref="C146">
    <cfRule type="duplicateValues" dxfId="0" priority="14555"/>
  </conditionalFormatting>
  <conditionalFormatting sqref="C147">
    <cfRule type="duplicateValues" dxfId="0" priority="14557"/>
  </conditionalFormatting>
  <conditionalFormatting sqref="C148">
    <cfRule type="duplicateValues" dxfId="0" priority="14559"/>
  </conditionalFormatting>
  <conditionalFormatting sqref="C149">
    <cfRule type="duplicateValues" dxfId="0" priority="14561"/>
  </conditionalFormatting>
  <conditionalFormatting sqref="C150">
    <cfRule type="duplicateValues" dxfId="0" priority="14563"/>
  </conditionalFormatting>
  <conditionalFormatting sqref="C151">
    <cfRule type="duplicateValues" dxfId="0" priority="14565"/>
  </conditionalFormatting>
  <conditionalFormatting sqref="C152">
    <cfRule type="duplicateValues" dxfId="0" priority="14567"/>
  </conditionalFormatting>
  <conditionalFormatting sqref="C153">
    <cfRule type="duplicateValues" dxfId="0" priority="14569"/>
  </conditionalFormatting>
  <conditionalFormatting sqref="C154">
    <cfRule type="duplicateValues" dxfId="0" priority="14571"/>
  </conditionalFormatting>
  <conditionalFormatting sqref="C155">
    <cfRule type="duplicateValues" dxfId="0" priority="14573"/>
  </conditionalFormatting>
  <conditionalFormatting sqref="C156">
    <cfRule type="duplicateValues" dxfId="0" priority="14575"/>
  </conditionalFormatting>
  <conditionalFormatting sqref="C157">
    <cfRule type="duplicateValues" dxfId="0" priority="14577"/>
  </conditionalFormatting>
  <conditionalFormatting sqref="C158">
    <cfRule type="duplicateValues" dxfId="0" priority="14579"/>
  </conditionalFormatting>
  <conditionalFormatting sqref="C159">
    <cfRule type="duplicateValues" dxfId="0" priority="14581"/>
  </conditionalFormatting>
  <conditionalFormatting sqref="C160">
    <cfRule type="duplicateValues" dxfId="0" priority="14583"/>
  </conditionalFormatting>
  <conditionalFormatting sqref="C161">
    <cfRule type="duplicateValues" dxfId="0" priority="14585"/>
  </conditionalFormatting>
  <conditionalFormatting sqref="C162">
    <cfRule type="duplicateValues" dxfId="0" priority="14587"/>
  </conditionalFormatting>
  <conditionalFormatting sqref="C163">
    <cfRule type="duplicateValues" dxfId="0" priority="14589"/>
  </conditionalFormatting>
  <conditionalFormatting sqref="C164">
    <cfRule type="duplicateValues" dxfId="0" priority="14591"/>
  </conditionalFormatting>
  <conditionalFormatting sqref="C165">
    <cfRule type="duplicateValues" dxfId="0" priority="14593"/>
  </conditionalFormatting>
  <conditionalFormatting sqref="C166">
    <cfRule type="duplicateValues" dxfId="0" priority="14595"/>
  </conditionalFormatting>
  <conditionalFormatting sqref="C167">
    <cfRule type="duplicateValues" dxfId="0" priority="14597"/>
  </conditionalFormatting>
  <conditionalFormatting sqref="C168">
    <cfRule type="duplicateValues" dxfId="0" priority="14599"/>
  </conditionalFormatting>
  <conditionalFormatting sqref="C169">
    <cfRule type="duplicateValues" dxfId="0" priority="14601"/>
  </conditionalFormatting>
  <conditionalFormatting sqref="C170">
    <cfRule type="duplicateValues" dxfId="0" priority="14603"/>
  </conditionalFormatting>
  <conditionalFormatting sqref="C171">
    <cfRule type="duplicateValues" dxfId="0" priority="14605"/>
  </conditionalFormatting>
  <conditionalFormatting sqref="C195">
    <cfRule type="duplicateValues" dxfId="4" priority="1"/>
  </conditionalFormatting>
  <conditionalFormatting sqref="E195">
    <cfRule type="duplicateValues" dxfId="4" priority="6"/>
  </conditionalFormatting>
  <conditionalFormatting sqref="E197">
    <cfRule type="duplicateValues" dxfId="4" priority="5"/>
  </conditionalFormatting>
  <conditionalFormatting sqref="C96:C98">
    <cfRule type="duplicateValues" dxfId="0" priority="14445"/>
  </conditionalFormatting>
  <conditionalFormatting sqref="C97:C98">
    <cfRule type="duplicateValues" dxfId="4" priority="19"/>
  </conditionalFormatting>
  <conditionalFormatting sqref="C121:C122">
    <cfRule type="duplicateValues" dxfId="0" priority="9"/>
  </conditionalFormatting>
  <conditionalFormatting sqref="C123:C124">
    <cfRule type="duplicateValues" dxfId="0" priority="8"/>
  </conditionalFormatting>
  <conditionalFormatting sqref="E196:E198">
    <cfRule type="duplicateValues" dxfId="4" priority="3"/>
    <cfRule type="duplicateValues" dxfId="4" priority="2"/>
  </conditionalFormatting>
  <conditionalFormatting sqref="C1:C119 C125:C127 C129:C194 C199:C1048576">
    <cfRule type="duplicateValues" dxfId="0" priority="14453"/>
  </conditionalFormatting>
  <conditionalFormatting sqref="C1:C32 C172:C193 C34:C74">
    <cfRule type="duplicateValues" dxfId="0" priority="14689"/>
  </conditionalFormatting>
  <conditionalFormatting sqref="E196 E198">
    <cfRule type="duplicateValues" dxfId="4" priority="4"/>
  </conditionalFormatting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K10"/>
  <sheetViews>
    <sheetView workbookViewId="0">
      <selection activeCell="F933" sqref="F933"/>
    </sheetView>
  </sheetViews>
  <sheetFormatPr defaultColWidth="9" defaultRowHeight="13.5"/>
  <cols>
    <col min="1" max="1" width="12.1083333333333" customWidth="1"/>
    <col min="2" max="2" width="14.775" style="1" customWidth="1"/>
    <col min="3" max="3" width="14.1083333333333" customWidth="1"/>
    <col min="4" max="4" width="25.775" customWidth="1"/>
  </cols>
  <sheetData>
    <row r="1" ht="27.6" customHeight="1" spans="1:11">
      <c r="A1" s="2" t="s">
        <v>761</v>
      </c>
      <c r="B1" s="3" t="s">
        <v>762</v>
      </c>
      <c r="C1" s="4" t="s">
        <v>5</v>
      </c>
      <c r="D1" s="4" t="s">
        <v>6</v>
      </c>
      <c r="E1" s="3" t="s">
        <v>13</v>
      </c>
      <c r="F1" s="5">
        <v>43977</v>
      </c>
      <c r="G1" s="5" t="s">
        <v>763</v>
      </c>
      <c r="H1" s="5">
        <v>43978</v>
      </c>
      <c r="I1" s="5" t="s">
        <v>763</v>
      </c>
      <c r="J1" s="5">
        <v>43979</v>
      </c>
      <c r="K1" s="5" t="s">
        <v>763</v>
      </c>
    </row>
    <row r="2" ht="24" customHeight="1" spans="1:11">
      <c r="A2" s="6" t="s">
        <v>764</v>
      </c>
      <c r="B2" s="7">
        <v>12036504</v>
      </c>
      <c r="C2" s="8" t="s">
        <v>765</v>
      </c>
      <c r="D2" s="8" t="s">
        <v>766</v>
      </c>
      <c r="E2" s="7">
        <v>48</v>
      </c>
      <c r="F2" s="7">
        <v>96</v>
      </c>
      <c r="G2" s="9">
        <v>-48</v>
      </c>
      <c r="H2" s="7">
        <v>96</v>
      </c>
      <c r="I2" s="9">
        <v>-144</v>
      </c>
      <c r="J2" s="7">
        <v>96</v>
      </c>
      <c r="K2" s="9">
        <v>-240</v>
      </c>
    </row>
    <row r="3" ht="24" customHeight="1" spans="1:11">
      <c r="A3" s="10" t="s">
        <v>764</v>
      </c>
      <c r="B3" s="11">
        <v>12036505</v>
      </c>
      <c r="C3" s="12" t="s">
        <v>767</v>
      </c>
      <c r="D3" s="12" t="s">
        <v>768</v>
      </c>
      <c r="E3" s="11">
        <v>840</v>
      </c>
      <c r="F3" s="11">
        <v>28</v>
      </c>
      <c r="G3" s="13">
        <v>812</v>
      </c>
      <c r="H3" s="11">
        <v>28</v>
      </c>
      <c r="I3" s="13">
        <v>784</v>
      </c>
      <c r="J3" s="11">
        <v>28</v>
      </c>
      <c r="K3" s="13">
        <v>756</v>
      </c>
    </row>
    <row r="4" ht="24" customHeight="1" spans="1:11">
      <c r="A4" s="10" t="s">
        <v>764</v>
      </c>
      <c r="B4" s="11">
        <v>12036506</v>
      </c>
      <c r="C4" s="12" t="s">
        <v>769</v>
      </c>
      <c r="D4" s="12" t="s">
        <v>770</v>
      </c>
      <c r="E4" s="11">
        <v>756</v>
      </c>
      <c r="F4" s="11">
        <v>28</v>
      </c>
      <c r="G4" s="13">
        <v>728</v>
      </c>
      <c r="H4" s="11">
        <v>28</v>
      </c>
      <c r="I4" s="13">
        <v>700</v>
      </c>
      <c r="J4" s="11">
        <v>28</v>
      </c>
      <c r="K4" s="13">
        <v>672</v>
      </c>
    </row>
    <row r="5" ht="24" customHeight="1" spans="1:11">
      <c r="A5" s="14" t="s">
        <v>771</v>
      </c>
      <c r="B5" s="15">
        <v>12036502</v>
      </c>
      <c r="C5" s="16" t="s">
        <v>772</v>
      </c>
      <c r="D5" s="16" t="s">
        <v>773</v>
      </c>
      <c r="E5" s="15">
        <v>96</v>
      </c>
      <c r="F5" s="15">
        <v>84</v>
      </c>
      <c r="G5" s="17">
        <v>12</v>
      </c>
      <c r="H5" s="15">
        <v>84</v>
      </c>
      <c r="I5" s="17">
        <v>-72</v>
      </c>
      <c r="J5" s="15">
        <v>84</v>
      </c>
      <c r="K5" s="17">
        <v>-156</v>
      </c>
    </row>
    <row r="6" ht="24" customHeight="1" spans="1:11">
      <c r="A6" s="6" t="s">
        <v>771</v>
      </c>
      <c r="B6" s="7">
        <v>12036503</v>
      </c>
      <c r="C6" s="8" t="s">
        <v>774</v>
      </c>
      <c r="D6" s="8" t="s">
        <v>775</v>
      </c>
      <c r="E6" s="7">
        <v>-25</v>
      </c>
      <c r="F6" s="7">
        <v>84</v>
      </c>
      <c r="G6" s="9">
        <v>-109</v>
      </c>
      <c r="H6" s="7">
        <v>84</v>
      </c>
      <c r="I6" s="9">
        <v>-193</v>
      </c>
      <c r="J6" s="7">
        <v>84</v>
      </c>
      <c r="K6" s="9">
        <v>-277</v>
      </c>
    </row>
    <row r="7" ht="24" customHeight="1" spans="1:11">
      <c r="A7" s="6" t="s">
        <v>771</v>
      </c>
      <c r="B7" s="7">
        <v>12036500</v>
      </c>
      <c r="C7" s="8" t="s">
        <v>776</v>
      </c>
      <c r="D7" s="8" t="s">
        <v>777</v>
      </c>
      <c r="E7" s="7">
        <v>-285</v>
      </c>
      <c r="F7" s="7">
        <v>64</v>
      </c>
      <c r="G7" s="9">
        <v>-349</v>
      </c>
      <c r="H7" s="7">
        <v>64</v>
      </c>
      <c r="I7" s="9">
        <v>-413</v>
      </c>
      <c r="J7" s="7">
        <v>64</v>
      </c>
      <c r="K7" s="9">
        <v>-477</v>
      </c>
    </row>
    <row r="8" ht="24" customHeight="1" spans="1:11">
      <c r="A8" s="6" t="s">
        <v>771</v>
      </c>
      <c r="B8" s="7">
        <v>12036501</v>
      </c>
      <c r="C8" s="8" t="s">
        <v>778</v>
      </c>
      <c r="D8" s="8" t="s">
        <v>779</v>
      </c>
      <c r="E8" s="7">
        <v>-267</v>
      </c>
      <c r="F8" s="7">
        <v>64</v>
      </c>
      <c r="G8" s="9">
        <v>-331</v>
      </c>
      <c r="H8" s="7">
        <v>64</v>
      </c>
      <c r="I8" s="9">
        <v>-395</v>
      </c>
      <c r="J8" s="7">
        <v>64</v>
      </c>
      <c r="K8" s="9">
        <v>-459</v>
      </c>
    </row>
    <row r="9" ht="24" customHeight="1" spans="1:11">
      <c r="A9" s="10" t="s">
        <v>780</v>
      </c>
      <c r="B9" s="11">
        <v>11988184</v>
      </c>
      <c r="C9" s="12" t="s">
        <v>781</v>
      </c>
      <c r="D9" s="12" t="s">
        <v>782</v>
      </c>
      <c r="E9" s="11">
        <v>595</v>
      </c>
      <c r="F9" s="11">
        <v>72</v>
      </c>
      <c r="G9" s="13">
        <v>523</v>
      </c>
      <c r="H9" s="11">
        <v>72</v>
      </c>
      <c r="I9" s="13">
        <v>451</v>
      </c>
      <c r="J9" s="11">
        <v>72</v>
      </c>
      <c r="K9" s="13">
        <v>379</v>
      </c>
    </row>
    <row r="10" ht="24" customHeight="1" spans="1:11">
      <c r="A10" s="10" t="s">
        <v>780</v>
      </c>
      <c r="B10" s="11">
        <v>11988185</v>
      </c>
      <c r="C10" s="12" t="s">
        <v>783</v>
      </c>
      <c r="D10" s="12" t="s">
        <v>784</v>
      </c>
      <c r="E10" s="11">
        <v>596</v>
      </c>
      <c r="F10" s="11">
        <v>72</v>
      </c>
      <c r="G10" s="13">
        <v>524</v>
      </c>
      <c r="H10" s="11">
        <v>72</v>
      </c>
      <c r="I10" s="13">
        <v>452</v>
      </c>
      <c r="J10" s="11">
        <v>72</v>
      </c>
      <c r="K10" s="13">
        <v>380</v>
      </c>
    </row>
  </sheetData>
  <conditionalFormatting sqref="G2:G10">
    <cfRule type="cellIs" dxfId="5" priority="3" operator="greaterThan">
      <formula>0</formula>
    </cfRule>
    <cfRule type="cellIs" dxfId="6" priority="4" operator="lessThanOrEqual">
      <formula>0</formula>
    </cfRule>
  </conditionalFormatting>
  <conditionalFormatting sqref="I2:I10">
    <cfRule type="cellIs" dxfId="5" priority="1" operator="greaterThan">
      <formula>0</formula>
    </cfRule>
    <cfRule type="cellIs" dxfId="6" priority="2" operator="lessThanOrEqual">
      <formula>0</formula>
    </cfRule>
  </conditionalFormatting>
  <conditionalFormatting sqref="K2:K10">
    <cfRule type="cellIs" dxfId="5" priority="5" operator="greaterThan">
      <formula>0</formula>
    </cfRule>
    <cfRule type="cellIs" dxfId="6" priority="6" operator="lessThanOrEqual">
      <formula>0</formula>
    </cfRule>
  </conditionalFormatting>
  <pageMargins left="0.699912516150888" right="0.699912516150888" top="0.74990626395218" bottom="0.74990626395218" header="0.299962510274151" footer="0.29996251027415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日报</vt:lpstr>
      <vt:lpstr>样品</vt:lpstr>
      <vt:lpstr>合格品入货记录</vt:lpstr>
      <vt:lpstr>合格品出库记录</vt:lpstr>
      <vt:lpstr>售后配件</vt:lpstr>
      <vt:lpstr>不良品库存</vt:lpstr>
      <vt:lpstr>预警</vt:lpstr>
      <vt:lpstr>基础信息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xxk</cp:lastModifiedBy>
  <cp:revision>0</cp:revision>
  <dcterms:created xsi:type="dcterms:W3CDTF">2006-09-13T11:21:00Z</dcterms:created>
  <cp:lastPrinted>2022-04-02T09:22:00Z</cp:lastPrinted>
  <dcterms:modified xsi:type="dcterms:W3CDTF">2026-05-16T10:08:58Z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AC9F94272D38474B99C044B79D2AFEBE_13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</Properties>
</file>