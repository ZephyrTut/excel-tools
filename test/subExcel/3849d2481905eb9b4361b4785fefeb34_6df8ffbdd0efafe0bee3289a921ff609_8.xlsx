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72" activeTab="2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0" hidden="1">日报!$A$1:$CC$36</definedName>
    <definedName name="_xlnm._FilterDatabase" localSheetId="1" hidden="1">合格品入货记录!$A$1:$K$97</definedName>
    <definedName name="_xlnm._FilterDatabase" localSheetId="2" hidden="1">合格品出库记录!$A$1:$XFC$102</definedName>
    <definedName name="_xlnm._FilterDatabase" localSheetId="6" hidden="1">基础数据!$A$2:$I$33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<sst xmlns="http://schemas.openxmlformats.org/spreadsheetml/2006/main" count="629" uniqueCount="101">
  <si>
    <t>注：“可用结存”列中红色数据代表库存量过低;</t>
  </si>
  <si>
    <t>入库</t>
  </si>
  <si>
    <t>出库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</si>
  <si>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</si>
  <si>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</si>
  <si>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</si>
  <si>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</si>
  <si>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</si>
  <si>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</si>
  <si>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</si>
  <si>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</si>
  <si>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</si>
  <si>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</si>
  <si>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</si>
  <si>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</si>
  <si>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</si>
  <si>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</si>
  <si>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</si>
  <si>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</si>
  <si>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</si>
  <si>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</si>
  <si>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</si>
  <si>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LX00148-CCS总成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</si>
  <si>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</si>
  <si>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</si>
  <si>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</si>
  <si>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</si>
  <si>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</si>
  <si>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</si>
  <si>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</si>
  <si>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</si>
  <si>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</si>
  <si>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1AZ</t>
  </si>
  <si>
    <t>芜湖博康机电股份有限公司</t>
  </si>
  <si>
    <t>3.1.02.30.00776</t>
  </si>
  <si>
    <t>昌 玉</t>
  </si>
  <si>
    <t>3.2.50.30.02391-000</t>
  </si>
  <si>
    <t>3.2.50.30.02392-000</t>
  </si>
  <si>
    <t>3.2.50.30.02364-000</t>
  </si>
  <si>
    <t>3.2.50.30.02365-000</t>
  </si>
  <si>
    <t>3.2.50.30.02366-000</t>
  </si>
  <si>
    <t>3.2.50.30.02363-000</t>
  </si>
  <si>
    <t>3.2.50.30.02116-000</t>
  </si>
  <si>
    <t>3.2.50.30.02118-000</t>
  </si>
  <si>
    <t>3.2.50.30.00806-000</t>
  </si>
  <si>
    <t>3.2.50.30.01736-000</t>
  </si>
  <si>
    <t>3.2.50.30.00808-000</t>
  </si>
  <si>
    <t>3.2.50.30.00842-000</t>
  </si>
  <si>
    <t>3.2.50.30.00927-000</t>
  </si>
  <si>
    <t>3.2.50.30.00596-000</t>
  </si>
  <si>
    <t>3.2.50.30.01786-000</t>
  </si>
  <si>
    <t>3.2.50.30.01787-000</t>
  </si>
  <si>
    <t>3.2.50.30.01886-000</t>
  </si>
  <si>
    <t>3.2.50.30.02282-000</t>
  </si>
  <si>
    <t>3.2.50.30.02283-000</t>
  </si>
  <si>
    <t>3.2.50.30.01532-000</t>
  </si>
  <si>
    <t>3.2.50.30.01757-000</t>
  </si>
  <si>
    <t>3.2.50.30.01758-000</t>
  </si>
  <si>
    <t>发货日期</t>
  </si>
  <si>
    <t>装箱单号</t>
  </si>
  <si>
    <t>发货数量</t>
  </si>
  <si>
    <t>日期</t>
  </si>
  <si>
    <t>零件号/空盛具</t>
  </si>
  <si>
    <t>退货数量</t>
  </si>
  <si>
    <t>发货人</t>
  </si>
  <si>
    <t>单号</t>
  </si>
  <si>
    <t>备注2</t>
  </si>
  <si>
    <t>3.2.50.30.01130-000</t>
  </si>
  <si>
    <t>A12-高压支路连接线束-400</t>
  </si>
  <si>
    <t>交付地点</t>
  </si>
  <si>
    <t>A12-高压支路连接线束-500</t>
  </si>
  <si>
    <t>料盒</t>
  </si>
  <si>
    <t>电池</t>
  </si>
  <si>
    <t>A12-外部通讯连接线束</t>
  </si>
  <si>
    <t>A12EV10-预充电阻连接线束</t>
  </si>
  <si>
    <t>A12-预充电阻连接线束1</t>
  </si>
  <si>
    <t>A12-菊花链线束</t>
  </si>
  <si>
    <t>A12EV10-通讯-水温-互锁集成线束-500</t>
  </si>
  <si>
    <t>A12EV10-BDU-采样集成线束</t>
  </si>
  <si>
    <t>CTC_高压插座线束</t>
  </si>
  <si>
    <t>3.2.50.30.01656-000</t>
  </si>
  <si>
    <t>LXC11EV1A-水温-互锁集成线束</t>
  </si>
  <si>
    <t>3.2.50.30.01657-000</t>
  </si>
  <si>
    <t>LXC11EV1A-高压支路线束</t>
  </si>
  <si>
    <t>3.2.50.30.01661-000</t>
  </si>
  <si>
    <t>LXC11EV1A-BDU内部线束</t>
  </si>
  <si>
    <t>3.2.50.30.01625-000</t>
  </si>
  <si>
    <t>LXC11EV1A-快充高压插座线束</t>
  </si>
  <si>
    <t>3.2.50.30.01626-000</t>
  </si>
  <si>
    <t>LXC11EV1A-电机口高压插座线束</t>
  </si>
  <si>
    <t>纸箱</t>
  </si>
  <si>
    <t>A03HW67.1-通讯集成线束</t>
  </si>
  <si>
    <t>A03HW67.1-采样集成线束</t>
  </si>
  <si>
    <t>3.2.50.30.01784-000</t>
  </si>
  <si>
    <t>A03HW56.2-通讯集成线束</t>
  </si>
  <si>
    <t>3.2.50.30.01785-000</t>
  </si>
  <si>
    <t>A03HW56.2-采样集成线束</t>
  </si>
  <si>
    <t>LXCU13E01-分流器线束</t>
  </si>
  <si>
    <t>LXBU1101-BDU集成线束-60.8</t>
  </si>
  <si>
    <t>LXBU1101-通讯集成线束-60.8</t>
  </si>
  <si>
    <t>线束总成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</si>
</sst>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5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2"/>
      <color rgb="FF000000"/>
      <name val="宋体"/>
      <charset val="134"/>
    </font>
    <font>
      <sz val="11"/>
      <color rgb="FF161C24"/>
      <name val="微软雅黑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微软雅黑"/>
      <charset val="134"/>
    </font>
    <font>
      <sz val="12"/>
      <name val="宋体"/>
      <charset val="134"/>
    </font>
    <font>
      <sz val="12"/>
      <name val="黑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sz val="12"/>
      <color indexed="8"/>
      <name val="宋体"/>
      <charset val="134"/>
      <scheme val="minor"/>
    </font>
    <font>
      <sz val="14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4"/>
      <color rgb="FF000000"/>
      <name val="宋体"/>
      <charset val="134"/>
      <scheme val="major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4"/>
      <name val="微软雅黑"/>
      <charset val="134"/>
    </font>
    <font>
      <sz val="12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8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12" applyNumberFormat="0" applyAlignment="0" applyProtection="0">
      <alignment vertical="center"/>
    </xf>
    <xf numFmtId="0" fontId="38" fillId="10" borderId="13" applyNumberFormat="0" applyAlignment="0" applyProtection="0">
      <alignment vertical="center"/>
    </xf>
    <xf numFmtId="0" fontId="39" fillId="10" borderId="12" applyNumberFormat="0" applyAlignment="0" applyProtection="0">
      <alignment vertical="center"/>
    </xf>
    <xf numFmtId="0" fontId="40" fillId="11" borderId="14" applyNumberFormat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48" fillId="50" borderId="0" applyProtection="0">
      <alignment vertical="center"/>
    </xf>
    <xf numFmtId="0" fontId="48" fillId="51" borderId="0" applyProtection="0">
      <alignment vertical="center"/>
    </xf>
    <xf numFmtId="0" fontId="48" fillId="52" borderId="0" applyProtection="0">
      <alignment vertical="center"/>
    </xf>
    <xf numFmtId="0" fontId="48" fillId="53" borderId="0" applyProtection="0">
      <alignment vertical="center"/>
    </xf>
    <xf numFmtId="0" fontId="48" fillId="54" borderId="0" applyProtection="0">
      <alignment vertical="center"/>
    </xf>
    <xf numFmtId="0" fontId="48" fillId="55" borderId="0" applyProtection="0">
      <alignment vertical="center"/>
    </xf>
    <xf numFmtId="0" fontId="49" fillId="0" borderId="0"/>
    <xf numFmtId="0" fontId="50" fillId="0" borderId="17" applyProtection="0">
      <alignment vertical="center"/>
    </xf>
    <xf numFmtId="0" fontId="51" fillId="0" borderId="18" applyProtection="0">
      <alignment vertical="center"/>
    </xf>
    <xf numFmtId="0" fontId="52" fillId="0" borderId="19" applyProtection="0">
      <alignment vertical="center"/>
    </xf>
    <xf numFmtId="0" fontId="53" fillId="0" borderId="0" applyProtection="0">
      <alignment vertical="center"/>
    </xf>
    <xf numFmtId="0" fontId="49" fillId="0" borderId="0" applyProtection="0"/>
    <xf numFmtId="0" fontId="12" fillId="0" borderId="0"/>
    <xf numFmtId="0" fontId="54" fillId="0" borderId="0"/>
    <xf numFmtId="0" fontId="28" fillId="0" borderId="0">
      <alignment vertical="center"/>
    </xf>
    <xf numFmtId="0" fontId="0" fillId="0" borderId="0"/>
    <xf numFmtId="0" fontId="48" fillId="56" borderId="0" applyProtection="0">
      <alignment vertical="center"/>
    </xf>
    <xf numFmtId="0" fontId="48" fillId="57" borderId="0" applyProtection="0">
      <alignment vertical="center"/>
    </xf>
    <xf numFmtId="0" fontId="48" fillId="58" borderId="0" applyProtection="0">
      <alignment vertical="center"/>
    </xf>
    <xf numFmtId="0" fontId="48" fillId="59" borderId="0" applyProtection="0">
      <alignment vertical="center"/>
    </xf>
    <xf numFmtId="0" fontId="48" fillId="60" borderId="0" applyProtection="0">
      <alignment vertical="center"/>
    </xf>
    <xf numFmtId="0" fontId="48" fillId="61" borderId="0" applyProtection="0">
      <alignment vertical="center"/>
    </xf>
  </cellStyleXfs>
  <cellXfs count="9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8" fillId="3" borderId="2" xfId="0" applyNumberFormat="1" applyFont="1" applyFill="1" applyBorder="1" applyAlignment="1" applyProtection="1">
      <alignment horizontal="center" vertical="center"/>
      <protection locked="0"/>
    </xf>
    <xf numFmtId="177" fontId="8" fillId="3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 applyProtection="1">
      <alignment horizontal="center" vertical="center"/>
      <protection locked="0"/>
    </xf>
    <xf numFmtId="14" fontId="13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7" borderId="0" xfId="0" applyNumberFormat="1" applyFont="1" applyFill="1" applyBorder="1" applyAlignment="1">
      <alignment horizontal="center" vertical="center"/>
    </xf>
    <xf numFmtId="0" fontId="12" fillId="4" borderId="0" xfId="0" applyNumberFormat="1" applyFont="1" applyFill="1" applyBorder="1" applyAlignment="1">
      <alignment horizontal="center" vertical="center"/>
    </xf>
    <xf numFmtId="21" fontId="12" fillId="4" borderId="0" xfId="0" applyNumberFormat="1" applyFont="1" applyFill="1" applyBorder="1" applyAlignment="1">
      <alignment horizontal="center" vertical="center"/>
    </xf>
    <xf numFmtId="0" fontId="15" fillId="4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 vertical="center"/>
    </xf>
    <xf numFmtId="0" fontId="17" fillId="7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9" fillId="7" borderId="1" xfId="0" applyNumberFormat="1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0" fontId="18" fillId="7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8" fontId="20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 applyProtection="1">
      <alignment horizontal="center" vertical="center" wrapText="1"/>
      <protection hidden="1"/>
    </xf>
    <xf numFmtId="14" fontId="12" fillId="0" borderId="1" xfId="0" applyNumberFormat="1" applyFont="1" applyFill="1" applyBorder="1" applyAlignment="1">
      <alignment horizontal="center" vertical="center"/>
    </xf>
    <xf numFmtId="178" fontId="14" fillId="7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0" fillId="0" borderId="1" xfId="0" applyFont="1" applyFill="1" applyBorder="1" applyAlignment="1" applyProtection="1">
      <alignment horizontal="center" vertical="center" wrapText="1"/>
      <protection hidden="1"/>
    </xf>
    <xf numFmtId="0" fontId="10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 applyProtection="1">
      <alignment horizontal="center" vertical="center" wrapText="1"/>
      <protection hidden="1"/>
    </xf>
    <xf numFmtId="0" fontId="10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  <protection hidden="1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853511154515"/>
        </patternFill>
      </fill>
    </dxf>
    <dxf>
      <fill>
        <patternFill patternType="solid">
          <bgColor rgb="FFFF9900"/>
        </patternFill>
      </fill>
    </dxf>
    <dxf>
      <fill>
        <gradientFill degree="90">
          <stop position="0">
            <color theme="4" tint="0.899807733390301"/>
          </stop>
          <stop position="1">
            <color rgb="FFFFEBEF"/>
          </stop>
        </gradientFill>
      </fill>
    </dxf>
    <dxf>
      <fill>
        <gradientFill>
          <stop position="0">
            <color theme="4" tint="0.899807733390301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807733390301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3825189977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3825189977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82909634693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82909634693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70233718-8E18-4ACB-A130-BFEB267A230F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9665458D-86B0-4D03-AF26-E7C874A29D3F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36"/>
  <sheetViews>
    <sheetView showGridLines="0" zoomScale="70" zoomScaleNormal="70" workbookViewId="0">
      <pane xSplit="1" ySplit="3" topLeftCell="B10" activePane="bottomRight" state="frozen"/>
      <selection/>
      <selection pane="topRight"/>
      <selection pane="bottomLeft"/>
      <selection pane="bottomRight" activeCell="Q17" sqref="Q17"/>
    </sheetView>
  </sheetViews>
  <sheetFormatPr defaultColWidth="9" defaultRowHeight="18" customHeight="1"/>
  <cols>
    <col min="1" max="1" width="7.22222222222222" style="2" customWidth="1"/>
    <col min="2" max="2" width="9.55555555555556" style="2" customWidth="1"/>
    <col min="3" max="3" width="36.8888888888889" style="2" customWidth="1"/>
    <col min="4" max="4" width="8.11111111111111" style="2" customWidth="1"/>
    <col min="5" max="5" width="24.4444444444444" style="2" customWidth="1"/>
    <col min="6" max="6" width="41.8888888888889" style="2" customWidth="1"/>
    <col min="7" max="7" width="10.4444444444444" style="2" customWidth="1"/>
    <col min="8" max="10" width="10" style="2" customWidth="1"/>
    <col min="11" max="11" width="8.33333333333333" style="2" customWidth="1"/>
    <col min="12" max="12" width="8.66666666666667" style="2" customWidth="1"/>
    <col min="13" max="15" width="10" style="2" customWidth="1"/>
    <col min="16" max="16" width="11.3333333333333" style="2" customWidth="1"/>
    <col min="17" max="17" width="10" style="2" customWidth="1"/>
    <col min="18" max="18" width="6.33333333333333" style="2" customWidth="1"/>
    <col min="19" max="19" width="10" style="2" customWidth="1"/>
    <col min="20" max="28" width="11.2222222222222" style="2" customWidth="1"/>
    <col min="29" max="50" width="12.3333333333333" style="2" customWidth="1"/>
    <col min="51" max="59" width="11.2222222222222" style="2" customWidth="1"/>
    <col min="60" max="78" width="12.3333333333333" style="2" customWidth="1"/>
    <col min="79" max="79" width="12.6666666666667" customWidth="1"/>
    <col min="80" max="80" width="14.1111111111111" customWidth="1"/>
    <col min="81" max="81" width="16" customWidth="1"/>
  </cols>
  <sheetData>
    <row r="1" s="75" customFormat="1" ht="55.95" customHeight="1" spans="1:81">
      <c r="A1" s="78">
        <v>46143</v>
      </c>
      <c r="B1" s="78"/>
      <c r="C1" s="78"/>
      <c r="D1" s="78"/>
      <c r="E1" s="78"/>
      <c r="F1" s="79" t="s">
        <v>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 t="s">
        <v>1</v>
      </c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 t="s">
        <v>2</v>
      </c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="76" customFormat="1" ht="22.5" customHeight="1" spans="1:81">
      <c r="A2" s="4" t="s">
        <v>3</v>
      </c>
      <c r="B2" s="4" t="s">
        <v>4</v>
      </c>
      <c r="C2" s="4" t="s">
        <v>5</v>
      </c>
      <c r="D2" s="5" t="s">
        <v>6</v>
      </c>
      <c r="E2" s="4" t="s">
        <v>7</v>
      </c>
      <c r="F2" s="6" t="s">
        <v>8</v>
      </c>
      <c r="G2" s="6" t="s">
        <v>9</v>
      </c>
      <c r="H2" s="5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81" t="s">
        <v>1</v>
      </c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3"/>
      <c r="AY2" s="84" t="s">
        <v>2</v>
      </c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</row>
    <row r="3" s="76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86">
        <v>46143</v>
      </c>
      <c r="U3" s="86">
        <f>T3+1</f>
        <v>46144</v>
      </c>
      <c r="V3" s="86">
        <f t="shared" ref="V3:AX3" si="0">U3+1</f>
        <v>46145</v>
      </c>
      <c r="W3" s="86">
        <f t="shared" si="0"/>
        <v>46146</v>
      </c>
      <c r="X3" s="86">
        <f t="shared" si="0"/>
        <v>46147</v>
      </c>
      <c r="Y3" s="86">
        <f t="shared" si="0"/>
        <v>46148</v>
      </c>
      <c r="Z3" s="86">
        <f t="shared" si="0"/>
        <v>46149</v>
      </c>
      <c r="AA3" s="86">
        <f t="shared" si="0"/>
        <v>46150</v>
      </c>
      <c r="AB3" s="86">
        <f t="shared" si="0"/>
        <v>46151</v>
      </c>
      <c r="AC3" s="86">
        <f t="shared" si="0"/>
        <v>46152</v>
      </c>
      <c r="AD3" s="86">
        <f t="shared" si="0"/>
        <v>46153</v>
      </c>
      <c r="AE3" s="86">
        <f t="shared" si="0"/>
        <v>46154</v>
      </c>
      <c r="AF3" s="86">
        <f t="shared" si="0"/>
        <v>46155</v>
      </c>
      <c r="AG3" s="86">
        <f t="shared" si="0"/>
        <v>46156</v>
      </c>
      <c r="AH3" s="86">
        <f t="shared" si="0"/>
        <v>46157</v>
      </c>
      <c r="AI3" s="86">
        <f t="shared" si="0"/>
        <v>46158</v>
      </c>
      <c r="AJ3" s="86">
        <f t="shared" si="0"/>
        <v>46159</v>
      </c>
      <c r="AK3" s="86">
        <f t="shared" si="0"/>
        <v>46160</v>
      </c>
      <c r="AL3" s="86">
        <f t="shared" si="0"/>
        <v>46161</v>
      </c>
      <c r="AM3" s="86">
        <f t="shared" si="0"/>
        <v>46162</v>
      </c>
      <c r="AN3" s="86">
        <f t="shared" si="0"/>
        <v>46163</v>
      </c>
      <c r="AO3" s="86">
        <f t="shared" si="0"/>
        <v>46164</v>
      </c>
      <c r="AP3" s="86">
        <f t="shared" si="0"/>
        <v>46165</v>
      </c>
      <c r="AQ3" s="86">
        <f t="shared" si="0"/>
        <v>46166</v>
      </c>
      <c r="AR3" s="86">
        <f t="shared" si="0"/>
        <v>46167</v>
      </c>
      <c r="AS3" s="86">
        <f t="shared" si="0"/>
        <v>46168</v>
      </c>
      <c r="AT3" s="86">
        <f t="shared" si="0"/>
        <v>46169</v>
      </c>
      <c r="AU3" s="86">
        <f t="shared" si="0"/>
        <v>46170</v>
      </c>
      <c r="AV3" s="86">
        <f t="shared" si="0"/>
        <v>46171</v>
      </c>
      <c r="AW3" s="86">
        <f t="shared" si="0"/>
        <v>46172</v>
      </c>
      <c r="AX3" s="86">
        <f t="shared" si="0"/>
        <v>46173</v>
      </c>
      <c r="AY3" s="86">
        <v>46143</v>
      </c>
      <c r="AZ3" s="86">
        <f>AY3+1</f>
        <v>46144</v>
      </c>
      <c r="BA3" s="86">
        <f t="shared" ref="BA3:CC3" si="1">AZ3+1</f>
        <v>46145</v>
      </c>
      <c r="BB3" s="86">
        <f t="shared" si="1"/>
        <v>46146</v>
      </c>
      <c r="BC3" s="86">
        <f t="shared" si="1"/>
        <v>46147</v>
      </c>
      <c r="BD3" s="86">
        <f t="shared" si="1"/>
        <v>46148</v>
      </c>
      <c r="BE3" s="86">
        <f t="shared" si="1"/>
        <v>46149</v>
      </c>
      <c r="BF3" s="86">
        <f t="shared" si="1"/>
        <v>46150</v>
      </c>
      <c r="BG3" s="86">
        <f t="shared" si="1"/>
        <v>46151</v>
      </c>
      <c r="BH3" s="86">
        <f t="shared" si="1"/>
        <v>46152</v>
      </c>
      <c r="BI3" s="86">
        <f t="shared" si="1"/>
        <v>46153</v>
      </c>
      <c r="BJ3" s="86">
        <f t="shared" si="1"/>
        <v>46154</v>
      </c>
      <c r="BK3" s="86">
        <f t="shared" si="1"/>
        <v>46155</v>
      </c>
      <c r="BL3" s="86">
        <f t="shared" si="1"/>
        <v>46156</v>
      </c>
      <c r="BM3" s="86">
        <f t="shared" si="1"/>
        <v>46157</v>
      </c>
      <c r="BN3" s="86">
        <f t="shared" si="1"/>
        <v>46158</v>
      </c>
      <c r="BO3" s="86">
        <f t="shared" si="1"/>
        <v>46159</v>
      </c>
      <c r="BP3" s="86">
        <f t="shared" si="1"/>
        <v>46160</v>
      </c>
      <c r="BQ3" s="86">
        <f t="shared" si="1"/>
        <v>46161</v>
      </c>
      <c r="BR3" s="86">
        <f t="shared" si="1"/>
        <v>46162</v>
      </c>
      <c r="BS3" s="86">
        <f t="shared" si="1"/>
        <v>46163</v>
      </c>
      <c r="BT3" s="86">
        <f t="shared" si="1"/>
        <v>46164</v>
      </c>
      <c r="BU3" s="86">
        <f t="shared" si="1"/>
        <v>46165</v>
      </c>
      <c r="BV3" s="86">
        <f t="shared" si="1"/>
        <v>46166</v>
      </c>
      <c r="BW3" s="86">
        <f t="shared" si="1"/>
        <v>46167</v>
      </c>
      <c r="BX3" s="86">
        <f t="shared" si="1"/>
        <v>46168</v>
      </c>
      <c r="BY3" s="86">
        <f t="shared" si="1"/>
        <v>46169</v>
      </c>
      <c r="BZ3" s="86">
        <f t="shared" si="1"/>
        <v>46170</v>
      </c>
      <c r="CA3" s="86">
        <f t="shared" si="1"/>
        <v>46171</v>
      </c>
      <c r="CB3" s="86">
        <f t="shared" si="1"/>
        <v>46172</v>
      </c>
      <c r="CC3" s="86">
        <f t="shared" si="1"/>
        <v>46173</v>
      </c>
    </row>
    <row r="4" s="77" customFormat="1" ht="25.05" customHeight="1" spans="1:81">
      <c r="A4" s="87">
        <f>ROW()-3</f>
        <v>1</v>
      </c>
      <c r="B4" s="88" t="str">
        <f>IFERROR(VLOOKUP(基础数据!B3,基础数据!B:B,1,0),"")</f>
        <v>1AZ</v>
      </c>
      <c r="C4" s="89" t="str">
        <f>IFERROR(VLOOKUP(基础数据!C3,基础数据!C:C,1,0),"")</f>
        <v>芜湖博康机电股份有限公司</v>
      </c>
      <c r="D4" s="89"/>
      <c r="E4" s="90" t="str">
        <f>IFERROR(VLOOKUP(基础数据!E3,基础数据!E:E,1,0),"")</f>
        <v>3.2.50.30.00806-000</v>
      </c>
      <c r="F4" s="91" t="str">
        <f>IFERROR(VLOOKUP(基础数据!F3,基础数据!F:F,1,0),"")</f>
        <v>A12-高压支路连接线束-500</v>
      </c>
      <c r="G4" s="87">
        <f>IFERROR(VLOOKUP(基础数据!G3,基础数据!G:G,1,0),"")</f>
        <v>20</v>
      </c>
      <c r="H4" s="33" t="str">
        <f>IFERROR(VLOOKUP(基础数据!H3,基础数据!H:H,1,0),"")</f>
        <v>料盒</v>
      </c>
      <c r="I4" s="87">
        <v>4560</v>
      </c>
      <c r="J4" s="87">
        <v>0</v>
      </c>
      <c r="K4" s="87">
        <f>SUMIF(合格品入货记录!E:E,日报!E4,合格品入货记录!G:G)</f>
        <v>3000</v>
      </c>
      <c r="L4" s="87">
        <f>SUMIF(合格品出库记录!E:E,日报!E4,合格品出库记录!G:G)</f>
        <v>5260</v>
      </c>
      <c r="M4" s="87">
        <f>SUMIF(零跑退回!D:D,日报!E:E,零跑退回!F:F)</f>
        <v>0</v>
      </c>
      <c r="N4" s="87">
        <f>SUMIF(库内不良!D:D,E:E,库内不良!F:F)</f>
        <v>0</v>
      </c>
      <c r="O4" s="87">
        <f>SUMIF(退回供应商!D:D,日报!E:E,退回供应商!F:F)</f>
        <v>0</v>
      </c>
      <c r="P4" s="87">
        <f>J4+M4+N4-O4</f>
        <v>0</v>
      </c>
      <c r="Q4" s="88">
        <f>I4+K4-L4-N4</f>
        <v>2300</v>
      </c>
      <c r="R4" s="87"/>
      <c r="S4" s="87"/>
      <c r="T4" s="8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87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8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8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8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87">
        <f>IF(SUMIFS(合格品入货记录!$G:$G,合格品入货记录!$E:$E,日报!$E:$E,合格品入货记录!$A:$A,日报!Y$3)&lt;&gt;0,SUMIFS(合格品入货记录!$G:$G,合格品入货记录!$E:$E,日报!$E:$E,合格品入货记录!$A:$A,日报!Y$3),"")</f>
        <v>700</v>
      </c>
      <c r="Z4" s="8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8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87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8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87">
        <f>IF(SUMIFS(合格品入货记录!$G:$G,合格品入货记录!$E:$E,日报!$E:$E,合格品入货记录!$A:$A,日报!AD$3)&lt;&gt;0,SUMIFS(合格品入货记录!$G:$G,合格品入货记录!$E:$E,日报!$E:$E,合格品入货记录!$A:$A,日报!AD$3),"")</f>
        <v>2300</v>
      </c>
      <c r="AE4" s="8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87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8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8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8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8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8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8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8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8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8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8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8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8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8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8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8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87"/>
      <c r="AW4" s="87"/>
      <c r="AX4" s="87"/>
      <c r="AY4" s="8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8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87">
        <f>IF(SUMIFS(合格品出库记录!$G:$G,合格品出库记录!$E:$E,日报!$E:$E,合格品出库记录!$A:$A,日报!BA$3)&lt;&gt;0,SUMIFS(合格品出库记录!$G:$G,合格品出库记录!$E:$E,日报!$E:$E,合格品出库记录!$A:$A,日报!BA$3),"")</f>
        <v>1000</v>
      </c>
      <c r="BB4" s="8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87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1500</v>
      </c>
      <c r="BD4" s="87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87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87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87">
        <f>IF(SUMIFS(合格品出库记录!$G:$G,合格品出库记录!$E:$E,日报!$E:$E,合格品出库记录!$A:$A,日报!BG$3)&lt;&gt;0,SUMIFS(合格品出库记录!$G:$G,合格品出库记录!$E:$E,日报!$E:$E,合格品出库记录!$A:$A,日报!BG$3),"")</f>
        <v>2760</v>
      </c>
      <c r="BH4" s="87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87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87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87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8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8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8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8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8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8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8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8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8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8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8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8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8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8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5" s="77" customFormat="1" ht="25.05" customHeight="1" spans="1:81">
      <c r="A5" s="87">
        <f t="shared" ref="A5:A14" si="2">ROW()-3</f>
        <v>2</v>
      </c>
      <c r="B5" s="88" t="str">
        <f>IFERROR(VLOOKUP(基础数据!B4,基础数据!B:B,1,0),"")</f>
        <v>1AZ</v>
      </c>
      <c r="C5" s="89" t="str">
        <f>IFERROR(VLOOKUP(基础数据!C4,基础数据!C:C,1,0),"")</f>
        <v>芜湖博康机电股份有限公司</v>
      </c>
      <c r="D5" s="89"/>
      <c r="E5" s="90" t="str">
        <f>IFERROR(VLOOKUP(基础数据!E4,基础数据!E:E,1,0),"")</f>
        <v>3.2.50.30.00927-000</v>
      </c>
      <c r="F5" s="91" t="str">
        <f>IFERROR(VLOOKUP(基础数据!F4,基础数据!F:F,1,0),"")</f>
        <v>A12-外部通讯连接线束</v>
      </c>
      <c r="G5" s="87">
        <f>IFERROR(VLOOKUP(基础数据!G4,基础数据!G:G,1,0),"")</f>
        <v>100</v>
      </c>
      <c r="H5" s="33" t="str">
        <f>IFERROR(VLOOKUP(基础数据!H4,基础数据!H:H,1,0),"")</f>
        <v>料盒</v>
      </c>
      <c r="I5" s="87">
        <v>1500</v>
      </c>
      <c r="J5" s="87">
        <v>0</v>
      </c>
      <c r="K5" s="87">
        <f>SUMIF(合格品入货记录!E:E,日报!E5,合格品入货记录!G:G)</f>
        <v>3000</v>
      </c>
      <c r="L5" s="87">
        <f>SUMIF(合格品出库记录!E:E,日报!E5,合格品出库记录!G:G)</f>
        <v>4500</v>
      </c>
      <c r="M5" s="87">
        <f>SUMIF(零跑退回!D:D,日报!E:E,零跑退回!F:F)</f>
        <v>0</v>
      </c>
      <c r="N5" s="87">
        <f>SUMIF(库内不良!D:D,E:E,库内不良!F:F)</f>
        <v>0</v>
      </c>
      <c r="O5" s="87">
        <f>SUMIF(退回供应商!D:D,日报!E:E,退回供应商!F:F)</f>
        <v>0</v>
      </c>
      <c r="P5" s="87">
        <f>J5+M5+N5-O5</f>
        <v>0</v>
      </c>
      <c r="Q5" s="88">
        <f t="shared" ref="Q5:Q11" si="3">I5+K5-L5-N5</f>
        <v>0</v>
      </c>
      <c r="R5" s="87"/>
      <c r="S5" s="87"/>
      <c r="T5" s="8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87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8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8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8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87">
        <f>IF(SUMIFS(合格品入货记录!$G:$G,合格品入货记录!$E:$E,日报!$E:$E,合格品入货记录!$A:$A,日报!Y$3)&lt;&gt;0,SUMIFS(合格品入货记录!$G:$G,合格品入货记录!$E:$E,日报!$E:$E,合格品入货记录!$A:$A,日报!Y$3),"")</f>
        <v>1500</v>
      </c>
      <c r="Z5" s="8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" s="8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87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" s="8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" s="87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1500</v>
      </c>
      <c r="AE5" s="8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87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" s="8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8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8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8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8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8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8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8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8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8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8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8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8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8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8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87"/>
      <c r="AW5" s="87"/>
      <c r="AX5" s="87"/>
      <c r="AY5" s="8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8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8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8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87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87">
        <f>IF(SUMIFS(合格品出库记录!$G:$G,合格品出库记录!$E:$E,日报!$E:$E,合格品出库记录!$A:$A,日报!BD$3)&lt;&gt;0,SUMIFS(合格品出库记录!$G:$G,合格品出库记录!$E:$E,日报!$E:$E,合格品出库记录!$A:$A,日报!BD$3),"")</f>
        <v>1500</v>
      </c>
      <c r="BE5" s="87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" s="87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1500</v>
      </c>
      <c r="BG5" s="87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" s="87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87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1500</v>
      </c>
      <c r="BJ5" s="87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87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8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8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8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8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8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8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8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8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8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8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8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8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8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8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6" s="77" customFormat="1" ht="25.05" customHeight="1" spans="1:81">
      <c r="A6" s="87">
        <f t="shared" si="2"/>
        <v>3</v>
      </c>
      <c r="B6" s="88" t="str">
        <f>IFERROR(VLOOKUP(基础数据!B5,基础数据!B:B,1,0),"")</f>
        <v>1AZ</v>
      </c>
      <c r="C6" s="89" t="str">
        <f>IFERROR(VLOOKUP(基础数据!C5,基础数据!C:C,1,0),"")</f>
        <v>芜湖博康机电股份有限公司</v>
      </c>
      <c r="D6" s="89"/>
      <c r="E6" s="90" t="str">
        <f>IFERROR(VLOOKUP(基础数据!E5,基础数据!E:E,1,0),"")</f>
        <v>3.2.50.30.01736-000</v>
      </c>
      <c r="F6" s="91" t="str">
        <f>IFERROR(VLOOKUP(基础数据!F5,基础数据!F:F,1,0),"")</f>
        <v>A12EV10-预充电阻连接线束</v>
      </c>
      <c r="G6" s="87">
        <f>IFERROR(VLOOKUP(基础数据!G5,基础数据!G:G,1,0),"")</f>
        <v>100</v>
      </c>
      <c r="H6" s="33" t="str">
        <f>IFERROR(VLOOKUP(基础数据!H5,基础数据!H:H,1,0),"")</f>
        <v>料盒</v>
      </c>
      <c r="I6" s="87">
        <v>1500</v>
      </c>
      <c r="J6" s="87">
        <v>0</v>
      </c>
      <c r="K6" s="87">
        <f>SUMIF(合格品入货记录!E:E,日报!E6,合格品入货记录!G:G)</f>
        <v>3000</v>
      </c>
      <c r="L6" s="87">
        <f>SUMIF(合格品出库记录!E:E,日报!E6,合格品出库记录!G:G)</f>
        <v>4500</v>
      </c>
      <c r="M6" s="87">
        <f>SUMIF(零跑退回!D:D,日报!E:E,零跑退回!F:F)</f>
        <v>0</v>
      </c>
      <c r="N6" s="87">
        <f>SUMIF(库内不良!D:D,E:E,库内不良!F:F)</f>
        <v>0</v>
      </c>
      <c r="O6" s="87">
        <f>SUMIF(退回供应商!D:D,日报!E:E,退回供应商!F:F)</f>
        <v>0</v>
      </c>
      <c r="P6" s="87">
        <f>J6+M6+N6-O6</f>
        <v>0</v>
      </c>
      <c r="Q6" s="88">
        <f t="shared" si="3"/>
        <v>0</v>
      </c>
      <c r="R6" s="87"/>
      <c r="S6" s="87"/>
      <c r="T6" s="8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" s="87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" s="8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" s="8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8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" s="87">
        <f>IF(SUMIFS(合格品入货记录!$G:$G,合格品入货记录!$E:$E,日报!$E:$E,合格品入货记录!$A:$A,日报!Y$3)&lt;&gt;0,SUMIFS(合格品入货记录!$G:$G,合格品入货记录!$E:$E,日报!$E:$E,合格品入货记录!$A:$A,日报!Y$3),"")</f>
        <v>1500</v>
      </c>
      <c r="Z6" s="8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8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87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8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" s="87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1500</v>
      </c>
      <c r="AE6" s="8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87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" s="8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8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8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8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8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8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8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8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8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8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8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8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8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8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8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87"/>
      <c r="AW6" s="87"/>
      <c r="AX6" s="87"/>
      <c r="AY6" s="8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" s="8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8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8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" s="87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87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87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87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1500</v>
      </c>
      <c r="BG6" s="87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87">
        <f>IF(SUMIFS(合格品出库记录!$G:$G,合格品出库记录!$E:$E,日报!$E:$E,合格品出库记录!$A:$A,日报!BH$3)&lt;&gt;0,SUMIFS(合格品出库记录!$G:$G,合格品出库记录!$E:$E,日报!$E:$E,合格品出库记录!$A:$A,日报!BH$3),"")</f>
        <v>1500</v>
      </c>
      <c r="BI6" s="87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1500</v>
      </c>
      <c r="BJ6" s="87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87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8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8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8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8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8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8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8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8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8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8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8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8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8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8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7" s="77" customFormat="1" ht="25.05" customHeight="1" spans="1:81">
      <c r="A7" s="87">
        <f t="shared" si="2"/>
        <v>4</v>
      </c>
      <c r="B7" s="88" t="str">
        <f>IFERROR(VLOOKUP(基础数据!B6,基础数据!B:B,1,0),"")</f>
        <v>1AZ</v>
      </c>
      <c r="C7" s="89" t="str">
        <f>IFERROR(VLOOKUP(基础数据!C6,基础数据!C:C,1,0),"")</f>
        <v>芜湖博康机电股份有限公司</v>
      </c>
      <c r="D7" s="87"/>
      <c r="E7" s="90" t="str">
        <f>IFERROR(VLOOKUP(基础数据!E6,基础数据!E:E,1,0),"")</f>
        <v>3.2.50.30.00808-000</v>
      </c>
      <c r="F7" s="91" t="str">
        <f>IFERROR(VLOOKUP(基础数据!F6,基础数据!F:F,1,0),"")</f>
        <v>A12-预充电阻连接线束1</v>
      </c>
      <c r="G7" s="87">
        <f>IFERROR(VLOOKUP(基础数据!G6,基础数据!G:G,1,0),"")</f>
        <v>1500</v>
      </c>
      <c r="H7" s="33" t="str">
        <f>IFERROR(VLOOKUP(基础数据!H6,基础数据!H:H,1,0),"")</f>
        <v>料盒</v>
      </c>
      <c r="I7" s="87">
        <v>0</v>
      </c>
      <c r="J7" s="87">
        <v>0</v>
      </c>
      <c r="K7" s="87">
        <f>SUMIF(合格品入货记录!E:E,日报!E7,合格品入货记录!G:G)</f>
        <v>4500</v>
      </c>
      <c r="L7" s="87">
        <f>SUMIF(合格品出库记录!E:E,日报!E7,合格品出库记录!G:G)</f>
        <v>4500</v>
      </c>
      <c r="M7" s="87">
        <f>SUMIF(零跑退回!D:D,日报!E:E,零跑退回!F:F)</f>
        <v>0</v>
      </c>
      <c r="N7" s="87">
        <f>SUMIF(库内不良!D:D,E:E,库内不良!F:F)</f>
        <v>0</v>
      </c>
      <c r="O7" s="87">
        <f>SUMIF(退回供应商!D:D,日报!E:E,退回供应商!F:F)</f>
        <v>0</v>
      </c>
      <c r="P7" s="87">
        <f>J7+M7+N7-O7</f>
        <v>0</v>
      </c>
      <c r="Q7" s="88">
        <f t="shared" si="3"/>
        <v>0</v>
      </c>
      <c r="R7" s="87"/>
      <c r="S7" s="87"/>
      <c r="T7" s="8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" s="87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" s="8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" s="8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" s="8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" s="87">
        <f>IF(SUMIFS(合格品入货记录!$G:$G,合格品入货记录!$E:$E,日报!$E:$E,合格品入货记录!$A:$A,日报!Y$3)&lt;&gt;0,SUMIFS(合格品入货记录!$G:$G,合格品入货记录!$E:$E,日报!$E:$E,合格品入货记录!$A:$A,日报!Y$3),"")</f>
        <v>3000</v>
      </c>
      <c r="Z7" s="8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" s="8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" s="87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" s="8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" s="87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1500</v>
      </c>
      <c r="AE7" s="8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" s="87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" s="8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" s="8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" s="8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" s="8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" s="8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" s="8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" s="8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" s="8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" s="8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" s="8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" s="8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" s="8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" s="8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" s="8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" s="8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7" s="87"/>
      <c r="AW7" s="87"/>
      <c r="AX7" s="87"/>
      <c r="AY7" s="8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" s="8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" s="8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" s="8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" s="87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" s="87">
        <f>IF(SUMIFS(合格品出库记录!$G:$G,合格品出库记录!$E:$E,日报!$E:$E,合格品出库记录!$A:$A,日报!BD$3)&lt;&gt;0,SUMIFS(合格品出库记录!$G:$G,合格品出库记录!$E:$E,日报!$E:$E,合格品出库记录!$A:$A,日报!BD$3),"")</f>
        <v>3000</v>
      </c>
      <c r="BE7" s="87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" s="87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" s="87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" s="87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" s="87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1500</v>
      </c>
      <c r="BJ7" s="87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" s="87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" s="8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" s="8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" s="8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" s="8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" s="8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" s="8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" s="8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" s="8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" s="8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" s="8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" s="8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" s="8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" s="8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" s="8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7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7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7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7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8" ht="25.05" customHeight="1" spans="1:81">
      <c r="A8" s="87">
        <f t="shared" si="2"/>
        <v>5</v>
      </c>
      <c r="B8" s="88" t="str">
        <f>IFERROR(VLOOKUP(基础数据!B7,基础数据!B:B,1,0),"")</f>
        <v>1AZ</v>
      </c>
      <c r="C8" s="89" t="str">
        <f>IFERROR(VLOOKUP(基础数据!C7,基础数据!C:C,1,0),"")</f>
        <v>芜湖博康机电股份有限公司</v>
      </c>
      <c r="D8" s="92"/>
      <c r="E8" s="90" t="str">
        <f>IFERROR(VLOOKUP(基础数据!E7,基础数据!E:E,1,0),"")</f>
        <v>3.2.50.30.00842-000</v>
      </c>
      <c r="F8" s="91" t="str">
        <f>IFERROR(VLOOKUP(基础数据!F7,基础数据!F:F,1,0),"")</f>
        <v>A12-菊花链线束</v>
      </c>
      <c r="G8" s="87">
        <v>1500</v>
      </c>
      <c r="H8" s="33" t="str">
        <f>IFERROR(VLOOKUP(基础数据!H7,基础数据!H:H,1,0),"")</f>
        <v>料盒</v>
      </c>
      <c r="I8" s="87">
        <v>4500</v>
      </c>
      <c r="J8" s="87">
        <v>0</v>
      </c>
      <c r="K8" s="93">
        <f>SUMIF(合格品入货记录!E:E,日报!E8,合格品入货记录!G:G)</f>
        <v>9000</v>
      </c>
      <c r="L8" s="93">
        <f>SUMIF(合格品出库记录!E:E,日报!E8,合格品出库记录!G:G)</f>
        <v>13500</v>
      </c>
      <c r="M8" s="87">
        <f>SUMIF(零跑退回!D:D,日报!E:E,零跑退回!F:F)</f>
        <v>0</v>
      </c>
      <c r="N8" s="87">
        <f>SUMIF(库内不良!D:D,E:E,库内不良!F:F)</f>
        <v>0</v>
      </c>
      <c r="O8" s="87">
        <f>SUMIF(退回供应商!D:D,日报!E:E,退回供应商!F:F)</f>
        <v>0</v>
      </c>
      <c r="P8" s="87">
        <f>J8+M8+N8-O8</f>
        <v>0</v>
      </c>
      <c r="Q8" s="88">
        <f t="shared" si="3"/>
        <v>0</v>
      </c>
      <c r="R8" s="93"/>
      <c r="S8" s="93"/>
      <c r="T8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4500</v>
      </c>
      <c r="Z8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8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" s="93">
        <f>IF(SUMIFS(合格品入货记录!$G:$G,合格品入货记录!$E:$E,日报!$E:$E,合格品入货记录!$A:$A,日报!AD$3)&lt;&gt;0,SUMIFS(合格品入货记录!$G:$G,合格品入货记录!$E:$E,日报!$E:$E,合格品入货记录!$A:$A,日报!AD$3),"")</f>
        <v>4500</v>
      </c>
      <c r="AE8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8" s="93"/>
      <c r="AW8" s="93"/>
      <c r="AX8" s="93"/>
      <c r="AY8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" s="93">
        <f>IF(SUMIFS(合格品出库记录!$G:$G,合格品出库记录!$E:$E,日报!$E:$E,合格品出库记录!$A:$A,日报!AZ$3)&lt;&gt;0,SUMIFS(合格品出库记录!$G:$G,合格品出库记录!$E:$E,日报!$E:$E,合格品出库记录!$A:$A,日报!AZ$3),"")</f>
        <v>4500</v>
      </c>
      <c r="BA8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8" s="93">
        <f>IF(SUMIFS(合格品出库记录!$G:$G,合格品出库记录!$E:$E,日报!$E:$E,合格品出库记录!$A:$A,日报!BD$3)&lt;&gt;0,SUMIFS(合格品出库记录!$G:$G,合格品出库记录!$E:$E,日报!$E:$E,合格品出库记录!$A:$A,日报!BD$3),"")</f>
        <v>4500</v>
      </c>
      <c r="BE8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" s="93">
        <f>IF(SUMIFS(合格品出库记录!$G:$G,合格品出库记录!$E:$E,日报!$E:$E,合格品出库记录!$A:$A,日报!BI$3)&lt;&gt;0,SUMIFS(合格品出库记录!$G:$G,合格品出库记录!$E:$E,日报!$E:$E,合格品出库记录!$A:$A,日报!BI$3),"")</f>
        <v>4500</v>
      </c>
      <c r="BJ8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8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8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8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8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9" ht="25.05" customHeight="1" spans="1:81">
      <c r="A9" s="87">
        <f t="shared" si="2"/>
        <v>6</v>
      </c>
      <c r="B9" s="88" t="str">
        <f>IFERROR(VLOOKUP(基础数据!B8,基础数据!B:B,1,0),"")</f>
        <v>1AZ</v>
      </c>
      <c r="C9" s="89" t="str">
        <f>IFERROR(VLOOKUP(基础数据!C8,基础数据!C:C,1,0),"")</f>
        <v>芜湖博康机电股份有限公司</v>
      </c>
      <c r="D9" s="19"/>
      <c r="E9" s="90" t="str">
        <f>IFERROR(VLOOKUP(基础数据!E8,基础数据!E:E,1,0),"")</f>
        <v>3.2.50.30.02116-000</v>
      </c>
      <c r="F9" s="91" t="str">
        <f>IFERROR(VLOOKUP(基础数据!F8,基础数据!F:F,1,0),"")</f>
        <v>A12EV10-通讯-水温-互锁集成线束-500</v>
      </c>
      <c r="G9" s="87">
        <f>IFERROR(VLOOKUP(基础数据!G8,基础数据!G:G,1,0),"")</f>
        <v>30</v>
      </c>
      <c r="H9" s="33" t="str">
        <f>IFERROR(VLOOKUP(基础数据!H8,基础数据!H:H,1,0),"")</f>
        <v>料盒</v>
      </c>
      <c r="I9" s="87">
        <v>2520</v>
      </c>
      <c r="J9" s="87">
        <v>0</v>
      </c>
      <c r="K9" s="93">
        <f>SUMIF(合格品入货记录!E:E,日报!E9,合格品入货记录!G:G)</f>
        <v>1500</v>
      </c>
      <c r="L9" s="93">
        <f>SUMIF(合格品出库记录!E:E,日报!E9,合格品出库记录!G:G)</f>
        <v>4020</v>
      </c>
      <c r="M9" s="87">
        <f>SUMIF(零跑退回!D:D,日报!E:E,零跑退回!F:F)</f>
        <v>0</v>
      </c>
      <c r="N9" s="87">
        <f>SUMIF(库内不良!D:D,E:E,库内不良!F:F)</f>
        <v>0</v>
      </c>
      <c r="O9" s="87">
        <f>SUMIF(退回供应商!D:D,日报!E:E,退回供应商!F:F)</f>
        <v>0</v>
      </c>
      <c r="P9" s="87">
        <f t="shared" ref="P9:P36" si="4">J9+M9+N9-O9</f>
        <v>0</v>
      </c>
      <c r="Q9" s="88">
        <f t="shared" si="3"/>
        <v>0</v>
      </c>
      <c r="R9" s="93"/>
      <c r="S9" s="93"/>
      <c r="T9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9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9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9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9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9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1500</v>
      </c>
      <c r="Z9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9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9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9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9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9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9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9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9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9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9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9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9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9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9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9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9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9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9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9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9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9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9" s="93"/>
      <c r="AW9" s="93"/>
      <c r="AX9" s="93"/>
      <c r="AY9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9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9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9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9" s="93">
        <f>IF(SUMIFS(合格品出库记录!$G:$G,合格品出库记录!$E:$E,日报!$E:$E,合格品出库记录!$A:$A,日报!BC$3)&lt;&gt;0,SUMIFS(合格品出库记录!$G:$G,合格品出库记录!$E:$E,日报!$E:$E,合格品出库记录!$A:$A,日报!BC$3),"")</f>
        <v>2520</v>
      </c>
      <c r="BD9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9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9" s="93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1500</v>
      </c>
      <c r="BG9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9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9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9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9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9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9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9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9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9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9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9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9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9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9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9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9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9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9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9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9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9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9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0" ht="25.05" customHeight="1" spans="1:81">
      <c r="A10" s="87">
        <f t="shared" si="2"/>
        <v>7</v>
      </c>
      <c r="B10" s="88" t="str">
        <f>IFERROR(VLOOKUP(基础数据!B9,基础数据!B:B,1,0),"")</f>
        <v>1AZ</v>
      </c>
      <c r="C10" s="89" t="str">
        <f>IFERROR(VLOOKUP(基础数据!C9,基础数据!C:C,1,0),"")</f>
        <v>芜湖博康机电股份有限公司</v>
      </c>
      <c r="D10" s="19"/>
      <c r="E10" s="90" t="str">
        <f>IFERROR(VLOOKUP(基础数据!E9,基础数据!E:E,1,0),"")</f>
        <v>3.2.50.30.02118-000</v>
      </c>
      <c r="F10" s="91" t="str">
        <f>IFERROR(VLOOKUP(基础数据!F9,基础数据!F:F,1,0),"")</f>
        <v>A12EV10-BDU-采样集成线束</v>
      </c>
      <c r="G10" s="87">
        <f>IFERROR(VLOOKUP(基础数据!G9,基础数据!G:G,1,0),"")</f>
        <v>50</v>
      </c>
      <c r="H10" s="33" t="str">
        <f>IFERROR(VLOOKUP(基础数据!H9,基础数据!H:H,1,0),"")</f>
        <v>料盒</v>
      </c>
      <c r="I10" s="87">
        <v>1500</v>
      </c>
      <c r="J10" s="87">
        <v>0</v>
      </c>
      <c r="K10" s="93">
        <f>SUMIF(合格品入货记录!E:E,日报!E10,合格品入货记录!G:G)</f>
        <v>3000</v>
      </c>
      <c r="L10" s="93">
        <f>SUMIF(合格品出库记录!E:E,日报!E10,合格品出库记录!G:G)</f>
        <v>4500</v>
      </c>
      <c r="M10" s="87">
        <f>SUMIF(零跑退回!D:D,日报!E:E,零跑退回!F:F)</f>
        <v>0</v>
      </c>
      <c r="N10" s="87">
        <f>SUMIF(库内不良!D:D,E:E,库内不良!F:F)</f>
        <v>0</v>
      </c>
      <c r="O10" s="87">
        <f>SUMIF(退回供应商!D:D,日报!E:E,退回供应商!F:F)</f>
        <v>0</v>
      </c>
      <c r="P10" s="87">
        <f t="shared" si="4"/>
        <v>0</v>
      </c>
      <c r="Q10" s="88">
        <f t="shared" si="3"/>
        <v>0</v>
      </c>
      <c r="R10" s="93"/>
      <c r="S10" s="93"/>
      <c r="T10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0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0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0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0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0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1500</v>
      </c>
      <c r="Z10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0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0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0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0" s="93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1500</v>
      </c>
      <c r="AE10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0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0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0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0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0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0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0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0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0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0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0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0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0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0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0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0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0" s="93"/>
      <c r="AW10" s="93"/>
      <c r="AX10" s="93"/>
      <c r="AY10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0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0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0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0" s="93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1500</v>
      </c>
      <c r="BD10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0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0" s="93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1500</v>
      </c>
      <c r="BG10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0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0" s="93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1500</v>
      </c>
      <c r="BJ10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0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0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0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0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0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0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0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0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0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0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0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0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0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0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0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0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0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0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0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1" ht="25.05" customHeight="1" spans="1:81">
      <c r="A11" s="87">
        <f t="shared" si="2"/>
        <v>8</v>
      </c>
      <c r="B11" s="88" t="str">
        <f>IFERROR(VLOOKUP(基础数据!B10,基础数据!B:B,1,0),"")</f>
        <v>1AZ</v>
      </c>
      <c r="C11" s="89" t="str">
        <f>IFERROR(VLOOKUP(基础数据!C10,基础数据!C:C,1,0),"")</f>
        <v>芜湖博康机电股份有限公司</v>
      </c>
      <c r="D11" s="19"/>
      <c r="E11" s="90" t="str">
        <f>IFERROR(VLOOKUP(基础数据!E10,基础数据!E:E,1,0),"")</f>
        <v>3.2.50.30.00596-000</v>
      </c>
      <c r="F11" s="91" t="str">
        <f>IFERROR(VLOOKUP(基础数据!F10,基础数据!F:F,1,0),"")</f>
        <v>CTC_高压插座线束</v>
      </c>
      <c r="G11" s="87">
        <f>IFERROR(VLOOKUP(基础数据!G10,基础数据!G:G,1,0),"")</f>
        <v>70</v>
      </c>
      <c r="H11" s="33" t="str">
        <f>IFERROR(VLOOKUP(基础数据!H10,基础数据!H:H,1,0),"")</f>
        <v>料盒</v>
      </c>
      <c r="I11" s="87">
        <v>1190</v>
      </c>
      <c r="J11" s="87">
        <v>0</v>
      </c>
      <c r="K11" s="93">
        <f>SUMIF(合格品入货记录!E:E,日报!E11,合格品入货记录!G:G)</f>
        <v>1400</v>
      </c>
      <c r="L11" s="93">
        <f>SUMIF(合格品出库记录!E:E,日报!E11,合格品出库记录!G:G)</f>
        <v>0</v>
      </c>
      <c r="M11" s="87">
        <f>SUMIF(零跑退回!D:D,日报!E:E,零跑退回!F:F)</f>
        <v>0</v>
      </c>
      <c r="N11" s="87">
        <f>SUMIF(库内不良!D:D,E:E,库内不良!F:F)</f>
        <v>0</v>
      </c>
      <c r="O11" s="87">
        <f>SUMIF(退回供应商!D:D,日报!E:E,退回供应商!F:F)</f>
        <v>0</v>
      </c>
      <c r="P11" s="87">
        <f t="shared" si="4"/>
        <v>0</v>
      </c>
      <c r="Q11" s="88">
        <f t="shared" si="3"/>
        <v>2590</v>
      </c>
      <c r="R11" s="93"/>
      <c r="S11" s="93"/>
      <c r="T11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1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1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1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1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1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1400</v>
      </c>
      <c r="Z11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1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1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1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1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1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1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1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1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1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1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1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1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1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1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1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1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1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1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1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1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1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1" s="93"/>
      <c r="AW11" s="93"/>
      <c r="AX11" s="93"/>
      <c r="AY11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1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1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1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1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1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1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1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1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1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1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1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1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1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1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1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1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1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1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1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1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1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1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1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1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1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1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1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1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1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1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2" ht="25.05" customHeight="1" spans="1:81">
      <c r="A12" s="87">
        <f t="shared" si="2"/>
        <v>9</v>
      </c>
      <c r="B12" s="88" t="str">
        <f>IFERROR(VLOOKUP(基础数据!B11,基础数据!B:B,1,0),"")</f>
        <v>1AZ</v>
      </c>
      <c r="C12" s="89" t="str">
        <f>IFERROR(VLOOKUP(基础数据!C11,基础数据!C:C,1,0),"")</f>
        <v>芜湖博康机电股份有限公司</v>
      </c>
      <c r="D12" s="19"/>
      <c r="E12" s="90" t="str">
        <f>IFERROR(VLOOKUP(基础数据!E11,基础数据!E:E,1,0),"")</f>
        <v>3.2.50.30.01656-000</v>
      </c>
      <c r="F12" s="91" t="str">
        <f>IFERROR(VLOOKUP(基础数据!F11,基础数据!F:F,1,0),"")</f>
        <v>LXC11EV1A-水温-互锁集成线束</v>
      </c>
      <c r="G12" s="87">
        <f>IFERROR(VLOOKUP(基础数据!G11,基础数据!G:G,1,0),"")</f>
        <v>15</v>
      </c>
      <c r="H12" s="33" t="str">
        <f>IFERROR(VLOOKUP(基础数据!H11,基础数据!H:H,1,0),"")</f>
        <v>料盒</v>
      </c>
      <c r="I12" s="87">
        <v>0</v>
      </c>
      <c r="J12" s="87">
        <v>0</v>
      </c>
      <c r="K12" s="93">
        <f>SUMIF(合格品入货记录!E:E,日报!E12,合格品入货记录!G:G)</f>
        <v>0</v>
      </c>
      <c r="L12" s="93">
        <f>SUMIF(合格品出库记录!E:E,日报!E12,合格品出库记录!G:G)</f>
        <v>0</v>
      </c>
      <c r="M12" s="87">
        <f>SUMIF(零跑退回!D:D,日报!E:E,零跑退回!F:F)</f>
        <v>0</v>
      </c>
      <c r="N12" s="87">
        <f>SUMIF(库内不良!D:D,E:E,库内不良!F:F)</f>
        <v>0</v>
      </c>
      <c r="O12" s="87">
        <f>SUMIF(退回供应商!D:D,日报!E:E,退回供应商!F:F)</f>
        <v>0</v>
      </c>
      <c r="P12" s="87">
        <f t="shared" si="4"/>
        <v>0</v>
      </c>
      <c r="Q12" s="88">
        <f t="shared" ref="Q9:Q36" si="5">I12+K12-L12-N12</f>
        <v>0</v>
      </c>
      <c r="R12" s="93"/>
      <c r="S12" s="93"/>
      <c r="T12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2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2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2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2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2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2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2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2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2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2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2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2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2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2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2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2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2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2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2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2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2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2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2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2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2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2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2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2" s="93"/>
      <c r="AW12" s="93"/>
      <c r="AX12" s="93"/>
      <c r="AY12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2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2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2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2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2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2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2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2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2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2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2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2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2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2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2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2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2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2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2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2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2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2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2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2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2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2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2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2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2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2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3" ht="25.05" customHeight="1" spans="1:81">
      <c r="A13" s="87">
        <f t="shared" si="2"/>
        <v>10</v>
      </c>
      <c r="B13" s="88" t="str">
        <f>IFERROR(VLOOKUP(基础数据!B12,基础数据!B:B,1,0),"")</f>
        <v>1AZ</v>
      </c>
      <c r="C13" s="89" t="str">
        <f>IFERROR(VLOOKUP(基础数据!C12,基础数据!C:C,1,0),"")</f>
        <v>芜湖博康机电股份有限公司</v>
      </c>
      <c r="D13" s="19"/>
      <c r="E13" s="90" t="str">
        <f>IFERROR(VLOOKUP(基础数据!E12,基础数据!E:E,1,0),"")</f>
        <v>3.2.50.30.01657-000</v>
      </c>
      <c r="F13" s="91" t="str">
        <f>IFERROR(VLOOKUP(基础数据!F12,基础数据!F:F,1,0),"")</f>
        <v>LXC11EV1A-高压支路线束</v>
      </c>
      <c r="G13" s="87">
        <f>IFERROR(VLOOKUP(基础数据!G12,基础数据!G:G,1,0),"")</f>
        <v>20</v>
      </c>
      <c r="H13" s="33" t="str">
        <f>IFERROR(VLOOKUP(基础数据!H12,基础数据!H:H,1,0),"")</f>
        <v>料盒</v>
      </c>
      <c r="I13" s="87">
        <v>0</v>
      </c>
      <c r="J13" s="87">
        <v>0</v>
      </c>
      <c r="K13" s="93">
        <f>SUMIF(合格品入货记录!E:E,日报!E13,合格品入货记录!G:G)</f>
        <v>0</v>
      </c>
      <c r="L13" s="93">
        <f>SUMIF(合格品出库记录!E:E,日报!E13,合格品出库记录!G:G)</f>
        <v>0</v>
      </c>
      <c r="M13" s="87">
        <f>SUMIF(零跑退回!D:D,日报!E:E,零跑退回!F:F)</f>
        <v>0</v>
      </c>
      <c r="N13" s="87">
        <f>SUMIF(库内不良!D:D,E:E,库内不良!F:F)</f>
        <v>0</v>
      </c>
      <c r="O13" s="87">
        <f>SUMIF(退回供应商!D:D,日报!E:E,退回供应商!F:F)</f>
        <v>0</v>
      </c>
      <c r="P13" s="87">
        <f t="shared" si="4"/>
        <v>0</v>
      </c>
      <c r="Q13" s="88">
        <f t="shared" si="5"/>
        <v>0</v>
      </c>
      <c r="R13" s="93"/>
      <c r="S13" s="93"/>
      <c r="T13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3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3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3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3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3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3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3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3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3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3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3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3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3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3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3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3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3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3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3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3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3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3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3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3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3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3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3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3" s="93"/>
      <c r="AW13" s="93"/>
      <c r="AX13" s="93"/>
      <c r="AY13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3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3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3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3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3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3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3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3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3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3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3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3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3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3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3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3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3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3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3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3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3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3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3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3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3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3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3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3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3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3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4" ht="25.05" customHeight="1" spans="1:81">
      <c r="A14" s="87">
        <f t="shared" si="2"/>
        <v>11</v>
      </c>
      <c r="B14" s="88" t="str">
        <f>IFERROR(VLOOKUP(基础数据!B13,基础数据!B:B,1,0),"")</f>
        <v>1AZ</v>
      </c>
      <c r="C14" s="89" t="str">
        <f>IFERROR(VLOOKUP(基础数据!C13,基础数据!C:C,1,0),"")</f>
        <v>芜湖博康机电股份有限公司</v>
      </c>
      <c r="D14" s="19"/>
      <c r="E14" s="90" t="str">
        <f>IFERROR(VLOOKUP(基础数据!E13,基础数据!E:E,1,0),"")</f>
        <v>3.2.50.30.01661-000</v>
      </c>
      <c r="F14" s="91" t="str">
        <f>IFERROR(VLOOKUP(基础数据!F13,基础数据!F:F,1,0),"")</f>
        <v>LXC11EV1A-BDU内部线束</v>
      </c>
      <c r="G14" s="87">
        <f>IFERROR(VLOOKUP(基础数据!G13,基础数据!G:G,1,0),"")</f>
        <v>50</v>
      </c>
      <c r="H14" s="33" t="str">
        <f>IFERROR(VLOOKUP(基础数据!H13,基础数据!H:H,1,0),"")</f>
        <v>料盒</v>
      </c>
      <c r="I14" s="87">
        <v>0</v>
      </c>
      <c r="J14" s="87">
        <v>0</v>
      </c>
      <c r="K14" s="93">
        <f>SUMIF(合格品入货记录!E:E,日报!E14,合格品入货记录!G:G)</f>
        <v>0</v>
      </c>
      <c r="L14" s="93">
        <f>SUMIF(合格品出库记录!E:E,日报!E14,合格品出库记录!G:G)</f>
        <v>0</v>
      </c>
      <c r="M14" s="87">
        <f>SUMIF(零跑退回!D:D,日报!E:E,零跑退回!F:F)</f>
        <v>0</v>
      </c>
      <c r="N14" s="87">
        <f>SUMIF(库内不良!D:D,E:E,库内不良!F:F)</f>
        <v>0</v>
      </c>
      <c r="O14" s="87">
        <f>SUMIF(退回供应商!D:D,日报!E:E,退回供应商!F:F)</f>
        <v>0</v>
      </c>
      <c r="P14" s="87">
        <f t="shared" si="4"/>
        <v>0</v>
      </c>
      <c r="Q14" s="88">
        <f t="shared" si="5"/>
        <v>0</v>
      </c>
      <c r="R14" s="93"/>
      <c r="S14" s="93"/>
      <c r="T14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4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4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4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4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4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4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4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4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4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4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4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4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4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4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4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4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4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4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4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4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4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4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4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4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4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4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4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4" s="93"/>
      <c r="AW14" s="93"/>
      <c r="AX14" s="93"/>
      <c r="AY14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4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4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4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4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4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4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4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4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4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4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4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4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4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4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4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4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4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4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4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4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4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4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4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4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4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4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4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4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4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4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5" ht="25.05" customHeight="1" spans="1:81">
      <c r="A15" s="87">
        <f t="shared" ref="A15:A36" si="6">ROW()-3</f>
        <v>12</v>
      </c>
      <c r="B15" s="88" t="str">
        <f>IFERROR(VLOOKUP(基础数据!B14,基础数据!B:B,1,0),"")</f>
        <v>1AZ</v>
      </c>
      <c r="C15" s="89" t="str">
        <f>IFERROR(VLOOKUP(基础数据!C14,基础数据!C:C,1,0),"")</f>
        <v>芜湖博康机电股份有限公司</v>
      </c>
      <c r="D15" s="19"/>
      <c r="E15" s="90" t="str">
        <f>IFERROR(VLOOKUP(基础数据!E14,基础数据!E:E,1,0),"")</f>
        <v>3.2.50.30.01625-000</v>
      </c>
      <c r="F15" s="91" t="str">
        <f>IFERROR(VLOOKUP(基础数据!F14,基础数据!F:F,1,0),"")</f>
        <v>LXC11EV1A-快充高压插座线束</v>
      </c>
      <c r="G15" s="87">
        <f>IFERROR(VLOOKUP(基础数据!G14,基础数据!G:G,1,0),"")</f>
        <v>48</v>
      </c>
      <c r="H15" s="33" t="str">
        <f>IFERROR(VLOOKUP(基础数据!H14,基础数据!H:H,1,0),"")</f>
        <v>料盒</v>
      </c>
      <c r="I15" s="87">
        <v>0</v>
      </c>
      <c r="J15" s="87">
        <v>0</v>
      </c>
      <c r="K15" s="93">
        <f>SUMIF(合格品入货记录!E:E,日报!E15,合格品入货记录!G:G)</f>
        <v>0</v>
      </c>
      <c r="L15" s="93">
        <f>SUMIF(合格品出库记录!E:E,日报!E15,合格品出库记录!G:G)</f>
        <v>0</v>
      </c>
      <c r="M15" s="87">
        <f>SUMIF(零跑退回!D:D,日报!E:E,零跑退回!F:F)</f>
        <v>0</v>
      </c>
      <c r="N15" s="87">
        <f>SUMIF(库内不良!D:D,E:E,库内不良!F:F)</f>
        <v>0</v>
      </c>
      <c r="O15" s="87">
        <f>SUMIF(退回供应商!D:D,日报!E:E,退回供应商!F:F)</f>
        <v>0</v>
      </c>
      <c r="P15" s="87">
        <f t="shared" si="4"/>
        <v>0</v>
      </c>
      <c r="Q15" s="88">
        <f t="shared" si="5"/>
        <v>0</v>
      </c>
      <c r="R15" s="93"/>
      <c r="S15" s="93"/>
      <c r="T15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5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5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5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5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5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5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5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5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5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5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5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5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5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5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5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5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5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5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5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5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5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5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5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5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5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5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5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5" s="93"/>
      <c r="AW15" s="93"/>
      <c r="AX15" s="93"/>
      <c r="AY15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5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5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5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5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5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5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5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5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5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5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5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5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5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5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5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5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5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5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5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5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5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5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5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5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5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5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5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5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5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5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6" ht="25.05" customHeight="1" spans="1:81">
      <c r="A16" s="87">
        <f t="shared" si="6"/>
        <v>13</v>
      </c>
      <c r="B16" s="88" t="str">
        <f>IFERROR(VLOOKUP(基础数据!B15,基础数据!B:B,1,0),"")</f>
        <v>1AZ</v>
      </c>
      <c r="C16" s="89" t="str">
        <f>IFERROR(VLOOKUP(基础数据!C15,基础数据!C:C,1,0),"")</f>
        <v>芜湖博康机电股份有限公司</v>
      </c>
      <c r="D16" s="19"/>
      <c r="E16" s="90" t="str">
        <f>IFERROR(VLOOKUP(基础数据!E15,基础数据!E:E,1,0),"")</f>
        <v>3.2.50.30.01626-000</v>
      </c>
      <c r="F16" s="91" t="str">
        <f>IFERROR(VLOOKUP(基础数据!F15,基础数据!F:F,1,0),"")</f>
        <v>LXC11EV1A-电机口高压插座线束</v>
      </c>
      <c r="G16" s="87">
        <f>IFERROR(VLOOKUP(基础数据!G15,基础数据!G:G,1,0),"")</f>
        <v>70</v>
      </c>
      <c r="H16" s="33" t="str">
        <f>IFERROR(VLOOKUP(基础数据!H15,基础数据!H:H,1,0),"")</f>
        <v>料盒</v>
      </c>
      <c r="I16" s="87">
        <v>0</v>
      </c>
      <c r="J16" s="87">
        <v>0</v>
      </c>
      <c r="K16" s="93">
        <f>SUMIF(合格品入货记录!E:E,日报!E16,合格品入货记录!G:G)</f>
        <v>0</v>
      </c>
      <c r="L16" s="93">
        <f>SUMIF(合格品出库记录!E:E,日报!E16,合格品出库记录!G:G)</f>
        <v>0</v>
      </c>
      <c r="M16" s="87">
        <f>SUMIF(零跑退回!D:D,日报!E:E,零跑退回!F:F)</f>
        <v>0</v>
      </c>
      <c r="N16" s="87">
        <f>SUMIF(库内不良!D:D,E:E,库内不良!F:F)</f>
        <v>0</v>
      </c>
      <c r="O16" s="87">
        <f>SUMIF(退回供应商!D:D,日报!E:E,退回供应商!F:F)</f>
        <v>0</v>
      </c>
      <c r="P16" s="87">
        <f t="shared" si="4"/>
        <v>0</v>
      </c>
      <c r="Q16" s="88">
        <f t="shared" si="5"/>
        <v>0</v>
      </c>
      <c r="R16" s="93"/>
      <c r="S16" s="93"/>
      <c r="T16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6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6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6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6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6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6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6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6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6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6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6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6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6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6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6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6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6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6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6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6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6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6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6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6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6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6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6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6" s="93"/>
      <c r="AW16" s="93"/>
      <c r="AX16" s="93"/>
      <c r="AY16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6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6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6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6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6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6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6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6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6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6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6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6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6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6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6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6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6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6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6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6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6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6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6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6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6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6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6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6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6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6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7" ht="25.05" customHeight="1" spans="1:81">
      <c r="A17" s="87">
        <f t="shared" si="6"/>
        <v>14</v>
      </c>
      <c r="B17" s="88" t="str">
        <f>IFERROR(VLOOKUP(基础数据!B16,基础数据!B:B,1,0),"")</f>
        <v>1AZ</v>
      </c>
      <c r="C17" s="89" t="str">
        <f>IFERROR(VLOOKUP(基础数据!C16,基础数据!C:C,1,0),"")</f>
        <v>芜湖博康机电股份有限公司</v>
      </c>
      <c r="D17" s="19"/>
      <c r="E17" s="90" t="str">
        <f>IFERROR(VLOOKUP(基础数据!E16,基础数据!E:E,1,0),"")</f>
        <v>3.1.02.30.00776</v>
      </c>
      <c r="F17" s="90" t="s">
        <v>22</v>
      </c>
      <c r="G17" s="87">
        <f>IFERROR(VLOOKUP(基础数据!G16,基础数据!G:G,1,0),"")</f>
        <v>12</v>
      </c>
      <c r="H17" s="33" t="str">
        <f>IFERROR(VLOOKUP(基础数据!H16,基础数据!H:H,1,0),"")</f>
        <v>纸箱</v>
      </c>
      <c r="I17" s="87">
        <v>3996</v>
      </c>
      <c r="J17" s="87">
        <v>0</v>
      </c>
      <c r="K17" s="93">
        <f>SUMIF(合格品入货记录!E:E,日报!E17,合格品入货记录!G:G)</f>
        <v>8100</v>
      </c>
      <c r="L17" s="93">
        <f>SUMIF(合格品出库记录!E:E,日报!E17,合格品出库记录!G:G)</f>
        <v>9996</v>
      </c>
      <c r="M17" s="87">
        <f>SUMIF(零跑退回!D:D,日报!E:E,零跑退回!F:F)</f>
        <v>0</v>
      </c>
      <c r="N17" s="87">
        <f>SUMIF(库内不良!D:D,E:E,库内不良!F:F)</f>
        <v>0</v>
      </c>
      <c r="O17" s="87">
        <f>SUMIF(退回供应商!D:D,日报!E:E,退回供应商!F:F)</f>
        <v>0</v>
      </c>
      <c r="P17" s="87">
        <f t="shared" si="4"/>
        <v>0</v>
      </c>
      <c r="Q17" s="88">
        <f t="shared" si="5"/>
        <v>2100</v>
      </c>
      <c r="R17" s="93"/>
      <c r="S17" s="93"/>
      <c r="T17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7" s="93">
        <f>IF(SUMIFS(合格品入货记录!$G:$G,合格品入货记录!$E:$E,日报!$E:$E,合格品入货记录!$A:$A,日报!U$3)&lt;&gt;0,SUMIFS(合格品入货记录!$G:$G,合格品入货记录!$E:$E,日报!$E:$E,合格品入货记录!$A:$A,日报!U$3),"")</f>
        <v>900</v>
      </c>
      <c r="V17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7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7" s="93">
        <f>IF(SUMIFS(合格品入货记录!$G:$G,合格品入货记录!$E:$E,日报!$E:$E,合格品入货记录!$A:$A,日报!X$3)&lt;&gt;0,SUMIFS(合格品入货记录!$G:$G,合格品入货记录!$E:$E,日报!$E:$E,合格品入货记录!$A:$A,日报!X$3),"")</f>
        <v>600</v>
      </c>
      <c r="Y17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600</v>
      </c>
      <c r="Z17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7" s="93">
        <f>IF(SUMIFS(合格品入货记录!$G:$G,合格品入货记录!$E:$E,日报!$E:$E,合格品入货记录!$A:$A,日报!AA$3)&lt;&gt;0,SUMIFS(合格品入货记录!$G:$G,合格品入货记录!$E:$E,日报!$E:$E,合格品入货记录!$A:$A,日报!AA$3),"")</f>
        <v>3000</v>
      </c>
      <c r="AB17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7" s="93">
        <f>IF(SUMIFS(合格品入货记录!$G:$G,合格品入货记录!$E:$E,日报!$E:$E,合格品入货记录!$A:$A,日报!AC$3)&lt;&gt;0,SUMIFS(合格品入货记录!$G:$G,合格品入货记录!$E:$E,日报!$E:$E,合格品入货记录!$A:$A,日报!AC$3),"")</f>
        <v>900</v>
      </c>
      <c r="AD17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7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7" s="93">
        <f>IF(SUMIFS(合格品入货记录!$G:$G,合格品入货记录!$E:$E,日报!$E:$E,合格品入货记录!$A:$A,日报!AF$3)&lt;&gt;0,SUMIFS(合格品入货记录!$G:$G,合格品入货记录!$E:$E,日报!$E:$E,合格品入货记录!$A:$A,日报!AF$3),"")</f>
        <v>2100</v>
      </c>
      <c r="AG17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7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7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7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7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7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7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7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7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7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7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7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7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7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7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7" s="93"/>
      <c r="AW17" s="93"/>
      <c r="AX17" s="93"/>
      <c r="AY17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7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7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7" s="93">
        <f>IF(SUMIFS(合格品出库记录!$G:$G,合格品出库记录!$E:$E,日报!$E:$E,合格品出库记录!$A:$A,日报!BB$3)&lt;&gt;0,SUMIFS(合格品出库记录!$G:$G,合格品出库记录!$E:$E,日报!$E:$E,合格品出库记录!$A:$A,日报!BB$3),"")</f>
        <v>2076</v>
      </c>
      <c r="BC17" s="93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1200</v>
      </c>
      <c r="BD17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7" s="93">
        <f>IF(SUMIFS(合格品出库记录!$G:$G,合格品出库记录!$E:$E,日报!$E:$E,合格品出库记录!$A:$A,日报!BE$3)&lt;&gt;0,SUMIFS(合格品出库记录!$G:$G,合格品出库记录!$E:$E,日报!$E:$E,合格品出库记录!$A:$A,日报!BE$3),"")</f>
        <v>2040</v>
      </c>
      <c r="BF17" s="93">
        <f>IF(SUMIFS(合格品出库记录!$G:$G,合格品出库记录!$E:$E,日报!$E:$E,合格品出库记录!$A:$A,日报!BF$3)&lt;&gt;0,SUMIFS(合格品出库记录!$G:$G,合格品出库记录!$E:$E,日报!$E:$E,合格品出库记录!$A:$A,日报!BF$3),"")</f>
        <v>2040</v>
      </c>
      <c r="BG17" s="93">
        <f>IF(SUMIFS(合格品出库记录!$G:$G,合格品出库记录!$E:$E,日报!$E:$E,合格品出库记录!$A:$A,日报!BG$3)&lt;&gt;0,SUMIFS(合格品出库记录!$G:$G,合格品出库记录!$E:$E,日报!$E:$E,合格品出库记录!$A:$A,日报!BG$3),"")</f>
        <v>900</v>
      </c>
      <c r="BH17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7" s="93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1740</v>
      </c>
      <c r="BJ17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7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7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7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7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7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7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7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7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7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7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7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7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7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7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7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7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7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7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7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8" ht="25.05" customHeight="1" spans="1:81">
      <c r="A18" s="87">
        <f t="shared" si="6"/>
        <v>15</v>
      </c>
      <c r="B18" s="88" t="str">
        <f>IFERROR(VLOOKUP(基础数据!B17,基础数据!B:B,1,0),"")</f>
        <v>1AZ</v>
      </c>
      <c r="C18" s="89" t="str">
        <f>IFERROR(VLOOKUP(基础数据!C17,基础数据!C:C,1,0),"")</f>
        <v>芜湖博康机电股份有限公司</v>
      </c>
      <c r="D18" s="19"/>
      <c r="E18" s="90" t="str">
        <f>IFERROR(VLOOKUP(基础数据!E17,基础数据!E:E,1,0),"")</f>
        <v>3.2.50.30.01786-000</v>
      </c>
      <c r="F18" s="91" t="str">
        <f>IFERROR(VLOOKUP(基础数据!F17,基础数据!F:F,1,0),"")</f>
        <v>A03HW67.1-通讯集成线束</v>
      </c>
      <c r="G18" s="87">
        <f>IFERROR(VLOOKUP(基础数据!G17,基础数据!G:G,1,0),"")</f>
        <v>100</v>
      </c>
      <c r="H18" s="33" t="str">
        <f>IFERROR(VLOOKUP(基础数据!H17,基础数据!H:H,1,0),"")</f>
        <v>料盒</v>
      </c>
      <c r="I18" s="87">
        <v>100</v>
      </c>
      <c r="J18" s="87">
        <v>0</v>
      </c>
      <c r="K18" s="93">
        <f>SUMIF(合格品入货记录!E:E,日报!E18,合格品入货记录!G:G)</f>
        <v>400</v>
      </c>
      <c r="L18" s="93">
        <f>SUMIF(合格品出库记录!E:E,日报!E18,合格品出库记录!G:G)</f>
        <v>500</v>
      </c>
      <c r="M18" s="87">
        <f>SUMIF(零跑退回!D:D,日报!E:E,零跑退回!F:F)</f>
        <v>0</v>
      </c>
      <c r="N18" s="87">
        <f>SUMIF(库内不良!D:D,E:E,库内不良!F:F)</f>
        <v>0</v>
      </c>
      <c r="O18" s="87">
        <f>SUMIF(退回供应商!D:D,日报!E:E,退回供应商!F:F)</f>
        <v>0</v>
      </c>
      <c r="P18" s="87">
        <f t="shared" si="4"/>
        <v>0</v>
      </c>
      <c r="Q18" s="88">
        <f t="shared" si="5"/>
        <v>0</v>
      </c>
      <c r="R18" s="93"/>
      <c r="S18" s="93"/>
      <c r="T18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8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8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8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8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8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400</v>
      </c>
      <c r="Z18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8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8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8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8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8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8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8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8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8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8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8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8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8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8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8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8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8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8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8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8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8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8" s="93"/>
      <c r="AW18" s="93"/>
      <c r="AX18" s="93"/>
      <c r="AY18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8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8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8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8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8" s="93">
        <f>IF(SUMIFS(合格品出库记录!$G:$G,合格品出库记录!$E:$E,日报!$E:$E,合格品出库记录!$A:$A,日报!BD$3)&lt;&gt;0,SUMIFS(合格品出库记录!$G:$G,合格品出库记录!$E:$E,日报!$E:$E,合格品出库记录!$A:$A,日报!BD$3),"")</f>
        <v>400</v>
      </c>
      <c r="BE18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8" s="93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100</v>
      </c>
      <c r="BG18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8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8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8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8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8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8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8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8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8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8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8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8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8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8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8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8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8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8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8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8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8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8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19" ht="25.05" customHeight="1" spans="1:81">
      <c r="A19" s="87">
        <f t="shared" si="6"/>
        <v>16</v>
      </c>
      <c r="B19" s="88" t="str">
        <f>IFERROR(VLOOKUP(基础数据!B18,基础数据!B:B,1,0),"")</f>
        <v>1AZ</v>
      </c>
      <c r="C19" s="89" t="str">
        <f>IFERROR(VLOOKUP(基础数据!C18,基础数据!C:C,1,0),"")</f>
        <v>芜湖博康机电股份有限公司</v>
      </c>
      <c r="D19" s="19"/>
      <c r="E19" s="90" t="str">
        <f>IFERROR(VLOOKUP(基础数据!E18,基础数据!E:E,1,0),"")</f>
        <v>3.2.50.30.01787-000</v>
      </c>
      <c r="F19" s="91" t="str">
        <f>IFERROR(VLOOKUP(基础数据!F18,基础数据!F:F,1,0),"")</f>
        <v>A03HW67.1-采样集成线束</v>
      </c>
      <c r="G19" s="87">
        <f>IFERROR(VLOOKUP(基础数据!G18,基础数据!G:G,1,0),"")</f>
        <v>40</v>
      </c>
      <c r="H19" s="33" t="str">
        <f>IFERROR(VLOOKUP(基础数据!H18,基础数据!H:H,1,0),"")</f>
        <v>料盒</v>
      </c>
      <c r="I19" s="87">
        <v>40</v>
      </c>
      <c r="J19" s="87">
        <v>0</v>
      </c>
      <c r="K19" s="93">
        <f>SUMIF(合格品入货记录!E:E,日报!E19,合格品入货记录!G:G)</f>
        <v>400</v>
      </c>
      <c r="L19" s="93">
        <f>SUMIF(合格品出库记录!E:E,日报!E19,合格品出库记录!G:G)</f>
        <v>440</v>
      </c>
      <c r="M19" s="87">
        <f>SUMIF(零跑退回!D:D,日报!E:E,零跑退回!F:F)</f>
        <v>0</v>
      </c>
      <c r="N19" s="87">
        <f>SUMIF(库内不良!D:D,E:E,库内不良!F:F)</f>
        <v>0</v>
      </c>
      <c r="O19" s="87">
        <f>SUMIF(退回供应商!D:D,日报!E:E,退回供应商!F:F)</f>
        <v>0</v>
      </c>
      <c r="P19" s="87">
        <f t="shared" si="4"/>
        <v>0</v>
      </c>
      <c r="Q19" s="88">
        <f t="shared" si="5"/>
        <v>0</v>
      </c>
      <c r="R19" s="93"/>
      <c r="S19" s="93"/>
      <c r="T19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9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9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9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9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9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400</v>
      </c>
      <c r="Z19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9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9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9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9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9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9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9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9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9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9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9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9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9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9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9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9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9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9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9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9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9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19" s="93"/>
      <c r="AW19" s="93"/>
      <c r="AX19" s="93"/>
      <c r="AY19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9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9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9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9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9" s="93">
        <f>IF(SUMIFS(合格品出库记录!$G:$G,合格品出库记录!$E:$E,日报!$E:$E,合格品出库记录!$A:$A,日报!BD$3)&lt;&gt;0,SUMIFS(合格品出库记录!$G:$G,合格品出库记录!$E:$E,日报!$E:$E,合格品出库记录!$A:$A,日报!BD$3),"")</f>
        <v>400</v>
      </c>
      <c r="BE19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9" s="93">
        <f>IF(SUMIFS(合格品出库记录!$G:$G,合格品出库记录!$E:$E,日报!$E:$E,合格品出库记录!$A:$A,日报!BF$3)&lt;&gt;0,SUMIFS(合格品出库记录!$G:$G,合格品出库记录!$E:$E,日报!$E:$E,合格品出库记录!$A:$A,日报!BF$3),"")</f>
        <v>40</v>
      </c>
      <c r="BG19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9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9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9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9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9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9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9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9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9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9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9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9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9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9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9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9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9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9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9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19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19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19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0" ht="25.05" customHeight="1" spans="1:81">
      <c r="A20" s="87">
        <f t="shared" si="6"/>
        <v>17</v>
      </c>
      <c r="B20" s="88" t="str">
        <f>IFERROR(VLOOKUP(基础数据!B19,基础数据!B:B,1,0),"")</f>
        <v>1AZ</v>
      </c>
      <c r="C20" s="89" t="str">
        <f>IFERROR(VLOOKUP(基础数据!C19,基础数据!C:C,1,0),"")</f>
        <v>芜湖博康机电股份有限公司</v>
      </c>
      <c r="D20" s="19"/>
      <c r="E20" s="90" t="str">
        <f>IFERROR(VLOOKUP(基础数据!E19,基础数据!E:E,1,0),"")</f>
        <v>3.2.50.30.01784-000</v>
      </c>
      <c r="F20" s="91" t="str">
        <f>IFERROR(VLOOKUP(基础数据!F19,基础数据!F:F,1,0),"")</f>
        <v>A03HW56.2-通讯集成线束</v>
      </c>
      <c r="G20" s="87">
        <f>IFERROR(VLOOKUP(基础数据!G19,基础数据!G:G,1,0),"")</f>
        <v>100</v>
      </c>
      <c r="H20" s="33" t="str">
        <f>IFERROR(VLOOKUP(基础数据!H19,基础数据!H:H,1,0),"")</f>
        <v>料盒</v>
      </c>
      <c r="I20" s="87">
        <v>100</v>
      </c>
      <c r="J20" s="87">
        <v>0</v>
      </c>
      <c r="K20" s="93">
        <f>SUMIF(合格品入货记录!E:E,日报!E20,合格品入货记录!G:G)</f>
        <v>0</v>
      </c>
      <c r="L20" s="93">
        <f>SUMIF(合格品出库记录!E:E,日报!E20,合格品出库记录!G:G)</f>
        <v>0</v>
      </c>
      <c r="M20" s="87">
        <f>SUMIF(零跑退回!D:D,日报!E:E,零跑退回!F:F)</f>
        <v>0</v>
      </c>
      <c r="N20" s="87">
        <f>SUMIF(库内不良!D:D,E:E,库内不良!F:F)</f>
        <v>0</v>
      </c>
      <c r="O20" s="87">
        <f>SUMIF(退回供应商!D:D,日报!E:E,退回供应商!F:F)</f>
        <v>0</v>
      </c>
      <c r="P20" s="87">
        <f t="shared" si="4"/>
        <v>0</v>
      </c>
      <c r="Q20" s="88">
        <f t="shared" si="5"/>
        <v>100</v>
      </c>
      <c r="R20" s="93"/>
      <c r="S20" s="93"/>
      <c r="T20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0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0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0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0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0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0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0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0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0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0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0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0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0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0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0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0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0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0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0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0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0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0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0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0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0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0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0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0" s="93"/>
      <c r="AW20" s="93"/>
      <c r="AX20" s="93"/>
      <c r="AY20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0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0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0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0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0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0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0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0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0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0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0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0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0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0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0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0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0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0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0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0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0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0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0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0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0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0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0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0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0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0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1" ht="25.05" customHeight="1" spans="1:81">
      <c r="A21" s="87">
        <f t="shared" si="6"/>
        <v>18</v>
      </c>
      <c r="B21" s="88" t="str">
        <f>IFERROR(VLOOKUP(基础数据!B20,基础数据!B:B,1,0),"")</f>
        <v>1AZ</v>
      </c>
      <c r="C21" s="89" t="str">
        <f>IFERROR(VLOOKUP(基础数据!C20,基础数据!C:C,1,0),"")</f>
        <v>芜湖博康机电股份有限公司</v>
      </c>
      <c r="D21" s="19"/>
      <c r="E21" s="90" t="str">
        <f>IFERROR(VLOOKUP(基础数据!E20,基础数据!E:E,1,0),"")</f>
        <v>3.2.50.30.01785-000</v>
      </c>
      <c r="F21" s="91" t="str">
        <f>IFERROR(VLOOKUP(基础数据!F20,基础数据!F:F,1,0),"")</f>
        <v>A03HW56.2-采样集成线束</v>
      </c>
      <c r="G21" s="87">
        <f>IFERROR(VLOOKUP(基础数据!G20,基础数据!G:G,1,0),"")</f>
        <v>40</v>
      </c>
      <c r="H21" s="33" t="str">
        <f>IFERROR(VLOOKUP(基础数据!H20,基础数据!H:H,1,0),"")</f>
        <v>料盒</v>
      </c>
      <c r="I21" s="87">
        <v>120</v>
      </c>
      <c r="J21" s="87">
        <v>0</v>
      </c>
      <c r="K21" s="93">
        <f>SUMIF(合格品入货记录!E:E,日报!E21,合格品入货记录!G:G)</f>
        <v>0</v>
      </c>
      <c r="L21" s="93">
        <f>SUMIF(合格品出库记录!E:E,日报!E21,合格品出库记录!G:G)</f>
        <v>0</v>
      </c>
      <c r="M21" s="87">
        <f>SUMIF(零跑退回!D:D,日报!E:E,零跑退回!F:F)</f>
        <v>0</v>
      </c>
      <c r="N21" s="87">
        <f>SUMIF(库内不良!D:D,E:E,库内不良!F:F)</f>
        <v>0</v>
      </c>
      <c r="O21" s="87">
        <f>SUMIF(退回供应商!D:D,日报!E:E,退回供应商!F:F)</f>
        <v>0</v>
      </c>
      <c r="P21" s="87">
        <f t="shared" si="4"/>
        <v>0</v>
      </c>
      <c r="Q21" s="88">
        <f t="shared" si="5"/>
        <v>120</v>
      </c>
      <c r="R21" s="93"/>
      <c r="S21" s="93"/>
      <c r="T21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1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1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1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1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1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1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1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1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1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1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1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1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1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1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1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1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1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1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1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1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1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1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1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1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1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1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1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1" s="93"/>
      <c r="AW21" s="93"/>
      <c r="AX21" s="93"/>
      <c r="AY21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1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1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1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1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1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1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1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1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1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1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1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1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1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1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1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1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1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1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1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1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1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1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1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1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1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1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1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1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1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1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2" ht="25.05" customHeight="1" spans="1:81">
      <c r="A22" s="87">
        <f t="shared" si="6"/>
        <v>19</v>
      </c>
      <c r="B22" s="88" t="str">
        <f>IFERROR(VLOOKUP(基础数据!B21,基础数据!B:B,1,0),"")</f>
        <v>1AZ</v>
      </c>
      <c r="C22" s="89" t="str">
        <f>IFERROR(VLOOKUP(基础数据!C21,基础数据!C:C,1,0),"")</f>
        <v>芜湖博康机电股份有限公司</v>
      </c>
      <c r="D22" s="19"/>
      <c r="E22" s="90" t="str">
        <f>IFERROR(VLOOKUP(基础数据!E21,基础数据!E:E,1,0),"")</f>
        <v>3.2.50.30.01886-000</v>
      </c>
      <c r="F22" s="91" t="str">
        <f>IFERROR(VLOOKUP(基础数据!F21,基础数据!F:F,1,0),"")</f>
        <v>LXCU13E01-分流器线束</v>
      </c>
      <c r="G22" s="87">
        <f>IFERROR(VLOOKUP(基础数据!G21,基础数据!G:G,1,0),"")</f>
        <v>1500</v>
      </c>
      <c r="H22" s="33" t="str">
        <f>IFERROR(VLOOKUP(基础数据!H21,基础数据!H:H,1,0),"")</f>
        <v>料盒</v>
      </c>
      <c r="I22" s="87">
        <v>7500</v>
      </c>
      <c r="J22" s="87">
        <v>0</v>
      </c>
      <c r="K22" s="93">
        <f>SUMIF(合格品入货记录!E:E,日报!E22,合格品入货记录!G:G)</f>
        <v>4500</v>
      </c>
      <c r="L22" s="93">
        <f>SUMIF(合格品出库记录!E:E,日报!E22,合格品出库记录!G:G)</f>
        <v>12000</v>
      </c>
      <c r="M22" s="87">
        <f>SUMIF(零跑退回!D:D,日报!E:E,零跑退回!F:F)</f>
        <v>0</v>
      </c>
      <c r="N22" s="87">
        <f>SUMIF(库内不良!D:D,E:E,库内不良!F:F)</f>
        <v>0</v>
      </c>
      <c r="O22" s="87">
        <f>SUMIF(退回供应商!D:D,日报!E:E,退回供应商!F:F)</f>
        <v>0</v>
      </c>
      <c r="P22" s="87">
        <f t="shared" si="4"/>
        <v>0</v>
      </c>
      <c r="Q22" s="88">
        <f t="shared" si="5"/>
        <v>0</v>
      </c>
      <c r="R22" s="93"/>
      <c r="S22" s="93"/>
      <c r="T22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2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2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2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2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2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4500</v>
      </c>
      <c r="Z22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2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2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2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2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2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2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2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2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2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2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2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2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2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2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2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2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2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2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2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2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2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2" s="93"/>
      <c r="AW22" s="93"/>
      <c r="AX22" s="93"/>
      <c r="AY22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2" s="93">
        <f>IF(SUMIFS(合格品出库记录!$G:$G,合格品出库记录!$E:$E,日报!$E:$E,合格品出库记录!$A:$A,日报!AZ$3)&lt;&gt;0,SUMIFS(合格品出库记录!$G:$G,合格品出库记录!$E:$E,日报!$E:$E,合格品出库记录!$A:$A,日报!AZ$3),"")</f>
        <v>7500</v>
      </c>
      <c r="BA22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2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2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2" s="93">
        <f>IF(SUMIFS(合格品出库记录!$G:$G,合格品出库记录!$E:$E,日报!$E:$E,合格品出库记录!$A:$A,日报!BD$3)&lt;&gt;0,SUMIFS(合格品出库记录!$G:$G,合格品出库记录!$E:$E,日报!$E:$E,合格品出库记录!$A:$A,日报!BD$3),"")</f>
        <v>4500</v>
      </c>
      <c r="BE22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2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2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2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2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2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2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2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2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2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2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2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2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2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2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2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2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2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2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2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2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2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2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2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2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3" ht="25.05" customHeight="1" spans="1:81">
      <c r="A23" s="87">
        <f t="shared" si="6"/>
        <v>20</v>
      </c>
      <c r="B23" s="88" t="str">
        <f>IFERROR(VLOOKUP(基础数据!B22,基础数据!B:B,1,0),"")</f>
        <v>1AZ</v>
      </c>
      <c r="C23" s="89" t="str">
        <f>IFERROR(VLOOKUP(基础数据!C22,基础数据!C:C,1,0),"")</f>
        <v>芜湖博康机电股份有限公司</v>
      </c>
      <c r="D23" s="19"/>
      <c r="E23" s="90" t="str">
        <f>IFERROR(VLOOKUP(基础数据!E22,基础数据!E:E,1,0),"")</f>
        <v>3.2.50.30.02283-000</v>
      </c>
      <c r="F23" s="91" t="str">
        <f>IFERROR(VLOOKUP(基础数据!F22,基础数据!F:F,1,0),"")</f>
        <v>LXBU1101-BDU集成线束-60.8</v>
      </c>
      <c r="G23" s="87">
        <f>IFERROR(VLOOKUP(基础数据!G22,基础数据!G:G,1,0),"")</f>
        <v>40</v>
      </c>
      <c r="H23" s="33" t="str">
        <f>IFERROR(VLOOKUP(基础数据!H22,基础数据!H:H,1,0),"")</f>
        <v>料盒</v>
      </c>
      <c r="I23" s="87">
        <v>1600</v>
      </c>
      <c r="J23" s="87">
        <v>0</v>
      </c>
      <c r="K23" s="93">
        <f>SUMIF(合格品入货记录!E:E,日报!E23,合格品入货记录!G:G)</f>
        <v>899</v>
      </c>
      <c r="L23" s="93">
        <f>SUMIF(合格品出库记录!E:E,日报!E23,合格品出库记录!G:G)</f>
        <v>2499</v>
      </c>
      <c r="M23" s="87">
        <f>SUMIF(零跑退回!D:D,日报!E:E,零跑退回!F:F)</f>
        <v>0</v>
      </c>
      <c r="N23" s="87">
        <f>SUMIF(库内不良!D:D,E:E,库内不良!F:F)</f>
        <v>0</v>
      </c>
      <c r="O23" s="87">
        <f>SUMIF(退回供应商!D:D,日报!E:E,退回供应商!F:F)</f>
        <v>0</v>
      </c>
      <c r="P23" s="87">
        <f t="shared" si="4"/>
        <v>0</v>
      </c>
      <c r="Q23" s="88">
        <f t="shared" si="5"/>
        <v>0</v>
      </c>
      <c r="R23" s="93"/>
      <c r="S23" s="93"/>
      <c r="T23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3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3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3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3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3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3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3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3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3" s="93">
        <f>IF(SUMIFS(合格品入货记录!$G:$G,合格品入货记录!$E:$E,日报!$E:$E,合格品入货记录!$A:$A,日报!AC$3)&lt;&gt;0,SUMIFS(合格品入货记录!$G:$G,合格品入货记录!$E:$E,日报!$E:$E,合格品入货记录!$A:$A,日报!AC$3),"")</f>
        <v>899</v>
      </c>
      <c r="AD23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3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3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3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3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3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3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3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3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3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3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3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3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3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3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3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3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3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3" s="93"/>
      <c r="AW23" s="93"/>
      <c r="AX23" s="93"/>
      <c r="AY23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3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3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3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3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3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3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3" s="93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1600</v>
      </c>
      <c r="BG23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3" s="93">
        <f>IF(SUMIFS(合格品出库记录!$G:$G,合格品出库记录!$E:$E,日报!$E:$E,合格品出库记录!$A:$A,日报!BH$3)&lt;&gt;0,SUMIFS(合格品出库记录!$G:$G,合格品出库记录!$E:$E,日报!$E:$E,合格品出库记录!$A:$A,日报!BH$3),"")</f>
        <v>899</v>
      </c>
      <c r="BI23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3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3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3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3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3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3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3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3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3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3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3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3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3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3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3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3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3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3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3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3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4" ht="25.05" customHeight="1" spans="1:81">
      <c r="A24" s="87">
        <f t="shared" si="6"/>
        <v>21</v>
      </c>
      <c r="B24" s="88" t="str">
        <f>IFERROR(VLOOKUP(基础数据!B23,基础数据!B:B,1,0),"")</f>
        <v>1AZ</v>
      </c>
      <c r="C24" s="89" t="str">
        <f>IFERROR(VLOOKUP(基础数据!C23,基础数据!C:C,1,0),"")</f>
        <v>芜湖博康机电股份有限公司</v>
      </c>
      <c r="D24" s="19"/>
      <c r="E24" s="90" t="str">
        <f>IFERROR(VLOOKUP(基础数据!E23,基础数据!E:E,1,0),"")</f>
        <v>3.2.50.30.02282-000</v>
      </c>
      <c r="F24" s="91" t="str">
        <f>IFERROR(VLOOKUP(基础数据!F23,基础数据!F:F,1,0),"")</f>
        <v>LXBU1101-通讯集成线束-60.8</v>
      </c>
      <c r="G24" s="87">
        <f>IFERROR(VLOOKUP(基础数据!G23,基础数据!G:G,1,0),"")</f>
        <v>100</v>
      </c>
      <c r="H24" s="33" t="str">
        <f>IFERROR(VLOOKUP(基础数据!H23,基础数据!H:H,1,0),"")</f>
        <v>料盒</v>
      </c>
      <c r="I24" s="87">
        <v>1600</v>
      </c>
      <c r="J24" s="87">
        <v>0</v>
      </c>
      <c r="K24" s="93">
        <f>SUMIF(合格品入货记录!E:E,日报!E24,合格品入货记录!G:G)</f>
        <v>898</v>
      </c>
      <c r="L24" s="93">
        <f>SUMIF(合格品出库记录!E:E,日报!E24,合格品出库记录!G:G)</f>
        <v>2498</v>
      </c>
      <c r="M24" s="87">
        <f>SUMIF(零跑退回!D:D,日报!E:E,零跑退回!F:F)</f>
        <v>0</v>
      </c>
      <c r="N24" s="87">
        <f>SUMIF(库内不良!D:D,E:E,库内不良!F:F)</f>
        <v>0</v>
      </c>
      <c r="O24" s="87">
        <f>SUMIF(退回供应商!D:D,日报!E:E,退回供应商!F:F)</f>
        <v>0</v>
      </c>
      <c r="P24" s="87">
        <f t="shared" si="4"/>
        <v>0</v>
      </c>
      <c r="Q24" s="88">
        <f t="shared" si="5"/>
        <v>0</v>
      </c>
      <c r="R24" s="93"/>
      <c r="S24" s="93"/>
      <c r="T24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4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4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4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4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4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4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4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4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4" s="93">
        <f>IF(SUMIFS(合格品入货记录!$G:$G,合格品入货记录!$E:$E,日报!$E:$E,合格品入货记录!$A:$A,日报!AC$3)&lt;&gt;0,SUMIFS(合格品入货记录!$G:$G,合格品入货记录!$E:$E,日报!$E:$E,合格品入货记录!$A:$A,日报!AC$3),"")</f>
        <v>898</v>
      </c>
      <c r="AD24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4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4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4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4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4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4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4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4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4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4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4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4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4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4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4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4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4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4" s="93"/>
      <c r="AW24" s="93"/>
      <c r="AX24" s="93"/>
      <c r="AY24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4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4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4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4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4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4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4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4" s="93">
        <f>IF(SUMIFS(合格品出库记录!$G:$G,合格品出库记录!$E:$E,日报!$E:$E,合格品出库记录!$A:$A,日报!BG$3)&lt;&gt;0,SUMIFS(合格品出库记录!$G:$G,合格品出库记录!$E:$E,日报!$E:$E,合格品出库记录!$A:$A,日报!BG$3),"")</f>
        <v>1600</v>
      </c>
      <c r="BH24" s="93">
        <f>IF(SUMIFS(合格品出库记录!$G:$G,合格品出库记录!$E:$E,日报!$E:$E,合格品出库记录!$A:$A,日报!BH$3)&lt;&gt;0,SUMIFS(合格品出库记录!$G:$G,合格品出库记录!$E:$E,日报!$E:$E,合格品出库记录!$A:$A,日报!BH$3),"")</f>
        <v>898</v>
      </c>
      <c r="BI24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4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4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4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4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4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4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4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4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4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4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4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4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4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4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4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4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4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4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4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4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5" ht="25.05" customHeight="1" spans="1:81">
      <c r="A25" s="87">
        <f t="shared" si="6"/>
        <v>22</v>
      </c>
      <c r="B25" s="88" t="str">
        <f>IFERROR(VLOOKUP(基础数据!B24,基础数据!B:B,1,0),"")</f>
        <v>1AZ</v>
      </c>
      <c r="C25" s="89" t="str">
        <f>IFERROR(VLOOKUP(基础数据!C24,基础数据!C:C,1,0),"")</f>
        <v>芜湖博康机电股份有限公司</v>
      </c>
      <c r="D25" s="19"/>
      <c r="E25" s="90" t="str">
        <f>IFERROR(VLOOKUP(基础数据!E24,基础数据!E:E,1,0),"")</f>
        <v>3.2.50.30.01757-000</v>
      </c>
      <c r="F25" s="91" t="str">
        <f>IFERROR(VLOOKUP(基础数据!F24,基础数据!F:F,1,0),"")</f>
        <v>线束总成</v>
      </c>
      <c r="G25" s="87">
        <f>IFERROR(VLOOKUP(基础数据!G24,基础数据!G:G,1,0),"")</f>
        <v>200</v>
      </c>
      <c r="H25" s="33" t="str">
        <f>IFERROR(VLOOKUP(基础数据!H24,基础数据!H:H,1,0),"")</f>
        <v>料盒</v>
      </c>
      <c r="I25" s="87">
        <v>1000</v>
      </c>
      <c r="J25" s="87">
        <v>0</v>
      </c>
      <c r="K25" s="93">
        <f>SUMIF(合格品入货记录!E:E,日报!E25,合格品入货记录!G:G)</f>
        <v>1000</v>
      </c>
      <c r="L25" s="93">
        <f>SUMIF(合格品出库记录!E:E,日报!E25,合格品出库记录!G:G)</f>
        <v>2000</v>
      </c>
      <c r="M25" s="87">
        <f>SUMIF(零跑退回!D:D,日报!E:E,零跑退回!F:F)</f>
        <v>0</v>
      </c>
      <c r="N25" s="87">
        <f>SUMIF(库内不良!D:D,E:E,库内不良!F:F)</f>
        <v>0</v>
      </c>
      <c r="O25" s="87">
        <f>SUMIF(退回供应商!D:D,日报!E:E,退回供应商!F:F)</f>
        <v>0</v>
      </c>
      <c r="P25" s="87">
        <f t="shared" si="4"/>
        <v>0</v>
      </c>
      <c r="Q25" s="88">
        <f t="shared" si="5"/>
        <v>0</v>
      </c>
      <c r="R25" s="93"/>
      <c r="S25" s="93"/>
      <c r="T25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5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5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5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5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5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5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5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5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5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5" s="93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1000</v>
      </c>
      <c r="AE25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5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5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5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5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5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5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5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5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5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5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5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5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5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5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5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5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5" s="93"/>
      <c r="AW25" s="93"/>
      <c r="AX25" s="93"/>
      <c r="AY25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5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5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5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5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5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5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5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5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5" s="93">
        <f>IF(SUMIFS(合格品出库记录!$G:$G,合格品出库记录!$E:$E,日报!$E:$E,合格品出库记录!$A:$A,日报!BH$3)&lt;&gt;0,SUMIFS(合格品出库记录!$G:$G,合格品出库记录!$E:$E,日报!$E:$E,合格品出库记录!$A:$A,日报!BH$3),"")</f>
        <v>1000</v>
      </c>
      <c r="BI25" s="93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1000</v>
      </c>
      <c r="BJ25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5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5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5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5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5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5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5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5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5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5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5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5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5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5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5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5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5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5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5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6" ht="25.05" customHeight="1" spans="1:81">
      <c r="A26" s="87">
        <f t="shared" si="6"/>
        <v>23</v>
      </c>
      <c r="B26" s="88" t="str">
        <f>IFERROR(VLOOKUP(基础数据!B25,基础数据!B:B,1,0),"")</f>
        <v>1AZ</v>
      </c>
      <c r="C26" s="89" t="str">
        <f>IFERROR(VLOOKUP(基础数据!C25,基础数据!C:C,1,0),"")</f>
        <v>芜湖博康机电股份有限公司</v>
      </c>
      <c r="D26" s="19"/>
      <c r="E26" s="90" t="str">
        <f>IFERROR(VLOOKUP(基础数据!E25,基础数据!E:E,1,0),"")</f>
        <v>3.2.50.30.01758-000</v>
      </c>
      <c r="F26" s="91" t="str">
        <f>IFERROR(VLOOKUP(基础数据!F25,基础数据!F:F,1,0),"")</f>
        <v>线束总成</v>
      </c>
      <c r="G26" s="87">
        <f>IFERROR(VLOOKUP(基础数据!G25,基础数据!G:G,1,0),"")</f>
        <v>100</v>
      </c>
      <c r="H26" s="33" t="str">
        <f>IFERROR(VLOOKUP(基础数据!H25,基础数据!H:H,1,0),"")</f>
        <v>料盒</v>
      </c>
      <c r="I26" s="87">
        <v>1000</v>
      </c>
      <c r="J26" s="87">
        <v>0</v>
      </c>
      <c r="K26" s="93">
        <f>SUMIF(合格品入货记录!E:E,日报!E26,合格品入货记录!G:G)</f>
        <v>1000</v>
      </c>
      <c r="L26" s="93">
        <f>SUMIF(合格品出库记录!E:E,日报!E26,合格品出库记录!G:G)</f>
        <v>2000</v>
      </c>
      <c r="M26" s="87">
        <f>SUMIF(零跑退回!D:D,日报!E:E,零跑退回!F:F)</f>
        <v>0</v>
      </c>
      <c r="N26" s="87">
        <f>SUMIF(库内不良!D:D,E:E,库内不良!F:F)</f>
        <v>0</v>
      </c>
      <c r="O26" s="87">
        <f>SUMIF(退回供应商!D:D,日报!E:E,退回供应商!F:F)</f>
        <v>0</v>
      </c>
      <c r="P26" s="87">
        <f t="shared" si="4"/>
        <v>0</v>
      </c>
      <c r="Q26" s="88">
        <f t="shared" si="5"/>
        <v>0</v>
      </c>
      <c r="R26" s="93"/>
      <c r="S26" s="93"/>
      <c r="T26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6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6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6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6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6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6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6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6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6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6" s="93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1000</v>
      </c>
      <c r="AE26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6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6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6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6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6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6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6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6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6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6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6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6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6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6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6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6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6" s="93"/>
      <c r="AW26" s="93"/>
      <c r="AX26" s="93"/>
      <c r="AY26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6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6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6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6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6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6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6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6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6" s="93">
        <f>IF(SUMIFS(合格品出库记录!$G:$G,合格品出库记录!$E:$E,日报!$E:$E,合格品出库记录!$A:$A,日报!BH$3)&lt;&gt;0,SUMIFS(合格品出库记录!$G:$G,合格品出库记录!$E:$E,日报!$E:$E,合格品出库记录!$A:$A,日报!BH$3),"")</f>
        <v>1000</v>
      </c>
      <c r="BI26" s="93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1000</v>
      </c>
      <c r="BJ26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6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6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6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6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6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6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6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6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6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6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6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6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6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6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6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6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6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6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6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7" ht="25.05" customHeight="1" spans="1:81">
      <c r="A27" s="87">
        <f t="shared" si="6"/>
        <v>24</v>
      </c>
      <c r="B27" s="88" t="str">
        <f>IFERROR(VLOOKUP(基础数据!B26,基础数据!B:B,1,0),"")</f>
        <v>1AZ</v>
      </c>
      <c r="C27" s="89" t="str">
        <f>IFERROR(VLOOKUP(基础数据!C26,基础数据!C:C,1,0),"")</f>
        <v>芜湖博康机电股份有限公司</v>
      </c>
      <c r="D27" s="19"/>
      <c r="E27" s="90" t="str">
        <f>IFERROR(VLOOKUP(基础数据!E26,基础数据!E:E,1,0),"")</f>
        <v>3.2.50.30.01532-000</v>
      </c>
      <c r="F27" s="91" t="str">
        <f>IFERROR(VLOOKUP(基础数据!F26,基础数据!F:F,1,0),"")</f>
        <v>线束总成</v>
      </c>
      <c r="G27" s="87">
        <f>IFERROR(VLOOKUP(基础数据!G26,基础数据!G:G,1,0),"")</f>
        <v>100</v>
      </c>
      <c r="H27" s="33" t="str">
        <f>IFERROR(VLOOKUP(基础数据!H26,基础数据!H:H,1,0),"")</f>
        <v>料盒</v>
      </c>
      <c r="I27" s="87">
        <v>1000</v>
      </c>
      <c r="J27" s="87">
        <v>0</v>
      </c>
      <c r="K27" s="93">
        <f>SUMIF(合格品入货记录!E:E,日报!E27,合格品入货记录!G:G)</f>
        <v>1000</v>
      </c>
      <c r="L27" s="93">
        <f>SUMIF(合格品出库记录!E:E,日报!E27,合格品出库记录!G:G)</f>
        <v>2000</v>
      </c>
      <c r="M27" s="87">
        <f>SUMIF(零跑退回!D:D,日报!E:E,零跑退回!F:F)</f>
        <v>0</v>
      </c>
      <c r="N27" s="87">
        <f>SUMIF(库内不良!D:D,E:E,库内不良!F:F)</f>
        <v>0</v>
      </c>
      <c r="O27" s="87">
        <f>SUMIF(退回供应商!D:D,日报!E:E,退回供应商!F:F)</f>
        <v>0</v>
      </c>
      <c r="P27" s="87">
        <f t="shared" si="4"/>
        <v>0</v>
      </c>
      <c r="Q27" s="88">
        <f t="shared" si="5"/>
        <v>0</v>
      </c>
      <c r="R27" s="93"/>
      <c r="S27" s="93"/>
      <c r="T27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7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7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7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7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7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7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7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7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7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7" s="93">
        <f>IF(SUMIFS(合格品入货记录!$G:$G,合格品入货记录!$E:$E,日报!$E:$E,合格品入货记录!$A:$A,日报!AD$3)&lt;&gt;0,SUMIFS(合格品入货记录!$G:$G,合格品入货记录!$E:$E,日报!$E:$E,合格品入货记录!$A:$A,日报!AD$3),"")</f>
        <v>1000</v>
      </c>
      <c r="AE27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7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7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7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7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7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7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7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7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7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7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7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7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7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7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7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7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7" s="93"/>
      <c r="AW27" s="93"/>
      <c r="AX27" s="93"/>
      <c r="AY27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7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7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7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7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7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7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7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7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7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7" s="93">
        <f>IF(SUMIFS(合格品出库记录!$G:$G,合格品出库记录!$E:$E,日报!$E:$E,合格品出库记录!$A:$A,日报!BI$3)&lt;&gt;0,SUMIFS(合格品出库记录!$G:$G,合格品出库记录!$E:$E,日报!$E:$E,合格品出库记录!$A:$A,日报!BI$3),"")</f>
        <v>2000</v>
      </c>
      <c r="BJ27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7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7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7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7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7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7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7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7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7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7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7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7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7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7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7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7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7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7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7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8" customHeight="1" spans="1:81">
      <c r="A28" s="87">
        <f t="shared" si="6"/>
        <v>25</v>
      </c>
      <c r="B28" s="88" t="str">
        <f>IFERROR(VLOOKUP(基础数据!B27,基础数据!B:B,1,0),"")</f>
        <v>1AZ</v>
      </c>
      <c r="C28" s="89" t="str">
        <f>IFERROR(VLOOKUP(基础数据!C27,基础数据!C:C,1,0),"")</f>
        <v>芜湖博康机电股份有限公司</v>
      </c>
      <c r="D28" s="19"/>
      <c r="E28" s="90" t="str">
        <f>IFERROR(VLOOKUP(基础数据!E27,基础数据!E:E,1,0),"")</f>
        <v>3.2.50.30.02391-000</v>
      </c>
      <c r="F28" s="91" t="str">
        <f>IFERROR(VLOOKUP(基础数据!F27,基础数据!F:F,1,0),"")</f>
        <v>线束总成</v>
      </c>
      <c r="G28" s="87">
        <f>IFERROR(VLOOKUP(基础数据!G27,基础数据!G:G,1,0),"")</f>
        <v>30</v>
      </c>
      <c r="H28" s="33" t="str">
        <f>IFERROR(VLOOKUP(基础数据!H27,基础数据!H:H,1,0),"")</f>
        <v>料盒</v>
      </c>
      <c r="I28" s="87">
        <v>0</v>
      </c>
      <c r="J28" s="87">
        <v>0</v>
      </c>
      <c r="K28" s="93">
        <f>SUMIF(合格品入货记录!E:E,日报!E28,合格品入货记录!G:G)</f>
        <v>2649</v>
      </c>
      <c r="L28" s="93">
        <f>SUMIF(合格品出库记录!E:E,日报!E28,合格品出库记录!G:G)</f>
        <v>2250</v>
      </c>
      <c r="M28" s="87">
        <f>SUMIF(零跑退回!D:D,日报!E:E,零跑退回!F:F)</f>
        <v>0</v>
      </c>
      <c r="N28" s="87">
        <f>SUMIF(库内不良!D:D,E:E,库内不良!F:F)</f>
        <v>0</v>
      </c>
      <c r="O28" s="87">
        <f>SUMIF(退回供应商!D:D,日报!E:E,退回供应商!F:F)</f>
        <v>0</v>
      </c>
      <c r="P28" s="87">
        <f t="shared" si="4"/>
        <v>0</v>
      </c>
      <c r="Q28" s="88">
        <f t="shared" si="5"/>
        <v>399</v>
      </c>
      <c r="R28" s="93"/>
      <c r="S28" s="93"/>
      <c r="T28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8" s="93">
        <f>IF(SUMIFS(合格品入货记录!$G:$G,合格品入货记录!$E:$E,日报!$E:$E,合格品入货记录!$A:$A,日报!U$3)&lt;&gt;0,SUMIFS(合格品入货记录!$G:$G,合格品入货记录!$E:$E,日报!$E:$E,合格品入货记录!$A:$A,日报!U$3),"")</f>
        <v>810</v>
      </c>
      <c r="V28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8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8" s="93">
        <f>IF(SUMIFS(合格品入货记录!$G:$G,合格品入货记录!$E:$E,日报!$E:$E,合格品入货记录!$A:$A,日报!X$3)&lt;&gt;0,SUMIFS(合格品入货记录!$G:$G,合格品入货记录!$E:$E,日报!$E:$E,合格品入货记录!$A:$A,日报!X$3),"")</f>
        <v>510</v>
      </c>
      <c r="Y28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600</v>
      </c>
      <c r="Z28" s="93">
        <f>IF(SUMIFS(合格品入货记录!$G:$G,合格品入货记录!$E:$E,日报!$E:$E,合格品入货记录!$A:$A,日报!Z$3)&lt;&gt;0,SUMIFS(合格品入货记录!$G:$G,合格品入货记录!$E:$E,日报!$E:$E,合格品入货记录!$A:$A,日报!Z$3),"")</f>
        <v>729</v>
      </c>
      <c r="AA28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8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8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8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8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8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8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8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8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8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8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8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8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8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8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8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8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8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8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8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8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8" s="93"/>
      <c r="AW28" s="93"/>
      <c r="AX28" s="93"/>
      <c r="AY28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8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8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8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8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8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8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8" s="93">
        <f>IF(SUMIFS(合格品出库记录!$G:$G,合格品出库记录!$E:$E,日报!$E:$E,合格品出库记录!$A:$A,日报!BF$3)&lt;&gt;0,SUMIFS(合格品出库记录!$G:$G,合格品出库记录!$E:$E,日报!$E:$E,合格品出库记录!$A:$A,日报!BF$3),"")</f>
        <v>2250</v>
      </c>
      <c r="BG28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8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8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8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8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8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8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8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8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8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8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8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8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8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8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8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8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8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8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8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8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8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8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29" customHeight="1" spans="1:81">
      <c r="A29" s="87">
        <f t="shared" si="6"/>
        <v>26</v>
      </c>
      <c r="B29" s="88" t="str">
        <f>IFERROR(VLOOKUP(基础数据!B28,基础数据!B:B,1,0),"")</f>
        <v>1AZ</v>
      </c>
      <c r="C29" s="89" t="str">
        <f>IFERROR(VLOOKUP(基础数据!C28,基础数据!C:C,1,0),"")</f>
        <v>芜湖博康机电股份有限公司</v>
      </c>
      <c r="D29" s="19"/>
      <c r="E29" s="90" t="str">
        <f>IFERROR(VLOOKUP(基础数据!E28,基础数据!E:E,1,0),"")</f>
        <v>3.2.50.30.02392-000</v>
      </c>
      <c r="F29" s="91" t="str">
        <f>IFERROR(VLOOKUP(基础数据!F28,基础数据!F:F,1,0),"")</f>
        <v>线束总成</v>
      </c>
      <c r="G29" s="87">
        <f>IFERROR(VLOOKUP(基础数据!G28,基础数据!G:G,1,0),"")</f>
        <v>20</v>
      </c>
      <c r="H29" s="33" t="str">
        <f>IFERROR(VLOOKUP(基础数据!H28,基础数据!H:H,1,0),"")</f>
        <v>料盒</v>
      </c>
      <c r="I29" s="87">
        <v>0</v>
      </c>
      <c r="J29" s="87">
        <v>0</v>
      </c>
      <c r="K29" s="93">
        <f>SUMIF(合格品入货记录!E:E,日报!E29,合格品入货记录!G:G)</f>
        <v>2650</v>
      </c>
      <c r="L29" s="93">
        <f>SUMIF(合格品出库记录!E:E,日报!E29,合格品出库记录!G:G)</f>
        <v>2000</v>
      </c>
      <c r="M29" s="87">
        <f>SUMIF(零跑退回!D:D,日报!E:E,零跑退回!F:F)</f>
        <v>0</v>
      </c>
      <c r="N29" s="87">
        <f>SUMIF(库内不良!D:D,E:E,库内不良!F:F)</f>
        <v>0</v>
      </c>
      <c r="O29" s="87">
        <f>SUMIF(退回供应商!D:D,日报!E:E,退回供应商!F:F)</f>
        <v>0</v>
      </c>
      <c r="P29" s="87">
        <f t="shared" si="4"/>
        <v>0</v>
      </c>
      <c r="Q29" s="88">
        <f t="shared" si="5"/>
        <v>650</v>
      </c>
      <c r="R29" s="93"/>
      <c r="S29" s="93"/>
      <c r="T29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9" s="93">
        <f>IF(SUMIFS(合格品入货记录!$G:$G,合格品入货记录!$E:$E,日报!$E:$E,合格品入货记录!$A:$A,日报!U$3)&lt;&gt;0,SUMIFS(合格品入货记录!$G:$G,合格品入货记录!$E:$E,日报!$E:$E,合格品入货记录!$A:$A,日报!U$3),"")</f>
        <v>800</v>
      </c>
      <c r="V29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9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9" s="93">
        <f>IF(SUMIFS(合格品入货记录!$G:$G,合格品入货记录!$E:$E,日报!$E:$E,合格品入货记录!$A:$A,日报!X$3)&lt;&gt;0,SUMIFS(合格品入货记录!$G:$G,合格品入货记录!$E:$E,日报!$E:$E,合格品入货记录!$A:$A,日报!X$3),"")</f>
        <v>500</v>
      </c>
      <c r="Y29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1040</v>
      </c>
      <c r="Z29" s="93">
        <f>IF(SUMIFS(合格品入货记录!$G:$G,合格品入货记录!$E:$E,日报!$E:$E,合格品入货记录!$A:$A,日报!Z$3)&lt;&gt;0,SUMIFS(合格品入货记录!$G:$G,合格品入货记录!$E:$E,日报!$E:$E,合格品入货记录!$A:$A,日报!Z$3),"")</f>
        <v>310</v>
      </c>
      <c r="AA29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9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9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9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9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9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9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9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9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9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9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9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9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9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9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9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9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9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9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9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9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29" s="93"/>
      <c r="AW29" s="93"/>
      <c r="AX29" s="93"/>
      <c r="AY29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9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9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9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9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9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9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9" s="93">
        <f>IF(SUMIFS(合格品出库记录!$G:$G,合格品出库记录!$E:$E,日报!$E:$E,合格品出库记录!$A:$A,日报!BF$3)&lt;&gt;0,SUMIFS(合格品出库记录!$G:$G,合格品出库记录!$E:$E,日报!$E:$E,合格品出库记录!$A:$A,日报!BF$3),"")</f>
        <v>2000</v>
      </c>
      <c r="BG29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9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9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9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9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9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9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9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9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9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9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9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9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9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9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9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9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9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9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9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29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29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29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30" customHeight="1" spans="1:81">
      <c r="A30" s="87">
        <f t="shared" si="6"/>
        <v>27</v>
      </c>
      <c r="B30" s="88" t="str">
        <f>IFERROR(VLOOKUP(基础数据!B29,基础数据!B:B,1,0),"")</f>
        <v>1AZ</v>
      </c>
      <c r="C30" s="89" t="str">
        <f>IFERROR(VLOOKUP(基础数据!C29,基础数据!C:C,1,0),"")</f>
        <v>芜湖博康机电股份有限公司</v>
      </c>
      <c r="D30" s="19"/>
      <c r="E30" s="90" t="str">
        <f>IFERROR(VLOOKUP(基础数据!E29,基础数据!E:E,1,0),"")</f>
        <v>3.2.50.30.02364-000</v>
      </c>
      <c r="F30" s="91" t="str">
        <f>IFERROR(VLOOKUP(基础数据!F29,基础数据!F:F,1,0),"")</f>
        <v>线束总成</v>
      </c>
      <c r="G30" s="87">
        <f>IFERROR(VLOOKUP(基础数据!G29,基础数据!G:G,1,0),"")</f>
        <v>55</v>
      </c>
      <c r="H30" s="33" t="str">
        <f>IFERROR(VLOOKUP(基础数据!H29,基础数据!H:H,1,0),"")</f>
        <v>料盒</v>
      </c>
      <c r="I30" s="87">
        <v>0</v>
      </c>
      <c r="J30" s="87">
        <v>0</v>
      </c>
      <c r="K30" s="93">
        <f>SUMIF(合格品入货记录!E:E,日报!E30,合格品入货记录!G:G)</f>
        <v>105</v>
      </c>
      <c r="L30" s="93">
        <f>SUMIF(合格品出库记录!E:E,日报!E30,合格品出库记录!G:G)</f>
        <v>0</v>
      </c>
      <c r="M30" s="87">
        <f>SUMIF(零跑退回!D:D,日报!E:E,零跑退回!F:F)</f>
        <v>0</v>
      </c>
      <c r="N30" s="87">
        <f>SUMIF(库内不良!D:D,E:E,库内不良!F:F)</f>
        <v>0</v>
      </c>
      <c r="O30" s="87">
        <f>SUMIF(退回供应商!D:D,日报!E:E,退回供应商!F:F)</f>
        <v>0</v>
      </c>
      <c r="P30" s="87">
        <f t="shared" si="4"/>
        <v>0</v>
      </c>
      <c r="Q30" s="88">
        <f t="shared" si="5"/>
        <v>105</v>
      </c>
      <c r="R30" s="93"/>
      <c r="S30" s="93"/>
      <c r="T30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0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0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0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0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0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105</v>
      </c>
      <c r="Z30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0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0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0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0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0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0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0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0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0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0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0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0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0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0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0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0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0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0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0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0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0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0" s="93"/>
      <c r="AW30" s="93"/>
      <c r="AX30" s="93"/>
      <c r="AY30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0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0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0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0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0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0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0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0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0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0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0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0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0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0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0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0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0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0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0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0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0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0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0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0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0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0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0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0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0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0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31" customHeight="1" spans="1:81">
      <c r="A31" s="87">
        <f t="shared" si="6"/>
        <v>28</v>
      </c>
      <c r="B31" s="88" t="str">
        <f>IFERROR(VLOOKUP(基础数据!B30,基础数据!B:B,1,0),"")</f>
        <v>1AZ</v>
      </c>
      <c r="C31" s="89" t="str">
        <f>IFERROR(VLOOKUP(基础数据!C30,基础数据!C:C,1,0),"")</f>
        <v>芜湖博康机电股份有限公司</v>
      </c>
      <c r="D31" s="19"/>
      <c r="E31" s="90" t="str">
        <f>IFERROR(VLOOKUP(基础数据!E30,基础数据!E:E,1,0),"")</f>
        <v>3.2.50.30.02365-000</v>
      </c>
      <c r="F31" s="91" t="str">
        <f>IFERROR(VLOOKUP(基础数据!F30,基础数据!F:F,1,0),"")</f>
        <v>线束总成</v>
      </c>
      <c r="G31" s="87">
        <f>IFERROR(VLOOKUP(基础数据!G30,基础数据!G:G,1,0),"")</f>
        <v>55</v>
      </c>
      <c r="H31" s="33" t="str">
        <f>IFERROR(VLOOKUP(基础数据!H30,基础数据!H:H,1,0),"")</f>
        <v>料盒</v>
      </c>
      <c r="I31" s="87">
        <v>0</v>
      </c>
      <c r="J31" s="87">
        <v>0</v>
      </c>
      <c r="K31" s="93">
        <f>SUMIF(合格品入货记录!E:E,日报!E31,合格品入货记录!G:G)</f>
        <v>105</v>
      </c>
      <c r="L31" s="93">
        <f>SUMIF(合格品出库记录!E:E,日报!E31,合格品出库记录!G:G)</f>
        <v>0</v>
      </c>
      <c r="M31" s="87">
        <f>SUMIF(零跑退回!D:D,日报!E:E,零跑退回!F:F)</f>
        <v>0</v>
      </c>
      <c r="N31" s="87">
        <f>SUMIF(库内不良!D:D,E:E,库内不良!F:F)</f>
        <v>0</v>
      </c>
      <c r="O31" s="87">
        <f>SUMIF(退回供应商!D:D,日报!E:E,退回供应商!F:F)</f>
        <v>0</v>
      </c>
      <c r="P31" s="87">
        <f t="shared" si="4"/>
        <v>0</v>
      </c>
      <c r="Q31" s="88">
        <f t="shared" si="5"/>
        <v>105</v>
      </c>
      <c r="R31" s="93"/>
      <c r="S31" s="93"/>
      <c r="T31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1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1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1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1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1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105</v>
      </c>
      <c r="Z31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1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1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1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1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1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1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1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1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1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1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1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1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1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1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1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1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1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1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1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1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1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1" s="93"/>
      <c r="AW31" s="93"/>
      <c r="AX31" s="93"/>
      <c r="AY31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1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1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1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1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1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1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1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1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1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1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1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1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1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1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1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1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1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1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1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1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1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1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1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1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1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1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1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1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1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1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32" customHeight="1" spans="1:81">
      <c r="A32" s="87">
        <f t="shared" si="6"/>
        <v>29</v>
      </c>
      <c r="B32" s="88" t="str">
        <f>IFERROR(VLOOKUP(基础数据!B31,基础数据!B:B,1,0),"")</f>
        <v>1AZ</v>
      </c>
      <c r="C32" s="89" t="str">
        <f>IFERROR(VLOOKUP(基础数据!C31,基础数据!C:C,1,0),"")</f>
        <v>芜湖博康机电股份有限公司</v>
      </c>
      <c r="D32" s="19"/>
      <c r="E32" s="90" t="str">
        <f>IFERROR(VLOOKUP(基础数据!E31,基础数据!E:E,1,0),"")</f>
        <v>3.2.50.30.02366-000</v>
      </c>
      <c r="F32" s="91" t="str">
        <f>IFERROR(VLOOKUP(基础数据!F31,基础数据!F:F,1,0),"")</f>
        <v>线束总成</v>
      </c>
      <c r="G32" s="87">
        <f>IFERROR(VLOOKUP(基础数据!G31,基础数据!G:G,1,0),"")</f>
        <v>55</v>
      </c>
      <c r="H32" s="33" t="str">
        <f>IFERROR(VLOOKUP(基础数据!H31,基础数据!H:H,1,0),"")</f>
        <v>料盒</v>
      </c>
      <c r="I32" s="87">
        <v>0</v>
      </c>
      <c r="J32" s="87">
        <v>0</v>
      </c>
      <c r="K32" s="93">
        <f>SUMIF(合格品入货记录!E:E,日报!E32,合格品入货记录!G:G)</f>
        <v>105</v>
      </c>
      <c r="L32" s="93">
        <f>SUMIF(合格品出库记录!E:E,日报!E32,合格品出库记录!G:G)</f>
        <v>0</v>
      </c>
      <c r="M32" s="87">
        <f>SUMIF(零跑退回!D:D,日报!E:E,零跑退回!F:F)</f>
        <v>0</v>
      </c>
      <c r="N32" s="87">
        <f>SUMIF(库内不良!D:D,E:E,库内不良!F:F)</f>
        <v>0</v>
      </c>
      <c r="O32" s="87">
        <f>SUMIF(退回供应商!D:D,日报!E:E,退回供应商!F:F)</f>
        <v>0</v>
      </c>
      <c r="P32" s="87">
        <f t="shared" si="4"/>
        <v>0</v>
      </c>
      <c r="Q32" s="88">
        <f t="shared" si="5"/>
        <v>105</v>
      </c>
      <c r="R32" s="93"/>
      <c r="S32" s="93"/>
      <c r="T32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2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2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2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2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2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105</v>
      </c>
      <c r="Z32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2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2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2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2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2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2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2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2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2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2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2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2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2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2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2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2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2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2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2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2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2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2" s="93"/>
      <c r="AW32" s="93"/>
      <c r="AX32" s="93"/>
      <c r="AY32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2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2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2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2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2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2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2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2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2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2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2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2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2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2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2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2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2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2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2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2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2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2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2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2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2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2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2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2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2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2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33" customHeight="1" spans="1:81">
      <c r="A33" s="87">
        <f t="shared" si="6"/>
        <v>30</v>
      </c>
      <c r="B33" s="88" t="str">
        <f>IFERROR(VLOOKUP(基础数据!B32,基础数据!B:B,1,0),"")</f>
        <v>1AZ</v>
      </c>
      <c r="C33" s="89" t="str">
        <f>IFERROR(VLOOKUP(基础数据!C32,基础数据!C:C,1,0),"")</f>
        <v>芜湖博康机电股份有限公司</v>
      </c>
      <c r="D33" s="19"/>
      <c r="E33" s="90" t="str">
        <f>IFERROR(VLOOKUP(基础数据!E32,基础数据!E:E,1,0),"")</f>
        <v>3.2.50.30.02363-000</v>
      </c>
      <c r="F33" s="91" t="str">
        <f>IFERROR(VLOOKUP(基础数据!F32,基础数据!F:F,1,0),"")</f>
        <v>线束总成</v>
      </c>
      <c r="G33" s="87">
        <f>IFERROR(VLOOKUP(基础数据!G32,基础数据!G:G,1,0),"")</f>
        <v>21</v>
      </c>
      <c r="H33" s="33" t="str">
        <f>IFERROR(VLOOKUP(基础数据!H32,基础数据!H:H,1,0),"")</f>
        <v>料盒</v>
      </c>
      <c r="I33" s="87">
        <v>0</v>
      </c>
      <c r="J33" s="87">
        <v>0</v>
      </c>
      <c r="K33" s="93">
        <f>SUMIF(合格品入货记录!E:E,日报!E33,合格品入货记录!G:G)</f>
        <v>105</v>
      </c>
      <c r="L33" s="93">
        <f>SUMIF(合格品出库记录!E:E,日报!E33,合格品出库记录!G:G)</f>
        <v>0</v>
      </c>
      <c r="M33" s="87">
        <f>SUMIF(零跑退回!D:D,日报!E:E,零跑退回!F:F)</f>
        <v>0</v>
      </c>
      <c r="N33" s="87">
        <f>SUMIF(库内不良!D:D,E:E,库内不良!F:F)</f>
        <v>0</v>
      </c>
      <c r="O33" s="87">
        <f>SUMIF(退回供应商!D:D,日报!E:E,退回供应商!F:F)</f>
        <v>0</v>
      </c>
      <c r="P33" s="87">
        <f t="shared" si="4"/>
        <v>0</v>
      </c>
      <c r="Q33" s="88">
        <f t="shared" si="5"/>
        <v>105</v>
      </c>
      <c r="R33" s="93"/>
      <c r="S33" s="93"/>
      <c r="T33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3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3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3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3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3" s="93">
        <f>IF(SUMIFS(合格品入货记录!$G:$G,合格品入货记录!$E:$E,日报!$E:$E,合格品入货记录!$A:$A,日报!Y$3)&lt;&gt;0,SUMIFS(合格品入货记录!$G:$G,合格品入货记录!$E:$E,日报!$E:$E,合格品入货记录!$A:$A,日报!Y$3),"")</f>
        <v>105</v>
      </c>
      <c r="Z33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3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3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3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3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3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3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3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3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3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3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3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3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3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3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3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3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3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3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3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3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3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3" s="93"/>
      <c r="AW33" s="93"/>
      <c r="AX33" s="93"/>
      <c r="AY33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3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3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3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3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3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3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3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3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3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3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3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3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3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3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3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3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3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3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3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3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3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3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3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3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3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3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3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3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3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3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34" customHeight="1" spans="1:81">
      <c r="A34" s="87">
        <f t="shared" si="6"/>
        <v>31</v>
      </c>
      <c r="B34" s="88" t="str">
        <f>IFERROR(VLOOKUP(基础数据!B33,基础数据!B:B,1,0),"")</f>
        <v>1AZ</v>
      </c>
      <c r="C34" s="89" t="str">
        <f>IFERROR(VLOOKUP(基础数据!C33,基础数据!C:C,1,0),"")</f>
        <v>芜湖博康机电股份有限公司</v>
      </c>
      <c r="D34" s="19"/>
      <c r="E34" s="90" t="str">
        <f>IFERROR(VLOOKUP(基础数据!E33,基础数据!E:E,1,0),"")</f>
        <v>3.2.50.30.01130-000</v>
      </c>
      <c r="F34" s="91" t="str">
        <f>IFERROR(VLOOKUP(基础数据!F33,基础数据!F:F,1,0),"")</f>
        <v>A12-高压支路连接线束-400</v>
      </c>
      <c r="G34" s="87" t="str">
        <f>IFERROR(VLOOKUP(基础数据!G33,基础数据!G:G,1,0),"")</f>
        <v/>
      </c>
      <c r="H34" s="33" t="str">
        <f>IFERROR(VLOOKUP(基础数据!H33,基础数据!H:H,1,0),"")</f>
        <v>料盒</v>
      </c>
      <c r="I34" s="87">
        <v>0</v>
      </c>
      <c r="J34" s="87">
        <v>0</v>
      </c>
      <c r="K34" s="93">
        <f>SUMIF(合格品入货记录!E:E,日报!E34,合格品入货记录!G:G)</f>
        <v>0</v>
      </c>
      <c r="L34" s="93">
        <f>SUMIF(合格品出库记录!E:E,日报!E34,合格品出库记录!G:G)</f>
        <v>0</v>
      </c>
      <c r="M34" s="87">
        <f>SUMIF(零跑退回!D:D,日报!E:E,零跑退回!F:F)</f>
        <v>578</v>
      </c>
      <c r="N34" s="87">
        <f>SUMIF(库内不良!D:D,E:E,库内不良!F:F)</f>
        <v>0</v>
      </c>
      <c r="O34" s="87">
        <f>SUMIF(退回供应商!D:D,日报!E:E,退回供应商!F:F)</f>
        <v>0</v>
      </c>
      <c r="P34" s="87">
        <f t="shared" si="4"/>
        <v>578</v>
      </c>
      <c r="Q34" s="88">
        <f t="shared" si="5"/>
        <v>0</v>
      </c>
      <c r="R34" s="93"/>
      <c r="S34" s="93"/>
      <c r="T34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4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4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4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4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4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4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4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4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4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4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4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4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4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4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4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4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4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4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4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4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4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4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4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4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4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4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4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4" s="93"/>
      <c r="AW34" s="93"/>
      <c r="AX34" s="93"/>
      <c r="AY34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4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4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4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4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4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4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4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4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4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4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4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4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4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4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4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4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4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4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4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4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4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4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4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4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4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4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4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4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4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4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35" customHeight="1" spans="1:81">
      <c r="A35" s="87">
        <f t="shared" si="6"/>
        <v>32</v>
      </c>
      <c r="B35" s="88" t="str">
        <f>IFERROR(VLOOKUP(基础数据!B34,基础数据!B:B,1,0),"")</f>
        <v/>
      </c>
      <c r="C35" s="89" t="str">
        <f>IFERROR(VLOOKUP(基础数据!C34,基础数据!C:C,1,0),"")</f>
        <v/>
      </c>
      <c r="D35" s="19"/>
      <c r="E35" s="90" t="str">
        <f>IFERROR(VLOOKUP(基础数据!E34,基础数据!E:E,1,0),"")</f>
        <v/>
      </c>
      <c r="F35" s="91" t="str">
        <f>IFERROR(VLOOKUP(基础数据!F34,基础数据!F:F,1,0),"")</f>
        <v/>
      </c>
      <c r="G35" s="87" t="str">
        <f>IFERROR(VLOOKUP(基础数据!G34,基础数据!G:G,1,0),"")</f>
        <v/>
      </c>
      <c r="H35" s="33" t="str">
        <f>IFERROR(VLOOKUP(基础数据!H34,基础数据!H:H,1,0),"")</f>
        <v/>
      </c>
      <c r="I35" s="87">
        <v>0</v>
      </c>
      <c r="J35" s="87">
        <v>0</v>
      </c>
      <c r="K35" s="93">
        <f>SUMIF(合格品入货记录!E:E,日报!E35,合格品入货记录!G:G)</f>
        <v>0</v>
      </c>
      <c r="L35" s="93">
        <f>SUMIF(合格品出库记录!E:E,日报!E35,合格品出库记录!G:G)</f>
        <v>0</v>
      </c>
      <c r="M35" s="87">
        <f>SUMIF(零跑退回!D:D,日报!E:E,零跑退回!F:F)</f>
        <v>0</v>
      </c>
      <c r="N35" s="87">
        <f>SUMIF(库内不良!D:D,E:E,库内不良!F:F)</f>
        <v>0</v>
      </c>
      <c r="O35" s="87">
        <f>SUMIF(退回供应商!D:D,日报!E:E,退回供应商!F:F)</f>
        <v>0</v>
      </c>
      <c r="P35" s="87">
        <f t="shared" si="4"/>
        <v>0</v>
      </c>
      <c r="Q35" s="88">
        <f t="shared" si="5"/>
        <v>0</v>
      </c>
      <c r="R35" s="93"/>
      <c r="S35" s="93"/>
      <c r="T35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5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5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5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5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5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5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5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5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5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5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5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5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5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5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5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5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5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5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5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5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5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5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5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5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5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5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5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5" s="93"/>
      <c r="AW35" s="93"/>
      <c r="AX35" s="93"/>
      <c r="AY35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5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5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5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5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5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5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5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5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5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5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5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5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5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5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5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5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5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5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5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5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5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5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5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5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5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5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5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5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5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5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36" customHeight="1" spans="1:81">
      <c r="A36" s="87">
        <f t="shared" si="6"/>
        <v>33</v>
      </c>
      <c r="B36" s="88" t="str">
        <f>IFERROR(VLOOKUP(基础数据!B35,基础数据!B:B,1,0),"")</f>
        <v/>
      </c>
      <c r="C36" s="89" t="str">
        <f>IFERROR(VLOOKUP(基础数据!C35,基础数据!C:C,1,0),"")</f>
        <v/>
      </c>
      <c r="D36" s="19"/>
      <c r="E36" s="90" t="str">
        <f>IFERROR(VLOOKUP(基础数据!E35,基础数据!E:E,1,0),"")</f>
        <v/>
      </c>
      <c r="F36" s="91" t="str">
        <f>IFERROR(VLOOKUP(基础数据!F35,基础数据!F:F,1,0),"")</f>
        <v/>
      </c>
      <c r="G36" s="87" t="str">
        <f>IFERROR(VLOOKUP(基础数据!G35,基础数据!G:G,1,0),"")</f>
        <v/>
      </c>
      <c r="H36" s="33" t="str">
        <f>IFERROR(VLOOKUP(基础数据!H35,基础数据!H:H,1,0),"")</f>
        <v/>
      </c>
      <c r="I36" s="87">
        <v>0</v>
      </c>
      <c r="J36" s="87">
        <v>0</v>
      </c>
      <c r="K36" s="93">
        <f>SUMIF(合格品入货记录!E:E,日报!E36,合格品入货记录!G:G)</f>
        <v>0</v>
      </c>
      <c r="L36" s="93">
        <f>SUMIF(合格品出库记录!E:E,日报!E36,合格品出库记录!G:G)</f>
        <v>0</v>
      </c>
      <c r="M36" s="87">
        <f>SUMIF(零跑退回!D:D,日报!E:E,零跑退回!F:F)</f>
        <v>0</v>
      </c>
      <c r="N36" s="87">
        <f>SUMIF(库内不良!D:D,E:E,库内不良!F:F)</f>
        <v>0</v>
      </c>
      <c r="O36" s="87">
        <f>SUMIF(退回供应商!D:D,日报!E:E,退回供应商!F:F)</f>
        <v>0</v>
      </c>
      <c r="P36" s="87">
        <f t="shared" si="4"/>
        <v>0</v>
      </c>
      <c r="Q36" s="88">
        <f t="shared" si="5"/>
        <v>0</v>
      </c>
      <c r="R36" s="93"/>
      <c r="S36" s="93"/>
      <c r="T36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6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6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6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6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6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6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6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6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6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6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6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6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6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6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6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6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6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6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6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6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6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6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6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6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6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6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6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36" s="93"/>
      <c r="AW36" s="93"/>
      <c r="AX36" s="93"/>
      <c r="AY36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6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6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6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6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6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6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6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6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6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6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6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6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6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6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6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6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6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6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6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6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6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6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6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6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6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6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6" s="8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36" s="8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36" s="8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36" s="8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autoFilter xmlns:etc="http://www.wps.cn/officeDocument/2017/etCustomData" ref="A1:CC36" etc:filterBottomFollowUsedRange="0">
    <extLst/>
  </autoFilter>
  <mergeCells count="22">
    <mergeCell ref="A1:E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D4:D6">
    <cfRule type="duplicateValues" dxfId="0" priority="19"/>
  </conditionalFormatting>
  <conditionalFormatting sqref="E4:E14">
    <cfRule type="duplicateValues" dxfId="0" priority="15"/>
  </conditionalFormatting>
  <conditionalFormatting sqref="F4:F14">
    <cfRule type="duplicateValues" dxfId="0" priority="16"/>
  </conditionalFormatting>
  <conditionalFormatting sqref="Q4:Q36">
    <cfRule type="cellIs" dxfId="1" priority="165" operator="lessThanOrEqual">
      <formula>300</formula>
    </cfRule>
    <cfRule type="cellIs" dxfId="2" priority="168" operator="greaterThan">
      <formula>300</formula>
    </cfRule>
  </conditionalFormatting>
  <conditionalFormatting sqref="E2:E3 D2">
    <cfRule type="duplicateValues" dxfId="3" priority="17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"/>
  <sheetViews>
    <sheetView showGridLines="0" zoomScale="85" zoomScaleNormal="85" workbookViewId="0">
      <pane ySplit="1" topLeftCell="A27" activePane="bottomLeft" state="frozen"/>
      <selection/>
      <selection pane="bottomLeft" activeCell="E47" sqref="E47"/>
    </sheetView>
  </sheetViews>
  <sheetFormatPr defaultColWidth="11.3333333333333" defaultRowHeight="19.95" customHeight="1"/>
  <cols>
    <col min="1" max="1" width="15.4166666666667" style="59" customWidth="1"/>
    <col min="2" max="2" width="12.3333333333333" style="42" customWidth="1"/>
    <col min="3" max="3" width="32.7777777777778" style="42" customWidth="1"/>
    <col min="4" max="4" width="20.6666666666667" style="42" customWidth="1"/>
    <col min="5" max="5" width="26.5555555555556" style="42" customWidth="1"/>
    <col min="6" max="6" width="33.1111111111111" style="60" customWidth="1"/>
    <col min="7" max="7" width="11.2222222222222" style="42" customWidth="1"/>
    <col min="8" max="8" width="12.5555555555556" style="44" customWidth="1"/>
    <col min="9" max="9" width="10.4444444444444" style="42" customWidth="1"/>
    <col min="10" max="10" width="23.2222222222222" style="61" customWidth="1"/>
    <col min="11" max="11" width="14.3333333333333" style="62"/>
    <col min="12" max="12" width="14.3333333333333" style="63" customWidth="1"/>
    <col min="13" max="16384" width="11.3333333333333" style="63"/>
  </cols>
  <sheetData>
    <row r="1" s="58" customFormat="1" customHeight="1" spans="1:11">
      <c r="A1" s="64" t="s">
        <v>23</v>
      </c>
      <c r="B1" s="65" t="s">
        <v>24</v>
      </c>
      <c r="C1" s="65" t="s">
        <v>5</v>
      </c>
      <c r="D1" s="65" t="s">
        <v>25</v>
      </c>
      <c r="E1" s="65" t="s">
        <v>26</v>
      </c>
      <c r="F1" s="66" t="s">
        <v>8</v>
      </c>
      <c r="G1" s="65" t="s">
        <v>27</v>
      </c>
      <c r="H1" s="67" t="s">
        <v>28</v>
      </c>
      <c r="I1" s="68" t="s">
        <v>29</v>
      </c>
      <c r="J1" s="69" t="s">
        <v>30</v>
      </c>
      <c r="K1" s="70" t="s">
        <v>31</v>
      </c>
    </row>
    <row r="2" customHeight="1" spans="1:11">
      <c r="A2" s="37">
        <v>46144</v>
      </c>
      <c r="B2" s="9" t="s">
        <v>32</v>
      </c>
      <c r="C2" s="10" t="s">
        <v>33</v>
      </c>
      <c r="D2" s="38"/>
      <c r="E2" s="15" t="s">
        <v>34</v>
      </c>
      <c r="F2" s="50" t="str">
        <f>VLOOKUP(E2,基础数据!E:F,2,FALSE)</f>
        <v>LX00148-CCS总成</v>
      </c>
      <c r="G2" s="51">
        <v>900</v>
      </c>
      <c r="H2" s="51" t="str">
        <f>VLOOKUP(E2,基础数据!E:H,4,FALSE)</f>
        <v>纸箱</v>
      </c>
      <c r="I2" s="51">
        <f>VLOOKUP(E2,基础数据!E:G,3,FALSE)</f>
        <v>12</v>
      </c>
      <c r="J2" s="49" t="s">
        <v>35</v>
      </c>
      <c r="K2" s="52">
        <f>IFERROR(G2/I2,"")</f>
        <v>75</v>
      </c>
    </row>
    <row r="3" customHeight="1" spans="1:11">
      <c r="A3" s="37">
        <v>46144</v>
      </c>
      <c r="B3" s="9" t="s">
        <v>32</v>
      </c>
      <c r="C3" s="10" t="s">
        <v>33</v>
      </c>
      <c r="D3" s="38"/>
      <c r="E3" s="15" t="s">
        <v>36</v>
      </c>
      <c r="F3" s="50" t="str">
        <f>VLOOKUP(E3,基础数据!E:F,2,FALSE)</f>
        <v>线束总成</v>
      </c>
      <c r="G3" s="51">
        <v>810</v>
      </c>
      <c r="H3" s="51" t="str">
        <f>VLOOKUP(E3,基础数据!E:H,4,FALSE)</f>
        <v>料盒</v>
      </c>
      <c r="I3" s="51">
        <f>VLOOKUP(E3,基础数据!E:G,3,FALSE)</f>
        <v>30</v>
      </c>
      <c r="J3" s="49" t="s">
        <v>35</v>
      </c>
      <c r="K3" s="52">
        <f t="shared" ref="K3:K15" si="0">IFERROR(G3/I3,"")</f>
        <v>27</v>
      </c>
    </row>
    <row r="4" customHeight="1" spans="1:11">
      <c r="A4" s="37">
        <v>46144</v>
      </c>
      <c r="B4" s="9" t="s">
        <v>32</v>
      </c>
      <c r="C4" s="10" t="s">
        <v>33</v>
      </c>
      <c r="D4" s="38"/>
      <c r="E4" s="15" t="s">
        <v>37</v>
      </c>
      <c r="F4" s="50" t="str">
        <f>VLOOKUP(E4,基础数据!E:F,2,FALSE)</f>
        <v>线束总成</v>
      </c>
      <c r="G4" s="51">
        <v>800</v>
      </c>
      <c r="H4" s="51" t="str">
        <f>VLOOKUP(E4,基础数据!E:H,4,FALSE)</f>
        <v>料盒</v>
      </c>
      <c r="I4" s="51">
        <f>VLOOKUP(E4,基础数据!E:G,3,FALSE)</f>
        <v>20</v>
      </c>
      <c r="J4" s="49" t="s">
        <v>35</v>
      </c>
      <c r="K4" s="52">
        <f t="shared" si="0"/>
        <v>40</v>
      </c>
    </row>
    <row r="5" customHeight="1" spans="1:11">
      <c r="A5" s="37">
        <v>46147</v>
      </c>
      <c r="B5" s="9" t="s">
        <v>32</v>
      </c>
      <c r="C5" s="10" t="s">
        <v>33</v>
      </c>
      <c r="D5" s="38"/>
      <c r="E5" s="38" t="s">
        <v>36</v>
      </c>
      <c r="F5" s="50" t="str">
        <f>VLOOKUP(E5,基础数据!E:F,2,FALSE)</f>
        <v>线束总成</v>
      </c>
      <c r="G5" s="51">
        <v>510</v>
      </c>
      <c r="H5" s="51" t="str">
        <f>VLOOKUP(E5,基础数据!E:H,4,FALSE)</f>
        <v>料盒</v>
      </c>
      <c r="I5" s="51">
        <f>VLOOKUP(E5,基础数据!E:G,3,FALSE)</f>
        <v>30</v>
      </c>
      <c r="J5" s="49" t="s">
        <v>35</v>
      </c>
      <c r="K5" s="52">
        <f t="shared" si="0"/>
        <v>17</v>
      </c>
    </row>
    <row r="6" customHeight="1" spans="1:11">
      <c r="A6" s="37">
        <v>46147</v>
      </c>
      <c r="B6" s="9" t="s">
        <v>32</v>
      </c>
      <c r="C6" s="10" t="s">
        <v>33</v>
      </c>
      <c r="D6" s="38"/>
      <c r="E6" s="38" t="s">
        <v>37</v>
      </c>
      <c r="F6" s="50" t="str">
        <f>VLOOKUP(E6,基础数据!E:F,2,FALSE)</f>
        <v>线束总成</v>
      </c>
      <c r="G6" s="51">
        <v>500</v>
      </c>
      <c r="H6" s="51" t="str">
        <f>VLOOKUP(E6,基础数据!E:H,4,FALSE)</f>
        <v>料盒</v>
      </c>
      <c r="I6" s="51">
        <f>VLOOKUP(E6,基础数据!E:G,3,FALSE)</f>
        <v>20</v>
      </c>
      <c r="J6" s="49" t="s">
        <v>35</v>
      </c>
      <c r="K6" s="52">
        <f t="shared" si="0"/>
        <v>25</v>
      </c>
    </row>
    <row r="7" customHeight="1" spans="1:11">
      <c r="A7" s="37">
        <v>46147</v>
      </c>
      <c r="B7" s="9" t="s">
        <v>32</v>
      </c>
      <c r="C7" s="10" t="s">
        <v>33</v>
      </c>
      <c r="D7" s="38"/>
      <c r="E7" s="38" t="s">
        <v>34</v>
      </c>
      <c r="F7" s="50" t="str">
        <f>VLOOKUP(E7,基础数据!E:F,2,FALSE)</f>
        <v>LX00148-CCS总成</v>
      </c>
      <c r="G7" s="51">
        <v>600</v>
      </c>
      <c r="H7" s="51" t="str">
        <f>VLOOKUP(E7,基础数据!E:H,4,FALSE)</f>
        <v>纸箱</v>
      </c>
      <c r="I7" s="51">
        <f>VLOOKUP(E7,基础数据!E:G,3,FALSE)</f>
        <v>12</v>
      </c>
      <c r="J7" s="49" t="s">
        <v>35</v>
      </c>
      <c r="K7" s="52">
        <f t="shared" si="0"/>
        <v>50</v>
      </c>
    </row>
    <row r="8" customHeight="1" spans="1:11">
      <c r="A8" s="37">
        <v>46148</v>
      </c>
      <c r="B8" s="9" t="s">
        <v>32</v>
      </c>
      <c r="C8" s="10" t="s">
        <v>33</v>
      </c>
      <c r="D8" s="38"/>
      <c r="E8" s="38" t="s">
        <v>34</v>
      </c>
      <c r="F8" s="50" t="str">
        <f>VLOOKUP(E8,基础数据!E:F,2,FALSE)</f>
        <v>LX00148-CCS总成</v>
      </c>
      <c r="G8" s="51">
        <v>600</v>
      </c>
      <c r="H8" s="51" t="str">
        <f>VLOOKUP(E8,基础数据!E:H,4,FALSE)</f>
        <v>纸箱</v>
      </c>
      <c r="I8" s="51">
        <f>VLOOKUP(E8,基础数据!E:G,3,FALSE)</f>
        <v>12</v>
      </c>
      <c r="J8" s="49" t="s">
        <v>35</v>
      </c>
      <c r="K8" s="52">
        <f t="shared" si="0"/>
        <v>50</v>
      </c>
    </row>
    <row r="9" customHeight="1" spans="1:11">
      <c r="A9" s="37">
        <v>46148</v>
      </c>
      <c r="B9" s="9" t="s">
        <v>32</v>
      </c>
      <c r="C9" s="10" t="s">
        <v>33</v>
      </c>
      <c r="D9" s="38"/>
      <c r="E9" s="15" t="s">
        <v>38</v>
      </c>
      <c r="F9" s="50" t="str">
        <f>VLOOKUP(E9,基础数据!E:F,2,FALSE)</f>
        <v>线束总成</v>
      </c>
      <c r="G9" s="51">
        <v>55</v>
      </c>
      <c r="H9" s="51" t="str">
        <f>VLOOKUP(E9,基础数据!E:H,4,FALSE)</f>
        <v>料盒</v>
      </c>
      <c r="I9" s="51">
        <f>VLOOKUP(E9,基础数据!E:G,3,FALSE)</f>
        <v>55</v>
      </c>
      <c r="J9" s="49" t="s">
        <v>35</v>
      </c>
      <c r="K9" s="52">
        <f t="shared" si="0"/>
        <v>1</v>
      </c>
    </row>
    <row r="10" customHeight="1" spans="1:11">
      <c r="A10" s="37">
        <v>46148</v>
      </c>
      <c r="B10" s="9" t="s">
        <v>32</v>
      </c>
      <c r="C10" s="10" t="s">
        <v>33</v>
      </c>
      <c r="D10" s="38"/>
      <c r="E10" s="15" t="s">
        <v>39</v>
      </c>
      <c r="F10" s="50" t="str">
        <f>VLOOKUP(E10,基础数据!E:F,2,FALSE)</f>
        <v>线束总成</v>
      </c>
      <c r="G10" s="51">
        <v>55</v>
      </c>
      <c r="H10" s="51" t="str">
        <f>VLOOKUP(E10,基础数据!E:H,4,FALSE)</f>
        <v>料盒</v>
      </c>
      <c r="I10" s="51">
        <f>VLOOKUP(E10,基础数据!E:G,3,FALSE)</f>
        <v>55</v>
      </c>
      <c r="J10" s="49" t="s">
        <v>35</v>
      </c>
      <c r="K10" s="52">
        <f t="shared" si="0"/>
        <v>1</v>
      </c>
    </row>
    <row r="11" customHeight="1" spans="1:11">
      <c r="A11" s="37">
        <v>46148</v>
      </c>
      <c r="B11" s="9" t="s">
        <v>32</v>
      </c>
      <c r="C11" s="10" t="s">
        <v>33</v>
      </c>
      <c r="D11" s="38"/>
      <c r="E11" s="15" t="s">
        <v>40</v>
      </c>
      <c r="F11" s="50" t="str">
        <f>VLOOKUP(E11,基础数据!E:F,2,FALSE)</f>
        <v>线束总成</v>
      </c>
      <c r="G11" s="51">
        <v>55</v>
      </c>
      <c r="H11" s="51" t="str">
        <f>VLOOKUP(E11,基础数据!E:H,4,FALSE)</f>
        <v>料盒</v>
      </c>
      <c r="I11" s="51">
        <f>VLOOKUP(E11,基础数据!E:G,3,FALSE)</f>
        <v>55</v>
      </c>
      <c r="J11" s="49" t="s">
        <v>35</v>
      </c>
      <c r="K11" s="52">
        <f t="shared" si="0"/>
        <v>1</v>
      </c>
    </row>
    <row r="12" customHeight="1" spans="1:11">
      <c r="A12" s="37">
        <v>46148</v>
      </c>
      <c r="B12" s="9" t="s">
        <v>32</v>
      </c>
      <c r="C12" s="10" t="s">
        <v>33</v>
      </c>
      <c r="D12" s="38"/>
      <c r="E12" s="15" t="s">
        <v>41</v>
      </c>
      <c r="F12" s="50" t="str">
        <f>VLOOKUP(E12,基础数据!E:F,2,FALSE)</f>
        <v>线束总成</v>
      </c>
      <c r="G12" s="51">
        <v>105</v>
      </c>
      <c r="H12" s="51" t="str">
        <f>VLOOKUP(E12,基础数据!E:H,4,FALSE)</f>
        <v>料盒</v>
      </c>
      <c r="I12" s="51">
        <f>VLOOKUP(E12,基础数据!E:G,3,FALSE)</f>
        <v>21</v>
      </c>
      <c r="J12" s="49" t="s">
        <v>35</v>
      </c>
      <c r="K12" s="52">
        <f t="shared" si="0"/>
        <v>5</v>
      </c>
    </row>
    <row r="13" customHeight="1" spans="1:11">
      <c r="A13" s="37">
        <v>46148</v>
      </c>
      <c r="B13" s="9" t="s">
        <v>32</v>
      </c>
      <c r="C13" s="10" t="s">
        <v>33</v>
      </c>
      <c r="D13" s="38"/>
      <c r="E13" s="15" t="s">
        <v>38</v>
      </c>
      <c r="F13" s="50" t="str">
        <f>VLOOKUP(E13,基础数据!E:F,2,FALSE)</f>
        <v>线束总成</v>
      </c>
      <c r="G13" s="51">
        <v>50</v>
      </c>
      <c r="H13" s="51" t="str">
        <f>VLOOKUP(E13,基础数据!E:H,4,FALSE)</f>
        <v>料盒</v>
      </c>
      <c r="I13" s="51">
        <f>VLOOKUP(E13,基础数据!E:G,3,FALSE)</f>
        <v>55</v>
      </c>
      <c r="J13" s="49" t="s">
        <v>35</v>
      </c>
      <c r="K13" s="52">
        <f t="shared" si="0"/>
        <v>0.909090909090909</v>
      </c>
    </row>
    <row r="14" customHeight="1" spans="1:11">
      <c r="A14" s="37">
        <v>46148</v>
      </c>
      <c r="B14" s="9" t="s">
        <v>32</v>
      </c>
      <c r="C14" s="10" t="s">
        <v>33</v>
      </c>
      <c r="D14" s="38"/>
      <c r="E14" s="15" t="s">
        <v>39</v>
      </c>
      <c r="F14" s="50" t="str">
        <f>VLOOKUP(E14,基础数据!E:F,2,FALSE)</f>
        <v>线束总成</v>
      </c>
      <c r="G14" s="51">
        <v>50</v>
      </c>
      <c r="H14" s="51" t="str">
        <f>VLOOKUP(E14,基础数据!E:H,4,FALSE)</f>
        <v>料盒</v>
      </c>
      <c r="I14" s="51">
        <f>VLOOKUP(E14,基础数据!E:G,3,FALSE)</f>
        <v>55</v>
      </c>
      <c r="J14" s="49" t="s">
        <v>35</v>
      </c>
      <c r="K14" s="52">
        <f t="shared" si="0"/>
        <v>0.909090909090909</v>
      </c>
    </row>
    <row r="15" customHeight="1" spans="1:11">
      <c r="A15" s="37">
        <v>46148</v>
      </c>
      <c r="B15" s="9" t="s">
        <v>32</v>
      </c>
      <c r="C15" s="10" t="s">
        <v>33</v>
      </c>
      <c r="D15" s="38"/>
      <c r="E15" s="15" t="s">
        <v>40</v>
      </c>
      <c r="F15" s="50" t="str">
        <f>VLOOKUP(E15,基础数据!E:F,2,FALSE)</f>
        <v>线束总成</v>
      </c>
      <c r="G15" s="51">
        <v>50</v>
      </c>
      <c r="H15" s="51" t="str">
        <f>VLOOKUP(E15,基础数据!E:H,4,FALSE)</f>
        <v>料盒</v>
      </c>
      <c r="I15" s="51">
        <f>VLOOKUP(E15,基础数据!E:G,3,FALSE)</f>
        <v>55</v>
      </c>
      <c r="J15" s="49" t="s">
        <v>35</v>
      </c>
      <c r="K15" s="52">
        <f t="shared" si="0"/>
        <v>0.909090909090909</v>
      </c>
    </row>
    <row r="16" customHeight="1" spans="1:11">
      <c r="A16" s="37">
        <v>46148</v>
      </c>
      <c r="B16" s="9" t="s">
        <v>32</v>
      </c>
      <c r="C16" s="10" t="s">
        <v>33</v>
      </c>
      <c r="D16" s="38"/>
      <c r="E16" s="38" t="s">
        <v>42</v>
      </c>
      <c r="F16" s="50" t="str">
        <f>VLOOKUP(E16,基础数据!E:F,2,FALSE)</f>
        <v>A12EV10-通讯-水温-互锁集成线束-500</v>
      </c>
      <c r="G16" s="51">
        <v>1500</v>
      </c>
      <c r="H16" s="51" t="str">
        <f>VLOOKUP(E16,基础数据!E:H,4,FALSE)</f>
        <v>料盒</v>
      </c>
      <c r="I16" s="51">
        <f>VLOOKUP(E16,基础数据!E:G,3,FALSE)</f>
        <v>30</v>
      </c>
      <c r="J16" s="49" t="s">
        <v>35</v>
      </c>
      <c r="K16" s="52">
        <f t="shared" ref="K16:K34" si="1">IFERROR(G16/I16,"")</f>
        <v>50</v>
      </c>
    </row>
    <row r="17" customHeight="1" spans="1:11">
      <c r="A17" s="37">
        <v>46148</v>
      </c>
      <c r="B17" s="9" t="s">
        <v>32</v>
      </c>
      <c r="C17" s="10" t="s">
        <v>33</v>
      </c>
      <c r="D17" s="38"/>
      <c r="E17" s="8" t="s">
        <v>43</v>
      </c>
      <c r="F17" s="50" t="str">
        <f>VLOOKUP(E17,基础数据!E:F,2,FALSE)</f>
        <v>A12EV10-BDU-采样集成线束</v>
      </c>
      <c r="G17" s="51">
        <v>1500</v>
      </c>
      <c r="H17" s="51" t="str">
        <f>VLOOKUP(E17,基础数据!E:H,4,FALSE)</f>
        <v>料盒</v>
      </c>
      <c r="I17" s="51">
        <f>VLOOKUP(E17,基础数据!E:G,3,FALSE)</f>
        <v>50</v>
      </c>
      <c r="J17" s="49" t="s">
        <v>35</v>
      </c>
      <c r="K17" s="52">
        <f t="shared" si="1"/>
        <v>30</v>
      </c>
    </row>
    <row r="18" customHeight="1" spans="1:11">
      <c r="A18" s="37">
        <v>46148</v>
      </c>
      <c r="B18" s="9" t="s">
        <v>32</v>
      </c>
      <c r="C18" s="10" t="s">
        <v>33</v>
      </c>
      <c r="D18" s="38"/>
      <c r="E18" s="38" t="s">
        <v>44</v>
      </c>
      <c r="F18" s="50" t="str">
        <f>VLOOKUP(E18,基础数据!E:F,2,FALSE)</f>
        <v>A12-高压支路连接线束-500</v>
      </c>
      <c r="G18" s="51">
        <v>700</v>
      </c>
      <c r="H18" s="51" t="str">
        <f>VLOOKUP(E18,基础数据!E:H,4,FALSE)</f>
        <v>料盒</v>
      </c>
      <c r="I18" s="51">
        <f>VLOOKUP(E18,基础数据!E:G,3,FALSE)</f>
        <v>20</v>
      </c>
      <c r="J18" s="49" t="s">
        <v>35</v>
      </c>
      <c r="K18" s="52">
        <f t="shared" si="1"/>
        <v>35</v>
      </c>
    </row>
    <row r="19" customHeight="1" spans="1:11">
      <c r="A19" s="37">
        <v>46148</v>
      </c>
      <c r="B19" s="9" t="s">
        <v>32</v>
      </c>
      <c r="C19" s="10" t="s">
        <v>33</v>
      </c>
      <c r="D19" s="38"/>
      <c r="E19" s="38" t="s">
        <v>45</v>
      </c>
      <c r="F19" s="50" t="str">
        <f>VLOOKUP(E19,基础数据!E:F,2,FALSE)</f>
        <v>A12EV10-预充电阻连接线束</v>
      </c>
      <c r="G19" s="51">
        <v>1500</v>
      </c>
      <c r="H19" s="51" t="str">
        <f>VLOOKUP(E19,基础数据!E:H,4,FALSE)</f>
        <v>料盒</v>
      </c>
      <c r="I19" s="51">
        <f>VLOOKUP(E19,基础数据!E:G,3,FALSE)</f>
        <v>100</v>
      </c>
      <c r="J19" s="49" t="s">
        <v>35</v>
      </c>
      <c r="K19" s="52">
        <f t="shared" si="1"/>
        <v>15</v>
      </c>
    </row>
    <row r="20" customHeight="1" spans="1:11">
      <c r="A20" s="37">
        <v>46148</v>
      </c>
      <c r="B20" s="9" t="s">
        <v>32</v>
      </c>
      <c r="C20" s="10" t="s">
        <v>33</v>
      </c>
      <c r="D20" s="38"/>
      <c r="E20" s="38" t="s">
        <v>46</v>
      </c>
      <c r="F20" s="50" t="str">
        <f>VLOOKUP(E20,基础数据!E:F,2,FALSE)</f>
        <v>A12-预充电阻连接线束1</v>
      </c>
      <c r="G20" s="51">
        <v>3000</v>
      </c>
      <c r="H20" s="51" t="str">
        <f>VLOOKUP(E20,基础数据!E:H,4,FALSE)</f>
        <v>料盒</v>
      </c>
      <c r="I20" s="51">
        <f>VLOOKUP(E20,基础数据!E:G,3,FALSE)</f>
        <v>1500</v>
      </c>
      <c r="J20" s="49" t="s">
        <v>35</v>
      </c>
      <c r="K20" s="52">
        <f t="shared" si="1"/>
        <v>2</v>
      </c>
    </row>
    <row r="21" customHeight="1" spans="1:11">
      <c r="A21" s="37">
        <v>46148</v>
      </c>
      <c r="B21" s="9" t="s">
        <v>32</v>
      </c>
      <c r="C21" s="10" t="s">
        <v>33</v>
      </c>
      <c r="D21" s="38"/>
      <c r="E21" s="38" t="s">
        <v>47</v>
      </c>
      <c r="F21" s="50" t="str">
        <f>VLOOKUP(E21,基础数据!E:F,2,FALSE)</f>
        <v>A12-菊花链线束</v>
      </c>
      <c r="G21" s="51">
        <v>4500</v>
      </c>
      <c r="H21" s="51" t="str">
        <f>VLOOKUP(E21,基础数据!E:H,4,FALSE)</f>
        <v>料盒</v>
      </c>
      <c r="I21" s="51">
        <f>VLOOKUP(E21,基础数据!E:G,3,FALSE)</f>
        <v>1500</v>
      </c>
      <c r="J21" s="49" t="s">
        <v>35</v>
      </c>
      <c r="K21" s="52">
        <f t="shared" si="1"/>
        <v>3</v>
      </c>
    </row>
    <row r="22" customHeight="1" spans="1:11">
      <c r="A22" s="37">
        <v>46148</v>
      </c>
      <c r="B22" s="9" t="s">
        <v>32</v>
      </c>
      <c r="C22" s="10" t="s">
        <v>33</v>
      </c>
      <c r="D22" s="38"/>
      <c r="E22" s="38" t="s">
        <v>48</v>
      </c>
      <c r="F22" s="50" t="str">
        <f>VLOOKUP(E22,基础数据!E:F,2,FALSE)</f>
        <v>A12-外部通讯连接线束</v>
      </c>
      <c r="G22" s="51">
        <v>1500</v>
      </c>
      <c r="H22" s="51" t="str">
        <f>VLOOKUP(E22,基础数据!E:H,4,FALSE)</f>
        <v>料盒</v>
      </c>
      <c r="I22" s="51">
        <f>VLOOKUP(E22,基础数据!E:G,3,FALSE)</f>
        <v>100</v>
      </c>
      <c r="J22" s="49" t="s">
        <v>35</v>
      </c>
      <c r="K22" s="52">
        <f t="shared" si="1"/>
        <v>15</v>
      </c>
    </row>
    <row r="23" customHeight="1" spans="1:11">
      <c r="A23" s="37">
        <v>46148</v>
      </c>
      <c r="B23" s="9" t="s">
        <v>32</v>
      </c>
      <c r="C23" s="10" t="s">
        <v>33</v>
      </c>
      <c r="D23" s="38"/>
      <c r="E23" s="38" t="s">
        <v>49</v>
      </c>
      <c r="F23" s="50" t="str">
        <f>VLOOKUP(E23,基础数据!E:F,2,FALSE)</f>
        <v>CTC_高压插座线束</v>
      </c>
      <c r="G23" s="51">
        <v>1400</v>
      </c>
      <c r="H23" s="51" t="str">
        <f>VLOOKUP(E23,基础数据!E:H,4,FALSE)</f>
        <v>料盒</v>
      </c>
      <c r="I23" s="51">
        <f>VLOOKUP(E23,基础数据!E:G,3,FALSE)</f>
        <v>70</v>
      </c>
      <c r="J23" s="49" t="s">
        <v>35</v>
      </c>
      <c r="K23" s="52">
        <f t="shared" si="1"/>
        <v>20</v>
      </c>
    </row>
    <row r="24" customHeight="1" spans="1:11">
      <c r="A24" s="37">
        <v>46148</v>
      </c>
      <c r="B24" s="9" t="s">
        <v>32</v>
      </c>
      <c r="C24" s="10" t="s">
        <v>33</v>
      </c>
      <c r="D24" s="38"/>
      <c r="E24" s="38" t="s">
        <v>50</v>
      </c>
      <c r="F24" s="50" t="str">
        <f>VLOOKUP(E24,基础数据!E:F,2,FALSE)</f>
        <v>A03HW67.1-通讯集成线束</v>
      </c>
      <c r="G24" s="51">
        <v>400</v>
      </c>
      <c r="H24" s="51" t="str">
        <f>VLOOKUP(E24,基础数据!E:H,4,FALSE)</f>
        <v>料盒</v>
      </c>
      <c r="I24" s="51">
        <f>VLOOKUP(E24,基础数据!E:G,3,FALSE)</f>
        <v>100</v>
      </c>
      <c r="J24" s="49" t="s">
        <v>35</v>
      </c>
      <c r="K24" s="52">
        <f t="shared" si="1"/>
        <v>4</v>
      </c>
    </row>
    <row r="25" customHeight="1" spans="1:11">
      <c r="A25" s="37">
        <v>46148</v>
      </c>
      <c r="B25" s="9" t="s">
        <v>32</v>
      </c>
      <c r="C25" s="10" t="s">
        <v>33</v>
      </c>
      <c r="D25" s="38"/>
      <c r="E25" s="38" t="s">
        <v>51</v>
      </c>
      <c r="F25" s="50" t="str">
        <f>VLOOKUP(E25,基础数据!E:F,2,FALSE)</f>
        <v>A03HW67.1-采样集成线束</v>
      </c>
      <c r="G25" s="51">
        <v>400</v>
      </c>
      <c r="H25" s="51" t="str">
        <f>VLOOKUP(E25,基础数据!E:H,4,FALSE)</f>
        <v>料盒</v>
      </c>
      <c r="I25" s="51">
        <f>VLOOKUP(E25,基础数据!E:G,3,FALSE)</f>
        <v>40</v>
      </c>
      <c r="J25" s="49" t="s">
        <v>35</v>
      </c>
      <c r="K25" s="52">
        <f t="shared" si="1"/>
        <v>10</v>
      </c>
    </row>
    <row r="26" customHeight="1" spans="1:11">
      <c r="A26" s="37">
        <v>46148</v>
      </c>
      <c r="B26" s="9" t="s">
        <v>32</v>
      </c>
      <c r="C26" s="10" t="s">
        <v>33</v>
      </c>
      <c r="D26" s="38"/>
      <c r="E26" s="38" t="s">
        <v>52</v>
      </c>
      <c r="F26" s="50" t="str">
        <f>VLOOKUP(E26,基础数据!E:F,2,FALSE)</f>
        <v>LXCU13E01-分流器线束</v>
      </c>
      <c r="G26" s="51">
        <v>4500</v>
      </c>
      <c r="H26" s="51" t="str">
        <f>VLOOKUP(E26,基础数据!E:H,4,FALSE)</f>
        <v>料盒</v>
      </c>
      <c r="I26" s="51">
        <f>VLOOKUP(E26,基础数据!E:G,3,FALSE)</f>
        <v>1500</v>
      </c>
      <c r="J26" s="49" t="s">
        <v>35</v>
      </c>
      <c r="K26" s="52">
        <f t="shared" si="1"/>
        <v>3</v>
      </c>
    </row>
    <row r="27" customHeight="1" spans="1:11">
      <c r="A27" s="37">
        <v>46148</v>
      </c>
      <c r="B27" s="9" t="s">
        <v>32</v>
      </c>
      <c r="C27" s="10" t="s">
        <v>33</v>
      </c>
      <c r="D27" s="38"/>
      <c r="E27" s="38" t="s">
        <v>36</v>
      </c>
      <c r="F27" s="50" t="str">
        <f>VLOOKUP(E27,基础数据!E:F,2,FALSE)</f>
        <v>线束总成</v>
      </c>
      <c r="G27" s="51">
        <v>600</v>
      </c>
      <c r="H27" s="51" t="str">
        <f>VLOOKUP(E27,基础数据!E:H,4,FALSE)</f>
        <v>料盒</v>
      </c>
      <c r="I27" s="51">
        <f>VLOOKUP(E27,基础数据!E:G,3,FALSE)</f>
        <v>30</v>
      </c>
      <c r="J27" s="49" t="s">
        <v>35</v>
      </c>
      <c r="K27" s="52">
        <f t="shared" si="1"/>
        <v>20</v>
      </c>
    </row>
    <row r="28" customHeight="1" spans="1:11">
      <c r="A28" s="37">
        <v>46148</v>
      </c>
      <c r="B28" s="9" t="s">
        <v>32</v>
      </c>
      <c r="C28" s="10" t="s">
        <v>33</v>
      </c>
      <c r="D28" s="38"/>
      <c r="E28" s="38" t="s">
        <v>37</v>
      </c>
      <c r="F28" s="50" t="str">
        <f>VLOOKUP(E28,基础数据!E:F,2,FALSE)</f>
        <v>线束总成</v>
      </c>
      <c r="G28" s="51">
        <v>1040</v>
      </c>
      <c r="H28" s="51" t="str">
        <f>VLOOKUP(E28,基础数据!E:H,4,FALSE)</f>
        <v>料盒</v>
      </c>
      <c r="I28" s="51">
        <f>VLOOKUP(E28,基础数据!E:G,3,FALSE)</f>
        <v>20</v>
      </c>
      <c r="J28" s="49" t="s">
        <v>35</v>
      </c>
      <c r="K28" s="52">
        <f t="shared" si="1"/>
        <v>52</v>
      </c>
    </row>
    <row r="29" customHeight="1" spans="1:11">
      <c r="A29" s="37">
        <v>46149</v>
      </c>
      <c r="B29" s="9" t="s">
        <v>32</v>
      </c>
      <c r="C29" s="10" t="s">
        <v>33</v>
      </c>
      <c r="D29" s="38"/>
      <c r="E29" s="38" t="s">
        <v>36</v>
      </c>
      <c r="F29" s="50" t="str">
        <f>VLOOKUP(E29,基础数据!E:F,2,FALSE)</f>
        <v>线束总成</v>
      </c>
      <c r="G29" s="51">
        <v>729</v>
      </c>
      <c r="H29" s="51" t="str">
        <f>VLOOKUP(E29,基础数据!E:H,4,FALSE)</f>
        <v>料盒</v>
      </c>
      <c r="I29" s="51">
        <f>VLOOKUP(E29,基础数据!E:G,3,FALSE)</f>
        <v>30</v>
      </c>
      <c r="J29" s="49" t="s">
        <v>35</v>
      </c>
      <c r="K29" s="52">
        <f t="shared" si="1"/>
        <v>24.3</v>
      </c>
    </row>
    <row r="30" customHeight="1" spans="1:11">
      <c r="A30" s="37">
        <v>46149</v>
      </c>
      <c r="B30" s="9" t="s">
        <v>32</v>
      </c>
      <c r="C30" s="10" t="s">
        <v>33</v>
      </c>
      <c r="D30" s="38"/>
      <c r="E30" s="38" t="s">
        <v>37</v>
      </c>
      <c r="F30" s="50" t="str">
        <f>VLOOKUP(E30,基础数据!E:F,2,FALSE)</f>
        <v>线束总成</v>
      </c>
      <c r="G30" s="51">
        <v>310</v>
      </c>
      <c r="H30" s="51" t="str">
        <f>VLOOKUP(E30,基础数据!E:H,4,FALSE)</f>
        <v>料盒</v>
      </c>
      <c r="I30" s="51">
        <f>VLOOKUP(E30,基础数据!E:G,3,FALSE)</f>
        <v>20</v>
      </c>
      <c r="J30" s="49" t="s">
        <v>35</v>
      </c>
      <c r="K30" s="52">
        <f t="shared" si="1"/>
        <v>15.5</v>
      </c>
    </row>
    <row r="31" customHeight="1" spans="1:11">
      <c r="A31" s="37">
        <v>46150</v>
      </c>
      <c r="B31" s="9" t="s">
        <v>32</v>
      </c>
      <c r="C31" s="10" t="s">
        <v>33</v>
      </c>
      <c r="D31" s="38"/>
      <c r="E31" s="38" t="s">
        <v>34</v>
      </c>
      <c r="F31" s="50" t="str">
        <f>VLOOKUP(E31,基础数据!E:F,2,FALSE)</f>
        <v>LX00148-CCS总成</v>
      </c>
      <c r="G31" s="51">
        <v>3000</v>
      </c>
      <c r="H31" s="51" t="str">
        <f>VLOOKUP(E31,基础数据!E:H,4,FALSE)</f>
        <v>纸箱</v>
      </c>
      <c r="I31" s="51">
        <f>VLOOKUP(E31,基础数据!E:G,3,FALSE)</f>
        <v>12</v>
      </c>
      <c r="J31" s="49" t="s">
        <v>35</v>
      </c>
      <c r="K31" s="52">
        <f t="shared" si="1"/>
        <v>250</v>
      </c>
    </row>
    <row r="32" customHeight="1" spans="1:11">
      <c r="A32" s="37">
        <v>46152</v>
      </c>
      <c r="B32" s="9" t="s">
        <v>32</v>
      </c>
      <c r="C32" s="10" t="s">
        <v>33</v>
      </c>
      <c r="D32" s="38"/>
      <c r="E32" s="38" t="s">
        <v>53</v>
      </c>
      <c r="F32" s="50" t="str">
        <f>VLOOKUP(E32,基础数据!E:F,2,FALSE)</f>
        <v>LXBU1101-通讯集成线束-60.8</v>
      </c>
      <c r="G32" s="51">
        <v>898</v>
      </c>
      <c r="H32" s="51" t="str">
        <f>VLOOKUP(E32,基础数据!E:H,4,FALSE)</f>
        <v>料盒</v>
      </c>
      <c r="I32" s="51">
        <f>VLOOKUP(E32,基础数据!E:G,3,FALSE)</f>
        <v>100</v>
      </c>
      <c r="J32" s="49" t="s">
        <v>35</v>
      </c>
      <c r="K32" s="52">
        <f t="shared" si="1"/>
        <v>8.98</v>
      </c>
    </row>
    <row r="33" customHeight="1" spans="1:11">
      <c r="A33" s="37">
        <v>46152</v>
      </c>
      <c r="B33" s="9" t="s">
        <v>32</v>
      </c>
      <c r="C33" s="10" t="s">
        <v>33</v>
      </c>
      <c r="D33" s="38"/>
      <c r="E33" s="15" t="s">
        <v>54</v>
      </c>
      <c r="F33" s="50" t="str">
        <f>VLOOKUP(E33,基础数据!E:F,2,FALSE)</f>
        <v>LXBU1101-BDU集成线束-60.8</v>
      </c>
      <c r="G33" s="51">
        <v>899</v>
      </c>
      <c r="H33" s="51" t="str">
        <f>VLOOKUP(E33,基础数据!E:H,4,FALSE)</f>
        <v>料盒</v>
      </c>
      <c r="I33" s="51">
        <f>VLOOKUP(E33,基础数据!E:G,3,FALSE)</f>
        <v>40</v>
      </c>
      <c r="J33" s="49" t="s">
        <v>35</v>
      </c>
      <c r="K33" s="52">
        <f t="shared" si="1"/>
        <v>22.475</v>
      </c>
    </row>
    <row r="34" customHeight="1" spans="1:11">
      <c r="A34" s="37">
        <v>46152</v>
      </c>
      <c r="B34" s="9" t="s">
        <v>32</v>
      </c>
      <c r="C34" s="10" t="s">
        <v>33</v>
      </c>
      <c r="D34" s="38"/>
      <c r="E34" s="15" t="s">
        <v>34</v>
      </c>
      <c r="F34" s="50" t="str">
        <f>VLOOKUP(E34,基础数据!E:F,2,FALSE)</f>
        <v>LX00148-CCS总成</v>
      </c>
      <c r="G34" s="51">
        <v>900</v>
      </c>
      <c r="H34" s="51" t="str">
        <f>VLOOKUP(E34,基础数据!E:H,4,FALSE)</f>
        <v>纸箱</v>
      </c>
      <c r="I34" s="51">
        <f>VLOOKUP(E34,基础数据!E:G,3,FALSE)</f>
        <v>12</v>
      </c>
      <c r="J34" s="49" t="s">
        <v>35</v>
      </c>
      <c r="K34" s="52">
        <f t="shared" si="1"/>
        <v>75</v>
      </c>
    </row>
    <row r="35" customHeight="1" spans="1:11">
      <c r="A35" s="37">
        <v>46153</v>
      </c>
      <c r="B35" s="9" t="s">
        <v>32</v>
      </c>
      <c r="C35" s="10" t="s">
        <v>33</v>
      </c>
      <c r="D35" s="38"/>
      <c r="E35" s="38" t="s">
        <v>43</v>
      </c>
      <c r="F35" s="50" t="str">
        <f>VLOOKUP(E35,基础数据!E:F,2,FALSE)</f>
        <v>A12EV10-BDU-采样集成线束</v>
      </c>
      <c r="G35" s="51">
        <v>1500</v>
      </c>
      <c r="H35" s="51" t="str">
        <f>VLOOKUP(E35,基础数据!E:H,4,FALSE)</f>
        <v>料盒</v>
      </c>
      <c r="I35" s="51">
        <f>VLOOKUP(E35,基础数据!E:G,3,FALSE)</f>
        <v>50</v>
      </c>
      <c r="J35" s="49" t="s">
        <v>35</v>
      </c>
      <c r="K35" s="52">
        <f t="shared" ref="K35:K45" si="2">IFERROR(G35/I35,"")</f>
        <v>30</v>
      </c>
    </row>
    <row r="36" customHeight="1" spans="1:11">
      <c r="A36" s="37">
        <v>46153</v>
      </c>
      <c r="B36" s="9" t="s">
        <v>32</v>
      </c>
      <c r="C36" s="10" t="s">
        <v>33</v>
      </c>
      <c r="D36" s="38"/>
      <c r="E36" s="38" t="s">
        <v>44</v>
      </c>
      <c r="F36" s="50" t="str">
        <f>VLOOKUP(E36,基础数据!E:F,2,FALSE)</f>
        <v>A12-高压支路连接线束-500</v>
      </c>
      <c r="G36" s="51">
        <v>2300</v>
      </c>
      <c r="H36" s="51" t="str">
        <f>VLOOKUP(E36,基础数据!E:H,4,FALSE)</f>
        <v>料盒</v>
      </c>
      <c r="I36" s="51">
        <f>VLOOKUP(E36,基础数据!E:G,3,FALSE)</f>
        <v>20</v>
      </c>
      <c r="J36" s="49" t="s">
        <v>35</v>
      </c>
      <c r="K36" s="52">
        <f t="shared" si="2"/>
        <v>115</v>
      </c>
    </row>
    <row r="37" customHeight="1" spans="1:11">
      <c r="A37" s="37">
        <v>46153</v>
      </c>
      <c r="B37" s="9" t="s">
        <v>32</v>
      </c>
      <c r="C37" s="10" t="s">
        <v>33</v>
      </c>
      <c r="D37" s="38"/>
      <c r="E37" s="38" t="s">
        <v>45</v>
      </c>
      <c r="F37" s="50" t="str">
        <f>VLOOKUP(E37,基础数据!E:F,2,FALSE)</f>
        <v>A12EV10-预充电阻连接线束</v>
      </c>
      <c r="G37" s="51">
        <v>1500</v>
      </c>
      <c r="H37" s="51" t="str">
        <f>VLOOKUP(E37,基础数据!E:H,4,FALSE)</f>
        <v>料盒</v>
      </c>
      <c r="I37" s="51">
        <f>VLOOKUP(E37,基础数据!E:G,3,FALSE)</f>
        <v>100</v>
      </c>
      <c r="J37" s="49" t="s">
        <v>35</v>
      </c>
      <c r="K37" s="52">
        <f t="shared" si="2"/>
        <v>15</v>
      </c>
    </row>
    <row r="38" customHeight="1" spans="1:11">
      <c r="A38" s="37">
        <v>46153</v>
      </c>
      <c r="B38" s="9" t="s">
        <v>32</v>
      </c>
      <c r="C38" s="10" t="s">
        <v>33</v>
      </c>
      <c r="D38" s="38"/>
      <c r="E38" s="38" t="s">
        <v>46</v>
      </c>
      <c r="F38" s="50" t="str">
        <f>VLOOKUP(E38,基础数据!E:F,2,FALSE)</f>
        <v>A12-预充电阻连接线束1</v>
      </c>
      <c r="G38" s="51">
        <v>1500</v>
      </c>
      <c r="H38" s="51" t="str">
        <f>VLOOKUP(E38,基础数据!E:H,4,FALSE)</f>
        <v>料盒</v>
      </c>
      <c r="I38" s="51">
        <f>VLOOKUP(E38,基础数据!E:G,3,FALSE)</f>
        <v>1500</v>
      </c>
      <c r="J38" s="49" t="s">
        <v>35</v>
      </c>
      <c r="K38" s="52">
        <f t="shared" si="2"/>
        <v>1</v>
      </c>
    </row>
    <row r="39" customHeight="1" spans="1:11">
      <c r="A39" s="37">
        <v>46153</v>
      </c>
      <c r="B39" s="9" t="s">
        <v>32</v>
      </c>
      <c r="C39" s="10" t="s">
        <v>33</v>
      </c>
      <c r="D39" s="38"/>
      <c r="E39" s="38" t="s">
        <v>47</v>
      </c>
      <c r="F39" s="50" t="str">
        <f>VLOOKUP(E39,基础数据!E:F,2,FALSE)</f>
        <v>A12-菊花链线束</v>
      </c>
      <c r="G39" s="51">
        <v>4500</v>
      </c>
      <c r="H39" s="51" t="str">
        <f>VLOOKUP(E39,基础数据!E:H,4,FALSE)</f>
        <v>料盒</v>
      </c>
      <c r="I39" s="51">
        <f>VLOOKUP(E39,基础数据!E:G,3,FALSE)</f>
        <v>1500</v>
      </c>
      <c r="J39" s="49" t="s">
        <v>35</v>
      </c>
      <c r="K39" s="52">
        <f t="shared" si="2"/>
        <v>3</v>
      </c>
    </row>
    <row r="40" customHeight="1" spans="1:11">
      <c r="A40" s="37">
        <v>46153</v>
      </c>
      <c r="B40" s="9" t="s">
        <v>32</v>
      </c>
      <c r="C40" s="10" t="s">
        <v>33</v>
      </c>
      <c r="D40" s="38"/>
      <c r="E40" s="38" t="s">
        <v>48</v>
      </c>
      <c r="F40" s="50" t="str">
        <f>VLOOKUP(E40,基础数据!E:F,2,FALSE)</f>
        <v>A12-外部通讯连接线束</v>
      </c>
      <c r="G40" s="51">
        <v>1500</v>
      </c>
      <c r="H40" s="51" t="str">
        <f>VLOOKUP(E40,基础数据!E:H,4,FALSE)</f>
        <v>料盒</v>
      </c>
      <c r="I40" s="51">
        <f>VLOOKUP(E40,基础数据!E:G,3,FALSE)</f>
        <v>100</v>
      </c>
      <c r="J40" s="49" t="s">
        <v>35</v>
      </c>
      <c r="K40" s="52">
        <f t="shared" si="2"/>
        <v>15</v>
      </c>
    </row>
    <row r="41" customHeight="1" spans="1:11">
      <c r="A41" s="37">
        <v>46153</v>
      </c>
      <c r="B41" s="9" t="s">
        <v>32</v>
      </c>
      <c r="C41" s="10" t="s">
        <v>33</v>
      </c>
      <c r="D41" s="38"/>
      <c r="E41" s="15" t="s">
        <v>55</v>
      </c>
      <c r="F41" s="50" t="str">
        <f>VLOOKUP(E41,基础数据!E:F,2,FALSE)</f>
        <v>线束总成</v>
      </c>
      <c r="G41" s="51">
        <v>1000</v>
      </c>
      <c r="H41" s="51" t="str">
        <f>VLOOKUP(E41,基础数据!E:H,4,FALSE)</f>
        <v>料盒</v>
      </c>
      <c r="I41" s="51">
        <f>VLOOKUP(E41,基础数据!E:G,3,FALSE)</f>
        <v>100</v>
      </c>
      <c r="J41" s="49" t="s">
        <v>35</v>
      </c>
      <c r="K41" s="52">
        <f t="shared" si="2"/>
        <v>10</v>
      </c>
    </row>
    <row r="42" customHeight="1" spans="1:11">
      <c r="A42" s="37">
        <v>46153</v>
      </c>
      <c r="B42" s="9" t="s">
        <v>32</v>
      </c>
      <c r="C42" s="10" t="s">
        <v>33</v>
      </c>
      <c r="D42" s="38"/>
      <c r="E42" s="38" t="s">
        <v>56</v>
      </c>
      <c r="F42" s="50" t="str">
        <f>VLOOKUP(E42,基础数据!E:F,2,FALSE)</f>
        <v>线束总成</v>
      </c>
      <c r="G42" s="51">
        <v>1000</v>
      </c>
      <c r="H42" s="51" t="str">
        <f>VLOOKUP(E42,基础数据!E:H,4,FALSE)</f>
        <v>料盒</v>
      </c>
      <c r="I42" s="51">
        <f>VLOOKUP(E42,基础数据!E:G,3,FALSE)</f>
        <v>200</v>
      </c>
      <c r="J42" s="49" t="s">
        <v>35</v>
      </c>
      <c r="K42" s="52">
        <f t="shared" si="2"/>
        <v>5</v>
      </c>
    </row>
    <row r="43" customHeight="1" spans="1:11">
      <c r="A43" s="37">
        <v>46153</v>
      </c>
      <c r="B43" s="9" t="s">
        <v>32</v>
      </c>
      <c r="C43" s="10" t="s">
        <v>33</v>
      </c>
      <c r="D43" s="38"/>
      <c r="E43" s="38" t="s">
        <v>57</v>
      </c>
      <c r="F43" s="50" t="str">
        <f>VLOOKUP(E43,基础数据!E:F,2,FALSE)</f>
        <v>线束总成</v>
      </c>
      <c r="G43" s="51">
        <v>1000</v>
      </c>
      <c r="H43" s="51" t="str">
        <f>VLOOKUP(E43,基础数据!E:H,4,FALSE)</f>
        <v>料盒</v>
      </c>
      <c r="I43" s="51">
        <f>VLOOKUP(E43,基础数据!E:G,3,FALSE)</f>
        <v>100</v>
      </c>
      <c r="J43" s="49" t="s">
        <v>35</v>
      </c>
      <c r="K43" s="52">
        <f t="shared" si="2"/>
        <v>10</v>
      </c>
    </row>
    <row r="44" customHeight="1" spans="1:11">
      <c r="A44" s="37">
        <v>46155</v>
      </c>
      <c r="B44" s="9" t="s">
        <v>32</v>
      </c>
      <c r="C44" s="10" t="s">
        <v>33</v>
      </c>
      <c r="D44" s="38"/>
      <c r="E44" s="38" t="s">
        <v>34</v>
      </c>
      <c r="F44" s="50" t="str">
        <f>VLOOKUP(E44,基础数据!E:F,2,FALSE)</f>
        <v>LX00148-CCS总成</v>
      </c>
      <c r="G44" s="51">
        <v>900</v>
      </c>
      <c r="H44" s="51" t="str">
        <f>VLOOKUP(E44,基础数据!E:H,4,FALSE)</f>
        <v>纸箱</v>
      </c>
      <c r="I44" s="51">
        <f>VLOOKUP(E44,基础数据!E:G,3,FALSE)</f>
        <v>12</v>
      </c>
      <c r="J44" s="49" t="s">
        <v>35</v>
      </c>
      <c r="K44" s="52">
        <f t="shared" si="2"/>
        <v>75</v>
      </c>
    </row>
    <row r="45" customHeight="1" spans="1:11">
      <c r="A45" s="37">
        <v>46155</v>
      </c>
      <c r="B45" s="9" t="s">
        <v>32</v>
      </c>
      <c r="C45" s="10" t="s">
        <v>33</v>
      </c>
      <c r="D45" s="38"/>
      <c r="E45" s="38" t="s">
        <v>34</v>
      </c>
      <c r="F45" s="50" t="str">
        <f>VLOOKUP(E45,基础数据!E:F,2,FALSE)</f>
        <v>LX00148-CCS总成</v>
      </c>
      <c r="G45" s="51">
        <v>1200</v>
      </c>
      <c r="H45" s="51" t="str">
        <f>VLOOKUP(E45,基础数据!E:H,4,FALSE)</f>
        <v>纸箱</v>
      </c>
      <c r="I45" s="51">
        <f>VLOOKUP(E45,基础数据!E:G,3,FALSE)</f>
        <v>12</v>
      </c>
      <c r="J45" s="49" t="s">
        <v>35</v>
      </c>
      <c r="K45" s="52">
        <f t="shared" si="2"/>
        <v>100</v>
      </c>
    </row>
    <row r="46" customHeight="1" spans="1:11">
      <c r="A46" s="37"/>
      <c r="B46" s="9"/>
      <c r="C46" s="10"/>
      <c r="D46" s="38"/>
      <c r="E46" s="38"/>
      <c r="F46" s="50"/>
      <c r="G46" s="51"/>
      <c r="H46" s="51"/>
      <c r="I46" s="51"/>
      <c r="J46" s="49"/>
      <c r="K46" s="52"/>
    </row>
    <row r="47" customHeight="1" spans="1:11">
      <c r="A47" s="37"/>
      <c r="B47" s="9"/>
      <c r="C47" s="10"/>
      <c r="D47" s="38"/>
      <c r="E47" s="38"/>
      <c r="F47" s="50"/>
      <c r="G47" s="51"/>
      <c r="H47" s="51"/>
      <c r="I47" s="51"/>
      <c r="J47" s="71"/>
      <c r="K47" s="52"/>
    </row>
    <row r="48" customHeight="1" spans="1:11">
      <c r="A48" s="37"/>
      <c r="B48" s="9"/>
      <c r="C48" s="10"/>
      <c r="D48" s="38"/>
      <c r="E48" s="38"/>
      <c r="F48" s="50"/>
      <c r="G48" s="51"/>
      <c r="H48" s="51"/>
      <c r="I48" s="51"/>
      <c r="J48" s="71"/>
      <c r="K48" s="52"/>
    </row>
    <row r="49" customHeight="1" spans="1:11">
      <c r="A49" s="37"/>
      <c r="B49" s="9"/>
      <c r="C49" s="10"/>
      <c r="D49" s="38"/>
      <c r="E49" s="38"/>
      <c r="F49" s="50"/>
      <c r="G49" s="51"/>
      <c r="H49" s="51"/>
      <c r="I49" s="51"/>
      <c r="J49" s="71"/>
      <c r="K49" s="52"/>
    </row>
    <row r="50" customHeight="1" spans="1:11">
      <c r="A50" s="37"/>
      <c r="B50" s="9"/>
      <c r="C50" s="10"/>
      <c r="D50" s="38"/>
      <c r="E50" s="38"/>
      <c r="F50" s="50"/>
      <c r="G50" s="51"/>
      <c r="H50" s="51"/>
      <c r="I50" s="51"/>
      <c r="J50" s="71"/>
      <c r="K50" s="52"/>
    </row>
    <row r="51" customHeight="1" spans="1:11">
      <c r="A51" s="37"/>
      <c r="B51" s="9"/>
      <c r="C51" s="10"/>
      <c r="D51" s="38"/>
      <c r="E51" s="38"/>
      <c r="F51" s="50"/>
      <c r="G51" s="51"/>
      <c r="H51" s="51"/>
      <c r="I51" s="51"/>
      <c r="J51" s="71"/>
      <c r="K51" s="52"/>
    </row>
    <row r="52" customHeight="1" spans="1:11">
      <c r="A52" s="37"/>
      <c r="B52" s="9"/>
      <c r="C52" s="10"/>
      <c r="D52" s="38"/>
      <c r="E52" s="38"/>
      <c r="F52" s="50"/>
      <c r="G52" s="51"/>
      <c r="H52" s="51"/>
      <c r="I52" s="51"/>
      <c r="J52" s="71"/>
      <c r="K52" s="52"/>
    </row>
    <row r="53" customHeight="1" spans="1:11">
      <c r="A53" s="37"/>
      <c r="B53" s="9"/>
      <c r="C53" s="10"/>
      <c r="D53" s="38"/>
      <c r="E53" s="38"/>
      <c r="F53" s="50"/>
      <c r="G53" s="51"/>
      <c r="H53" s="51"/>
      <c r="I53" s="51"/>
      <c r="J53" s="71"/>
      <c r="K53" s="52"/>
    </row>
    <row r="54" customHeight="1" spans="1:11">
      <c r="A54" s="37"/>
      <c r="B54" s="9"/>
      <c r="C54" s="10"/>
      <c r="D54" s="38"/>
      <c r="E54" s="38"/>
      <c r="F54" s="50"/>
      <c r="G54" s="51"/>
      <c r="H54" s="51"/>
      <c r="I54" s="51"/>
      <c r="J54" s="71"/>
      <c r="K54" s="52"/>
    </row>
    <row r="55" customHeight="1" spans="1:11">
      <c r="A55" s="37"/>
      <c r="B55" s="9"/>
      <c r="C55" s="10"/>
      <c r="D55" s="38"/>
      <c r="E55" s="38"/>
      <c r="F55" s="50"/>
      <c r="G55" s="51"/>
      <c r="H55" s="51"/>
      <c r="I55" s="51"/>
      <c r="J55" s="71"/>
      <c r="K55" s="52"/>
    </row>
    <row r="56" customHeight="1" spans="1:11">
      <c r="A56" s="37"/>
      <c r="B56" s="9"/>
      <c r="C56" s="10"/>
      <c r="D56" s="38"/>
      <c r="E56" s="38"/>
      <c r="F56" s="50"/>
      <c r="G56" s="51"/>
      <c r="H56" s="51"/>
      <c r="I56" s="51"/>
      <c r="J56" s="71"/>
      <c r="K56" s="52"/>
    </row>
    <row r="57" customHeight="1" spans="1:11">
      <c r="A57" s="37"/>
      <c r="B57" s="9"/>
      <c r="C57" s="10"/>
      <c r="D57" s="38"/>
      <c r="E57" s="38"/>
      <c r="F57" s="50"/>
      <c r="G57" s="51"/>
      <c r="H57" s="51"/>
      <c r="I57" s="51"/>
      <c r="J57" s="71"/>
      <c r="K57" s="52"/>
    </row>
    <row r="58" customHeight="1" spans="1:11">
      <c r="A58" s="37"/>
      <c r="B58" s="9"/>
      <c r="C58" s="10"/>
      <c r="D58" s="38"/>
      <c r="E58" s="38"/>
      <c r="F58" s="50"/>
      <c r="G58" s="51"/>
      <c r="H58" s="51"/>
      <c r="I58" s="51"/>
      <c r="J58" s="71"/>
      <c r="K58" s="52"/>
    </row>
    <row r="59" customHeight="1" spans="1:11">
      <c r="A59" s="37"/>
      <c r="B59" s="9"/>
      <c r="C59" s="10"/>
      <c r="D59" s="38"/>
      <c r="E59" s="38"/>
      <c r="F59" s="50"/>
      <c r="G59" s="51"/>
      <c r="H59" s="51"/>
      <c r="I59" s="51"/>
      <c r="J59" s="71"/>
      <c r="K59" s="52"/>
    </row>
    <row r="60" customHeight="1" spans="1:11">
      <c r="A60" s="37"/>
      <c r="B60" s="9"/>
      <c r="C60" s="10"/>
      <c r="D60" s="38"/>
      <c r="E60" s="38"/>
      <c r="F60" s="50"/>
      <c r="G60" s="51"/>
      <c r="H60" s="51"/>
      <c r="I60" s="51"/>
      <c r="J60" s="71"/>
      <c r="K60" s="52"/>
    </row>
    <row r="61" customHeight="1" spans="1:11">
      <c r="A61" s="37"/>
      <c r="B61" s="9"/>
      <c r="C61" s="10"/>
      <c r="D61" s="38"/>
      <c r="E61" s="38"/>
      <c r="F61" s="50"/>
      <c r="G61" s="51"/>
      <c r="H61" s="51"/>
      <c r="I61" s="51"/>
      <c r="J61" s="71"/>
      <c r="K61" s="52"/>
    </row>
    <row r="62" customHeight="1" spans="1:11">
      <c r="A62" s="37"/>
      <c r="B62" s="9"/>
      <c r="C62" s="10"/>
      <c r="D62" s="38"/>
      <c r="E62" s="15"/>
      <c r="F62" s="50"/>
      <c r="G62" s="51"/>
      <c r="H62" s="51"/>
      <c r="I62" s="51"/>
      <c r="J62" s="71"/>
      <c r="K62" s="52"/>
    </row>
    <row r="63" customHeight="1" spans="1:11">
      <c r="A63" s="37"/>
      <c r="B63" s="9"/>
      <c r="C63" s="10"/>
      <c r="D63" s="38"/>
      <c r="E63" s="38"/>
      <c r="F63" s="50"/>
      <c r="G63" s="51"/>
      <c r="H63" s="51"/>
      <c r="I63" s="51"/>
      <c r="J63" s="71"/>
      <c r="K63" s="52"/>
    </row>
    <row r="64" customHeight="1" spans="1:11">
      <c r="A64" s="37"/>
      <c r="B64" s="9"/>
      <c r="C64" s="10"/>
      <c r="D64" s="38"/>
      <c r="E64" s="38"/>
      <c r="F64" s="50"/>
      <c r="G64" s="51"/>
      <c r="H64" s="51"/>
      <c r="I64" s="51"/>
      <c r="J64" s="71"/>
      <c r="K64" s="52"/>
    </row>
    <row r="65" customHeight="1" spans="1:11">
      <c r="A65" s="37"/>
      <c r="B65" s="9"/>
      <c r="C65" s="10"/>
      <c r="D65" s="38"/>
      <c r="E65" s="38"/>
      <c r="F65" s="50"/>
      <c r="G65" s="51"/>
      <c r="H65" s="51"/>
      <c r="I65" s="51"/>
      <c r="J65" s="71"/>
      <c r="K65" s="52"/>
    </row>
    <row r="66" customHeight="1" spans="1:11">
      <c r="A66" s="37"/>
      <c r="B66" s="9"/>
      <c r="C66" s="10"/>
      <c r="D66" s="38"/>
      <c r="E66" s="38"/>
      <c r="F66" s="50"/>
      <c r="G66" s="51"/>
      <c r="H66" s="51"/>
      <c r="I66" s="51"/>
      <c r="J66" s="71"/>
      <c r="K66" s="52"/>
    </row>
    <row r="67" customHeight="1" spans="1:11">
      <c r="A67" s="37"/>
      <c r="B67" s="9"/>
      <c r="C67" s="10"/>
      <c r="D67" s="38"/>
      <c r="E67" s="38"/>
      <c r="F67" s="50"/>
      <c r="G67" s="51"/>
      <c r="H67" s="51"/>
      <c r="I67" s="51"/>
      <c r="J67" s="71"/>
      <c r="K67" s="52"/>
    </row>
    <row r="68" customHeight="1" spans="1:11">
      <c r="A68" s="37"/>
      <c r="B68" s="9"/>
      <c r="C68" s="10"/>
      <c r="D68" s="38"/>
      <c r="E68" s="38"/>
      <c r="F68" s="50"/>
      <c r="G68" s="51"/>
      <c r="H68" s="51"/>
      <c r="I68" s="51"/>
      <c r="J68" s="71"/>
      <c r="K68" s="52"/>
    </row>
    <row r="69" customHeight="1" spans="1:11">
      <c r="A69" s="37"/>
      <c r="B69" s="9"/>
      <c r="C69" s="10"/>
      <c r="D69" s="38"/>
      <c r="E69" s="38"/>
      <c r="F69" s="50"/>
      <c r="G69" s="51"/>
      <c r="H69" s="51"/>
      <c r="I69" s="51"/>
      <c r="J69" s="71"/>
      <c r="K69" s="52"/>
    </row>
    <row r="70" customHeight="1" spans="1:11">
      <c r="A70" s="37"/>
      <c r="B70" s="9"/>
      <c r="C70" s="10"/>
      <c r="D70" s="38"/>
      <c r="E70" s="8"/>
      <c r="F70" s="50"/>
      <c r="G70" s="51"/>
      <c r="H70" s="51"/>
      <c r="I70" s="51"/>
      <c r="J70" s="71"/>
      <c r="K70" s="52"/>
    </row>
    <row r="71" customHeight="1" spans="1:11">
      <c r="A71" s="37"/>
      <c r="B71" s="9"/>
      <c r="C71" s="10"/>
      <c r="D71" s="38"/>
      <c r="E71" s="38"/>
      <c r="F71" s="50"/>
      <c r="G71" s="51"/>
      <c r="H71" s="51"/>
      <c r="I71" s="51"/>
      <c r="J71" s="71"/>
      <c r="K71" s="52"/>
    </row>
    <row r="72" customHeight="1" spans="1:11">
      <c r="A72" s="37"/>
      <c r="B72" s="9"/>
      <c r="C72" s="10"/>
      <c r="D72" s="55"/>
      <c r="E72" s="38"/>
      <c r="F72" s="72"/>
      <c r="G72" s="51"/>
      <c r="H72" s="51"/>
      <c r="I72" s="51"/>
      <c r="J72" s="71"/>
      <c r="K72" s="52"/>
    </row>
    <row r="73" customHeight="1" spans="1:11">
      <c r="A73" s="37"/>
      <c r="B73" s="9"/>
      <c r="C73" s="10"/>
      <c r="D73" s="55"/>
      <c r="E73" s="38"/>
      <c r="F73" s="72"/>
      <c r="G73" s="51"/>
      <c r="H73" s="51"/>
      <c r="I73" s="51"/>
      <c r="J73" s="71"/>
      <c r="K73" s="52"/>
    </row>
    <row r="74" customHeight="1" spans="1:11">
      <c r="A74" s="37"/>
      <c r="B74" s="9"/>
      <c r="C74" s="10"/>
      <c r="D74" s="55"/>
      <c r="E74" s="38"/>
      <c r="F74" s="72"/>
      <c r="G74" s="51"/>
      <c r="H74" s="51"/>
      <c r="I74" s="51"/>
      <c r="J74" s="71"/>
      <c r="K74" s="52"/>
    </row>
    <row r="75" customHeight="1" spans="1:11">
      <c r="A75" s="37"/>
      <c r="B75" s="9"/>
      <c r="C75" s="10"/>
      <c r="D75" s="55"/>
      <c r="E75" s="38"/>
      <c r="F75" s="72"/>
      <c r="G75" s="51"/>
      <c r="H75" s="51"/>
      <c r="I75" s="51"/>
      <c r="J75" s="71"/>
      <c r="K75" s="52"/>
    </row>
    <row r="76" customHeight="1" spans="1:11">
      <c r="A76" s="37"/>
      <c r="B76" s="9"/>
      <c r="C76" s="10"/>
      <c r="D76" s="55"/>
      <c r="E76" s="38"/>
      <c r="F76" s="72"/>
      <c r="G76" s="51"/>
      <c r="H76" s="51"/>
      <c r="I76" s="51"/>
      <c r="J76" s="71"/>
      <c r="K76" s="52"/>
    </row>
    <row r="77" customHeight="1" spans="1:11">
      <c r="A77" s="37"/>
      <c r="B77" s="9"/>
      <c r="C77" s="10"/>
      <c r="D77" s="55"/>
      <c r="E77" s="38"/>
      <c r="F77" s="72"/>
      <c r="G77" s="51"/>
      <c r="H77" s="51"/>
      <c r="I77" s="51"/>
      <c r="J77" s="71"/>
      <c r="K77" s="52"/>
    </row>
    <row r="78" customHeight="1" spans="1:11">
      <c r="A78" s="37"/>
      <c r="B78" s="9"/>
      <c r="C78" s="10"/>
      <c r="D78" s="55"/>
      <c r="E78" s="38"/>
      <c r="F78" s="72"/>
      <c r="G78" s="51"/>
      <c r="H78" s="51"/>
      <c r="I78" s="51"/>
      <c r="J78" s="71"/>
      <c r="K78" s="52"/>
    </row>
    <row r="79" customHeight="1" spans="1:11">
      <c r="A79" s="37"/>
      <c r="B79" s="9"/>
      <c r="C79" s="10"/>
      <c r="D79" s="55"/>
      <c r="E79" s="38"/>
      <c r="F79" s="72"/>
      <c r="G79" s="51"/>
      <c r="H79" s="51"/>
      <c r="I79" s="51"/>
      <c r="J79" s="71"/>
      <c r="K79" s="52"/>
    </row>
    <row r="80" customHeight="1" spans="1:11">
      <c r="A80" s="37"/>
      <c r="B80" s="9"/>
      <c r="C80" s="10"/>
      <c r="D80" s="55"/>
      <c r="E80" s="38"/>
      <c r="F80" s="72"/>
      <c r="G80" s="51"/>
      <c r="H80" s="51"/>
      <c r="I80" s="51"/>
      <c r="J80" s="71"/>
      <c r="K80" s="52"/>
    </row>
    <row r="81" customHeight="1" spans="1:11">
      <c r="A81" s="37"/>
      <c r="B81" s="9"/>
      <c r="C81" s="10"/>
      <c r="D81" s="55"/>
      <c r="E81" s="38"/>
      <c r="F81" s="72"/>
      <c r="G81" s="51"/>
      <c r="H81" s="51"/>
      <c r="I81" s="51"/>
      <c r="J81" s="71"/>
      <c r="K81" s="52"/>
    </row>
    <row r="82" customHeight="1" spans="1:11">
      <c r="A82" s="37"/>
      <c r="B82" s="9"/>
      <c r="C82" s="10"/>
      <c r="D82" s="55"/>
      <c r="E82" s="38"/>
      <c r="F82" s="72"/>
      <c r="G82" s="51"/>
      <c r="H82" s="51"/>
      <c r="I82" s="51"/>
      <c r="J82" s="71"/>
      <c r="K82" s="52"/>
    </row>
    <row r="83" customHeight="1" spans="1:11">
      <c r="A83" s="37"/>
      <c r="B83" s="9"/>
      <c r="C83" s="10"/>
      <c r="D83" s="55"/>
      <c r="E83" s="38"/>
      <c r="F83" s="72"/>
      <c r="G83" s="51"/>
      <c r="H83" s="51"/>
      <c r="I83" s="51"/>
      <c r="J83" s="71"/>
      <c r="K83" s="52"/>
    </row>
    <row r="84" customHeight="1" spans="1:11">
      <c r="A84" s="37"/>
      <c r="B84" s="9"/>
      <c r="C84" s="10"/>
      <c r="D84" s="55"/>
      <c r="E84" s="38"/>
      <c r="F84" s="72"/>
      <c r="G84" s="51"/>
      <c r="H84" s="51"/>
      <c r="I84" s="51"/>
      <c r="J84" s="71"/>
      <c r="K84" s="52"/>
    </row>
    <row r="85" customHeight="1" spans="1:11">
      <c r="A85" s="73"/>
      <c r="B85" s="55"/>
      <c r="C85" s="55"/>
      <c r="D85" s="55"/>
      <c r="E85" s="38"/>
      <c r="F85" s="72"/>
      <c r="G85" s="51"/>
      <c r="H85" s="51"/>
      <c r="I85" s="51"/>
      <c r="J85" s="71"/>
      <c r="K85" s="74"/>
    </row>
    <row r="86" customHeight="1" spans="1:11">
      <c r="A86" s="73"/>
      <c r="B86" s="55"/>
      <c r="C86" s="55"/>
      <c r="D86" s="55"/>
      <c r="E86" s="38"/>
      <c r="F86" s="72"/>
      <c r="G86" s="51"/>
      <c r="H86" s="51"/>
      <c r="I86" s="51"/>
      <c r="J86" s="71"/>
      <c r="K86" s="74"/>
    </row>
    <row r="87" customHeight="1" spans="1:11">
      <c r="A87" s="73"/>
      <c r="B87" s="55"/>
      <c r="C87" s="55"/>
      <c r="D87" s="55"/>
      <c r="E87" s="38"/>
      <c r="F87" s="72"/>
      <c r="G87" s="51"/>
      <c r="H87" s="51"/>
      <c r="I87" s="51"/>
      <c r="J87" s="71"/>
      <c r="K87" s="74"/>
    </row>
    <row r="88" customHeight="1" spans="1:11">
      <c r="A88" s="73"/>
      <c r="B88" s="55"/>
      <c r="C88" s="55"/>
      <c r="D88" s="55"/>
      <c r="E88" s="38"/>
      <c r="F88" s="72"/>
      <c r="G88" s="51"/>
      <c r="H88" s="51"/>
      <c r="I88" s="51"/>
      <c r="J88" s="71"/>
      <c r="K88" s="74"/>
    </row>
    <row r="89" customHeight="1" spans="1:11">
      <c r="A89" s="73"/>
      <c r="B89" s="55"/>
      <c r="C89" s="55"/>
      <c r="D89" s="55"/>
      <c r="E89" s="38"/>
      <c r="F89" s="72"/>
      <c r="G89" s="51"/>
      <c r="H89" s="51"/>
      <c r="I89" s="51"/>
      <c r="J89" s="71"/>
      <c r="K89" s="74"/>
    </row>
    <row r="90" customHeight="1" spans="1:11">
      <c r="A90" s="73"/>
      <c r="B90" s="55"/>
      <c r="C90" s="55"/>
      <c r="D90" s="55"/>
      <c r="E90" s="38"/>
      <c r="F90" s="72"/>
      <c r="G90" s="51"/>
      <c r="H90" s="51"/>
      <c r="I90" s="51"/>
      <c r="J90" s="71"/>
      <c r="K90" s="74"/>
    </row>
    <row r="91" customHeight="1" spans="1:11">
      <c r="A91" s="73"/>
      <c r="B91" s="55"/>
      <c r="C91" s="55"/>
      <c r="D91" s="55"/>
      <c r="E91" s="38"/>
      <c r="F91" s="72"/>
      <c r="G91" s="51"/>
      <c r="H91" s="51"/>
      <c r="I91" s="51"/>
      <c r="J91" s="71"/>
      <c r="K91" s="74"/>
    </row>
    <row r="92" customHeight="1" spans="1:11">
      <c r="A92" s="73"/>
      <c r="B92" s="55"/>
      <c r="C92" s="55"/>
      <c r="D92" s="55"/>
      <c r="E92" s="38"/>
      <c r="F92" s="72"/>
      <c r="G92" s="51"/>
      <c r="H92" s="51"/>
      <c r="I92" s="51"/>
      <c r="J92" s="71"/>
      <c r="K92" s="74"/>
    </row>
    <row r="93" customHeight="1" spans="1:11">
      <c r="A93" s="73"/>
      <c r="B93" s="55"/>
      <c r="C93" s="55"/>
      <c r="D93" s="55"/>
      <c r="E93" s="38"/>
      <c r="F93" s="72"/>
      <c r="G93" s="51"/>
      <c r="H93" s="51"/>
      <c r="I93" s="51"/>
      <c r="J93" s="71"/>
      <c r="K93" s="74"/>
    </row>
    <row r="94" customHeight="1" spans="1:11">
      <c r="A94" s="73"/>
      <c r="B94" s="55"/>
      <c r="C94" s="55"/>
      <c r="D94" s="55"/>
      <c r="E94" s="38"/>
      <c r="F94" s="72"/>
      <c r="G94" s="51"/>
      <c r="H94" s="51"/>
      <c r="I94" s="51"/>
      <c r="J94" s="71"/>
      <c r="K94" s="74"/>
    </row>
    <row r="95" customHeight="1" spans="1:11">
      <c r="A95" s="73"/>
      <c r="B95" s="55"/>
      <c r="C95" s="55"/>
      <c r="D95" s="55"/>
      <c r="E95" s="38"/>
      <c r="F95" s="72"/>
      <c r="G95" s="51"/>
      <c r="H95" s="51"/>
      <c r="I95" s="51"/>
      <c r="J95" s="71"/>
      <c r="K95" s="74"/>
    </row>
    <row r="96" customHeight="1" spans="1:11">
      <c r="A96" s="73"/>
      <c r="B96" s="55"/>
      <c r="C96" s="55"/>
      <c r="D96" s="55"/>
      <c r="E96" s="38"/>
      <c r="F96" s="72"/>
      <c r="G96" s="51"/>
      <c r="H96" s="51"/>
      <c r="I96" s="51"/>
      <c r="J96" s="71"/>
      <c r="K96" s="74"/>
    </row>
    <row r="97" customHeight="1" spans="1:11">
      <c r="A97" s="73"/>
      <c r="B97" s="55"/>
      <c r="C97" s="55"/>
      <c r="D97" s="55"/>
      <c r="E97" s="38"/>
      <c r="F97" s="72" t="str">
        <f>IFERROR(VLOOKUP(E97,日报!E:F,2,0),"")</f>
        <v/>
      </c>
      <c r="G97" s="51" t="str">
        <f>IFERROR(VLOOKUP(D97,基础数据!$E$3:$H$21,4,0),"")</f>
        <v/>
      </c>
      <c r="H97" s="51" t="str">
        <f>IFERROR(VLOOKUP(E97,基础数据!$E$3:$H$21,4,0),"")</f>
        <v/>
      </c>
      <c r="I97" s="51" t="str">
        <f>IFERROR(VLOOKUP(E97,基础数据!$E$3:$H$21,3,0),"")</f>
        <v/>
      </c>
      <c r="J97" s="71"/>
      <c r="K97" s="74" t="str">
        <f>IFERROR(G97/I97,"")</f>
        <v/>
      </c>
    </row>
    <row r="98" customHeight="1" spans="1:11">
      <c r="E98" s="38"/>
    </row>
    <row r="99" customHeight="1" spans="1:11">
      <c r="E99" s="38"/>
    </row>
    <row r="100" customHeight="1" spans="1:11">
      <c r="E100" s="38"/>
    </row>
    <row r="101" customHeight="1" spans="1:11">
      <c r="E101" s="38"/>
    </row>
    <row r="102" customHeight="1" spans="1:11">
      <c r="E102" s="38"/>
    </row>
    <row r="103" customHeight="1" spans="1:11">
      <c r="E103" s="38"/>
    </row>
    <row r="104" customHeight="1" spans="1:11">
      <c r="E104" s="38"/>
    </row>
    <row r="105" customHeight="1" spans="1:11">
      <c r="E105" s="38"/>
    </row>
    <row r="106" customHeight="1" spans="1:11">
      <c r="E106" s="38"/>
    </row>
    <row r="107" customHeight="1" spans="1:11">
      <c r="E107" s="38"/>
    </row>
    <row r="108" customHeight="1" spans="1:11">
      <c r="E108" s="38"/>
    </row>
    <row r="109" customHeight="1" spans="1:11">
      <c r="E109" s="38"/>
    </row>
    <row r="110" customHeight="1" spans="1:11">
      <c r="E110" s="38"/>
    </row>
    <row r="111" customHeight="1" spans="1:11">
      <c r="E111" s="38"/>
    </row>
    <row r="112" customHeight="1" spans="1:11">
      <c r="E112" s="38"/>
    </row>
    <row r="113" customHeight="1" spans="5:5">
      <c r="E113" s="38"/>
    </row>
    <row r="114" customHeight="1" spans="5:5">
      <c r="E114" s="38"/>
    </row>
    <row r="115" customHeight="1" spans="5:5">
      <c r="E115" s="38"/>
    </row>
    <row r="116" customHeight="1" spans="5:5">
      <c r="E116" s="38"/>
    </row>
    <row r="117" customHeight="1" spans="5:5">
      <c r="E117" s="38"/>
    </row>
    <row r="118" customHeight="1" spans="5:5">
      <c r="E118" s="38"/>
    </row>
    <row r="119" customHeight="1" spans="5:5">
      <c r="E119" s="38"/>
    </row>
    <row r="120" customHeight="1" spans="5:5">
      <c r="E120" s="38"/>
    </row>
    <row r="121" customHeight="1" spans="5:5">
      <c r="E121" s="38"/>
    </row>
    <row r="122" customHeight="1" spans="5:5">
      <c r="E122" s="38"/>
    </row>
    <row r="123" customHeight="1" spans="5:5">
      <c r="E123" s="38"/>
    </row>
    <row r="124" customHeight="1" spans="5:5">
      <c r="E124" s="38"/>
    </row>
    <row r="125" customHeight="1" spans="5:5">
      <c r="E125" s="38"/>
    </row>
  </sheetData>
  <autoFilter xmlns:etc="http://www.wps.cn/officeDocument/2017/etCustomData" ref="A1:K97" etc:filterBottomFollowUsedRange="0">
    <extLst/>
  </autoFilter>
  <sortState ref="A2:L5747">
    <sortCondition ref="A2:A5747"/>
    <sortCondition ref="D2:D5747"/>
  </sortState>
  <conditionalFormatting sqref="E17">
    <cfRule type="duplicateValues" dxfId="0" priority="1"/>
  </conditionalFormatting>
  <conditionalFormatting sqref="E70">
    <cfRule type="duplicateValues" dxfId="0" priority="2"/>
  </conditionalFormatting>
  <dataValidations count="2">
    <dataValidation type="list" allowBlank="1" showInputMessage="1" showErrorMessage="1" sqref="F1 F72:F1048576">
      <formula1>日报!$F:$F</formula1>
    </dataValidation>
    <dataValidation type="list" allowBlank="1" showInputMessage="1" showErrorMessage="1" sqref="E16 E5:E8 E18:E32 E35:E40 E42:E58 E60:E61 E63:E69 E71:E125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97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02"/>
  <sheetViews>
    <sheetView showGridLines="0" tabSelected="1" zoomScale="70" zoomScaleNormal="70" workbookViewId="0">
      <pane ySplit="1" topLeftCell="A29" activePane="bottomLeft" state="frozen"/>
      <selection/>
      <selection pane="bottomLeft" activeCell="E48" sqref="E48"/>
    </sheetView>
  </sheetViews>
  <sheetFormatPr defaultColWidth="9" defaultRowHeight="21" customHeight="1"/>
  <cols>
    <col min="1" max="1" width="13.7777777777778" style="40" customWidth="1"/>
    <col min="2" max="2" width="9.88888888888889" style="41" customWidth="1"/>
    <col min="3" max="3" width="32.7777777777778" style="42" customWidth="1"/>
    <col min="4" max="4" width="16.4444444444444" style="42" customWidth="1"/>
    <col min="5" max="5" width="24.4444444444444" style="42" customWidth="1"/>
    <col min="6" max="6" width="43.1111111111111" style="43" customWidth="1"/>
    <col min="7" max="7" width="10.1111111111111" style="42" customWidth="1"/>
    <col min="8" max="8" width="12.8888888888889" style="44" customWidth="1"/>
    <col min="9" max="9" width="11.4444444444444" style="45" customWidth="1"/>
    <col min="10" max="10" width="24" style="42" customWidth="1"/>
    <col min="11" max="11" width="14.3333333333333" style="46" customWidth="1"/>
    <col min="12" max="16384" width="9" style="47"/>
  </cols>
  <sheetData>
    <row r="1" s="39" customFormat="1" ht="42" customHeight="1" spans="1:1020 1030:2040 2050:2570">
      <c r="A1" s="48" t="s">
        <v>58</v>
      </c>
      <c r="B1" s="49" t="s">
        <v>24</v>
      </c>
      <c r="C1" s="49" t="s">
        <v>5</v>
      </c>
      <c r="D1" s="49" t="s">
        <v>59</v>
      </c>
      <c r="E1" s="49" t="s">
        <v>26</v>
      </c>
      <c r="F1" s="50" t="s">
        <v>8</v>
      </c>
      <c r="G1" s="49" t="s">
        <v>60</v>
      </c>
      <c r="H1" s="51" t="s">
        <v>28</v>
      </c>
      <c r="I1" s="51" t="s">
        <v>29</v>
      </c>
      <c r="J1" s="49" t="s">
        <v>30</v>
      </c>
      <c r="K1" s="52" t="s">
        <v>31</v>
      </c>
    </row>
    <row r="2" s="39" customFormat="1" customHeight="1" spans="1:1020 1030:2040 2050:2570">
      <c r="A2" s="48">
        <v>46144</v>
      </c>
      <c r="B2" s="9" t="s">
        <v>32</v>
      </c>
      <c r="C2" s="10" t="s">
        <v>33</v>
      </c>
      <c r="D2" s="10">
        <v>652328514</v>
      </c>
      <c r="E2" s="15" t="s">
        <v>47</v>
      </c>
      <c r="F2" s="50" t="str">
        <f>VLOOKUP(E2,基础数据!E:F,2,0)</f>
        <v>A12-菊花链线束</v>
      </c>
      <c r="G2" s="53">
        <v>1500</v>
      </c>
      <c r="H2" s="51" t="str">
        <f>VLOOKUP(E2,基础数据!E:H,4,0)</f>
        <v>料盒</v>
      </c>
      <c r="I2" s="51">
        <f>VLOOKUP(E2,基础数据!E:G,3,0)</f>
        <v>1500</v>
      </c>
      <c r="J2" s="49" t="s">
        <v>35</v>
      </c>
      <c r="K2" s="52">
        <f>IFERROR(G2/I2,"")</f>
        <v>1</v>
      </c>
      <c r="T2" s="54"/>
      <c r="AD2" s="54"/>
      <c r="AN2" s="54"/>
      <c r="AX2" s="54"/>
      <c r="BH2" s="54"/>
      <c r="BR2" s="54"/>
      <c r="CB2" s="54"/>
      <c r="CL2" s="54"/>
      <c r="CV2" s="54"/>
      <c r="DF2" s="54"/>
      <c r="DP2" s="54"/>
      <c r="DZ2" s="54"/>
      <c r="EJ2" s="54"/>
      <c r="ET2" s="54"/>
      <c r="FD2" s="54"/>
      <c r="FN2" s="54"/>
      <c r="FX2" s="54"/>
      <c r="GH2" s="54"/>
      <c r="GR2" s="54"/>
      <c r="HB2" s="54"/>
      <c r="HL2" s="54"/>
      <c r="HV2" s="54"/>
      <c r="IF2" s="54"/>
      <c r="IP2" s="54"/>
      <c r="IZ2" s="54"/>
      <c r="JJ2" s="54"/>
      <c r="JT2" s="54"/>
      <c r="KD2" s="54"/>
      <c r="KN2" s="54"/>
      <c r="KX2" s="54"/>
      <c r="LH2" s="54"/>
      <c r="LR2" s="54"/>
      <c r="MB2" s="54"/>
      <c r="ML2" s="54"/>
      <c r="MV2" s="54"/>
      <c r="NF2" s="54"/>
      <c r="NP2" s="54"/>
      <c r="NZ2" s="54"/>
      <c r="OJ2" s="54"/>
      <c r="OT2" s="54"/>
      <c r="PD2" s="54"/>
      <c r="PN2" s="54"/>
      <c r="PX2" s="54"/>
      <c r="QH2" s="54"/>
      <c r="QR2" s="54"/>
      <c r="RB2" s="54"/>
      <c r="RL2" s="54"/>
      <c r="RV2" s="54"/>
      <c r="SF2" s="54"/>
      <c r="SP2" s="54"/>
      <c r="SZ2" s="54"/>
      <c r="TJ2" s="54"/>
      <c r="TT2" s="54"/>
      <c r="UD2" s="54"/>
      <c r="UN2" s="54"/>
      <c r="UX2" s="54"/>
      <c r="VH2" s="54"/>
      <c r="VR2" s="54"/>
      <c r="WB2" s="54"/>
      <c r="WL2" s="54"/>
      <c r="WV2" s="54"/>
      <c r="XF2" s="54"/>
      <c r="XP2" s="54"/>
      <c r="XZ2" s="54"/>
      <c r="YJ2" s="54"/>
      <c r="YT2" s="54"/>
      <c r="ZD2" s="54"/>
      <c r="ZN2" s="54"/>
      <c r="ZX2" s="54"/>
      <c r="AAH2" s="54"/>
      <c r="AAR2" s="54"/>
      <c r="ABB2" s="54"/>
      <c r="ABL2" s="54"/>
      <c r="ABV2" s="54"/>
      <c r="ACF2" s="54"/>
      <c r="ACP2" s="54"/>
      <c r="ACZ2" s="54"/>
      <c r="ADJ2" s="54"/>
      <c r="ADT2" s="54"/>
      <c r="AED2" s="54"/>
      <c r="AEN2" s="54"/>
      <c r="AEX2" s="54"/>
      <c r="AFH2" s="54"/>
      <c r="AFR2" s="54"/>
      <c r="AGB2" s="54"/>
      <c r="AGL2" s="54"/>
      <c r="AGV2" s="54"/>
      <c r="AHF2" s="54"/>
      <c r="AHP2" s="54"/>
      <c r="AHZ2" s="54"/>
      <c r="AIJ2" s="54"/>
      <c r="AIT2" s="54"/>
      <c r="AJD2" s="54"/>
      <c r="AJN2" s="54"/>
      <c r="AJX2" s="54"/>
      <c r="AKH2" s="54"/>
      <c r="AKR2" s="54"/>
      <c r="ALB2" s="54"/>
      <c r="ALL2" s="54"/>
      <c r="ALV2" s="54"/>
      <c r="AMF2" s="54"/>
      <c r="AMP2" s="54"/>
      <c r="AMZ2" s="54"/>
      <c r="ANJ2" s="54"/>
      <c r="ANT2" s="54"/>
      <c r="AOD2" s="54"/>
      <c r="AON2" s="54"/>
      <c r="AOX2" s="54"/>
      <c r="APH2" s="54"/>
      <c r="APR2" s="54"/>
      <c r="AQB2" s="54"/>
      <c r="AQL2" s="54"/>
      <c r="AQV2" s="54"/>
      <c r="ARF2" s="54"/>
      <c r="ARP2" s="54"/>
      <c r="ARZ2" s="54"/>
      <c r="ASJ2" s="54"/>
      <c r="AST2" s="54"/>
      <c r="ATD2" s="54"/>
      <c r="ATN2" s="54"/>
      <c r="ATX2" s="54"/>
      <c r="AUH2" s="54"/>
      <c r="AUR2" s="54"/>
      <c r="AVB2" s="54"/>
      <c r="AVL2" s="54"/>
      <c r="AVV2" s="54"/>
      <c r="AWF2" s="54"/>
      <c r="AWP2" s="54"/>
      <c r="AWZ2" s="54"/>
      <c r="AXJ2" s="54"/>
      <c r="AXT2" s="54"/>
      <c r="AYD2" s="54"/>
      <c r="AYN2" s="54"/>
      <c r="AYX2" s="54"/>
      <c r="AZH2" s="54"/>
      <c r="AZR2" s="54"/>
      <c r="BAB2" s="54"/>
      <c r="BAL2" s="54"/>
      <c r="BAV2" s="54"/>
      <c r="BBF2" s="54"/>
      <c r="BBP2" s="54"/>
      <c r="BBZ2" s="54"/>
      <c r="BCJ2" s="54"/>
      <c r="BCT2" s="54"/>
      <c r="BDD2" s="54"/>
      <c r="BDN2" s="54"/>
      <c r="BDX2" s="54"/>
      <c r="BEH2" s="54"/>
      <c r="BER2" s="54"/>
      <c r="BFB2" s="54"/>
      <c r="BFL2" s="54"/>
      <c r="BFV2" s="54"/>
      <c r="BGF2" s="54"/>
      <c r="BGP2" s="54"/>
      <c r="BGZ2" s="54"/>
      <c r="BHJ2" s="54"/>
      <c r="BHT2" s="54"/>
      <c r="BID2" s="54"/>
      <c r="BIN2" s="54"/>
      <c r="BIX2" s="54"/>
      <c r="BJH2" s="54"/>
      <c r="BJR2" s="54"/>
      <c r="BKB2" s="54"/>
      <c r="BKL2" s="54"/>
      <c r="BKV2" s="54"/>
      <c r="BLF2" s="54"/>
      <c r="BLP2" s="54"/>
      <c r="BLZ2" s="54"/>
      <c r="BMJ2" s="54"/>
      <c r="BMT2" s="54"/>
      <c r="BND2" s="54"/>
      <c r="BNN2" s="54"/>
      <c r="BNX2" s="54"/>
      <c r="BOH2" s="54"/>
      <c r="BOR2" s="54"/>
      <c r="BPB2" s="54"/>
      <c r="BPL2" s="54"/>
      <c r="BPV2" s="54"/>
      <c r="BQF2" s="54"/>
      <c r="BQP2" s="54"/>
      <c r="BQZ2" s="54"/>
      <c r="BRJ2" s="54"/>
      <c r="BRT2" s="54"/>
      <c r="BSD2" s="54"/>
      <c r="BSN2" s="54"/>
      <c r="BSX2" s="54"/>
      <c r="BTH2" s="54"/>
      <c r="BTR2" s="54"/>
      <c r="BUB2" s="54"/>
      <c r="BUL2" s="54"/>
      <c r="BUV2" s="54"/>
      <c r="BVF2" s="54"/>
      <c r="BVP2" s="54"/>
      <c r="BVZ2" s="54"/>
      <c r="BWJ2" s="54"/>
      <c r="BWT2" s="54"/>
      <c r="BXD2" s="54"/>
      <c r="BXN2" s="54"/>
      <c r="BXX2" s="54"/>
      <c r="BYH2" s="54"/>
      <c r="BYR2" s="54"/>
      <c r="BZB2" s="54"/>
      <c r="BZL2" s="54"/>
      <c r="BZV2" s="54"/>
      <c r="CAF2" s="54"/>
      <c r="CAP2" s="54"/>
      <c r="CAZ2" s="54"/>
      <c r="CBJ2" s="54"/>
      <c r="CBT2" s="54"/>
      <c r="CCD2" s="54"/>
      <c r="CCN2" s="54"/>
      <c r="CCX2" s="54"/>
      <c r="CDH2" s="54"/>
      <c r="CDR2" s="54"/>
      <c r="CEB2" s="54"/>
      <c r="CEL2" s="54"/>
      <c r="CEV2" s="54"/>
      <c r="CFF2" s="54"/>
      <c r="CFP2" s="54"/>
      <c r="CFZ2" s="54"/>
      <c r="CGJ2" s="54"/>
      <c r="CGT2" s="54"/>
      <c r="CHD2" s="54"/>
      <c r="CHN2" s="54"/>
      <c r="CHX2" s="54"/>
      <c r="CIH2" s="54"/>
      <c r="CIR2" s="54"/>
      <c r="CJB2" s="54"/>
      <c r="CJL2" s="54"/>
      <c r="CJV2" s="54"/>
      <c r="CKF2" s="54"/>
      <c r="CKP2" s="54"/>
      <c r="CKZ2" s="54"/>
      <c r="CLJ2" s="54"/>
      <c r="CLT2" s="54"/>
      <c r="CMD2" s="54"/>
      <c r="CMN2" s="54"/>
      <c r="CMX2" s="54"/>
      <c r="CNH2" s="54"/>
      <c r="CNR2" s="54"/>
      <c r="COB2" s="54"/>
      <c r="COL2" s="54"/>
      <c r="COV2" s="54"/>
      <c r="CPF2" s="54"/>
      <c r="CPP2" s="54"/>
      <c r="CPZ2" s="54"/>
      <c r="CQJ2" s="54"/>
      <c r="CQT2" s="54"/>
      <c r="CRD2" s="54"/>
      <c r="CRN2" s="54"/>
      <c r="CRX2" s="54"/>
      <c r="CSH2" s="54"/>
      <c r="CSR2" s="54"/>
      <c r="CTB2" s="54"/>
      <c r="CTL2" s="54"/>
      <c r="CTV2" s="54"/>
    </row>
    <row r="3" s="39" customFormat="1" customHeight="1" spans="1:1020 1030:2040 2050:2570">
      <c r="A3" s="48">
        <v>46144</v>
      </c>
      <c r="B3" s="9" t="s">
        <v>32</v>
      </c>
      <c r="C3" s="10" t="s">
        <v>33</v>
      </c>
      <c r="D3" s="10">
        <v>652328514</v>
      </c>
      <c r="E3" s="15" t="s">
        <v>47</v>
      </c>
      <c r="F3" s="50" t="str">
        <f>VLOOKUP(E3,基础数据!E:F,2,0)</f>
        <v>A12-菊花链线束</v>
      </c>
      <c r="G3" s="53">
        <v>3000</v>
      </c>
      <c r="H3" s="51" t="str">
        <f>VLOOKUP(E3,基础数据!E:H,4,0)</f>
        <v>料盒</v>
      </c>
      <c r="I3" s="51">
        <f>VLOOKUP(E3,基础数据!E:G,3,0)</f>
        <v>1500</v>
      </c>
      <c r="J3" s="49" t="s">
        <v>35</v>
      </c>
      <c r="K3" s="52">
        <f t="shared" ref="K3:K37" si="0">IFERROR(G3/I3,"")</f>
        <v>2</v>
      </c>
      <c r="T3" s="54"/>
      <c r="AD3" s="54"/>
      <c r="AN3" s="54"/>
      <c r="AX3" s="54"/>
      <c r="BH3" s="54"/>
      <c r="BR3" s="54"/>
      <c r="CB3" s="54"/>
      <c r="CL3" s="54"/>
      <c r="CV3" s="54"/>
      <c r="DF3" s="54"/>
      <c r="DP3" s="54"/>
      <c r="DZ3" s="54"/>
      <c r="EJ3" s="54"/>
      <c r="ET3" s="54"/>
      <c r="FD3" s="54"/>
      <c r="FN3" s="54"/>
      <c r="FX3" s="54"/>
      <c r="GH3" s="54"/>
      <c r="GR3" s="54"/>
      <c r="HB3" s="54"/>
      <c r="HL3" s="54"/>
      <c r="HV3" s="54"/>
      <c r="IF3" s="54"/>
      <c r="IP3" s="54"/>
      <c r="IZ3" s="54"/>
      <c r="JJ3" s="54"/>
      <c r="JT3" s="54"/>
      <c r="KD3" s="54"/>
      <c r="KN3" s="54"/>
      <c r="KX3" s="54"/>
      <c r="LH3" s="54"/>
      <c r="LR3" s="54"/>
      <c r="MB3" s="54"/>
      <c r="ML3" s="54"/>
      <c r="MV3" s="54"/>
      <c r="NF3" s="54"/>
      <c r="NP3" s="54"/>
      <c r="NZ3" s="54"/>
      <c r="OJ3" s="54"/>
      <c r="OT3" s="54"/>
      <c r="PD3" s="54"/>
      <c r="PN3" s="54"/>
      <c r="PX3" s="54"/>
      <c r="QH3" s="54"/>
      <c r="QR3" s="54"/>
      <c r="RB3" s="54"/>
      <c r="RL3" s="54"/>
      <c r="RV3" s="54"/>
      <c r="SF3" s="54"/>
      <c r="SP3" s="54"/>
      <c r="SZ3" s="54"/>
      <c r="TJ3" s="54"/>
      <c r="TT3" s="54"/>
      <c r="UD3" s="54"/>
      <c r="UN3" s="54"/>
      <c r="UX3" s="54"/>
      <c r="VH3" s="54"/>
      <c r="VR3" s="54"/>
      <c r="WB3" s="54"/>
      <c r="WL3" s="54"/>
      <c r="WV3" s="54"/>
      <c r="XF3" s="54"/>
      <c r="XP3" s="54"/>
      <c r="XZ3" s="54"/>
      <c r="YJ3" s="54"/>
      <c r="YT3" s="54"/>
      <c r="ZD3" s="54"/>
      <c r="ZN3" s="54"/>
      <c r="ZX3" s="54"/>
      <c r="AAH3" s="54"/>
      <c r="AAR3" s="54"/>
      <c r="ABB3" s="54"/>
      <c r="ABL3" s="54"/>
      <c r="ABV3" s="54"/>
      <c r="ACF3" s="54"/>
      <c r="ACP3" s="54"/>
      <c r="ACZ3" s="54"/>
      <c r="ADJ3" s="54"/>
      <c r="ADT3" s="54"/>
      <c r="AED3" s="54"/>
      <c r="AEN3" s="54"/>
      <c r="AEX3" s="54"/>
      <c r="AFH3" s="54"/>
      <c r="AFR3" s="54"/>
      <c r="AGB3" s="54"/>
      <c r="AGL3" s="54"/>
      <c r="AGV3" s="54"/>
      <c r="AHF3" s="54"/>
      <c r="AHP3" s="54"/>
      <c r="AHZ3" s="54"/>
      <c r="AIJ3" s="54"/>
      <c r="AIT3" s="54"/>
      <c r="AJD3" s="54"/>
      <c r="AJN3" s="54"/>
      <c r="AJX3" s="54"/>
      <c r="AKH3" s="54"/>
      <c r="AKR3" s="54"/>
      <c r="ALB3" s="54"/>
      <c r="ALL3" s="54"/>
      <c r="ALV3" s="54"/>
      <c r="AMF3" s="54"/>
      <c r="AMP3" s="54"/>
      <c r="AMZ3" s="54"/>
      <c r="ANJ3" s="54"/>
      <c r="ANT3" s="54"/>
      <c r="AOD3" s="54"/>
      <c r="AON3" s="54"/>
      <c r="AOX3" s="54"/>
      <c r="APH3" s="54"/>
      <c r="APR3" s="54"/>
      <c r="AQB3" s="54"/>
      <c r="AQL3" s="54"/>
      <c r="AQV3" s="54"/>
      <c r="ARF3" s="54"/>
      <c r="ARP3" s="54"/>
      <c r="ARZ3" s="54"/>
      <c r="ASJ3" s="54"/>
      <c r="AST3" s="54"/>
      <c r="ATD3" s="54"/>
      <c r="ATN3" s="54"/>
      <c r="ATX3" s="54"/>
      <c r="AUH3" s="54"/>
      <c r="AUR3" s="54"/>
      <c r="AVB3" s="54"/>
      <c r="AVL3" s="54"/>
      <c r="AVV3" s="54"/>
      <c r="AWF3" s="54"/>
      <c r="AWP3" s="54"/>
      <c r="AWZ3" s="54"/>
      <c r="AXJ3" s="54"/>
      <c r="AXT3" s="54"/>
      <c r="AYD3" s="54"/>
      <c r="AYN3" s="54"/>
      <c r="AYX3" s="54"/>
      <c r="AZH3" s="54"/>
      <c r="AZR3" s="54"/>
      <c r="BAB3" s="54"/>
      <c r="BAL3" s="54"/>
      <c r="BAV3" s="54"/>
      <c r="BBF3" s="54"/>
      <c r="BBP3" s="54"/>
      <c r="BBZ3" s="54"/>
      <c r="BCJ3" s="54"/>
      <c r="BCT3" s="54"/>
      <c r="BDD3" s="54"/>
      <c r="BDN3" s="54"/>
      <c r="BDX3" s="54"/>
      <c r="BEH3" s="54"/>
      <c r="BER3" s="54"/>
      <c r="BFB3" s="54"/>
      <c r="BFL3" s="54"/>
      <c r="BFV3" s="54"/>
      <c r="BGF3" s="54"/>
      <c r="BGP3" s="54"/>
      <c r="BGZ3" s="54"/>
      <c r="BHJ3" s="54"/>
      <c r="BHT3" s="54"/>
      <c r="BID3" s="54"/>
      <c r="BIN3" s="54"/>
      <c r="BIX3" s="54"/>
      <c r="BJH3" s="54"/>
      <c r="BJR3" s="54"/>
      <c r="BKB3" s="54"/>
      <c r="BKL3" s="54"/>
      <c r="BKV3" s="54"/>
      <c r="BLF3" s="54"/>
      <c r="BLP3" s="54"/>
      <c r="BLZ3" s="54"/>
      <c r="BMJ3" s="54"/>
      <c r="BMT3" s="54"/>
      <c r="BND3" s="54"/>
      <c r="BNN3" s="54"/>
      <c r="BNX3" s="54"/>
      <c r="BOH3" s="54"/>
      <c r="BOR3" s="54"/>
      <c r="BPB3" s="54"/>
      <c r="BPL3" s="54"/>
      <c r="BPV3" s="54"/>
      <c r="BQF3" s="54"/>
      <c r="BQP3" s="54"/>
      <c r="BQZ3" s="54"/>
      <c r="BRJ3" s="54"/>
      <c r="BRT3" s="54"/>
      <c r="BSD3" s="54"/>
      <c r="BSN3" s="54"/>
      <c r="BSX3" s="54"/>
      <c r="BTH3" s="54"/>
      <c r="BTR3" s="54"/>
      <c r="BUB3" s="54"/>
      <c r="BUL3" s="54"/>
      <c r="BUV3" s="54"/>
      <c r="BVF3" s="54"/>
      <c r="BVP3" s="54"/>
      <c r="BVZ3" s="54"/>
      <c r="BWJ3" s="54"/>
      <c r="BWT3" s="54"/>
      <c r="BXD3" s="54"/>
      <c r="BXN3" s="54"/>
      <c r="BXX3" s="54"/>
      <c r="BYH3" s="54"/>
      <c r="BYR3" s="54"/>
      <c r="BZB3" s="54"/>
      <c r="BZL3" s="54"/>
      <c r="BZV3" s="54"/>
      <c r="CAF3" s="54"/>
      <c r="CAP3" s="54"/>
      <c r="CAZ3" s="54"/>
      <c r="CBJ3" s="54"/>
      <c r="CBT3" s="54"/>
      <c r="CCD3" s="54"/>
      <c r="CCN3" s="54"/>
      <c r="CCX3" s="54"/>
      <c r="CDH3" s="54"/>
      <c r="CDR3" s="54"/>
      <c r="CEB3" s="54"/>
      <c r="CEL3" s="54"/>
      <c r="CEV3" s="54"/>
      <c r="CFF3" s="54"/>
      <c r="CFP3" s="54"/>
      <c r="CFZ3" s="54"/>
      <c r="CGJ3" s="54"/>
      <c r="CGT3" s="54"/>
      <c r="CHD3" s="54"/>
      <c r="CHN3" s="54"/>
      <c r="CHX3" s="54"/>
      <c r="CIH3" s="54"/>
      <c r="CIR3" s="54"/>
      <c r="CJB3" s="54"/>
      <c r="CJL3" s="54"/>
      <c r="CJV3" s="54"/>
      <c r="CKF3" s="54"/>
      <c r="CKP3" s="54"/>
      <c r="CKZ3" s="54"/>
      <c r="CLJ3" s="54"/>
      <c r="CLT3" s="54"/>
      <c r="CMD3" s="54"/>
      <c r="CMN3" s="54"/>
      <c r="CMX3" s="54"/>
      <c r="CNH3" s="54"/>
      <c r="CNR3" s="54"/>
      <c r="COB3" s="54"/>
      <c r="COL3" s="54"/>
      <c r="COV3" s="54"/>
      <c r="CPF3" s="54"/>
      <c r="CPP3" s="54"/>
      <c r="CPZ3" s="54"/>
      <c r="CQJ3" s="54"/>
      <c r="CQT3" s="54"/>
      <c r="CRD3" s="54"/>
      <c r="CRN3" s="54"/>
      <c r="CRX3" s="54"/>
      <c r="CSH3" s="54"/>
      <c r="CSR3" s="54"/>
      <c r="CTB3" s="54"/>
      <c r="CTL3" s="54"/>
      <c r="CTV3" s="54"/>
    </row>
    <row r="4" s="39" customFormat="1" customHeight="1" spans="1:1020 1030:2040 2050:2570">
      <c r="A4" s="48">
        <v>46144</v>
      </c>
      <c r="B4" s="9" t="s">
        <v>32</v>
      </c>
      <c r="C4" s="10" t="s">
        <v>33</v>
      </c>
      <c r="D4" s="10">
        <v>652328514</v>
      </c>
      <c r="E4" s="15" t="s">
        <v>52</v>
      </c>
      <c r="F4" s="50" t="str">
        <f>VLOOKUP(E4,基础数据!E:F,2,0)</f>
        <v>LXCU13E01-分流器线束</v>
      </c>
      <c r="G4" s="53">
        <v>7500</v>
      </c>
      <c r="H4" s="51" t="str">
        <f>VLOOKUP(E4,基础数据!E:H,4,0)</f>
        <v>料盒</v>
      </c>
      <c r="I4" s="51">
        <f>VLOOKUP(E4,基础数据!E:G,3,0)</f>
        <v>1500</v>
      </c>
      <c r="J4" s="49" t="s">
        <v>35</v>
      </c>
      <c r="K4" s="52">
        <f t="shared" si="0"/>
        <v>5</v>
      </c>
      <c r="T4" s="54"/>
      <c r="AD4" s="54"/>
      <c r="AN4" s="54"/>
      <c r="AX4" s="54"/>
      <c r="BH4" s="54"/>
      <c r="BR4" s="54"/>
      <c r="CB4" s="54"/>
      <c r="CL4" s="54"/>
      <c r="CV4" s="54"/>
      <c r="DF4" s="54"/>
      <c r="DP4" s="54"/>
      <c r="DZ4" s="54"/>
      <c r="EJ4" s="54"/>
      <c r="ET4" s="54"/>
      <c r="FD4" s="54"/>
      <c r="FN4" s="54"/>
      <c r="FX4" s="54"/>
      <c r="GH4" s="54"/>
      <c r="GR4" s="54"/>
      <c r="HB4" s="54"/>
      <c r="HL4" s="54"/>
      <c r="HV4" s="54"/>
      <c r="IF4" s="54"/>
      <c r="IP4" s="54"/>
      <c r="IZ4" s="54"/>
      <c r="JJ4" s="54"/>
      <c r="JT4" s="54"/>
      <c r="KD4" s="54"/>
      <c r="KN4" s="54"/>
      <c r="KX4" s="54"/>
      <c r="LH4" s="54"/>
      <c r="LR4" s="54"/>
      <c r="MB4" s="54"/>
      <c r="ML4" s="54"/>
      <c r="MV4" s="54"/>
      <c r="NF4" s="54"/>
      <c r="NP4" s="54"/>
      <c r="NZ4" s="54"/>
      <c r="OJ4" s="54"/>
      <c r="OT4" s="54"/>
      <c r="PD4" s="54"/>
      <c r="PN4" s="54"/>
      <c r="PX4" s="54"/>
      <c r="QH4" s="54"/>
      <c r="QR4" s="54"/>
      <c r="RB4" s="54"/>
      <c r="RL4" s="54"/>
      <c r="RV4" s="54"/>
      <c r="SF4" s="54"/>
      <c r="SP4" s="54"/>
      <c r="SZ4" s="54"/>
      <c r="TJ4" s="54"/>
      <c r="TT4" s="54"/>
      <c r="UD4" s="54"/>
      <c r="UN4" s="54"/>
      <c r="UX4" s="54"/>
      <c r="VH4" s="54"/>
      <c r="VR4" s="54"/>
      <c r="WB4" s="54"/>
      <c r="WL4" s="54"/>
      <c r="WV4" s="54"/>
      <c r="XF4" s="54"/>
      <c r="XP4" s="54"/>
      <c r="XZ4" s="54"/>
      <c r="YJ4" s="54"/>
      <c r="YT4" s="54"/>
      <c r="ZD4" s="54"/>
      <c r="ZN4" s="54"/>
      <c r="ZX4" s="54"/>
      <c r="AAH4" s="54"/>
      <c r="AAR4" s="54"/>
      <c r="ABB4" s="54"/>
      <c r="ABL4" s="54"/>
      <c r="ABV4" s="54"/>
      <c r="ACF4" s="54"/>
      <c r="ACP4" s="54"/>
      <c r="ACZ4" s="54"/>
      <c r="ADJ4" s="54"/>
      <c r="ADT4" s="54"/>
      <c r="AED4" s="54"/>
      <c r="AEN4" s="54"/>
      <c r="AEX4" s="54"/>
      <c r="AFH4" s="54"/>
      <c r="AFR4" s="54"/>
      <c r="AGB4" s="54"/>
      <c r="AGL4" s="54"/>
      <c r="AGV4" s="54"/>
      <c r="AHF4" s="54"/>
      <c r="AHP4" s="54"/>
      <c r="AHZ4" s="54"/>
      <c r="AIJ4" s="54"/>
      <c r="AIT4" s="54"/>
      <c r="AJD4" s="54"/>
      <c r="AJN4" s="54"/>
      <c r="AJX4" s="54"/>
      <c r="AKH4" s="54"/>
      <c r="AKR4" s="54"/>
      <c r="ALB4" s="54"/>
      <c r="ALL4" s="54"/>
      <c r="ALV4" s="54"/>
      <c r="AMF4" s="54"/>
      <c r="AMP4" s="54"/>
      <c r="AMZ4" s="54"/>
      <c r="ANJ4" s="54"/>
      <c r="ANT4" s="54"/>
      <c r="AOD4" s="54"/>
      <c r="AON4" s="54"/>
      <c r="AOX4" s="54"/>
      <c r="APH4" s="54"/>
      <c r="APR4" s="54"/>
      <c r="AQB4" s="54"/>
      <c r="AQL4" s="54"/>
      <c r="AQV4" s="54"/>
      <c r="ARF4" s="54"/>
      <c r="ARP4" s="54"/>
      <c r="ARZ4" s="54"/>
      <c r="ASJ4" s="54"/>
      <c r="AST4" s="54"/>
      <c r="ATD4" s="54"/>
      <c r="ATN4" s="54"/>
      <c r="ATX4" s="54"/>
      <c r="AUH4" s="54"/>
      <c r="AUR4" s="54"/>
      <c r="AVB4" s="54"/>
      <c r="AVL4" s="54"/>
      <c r="AVV4" s="54"/>
      <c r="AWF4" s="54"/>
      <c r="AWP4" s="54"/>
      <c r="AWZ4" s="54"/>
      <c r="AXJ4" s="54"/>
      <c r="AXT4" s="54"/>
      <c r="AYD4" s="54"/>
      <c r="AYN4" s="54"/>
      <c r="AYX4" s="54"/>
      <c r="AZH4" s="54"/>
      <c r="AZR4" s="54"/>
      <c r="BAB4" s="54"/>
      <c r="BAL4" s="54"/>
      <c r="BAV4" s="54"/>
      <c r="BBF4" s="54"/>
      <c r="BBP4" s="54"/>
      <c r="BBZ4" s="54"/>
      <c r="BCJ4" s="54"/>
      <c r="BCT4" s="54"/>
      <c r="BDD4" s="54"/>
      <c r="BDN4" s="54"/>
      <c r="BDX4" s="54"/>
      <c r="BEH4" s="54"/>
      <c r="BER4" s="54"/>
      <c r="BFB4" s="54"/>
      <c r="BFL4" s="54"/>
      <c r="BFV4" s="54"/>
      <c r="BGF4" s="54"/>
      <c r="BGP4" s="54"/>
      <c r="BGZ4" s="54"/>
      <c r="BHJ4" s="54"/>
      <c r="BHT4" s="54"/>
      <c r="BID4" s="54"/>
      <c r="BIN4" s="54"/>
      <c r="BIX4" s="54"/>
      <c r="BJH4" s="54"/>
      <c r="BJR4" s="54"/>
      <c r="BKB4" s="54"/>
      <c r="BKL4" s="54"/>
      <c r="BKV4" s="54"/>
      <c r="BLF4" s="54"/>
      <c r="BLP4" s="54"/>
      <c r="BLZ4" s="54"/>
      <c r="BMJ4" s="54"/>
      <c r="BMT4" s="54"/>
      <c r="BND4" s="54"/>
      <c r="BNN4" s="54"/>
      <c r="BNX4" s="54"/>
      <c r="BOH4" s="54"/>
      <c r="BOR4" s="54"/>
      <c r="BPB4" s="54"/>
      <c r="BPL4" s="54"/>
      <c r="BPV4" s="54"/>
      <c r="BQF4" s="54"/>
      <c r="BQP4" s="54"/>
      <c r="BQZ4" s="54"/>
      <c r="BRJ4" s="54"/>
      <c r="BRT4" s="54"/>
      <c r="BSD4" s="54"/>
      <c r="BSN4" s="54"/>
      <c r="BSX4" s="54"/>
      <c r="BTH4" s="54"/>
      <c r="BTR4" s="54"/>
      <c r="BUB4" s="54"/>
      <c r="BUL4" s="54"/>
      <c r="BUV4" s="54"/>
      <c r="BVF4" s="54"/>
      <c r="BVP4" s="54"/>
      <c r="BVZ4" s="54"/>
      <c r="BWJ4" s="54"/>
      <c r="BWT4" s="54"/>
      <c r="BXD4" s="54"/>
      <c r="BXN4" s="54"/>
      <c r="BXX4" s="54"/>
      <c r="BYH4" s="54"/>
      <c r="BYR4" s="54"/>
      <c r="BZB4" s="54"/>
      <c r="BZL4" s="54"/>
      <c r="BZV4" s="54"/>
      <c r="CAF4" s="54"/>
      <c r="CAP4" s="54"/>
      <c r="CAZ4" s="54"/>
      <c r="CBJ4" s="54"/>
      <c r="CBT4" s="54"/>
      <c r="CCD4" s="54"/>
      <c r="CCN4" s="54"/>
      <c r="CCX4" s="54"/>
      <c r="CDH4" s="54"/>
      <c r="CDR4" s="54"/>
      <c r="CEB4" s="54"/>
      <c r="CEL4" s="54"/>
      <c r="CEV4" s="54"/>
      <c r="CFF4" s="54"/>
      <c r="CFP4" s="54"/>
      <c r="CFZ4" s="54"/>
      <c r="CGJ4" s="54"/>
      <c r="CGT4" s="54"/>
      <c r="CHD4" s="54"/>
      <c r="CHN4" s="54"/>
      <c r="CHX4" s="54"/>
      <c r="CIH4" s="54"/>
      <c r="CIR4" s="54"/>
      <c r="CJB4" s="54"/>
      <c r="CJL4" s="54"/>
      <c r="CJV4" s="54"/>
      <c r="CKF4" s="54"/>
      <c r="CKP4" s="54"/>
      <c r="CKZ4" s="54"/>
      <c r="CLJ4" s="54"/>
      <c r="CLT4" s="54"/>
      <c r="CMD4" s="54"/>
      <c r="CMN4" s="54"/>
      <c r="CMX4" s="54"/>
      <c r="CNH4" s="54"/>
      <c r="CNR4" s="54"/>
      <c r="COB4" s="54"/>
      <c r="COL4" s="54"/>
      <c r="COV4" s="54"/>
      <c r="CPF4" s="54"/>
      <c r="CPP4" s="54"/>
      <c r="CPZ4" s="54"/>
      <c r="CQJ4" s="54"/>
      <c r="CQT4" s="54"/>
      <c r="CRD4" s="54"/>
      <c r="CRN4" s="54"/>
      <c r="CRX4" s="54"/>
      <c r="CSH4" s="54"/>
      <c r="CSR4" s="54"/>
      <c r="CTB4" s="54"/>
      <c r="CTL4" s="54"/>
      <c r="CTV4" s="54"/>
    </row>
    <row r="5" s="39" customFormat="1" customHeight="1" spans="1:1020 1030:2040 2050:2570">
      <c r="A5" s="48">
        <v>46145</v>
      </c>
      <c r="B5" s="9" t="s">
        <v>32</v>
      </c>
      <c r="C5" s="10" t="s">
        <v>33</v>
      </c>
      <c r="D5" s="49">
        <v>652332318</v>
      </c>
      <c r="E5" s="11" t="s">
        <v>44</v>
      </c>
      <c r="F5" s="50" t="str">
        <f>VLOOKUP(E5,基础数据!E:F,2,0)</f>
        <v>A12-高压支路连接线束-500</v>
      </c>
      <c r="G5" s="49">
        <v>1000</v>
      </c>
      <c r="H5" s="51" t="str">
        <f>VLOOKUP(E5,基础数据!E:H,4,0)</f>
        <v>料盒</v>
      </c>
      <c r="I5" s="51">
        <f>VLOOKUP(E5,基础数据!E:G,3,0)</f>
        <v>20</v>
      </c>
      <c r="J5" s="49" t="s">
        <v>35</v>
      </c>
      <c r="K5" s="52">
        <f t="shared" si="0"/>
        <v>50</v>
      </c>
      <c r="T5" s="54"/>
      <c r="AD5" s="54"/>
      <c r="AN5" s="54"/>
      <c r="AX5" s="54"/>
      <c r="BH5" s="54"/>
      <c r="BR5" s="54"/>
      <c r="CB5" s="54"/>
      <c r="CL5" s="54"/>
      <c r="CV5" s="54"/>
      <c r="DF5" s="54"/>
      <c r="DP5" s="54"/>
      <c r="DZ5" s="54"/>
      <c r="EJ5" s="54"/>
      <c r="ET5" s="54"/>
      <c r="FD5" s="54"/>
      <c r="FN5" s="54"/>
      <c r="FX5" s="54"/>
      <c r="GH5" s="54"/>
      <c r="GR5" s="54"/>
      <c r="HB5" s="54"/>
      <c r="HL5" s="54"/>
      <c r="HV5" s="54"/>
      <c r="IF5" s="54"/>
      <c r="IP5" s="54"/>
      <c r="IZ5" s="54"/>
      <c r="JJ5" s="54"/>
      <c r="JT5" s="54"/>
      <c r="KD5" s="54"/>
      <c r="KN5" s="54"/>
      <c r="KX5" s="54"/>
      <c r="LH5" s="54"/>
      <c r="LR5" s="54"/>
      <c r="MB5" s="54"/>
      <c r="ML5" s="54"/>
      <c r="MV5" s="54"/>
      <c r="NF5" s="54"/>
      <c r="NP5" s="54"/>
      <c r="NZ5" s="54"/>
      <c r="OJ5" s="54"/>
      <c r="OT5" s="54"/>
      <c r="PD5" s="54"/>
      <c r="PN5" s="54"/>
      <c r="PX5" s="54"/>
      <c r="QH5" s="54"/>
      <c r="QR5" s="54"/>
      <c r="RB5" s="54"/>
      <c r="RL5" s="54"/>
      <c r="RV5" s="54"/>
      <c r="SF5" s="54"/>
      <c r="SP5" s="54"/>
      <c r="SZ5" s="54"/>
      <c r="TJ5" s="54"/>
      <c r="TT5" s="54"/>
      <c r="UD5" s="54"/>
      <c r="UN5" s="54"/>
      <c r="UX5" s="54"/>
      <c r="VH5" s="54"/>
      <c r="VR5" s="54"/>
      <c r="WB5" s="54"/>
      <c r="WL5" s="54"/>
      <c r="WV5" s="54"/>
      <c r="XF5" s="54"/>
      <c r="XP5" s="54"/>
      <c r="XZ5" s="54"/>
      <c r="YJ5" s="54"/>
      <c r="YT5" s="54"/>
      <c r="ZD5" s="54"/>
      <c r="ZN5" s="54"/>
      <c r="ZX5" s="54"/>
      <c r="AAH5" s="54"/>
      <c r="AAR5" s="54"/>
      <c r="ABB5" s="54"/>
      <c r="ABL5" s="54"/>
      <c r="ABV5" s="54"/>
      <c r="ACF5" s="54"/>
      <c r="ACP5" s="54"/>
      <c r="ACZ5" s="54"/>
      <c r="ADJ5" s="54"/>
      <c r="ADT5" s="54"/>
      <c r="AED5" s="54"/>
      <c r="AEN5" s="54"/>
      <c r="AEX5" s="54"/>
      <c r="AFH5" s="54"/>
      <c r="AFR5" s="54"/>
      <c r="AGB5" s="54"/>
      <c r="AGL5" s="54"/>
      <c r="AGV5" s="54"/>
      <c r="AHF5" s="54"/>
      <c r="AHP5" s="54"/>
      <c r="AHZ5" s="54"/>
      <c r="AIJ5" s="54"/>
      <c r="AIT5" s="54"/>
      <c r="AJD5" s="54"/>
      <c r="AJN5" s="54"/>
      <c r="AJX5" s="54"/>
      <c r="AKH5" s="54"/>
      <c r="AKR5" s="54"/>
      <c r="ALB5" s="54"/>
      <c r="ALL5" s="54"/>
      <c r="ALV5" s="54"/>
      <c r="AMF5" s="54"/>
      <c r="AMP5" s="54"/>
      <c r="AMZ5" s="54"/>
      <c r="ANJ5" s="54"/>
      <c r="ANT5" s="54"/>
      <c r="AOD5" s="54"/>
      <c r="AON5" s="54"/>
      <c r="AOX5" s="54"/>
      <c r="APH5" s="54"/>
      <c r="APR5" s="54"/>
      <c r="AQB5" s="54"/>
      <c r="AQL5" s="54"/>
      <c r="AQV5" s="54"/>
      <c r="ARF5" s="54"/>
      <c r="ARP5" s="54"/>
      <c r="ARZ5" s="54"/>
      <c r="ASJ5" s="54"/>
      <c r="AST5" s="54"/>
      <c r="ATD5" s="54"/>
      <c r="ATN5" s="54"/>
      <c r="ATX5" s="54"/>
      <c r="AUH5" s="54"/>
      <c r="AUR5" s="54"/>
      <c r="AVB5" s="54"/>
      <c r="AVL5" s="54"/>
      <c r="AVV5" s="54"/>
      <c r="AWF5" s="54"/>
      <c r="AWP5" s="54"/>
      <c r="AWZ5" s="54"/>
      <c r="AXJ5" s="54"/>
      <c r="AXT5" s="54"/>
      <c r="AYD5" s="54"/>
      <c r="AYN5" s="54"/>
      <c r="AYX5" s="54"/>
      <c r="AZH5" s="54"/>
      <c r="AZR5" s="54"/>
      <c r="BAB5" s="54"/>
      <c r="BAL5" s="54"/>
      <c r="BAV5" s="54"/>
      <c r="BBF5" s="54"/>
      <c r="BBP5" s="54"/>
      <c r="BBZ5" s="54"/>
      <c r="BCJ5" s="54"/>
      <c r="BCT5" s="54"/>
      <c r="BDD5" s="54"/>
      <c r="BDN5" s="54"/>
      <c r="BDX5" s="54"/>
      <c r="BEH5" s="54"/>
      <c r="BER5" s="54"/>
      <c r="BFB5" s="54"/>
      <c r="BFL5" s="54"/>
      <c r="BFV5" s="54"/>
      <c r="BGF5" s="54"/>
      <c r="BGP5" s="54"/>
      <c r="BGZ5" s="54"/>
      <c r="BHJ5" s="54"/>
      <c r="BHT5" s="54"/>
      <c r="BID5" s="54"/>
      <c r="BIN5" s="54"/>
      <c r="BIX5" s="54"/>
      <c r="BJH5" s="54"/>
      <c r="BJR5" s="54"/>
      <c r="BKB5" s="54"/>
      <c r="BKL5" s="54"/>
      <c r="BKV5" s="54"/>
      <c r="BLF5" s="54"/>
      <c r="BLP5" s="54"/>
      <c r="BLZ5" s="54"/>
      <c r="BMJ5" s="54"/>
      <c r="BMT5" s="54"/>
      <c r="BND5" s="54"/>
      <c r="BNN5" s="54"/>
      <c r="BNX5" s="54"/>
      <c r="BOH5" s="54"/>
      <c r="BOR5" s="54"/>
      <c r="BPB5" s="54"/>
      <c r="BPL5" s="54"/>
      <c r="BPV5" s="54"/>
      <c r="BQF5" s="54"/>
      <c r="BQP5" s="54"/>
      <c r="BQZ5" s="54"/>
      <c r="BRJ5" s="54"/>
      <c r="BRT5" s="54"/>
      <c r="BSD5" s="54"/>
      <c r="BSN5" s="54"/>
      <c r="BSX5" s="54"/>
      <c r="BTH5" s="54"/>
      <c r="BTR5" s="54"/>
      <c r="BUB5" s="54"/>
      <c r="BUL5" s="54"/>
      <c r="BUV5" s="54"/>
      <c r="BVF5" s="54"/>
      <c r="BVP5" s="54"/>
      <c r="BVZ5" s="54"/>
      <c r="BWJ5" s="54"/>
      <c r="BWT5" s="54"/>
      <c r="BXD5" s="54"/>
      <c r="BXN5" s="54"/>
      <c r="BXX5" s="54"/>
      <c r="BYH5" s="54"/>
      <c r="BYR5" s="54"/>
      <c r="BZB5" s="54"/>
      <c r="BZL5" s="54"/>
      <c r="BZV5" s="54"/>
      <c r="CAF5" s="54"/>
      <c r="CAP5" s="54"/>
      <c r="CAZ5" s="54"/>
      <c r="CBJ5" s="54"/>
      <c r="CBT5" s="54"/>
      <c r="CCD5" s="54"/>
      <c r="CCN5" s="54"/>
      <c r="CCX5" s="54"/>
      <c r="CDH5" s="54"/>
      <c r="CDR5" s="54"/>
      <c r="CEB5" s="54"/>
      <c r="CEL5" s="54"/>
      <c r="CEV5" s="54"/>
      <c r="CFF5" s="54"/>
      <c r="CFP5" s="54"/>
      <c r="CFZ5" s="54"/>
      <c r="CGJ5" s="54"/>
      <c r="CGT5" s="54"/>
      <c r="CHD5" s="54"/>
      <c r="CHN5" s="54"/>
      <c r="CHX5" s="54"/>
      <c r="CIH5" s="54"/>
      <c r="CIR5" s="54"/>
      <c r="CJB5" s="54"/>
      <c r="CJL5" s="54"/>
      <c r="CJV5" s="54"/>
      <c r="CKF5" s="54"/>
      <c r="CKP5" s="54"/>
      <c r="CKZ5" s="54"/>
      <c r="CLJ5" s="54"/>
      <c r="CLT5" s="54"/>
      <c r="CMD5" s="54"/>
      <c r="CMN5" s="54"/>
      <c r="CMX5" s="54"/>
      <c r="CNH5" s="54"/>
      <c r="CNR5" s="54"/>
      <c r="COB5" s="54"/>
      <c r="COL5" s="54"/>
      <c r="COV5" s="54"/>
      <c r="CPF5" s="54"/>
      <c r="CPP5" s="54"/>
      <c r="CPZ5" s="54"/>
      <c r="CQJ5" s="54"/>
      <c r="CQT5" s="54"/>
      <c r="CRD5" s="54"/>
      <c r="CRN5" s="54"/>
      <c r="CRX5" s="54"/>
      <c r="CSH5" s="54"/>
      <c r="CSR5" s="54"/>
      <c r="CTB5" s="54"/>
      <c r="CTL5" s="54"/>
      <c r="CTV5" s="54"/>
    </row>
    <row r="6" s="39" customFormat="1" customHeight="1" spans="1:1020 1030:2040 2050:2570">
      <c r="A6" s="48">
        <v>46146</v>
      </c>
      <c r="B6" s="9" t="s">
        <v>32</v>
      </c>
      <c r="C6" s="10" t="s">
        <v>33</v>
      </c>
      <c r="D6" s="49">
        <v>652339115</v>
      </c>
      <c r="E6" s="15" t="s">
        <v>34</v>
      </c>
      <c r="F6" s="50" t="str">
        <f>VLOOKUP(E6,基础数据!E:F,2,0)</f>
        <v>LX00148-CCS总成</v>
      </c>
      <c r="G6" s="49">
        <v>2076</v>
      </c>
      <c r="H6" s="51" t="str">
        <f>VLOOKUP(E6,基础数据!E:H,4,0)</f>
        <v>纸箱</v>
      </c>
      <c r="I6" s="51">
        <f>VLOOKUP(E6,基础数据!E:G,3,0)</f>
        <v>12</v>
      </c>
      <c r="J6" s="49" t="s">
        <v>35</v>
      </c>
      <c r="K6" s="52">
        <f t="shared" si="0"/>
        <v>173</v>
      </c>
      <c r="T6" s="54"/>
      <c r="AD6" s="54"/>
      <c r="AN6" s="54"/>
      <c r="AX6" s="54"/>
      <c r="BH6" s="54"/>
      <c r="BR6" s="54"/>
      <c r="CB6" s="54"/>
      <c r="CL6" s="54"/>
      <c r="CV6" s="54"/>
      <c r="DF6" s="54"/>
      <c r="DP6" s="54"/>
      <c r="DZ6" s="54"/>
      <c r="EJ6" s="54"/>
      <c r="ET6" s="54"/>
      <c r="FD6" s="54"/>
      <c r="FN6" s="54"/>
      <c r="FX6" s="54"/>
      <c r="GH6" s="54"/>
      <c r="GR6" s="54"/>
      <c r="HB6" s="54"/>
      <c r="HL6" s="54"/>
      <c r="HV6" s="54"/>
      <c r="IF6" s="54"/>
      <c r="IP6" s="54"/>
      <c r="IZ6" s="54"/>
      <c r="JJ6" s="54"/>
      <c r="JT6" s="54"/>
      <c r="KD6" s="54"/>
      <c r="KN6" s="54"/>
      <c r="KX6" s="54"/>
      <c r="LH6" s="54"/>
      <c r="LR6" s="54"/>
      <c r="MB6" s="54"/>
      <c r="ML6" s="54"/>
      <c r="MV6" s="54"/>
      <c r="NF6" s="54"/>
      <c r="NP6" s="54"/>
      <c r="NZ6" s="54"/>
      <c r="OJ6" s="54"/>
      <c r="OT6" s="54"/>
      <c r="PD6" s="54"/>
      <c r="PN6" s="54"/>
      <c r="PX6" s="54"/>
      <c r="QH6" s="54"/>
      <c r="QR6" s="54"/>
      <c r="RB6" s="54"/>
      <c r="RL6" s="54"/>
      <c r="RV6" s="54"/>
      <c r="SF6" s="54"/>
      <c r="SP6" s="54"/>
      <c r="SZ6" s="54"/>
      <c r="TJ6" s="54"/>
      <c r="TT6" s="54"/>
      <c r="UD6" s="54"/>
      <c r="UN6" s="54"/>
      <c r="UX6" s="54"/>
      <c r="VH6" s="54"/>
      <c r="VR6" s="54"/>
      <c r="WB6" s="54"/>
      <c r="WL6" s="54"/>
      <c r="WV6" s="54"/>
      <c r="XF6" s="54"/>
      <c r="XP6" s="54"/>
      <c r="XZ6" s="54"/>
      <c r="YJ6" s="54"/>
      <c r="YT6" s="54"/>
      <c r="ZD6" s="54"/>
      <c r="ZN6" s="54"/>
      <c r="ZX6" s="54"/>
      <c r="AAH6" s="54"/>
      <c r="AAR6" s="54"/>
      <c r="ABB6" s="54"/>
      <c r="ABL6" s="54"/>
      <c r="ABV6" s="54"/>
      <c r="ACF6" s="54"/>
      <c r="ACP6" s="54"/>
      <c r="ACZ6" s="54"/>
      <c r="ADJ6" s="54"/>
      <c r="ADT6" s="54"/>
      <c r="AED6" s="54"/>
      <c r="AEN6" s="54"/>
      <c r="AEX6" s="54"/>
      <c r="AFH6" s="54"/>
      <c r="AFR6" s="54"/>
      <c r="AGB6" s="54"/>
      <c r="AGL6" s="54"/>
      <c r="AGV6" s="54"/>
      <c r="AHF6" s="54"/>
      <c r="AHP6" s="54"/>
      <c r="AHZ6" s="54"/>
      <c r="AIJ6" s="54"/>
      <c r="AIT6" s="54"/>
      <c r="AJD6" s="54"/>
      <c r="AJN6" s="54"/>
      <c r="AJX6" s="54"/>
      <c r="AKH6" s="54"/>
      <c r="AKR6" s="54"/>
      <c r="ALB6" s="54"/>
      <c r="ALL6" s="54"/>
      <c r="ALV6" s="54"/>
      <c r="AMF6" s="54"/>
      <c r="AMP6" s="54"/>
      <c r="AMZ6" s="54"/>
      <c r="ANJ6" s="54"/>
      <c r="ANT6" s="54"/>
      <c r="AOD6" s="54"/>
      <c r="AON6" s="54"/>
      <c r="AOX6" s="54"/>
      <c r="APH6" s="54"/>
      <c r="APR6" s="54"/>
      <c r="AQB6" s="54"/>
      <c r="AQL6" s="54"/>
      <c r="AQV6" s="54"/>
      <c r="ARF6" s="54"/>
      <c r="ARP6" s="54"/>
      <c r="ARZ6" s="54"/>
      <c r="ASJ6" s="54"/>
      <c r="AST6" s="54"/>
      <c r="ATD6" s="54"/>
      <c r="ATN6" s="54"/>
      <c r="ATX6" s="54"/>
      <c r="AUH6" s="54"/>
      <c r="AUR6" s="54"/>
      <c r="AVB6" s="54"/>
      <c r="AVL6" s="54"/>
      <c r="AVV6" s="54"/>
      <c r="AWF6" s="54"/>
      <c r="AWP6" s="54"/>
      <c r="AWZ6" s="54"/>
      <c r="AXJ6" s="54"/>
      <c r="AXT6" s="54"/>
      <c r="AYD6" s="54"/>
      <c r="AYN6" s="54"/>
      <c r="AYX6" s="54"/>
      <c r="AZH6" s="54"/>
      <c r="AZR6" s="54"/>
      <c r="BAB6" s="54"/>
      <c r="BAL6" s="54"/>
      <c r="BAV6" s="54"/>
      <c r="BBF6" s="54"/>
      <c r="BBP6" s="54"/>
      <c r="BBZ6" s="54"/>
      <c r="BCJ6" s="54"/>
      <c r="BCT6" s="54"/>
      <c r="BDD6" s="54"/>
      <c r="BDN6" s="54"/>
      <c r="BDX6" s="54"/>
      <c r="BEH6" s="54"/>
      <c r="BER6" s="54"/>
      <c r="BFB6" s="54"/>
      <c r="BFL6" s="54"/>
      <c r="BFV6" s="54"/>
      <c r="BGF6" s="54"/>
      <c r="BGP6" s="54"/>
      <c r="BGZ6" s="54"/>
      <c r="BHJ6" s="54"/>
      <c r="BHT6" s="54"/>
      <c r="BID6" s="54"/>
      <c r="BIN6" s="54"/>
      <c r="BIX6" s="54"/>
      <c r="BJH6" s="54"/>
      <c r="BJR6" s="54"/>
      <c r="BKB6" s="54"/>
      <c r="BKL6" s="54"/>
      <c r="BKV6" s="54"/>
      <c r="BLF6" s="54"/>
      <c r="BLP6" s="54"/>
      <c r="BLZ6" s="54"/>
      <c r="BMJ6" s="54"/>
      <c r="BMT6" s="54"/>
      <c r="BND6" s="54"/>
      <c r="BNN6" s="54"/>
      <c r="BNX6" s="54"/>
      <c r="BOH6" s="54"/>
      <c r="BOR6" s="54"/>
      <c r="BPB6" s="54"/>
      <c r="BPL6" s="54"/>
      <c r="BPV6" s="54"/>
      <c r="BQF6" s="54"/>
      <c r="BQP6" s="54"/>
      <c r="BQZ6" s="54"/>
      <c r="BRJ6" s="54"/>
      <c r="BRT6" s="54"/>
      <c r="BSD6" s="54"/>
      <c r="BSN6" s="54"/>
      <c r="BSX6" s="54"/>
      <c r="BTH6" s="54"/>
      <c r="BTR6" s="54"/>
      <c r="BUB6" s="54"/>
      <c r="BUL6" s="54"/>
      <c r="BUV6" s="54"/>
      <c r="BVF6" s="54"/>
      <c r="BVP6" s="54"/>
      <c r="BVZ6" s="54"/>
      <c r="BWJ6" s="54"/>
      <c r="BWT6" s="54"/>
      <c r="BXD6" s="54"/>
      <c r="BXN6" s="54"/>
      <c r="BXX6" s="54"/>
      <c r="BYH6" s="54"/>
      <c r="BYR6" s="54"/>
      <c r="BZB6" s="54"/>
      <c r="BZL6" s="54"/>
      <c r="BZV6" s="54"/>
      <c r="CAF6" s="54"/>
      <c r="CAP6" s="54"/>
      <c r="CAZ6" s="54"/>
      <c r="CBJ6" s="54"/>
      <c r="CBT6" s="54"/>
      <c r="CCD6" s="54"/>
      <c r="CCN6" s="54"/>
      <c r="CCX6" s="54"/>
      <c r="CDH6" s="54"/>
      <c r="CDR6" s="54"/>
      <c r="CEB6" s="54"/>
      <c r="CEL6" s="54"/>
      <c r="CEV6" s="54"/>
      <c r="CFF6" s="54"/>
      <c r="CFP6" s="54"/>
      <c r="CFZ6" s="54"/>
      <c r="CGJ6" s="54"/>
      <c r="CGT6" s="54"/>
      <c r="CHD6" s="54"/>
      <c r="CHN6" s="54"/>
      <c r="CHX6" s="54"/>
      <c r="CIH6" s="54"/>
      <c r="CIR6" s="54"/>
      <c r="CJB6" s="54"/>
      <c r="CJL6" s="54"/>
      <c r="CJV6" s="54"/>
      <c r="CKF6" s="54"/>
      <c r="CKP6" s="54"/>
      <c r="CKZ6" s="54"/>
      <c r="CLJ6" s="54"/>
      <c r="CLT6" s="54"/>
      <c r="CMD6" s="54"/>
      <c r="CMN6" s="54"/>
      <c r="CMX6" s="54"/>
      <c r="CNH6" s="54"/>
      <c r="CNR6" s="54"/>
      <c r="COB6" s="54"/>
      <c r="COL6" s="54"/>
      <c r="COV6" s="54"/>
      <c r="CPF6" s="54"/>
      <c r="CPP6" s="54"/>
      <c r="CPZ6" s="54"/>
      <c r="CQJ6" s="54"/>
      <c r="CQT6" s="54"/>
      <c r="CRD6" s="54"/>
      <c r="CRN6" s="54"/>
      <c r="CRX6" s="54"/>
      <c r="CSH6" s="54"/>
      <c r="CSR6" s="54"/>
      <c r="CTB6" s="54"/>
      <c r="CTL6" s="54"/>
      <c r="CTV6" s="54"/>
    </row>
    <row r="7" s="39" customFormat="1" customHeight="1" spans="1:1020 1030:2040 2050:2570">
      <c r="A7" s="48">
        <v>46147</v>
      </c>
      <c r="B7" s="9" t="s">
        <v>32</v>
      </c>
      <c r="C7" s="10" t="s">
        <v>33</v>
      </c>
      <c r="D7" s="49">
        <v>652342104</v>
      </c>
      <c r="E7" s="8" t="s">
        <v>43</v>
      </c>
      <c r="F7" s="50" t="str">
        <f>VLOOKUP(E7,基础数据!E:F,2,0)</f>
        <v>A12EV10-BDU-采样集成线束</v>
      </c>
      <c r="G7" s="49">
        <f>1100+200+200</f>
        <v>1500</v>
      </c>
      <c r="H7" s="51" t="str">
        <f>VLOOKUP(E7,基础数据!E:H,4,0)</f>
        <v>料盒</v>
      </c>
      <c r="I7" s="51">
        <f>VLOOKUP(E7,基础数据!E:G,3,0)</f>
        <v>50</v>
      </c>
      <c r="J7" s="49" t="s">
        <v>35</v>
      </c>
      <c r="K7" s="52">
        <f t="shared" si="0"/>
        <v>30</v>
      </c>
      <c r="T7" s="54"/>
      <c r="AD7" s="54"/>
      <c r="AN7" s="54"/>
      <c r="AX7" s="54"/>
      <c r="BH7" s="54"/>
      <c r="BR7" s="54"/>
      <c r="CB7" s="54"/>
      <c r="CL7" s="54"/>
      <c r="CV7" s="54"/>
      <c r="DF7" s="54"/>
      <c r="DP7" s="54"/>
      <c r="DZ7" s="54"/>
      <c r="EJ7" s="54"/>
      <c r="ET7" s="54"/>
      <c r="FD7" s="54"/>
      <c r="FN7" s="54"/>
      <c r="FX7" s="54"/>
      <c r="GH7" s="54"/>
      <c r="GR7" s="54"/>
      <c r="HB7" s="54"/>
      <c r="HL7" s="54"/>
      <c r="HV7" s="54"/>
      <c r="IF7" s="54"/>
      <c r="IP7" s="54"/>
      <c r="IZ7" s="54"/>
      <c r="JJ7" s="54"/>
      <c r="JT7" s="54"/>
      <c r="KD7" s="54"/>
      <c r="KN7" s="54"/>
      <c r="KX7" s="54"/>
      <c r="LH7" s="54"/>
      <c r="LR7" s="54"/>
      <c r="MB7" s="54"/>
      <c r="ML7" s="54"/>
      <c r="MV7" s="54"/>
      <c r="NF7" s="54"/>
      <c r="NP7" s="54"/>
      <c r="NZ7" s="54"/>
      <c r="OJ7" s="54"/>
      <c r="OT7" s="54"/>
      <c r="PD7" s="54"/>
      <c r="PN7" s="54"/>
      <c r="PX7" s="54"/>
      <c r="QH7" s="54"/>
      <c r="QR7" s="54"/>
      <c r="RB7" s="54"/>
      <c r="RL7" s="54"/>
      <c r="RV7" s="54"/>
      <c r="SF7" s="54"/>
      <c r="SP7" s="54"/>
      <c r="SZ7" s="54"/>
      <c r="TJ7" s="54"/>
      <c r="TT7" s="54"/>
      <c r="UD7" s="54"/>
      <c r="UN7" s="54"/>
      <c r="UX7" s="54"/>
      <c r="VH7" s="54"/>
      <c r="VR7" s="54"/>
      <c r="WB7" s="54"/>
      <c r="WL7" s="54"/>
      <c r="WV7" s="54"/>
      <c r="XF7" s="54"/>
      <c r="XP7" s="54"/>
      <c r="XZ7" s="54"/>
      <c r="YJ7" s="54"/>
      <c r="YT7" s="54"/>
      <c r="ZD7" s="54"/>
      <c r="ZN7" s="54"/>
      <c r="ZX7" s="54"/>
      <c r="AAH7" s="54"/>
      <c r="AAR7" s="54"/>
      <c r="ABB7" s="54"/>
      <c r="ABL7" s="54"/>
      <c r="ABV7" s="54"/>
      <c r="ACF7" s="54"/>
      <c r="ACP7" s="54"/>
      <c r="ACZ7" s="54"/>
      <c r="ADJ7" s="54"/>
      <c r="ADT7" s="54"/>
      <c r="AED7" s="54"/>
      <c r="AEN7" s="54"/>
      <c r="AEX7" s="54"/>
      <c r="AFH7" s="54"/>
      <c r="AFR7" s="54"/>
      <c r="AGB7" s="54"/>
      <c r="AGL7" s="54"/>
      <c r="AGV7" s="54"/>
      <c r="AHF7" s="54"/>
      <c r="AHP7" s="54"/>
      <c r="AHZ7" s="54"/>
      <c r="AIJ7" s="54"/>
      <c r="AIT7" s="54"/>
      <c r="AJD7" s="54"/>
      <c r="AJN7" s="54"/>
      <c r="AJX7" s="54"/>
      <c r="AKH7" s="54"/>
      <c r="AKR7" s="54"/>
      <c r="ALB7" s="54"/>
      <c r="ALL7" s="54"/>
      <c r="ALV7" s="54"/>
      <c r="AMF7" s="54"/>
      <c r="AMP7" s="54"/>
      <c r="AMZ7" s="54"/>
      <c r="ANJ7" s="54"/>
      <c r="ANT7" s="54"/>
      <c r="AOD7" s="54"/>
      <c r="AON7" s="54"/>
      <c r="AOX7" s="54"/>
      <c r="APH7" s="54"/>
      <c r="APR7" s="54"/>
      <c r="AQB7" s="54"/>
      <c r="AQL7" s="54"/>
      <c r="AQV7" s="54"/>
      <c r="ARF7" s="54"/>
      <c r="ARP7" s="54"/>
      <c r="ARZ7" s="54"/>
      <c r="ASJ7" s="54"/>
      <c r="AST7" s="54"/>
      <c r="ATD7" s="54"/>
      <c r="ATN7" s="54"/>
      <c r="ATX7" s="54"/>
      <c r="AUH7" s="54"/>
      <c r="AUR7" s="54"/>
      <c r="AVB7" s="54"/>
      <c r="AVL7" s="54"/>
      <c r="AVV7" s="54"/>
      <c r="AWF7" s="54"/>
      <c r="AWP7" s="54"/>
      <c r="AWZ7" s="54"/>
      <c r="AXJ7" s="54"/>
      <c r="AXT7" s="54"/>
      <c r="AYD7" s="54"/>
      <c r="AYN7" s="54"/>
      <c r="AYX7" s="54"/>
      <c r="AZH7" s="54"/>
      <c r="AZR7" s="54"/>
      <c r="BAB7" s="54"/>
      <c r="BAL7" s="54"/>
      <c r="BAV7" s="54"/>
      <c r="BBF7" s="54"/>
      <c r="BBP7" s="54"/>
      <c r="BBZ7" s="54"/>
      <c r="BCJ7" s="54"/>
      <c r="BCT7" s="54"/>
      <c r="BDD7" s="54"/>
      <c r="BDN7" s="54"/>
      <c r="BDX7" s="54"/>
      <c r="BEH7" s="54"/>
      <c r="BER7" s="54"/>
      <c r="BFB7" s="54"/>
      <c r="BFL7" s="54"/>
      <c r="BFV7" s="54"/>
      <c r="BGF7" s="54"/>
      <c r="BGP7" s="54"/>
      <c r="BGZ7" s="54"/>
      <c r="BHJ7" s="54"/>
      <c r="BHT7" s="54"/>
      <c r="BID7" s="54"/>
      <c r="BIN7" s="54"/>
      <c r="BIX7" s="54"/>
      <c r="BJH7" s="54"/>
      <c r="BJR7" s="54"/>
      <c r="BKB7" s="54"/>
      <c r="BKL7" s="54"/>
      <c r="BKV7" s="54"/>
      <c r="BLF7" s="54"/>
      <c r="BLP7" s="54"/>
      <c r="BLZ7" s="54"/>
      <c r="BMJ7" s="54"/>
      <c r="BMT7" s="54"/>
      <c r="BND7" s="54"/>
      <c r="BNN7" s="54"/>
      <c r="BNX7" s="54"/>
      <c r="BOH7" s="54"/>
      <c r="BOR7" s="54"/>
      <c r="BPB7" s="54"/>
      <c r="BPL7" s="54"/>
      <c r="BPV7" s="54"/>
      <c r="BQF7" s="54"/>
      <c r="BQP7" s="54"/>
      <c r="BQZ7" s="54"/>
      <c r="BRJ7" s="54"/>
      <c r="BRT7" s="54"/>
      <c r="BSD7" s="54"/>
      <c r="BSN7" s="54"/>
      <c r="BSX7" s="54"/>
      <c r="BTH7" s="54"/>
      <c r="BTR7" s="54"/>
      <c r="BUB7" s="54"/>
      <c r="BUL7" s="54"/>
      <c r="BUV7" s="54"/>
      <c r="BVF7" s="54"/>
      <c r="BVP7" s="54"/>
      <c r="BVZ7" s="54"/>
      <c r="BWJ7" s="54"/>
      <c r="BWT7" s="54"/>
      <c r="BXD7" s="54"/>
      <c r="BXN7" s="54"/>
      <c r="BXX7" s="54"/>
      <c r="BYH7" s="54"/>
      <c r="BYR7" s="54"/>
      <c r="BZB7" s="54"/>
      <c r="BZL7" s="54"/>
      <c r="BZV7" s="54"/>
      <c r="CAF7" s="54"/>
      <c r="CAP7" s="54"/>
      <c r="CAZ7" s="54"/>
      <c r="CBJ7" s="54"/>
      <c r="CBT7" s="54"/>
      <c r="CCD7" s="54"/>
      <c r="CCN7" s="54"/>
      <c r="CCX7" s="54"/>
      <c r="CDH7" s="54"/>
      <c r="CDR7" s="54"/>
      <c r="CEB7" s="54"/>
      <c r="CEL7" s="54"/>
      <c r="CEV7" s="54"/>
      <c r="CFF7" s="54"/>
      <c r="CFP7" s="54"/>
      <c r="CFZ7" s="54"/>
      <c r="CGJ7" s="54"/>
      <c r="CGT7" s="54"/>
      <c r="CHD7" s="54"/>
      <c r="CHN7" s="54"/>
      <c r="CHX7" s="54"/>
      <c r="CIH7" s="54"/>
      <c r="CIR7" s="54"/>
      <c r="CJB7" s="54"/>
      <c r="CJL7" s="54"/>
      <c r="CJV7" s="54"/>
      <c r="CKF7" s="54"/>
      <c r="CKP7" s="54"/>
      <c r="CKZ7" s="54"/>
      <c r="CLJ7" s="54"/>
      <c r="CLT7" s="54"/>
      <c r="CMD7" s="54"/>
      <c r="CMN7" s="54"/>
      <c r="CMX7" s="54"/>
      <c r="CNH7" s="54"/>
      <c r="CNR7" s="54"/>
      <c r="COB7" s="54"/>
      <c r="COL7" s="54"/>
      <c r="COV7" s="54"/>
      <c r="CPF7" s="54"/>
      <c r="CPP7" s="54"/>
      <c r="CPZ7" s="54"/>
      <c r="CQJ7" s="54"/>
      <c r="CQT7" s="54"/>
      <c r="CRD7" s="54"/>
      <c r="CRN7" s="54"/>
      <c r="CRX7" s="54"/>
      <c r="CSH7" s="54"/>
      <c r="CSR7" s="54"/>
      <c r="CTB7" s="54"/>
      <c r="CTL7" s="54"/>
      <c r="CTV7" s="54"/>
    </row>
    <row r="8" s="39" customFormat="1" customHeight="1" spans="1:1020 1030:2040 2050:2570">
      <c r="A8" s="48">
        <v>46147</v>
      </c>
      <c r="B8" s="9" t="s">
        <v>32</v>
      </c>
      <c r="C8" s="10" t="s">
        <v>33</v>
      </c>
      <c r="D8" s="49">
        <v>652342115</v>
      </c>
      <c r="E8" s="8" t="s">
        <v>42</v>
      </c>
      <c r="F8" s="50" t="str">
        <f>VLOOKUP(E8,基础数据!E:F,2,0)</f>
        <v>A12EV10-通讯-水温-互锁集成线束-500</v>
      </c>
      <c r="G8" s="49">
        <v>2520</v>
      </c>
      <c r="H8" s="51" t="str">
        <f>VLOOKUP(E8,基础数据!E:H,4,0)</f>
        <v>料盒</v>
      </c>
      <c r="I8" s="51">
        <f>VLOOKUP(E8,基础数据!E:G,3,0)</f>
        <v>30</v>
      </c>
      <c r="J8" s="49" t="s">
        <v>35</v>
      </c>
      <c r="K8" s="52">
        <f t="shared" si="0"/>
        <v>84</v>
      </c>
      <c r="T8" s="54"/>
      <c r="AD8" s="54"/>
      <c r="AN8" s="54"/>
      <c r="AX8" s="54"/>
      <c r="BH8" s="54"/>
      <c r="BR8" s="54"/>
      <c r="CB8" s="54"/>
      <c r="CL8" s="54"/>
      <c r="CV8" s="54"/>
      <c r="DF8" s="54"/>
      <c r="DP8" s="54"/>
      <c r="DZ8" s="54"/>
      <c r="EJ8" s="54"/>
      <c r="ET8" s="54"/>
      <c r="FD8" s="54"/>
      <c r="FN8" s="54"/>
      <c r="FX8" s="54"/>
      <c r="GH8" s="54"/>
      <c r="GR8" s="54"/>
      <c r="HB8" s="54"/>
      <c r="HL8" s="54"/>
      <c r="HV8" s="54"/>
      <c r="IF8" s="54"/>
      <c r="IP8" s="54"/>
      <c r="IZ8" s="54"/>
      <c r="JJ8" s="54"/>
      <c r="JT8" s="54"/>
      <c r="KD8" s="54"/>
      <c r="KN8" s="54"/>
      <c r="KX8" s="54"/>
      <c r="LH8" s="54"/>
      <c r="LR8" s="54"/>
      <c r="MB8" s="54"/>
      <c r="ML8" s="54"/>
      <c r="MV8" s="54"/>
      <c r="NF8" s="54"/>
      <c r="NP8" s="54"/>
      <c r="NZ8" s="54"/>
      <c r="OJ8" s="54"/>
      <c r="OT8" s="54"/>
      <c r="PD8" s="54"/>
      <c r="PN8" s="54"/>
      <c r="PX8" s="54"/>
      <c r="QH8" s="54"/>
      <c r="QR8" s="54"/>
      <c r="RB8" s="54"/>
      <c r="RL8" s="54"/>
      <c r="RV8" s="54"/>
      <c r="SF8" s="54"/>
      <c r="SP8" s="54"/>
      <c r="SZ8" s="54"/>
      <c r="TJ8" s="54"/>
      <c r="TT8" s="54"/>
      <c r="UD8" s="54"/>
      <c r="UN8" s="54"/>
      <c r="UX8" s="54"/>
      <c r="VH8" s="54"/>
      <c r="VR8" s="54"/>
      <c r="WB8" s="54"/>
      <c r="WL8" s="54"/>
      <c r="WV8" s="54"/>
      <c r="XF8" s="54"/>
      <c r="XP8" s="54"/>
      <c r="XZ8" s="54"/>
      <c r="YJ8" s="54"/>
      <c r="YT8" s="54"/>
      <c r="ZD8" s="54"/>
      <c r="ZN8" s="54"/>
      <c r="ZX8" s="54"/>
      <c r="AAH8" s="54"/>
      <c r="AAR8" s="54"/>
      <c r="ABB8" s="54"/>
      <c r="ABL8" s="54"/>
      <c r="ABV8" s="54"/>
      <c r="ACF8" s="54"/>
      <c r="ACP8" s="54"/>
      <c r="ACZ8" s="54"/>
      <c r="ADJ8" s="54"/>
      <c r="ADT8" s="54"/>
      <c r="AED8" s="54"/>
      <c r="AEN8" s="54"/>
      <c r="AEX8" s="54"/>
      <c r="AFH8" s="54"/>
      <c r="AFR8" s="54"/>
      <c r="AGB8" s="54"/>
      <c r="AGL8" s="54"/>
      <c r="AGV8" s="54"/>
      <c r="AHF8" s="54"/>
      <c r="AHP8" s="54"/>
      <c r="AHZ8" s="54"/>
      <c r="AIJ8" s="54"/>
      <c r="AIT8" s="54"/>
      <c r="AJD8" s="54"/>
      <c r="AJN8" s="54"/>
      <c r="AJX8" s="54"/>
      <c r="AKH8" s="54"/>
      <c r="AKR8" s="54"/>
      <c r="ALB8" s="54"/>
      <c r="ALL8" s="54"/>
      <c r="ALV8" s="54"/>
      <c r="AMF8" s="54"/>
      <c r="AMP8" s="54"/>
      <c r="AMZ8" s="54"/>
      <c r="ANJ8" s="54"/>
      <c r="ANT8" s="54"/>
      <c r="AOD8" s="54"/>
      <c r="AON8" s="54"/>
      <c r="AOX8" s="54"/>
      <c r="APH8" s="54"/>
      <c r="APR8" s="54"/>
      <c r="AQB8" s="54"/>
      <c r="AQL8" s="54"/>
      <c r="AQV8" s="54"/>
      <c r="ARF8" s="54"/>
      <c r="ARP8" s="54"/>
      <c r="ARZ8" s="54"/>
      <c r="ASJ8" s="54"/>
      <c r="AST8" s="54"/>
      <c r="ATD8" s="54"/>
      <c r="ATN8" s="54"/>
      <c r="ATX8" s="54"/>
      <c r="AUH8" s="54"/>
      <c r="AUR8" s="54"/>
      <c r="AVB8" s="54"/>
      <c r="AVL8" s="54"/>
      <c r="AVV8" s="54"/>
      <c r="AWF8" s="54"/>
      <c r="AWP8" s="54"/>
      <c r="AWZ8" s="54"/>
      <c r="AXJ8" s="54"/>
      <c r="AXT8" s="54"/>
      <c r="AYD8" s="54"/>
      <c r="AYN8" s="54"/>
      <c r="AYX8" s="54"/>
      <c r="AZH8" s="54"/>
      <c r="AZR8" s="54"/>
      <c r="BAB8" s="54"/>
      <c r="BAL8" s="54"/>
      <c r="BAV8" s="54"/>
      <c r="BBF8" s="54"/>
      <c r="BBP8" s="54"/>
      <c r="BBZ8" s="54"/>
      <c r="BCJ8" s="54"/>
      <c r="BCT8" s="54"/>
      <c r="BDD8" s="54"/>
      <c r="BDN8" s="54"/>
      <c r="BDX8" s="54"/>
      <c r="BEH8" s="54"/>
      <c r="BER8" s="54"/>
      <c r="BFB8" s="54"/>
      <c r="BFL8" s="54"/>
      <c r="BFV8" s="54"/>
      <c r="BGF8" s="54"/>
      <c r="BGP8" s="54"/>
      <c r="BGZ8" s="54"/>
      <c r="BHJ8" s="54"/>
      <c r="BHT8" s="54"/>
      <c r="BID8" s="54"/>
      <c r="BIN8" s="54"/>
      <c r="BIX8" s="54"/>
      <c r="BJH8" s="54"/>
      <c r="BJR8" s="54"/>
      <c r="BKB8" s="54"/>
      <c r="BKL8" s="54"/>
      <c r="BKV8" s="54"/>
      <c r="BLF8" s="54"/>
      <c r="BLP8" s="54"/>
      <c r="BLZ8" s="54"/>
      <c r="BMJ8" s="54"/>
      <c r="BMT8" s="54"/>
      <c r="BND8" s="54"/>
      <c r="BNN8" s="54"/>
      <c r="BNX8" s="54"/>
      <c r="BOH8" s="54"/>
      <c r="BOR8" s="54"/>
      <c r="BPB8" s="54"/>
      <c r="BPL8" s="54"/>
      <c r="BPV8" s="54"/>
      <c r="BQF8" s="54"/>
      <c r="BQP8" s="54"/>
      <c r="BQZ8" s="54"/>
      <c r="BRJ8" s="54"/>
      <c r="BRT8" s="54"/>
      <c r="BSD8" s="54"/>
      <c r="BSN8" s="54"/>
      <c r="BSX8" s="54"/>
      <c r="BTH8" s="54"/>
      <c r="BTR8" s="54"/>
      <c r="BUB8" s="54"/>
      <c r="BUL8" s="54"/>
      <c r="BUV8" s="54"/>
      <c r="BVF8" s="54"/>
      <c r="BVP8" s="54"/>
      <c r="BVZ8" s="54"/>
      <c r="BWJ8" s="54"/>
      <c r="BWT8" s="54"/>
      <c r="BXD8" s="54"/>
      <c r="BXN8" s="54"/>
      <c r="BXX8" s="54"/>
      <c r="BYH8" s="54"/>
      <c r="BYR8" s="54"/>
      <c r="BZB8" s="54"/>
      <c r="BZL8" s="54"/>
      <c r="BZV8" s="54"/>
      <c r="CAF8" s="54"/>
      <c r="CAP8" s="54"/>
      <c r="CAZ8" s="54"/>
      <c r="CBJ8" s="54"/>
      <c r="CBT8" s="54"/>
      <c r="CCD8" s="54"/>
      <c r="CCN8" s="54"/>
      <c r="CCX8" s="54"/>
      <c r="CDH8" s="54"/>
      <c r="CDR8" s="54"/>
      <c r="CEB8" s="54"/>
      <c r="CEL8" s="54"/>
      <c r="CEV8" s="54"/>
      <c r="CFF8" s="54"/>
      <c r="CFP8" s="54"/>
      <c r="CFZ8" s="54"/>
      <c r="CGJ8" s="54"/>
      <c r="CGT8" s="54"/>
      <c r="CHD8" s="54"/>
      <c r="CHN8" s="54"/>
      <c r="CHX8" s="54"/>
      <c r="CIH8" s="54"/>
      <c r="CIR8" s="54"/>
      <c r="CJB8" s="54"/>
      <c r="CJL8" s="54"/>
      <c r="CJV8" s="54"/>
      <c r="CKF8" s="54"/>
      <c r="CKP8" s="54"/>
      <c r="CKZ8" s="54"/>
      <c r="CLJ8" s="54"/>
      <c r="CLT8" s="54"/>
      <c r="CMD8" s="54"/>
      <c r="CMN8" s="54"/>
      <c r="CMX8" s="54"/>
      <c r="CNH8" s="54"/>
      <c r="CNR8" s="54"/>
      <c r="COB8" s="54"/>
      <c r="COL8" s="54"/>
      <c r="COV8" s="54"/>
      <c r="CPF8" s="54"/>
      <c r="CPP8" s="54"/>
      <c r="CPZ8" s="54"/>
      <c r="CQJ8" s="54"/>
      <c r="CQT8" s="54"/>
      <c r="CRD8" s="54"/>
      <c r="CRN8" s="54"/>
      <c r="CRX8" s="54"/>
      <c r="CSH8" s="54"/>
      <c r="CSR8" s="54"/>
      <c r="CTB8" s="54"/>
      <c r="CTL8" s="54"/>
      <c r="CTV8" s="54"/>
    </row>
    <row r="9" s="39" customFormat="1" customHeight="1" spans="1:1020 1030:2040 2050:2570">
      <c r="A9" s="48">
        <v>46147</v>
      </c>
      <c r="B9" s="9" t="s">
        <v>32</v>
      </c>
      <c r="C9" s="10" t="s">
        <v>33</v>
      </c>
      <c r="D9" s="49">
        <v>652345510</v>
      </c>
      <c r="E9" s="8" t="s">
        <v>34</v>
      </c>
      <c r="F9" s="50" t="str">
        <f>VLOOKUP(E9,基础数据!E:F,2,0)</f>
        <v>LX00148-CCS总成</v>
      </c>
      <c r="G9" s="49">
        <v>1200</v>
      </c>
      <c r="H9" s="51" t="str">
        <f>VLOOKUP(E9,基础数据!E:H,4,0)</f>
        <v>纸箱</v>
      </c>
      <c r="I9" s="51">
        <f>VLOOKUP(E9,基础数据!E:G,3,0)</f>
        <v>12</v>
      </c>
      <c r="J9" s="49" t="s">
        <v>35</v>
      </c>
      <c r="K9" s="52">
        <f t="shared" si="0"/>
        <v>100</v>
      </c>
      <c r="T9" s="54"/>
      <c r="AD9" s="54"/>
      <c r="AN9" s="54"/>
      <c r="AX9" s="54"/>
      <c r="BH9" s="54"/>
      <c r="BR9" s="54"/>
      <c r="CB9" s="54"/>
      <c r="CL9" s="54"/>
      <c r="CV9" s="54"/>
      <c r="DF9" s="54"/>
      <c r="DP9" s="54"/>
      <c r="DZ9" s="54"/>
      <c r="EJ9" s="54"/>
      <c r="ET9" s="54"/>
      <c r="FD9" s="54"/>
      <c r="FN9" s="54"/>
      <c r="FX9" s="54"/>
      <c r="GH9" s="54"/>
      <c r="GR9" s="54"/>
      <c r="HB9" s="54"/>
      <c r="HL9" s="54"/>
      <c r="HV9" s="54"/>
      <c r="IF9" s="54"/>
      <c r="IP9" s="54"/>
      <c r="IZ9" s="54"/>
      <c r="JJ9" s="54"/>
      <c r="JT9" s="54"/>
      <c r="KD9" s="54"/>
      <c r="KN9" s="54"/>
      <c r="KX9" s="54"/>
      <c r="LH9" s="54"/>
      <c r="LR9" s="54"/>
      <c r="MB9" s="54"/>
      <c r="ML9" s="54"/>
      <c r="MV9" s="54"/>
      <c r="NF9" s="54"/>
      <c r="NP9" s="54"/>
      <c r="NZ9" s="54"/>
      <c r="OJ9" s="54"/>
      <c r="OT9" s="54"/>
      <c r="PD9" s="54"/>
      <c r="PN9" s="54"/>
      <c r="PX9" s="54"/>
      <c r="QH9" s="54"/>
      <c r="QR9" s="54"/>
      <c r="RB9" s="54"/>
      <c r="RL9" s="54"/>
      <c r="RV9" s="54"/>
      <c r="SF9" s="54"/>
      <c r="SP9" s="54"/>
      <c r="SZ9" s="54"/>
      <c r="TJ9" s="54"/>
      <c r="TT9" s="54"/>
      <c r="UD9" s="54"/>
      <c r="UN9" s="54"/>
      <c r="UX9" s="54"/>
      <c r="VH9" s="54"/>
      <c r="VR9" s="54"/>
      <c r="WB9" s="54"/>
      <c r="WL9" s="54"/>
      <c r="WV9" s="54"/>
      <c r="XF9" s="54"/>
      <c r="XP9" s="54"/>
      <c r="XZ9" s="54"/>
      <c r="YJ9" s="54"/>
      <c r="YT9" s="54"/>
      <c r="ZD9" s="54"/>
      <c r="ZN9" s="54"/>
      <c r="ZX9" s="54"/>
      <c r="AAH9" s="54"/>
      <c r="AAR9" s="54"/>
      <c r="ABB9" s="54"/>
      <c r="ABL9" s="54"/>
      <c r="ABV9" s="54"/>
      <c r="ACF9" s="54"/>
      <c r="ACP9" s="54"/>
      <c r="ACZ9" s="54"/>
      <c r="ADJ9" s="54"/>
      <c r="ADT9" s="54"/>
      <c r="AED9" s="54"/>
      <c r="AEN9" s="54"/>
      <c r="AEX9" s="54"/>
      <c r="AFH9" s="54"/>
      <c r="AFR9" s="54"/>
      <c r="AGB9" s="54"/>
      <c r="AGL9" s="54"/>
      <c r="AGV9" s="54"/>
      <c r="AHF9" s="54"/>
      <c r="AHP9" s="54"/>
      <c r="AHZ9" s="54"/>
      <c r="AIJ9" s="54"/>
      <c r="AIT9" s="54"/>
      <c r="AJD9" s="54"/>
      <c r="AJN9" s="54"/>
      <c r="AJX9" s="54"/>
      <c r="AKH9" s="54"/>
      <c r="AKR9" s="54"/>
      <c r="ALB9" s="54"/>
      <c r="ALL9" s="54"/>
      <c r="ALV9" s="54"/>
      <c r="AMF9" s="54"/>
      <c r="AMP9" s="54"/>
      <c r="AMZ9" s="54"/>
      <c r="ANJ9" s="54"/>
      <c r="ANT9" s="54"/>
      <c r="AOD9" s="54"/>
      <c r="AON9" s="54"/>
      <c r="AOX9" s="54"/>
      <c r="APH9" s="54"/>
      <c r="APR9" s="54"/>
      <c r="AQB9" s="54"/>
      <c r="AQL9" s="54"/>
      <c r="AQV9" s="54"/>
      <c r="ARF9" s="54"/>
      <c r="ARP9" s="54"/>
      <c r="ARZ9" s="54"/>
      <c r="ASJ9" s="54"/>
      <c r="AST9" s="54"/>
      <c r="ATD9" s="54"/>
      <c r="ATN9" s="54"/>
      <c r="ATX9" s="54"/>
      <c r="AUH9" s="54"/>
      <c r="AUR9" s="54"/>
      <c r="AVB9" s="54"/>
      <c r="AVL9" s="54"/>
      <c r="AVV9" s="54"/>
      <c r="AWF9" s="54"/>
      <c r="AWP9" s="54"/>
      <c r="AWZ9" s="54"/>
      <c r="AXJ9" s="54"/>
      <c r="AXT9" s="54"/>
      <c r="AYD9" s="54"/>
      <c r="AYN9" s="54"/>
      <c r="AYX9" s="54"/>
      <c r="AZH9" s="54"/>
      <c r="AZR9" s="54"/>
      <c r="BAB9" s="54"/>
      <c r="BAL9" s="54"/>
      <c r="BAV9" s="54"/>
      <c r="BBF9" s="54"/>
      <c r="BBP9" s="54"/>
      <c r="BBZ9" s="54"/>
      <c r="BCJ9" s="54"/>
      <c r="BCT9" s="54"/>
      <c r="BDD9" s="54"/>
      <c r="BDN9" s="54"/>
      <c r="BDX9" s="54"/>
      <c r="BEH9" s="54"/>
      <c r="BER9" s="54"/>
      <c r="BFB9" s="54"/>
      <c r="BFL9" s="54"/>
      <c r="BFV9" s="54"/>
      <c r="BGF9" s="54"/>
      <c r="BGP9" s="54"/>
      <c r="BGZ9" s="54"/>
      <c r="BHJ9" s="54"/>
      <c r="BHT9" s="54"/>
      <c r="BID9" s="54"/>
      <c r="BIN9" s="54"/>
      <c r="BIX9" s="54"/>
      <c r="BJH9" s="54"/>
      <c r="BJR9" s="54"/>
      <c r="BKB9" s="54"/>
      <c r="BKL9" s="54"/>
      <c r="BKV9" s="54"/>
      <c r="BLF9" s="54"/>
      <c r="BLP9" s="54"/>
      <c r="BLZ9" s="54"/>
      <c r="BMJ9" s="54"/>
      <c r="BMT9" s="54"/>
      <c r="BND9" s="54"/>
      <c r="BNN9" s="54"/>
      <c r="BNX9" s="54"/>
      <c r="BOH9" s="54"/>
      <c r="BOR9" s="54"/>
      <c r="BPB9" s="54"/>
      <c r="BPL9" s="54"/>
      <c r="BPV9" s="54"/>
      <c r="BQF9" s="54"/>
      <c r="BQP9" s="54"/>
      <c r="BQZ9" s="54"/>
      <c r="BRJ9" s="54"/>
      <c r="BRT9" s="54"/>
      <c r="BSD9" s="54"/>
      <c r="BSN9" s="54"/>
      <c r="BSX9" s="54"/>
      <c r="BTH9" s="54"/>
      <c r="BTR9" s="54"/>
      <c r="BUB9" s="54"/>
      <c r="BUL9" s="54"/>
      <c r="BUV9" s="54"/>
      <c r="BVF9" s="54"/>
      <c r="BVP9" s="54"/>
      <c r="BVZ9" s="54"/>
      <c r="BWJ9" s="54"/>
      <c r="BWT9" s="54"/>
      <c r="BXD9" s="54"/>
      <c r="BXN9" s="54"/>
      <c r="BXX9" s="54"/>
      <c r="BYH9" s="54"/>
      <c r="BYR9" s="54"/>
      <c r="BZB9" s="54"/>
      <c r="BZL9" s="54"/>
      <c r="BZV9" s="54"/>
      <c r="CAF9" s="54"/>
      <c r="CAP9" s="54"/>
      <c r="CAZ9" s="54"/>
      <c r="CBJ9" s="54"/>
      <c r="CBT9" s="54"/>
      <c r="CCD9" s="54"/>
      <c r="CCN9" s="54"/>
      <c r="CCX9" s="54"/>
      <c r="CDH9" s="54"/>
      <c r="CDR9" s="54"/>
      <c r="CEB9" s="54"/>
      <c r="CEL9" s="54"/>
      <c r="CEV9" s="54"/>
      <c r="CFF9" s="54"/>
      <c r="CFP9" s="54"/>
      <c r="CFZ9" s="54"/>
      <c r="CGJ9" s="54"/>
      <c r="CGT9" s="54"/>
      <c r="CHD9" s="54"/>
      <c r="CHN9" s="54"/>
      <c r="CHX9" s="54"/>
      <c r="CIH9" s="54"/>
      <c r="CIR9" s="54"/>
      <c r="CJB9" s="54"/>
      <c r="CJL9" s="54"/>
      <c r="CJV9" s="54"/>
      <c r="CKF9" s="54"/>
      <c r="CKP9" s="54"/>
      <c r="CKZ9" s="54"/>
      <c r="CLJ9" s="54"/>
      <c r="CLT9" s="54"/>
      <c r="CMD9" s="54"/>
      <c r="CMN9" s="54"/>
      <c r="CMX9" s="54"/>
      <c r="CNH9" s="54"/>
      <c r="CNR9" s="54"/>
      <c r="COB9" s="54"/>
      <c r="COL9" s="54"/>
      <c r="COV9" s="54"/>
      <c r="CPF9" s="54"/>
      <c r="CPP9" s="54"/>
      <c r="CPZ9" s="54"/>
      <c r="CQJ9" s="54"/>
      <c r="CQT9" s="54"/>
      <c r="CRD9" s="54"/>
      <c r="CRN9" s="54"/>
      <c r="CRX9" s="54"/>
      <c r="CSH9" s="54"/>
      <c r="CSR9" s="54"/>
      <c r="CTB9" s="54"/>
      <c r="CTL9" s="54"/>
      <c r="CTV9" s="54"/>
    </row>
    <row r="10" s="39" customFormat="1" customHeight="1" spans="1:1020 1030:2040 2050:2570">
      <c r="A10" s="48">
        <v>46147</v>
      </c>
      <c r="B10" s="9" t="s">
        <v>32</v>
      </c>
      <c r="C10" s="10" t="s">
        <v>33</v>
      </c>
      <c r="D10" s="49">
        <v>652345550</v>
      </c>
      <c r="E10" s="8" t="s">
        <v>44</v>
      </c>
      <c r="F10" s="50" t="str">
        <f>VLOOKUP(E10,基础数据!E:F,2,0)</f>
        <v>A12-高压支路连接线束-500</v>
      </c>
      <c r="G10" s="49">
        <v>1500</v>
      </c>
      <c r="H10" s="51" t="str">
        <f>VLOOKUP(E10,基础数据!E:H,4,0)</f>
        <v>料盒</v>
      </c>
      <c r="I10" s="51">
        <f>VLOOKUP(E10,基础数据!E:G,3,0)</f>
        <v>20</v>
      </c>
      <c r="J10" s="49" t="s">
        <v>35</v>
      </c>
      <c r="K10" s="52">
        <f t="shared" si="0"/>
        <v>75</v>
      </c>
      <c r="T10" s="54"/>
      <c r="AD10" s="54"/>
      <c r="AN10" s="54"/>
      <c r="AX10" s="54"/>
      <c r="BH10" s="54"/>
      <c r="BR10" s="54"/>
      <c r="CB10" s="54"/>
      <c r="CL10" s="54"/>
      <c r="CV10" s="54"/>
      <c r="DF10" s="54"/>
      <c r="DP10" s="54"/>
      <c r="DZ10" s="54"/>
      <c r="EJ10" s="54"/>
      <c r="ET10" s="54"/>
      <c r="FD10" s="54"/>
      <c r="FN10" s="54"/>
      <c r="FX10" s="54"/>
      <c r="GH10" s="54"/>
      <c r="GR10" s="54"/>
      <c r="HB10" s="54"/>
      <c r="HL10" s="54"/>
      <c r="HV10" s="54"/>
      <c r="IF10" s="54"/>
      <c r="IP10" s="54"/>
      <c r="IZ10" s="54"/>
      <c r="JJ10" s="54"/>
      <c r="JT10" s="54"/>
      <c r="KD10" s="54"/>
      <c r="KN10" s="54"/>
      <c r="KX10" s="54"/>
      <c r="LH10" s="54"/>
      <c r="LR10" s="54"/>
      <c r="MB10" s="54"/>
      <c r="ML10" s="54"/>
      <c r="MV10" s="54"/>
      <c r="NF10" s="54"/>
      <c r="NP10" s="54"/>
      <c r="NZ10" s="54"/>
      <c r="OJ10" s="54"/>
      <c r="OT10" s="54"/>
      <c r="PD10" s="54"/>
      <c r="PN10" s="54"/>
      <c r="PX10" s="54"/>
      <c r="QH10" s="54"/>
      <c r="QR10" s="54"/>
      <c r="RB10" s="54"/>
      <c r="RL10" s="54"/>
      <c r="RV10" s="54"/>
      <c r="SF10" s="54"/>
      <c r="SP10" s="54"/>
      <c r="SZ10" s="54"/>
      <c r="TJ10" s="54"/>
      <c r="TT10" s="54"/>
      <c r="UD10" s="54"/>
      <c r="UN10" s="54"/>
      <c r="UX10" s="54"/>
      <c r="VH10" s="54"/>
      <c r="VR10" s="54"/>
      <c r="WB10" s="54"/>
      <c r="WL10" s="54"/>
      <c r="WV10" s="54"/>
      <c r="XF10" s="54"/>
      <c r="XP10" s="54"/>
      <c r="XZ10" s="54"/>
      <c r="YJ10" s="54"/>
      <c r="YT10" s="54"/>
      <c r="ZD10" s="54"/>
      <c r="ZN10" s="54"/>
      <c r="ZX10" s="54"/>
      <c r="AAH10" s="54"/>
      <c r="AAR10" s="54"/>
      <c r="ABB10" s="54"/>
      <c r="ABL10" s="54"/>
      <c r="ABV10" s="54"/>
      <c r="ACF10" s="54"/>
      <c r="ACP10" s="54"/>
      <c r="ACZ10" s="54"/>
      <c r="ADJ10" s="54"/>
      <c r="ADT10" s="54"/>
      <c r="AED10" s="54"/>
      <c r="AEN10" s="54"/>
      <c r="AEX10" s="54"/>
      <c r="AFH10" s="54"/>
      <c r="AFR10" s="54"/>
      <c r="AGB10" s="54"/>
      <c r="AGL10" s="54"/>
      <c r="AGV10" s="54"/>
      <c r="AHF10" s="54"/>
      <c r="AHP10" s="54"/>
      <c r="AHZ10" s="54"/>
      <c r="AIJ10" s="54"/>
      <c r="AIT10" s="54"/>
      <c r="AJD10" s="54"/>
      <c r="AJN10" s="54"/>
      <c r="AJX10" s="54"/>
      <c r="AKH10" s="54"/>
      <c r="AKR10" s="54"/>
      <c r="ALB10" s="54"/>
      <c r="ALL10" s="54"/>
      <c r="ALV10" s="54"/>
      <c r="AMF10" s="54"/>
      <c r="AMP10" s="54"/>
      <c r="AMZ10" s="54"/>
      <c r="ANJ10" s="54"/>
      <c r="ANT10" s="54"/>
      <c r="AOD10" s="54"/>
      <c r="AON10" s="54"/>
      <c r="AOX10" s="54"/>
      <c r="APH10" s="54"/>
      <c r="APR10" s="54"/>
      <c r="AQB10" s="54"/>
      <c r="AQL10" s="54"/>
      <c r="AQV10" s="54"/>
      <c r="ARF10" s="54"/>
      <c r="ARP10" s="54"/>
      <c r="ARZ10" s="54"/>
      <c r="ASJ10" s="54"/>
      <c r="AST10" s="54"/>
      <c r="ATD10" s="54"/>
      <c r="ATN10" s="54"/>
      <c r="ATX10" s="54"/>
      <c r="AUH10" s="54"/>
      <c r="AUR10" s="54"/>
      <c r="AVB10" s="54"/>
      <c r="AVL10" s="54"/>
      <c r="AVV10" s="54"/>
      <c r="AWF10" s="54"/>
      <c r="AWP10" s="54"/>
      <c r="AWZ10" s="54"/>
      <c r="AXJ10" s="54"/>
      <c r="AXT10" s="54"/>
      <c r="AYD10" s="54"/>
      <c r="AYN10" s="54"/>
      <c r="AYX10" s="54"/>
      <c r="AZH10" s="54"/>
      <c r="AZR10" s="54"/>
      <c r="BAB10" s="54"/>
      <c r="BAL10" s="54"/>
      <c r="BAV10" s="54"/>
      <c r="BBF10" s="54"/>
      <c r="BBP10" s="54"/>
      <c r="BBZ10" s="54"/>
      <c r="BCJ10" s="54"/>
      <c r="BCT10" s="54"/>
      <c r="BDD10" s="54"/>
      <c r="BDN10" s="54"/>
      <c r="BDX10" s="54"/>
      <c r="BEH10" s="54"/>
      <c r="BER10" s="54"/>
      <c r="BFB10" s="54"/>
      <c r="BFL10" s="54"/>
      <c r="BFV10" s="54"/>
      <c r="BGF10" s="54"/>
      <c r="BGP10" s="54"/>
      <c r="BGZ10" s="54"/>
      <c r="BHJ10" s="54"/>
      <c r="BHT10" s="54"/>
      <c r="BID10" s="54"/>
      <c r="BIN10" s="54"/>
      <c r="BIX10" s="54"/>
      <c r="BJH10" s="54"/>
      <c r="BJR10" s="54"/>
      <c r="BKB10" s="54"/>
      <c r="BKL10" s="54"/>
      <c r="BKV10" s="54"/>
      <c r="BLF10" s="54"/>
      <c r="BLP10" s="54"/>
      <c r="BLZ10" s="54"/>
      <c r="BMJ10" s="54"/>
      <c r="BMT10" s="54"/>
      <c r="BND10" s="54"/>
      <c r="BNN10" s="54"/>
      <c r="BNX10" s="54"/>
      <c r="BOH10" s="54"/>
      <c r="BOR10" s="54"/>
      <c r="BPB10" s="54"/>
      <c r="BPL10" s="54"/>
      <c r="BPV10" s="54"/>
      <c r="BQF10" s="54"/>
      <c r="BQP10" s="54"/>
      <c r="BQZ10" s="54"/>
      <c r="BRJ10" s="54"/>
      <c r="BRT10" s="54"/>
      <c r="BSD10" s="54"/>
      <c r="BSN10" s="54"/>
      <c r="BSX10" s="54"/>
      <c r="BTH10" s="54"/>
      <c r="BTR10" s="54"/>
      <c r="BUB10" s="54"/>
      <c r="BUL10" s="54"/>
      <c r="BUV10" s="54"/>
      <c r="BVF10" s="54"/>
      <c r="BVP10" s="54"/>
      <c r="BVZ10" s="54"/>
      <c r="BWJ10" s="54"/>
      <c r="BWT10" s="54"/>
      <c r="BXD10" s="54"/>
      <c r="BXN10" s="54"/>
      <c r="BXX10" s="54"/>
      <c r="BYH10" s="54"/>
      <c r="BYR10" s="54"/>
      <c r="BZB10" s="54"/>
      <c r="BZL10" s="54"/>
      <c r="BZV10" s="54"/>
      <c r="CAF10" s="54"/>
      <c r="CAP10" s="54"/>
      <c r="CAZ10" s="54"/>
      <c r="CBJ10" s="54"/>
      <c r="CBT10" s="54"/>
      <c r="CCD10" s="54"/>
      <c r="CCN10" s="54"/>
      <c r="CCX10" s="54"/>
      <c r="CDH10" s="54"/>
      <c r="CDR10" s="54"/>
      <c r="CEB10" s="54"/>
      <c r="CEL10" s="54"/>
      <c r="CEV10" s="54"/>
      <c r="CFF10" s="54"/>
      <c r="CFP10" s="54"/>
      <c r="CFZ10" s="54"/>
      <c r="CGJ10" s="54"/>
      <c r="CGT10" s="54"/>
      <c r="CHD10" s="54"/>
      <c r="CHN10" s="54"/>
      <c r="CHX10" s="54"/>
      <c r="CIH10" s="54"/>
      <c r="CIR10" s="54"/>
      <c r="CJB10" s="54"/>
      <c r="CJL10" s="54"/>
      <c r="CJV10" s="54"/>
      <c r="CKF10" s="54"/>
      <c r="CKP10" s="54"/>
      <c r="CKZ10" s="54"/>
      <c r="CLJ10" s="54"/>
      <c r="CLT10" s="54"/>
      <c r="CMD10" s="54"/>
      <c r="CMN10" s="54"/>
      <c r="CMX10" s="54"/>
      <c r="CNH10" s="54"/>
      <c r="CNR10" s="54"/>
      <c r="COB10" s="54"/>
      <c r="COL10" s="54"/>
      <c r="COV10" s="54"/>
      <c r="CPF10" s="54"/>
      <c r="CPP10" s="54"/>
      <c r="CPZ10" s="54"/>
      <c r="CQJ10" s="54"/>
      <c r="CQT10" s="54"/>
      <c r="CRD10" s="54"/>
      <c r="CRN10" s="54"/>
      <c r="CRX10" s="54"/>
      <c r="CSH10" s="54"/>
      <c r="CSR10" s="54"/>
      <c r="CTB10" s="54"/>
      <c r="CTL10" s="54"/>
      <c r="CTV10" s="54"/>
    </row>
    <row r="11" s="39" customFormat="1" customHeight="1" spans="1:1020 1030:2040 2050:2570">
      <c r="A11" s="48">
        <v>46148</v>
      </c>
      <c r="B11" s="9" t="s">
        <v>32</v>
      </c>
      <c r="C11" s="10" t="s">
        <v>33</v>
      </c>
      <c r="D11" s="49">
        <v>652352010</v>
      </c>
      <c r="E11" s="38" t="s">
        <v>48</v>
      </c>
      <c r="F11" s="50" t="str">
        <f>VLOOKUP(E11,基础数据!E:F,2,0)</f>
        <v>A12-外部通讯连接线束</v>
      </c>
      <c r="G11" s="49">
        <v>1500</v>
      </c>
      <c r="H11" s="51" t="str">
        <f>VLOOKUP(E11,基础数据!E:H,4,0)</f>
        <v>料盒</v>
      </c>
      <c r="I11" s="51">
        <f>VLOOKUP(E11,基础数据!E:G,3,0)</f>
        <v>100</v>
      </c>
      <c r="J11" s="49" t="s">
        <v>35</v>
      </c>
      <c r="K11" s="52">
        <f t="shared" si="0"/>
        <v>15</v>
      </c>
      <c r="T11" s="54"/>
      <c r="AD11" s="54"/>
      <c r="AN11" s="54"/>
      <c r="AX11" s="54"/>
      <c r="BH11" s="54"/>
      <c r="BR11" s="54"/>
      <c r="CB11" s="54"/>
      <c r="CL11" s="54"/>
      <c r="CV11" s="54"/>
      <c r="DF11" s="54"/>
      <c r="DP11" s="54"/>
      <c r="DZ11" s="54"/>
      <c r="EJ11" s="54"/>
      <c r="ET11" s="54"/>
      <c r="FD11" s="54"/>
      <c r="FN11" s="54"/>
      <c r="FX11" s="54"/>
      <c r="GH11" s="54"/>
      <c r="GR11" s="54"/>
      <c r="HB11" s="54"/>
      <c r="HL11" s="54"/>
      <c r="HV11" s="54"/>
      <c r="IF11" s="54"/>
      <c r="IP11" s="54"/>
      <c r="IZ11" s="54"/>
      <c r="JJ11" s="54"/>
      <c r="JT11" s="54"/>
      <c r="KD11" s="54"/>
      <c r="KN11" s="54"/>
      <c r="KX11" s="54"/>
      <c r="LH11" s="54"/>
      <c r="LR11" s="54"/>
      <c r="MB11" s="54"/>
      <c r="ML11" s="54"/>
      <c r="MV11" s="54"/>
      <c r="NF11" s="54"/>
      <c r="NP11" s="54"/>
      <c r="NZ11" s="54"/>
      <c r="OJ11" s="54"/>
      <c r="OT11" s="54"/>
      <c r="PD11" s="54"/>
      <c r="PN11" s="54"/>
      <c r="PX11" s="54"/>
      <c r="QH11" s="54"/>
      <c r="QR11" s="54"/>
      <c r="RB11" s="54"/>
      <c r="RL11" s="54"/>
      <c r="RV11" s="54"/>
      <c r="SF11" s="54"/>
      <c r="SP11" s="54"/>
      <c r="SZ11" s="54"/>
      <c r="TJ11" s="54"/>
      <c r="TT11" s="54"/>
      <c r="UD11" s="54"/>
      <c r="UN11" s="54"/>
      <c r="UX11" s="54"/>
      <c r="VH11" s="54"/>
      <c r="VR11" s="54"/>
      <c r="WB11" s="54"/>
      <c r="WL11" s="54"/>
      <c r="WV11" s="54"/>
      <c r="XF11" s="54"/>
      <c r="XP11" s="54"/>
      <c r="XZ11" s="54"/>
      <c r="YJ11" s="54"/>
      <c r="YT11" s="54"/>
      <c r="ZD11" s="54"/>
      <c r="ZN11" s="54"/>
      <c r="ZX11" s="54"/>
      <c r="AAH11" s="54"/>
      <c r="AAR11" s="54"/>
      <c r="ABB11" s="54"/>
      <c r="ABL11" s="54"/>
      <c r="ABV11" s="54"/>
      <c r="ACF11" s="54"/>
      <c r="ACP11" s="54"/>
      <c r="ACZ11" s="54"/>
      <c r="ADJ11" s="54"/>
      <c r="ADT11" s="54"/>
      <c r="AED11" s="54"/>
      <c r="AEN11" s="54"/>
      <c r="AEX11" s="54"/>
      <c r="AFH11" s="54"/>
      <c r="AFR11" s="54"/>
      <c r="AGB11" s="54"/>
      <c r="AGL11" s="54"/>
      <c r="AGV11" s="54"/>
      <c r="AHF11" s="54"/>
      <c r="AHP11" s="54"/>
      <c r="AHZ11" s="54"/>
      <c r="AIJ11" s="54"/>
      <c r="AIT11" s="54"/>
      <c r="AJD11" s="54"/>
      <c r="AJN11" s="54"/>
      <c r="AJX11" s="54"/>
      <c r="AKH11" s="54"/>
      <c r="AKR11" s="54"/>
      <c r="ALB11" s="54"/>
      <c r="ALL11" s="54"/>
      <c r="ALV11" s="54"/>
      <c r="AMF11" s="54"/>
      <c r="AMP11" s="54"/>
      <c r="AMZ11" s="54"/>
      <c r="ANJ11" s="54"/>
      <c r="ANT11" s="54"/>
      <c r="AOD11" s="54"/>
      <c r="AON11" s="54"/>
      <c r="AOX11" s="54"/>
      <c r="APH11" s="54"/>
      <c r="APR11" s="54"/>
      <c r="AQB11" s="54"/>
      <c r="AQL11" s="54"/>
      <c r="AQV11" s="54"/>
      <c r="ARF11" s="54"/>
      <c r="ARP11" s="54"/>
      <c r="ARZ11" s="54"/>
      <c r="ASJ11" s="54"/>
      <c r="AST11" s="54"/>
      <c r="ATD11" s="54"/>
      <c r="ATN11" s="54"/>
      <c r="ATX11" s="54"/>
      <c r="AUH11" s="54"/>
      <c r="AUR11" s="54"/>
      <c r="AVB11" s="54"/>
      <c r="AVL11" s="54"/>
      <c r="AVV11" s="54"/>
      <c r="AWF11" s="54"/>
      <c r="AWP11" s="54"/>
      <c r="AWZ11" s="54"/>
      <c r="AXJ11" s="54"/>
      <c r="AXT11" s="54"/>
      <c r="AYD11" s="54"/>
      <c r="AYN11" s="54"/>
      <c r="AYX11" s="54"/>
      <c r="AZH11" s="54"/>
      <c r="AZR11" s="54"/>
      <c r="BAB11" s="54"/>
      <c r="BAL11" s="54"/>
      <c r="BAV11" s="54"/>
      <c r="BBF11" s="54"/>
      <c r="BBP11" s="54"/>
      <c r="BBZ11" s="54"/>
      <c r="BCJ11" s="54"/>
      <c r="BCT11" s="54"/>
      <c r="BDD11" s="54"/>
      <c r="BDN11" s="54"/>
      <c r="BDX11" s="54"/>
      <c r="BEH11" s="54"/>
      <c r="BER11" s="54"/>
      <c r="BFB11" s="54"/>
      <c r="BFL11" s="54"/>
      <c r="BFV11" s="54"/>
      <c r="BGF11" s="54"/>
      <c r="BGP11" s="54"/>
      <c r="BGZ11" s="54"/>
      <c r="BHJ11" s="54"/>
      <c r="BHT11" s="54"/>
      <c r="BID11" s="54"/>
      <c r="BIN11" s="54"/>
      <c r="BIX11" s="54"/>
      <c r="BJH11" s="54"/>
      <c r="BJR11" s="54"/>
      <c r="BKB11" s="54"/>
      <c r="BKL11" s="54"/>
      <c r="BKV11" s="54"/>
      <c r="BLF11" s="54"/>
      <c r="BLP11" s="54"/>
      <c r="BLZ11" s="54"/>
      <c r="BMJ11" s="54"/>
      <c r="BMT11" s="54"/>
      <c r="BND11" s="54"/>
      <c r="BNN11" s="54"/>
      <c r="BNX11" s="54"/>
      <c r="BOH11" s="54"/>
      <c r="BOR11" s="54"/>
      <c r="BPB11" s="54"/>
      <c r="BPL11" s="54"/>
      <c r="BPV11" s="54"/>
      <c r="BQF11" s="54"/>
      <c r="BQP11" s="54"/>
      <c r="BQZ11" s="54"/>
      <c r="BRJ11" s="54"/>
      <c r="BRT11" s="54"/>
      <c r="BSD11" s="54"/>
      <c r="BSN11" s="54"/>
      <c r="BSX11" s="54"/>
      <c r="BTH11" s="54"/>
      <c r="BTR11" s="54"/>
      <c r="BUB11" s="54"/>
      <c r="BUL11" s="54"/>
      <c r="BUV11" s="54"/>
      <c r="BVF11" s="54"/>
      <c r="BVP11" s="54"/>
      <c r="BVZ11" s="54"/>
      <c r="BWJ11" s="54"/>
      <c r="BWT11" s="54"/>
      <c r="BXD11" s="54"/>
      <c r="BXN11" s="54"/>
      <c r="BXX11" s="54"/>
      <c r="BYH11" s="54"/>
      <c r="BYR11" s="54"/>
      <c r="BZB11" s="54"/>
      <c r="BZL11" s="54"/>
      <c r="BZV11" s="54"/>
      <c r="CAF11" s="54"/>
      <c r="CAP11" s="54"/>
      <c r="CAZ11" s="54"/>
      <c r="CBJ11" s="54"/>
      <c r="CBT11" s="54"/>
      <c r="CCD11" s="54"/>
      <c r="CCN11" s="54"/>
      <c r="CCX11" s="54"/>
      <c r="CDH11" s="54"/>
      <c r="CDR11" s="54"/>
      <c r="CEB11" s="54"/>
      <c r="CEL11" s="54"/>
      <c r="CEV11" s="54"/>
      <c r="CFF11" s="54"/>
      <c r="CFP11" s="54"/>
      <c r="CFZ11" s="54"/>
      <c r="CGJ11" s="54"/>
      <c r="CGT11" s="54"/>
      <c r="CHD11" s="54"/>
      <c r="CHN11" s="54"/>
      <c r="CHX11" s="54"/>
      <c r="CIH11" s="54"/>
      <c r="CIR11" s="54"/>
      <c r="CJB11" s="54"/>
      <c r="CJL11" s="54"/>
      <c r="CJV11" s="54"/>
      <c r="CKF11" s="54"/>
      <c r="CKP11" s="54"/>
      <c r="CKZ11" s="54"/>
      <c r="CLJ11" s="54"/>
      <c r="CLT11" s="54"/>
      <c r="CMD11" s="54"/>
      <c r="CMN11" s="54"/>
      <c r="CMX11" s="54"/>
      <c r="CNH11" s="54"/>
      <c r="CNR11" s="54"/>
      <c r="COB11" s="54"/>
      <c r="COL11" s="54"/>
      <c r="COV11" s="54"/>
      <c r="CPF11" s="54"/>
      <c r="CPP11" s="54"/>
      <c r="CPZ11" s="54"/>
      <c r="CQJ11" s="54"/>
      <c r="CQT11" s="54"/>
      <c r="CRD11" s="54"/>
      <c r="CRN11" s="54"/>
      <c r="CRX11" s="54"/>
      <c r="CSH11" s="54"/>
      <c r="CSR11" s="54"/>
      <c r="CTB11" s="54"/>
      <c r="CTL11" s="54"/>
      <c r="CTV11" s="54"/>
    </row>
    <row r="12" s="39" customFormat="1" customHeight="1" spans="1:1020 1030:2040 2050:2570">
      <c r="A12" s="48">
        <v>46148</v>
      </c>
      <c r="B12" s="9" t="s">
        <v>32</v>
      </c>
      <c r="C12" s="10" t="s">
        <v>33</v>
      </c>
      <c r="D12" s="49">
        <v>652352010</v>
      </c>
      <c r="E12" s="38" t="s">
        <v>46</v>
      </c>
      <c r="F12" s="50" t="str">
        <f>VLOOKUP(E12,基础数据!E:F,2,0)</f>
        <v>A12-预充电阻连接线束1</v>
      </c>
      <c r="G12" s="49">
        <v>3000</v>
      </c>
      <c r="H12" s="51" t="str">
        <f>VLOOKUP(E12,基础数据!E:H,4,0)</f>
        <v>料盒</v>
      </c>
      <c r="I12" s="51">
        <f>VLOOKUP(E12,基础数据!E:G,3,0)</f>
        <v>1500</v>
      </c>
      <c r="J12" s="49" t="s">
        <v>35</v>
      </c>
      <c r="K12" s="52">
        <f t="shared" si="0"/>
        <v>2</v>
      </c>
      <c r="T12" s="54"/>
      <c r="AD12" s="54"/>
      <c r="AN12" s="54"/>
      <c r="AX12" s="54"/>
      <c r="BH12" s="54"/>
      <c r="BR12" s="54"/>
      <c r="CB12" s="54"/>
      <c r="CL12" s="54"/>
      <c r="CV12" s="54"/>
      <c r="DF12" s="54"/>
      <c r="DP12" s="54"/>
      <c r="DZ12" s="54"/>
      <c r="EJ12" s="54"/>
      <c r="ET12" s="54"/>
      <c r="FD12" s="54"/>
      <c r="FN12" s="54"/>
      <c r="FX12" s="54"/>
      <c r="GH12" s="54"/>
      <c r="GR12" s="54"/>
      <c r="HB12" s="54"/>
      <c r="HL12" s="54"/>
      <c r="HV12" s="54"/>
      <c r="IF12" s="54"/>
      <c r="IP12" s="54"/>
      <c r="IZ12" s="54"/>
      <c r="JJ12" s="54"/>
      <c r="JT12" s="54"/>
      <c r="KD12" s="54"/>
      <c r="KN12" s="54"/>
      <c r="KX12" s="54"/>
      <c r="LH12" s="54"/>
      <c r="LR12" s="54"/>
      <c r="MB12" s="54"/>
      <c r="ML12" s="54"/>
      <c r="MV12" s="54"/>
      <c r="NF12" s="54"/>
      <c r="NP12" s="54"/>
      <c r="NZ12" s="54"/>
      <c r="OJ12" s="54"/>
      <c r="OT12" s="54"/>
      <c r="PD12" s="54"/>
      <c r="PN12" s="54"/>
      <c r="PX12" s="54"/>
      <c r="QH12" s="54"/>
      <c r="QR12" s="54"/>
      <c r="RB12" s="54"/>
      <c r="RL12" s="54"/>
      <c r="RV12" s="54"/>
      <c r="SF12" s="54"/>
      <c r="SP12" s="54"/>
      <c r="SZ12" s="54"/>
      <c r="TJ12" s="54"/>
      <c r="TT12" s="54"/>
      <c r="UD12" s="54"/>
      <c r="UN12" s="54"/>
      <c r="UX12" s="54"/>
      <c r="VH12" s="54"/>
      <c r="VR12" s="54"/>
      <c r="WB12" s="54"/>
      <c r="WL12" s="54"/>
      <c r="WV12" s="54"/>
      <c r="XF12" s="54"/>
      <c r="XP12" s="54"/>
      <c r="XZ12" s="54"/>
      <c r="YJ12" s="54"/>
      <c r="YT12" s="54"/>
      <c r="ZD12" s="54"/>
      <c r="ZN12" s="54"/>
      <c r="ZX12" s="54"/>
      <c r="AAH12" s="54"/>
      <c r="AAR12" s="54"/>
      <c r="ABB12" s="54"/>
      <c r="ABL12" s="54"/>
      <c r="ABV12" s="54"/>
      <c r="ACF12" s="54"/>
      <c r="ACP12" s="54"/>
      <c r="ACZ12" s="54"/>
      <c r="ADJ12" s="54"/>
      <c r="ADT12" s="54"/>
      <c r="AED12" s="54"/>
      <c r="AEN12" s="54"/>
      <c r="AEX12" s="54"/>
      <c r="AFH12" s="54"/>
      <c r="AFR12" s="54"/>
      <c r="AGB12" s="54"/>
      <c r="AGL12" s="54"/>
      <c r="AGV12" s="54"/>
      <c r="AHF12" s="54"/>
      <c r="AHP12" s="54"/>
      <c r="AHZ12" s="54"/>
      <c r="AIJ12" s="54"/>
      <c r="AIT12" s="54"/>
      <c r="AJD12" s="54"/>
      <c r="AJN12" s="54"/>
      <c r="AJX12" s="54"/>
      <c r="AKH12" s="54"/>
      <c r="AKR12" s="54"/>
      <c r="ALB12" s="54"/>
      <c r="ALL12" s="54"/>
      <c r="ALV12" s="54"/>
      <c r="AMF12" s="54"/>
      <c r="AMP12" s="54"/>
      <c r="AMZ12" s="54"/>
      <c r="ANJ12" s="54"/>
      <c r="ANT12" s="54"/>
      <c r="AOD12" s="54"/>
      <c r="AON12" s="54"/>
      <c r="AOX12" s="54"/>
      <c r="APH12" s="54"/>
      <c r="APR12" s="54"/>
      <c r="AQB12" s="54"/>
      <c r="AQL12" s="54"/>
      <c r="AQV12" s="54"/>
      <c r="ARF12" s="54"/>
      <c r="ARP12" s="54"/>
      <c r="ARZ12" s="54"/>
      <c r="ASJ12" s="54"/>
      <c r="AST12" s="54"/>
      <c r="ATD12" s="54"/>
      <c r="ATN12" s="54"/>
      <c r="ATX12" s="54"/>
      <c r="AUH12" s="54"/>
      <c r="AUR12" s="54"/>
      <c r="AVB12" s="54"/>
      <c r="AVL12" s="54"/>
      <c r="AVV12" s="54"/>
      <c r="AWF12" s="54"/>
      <c r="AWP12" s="54"/>
      <c r="AWZ12" s="54"/>
      <c r="AXJ12" s="54"/>
      <c r="AXT12" s="54"/>
      <c r="AYD12" s="54"/>
      <c r="AYN12" s="54"/>
      <c r="AYX12" s="54"/>
      <c r="AZH12" s="54"/>
      <c r="AZR12" s="54"/>
      <c r="BAB12" s="54"/>
      <c r="BAL12" s="54"/>
      <c r="BAV12" s="54"/>
      <c r="BBF12" s="54"/>
      <c r="BBP12" s="54"/>
      <c r="BBZ12" s="54"/>
      <c r="BCJ12" s="54"/>
      <c r="BCT12" s="54"/>
      <c r="BDD12" s="54"/>
      <c r="BDN12" s="54"/>
      <c r="BDX12" s="54"/>
      <c r="BEH12" s="54"/>
      <c r="BER12" s="54"/>
      <c r="BFB12" s="54"/>
      <c r="BFL12" s="54"/>
      <c r="BFV12" s="54"/>
      <c r="BGF12" s="54"/>
      <c r="BGP12" s="54"/>
      <c r="BGZ12" s="54"/>
      <c r="BHJ12" s="54"/>
      <c r="BHT12" s="54"/>
      <c r="BID12" s="54"/>
      <c r="BIN12" s="54"/>
      <c r="BIX12" s="54"/>
      <c r="BJH12" s="54"/>
      <c r="BJR12" s="54"/>
      <c r="BKB12" s="54"/>
      <c r="BKL12" s="54"/>
      <c r="BKV12" s="54"/>
      <c r="BLF12" s="54"/>
      <c r="BLP12" s="54"/>
      <c r="BLZ12" s="54"/>
      <c r="BMJ12" s="54"/>
      <c r="BMT12" s="54"/>
      <c r="BND12" s="54"/>
      <c r="BNN12" s="54"/>
      <c r="BNX12" s="54"/>
      <c r="BOH12" s="54"/>
      <c r="BOR12" s="54"/>
      <c r="BPB12" s="54"/>
      <c r="BPL12" s="54"/>
      <c r="BPV12" s="54"/>
      <c r="BQF12" s="54"/>
      <c r="BQP12" s="54"/>
      <c r="BQZ12" s="54"/>
      <c r="BRJ12" s="54"/>
      <c r="BRT12" s="54"/>
      <c r="BSD12" s="54"/>
      <c r="BSN12" s="54"/>
      <c r="BSX12" s="54"/>
      <c r="BTH12" s="54"/>
      <c r="BTR12" s="54"/>
      <c r="BUB12" s="54"/>
      <c r="BUL12" s="54"/>
      <c r="BUV12" s="54"/>
      <c r="BVF12" s="54"/>
      <c r="BVP12" s="54"/>
      <c r="BVZ12" s="54"/>
      <c r="BWJ12" s="54"/>
      <c r="BWT12" s="54"/>
      <c r="BXD12" s="54"/>
      <c r="BXN12" s="54"/>
      <c r="BXX12" s="54"/>
      <c r="BYH12" s="54"/>
      <c r="BYR12" s="54"/>
      <c r="BZB12" s="54"/>
      <c r="BZL12" s="54"/>
      <c r="BZV12" s="54"/>
      <c r="CAF12" s="54"/>
      <c r="CAP12" s="54"/>
      <c r="CAZ12" s="54"/>
      <c r="CBJ12" s="54"/>
      <c r="CBT12" s="54"/>
      <c r="CCD12" s="54"/>
      <c r="CCN12" s="54"/>
      <c r="CCX12" s="54"/>
      <c r="CDH12" s="54"/>
      <c r="CDR12" s="54"/>
      <c r="CEB12" s="54"/>
      <c r="CEL12" s="54"/>
      <c r="CEV12" s="54"/>
      <c r="CFF12" s="54"/>
      <c r="CFP12" s="54"/>
      <c r="CFZ12" s="54"/>
      <c r="CGJ12" s="54"/>
      <c r="CGT12" s="54"/>
      <c r="CHD12" s="54"/>
      <c r="CHN12" s="54"/>
      <c r="CHX12" s="54"/>
      <c r="CIH12" s="54"/>
      <c r="CIR12" s="54"/>
      <c r="CJB12" s="54"/>
      <c r="CJL12" s="54"/>
      <c r="CJV12" s="54"/>
      <c r="CKF12" s="54"/>
      <c r="CKP12" s="54"/>
      <c r="CKZ12" s="54"/>
      <c r="CLJ12" s="54"/>
      <c r="CLT12" s="54"/>
      <c r="CMD12" s="54"/>
      <c r="CMN12" s="54"/>
      <c r="CMX12" s="54"/>
      <c r="CNH12" s="54"/>
      <c r="CNR12" s="54"/>
      <c r="COB12" s="54"/>
      <c r="COL12" s="54"/>
      <c r="COV12" s="54"/>
      <c r="CPF12" s="54"/>
      <c r="CPP12" s="54"/>
      <c r="CPZ12" s="54"/>
      <c r="CQJ12" s="54"/>
      <c r="CQT12" s="54"/>
      <c r="CRD12" s="54"/>
      <c r="CRN12" s="54"/>
      <c r="CRX12" s="54"/>
      <c r="CSH12" s="54"/>
      <c r="CSR12" s="54"/>
      <c r="CTB12" s="54"/>
      <c r="CTL12" s="54"/>
      <c r="CTV12" s="54"/>
    </row>
    <row r="13" s="39" customFormat="1" customHeight="1" spans="1:1020 1030:2040 2050:2570">
      <c r="A13" s="48">
        <v>46148</v>
      </c>
      <c r="B13" s="9" t="s">
        <v>32</v>
      </c>
      <c r="C13" s="10" t="s">
        <v>33</v>
      </c>
      <c r="D13" s="49">
        <v>652352010</v>
      </c>
      <c r="E13" s="38" t="s">
        <v>47</v>
      </c>
      <c r="F13" s="50" t="str">
        <f>VLOOKUP(E13,基础数据!E:F,2,0)</f>
        <v>A12-菊花链线束</v>
      </c>
      <c r="G13" s="49">
        <v>4500</v>
      </c>
      <c r="H13" s="51" t="str">
        <f>VLOOKUP(E13,基础数据!E:H,4,0)</f>
        <v>料盒</v>
      </c>
      <c r="I13" s="51">
        <f>VLOOKUP(E13,基础数据!E:G,3,0)</f>
        <v>1500</v>
      </c>
      <c r="J13" s="49" t="s">
        <v>35</v>
      </c>
      <c r="K13" s="52">
        <f t="shared" si="0"/>
        <v>3</v>
      </c>
      <c r="T13" s="54"/>
      <c r="AD13" s="54"/>
      <c r="AN13" s="54"/>
      <c r="AX13" s="54"/>
      <c r="BH13" s="54"/>
      <c r="BR13" s="54"/>
      <c r="CB13" s="54"/>
      <c r="CL13" s="54"/>
      <c r="CV13" s="54"/>
      <c r="DF13" s="54"/>
      <c r="DP13" s="54"/>
      <c r="DZ13" s="54"/>
      <c r="EJ13" s="54"/>
      <c r="ET13" s="54"/>
      <c r="FD13" s="54"/>
      <c r="FN13" s="54"/>
      <c r="FX13" s="54"/>
      <c r="GH13" s="54"/>
      <c r="GR13" s="54"/>
      <c r="HB13" s="54"/>
      <c r="HL13" s="54"/>
      <c r="HV13" s="54"/>
      <c r="IF13" s="54"/>
      <c r="IP13" s="54"/>
      <c r="IZ13" s="54"/>
      <c r="JJ13" s="54"/>
      <c r="JT13" s="54"/>
      <c r="KD13" s="54"/>
      <c r="KN13" s="54"/>
      <c r="KX13" s="54"/>
      <c r="LH13" s="54"/>
      <c r="LR13" s="54"/>
      <c r="MB13" s="54"/>
      <c r="ML13" s="54"/>
      <c r="MV13" s="54"/>
      <c r="NF13" s="54"/>
      <c r="NP13" s="54"/>
      <c r="NZ13" s="54"/>
      <c r="OJ13" s="54"/>
      <c r="OT13" s="54"/>
      <c r="PD13" s="54"/>
      <c r="PN13" s="54"/>
      <c r="PX13" s="54"/>
      <c r="QH13" s="54"/>
      <c r="QR13" s="54"/>
      <c r="RB13" s="54"/>
      <c r="RL13" s="54"/>
      <c r="RV13" s="54"/>
      <c r="SF13" s="54"/>
      <c r="SP13" s="54"/>
      <c r="SZ13" s="54"/>
      <c r="TJ13" s="54"/>
      <c r="TT13" s="54"/>
      <c r="UD13" s="54"/>
      <c r="UN13" s="54"/>
      <c r="UX13" s="54"/>
      <c r="VH13" s="54"/>
      <c r="VR13" s="54"/>
      <c r="WB13" s="54"/>
      <c r="WL13" s="54"/>
      <c r="WV13" s="54"/>
      <c r="XF13" s="54"/>
      <c r="XP13" s="54"/>
      <c r="XZ13" s="54"/>
      <c r="YJ13" s="54"/>
      <c r="YT13" s="54"/>
      <c r="ZD13" s="54"/>
      <c r="ZN13" s="54"/>
      <c r="ZX13" s="54"/>
      <c r="AAH13" s="54"/>
      <c r="AAR13" s="54"/>
      <c r="ABB13" s="54"/>
      <c r="ABL13" s="54"/>
      <c r="ABV13" s="54"/>
      <c r="ACF13" s="54"/>
      <c r="ACP13" s="54"/>
      <c r="ACZ13" s="54"/>
      <c r="ADJ13" s="54"/>
      <c r="ADT13" s="54"/>
      <c r="AED13" s="54"/>
      <c r="AEN13" s="54"/>
      <c r="AEX13" s="54"/>
      <c r="AFH13" s="54"/>
      <c r="AFR13" s="54"/>
      <c r="AGB13" s="54"/>
      <c r="AGL13" s="54"/>
      <c r="AGV13" s="54"/>
      <c r="AHF13" s="54"/>
      <c r="AHP13" s="54"/>
      <c r="AHZ13" s="54"/>
      <c r="AIJ13" s="54"/>
      <c r="AIT13" s="54"/>
      <c r="AJD13" s="54"/>
      <c r="AJN13" s="54"/>
      <c r="AJX13" s="54"/>
      <c r="AKH13" s="54"/>
      <c r="AKR13" s="54"/>
      <c r="ALB13" s="54"/>
      <c r="ALL13" s="54"/>
      <c r="ALV13" s="54"/>
      <c r="AMF13" s="54"/>
      <c r="AMP13" s="54"/>
      <c r="AMZ13" s="54"/>
      <c r="ANJ13" s="54"/>
      <c r="ANT13" s="54"/>
      <c r="AOD13" s="54"/>
      <c r="AON13" s="54"/>
      <c r="AOX13" s="54"/>
      <c r="APH13" s="54"/>
      <c r="APR13" s="54"/>
      <c r="AQB13" s="54"/>
      <c r="AQL13" s="54"/>
      <c r="AQV13" s="54"/>
      <c r="ARF13" s="54"/>
      <c r="ARP13" s="54"/>
      <c r="ARZ13" s="54"/>
      <c r="ASJ13" s="54"/>
      <c r="AST13" s="54"/>
      <c r="ATD13" s="54"/>
      <c r="ATN13" s="54"/>
      <c r="ATX13" s="54"/>
      <c r="AUH13" s="54"/>
      <c r="AUR13" s="54"/>
      <c r="AVB13" s="54"/>
      <c r="AVL13" s="54"/>
      <c r="AVV13" s="54"/>
      <c r="AWF13" s="54"/>
      <c r="AWP13" s="54"/>
      <c r="AWZ13" s="54"/>
      <c r="AXJ13" s="54"/>
      <c r="AXT13" s="54"/>
      <c r="AYD13" s="54"/>
      <c r="AYN13" s="54"/>
      <c r="AYX13" s="54"/>
      <c r="AZH13" s="54"/>
      <c r="AZR13" s="54"/>
      <c r="BAB13" s="54"/>
      <c r="BAL13" s="54"/>
      <c r="BAV13" s="54"/>
      <c r="BBF13" s="54"/>
      <c r="BBP13" s="54"/>
      <c r="BBZ13" s="54"/>
      <c r="BCJ13" s="54"/>
      <c r="BCT13" s="54"/>
      <c r="BDD13" s="54"/>
      <c r="BDN13" s="54"/>
      <c r="BDX13" s="54"/>
      <c r="BEH13" s="54"/>
      <c r="BER13" s="54"/>
      <c r="BFB13" s="54"/>
      <c r="BFL13" s="54"/>
      <c r="BFV13" s="54"/>
      <c r="BGF13" s="54"/>
      <c r="BGP13" s="54"/>
      <c r="BGZ13" s="54"/>
      <c r="BHJ13" s="54"/>
      <c r="BHT13" s="54"/>
      <c r="BID13" s="54"/>
      <c r="BIN13" s="54"/>
      <c r="BIX13" s="54"/>
      <c r="BJH13" s="54"/>
      <c r="BJR13" s="54"/>
      <c r="BKB13" s="54"/>
      <c r="BKL13" s="54"/>
      <c r="BKV13" s="54"/>
      <c r="BLF13" s="54"/>
      <c r="BLP13" s="54"/>
      <c r="BLZ13" s="54"/>
      <c r="BMJ13" s="54"/>
      <c r="BMT13" s="54"/>
      <c r="BND13" s="54"/>
      <c r="BNN13" s="54"/>
      <c r="BNX13" s="54"/>
      <c r="BOH13" s="54"/>
      <c r="BOR13" s="54"/>
      <c r="BPB13" s="54"/>
      <c r="BPL13" s="54"/>
      <c r="BPV13" s="54"/>
      <c r="BQF13" s="54"/>
      <c r="BQP13" s="54"/>
      <c r="BQZ13" s="54"/>
      <c r="BRJ13" s="54"/>
      <c r="BRT13" s="54"/>
      <c r="BSD13" s="54"/>
      <c r="BSN13" s="54"/>
      <c r="BSX13" s="54"/>
      <c r="BTH13" s="54"/>
      <c r="BTR13" s="54"/>
      <c r="BUB13" s="54"/>
      <c r="BUL13" s="54"/>
      <c r="BUV13" s="54"/>
      <c r="BVF13" s="54"/>
      <c r="BVP13" s="54"/>
      <c r="BVZ13" s="54"/>
      <c r="BWJ13" s="54"/>
      <c r="BWT13" s="54"/>
      <c r="BXD13" s="54"/>
      <c r="BXN13" s="54"/>
      <c r="BXX13" s="54"/>
      <c r="BYH13" s="54"/>
      <c r="BYR13" s="54"/>
      <c r="BZB13" s="54"/>
      <c r="BZL13" s="54"/>
      <c r="BZV13" s="54"/>
      <c r="CAF13" s="54"/>
      <c r="CAP13" s="54"/>
      <c r="CAZ13" s="54"/>
      <c r="CBJ13" s="54"/>
      <c r="CBT13" s="54"/>
      <c r="CCD13" s="54"/>
      <c r="CCN13" s="54"/>
      <c r="CCX13" s="54"/>
      <c r="CDH13" s="54"/>
      <c r="CDR13" s="54"/>
      <c r="CEB13" s="54"/>
      <c r="CEL13" s="54"/>
      <c r="CEV13" s="54"/>
      <c r="CFF13" s="54"/>
      <c r="CFP13" s="54"/>
      <c r="CFZ13" s="54"/>
      <c r="CGJ13" s="54"/>
      <c r="CGT13" s="54"/>
      <c r="CHD13" s="54"/>
      <c r="CHN13" s="54"/>
      <c r="CHX13" s="54"/>
      <c r="CIH13" s="54"/>
      <c r="CIR13" s="54"/>
      <c r="CJB13" s="54"/>
      <c r="CJL13" s="54"/>
      <c r="CJV13" s="54"/>
      <c r="CKF13" s="54"/>
      <c r="CKP13" s="54"/>
      <c r="CKZ13" s="54"/>
      <c r="CLJ13" s="54"/>
      <c r="CLT13" s="54"/>
      <c r="CMD13" s="54"/>
      <c r="CMN13" s="54"/>
      <c r="CMX13" s="54"/>
      <c r="CNH13" s="54"/>
      <c r="CNR13" s="54"/>
      <c r="COB13" s="54"/>
      <c r="COL13" s="54"/>
      <c r="COV13" s="54"/>
      <c r="CPF13" s="54"/>
      <c r="CPP13" s="54"/>
      <c r="CPZ13" s="54"/>
      <c r="CQJ13" s="54"/>
      <c r="CQT13" s="54"/>
      <c r="CRD13" s="54"/>
      <c r="CRN13" s="54"/>
      <c r="CRX13" s="54"/>
      <c r="CSH13" s="54"/>
      <c r="CSR13" s="54"/>
      <c r="CTB13" s="54"/>
      <c r="CTL13" s="54"/>
      <c r="CTV13" s="54"/>
    </row>
    <row r="14" s="39" customFormat="1" customHeight="1" spans="1:1020 1030:2040 2050:2570">
      <c r="A14" s="48">
        <v>46148</v>
      </c>
      <c r="B14" s="9" t="s">
        <v>32</v>
      </c>
      <c r="C14" s="10" t="s">
        <v>33</v>
      </c>
      <c r="D14" s="49">
        <v>652352010</v>
      </c>
      <c r="E14" s="49" t="s">
        <v>52</v>
      </c>
      <c r="F14" s="50" t="str">
        <f>VLOOKUP(E14,基础数据!E:F,2,0)</f>
        <v>LXCU13E01-分流器线束</v>
      </c>
      <c r="G14" s="49">
        <v>4500</v>
      </c>
      <c r="H14" s="51" t="str">
        <f>VLOOKUP(E14,基础数据!E:H,4,0)</f>
        <v>料盒</v>
      </c>
      <c r="I14" s="51">
        <f>VLOOKUP(E14,基础数据!E:G,3,0)</f>
        <v>1500</v>
      </c>
      <c r="J14" s="49" t="s">
        <v>35</v>
      </c>
      <c r="K14" s="52">
        <f t="shared" si="0"/>
        <v>3</v>
      </c>
      <c r="T14" s="54"/>
      <c r="AD14" s="54"/>
      <c r="AN14" s="54"/>
      <c r="AX14" s="54"/>
      <c r="BH14" s="54"/>
      <c r="BR14" s="54"/>
      <c r="CB14" s="54"/>
      <c r="CL14" s="54"/>
      <c r="CV14" s="54"/>
      <c r="DF14" s="54"/>
      <c r="DP14" s="54"/>
      <c r="DZ14" s="54"/>
      <c r="EJ14" s="54"/>
      <c r="ET14" s="54"/>
      <c r="FD14" s="54"/>
      <c r="FN14" s="54"/>
      <c r="FX14" s="54"/>
      <c r="GH14" s="54"/>
      <c r="GR14" s="54"/>
      <c r="HB14" s="54"/>
      <c r="HL14" s="54"/>
      <c r="HV14" s="54"/>
      <c r="IF14" s="54"/>
      <c r="IP14" s="54"/>
      <c r="IZ14" s="54"/>
      <c r="JJ14" s="54"/>
      <c r="JT14" s="54"/>
      <c r="KD14" s="54"/>
      <c r="KN14" s="54"/>
      <c r="KX14" s="54"/>
      <c r="LH14" s="54"/>
      <c r="LR14" s="54"/>
      <c r="MB14" s="54"/>
      <c r="ML14" s="54"/>
      <c r="MV14" s="54"/>
      <c r="NF14" s="54"/>
      <c r="NP14" s="54"/>
      <c r="NZ14" s="54"/>
      <c r="OJ14" s="54"/>
      <c r="OT14" s="54"/>
      <c r="PD14" s="54"/>
      <c r="PN14" s="54"/>
      <c r="PX14" s="54"/>
      <c r="QH14" s="54"/>
      <c r="QR14" s="54"/>
      <c r="RB14" s="54"/>
      <c r="RL14" s="54"/>
      <c r="RV14" s="54"/>
      <c r="SF14" s="54"/>
      <c r="SP14" s="54"/>
      <c r="SZ14" s="54"/>
      <c r="TJ14" s="54"/>
      <c r="TT14" s="54"/>
      <c r="UD14" s="54"/>
      <c r="UN14" s="54"/>
      <c r="UX14" s="54"/>
      <c r="VH14" s="54"/>
      <c r="VR14" s="54"/>
      <c r="WB14" s="54"/>
      <c r="WL14" s="54"/>
      <c r="WV14" s="54"/>
      <c r="XF14" s="54"/>
      <c r="XP14" s="54"/>
      <c r="XZ14" s="54"/>
      <c r="YJ14" s="54"/>
      <c r="YT14" s="54"/>
      <c r="ZD14" s="54"/>
      <c r="ZN14" s="54"/>
      <c r="ZX14" s="54"/>
      <c r="AAH14" s="54"/>
      <c r="AAR14" s="54"/>
      <c r="ABB14" s="54"/>
      <c r="ABL14" s="54"/>
      <c r="ABV14" s="54"/>
      <c r="ACF14" s="54"/>
      <c r="ACP14" s="54"/>
      <c r="ACZ14" s="54"/>
      <c r="ADJ14" s="54"/>
      <c r="ADT14" s="54"/>
      <c r="AED14" s="54"/>
      <c r="AEN14" s="54"/>
      <c r="AEX14" s="54"/>
      <c r="AFH14" s="54"/>
      <c r="AFR14" s="54"/>
      <c r="AGB14" s="54"/>
      <c r="AGL14" s="54"/>
      <c r="AGV14" s="54"/>
      <c r="AHF14" s="54"/>
      <c r="AHP14" s="54"/>
      <c r="AHZ14" s="54"/>
      <c r="AIJ14" s="54"/>
      <c r="AIT14" s="54"/>
      <c r="AJD14" s="54"/>
      <c r="AJN14" s="54"/>
      <c r="AJX14" s="54"/>
      <c r="AKH14" s="54"/>
      <c r="AKR14" s="54"/>
      <c r="ALB14" s="54"/>
      <c r="ALL14" s="54"/>
      <c r="ALV14" s="54"/>
      <c r="AMF14" s="54"/>
      <c r="AMP14" s="54"/>
      <c r="AMZ14" s="54"/>
      <c r="ANJ14" s="54"/>
      <c r="ANT14" s="54"/>
      <c r="AOD14" s="54"/>
      <c r="AON14" s="54"/>
      <c r="AOX14" s="54"/>
      <c r="APH14" s="54"/>
      <c r="APR14" s="54"/>
      <c r="AQB14" s="54"/>
      <c r="AQL14" s="54"/>
      <c r="AQV14" s="54"/>
      <c r="ARF14" s="54"/>
      <c r="ARP14" s="54"/>
      <c r="ARZ14" s="54"/>
      <c r="ASJ14" s="54"/>
      <c r="AST14" s="54"/>
      <c r="ATD14" s="54"/>
      <c r="ATN14" s="54"/>
      <c r="ATX14" s="54"/>
      <c r="AUH14" s="54"/>
      <c r="AUR14" s="54"/>
      <c r="AVB14" s="54"/>
      <c r="AVL14" s="54"/>
      <c r="AVV14" s="54"/>
      <c r="AWF14" s="54"/>
      <c r="AWP14" s="54"/>
      <c r="AWZ14" s="54"/>
      <c r="AXJ14" s="54"/>
      <c r="AXT14" s="54"/>
      <c r="AYD14" s="54"/>
      <c r="AYN14" s="54"/>
      <c r="AYX14" s="54"/>
      <c r="AZH14" s="54"/>
      <c r="AZR14" s="54"/>
      <c r="BAB14" s="54"/>
      <c r="BAL14" s="54"/>
      <c r="BAV14" s="54"/>
      <c r="BBF14" s="54"/>
      <c r="BBP14" s="54"/>
      <c r="BBZ14" s="54"/>
      <c r="BCJ14" s="54"/>
      <c r="BCT14" s="54"/>
      <c r="BDD14" s="54"/>
      <c r="BDN14" s="54"/>
      <c r="BDX14" s="54"/>
      <c r="BEH14" s="54"/>
      <c r="BER14" s="54"/>
      <c r="BFB14" s="54"/>
      <c r="BFL14" s="54"/>
      <c r="BFV14" s="54"/>
      <c r="BGF14" s="54"/>
      <c r="BGP14" s="54"/>
      <c r="BGZ14" s="54"/>
      <c r="BHJ14" s="54"/>
      <c r="BHT14" s="54"/>
      <c r="BID14" s="54"/>
      <c r="BIN14" s="54"/>
      <c r="BIX14" s="54"/>
      <c r="BJH14" s="54"/>
      <c r="BJR14" s="54"/>
      <c r="BKB14" s="54"/>
      <c r="BKL14" s="54"/>
      <c r="BKV14" s="54"/>
      <c r="BLF14" s="54"/>
      <c r="BLP14" s="54"/>
      <c r="BLZ14" s="54"/>
      <c r="BMJ14" s="54"/>
      <c r="BMT14" s="54"/>
      <c r="BND14" s="54"/>
      <c r="BNN14" s="54"/>
      <c r="BNX14" s="54"/>
      <c r="BOH14" s="54"/>
      <c r="BOR14" s="54"/>
      <c r="BPB14" s="54"/>
      <c r="BPL14" s="54"/>
      <c r="BPV14" s="54"/>
      <c r="BQF14" s="54"/>
      <c r="BQP14" s="54"/>
      <c r="BQZ14" s="54"/>
      <c r="BRJ14" s="54"/>
      <c r="BRT14" s="54"/>
      <c r="BSD14" s="54"/>
      <c r="BSN14" s="54"/>
      <c r="BSX14" s="54"/>
      <c r="BTH14" s="54"/>
      <c r="BTR14" s="54"/>
      <c r="BUB14" s="54"/>
      <c r="BUL14" s="54"/>
      <c r="BUV14" s="54"/>
      <c r="BVF14" s="54"/>
      <c r="BVP14" s="54"/>
      <c r="BVZ14" s="54"/>
      <c r="BWJ14" s="54"/>
      <c r="BWT14" s="54"/>
      <c r="BXD14" s="54"/>
      <c r="BXN14" s="54"/>
      <c r="BXX14" s="54"/>
      <c r="BYH14" s="54"/>
      <c r="BYR14" s="54"/>
      <c r="BZB14" s="54"/>
      <c r="BZL14" s="54"/>
      <c r="BZV14" s="54"/>
      <c r="CAF14" s="54"/>
      <c r="CAP14" s="54"/>
      <c r="CAZ14" s="54"/>
      <c r="CBJ14" s="54"/>
      <c r="CBT14" s="54"/>
      <c r="CCD14" s="54"/>
      <c r="CCN14" s="54"/>
      <c r="CCX14" s="54"/>
      <c r="CDH14" s="54"/>
      <c r="CDR14" s="54"/>
      <c r="CEB14" s="54"/>
      <c r="CEL14" s="54"/>
      <c r="CEV14" s="54"/>
      <c r="CFF14" s="54"/>
      <c r="CFP14" s="54"/>
      <c r="CFZ14" s="54"/>
      <c r="CGJ14" s="54"/>
      <c r="CGT14" s="54"/>
      <c r="CHD14" s="54"/>
      <c r="CHN14" s="54"/>
      <c r="CHX14" s="54"/>
      <c r="CIH14" s="54"/>
      <c r="CIR14" s="54"/>
      <c r="CJB14" s="54"/>
      <c r="CJL14" s="54"/>
      <c r="CJV14" s="54"/>
      <c r="CKF14" s="54"/>
      <c r="CKP14" s="54"/>
      <c r="CKZ14" s="54"/>
      <c r="CLJ14" s="54"/>
      <c r="CLT14" s="54"/>
      <c r="CMD14" s="54"/>
      <c r="CMN14" s="54"/>
      <c r="CMX14" s="54"/>
      <c r="CNH14" s="54"/>
      <c r="CNR14" s="54"/>
      <c r="COB14" s="54"/>
      <c r="COL14" s="54"/>
      <c r="COV14" s="54"/>
      <c r="CPF14" s="54"/>
      <c r="CPP14" s="54"/>
      <c r="CPZ14" s="54"/>
      <c r="CQJ14" s="54"/>
      <c r="CQT14" s="54"/>
      <c r="CRD14" s="54"/>
      <c r="CRN14" s="54"/>
      <c r="CRX14" s="54"/>
      <c r="CSH14" s="54"/>
      <c r="CSR14" s="54"/>
      <c r="CTB14" s="54"/>
      <c r="CTL14" s="54"/>
      <c r="CTV14" s="54"/>
    </row>
    <row r="15" s="39" customFormat="1" customHeight="1" spans="1:1020 1030:2040 2050:2570">
      <c r="A15" s="48">
        <v>46148</v>
      </c>
      <c r="B15" s="9" t="s">
        <v>32</v>
      </c>
      <c r="C15" s="10" t="s">
        <v>33</v>
      </c>
      <c r="D15" s="49">
        <v>652352028</v>
      </c>
      <c r="E15" s="38" t="s">
        <v>50</v>
      </c>
      <c r="F15" s="50" t="str">
        <f>VLOOKUP(E15,基础数据!E:F,2,0)</f>
        <v>A03HW67.1-通讯集成线束</v>
      </c>
      <c r="G15" s="49">
        <v>400</v>
      </c>
      <c r="H15" s="51" t="str">
        <f>VLOOKUP(E15,基础数据!E:H,4,0)</f>
        <v>料盒</v>
      </c>
      <c r="I15" s="51">
        <f>VLOOKUP(E15,基础数据!E:G,3,0)</f>
        <v>100</v>
      </c>
      <c r="J15" s="49" t="s">
        <v>35</v>
      </c>
      <c r="K15" s="52">
        <f t="shared" si="0"/>
        <v>4</v>
      </c>
      <c r="T15" s="54"/>
      <c r="AD15" s="54"/>
      <c r="AN15" s="54"/>
      <c r="AX15" s="54"/>
      <c r="BH15" s="54"/>
      <c r="BR15" s="54"/>
      <c r="CB15" s="54"/>
      <c r="CL15" s="54"/>
      <c r="CV15" s="54"/>
      <c r="DF15" s="54"/>
      <c r="DP15" s="54"/>
      <c r="DZ15" s="54"/>
      <c r="EJ15" s="54"/>
      <c r="ET15" s="54"/>
      <c r="FD15" s="54"/>
      <c r="FN15" s="54"/>
      <c r="FX15" s="54"/>
      <c r="GH15" s="54"/>
      <c r="GR15" s="54"/>
      <c r="HB15" s="54"/>
      <c r="HL15" s="54"/>
      <c r="HV15" s="54"/>
      <c r="IF15" s="54"/>
      <c r="IP15" s="54"/>
      <c r="IZ15" s="54"/>
      <c r="JJ15" s="54"/>
      <c r="JT15" s="54"/>
      <c r="KD15" s="54"/>
      <c r="KN15" s="54"/>
      <c r="KX15" s="54"/>
      <c r="LH15" s="54"/>
      <c r="LR15" s="54"/>
      <c r="MB15" s="54"/>
      <c r="ML15" s="54"/>
      <c r="MV15" s="54"/>
      <c r="NF15" s="54"/>
      <c r="NP15" s="54"/>
      <c r="NZ15" s="54"/>
      <c r="OJ15" s="54"/>
      <c r="OT15" s="54"/>
      <c r="PD15" s="54"/>
      <c r="PN15" s="54"/>
      <c r="PX15" s="54"/>
      <c r="QH15" s="54"/>
      <c r="QR15" s="54"/>
      <c r="RB15" s="54"/>
      <c r="RL15" s="54"/>
      <c r="RV15" s="54"/>
      <c r="SF15" s="54"/>
      <c r="SP15" s="54"/>
      <c r="SZ15" s="54"/>
      <c r="TJ15" s="54"/>
      <c r="TT15" s="54"/>
      <c r="UD15" s="54"/>
      <c r="UN15" s="54"/>
      <c r="UX15" s="54"/>
      <c r="VH15" s="54"/>
      <c r="VR15" s="54"/>
      <c r="WB15" s="54"/>
      <c r="WL15" s="54"/>
      <c r="WV15" s="54"/>
      <c r="XF15" s="54"/>
      <c r="XP15" s="54"/>
      <c r="XZ15" s="54"/>
      <c r="YJ15" s="54"/>
      <c r="YT15" s="54"/>
      <c r="ZD15" s="54"/>
      <c r="ZN15" s="54"/>
      <c r="ZX15" s="54"/>
      <c r="AAH15" s="54"/>
      <c r="AAR15" s="54"/>
      <c r="ABB15" s="54"/>
      <c r="ABL15" s="54"/>
      <c r="ABV15" s="54"/>
      <c r="ACF15" s="54"/>
      <c r="ACP15" s="54"/>
      <c r="ACZ15" s="54"/>
      <c r="ADJ15" s="54"/>
      <c r="ADT15" s="54"/>
      <c r="AED15" s="54"/>
      <c r="AEN15" s="54"/>
      <c r="AEX15" s="54"/>
      <c r="AFH15" s="54"/>
      <c r="AFR15" s="54"/>
      <c r="AGB15" s="54"/>
      <c r="AGL15" s="54"/>
      <c r="AGV15" s="54"/>
      <c r="AHF15" s="54"/>
      <c r="AHP15" s="54"/>
      <c r="AHZ15" s="54"/>
      <c r="AIJ15" s="54"/>
      <c r="AIT15" s="54"/>
      <c r="AJD15" s="54"/>
      <c r="AJN15" s="54"/>
      <c r="AJX15" s="54"/>
      <c r="AKH15" s="54"/>
      <c r="AKR15" s="54"/>
      <c r="ALB15" s="54"/>
      <c r="ALL15" s="54"/>
      <c r="ALV15" s="54"/>
      <c r="AMF15" s="54"/>
      <c r="AMP15" s="54"/>
      <c r="AMZ15" s="54"/>
      <c r="ANJ15" s="54"/>
      <c r="ANT15" s="54"/>
      <c r="AOD15" s="54"/>
      <c r="AON15" s="54"/>
      <c r="AOX15" s="54"/>
      <c r="APH15" s="54"/>
      <c r="APR15" s="54"/>
      <c r="AQB15" s="54"/>
      <c r="AQL15" s="54"/>
      <c r="AQV15" s="54"/>
      <c r="ARF15" s="54"/>
      <c r="ARP15" s="54"/>
      <c r="ARZ15" s="54"/>
      <c r="ASJ15" s="54"/>
      <c r="AST15" s="54"/>
      <c r="ATD15" s="54"/>
      <c r="ATN15" s="54"/>
      <c r="ATX15" s="54"/>
      <c r="AUH15" s="54"/>
      <c r="AUR15" s="54"/>
      <c r="AVB15" s="54"/>
      <c r="AVL15" s="54"/>
      <c r="AVV15" s="54"/>
      <c r="AWF15" s="54"/>
      <c r="AWP15" s="54"/>
      <c r="AWZ15" s="54"/>
      <c r="AXJ15" s="54"/>
      <c r="AXT15" s="54"/>
      <c r="AYD15" s="54"/>
      <c r="AYN15" s="54"/>
      <c r="AYX15" s="54"/>
      <c r="AZH15" s="54"/>
      <c r="AZR15" s="54"/>
      <c r="BAB15" s="54"/>
      <c r="BAL15" s="54"/>
      <c r="BAV15" s="54"/>
      <c r="BBF15" s="54"/>
      <c r="BBP15" s="54"/>
      <c r="BBZ15" s="54"/>
      <c r="BCJ15" s="54"/>
      <c r="BCT15" s="54"/>
      <c r="BDD15" s="54"/>
      <c r="BDN15" s="54"/>
      <c r="BDX15" s="54"/>
      <c r="BEH15" s="54"/>
      <c r="BER15" s="54"/>
      <c r="BFB15" s="54"/>
      <c r="BFL15" s="54"/>
      <c r="BFV15" s="54"/>
      <c r="BGF15" s="54"/>
      <c r="BGP15" s="54"/>
      <c r="BGZ15" s="54"/>
      <c r="BHJ15" s="54"/>
      <c r="BHT15" s="54"/>
      <c r="BID15" s="54"/>
      <c r="BIN15" s="54"/>
      <c r="BIX15" s="54"/>
      <c r="BJH15" s="54"/>
      <c r="BJR15" s="54"/>
      <c r="BKB15" s="54"/>
      <c r="BKL15" s="54"/>
      <c r="BKV15" s="54"/>
      <c r="BLF15" s="54"/>
      <c r="BLP15" s="54"/>
      <c r="BLZ15" s="54"/>
      <c r="BMJ15" s="54"/>
      <c r="BMT15" s="54"/>
      <c r="BND15" s="54"/>
      <c r="BNN15" s="54"/>
      <c r="BNX15" s="54"/>
      <c r="BOH15" s="54"/>
      <c r="BOR15" s="54"/>
      <c r="BPB15" s="54"/>
      <c r="BPL15" s="54"/>
      <c r="BPV15" s="54"/>
      <c r="BQF15" s="54"/>
      <c r="BQP15" s="54"/>
      <c r="BQZ15" s="54"/>
      <c r="BRJ15" s="54"/>
      <c r="BRT15" s="54"/>
      <c r="BSD15" s="54"/>
      <c r="BSN15" s="54"/>
      <c r="BSX15" s="54"/>
      <c r="BTH15" s="54"/>
      <c r="BTR15" s="54"/>
      <c r="BUB15" s="54"/>
      <c r="BUL15" s="54"/>
      <c r="BUV15" s="54"/>
      <c r="BVF15" s="54"/>
      <c r="BVP15" s="54"/>
      <c r="BVZ15" s="54"/>
      <c r="BWJ15" s="54"/>
      <c r="BWT15" s="54"/>
      <c r="BXD15" s="54"/>
      <c r="BXN15" s="54"/>
      <c r="BXX15" s="54"/>
      <c r="BYH15" s="54"/>
      <c r="BYR15" s="54"/>
      <c r="BZB15" s="54"/>
      <c r="BZL15" s="54"/>
      <c r="BZV15" s="54"/>
      <c r="CAF15" s="54"/>
      <c r="CAP15" s="54"/>
      <c r="CAZ15" s="54"/>
      <c r="CBJ15" s="54"/>
      <c r="CBT15" s="54"/>
      <c r="CCD15" s="54"/>
      <c r="CCN15" s="54"/>
      <c r="CCX15" s="54"/>
      <c r="CDH15" s="54"/>
      <c r="CDR15" s="54"/>
      <c r="CEB15" s="54"/>
      <c r="CEL15" s="54"/>
      <c r="CEV15" s="54"/>
      <c r="CFF15" s="54"/>
      <c r="CFP15" s="54"/>
      <c r="CFZ15" s="54"/>
      <c r="CGJ15" s="54"/>
      <c r="CGT15" s="54"/>
      <c r="CHD15" s="54"/>
      <c r="CHN15" s="54"/>
      <c r="CHX15" s="54"/>
      <c r="CIH15" s="54"/>
      <c r="CIR15" s="54"/>
      <c r="CJB15" s="54"/>
      <c r="CJL15" s="54"/>
      <c r="CJV15" s="54"/>
      <c r="CKF15" s="54"/>
      <c r="CKP15" s="54"/>
      <c r="CKZ15" s="54"/>
      <c r="CLJ15" s="54"/>
      <c r="CLT15" s="54"/>
      <c r="CMD15" s="54"/>
      <c r="CMN15" s="54"/>
      <c r="CMX15" s="54"/>
      <c r="CNH15" s="54"/>
      <c r="CNR15" s="54"/>
      <c r="COB15" s="54"/>
      <c r="COL15" s="54"/>
      <c r="COV15" s="54"/>
      <c r="CPF15" s="54"/>
      <c r="CPP15" s="54"/>
      <c r="CPZ15" s="54"/>
      <c r="CQJ15" s="54"/>
      <c r="CQT15" s="54"/>
      <c r="CRD15" s="54"/>
      <c r="CRN15" s="54"/>
      <c r="CRX15" s="54"/>
      <c r="CSH15" s="54"/>
      <c r="CSR15" s="54"/>
      <c r="CTB15" s="54"/>
      <c r="CTL15" s="54"/>
      <c r="CTV15" s="54"/>
    </row>
    <row r="16" s="39" customFormat="1" customHeight="1" spans="1:1020 1030:2040 2050:2570">
      <c r="A16" s="48">
        <v>46148</v>
      </c>
      <c r="B16" s="9" t="s">
        <v>32</v>
      </c>
      <c r="C16" s="10" t="s">
        <v>33</v>
      </c>
      <c r="D16" s="49">
        <v>652352028</v>
      </c>
      <c r="E16" s="38" t="s">
        <v>51</v>
      </c>
      <c r="F16" s="50" t="str">
        <f>VLOOKUP(E16,基础数据!E:F,2,0)</f>
        <v>A03HW67.1-采样集成线束</v>
      </c>
      <c r="G16" s="49">
        <v>400</v>
      </c>
      <c r="H16" s="51" t="str">
        <f>VLOOKUP(E16,基础数据!E:H,4,0)</f>
        <v>料盒</v>
      </c>
      <c r="I16" s="51">
        <f>VLOOKUP(E16,基础数据!E:G,3,0)</f>
        <v>40</v>
      </c>
      <c r="J16" s="49" t="s">
        <v>35</v>
      </c>
      <c r="K16" s="52">
        <f t="shared" si="0"/>
        <v>10</v>
      </c>
      <c r="T16" s="54"/>
      <c r="AD16" s="54"/>
      <c r="AN16" s="54"/>
      <c r="AX16" s="54"/>
      <c r="BH16" s="54"/>
      <c r="BR16" s="54"/>
      <c r="CB16" s="54"/>
      <c r="CL16" s="54"/>
      <c r="CV16" s="54"/>
      <c r="DF16" s="54"/>
      <c r="DP16" s="54"/>
      <c r="DZ16" s="54"/>
      <c r="EJ16" s="54"/>
      <c r="ET16" s="54"/>
      <c r="FD16" s="54"/>
      <c r="FN16" s="54"/>
      <c r="FX16" s="54"/>
      <c r="GH16" s="54"/>
      <c r="GR16" s="54"/>
      <c r="HB16" s="54"/>
      <c r="HL16" s="54"/>
      <c r="HV16" s="54"/>
      <c r="IF16" s="54"/>
      <c r="IP16" s="54"/>
      <c r="IZ16" s="54"/>
      <c r="JJ16" s="54"/>
      <c r="JT16" s="54"/>
      <c r="KD16" s="54"/>
      <c r="KN16" s="54"/>
      <c r="KX16" s="54"/>
      <c r="LH16" s="54"/>
      <c r="LR16" s="54"/>
      <c r="MB16" s="54"/>
      <c r="ML16" s="54"/>
      <c r="MV16" s="54"/>
      <c r="NF16" s="54"/>
      <c r="NP16" s="54"/>
      <c r="NZ16" s="54"/>
      <c r="OJ16" s="54"/>
      <c r="OT16" s="54"/>
      <c r="PD16" s="54"/>
      <c r="PN16" s="54"/>
      <c r="PX16" s="54"/>
      <c r="QH16" s="54"/>
      <c r="QR16" s="54"/>
      <c r="RB16" s="54"/>
      <c r="RL16" s="54"/>
      <c r="RV16" s="54"/>
      <c r="SF16" s="54"/>
      <c r="SP16" s="54"/>
      <c r="SZ16" s="54"/>
      <c r="TJ16" s="54"/>
      <c r="TT16" s="54"/>
      <c r="UD16" s="54"/>
      <c r="UN16" s="54"/>
      <c r="UX16" s="54"/>
      <c r="VH16" s="54"/>
      <c r="VR16" s="54"/>
      <c r="WB16" s="54"/>
      <c r="WL16" s="54"/>
      <c r="WV16" s="54"/>
      <c r="XF16" s="54"/>
      <c r="XP16" s="54"/>
      <c r="XZ16" s="54"/>
      <c r="YJ16" s="54"/>
      <c r="YT16" s="54"/>
      <c r="ZD16" s="54"/>
      <c r="ZN16" s="54"/>
      <c r="ZX16" s="54"/>
      <c r="AAH16" s="54"/>
      <c r="AAR16" s="54"/>
      <c r="ABB16" s="54"/>
      <c r="ABL16" s="54"/>
      <c r="ABV16" s="54"/>
      <c r="ACF16" s="54"/>
      <c r="ACP16" s="54"/>
      <c r="ACZ16" s="54"/>
      <c r="ADJ16" s="54"/>
      <c r="ADT16" s="54"/>
      <c r="AED16" s="54"/>
      <c r="AEN16" s="54"/>
      <c r="AEX16" s="54"/>
      <c r="AFH16" s="54"/>
      <c r="AFR16" s="54"/>
      <c r="AGB16" s="54"/>
      <c r="AGL16" s="54"/>
      <c r="AGV16" s="54"/>
      <c r="AHF16" s="54"/>
      <c r="AHP16" s="54"/>
      <c r="AHZ16" s="54"/>
      <c r="AIJ16" s="54"/>
      <c r="AIT16" s="54"/>
      <c r="AJD16" s="54"/>
      <c r="AJN16" s="54"/>
      <c r="AJX16" s="54"/>
      <c r="AKH16" s="54"/>
      <c r="AKR16" s="54"/>
      <c r="ALB16" s="54"/>
      <c r="ALL16" s="54"/>
      <c r="ALV16" s="54"/>
      <c r="AMF16" s="54"/>
      <c r="AMP16" s="54"/>
      <c r="AMZ16" s="54"/>
      <c r="ANJ16" s="54"/>
      <c r="ANT16" s="54"/>
      <c r="AOD16" s="54"/>
      <c r="AON16" s="54"/>
      <c r="AOX16" s="54"/>
      <c r="APH16" s="54"/>
      <c r="APR16" s="54"/>
      <c r="AQB16" s="54"/>
      <c r="AQL16" s="54"/>
      <c r="AQV16" s="54"/>
      <c r="ARF16" s="54"/>
      <c r="ARP16" s="54"/>
      <c r="ARZ16" s="54"/>
      <c r="ASJ16" s="54"/>
      <c r="AST16" s="54"/>
      <c r="ATD16" s="54"/>
      <c r="ATN16" s="54"/>
      <c r="ATX16" s="54"/>
      <c r="AUH16" s="54"/>
      <c r="AUR16" s="54"/>
      <c r="AVB16" s="54"/>
      <c r="AVL16" s="54"/>
      <c r="AVV16" s="54"/>
      <c r="AWF16" s="54"/>
      <c r="AWP16" s="54"/>
      <c r="AWZ16" s="54"/>
      <c r="AXJ16" s="54"/>
      <c r="AXT16" s="54"/>
      <c r="AYD16" s="54"/>
      <c r="AYN16" s="54"/>
      <c r="AYX16" s="54"/>
      <c r="AZH16" s="54"/>
      <c r="AZR16" s="54"/>
      <c r="BAB16" s="54"/>
      <c r="BAL16" s="54"/>
      <c r="BAV16" s="54"/>
      <c r="BBF16" s="54"/>
      <c r="BBP16" s="54"/>
      <c r="BBZ16" s="54"/>
      <c r="BCJ16" s="54"/>
      <c r="BCT16" s="54"/>
      <c r="BDD16" s="54"/>
      <c r="BDN16" s="54"/>
      <c r="BDX16" s="54"/>
      <c r="BEH16" s="54"/>
      <c r="BER16" s="54"/>
      <c r="BFB16" s="54"/>
      <c r="BFL16" s="54"/>
      <c r="BFV16" s="54"/>
      <c r="BGF16" s="54"/>
      <c r="BGP16" s="54"/>
      <c r="BGZ16" s="54"/>
      <c r="BHJ16" s="54"/>
      <c r="BHT16" s="54"/>
      <c r="BID16" s="54"/>
      <c r="BIN16" s="54"/>
      <c r="BIX16" s="54"/>
      <c r="BJH16" s="54"/>
      <c r="BJR16" s="54"/>
      <c r="BKB16" s="54"/>
      <c r="BKL16" s="54"/>
      <c r="BKV16" s="54"/>
      <c r="BLF16" s="54"/>
      <c r="BLP16" s="54"/>
      <c r="BLZ16" s="54"/>
      <c r="BMJ16" s="54"/>
      <c r="BMT16" s="54"/>
      <c r="BND16" s="54"/>
      <c r="BNN16" s="54"/>
      <c r="BNX16" s="54"/>
      <c r="BOH16" s="54"/>
      <c r="BOR16" s="54"/>
      <c r="BPB16" s="54"/>
      <c r="BPL16" s="54"/>
      <c r="BPV16" s="54"/>
      <c r="BQF16" s="54"/>
      <c r="BQP16" s="54"/>
      <c r="BQZ16" s="54"/>
      <c r="BRJ16" s="54"/>
      <c r="BRT16" s="54"/>
      <c r="BSD16" s="54"/>
      <c r="BSN16" s="54"/>
      <c r="BSX16" s="54"/>
      <c r="BTH16" s="54"/>
      <c r="BTR16" s="54"/>
      <c r="BUB16" s="54"/>
      <c r="BUL16" s="54"/>
      <c r="BUV16" s="54"/>
      <c r="BVF16" s="54"/>
      <c r="BVP16" s="54"/>
      <c r="BVZ16" s="54"/>
      <c r="BWJ16" s="54"/>
      <c r="BWT16" s="54"/>
      <c r="BXD16" s="54"/>
      <c r="BXN16" s="54"/>
      <c r="BXX16" s="54"/>
      <c r="BYH16" s="54"/>
      <c r="BYR16" s="54"/>
      <c r="BZB16" s="54"/>
      <c r="BZL16" s="54"/>
      <c r="BZV16" s="54"/>
      <c r="CAF16" s="54"/>
      <c r="CAP16" s="54"/>
      <c r="CAZ16" s="54"/>
      <c r="CBJ16" s="54"/>
      <c r="CBT16" s="54"/>
      <c r="CCD16" s="54"/>
      <c r="CCN16" s="54"/>
      <c r="CCX16" s="54"/>
      <c r="CDH16" s="54"/>
      <c r="CDR16" s="54"/>
      <c r="CEB16" s="54"/>
      <c r="CEL16" s="54"/>
      <c r="CEV16" s="54"/>
      <c r="CFF16" s="54"/>
      <c r="CFP16" s="54"/>
      <c r="CFZ16" s="54"/>
      <c r="CGJ16" s="54"/>
      <c r="CGT16" s="54"/>
      <c r="CHD16" s="54"/>
      <c r="CHN16" s="54"/>
      <c r="CHX16" s="54"/>
      <c r="CIH16" s="54"/>
      <c r="CIR16" s="54"/>
      <c r="CJB16" s="54"/>
      <c r="CJL16" s="54"/>
      <c r="CJV16" s="54"/>
      <c r="CKF16" s="54"/>
      <c r="CKP16" s="54"/>
      <c r="CKZ16" s="54"/>
      <c r="CLJ16" s="54"/>
      <c r="CLT16" s="54"/>
      <c r="CMD16" s="54"/>
      <c r="CMN16" s="54"/>
      <c r="CMX16" s="54"/>
      <c r="CNH16" s="54"/>
      <c r="CNR16" s="54"/>
      <c r="COB16" s="54"/>
      <c r="COL16" s="54"/>
      <c r="COV16" s="54"/>
      <c r="CPF16" s="54"/>
      <c r="CPP16" s="54"/>
      <c r="CPZ16" s="54"/>
      <c r="CQJ16" s="54"/>
      <c r="CQT16" s="54"/>
      <c r="CRD16" s="54"/>
      <c r="CRN16" s="54"/>
      <c r="CRX16" s="54"/>
      <c r="CSH16" s="54"/>
      <c r="CSR16" s="54"/>
      <c r="CTB16" s="54"/>
      <c r="CTL16" s="54"/>
      <c r="CTV16" s="54"/>
    </row>
    <row r="17" s="39" customFormat="1" customHeight="1" spans="1:1020 1030:2040 2050:2570">
      <c r="A17" s="48">
        <v>46149</v>
      </c>
      <c r="B17" s="9" t="s">
        <v>32</v>
      </c>
      <c r="C17" s="10" t="s">
        <v>33</v>
      </c>
      <c r="D17" s="49">
        <v>652355241</v>
      </c>
      <c r="E17" s="11" t="s">
        <v>34</v>
      </c>
      <c r="F17" s="50" t="str">
        <f>VLOOKUP(E17,基础数据!E:F,2,0)</f>
        <v>LX00148-CCS总成</v>
      </c>
      <c r="G17" s="49">
        <v>2040</v>
      </c>
      <c r="H17" s="51" t="str">
        <f>VLOOKUP(E17,基础数据!E:H,4,0)</f>
        <v>纸箱</v>
      </c>
      <c r="I17" s="51">
        <f>VLOOKUP(E17,基础数据!E:G,3,0)</f>
        <v>12</v>
      </c>
      <c r="J17" s="49" t="s">
        <v>35</v>
      </c>
      <c r="K17" s="52">
        <f t="shared" si="0"/>
        <v>170</v>
      </c>
      <c r="T17" s="54"/>
      <c r="AD17" s="54"/>
      <c r="AN17" s="54"/>
      <c r="AX17" s="54"/>
      <c r="BH17" s="54"/>
      <c r="BR17" s="54"/>
      <c r="CB17" s="54"/>
      <c r="CL17" s="54"/>
      <c r="CV17" s="54"/>
      <c r="DF17" s="54"/>
      <c r="DP17" s="54"/>
      <c r="DZ17" s="54"/>
      <c r="EJ17" s="54"/>
      <c r="ET17" s="54"/>
      <c r="FD17" s="54"/>
      <c r="FN17" s="54"/>
      <c r="FX17" s="54"/>
      <c r="GH17" s="54"/>
      <c r="GR17" s="54"/>
      <c r="HB17" s="54"/>
      <c r="HL17" s="54"/>
      <c r="HV17" s="54"/>
      <c r="IF17" s="54"/>
      <c r="IP17" s="54"/>
      <c r="IZ17" s="54"/>
      <c r="JJ17" s="54"/>
      <c r="JT17" s="54"/>
      <c r="KD17" s="54"/>
      <c r="KN17" s="54"/>
      <c r="KX17" s="54"/>
      <c r="LH17" s="54"/>
      <c r="LR17" s="54"/>
      <c r="MB17" s="54"/>
      <c r="ML17" s="54"/>
      <c r="MV17" s="54"/>
      <c r="NF17" s="54"/>
      <c r="NP17" s="54"/>
      <c r="NZ17" s="54"/>
      <c r="OJ17" s="54"/>
      <c r="OT17" s="54"/>
      <c r="PD17" s="54"/>
      <c r="PN17" s="54"/>
      <c r="PX17" s="54"/>
      <c r="QH17" s="54"/>
      <c r="QR17" s="54"/>
      <c r="RB17" s="54"/>
      <c r="RL17" s="54"/>
      <c r="RV17" s="54"/>
      <c r="SF17" s="54"/>
      <c r="SP17" s="54"/>
      <c r="SZ17" s="54"/>
      <c r="TJ17" s="54"/>
      <c r="TT17" s="54"/>
      <c r="UD17" s="54"/>
      <c r="UN17" s="54"/>
      <c r="UX17" s="54"/>
      <c r="VH17" s="54"/>
      <c r="VR17" s="54"/>
      <c r="WB17" s="54"/>
      <c r="WL17" s="54"/>
      <c r="WV17" s="54"/>
      <c r="XF17" s="54"/>
      <c r="XP17" s="54"/>
      <c r="XZ17" s="54"/>
      <c r="YJ17" s="54"/>
      <c r="YT17" s="54"/>
      <c r="ZD17" s="54"/>
      <c r="ZN17" s="54"/>
      <c r="ZX17" s="54"/>
      <c r="AAH17" s="54"/>
      <c r="AAR17" s="54"/>
      <c r="ABB17" s="54"/>
      <c r="ABL17" s="54"/>
      <c r="ABV17" s="54"/>
      <c r="ACF17" s="54"/>
      <c r="ACP17" s="54"/>
      <c r="ACZ17" s="54"/>
      <c r="ADJ17" s="54"/>
      <c r="ADT17" s="54"/>
      <c r="AED17" s="54"/>
      <c r="AEN17" s="54"/>
      <c r="AEX17" s="54"/>
      <c r="AFH17" s="54"/>
      <c r="AFR17" s="54"/>
      <c r="AGB17" s="54"/>
      <c r="AGL17" s="54"/>
      <c r="AGV17" s="54"/>
      <c r="AHF17" s="54"/>
      <c r="AHP17" s="54"/>
      <c r="AHZ17" s="54"/>
      <c r="AIJ17" s="54"/>
      <c r="AIT17" s="54"/>
      <c r="AJD17" s="54"/>
      <c r="AJN17" s="54"/>
      <c r="AJX17" s="54"/>
      <c r="AKH17" s="54"/>
      <c r="AKR17" s="54"/>
      <c r="ALB17" s="54"/>
      <c r="ALL17" s="54"/>
      <c r="ALV17" s="54"/>
      <c r="AMF17" s="54"/>
      <c r="AMP17" s="54"/>
      <c r="AMZ17" s="54"/>
      <c r="ANJ17" s="54"/>
      <c r="ANT17" s="54"/>
      <c r="AOD17" s="54"/>
      <c r="AON17" s="54"/>
      <c r="AOX17" s="54"/>
      <c r="APH17" s="54"/>
      <c r="APR17" s="54"/>
      <c r="AQB17" s="54"/>
      <c r="AQL17" s="54"/>
      <c r="AQV17" s="54"/>
      <c r="ARF17" s="54"/>
      <c r="ARP17" s="54"/>
      <c r="ARZ17" s="54"/>
      <c r="ASJ17" s="54"/>
      <c r="AST17" s="54"/>
      <c r="ATD17" s="54"/>
      <c r="ATN17" s="54"/>
      <c r="ATX17" s="54"/>
      <c r="AUH17" s="54"/>
      <c r="AUR17" s="54"/>
      <c r="AVB17" s="54"/>
      <c r="AVL17" s="54"/>
      <c r="AVV17" s="54"/>
      <c r="AWF17" s="54"/>
      <c r="AWP17" s="54"/>
      <c r="AWZ17" s="54"/>
      <c r="AXJ17" s="54"/>
      <c r="AXT17" s="54"/>
      <c r="AYD17" s="54"/>
      <c r="AYN17" s="54"/>
      <c r="AYX17" s="54"/>
      <c r="AZH17" s="54"/>
      <c r="AZR17" s="54"/>
      <c r="BAB17" s="54"/>
      <c r="BAL17" s="54"/>
      <c r="BAV17" s="54"/>
      <c r="BBF17" s="54"/>
      <c r="BBP17" s="54"/>
      <c r="BBZ17" s="54"/>
      <c r="BCJ17" s="54"/>
      <c r="BCT17" s="54"/>
      <c r="BDD17" s="54"/>
      <c r="BDN17" s="54"/>
      <c r="BDX17" s="54"/>
      <c r="BEH17" s="54"/>
      <c r="BER17" s="54"/>
      <c r="BFB17" s="54"/>
      <c r="BFL17" s="54"/>
      <c r="BFV17" s="54"/>
      <c r="BGF17" s="54"/>
      <c r="BGP17" s="54"/>
      <c r="BGZ17" s="54"/>
      <c r="BHJ17" s="54"/>
      <c r="BHT17" s="54"/>
      <c r="BID17" s="54"/>
      <c r="BIN17" s="54"/>
      <c r="BIX17" s="54"/>
      <c r="BJH17" s="54"/>
      <c r="BJR17" s="54"/>
      <c r="BKB17" s="54"/>
      <c r="BKL17" s="54"/>
      <c r="BKV17" s="54"/>
      <c r="BLF17" s="54"/>
      <c r="BLP17" s="54"/>
      <c r="BLZ17" s="54"/>
      <c r="BMJ17" s="54"/>
      <c r="BMT17" s="54"/>
      <c r="BND17" s="54"/>
      <c r="BNN17" s="54"/>
      <c r="BNX17" s="54"/>
      <c r="BOH17" s="54"/>
      <c r="BOR17" s="54"/>
      <c r="BPB17" s="54"/>
      <c r="BPL17" s="54"/>
      <c r="BPV17" s="54"/>
      <c r="BQF17" s="54"/>
      <c r="BQP17" s="54"/>
      <c r="BQZ17" s="54"/>
      <c r="BRJ17" s="54"/>
      <c r="BRT17" s="54"/>
      <c r="BSD17" s="54"/>
      <c r="BSN17" s="54"/>
      <c r="BSX17" s="54"/>
      <c r="BTH17" s="54"/>
      <c r="BTR17" s="54"/>
      <c r="BUB17" s="54"/>
      <c r="BUL17" s="54"/>
      <c r="BUV17" s="54"/>
      <c r="BVF17" s="54"/>
      <c r="BVP17" s="54"/>
      <c r="BVZ17" s="54"/>
      <c r="BWJ17" s="54"/>
      <c r="BWT17" s="54"/>
      <c r="BXD17" s="54"/>
      <c r="BXN17" s="54"/>
      <c r="BXX17" s="54"/>
      <c r="BYH17" s="54"/>
      <c r="BYR17" s="54"/>
      <c r="BZB17" s="54"/>
      <c r="BZL17" s="54"/>
      <c r="BZV17" s="54"/>
      <c r="CAF17" s="54"/>
      <c r="CAP17" s="54"/>
      <c r="CAZ17" s="54"/>
      <c r="CBJ17" s="54"/>
      <c r="CBT17" s="54"/>
      <c r="CCD17" s="54"/>
      <c r="CCN17" s="54"/>
      <c r="CCX17" s="54"/>
      <c r="CDH17" s="54"/>
      <c r="CDR17" s="54"/>
      <c r="CEB17" s="54"/>
      <c r="CEL17" s="54"/>
      <c r="CEV17" s="54"/>
      <c r="CFF17" s="54"/>
      <c r="CFP17" s="54"/>
      <c r="CFZ17" s="54"/>
      <c r="CGJ17" s="54"/>
      <c r="CGT17" s="54"/>
      <c r="CHD17" s="54"/>
      <c r="CHN17" s="54"/>
      <c r="CHX17" s="54"/>
      <c r="CIH17" s="54"/>
      <c r="CIR17" s="54"/>
      <c r="CJB17" s="54"/>
      <c r="CJL17" s="54"/>
      <c r="CJV17" s="54"/>
      <c r="CKF17" s="54"/>
      <c r="CKP17" s="54"/>
      <c r="CKZ17" s="54"/>
      <c r="CLJ17" s="54"/>
      <c r="CLT17" s="54"/>
      <c r="CMD17" s="54"/>
      <c r="CMN17" s="54"/>
      <c r="CMX17" s="54"/>
      <c r="CNH17" s="54"/>
      <c r="CNR17" s="54"/>
      <c r="COB17" s="54"/>
      <c r="COL17" s="54"/>
      <c r="COV17" s="54"/>
      <c r="CPF17" s="54"/>
      <c r="CPP17" s="54"/>
      <c r="CPZ17" s="54"/>
      <c r="CQJ17" s="54"/>
      <c r="CQT17" s="54"/>
      <c r="CRD17" s="54"/>
      <c r="CRN17" s="54"/>
      <c r="CRX17" s="54"/>
      <c r="CSH17" s="54"/>
      <c r="CSR17" s="54"/>
      <c r="CTB17" s="54"/>
      <c r="CTL17" s="54"/>
      <c r="CTV17" s="54"/>
    </row>
    <row r="18" s="39" customFormat="1" customHeight="1" spans="1:1020 1030:2040 2050:2570">
      <c r="A18" s="48">
        <v>46150</v>
      </c>
      <c r="B18" s="9" t="s">
        <v>32</v>
      </c>
      <c r="C18" s="10" t="s">
        <v>33</v>
      </c>
      <c r="D18" s="49">
        <v>652363134</v>
      </c>
      <c r="E18" s="11" t="s">
        <v>43</v>
      </c>
      <c r="F18" s="50" t="str">
        <f>VLOOKUP(E18,基础数据!E:F,2,0)</f>
        <v>A12EV10-BDU-采样集成线束</v>
      </c>
      <c r="G18" s="49">
        <v>1500</v>
      </c>
      <c r="H18" s="51" t="str">
        <f>VLOOKUP(E18,基础数据!E:H,4,0)</f>
        <v>料盒</v>
      </c>
      <c r="I18" s="51">
        <f>VLOOKUP(E18,基础数据!E:G,3,0)</f>
        <v>50</v>
      </c>
      <c r="J18" s="49" t="s">
        <v>35</v>
      </c>
      <c r="K18" s="52">
        <f t="shared" si="0"/>
        <v>30</v>
      </c>
      <c r="T18" s="54"/>
      <c r="AD18" s="54"/>
      <c r="AN18" s="54"/>
      <c r="AX18" s="54"/>
      <c r="BH18" s="54"/>
      <c r="BR18" s="54"/>
      <c r="CB18" s="54"/>
      <c r="CL18" s="54"/>
      <c r="CV18" s="54"/>
      <c r="DF18" s="54"/>
      <c r="DP18" s="54"/>
      <c r="DZ18" s="54"/>
      <c r="EJ18" s="54"/>
      <c r="ET18" s="54"/>
      <c r="FD18" s="54"/>
      <c r="FN18" s="54"/>
      <c r="FX18" s="54"/>
      <c r="GH18" s="54"/>
      <c r="GR18" s="54"/>
      <c r="HB18" s="54"/>
      <c r="HL18" s="54"/>
      <c r="HV18" s="54"/>
      <c r="IF18" s="54"/>
      <c r="IP18" s="54"/>
      <c r="IZ18" s="54"/>
      <c r="JJ18" s="54"/>
      <c r="JT18" s="54"/>
      <c r="KD18" s="54"/>
      <c r="KN18" s="54"/>
      <c r="KX18" s="54"/>
      <c r="LH18" s="54"/>
      <c r="LR18" s="54"/>
      <c r="MB18" s="54"/>
      <c r="ML18" s="54"/>
      <c r="MV18" s="54"/>
      <c r="NF18" s="54"/>
      <c r="NP18" s="54"/>
      <c r="NZ18" s="54"/>
      <c r="OJ18" s="54"/>
      <c r="OT18" s="54"/>
      <c r="PD18" s="54"/>
      <c r="PN18" s="54"/>
      <c r="PX18" s="54"/>
      <c r="QH18" s="54"/>
      <c r="QR18" s="54"/>
      <c r="RB18" s="54"/>
      <c r="RL18" s="54"/>
      <c r="RV18" s="54"/>
      <c r="SF18" s="54"/>
      <c r="SP18" s="54"/>
      <c r="SZ18" s="54"/>
      <c r="TJ18" s="54"/>
      <c r="TT18" s="54"/>
      <c r="UD18" s="54"/>
      <c r="UN18" s="54"/>
      <c r="UX18" s="54"/>
      <c r="VH18" s="54"/>
      <c r="VR18" s="54"/>
      <c r="WB18" s="54"/>
      <c r="WL18" s="54"/>
      <c r="WV18" s="54"/>
      <c r="XF18" s="54"/>
      <c r="XP18" s="54"/>
      <c r="XZ18" s="54"/>
      <c r="YJ18" s="54"/>
      <c r="YT18" s="54"/>
      <c r="ZD18" s="54"/>
      <c r="ZN18" s="54"/>
      <c r="ZX18" s="54"/>
      <c r="AAH18" s="54"/>
      <c r="AAR18" s="54"/>
      <c r="ABB18" s="54"/>
      <c r="ABL18" s="54"/>
      <c r="ABV18" s="54"/>
      <c r="ACF18" s="54"/>
      <c r="ACP18" s="54"/>
      <c r="ACZ18" s="54"/>
      <c r="ADJ18" s="54"/>
      <c r="ADT18" s="54"/>
      <c r="AED18" s="54"/>
      <c r="AEN18" s="54"/>
      <c r="AEX18" s="54"/>
      <c r="AFH18" s="54"/>
      <c r="AFR18" s="54"/>
      <c r="AGB18" s="54"/>
      <c r="AGL18" s="54"/>
      <c r="AGV18" s="54"/>
      <c r="AHF18" s="54"/>
      <c r="AHP18" s="54"/>
      <c r="AHZ18" s="54"/>
      <c r="AIJ18" s="54"/>
      <c r="AIT18" s="54"/>
      <c r="AJD18" s="54"/>
      <c r="AJN18" s="54"/>
      <c r="AJX18" s="54"/>
      <c r="AKH18" s="54"/>
      <c r="AKR18" s="54"/>
      <c r="ALB18" s="54"/>
      <c r="ALL18" s="54"/>
      <c r="ALV18" s="54"/>
      <c r="AMF18" s="54"/>
      <c r="AMP18" s="54"/>
      <c r="AMZ18" s="54"/>
      <c r="ANJ18" s="54"/>
      <c r="ANT18" s="54"/>
      <c r="AOD18" s="54"/>
      <c r="AON18" s="54"/>
      <c r="AOX18" s="54"/>
      <c r="APH18" s="54"/>
      <c r="APR18" s="54"/>
      <c r="AQB18" s="54"/>
      <c r="AQL18" s="54"/>
      <c r="AQV18" s="54"/>
      <c r="ARF18" s="54"/>
      <c r="ARP18" s="54"/>
      <c r="ARZ18" s="54"/>
      <c r="ASJ18" s="54"/>
      <c r="AST18" s="54"/>
      <c r="ATD18" s="54"/>
      <c r="ATN18" s="54"/>
      <c r="ATX18" s="54"/>
      <c r="AUH18" s="54"/>
      <c r="AUR18" s="54"/>
      <c r="AVB18" s="54"/>
      <c r="AVL18" s="54"/>
      <c r="AVV18" s="54"/>
      <c r="AWF18" s="54"/>
      <c r="AWP18" s="54"/>
      <c r="AWZ18" s="54"/>
      <c r="AXJ18" s="54"/>
      <c r="AXT18" s="54"/>
      <c r="AYD18" s="54"/>
      <c r="AYN18" s="54"/>
      <c r="AYX18" s="54"/>
      <c r="AZH18" s="54"/>
      <c r="AZR18" s="54"/>
      <c r="BAB18" s="54"/>
      <c r="BAL18" s="54"/>
      <c r="BAV18" s="54"/>
      <c r="BBF18" s="54"/>
      <c r="BBP18" s="54"/>
      <c r="BBZ18" s="54"/>
      <c r="BCJ18" s="54"/>
      <c r="BCT18" s="54"/>
      <c r="BDD18" s="54"/>
      <c r="BDN18" s="54"/>
      <c r="BDX18" s="54"/>
      <c r="BEH18" s="54"/>
      <c r="BER18" s="54"/>
      <c r="BFB18" s="54"/>
      <c r="BFL18" s="54"/>
      <c r="BFV18" s="54"/>
      <c r="BGF18" s="54"/>
      <c r="BGP18" s="54"/>
      <c r="BGZ18" s="54"/>
      <c r="BHJ18" s="54"/>
      <c r="BHT18" s="54"/>
      <c r="BID18" s="54"/>
      <c r="BIN18" s="54"/>
      <c r="BIX18" s="54"/>
      <c r="BJH18" s="54"/>
      <c r="BJR18" s="54"/>
      <c r="BKB18" s="54"/>
      <c r="BKL18" s="54"/>
      <c r="BKV18" s="54"/>
      <c r="BLF18" s="54"/>
      <c r="BLP18" s="54"/>
      <c r="BLZ18" s="54"/>
      <c r="BMJ18" s="54"/>
      <c r="BMT18" s="54"/>
      <c r="BND18" s="54"/>
      <c r="BNN18" s="54"/>
      <c r="BNX18" s="54"/>
      <c r="BOH18" s="54"/>
      <c r="BOR18" s="54"/>
      <c r="BPB18" s="54"/>
      <c r="BPL18" s="54"/>
      <c r="BPV18" s="54"/>
      <c r="BQF18" s="54"/>
      <c r="BQP18" s="54"/>
      <c r="BQZ18" s="54"/>
      <c r="BRJ18" s="54"/>
      <c r="BRT18" s="54"/>
      <c r="BSD18" s="54"/>
      <c r="BSN18" s="54"/>
      <c r="BSX18" s="54"/>
      <c r="BTH18" s="54"/>
      <c r="BTR18" s="54"/>
      <c r="BUB18" s="54"/>
      <c r="BUL18" s="54"/>
      <c r="BUV18" s="54"/>
      <c r="BVF18" s="54"/>
      <c r="BVP18" s="54"/>
      <c r="BVZ18" s="54"/>
      <c r="BWJ18" s="54"/>
      <c r="BWT18" s="54"/>
      <c r="BXD18" s="54"/>
      <c r="BXN18" s="54"/>
      <c r="BXX18" s="54"/>
      <c r="BYH18" s="54"/>
      <c r="BYR18" s="54"/>
      <c r="BZB18" s="54"/>
      <c r="BZL18" s="54"/>
      <c r="BZV18" s="54"/>
      <c r="CAF18" s="54"/>
      <c r="CAP18" s="54"/>
      <c r="CAZ18" s="54"/>
      <c r="CBJ18" s="54"/>
      <c r="CBT18" s="54"/>
      <c r="CCD18" s="54"/>
      <c r="CCN18" s="54"/>
      <c r="CCX18" s="54"/>
      <c r="CDH18" s="54"/>
      <c r="CDR18" s="54"/>
      <c r="CEB18" s="54"/>
      <c r="CEL18" s="54"/>
      <c r="CEV18" s="54"/>
      <c r="CFF18" s="54"/>
      <c r="CFP18" s="54"/>
      <c r="CFZ18" s="54"/>
      <c r="CGJ18" s="54"/>
      <c r="CGT18" s="54"/>
      <c r="CHD18" s="54"/>
      <c r="CHN18" s="54"/>
      <c r="CHX18" s="54"/>
      <c r="CIH18" s="54"/>
      <c r="CIR18" s="54"/>
      <c r="CJB18" s="54"/>
      <c r="CJL18" s="54"/>
      <c r="CJV18" s="54"/>
      <c r="CKF18" s="54"/>
      <c r="CKP18" s="54"/>
      <c r="CKZ18" s="54"/>
      <c r="CLJ18" s="54"/>
      <c r="CLT18" s="54"/>
      <c r="CMD18" s="54"/>
      <c r="CMN18" s="54"/>
      <c r="CMX18" s="54"/>
      <c r="CNH18" s="54"/>
      <c r="CNR18" s="54"/>
      <c r="COB18" s="54"/>
      <c r="COL18" s="54"/>
      <c r="COV18" s="54"/>
      <c r="CPF18" s="54"/>
      <c r="CPP18" s="54"/>
      <c r="CPZ18" s="54"/>
      <c r="CQJ18" s="54"/>
      <c r="CQT18" s="54"/>
      <c r="CRD18" s="54"/>
      <c r="CRN18" s="54"/>
      <c r="CRX18" s="54"/>
      <c r="CSH18" s="54"/>
      <c r="CSR18" s="54"/>
      <c r="CTB18" s="54"/>
      <c r="CTL18" s="54"/>
      <c r="CTV18" s="54"/>
    </row>
    <row r="19" s="39" customFormat="1" customHeight="1" spans="1:1020 1030:2040 2050:2570">
      <c r="A19" s="48">
        <v>46150</v>
      </c>
      <c r="B19" s="9" t="s">
        <v>32</v>
      </c>
      <c r="C19" s="10" t="s">
        <v>33</v>
      </c>
      <c r="D19" s="49">
        <v>652363134</v>
      </c>
      <c r="E19" s="11" t="s">
        <v>42</v>
      </c>
      <c r="F19" s="50" t="str">
        <f>VLOOKUP(E19,基础数据!E:F,2,0)</f>
        <v>A12EV10-通讯-水温-互锁集成线束-500</v>
      </c>
      <c r="G19" s="49">
        <v>1500</v>
      </c>
      <c r="H19" s="51" t="str">
        <f>VLOOKUP(E19,基础数据!E:H,4,0)</f>
        <v>料盒</v>
      </c>
      <c r="I19" s="51">
        <f>VLOOKUP(E19,基础数据!E:G,3,0)</f>
        <v>30</v>
      </c>
      <c r="J19" s="49" t="s">
        <v>35</v>
      </c>
      <c r="K19" s="52">
        <f t="shared" si="0"/>
        <v>50</v>
      </c>
      <c r="T19" s="54"/>
      <c r="AD19" s="54"/>
      <c r="AN19" s="54"/>
      <c r="AX19" s="54"/>
      <c r="BH19" s="54"/>
      <c r="BR19" s="54"/>
      <c r="CB19" s="54"/>
      <c r="CL19" s="54"/>
      <c r="CV19" s="54"/>
      <c r="DF19" s="54"/>
      <c r="DP19" s="54"/>
      <c r="DZ19" s="54"/>
      <c r="EJ19" s="54"/>
      <c r="ET19" s="54"/>
      <c r="FD19" s="54"/>
      <c r="FN19" s="54"/>
      <c r="FX19" s="54"/>
      <c r="GH19" s="54"/>
      <c r="GR19" s="54"/>
      <c r="HB19" s="54"/>
      <c r="HL19" s="54"/>
      <c r="HV19" s="54"/>
      <c r="IF19" s="54"/>
      <c r="IP19" s="54"/>
      <c r="IZ19" s="54"/>
      <c r="JJ19" s="54"/>
      <c r="JT19" s="54"/>
      <c r="KD19" s="54"/>
      <c r="KN19" s="54"/>
      <c r="KX19" s="54"/>
      <c r="LH19" s="54"/>
      <c r="LR19" s="54"/>
      <c r="MB19" s="54"/>
      <c r="ML19" s="54"/>
      <c r="MV19" s="54"/>
      <c r="NF19" s="54"/>
      <c r="NP19" s="54"/>
      <c r="NZ19" s="54"/>
      <c r="OJ19" s="54"/>
      <c r="OT19" s="54"/>
      <c r="PD19" s="54"/>
      <c r="PN19" s="54"/>
      <c r="PX19" s="54"/>
      <c r="QH19" s="54"/>
      <c r="QR19" s="54"/>
      <c r="RB19" s="54"/>
      <c r="RL19" s="54"/>
      <c r="RV19" s="54"/>
      <c r="SF19" s="54"/>
      <c r="SP19" s="54"/>
      <c r="SZ19" s="54"/>
      <c r="TJ19" s="54"/>
      <c r="TT19" s="54"/>
      <c r="UD19" s="54"/>
      <c r="UN19" s="54"/>
      <c r="UX19" s="54"/>
      <c r="VH19" s="54"/>
      <c r="VR19" s="54"/>
      <c r="WB19" s="54"/>
      <c r="WL19" s="54"/>
      <c r="WV19" s="54"/>
      <c r="XF19" s="54"/>
      <c r="XP19" s="54"/>
      <c r="XZ19" s="54"/>
      <c r="YJ19" s="54"/>
      <c r="YT19" s="54"/>
      <c r="ZD19" s="54"/>
      <c r="ZN19" s="54"/>
      <c r="ZX19" s="54"/>
      <c r="AAH19" s="54"/>
      <c r="AAR19" s="54"/>
      <c r="ABB19" s="54"/>
      <c r="ABL19" s="54"/>
      <c r="ABV19" s="54"/>
      <c r="ACF19" s="54"/>
      <c r="ACP19" s="54"/>
      <c r="ACZ19" s="54"/>
      <c r="ADJ19" s="54"/>
      <c r="ADT19" s="54"/>
      <c r="AED19" s="54"/>
      <c r="AEN19" s="54"/>
      <c r="AEX19" s="54"/>
      <c r="AFH19" s="54"/>
      <c r="AFR19" s="54"/>
      <c r="AGB19" s="54"/>
      <c r="AGL19" s="54"/>
      <c r="AGV19" s="54"/>
      <c r="AHF19" s="54"/>
      <c r="AHP19" s="54"/>
      <c r="AHZ19" s="54"/>
      <c r="AIJ19" s="54"/>
      <c r="AIT19" s="54"/>
      <c r="AJD19" s="54"/>
      <c r="AJN19" s="54"/>
      <c r="AJX19" s="54"/>
      <c r="AKH19" s="54"/>
      <c r="AKR19" s="54"/>
      <c r="ALB19" s="54"/>
      <c r="ALL19" s="54"/>
      <c r="ALV19" s="54"/>
      <c r="AMF19" s="54"/>
      <c r="AMP19" s="54"/>
      <c r="AMZ19" s="54"/>
      <c r="ANJ19" s="54"/>
      <c r="ANT19" s="54"/>
      <c r="AOD19" s="54"/>
      <c r="AON19" s="54"/>
      <c r="AOX19" s="54"/>
      <c r="APH19" s="54"/>
      <c r="APR19" s="54"/>
      <c r="AQB19" s="54"/>
      <c r="AQL19" s="54"/>
      <c r="AQV19" s="54"/>
      <c r="ARF19" s="54"/>
      <c r="ARP19" s="54"/>
      <c r="ARZ19" s="54"/>
      <c r="ASJ19" s="54"/>
      <c r="AST19" s="54"/>
      <c r="ATD19" s="54"/>
      <c r="ATN19" s="54"/>
      <c r="ATX19" s="54"/>
      <c r="AUH19" s="54"/>
      <c r="AUR19" s="54"/>
      <c r="AVB19" s="54"/>
      <c r="AVL19" s="54"/>
      <c r="AVV19" s="54"/>
      <c r="AWF19" s="54"/>
      <c r="AWP19" s="54"/>
      <c r="AWZ19" s="54"/>
      <c r="AXJ19" s="54"/>
      <c r="AXT19" s="54"/>
      <c r="AYD19" s="54"/>
      <c r="AYN19" s="54"/>
      <c r="AYX19" s="54"/>
      <c r="AZH19" s="54"/>
      <c r="AZR19" s="54"/>
      <c r="BAB19" s="54"/>
      <c r="BAL19" s="54"/>
      <c r="BAV19" s="54"/>
      <c r="BBF19" s="54"/>
      <c r="BBP19" s="54"/>
      <c r="BBZ19" s="54"/>
      <c r="BCJ19" s="54"/>
      <c r="BCT19" s="54"/>
      <c r="BDD19" s="54"/>
      <c r="BDN19" s="54"/>
      <c r="BDX19" s="54"/>
      <c r="BEH19" s="54"/>
      <c r="BER19" s="54"/>
      <c r="BFB19" s="54"/>
      <c r="BFL19" s="54"/>
      <c r="BFV19" s="54"/>
      <c r="BGF19" s="54"/>
      <c r="BGP19" s="54"/>
      <c r="BGZ19" s="54"/>
      <c r="BHJ19" s="54"/>
      <c r="BHT19" s="54"/>
      <c r="BID19" s="54"/>
      <c r="BIN19" s="54"/>
      <c r="BIX19" s="54"/>
      <c r="BJH19" s="54"/>
      <c r="BJR19" s="54"/>
      <c r="BKB19" s="54"/>
      <c r="BKL19" s="54"/>
      <c r="BKV19" s="54"/>
      <c r="BLF19" s="54"/>
      <c r="BLP19" s="54"/>
      <c r="BLZ19" s="54"/>
      <c r="BMJ19" s="54"/>
      <c r="BMT19" s="54"/>
      <c r="BND19" s="54"/>
      <c r="BNN19" s="54"/>
      <c r="BNX19" s="54"/>
      <c r="BOH19" s="54"/>
      <c r="BOR19" s="54"/>
      <c r="BPB19" s="54"/>
      <c r="BPL19" s="54"/>
      <c r="BPV19" s="54"/>
      <c r="BQF19" s="54"/>
      <c r="BQP19" s="54"/>
      <c r="BQZ19" s="54"/>
      <c r="BRJ19" s="54"/>
      <c r="BRT19" s="54"/>
      <c r="BSD19" s="54"/>
      <c r="BSN19" s="54"/>
      <c r="BSX19" s="54"/>
      <c r="BTH19" s="54"/>
      <c r="BTR19" s="54"/>
      <c r="BUB19" s="54"/>
      <c r="BUL19" s="54"/>
      <c r="BUV19" s="54"/>
      <c r="BVF19" s="54"/>
      <c r="BVP19" s="54"/>
      <c r="BVZ19" s="54"/>
      <c r="BWJ19" s="54"/>
      <c r="BWT19" s="54"/>
      <c r="BXD19" s="54"/>
      <c r="BXN19" s="54"/>
      <c r="BXX19" s="54"/>
      <c r="BYH19" s="54"/>
      <c r="BYR19" s="54"/>
      <c r="BZB19" s="54"/>
      <c r="BZL19" s="54"/>
      <c r="BZV19" s="54"/>
      <c r="CAF19" s="54"/>
      <c r="CAP19" s="54"/>
      <c r="CAZ19" s="54"/>
      <c r="CBJ19" s="54"/>
      <c r="CBT19" s="54"/>
      <c r="CCD19" s="54"/>
      <c r="CCN19" s="54"/>
      <c r="CCX19" s="54"/>
      <c r="CDH19" s="54"/>
      <c r="CDR19" s="54"/>
      <c r="CEB19" s="54"/>
      <c r="CEL19" s="54"/>
      <c r="CEV19" s="54"/>
      <c r="CFF19" s="54"/>
      <c r="CFP19" s="54"/>
      <c r="CFZ19" s="54"/>
      <c r="CGJ19" s="54"/>
      <c r="CGT19" s="54"/>
      <c r="CHD19" s="54"/>
      <c r="CHN19" s="54"/>
      <c r="CHX19" s="54"/>
      <c r="CIH19" s="54"/>
      <c r="CIR19" s="54"/>
      <c r="CJB19" s="54"/>
      <c r="CJL19" s="54"/>
      <c r="CJV19" s="54"/>
      <c r="CKF19" s="54"/>
      <c r="CKP19" s="54"/>
      <c r="CKZ19" s="54"/>
      <c r="CLJ19" s="54"/>
      <c r="CLT19" s="54"/>
      <c r="CMD19" s="54"/>
      <c r="CMN19" s="54"/>
      <c r="CMX19" s="54"/>
      <c r="CNH19" s="54"/>
      <c r="CNR19" s="54"/>
      <c r="COB19" s="54"/>
      <c r="COL19" s="54"/>
      <c r="COV19" s="54"/>
      <c r="CPF19" s="54"/>
      <c r="CPP19" s="54"/>
      <c r="CPZ19" s="54"/>
      <c r="CQJ19" s="54"/>
      <c r="CQT19" s="54"/>
      <c r="CRD19" s="54"/>
      <c r="CRN19" s="54"/>
      <c r="CRX19" s="54"/>
      <c r="CSH19" s="54"/>
      <c r="CSR19" s="54"/>
      <c r="CTB19" s="54"/>
      <c r="CTL19" s="54"/>
      <c r="CTV19" s="54"/>
    </row>
    <row r="20" s="39" customFormat="1" customHeight="1" spans="1:1020 1030:2040 2050:2570">
      <c r="A20" s="48">
        <v>46150</v>
      </c>
      <c r="B20" s="9" t="s">
        <v>32</v>
      </c>
      <c r="C20" s="10" t="s">
        <v>33</v>
      </c>
      <c r="D20" s="49">
        <v>652364150</v>
      </c>
      <c r="E20" s="15" t="s">
        <v>36</v>
      </c>
      <c r="F20" s="50" t="str">
        <f>VLOOKUP(E20,基础数据!E:F,2,0)</f>
        <v>线束总成</v>
      </c>
      <c r="G20" s="49">
        <v>2250</v>
      </c>
      <c r="H20" s="51" t="str">
        <f>VLOOKUP(E20,基础数据!E:H,4,0)</f>
        <v>料盒</v>
      </c>
      <c r="I20" s="51">
        <f>VLOOKUP(E20,基础数据!E:G,3,0)</f>
        <v>30</v>
      </c>
      <c r="J20" s="49" t="s">
        <v>35</v>
      </c>
      <c r="K20" s="52">
        <f t="shared" si="0"/>
        <v>75</v>
      </c>
      <c r="T20" s="54"/>
      <c r="AD20" s="54"/>
      <c r="AN20" s="54"/>
      <c r="AX20" s="54"/>
      <c r="BH20" s="54"/>
      <c r="BR20" s="54"/>
      <c r="CB20" s="54"/>
      <c r="CL20" s="54"/>
      <c r="CV20" s="54"/>
      <c r="DF20" s="54"/>
      <c r="DP20" s="54"/>
      <c r="DZ20" s="54"/>
      <c r="EJ20" s="54"/>
      <c r="ET20" s="54"/>
      <c r="FD20" s="54"/>
      <c r="FN20" s="54"/>
      <c r="FX20" s="54"/>
      <c r="GH20" s="54"/>
      <c r="GR20" s="54"/>
      <c r="HB20" s="54"/>
      <c r="HL20" s="54"/>
      <c r="HV20" s="54"/>
      <c r="IF20" s="54"/>
      <c r="IP20" s="54"/>
      <c r="IZ20" s="54"/>
      <c r="JJ20" s="54"/>
      <c r="JT20" s="54"/>
      <c r="KD20" s="54"/>
      <c r="KN20" s="54"/>
      <c r="KX20" s="54"/>
      <c r="LH20" s="54"/>
      <c r="LR20" s="54"/>
      <c r="MB20" s="54"/>
      <c r="ML20" s="54"/>
      <c r="MV20" s="54"/>
      <c r="NF20" s="54"/>
      <c r="NP20" s="54"/>
      <c r="NZ20" s="54"/>
      <c r="OJ20" s="54"/>
      <c r="OT20" s="54"/>
      <c r="PD20" s="54"/>
      <c r="PN20" s="54"/>
      <c r="PX20" s="54"/>
      <c r="QH20" s="54"/>
      <c r="QR20" s="54"/>
      <c r="RB20" s="54"/>
      <c r="RL20" s="54"/>
      <c r="RV20" s="54"/>
      <c r="SF20" s="54"/>
      <c r="SP20" s="54"/>
      <c r="SZ20" s="54"/>
      <c r="TJ20" s="54"/>
      <c r="TT20" s="54"/>
      <c r="UD20" s="54"/>
      <c r="UN20" s="54"/>
      <c r="UX20" s="54"/>
      <c r="VH20" s="54"/>
      <c r="VR20" s="54"/>
      <c r="WB20" s="54"/>
      <c r="WL20" s="54"/>
      <c r="WV20" s="54"/>
      <c r="XF20" s="54"/>
      <c r="XP20" s="54"/>
      <c r="XZ20" s="54"/>
      <c r="YJ20" s="54"/>
      <c r="YT20" s="54"/>
      <c r="ZD20" s="54"/>
      <c r="ZN20" s="54"/>
      <c r="ZX20" s="54"/>
      <c r="AAH20" s="54"/>
      <c r="AAR20" s="54"/>
      <c r="ABB20" s="54"/>
      <c r="ABL20" s="54"/>
      <c r="ABV20" s="54"/>
      <c r="ACF20" s="54"/>
      <c r="ACP20" s="54"/>
      <c r="ACZ20" s="54"/>
      <c r="ADJ20" s="54"/>
      <c r="ADT20" s="54"/>
      <c r="AED20" s="54"/>
      <c r="AEN20" s="54"/>
      <c r="AEX20" s="54"/>
      <c r="AFH20" s="54"/>
      <c r="AFR20" s="54"/>
      <c r="AGB20" s="54"/>
      <c r="AGL20" s="54"/>
      <c r="AGV20" s="54"/>
      <c r="AHF20" s="54"/>
      <c r="AHP20" s="54"/>
      <c r="AHZ20" s="54"/>
      <c r="AIJ20" s="54"/>
      <c r="AIT20" s="54"/>
      <c r="AJD20" s="54"/>
      <c r="AJN20" s="54"/>
      <c r="AJX20" s="54"/>
      <c r="AKH20" s="54"/>
      <c r="AKR20" s="54"/>
      <c r="ALB20" s="54"/>
      <c r="ALL20" s="54"/>
      <c r="ALV20" s="54"/>
      <c r="AMF20" s="54"/>
      <c r="AMP20" s="54"/>
      <c r="AMZ20" s="54"/>
      <c r="ANJ20" s="54"/>
      <c r="ANT20" s="54"/>
      <c r="AOD20" s="54"/>
      <c r="AON20" s="54"/>
      <c r="AOX20" s="54"/>
      <c r="APH20" s="54"/>
      <c r="APR20" s="54"/>
      <c r="AQB20" s="54"/>
      <c r="AQL20" s="54"/>
      <c r="AQV20" s="54"/>
      <c r="ARF20" s="54"/>
      <c r="ARP20" s="54"/>
      <c r="ARZ20" s="54"/>
      <c r="ASJ20" s="54"/>
      <c r="AST20" s="54"/>
      <c r="ATD20" s="54"/>
      <c r="ATN20" s="54"/>
      <c r="ATX20" s="54"/>
      <c r="AUH20" s="54"/>
      <c r="AUR20" s="54"/>
      <c r="AVB20" s="54"/>
      <c r="AVL20" s="54"/>
      <c r="AVV20" s="54"/>
      <c r="AWF20" s="54"/>
      <c r="AWP20" s="54"/>
      <c r="AWZ20" s="54"/>
      <c r="AXJ20" s="54"/>
      <c r="AXT20" s="54"/>
      <c r="AYD20" s="54"/>
      <c r="AYN20" s="54"/>
      <c r="AYX20" s="54"/>
      <c r="AZH20" s="54"/>
      <c r="AZR20" s="54"/>
      <c r="BAB20" s="54"/>
      <c r="BAL20" s="54"/>
      <c r="BAV20" s="54"/>
      <c r="BBF20" s="54"/>
      <c r="BBP20" s="54"/>
      <c r="BBZ20" s="54"/>
      <c r="BCJ20" s="54"/>
      <c r="BCT20" s="54"/>
      <c r="BDD20" s="54"/>
      <c r="BDN20" s="54"/>
      <c r="BDX20" s="54"/>
      <c r="BEH20" s="54"/>
      <c r="BER20" s="54"/>
      <c r="BFB20" s="54"/>
      <c r="BFL20" s="54"/>
      <c r="BFV20" s="54"/>
      <c r="BGF20" s="54"/>
      <c r="BGP20" s="54"/>
      <c r="BGZ20" s="54"/>
      <c r="BHJ20" s="54"/>
      <c r="BHT20" s="54"/>
      <c r="BID20" s="54"/>
      <c r="BIN20" s="54"/>
      <c r="BIX20" s="54"/>
      <c r="BJH20" s="54"/>
      <c r="BJR20" s="54"/>
      <c r="BKB20" s="54"/>
      <c r="BKL20" s="54"/>
      <c r="BKV20" s="54"/>
      <c r="BLF20" s="54"/>
      <c r="BLP20" s="54"/>
      <c r="BLZ20" s="54"/>
      <c r="BMJ20" s="54"/>
      <c r="BMT20" s="54"/>
      <c r="BND20" s="54"/>
      <c r="BNN20" s="54"/>
      <c r="BNX20" s="54"/>
      <c r="BOH20" s="54"/>
      <c r="BOR20" s="54"/>
      <c r="BPB20" s="54"/>
      <c r="BPL20" s="54"/>
      <c r="BPV20" s="54"/>
      <c r="BQF20" s="54"/>
      <c r="BQP20" s="54"/>
      <c r="BQZ20" s="54"/>
      <c r="BRJ20" s="54"/>
      <c r="BRT20" s="54"/>
      <c r="BSD20" s="54"/>
      <c r="BSN20" s="54"/>
      <c r="BSX20" s="54"/>
      <c r="BTH20" s="54"/>
      <c r="BTR20" s="54"/>
      <c r="BUB20" s="54"/>
      <c r="BUL20" s="54"/>
      <c r="BUV20" s="54"/>
      <c r="BVF20" s="54"/>
      <c r="BVP20" s="54"/>
      <c r="BVZ20" s="54"/>
      <c r="BWJ20" s="54"/>
      <c r="BWT20" s="54"/>
      <c r="BXD20" s="54"/>
      <c r="BXN20" s="54"/>
      <c r="BXX20" s="54"/>
      <c r="BYH20" s="54"/>
      <c r="BYR20" s="54"/>
      <c r="BZB20" s="54"/>
      <c r="BZL20" s="54"/>
      <c r="BZV20" s="54"/>
      <c r="CAF20" s="54"/>
      <c r="CAP20" s="54"/>
      <c r="CAZ20" s="54"/>
      <c r="CBJ20" s="54"/>
      <c r="CBT20" s="54"/>
      <c r="CCD20" s="54"/>
      <c r="CCN20" s="54"/>
      <c r="CCX20" s="54"/>
      <c r="CDH20" s="54"/>
      <c r="CDR20" s="54"/>
      <c r="CEB20" s="54"/>
      <c r="CEL20" s="54"/>
      <c r="CEV20" s="54"/>
      <c r="CFF20" s="54"/>
      <c r="CFP20" s="54"/>
      <c r="CFZ20" s="54"/>
      <c r="CGJ20" s="54"/>
      <c r="CGT20" s="54"/>
      <c r="CHD20" s="54"/>
      <c r="CHN20" s="54"/>
      <c r="CHX20" s="54"/>
      <c r="CIH20" s="54"/>
      <c r="CIR20" s="54"/>
      <c r="CJB20" s="54"/>
      <c r="CJL20" s="54"/>
      <c r="CJV20" s="54"/>
      <c r="CKF20" s="54"/>
      <c r="CKP20" s="54"/>
      <c r="CKZ20" s="54"/>
      <c r="CLJ20" s="54"/>
      <c r="CLT20" s="54"/>
      <c r="CMD20" s="54"/>
      <c r="CMN20" s="54"/>
      <c r="CMX20" s="54"/>
      <c r="CNH20" s="54"/>
      <c r="CNR20" s="54"/>
      <c r="COB20" s="54"/>
      <c r="COL20" s="54"/>
      <c r="COV20" s="54"/>
      <c r="CPF20" s="54"/>
      <c r="CPP20" s="54"/>
      <c r="CPZ20" s="54"/>
      <c r="CQJ20" s="54"/>
      <c r="CQT20" s="54"/>
      <c r="CRD20" s="54"/>
      <c r="CRN20" s="54"/>
      <c r="CRX20" s="54"/>
      <c r="CSH20" s="54"/>
      <c r="CSR20" s="54"/>
      <c r="CTB20" s="54"/>
      <c r="CTL20" s="54"/>
      <c r="CTV20" s="54"/>
    </row>
    <row r="21" s="39" customFormat="1" customHeight="1" spans="1:1020 1030:2040 2050:2570">
      <c r="A21" s="48">
        <v>46150</v>
      </c>
      <c r="B21" s="9" t="s">
        <v>32</v>
      </c>
      <c r="C21" s="10" t="s">
        <v>33</v>
      </c>
      <c r="D21" s="49">
        <v>652364150</v>
      </c>
      <c r="E21" s="15" t="s">
        <v>37</v>
      </c>
      <c r="F21" s="50" t="str">
        <f>VLOOKUP(E21,基础数据!E:F,2,0)</f>
        <v>线束总成</v>
      </c>
      <c r="G21" s="49">
        <v>2000</v>
      </c>
      <c r="H21" s="51" t="str">
        <f>VLOOKUP(E21,基础数据!E:H,4,0)</f>
        <v>料盒</v>
      </c>
      <c r="I21" s="51">
        <f>VLOOKUP(E21,基础数据!E:G,3,0)</f>
        <v>20</v>
      </c>
      <c r="J21" s="49" t="s">
        <v>35</v>
      </c>
      <c r="K21" s="52">
        <f t="shared" si="0"/>
        <v>100</v>
      </c>
      <c r="T21" s="54"/>
      <c r="AD21" s="54"/>
      <c r="AN21" s="54"/>
      <c r="AX21" s="54"/>
      <c r="BH21" s="54"/>
      <c r="BR21" s="54"/>
      <c r="CB21" s="54"/>
      <c r="CL21" s="54"/>
      <c r="CV21" s="54"/>
      <c r="DF21" s="54"/>
      <c r="DP21" s="54"/>
      <c r="DZ21" s="54"/>
      <c r="EJ21" s="54"/>
      <c r="ET21" s="54"/>
      <c r="FD21" s="54"/>
      <c r="FN21" s="54"/>
      <c r="FX21" s="54"/>
      <c r="GH21" s="54"/>
      <c r="GR21" s="54"/>
      <c r="HB21" s="54"/>
      <c r="HL21" s="54"/>
      <c r="HV21" s="54"/>
      <c r="IF21" s="54"/>
      <c r="IP21" s="54"/>
      <c r="IZ21" s="54"/>
      <c r="JJ21" s="54"/>
      <c r="JT21" s="54"/>
      <c r="KD21" s="54"/>
      <c r="KN21" s="54"/>
      <c r="KX21" s="54"/>
      <c r="LH21" s="54"/>
      <c r="LR21" s="54"/>
      <c r="MB21" s="54"/>
      <c r="ML21" s="54"/>
      <c r="MV21" s="54"/>
      <c r="NF21" s="54"/>
      <c r="NP21" s="54"/>
      <c r="NZ21" s="54"/>
      <c r="OJ21" s="54"/>
      <c r="OT21" s="54"/>
      <c r="PD21" s="54"/>
      <c r="PN21" s="54"/>
      <c r="PX21" s="54"/>
      <c r="QH21" s="54"/>
      <c r="QR21" s="54"/>
      <c r="RB21" s="54"/>
      <c r="RL21" s="54"/>
      <c r="RV21" s="54"/>
      <c r="SF21" s="54"/>
      <c r="SP21" s="54"/>
      <c r="SZ21" s="54"/>
      <c r="TJ21" s="54"/>
      <c r="TT21" s="54"/>
      <c r="UD21" s="54"/>
      <c r="UN21" s="54"/>
      <c r="UX21" s="54"/>
      <c r="VH21" s="54"/>
      <c r="VR21" s="54"/>
      <c r="WB21" s="54"/>
      <c r="WL21" s="54"/>
      <c r="WV21" s="54"/>
      <c r="XF21" s="54"/>
      <c r="XP21" s="54"/>
      <c r="XZ21" s="54"/>
      <c r="YJ21" s="54"/>
      <c r="YT21" s="54"/>
      <c r="ZD21" s="54"/>
      <c r="ZN21" s="54"/>
      <c r="ZX21" s="54"/>
      <c r="AAH21" s="54"/>
      <c r="AAR21" s="54"/>
      <c r="ABB21" s="54"/>
      <c r="ABL21" s="54"/>
      <c r="ABV21" s="54"/>
      <c r="ACF21" s="54"/>
      <c r="ACP21" s="54"/>
      <c r="ACZ21" s="54"/>
      <c r="ADJ21" s="54"/>
      <c r="ADT21" s="54"/>
      <c r="AED21" s="54"/>
      <c r="AEN21" s="54"/>
      <c r="AEX21" s="54"/>
      <c r="AFH21" s="54"/>
      <c r="AFR21" s="54"/>
      <c r="AGB21" s="54"/>
      <c r="AGL21" s="54"/>
      <c r="AGV21" s="54"/>
      <c r="AHF21" s="54"/>
      <c r="AHP21" s="54"/>
      <c r="AHZ21" s="54"/>
      <c r="AIJ21" s="54"/>
      <c r="AIT21" s="54"/>
      <c r="AJD21" s="54"/>
      <c r="AJN21" s="54"/>
      <c r="AJX21" s="54"/>
      <c r="AKH21" s="54"/>
      <c r="AKR21" s="54"/>
      <c r="ALB21" s="54"/>
      <c r="ALL21" s="54"/>
      <c r="ALV21" s="54"/>
      <c r="AMF21" s="54"/>
      <c r="AMP21" s="54"/>
      <c r="AMZ21" s="54"/>
      <c r="ANJ21" s="54"/>
      <c r="ANT21" s="54"/>
      <c r="AOD21" s="54"/>
      <c r="AON21" s="54"/>
      <c r="AOX21" s="54"/>
      <c r="APH21" s="54"/>
      <c r="APR21" s="54"/>
      <c r="AQB21" s="54"/>
      <c r="AQL21" s="54"/>
      <c r="AQV21" s="54"/>
      <c r="ARF21" s="54"/>
      <c r="ARP21" s="54"/>
      <c r="ARZ21" s="54"/>
      <c r="ASJ21" s="54"/>
      <c r="AST21" s="54"/>
      <c r="ATD21" s="54"/>
      <c r="ATN21" s="54"/>
      <c r="ATX21" s="54"/>
      <c r="AUH21" s="54"/>
      <c r="AUR21" s="54"/>
      <c r="AVB21" s="54"/>
      <c r="AVL21" s="54"/>
      <c r="AVV21" s="54"/>
      <c r="AWF21" s="54"/>
      <c r="AWP21" s="54"/>
      <c r="AWZ21" s="54"/>
      <c r="AXJ21" s="54"/>
      <c r="AXT21" s="54"/>
      <c r="AYD21" s="54"/>
      <c r="AYN21" s="54"/>
      <c r="AYX21" s="54"/>
      <c r="AZH21" s="54"/>
      <c r="AZR21" s="54"/>
      <c r="BAB21" s="54"/>
      <c r="BAL21" s="54"/>
      <c r="BAV21" s="54"/>
      <c r="BBF21" s="54"/>
      <c r="BBP21" s="54"/>
      <c r="BBZ21" s="54"/>
      <c r="BCJ21" s="54"/>
      <c r="BCT21" s="54"/>
      <c r="BDD21" s="54"/>
      <c r="BDN21" s="54"/>
      <c r="BDX21" s="54"/>
      <c r="BEH21" s="54"/>
      <c r="BER21" s="54"/>
      <c r="BFB21" s="54"/>
      <c r="BFL21" s="54"/>
      <c r="BFV21" s="54"/>
      <c r="BGF21" s="54"/>
      <c r="BGP21" s="54"/>
      <c r="BGZ21" s="54"/>
      <c r="BHJ21" s="54"/>
      <c r="BHT21" s="54"/>
      <c r="BID21" s="54"/>
      <c r="BIN21" s="54"/>
      <c r="BIX21" s="54"/>
      <c r="BJH21" s="54"/>
      <c r="BJR21" s="54"/>
      <c r="BKB21" s="54"/>
      <c r="BKL21" s="54"/>
      <c r="BKV21" s="54"/>
      <c r="BLF21" s="54"/>
      <c r="BLP21" s="54"/>
      <c r="BLZ21" s="54"/>
      <c r="BMJ21" s="54"/>
      <c r="BMT21" s="54"/>
      <c r="BND21" s="54"/>
      <c r="BNN21" s="54"/>
      <c r="BNX21" s="54"/>
      <c r="BOH21" s="54"/>
      <c r="BOR21" s="54"/>
      <c r="BPB21" s="54"/>
      <c r="BPL21" s="54"/>
      <c r="BPV21" s="54"/>
      <c r="BQF21" s="54"/>
      <c r="BQP21" s="54"/>
      <c r="BQZ21" s="54"/>
      <c r="BRJ21" s="54"/>
      <c r="BRT21" s="54"/>
      <c r="BSD21" s="54"/>
      <c r="BSN21" s="54"/>
      <c r="BSX21" s="54"/>
      <c r="BTH21" s="54"/>
      <c r="BTR21" s="54"/>
      <c r="BUB21" s="54"/>
      <c r="BUL21" s="54"/>
      <c r="BUV21" s="54"/>
      <c r="BVF21" s="54"/>
      <c r="BVP21" s="54"/>
      <c r="BVZ21" s="54"/>
      <c r="BWJ21" s="54"/>
      <c r="BWT21" s="54"/>
      <c r="BXD21" s="54"/>
      <c r="BXN21" s="54"/>
      <c r="BXX21" s="54"/>
      <c r="BYH21" s="54"/>
      <c r="BYR21" s="54"/>
      <c r="BZB21" s="54"/>
      <c r="BZL21" s="54"/>
      <c r="BZV21" s="54"/>
      <c r="CAF21" s="54"/>
      <c r="CAP21" s="54"/>
      <c r="CAZ21" s="54"/>
      <c r="CBJ21" s="54"/>
      <c r="CBT21" s="54"/>
      <c r="CCD21" s="54"/>
      <c r="CCN21" s="54"/>
      <c r="CCX21" s="54"/>
      <c r="CDH21" s="54"/>
      <c r="CDR21" s="54"/>
      <c r="CEB21" s="54"/>
      <c r="CEL21" s="54"/>
      <c r="CEV21" s="54"/>
      <c r="CFF21" s="54"/>
      <c r="CFP21" s="54"/>
      <c r="CFZ21" s="54"/>
      <c r="CGJ21" s="54"/>
      <c r="CGT21" s="54"/>
      <c r="CHD21" s="54"/>
      <c r="CHN21" s="54"/>
      <c r="CHX21" s="54"/>
      <c r="CIH21" s="54"/>
      <c r="CIR21" s="54"/>
      <c r="CJB21" s="54"/>
      <c r="CJL21" s="54"/>
      <c r="CJV21" s="54"/>
      <c r="CKF21" s="54"/>
      <c r="CKP21" s="54"/>
      <c r="CKZ21" s="54"/>
      <c r="CLJ21" s="54"/>
      <c r="CLT21" s="54"/>
      <c r="CMD21" s="54"/>
      <c r="CMN21" s="54"/>
      <c r="CMX21" s="54"/>
      <c r="CNH21" s="54"/>
      <c r="CNR21" s="54"/>
      <c r="COB21" s="54"/>
      <c r="COL21" s="54"/>
      <c r="COV21" s="54"/>
      <c r="CPF21" s="54"/>
      <c r="CPP21" s="54"/>
      <c r="CPZ21" s="54"/>
      <c r="CQJ21" s="54"/>
      <c r="CQT21" s="54"/>
      <c r="CRD21" s="54"/>
      <c r="CRN21" s="54"/>
      <c r="CRX21" s="54"/>
      <c r="CSH21" s="54"/>
      <c r="CSR21" s="54"/>
      <c r="CTB21" s="54"/>
      <c r="CTL21" s="54"/>
      <c r="CTV21" s="54"/>
    </row>
    <row r="22" s="39" customFormat="1" customHeight="1" spans="1:1020 1030:2040 2050:2570">
      <c r="A22" s="48">
        <v>46150</v>
      </c>
      <c r="B22" s="9" t="s">
        <v>32</v>
      </c>
      <c r="C22" s="10" t="s">
        <v>33</v>
      </c>
      <c r="D22" s="49">
        <v>652365155</v>
      </c>
      <c r="E22" s="11" t="s">
        <v>45</v>
      </c>
      <c r="F22" s="50" t="str">
        <f>VLOOKUP(E22,基础数据!E:F,2,0)</f>
        <v>A12EV10-预充电阻连接线束</v>
      </c>
      <c r="G22" s="49">
        <v>1500</v>
      </c>
      <c r="H22" s="51" t="str">
        <f>VLOOKUP(E22,基础数据!E:H,4,0)</f>
        <v>料盒</v>
      </c>
      <c r="I22" s="51">
        <f>VLOOKUP(E22,基础数据!E:G,3,0)</f>
        <v>100</v>
      </c>
      <c r="J22" s="49" t="s">
        <v>35</v>
      </c>
      <c r="K22" s="52">
        <f t="shared" si="0"/>
        <v>15</v>
      </c>
      <c r="T22" s="54"/>
      <c r="AD22" s="54"/>
      <c r="AN22" s="54"/>
      <c r="AX22" s="54"/>
      <c r="BH22" s="54"/>
      <c r="BR22" s="54"/>
      <c r="CB22" s="54"/>
      <c r="CL22" s="54"/>
      <c r="CV22" s="54"/>
      <c r="DF22" s="54"/>
      <c r="DP22" s="54"/>
      <c r="DZ22" s="54"/>
      <c r="EJ22" s="54"/>
      <c r="ET22" s="54"/>
      <c r="FD22" s="54"/>
      <c r="FN22" s="54"/>
      <c r="FX22" s="54"/>
      <c r="GH22" s="54"/>
      <c r="GR22" s="54"/>
      <c r="HB22" s="54"/>
      <c r="HL22" s="54"/>
      <c r="HV22" s="54"/>
      <c r="IF22" s="54"/>
      <c r="IP22" s="54"/>
      <c r="IZ22" s="54"/>
      <c r="JJ22" s="54"/>
      <c r="JT22" s="54"/>
      <c r="KD22" s="54"/>
      <c r="KN22" s="54"/>
      <c r="KX22" s="54"/>
      <c r="LH22" s="54"/>
      <c r="LR22" s="54"/>
      <c r="MB22" s="54"/>
      <c r="ML22" s="54"/>
      <c r="MV22" s="54"/>
      <c r="NF22" s="54"/>
      <c r="NP22" s="54"/>
      <c r="NZ22" s="54"/>
      <c r="OJ22" s="54"/>
      <c r="OT22" s="54"/>
      <c r="PD22" s="54"/>
      <c r="PN22" s="54"/>
      <c r="PX22" s="54"/>
      <c r="QH22" s="54"/>
      <c r="QR22" s="54"/>
      <c r="RB22" s="54"/>
      <c r="RL22" s="54"/>
      <c r="RV22" s="54"/>
      <c r="SF22" s="54"/>
      <c r="SP22" s="54"/>
      <c r="SZ22" s="54"/>
      <c r="TJ22" s="54"/>
      <c r="TT22" s="54"/>
      <c r="UD22" s="54"/>
      <c r="UN22" s="54"/>
      <c r="UX22" s="54"/>
      <c r="VH22" s="54"/>
      <c r="VR22" s="54"/>
      <c r="WB22" s="54"/>
      <c r="WL22" s="54"/>
      <c r="WV22" s="54"/>
      <c r="XF22" s="54"/>
      <c r="XP22" s="54"/>
      <c r="XZ22" s="54"/>
      <c r="YJ22" s="54"/>
      <c r="YT22" s="54"/>
      <c r="ZD22" s="54"/>
      <c r="ZN22" s="54"/>
      <c r="ZX22" s="54"/>
      <c r="AAH22" s="54"/>
      <c r="AAR22" s="54"/>
      <c r="ABB22" s="54"/>
      <c r="ABL22" s="54"/>
      <c r="ABV22" s="54"/>
      <c r="ACF22" s="54"/>
      <c r="ACP22" s="54"/>
      <c r="ACZ22" s="54"/>
      <c r="ADJ22" s="54"/>
      <c r="ADT22" s="54"/>
      <c r="AED22" s="54"/>
      <c r="AEN22" s="54"/>
      <c r="AEX22" s="54"/>
      <c r="AFH22" s="54"/>
      <c r="AFR22" s="54"/>
      <c r="AGB22" s="54"/>
      <c r="AGL22" s="54"/>
      <c r="AGV22" s="54"/>
      <c r="AHF22" s="54"/>
      <c r="AHP22" s="54"/>
      <c r="AHZ22" s="54"/>
      <c r="AIJ22" s="54"/>
      <c r="AIT22" s="54"/>
      <c r="AJD22" s="54"/>
      <c r="AJN22" s="54"/>
      <c r="AJX22" s="54"/>
      <c r="AKH22" s="54"/>
      <c r="AKR22" s="54"/>
      <c r="ALB22" s="54"/>
      <c r="ALL22" s="54"/>
      <c r="ALV22" s="54"/>
      <c r="AMF22" s="54"/>
      <c r="AMP22" s="54"/>
      <c r="AMZ22" s="54"/>
      <c r="ANJ22" s="54"/>
      <c r="ANT22" s="54"/>
      <c r="AOD22" s="54"/>
      <c r="AON22" s="54"/>
      <c r="AOX22" s="54"/>
      <c r="APH22" s="54"/>
      <c r="APR22" s="54"/>
      <c r="AQB22" s="54"/>
      <c r="AQL22" s="54"/>
      <c r="AQV22" s="54"/>
      <c r="ARF22" s="54"/>
      <c r="ARP22" s="54"/>
      <c r="ARZ22" s="54"/>
      <c r="ASJ22" s="54"/>
      <c r="AST22" s="54"/>
      <c r="ATD22" s="54"/>
      <c r="ATN22" s="54"/>
      <c r="ATX22" s="54"/>
      <c r="AUH22" s="54"/>
      <c r="AUR22" s="54"/>
      <c r="AVB22" s="54"/>
      <c r="AVL22" s="54"/>
      <c r="AVV22" s="54"/>
      <c r="AWF22" s="54"/>
      <c r="AWP22" s="54"/>
      <c r="AWZ22" s="54"/>
      <c r="AXJ22" s="54"/>
      <c r="AXT22" s="54"/>
      <c r="AYD22" s="54"/>
      <c r="AYN22" s="54"/>
      <c r="AYX22" s="54"/>
      <c r="AZH22" s="54"/>
      <c r="AZR22" s="54"/>
      <c r="BAB22" s="54"/>
      <c r="BAL22" s="54"/>
      <c r="BAV22" s="54"/>
      <c r="BBF22" s="54"/>
      <c r="BBP22" s="54"/>
      <c r="BBZ22" s="54"/>
      <c r="BCJ22" s="54"/>
      <c r="BCT22" s="54"/>
      <c r="BDD22" s="54"/>
      <c r="BDN22" s="54"/>
      <c r="BDX22" s="54"/>
      <c r="BEH22" s="54"/>
      <c r="BER22" s="54"/>
      <c r="BFB22" s="54"/>
      <c r="BFL22" s="54"/>
      <c r="BFV22" s="54"/>
      <c r="BGF22" s="54"/>
      <c r="BGP22" s="54"/>
      <c r="BGZ22" s="54"/>
      <c r="BHJ22" s="54"/>
      <c r="BHT22" s="54"/>
      <c r="BID22" s="54"/>
      <c r="BIN22" s="54"/>
      <c r="BIX22" s="54"/>
      <c r="BJH22" s="54"/>
      <c r="BJR22" s="54"/>
      <c r="BKB22" s="54"/>
      <c r="BKL22" s="54"/>
      <c r="BKV22" s="54"/>
      <c r="BLF22" s="54"/>
      <c r="BLP22" s="54"/>
      <c r="BLZ22" s="54"/>
      <c r="BMJ22" s="54"/>
      <c r="BMT22" s="54"/>
      <c r="BND22" s="54"/>
      <c r="BNN22" s="54"/>
      <c r="BNX22" s="54"/>
      <c r="BOH22" s="54"/>
      <c r="BOR22" s="54"/>
      <c r="BPB22" s="54"/>
      <c r="BPL22" s="54"/>
      <c r="BPV22" s="54"/>
      <c r="BQF22" s="54"/>
      <c r="BQP22" s="54"/>
      <c r="BQZ22" s="54"/>
      <c r="BRJ22" s="54"/>
      <c r="BRT22" s="54"/>
      <c r="BSD22" s="54"/>
      <c r="BSN22" s="54"/>
      <c r="BSX22" s="54"/>
      <c r="BTH22" s="54"/>
      <c r="BTR22" s="54"/>
      <c r="BUB22" s="54"/>
      <c r="BUL22" s="54"/>
      <c r="BUV22" s="54"/>
      <c r="BVF22" s="54"/>
      <c r="BVP22" s="54"/>
      <c r="BVZ22" s="54"/>
      <c r="BWJ22" s="54"/>
      <c r="BWT22" s="54"/>
      <c r="BXD22" s="54"/>
      <c r="BXN22" s="54"/>
      <c r="BXX22" s="54"/>
      <c r="BYH22" s="54"/>
      <c r="BYR22" s="54"/>
      <c r="BZB22" s="54"/>
      <c r="BZL22" s="54"/>
      <c r="BZV22" s="54"/>
      <c r="CAF22" s="54"/>
      <c r="CAP22" s="54"/>
      <c r="CAZ22" s="54"/>
      <c r="CBJ22" s="54"/>
      <c r="CBT22" s="54"/>
      <c r="CCD22" s="54"/>
      <c r="CCN22" s="54"/>
      <c r="CCX22" s="54"/>
      <c r="CDH22" s="54"/>
      <c r="CDR22" s="54"/>
      <c r="CEB22" s="54"/>
      <c r="CEL22" s="54"/>
      <c r="CEV22" s="54"/>
      <c r="CFF22" s="54"/>
      <c r="CFP22" s="54"/>
      <c r="CFZ22" s="54"/>
      <c r="CGJ22" s="54"/>
      <c r="CGT22" s="54"/>
      <c r="CHD22" s="54"/>
      <c r="CHN22" s="54"/>
      <c r="CHX22" s="54"/>
      <c r="CIH22" s="54"/>
      <c r="CIR22" s="54"/>
      <c r="CJB22" s="54"/>
      <c r="CJL22" s="54"/>
      <c r="CJV22" s="54"/>
      <c r="CKF22" s="54"/>
      <c r="CKP22" s="54"/>
      <c r="CKZ22" s="54"/>
      <c r="CLJ22" s="54"/>
      <c r="CLT22" s="54"/>
      <c r="CMD22" s="54"/>
      <c r="CMN22" s="54"/>
      <c r="CMX22" s="54"/>
      <c r="CNH22" s="54"/>
      <c r="CNR22" s="54"/>
      <c r="COB22" s="54"/>
      <c r="COL22" s="54"/>
      <c r="COV22" s="54"/>
      <c r="CPF22" s="54"/>
      <c r="CPP22" s="54"/>
      <c r="CPZ22" s="54"/>
      <c r="CQJ22" s="54"/>
      <c r="CQT22" s="54"/>
      <c r="CRD22" s="54"/>
      <c r="CRN22" s="54"/>
      <c r="CRX22" s="54"/>
      <c r="CSH22" s="54"/>
      <c r="CSR22" s="54"/>
      <c r="CTB22" s="54"/>
      <c r="CTL22" s="54"/>
      <c r="CTV22" s="54"/>
    </row>
    <row r="23" s="39" customFormat="1" customHeight="1" spans="1:1020 1030:2040 2050:2570">
      <c r="A23" s="48">
        <v>46150</v>
      </c>
      <c r="B23" s="9" t="s">
        <v>32</v>
      </c>
      <c r="C23" s="10" t="s">
        <v>33</v>
      </c>
      <c r="D23" s="49">
        <v>652365155</v>
      </c>
      <c r="E23" s="11" t="s">
        <v>48</v>
      </c>
      <c r="F23" s="50" t="str">
        <f>VLOOKUP(E23,基础数据!E:F,2,0)</f>
        <v>A12-外部通讯连接线束</v>
      </c>
      <c r="G23" s="49">
        <v>1500</v>
      </c>
      <c r="H23" s="51" t="str">
        <f>VLOOKUP(E23,基础数据!E:H,4,0)</f>
        <v>料盒</v>
      </c>
      <c r="I23" s="51">
        <f>VLOOKUP(E23,基础数据!E:G,3,0)</f>
        <v>100</v>
      </c>
      <c r="J23" s="49" t="s">
        <v>35</v>
      </c>
      <c r="K23" s="52">
        <f t="shared" si="0"/>
        <v>15</v>
      </c>
      <c r="T23" s="54"/>
      <c r="AD23" s="54"/>
      <c r="AN23" s="54"/>
      <c r="AX23" s="54"/>
      <c r="BH23" s="54"/>
      <c r="BR23" s="54"/>
      <c r="CB23" s="54"/>
      <c r="CL23" s="54"/>
      <c r="CV23" s="54"/>
      <c r="DF23" s="54"/>
      <c r="DP23" s="54"/>
      <c r="DZ23" s="54"/>
      <c r="EJ23" s="54"/>
      <c r="ET23" s="54"/>
      <c r="FD23" s="54"/>
      <c r="FN23" s="54"/>
      <c r="FX23" s="54"/>
      <c r="GH23" s="54"/>
      <c r="GR23" s="54"/>
      <c r="HB23" s="54"/>
      <c r="HL23" s="54"/>
      <c r="HV23" s="54"/>
      <c r="IF23" s="54"/>
      <c r="IP23" s="54"/>
      <c r="IZ23" s="54"/>
      <c r="JJ23" s="54"/>
      <c r="JT23" s="54"/>
      <c r="KD23" s="54"/>
      <c r="KN23" s="54"/>
      <c r="KX23" s="54"/>
      <c r="LH23" s="54"/>
      <c r="LR23" s="54"/>
      <c r="MB23" s="54"/>
      <c r="ML23" s="54"/>
      <c r="MV23" s="54"/>
      <c r="NF23" s="54"/>
      <c r="NP23" s="54"/>
      <c r="NZ23" s="54"/>
      <c r="OJ23" s="54"/>
      <c r="OT23" s="54"/>
      <c r="PD23" s="54"/>
      <c r="PN23" s="54"/>
      <c r="PX23" s="54"/>
      <c r="QH23" s="54"/>
      <c r="QR23" s="54"/>
      <c r="RB23" s="54"/>
      <c r="RL23" s="54"/>
      <c r="RV23" s="54"/>
      <c r="SF23" s="54"/>
      <c r="SP23" s="54"/>
      <c r="SZ23" s="54"/>
      <c r="TJ23" s="54"/>
      <c r="TT23" s="54"/>
      <c r="UD23" s="54"/>
      <c r="UN23" s="54"/>
      <c r="UX23" s="54"/>
      <c r="VH23" s="54"/>
      <c r="VR23" s="54"/>
      <c r="WB23" s="54"/>
      <c r="WL23" s="54"/>
      <c r="WV23" s="54"/>
      <c r="XF23" s="54"/>
      <c r="XP23" s="54"/>
      <c r="XZ23" s="54"/>
      <c r="YJ23" s="54"/>
      <c r="YT23" s="54"/>
      <c r="ZD23" s="54"/>
      <c r="ZN23" s="54"/>
      <c r="ZX23" s="54"/>
      <c r="AAH23" s="54"/>
      <c r="AAR23" s="54"/>
      <c r="ABB23" s="54"/>
      <c r="ABL23" s="54"/>
      <c r="ABV23" s="54"/>
      <c r="ACF23" s="54"/>
      <c r="ACP23" s="54"/>
      <c r="ACZ23" s="54"/>
      <c r="ADJ23" s="54"/>
      <c r="ADT23" s="54"/>
      <c r="AED23" s="54"/>
      <c r="AEN23" s="54"/>
      <c r="AEX23" s="54"/>
      <c r="AFH23" s="54"/>
      <c r="AFR23" s="54"/>
      <c r="AGB23" s="54"/>
      <c r="AGL23" s="54"/>
      <c r="AGV23" s="54"/>
      <c r="AHF23" s="54"/>
      <c r="AHP23" s="54"/>
      <c r="AHZ23" s="54"/>
      <c r="AIJ23" s="54"/>
      <c r="AIT23" s="54"/>
      <c r="AJD23" s="54"/>
      <c r="AJN23" s="54"/>
      <c r="AJX23" s="54"/>
      <c r="AKH23" s="54"/>
      <c r="AKR23" s="54"/>
      <c r="ALB23" s="54"/>
      <c r="ALL23" s="54"/>
      <c r="ALV23" s="54"/>
      <c r="AMF23" s="54"/>
      <c r="AMP23" s="54"/>
      <c r="AMZ23" s="54"/>
      <c r="ANJ23" s="54"/>
      <c r="ANT23" s="54"/>
      <c r="AOD23" s="54"/>
      <c r="AON23" s="54"/>
      <c r="AOX23" s="54"/>
      <c r="APH23" s="54"/>
      <c r="APR23" s="54"/>
      <c r="AQB23" s="54"/>
      <c r="AQL23" s="54"/>
      <c r="AQV23" s="54"/>
      <c r="ARF23" s="54"/>
      <c r="ARP23" s="54"/>
      <c r="ARZ23" s="54"/>
      <c r="ASJ23" s="54"/>
      <c r="AST23" s="54"/>
      <c r="ATD23" s="54"/>
      <c r="ATN23" s="54"/>
      <c r="ATX23" s="54"/>
      <c r="AUH23" s="54"/>
      <c r="AUR23" s="54"/>
      <c r="AVB23" s="54"/>
      <c r="AVL23" s="54"/>
      <c r="AVV23" s="54"/>
      <c r="AWF23" s="54"/>
      <c r="AWP23" s="54"/>
      <c r="AWZ23" s="54"/>
      <c r="AXJ23" s="54"/>
      <c r="AXT23" s="54"/>
      <c r="AYD23" s="54"/>
      <c r="AYN23" s="54"/>
      <c r="AYX23" s="54"/>
      <c r="AZH23" s="54"/>
      <c r="AZR23" s="54"/>
      <c r="BAB23" s="54"/>
      <c r="BAL23" s="54"/>
      <c r="BAV23" s="54"/>
      <c r="BBF23" s="54"/>
      <c r="BBP23" s="54"/>
      <c r="BBZ23" s="54"/>
      <c r="BCJ23" s="54"/>
      <c r="BCT23" s="54"/>
      <c r="BDD23" s="54"/>
      <c r="BDN23" s="54"/>
      <c r="BDX23" s="54"/>
      <c r="BEH23" s="54"/>
      <c r="BER23" s="54"/>
      <c r="BFB23" s="54"/>
      <c r="BFL23" s="54"/>
      <c r="BFV23" s="54"/>
      <c r="BGF23" s="54"/>
      <c r="BGP23" s="54"/>
      <c r="BGZ23" s="54"/>
      <c r="BHJ23" s="54"/>
      <c r="BHT23" s="54"/>
      <c r="BID23" s="54"/>
      <c r="BIN23" s="54"/>
      <c r="BIX23" s="54"/>
      <c r="BJH23" s="54"/>
      <c r="BJR23" s="54"/>
      <c r="BKB23" s="54"/>
      <c r="BKL23" s="54"/>
      <c r="BKV23" s="54"/>
      <c r="BLF23" s="54"/>
      <c r="BLP23" s="54"/>
      <c r="BLZ23" s="54"/>
      <c r="BMJ23" s="54"/>
      <c r="BMT23" s="54"/>
      <c r="BND23" s="54"/>
      <c r="BNN23" s="54"/>
      <c r="BNX23" s="54"/>
      <c r="BOH23" s="54"/>
      <c r="BOR23" s="54"/>
      <c r="BPB23" s="54"/>
      <c r="BPL23" s="54"/>
      <c r="BPV23" s="54"/>
      <c r="BQF23" s="54"/>
      <c r="BQP23" s="54"/>
      <c r="BQZ23" s="54"/>
      <c r="BRJ23" s="54"/>
      <c r="BRT23" s="54"/>
      <c r="BSD23" s="54"/>
      <c r="BSN23" s="54"/>
      <c r="BSX23" s="54"/>
      <c r="BTH23" s="54"/>
      <c r="BTR23" s="54"/>
      <c r="BUB23" s="54"/>
      <c r="BUL23" s="54"/>
      <c r="BUV23" s="54"/>
      <c r="BVF23" s="54"/>
      <c r="BVP23" s="54"/>
      <c r="BVZ23" s="54"/>
      <c r="BWJ23" s="54"/>
      <c r="BWT23" s="54"/>
      <c r="BXD23" s="54"/>
      <c r="BXN23" s="54"/>
      <c r="BXX23" s="54"/>
      <c r="BYH23" s="54"/>
      <c r="BYR23" s="54"/>
      <c r="BZB23" s="54"/>
      <c r="BZL23" s="54"/>
      <c r="BZV23" s="54"/>
      <c r="CAF23" s="54"/>
      <c r="CAP23" s="54"/>
      <c r="CAZ23" s="54"/>
      <c r="CBJ23" s="54"/>
      <c r="CBT23" s="54"/>
      <c r="CCD23" s="54"/>
      <c r="CCN23" s="54"/>
      <c r="CCX23" s="54"/>
      <c r="CDH23" s="54"/>
      <c r="CDR23" s="54"/>
      <c r="CEB23" s="54"/>
      <c r="CEL23" s="54"/>
      <c r="CEV23" s="54"/>
      <c r="CFF23" s="54"/>
      <c r="CFP23" s="54"/>
      <c r="CFZ23" s="54"/>
      <c r="CGJ23" s="54"/>
      <c r="CGT23" s="54"/>
      <c r="CHD23" s="54"/>
      <c r="CHN23" s="54"/>
      <c r="CHX23" s="54"/>
      <c r="CIH23" s="54"/>
      <c r="CIR23" s="54"/>
      <c r="CJB23" s="54"/>
      <c r="CJL23" s="54"/>
      <c r="CJV23" s="54"/>
      <c r="CKF23" s="54"/>
      <c r="CKP23" s="54"/>
      <c r="CKZ23" s="54"/>
      <c r="CLJ23" s="54"/>
      <c r="CLT23" s="54"/>
      <c r="CMD23" s="54"/>
      <c r="CMN23" s="54"/>
      <c r="CMX23" s="54"/>
      <c r="CNH23" s="54"/>
      <c r="CNR23" s="54"/>
      <c r="COB23" s="54"/>
      <c r="COL23" s="54"/>
      <c r="COV23" s="54"/>
      <c r="CPF23" s="54"/>
      <c r="CPP23" s="54"/>
      <c r="CPZ23" s="54"/>
      <c r="CQJ23" s="54"/>
      <c r="CQT23" s="54"/>
      <c r="CRD23" s="54"/>
      <c r="CRN23" s="54"/>
      <c r="CRX23" s="54"/>
      <c r="CSH23" s="54"/>
      <c r="CSR23" s="54"/>
      <c r="CTB23" s="54"/>
      <c r="CTL23" s="54"/>
      <c r="CTV23" s="54"/>
    </row>
    <row r="24" s="39" customFormat="1" customHeight="1" spans="1:1020 1030:2040 2050:2570">
      <c r="A24" s="48">
        <v>46150</v>
      </c>
      <c r="B24" s="9" t="s">
        <v>32</v>
      </c>
      <c r="C24" s="10" t="s">
        <v>33</v>
      </c>
      <c r="D24" s="49">
        <v>652365428</v>
      </c>
      <c r="E24" s="11" t="s">
        <v>51</v>
      </c>
      <c r="F24" s="50" t="str">
        <f>VLOOKUP(E24,基础数据!E:F,2,0)</f>
        <v>A03HW67.1-采样集成线束</v>
      </c>
      <c r="G24" s="49">
        <v>40</v>
      </c>
      <c r="H24" s="51" t="str">
        <f>VLOOKUP(E24,基础数据!E:H,4,0)</f>
        <v>料盒</v>
      </c>
      <c r="I24" s="51">
        <f>VLOOKUP(E24,基础数据!E:G,3,0)</f>
        <v>40</v>
      </c>
      <c r="J24" s="49" t="s">
        <v>35</v>
      </c>
      <c r="K24" s="52">
        <f t="shared" si="0"/>
        <v>1</v>
      </c>
      <c r="T24" s="54"/>
      <c r="AD24" s="54"/>
      <c r="AN24" s="54"/>
      <c r="AX24" s="54"/>
      <c r="BH24" s="54"/>
      <c r="BR24" s="54"/>
      <c r="CB24" s="54"/>
      <c r="CL24" s="54"/>
      <c r="CV24" s="54"/>
      <c r="DF24" s="54"/>
      <c r="DP24" s="54"/>
      <c r="DZ24" s="54"/>
      <c r="EJ24" s="54"/>
      <c r="ET24" s="54"/>
      <c r="FD24" s="54"/>
      <c r="FN24" s="54"/>
      <c r="FX24" s="54"/>
      <c r="GH24" s="54"/>
      <c r="GR24" s="54"/>
      <c r="HB24" s="54"/>
      <c r="HL24" s="54"/>
      <c r="HV24" s="54"/>
      <c r="IF24" s="54"/>
      <c r="IP24" s="54"/>
      <c r="IZ24" s="54"/>
      <c r="JJ24" s="54"/>
      <c r="JT24" s="54"/>
      <c r="KD24" s="54"/>
      <c r="KN24" s="54"/>
      <c r="KX24" s="54"/>
      <c r="LH24" s="54"/>
      <c r="LR24" s="54"/>
      <c r="MB24" s="54"/>
      <c r="ML24" s="54"/>
      <c r="MV24" s="54"/>
      <c r="NF24" s="54"/>
      <c r="NP24" s="54"/>
      <c r="NZ24" s="54"/>
      <c r="OJ24" s="54"/>
      <c r="OT24" s="54"/>
      <c r="PD24" s="54"/>
      <c r="PN24" s="54"/>
      <c r="PX24" s="54"/>
      <c r="QH24" s="54"/>
      <c r="QR24" s="54"/>
      <c r="RB24" s="54"/>
      <c r="RL24" s="54"/>
      <c r="RV24" s="54"/>
      <c r="SF24" s="54"/>
      <c r="SP24" s="54"/>
      <c r="SZ24" s="54"/>
      <c r="TJ24" s="54"/>
      <c r="TT24" s="54"/>
      <c r="UD24" s="54"/>
      <c r="UN24" s="54"/>
      <c r="UX24" s="54"/>
      <c r="VH24" s="54"/>
      <c r="VR24" s="54"/>
      <c r="WB24" s="54"/>
      <c r="WL24" s="54"/>
      <c r="WV24" s="54"/>
      <c r="XF24" s="54"/>
      <c r="XP24" s="54"/>
      <c r="XZ24" s="54"/>
      <c r="YJ24" s="54"/>
      <c r="YT24" s="54"/>
      <c r="ZD24" s="54"/>
      <c r="ZN24" s="54"/>
      <c r="ZX24" s="54"/>
      <c r="AAH24" s="54"/>
      <c r="AAR24" s="54"/>
      <c r="ABB24" s="54"/>
      <c r="ABL24" s="54"/>
      <c r="ABV24" s="54"/>
      <c r="ACF24" s="54"/>
      <c r="ACP24" s="54"/>
      <c r="ACZ24" s="54"/>
      <c r="ADJ24" s="54"/>
      <c r="ADT24" s="54"/>
      <c r="AED24" s="54"/>
      <c r="AEN24" s="54"/>
      <c r="AEX24" s="54"/>
      <c r="AFH24" s="54"/>
      <c r="AFR24" s="54"/>
      <c r="AGB24" s="54"/>
      <c r="AGL24" s="54"/>
      <c r="AGV24" s="54"/>
      <c r="AHF24" s="54"/>
      <c r="AHP24" s="54"/>
      <c r="AHZ24" s="54"/>
      <c r="AIJ24" s="54"/>
      <c r="AIT24" s="54"/>
      <c r="AJD24" s="54"/>
      <c r="AJN24" s="54"/>
      <c r="AJX24" s="54"/>
      <c r="AKH24" s="54"/>
      <c r="AKR24" s="54"/>
      <c r="ALB24" s="54"/>
      <c r="ALL24" s="54"/>
      <c r="ALV24" s="54"/>
      <c r="AMF24" s="54"/>
      <c r="AMP24" s="54"/>
      <c r="AMZ24" s="54"/>
      <c r="ANJ24" s="54"/>
      <c r="ANT24" s="54"/>
      <c r="AOD24" s="54"/>
      <c r="AON24" s="54"/>
      <c r="AOX24" s="54"/>
      <c r="APH24" s="54"/>
      <c r="APR24" s="54"/>
      <c r="AQB24" s="54"/>
      <c r="AQL24" s="54"/>
      <c r="AQV24" s="54"/>
      <c r="ARF24" s="54"/>
      <c r="ARP24" s="54"/>
      <c r="ARZ24" s="54"/>
      <c r="ASJ24" s="54"/>
      <c r="AST24" s="54"/>
      <c r="ATD24" s="54"/>
      <c r="ATN24" s="54"/>
      <c r="ATX24" s="54"/>
      <c r="AUH24" s="54"/>
      <c r="AUR24" s="54"/>
      <c r="AVB24" s="54"/>
      <c r="AVL24" s="54"/>
      <c r="AVV24" s="54"/>
      <c r="AWF24" s="54"/>
      <c r="AWP24" s="54"/>
      <c r="AWZ24" s="54"/>
      <c r="AXJ24" s="54"/>
      <c r="AXT24" s="54"/>
      <c r="AYD24" s="54"/>
      <c r="AYN24" s="54"/>
      <c r="AYX24" s="54"/>
      <c r="AZH24" s="54"/>
      <c r="AZR24" s="54"/>
      <c r="BAB24" s="54"/>
      <c r="BAL24" s="54"/>
      <c r="BAV24" s="54"/>
      <c r="BBF24" s="54"/>
      <c r="BBP24" s="54"/>
      <c r="BBZ24" s="54"/>
      <c r="BCJ24" s="54"/>
      <c r="BCT24" s="54"/>
      <c r="BDD24" s="54"/>
      <c r="BDN24" s="54"/>
      <c r="BDX24" s="54"/>
      <c r="BEH24" s="54"/>
      <c r="BER24" s="54"/>
      <c r="BFB24" s="54"/>
      <c r="BFL24" s="54"/>
      <c r="BFV24" s="54"/>
      <c r="BGF24" s="54"/>
      <c r="BGP24" s="54"/>
      <c r="BGZ24" s="54"/>
      <c r="BHJ24" s="54"/>
      <c r="BHT24" s="54"/>
      <c r="BID24" s="54"/>
      <c r="BIN24" s="54"/>
      <c r="BIX24" s="54"/>
      <c r="BJH24" s="54"/>
      <c r="BJR24" s="54"/>
      <c r="BKB24" s="54"/>
      <c r="BKL24" s="54"/>
      <c r="BKV24" s="54"/>
      <c r="BLF24" s="54"/>
      <c r="BLP24" s="54"/>
      <c r="BLZ24" s="54"/>
      <c r="BMJ24" s="54"/>
      <c r="BMT24" s="54"/>
      <c r="BND24" s="54"/>
      <c r="BNN24" s="54"/>
      <c r="BNX24" s="54"/>
      <c r="BOH24" s="54"/>
      <c r="BOR24" s="54"/>
      <c r="BPB24" s="54"/>
      <c r="BPL24" s="54"/>
      <c r="BPV24" s="54"/>
      <c r="BQF24" s="54"/>
      <c r="BQP24" s="54"/>
      <c r="BQZ24" s="54"/>
      <c r="BRJ24" s="54"/>
      <c r="BRT24" s="54"/>
      <c r="BSD24" s="54"/>
      <c r="BSN24" s="54"/>
      <c r="BSX24" s="54"/>
      <c r="BTH24" s="54"/>
      <c r="BTR24" s="54"/>
      <c r="BUB24" s="54"/>
      <c r="BUL24" s="54"/>
      <c r="BUV24" s="54"/>
      <c r="BVF24" s="54"/>
      <c r="BVP24" s="54"/>
      <c r="BVZ24" s="54"/>
      <c r="BWJ24" s="54"/>
      <c r="BWT24" s="54"/>
      <c r="BXD24" s="54"/>
      <c r="BXN24" s="54"/>
      <c r="BXX24" s="54"/>
      <c r="BYH24" s="54"/>
      <c r="BYR24" s="54"/>
      <c r="BZB24" s="54"/>
      <c r="BZL24" s="54"/>
      <c r="BZV24" s="54"/>
      <c r="CAF24" s="54"/>
      <c r="CAP24" s="54"/>
      <c r="CAZ24" s="54"/>
      <c r="CBJ24" s="54"/>
      <c r="CBT24" s="54"/>
      <c r="CCD24" s="54"/>
      <c r="CCN24" s="54"/>
      <c r="CCX24" s="54"/>
      <c r="CDH24" s="54"/>
      <c r="CDR24" s="54"/>
      <c r="CEB24" s="54"/>
      <c r="CEL24" s="54"/>
      <c r="CEV24" s="54"/>
      <c r="CFF24" s="54"/>
      <c r="CFP24" s="54"/>
      <c r="CFZ24" s="54"/>
      <c r="CGJ24" s="54"/>
      <c r="CGT24" s="54"/>
      <c r="CHD24" s="54"/>
      <c r="CHN24" s="54"/>
      <c r="CHX24" s="54"/>
      <c r="CIH24" s="54"/>
      <c r="CIR24" s="54"/>
      <c r="CJB24" s="54"/>
      <c r="CJL24" s="54"/>
      <c r="CJV24" s="54"/>
      <c r="CKF24" s="54"/>
      <c r="CKP24" s="54"/>
      <c r="CKZ24" s="54"/>
      <c r="CLJ24" s="54"/>
      <c r="CLT24" s="54"/>
      <c r="CMD24" s="54"/>
      <c r="CMN24" s="54"/>
      <c r="CMX24" s="54"/>
      <c r="CNH24" s="54"/>
      <c r="CNR24" s="54"/>
      <c r="COB24" s="54"/>
      <c r="COL24" s="54"/>
      <c r="COV24" s="54"/>
      <c r="CPF24" s="54"/>
      <c r="CPP24" s="54"/>
      <c r="CPZ24" s="54"/>
      <c r="CQJ24" s="54"/>
      <c r="CQT24" s="54"/>
      <c r="CRD24" s="54"/>
      <c r="CRN24" s="54"/>
      <c r="CRX24" s="54"/>
      <c r="CSH24" s="54"/>
      <c r="CSR24" s="54"/>
      <c r="CTB24" s="54"/>
      <c r="CTL24" s="54"/>
      <c r="CTV24" s="54"/>
    </row>
    <row r="25" s="39" customFormat="1" customHeight="1" spans="1:1020 1030:2040 2050:2570">
      <c r="A25" s="48">
        <v>46150</v>
      </c>
      <c r="B25" s="9" t="s">
        <v>32</v>
      </c>
      <c r="C25" s="10" t="s">
        <v>33</v>
      </c>
      <c r="D25" s="49">
        <v>652365428</v>
      </c>
      <c r="E25" s="11" t="s">
        <v>50</v>
      </c>
      <c r="F25" s="50" t="str">
        <f>VLOOKUP(E25,基础数据!E:F,2,0)</f>
        <v>A03HW67.1-通讯集成线束</v>
      </c>
      <c r="G25" s="49">
        <v>100</v>
      </c>
      <c r="H25" s="51" t="str">
        <f>VLOOKUP(E25,基础数据!E:H,4,0)</f>
        <v>料盒</v>
      </c>
      <c r="I25" s="51">
        <f>VLOOKUP(E25,基础数据!E:G,3,0)</f>
        <v>100</v>
      </c>
      <c r="J25" s="49" t="s">
        <v>35</v>
      </c>
      <c r="K25" s="52">
        <f t="shared" si="0"/>
        <v>1</v>
      </c>
      <c r="T25" s="54"/>
      <c r="AD25" s="54"/>
      <c r="AN25" s="54"/>
      <c r="AX25" s="54"/>
      <c r="BH25" s="54"/>
      <c r="BR25" s="54"/>
      <c r="CB25" s="54"/>
      <c r="CL25" s="54"/>
      <c r="CV25" s="54"/>
      <c r="DF25" s="54"/>
      <c r="DP25" s="54"/>
      <c r="DZ25" s="54"/>
      <c r="EJ25" s="54"/>
      <c r="ET25" s="54"/>
      <c r="FD25" s="54"/>
      <c r="FN25" s="54"/>
      <c r="FX25" s="54"/>
      <c r="GH25" s="54"/>
      <c r="GR25" s="54"/>
      <c r="HB25" s="54"/>
      <c r="HL25" s="54"/>
      <c r="HV25" s="54"/>
      <c r="IF25" s="54"/>
      <c r="IP25" s="54"/>
      <c r="IZ25" s="54"/>
      <c r="JJ25" s="54"/>
      <c r="JT25" s="54"/>
      <c r="KD25" s="54"/>
      <c r="KN25" s="54"/>
      <c r="KX25" s="54"/>
      <c r="LH25" s="54"/>
      <c r="LR25" s="54"/>
      <c r="MB25" s="54"/>
      <c r="ML25" s="54"/>
      <c r="MV25" s="54"/>
      <c r="NF25" s="54"/>
      <c r="NP25" s="54"/>
      <c r="NZ25" s="54"/>
      <c r="OJ25" s="54"/>
      <c r="OT25" s="54"/>
      <c r="PD25" s="54"/>
      <c r="PN25" s="54"/>
      <c r="PX25" s="54"/>
      <c r="QH25" s="54"/>
      <c r="QR25" s="54"/>
      <c r="RB25" s="54"/>
      <c r="RL25" s="54"/>
      <c r="RV25" s="54"/>
      <c r="SF25" s="54"/>
      <c r="SP25" s="54"/>
      <c r="SZ25" s="54"/>
      <c r="TJ25" s="54"/>
      <c r="TT25" s="54"/>
      <c r="UD25" s="54"/>
      <c r="UN25" s="54"/>
      <c r="UX25" s="54"/>
      <c r="VH25" s="54"/>
      <c r="VR25" s="54"/>
      <c r="WB25" s="54"/>
      <c r="WL25" s="54"/>
      <c r="WV25" s="54"/>
      <c r="XF25" s="54"/>
      <c r="XP25" s="54"/>
      <c r="XZ25" s="54"/>
      <c r="YJ25" s="54"/>
      <c r="YT25" s="54"/>
      <c r="ZD25" s="54"/>
      <c r="ZN25" s="54"/>
      <c r="ZX25" s="54"/>
      <c r="AAH25" s="54"/>
      <c r="AAR25" s="54"/>
      <c r="ABB25" s="54"/>
      <c r="ABL25" s="54"/>
      <c r="ABV25" s="54"/>
      <c r="ACF25" s="54"/>
      <c r="ACP25" s="54"/>
      <c r="ACZ25" s="54"/>
      <c r="ADJ25" s="54"/>
      <c r="ADT25" s="54"/>
      <c r="AED25" s="54"/>
      <c r="AEN25" s="54"/>
      <c r="AEX25" s="54"/>
      <c r="AFH25" s="54"/>
      <c r="AFR25" s="54"/>
      <c r="AGB25" s="54"/>
      <c r="AGL25" s="54"/>
      <c r="AGV25" s="54"/>
      <c r="AHF25" s="54"/>
      <c r="AHP25" s="54"/>
      <c r="AHZ25" s="54"/>
      <c r="AIJ25" s="54"/>
      <c r="AIT25" s="54"/>
      <c r="AJD25" s="54"/>
      <c r="AJN25" s="54"/>
      <c r="AJX25" s="54"/>
      <c r="AKH25" s="54"/>
      <c r="AKR25" s="54"/>
      <c r="ALB25" s="54"/>
      <c r="ALL25" s="54"/>
      <c r="ALV25" s="54"/>
      <c r="AMF25" s="54"/>
      <c r="AMP25" s="54"/>
      <c r="AMZ25" s="54"/>
      <c r="ANJ25" s="54"/>
      <c r="ANT25" s="54"/>
      <c r="AOD25" s="54"/>
      <c r="AON25" s="54"/>
      <c r="AOX25" s="54"/>
      <c r="APH25" s="54"/>
      <c r="APR25" s="54"/>
      <c r="AQB25" s="54"/>
      <c r="AQL25" s="54"/>
      <c r="AQV25" s="54"/>
      <c r="ARF25" s="54"/>
      <c r="ARP25" s="54"/>
      <c r="ARZ25" s="54"/>
      <c r="ASJ25" s="54"/>
      <c r="AST25" s="54"/>
      <c r="ATD25" s="54"/>
      <c r="ATN25" s="54"/>
      <c r="ATX25" s="54"/>
      <c r="AUH25" s="54"/>
      <c r="AUR25" s="54"/>
      <c r="AVB25" s="54"/>
      <c r="AVL25" s="54"/>
      <c r="AVV25" s="54"/>
      <c r="AWF25" s="54"/>
      <c r="AWP25" s="54"/>
      <c r="AWZ25" s="54"/>
      <c r="AXJ25" s="54"/>
      <c r="AXT25" s="54"/>
      <c r="AYD25" s="54"/>
      <c r="AYN25" s="54"/>
      <c r="AYX25" s="54"/>
      <c r="AZH25" s="54"/>
      <c r="AZR25" s="54"/>
      <c r="BAB25" s="54"/>
      <c r="BAL25" s="54"/>
      <c r="BAV25" s="54"/>
      <c r="BBF25" s="54"/>
      <c r="BBP25" s="54"/>
      <c r="BBZ25" s="54"/>
      <c r="BCJ25" s="54"/>
      <c r="BCT25" s="54"/>
      <c r="BDD25" s="54"/>
      <c r="BDN25" s="54"/>
      <c r="BDX25" s="54"/>
      <c r="BEH25" s="54"/>
      <c r="BER25" s="54"/>
      <c r="BFB25" s="54"/>
      <c r="BFL25" s="54"/>
      <c r="BFV25" s="54"/>
      <c r="BGF25" s="54"/>
      <c r="BGP25" s="54"/>
      <c r="BGZ25" s="54"/>
      <c r="BHJ25" s="54"/>
      <c r="BHT25" s="54"/>
      <c r="BID25" s="54"/>
      <c r="BIN25" s="54"/>
      <c r="BIX25" s="54"/>
      <c r="BJH25" s="54"/>
      <c r="BJR25" s="54"/>
      <c r="BKB25" s="54"/>
      <c r="BKL25" s="54"/>
      <c r="BKV25" s="54"/>
      <c r="BLF25" s="54"/>
      <c r="BLP25" s="54"/>
      <c r="BLZ25" s="54"/>
      <c r="BMJ25" s="54"/>
      <c r="BMT25" s="54"/>
      <c r="BND25" s="54"/>
      <c r="BNN25" s="54"/>
      <c r="BNX25" s="54"/>
      <c r="BOH25" s="54"/>
      <c r="BOR25" s="54"/>
      <c r="BPB25" s="54"/>
      <c r="BPL25" s="54"/>
      <c r="BPV25" s="54"/>
      <c r="BQF25" s="54"/>
      <c r="BQP25" s="54"/>
      <c r="BQZ25" s="54"/>
      <c r="BRJ25" s="54"/>
      <c r="BRT25" s="54"/>
      <c r="BSD25" s="54"/>
      <c r="BSN25" s="54"/>
      <c r="BSX25" s="54"/>
      <c r="BTH25" s="54"/>
      <c r="BTR25" s="54"/>
      <c r="BUB25" s="54"/>
      <c r="BUL25" s="54"/>
      <c r="BUV25" s="54"/>
      <c r="BVF25" s="54"/>
      <c r="BVP25" s="54"/>
      <c r="BVZ25" s="54"/>
      <c r="BWJ25" s="54"/>
      <c r="BWT25" s="54"/>
      <c r="BXD25" s="54"/>
      <c r="BXN25" s="54"/>
      <c r="BXX25" s="54"/>
      <c r="BYH25" s="54"/>
      <c r="BYR25" s="54"/>
      <c r="BZB25" s="54"/>
      <c r="BZL25" s="54"/>
      <c r="BZV25" s="54"/>
      <c r="CAF25" s="54"/>
      <c r="CAP25" s="54"/>
      <c r="CAZ25" s="54"/>
      <c r="CBJ25" s="54"/>
      <c r="CBT25" s="54"/>
      <c r="CCD25" s="54"/>
      <c r="CCN25" s="54"/>
      <c r="CCX25" s="54"/>
      <c r="CDH25" s="54"/>
      <c r="CDR25" s="54"/>
      <c r="CEB25" s="54"/>
      <c r="CEL25" s="54"/>
      <c r="CEV25" s="54"/>
      <c r="CFF25" s="54"/>
      <c r="CFP25" s="54"/>
      <c r="CFZ25" s="54"/>
      <c r="CGJ25" s="54"/>
      <c r="CGT25" s="54"/>
      <c r="CHD25" s="54"/>
      <c r="CHN25" s="54"/>
      <c r="CHX25" s="54"/>
      <c r="CIH25" s="54"/>
      <c r="CIR25" s="54"/>
      <c r="CJB25" s="54"/>
      <c r="CJL25" s="54"/>
      <c r="CJV25" s="54"/>
      <c r="CKF25" s="54"/>
      <c r="CKP25" s="54"/>
      <c r="CKZ25" s="54"/>
      <c r="CLJ25" s="54"/>
      <c r="CLT25" s="54"/>
      <c r="CMD25" s="54"/>
      <c r="CMN25" s="54"/>
      <c r="CMX25" s="54"/>
      <c r="CNH25" s="54"/>
      <c r="CNR25" s="54"/>
      <c r="COB25" s="54"/>
      <c r="COL25" s="54"/>
      <c r="COV25" s="54"/>
      <c r="CPF25" s="54"/>
      <c r="CPP25" s="54"/>
      <c r="CPZ25" s="54"/>
      <c r="CQJ25" s="54"/>
      <c r="CQT25" s="54"/>
      <c r="CRD25" s="54"/>
      <c r="CRN25" s="54"/>
      <c r="CRX25" s="54"/>
      <c r="CSH25" s="54"/>
      <c r="CSR25" s="54"/>
      <c r="CTB25" s="54"/>
      <c r="CTL25" s="54"/>
      <c r="CTV25" s="54"/>
    </row>
    <row r="26" s="39" customFormat="1" customHeight="1" spans="1:1020 1030:2040 2050:2570">
      <c r="A26" s="48">
        <v>46150</v>
      </c>
      <c r="B26" s="9" t="s">
        <v>32</v>
      </c>
      <c r="C26" s="10" t="s">
        <v>33</v>
      </c>
      <c r="D26" s="49">
        <v>652365528</v>
      </c>
      <c r="E26" s="11" t="s">
        <v>34</v>
      </c>
      <c r="F26" s="50" t="str">
        <f>VLOOKUP(E26,基础数据!E:F,2,0)</f>
        <v>LX00148-CCS总成</v>
      </c>
      <c r="G26" s="49">
        <v>2040</v>
      </c>
      <c r="H26" s="51" t="str">
        <f>VLOOKUP(E26,基础数据!E:H,4,0)</f>
        <v>纸箱</v>
      </c>
      <c r="I26" s="51">
        <f>VLOOKUP(E26,基础数据!E:G,3,0)</f>
        <v>12</v>
      </c>
      <c r="J26" s="49" t="s">
        <v>35</v>
      </c>
      <c r="K26" s="52">
        <f t="shared" si="0"/>
        <v>170</v>
      </c>
      <c r="T26" s="54"/>
      <c r="AD26" s="54"/>
      <c r="AN26" s="54"/>
      <c r="AX26" s="54"/>
      <c r="BH26" s="54"/>
      <c r="BR26" s="54"/>
      <c r="CB26" s="54"/>
      <c r="CL26" s="54"/>
      <c r="CV26" s="54"/>
      <c r="DF26" s="54"/>
      <c r="DP26" s="54"/>
      <c r="DZ26" s="54"/>
      <c r="EJ26" s="54"/>
      <c r="ET26" s="54"/>
      <c r="FD26" s="54"/>
      <c r="FN26" s="54"/>
      <c r="FX26" s="54"/>
      <c r="GH26" s="54"/>
      <c r="GR26" s="54"/>
      <c r="HB26" s="54"/>
      <c r="HL26" s="54"/>
      <c r="HV26" s="54"/>
      <c r="IF26" s="54"/>
      <c r="IP26" s="54"/>
      <c r="IZ26" s="54"/>
      <c r="JJ26" s="54"/>
      <c r="JT26" s="54"/>
      <c r="KD26" s="54"/>
      <c r="KN26" s="54"/>
      <c r="KX26" s="54"/>
      <c r="LH26" s="54"/>
      <c r="LR26" s="54"/>
      <c r="MB26" s="54"/>
      <c r="ML26" s="54"/>
      <c r="MV26" s="54"/>
      <c r="NF26" s="54"/>
      <c r="NP26" s="54"/>
      <c r="NZ26" s="54"/>
      <c r="OJ26" s="54"/>
      <c r="OT26" s="54"/>
      <c r="PD26" s="54"/>
      <c r="PN26" s="54"/>
      <c r="PX26" s="54"/>
      <c r="QH26" s="54"/>
      <c r="QR26" s="54"/>
      <c r="RB26" s="54"/>
      <c r="RL26" s="54"/>
      <c r="RV26" s="54"/>
      <c r="SF26" s="54"/>
      <c r="SP26" s="54"/>
      <c r="SZ26" s="54"/>
      <c r="TJ26" s="54"/>
      <c r="TT26" s="54"/>
      <c r="UD26" s="54"/>
      <c r="UN26" s="54"/>
      <c r="UX26" s="54"/>
      <c r="VH26" s="54"/>
      <c r="VR26" s="54"/>
      <c r="WB26" s="54"/>
      <c r="WL26" s="54"/>
      <c r="WV26" s="54"/>
      <c r="XF26" s="54"/>
      <c r="XP26" s="54"/>
      <c r="XZ26" s="54"/>
      <c r="YJ26" s="54"/>
      <c r="YT26" s="54"/>
      <c r="ZD26" s="54"/>
      <c r="ZN26" s="54"/>
      <c r="ZX26" s="54"/>
      <c r="AAH26" s="54"/>
      <c r="AAR26" s="54"/>
      <c r="ABB26" s="54"/>
      <c r="ABL26" s="54"/>
      <c r="ABV26" s="54"/>
      <c r="ACF26" s="54"/>
      <c r="ACP26" s="54"/>
      <c r="ACZ26" s="54"/>
      <c r="ADJ26" s="54"/>
      <c r="ADT26" s="54"/>
      <c r="AED26" s="54"/>
      <c r="AEN26" s="54"/>
      <c r="AEX26" s="54"/>
      <c r="AFH26" s="54"/>
      <c r="AFR26" s="54"/>
      <c r="AGB26" s="54"/>
      <c r="AGL26" s="54"/>
      <c r="AGV26" s="54"/>
      <c r="AHF26" s="54"/>
      <c r="AHP26" s="54"/>
      <c r="AHZ26" s="54"/>
      <c r="AIJ26" s="54"/>
      <c r="AIT26" s="54"/>
      <c r="AJD26" s="54"/>
      <c r="AJN26" s="54"/>
      <c r="AJX26" s="54"/>
      <c r="AKH26" s="54"/>
      <c r="AKR26" s="54"/>
      <c r="ALB26" s="54"/>
      <c r="ALL26" s="54"/>
      <c r="ALV26" s="54"/>
      <c r="AMF26" s="54"/>
      <c r="AMP26" s="54"/>
      <c r="AMZ26" s="54"/>
      <c r="ANJ26" s="54"/>
      <c r="ANT26" s="54"/>
      <c r="AOD26" s="54"/>
      <c r="AON26" s="54"/>
      <c r="AOX26" s="54"/>
      <c r="APH26" s="54"/>
      <c r="APR26" s="54"/>
      <c r="AQB26" s="54"/>
      <c r="AQL26" s="54"/>
      <c r="AQV26" s="54"/>
      <c r="ARF26" s="54"/>
      <c r="ARP26" s="54"/>
      <c r="ARZ26" s="54"/>
      <c r="ASJ26" s="54"/>
      <c r="AST26" s="54"/>
      <c r="ATD26" s="54"/>
      <c r="ATN26" s="54"/>
      <c r="ATX26" s="54"/>
      <c r="AUH26" s="54"/>
      <c r="AUR26" s="54"/>
      <c r="AVB26" s="54"/>
      <c r="AVL26" s="54"/>
      <c r="AVV26" s="54"/>
      <c r="AWF26" s="54"/>
      <c r="AWP26" s="54"/>
      <c r="AWZ26" s="54"/>
      <c r="AXJ26" s="54"/>
      <c r="AXT26" s="54"/>
      <c r="AYD26" s="54"/>
      <c r="AYN26" s="54"/>
      <c r="AYX26" s="54"/>
      <c r="AZH26" s="54"/>
      <c r="AZR26" s="54"/>
      <c r="BAB26" s="54"/>
      <c r="BAL26" s="54"/>
      <c r="BAV26" s="54"/>
      <c r="BBF26" s="54"/>
      <c r="BBP26" s="54"/>
      <c r="BBZ26" s="54"/>
      <c r="BCJ26" s="54"/>
      <c r="BCT26" s="54"/>
      <c r="BDD26" s="54"/>
      <c r="BDN26" s="54"/>
      <c r="BDX26" s="54"/>
      <c r="BEH26" s="54"/>
      <c r="BER26" s="54"/>
      <c r="BFB26" s="54"/>
      <c r="BFL26" s="54"/>
      <c r="BFV26" s="54"/>
      <c r="BGF26" s="54"/>
      <c r="BGP26" s="54"/>
      <c r="BGZ26" s="54"/>
      <c r="BHJ26" s="54"/>
      <c r="BHT26" s="54"/>
      <c r="BID26" s="54"/>
      <c r="BIN26" s="54"/>
      <c r="BIX26" s="54"/>
      <c r="BJH26" s="54"/>
      <c r="BJR26" s="54"/>
      <c r="BKB26" s="54"/>
      <c r="BKL26" s="54"/>
      <c r="BKV26" s="54"/>
      <c r="BLF26" s="54"/>
      <c r="BLP26" s="54"/>
      <c r="BLZ26" s="54"/>
      <c r="BMJ26" s="54"/>
      <c r="BMT26" s="54"/>
      <c r="BND26" s="54"/>
      <c r="BNN26" s="54"/>
      <c r="BNX26" s="54"/>
      <c r="BOH26" s="54"/>
      <c r="BOR26" s="54"/>
      <c r="BPB26" s="54"/>
      <c r="BPL26" s="54"/>
      <c r="BPV26" s="54"/>
      <c r="BQF26" s="54"/>
      <c r="BQP26" s="54"/>
      <c r="BQZ26" s="54"/>
      <c r="BRJ26" s="54"/>
      <c r="BRT26" s="54"/>
      <c r="BSD26" s="54"/>
      <c r="BSN26" s="54"/>
      <c r="BSX26" s="54"/>
      <c r="BTH26" s="54"/>
      <c r="BTR26" s="54"/>
      <c r="BUB26" s="54"/>
      <c r="BUL26" s="54"/>
      <c r="BUV26" s="54"/>
      <c r="BVF26" s="54"/>
      <c r="BVP26" s="54"/>
      <c r="BVZ26" s="54"/>
      <c r="BWJ26" s="54"/>
      <c r="BWT26" s="54"/>
      <c r="BXD26" s="54"/>
      <c r="BXN26" s="54"/>
      <c r="BXX26" s="54"/>
      <c r="BYH26" s="54"/>
      <c r="BYR26" s="54"/>
      <c r="BZB26" s="54"/>
      <c r="BZL26" s="54"/>
      <c r="BZV26" s="54"/>
      <c r="CAF26" s="54"/>
      <c r="CAP26" s="54"/>
      <c r="CAZ26" s="54"/>
      <c r="CBJ26" s="54"/>
      <c r="CBT26" s="54"/>
      <c r="CCD26" s="54"/>
      <c r="CCN26" s="54"/>
      <c r="CCX26" s="54"/>
      <c r="CDH26" s="54"/>
      <c r="CDR26" s="54"/>
      <c r="CEB26" s="54"/>
      <c r="CEL26" s="54"/>
      <c r="CEV26" s="54"/>
      <c r="CFF26" s="54"/>
      <c r="CFP26" s="54"/>
      <c r="CFZ26" s="54"/>
      <c r="CGJ26" s="54"/>
      <c r="CGT26" s="54"/>
      <c r="CHD26" s="54"/>
      <c r="CHN26" s="54"/>
      <c r="CHX26" s="54"/>
      <c r="CIH26" s="54"/>
      <c r="CIR26" s="54"/>
      <c r="CJB26" s="54"/>
      <c r="CJL26" s="54"/>
      <c r="CJV26" s="54"/>
      <c r="CKF26" s="54"/>
      <c r="CKP26" s="54"/>
      <c r="CKZ26" s="54"/>
      <c r="CLJ26" s="54"/>
      <c r="CLT26" s="54"/>
      <c r="CMD26" s="54"/>
      <c r="CMN26" s="54"/>
      <c r="CMX26" s="54"/>
      <c r="CNH26" s="54"/>
      <c r="CNR26" s="54"/>
      <c r="COB26" s="54"/>
      <c r="COL26" s="54"/>
      <c r="COV26" s="54"/>
      <c r="CPF26" s="54"/>
      <c r="CPP26" s="54"/>
      <c r="CPZ26" s="54"/>
      <c r="CQJ26" s="54"/>
      <c r="CQT26" s="54"/>
      <c r="CRD26" s="54"/>
      <c r="CRN26" s="54"/>
      <c r="CRX26" s="54"/>
      <c r="CSH26" s="54"/>
      <c r="CSR26" s="54"/>
      <c r="CTB26" s="54"/>
      <c r="CTL26" s="54"/>
      <c r="CTV26" s="54"/>
    </row>
    <row r="27" s="39" customFormat="1" customHeight="1" spans="1:1020 1030:2040 2050:2570">
      <c r="A27" s="48">
        <v>46150</v>
      </c>
      <c r="B27" s="9" t="s">
        <v>32</v>
      </c>
      <c r="C27" s="10" t="s">
        <v>33</v>
      </c>
      <c r="D27" s="49">
        <v>652366048</v>
      </c>
      <c r="E27" s="15" t="s">
        <v>54</v>
      </c>
      <c r="F27" s="50" t="str">
        <f>VLOOKUP(E27,基础数据!E:F,2,0)</f>
        <v>LXBU1101-BDU集成线束-60.8</v>
      </c>
      <c r="G27" s="49">
        <v>1600</v>
      </c>
      <c r="H27" s="51" t="str">
        <f>VLOOKUP(E27,基础数据!E:H,4,0)</f>
        <v>料盒</v>
      </c>
      <c r="I27" s="51">
        <f>VLOOKUP(E27,基础数据!E:G,3,0)</f>
        <v>40</v>
      </c>
      <c r="J27" s="49" t="s">
        <v>35</v>
      </c>
      <c r="K27" s="52">
        <f t="shared" si="0"/>
        <v>40</v>
      </c>
      <c r="T27" s="54"/>
      <c r="AD27" s="54"/>
      <c r="AN27" s="54"/>
      <c r="AX27" s="54"/>
      <c r="BH27" s="54"/>
      <c r="BR27" s="54"/>
      <c r="CB27" s="54"/>
      <c r="CL27" s="54"/>
      <c r="CV27" s="54"/>
      <c r="DF27" s="54"/>
      <c r="DP27" s="54"/>
      <c r="DZ27" s="54"/>
      <c r="EJ27" s="54"/>
      <c r="ET27" s="54"/>
      <c r="FD27" s="54"/>
      <c r="FN27" s="54"/>
      <c r="FX27" s="54"/>
      <c r="GH27" s="54"/>
      <c r="GR27" s="54"/>
      <c r="HB27" s="54"/>
      <c r="HL27" s="54"/>
      <c r="HV27" s="54"/>
      <c r="IF27" s="54"/>
      <c r="IP27" s="54"/>
      <c r="IZ27" s="54"/>
      <c r="JJ27" s="54"/>
      <c r="JT27" s="54"/>
      <c r="KD27" s="54"/>
      <c r="KN27" s="54"/>
      <c r="KX27" s="54"/>
      <c r="LH27" s="54"/>
      <c r="LR27" s="54"/>
      <c r="MB27" s="54"/>
      <c r="ML27" s="54"/>
      <c r="MV27" s="54"/>
      <c r="NF27" s="54"/>
      <c r="NP27" s="54"/>
      <c r="NZ27" s="54"/>
      <c r="OJ27" s="54"/>
      <c r="OT27" s="54"/>
      <c r="PD27" s="54"/>
      <c r="PN27" s="54"/>
      <c r="PX27" s="54"/>
      <c r="QH27" s="54"/>
      <c r="QR27" s="54"/>
      <c r="RB27" s="54"/>
      <c r="RL27" s="54"/>
      <c r="RV27" s="54"/>
      <c r="SF27" s="54"/>
      <c r="SP27" s="54"/>
      <c r="SZ27" s="54"/>
      <c r="TJ27" s="54"/>
      <c r="TT27" s="54"/>
      <c r="UD27" s="54"/>
      <c r="UN27" s="54"/>
      <c r="UX27" s="54"/>
      <c r="VH27" s="54"/>
      <c r="VR27" s="54"/>
      <c r="WB27" s="54"/>
      <c r="WL27" s="54"/>
      <c r="WV27" s="54"/>
      <c r="XF27" s="54"/>
      <c r="XP27" s="54"/>
      <c r="XZ27" s="54"/>
      <c r="YJ27" s="54"/>
      <c r="YT27" s="54"/>
      <c r="ZD27" s="54"/>
      <c r="ZN27" s="54"/>
      <c r="ZX27" s="54"/>
      <c r="AAH27" s="54"/>
      <c r="AAR27" s="54"/>
      <c r="ABB27" s="54"/>
      <c r="ABL27" s="54"/>
      <c r="ABV27" s="54"/>
      <c r="ACF27" s="54"/>
      <c r="ACP27" s="54"/>
      <c r="ACZ27" s="54"/>
      <c r="ADJ27" s="54"/>
      <c r="ADT27" s="54"/>
      <c r="AED27" s="54"/>
      <c r="AEN27" s="54"/>
      <c r="AEX27" s="54"/>
      <c r="AFH27" s="54"/>
      <c r="AFR27" s="54"/>
      <c r="AGB27" s="54"/>
      <c r="AGL27" s="54"/>
      <c r="AGV27" s="54"/>
      <c r="AHF27" s="54"/>
      <c r="AHP27" s="54"/>
      <c r="AHZ27" s="54"/>
      <c r="AIJ27" s="54"/>
      <c r="AIT27" s="54"/>
      <c r="AJD27" s="54"/>
      <c r="AJN27" s="54"/>
      <c r="AJX27" s="54"/>
      <c r="AKH27" s="54"/>
      <c r="AKR27" s="54"/>
      <c r="ALB27" s="54"/>
      <c r="ALL27" s="54"/>
      <c r="ALV27" s="54"/>
      <c r="AMF27" s="54"/>
      <c r="AMP27" s="54"/>
      <c r="AMZ27" s="54"/>
      <c r="ANJ27" s="54"/>
      <c r="ANT27" s="54"/>
      <c r="AOD27" s="54"/>
      <c r="AON27" s="54"/>
      <c r="AOX27" s="54"/>
      <c r="APH27" s="54"/>
      <c r="APR27" s="54"/>
      <c r="AQB27" s="54"/>
      <c r="AQL27" s="54"/>
      <c r="AQV27" s="54"/>
      <c r="ARF27" s="54"/>
      <c r="ARP27" s="54"/>
      <c r="ARZ27" s="54"/>
      <c r="ASJ27" s="54"/>
      <c r="AST27" s="54"/>
      <c r="ATD27" s="54"/>
      <c r="ATN27" s="54"/>
      <c r="ATX27" s="54"/>
      <c r="AUH27" s="54"/>
      <c r="AUR27" s="54"/>
      <c r="AVB27" s="54"/>
      <c r="AVL27" s="54"/>
      <c r="AVV27" s="54"/>
      <c r="AWF27" s="54"/>
      <c r="AWP27" s="54"/>
      <c r="AWZ27" s="54"/>
      <c r="AXJ27" s="54"/>
      <c r="AXT27" s="54"/>
      <c r="AYD27" s="54"/>
      <c r="AYN27" s="54"/>
      <c r="AYX27" s="54"/>
      <c r="AZH27" s="54"/>
      <c r="AZR27" s="54"/>
      <c r="BAB27" s="54"/>
      <c r="BAL27" s="54"/>
      <c r="BAV27" s="54"/>
      <c r="BBF27" s="54"/>
      <c r="BBP27" s="54"/>
      <c r="BBZ27" s="54"/>
      <c r="BCJ27" s="54"/>
      <c r="BCT27" s="54"/>
      <c r="BDD27" s="54"/>
      <c r="BDN27" s="54"/>
      <c r="BDX27" s="54"/>
      <c r="BEH27" s="54"/>
      <c r="BER27" s="54"/>
      <c r="BFB27" s="54"/>
      <c r="BFL27" s="54"/>
      <c r="BFV27" s="54"/>
      <c r="BGF27" s="54"/>
      <c r="BGP27" s="54"/>
      <c r="BGZ27" s="54"/>
      <c r="BHJ27" s="54"/>
      <c r="BHT27" s="54"/>
      <c r="BID27" s="54"/>
      <c r="BIN27" s="54"/>
      <c r="BIX27" s="54"/>
      <c r="BJH27" s="54"/>
      <c r="BJR27" s="54"/>
      <c r="BKB27" s="54"/>
      <c r="BKL27" s="54"/>
      <c r="BKV27" s="54"/>
      <c r="BLF27" s="54"/>
      <c r="BLP27" s="54"/>
      <c r="BLZ27" s="54"/>
      <c r="BMJ27" s="54"/>
      <c r="BMT27" s="54"/>
      <c r="BND27" s="54"/>
      <c r="BNN27" s="54"/>
      <c r="BNX27" s="54"/>
      <c r="BOH27" s="54"/>
      <c r="BOR27" s="54"/>
      <c r="BPB27" s="54"/>
      <c r="BPL27" s="54"/>
      <c r="BPV27" s="54"/>
      <c r="BQF27" s="54"/>
      <c r="BQP27" s="54"/>
      <c r="BQZ27" s="54"/>
      <c r="BRJ27" s="54"/>
      <c r="BRT27" s="54"/>
      <c r="BSD27" s="54"/>
      <c r="BSN27" s="54"/>
      <c r="BSX27" s="54"/>
      <c r="BTH27" s="54"/>
      <c r="BTR27" s="54"/>
      <c r="BUB27" s="54"/>
      <c r="BUL27" s="54"/>
      <c r="BUV27" s="54"/>
      <c r="BVF27" s="54"/>
      <c r="BVP27" s="54"/>
      <c r="BVZ27" s="54"/>
      <c r="BWJ27" s="54"/>
      <c r="BWT27" s="54"/>
      <c r="BXD27" s="54"/>
      <c r="BXN27" s="54"/>
      <c r="BXX27" s="54"/>
      <c r="BYH27" s="54"/>
      <c r="BYR27" s="54"/>
      <c r="BZB27" s="54"/>
      <c r="BZL27" s="54"/>
      <c r="BZV27" s="54"/>
      <c r="CAF27" s="54"/>
      <c r="CAP27" s="54"/>
      <c r="CAZ27" s="54"/>
      <c r="CBJ27" s="54"/>
      <c r="CBT27" s="54"/>
      <c r="CCD27" s="54"/>
      <c r="CCN27" s="54"/>
      <c r="CCX27" s="54"/>
      <c r="CDH27" s="54"/>
      <c r="CDR27" s="54"/>
      <c r="CEB27" s="54"/>
      <c r="CEL27" s="54"/>
      <c r="CEV27" s="54"/>
      <c r="CFF27" s="54"/>
      <c r="CFP27" s="54"/>
      <c r="CFZ27" s="54"/>
      <c r="CGJ27" s="54"/>
      <c r="CGT27" s="54"/>
      <c r="CHD27" s="54"/>
      <c r="CHN27" s="54"/>
      <c r="CHX27" s="54"/>
      <c r="CIH27" s="54"/>
      <c r="CIR27" s="54"/>
      <c r="CJB27" s="54"/>
      <c r="CJL27" s="54"/>
      <c r="CJV27" s="54"/>
      <c r="CKF27" s="54"/>
      <c r="CKP27" s="54"/>
      <c r="CKZ27" s="54"/>
      <c r="CLJ27" s="54"/>
      <c r="CLT27" s="54"/>
      <c r="CMD27" s="54"/>
      <c r="CMN27" s="54"/>
      <c r="CMX27" s="54"/>
      <c r="CNH27" s="54"/>
      <c r="CNR27" s="54"/>
      <c r="COB27" s="54"/>
      <c r="COL27" s="54"/>
      <c r="COV27" s="54"/>
      <c r="CPF27" s="54"/>
      <c r="CPP27" s="54"/>
      <c r="CPZ27" s="54"/>
      <c r="CQJ27" s="54"/>
      <c r="CQT27" s="54"/>
      <c r="CRD27" s="54"/>
      <c r="CRN27" s="54"/>
      <c r="CRX27" s="54"/>
      <c r="CSH27" s="54"/>
      <c r="CSR27" s="54"/>
      <c r="CTB27" s="54"/>
      <c r="CTL27" s="54"/>
      <c r="CTV27" s="54"/>
    </row>
    <row r="28" s="39" customFormat="1" customHeight="1" spans="1:1020 1030:2040 2050:2570">
      <c r="A28" s="48">
        <v>46151</v>
      </c>
      <c r="B28" s="9" t="s">
        <v>32</v>
      </c>
      <c r="C28" s="10" t="s">
        <v>33</v>
      </c>
      <c r="D28" s="49">
        <v>652370948</v>
      </c>
      <c r="E28" s="15" t="s">
        <v>34</v>
      </c>
      <c r="F28" s="50" t="str">
        <f>VLOOKUP(E28,基础数据!E:F,2,0)</f>
        <v>LX00148-CCS总成</v>
      </c>
      <c r="G28" s="49">
        <v>900</v>
      </c>
      <c r="H28" s="51" t="str">
        <f>VLOOKUP(E28,基础数据!E:H,4,0)</f>
        <v>纸箱</v>
      </c>
      <c r="I28" s="51">
        <f>VLOOKUP(E28,基础数据!E:G,3,0)</f>
        <v>12</v>
      </c>
      <c r="J28" s="49" t="s">
        <v>35</v>
      </c>
      <c r="K28" s="52">
        <f t="shared" si="0"/>
        <v>75</v>
      </c>
      <c r="T28" s="54"/>
      <c r="AD28" s="54"/>
      <c r="AN28" s="54"/>
      <c r="AX28" s="54"/>
      <c r="BH28" s="54"/>
      <c r="BR28" s="54"/>
      <c r="CB28" s="54"/>
      <c r="CL28" s="54"/>
      <c r="CV28" s="54"/>
      <c r="DF28" s="54"/>
      <c r="DP28" s="54"/>
      <c r="DZ28" s="54"/>
      <c r="EJ28" s="54"/>
      <c r="ET28" s="54"/>
      <c r="FD28" s="54"/>
      <c r="FN28" s="54"/>
      <c r="FX28" s="54"/>
      <c r="GH28" s="54"/>
      <c r="GR28" s="54"/>
      <c r="HB28" s="54"/>
      <c r="HL28" s="54"/>
      <c r="HV28" s="54"/>
      <c r="IF28" s="54"/>
      <c r="IP28" s="54"/>
      <c r="IZ28" s="54"/>
      <c r="JJ28" s="54"/>
      <c r="JT28" s="54"/>
      <c r="KD28" s="54"/>
      <c r="KN28" s="54"/>
      <c r="KX28" s="54"/>
      <c r="LH28" s="54"/>
      <c r="LR28" s="54"/>
      <c r="MB28" s="54"/>
      <c r="ML28" s="54"/>
      <c r="MV28" s="54"/>
      <c r="NF28" s="54"/>
      <c r="NP28" s="54"/>
      <c r="NZ28" s="54"/>
      <c r="OJ28" s="54"/>
      <c r="OT28" s="54"/>
      <c r="PD28" s="54"/>
      <c r="PN28" s="54"/>
      <c r="PX28" s="54"/>
      <c r="QH28" s="54"/>
      <c r="QR28" s="54"/>
      <c r="RB28" s="54"/>
      <c r="RL28" s="54"/>
      <c r="RV28" s="54"/>
      <c r="SF28" s="54"/>
      <c r="SP28" s="54"/>
      <c r="SZ28" s="54"/>
      <c r="TJ28" s="54"/>
      <c r="TT28" s="54"/>
      <c r="UD28" s="54"/>
      <c r="UN28" s="54"/>
      <c r="UX28" s="54"/>
      <c r="VH28" s="54"/>
      <c r="VR28" s="54"/>
      <c r="WB28" s="54"/>
      <c r="WL28" s="54"/>
      <c r="WV28" s="54"/>
      <c r="XF28" s="54"/>
      <c r="XP28" s="54"/>
      <c r="XZ28" s="54"/>
      <c r="YJ28" s="54"/>
      <c r="YT28" s="54"/>
      <c r="ZD28" s="54"/>
      <c r="ZN28" s="54"/>
      <c r="ZX28" s="54"/>
      <c r="AAH28" s="54"/>
      <c r="AAR28" s="54"/>
      <c r="ABB28" s="54"/>
      <c r="ABL28" s="54"/>
      <c r="ABV28" s="54"/>
      <c r="ACF28" s="54"/>
      <c r="ACP28" s="54"/>
      <c r="ACZ28" s="54"/>
      <c r="ADJ28" s="54"/>
      <c r="ADT28" s="54"/>
      <c r="AED28" s="54"/>
      <c r="AEN28" s="54"/>
      <c r="AEX28" s="54"/>
      <c r="AFH28" s="54"/>
      <c r="AFR28" s="54"/>
      <c r="AGB28" s="54"/>
      <c r="AGL28" s="54"/>
      <c r="AGV28" s="54"/>
      <c r="AHF28" s="54"/>
      <c r="AHP28" s="54"/>
      <c r="AHZ28" s="54"/>
      <c r="AIJ28" s="54"/>
      <c r="AIT28" s="54"/>
      <c r="AJD28" s="54"/>
      <c r="AJN28" s="54"/>
      <c r="AJX28" s="54"/>
      <c r="AKH28" s="54"/>
      <c r="AKR28" s="54"/>
      <c r="ALB28" s="54"/>
      <c r="ALL28" s="54"/>
      <c r="ALV28" s="54"/>
      <c r="AMF28" s="54"/>
      <c r="AMP28" s="54"/>
      <c r="AMZ28" s="54"/>
      <c r="ANJ28" s="54"/>
      <c r="ANT28" s="54"/>
      <c r="AOD28" s="54"/>
      <c r="AON28" s="54"/>
      <c r="AOX28" s="54"/>
      <c r="APH28" s="54"/>
      <c r="APR28" s="54"/>
      <c r="AQB28" s="54"/>
      <c r="AQL28" s="54"/>
      <c r="AQV28" s="54"/>
      <c r="ARF28" s="54"/>
      <c r="ARP28" s="54"/>
      <c r="ARZ28" s="54"/>
      <c r="ASJ28" s="54"/>
      <c r="AST28" s="54"/>
      <c r="ATD28" s="54"/>
      <c r="ATN28" s="54"/>
      <c r="ATX28" s="54"/>
      <c r="AUH28" s="54"/>
      <c r="AUR28" s="54"/>
      <c r="AVB28" s="54"/>
      <c r="AVL28" s="54"/>
      <c r="AVV28" s="54"/>
      <c r="AWF28" s="54"/>
      <c r="AWP28" s="54"/>
      <c r="AWZ28" s="54"/>
      <c r="AXJ28" s="54"/>
      <c r="AXT28" s="54"/>
      <c r="AYD28" s="54"/>
      <c r="AYN28" s="54"/>
      <c r="AYX28" s="54"/>
      <c r="AZH28" s="54"/>
      <c r="AZR28" s="54"/>
      <c r="BAB28" s="54"/>
      <c r="BAL28" s="54"/>
      <c r="BAV28" s="54"/>
      <c r="BBF28" s="54"/>
      <c r="BBP28" s="54"/>
      <c r="BBZ28" s="54"/>
      <c r="BCJ28" s="54"/>
      <c r="BCT28" s="54"/>
      <c r="BDD28" s="54"/>
      <c r="BDN28" s="54"/>
      <c r="BDX28" s="54"/>
      <c r="BEH28" s="54"/>
      <c r="BER28" s="54"/>
      <c r="BFB28" s="54"/>
      <c r="BFL28" s="54"/>
      <c r="BFV28" s="54"/>
      <c r="BGF28" s="54"/>
      <c r="BGP28" s="54"/>
      <c r="BGZ28" s="54"/>
      <c r="BHJ28" s="54"/>
      <c r="BHT28" s="54"/>
      <c r="BID28" s="54"/>
      <c r="BIN28" s="54"/>
      <c r="BIX28" s="54"/>
      <c r="BJH28" s="54"/>
      <c r="BJR28" s="54"/>
      <c r="BKB28" s="54"/>
      <c r="BKL28" s="54"/>
      <c r="BKV28" s="54"/>
      <c r="BLF28" s="54"/>
      <c r="BLP28" s="54"/>
      <c r="BLZ28" s="54"/>
      <c r="BMJ28" s="54"/>
      <c r="BMT28" s="54"/>
      <c r="BND28" s="54"/>
      <c r="BNN28" s="54"/>
      <c r="BNX28" s="54"/>
      <c r="BOH28" s="54"/>
      <c r="BOR28" s="54"/>
      <c r="BPB28" s="54"/>
      <c r="BPL28" s="54"/>
      <c r="BPV28" s="54"/>
      <c r="BQF28" s="54"/>
      <c r="BQP28" s="54"/>
      <c r="BQZ28" s="54"/>
      <c r="BRJ28" s="54"/>
      <c r="BRT28" s="54"/>
      <c r="BSD28" s="54"/>
      <c r="BSN28" s="54"/>
      <c r="BSX28" s="54"/>
      <c r="BTH28" s="54"/>
      <c r="BTR28" s="54"/>
      <c r="BUB28" s="54"/>
      <c r="BUL28" s="54"/>
      <c r="BUV28" s="54"/>
      <c r="BVF28" s="54"/>
      <c r="BVP28" s="54"/>
      <c r="BVZ28" s="54"/>
      <c r="BWJ28" s="54"/>
      <c r="BWT28" s="54"/>
      <c r="BXD28" s="54"/>
      <c r="BXN28" s="54"/>
      <c r="BXX28" s="54"/>
      <c r="BYH28" s="54"/>
      <c r="BYR28" s="54"/>
      <c r="BZB28" s="54"/>
      <c r="BZL28" s="54"/>
      <c r="BZV28" s="54"/>
      <c r="CAF28" s="54"/>
      <c r="CAP28" s="54"/>
      <c r="CAZ28" s="54"/>
      <c r="CBJ28" s="54"/>
      <c r="CBT28" s="54"/>
      <c r="CCD28" s="54"/>
      <c r="CCN28" s="54"/>
      <c r="CCX28" s="54"/>
      <c r="CDH28" s="54"/>
      <c r="CDR28" s="54"/>
      <c r="CEB28" s="54"/>
      <c r="CEL28" s="54"/>
      <c r="CEV28" s="54"/>
      <c r="CFF28" s="54"/>
      <c r="CFP28" s="54"/>
      <c r="CFZ28" s="54"/>
      <c r="CGJ28" s="54"/>
      <c r="CGT28" s="54"/>
      <c r="CHD28" s="54"/>
      <c r="CHN28" s="54"/>
      <c r="CHX28" s="54"/>
      <c r="CIH28" s="54"/>
      <c r="CIR28" s="54"/>
      <c r="CJB28" s="54"/>
      <c r="CJL28" s="54"/>
      <c r="CJV28" s="54"/>
      <c r="CKF28" s="54"/>
      <c r="CKP28" s="54"/>
      <c r="CKZ28" s="54"/>
      <c r="CLJ28" s="54"/>
      <c r="CLT28" s="54"/>
      <c r="CMD28" s="54"/>
      <c r="CMN28" s="54"/>
      <c r="CMX28" s="54"/>
      <c r="CNH28" s="54"/>
      <c r="CNR28" s="54"/>
      <c r="COB28" s="54"/>
      <c r="COL28" s="54"/>
      <c r="COV28" s="54"/>
      <c r="CPF28" s="54"/>
      <c r="CPP28" s="54"/>
      <c r="CPZ28" s="54"/>
      <c r="CQJ28" s="54"/>
      <c r="CQT28" s="54"/>
      <c r="CRD28" s="54"/>
      <c r="CRN28" s="54"/>
      <c r="CRX28" s="54"/>
      <c r="CSH28" s="54"/>
      <c r="CSR28" s="54"/>
      <c r="CTB28" s="54"/>
      <c r="CTL28" s="54"/>
      <c r="CTV28" s="54"/>
    </row>
    <row r="29" s="39" customFormat="1" customHeight="1" spans="1:1020 1030:2040 2050:2570">
      <c r="A29" s="48">
        <v>46151</v>
      </c>
      <c r="B29" s="9" t="s">
        <v>32</v>
      </c>
      <c r="C29" s="10" t="s">
        <v>33</v>
      </c>
      <c r="D29" s="49">
        <v>652372576</v>
      </c>
      <c r="E29" s="15" t="s">
        <v>53</v>
      </c>
      <c r="F29" s="50" t="str">
        <f>VLOOKUP(E29,基础数据!E:F,2,0)</f>
        <v>LXBU1101-通讯集成线束-60.8</v>
      </c>
      <c r="G29" s="49">
        <v>1600</v>
      </c>
      <c r="H29" s="51" t="str">
        <f>VLOOKUP(E29,基础数据!E:H,4,0)</f>
        <v>料盒</v>
      </c>
      <c r="I29" s="51">
        <f>VLOOKUP(E29,基础数据!E:G,3,0)</f>
        <v>100</v>
      </c>
      <c r="J29" s="49" t="s">
        <v>35</v>
      </c>
      <c r="K29" s="52">
        <f t="shared" si="0"/>
        <v>16</v>
      </c>
      <c r="T29" s="54"/>
      <c r="AD29" s="54"/>
      <c r="AN29" s="54"/>
      <c r="AX29" s="54"/>
      <c r="BH29" s="54"/>
      <c r="BR29" s="54"/>
      <c r="CB29" s="54"/>
      <c r="CL29" s="54"/>
      <c r="CV29" s="54"/>
      <c r="DF29" s="54"/>
      <c r="DP29" s="54"/>
      <c r="DZ29" s="54"/>
      <c r="EJ29" s="54"/>
      <c r="ET29" s="54"/>
      <c r="FD29" s="54"/>
      <c r="FN29" s="54"/>
      <c r="FX29" s="54"/>
      <c r="GH29" s="54"/>
      <c r="GR29" s="54"/>
      <c r="HB29" s="54"/>
      <c r="HL29" s="54"/>
      <c r="HV29" s="54"/>
      <c r="IF29" s="54"/>
      <c r="IP29" s="54"/>
      <c r="IZ29" s="54"/>
      <c r="JJ29" s="54"/>
      <c r="JT29" s="54"/>
      <c r="KD29" s="54"/>
      <c r="KN29" s="54"/>
      <c r="KX29" s="54"/>
      <c r="LH29" s="54"/>
      <c r="LR29" s="54"/>
      <c r="MB29" s="54"/>
      <c r="ML29" s="54"/>
      <c r="MV29" s="54"/>
      <c r="NF29" s="54"/>
      <c r="NP29" s="54"/>
      <c r="NZ29" s="54"/>
      <c r="OJ29" s="54"/>
      <c r="OT29" s="54"/>
      <c r="PD29" s="54"/>
      <c r="PN29" s="54"/>
      <c r="PX29" s="54"/>
      <c r="QH29" s="54"/>
      <c r="QR29" s="54"/>
      <c r="RB29" s="54"/>
      <c r="RL29" s="54"/>
      <c r="RV29" s="54"/>
      <c r="SF29" s="54"/>
      <c r="SP29" s="54"/>
      <c r="SZ29" s="54"/>
      <c r="TJ29" s="54"/>
      <c r="TT29" s="54"/>
      <c r="UD29" s="54"/>
      <c r="UN29" s="54"/>
      <c r="UX29" s="54"/>
      <c r="VH29" s="54"/>
      <c r="VR29" s="54"/>
      <c r="WB29" s="54"/>
      <c r="WL29" s="54"/>
      <c r="WV29" s="54"/>
      <c r="XF29" s="54"/>
      <c r="XP29" s="54"/>
      <c r="XZ29" s="54"/>
      <c r="YJ29" s="54"/>
      <c r="YT29" s="54"/>
      <c r="ZD29" s="54"/>
      <c r="ZN29" s="54"/>
      <c r="ZX29" s="54"/>
      <c r="AAH29" s="54"/>
      <c r="AAR29" s="54"/>
      <c r="ABB29" s="54"/>
      <c r="ABL29" s="54"/>
      <c r="ABV29" s="54"/>
      <c r="ACF29" s="54"/>
      <c r="ACP29" s="54"/>
      <c r="ACZ29" s="54"/>
      <c r="ADJ29" s="54"/>
      <c r="ADT29" s="54"/>
      <c r="AED29" s="54"/>
      <c r="AEN29" s="54"/>
      <c r="AEX29" s="54"/>
      <c r="AFH29" s="54"/>
      <c r="AFR29" s="54"/>
      <c r="AGB29" s="54"/>
      <c r="AGL29" s="54"/>
      <c r="AGV29" s="54"/>
      <c r="AHF29" s="54"/>
      <c r="AHP29" s="54"/>
      <c r="AHZ29" s="54"/>
      <c r="AIJ29" s="54"/>
      <c r="AIT29" s="54"/>
      <c r="AJD29" s="54"/>
      <c r="AJN29" s="54"/>
      <c r="AJX29" s="54"/>
      <c r="AKH29" s="54"/>
      <c r="AKR29" s="54"/>
      <c r="ALB29" s="54"/>
      <c r="ALL29" s="54"/>
      <c r="ALV29" s="54"/>
      <c r="AMF29" s="54"/>
      <c r="AMP29" s="54"/>
      <c r="AMZ29" s="54"/>
      <c r="ANJ29" s="54"/>
      <c r="ANT29" s="54"/>
      <c r="AOD29" s="54"/>
      <c r="AON29" s="54"/>
      <c r="AOX29" s="54"/>
      <c r="APH29" s="54"/>
      <c r="APR29" s="54"/>
      <c r="AQB29" s="54"/>
      <c r="AQL29" s="54"/>
      <c r="AQV29" s="54"/>
      <c r="ARF29" s="54"/>
      <c r="ARP29" s="54"/>
      <c r="ARZ29" s="54"/>
      <c r="ASJ29" s="54"/>
      <c r="AST29" s="54"/>
      <c r="ATD29" s="54"/>
      <c r="ATN29" s="54"/>
      <c r="ATX29" s="54"/>
      <c r="AUH29" s="54"/>
      <c r="AUR29" s="54"/>
      <c r="AVB29" s="54"/>
      <c r="AVL29" s="54"/>
      <c r="AVV29" s="54"/>
      <c r="AWF29" s="54"/>
      <c r="AWP29" s="54"/>
      <c r="AWZ29" s="54"/>
      <c r="AXJ29" s="54"/>
      <c r="AXT29" s="54"/>
      <c r="AYD29" s="54"/>
      <c r="AYN29" s="54"/>
      <c r="AYX29" s="54"/>
      <c r="AZH29" s="54"/>
      <c r="AZR29" s="54"/>
      <c r="BAB29" s="54"/>
      <c r="BAL29" s="54"/>
      <c r="BAV29" s="54"/>
      <c r="BBF29" s="54"/>
      <c r="BBP29" s="54"/>
      <c r="BBZ29" s="54"/>
      <c r="BCJ29" s="54"/>
      <c r="BCT29" s="54"/>
      <c r="BDD29" s="54"/>
      <c r="BDN29" s="54"/>
      <c r="BDX29" s="54"/>
      <c r="BEH29" s="54"/>
      <c r="BER29" s="54"/>
      <c r="BFB29" s="54"/>
      <c r="BFL29" s="54"/>
      <c r="BFV29" s="54"/>
      <c r="BGF29" s="54"/>
      <c r="BGP29" s="54"/>
      <c r="BGZ29" s="54"/>
      <c r="BHJ29" s="54"/>
      <c r="BHT29" s="54"/>
      <c r="BID29" s="54"/>
      <c r="BIN29" s="54"/>
      <c r="BIX29" s="54"/>
      <c r="BJH29" s="54"/>
      <c r="BJR29" s="54"/>
      <c r="BKB29" s="54"/>
      <c r="BKL29" s="54"/>
      <c r="BKV29" s="54"/>
      <c r="BLF29" s="54"/>
      <c r="BLP29" s="54"/>
      <c r="BLZ29" s="54"/>
      <c r="BMJ29" s="54"/>
      <c r="BMT29" s="54"/>
      <c r="BND29" s="54"/>
      <c r="BNN29" s="54"/>
      <c r="BNX29" s="54"/>
      <c r="BOH29" s="54"/>
      <c r="BOR29" s="54"/>
      <c r="BPB29" s="54"/>
      <c r="BPL29" s="54"/>
      <c r="BPV29" s="54"/>
      <c r="BQF29" s="54"/>
      <c r="BQP29" s="54"/>
      <c r="BQZ29" s="54"/>
      <c r="BRJ29" s="54"/>
      <c r="BRT29" s="54"/>
      <c r="BSD29" s="54"/>
      <c r="BSN29" s="54"/>
      <c r="BSX29" s="54"/>
      <c r="BTH29" s="54"/>
      <c r="BTR29" s="54"/>
      <c r="BUB29" s="54"/>
      <c r="BUL29" s="54"/>
      <c r="BUV29" s="54"/>
      <c r="BVF29" s="54"/>
      <c r="BVP29" s="54"/>
      <c r="BVZ29" s="54"/>
      <c r="BWJ29" s="54"/>
      <c r="BWT29" s="54"/>
      <c r="BXD29" s="54"/>
      <c r="BXN29" s="54"/>
      <c r="BXX29" s="54"/>
      <c r="BYH29" s="54"/>
      <c r="BYR29" s="54"/>
      <c r="BZB29" s="54"/>
      <c r="BZL29" s="54"/>
      <c r="BZV29" s="54"/>
      <c r="CAF29" s="54"/>
      <c r="CAP29" s="54"/>
      <c r="CAZ29" s="54"/>
      <c r="CBJ29" s="54"/>
      <c r="CBT29" s="54"/>
      <c r="CCD29" s="54"/>
      <c r="CCN29" s="54"/>
      <c r="CCX29" s="54"/>
      <c r="CDH29" s="54"/>
      <c r="CDR29" s="54"/>
      <c r="CEB29" s="54"/>
      <c r="CEL29" s="54"/>
      <c r="CEV29" s="54"/>
      <c r="CFF29" s="54"/>
      <c r="CFP29" s="54"/>
      <c r="CFZ29" s="54"/>
      <c r="CGJ29" s="54"/>
      <c r="CGT29" s="54"/>
      <c r="CHD29" s="54"/>
      <c r="CHN29" s="54"/>
      <c r="CHX29" s="54"/>
      <c r="CIH29" s="54"/>
      <c r="CIR29" s="54"/>
      <c r="CJB29" s="54"/>
      <c r="CJL29" s="54"/>
      <c r="CJV29" s="54"/>
      <c r="CKF29" s="54"/>
      <c r="CKP29" s="54"/>
      <c r="CKZ29" s="54"/>
      <c r="CLJ29" s="54"/>
      <c r="CLT29" s="54"/>
      <c r="CMD29" s="54"/>
      <c r="CMN29" s="54"/>
      <c r="CMX29" s="54"/>
      <c r="CNH29" s="54"/>
      <c r="CNR29" s="54"/>
      <c r="COB29" s="54"/>
      <c r="COL29" s="54"/>
      <c r="COV29" s="54"/>
      <c r="CPF29" s="54"/>
      <c r="CPP29" s="54"/>
      <c r="CPZ29" s="54"/>
      <c r="CQJ29" s="54"/>
      <c r="CQT29" s="54"/>
      <c r="CRD29" s="54"/>
      <c r="CRN29" s="54"/>
      <c r="CRX29" s="54"/>
      <c r="CSH29" s="54"/>
      <c r="CSR29" s="54"/>
      <c r="CTB29" s="54"/>
      <c r="CTL29" s="54"/>
      <c r="CTV29" s="54"/>
    </row>
    <row r="30" s="39" customFormat="1" customHeight="1" spans="1:1020 1030:2040 2050:2570">
      <c r="A30" s="48">
        <v>46151</v>
      </c>
      <c r="B30" s="9" t="s">
        <v>32</v>
      </c>
      <c r="C30" s="10" t="s">
        <v>33</v>
      </c>
      <c r="D30" s="49">
        <v>652373718</v>
      </c>
      <c r="E30" s="15" t="s">
        <v>44</v>
      </c>
      <c r="F30" s="50" t="str">
        <f>VLOOKUP(E30,基础数据!E:F,2,0)</f>
        <v>A12-高压支路连接线束-500</v>
      </c>
      <c r="G30" s="49">
        <v>2760</v>
      </c>
      <c r="H30" s="51" t="str">
        <f>VLOOKUP(E30,基础数据!E:H,4,0)</f>
        <v>料盒</v>
      </c>
      <c r="I30" s="51">
        <f>VLOOKUP(E30,基础数据!E:G,3,0)</f>
        <v>20</v>
      </c>
      <c r="J30" s="49" t="s">
        <v>35</v>
      </c>
      <c r="K30" s="52">
        <f t="shared" si="0"/>
        <v>138</v>
      </c>
      <c r="T30" s="54"/>
      <c r="AD30" s="54"/>
      <c r="AN30" s="54"/>
      <c r="AX30" s="54"/>
      <c r="BH30" s="54"/>
      <c r="BR30" s="54"/>
      <c r="CB30" s="54"/>
      <c r="CL30" s="54"/>
      <c r="CV30" s="54"/>
      <c r="DF30" s="54"/>
      <c r="DP30" s="54"/>
      <c r="DZ30" s="54"/>
      <c r="EJ30" s="54"/>
      <c r="ET30" s="54"/>
      <c r="FD30" s="54"/>
      <c r="FN30" s="54"/>
      <c r="FX30" s="54"/>
      <c r="GH30" s="54"/>
      <c r="GR30" s="54"/>
      <c r="HB30" s="54"/>
      <c r="HL30" s="54"/>
      <c r="HV30" s="54"/>
      <c r="IF30" s="54"/>
      <c r="IP30" s="54"/>
      <c r="IZ30" s="54"/>
      <c r="JJ30" s="54"/>
      <c r="JT30" s="54"/>
      <c r="KD30" s="54"/>
      <c r="KN30" s="54"/>
      <c r="KX30" s="54"/>
      <c r="LH30" s="54"/>
      <c r="LR30" s="54"/>
      <c r="MB30" s="54"/>
      <c r="ML30" s="54"/>
      <c r="MV30" s="54"/>
      <c r="NF30" s="54"/>
      <c r="NP30" s="54"/>
      <c r="NZ30" s="54"/>
      <c r="OJ30" s="54"/>
      <c r="OT30" s="54"/>
      <c r="PD30" s="54"/>
      <c r="PN30" s="54"/>
      <c r="PX30" s="54"/>
      <c r="QH30" s="54"/>
      <c r="QR30" s="54"/>
      <c r="RB30" s="54"/>
      <c r="RL30" s="54"/>
      <c r="RV30" s="54"/>
      <c r="SF30" s="54"/>
      <c r="SP30" s="54"/>
      <c r="SZ30" s="54"/>
      <c r="TJ30" s="54"/>
      <c r="TT30" s="54"/>
      <c r="UD30" s="54"/>
      <c r="UN30" s="54"/>
      <c r="UX30" s="54"/>
      <c r="VH30" s="54"/>
      <c r="VR30" s="54"/>
      <c r="WB30" s="54"/>
      <c r="WL30" s="54"/>
      <c r="WV30" s="54"/>
      <c r="XF30" s="54"/>
      <c r="XP30" s="54"/>
      <c r="XZ30" s="54"/>
      <c r="YJ30" s="54"/>
      <c r="YT30" s="54"/>
      <c r="ZD30" s="54"/>
      <c r="ZN30" s="54"/>
      <c r="ZX30" s="54"/>
      <c r="AAH30" s="54"/>
      <c r="AAR30" s="54"/>
      <c r="ABB30" s="54"/>
      <c r="ABL30" s="54"/>
      <c r="ABV30" s="54"/>
      <c r="ACF30" s="54"/>
      <c r="ACP30" s="54"/>
      <c r="ACZ30" s="54"/>
      <c r="ADJ30" s="54"/>
      <c r="ADT30" s="54"/>
      <c r="AED30" s="54"/>
      <c r="AEN30" s="54"/>
      <c r="AEX30" s="54"/>
      <c r="AFH30" s="54"/>
      <c r="AFR30" s="54"/>
      <c r="AGB30" s="54"/>
      <c r="AGL30" s="54"/>
      <c r="AGV30" s="54"/>
      <c r="AHF30" s="54"/>
      <c r="AHP30" s="54"/>
      <c r="AHZ30" s="54"/>
      <c r="AIJ30" s="54"/>
      <c r="AIT30" s="54"/>
      <c r="AJD30" s="54"/>
      <c r="AJN30" s="54"/>
      <c r="AJX30" s="54"/>
      <c r="AKH30" s="54"/>
      <c r="AKR30" s="54"/>
      <c r="ALB30" s="54"/>
      <c r="ALL30" s="54"/>
      <c r="ALV30" s="54"/>
      <c r="AMF30" s="54"/>
      <c r="AMP30" s="54"/>
      <c r="AMZ30" s="54"/>
      <c r="ANJ30" s="54"/>
      <c r="ANT30" s="54"/>
      <c r="AOD30" s="54"/>
      <c r="AON30" s="54"/>
      <c r="AOX30" s="54"/>
      <c r="APH30" s="54"/>
      <c r="APR30" s="54"/>
      <c r="AQB30" s="54"/>
      <c r="AQL30" s="54"/>
      <c r="AQV30" s="54"/>
      <c r="ARF30" s="54"/>
      <c r="ARP30" s="54"/>
      <c r="ARZ30" s="54"/>
      <c r="ASJ30" s="54"/>
      <c r="AST30" s="54"/>
      <c r="ATD30" s="54"/>
      <c r="ATN30" s="54"/>
      <c r="ATX30" s="54"/>
      <c r="AUH30" s="54"/>
      <c r="AUR30" s="54"/>
      <c r="AVB30" s="54"/>
      <c r="AVL30" s="54"/>
      <c r="AVV30" s="54"/>
      <c r="AWF30" s="54"/>
      <c r="AWP30" s="54"/>
      <c r="AWZ30" s="54"/>
      <c r="AXJ30" s="54"/>
      <c r="AXT30" s="54"/>
      <c r="AYD30" s="54"/>
      <c r="AYN30" s="54"/>
      <c r="AYX30" s="54"/>
      <c r="AZH30" s="54"/>
      <c r="AZR30" s="54"/>
      <c r="BAB30" s="54"/>
      <c r="BAL30" s="54"/>
      <c r="BAV30" s="54"/>
      <c r="BBF30" s="54"/>
      <c r="BBP30" s="54"/>
      <c r="BBZ30" s="54"/>
      <c r="BCJ30" s="54"/>
      <c r="BCT30" s="54"/>
      <c r="BDD30" s="54"/>
      <c r="BDN30" s="54"/>
      <c r="BDX30" s="54"/>
      <c r="BEH30" s="54"/>
      <c r="BER30" s="54"/>
      <c r="BFB30" s="54"/>
      <c r="BFL30" s="54"/>
      <c r="BFV30" s="54"/>
      <c r="BGF30" s="54"/>
      <c r="BGP30" s="54"/>
      <c r="BGZ30" s="54"/>
      <c r="BHJ30" s="54"/>
      <c r="BHT30" s="54"/>
      <c r="BID30" s="54"/>
      <c r="BIN30" s="54"/>
      <c r="BIX30" s="54"/>
      <c r="BJH30" s="54"/>
      <c r="BJR30" s="54"/>
      <c r="BKB30" s="54"/>
      <c r="BKL30" s="54"/>
      <c r="BKV30" s="54"/>
      <c r="BLF30" s="54"/>
      <c r="BLP30" s="54"/>
      <c r="BLZ30" s="54"/>
      <c r="BMJ30" s="54"/>
      <c r="BMT30" s="54"/>
      <c r="BND30" s="54"/>
      <c r="BNN30" s="54"/>
      <c r="BNX30" s="54"/>
      <c r="BOH30" s="54"/>
      <c r="BOR30" s="54"/>
      <c r="BPB30" s="54"/>
      <c r="BPL30" s="54"/>
      <c r="BPV30" s="54"/>
      <c r="BQF30" s="54"/>
      <c r="BQP30" s="54"/>
      <c r="BQZ30" s="54"/>
      <c r="BRJ30" s="54"/>
      <c r="BRT30" s="54"/>
      <c r="BSD30" s="54"/>
      <c r="BSN30" s="54"/>
      <c r="BSX30" s="54"/>
      <c r="BTH30" s="54"/>
      <c r="BTR30" s="54"/>
      <c r="BUB30" s="54"/>
      <c r="BUL30" s="54"/>
      <c r="BUV30" s="54"/>
      <c r="BVF30" s="54"/>
      <c r="BVP30" s="54"/>
      <c r="BVZ30" s="54"/>
      <c r="BWJ30" s="54"/>
      <c r="BWT30" s="54"/>
      <c r="BXD30" s="54"/>
      <c r="BXN30" s="54"/>
      <c r="BXX30" s="54"/>
      <c r="BYH30" s="54"/>
      <c r="BYR30" s="54"/>
      <c r="BZB30" s="54"/>
      <c r="BZL30" s="54"/>
      <c r="BZV30" s="54"/>
      <c r="CAF30" s="54"/>
      <c r="CAP30" s="54"/>
      <c r="CAZ30" s="54"/>
      <c r="CBJ30" s="54"/>
      <c r="CBT30" s="54"/>
      <c r="CCD30" s="54"/>
      <c r="CCN30" s="54"/>
      <c r="CCX30" s="54"/>
      <c r="CDH30" s="54"/>
      <c r="CDR30" s="54"/>
      <c r="CEB30" s="54"/>
      <c r="CEL30" s="54"/>
      <c r="CEV30" s="54"/>
      <c r="CFF30" s="54"/>
      <c r="CFP30" s="54"/>
      <c r="CFZ30" s="54"/>
      <c r="CGJ30" s="54"/>
      <c r="CGT30" s="54"/>
      <c r="CHD30" s="54"/>
      <c r="CHN30" s="54"/>
      <c r="CHX30" s="54"/>
      <c r="CIH30" s="54"/>
      <c r="CIR30" s="54"/>
      <c r="CJB30" s="54"/>
      <c r="CJL30" s="54"/>
      <c r="CJV30" s="54"/>
      <c r="CKF30" s="54"/>
      <c r="CKP30" s="54"/>
      <c r="CKZ30" s="54"/>
      <c r="CLJ30" s="54"/>
      <c r="CLT30" s="54"/>
      <c r="CMD30" s="54"/>
      <c r="CMN30" s="54"/>
      <c r="CMX30" s="54"/>
      <c r="CNH30" s="54"/>
      <c r="CNR30" s="54"/>
      <c r="COB30" s="54"/>
      <c r="COL30" s="54"/>
      <c r="COV30" s="54"/>
      <c r="CPF30" s="54"/>
      <c r="CPP30" s="54"/>
      <c r="CPZ30" s="54"/>
      <c r="CQJ30" s="54"/>
      <c r="CQT30" s="54"/>
      <c r="CRD30" s="54"/>
      <c r="CRN30" s="54"/>
      <c r="CRX30" s="54"/>
      <c r="CSH30" s="54"/>
      <c r="CSR30" s="54"/>
      <c r="CTB30" s="54"/>
      <c r="CTL30" s="54"/>
      <c r="CTV30" s="54"/>
    </row>
    <row r="31" s="39" customFormat="1" customHeight="1" spans="1:1020 1030:2040 2050:2570">
      <c r="A31" s="48">
        <v>46152</v>
      </c>
      <c r="B31" s="9" t="s">
        <v>32</v>
      </c>
      <c r="C31" s="10" t="s">
        <v>33</v>
      </c>
      <c r="D31" s="49">
        <v>652376657</v>
      </c>
      <c r="E31" s="15" t="s">
        <v>57</v>
      </c>
      <c r="F31" s="50" t="str">
        <f>VLOOKUP(E31,基础数据!E:F,2,0)</f>
        <v>线束总成</v>
      </c>
      <c r="G31" s="49">
        <v>1000</v>
      </c>
      <c r="H31" s="51" t="str">
        <f>VLOOKUP(E31,基础数据!E:H,4,0)</f>
        <v>料盒</v>
      </c>
      <c r="I31" s="51">
        <f>VLOOKUP(E31,基础数据!E:G,3,0)</f>
        <v>100</v>
      </c>
      <c r="J31" s="49" t="s">
        <v>35</v>
      </c>
      <c r="K31" s="52">
        <f t="shared" si="0"/>
        <v>10</v>
      </c>
      <c r="T31" s="54"/>
      <c r="AD31" s="54"/>
      <c r="AN31" s="54"/>
      <c r="AX31" s="54"/>
      <c r="BH31" s="54"/>
      <c r="BR31" s="54"/>
      <c r="CB31" s="54"/>
      <c r="CL31" s="54"/>
      <c r="CV31" s="54"/>
      <c r="DF31" s="54"/>
      <c r="DP31" s="54"/>
      <c r="DZ31" s="54"/>
      <c r="EJ31" s="54"/>
      <c r="ET31" s="54"/>
      <c r="FD31" s="54"/>
      <c r="FN31" s="54"/>
      <c r="FX31" s="54"/>
      <c r="GH31" s="54"/>
      <c r="GR31" s="54"/>
      <c r="HB31" s="54"/>
      <c r="HL31" s="54"/>
      <c r="HV31" s="54"/>
      <c r="IF31" s="54"/>
      <c r="IP31" s="54"/>
      <c r="IZ31" s="54"/>
      <c r="JJ31" s="54"/>
      <c r="JT31" s="54"/>
      <c r="KD31" s="54"/>
      <c r="KN31" s="54"/>
      <c r="KX31" s="54"/>
      <c r="LH31" s="54"/>
      <c r="LR31" s="54"/>
      <c r="MB31" s="54"/>
      <c r="ML31" s="54"/>
      <c r="MV31" s="54"/>
      <c r="NF31" s="54"/>
      <c r="NP31" s="54"/>
      <c r="NZ31" s="54"/>
      <c r="OJ31" s="54"/>
      <c r="OT31" s="54"/>
      <c r="PD31" s="54"/>
      <c r="PN31" s="54"/>
      <c r="PX31" s="54"/>
      <c r="QH31" s="54"/>
      <c r="QR31" s="54"/>
      <c r="RB31" s="54"/>
      <c r="RL31" s="54"/>
      <c r="RV31" s="54"/>
      <c r="SF31" s="54"/>
      <c r="SP31" s="54"/>
      <c r="SZ31" s="54"/>
      <c r="TJ31" s="54"/>
      <c r="TT31" s="54"/>
      <c r="UD31" s="54"/>
      <c r="UN31" s="54"/>
      <c r="UX31" s="54"/>
      <c r="VH31" s="54"/>
      <c r="VR31" s="54"/>
      <c r="WB31" s="54"/>
      <c r="WL31" s="54"/>
      <c r="WV31" s="54"/>
      <c r="XF31" s="54"/>
      <c r="XP31" s="54"/>
      <c r="XZ31" s="54"/>
      <c r="YJ31" s="54"/>
      <c r="YT31" s="54"/>
      <c r="ZD31" s="54"/>
      <c r="ZN31" s="54"/>
      <c r="ZX31" s="54"/>
      <c r="AAH31" s="54"/>
      <c r="AAR31" s="54"/>
      <c r="ABB31" s="54"/>
      <c r="ABL31" s="54"/>
      <c r="ABV31" s="54"/>
      <c r="ACF31" s="54"/>
      <c r="ACP31" s="54"/>
      <c r="ACZ31" s="54"/>
      <c r="ADJ31" s="54"/>
      <c r="ADT31" s="54"/>
      <c r="AED31" s="54"/>
      <c r="AEN31" s="54"/>
      <c r="AEX31" s="54"/>
      <c r="AFH31" s="54"/>
      <c r="AFR31" s="54"/>
      <c r="AGB31" s="54"/>
      <c r="AGL31" s="54"/>
      <c r="AGV31" s="54"/>
      <c r="AHF31" s="54"/>
      <c r="AHP31" s="54"/>
      <c r="AHZ31" s="54"/>
      <c r="AIJ31" s="54"/>
      <c r="AIT31" s="54"/>
      <c r="AJD31" s="54"/>
      <c r="AJN31" s="54"/>
      <c r="AJX31" s="54"/>
      <c r="AKH31" s="54"/>
      <c r="AKR31" s="54"/>
      <c r="ALB31" s="54"/>
      <c r="ALL31" s="54"/>
      <c r="ALV31" s="54"/>
      <c r="AMF31" s="54"/>
      <c r="AMP31" s="54"/>
      <c r="AMZ31" s="54"/>
      <c r="ANJ31" s="54"/>
      <c r="ANT31" s="54"/>
      <c r="AOD31" s="54"/>
      <c r="AON31" s="54"/>
      <c r="AOX31" s="54"/>
      <c r="APH31" s="54"/>
      <c r="APR31" s="54"/>
      <c r="AQB31" s="54"/>
      <c r="AQL31" s="54"/>
      <c r="AQV31" s="54"/>
      <c r="ARF31" s="54"/>
      <c r="ARP31" s="54"/>
      <c r="ARZ31" s="54"/>
      <c r="ASJ31" s="54"/>
      <c r="AST31" s="54"/>
      <c r="ATD31" s="54"/>
      <c r="ATN31" s="54"/>
      <c r="ATX31" s="54"/>
      <c r="AUH31" s="54"/>
      <c r="AUR31" s="54"/>
      <c r="AVB31" s="54"/>
      <c r="AVL31" s="54"/>
      <c r="AVV31" s="54"/>
      <c r="AWF31" s="54"/>
      <c r="AWP31" s="54"/>
      <c r="AWZ31" s="54"/>
      <c r="AXJ31" s="54"/>
      <c r="AXT31" s="54"/>
      <c r="AYD31" s="54"/>
      <c r="AYN31" s="54"/>
      <c r="AYX31" s="54"/>
      <c r="AZH31" s="54"/>
      <c r="AZR31" s="54"/>
      <c r="BAB31" s="54"/>
      <c r="BAL31" s="54"/>
      <c r="BAV31" s="54"/>
      <c r="BBF31" s="54"/>
      <c r="BBP31" s="54"/>
      <c r="BBZ31" s="54"/>
      <c r="BCJ31" s="54"/>
      <c r="BCT31" s="54"/>
      <c r="BDD31" s="54"/>
      <c r="BDN31" s="54"/>
      <c r="BDX31" s="54"/>
      <c r="BEH31" s="54"/>
      <c r="BER31" s="54"/>
      <c r="BFB31" s="54"/>
      <c r="BFL31" s="54"/>
      <c r="BFV31" s="54"/>
      <c r="BGF31" s="54"/>
      <c r="BGP31" s="54"/>
      <c r="BGZ31" s="54"/>
      <c r="BHJ31" s="54"/>
      <c r="BHT31" s="54"/>
      <c r="BID31" s="54"/>
      <c r="BIN31" s="54"/>
      <c r="BIX31" s="54"/>
      <c r="BJH31" s="54"/>
      <c r="BJR31" s="54"/>
      <c r="BKB31" s="54"/>
      <c r="BKL31" s="54"/>
      <c r="BKV31" s="54"/>
      <c r="BLF31" s="54"/>
      <c r="BLP31" s="54"/>
      <c r="BLZ31" s="54"/>
      <c r="BMJ31" s="54"/>
      <c r="BMT31" s="54"/>
      <c r="BND31" s="54"/>
      <c r="BNN31" s="54"/>
      <c r="BNX31" s="54"/>
      <c r="BOH31" s="54"/>
      <c r="BOR31" s="54"/>
      <c r="BPB31" s="54"/>
      <c r="BPL31" s="54"/>
      <c r="BPV31" s="54"/>
      <c r="BQF31" s="54"/>
      <c r="BQP31" s="54"/>
      <c r="BQZ31" s="54"/>
      <c r="BRJ31" s="54"/>
      <c r="BRT31" s="54"/>
      <c r="BSD31" s="54"/>
      <c r="BSN31" s="54"/>
      <c r="BSX31" s="54"/>
      <c r="BTH31" s="54"/>
      <c r="BTR31" s="54"/>
      <c r="BUB31" s="54"/>
      <c r="BUL31" s="54"/>
      <c r="BUV31" s="54"/>
      <c r="BVF31" s="54"/>
      <c r="BVP31" s="54"/>
      <c r="BVZ31" s="54"/>
      <c r="BWJ31" s="54"/>
      <c r="BWT31" s="54"/>
      <c r="BXD31" s="54"/>
      <c r="BXN31" s="54"/>
      <c r="BXX31" s="54"/>
      <c r="BYH31" s="54"/>
      <c r="BYR31" s="54"/>
      <c r="BZB31" s="54"/>
      <c r="BZL31" s="54"/>
      <c r="BZV31" s="54"/>
      <c r="CAF31" s="54"/>
      <c r="CAP31" s="54"/>
      <c r="CAZ31" s="54"/>
      <c r="CBJ31" s="54"/>
      <c r="CBT31" s="54"/>
      <c r="CCD31" s="54"/>
      <c r="CCN31" s="54"/>
      <c r="CCX31" s="54"/>
      <c r="CDH31" s="54"/>
      <c r="CDR31" s="54"/>
      <c r="CEB31" s="54"/>
      <c r="CEL31" s="54"/>
      <c r="CEV31" s="54"/>
      <c r="CFF31" s="54"/>
      <c r="CFP31" s="54"/>
      <c r="CFZ31" s="54"/>
      <c r="CGJ31" s="54"/>
      <c r="CGT31" s="54"/>
      <c r="CHD31" s="54"/>
      <c r="CHN31" s="54"/>
      <c r="CHX31" s="54"/>
      <c r="CIH31" s="54"/>
      <c r="CIR31" s="54"/>
      <c r="CJB31" s="54"/>
      <c r="CJL31" s="54"/>
      <c r="CJV31" s="54"/>
      <c r="CKF31" s="54"/>
      <c r="CKP31" s="54"/>
      <c r="CKZ31" s="54"/>
      <c r="CLJ31" s="54"/>
      <c r="CLT31" s="54"/>
      <c r="CMD31" s="54"/>
      <c r="CMN31" s="54"/>
      <c r="CMX31" s="54"/>
      <c r="CNH31" s="54"/>
      <c r="CNR31" s="54"/>
      <c r="COB31" s="54"/>
      <c r="COL31" s="54"/>
      <c r="COV31" s="54"/>
      <c r="CPF31" s="54"/>
      <c r="CPP31" s="54"/>
      <c r="CPZ31" s="54"/>
      <c r="CQJ31" s="54"/>
      <c r="CQT31" s="54"/>
      <c r="CRD31" s="54"/>
      <c r="CRN31" s="54"/>
      <c r="CRX31" s="54"/>
      <c r="CSH31" s="54"/>
      <c r="CSR31" s="54"/>
      <c r="CTB31" s="54"/>
      <c r="CTL31" s="54"/>
      <c r="CTV31" s="54"/>
    </row>
    <row r="32" s="39" customFormat="1" customHeight="1" spans="1:1020 1030:2040 2050:2570">
      <c r="A32" s="48">
        <v>46152</v>
      </c>
      <c r="B32" s="9" t="s">
        <v>32</v>
      </c>
      <c r="C32" s="10" t="s">
        <v>33</v>
      </c>
      <c r="D32" s="49">
        <v>652376657</v>
      </c>
      <c r="E32" s="15" t="s">
        <v>56</v>
      </c>
      <c r="F32" s="50" t="str">
        <f>VLOOKUP(E32,基础数据!E:F,2,0)</f>
        <v>线束总成</v>
      </c>
      <c r="G32" s="49">
        <v>1000</v>
      </c>
      <c r="H32" s="51" t="str">
        <f>VLOOKUP(E32,基础数据!E:H,4,0)</f>
        <v>料盒</v>
      </c>
      <c r="I32" s="51">
        <f>VLOOKUP(E32,基础数据!E:G,3,0)</f>
        <v>200</v>
      </c>
      <c r="J32" s="49" t="s">
        <v>35</v>
      </c>
      <c r="K32" s="52">
        <f t="shared" si="0"/>
        <v>5</v>
      </c>
      <c r="T32" s="54"/>
      <c r="AD32" s="54"/>
      <c r="AN32" s="54"/>
      <c r="AX32" s="54"/>
      <c r="BH32" s="54"/>
      <c r="BR32" s="54"/>
      <c r="CB32" s="54"/>
      <c r="CL32" s="54"/>
      <c r="CV32" s="54"/>
      <c r="DF32" s="54"/>
      <c r="DP32" s="54"/>
      <c r="DZ32" s="54"/>
      <c r="EJ32" s="54"/>
      <c r="ET32" s="54"/>
      <c r="FD32" s="54"/>
      <c r="FN32" s="54"/>
      <c r="FX32" s="54"/>
      <c r="GH32" s="54"/>
      <c r="GR32" s="54"/>
      <c r="HB32" s="54"/>
      <c r="HL32" s="54"/>
      <c r="HV32" s="54"/>
      <c r="IF32" s="54"/>
      <c r="IP32" s="54"/>
      <c r="IZ32" s="54"/>
      <c r="JJ32" s="54"/>
      <c r="JT32" s="54"/>
      <c r="KD32" s="54"/>
      <c r="KN32" s="54"/>
      <c r="KX32" s="54"/>
      <c r="LH32" s="54"/>
      <c r="LR32" s="54"/>
      <c r="MB32" s="54"/>
      <c r="ML32" s="54"/>
      <c r="MV32" s="54"/>
      <c r="NF32" s="54"/>
      <c r="NP32" s="54"/>
      <c r="NZ32" s="54"/>
      <c r="OJ32" s="54"/>
      <c r="OT32" s="54"/>
      <c r="PD32" s="54"/>
      <c r="PN32" s="54"/>
      <c r="PX32" s="54"/>
      <c r="QH32" s="54"/>
      <c r="QR32" s="54"/>
      <c r="RB32" s="54"/>
      <c r="RL32" s="54"/>
      <c r="RV32" s="54"/>
      <c r="SF32" s="54"/>
      <c r="SP32" s="54"/>
      <c r="SZ32" s="54"/>
      <c r="TJ32" s="54"/>
      <c r="TT32" s="54"/>
      <c r="UD32" s="54"/>
      <c r="UN32" s="54"/>
      <c r="UX32" s="54"/>
      <c r="VH32" s="54"/>
      <c r="VR32" s="54"/>
      <c r="WB32" s="54"/>
      <c r="WL32" s="54"/>
      <c r="WV32" s="54"/>
      <c r="XF32" s="54"/>
      <c r="XP32" s="54"/>
      <c r="XZ32" s="54"/>
      <c r="YJ32" s="54"/>
      <c r="YT32" s="54"/>
      <c r="ZD32" s="54"/>
      <c r="ZN32" s="54"/>
      <c r="ZX32" s="54"/>
      <c r="AAH32" s="54"/>
      <c r="AAR32" s="54"/>
      <c r="ABB32" s="54"/>
      <c r="ABL32" s="54"/>
      <c r="ABV32" s="54"/>
      <c r="ACF32" s="54"/>
      <c r="ACP32" s="54"/>
      <c r="ACZ32" s="54"/>
      <c r="ADJ32" s="54"/>
      <c r="ADT32" s="54"/>
      <c r="AED32" s="54"/>
      <c r="AEN32" s="54"/>
      <c r="AEX32" s="54"/>
      <c r="AFH32" s="54"/>
      <c r="AFR32" s="54"/>
      <c r="AGB32" s="54"/>
      <c r="AGL32" s="54"/>
      <c r="AGV32" s="54"/>
      <c r="AHF32" s="54"/>
      <c r="AHP32" s="54"/>
      <c r="AHZ32" s="54"/>
      <c r="AIJ32" s="54"/>
      <c r="AIT32" s="54"/>
      <c r="AJD32" s="54"/>
      <c r="AJN32" s="54"/>
      <c r="AJX32" s="54"/>
      <c r="AKH32" s="54"/>
      <c r="AKR32" s="54"/>
      <c r="ALB32" s="54"/>
      <c r="ALL32" s="54"/>
      <c r="ALV32" s="54"/>
      <c r="AMF32" s="54"/>
      <c r="AMP32" s="54"/>
      <c r="AMZ32" s="54"/>
      <c r="ANJ32" s="54"/>
      <c r="ANT32" s="54"/>
      <c r="AOD32" s="54"/>
      <c r="AON32" s="54"/>
      <c r="AOX32" s="54"/>
      <c r="APH32" s="54"/>
      <c r="APR32" s="54"/>
      <c r="AQB32" s="54"/>
      <c r="AQL32" s="54"/>
      <c r="AQV32" s="54"/>
      <c r="ARF32" s="54"/>
      <c r="ARP32" s="54"/>
      <c r="ARZ32" s="54"/>
      <c r="ASJ32" s="54"/>
      <c r="AST32" s="54"/>
      <c r="ATD32" s="54"/>
      <c r="ATN32" s="54"/>
      <c r="ATX32" s="54"/>
      <c r="AUH32" s="54"/>
      <c r="AUR32" s="54"/>
      <c r="AVB32" s="54"/>
      <c r="AVL32" s="54"/>
      <c r="AVV32" s="54"/>
      <c r="AWF32" s="54"/>
      <c r="AWP32" s="54"/>
      <c r="AWZ32" s="54"/>
      <c r="AXJ32" s="54"/>
      <c r="AXT32" s="54"/>
      <c r="AYD32" s="54"/>
      <c r="AYN32" s="54"/>
      <c r="AYX32" s="54"/>
      <c r="AZH32" s="54"/>
      <c r="AZR32" s="54"/>
      <c r="BAB32" s="54"/>
      <c r="BAL32" s="54"/>
      <c r="BAV32" s="54"/>
      <c r="BBF32" s="54"/>
      <c r="BBP32" s="54"/>
      <c r="BBZ32" s="54"/>
      <c r="BCJ32" s="54"/>
      <c r="BCT32" s="54"/>
      <c r="BDD32" s="54"/>
      <c r="BDN32" s="54"/>
      <c r="BDX32" s="54"/>
      <c r="BEH32" s="54"/>
      <c r="BER32" s="54"/>
      <c r="BFB32" s="54"/>
      <c r="BFL32" s="54"/>
      <c r="BFV32" s="54"/>
      <c r="BGF32" s="54"/>
      <c r="BGP32" s="54"/>
      <c r="BGZ32" s="54"/>
      <c r="BHJ32" s="54"/>
      <c r="BHT32" s="54"/>
      <c r="BID32" s="54"/>
      <c r="BIN32" s="54"/>
      <c r="BIX32" s="54"/>
      <c r="BJH32" s="54"/>
      <c r="BJR32" s="54"/>
      <c r="BKB32" s="54"/>
      <c r="BKL32" s="54"/>
      <c r="BKV32" s="54"/>
      <c r="BLF32" s="54"/>
      <c r="BLP32" s="54"/>
      <c r="BLZ32" s="54"/>
      <c r="BMJ32" s="54"/>
      <c r="BMT32" s="54"/>
      <c r="BND32" s="54"/>
      <c r="BNN32" s="54"/>
      <c r="BNX32" s="54"/>
      <c r="BOH32" s="54"/>
      <c r="BOR32" s="54"/>
      <c r="BPB32" s="54"/>
      <c r="BPL32" s="54"/>
      <c r="BPV32" s="54"/>
      <c r="BQF32" s="54"/>
      <c r="BQP32" s="54"/>
      <c r="BQZ32" s="54"/>
      <c r="BRJ32" s="54"/>
      <c r="BRT32" s="54"/>
      <c r="BSD32" s="54"/>
      <c r="BSN32" s="54"/>
      <c r="BSX32" s="54"/>
      <c r="BTH32" s="54"/>
      <c r="BTR32" s="54"/>
      <c r="BUB32" s="54"/>
      <c r="BUL32" s="54"/>
      <c r="BUV32" s="54"/>
      <c r="BVF32" s="54"/>
      <c r="BVP32" s="54"/>
      <c r="BVZ32" s="54"/>
      <c r="BWJ32" s="54"/>
      <c r="BWT32" s="54"/>
      <c r="BXD32" s="54"/>
      <c r="BXN32" s="54"/>
      <c r="BXX32" s="54"/>
      <c r="BYH32" s="54"/>
      <c r="BYR32" s="54"/>
      <c r="BZB32" s="54"/>
      <c r="BZL32" s="54"/>
      <c r="BZV32" s="54"/>
      <c r="CAF32" s="54"/>
      <c r="CAP32" s="54"/>
      <c r="CAZ32" s="54"/>
      <c r="CBJ32" s="54"/>
      <c r="CBT32" s="54"/>
      <c r="CCD32" s="54"/>
      <c r="CCN32" s="54"/>
      <c r="CCX32" s="54"/>
      <c r="CDH32" s="54"/>
      <c r="CDR32" s="54"/>
      <c r="CEB32" s="54"/>
      <c r="CEL32" s="54"/>
      <c r="CEV32" s="54"/>
      <c r="CFF32" s="54"/>
      <c r="CFP32" s="54"/>
      <c r="CFZ32" s="54"/>
      <c r="CGJ32" s="54"/>
      <c r="CGT32" s="54"/>
      <c r="CHD32" s="54"/>
      <c r="CHN32" s="54"/>
      <c r="CHX32" s="54"/>
      <c r="CIH32" s="54"/>
      <c r="CIR32" s="54"/>
      <c r="CJB32" s="54"/>
      <c r="CJL32" s="54"/>
      <c r="CJV32" s="54"/>
      <c r="CKF32" s="54"/>
      <c r="CKP32" s="54"/>
      <c r="CKZ32" s="54"/>
      <c r="CLJ32" s="54"/>
      <c r="CLT32" s="54"/>
      <c r="CMD32" s="54"/>
      <c r="CMN32" s="54"/>
      <c r="CMX32" s="54"/>
      <c r="CNH32" s="54"/>
      <c r="CNR32" s="54"/>
      <c r="COB32" s="54"/>
      <c r="COL32" s="54"/>
      <c r="COV32" s="54"/>
      <c r="CPF32" s="54"/>
      <c r="CPP32" s="54"/>
      <c r="CPZ32" s="54"/>
      <c r="CQJ32" s="54"/>
      <c r="CQT32" s="54"/>
      <c r="CRD32" s="54"/>
      <c r="CRN32" s="54"/>
      <c r="CRX32" s="54"/>
      <c r="CSH32" s="54"/>
      <c r="CSR32" s="54"/>
      <c r="CTB32" s="54"/>
      <c r="CTL32" s="54"/>
      <c r="CTV32" s="54"/>
    </row>
    <row r="33" s="39" customFormat="1" customHeight="1" spans="1:1020 1030:2040 2050:2570">
      <c r="A33" s="48">
        <v>46152</v>
      </c>
      <c r="B33" s="9" t="s">
        <v>32</v>
      </c>
      <c r="C33" s="10" t="s">
        <v>33</v>
      </c>
      <c r="D33" s="49">
        <v>652377643</v>
      </c>
      <c r="E33" s="15" t="s">
        <v>53</v>
      </c>
      <c r="F33" s="50" t="str">
        <f>VLOOKUP(E33,基础数据!E:F,2,0)</f>
        <v>LXBU1101-通讯集成线束-60.8</v>
      </c>
      <c r="G33" s="49">
        <v>898</v>
      </c>
      <c r="H33" s="51" t="str">
        <f>VLOOKUP(E33,基础数据!E:H,4,0)</f>
        <v>料盒</v>
      </c>
      <c r="I33" s="51">
        <f>VLOOKUP(E33,基础数据!E:G,3,0)</f>
        <v>100</v>
      </c>
      <c r="J33" s="49" t="s">
        <v>35</v>
      </c>
      <c r="K33" s="52">
        <f t="shared" si="0"/>
        <v>8.98</v>
      </c>
      <c r="T33" s="54"/>
      <c r="AD33" s="54"/>
      <c r="AN33" s="54"/>
      <c r="AX33" s="54"/>
      <c r="BH33" s="54"/>
      <c r="BR33" s="54"/>
      <c r="CB33" s="54"/>
      <c r="CL33" s="54"/>
      <c r="CV33" s="54"/>
      <c r="DF33" s="54"/>
      <c r="DP33" s="54"/>
      <c r="DZ33" s="54"/>
      <c r="EJ33" s="54"/>
      <c r="ET33" s="54"/>
      <c r="FD33" s="54"/>
      <c r="FN33" s="54"/>
      <c r="FX33" s="54"/>
      <c r="GH33" s="54"/>
      <c r="GR33" s="54"/>
      <c r="HB33" s="54"/>
      <c r="HL33" s="54"/>
      <c r="HV33" s="54"/>
      <c r="IF33" s="54"/>
      <c r="IP33" s="54"/>
      <c r="IZ33" s="54"/>
      <c r="JJ33" s="54"/>
      <c r="JT33" s="54"/>
      <c r="KD33" s="54"/>
      <c r="KN33" s="54"/>
      <c r="KX33" s="54"/>
      <c r="LH33" s="54"/>
      <c r="LR33" s="54"/>
      <c r="MB33" s="54"/>
      <c r="ML33" s="54"/>
      <c r="MV33" s="54"/>
      <c r="NF33" s="54"/>
      <c r="NP33" s="54"/>
      <c r="NZ33" s="54"/>
      <c r="OJ33" s="54"/>
      <c r="OT33" s="54"/>
      <c r="PD33" s="54"/>
      <c r="PN33" s="54"/>
      <c r="PX33" s="54"/>
      <c r="QH33" s="54"/>
      <c r="QR33" s="54"/>
      <c r="RB33" s="54"/>
      <c r="RL33" s="54"/>
      <c r="RV33" s="54"/>
      <c r="SF33" s="54"/>
      <c r="SP33" s="54"/>
      <c r="SZ33" s="54"/>
      <c r="TJ33" s="54"/>
      <c r="TT33" s="54"/>
      <c r="UD33" s="54"/>
      <c r="UN33" s="54"/>
      <c r="UX33" s="54"/>
      <c r="VH33" s="54"/>
      <c r="VR33" s="54"/>
      <c r="WB33" s="54"/>
      <c r="WL33" s="54"/>
      <c r="WV33" s="54"/>
      <c r="XF33" s="54"/>
      <c r="XP33" s="54"/>
      <c r="XZ33" s="54"/>
      <c r="YJ33" s="54"/>
      <c r="YT33" s="54"/>
      <c r="ZD33" s="54"/>
      <c r="ZN33" s="54"/>
      <c r="ZX33" s="54"/>
      <c r="AAH33" s="54"/>
      <c r="AAR33" s="54"/>
      <c r="ABB33" s="54"/>
      <c r="ABL33" s="54"/>
      <c r="ABV33" s="54"/>
      <c r="ACF33" s="54"/>
      <c r="ACP33" s="54"/>
      <c r="ACZ33" s="54"/>
      <c r="ADJ33" s="54"/>
      <c r="ADT33" s="54"/>
      <c r="AED33" s="54"/>
      <c r="AEN33" s="54"/>
      <c r="AEX33" s="54"/>
      <c r="AFH33" s="54"/>
      <c r="AFR33" s="54"/>
      <c r="AGB33" s="54"/>
      <c r="AGL33" s="54"/>
      <c r="AGV33" s="54"/>
      <c r="AHF33" s="54"/>
      <c r="AHP33" s="54"/>
      <c r="AHZ33" s="54"/>
      <c r="AIJ33" s="54"/>
      <c r="AIT33" s="54"/>
      <c r="AJD33" s="54"/>
      <c r="AJN33" s="54"/>
      <c r="AJX33" s="54"/>
      <c r="AKH33" s="54"/>
      <c r="AKR33" s="54"/>
      <c r="ALB33" s="54"/>
      <c r="ALL33" s="54"/>
      <c r="ALV33" s="54"/>
      <c r="AMF33" s="54"/>
      <c r="AMP33" s="54"/>
      <c r="AMZ33" s="54"/>
      <c r="ANJ33" s="54"/>
      <c r="ANT33" s="54"/>
      <c r="AOD33" s="54"/>
      <c r="AON33" s="54"/>
      <c r="AOX33" s="54"/>
      <c r="APH33" s="54"/>
      <c r="APR33" s="54"/>
      <c r="AQB33" s="54"/>
      <c r="AQL33" s="54"/>
      <c r="AQV33" s="54"/>
      <c r="ARF33" s="54"/>
      <c r="ARP33" s="54"/>
      <c r="ARZ33" s="54"/>
      <c r="ASJ33" s="54"/>
      <c r="AST33" s="54"/>
      <c r="ATD33" s="54"/>
      <c r="ATN33" s="54"/>
      <c r="ATX33" s="54"/>
      <c r="AUH33" s="54"/>
      <c r="AUR33" s="54"/>
      <c r="AVB33" s="54"/>
      <c r="AVL33" s="54"/>
      <c r="AVV33" s="54"/>
      <c r="AWF33" s="54"/>
      <c r="AWP33" s="54"/>
      <c r="AWZ33" s="54"/>
      <c r="AXJ33" s="54"/>
      <c r="AXT33" s="54"/>
      <c r="AYD33" s="54"/>
      <c r="AYN33" s="54"/>
      <c r="AYX33" s="54"/>
      <c r="AZH33" s="54"/>
      <c r="AZR33" s="54"/>
      <c r="BAB33" s="54"/>
      <c r="BAL33" s="54"/>
      <c r="BAV33" s="54"/>
      <c r="BBF33" s="54"/>
      <c r="BBP33" s="54"/>
      <c r="BBZ33" s="54"/>
      <c r="BCJ33" s="54"/>
      <c r="BCT33" s="54"/>
      <c r="BDD33" s="54"/>
      <c r="BDN33" s="54"/>
      <c r="BDX33" s="54"/>
      <c r="BEH33" s="54"/>
      <c r="BER33" s="54"/>
      <c r="BFB33" s="54"/>
      <c r="BFL33" s="54"/>
      <c r="BFV33" s="54"/>
      <c r="BGF33" s="54"/>
      <c r="BGP33" s="54"/>
      <c r="BGZ33" s="54"/>
      <c r="BHJ33" s="54"/>
      <c r="BHT33" s="54"/>
      <c r="BID33" s="54"/>
      <c r="BIN33" s="54"/>
      <c r="BIX33" s="54"/>
      <c r="BJH33" s="54"/>
      <c r="BJR33" s="54"/>
      <c r="BKB33" s="54"/>
      <c r="BKL33" s="54"/>
      <c r="BKV33" s="54"/>
      <c r="BLF33" s="54"/>
      <c r="BLP33" s="54"/>
      <c r="BLZ33" s="54"/>
      <c r="BMJ33" s="54"/>
      <c r="BMT33" s="54"/>
      <c r="BND33" s="54"/>
      <c r="BNN33" s="54"/>
      <c r="BNX33" s="54"/>
      <c r="BOH33" s="54"/>
      <c r="BOR33" s="54"/>
      <c r="BPB33" s="54"/>
      <c r="BPL33" s="54"/>
      <c r="BPV33" s="54"/>
      <c r="BQF33" s="54"/>
      <c r="BQP33" s="54"/>
      <c r="BQZ33" s="54"/>
      <c r="BRJ33" s="54"/>
      <c r="BRT33" s="54"/>
      <c r="BSD33" s="54"/>
      <c r="BSN33" s="54"/>
      <c r="BSX33" s="54"/>
      <c r="BTH33" s="54"/>
      <c r="BTR33" s="54"/>
      <c r="BUB33" s="54"/>
      <c r="BUL33" s="54"/>
      <c r="BUV33" s="54"/>
      <c r="BVF33" s="54"/>
      <c r="BVP33" s="54"/>
      <c r="BVZ33" s="54"/>
      <c r="BWJ33" s="54"/>
      <c r="BWT33" s="54"/>
      <c r="BXD33" s="54"/>
      <c r="BXN33" s="54"/>
      <c r="BXX33" s="54"/>
      <c r="BYH33" s="54"/>
      <c r="BYR33" s="54"/>
      <c r="BZB33" s="54"/>
      <c r="BZL33" s="54"/>
      <c r="BZV33" s="54"/>
      <c r="CAF33" s="54"/>
      <c r="CAP33" s="54"/>
      <c r="CAZ33" s="54"/>
      <c r="CBJ33" s="54"/>
      <c r="CBT33" s="54"/>
      <c r="CCD33" s="54"/>
      <c r="CCN33" s="54"/>
      <c r="CCX33" s="54"/>
      <c r="CDH33" s="54"/>
      <c r="CDR33" s="54"/>
      <c r="CEB33" s="54"/>
      <c r="CEL33" s="54"/>
      <c r="CEV33" s="54"/>
      <c r="CFF33" s="54"/>
      <c r="CFP33" s="54"/>
      <c r="CFZ33" s="54"/>
      <c r="CGJ33" s="54"/>
      <c r="CGT33" s="54"/>
      <c r="CHD33" s="54"/>
      <c r="CHN33" s="54"/>
      <c r="CHX33" s="54"/>
      <c r="CIH33" s="54"/>
      <c r="CIR33" s="54"/>
      <c r="CJB33" s="54"/>
      <c r="CJL33" s="54"/>
      <c r="CJV33" s="54"/>
      <c r="CKF33" s="54"/>
      <c r="CKP33" s="54"/>
      <c r="CKZ33" s="54"/>
      <c r="CLJ33" s="54"/>
      <c r="CLT33" s="54"/>
      <c r="CMD33" s="54"/>
      <c r="CMN33" s="54"/>
      <c r="CMX33" s="54"/>
      <c r="CNH33" s="54"/>
      <c r="CNR33" s="54"/>
      <c r="COB33" s="54"/>
      <c r="COL33" s="54"/>
      <c r="COV33" s="54"/>
      <c r="CPF33" s="54"/>
      <c r="CPP33" s="54"/>
      <c r="CPZ33" s="54"/>
      <c r="CQJ33" s="54"/>
      <c r="CQT33" s="54"/>
      <c r="CRD33" s="54"/>
      <c r="CRN33" s="54"/>
      <c r="CRX33" s="54"/>
      <c r="CSH33" s="54"/>
      <c r="CSR33" s="54"/>
      <c r="CTB33" s="54"/>
      <c r="CTL33" s="54"/>
      <c r="CTV33" s="54"/>
    </row>
    <row r="34" s="39" customFormat="1" customHeight="1" spans="1:1020 1030:2040 2050:2570">
      <c r="A34" s="48">
        <v>46152</v>
      </c>
      <c r="B34" s="9" t="s">
        <v>32</v>
      </c>
      <c r="C34" s="10" t="s">
        <v>33</v>
      </c>
      <c r="D34" s="49">
        <v>652377643</v>
      </c>
      <c r="E34" s="15" t="s">
        <v>54</v>
      </c>
      <c r="F34" s="50" t="str">
        <f>VLOOKUP(E34,基础数据!E:F,2,0)</f>
        <v>LXBU1101-BDU集成线束-60.8</v>
      </c>
      <c r="G34" s="49">
        <v>899</v>
      </c>
      <c r="H34" s="51" t="str">
        <f>VLOOKUP(E34,基础数据!E:H,4,0)</f>
        <v>料盒</v>
      </c>
      <c r="I34" s="51">
        <f>VLOOKUP(E34,基础数据!E:G,3,0)</f>
        <v>40</v>
      </c>
      <c r="J34" s="49" t="s">
        <v>35</v>
      </c>
      <c r="K34" s="52">
        <f t="shared" si="0"/>
        <v>22.475</v>
      </c>
      <c r="T34" s="54"/>
      <c r="AD34" s="54"/>
      <c r="AN34" s="54"/>
      <c r="AX34" s="54"/>
      <c r="BH34" s="54"/>
      <c r="BR34" s="54"/>
      <c r="CB34" s="54"/>
      <c r="CL34" s="54"/>
      <c r="CV34" s="54"/>
      <c r="DF34" s="54"/>
      <c r="DP34" s="54"/>
      <c r="DZ34" s="54"/>
      <c r="EJ34" s="54"/>
      <c r="ET34" s="54"/>
      <c r="FD34" s="54"/>
      <c r="FN34" s="54"/>
      <c r="FX34" s="54"/>
      <c r="GH34" s="54"/>
      <c r="GR34" s="54"/>
      <c r="HB34" s="54"/>
      <c r="HL34" s="54"/>
      <c r="HV34" s="54"/>
      <c r="IF34" s="54"/>
      <c r="IP34" s="54"/>
      <c r="IZ34" s="54"/>
      <c r="JJ34" s="54"/>
      <c r="JT34" s="54"/>
      <c r="KD34" s="54"/>
      <c r="KN34" s="54"/>
      <c r="KX34" s="54"/>
      <c r="LH34" s="54"/>
      <c r="LR34" s="54"/>
      <c r="MB34" s="54"/>
      <c r="ML34" s="54"/>
      <c r="MV34" s="54"/>
      <c r="NF34" s="54"/>
      <c r="NP34" s="54"/>
      <c r="NZ34" s="54"/>
      <c r="OJ34" s="54"/>
      <c r="OT34" s="54"/>
      <c r="PD34" s="54"/>
      <c r="PN34" s="54"/>
      <c r="PX34" s="54"/>
      <c r="QH34" s="54"/>
      <c r="QR34" s="54"/>
      <c r="RB34" s="54"/>
      <c r="RL34" s="54"/>
      <c r="RV34" s="54"/>
      <c r="SF34" s="54"/>
      <c r="SP34" s="54"/>
      <c r="SZ34" s="54"/>
      <c r="TJ34" s="54"/>
      <c r="TT34" s="54"/>
      <c r="UD34" s="54"/>
      <c r="UN34" s="54"/>
      <c r="UX34" s="54"/>
      <c r="VH34" s="54"/>
      <c r="VR34" s="54"/>
      <c r="WB34" s="54"/>
      <c r="WL34" s="54"/>
      <c r="WV34" s="54"/>
      <c r="XF34" s="54"/>
      <c r="XP34" s="54"/>
      <c r="XZ34" s="54"/>
      <c r="YJ34" s="54"/>
      <c r="YT34" s="54"/>
      <c r="ZD34" s="54"/>
      <c r="ZN34" s="54"/>
      <c r="ZX34" s="54"/>
      <c r="AAH34" s="54"/>
      <c r="AAR34" s="54"/>
      <c r="ABB34" s="54"/>
      <c r="ABL34" s="54"/>
      <c r="ABV34" s="54"/>
      <c r="ACF34" s="54"/>
      <c r="ACP34" s="54"/>
      <c r="ACZ34" s="54"/>
      <c r="ADJ34" s="54"/>
      <c r="ADT34" s="54"/>
      <c r="AED34" s="54"/>
      <c r="AEN34" s="54"/>
      <c r="AEX34" s="54"/>
      <c r="AFH34" s="54"/>
      <c r="AFR34" s="54"/>
      <c r="AGB34" s="54"/>
      <c r="AGL34" s="54"/>
      <c r="AGV34" s="54"/>
      <c r="AHF34" s="54"/>
      <c r="AHP34" s="54"/>
      <c r="AHZ34" s="54"/>
      <c r="AIJ34" s="54"/>
      <c r="AIT34" s="54"/>
      <c r="AJD34" s="54"/>
      <c r="AJN34" s="54"/>
      <c r="AJX34" s="54"/>
      <c r="AKH34" s="54"/>
      <c r="AKR34" s="54"/>
      <c r="ALB34" s="54"/>
      <c r="ALL34" s="54"/>
      <c r="ALV34" s="54"/>
      <c r="AMF34" s="54"/>
      <c r="AMP34" s="54"/>
      <c r="AMZ34" s="54"/>
      <c r="ANJ34" s="54"/>
      <c r="ANT34" s="54"/>
      <c r="AOD34" s="54"/>
      <c r="AON34" s="54"/>
      <c r="AOX34" s="54"/>
      <c r="APH34" s="54"/>
      <c r="APR34" s="54"/>
      <c r="AQB34" s="54"/>
      <c r="AQL34" s="54"/>
      <c r="AQV34" s="54"/>
      <c r="ARF34" s="54"/>
      <c r="ARP34" s="54"/>
      <c r="ARZ34" s="54"/>
      <c r="ASJ34" s="54"/>
      <c r="AST34" s="54"/>
      <c r="ATD34" s="54"/>
      <c r="ATN34" s="54"/>
      <c r="ATX34" s="54"/>
      <c r="AUH34" s="54"/>
      <c r="AUR34" s="54"/>
      <c r="AVB34" s="54"/>
      <c r="AVL34" s="54"/>
      <c r="AVV34" s="54"/>
      <c r="AWF34" s="54"/>
      <c r="AWP34" s="54"/>
      <c r="AWZ34" s="54"/>
      <c r="AXJ34" s="54"/>
      <c r="AXT34" s="54"/>
      <c r="AYD34" s="54"/>
      <c r="AYN34" s="54"/>
      <c r="AYX34" s="54"/>
      <c r="AZH34" s="54"/>
      <c r="AZR34" s="54"/>
      <c r="BAB34" s="54"/>
      <c r="BAL34" s="54"/>
      <c r="BAV34" s="54"/>
      <c r="BBF34" s="54"/>
      <c r="BBP34" s="54"/>
      <c r="BBZ34" s="54"/>
      <c r="BCJ34" s="54"/>
      <c r="BCT34" s="54"/>
      <c r="BDD34" s="54"/>
      <c r="BDN34" s="54"/>
      <c r="BDX34" s="54"/>
      <c r="BEH34" s="54"/>
      <c r="BER34" s="54"/>
      <c r="BFB34" s="54"/>
      <c r="BFL34" s="54"/>
      <c r="BFV34" s="54"/>
      <c r="BGF34" s="54"/>
      <c r="BGP34" s="54"/>
      <c r="BGZ34" s="54"/>
      <c r="BHJ34" s="54"/>
      <c r="BHT34" s="54"/>
      <c r="BID34" s="54"/>
      <c r="BIN34" s="54"/>
      <c r="BIX34" s="54"/>
      <c r="BJH34" s="54"/>
      <c r="BJR34" s="54"/>
      <c r="BKB34" s="54"/>
      <c r="BKL34" s="54"/>
      <c r="BKV34" s="54"/>
      <c r="BLF34" s="54"/>
      <c r="BLP34" s="54"/>
      <c r="BLZ34" s="54"/>
      <c r="BMJ34" s="54"/>
      <c r="BMT34" s="54"/>
      <c r="BND34" s="54"/>
      <c r="BNN34" s="54"/>
      <c r="BNX34" s="54"/>
      <c r="BOH34" s="54"/>
      <c r="BOR34" s="54"/>
      <c r="BPB34" s="54"/>
      <c r="BPL34" s="54"/>
      <c r="BPV34" s="54"/>
      <c r="BQF34" s="54"/>
      <c r="BQP34" s="54"/>
      <c r="BQZ34" s="54"/>
      <c r="BRJ34" s="54"/>
      <c r="BRT34" s="54"/>
      <c r="BSD34" s="54"/>
      <c r="BSN34" s="54"/>
      <c r="BSX34" s="54"/>
      <c r="BTH34" s="54"/>
      <c r="BTR34" s="54"/>
      <c r="BUB34" s="54"/>
      <c r="BUL34" s="54"/>
      <c r="BUV34" s="54"/>
      <c r="BVF34" s="54"/>
      <c r="BVP34" s="54"/>
      <c r="BVZ34" s="54"/>
      <c r="BWJ34" s="54"/>
      <c r="BWT34" s="54"/>
      <c r="BXD34" s="54"/>
      <c r="BXN34" s="54"/>
      <c r="BXX34" s="54"/>
      <c r="BYH34" s="54"/>
      <c r="BYR34" s="54"/>
      <c r="BZB34" s="54"/>
      <c r="BZL34" s="54"/>
      <c r="BZV34" s="54"/>
      <c r="CAF34" s="54"/>
      <c r="CAP34" s="54"/>
      <c r="CAZ34" s="54"/>
      <c r="CBJ34" s="54"/>
      <c r="CBT34" s="54"/>
      <c r="CCD34" s="54"/>
      <c r="CCN34" s="54"/>
      <c r="CCX34" s="54"/>
      <c r="CDH34" s="54"/>
      <c r="CDR34" s="54"/>
      <c r="CEB34" s="54"/>
      <c r="CEL34" s="54"/>
      <c r="CEV34" s="54"/>
      <c r="CFF34" s="54"/>
      <c r="CFP34" s="54"/>
      <c r="CFZ34" s="54"/>
      <c r="CGJ34" s="54"/>
      <c r="CGT34" s="54"/>
      <c r="CHD34" s="54"/>
      <c r="CHN34" s="54"/>
      <c r="CHX34" s="54"/>
      <c r="CIH34" s="54"/>
      <c r="CIR34" s="54"/>
      <c r="CJB34" s="54"/>
      <c r="CJL34" s="54"/>
      <c r="CJV34" s="54"/>
      <c r="CKF34" s="54"/>
      <c r="CKP34" s="54"/>
      <c r="CKZ34" s="54"/>
      <c r="CLJ34" s="54"/>
      <c r="CLT34" s="54"/>
      <c r="CMD34" s="54"/>
      <c r="CMN34" s="54"/>
      <c r="CMX34" s="54"/>
      <c r="CNH34" s="54"/>
      <c r="CNR34" s="54"/>
      <c r="COB34" s="54"/>
      <c r="COL34" s="54"/>
      <c r="COV34" s="54"/>
      <c r="CPF34" s="54"/>
      <c r="CPP34" s="54"/>
      <c r="CPZ34" s="54"/>
      <c r="CQJ34" s="54"/>
      <c r="CQT34" s="54"/>
      <c r="CRD34" s="54"/>
      <c r="CRN34" s="54"/>
      <c r="CRX34" s="54"/>
      <c r="CSH34" s="54"/>
      <c r="CSR34" s="54"/>
      <c r="CTB34" s="54"/>
      <c r="CTL34" s="54"/>
      <c r="CTV34" s="54"/>
    </row>
    <row r="35" s="39" customFormat="1" customHeight="1" spans="1:1020 1030:2040 2050:2570">
      <c r="A35" s="48">
        <v>46152</v>
      </c>
      <c r="B35" s="9" t="s">
        <v>32</v>
      </c>
      <c r="C35" s="10" t="s">
        <v>33</v>
      </c>
      <c r="D35" s="49">
        <v>652377643</v>
      </c>
      <c r="E35" s="15" t="s">
        <v>45</v>
      </c>
      <c r="F35" s="50" t="str">
        <f>VLOOKUP(E35,基础数据!E:F,2,0)</f>
        <v>A12EV10-预充电阻连接线束</v>
      </c>
      <c r="G35" s="49">
        <v>1500</v>
      </c>
      <c r="H35" s="51" t="str">
        <f>VLOOKUP(E35,基础数据!E:H,4,0)</f>
        <v>料盒</v>
      </c>
      <c r="I35" s="51">
        <f>VLOOKUP(E35,基础数据!E:G,3,0)</f>
        <v>100</v>
      </c>
      <c r="J35" s="49" t="s">
        <v>35</v>
      </c>
      <c r="K35" s="52">
        <f t="shared" si="0"/>
        <v>15</v>
      </c>
      <c r="T35" s="54"/>
      <c r="AD35" s="54"/>
      <c r="AN35" s="54"/>
      <c r="AX35" s="54"/>
      <c r="BH35" s="54"/>
      <c r="BR35" s="54"/>
      <c r="CB35" s="54"/>
      <c r="CL35" s="54"/>
      <c r="CV35" s="54"/>
      <c r="DF35" s="54"/>
      <c r="DP35" s="54"/>
      <c r="DZ35" s="54"/>
      <c r="EJ35" s="54"/>
      <c r="ET35" s="54"/>
      <c r="FD35" s="54"/>
      <c r="FN35" s="54"/>
      <c r="FX35" s="54"/>
      <c r="GH35" s="54"/>
      <c r="GR35" s="54"/>
      <c r="HB35" s="54"/>
      <c r="HL35" s="54"/>
      <c r="HV35" s="54"/>
      <c r="IF35" s="54"/>
      <c r="IP35" s="54"/>
      <c r="IZ35" s="54"/>
      <c r="JJ35" s="54"/>
      <c r="JT35" s="54"/>
      <c r="KD35" s="54"/>
      <c r="KN35" s="54"/>
      <c r="KX35" s="54"/>
      <c r="LH35" s="54"/>
      <c r="LR35" s="54"/>
      <c r="MB35" s="54"/>
      <c r="ML35" s="54"/>
      <c r="MV35" s="54"/>
      <c r="NF35" s="54"/>
      <c r="NP35" s="54"/>
      <c r="NZ35" s="54"/>
      <c r="OJ35" s="54"/>
      <c r="OT35" s="54"/>
      <c r="PD35" s="54"/>
      <c r="PN35" s="54"/>
      <c r="PX35" s="54"/>
      <c r="QH35" s="54"/>
      <c r="QR35" s="54"/>
      <c r="RB35" s="54"/>
      <c r="RL35" s="54"/>
      <c r="RV35" s="54"/>
      <c r="SF35" s="54"/>
      <c r="SP35" s="54"/>
      <c r="SZ35" s="54"/>
      <c r="TJ35" s="54"/>
      <c r="TT35" s="54"/>
      <c r="UD35" s="54"/>
      <c r="UN35" s="54"/>
      <c r="UX35" s="54"/>
      <c r="VH35" s="54"/>
      <c r="VR35" s="54"/>
      <c r="WB35" s="54"/>
      <c r="WL35" s="54"/>
      <c r="WV35" s="54"/>
      <c r="XF35" s="54"/>
      <c r="XP35" s="54"/>
      <c r="XZ35" s="54"/>
      <c r="YJ35" s="54"/>
      <c r="YT35" s="54"/>
      <c r="ZD35" s="54"/>
      <c r="ZN35" s="54"/>
      <c r="ZX35" s="54"/>
      <c r="AAH35" s="54"/>
      <c r="AAR35" s="54"/>
      <c r="ABB35" s="54"/>
      <c r="ABL35" s="54"/>
      <c r="ABV35" s="54"/>
      <c r="ACF35" s="54"/>
      <c r="ACP35" s="54"/>
      <c r="ACZ35" s="54"/>
      <c r="ADJ35" s="54"/>
      <c r="ADT35" s="54"/>
      <c r="AED35" s="54"/>
      <c r="AEN35" s="54"/>
      <c r="AEX35" s="54"/>
      <c r="AFH35" s="54"/>
      <c r="AFR35" s="54"/>
      <c r="AGB35" s="54"/>
      <c r="AGL35" s="54"/>
      <c r="AGV35" s="54"/>
      <c r="AHF35" s="54"/>
      <c r="AHP35" s="54"/>
      <c r="AHZ35" s="54"/>
      <c r="AIJ35" s="54"/>
      <c r="AIT35" s="54"/>
      <c r="AJD35" s="54"/>
      <c r="AJN35" s="54"/>
      <c r="AJX35" s="54"/>
      <c r="AKH35" s="54"/>
      <c r="AKR35" s="54"/>
      <c r="ALB35" s="54"/>
      <c r="ALL35" s="54"/>
      <c r="ALV35" s="54"/>
      <c r="AMF35" s="54"/>
      <c r="AMP35" s="54"/>
      <c r="AMZ35" s="54"/>
      <c r="ANJ35" s="54"/>
      <c r="ANT35" s="54"/>
      <c r="AOD35" s="54"/>
      <c r="AON35" s="54"/>
      <c r="AOX35" s="54"/>
      <c r="APH35" s="54"/>
      <c r="APR35" s="54"/>
      <c r="AQB35" s="54"/>
      <c r="AQL35" s="54"/>
      <c r="AQV35" s="54"/>
      <c r="ARF35" s="54"/>
      <c r="ARP35" s="54"/>
      <c r="ARZ35" s="54"/>
      <c r="ASJ35" s="54"/>
      <c r="AST35" s="54"/>
      <c r="ATD35" s="54"/>
      <c r="ATN35" s="54"/>
      <c r="ATX35" s="54"/>
      <c r="AUH35" s="54"/>
      <c r="AUR35" s="54"/>
      <c r="AVB35" s="54"/>
      <c r="AVL35" s="54"/>
      <c r="AVV35" s="54"/>
      <c r="AWF35" s="54"/>
      <c r="AWP35" s="54"/>
      <c r="AWZ35" s="54"/>
      <c r="AXJ35" s="54"/>
      <c r="AXT35" s="54"/>
      <c r="AYD35" s="54"/>
      <c r="AYN35" s="54"/>
      <c r="AYX35" s="54"/>
      <c r="AZH35" s="54"/>
      <c r="AZR35" s="54"/>
      <c r="BAB35" s="54"/>
      <c r="BAL35" s="54"/>
      <c r="BAV35" s="54"/>
      <c r="BBF35" s="54"/>
      <c r="BBP35" s="54"/>
      <c r="BBZ35" s="54"/>
      <c r="BCJ35" s="54"/>
      <c r="BCT35" s="54"/>
      <c r="BDD35" s="54"/>
      <c r="BDN35" s="54"/>
      <c r="BDX35" s="54"/>
      <c r="BEH35" s="54"/>
      <c r="BER35" s="54"/>
      <c r="BFB35" s="54"/>
      <c r="BFL35" s="54"/>
      <c r="BFV35" s="54"/>
      <c r="BGF35" s="54"/>
      <c r="BGP35" s="54"/>
      <c r="BGZ35" s="54"/>
      <c r="BHJ35" s="54"/>
      <c r="BHT35" s="54"/>
      <c r="BID35" s="54"/>
      <c r="BIN35" s="54"/>
      <c r="BIX35" s="54"/>
      <c r="BJH35" s="54"/>
      <c r="BJR35" s="54"/>
      <c r="BKB35" s="54"/>
      <c r="BKL35" s="54"/>
      <c r="BKV35" s="54"/>
      <c r="BLF35" s="54"/>
      <c r="BLP35" s="54"/>
      <c r="BLZ35" s="54"/>
      <c r="BMJ35" s="54"/>
      <c r="BMT35" s="54"/>
      <c r="BND35" s="54"/>
      <c r="BNN35" s="54"/>
      <c r="BNX35" s="54"/>
      <c r="BOH35" s="54"/>
      <c r="BOR35" s="54"/>
      <c r="BPB35" s="54"/>
      <c r="BPL35" s="54"/>
      <c r="BPV35" s="54"/>
      <c r="BQF35" s="54"/>
      <c r="BQP35" s="54"/>
      <c r="BQZ35" s="54"/>
      <c r="BRJ35" s="54"/>
      <c r="BRT35" s="54"/>
      <c r="BSD35" s="54"/>
      <c r="BSN35" s="54"/>
      <c r="BSX35" s="54"/>
      <c r="BTH35" s="54"/>
      <c r="BTR35" s="54"/>
      <c r="BUB35" s="54"/>
      <c r="BUL35" s="54"/>
      <c r="BUV35" s="54"/>
      <c r="BVF35" s="54"/>
      <c r="BVP35" s="54"/>
      <c r="BVZ35" s="54"/>
      <c r="BWJ35" s="54"/>
      <c r="BWT35" s="54"/>
      <c r="BXD35" s="54"/>
      <c r="BXN35" s="54"/>
      <c r="BXX35" s="54"/>
      <c r="BYH35" s="54"/>
      <c r="BYR35" s="54"/>
      <c r="BZB35" s="54"/>
      <c r="BZL35" s="54"/>
      <c r="BZV35" s="54"/>
      <c r="CAF35" s="54"/>
      <c r="CAP35" s="54"/>
      <c r="CAZ35" s="54"/>
      <c r="CBJ35" s="54"/>
      <c r="CBT35" s="54"/>
      <c r="CCD35" s="54"/>
      <c r="CCN35" s="54"/>
      <c r="CCX35" s="54"/>
      <c r="CDH35" s="54"/>
      <c r="CDR35" s="54"/>
      <c r="CEB35" s="54"/>
      <c r="CEL35" s="54"/>
      <c r="CEV35" s="54"/>
      <c r="CFF35" s="54"/>
      <c r="CFP35" s="54"/>
      <c r="CFZ35" s="54"/>
      <c r="CGJ35" s="54"/>
      <c r="CGT35" s="54"/>
      <c r="CHD35" s="54"/>
      <c r="CHN35" s="54"/>
      <c r="CHX35" s="54"/>
      <c r="CIH35" s="54"/>
      <c r="CIR35" s="54"/>
      <c r="CJB35" s="54"/>
      <c r="CJL35" s="54"/>
      <c r="CJV35" s="54"/>
      <c r="CKF35" s="54"/>
      <c r="CKP35" s="54"/>
      <c r="CKZ35" s="54"/>
      <c r="CLJ35" s="54"/>
      <c r="CLT35" s="54"/>
      <c r="CMD35" s="54"/>
      <c r="CMN35" s="54"/>
      <c r="CMX35" s="54"/>
      <c r="CNH35" s="54"/>
      <c r="CNR35" s="54"/>
      <c r="COB35" s="54"/>
      <c r="COL35" s="54"/>
      <c r="COV35" s="54"/>
      <c r="CPF35" s="54"/>
      <c r="CPP35" s="54"/>
      <c r="CPZ35" s="54"/>
      <c r="CQJ35" s="54"/>
      <c r="CQT35" s="54"/>
      <c r="CRD35" s="54"/>
      <c r="CRN35" s="54"/>
      <c r="CRX35" s="54"/>
      <c r="CSH35" s="54"/>
      <c r="CSR35" s="54"/>
      <c r="CTB35" s="54"/>
      <c r="CTL35" s="54"/>
      <c r="CTV35" s="54"/>
    </row>
    <row r="36" s="39" customFormat="1" customHeight="1" spans="1:1020 1030:2040 2050:2570">
      <c r="A36" s="48">
        <v>46153</v>
      </c>
      <c r="B36" s="9" t="s">
        <v>32</v>
      </c>
      <c r="C36" s="10" t="s">
        <v>33</v>
      </c>
      <c r="D36" s="49">
        <v>652380513</v>
      </c>
      <c r="E36" s="15" t="s">
        <v>55</v>
      </c>
      <c r="F36" s="50" t="str">
        <f>VLOOKUP(E36,基础数据!E:F,2,0)</f>
        <v>线束总成</v>
      </c>
      <c r="G36" s="49">
        <v>1000</v>
      </c>
      <c r="H36" s="51" t="str">
        <f>VLOOKUP(E36,基础数据!E:H,4,0)</f>
        <v>料盒</v>
      </c>
      <c r="I36" s="51">
        <f>VLOOKUP(E36,基础数据!E:G,3,0)</f>
        <v>100</v>
      </c>
      <c r="J36" s="49" t="s">
        <v>35</v>
      </c>
      <c r="K36" s="52">
        <f t="shared" si="0"/>
        <v>10</v>
      </c>
      <c r="T36" s="54"/>
      <c r="AD36" s="54"/>
      <c r="AN36" s="54"/>
      <c r="AX36" s="54"/>
      <c r="BH36" s="54"/>
      <c r="BR36" s="54"/>
      <c r="CB36" s="54"/>
      <c r="CL36" s="54"/>
      <c r="CV36" s="54"/>
      <c r="DF36" s="54"/>
      <c r="DP36" s="54"/>
      <c r="DZ36" s="54"/>
      <c r="EJ36" s="54"/>
      <c r="ET36" s="54"/>
      <c r="FD36" s="54"/>
      <c r="FN36" s="54"/>
      <c r="FX36" s="54"/>
      <c r="GH36" s="54"/>
      <c r="GR36" s="54"/>
      <c r="HB36" s="54"/>
      <c r="HL36" s="54"/>
      <c r="HV36" s="54"/>
      <c r="IF36" s="54"/>
      <c r="IP36" s="54"/>
      <c r="IZ36" s="54"/>
      <c r="JJ36" s="54"/>
      <c r="JT36" s="54"/>
      <c r="KD36" s="54"/>
      <c r="KN36" s="54"/>
      <c r="KX36" s="54"/>
      <c r="LH36" s="54"/>
      <c r="LR36" s="54"/>
      <c r="MB36" s="54"/>
      <c r="ML36" s="54"/>
      <c r="MV36" s="54"/>
      <c r="NF36" s="54"/>
      <c r="NP36" s="54"/>
      <c r="NZ36" s="54"/>
      <c r="OJ36" s="54"/>
      <c r="OT36" s="54"/>
      <c r="PD36" s="54"/>
      <c r="PN36" s="54"/>
      <c r="PX36" s="54"/>
      <c r="QH36" s="54"/>
      <c r="QR36" s="54"/>
      <c r="RB36" s="54"/>
      <c r="RL36" s="54"/>
      <c r="RV36" s="54"/>
      <c r="SF36" s="54"/>
      <c r="SP36" s="54"/>
      <c r="SZ36" s="54"/>
      <c r="TJ36" s="54"/>
      <c r="TT36" s="54"/>
      <c r="UD36" s="54"/>
      <c r="UN36" s="54"/>
      <c r="UX36" s="54"/>
      <c r="VH36" s="54"/>
      <c r="VR36" s="54"/>
      <c r="WB36" s="54"/>
      <c r="WL36" s="54"/>
      <c r="WV36" s="54"/>
      <c r="XF36" s="54"/>
      <c r="XP36" s="54"/>
      <c r="XZ36" s="54"/>
      <c r="YJ36" s="54"/>
      <c r="YT36" s="54"/>
      <c r="ZD36" s="54"/>
      <c r="ZN36" s="54"/>
      <c r="ZX36" s="54"/>
      <c r="AAH36" s="54"/>
      <c r="AAR36" s="54"/>
      <c r="ABB36" s="54"/>
      <c r="ABL36" s="54"/>
      <c r="ABV36" s="54"/>
      <c r="ACF36" s="54"/>
      <c r="ACP36" s="54"/>
      <c r="ACZ36" s="54"/>
      <c r="ADJ36" s="54"/>
      <c r="ADT36" s="54"/>
      <c r="AED36" s="54"/>
      <c r="AEN36" s="54"/>
      <c r="AEX36" s="54"/>
      <c r="AFH36" s="54"/>
      <c r="AFR36" s="54"/>
      <c r="AGB36" s="54"/>
      <c r="AGL36" s="54"/>
      <c r="AGV36" s="54"/>
      <c r="AHF36" s="54"/>
      <c r="AHP36" s="54"/>
      <c r="AHZ36" s="54"/>
      <c r="AIJ36" s="54"/>
      <c r="AIT36" s="54"/>
      <c r="AJD36" s="54"/>
      <c r="AJN36" s="54"/>
      <c r="AJX36" s="54"/>
      <c r="AKH36" s="54"/>
      <c r="AKR36" s="54"/>
      <c r="ALB36" s="54"/>
      <c r="ALL36" s="54"/>
      <c r="ALV36" s="54"/>
      <c r="AMF36" s="54"/>
      <c r="AMP36" s="54"/>
      <c r="AMZ36" s="54"/>
      <c r="ANJ36" s="54"/>
      <c r="ANT36" s="54"/>
      <c r="AOD36" s="54"/>
      <c r="AON36" s="54"/>
      <c r="AOX36" s="54"/>
      <c r="APH36" s="54"/>
      <c r="APR36" s="54"/>
      <c r="AQB36" s="54"/>
      <c r="AQL36" s="54"/>
      <c r="AQV36" s="54"/>
      <c r="ARF36" s="54"/>
      <c r="ARP36" s="54"/>
      <c r="ARZ36" s="54"/>
      <c r="ASJ36" s="54"/>
      <c r="AST36" s="54"/>
      <c r="ATD36" s="54"/>
      <c r="ATN36" s="54"/>
      <c r="ATX36" s="54"/>
      <c r="AUH36" s="54"/>
      <c r="AUR36" s="54"/>
      <c r="AVB36" s="54"/>
      <c r="AVL36" s="54"/>
      <c r="AVV36" s="54"/>
      <c r="AWF36" s="54"/>
      <c r="AWP36" s="54"/>
      <c r="AWZ36" s="54"/>
      <c r="AXJ36" s="54"/>
      <c r="AXT36" s="54"/>
      <c r="AYD36" s="54"/>
      <c r="AYN36" s="54"/>
      <c r="AYX36" s="54"/>
      <c r="AZH36" s="54"/>
      <c r="AZR36" s="54"/>
      <c r="BAB36" s="54"/>
      <c r="BAL36" s="54"/>
      <c r="BAV36" s="54"/>
      <c r="BBF36" s="54"/>
      <c r="BBP36" s="54"/>
      <c r="BBZ36" s="54"/>
      <c r="BCJ36" s="54"/>
      <c r="BCT36" s="54"/>
      <c r="BDD36" s="54"/>
      <c r="BDN36" s="54"/>
      <c r="BDX36" s="54"/>
      <c r="BEH36" s="54"/>
      <c r="BER36" s="54"/>
      <c r="BFB36" s="54"/>
      <c r="BFL36" s="54"/>
      <c r="BFV36" s="54"/>
      <c r="BGF36" s="54"/>
      <c r="BGP36" s="54"/>
      <c r="BGZ36" s="54"/>
      <c r="BHJ36" s="54"/>
      <c r="BHT36" s="54"/>
      <c r="BID36" s="54"/>
      <c r="BIN36" s="54"/>
      <c r="BIX36" s="54"/>
      <c r="BJH36" s="54"/>
      <c r="BJR36" s="54"/>
      <c r="BKB36" s="54"/>
      <c r="BKL36" s="54"/>
      <c r="BKV36" s="54"/>
      <c r="BLF36" s="54"/>
      <c r="BLP36" s="54"/>
      <c r="BLZ36" s="54"/>
      <c r="BMJ36" s="54"/>
      <c r="BMT36" s="54"/>
      <c r="BND36" s="54"/>
      <c r="BNN36" s="54"/>
      <c r="BNX36" s="54"/>
      <c r="BOH36" s="54"/>
      <c r="BOR36" s="54"/>
      <c r="BPB36" s="54"/>
      <c r="BPL36" s="54"/>
      <c r="BPV36" s="54"/>
      <c r="BQF36" s="54"/>
      <c r="BQP36" s="54"/>
      <c r="BQZ36" s="54"/>
      <c r="BRJ36" s="54"/>
      <c r="BRT36" s="54"/>
      <c r="BSD36" s="54"/>
      <c r="BSN36" s="54"/>
      <c r="BSX36" s="54"/>
      <c r="BTH36" s="54"/>
      <c r="BTR36" s="54"/>
      <c r="BUB36" s="54"/>
      <c r="BUL36" s="54"/>
      <c r="BUV36" s="54"/>
      <c r="BVF36" s="54"/>
      <c r="BVP36" s="54"/>
      <c r="BVZ36" s="54"/>
      <c r="BWJ36" s="54"/>
      <c r="BWT36" s="54"/>
      <c r="BXD36" s="54"/>
      <c r="BXN36" s="54"/>
      <c r="BXX36" s="54"/>
      <c r="BYH36" s="54"/>
      <c r="BYR36" s="54"/>
      <c r="BZB36" s="54"/>
      <c r="BZL36" s="54"/>
      <c r="BZV36" s="54"/>
      <c r="CAF36" s="54"/>
      <c r="CAP36" s="54"/>
      <c r="CAZ36" s="54"/>
      <c r="CBJ36" s="54"/>
      <c r="CBT36" s="54"/>
      <c r="CCD36" s="54"/>
      <c r="CCN36" s="54"/>
      <c r="CCX36" s="54"/>
      <c r="CDH36" s="54"/>
      <c r="CDR36" s="54"/>
      <c r="CEB36" s="54"/>
      <c r="CEL36" s="54"/>
      <c r="CEV36" s="54"/>
      <c r="CFF36" s="54"/>
      <c r="CFP36" s="54"/>
      <c r="CFZ36" s="54"/>
      <c r="CGJ36" s="54"/>
      <c r="CGT36" s="54"/>
      <c r="CHD36" s="54"/>
      <c r="CHN36" s="54"/>
      <c r="CHX36" s="54"/>
      <c r="CIH36" s="54"/>
      <c r="CIR36" s="54"/>
      <c r="CJB36" s="54"/>
      <c r="CJL36" s="54"/>
      <c r="CJV36" s="54"/>
      <c r="CKF36" s="54"/>
      <c r="CKP36" s="54"/>
      <c r="CKZ36" s="54"/>
      <c r="CLJ36" s="54"/>
      <c r="CLT36" s="54"/>
      <c r="CMD36" s="54"/>
      <c r="CMN36" s="54"/>
      <c r="CMX36" s="54"/>
      <c r="CNH36" s="54"/>
      <c r="CNR36" s="54"/>
      <c r="COB36" s="54"/>
      <c r="COL36" s="54"/>
      <c r="COV36" s="54"/>
      <c r="CPF36" s="54"/>
      <c r="CPP36" s="54"/>
      <c r="CPZ36" s="54"/>
      <c r="CQJ36" s="54"/>
      <c r="CQT36" s="54"/>
      <c r="CRD36" s="54"/>
      <c r="CRN36" s="54"/>
      <c r="CRX36" s="54"/>
      <c r="CSH36" s="54"/>
      <c r="CSR36" s="54"/>
      <c r="CTB36" s="54"/>
      <c r="CTL36" s="54"/>
      <c r="CTV36" s="54"/>
    </row>
    <row r="37" s="39" customFormat="1" customHeight="1" spans="1:1020 1030:2040 2050:2570">
      <c r="A37" s="48">
        <v>46153</v>
      </c>
      <c r="B37" s="9" t="s">
        <v>32</v>
      </c>
      <c r="C37" s="10" t="s">
        <v>33</v>
      </c>
      <c r="D37" s="49">
        <v>652382005</v>
      </c>
      <c r="E37" s="15" t="s">
        <v>34</v>
      </c>
      <c r="F37" s="50" t="str">
        <f>VLOOKUP(E37,基础数据!E:F,2,0)</f>
        <v>LX00148-CCS总成</v>
      </c>
      <c r="G37" s="49">
        <v>1740</v>
      </c>
      <c r="H37" s="51" t="str">
        <f>VLOOKUP(E37,基础数据!E:H,4,0)</f>
        <v>纸箱</v>
      </c>
      <c r="I37" s="51">
        <f>VLOOKUP(E37,基础数据!E:G,3,0)</f>
        <v>12</v>
      </c>
      <c r="J37" s="49" t="s">
        <v>35</v>
      </c>
      <c r="K37" s="52">
        <f t="shared" si="0"/>
        <v>145</v>
      </c>
      <c r="T37" s="54"/>
      <c r="AD37" s="54"/>
      <c r="AN37" s="54"/>
      <c r="AX37" s="54"/>
      <c r="BH37" s="54"/>
      <c r="BR37" s="54"/>
      <c r="CB37" s="54"/>
      <c r="CL37" s="54"/>
      <c r="CV37" s="54"/>
      <c r="DF37" s="54"/>
      <c r="DP37" s="54"/>
      <c r="DZ37" s="54"/>
      <c r="EJ37" s="54"/>
      <c r="ET37" s="54"/>
      <c r="FD37" s="54"/>
      <c r="FN37" s="54"/>
      <c r="FX37" s="54"/>
      <c r="GH37" s="54"/>
      <c r="GR37" s="54"/>
      <c r="HB37" s="54"/>
      <c r="HL37" s="54"/>
      <c r="HV37" s="54"/>
      <c r="IF37" s="54"/>
      <c r="IP37" s="54"/>
      <c r="IZ37" s="54"/>
      <c r="JJ37" s="54"/>
      <c r="JT37" s="54"/>
      <c r="KD37" s="54"/>
      <c r="KN37" s="54"/>
      <c r="KX37" s="54"/>
      <c r="LH37" s="54"/>
      <c r="LR37" s="54"/>
      <c r="MB37" s="54"/>
      <c r="ML37" s="54"/>
      <c r="MV37" s="54"/>
      <c r="NF37" s="54"/>
      <c r="NP37" s="54"/>
      <c r="NZ37" s="54"/>
      <c r="OJ37" s="54"/>
      <c r="OT37" s="54"/>
      <c r="PD37" s="54"/>
      <c r="PN37" s="54"/>
      <c r="PX37" s="54"/>
      <c r="QH37" s="54"/>
      <c r="QR37" s="54"/>
      <c r="RB37" s="54"/>
      <c r="RL37" s="54"/>
      <c r="RV37" s="54"/>
      <c r="SF37" s="54"/>
      <c r="SP37" s="54"/>
      <c r="SZ37" s="54"/>
      <c r="TJ37" s="54"/>
      <c r="TT37" s="54"/>
      <c r="UD37" s="54"/>
      <c r="UN37" s="54"/>
      <c r="UX37" s="54"/>
      <c r="VH37" s="54"/>
      <c r="VR37" s="54"/>
      <c r="WB37" s="54"/>
      <c r="WL37" s="54"/>
      <c r="WV37" s="54"/>
      <c r="XF37" s="54"/>
      <c r="XP37" s="54"/>
      <c r="XZ37" s="54"/>
      <c r="YJ37" s="54"/>
      <c r="YT37" s="54"/>
      <c r="ZD37" s="54"/>
      <c r="ZN37" s="54"/>
      <c r="ZX37" s="54"/>
      <c r="AAH37" s="54"/>
      <c r="AAR37" s="54"/>
      <c r="ABB37" s="54"/>
      <c r="ABL37" s="54"/>
      <c r="ABV37" s="54"/>
      <c r="ACF37" s="54"/>
      <c r="ACP37" s="54"/>
      <c r="ACZ37" s="54"/>
      <c r="ADJ37" s="54"/>
      <c r="ADT37" s="54"/>
      <c r="AED37" s="54"/>
      <c r="AEN37" s="54"/>
      <c r="AEX37" s="54"/>
      <c r="AFH37" s="54"/>
      <c r="AFR37" s="54"/>
      <c r="AGB37" s="54"/>
      <c r="AGL37" s="54"/>
      <c r="AGV37" s="54"/>
      <c r="AHF37" s="54"/>
      <c r="AHP37" s="54"/>
      <c r="AHZ37" s="54"/>
      <c r="AIJ37" s="54"/>
      <c r="AIT37" s="54"/>
      <c r="AJD37" s="54"/>
      <c r="AJN37" s="54"/>
      <c r="AJX37" s="54"/>
      <c r="AKH37" s="54"/>
      <c r="AKR37" s="54"/>
      <c r="ALB37" s="54"/>
      <c r="ALL37" s="54"/>
      <c r="ALV37" s="54"/>
      <c r="AMF37" s="54"/>
      <c r="AMP37" s="54"/>
      <c r="AMZ37" s="54"/>
      <c r="ANJ37" s="54"/>
      <c r="ANT37" s="54"/>
      <c r="AOD37" s="54"/>
      <c r="AON37" s="54"/>
      <c r="AOX37" s="54"/>
      <c r="APH37" s="54"/>
      <c r="APR37" s="54"/>
      <c r="AQB37" s="54"/>
      <c r="AQL37" s="54"/>
      <c r="AQV37" s="54"/>
      <c r="ARF37" s="54"/>
      <c r="ARP37" s="54"/>
      <c r="ARZ37" s="54"/>
      <c r="ASJ37" s="54"/>
      <c r="AST37" s="54"/>
      <c r="ATD37" s="54"/>
      <c r="ATN37" s="54"/>
      <c r="ATX37" s="54"/>
      <c r="AUH37" s="54"/>
      <c r="AUR37" s="54"/>
      <c r="AVB37" s="54"/>
      <c r="AVL37" s="54"/>
      <c r="AVV37" s="54"/>
      <c r="AWF37" s="54"/>
      <c r="AWP37" s="54"/>
      <c r="AWZ37" s="54"/>
      <c r="AXJ37" s="54"/>
      <c r="AXT37" s="54"/>
      <c r="AYD37" s="54"/>
      <c r="AYN37" s="54"/>
      <c r="AYX37" s="54"/>
      <c r="AZH37" s="54"/>
      <c r="AZR37" s="54"/>
      <c r="BAB37" s="54"/>
      <c r="BAL37" s="54"/>
      <c r="BAV37" s="54"/>
      <c r="BBF37" s="54"/>
      <c r="BBP37" s="54"/>
      <c r="BBZ37" s="54"/>
      <c r="BCJ37" s="54"/>
      <c r="BCT37" s="54"/>
      <c r="BDD37" s="54"/>
      <c r="BDN37" s="54"/>
      <c r="BDX37" s="54"/>
      <c r="BEH37" s="54"/>
      <c r="BER37" s="54"/>
      <c r="BFB37" s="54"/>
      <c r="BFL37" s="54"/>
      <c r="BFV37" s="54"/>
      <c r="BGF37" s="54"/>
      <c r="BGP37" s="54"/>
      <c r="BGZ37" s="54"/>
      <c r="BHJ37" s="54"/>
      <c r="BHT37" s="54"/>
      <c r="BID37" s="54"/>
      <c r="BIN37" s="54"/>
      <c r="BIX37" s="54"/>
      <c r="BJH37" s="54"/>
      <c r="BJR37" s="54"/>
      <c r="BKB37" s="54"/>
      <c r="BKL37" s="54"/>
      <c r="BKV37" s="54"/>
      <c r="BLF37" s="54"/>
      <c r="BLP37" s="54"/>
      <c r="BLZ37" s="54"/>
      <c r="BMJ37" s="54"/>
      <c r="BMT37" s="54"/>
      <c r="BND37" s="54"/>
      <c r="BNN37" s="54"/>
      <c r="BNX37" s="54"/>
      <c r="BOH37" s="54"/>
      <c r="BOR37" s="54"/>
      <c r="BPB37" s="54"/>
      <c r="BPL37" s="54"/>
      <c r="BPV37" s="54"/>
      <c r="BQF37" s="54"/>
      <c r="BQP37" s="54"/>
      <c r="BQZ37" s="54"/>
      <c r="BRJ37" s="54"/>
      <c r="BRT37" s="54"/>
      <c r="BSD37" s="54"/>
      <c r="BSN37" s="54"/>
      <c r="BSX37" s="54"/>
      <c r="BTH37" s="54"/>
      <c r="BTR37" s="54"/>
      <c r="BUB37" s="54"/>
      <c r="BUL37" s="54"/>
      <c r="BUV37" s="54"/>
      <c r="BVF37" s="54"/>
      <c r="BVP37" s="54"/>
      <c r="BVZ37" s="54"/>
      <c r="BWJ37" s="54"/>
      <c r="BWT37" s="54"/>
      <c r="BXD37" s="54"/>
      <c r="BXN37" s="54"/>
      <c r="BXX37" s="54"/>
      <c r="BYH37" s="54"/>
      <c r="BYR37" s="54"/>
      <c r="BZB37" s="54"/>
      <c r="BZL37" s="54"/>
      <c r="BZV37" s="54"/>
      <c r="CAF37" s="54"/>
      <c r="CAP37" s="54"/>
      <c r="CAZ37" s="54"/>
      <c r="CBJ37" s="54"/>
      <c r="CBT37" s="54"/>
      <c r="CCD37" s="54"/>
      <c r="CCN37" s="54"/>
      <c r="CCX37" s="54"/>
      <c r="CDH37" s="54"/>
      <c r="CDR37" s="54"/>
      <c r="CEB37" s="54"/>
      <c r="CEL37" s="54"/>
      <c r="CEV37" s="54"/>
      <c r="CFF37" s="54"/>
      <c r="CFP37" s="54"/>
      <c r="CFZ37" s="54"/>
      <c r="CGJ37" s="54"/>
      <c r="CGT37" s="54"/>
      <c r="CHD37" s="54"/>
      <c r="CHN37" s="54"/>
      <c r="CHX37" s="54"/>
      <c r="CIH37" s="54"/>
      <c r="CIR37" s="54"/>
      <c r="CJB37" s="54"/>
      <c r="CJL37" s="54"/>
      <c r="CJV37" s="54"/>
      <c r="CKF37" s="54"/>
      <c r="CKP37" s="54"/>
      <c r="CKZ37" s="54"/>
      <c r="CLJ37" s="54"/>
      <c r="CLT37" s="54"/>
      <c r="CMD37" s="54"/>
      <c r="CMN37" s="54"/>
      <c r="CMX37" s="54"/>
      <c r="CNH37" s="54"/>
      <c r="CNR37" s="54"/>
      <c r="COB37" s="54"/>
      <c r="COL37" s="54"/>
      <c r="COV37" s="54"/>
      <c r="CPF37" s="54"/>
      <c r="CPP37" s="54"/>
      <c r="CPZ37" s="54"/>
      <c r="CQJ37" s="54"/>
      <c r="CQT37" s="54"/>
      <c r="CRD37" s="54"/>
      <c r="CRN37" s="54"/>
      <c r="CRX37" s="54"/>
      <c r="CSH37" s="54"/>
      <c r="CSR37" s="54"/>
      <c r="CTB37" s="54"/>
      <c r="CTL37" s="54"/>
      <c r="CTV37" s="54"/>
    </row>
    <row r="38" s="39" customFormat="1" customHeight="1" spans="1:1020 1030:2040 2050:2570">
      <c r="A38" s="48">
        <v>46153</v>
      </c>
      <c r="B38" s="9" t="s">
        <v>32</v>
      </c>
      <c r="C38" s="10" t="s">
        <v>33</v>
      </c>
      <c r="D38" s="49">
        <v>652384384</v>
      </c>
      <c r="E38" s="15" t="s">
        <v>43</v>
      </c>
      <c r="F38" s="50" t="str">
        <f>VLOOKUP(E38,基础数据!E:F,2,0)</f>
        <v>A12EV10-BDU-采样集成线束</v>
      </c>
      <c r="G38" s="49">
        <v>1500</v>
      </c>
      <c r="H38" s="51" t="str">
        <f>VLOOKUP(E38,基础数据!E:H,4,0)</f>
        <v>料盒</v>
      </c>
      <c r="I38" s="51">
        <f>VLOOKUP(E38,基础数据!E:G,3,0)</f>
        <v>50</v>
      </c>
      <c r="J38" s="49" t="s">
        <v>35</v>
      </c>
      <c r="K38" s="52">
        <f t="shared" ref="K38:K45" si="1">IFERROR(G38/I38,"")</f>
        <v>30</v>
      </c>
      <c r="T38" s="54"/>
      <c r="AD38" s="54"/>
      <c r="AN38" s="54"/>
      <c r="AX38" s="54"/>
      <c r="BH38" s="54"/>
      <c r="BR38" s="54"/>
      <c r="CB38" s="54"/>
      <c r="CL38" s="54"/>
      <c r="CV38" s="54"/>
      <c r="DF38" s="54"/>
      <c r="DP38" s="54"/>
      <c r="DZ38" s="54"/>
      <c r="EJ38" s="54"/>
      <c r="ET38" s="54"/>
      <c r="FD38" s="54"/>
      <c r="FN38" s="54"/>
      <c r="FX38" s="54"/>
      <c r="GH38" s="54"/>
      <c r="GR38" s="54"/>
      <c r="HB38" s="54"/>
      <c r="HL38" s="54"/>
      <c r="HV38" s="54"/>
      <c r="IF38" s="54"/>
      <c r="IP38" s="54"/>
      <c r="IZ38" s="54"/>
      <c r="JJ38" s="54"/>
      <c r="JT38" s="54"/>
      <c r="KD38" s="54"/>
      <c r="KN38" s="54"/>
      <c r="KX38" s="54"/>
      <c r="LH38" s="54"/>
      <c r="LR38" s="54"/>
      <c r="MB38" s="54"/>
      <c r="ML38" s="54"/>
      <c r="MV38" s="54"/>
      <c r="NF38" s="54"/>
      <c r="NP38" s="54"/>
      <c r="NZ38" s="54"/>
      <c r="OJ38" s="54"/>
      <c r="OT38" s="54"/>
      <c r="PD38" s="54"/>
      <c r="PN38" s="54"/>
      <c r="PX38" s="54"/>
      <c r="QH38" s="54"/>
      <c r="QR38" s="54"/>
      <c r="RB38" s="54"/>
      <c r="RL38" s="54"/>
      <c r="RV38" s="54"/>
      <c r="SF38" s="54"/>
      <c r="SP38" s="54"/>
      <c r="SZ38" s="54"/>
      <c r="TJ38" s="54"/>
      <c r="TT38" s="54"/>
      <c r="UD38" s="54"/>
      <c r="UN38" s="54"/>
      <c r="UX38" s="54"/>
      <c r="VH38" s="54"/>
      <c r="VR38" s="54"/>
      <c r="WB38" s="54"/>
      <c r="WL38" s="54"/>
      <c r="WV38" s="54"/>
      <c r="XF38" s="54"/>
      <c r="XP38" s="54"/>
      <c r="XZ38" s="54"/>
      <c r="YJ38" s="54"/>
      <c r="YT38" s="54"/>
      <c r="ZD38" s="54"/>
      <c r="ZN38" s="54"/>
      <c r="ZX38" s="54"/>
      <c r="AAH38" s="54"/>
      <c r="AAR38" s="54"/>
      <c r="ABB38" s="54"/>
      <c r="ABL38" s="54"/>
      <c r="ABV38" s="54"/>
      <c r="ACF38" s="54"/>
      <c r="ACP38" s="54"/>
      <c r="ACZ38" s="54"/>
      <c r="ADJ38" s="54"/>
      <c r="ADT38" s="54"/>
      <c r="AED38" s="54"/>
      <c r="AEN38" s="54"/>
      <c r="AEX38" s="54"/>
      <c r="AFH38" s="54"/>
      <c r="AFR38" s="54"/>
      <c r="AGB38" s="54"/>
      <c r="AGL38" s="54"/>
      <c r="AGV38" s="54"/>
      <c r="AHF38" s="54"/>
      <c r="AHP38" s="54"/>
      <c r="AHZ38" s="54"/>
      <c r="AIJ38" s="54"/>
      <c r="AIT38" s="54"/>
      <c r="AJD38" s="54"/>
      <c r="AJN38" s="54"/>
      <c r="AJX38" s="54"/>
      <c r="AKH38" s="54"/>
      <c r="AKR38" s="54"/>
      <c r="ALB38" s="54"/>
      <c r="ALL38" s="54"/>
      <c r="ALV38" s="54"/>
      <c r="AMF38" s="54"/>
      <c r="AMP38" s="54"/>
      <c r="AMZ38" s="54"/>
      <c r="ANJ38" s="54"/>
      <c r="ANT38" s="54"/>
      <c r="AOD38" s="54"/>
      <c r="AON38" s="54"/>
      <c r="AOX38" s="54"/>
      <c r="APH38" s="54"/>
      <c r="APR38" s="54"/>
      <c r="AQB38" s="54"/>
      <c r="AQL38" s="54"/>
      <c r="AQV38" s="54"/>
      <c r="ARF38" s="54"/>
      <c r="ARP38" s="54"/>
      <c r="ARZ38" s="54"/>
      <c r="ASJ38" s="54"/>
      <c r="AST38" s="54"/>
      <c r="ATD38" s="54"/>
      <c r="ATN38" s="54"/>
      <c r="ATX38" s="54"/>
      <c r="AUH38" s="54"/>
      <c r="AUR38" s="54"/>
      <c r="AVB38" s="54"/>
      <c r="AVL38" s="54"/>
      <c r="AVV38" s="54"/>
      <c r="AWF38" s="54"/>
      <c r="AWP38" s="54"/>
      <c r="AWZ38" s="54"/>
      <c r="AXJ38" s="54"/>
      <c r="AXT38" s="54"/>
      <c r="AYD38" s="54"/>
      <c r="AYN38" s="54"/>
      <c r="AYX38" s="54"/>
      <c r="AZH38" s="54"/>
      <c r="AZR38" s="54"/>
      <c r="BAB38" s="54"/>
      <c r="BAL38" s="54"/>
      <c r="BAV38" s="54"/>
      <c r="BBF38" s="54"/>
      <c r="BBP38" s="54"/>
      <c r="BBZ38" s="54"/>
      <c r="BCJ38" s="54"/>
      <c r="BCT38" s="54"/>
      <c r="BDD38" s="54"/>
      <c r="BDN38" s="54"/>
      <c r="BDX38" s="54"/>
      <c r="BEH38" s="54"/>
      <c r="BER38" s="54"/>
      <c r="BFB38" s="54"/>
      <c r="BFL38" s="54"/>
      <c r="BFV38" s="54"/>
      <c r="BGF38" s="54"/>
      <c r="BGP38" s="54"/>
      <c r="BGZ38" s="54"/>
      <c r="BHJ38" s="54"/>
      <c r="BHT38" s="54"/>
      <c r="BID38" s="54"/>
      <c r="BIN38" s="54"/>
      <c r="BIX38" s="54"/>
      <c r="BJH38" s="54"/>
      <c r="BJR38" s="54"/>
      <c r="BKB38" s="54"/>
      <c r="BKL38" s="54"/>
      <c r="BKV38" s="54"/>
      <c r="BLF38" s="54"/>
      <c r="BLP38" s="54"/>
      <c r="BLZ38" s="54"/>
      <c r="BMJ38" s="54"/>
      <c r="BMT38" s="54"/>
      <c r="BND38" s="54"/>
      <c r="BNN38" s="54"/>
      <c r="BNX38" s="54"/>
      <c r="BOH38" s="54"/>
      <c r="BOR38" s="54"/>
      <c r="BPB38" s="54"/>
      <c r="BPL38" s="54"/>
      <c r="BPV38" s="54"/>
      <c r="BQF38" s="54"/>
      <c r="BQP38" s="54"/>
      <c r="BQZ38" s="54"/>
      <c r="BRJ38" s="54"/>
      <c r="BRT38" s="54"/>
      <c r="BSD38" s="54"/>
      <c r="BSN38" s="54"/>
      <c r="BSX38" s="54"/>
      <c r="BTH38" s="54"/>
      <c r="BTR38" s="54"/>
      <c r="BUB38" s="54"/>
      <c r="BUL38" s="54"/>
      <c r="BUV38" s="54"/>
      <c r="BVF38" s="54"/>
      <c r="BVP38" s="54"/>
      <c r="BVZ38" s="54"/>
      <c r="BWJ38" s="54"/>
      <c r="BWT38" s="54"/>
      <c r="BXD38" s="54"/>
      <c r="BXN38" s="54"/>
      <c r="BXX38" s="54"/>
      <c r="BYH38" s="54"/>
      <c r="BYR38" s="54"/>
      <c r="BZB38" s="54"/>
      <c r="BZL38" s="54"/>
      <c r="BZV38" s="54"/>
      <c r="CAF38" s="54"/>
      <c r="CAP38" s="54"/>
      <c r="CAZ38" s="54"/>
      <c r="CBJ38" s="54"/>
      <c r="CBT38" s="54"/>
      <c r="CCD38" s="54"/>
      <c r="CCN38" s="54"/>
      <c r="CCX38" s="54"/>
      <c r="CDH38" s="54"/>
      <c r="CDR38" s="54"/>
      <c r="CEB38" s="54"/>
      <c r="CEL38" s="54"/>
      <c r="CEV38" s="54"/>
      <c r="CFF38" s="54"/>
      <c r="CFP38" s="54"/>
      <c r="CFZ38" s="54"/>
      <c r="CGJ38" s="54"/>
      <c r="CGT38" s="54"/>
      <c r="CHD38" s="54"/>
      <c r="CHN38" s="54"/>
      <c r="CHX38" s="54"/>
      <c r="CIH38" s="54"/>
      <c r="CIR38" s="54"/>
      <c r="CJB38" s="54"/>
      <c r="CJL38" s="54"/>
      <c r="CJV38" s="54"/>
      <c r="CKF38" s="54"/>
      <c r="CKP38" s="54"/>
      <c r="CKZ38" s="54"/>
      <c r="CLJ38" s="54"/>
      <c r="CLT38" s="54"/>
      <c r="CMD38" s="54"/>
      <c r="CMN38" s="54"/>
      <c r="CMX38" s="54"/>
      <c r="CNH38" s="54"/>
      <c r="CNR38" s="54"/>
      <c r="COB38" s="54"/>
      <c r="COL38" s="54"/>
      <c r="COV38" s="54"/>
      <c r="CPF38" s="54"/>
      <c r="CPP38" s="54"/>
      <c r="CPZ38" s="54"/>
      <c r="CQJ38" s="54"/>
      <c r="CQT38" s="54"/>
      <c r="CRD38" s="54"/>
      <c r="CRN38" s="54"/>
      <c r="CRX38" s="54"/>
      <c r="CSH38" s="54"/>
      <c r="CSR38" s="54"/>
      <c r="CTB38" s="54"/>
      <c r="CTL38" s="54"/>
      <c r="CTV38" s="54"/>
    </row>
    <row r="39" s="39" customFormat="1" customHeight="1" spans="1:1020 1030:2040 2050:2570">
      <c r="A39" s="48">
        <v>46153</v>
      </c>
      <c r="B39" s="9" t="s">
        <v>32</v>
      </c>
      <c r="C39" s="10" t="s">
        <v>33</v>
      </c>
      <c r="D39" s="49">
        <v>652384384</v>
      </c>
      <c r="E39" s="15" t="s">
        <v>45</v>
      </c>
      <c r="F39" s="50" t="str">
        <f>VLOOKUP(E39,基础数据!E:F,2,0)</f>
        <v>A12EV10-预充电阻连接线束</v>
      </c>
      <c r="G39" s="49">
        <v>1500</v>
      </c>
      <c r="H39" s="51" t="str">
        <f>VLOOKUP(E39,基础数据!E:H,4,0)</f>
        <v>料盒</v>
      </c>
      <c r="I39" s="51">
        <f>VLOOKUP(E39,基础数据!E:G,3,0)</f>
        <v>100</v>
      </c>
      <c r="J39" s="49" t="s">
        <v>35</v>
      </c>
      <c r="K39" s="52">
        <f t="shared" si="1"/>
        <v>15</v>
      </c>
      <c r="T39" s="54"/>
      <c r="AD39" s="54"/>
      <c r="AN39" s="54"/>
      <c r="AX39" s="54"/>
      <c r="BH39" s="54"/>
      <c r="BR39" s="54"/>
      <c r="CB39" s="54"/>
      <c r="CL39" s="54"/>
      <c r="CV39" s="54"/>
      <c r="DF39" s="54"/>
      <c r="DP39" s="54"/>
      <c r="DZ39" s="54"/>
      <c r="EJ39" s="54"/>
      <c r="ET39" s="54"/>
      <c r="FD39" s="54"/>
      <c r="FN39" s="54"/>
      <c r="FX39" s="54"/>
      <c r="GH39" s="54"/>
      <c r="GR39" s="54"/>
      <c r="HB39" s="54"/>
      <c r="HL39" s="54"/>
      <c r="HV39" s="54"/>
      <c r="IF39" s="54"/>
      <c r="IP39" s="54"/>
      <c r="IZ39" s="54"/>
      <c r="JJ39" s="54"/>
      <c r="JT39" s="54"/>
      <c r="KD39" s="54"/>
      <c r="KN39" s="54"/>
      <c r="KX39" s="54"/>
      <c r="LH39" s="54"/>
      <c r="LR39" s="54"/>
      <c r="MB39" s="54"/>
      <c r="ML39" s="54"/>
      <c r="MV39" s="54"/>
      <c r="NF39" s="54"/>
      <c r="NP39" s="54"/>
      <c r="NZ39" s="54"/>
      <c r="OJ39" s="54"/>
      <c r="OT39" s="54"/>
      <c r="PD39" s="54"/>
      <c r="PN39" s="54"/>
      <c r="PX39" s="54"/>
      <c r="QH39" s="54"/>
      <c r="QR39" s="54"/>
      <c r="RB39" s="54"/>
      <c r="RL39" s="54"/>
      <c r="RV39" s="54"/>
      <c r="SF39" s="54"/>
      <c r="SP39" s="54"/>
      <c r="SZ39" s="54"/>
      <c r="TJ39" s="54"/>
      <c r="TT39" s="54"/>
      <c r="UD39" s="54"/>
      <c r="UN39" s="54"/>
      <c r="UX39" s="54"/>
      <c r="VH39" s="54"/>
      <c r="VR39" s="54"/>
      <c r="WB39" s="54"/>
      <c r="WL39" s="54"/>
      <c r="WV39" s="54"/>
      <c r="XF39" s="54"/>
      <c r="XP39" s="54"/>
      <c r="XZ39" s="54"/>
      <c r="YJ39" s="54"/>
      <c r="YT39" s="54"/>
      <c r="ZD39" s="54"/>
      <c r="ZN39" s="54"/>
      <c r="ZX39" s="54"/>
      <c r="AAH39" s="54"/>
      <c r="AAR39" s="54"/>
      <c r="ABB39" s="54"/>
      <c r="ABL39" s="54"/>
      <c r="ABV39" s="54"/>
      <c r="ACF39" s="54"/>
      <c r="ACP39" s="54"/>
      <c r="ACZ39" s="54"/>
      <c r="ADJ39" s="54"/>
      <c r="ADT39" s="54"/>
      <c r="AED39" s="54"/>
      <c r="AEN39" s="54"/>
      <c r="AEX39" s="54"/>
      <c r="AFH39" s="54"/>
      <c r="AFR39" s="54"/>
      <c r="AGB39" s="54"/>
      <c r="AGL39" s="54"/>
      <c r="AGV39" s="54"/>
      <c r="AHF39" s="54"/>
      <c r="AHP39" s="54"/>
      <c r="AHZ39" s="54"/>
      <c r="AIJ39" s="54"/>
      <c r="AIT39" s="54"/>
      <c r="AJD39" s="54"/>
      <c r="AJN39" s="54"/>
      <c r="AJX39" s="54"/>
      <c r="AKH39" s="54"/>
      <c r="AKR39" s="54"/>
      <c r="ALB39" s="54"/>
      <c r="ALL39" s="54"/>
      <c r="ALV39" s="54"/>
      <c r="AMF39" s="54"/>
      <c r="AMP39" s="54"/>
      <c r="AMZ39" s="54"/>
      <c r="ANJ39" s="54"/>
      <c r="ANT39" s="54"/>
      <c r="AOD39" s="54"/>
      <c r="AON39" s="54"/>
      <c r="AOX39" s="54"/>
      <c r="APH39" s="54"/>
      <c r="APR39" s="54"/>
      <c r="AQB39" s="54"/>
      <c r="AQL39" s="54"/>
      <c r="AQV39" s="54"/>
      <c r="ARF39" s="54"/>
      <c r="ARP39" s="54"/>
      <c r="ARZ39" s="54"/>
      <c r="ASJ39" s="54"/>
      <c r="AST39" s="54"/>
      <c r="ATD39" s="54"/>
      <c r="ATN39" s="54"/>
      <c r="ATX39" s="54"/>
      <c r="AUH39" s="54"/>
      <c r="AUR39" s="54"/>
      <c r="AVB39" s="54"/>
      <c r="AVL39" s="54"/>
      <c r="AVV39" s="54"/>
      <c r="AWF39" s="54"/>
      <c r="AWP39" s="54"/>
      <c r="AWZ39" s="54"/>
      <c r="AXJ39" s="54"/>
      <c r="AXT39" s="54"/>
      <c r="AYD39" s="54"/>
      <c r="AYN39" s="54"/>
      <c r="AYX39" s="54"/>
      <c r="AZH39" s="54"/>
      <c r="AZR39" s="54"/>
      <c r="BAB39" s="54"/>
      <c r="BAL39" s="54"/>
      <c r="BAV39" s="54"/>
      <c r="BBF39" s="54"/>
      <c r="BBP39" s="54"/>
      <c r="BBZ39" s="54"/>
      <c r="BCJ39" s="54"/>
      <c r="BCT39" s="54"/>
      <c r="BDD39" s="54"/>
      <c r="BDN39" s="54"/>
      <c r="BDX39" s="54"/>
      <c r="BEH39" s="54"/>
      <c r="BER39" s="54"/>
      <c r="BFB39" s="54"/>
      <c r="BFL39" s="54"/>
      <c r="BFV39" s="54"/>
      <c r="BGF39" s="54"/>
      <c r="BGP39" s="54"/>
      <c r="BGZ39" s="54"/>
      <c r="BHJ39" s="54"/>
      <c r="BHT39" s="54"/>
      <c r="BID39" s="54"/>
      <c r="BIN39" s="54"/>
      <c r="BIX39" s="54"/>
      <c r="BJH39" s="54"/>
      <c r="BJR39" s="54"/>
      <c r="BKB39" s="54"/>
      <c r="BKL39" s="54"/>
      <c r="BKV39" s="54"/>
      <c r="BLF39" s="54"/>
      <c r="BLP39" s="54"/>
      <c r="BLZ39" s="54"/>
      <c r="BMJ39" s="54"/>
      <c r="BMT39" s="54"/>
      <c r="BND39" s="54"/>
      <c r="BNN39" s="54"/>
      <c r="BNX39" s="54"/>
      <c r="BOH39" s="54"/>
      <c r="BOR39" s="54"/>
      <c r="BPB39" s="54"/>
      <c r="BPL39" s="54"/>
      <c r="BPV39" s="54"/>
      <c r="BQF39" s="54"/>
      <c r="BQP39" s="54"/>
      <c r="BQZ39" s="54"/>
      <c r="BRJ39" s="54"/>
      <c r="BRT39" s="54"/>
      <c r="BSD39" s="54"/>
      <c r="BSN39" s="54"/>
      <c r="BSX39" s="54"/>
      <c r="BTH39" s="54"/>
      <c r="BTR39" s="54"/>
      <c r="BUB39" s="54"/>
      <c r="BUL39" s="54"/>
      <c r="BUV39" s="54"/>
      <c r="BVF39" s="54"/>
      <c r="BVP39" s="54"/>
      <c r="BVZ39" s="54"/>
      <c r="BWJ39" s="54"/>
      <c r="BWT39" s="54"/>
      <c r="BXD39" s="54"/>
      <c r="BXN39" s="54"/>
      <c r="BXX39" s="54"/>
      <c r="BYH39" s="54"/>
      <c r="BYR39" s="54"/>
      <c r="BZB39" s="54"/>
      <c r="BZL39" s="54"/>
      <c r="BZV39" s="54"/>
      <c r="CAF39" s="54"/>
      <c r="CAP39" s="54"/>
      <c r="CAZ39" s="54"/>
      <c r="CBJ39" s="54"/>
      <c r="CBT39" s="54"/>
      <c r="CCD39" s="54"/>
      <c r="CCN39" s="54"/>
      <c r="CCX39" s="54"/>
      <c r="CDH39" s="54"/>
      <c r="CDR39" s="54"/>
      <c r="CEB39" s="54"/>
      <c r="CEL39" s="54"/>
      <c r="CEV39" s="54"/>
      <c r="CFF39" s="54"/>
      <c r="CFP39" s="54"/>
      <c r="CFZ39" s="54"/>
      <c r="CGJ39" s="54"/>
      <c r="CGT39" s="54"/>
      <c r="CHD39" s="54"/>
      <c r="CHN39" s="54"/>
      <c r="CHX39" s="54"/>
      <c r="CIH39" s="54"/>
      <c r="CIR39" s="54"/>
      <c r="CJB39" s="54"/>
      <c r="CJL39" s="54"/>
      <c r="CJV39" s="54"/>
      <c r="CKF39" s="54"/>
      <c r="CKP39" s="54"/>
      <c r="CKZ39" s="54"/>
      <c r="CLJ39" s="54"/>
      <c r="CLT39" s="54"/>
      <c r="CMD39" s="54"/>
      <c r="CMN39" s="54"/>
      <c r="CMX39" s="54"/>
      <c r="CNH39" s="54"/>
      <c r="CNR39" s="54"/>
      <c r="COB39" s="54"/>
      <c r="COL39" s="54"/>
      <c r="COV39" s="54"/>
      <c r="CPF39" s="54"/>
      <c r="CPP39" s="54"/>
      <c r="CPZ39" s="54"/>
      <c r="CQJ39" s="54"/>
      <c r="CQT39" s="54"/>
      <c r="CRD39" s="54"/>
      <c r="CRN39" s="54"/>
      <c r="CRX39" s="54"/>
      <c r="CSH39" s="54"/>
      <c r="CSR39" s="54"/>
      <c r="CTB39" s="54"/>
      <c r="CTL39" s="54"/>
      <c r="CTV39" s="54"/>
    </row>
    <row r="40" s="39" customFormat="1" customHeight="1" spans="1:1020 1030:2040 2050:2570">
      <c r="A40" s="48">
        <v>46153</v>
      </c>
      <c r="B40" s="9" t="s">
        <v>32</v>
      </c>
      <c r="C40" s="10" t="s">
        <v>33</v>
      </c>
      <c r="D40" s="49">
        <v>652384384</v>
      </c>
      <c r="E40" s="15" t="s">
        <v>46</v>
      </c>
      <c r="F40" s="50" t="str">
        <f>VLOOKUP(E40,基础数据!E:F,2,0)</f>
        <v>A12-预充电阻连接线束1</v>
      </c>
      <c r="G40" s="49">
        <v>1500</v>
      </c>
      <c r="H40" s="51" t="str">
        <f>VLOOKUP(E40,基础数据!E:H,4,0)</f>
        <v>料盒</v>
      </c>
      <c r="I40" s="51">
        <f>VLOOKUP(E40,基础数据!E:G,3,0)</f>
        <v>1500</v>
      </c>
      <c r="J40" s="49" t="s">
        <v>35</v>
      </c>
      <c r="K40" s="52">
        <f t="shared" si="1"/>
        <v>1</v>
      </c>
      <c r="T40" s="54"/>
      <c r="AD40" s="54"/>
      <c r="AN40" s="54"/>
      <c r="AX40" s="54"/>
      <c r="BH40" s="54"/>
      <c r="BR40" s="54"/>
      <c r="CB40" s="54"/>
      <c r="CL40" s="54"/>
      <c r="CV40" s="54"/>
      <c r="DF40" s="54"/>
      <c r="DP40" s="54"/>
      <c r="DZ40" s="54"/>
      <c r="EJ40" s="54"/>
      <c r="ET40" s="54"/>
      <c r="FD40" s="54"/>
      <c r="FN40" s="54"/>
      <c r="FX40" s="54"/>
      <c r="GH40" s="54"/>
      <c r="GR40" s="54"/>
      <c r="HB40" s="54"/>
      <c r="HL40" s="54"/>
      <c r="HV40" s="54"/>
      <c r="IF40" s="54"/>
      <c r="IP40" s="54"/>
      <c r="IZ40" s="54"/>
      <c r="JJ40" s="54"/>
      <c r="JT40" s="54"/>
      <c r="KD40" s="54"/>
      <c r="KN40" s="54"/>
      <c r="KX40" s="54"/>
      <c r="LH40" s="54"/>
      <c r="LR40" s="54"/>
      <c r="MB40" s="54"/>
      <c r="ML40" s="54"/>
      <c r="MV40" s="54"/>
      <c r="NF40" s="54"/>
      <c r="NP40" s="54"/>
      <c r="NZ40" s="54"/>
      <c r="OJ40" s="54"/>
      <c r="OT40" s="54"/>
      <c r="PD40" s="54"/>
      <c r="PN40" s="54"/>
      <c r="PX40" s="54"/>
      <c r="QH40" s="54"/>
      <c r="QR40" s="54"/>
      <c r="RB40" s="54"/>
      <c r="RL40" s="54"/>
      <c r="RV40" s="54"/>
      <c r="SF40" s="54"/>
      <c r="SP40" s="54"/>
      <c r="SZ40" s="54"/>
      <c r="TJ40" s="54"/>
      <c r="TT40" s="54"/>
      <c r="UD40" s="54"/>
      <c r="UN40" s="54"/>
      <c r="UX40" s="54"/>
      <c r="VH40" s="54"/>
      <c r="VR40" s="54"/>
      <c r="WB40" s="54"/>
      <c r="WL40" s="54"/>
      <c r="WV40" s="54"/>
      <c r="XF40" s="54"/>
      <c r="XP40" s="54"/>
      <c r="XZ40" s="54"/>
      <c r="YJ40" s="54"/>
      <c r="YT40" s="54"/>
      <c r="ZD40" s="54"/>
      <c r="ZN40" s="54"/>
      <c r="ZX40" s="54"/>
      <c r="AAH40" s="54"/>
      <c r="AAR40" s="54"/>
      <c r="ABB40" s="54"/>
      <c r="ABL40" s="54"/>
      <c r="ABV40" s="54"/>
      <c r="ACF40" s="54"/>
      <c r="ACP40" s="54"/>
      <c r="ACZ40" s="54"/>
      <c r="ADJ40" s="54"/>
      <c r="ADT40" s="54"/>
      <c r="AED40" s="54"/>
      <c r="AEN40" s="54"/>
      <c r="AEX40" s="54"/>
      <c r="AFH40" s="54"/>
      <c r="AFR40" s="54"/>
      <c r="AGB40" s="54"/>
      <c r="AGL40" s="54"/>
      <c r="AGV40" s="54"/>
      <c r="AHF40" s="54"/>
      <c r="AHP40" s="54"/>
      <c r="AHZ40" s="54"/>
      <c r="AIJ40" s="54"/>
      <c r="AIT40" s="54"/>
      <c r="AJD40" s="54"/>
      <c r="AJN40" s="54"/>
      <c r="AJX40" s="54"/>
      <c r="AKH40" s="54"/>
      <c r="AKR40" s="54"/>
      <c r="ALB40" s="54"/>
      <c r="ALL40" s="54"/>
      <c r="ALV40" s="54"/>
      <c r="AMF40" s="54"/>
      <c r="AMP40" s="54"/>
      <c r="AMZ40" s="54"/>
      <c r="ANJ40" s="54"/>
      <c r="ANT40" s="54"/>
      <c r="AOD40" s="54"/>
      <c r="AON40" s="54"/>
      <c r="AOX40" s="54"/>
      <c r="APH40" s="54"/>
      <c r="APR40" s="54"/>
      <c r="AQB40" s="54"/>
      <c r="AQL40" s="54"/>
      <c r="AQV40" s="54"/>
      <c r="ARF40" s="54"/>
      <c r="ARP40" s="54"/>
      <c r="ARZ40" s="54"/>
      <c r="ASJ40" s="54"/>
      <c r="AST40" s="54"/>
      <c r="ATD40" s="54"/>
      <c r="ATN40" s="54"/>
      <c r="ATX40" s="54"/>
      <c r="AUH40" s="54"/>
      <c r="AUR40" s="54"/>
      <c r="AVB40" s="54"/>
      <c r="AVL40" s="54"/>
      <c r="AVV40" s="54"/>
      <c r="AWF40" s="54"/>
      <c r="AWP40" s="54"/>
      <c r="AWZ40" s="54"/>
      <c r="AXJ40" s="54"/>
      <c r="AXT40" s="54"/>
      <c r="AYD40" s="54"/>
      <c r="AYN40" s="54"/>
      <c r="AYX40" s="54"/>
      <c r="AZH40" s="54"/>
      <c r="AZR40" s="54"/>
      <c r="BAB40" s="54"/>
      <c r="BAL40" s="54"/>
      <c r="BAV40" s="54"/>
      <c r="BBF40" s="54"/>
      <c r="BBP40" s="54"/>
      <c r="BBZ40" s="54"/>
      <c r="BCJ40" s="54"/>
      <c r="BCT40" s="54"/>
      <c r="BDD40" s="54"/>
      <c r="BDN40" s="54"/>
      <c r="BDX40" s="54"/>
      <c r="BEH40" s="54"/>
      <c r="BER40" s="54"/>
      <c r="BFB40" s="54"/>
      <c r="BFL40" s="54"/>
      <c r="BFV40" s="54"/>
      <c r="BGF40" s="54"/>
      <c r="BGP40" s="54"/>
      <c r="BGZ40" s="54"/>
      <c r="BHJ40" s="54"/>
      <c r="BHT40" s="54"/>
      <c r="BID40" s="54"/>
      <c r="BIN40" s="54"/>
      <c r="BIX40" s="54"/>
      <c r="BJH40" s="54"/>
      <c r="BJR40" s="54"/>
      <c r="BKB40" s="54"/>
      <c r="BKL40" s="54"/>
      <c r="BKV40" s="54"/>
      <c r="BLF40" s="54"/>
      <c r="BLP40" s="54"/>
      <c r="BLZ40" s="54"/>
      <c r="BMJ40" s="54"/>
      <c r="BMT40" s="54"/>
      <c r="BND40" s="54"/>
      <c r="BNN40" s="54"/>
      <c r="BNX40" s="54"/>
      <c r="BOH40" s="54"/>
      <c r="BOR40" s="54"/>
      <c r="BPB40" s="54"/>
      <c r="BPL40" s="54"/>
      <c r="BPV40" s="54"/>
      <c r="BQF40" s="54"/>
      <c r="BQP40" s="54"/>
      <c r="BQZ40" s="54"/>
      <c r="BRJ40" s="54"/>
      <c r="BRT40" s="54"/>
      <c r="BSD40" s="54"/>
      <c r="BSN40" s="54"/>
      <c r="BSX40" s="54"/>
      <c r="BTH40" s="54"/>
      <c r="BTR40" s="54"/>
      <c r="BUB40" s="54"/>
      <c r="BUL40" s="54"/>
      <c r="BUV40" s="54"/>
      <c r="BVF40" s="54"/>
      <c r="BVP40" s="54"/>
      <c r="BVZ40" s="54"/>
      <c r="BWJ40" s="54"/>
      <c r="BWT40" s="54"/>
      <c r="BXD40" s="54"/>
      <c r="BXN40" s="54"/>
      <c r="BXX40" s="54"/>
      <c r="BYH40" s="54"/>
      <c r="BYR40" s="54"/>
      <c r="BZB40" s="54"/>
      <c r="BZL40" s="54"/>
      <c r="BZV40" s="54"/>
      <c r="CAF40" s="54"/>
      <c r="CAP40" s="54"/>
      <c r="CAZ40" s="54"/>
      <c r="CBJ40" s="54"/>
      <c r="CBT40" s="54"/>
      <c r="CCD40" s="54"/>
      <c r="CCN40" s="54"/>
      <c r="CCX40" s="54"/>
      <c r="CDH40" s="54"/>
      <c r="CDR40" s="54"/>
      <c r="CEB40" s="54"/>
      <c r="CEL40" s="54"/>
      <c r="CEV40" s="54"/>
      <c r="CFF40" s="54"/>
      <c r="CFP40" s="54"/>
      <c r="CFZ40" s="54"/>
      <c r="CGJ40" s="54"/>
      <c r="CGT40" s="54"/>
      <c r="CHD40" s="54"/>
      <c r="CHN40" s="54"/>
      <c r="CHX40" s="54"/>
      <c r="CIH40" s="54"/>
      <c r="CIR40" s="54"/>
      <c r="CJB40" s="54"/>
      <c r="CJL40" s="54"/>
      <c r="CJV40" s="54"/>
      <c r="CKF40" s="54"/>
      <c r="CKP40" s="54"/>
      <c r="CKZ40" s="54"/>
      <c r="CLJ40" s="54"/>
      <c r="CLT40" s="54"/>
      <c r="CMD40" s="54"/>
      <c r="CMN40" s="54"/>
      <c r="CMX40" s="54"/>
      <c r="CNH40" s="54"/>
      <c r="CNR40" s="54"/>
      <c r="COB40" s="54"/>
      <c r="COL40" s="54"/>
      <c r="COV40" s="54"/>
      <c r="CPF40" s="54"/>
      <c r="CPP40" s="54"/>
      <c r="CPZ40" s="54"/>
      <c r="CQJ40" s="54"/>
      <c r="CQT40" s="54"/>
      <c r="CRD40" s="54"/>
      <c r="CRN40" s="54"/>
      <c r="CRX40" s="54"/>
      <c r="CSH40" s="54"/>
      <c r="CSR40" s="54"/>
      <c r="CTB40" s="54"/>
      <c r="CTL40" s="54"/>
      <c r="CTV40" s="54"/>
    </row>
    <row r="41" s="39" customFormat="1" customHeight="1" spans="1:1020 1030:2040 2050:2570">
      <c r="A41" s="48">
        <v>46153</v>
      </c>
      <c r="B41" s="9" t="s">
        <v>32</v>
      </c>
      <c r="C41" s="10" t="s">
        <v>33</v>
      </c>
      <c r="D41" s="49">
        <v>652384384</v>
      </c>
      <c r="E41" s="15" t="s">
        <v>47</v>
      </c>
      <c r="F41" s="50" t="str">
        <f>VLOOKUP(E41,基础数据!E:F,2,0)</f>
        <v>A12-菊花链线束</v>
      </c>
      <c r="G41" s="49">
        <v>4500</v>
      </c>
      <c r="H41" s="51" t="str">
        <f>VLOOKUP(E41,基础数据!E:H,4,0)</f>
        <v>料盒</v>
      </c>
      <c r="I41" s="51">
        <f>VLOOKUP(E41,基础数据!E:G,3,0)</f>
        <v>1500</v>
      </c>
      <c r="J41" s="49" t="s">
        <v>35</v>
      </c>
      <c r="K41" s="52">
        <f t="shared" si="1"/>
        <v>3</v>
      </c>
      <c r="T41" s="54"/>
      <c r="AD41" s="54"/>
      <c r="AN41" s="54"/>
      <c r="AX41" s="54"/>
      <c r="BH41" s="54"/>
      <c r="BR41" s="54"/>
      <c r="CB41" s="54"/>
      <c r="CL41" s="54"/>
      <c r="CV41" s="54"/>
      <c r="DF41" s="54"/>
      <c r="DP41" s="54"/>
      <c r="DZ41" s="54"/>
      <c r="EJ41" s="54"/>
      <c r="ET41" s="54"/>
      <c r="FD41" s="54"/>
      <c r="FN41" s="54"/>
      <c r="FX41" s="54"/>
      <c r="GH41" s="54"/>
      <c r="GR41" s="54"/>
      <c r="HB41" s="54"/>
      <c r="HL41" s="54"/>
      <c r="HV41" s="54"/>
      <c r="IF41" s="54"/>
      <c r="IP41" s="54"/>
      <c r="IZ41" s="54"/>
      <c r="JJ41" s="54"/>
      <c r="JT41" s="54"/>
      <c r="KD41" s="54"/>
      <c r="KN41" s="54"/>
      <c r="KX41" s="54"/>
      <c r="LH41" s="54"/>
      <c r="LR41" s="54"/>
      <c r="MB41" s="54"/>
      <c r="ML41" s="54"/>
      <c r="MV41" s="54"/>
      <c r="NF41" s="54"/>
      <c r="NP41" s="54"/>
      <c r="NZ41" s="54"/>
      <c r="OJ41" s="54"/>
      <c r="OT41" s="54"/>
      <c r="PD41" s="54"/>
      <c r="PN41" s="54"/>
      <c r="PX41" s="54"/>
      <c r="QH41" s="54"/>
      <c r="QR41" s="54"/>
      <c r="RB41" s="54"/>
      <c r="RL41" s="54"/>
      <c r="RV41" s="54"/>
      <c r="SF41" s="54"/>
      <c r="SP41" s="54"/>
      <c r="SZ41" s="54"/>
      <c r="TJ41" s="54"/>
      <c r="TT41" s="54"/>
      <c r="UD41" s="54"/>
      <c r="UN41" s="54"/>
      <c r="UX41" s="54"/>
      <c r="VH41" s="54"/>
      <c r="VR41" s="54"/>
      <c r="WB41" s="54"/>
      <c r="WL41" s="54"/>
      <c r="WV41" s="54"/>
      <c r="XF41" s="54"/>
      <c r="XP41" s="54"/>
      <c r="XZ41" s="54"/>
      <c r="YJ41" s="54"/>
      <c r="YT41" s="54"/>
      <c r="ZD41" s="54"/>
      <c r="ZN41" s="54"/>
      <c r="ZX41" s="54"/>
      <c r="AAH41" s="54"/>
      <c r="AAR41" s="54"/>
      <c r="ABB41" s="54"/>
      <c r="ABL41" s="54"/>
      <c r="ABV41" s="54"/>
      <c r="ACF41" s="54"/>
      <c r="ACP41" s="54"/>
      <c r="ACZ41" s="54"/>
      <c r="ADJ41" s="54"/>
      <c r="ADT41" s="54"/>
      <c r="AED41" s="54"/>
      <c r="AEN41" s="54"/>
      <c r="AEX41" s="54"/>
      <c r="AFH41" s="54"/>
      <c r="AFR41" s="54"/>
      <c r="AGB41" s="54"/>
      <c r="AGL41" s="54"/>
      <c r="AGV41" s="54"/>
      <c r="AHF41" s="54"/>
      <c r="AHP41" s="54"/>
      <c r="AHZ41" s="54"/>
      <c r="AIJ41" s="54"/>
      <c r="AIT41" s="54"/>
      <c r="AJD41" s="54"/>
      <c r="AJN41" s="54"/>
      <c r="AJX41" s="54"/>
      <c r="AKH41" s="54"/>
      <c r="AKR41" s="54"/>
      <c r="ALB41" s="54"/>
      <c r="ALL41" s="54"/>
      <c r="ALV41" s="54"/>
      <c r="AMF41" s="54"/>
      <c r="AMP41" s="54"/>
      <c r="AMZ41" s="54"/>
      <c r="ANJ41" s="54"/>
      <c r="ANT41" s="54"/>
      <c r="AOD41" s="54"/>
      <c r="AON41" s="54"/>
      <c r="AOX41" s="54"/>
      <c r="APH41" s="54"/>
      <c r="APR41" s="54"/>
      <c r="AQB41" s="54"/>
      <c r="AQL41" s="54"/>
      <c r="AQV41" s="54"/>
      <c r="ARF41" s="54"/>
      <c r="ARP41" s="54"/>
      <c r="ARZ41" s="54"/>
      <c r="ASJ41" s="54"/>
      <c r="AST41" s="54"/>
      <c r="ATD41" s="54"/>
      <c r="ATN41" s="54"/>
      <c r="ATX41" s="54"/>
      <c r="AUH41" s="54"/>
      <c r="AUR41" s="54"/>
      <c r="AVB41" s="54"/>
      <c r="AVL41" s="54"/>
      <c r="AVV41" s="54"/>
      <c r="AWF41" s="54"/>
      <c r="AWP41" s="54"/>
      <c r="AWZ41" s="54"/>
      <c r="AXJ41" s="54"/>
      <c r="AXT41" s="54"/>
      <c r="AYD41" s="54"/>
      <c r="AYN41" s="54"/>
      <c r="AYX41" s="54"/>
      <c r="AZH41" s="54"/>
      <c r="AZR41" s="54"/>
      <c r="BAB41" s="54"/>
      <c r="BAL41" s="54"/>
      <c r="BAV41" s="54"/>
      <c r="BBF41" s="54"/>
      <c r="BBP41" s="54"/>
      <c r="BBZ41" s="54"/>
      <c r="BCJ41" s="54"/>
      <c r="BCT41" s="54"/>
      <c r="BDD41" s="54"/>
      <c r="BDN41" s="54"/>
      <c r="BDX41" s="54"/>
      <c r="BEH41" s="54"/>
      <c r="BER41" s="54"/>
      <c r="BFB41" s="54"/>
      <c r="BFL41" s="54"/>
      <c r="BFV41" s="54"/>
      <c r="BGF41" s="54"/>
      <c r="BGP41" s="54"/>
      <c r="BGZ41" s="54"/>
      <c r="BHJ41" s="54"/>
      <c r="BHT41" s="54"/>
      <c r="BID41" s="54"/>
      <c r="BIN41" s="54"/>
      <c r="BIX41" s="54"/>
      <c r="BJH41" s="54"/>
      <c r="BJR41" s="54"/>
      <c r="BKB41" s="54"/>
      <c r="BKL41" s="54"/>
      <c r="BKV41" s="54"/>
      <c r="BLF41" s="54"/>
      <c r="BLP41" s="54"/>
      <c r="BLZ41" s="54"/>
      <c r="BMJ41" s="54"/>
      <c r="BMT41" s="54"/>
      <c r="BND41" s="54"/>
      <c r="BNN41" s="54"/>
      <c r="BNX41" s="54"/>
      <c r="BOH41" s="54"/>
      <c r="BOR41" s="54"/>
      <c r="BPB41" s="54"/>
      <c r="BPL41" s="54"/>
      <c r="BPV41" s="54"/>
      <c r="BQF41" s="54"/>
      <c r="BQP41" s="54"/>
      <c r="BQZ41" s="54"/>
      <c r="BRJ41" s="54"/>
      <c r="BRT41" s="54"/>
      <c r="BSD41" s="54"/>
      <c r="BSN41" s="54"/>
      <c r="BSX41" s="54"/>
      <c r="BTH41" s="54"/>
      <c r="BTR41" s="54"/>
      <c r="BUB41" s="54"/>
      <c r="BUL41" s="54"/>
      <c r="BUV41" s="54"/>
      <c r="BVF41" s="54"/>
      <c r="BVP41" s="54"/>
      <c r="BVZ41" s="54"/>
      <c r="BWJ41" s="54"/>
      <c r="BWT41" s="54"/>
      <c r="BXD41" s="54"/>
      <c r="BXN41" s="54"/>
      <c r="BXX41" s="54"/>
      <c r="BYH41" s="54"/>
      <c r="BYR41" s="54"/>
      <c r="BZB41" s="54"/>
      <c r="BZL41" s="54"/>
      <c r="BZV41" s="54"/>
      <c r="CAF41" s="54"/>
      <c r="CAP41" s="54"/>
      <c r="CAZ41" s="54"/>
      <c r="CBJ41" s="54"/>
      <c r="CBT41" s="54"/>
      <c r="CCD41" s="54"/>
      <c r="CCN41" s="54"/>
      <c r="CCX41" s="54"/>
      <c r="CDH41" s="54"/>
      <c r="CDR41" s="54"/>
      <c r="CEB41" s="54"/>
      <c r="CEL41" s="54"/>
      <c r="CEV41" s="54"/>
      <c r="CFF41" s="54"/>
      <c r="CFP41" s="54"/>
      <c r="CFZ41" s="54"/>
      <c r="CGJ41" s="54"/>
      <c r="CGT41" s="54"/>
      <c r="CHD41" s="54"/>
      <c r="CHN41" s="54"/>
      <c r="CHX41" s="54"/>
      <c r="CIH41" s="54"/>
      <c r="CIR41" s="54"/>
      <c r="CJB41" s="54"/>
      <c r="CJL41" s="54"/>
      <c r="CJV41" s="54"/>
      <c r="CKF41" s="54"/>
      <c r="CKP41" s="54"/>
      <c r="CKZ41" s="54"/>
      <c r="CLJ41" s="54"/>
      <c r="CLT41" s="54"/>
      <c r="CMD41" s="54"/>
      <c r="CMN41" s="54"/>
      <c r="CMX41" s="54"/>
      <c r="CNH41" s="54"/>
      <c r="CNR41" s="54"/>
      <c r="COB41" s="54"/>
      <c r="COL41" s="54"/>
      <c r="COV41" s="54"/>
      <c r="CPF41" s="54"/>
      <c r="CPP41" s="54"/>
      <c r="CPZ41" s="54"/>
      <c r="CQJ41" s="54"/>
      <c r="CQT41" s="54"/>
      <c r="CRD41" s="54"/>
      <c r="CRN41" s="54"/>
      <c r="CRX41" s="54"/>
      <c r="CSH41" s="54"/>
      <c r="CSR41" s="54"/>
      <c r="CTB41" s="54"/>
      <c r="CTL41" s="54"/>
      <c r="CTV41" s="54"/>
    </row>
    <row r="42" s="39" customFormat="1" customHeight="1" spans="1:1020 1030:2040 2050:2570">
      <c r="A42" s="48">
        <v>46153</v>
      </c>
      <c r="B42" s="9" t="s">
        <v>32</v>
      </c>
      <c r="C42" s="10" t="s">
        <v>33</v>
      </c>
      <c r="D42" s="49">
        <v>652384384</v>
      </c>
      <c r="E42" s="15" t="s">
        <v>48</v>
      </c>
      <c r="F42" s="50" t="str">
        <f>VLOOKUP(E42,基础数据!E:F,2,0)</f>
        <v>A12-外部通讯连接线束</v>
      </c>
      <c r="G42" s="49">
        <v>1500</v>
      </c>
      <c r="H42" s="51" t="str">
        <f>VLOOKUP(E42,基础数据!E:H,4,0)</f>
        <v>料盒</v>
      </c>
      <c r="I42" s="51">
        <f>VLOOKUP(E42,基础数据!E:G,3,0)</f>
        <v>100</v>
      </c>
      <c r="J42" s="49" t="s">
        <v>35</v>
      </c>
      <c r="K42" s="52">
        <f t="shared" si="1"/>
        <v>15</v>
      </c>
      <c r="T42" s="54"/>
      <c r="AD42" s="54"/>
      <c r="AN42" s="54"/>
      <c r="AX42" s="54"/>
      <c r="BH42" s="54"/>
      <c r="BR42" s="54"/>
      <c r="CB42" s="54"/>
      <c r="CL42" s="54"/>
      <c r="CV42" s="54"/>
      <c r="DF42" s="54"/>
      <c r="DP42" s="54"/>
      <c r="DZ42" s="54"/>
      <c r="EJ42" s="54"/>
      <c r="ET42" s="54"/>
      <c r="FD42" s="54"/>
      <c r="FN42" s="54"/>
      <c r="FX42" s="54"/>
      <c r="GH42" s="54"/>
      <c r="GR42" s="54"/>
      <c r="HB42" s="54"/>
      <c r="HL42" s="54"/>
      <c r="HV42" s="54"/>
      <c r="IF42" s="54"/>
      <c r="IP42" s="54"/>
      <c r="IZ42" s="54"/>
      <c r="JJ42" s="54"/>
      <c r="JT42" s="54"/>
      <c r="KD42" s="54"/>
      <c r="KN42" s="54"/>
      <c r="KX42" s="54"/>
      <c r="LH42" s="54"/>
      <c r="LR42" s="54"/>
      <c r="MB42" s="54"/>
      <c r="ML42" s="54"/>
      <c r="MV42" s="54"/>
      <c r="NF42" s="54"/>
      <c r="NP42" s="54"/>
      <c r="NZ42" s="54"/>
      <c r="OJ42" s="54"/>
      <c r="OT42" s="54"/>
      <c r="PD42" s="54"/>
      <c r="PN42" s="54"/>
      <c r="PX42" s="54"/>
      <c r="QH42" s="54"/>
      <c r="QR42" s="54"/>
      <c r="RB42" s="54"/>
      <c r="RL42" s="54"/>
      <c r="RV42" s="54"/>
      <c r="SF42" s="54"/>
      <c r="SP42" s="54"/>
      <c r="SZ42" s="54"/>
      <c r="TJ42" s="54"/>
      <c r="TT42" s="54"/>
      <c r="UD42" s="54"/>
      <c r="UN42" s="54"/>
      <c r="UX42" s="54"/>
      <c r="VH42" s="54"/>
      <c r="VR42" s="54"/>
      <c r="WB42" s="54"/>
      <c r="WL42" s="54"/>
      <c r="WV42" s="54"/>
      <c r="XF42" s="54"/>
      <c r="XP42" s="54"/>
      <c r="XZ42" s="54"/>
      <c r="YJ42" s="54"/>
      <c r="YT42" s="54"/>
      <c r="ZD42" s="54"/>
      <c r="ZN42" s="54"/>
      <c r="ZX42" s="54"/>
      <c r="AAH42" s="54"/>
      <c r="AAR42" s="54"/>
      <c r="ABB42" s="54"/>
      <c r="ABL42" s="54"/>
      <c r="ABV42" s="54"/>
      <c r="ACF42" s="54"/>
      <c r="ACP42" s="54"/>
      <c r="ACZ42" s="54"/>
      <c r="ADJ42" s="54"/>
      <c r="ADT42" s="54"/>
      <c r="AED42" s="54"/>
      <c r="AEN42" s="54"/>
      <c r="AEX42" s="54"/>
      <c r="AFH42" s="54"/>
      <c r="AFR42" s="54"/>
      <c r="AGB42" s="54"/>
      <c r="AGL42" s="54"/>
      <c r="AGV42" s="54"/>
      <c r="AHF42" s="54"/>
      <c r="AHP42" s="54"/>
      <c r="AHZ42" s="54"/>
      <c r="AIJ42" s="54"/>
      <c r="AIT42" s="54"/>
      <c r="AJD42" s="54"/>
      <c r="AJN42" s="54"/>
      <c r="AJX42" s="54"/>
      <c r="AKH42" s="54"/>
      <c r="AKR42" s="54"/>
      <c r="ALB42" s="54"/>
      <c r="ALL42" s="54"/>
      <c r="ALV42" s="54"/>
      <c r="AMF42" s="54"/>
      <c r="AMP42" s="54"/>
      <c r="AMZ42" s="54"/>
      <c r="ANJ42" s="54"/>
      <c r="ANT42" s="54"/>
      <c r="AOD42" s="54"/>
      <c r="AON42" s="54"/>
      <c r="AOX42" s="54"/>
      <c r="APH42" s="54"/>
      <c r="APR42" s="54"/>
      <c r="AQB42" s="54"/>
      <c r="AQL42" s="54"/>
      <c r="AQV42" s="54"/>
      <c r="ARF42" s="54"/>
      <c r="ARP42" s="54"/>
      <c r="ARZ42" s="54"/>
      <c r="ASJ42" s="54"/>
      <c r="AST42" s="54"/>
      <c r="ATD42" s="54"/>
      <c r="ATN42" s="54"/>
      <c r="ATX42" s="54"/>
      <c r="AUH42" s="54"/>
      <c r="AUR42" s="54"/>
      <c r="AVB42" s="54"/>
      <c r="AVL42" s="54"/>
      <c r="AVV42" s="54"/>
      <c r="AWF42" s="54"/>
      <c r="AWP42" s="54"/>
      <c r="AWZ42" s="54"/>
      <c r="AXJ42" s="54"/>
      <c r="AXT42" s="54"/>
      <c r="AYD42" s="54"/>
      <c r="AYN42" s="54"/>
      <c r="AYX42" s="54"/>
      <c r="AZH42" s="54"/>
      <c r="AZR42" s="54"/>
      <c r="BAB42" s="54"/>
      <c r="BAL42" s="54"/>
      <c r="BAV42" s="54"/>
      <c r="BBF42" s="54"/>
      <c r="BBP42" s="54"/>
      <c r="BBZ42" s="54"/>
      <c r="BCJ42" s="54"/>
      <c r="BCT42" s="54"/>
      <c r="BDD42" s="54"/>
      <c r="BDN42" s="54"/>
      <c r="BDX42" s="54"/>
      <c r="BEH42" s="54"/>
      <c r="BER42" s="54"/>
      <c r="BFB42" s="54"/>
      <c r="BFL42" s="54"/>
      <c r="BFV42" s="54"/>
      <c r="BGF42" s="54"/>
      <c r="BGP42" s="54"/>
      <c r="BGZ42" s="54"/>
      <c r="BHJ42" s="54"/>
      <c r="BHT42" s="54"/>
      <c r="BID42" s="54"/>
      <c r="BIN42" s="54"/>
      <c r="BIX42" s="54"/>
      <c r="BJH42" s="54"/>
      <c r="BJR42" s="54"/>
      <c r="BKB42" s="54"/>
      <c r="BKL42" s="54"/>
      <c r="BKV42" s="54"/>
      <c r="BLF42" s="54"/>
      <c r="BLP42" s="54"/>
      <c r="BLZ42" s="54"/>
      <c r="BMJ42" s="54"/>
      <c r="BMT42" s="54"/>
      <c r="BND42" s="54"/>
      <c r="BNN42" s="54"/>
      <c r="BNX42" s="54"/>
      <c r="BOH42" s="54"/>
      <c r="BOR42" s="54"/>
      <c r="BPB42" s="54"/>
      <c r="BPL42" s="54"/>
      <c r="BPV42" s="54"/>
      <c r="BQF42" s="54"/>
      <c r="BQP42" s="54"/>
      <c r="BQZ42" s="54"/>
      <c r="BRJ42" s="54"/>
      <c r="BRT42" s="54"/>
      <c r="BSD42" s="54"/>
      <c r="BSN42" s="54"/>
      <c r="BSX42" s="54"/>
      <c r="BTH42" s="54"/>
      <c r="BTR42" s="54"/>
      <c r="BUB42" s="54"/>
      <c r="BUL42" s="54"/>
      <c r="BUV42" s="54"/>
      <c r="BVF42" s="54"/>
      <c r="BVP42" s="54"/>
      <c r="BVZ42" s="54"/>
      <c r="BWJ42" s="54"/>
      <c r="BWT42" s="54"/>
      <c r="BXD42" s="54"/>
      <c r="BXN42" s="54"/>
      <c r="BXX42" s="54"/>
      <c r="BYH42" s="54"/>
      <c r="BYR42" s="54"/>
      <c r="BZB42" s="54"/>
      <c r="BZL42" s="54"/>
      <c r="BZV42" s="54"/>
      <c r="CAF42" s="54"/>
      <c r="CAP42" s="54"/>
      <c r="CAZ42" s="54"/>
      <c r="CBJ42" s="54"/>
      <c r="CBT42" s="54"/>
      <c r="CCD42" s="54"/>
      <c r="CCN42" s="54"/>
      <c r="CCX42" s="54"/>
      <c r="CDH42" s="54"/>
      <c r="CDR42" s="54"/>
      <c r="CEB42" s="54"/>
      <c r="CEL42" s="54"/>
      <c r="CEV42" s="54"/>
      <c r="CFF42" s="54"/>
      <c r="CFP42" s="54"/>
      <c r="CFZ42" s="54"/>
      <c r="CGJ42" s="54"/>
      <c r="CGT42" s="54"/>
      <c r="CHD42" s="54"/>
      <c r="CHN42" s="54"/>
      <c r="CHX42" s="54"/>
      <c r="CIH42" s="54"/>
      <c r="CIR42" s="54"/>
      <c r="CJB42" s="54"/>
      <c r="CJL42" s="54"/>
      <c r="CJV42" s="54"/>
      <c r="CKF42" s="54"/>
      <c r="CKP42" s="54"/>
      <c r="CKZ42" s="54"/>
      <c r="CLJ42" s="54"/>
      <c r="CLT42" s="54"/>
      <c r="CMD42" s="54"/>
      <c r="CMN42" s="54"/>
      <c r="CMX42" s="54"/>
      <c r="CNH42" s="54"/>
      <c r="CNR42" s="54"/>
      <c r="COB42" s="54"/>
      <c r="COL42" s="54"/>
      <c r="COV42" s="54"/>
      <c r="CPF42" s="54"/>
      <c r="CPP42" s="54"/>
      <c r="CPZ42" s="54"/>
      <c r="CQJ42" s="54"/>
      <c r="CQT42" s="54"/>
      <c r="CRD42" s="54"/>
      <c r="CRN42" s="54"/>
      <c r="CRX42" s="54"/>
      <c r="CSH42" s="54"/>
      <c r="CSR42" s="54"/>
      <c r="CTB42" s="54"/>
      <c r="CTL42" s="54"/>
      <c r="CTV42" s="54"/>
    </row>
    <row r="43" s="39" customFormat="1" customHeight="1" spans="1:1020 1030:2040 2050:2570">
      <c r="A43" s="48">
        <v>46153</v>
      </c>
      <c r="B43" s="9" t="s">
        <v>32</v>
      </c>
      <c r="C43" s="10" t="s">
        <v>33</v>
      </c>
      <c r="D43" s="49">
        <v>652384384</v>
      </c>
      <c r="E43" s="15" t="s">
        <v>55</v>
      </c>
      <c r="F43" s="50" t="str">
        <f>VLOOKUP(E43,基础数据!E:F,2,0)</f>
        <v>线束总成</v>
      </c>
      <c r="G43" s="49">
        <v>1000</v>
      </c>
      <c r="H43" s="51" t="str">
        <f>VLOOKUP(E43,基础数据!E:H,4,0)</f>
        <v>料盒</v>
      </c>
      <c r="I43" s="51">
        <f>VLOOKUP(E43,基础数据!E:G,3,0)</f>
        <v>100</v>
      </c>
      <c r="J43" s="49" t="s">
        <v>35</v>
      </c>
      <c r="K43" s="52">
        <f t="shared" si="1"/>
        <v>10</v>
      </c>
      <c r="T43" s="54"/>
      <c r="AD43" s="54"/>
      <c r="AN43" s="54"/>
      <c r="AX43" s="54"/>
      <c r="BH43" s="54"/>
      <c r="BR43" s="54"/>
      <c r="CB43" s="54"/>
      <c r="CL43" s="54"/>
      <c r="CV43" s="54"/>
      <c r="DF43" s="54"/>
      <c r="DP43" s="54"/>
      <c r="DZ43" s="54"/>
      <c r="EJ43" s="54"/>
      <c r="ET43" s="54"/>
      <c r="FD43" s="54"/>
      <c r="FN43" s="54"/>
      <c r="FX43" s="54"/>
      <c r="GH43" s="54"/>
      <c r="GR43" s="54"/>
      <c r="HB43" s="54"/>
      <c r="HL43" s="54"/>
      <c r="HV43" s="54"/>
      <c r="IF43" s="54"/>
      <c r="IP43" s="54"/>
      <c r="IZ43" s="54"/>
      <c r="JJ43" s="54"/>
      <c r="JT43" s="54"/>
      <c r="KD43" s="54"/>
      <c r="KN43" s="54"/>
      <c r="KX43" s="54"/>
      <c r="LH43" s="54"/>
      <c r="LR43" s="54"/>
      <c r="MB43" s="54"/>
      <c r="ML43" s="54"/>
      <c r="MV43" s="54"/>
      <c r="NF43" s="54"/>
      <c r="NP43" s="54"/>
      <c r="NZ43" s="54"/>
      <c r="OJ43" s="54"/>
      <c r="OT43" s="54"/>
      <c r="PD43" s="54"/>
      <c r="PN43" s="54"/>
      <c r="PX43" s="54"/>
      <c r="QH43" s="54"/>
      <c r="QR43" s="54"/>
      <c r="RB43" s="54"/>
      <c r="RL43" s="54"/>
      <c r="RV43" s="54"/>
      <c r="SF43" s="54"/>
      <c r="SP43" s="54"/>
      <c r="SZ43" s="54"/>
      <c r="TJ43" s="54"/>
      <c r="TT43" s="54"/>
      <c r="UD43" s="54"/>
      <c r="UN43" s="54"/>
      <c r="UX43" s="54"/>
      <c r="VH43" s="54"/>
      <c r="VR43" s="54"/>
      <c r="WB43" s="54"/>
      <c r="WL43" s="54"/>
      <c r="WV43" s="54"/>
      <c r="XF43" s="54"/>
      <c r="XP43" s="54"/>
      <c r="XZ43" s="54"/>
      <c r="YJ43" s="54"/>
      <c r="YT43" s="54"/>
      <c r="ZD43" s="54"/>
      <c r="ZN43" s="54"/>
      <c r="ZX43" s="54"/>
      <c r="AAH43" s="54"/>
      <c r="AAR43" s="54"/>
      <c r="ABB43" s="54"/>
      <c r="ABL43" s="54"/>
      <c r="ABV43" s="54"/>
      <c r="ACF43" s="54"/>
      <c r="ACP43" s="54"/>
      <c r="ACZ43" s="54"/>
      <c r="ADJ43" s="54"/>
      <c r="ADT43" s="54"/>
      <c r="AED43" s="54"/>
      <c r="AEN43" s="54"/>
      <c r="AEX43" s="54"/>
      <c r="AFH43" s="54"/>
      <c r="AFR43" s="54"/>
      <c r="AGB43" s="54"/>
      <c r="AGL43" s="54"/>
      <c r="AGV43" s="54"/>
      <c r="AHF43" s="54"/>
      <c r="AHP43" s="54"/>
      <c r="AHZ43" s="54"/>
      <c r="AIJ43" s="54"/>
      <c r="AIT43" s="54"/>
      <c r="AJD43" s="54"/>
      <c r="AJN43" s="54"/>
      <c r="AJX43" s="54"/>
      <c r="AKH43" s="54"/>
      <c r="AKR43" s="54"/>
      <c r="ALB43" s="54"/>
      <c r="ALL43" s="54"/>
      <c r="ALV43" s="54"/>
      <c r="AMF43" s="54"/>
      <c r="AMP43" s="54"/>
      <c r="AMZ43" s="54"/>
      <c r="ANJ43" s="54"/>
      <c r="ANT43" s="54"/>
      <c r="AOD43" s="54"/>
      <c r="AON43" s="54"/>
      <c r="AOX43" s="54"/>
      <c r="APH43" s="54"/>
      <c r="APR43" s="54"/>
      <c r="AQB43" s="54"/>
      <c r="AQL43" s="54"/>
      <c r="AQV43" s="54"/>
      <c r="ARF43" s="54"/>
      <c r="ARP43" s="54"/>
      <c r="ARZ43" s="54"/>
      <c r="ASJ43" s="54"/>
      <c r="AST43" s="54"/>
      <c r="ATD43" s="54"/>
      <c r="ATN43" s="54"/>
      <c r="ATX43" s="54"/>
      <c r="AUH43" s="54"/>
      <c r="AUR43" s="54"/>
      <c r="AVB43" s="54"/>
      <c r="AVL43" s="54"/>
      <c r="AVV43" s="54"/>
      <c r="AWF43" s="54"/>
      <c r="AWP43" s="54"/>
      <c r="AWZ43" s="54"/>
      <c r="AXJ43" s="54"/>
      <c r="AXT43" s="54"/>
      <c r="AYD43" s="54"/>
      <c r="AYN43" s="54"/>
      <c r="AYX43" s="54"/>
      <c r="AZH43" s="54"/>
      <c r="AZR43" s="54"/>
      <c r="BAB43" s="54"/>
      <c r="BAL43" s="54"/>
      <c r="BAV43" s="54"/>
      <c r="BBF43" s="54"/>
      <c r="BBP43" s="54"/>
      <c r="BBZ43" s="54"/>
      <c r="BCJ43" s="54"/>
      <c r="BCT43" s="54"/>
      <c r="BDD43" s="54"/>
      <c r="BDN43" s="54"/>
      <c r="BDX43" s="54"/>
      <c r="BEH43" s="54"/>
      <c r="BER43" s="54"/>
      <c r="BFB43" s="54"/>
      <c r="BFL43" s="54"/>
      <c r="BFV43" s="54"/>
      <c r="BGF43" s="54"/>
      <c r="BGP43" s="54"/>
      <c r="BGZ43" s="54"/>
      <c r="BHJ43" s="54"/>
      <c r="BHT43" s="54"/>
      <c r="BID43" s="54"/>
      <c r="BIN43" s="54"/>
      <c r="BIX43" s="54"/>
      <c r="BJH43" s="54"/>
      <c r="BJR43" s="54"/>
      <c r="BKB43" s="54"/>
      <c r="BKL43" s="54"/>
      <c r="BKV43" s="54"/>
      <c r="BLF43" s="54"/>
      <c r="BLP43" s="54"/>
      <c r="BLZ43" s="54"/>
      <c r="BMJ43" s="54"/>
      <c r="BMT43" s="54"/>
      <c r="BND43" s="54"/>
      <c r="BNN43" s="54"/>
      <c r="BNX43" s="54"/>
      <c r="BOH43" s="54"/>
      <c r="BOR43" s="54"/>
      <c r="BPB43" s="54"/>
      <c r="BPL43" s="54"/>
      <c r="BPV43" s="54"/>
      <c r="BQF43" s="54"/>
      <c r="BQP43" s="54"/>
      <c r="BQZ43" s="54"/>
      <c r="BRJ43" s="54"/>
      <c r="BRT43" s="54"/>
      <c r="BSD43" s="54"/>
      <c r="BSN43" s="54"/>
      <c r="BSX43" s="54"/>
      <c r="BTH43" s="54"/>
      <c r="BTR43" s="54"/>
      <c r="BUB43" s="54"/>
      <c r="BUL43" s="54"/>
      <c r="BUV43" s="54"/>
      <c r="BVF43" s="54"/>
      <c r="BVP43" s="54"/>
      <c r="BVZ43" s="54"/>
      <c r="BWJ43" s="54"/>
      <c r="BWT43" s="54"/>
      <c r="BXD43" s="54"/>
      <c r="BXN43" s="54"/>
      <c r="BXX43" s="54"/>
      <c r="BYH43" s="54"/>
      <c r="BYR43" s="54"/>
      <c r="BZB43" s="54"/>
      <c r="BZL43" s="54"/>
      <c r="BZV43" s="54"/>
      <c r="CAF43" s="54"/>
      <c r="CAP43" s="54"/>
      <c r="CAZ43" s="54"/>
      <c r="CBJ43" s="54"/>
      <c r="CBT43" s="54"/>
      <c r="CCD43" s="54"/>
      <c r="CCN43" s="54"/>
      <c r="CCX43" s="54"/>
      <c r="CDH43" s="54"/>
      <c r="CDR43" s="54"/>
      <c r="CEB43" s="54"/>
      <c r="CEL43" s="54"/>
      <c r="CEV43" s="54"/>
      <c r="CFF43" s="54"/>
      <c r="CFP43" s="54"/>
      <c r="CFZ43" s="54"/>
      <c r="CGJ43" s="54"/>
      <c r="CGT43" s="54"/>
      <c r="CHD43" s="54"/>
      <c r="CHN43" s="54"/>
      <c r="CHX43" s="54"/>
      <c r="CIH43" s="54"/>
      <c r="CIR43" s="54"/>
      <c r="CJB43" s="54"/>
      <c r="CJL43" s="54"/>
      <c r="CJV43" s="54"/>
      <c r="CKF43" s="54"/>
      <c r="CKP43" s="54"/>
      <c r="CKZ43" s="54"/>
      <c r="CLJ43" s="54"/>
      <c r="CLT43" s="54"/>
      <c r="CMD43" s="54"/>
      <c r="CMN43" s="54"/>
      <c r="CMX43" s="54"/>
      <c r="CNH43" s="54"/>
      <c r="CNR43" s="54"/>
      <c r="COB43" s="54"/>
      <c r="COL43" s="54"/>
      <c r="COV43" s="54"/>
      <c r="CPF43" s="54"/>
      <c r="CPP43" s="54"/>
      <c r="CPZ43" s="54"/>
      <c r="CQJ43" s="54"/>
      <c r="CQT43" s="54"/>
      <c r="CRD43" s="54"/>
      <c r="CRN43" s="54"/>
      <c r="CRX43" s="54"/>
      <c r="CSH43" s="54"/>
      <c r="CSR43" s="54"/>
      <c r="CTB43" s="54"/>
      <c r="CTL43" s="54"/>
      <c r="CTV43" s="54"/>
    </row>
    <row r="44" s="39" customFormat="1" customHeight="1" spans="1:1020 1030:2040 2050:2570">
      <c r="A44" s="48">
        <v>46153</v>
      </c>
      <c r="B44" s="9" t="s">
        <v>32</v>
      </c>
      <c r="C44" s="10" t="s">
        <v>33</v>
      </c>
      <c r="D44" s="49">
        <v>652384384</v>
      </c>
      <c r="E44" s="15" t="s">
        <v>56</v>
      </c>
      <c r="F44" s="50" t="str">
        <f>VLOOKUP(E44,基础数据!E:F,2,0)</f>
        <v>线束总成</v>
      </c>
      <c r="G44" s="49">
        <v>1000</v>
      </c>
      <c r="H44" s="51" t="str">
        <f>VLOOKUP(E44,基础数据!E:H,4,0)</f>
        <v>料盒</v>
      </c>
      <c r="I44" s="51">
        <f>VLOOKUP(E44,基础数据!E:G,3,0)</f>
        <v>200</v>
      </c>
      <c r="J44" s="49" t="s">
        <v>35</v>
      </c>
      <c r="K44" s="52">
        <f t="shared" si="1"/>
        <v>5</v>
      </c>
      <c r="T44" s="54"/>
      <c r="AD44" s="54"/>
      <c r="AN44" s="54"/>
      <c r="AX44" s="54"/>
      <c r="BH44" s="54"/>
      <c r="BR44" s="54"/>
      <c r="CB44" s="54"/>
      <c r="CL44" s="54"/>
      <c r="CV44" s="54"/>
      <c r="DF44" s="54"/>
      <c r="DP44" s="54"/>
      <c r="DZ44" s="54"/>
      <c r="EJ44" s="54"/>
      <c r="ET44" s="54"/>
      <c r="FD44" s="54"/>
      <c r="FN44" s="54"/>
      <c r="FX44" s="54"/>
      <c r="GH44" s="54"/>
      <c r="GR44" s="54"/>
      <c r="HB44" s="54"/>
      <c r="HL44" s="54"/>
      <c r="HV44" s="54"/>
      <c r="IF44" s="54"/>
      <c r="IP44" s="54"/>
      <c r="IZ44" s="54"/>
      <c r="JJ44" s="54"/>
      <c r="JT44" s="54"/>
      <c r="KD44" s="54"/>
      <c r="KN44" s="54"/>
      <c r="KX44" s="54"/>
      <c r="LH44" s="54"/>
      <c r="LR44" s="54"/>
      <c r="MB44" s="54"/>
      <c r="ML44" s="54"/>
      <c r="MV44" s="54"/>
      <c r="NF44" s="54"/>
      <c r="NP44" s="54"/>
      <c r="NZ44" s="54"/>
      <c r="OJ44" s="54"/>
      <c r="OT44" s="54"/>
      <c r="PD44" s="54"/>
      <c r="PN44" s="54"/>
      <c r="PX44" s="54"/>
      <c r="QH44" s="54"/>
      <c r="QR44" s="54"/>
      <c r="RB44" s="54"/>
      <c r="RL44" s="54"/>
      <c r="RV44" s="54"/>
      <c r="SF44" s="54"/>
      <c r="SP44" s="54"/>
      <c r="SZ44" s="54"/>
      <c r="TJ44" s="54"/>
      <c r="TT44" s="54"/>
      <c r="UD44" s="54"/>
      <c r="UN44" s="54"/>
      <c r="UX44" s="54"/>
      <c r="VH44" s="54"/>
      <c r="VR44" s="54"/>
      <c r="WB44" s="54"/>
      <c r="WL44" s="54"/>
      <c r="WV44" s="54"/>
      <c r="XF44" s="54"/>
      <c r="XP44" s="54"/>
      <c r="XZ44" s="54"/>
      <c r="YJ44" s="54"/>
      <c r="YT44" s="54"/>
      <c r="ZD44" s="54"/>
      <c r="ZN44" s="54"/>
      <c r="ZX44" s="54"/>
      <c r="AAH44" s="54"/>
      <c r="AAR44" s="54"/>
      <c r="ABB44" s="54"/>
      <c r="ABL44" s="54"/>
      <c r="ABV44" s="54"/>
      <c r="ACF44" s="54"/>
      <c r="ACP44" s="54"/>
      <c r="ACZ44" s="54"/>
      <c r="ADJ44" s="54"/>
      <c r="ADT44" s="54"/>
      <c r="AED44" s="54"/>
      <c r="AEN44" s="54"/>
      <c r="AEX44" s="54"/>
      <c r="AFH44" s="54"/>
      <c r="AFR44" s="54"/>
      <c r="AGB44" s="54"/>
      <c r="AGL44" s="54"/>
      <c r="AGV44" s="54"/>
      <c r="AHF44" s="54"/>
      <c r="AHP44" s="54"/>
      <c r="AHZ44" s="54"/>
      <c r="AIJ44" s="54"/>
      <c r="AIT44" s="54"/>
      <c r="AJD44" s="54"/>
      <c r="AJN44" s="54"/>
      <c r="AJX44" s="54"/>
      <c r="AKH44" s="54"/>
      <c r="AKR44" s="54"/>
      <c r="ALB44" s="54"/>
      <c r="ALL44" s="54"/>
      <c r="ALV44" s="54"/>
      <c r="AMF44" s="54"/>
      <c r="AMP44" s="54"/>
      <c r="AMZ44" s="54"/>
      <c r="ANJ44" s="54"/>
      <c r="ANT44" s="54"/>
      <c r="AOD44" s="54"/>
      <c r="AON44" s="54"/>
      <c r="AOX44" s="54"/>
      <c r="APH44" s="54"/>
      <c r="APR44" s="54"/>
      <c r="AQB44" s="54"/>
      <c r="AQL44" s="54"/>
      <c r="AQV44" s="54"/>
      <c r="ARF44" s="54"/>
      <c r="ARP44" s="54"/>
      <c r="ARZ44" s="54"/>
      <c r="ASJ44" s="54"/>
      <c r="AST44" s="54"/>
      <c r="ATD44" s="54"/>
      <c r="ATN44" s="54"/>
      <c r="ATX44" s="54"/>
      <c r="AUH44" s="54"/>
      <c r="AUR44" s="54"/>
      <c r="AVB44" s="54"/>
      <c r="AVL44" s="54"/>
      <c r="AVV44" s="54"/>
      <c r="AWF44" s="54"/>
      <c r="AWP44" s="54"/>
      <c r="AWZ44" s="54"/>
      <c r="AXJ44" s="54"/>
      <c r="AXT44" s="54"/>
      <c r="AYD44" s="54"/>
      <c r="AYN44" s="54"/>
      <c r="AYX44" s="54"/>
      <c r="AZH44" s="54"/>
      <c r="AZR44" s="54"/>
      <c r="BAB44" s="54"/>
      <c r="BAL44" s="54"/>
      <c r="BAV44" s="54"/>
      <c r="BBF44" s="54"/>
      <c r="BBP44" s="54"/>
      <c r="BBZ44" s="54"/>
      <c r="BCJ44" s="54"/>
      <c r="BCT44" s="54"/>
      <c r="BDD44" s="54"/>
      <c r="BDN44" s="54"/>
      <c r="BDX44" s="54"/>
      <c r="BEH44" s="54"/>
      <c r="BER44" s="54"/>
      <c r="BFB44" s="54"/>
      <c r="BFL44" s="54"/>
      <c r="BFV44" s="54"/>
      <c r="BGF44" s="54"/>
      <c r="BGP44" s="54"/>
      <c r="BGZ44" s="54"/>
      <c r="BHJ44" s="54"/>
      <c r="BHT44" s="54"/>
      <c r="BID44" s="54"/>
      <c r="BIN44" s="54"/>
      <c r="BIX44" s="54"/>
      <c r="BJH44" s="54"/>
      <c r="BJR44" s="54"/>
      <c r="BKB44" s="54"/>
      <c r="BKL44" s="54"/>
      <c r="BKV44" s="54"/>
      <c r="BLF44" s="54"/>
      <c r="BLP44" s="54"/>
      <c r="BLZ44" s="54"/>
      <c r="BMJ44" s="54"/>
      <c r="BMT44" s="54"/>
      <c r="BND44" s="54"/>
      <c r="BNN44" s="54"/>
      <c r="BNX44" s="54"/>
      <c r="BOH44" s="54"/>
      <c r="BOR44" s="54"/>
      <c r="BPB44" s="54"/>
      <c r="BPL44" s="54"/>
      <c r="BPV44" s="54"/>
      <c r="BQF44" s="54"/>
      <c r="BQP44" s="54"/>
      <c r="BQZ44" s="54"/>
      <c r="BRJ44" s="54"/>
      <c r="BRT44" s="54"/>
      <c r="BSD44" s="54"/>
      <c r="BSN44" s="54"/>
      <c r="BSX44" s="54"/>
      <c r="BTH44" s="54"/>
      <c r="BTR44" s="54"/>
      <c r="BUB44" s="54"/>
      <c r="BUL44" s="54"/>
      <c r="BUV44" s="54"/>
      <c r="BVF44" s="54"/>
      <c r="BVP44" s="54"/>
      <c r="BVZ44" s="54"/>
      <c r="BWJ44" s="54"/>
      <c r="BWT44" s="54"/>
      <c r="BXD44" s="54"/>
      <c r="BXN44" s="54"/>
      <c r="BXX44" s="54"/>
      <c r="BYH44" s="54"/>
      <c r="BYR44" s="54"/>
      <c r="BZB44" s="54"/>
      <c r="BZL44" s="54"/>
      <c r="BZV44" s="54"/>
      <c r="CAF44" s="54"/>
      <c r="CAP44" s="54"/>
      <c r="CAZ44" s="54"/>
      <c r="CBJ44" s="54"/>
      <c r="CBT44" s="54"/>
      <c r="CCD44" s="54"/>
      <c r="CCN44" s="54"/>
      <c r="CCX44" s="54"/>
      <c r="CDH44" s="54"/>
      <c r="CDR44" s="54"/>
      <c r="CEB44" s="54"/>
      <c r="CEL44" s="54"/>
      <c r="CEV44" s="54"/>
      <c r="CFF44" s="54"/>
      <c r="CFP44" s="54"/>
      <c r="CFZ44" s="54"/>
      <c r="CGJ44" s="54"/>
      <c r="CGT44" s="54"/>
      <c r="CHD44" s="54"/>
      <c r="CHN44" s="54"/>
      <c r="CHX44" s="54"/>
      <c r="CIH44" s="54"/>
      <c r="CIR44" s="54"/>
      <c r="CJB44" s="54"/>
      <c r="CJL44" s="54"/>
      <c r="CJV44" s="54"/>
      <c r="CKF44" s="54"/>
      <c r="CKP44" s="54"/>
      <c r="CKZ44" s="54"/>
      <c r="CLJ44" s="54"/>
      <c r="CLT44" s="54"/>
      <c r="CMD44" s="54"/>
      <c r="CMN44" s="54"/>
      <c r="CMX44" s="54"/>
      <c r="CNH44" s="54"/>
      <c r="CNR44" s="54"/>
      <c r="COB44" s="54"/>
      <c r="COL44" s="54"/>
      <c r="COV44" s="54"/>
      <c r="CPF44" s="54"/>
      <c r="CPP44" s="54"/>
      <c r="CPZ44" s="54"/>
      <c r="CQJ44" s="54"/>
      <c r="CQT44" s="54"/>
      <c r="CRD44" s="54"/>
      <c r="CRN44" s="54"/>
      <c r="CRX44" s="54"/>
      <c r="CSH44" s="54"/>
      <c r="CSR44" s="54"/>
      <c r="CTB44" s="54"/>
      <c r="CTL44" s="54"/>
      <c r="CTV44" s="54"/>
    </row>
    <row r="45" s="39" customFormat="1" customHeight="1" spans="1:1020 1030:2040 2050:2570">
      <c r="A45" s="48">
        <v>46153</v>
      </c>
      <c r="B45" s="9" t="s">
        <v>32</v>
      </c>
      <c r="C45" s="10" t="s">
        <v>33</v>
      </c>
      <c r="D45" s="49">
        <v>652384384</v>
      </c>
      <c r="E45" s="15" t="s">
        <v>57</v>
      </c>
      <c r="F45" s="50" t="str">
        <f>VLOOKUP(E45,基础数据!E:F,2,0)</f>
        <v>线束总成</v>
      </c>
      <c r="G45" s="49">
        <v>1000</v>
      </c>
      <c r="H45" s="51" t="str">
        <f>VLOOKUP(E45,基础数据!E:H,4,0)</f>
        <v>料盒</v>
      </c>
      <c r="I45" s="51">
        <f>VLOOKUP(E45,基础数据!E:G,3,0)</f>
        <v>100</v>
      </c>
      <c r="J45" s="49" t="s">
        <v>35</v>
      </c>
      <c r="K45" s="52">
        <f t="shared" si="1"/>
        <v>10</v>
      </c>
      <c r="T45" s="54"/>
      <c r="AD45" s="54"/>
      <c r="AN45" s="54"/>
      <c r="AX45" s="54"/>
      <c r="BH45" s="54"/>
      <c r="BR45" s="54"/>
      <c r="CB45" s="54"/>
      <c r="CL45" s="54"/>
      <c r="CV45" s="54"/>
      <c r="DF45" s="54"/>
      <c r="DP45" s="54"/>
      <c r="DZ45" s="54"/>
      <c r="EJ45" s="54"/>
      <c r="ET45" s="54"/>
      <c r="FD45" s="54"/>
      <c r="FN45" s="54"/>
      <c r="FX45" s="54"/>
      <c r="GH45" s="54"/>
      <c r="GR45" s="54"/>
      <c r="HB45" s="54"/>
      <c r="HL45" s="54"/>
      <c r="HV45" s="54"/>
      <c r="IF45" s="54"/>
      <c r="IP45" s="54"/>
      <c r="IZ45" s="54"/>
      <c r="JJ45" s="54"/>
      <c r="JT45" s="54"/>
      <c r="KD45" s="54"/>
      <c r="KN45" s="54"/>
      <c r="KX45" s="54"/>
      <c r="LH45" s="54"/>
      <c r="LR45" s="54"/>
      <c r="MB45" s="54"/>
      <c r="ML45" s="54"/>
      <c r="MV45" s="54"/>
      <c r="NF45" s="54"/>
      <c r="NP45" s="54"/>
      <c r="NZ45" s="54"/>
      <c r="OJ45" s="54"/>
      <c r="OT45" s="54"/>
      <c r="PD45" s="54"/>
      <c r="PN45" s="54"/>
      <c r="PX45" s="54"/>
      <c r="QH45" s="54"/>
      <c r="QR45" s="54"/>
      <c r="RB45" s="54"/>
      <c r="RL45" s="54"/>
      <c r="RV45" s="54"/>
      <c r="SF45" s="54"/>
      <c r="SP45" s="54"/>
      <c r="SZ45" s="54"/>
      <c r="TJ45" s="54"/>
      <c r="TT45" s="54"/>
      <c r="UD45" s="54"/>
      <c r="UN45" s="54"/>
      <c r="UX45" s="54"/>
      <c r="VH45" s="54"/>
      <c r="VR45" s="54"/>
      <c r="WB45" s="54"/>
      <c r="WL45" s="54"/>
      <c r="WV45" s="54"/>
      <c r="XF45" s="54"/>
      <c r="XP45" s="54"/>
      <c r="XZ45" s="54"/>
      <c r="YJ45" s="54"/>
      <c r="YT45" s="54"/>
      <c r="ZD45" s="54"/>
      <c r="ZN45" s="54"/>
      <c r="ZX45" s="54"/>
      <c r="AAH45" s="54"/>
      <c r="AAR45" s="54"/>
      <c r="ABB45" s="54"/>
      <c r="ABL45" s="54"/>
      <c r="ABV45" s="54"/>
      <c r="ACF45" s="54"/>
      <c r="ACP45" s="54"/>
      <c r="ACZ45" s="54"/>
      <c r="ADJ45" s="54"/>
      <c r="ADT45" s="54"/>
      <c r="AED45" s="54"/>
      <c r="AEN45" s="54"/>
      <c r="AEX45" s="54"/>
      <c r="AFH45" s="54"/>
      <c r="AFR45" s="54"/>
      <c r="AGB45" s="54"/>
      <c r="AGL45" s="54"/>
      <c r="AGV45" s="54"/>
      <c r="AHF45" s="54"/>
      <c r="AHP45" s="54"/>
      <c r="AHZ45" s="54"/>
      <c r="AIJ45" s="54"/>
      <c r="AIT45" s="54"/>
      <c r="AJD45" s="54"/>
      <c r="AJN45" s="54"/>
      <c r="AJX45" s="54"/>
      <c r="AKH45" s="54"/>
      <c r="AKR45" s="54"/>
      <c r="ALB45" s="54"/>
      <c r="ALL45" s="54"/>
      <c r="ALV45" s="54"/>
      <c r="AMF45" s="54"/>
      <c r="AMP45" s="54"/>
      <c r="AMZ45" s="54"/>
      <c r="ANJ45" s="54"/>
      <c r="ANT45" s="54"/>
      <c r="AOD45" s="54"/>
      <c r="AON45" s="54"/>
      <c r="AOX45" s="54"/>
      <c r="APH45" s="54"/>
      <c r="APR45" s="54"/>
      <c r="AQB45" s="54"/>
      <c r="AQL45" s="54"/>
      <c r="AQV45" s="54"/>
      <c r="ARF45" s="54"/>
      <c r="ARP45" s="54"/>
      <c r="ARZ45" s="54"/>
      <c r="ASJ45" s="54"/>
      <c r="AST45" s="54"/>
      <c r="ATD45" s="54"/>
      <c r="ATN45" s="54"/>
      <c r="ATX45" s="54"/>
      <c r="AUH45" s="54"/>
      <c r="AUR45" s="54"/>
      <c r="AVB45" s="54"/>
      <c r="AVL45" s="54"/>
      <c r="AVV45" s="54"/>
      <c r="AWF45" s="54"/>
      <c r="AWP45" s="54"/>
      <c r="AWZ45" s="54"/>
      <c r="AXJ45" s="54"/>
      <c r="AXT45" s="54"/>
      <c r="AYD45" s="54"/>
      <c r="AYN45" s="54"/>
      <c r="AYX45" s="54"/>
      <c r="AZH45" s="54"/>
      <c r="AZR45" s="54"/>
      <c r="BAB45" s="54"/>
      <c r="BAL45" s="54"/>
      <c r="BAV45" s="54"/>
      <c r="BBF45" s="54"/>
      <c r="BBP45" s="54"/>
      <c r="BBZ45" s="54"/>
      <c r="BCJ45" s="54"/>
      <c r="BCT45" s="54"/>
      <c r="BDD45" s="54"/>
      <c r="BDN45" s="54"/>
      <c r="BDX45" s="54"/>
      <c r="BEH45" s="54"/>
      <c r="BER45" s="54"/>
      <c r="BFB45" s="54"/>
      <c r="BFL45" s="54"/>
      <c r="BFV45" s="54"/>
      <c r="BGF45" s="54"/>
      <c r="BGP45" s="54"/>
      <c r="BGZ45" s="54"/>
      <c r="BHJ45" s="54"/>
      <c r="BHT45" s="54"/>
      <c r="BID45" s="54"/>
      <c r="BIN45" s="54"/>
      <c r="BIX45" s="54"/>
      <c r="BJH45" s="54"/>
      <c r="BJR45" s="54"/>
      <c r="BKB45" s="54"/>
      <c r="BKL45" s="54"/>
      <c r="BKV45" s="54"/>
      <c r="BLF45" s="54"/>
      <c r="BLP45" s="54"/>
      <c r="BLZ45" s="54"/>
      <c r="BMJ45" s="54"/>
      <c r="BMT45" s="54"/>
      <c r="BND45" s="54"/>
      <c r="BNN45" s="54"/>
      <c r="BNX45" s="54"/>
      <c r="BOH45" s="54"/>
      <c r="BOR45" s="54"/>
      <c r="BPB45" s="54"/>
      <c r="BPL45" s="54"/>
      <c r="BPV45" s="54"/>
      <c r="BQF45" s="54"/>
      <c r="BQP45" s="54"/>
      <c r="BQZ45" s="54"/>
      <c r="BRJ45" s="54"/>
      <c r="BRT45" s="54"/>
      <c r="BSD45" s="54"/>
      <c r="BSN45" s="54"/>
      <c r="BSX45" s="54"/>
      <c r="BTH45" s="54"/>
      <c r="BTR45" s="54"/>
      <c r="BUB45" s="54"/>
      <c r="BUL45" s="54"/>
      <c r="BUV45" s="54"/>
      <c r="BVF45" s="54"/>
      <c r="BVP45" s="54"/>
      <c r="BVZ45" s="54"/>
      <c r="BWJ45" s="54"/>
      <c r="BWT45" s="54"/>
      <c r="BXD45" s="54"/>
      <c r="BXN45" s="54"/>
      <c r="BXX45" s="54"/>
      <c r="BYH45" s="54"/>
      <c r="BYR45" s="54"/>
      <c r="BZB45" s="54"/>
      <c r="BZL45" s="54"/>
      <c r="BZV45" s="54"/>
      <c r="CAF45" s="54"/>
      <c r="CAP45" s="54"/>
      <c r="CAZ45" s="54"/>
      <c r="CBJ45" s="54"/>
      <c r="CBT45" s="54"/>
      <c r="CCD45" s="54"/>
      <c r="CCN45" s="54"/>
      <c r="CCX45" s="54"/>
      <c r="CDH45" s="54"/>
      <c r="CDR45" s="54"/>
      <c r="CEB45" s="54"/>
      <c r="CEL45" s="54"/>
      <c r="CEV45" s="54"/>
      <c r="CFF45" s="54"/>
      <c r="CFP45" s="54"/>
      <c r="CFZ45" s="54"/>
      <c r="CGJ45" s="54"/>
      <c r="CGT45" s="54"/>
      <c r="CHD45" s="54"/>
      <c r="CHN45" s="54"/>
      <c r="CHX45" s="54"/>
      <c r="CIH45" s="54"/>
      <c r="CIR45" s="54"/>
      <c r="CJB45" s="54"/>
      <c r="CJL45" s="54"/>
      <c r="CJV45" s="54"/>
      <c r="CKF45" s="54"/>
      <c r="CKP45" s="54"/>
      <c r="CKZ45" s="54"/>
      <c r="CLJ45" s="54"/>
      <c r="CLT45" s="54"/>
      <c r="CMD45" s="54"/>
      <c r="CMN45" s="54"/>
      <c r="CMX45" s="54"/>
      <c r="CNH45" s="54"/>
      <c r="CNR45" s="54"/>
      <c r="COB45" s="54"/>
      <c r="COL45" s="54"/>
      <c r="COV45" s="54"/>
      <c r="CPF45" s="54"/>
      <c r="CPP45" s="54"/>
      <c r="CPZ45" s="54"/>
      <c r="CQJ45" s="54"/>
      <c r="CQT45" s="54"/>
      <c r="CRD45" s="54"/>
      <c r="CRN45" s="54"/>
      <c r="CRX45" s="54"/>
      <c r="CSH45" s="54"/>
      <c r="CSR45" s="54"/>
      <c r="CTB45" s="54"/>
      <c r="CTL45" s="54"/>
      <c r="CTV45" s="54"/>
    </row>
    <row r="46" s="39" customFormat="1" customHeight="1" spans="1:1020 1030:2040 2050:2570">
      <c r="A46" s="48"/>
      <c r="B46" s="9"/>
      <c r="C46" s="10"/>
      <c r="D46" s="49"/>
      <c r="E46" s="15"/>
      <c r="F46" s="50"/>
      <c r="G46" s="49"/>
      <c r="H46" s="51"/>
      <c r="I46" s="51"/>
      <c r="J46" s="49"/>
      <c r="K46" s="52"/>
      <c r="T46" s="54"/>
      <c r="AD46" s="54"/>
      <c r="AN46" s="54"/>
      <c r="AX46" s="54"/>
      <c r="BH46" s="54"/>
      <c r="BR46" s="54"/>
      <c r="CB46" s="54"/>
      <c r="CL46" s="54"/>
      <c r="CV46" s="54"/>
      <c r="DF46" s="54"/>
      <c r="DP46" s="54"/>
      <c r="DZ46" s="54"/>
      <c r="EJ46" s="54"/>
      <c r="ET46" s="54"/>
      <c r="FD46" s="54"/>
      <c r="FN46" s="54"/>
      <c r="FX46" s="54"/>
      <c r="GH46" s="54"/>
      <c r="GR46" s="54"/>
      <c r="HB46" s="54"/>
      <c r="HL46" s="54"/>
      <c r="HV46" s="54"/>
      <c r="IF46" s="54"/>
      <c r="IP46" s="54"/>
      <c r="IZ46" s="54"/>
      <c r="JJ46" s="54"/>
      <c r="JT46" s="54"/>
      <c r="KD46" s="54"/>
      <c r="KN46" s="54"/>
      <c r="KX46" s="54"/>
      <c r="LH46" s="54"/>
      <c r="LR46" s="54"/>
      <c r="MB46" s="54"/>
      <c r="ML46" s="54"/>
      <c r="MV46" s="54"/>
      <c r="NF46" s="54"/>
      <c r="NP46" s="54"/>
      <c r="NZ46" s="54"/>
      <c r="OJ46" s="54"/>
      <c r="OT46" s="54"/>
      <c r="PD46" s="54"/>
      <c r="PN46" s="54"/>
      <c r="PX46" s="54"/>
      <c r="QH46" s="54"/>
      <c r="QR46" s="54"/>
      <c r="RB46" s="54"/>
      <c r="RL46" s="54"/>
      <c r="RV46" s="54"/>
      <c r="SF46" s="54"/>
      <c r="SP46" s="54"/>
      <c r="SZ46" s="54"/>
      <c r="TJ46" s="54"/>
      <c r="TT46" s="54"/>
      <c r="UD46" s="54"/>
      <c r="UN46" s="54"/>
      <c r="UX46" s="54"/>
      <c r="VH46" s="54"/>
      <c r="VR46" s="54"/>
      <c r="WB46" s="54"/>
      <c r="WL46" s="54"/>
      <c r="WV46" s="54"/>
      <c r="XF46" s="54"/>
      <c r="XP46" s="54"/>
      <c r="XZ46" s="54"/>
      <c r="YJ46" s="54"/>
      <c r="YT46" s="54"/>
      <c r="ZD46" s="54"/>
      <c r="ZN46" s="54"/>
      <c r="ZX46" s="54"/>
      <c r="AAH46" s="54"/>
      <c r="AAR46" s="54"/>
      <c r="ABB46" s="54"/>
      <c r="ABL46" s="54"/>
      <c r="ABV46" s="54"/>
      <c r="ACF46" s="54"/>
      <c r="ACP46" s="54"/>
      <c r="ACZ46" s="54"/>
      <c r="ADJ46" s="54"/>
      <c r="ADT46" s="54"/>
      <c r="AED46" s="54"/>
      <c r="AEN46" s="54"/>
      <c r="AEX46" s="54"/>
      <c r="AFH46" s="54"/>
      <c r="AFR46" s="54"/>
      <c r="AGB46" s="54"/>
      <c r="AGL46" s="54"/>
      <c r="AGV46" s="54"/>
      <c r="AHF46" s="54"/>
      <c r="AHP46" s="54"/>
      <c r="AHZ46" s="54"/>
      <c r="AIJ46" s="54"/>
      <c r="AIT46" s="54"/>
      <c r="AJD46" s="54"/>
      <c r="AJN46" s="54"/>
      <c r="AJX46" s="54"/>
      <c r="AKH46" s="54"/>
      <c r="AKR46" s="54"/>
      <c r="ALB46" s="54"/>
      <c r="ALL46" s="54"/>
      <c r="ALV46" s="54"/>
      <c r="AMF46" s="54"/>
      <c r="AMP46" s="54"/>
      <c r="AMZ46" s="54"/>
      <c r="ANJ46" s="54"/>
      <c r="ANT46" s="54"/>
      <c r="AOD46" s="54"/>
      <c r="AON46" s="54"/>
      <c r="AOX46" s="54"/>
      <c r="APH46" s="54"/>
      <c r="APR46" s="54"/>
      <c r="AQB46" s="54"/>
      <c r="AQL46" s="54"/>
      <c r="AQV46" s="54"/>
      <c r="ARF46" s="54"/>
      <c r="ARP46" s="54"/>
      <c r="ARZ46" s="54"/>
      <c r="ASJ46" s="54"/>
      <c r="AST46" s="54"/>
      <c r="ATD46" s="54"/>
      <c r="ATN46" s="54"/>
      <c r="ATX46" s="54"/>
      <c r="AUH46" s="54"/>
      <c r="AUR46" s="54"/>
      <c r="AVB46" s="54"/>
      <c r="AVL46" s="54"/>
      <c r="AVV46" s="54"/>
      <c r="AWF46" s="54"/>
      <c r="AWP46" s="54"/>
      <c r="AWZ46" s="54"/>
      <c r="AXJ46" s="54"/>
      <c r="AXT46" s="54"/>
      <c r="AYD46" s="54"/>
      <c r="AYN46" s="54"/>
      <c r="AYX46" s="54"/>
      <c r="AZH46" s="54"/>
      <c r="AZR46" s="54"/>
      <c r="BAB46" s="54"/>
      <c r="BAL46" s="54"/>
      <c r="BAV46" s="54"/>
      <c r="BBF46" s="54"/>
      <c r="BBP46" s="54"/>
      <c r="BBZ46" s="54"/>
      <c r="BCJ46" s="54"/>
      <c r="BCT46" s="54"/>
      <c r="BDD46" s="54"/>
      <c r="BDN46" s="54"/>
      <c r="BDX46" s="54"/>
      <c r="BEH46" s="54"/>
      <c r="BER46" s="54"/>
      <c r="BFB46" s="54"/>
      <c r="BFL46" s="54"/>
      <c r="BFV46" s="54"/>
      <c r="BGF46" s="54"/>
      <c r="BGP46" s="54"/>
      <c r="BGZ46" s="54"/>
      <c r="BHJ46" s="54"/>
      <c r="BHT46" s="54"/>
      <c r="BID46" s="54"/>
      <c r="BIN46" s="54"/>
      <c r="BIX46" s="54"/>
      <c r="BJH46" s="54"/>
      <c r="BJR46" s="54"/>
      <c r="BKB46" s="54"/>
      <c r="BKL46" s="54"/>
      <c r="BKV46" s="54"/>
      <c r="BLF46" s="54"/>
      <c r="BLP46" s="54"/>
      <c r="BLZ46" s="54"/>
      <c r="BMJ46" s="54"/>
      <c r="BMT46" s="54"/>
      <c r="BND46" s="54"/>
      <c r="BNN46" s="54"/>
      <c r="BNX46" s="54"/>
      <c r="BOH46" s="54"/>
      <c r="BOR46" s="54"/>
      <c r="BPB46" s="54"/>
      <c r="BPL46" s="54"/>
      <c r="BPV46" s="54"/>
      <c r="BQF46" s="54"/>
      <c r="BQP46" s="54"/>
      <c r="BQZ46" s="54"/>
      <c r="BRJ46" s="54"/>
      <c r="BRT46" s="54"/>
      <c r="BSD46" s="54"/>
      <c r="BSN46" s="54"/>
      <c r="BSX46" s="54"/>
      <c r="BTH46" s="54"/>
      <c r="BTR46" s="54"/>
      <c r="BUB46" s="54"/>
      <c r="BUL46" s="54"/>
      <c r="BUV46" s="54"/>
      <c r="BVF46" s="54"/>
      <c r="BVP46" s="54"/>
      <c r="BVZ46" s="54"/>
      <c r="BWJ46" s="54"/>
      <c r="BWT46" s="54"/>
      <c r="BXD46" s="54"/>
      <c r="BXN46" s="54"/>
      <c r="BXX46" s="54"/>
      <c r="BYH46" s="54"/>
      <c r="BYR46" s="54"/>
      <c r="BZB46" s="54"/>
      <c r="BZL46" s="54"/>
      <c r="BZV46" s="54"/>
      <c r="CAF46" s="54"/>
      <c r="CAP46" s="54"/>
      <c r="CAZ46" s="54"/>
      <c r="CBJ46" s="54"/>
      <c r="CBT46" s="54"/>
      <c r="CCD46" s="54"/>
      <c r="CCN46" s="54"/>
      <c r="CCX46" s="54"/>
      <c r="CDH46" s="54"/>
      <c r="CDR46" s="54"/>
      <c r="CEB46" s="54"/>
      <c r="CEL46" s="54"/>
      <c r="CEV46" s="54"/>
      <c r="CFF46" s="54"/>
      <c r="CFP46" s="54"/>
      <c r="CFZ46" s="54"/>
      <c r="CGJ46" s="54"/>
      <c r="CGT46" s="54"/>
      <c r="CHD46" s="54"/>
      <c r="CHN46" s="54"/>
      <c r="CHX46" s="54"/>
      <c r="CIH46" s="54"/>
      <c r="CIR46" s="54"/>
      <c r="CJB46" s="54"/>
      <c r="CJL46" s="54"/>
      <c r="CJV46" s="54"/>
      <c r="CKF46" s="54"/>
      <c r="CKP46" s="54"/>
      <c r="CKZ46" s="54"/>
      <c r="CLJ46" s="54"/>
      <c r="CLT46" s="54"/>
      <c r="CMD46" s="54"/>
      <c r="CMN46" s="54"/>
      <c r="CMX46" s="54"/>
      <c r="CNH46" s="54"/>
      <c r="CNR46" s="54"/>
      <c r="COB46" s="54"/>
      <c r="COL46" s="54"/>
      <c r="COV46" s="54"/>
      <c r="CPF46" s="54"/>
      <c r="CPP46" s="54"/>
      <c r="CPZ46" s="54"/>
      <c r="CQJ46" s="54"/>
      <c r="CQT46" s="54"/>
      <c r="CRD46" s="54"/>
      <c r="CRN46" s="54"/>
      <c r="CRX46" s="54"/>
      <c r="CSH46" s="54"/>
      <c r="CSR46" s="54"/>
      <c r="CTB46" s="54"/>
      <c r="CTL46" s="54"/>
      <c r="CTV46" s="54"/>
    </row>
    <row r="47" s="39" customFormat="1" customHeight="1" spans="1:1020 1030:2040 2050:2570">
      <c r="A47" s="48"/>
      <c r="B47" s="9"/>
      <c r="C47" s="10"/>
      <c r="D47" s="49"/>
      <c r="E47" s="15"/>
      <c r="F47" s="50"/>
      <c r="G47" s="49"/>
      <c r="H47" s="51"/>
      <c r="I47" s="51"/>
      <c r="J47" s="49"/>
      <c r="K47" s="52"/>
      <c r="T47" s="54"/>
      <c r="AD47" s="54"/>
      <c r="AN47" s="54"/>
      <c r="AX47" s="54"/>
      <c r="BH47" s="54"/>
      <c r="BR47" s="54"/>
      <c r="CB47" s="54"/>
      <c r="CL47" s="54"/>
      <c r="CV47" s="54"/>
      <c r="DF47" s="54"/>
      <c r="DP47" s="54"/>
      <c r="DZ47" s="54"/>
      <c r="EJ47" s="54"/>
      <c r="ET47" s="54"/>
      <c r="FD47" s="54"/>
      <c r="FN47" s="54"/>
      <c r="FX47" s="54"/>
      <c r="GH47" s="54"/>
      <c r="GR47" s="54"/>
      <c r="HB47" s="54"/>
      <c r="HL47" s="54"/>
      <c r="HV47" s="54"/>
      <c r="IF47" s="54"/>
      <c r="IP47" s="54"/>
      <c r="IZ47" s="54"/>
      <c r="JJ47" s="54"/>
      <c r="JT47" s="54"/>
      <c r="KD47" s="54"/>
      <c r="KN47" s="54"/>
      <c r="KX47" s="54"/>
      <c r="LH47" s="54"/>
      <c r="LR47" s="54"/>
      <c r="MB47" s="54"/>
      <c r="ML47" s="54"/>
      <c r="MV47" s="54"/>
      <c r="NF47" s="54"/>
      <c r="NP47" s="54"/>
      <c r="NZ47" s="54"/>
      <c r="OJ47" s="54"/>
      <c r="OT47" s="54"/>
      <c r="PD47" s="54"/>
      <c r="PN47" s="54"/>
      <c r="PX47" s="54"/>
      <c r="QH47" s="54"/>
      <c r="QR47" s="54"/>
      <c r="RB47" s="54"/>
      <c r="RL47" s="54"/>
      <c r="RV47" s="54"/>
      <c r="SF47" s="54"/>
      <c r="SP47" s="54"/>
      <c r="SZ47" s="54"/>
      <c r="TJ47" s="54"/>
      <c r="TT47" s="54"/>
      <c r="UD47" s="54"/>
      <c r="UN47" s="54"/>
      <c r="UX47" s="54"/>
      <c r="VH47" s="54"/>
      <c r="VR47" s="54"/>
      <c r="WB47" s="54"/>
      <c r="WL47" s="54"/>
      <c r="WV47" s="54"/>
      <c r="XF47" s="54"/>
      <c r="XP47" s="54"/>
      <c r="XZ47" s="54"/>
      <c r="YJ47" s="54"/>
      <c r="YT47" s="54"/>
      <c r="ZD47" s="54"/>
      <c r="ZN47" s="54"/>
      <c r="ZX47" s="54"/>
      <c r="AAH47" s="54"/>
      <c r="AAR47" s="54"/>
      <c r="ABB47" s="54"/>
      <c r="ABL47" s="54"/>
      <c r="ABV47" s="54"/>
      <c r="ACF47" s="54"/>
      <c r="ACP47" s="54"/>
      <c r="ACZ47" s="54"/>
      <c r="ADJ47" s="54"/>
      <c r="ADT47" s="54"/>
      <c r="AED47" s="54"/>
      <c r="AEN47" s="54"/>
      <c r="AEX47" s="54"/>
      <c r="AFH47" s="54"/>
      <c r="AFR47" s="54"/>
      <c r="AGB47" s="54"/>
      <c r="AGL47" s="54"/>
      <c r="AGV47" s="54"/>
      <c r="AHF47" s="54"/>
      <c r="AHP47" s="54"/>
      <c r="AHZ47" s="54"/>
      <c r="AIJ47" s="54"/>
      <c r="AIT47" s="54"/>
      <c r="AJD47" s="54"/>
      <c r="AJN47" s="54"/>
      <c r="AJX47" s="54"/>
      <c r="AKH47" s="54"/>
      <c r="AKR47" s="54"/>
      <c r="ALB47" s="54"/>
      <c r="ALL47" s="54"/>
      <c r="ALV47" s="54"/>
      <c r="AMF47" s="54"/>
      <c r="AMP47" s="54"/>
      <c r="AMZ47" s="54"/>
      <c r="ANJ47" s="54"/>
      <c r="ANT47" s="54"/>
      <c r="AOD47" s="54"/>
      <c r="AON47" s="54"/>
      <c r="AOX47" s="54"/>
      <c r="APH47" s="54"/>
      <c r="APR47" s="54"/>
      <c r="AQB47" s="54"/>
      <c r="AQL47" s="54"/>
      <c r="AQV47" s="54"/>
      <c r="ARF47" s="54"/>
      <c r="ARP47" s="54"/>
      <c r="ARZ47" s="54"/>
      <c r="ASJ47" s="54"/>
      <c r="AST47" s="54"/>
      <c r="ATD47" s="54"/>
      <c r="ATN47" s="54"/>
      <c r="ATX47" s="54"/>
      <c r="AUH47" s="54"/>
      <c r="AUR47" s="54"/>
      <c r="AVB47" s="54"/>
      <c r="AVL47" s="54"/>
      <c r="AVV47" s="54"/>
      <c r="AWF47" s="54"/>
      <c r="AWP47" s="54"/>
      <c r="AWZ47" s="54"/>
      <c r="AXJ47" s="54"/>
      <c r="AXT47" s="54"/>
      <c r="AYD47" s="54"/>
      <c r="AYN47" s="54"/>
      <c r="AYX47" s="54"/>
      <c r="AZH47" s="54"/>
      <c r="AZR47" s="54"/>
      <c r="BAB47" s="54"/>
      <c r="BAL47" s="54"/>
      <c r="BAV47" s="54"/>
      <c r="BBF47" s="54"/>
      <c r="BBP47" s="54"/>
      <c r="BBZ47" s="54"/>
      <c r="BCJ47" s="54"/>
      <c r="BCT47" s="54"/>
      <c r="BDD47" s="54"/>
      <c r="BDN47" s="54"/>
      <c r="BDX47" s="54"/>
      <c r="BEH47" s="54"/>
      <c r="BER47" s="54"/>
      <c r="BFB47" s="54"/>
      <c r="BFL47" s="54"/>
      <c r="BFV47" s="54"/>
      <c r="BGF47" s="54"/>
      <c r="BGP47" s="54"/>
      <c r="BGZ47" s="54"/>
      <c r="BHJ47" s="54"/>
      <c r="BHT47" s="54"/>
      <c r="BID47" s="54"/>
      <c r="BIN47" s="54"/>
      <c r="BIX47" s="54"/>
      <c r="BJH47" s="54"/>
      <c r="BJR47" s="54"/>
      <c r="BKB47" s="54"/>
      <c r="BKL47" s="54"/>
      <c r="BKV47" s="54"/>
      <c r="BLF47" s="54"/>
      <c r="BLP47" s="54"/>
      <c r="BLZ47" s="54"/>
      <c r="BMJ47" s="54"/>
      <c r="BMT47" s="54"/>
      <c r="BND47" s="54"/>
      <c r="BNN47" s="54"/>
      <c r="BNX47" s="54"/>
      <c r="BOH47" s="54"/>
      <c r="BOR47" s="54"/>
      <c r="BPB47" s="54"/>
      <c r="BPL47" s="54"/>
      <c r="BPV47" s="54"/>
      <c r="BQF47" s="54"/>
      <c r="BQP47" s="54"/>
      <c r="BQZ47" s="54"/>
      <c r="BRJ47" s="54"/>
      <c r="BRT47" s="54"/>
      <c r="BSD47" s="54"/>
      <c r="BSN47" s="54"/>
      <c r="BSX47" s="54"/>
      <c r="BTH47" s="54"/>
      <c r="BTR47" s="54"/>
      <c r="BUB47" s="54"/>
      <c r="BUL47" s="54"/>
      <c r="BUV47" s="54"/>
      <c r="BVF47" s="54"/>
      <c r="BVP47" s="54"/>
      <c r="BVZ47" s="54"/>
      <c r="BWJ47" s="54"/>
      <c r="BWT47" s="54"/>
      <c r="BXD47" s="54"/>
      <c r="BXN47" s="54"/>
      <c r="BXX47" s="54"/>
      <c r="BYH47" s="54"/>
      <c r="BYR47" s="54"/>
      <c r="BZB47" s="54"/>
      <c r="BZL47" s="54"/>
      <c r="BZV47" s="54"/>
      <c r="CAF47" s="54"/>
      <c r="CAP47" s="54"/>
      <c r="CAZ47" s="54"/>
      <c r="CBJ47" s="54"/>
      <c r="CBT47" s="54"/>
      <c r="CCD47" s="54"/>
      <c r="CCN47" s="54"/>
      <c r="CCX47" s="54"/>
      <c r="CDH47" s="54"/>
      <c r="CDR47" s="54"/>
      <c r="CEB47" s="54"/>
      <c r="CEL47" s="54"/>
      <c r="CEV47" s="54"/>
      <c r="CFF47" s="54"/>
      <c r="CFP47" s="54"/>
      <c r="CFZ47" s="54"/>
      <c r="CGJ47" s="54"/>
      <c r="CGT47" s="54"/>
      <c r="CHD47" s="54"/>
      <c r="CHN47" s="54"/>
      <c r="CHX47" s="54"/>
      <c r="CIH47" s="54"/>
      <c r="CIR47" s="54"/>
      <c r="CJB47" s="54"/>
      <c r="CJL47" s="54"/>
      <c r="CJV47" s="54"/>
      <c r="CKF47" s="54"/>
      <c r="CKP47" s="54"/>
      <c r="CKZ47" s="54"/>
      <c r="CLJ47" s="54"/>
      <c r="CLT47" s="54"/>
      <c r="CMD47" s="54"/>
      <c r="CMN47" s="54"/>
      <c r="CMX47" s="54"/>
      <c r="CNH47" s="54"/>
      <c r="CNR47" s="54"/>
      <c r="COB47" s="54"/>
      <c r="COL47" s="54"/>
      <c r="COV47" s="54"/>
      <c r="CPF47" s="54"/>
      <c r="CPP47" s="54"/>
      <c r="CPZ47" s="54"/>
      <c r="CQJ47" s="54"/>
      <c r="CQT47" s="54"/>
      <c r="CRD47" s="54"/>
      <c r="CRN47" s="54"/>
      <c r="CRX47" s="54"/>
      <c r="CSH47" s="54"/>
      <c r="CSR47" s="54"/>
      <c r="CTB47" s="54"/>
      <c r="CTL47" s="54"/>
      <c r="CTV47" s="54"/>
    </row>
    <row r="48" customHeight="1" spans="1:1020 1030:2040 2050:2570">
      <c r="A48" s="48"/>
      <c r="B48" s="9"/>
      <c r="C48" s="10"/>
      <c r="D48" s="49"/>
      <c r="E48" s="49"/>
      <c r="F48" s="50"/>
      <c r="G48" s="49"/>
      <c r="H48" s="51"/>
      <c r="I48" s="51"/>
      <c r="J48" s="49"/>
      <c r="K48" s="52"/>
    </row>
    <row r="49" customHeight="1" spans="1:11">
      <c r="A49" s="48"/>
      <c r="B49" s="9"/>
      <c r="C49" s="10"/>
      <c r="D49" s="49"/>
      <c r="E49" s="49"/>
      <c r="F49" s="50"/>
      <c r="G49" s="49"/>
      <c r="H49" s="51"/>
      <c r="I49" s="51"/>
      <c r="J49" s="49"/>
      <c r="K49" s="52"/>
    </row>
    <row r="50" customHeight="1" spans="1:11">
      <c r="A50" s="48"/>
      <c r="B50" s="9"/>
      <c r="C50" s="10"/>
      <c r="D50" s="49"/>
      <c r="E50" s="15"/>
      <c r="F50" s="50"/>
      <c r="G50" s="49"/>
      <c r="H50" s="51"/>
      <c r="I50" s="51"/>
      <c r="J50" s="49"/>
      <c r="K50" s="52"/>
    </row>
    <row r="51" customHeight="1" spans="1:11">
      <c r="A51" s="48"/>
      <c r="B51" s="9"/>
      <c r="C51" s="10"/>
      <c r="D51" s="49"/>
      <c r="E51" s="49"/>
      <c r="F51" s="50"/>
      <c r="G51" s="49"/>
      <c r="H51" s="51"/>
      <c r="I51" s="51"/>
      <c r="J51" s="49"/>
      <c r="K51" s="52"/>
    </row>
    <row r="52" customHeight="1" spans="1:11">
      <c r="A52" s="48"/>
      <c r="B52" s="9"/>
      <c r="C52" s="10"/>
      <c r="D52" s="49"/>
      <c r="E52" s="49"/>
      <c r="F52" s="50"/>
      <c r="G52" s="49"/>
      <c r="H52" s="51"/>
      <c r="I52" s="51"/>
      <c r="J52" s="49"/>
      <c r="K52" s="52"/>
    </row>
    <row r="53" customHeight="1" spans="1:11">
      <c r="A53" s="48"/>
      <c r="B53" s="9"/>
      <c r="C53" s="10"/>
      <c r="D53" s="49"/>
      <c r="E53" s="49"/>
      <c r="F53" s="50"/>
      <c r="G53" s="49"/>
      <c r="H53" s="51"/>
      <c r="I53" s="51"/>
      <c r="J53" s="49"/>
      <c r="K53" s="52"/>
    </row>
    <row r="54" customHeight="1" spans="1:11">
      <c r="A54" s="48"/>
      <c r="B54" s="9"/>
      <c r="C54" s="10"/>
      <c r="D54" s="49"/>
      <c r="E54" s="49"/>
      <c r="F54" s="50"/>
      <c r="G54" s="49"/>
      <c r="H54" s="51"/>
      <c r="I54" s="51"/>
      <c r="J54" s="49"/>
      <c r="K54" s="52"/>
    </row>
    <row r="55" customHeight="1" spans="1:11">
      <c r="A55" s="48"/>
      <c r="B55" s="9"/>
      <c r="C55" s="10"/>
      <c r="D55" s="49"/>
      <c r="E55" s="49"/>
      <c r="F55" s="50"/>
      <c r="G55" s="49"/>
      <c r="H55" s="51"/>
      <c r="I55" s="51"/>
      <c r="J55" s="49"/>
      <c r="K55" s="52"/>
    </row>
    <row r="56" customHeight="1" spans="1:11">
      <c r="A56" s="48"/>
      <c r="B56" s="9"/>
      <c r="C56" s="10"/>
      <c r="D56" s="49"/>
      <c r="E56" s="49"/>
      <c r="F56" s="50"/>
      <c r="G56" s="49"/>
      <c r="H56" s="51"/>
      <c r="I56" s="51"/>
      <c r="J56" s="49"/>
      <c r="K56" s="52"/>
    </row>
    <row r="57" customHeight="1" spans="1:11">
      <c r="A57" s="48"/>
      <c r="B57" s="9"/>
      <c r="C57" s="10"/>
      <c r="D57" s="49"/>
      <c r="E57" s="49"/>
      <c r="F57" s="50"/>
      <c r="G57" s="49"/>
      <c r="H57" s="51"/>
      <c r="I57" s="51"/>
      <c r="J57" s="49"/>
      <c r="K57" s="52"/>
    </row>
    <row r="58" customHeight="1" spans="1:11">
      <c r="A58" s="48"/>
      <c r="B58" s="9"/>
      <c r="C58" s="10"/>
      <c r="D58" s="49"/>
      <c r="E58" s="49"/>
      <c r="F58" s="50"/>
      <c r="G58" s="49"/>
      <c r="H58" s="51"/>
      <c r="I58" s="51"/>
      <c r="J58" s="49"/>
      <c r="K58" s="52"/>
    </row>
    <row r="59" customHeight="1" spans="1:11">
      <c r="A59" s="48"/>
      <c r="B59" s="9"/>
      <c r="C59" s="10"/>
      <c r="D59" s="49"/>
      <c r="E59" s="49"/>
      <c r="F59" s="50"/>
      <c r="G59" s="49"/>
      <c r="H59" s="51"/>
      <c r="I59" s="51"/>
      <c r="J59" s="49"/>
      <c r="K59" s="52"/>
    </row>
    <row r="60" customHeight="1" spans="1:11">
      <c r="A60" s="48"/>
      <c r="B60" s="9"/>
      <c r="C60" s="10"/>
      <c r="D60" s="49"/>
      <c r="E60" s="49"/>
      <c r="F60" s="50"/>
      <c r="G60" s="49"/>
      <c r="H60" s="51"/>
      <c r="I60" s="51"/>
      <c r="J60" s="49"/>
      <c r="K60" s="52"/>
    </row>
    <row r="61" customHeight="1" spans="1:11">
      <c r="A61" s="48"/>
      <c r="B61" s="9"/>
      <c r="C61" s="10"/>
      <c r="D61" s="49"/>
      <c r="E61" s="49"/>
      <c r="F61" s="50"/>
      <c r="G61" s="49"/>
      <c r="H61" s="51"/>
      <c r="I61" s="51"/>
      <c r="J61" s="49"/>
      <c r="K61" s="52"/>
    </row>
    <row r="62" customHeight="1" spans="1:11">
      <c r="A62" s="48"/>
      <c r="B62" s="9"/>
      <c r="C62" s="10"/>
      <c r="D62" s="49"/>
      <c r="E62" s="49"/>
      <c r="F62" s="50"/>
      <c r="G62" s="49"/>
      <c r="H62" s="51"/>
      <c r="I62" s="51"/>
      <c r="J62" s="49"/>
      <c r="K62" s="52"/>
    </row>
    <row r="63" customHeight="1" spans="1:11">
      <c r="A63" s="48"/>
      <c r="B63" s="9"/>
      <c r="C63" s="10"/>
      <c r="D63" s="49"/>
      <c r="E63" s="49"/>
      <c r="F63" s="50"/>
      <c r="G63" s="49"/>
      <c r="H63" s="51"/>
      <c r="I63" s="51"/>
      <c r="J63" s="49"/>
      <c r="K63" s="52"/>
    </row>
    <row r="64" customHeight="1" spans="1:11">
      <c r="A64" s="48"/>
      <c r="B64" s="9"/>
      <c r="C64" s="10"/>
      <c r="D64" s="49"/>
      <c r="E64" s="49"/>
      <c r="F64" s="50"/>
      <c r="G64" s="49"/>
      <c r="H64" s="51"/>
      <c r="I64" s="51"/>
      <c r="J64" s="49"/>
      <c r="K64" s="52"/>
    </row>
    <row r="65" customHeight="1" spans="1:11">
      <c r="A65" s="48"/>
      <c r="B65" s="9"/>
      <c r="C65" s="10"/>
      <c r="D65" s="49"/>
      <c r="E65" s="49"/>
      <c r="F65" s="50"/>
      <c r="G65" s="49"/>
      <c r="H65" s="51"/>
      <c r="I65" s="51"/>
      <c r="J65" s="49"/>
      <c r="K65" s="52"/>
    </row>
    <row r="66" customHeight="1" spans="1:11">
      <c r="A66" s="48"/>
      <c r="B66" s="9"/>
      <c r="C66" s="10"/>
      <c r="D66" s="49"/>
      <c r="E66" s="49"/>
      <c r="F66" s="50"/>
      <c r="G66" s="49"/>
      <c r="H66" s="51"/>
      <c r="I66" s="51"/>
      <c r="J66" s="49"/>
      <c r="K66" s="52"/>
    </row>
    <row r="67" customHeight="1" spans="1:11">
      <c r="A67" s="48"/>
      <c r="B67" s="9"/>
      <c r="C67" s="10"/>
      <c r="D67" s="49"/>
      <c r="E67" s="49"/>
      <c r="F67" s="50"/>
      <c r="G67" s="55"/>
      <c r="H67" s="51"/>
      <c r="I67" s="51"/>
      <c r="J67" s="49"/>
      <c r="K67" s="52"/>
    </row>
    <row r="68" customHeight="1" spans="1:11">
      <c r="A68" s="48"/>
      <c r="B68" s="9"/>
      <c r="C68" s="10"/>
      <c r="D68" s="49"/>
      <c r="E68" s="49"/>
      <c r="F68" s="50"/>
      <c r="G68" s="55"/>
      <c r="H68" s="51"/>
      <c r="I68" s="51"/>
      <c r="J68" s="49"/>
      <c r="K68" s="52"/>
    </row>
    <row r="69" customHeight="1" spans="1:11">
      <c r="A69" s="48"/>
      <c r="B69" s="9"/>
      <c r="C69" s="10"/>
      <c r="D69" s="49"/>
      <c r="E69" s="49"/>
      <c r="F69" s="50"/>
      <c r="G69" s="55"/>
      <c r="H69" s="51"/>
      <c r="I69" s="51"/>
      <c r="J69" s="49"/>
      <c r="K69" s="52"/>
    </row>
    <row r="70" customHeight="1" spans="1:11">
      <c r="A70" s="48"/>
      <c r="B70" s="9"/>
      <c r="C70" s="10"/>
      <c r="D70" s="49"/>
      <c r="E70" s="49"/>
      <c r="F70" s="50"/>
      <c r="G70" s="55"/>
      <c r="H70" s="51"/>
      <c r="I70" s="51"/>
      <c r="J70" s="49"/>
      <c r="K70" s="52"/>
    </row>
    <row r="71" customHeight="1" spans="1:11">
      <c r="A71" s="48"/>
      <c r="B71" s="9"/>
      <c r="C71" s="10"/>
      <c r="D71" s="49"/>
      <c r="E71" s="49"/>
      <c r="F71" s="50"/>
      <c r="G71" s="55"/>
      <c r="H71" s="51"/>
      <c r="I71" s="51"/>
      <c r="J71" s="49"/>
      <c r="K71" s="52"/>
    </row>
    <row r="72" customHeight="1" spans="1:11">
      <c r="A72" s="48"/>
      <c r="B72" s="9"/>
      <c r="C72" s="10"/>
      <c r="D72" s="55"/>
      <c r="E72" s="49"/>
      <c r="F72" s="50"/>
      <c r="G72" s="55"/>
      <c r="H72" s="51"/>
      <c r="I72" s="51"/>
      <c r="J72" s="49"/>
      <c r="K72" s="52"/>
    </row>
    <row r="73" customHeight="1" spans="1:11">
      <c r="A73" s="48"/>
      <c r="B73" s="9"/>
      <c r="C73" s="10"/>
      <c r="D73" s="55"/>
      <c r="E73" s="49"/>
      <c r="F73" s="50"/>
      <c r="G73" s="55"/>
      <c r="H73" s="51"/>
      <c r="I73" s="51"/>
      <c r="J73" s="49"/>
      <c r="K73" s="52"/>
    </row>
    <row r="74" customHeight="1" spans="1:11">
      <c r="A74" s="48"/>
      <c r="B74" s="9"/>
      <c r="C74" s="10"/>
      <c r="D74" s="55"/>
      <c r="E74" s="49"/>
      <c r="F74" s="50"/>
      <c r="G74" s="55"/>
      <c r="H74" s="51"/>
      <c r="I74" s="51"/>
      <c r="J74" s="49"/>
      <c r="K74" s="52"/>
    </row>
    <row r="75" customHeight="1" spans="1:11">
      <c r="A75" s="48"/>
      <c r="B75" s="9"/>
      <c r="C75" s="10"/>
      <c r="D75" s="55"/>
      <c r="E75" s="49"/>
      <c r="F75" s="50"/>
      <c r="G75" s="55"/>
      <c r="H75" s="51"/>
      <c r="I75" s="51"/>
      <c r="J75" s="49"/>
      <c r="K75" s="52"/>
    </row>
    <row r="76" customHeight="1" spans="1:11">
      <c r="A76" s="48"/>
      <c r="B76" s="9"/>
      <c r="C76" s="10"/>
      <c r="D76" s="55"/>
      <c r="E76" s="49"/>
      <c r="F76" s="50"/>
      <c r="G76" s="55"/>
      <c r="H76" s="51"/>
      <c r="I76" s="51"/>
      <c r="J76" s="49"/>
      <c r="K76" s="52"/>
    </row>
    <row r="77" customHeight="1" spans="1:11">
      <c r="A77" s="48"/>
      <c r="B77" s="9"/>
      <c r="C77" s="10"/>
      <c r="D77" s="55"/>
      <c r="E77" s="49"/>
      <c r="F77" s="50"/>
      <c r="G77" s="55"/>
      <c r="H77" s="51"/>
      <c r="I77" s="51"/>
      <c r="J77" s="49"/>
      <c r="K77" s="52"/>
    </row>
    <row r="78" customHeight="1" spans="1:11">
      <c r="A78" s="48"/>
      <c r="B78" s="9"/>
      <c r="C78" s="10"/>
      <c r="D78" s="55"/>
      <c r="E78" s="49"/>
      <c r="F78" s="50"/>
      <c r="G78" s="55"/>
      <c r="H78" s="51"/>
      <c r="I78" s="51"/>
      <c r="J78" s="49"/>
      <c r="K78" s="52"/>
    </row>
    <row r="79" customHeight="1" spans="1:11">
      <c r="A79" s="48"/>
      <c r="B79" s="9"/>
      <c r="C79" s="10"/>
      <c r="D79" s="55"/>
      <c r="E79" s="49"/>
      <c r="F79" s="50"/>
      <c r="G79" s="55"/>
      <c r="H79" s="51"/>
      <c r="I79" s="51"/>
      <c r="J79" s="49"/>
      <c r="K79" s="52"/>
    </row>
    <row r="80" customHeight="1" spans="1:11">
      <c r="A80" s="48"/>
      <c r="B80" s="9"/>
      <c r="C80" s="10"/>
      <c r="D80" s="55"/>
      <c r="E80" s="49"/>
      <c r="F80" s="50"/>
      <c r="G80" s="55"/>
      <c r="H80" s="51"/>
      <c r="I80" s="51"/>
      <c r="J80" s="49"/>
      <c r="K80" s="52"/>
    </row>
    <row r="81" customHeight="1" spans="1:11">
      <c r="A81" s="48"/>
      <c r="B81" s="9"/>
      <c r="C81" s="10"/>
      <c r="D81" s="55"/>
      <c r="E81" s="49"/>
      <c r="F81" s="50"/>
      <c r="G81" s="55"/>
      <c r="H81" s="51"/>
      <c r="I81" s="51"/>
      <c r="J81" s="49"/>
      <c r="K81" s="52"/>
    </row>
    <row r="82" customHeight="1" spans="1:11">
      <c r="A82" s="48"/>
      <c r="B82" s="9"/>
      <c r="C82" s="10"/>
      <c r="D82" s="55"/>
      <c r="E82" s="49"/>
      <c r="F82" s="50"/>
      <c r="G82" s="55"/>
      <c r="H82" s="51"/>
      <c r="I82" s="51"/>
      <c r="J82" s="49"/>
      <c r="K82" s="52"/>
    </row>
    <row r="83" customHeight="1" spans="1:11">
      <c r="A83" s="48"/>
      <c r="B83" s="9"/>
      <c r="C83" s="10"/>
      <c r="D83" s="55"/>
      <c r="E83" s="49"/>
      <c r="F83" s="50"/>
      <c r="G83" s="55"/>
      <c r="H83" s="51"/>
      <c r="I83" s="51"/>
      <c r="J83" s="49"/>
      <c r="K83" s="52"/>
    </row>
    <row r="84" customHeight="1" spans="1:11">
      <c r="A84" s="48"/>
      <c r="B84" s="9"/>
      <c r="C84" s="10"/>
      <c r="D84" s="55"/>
      <c r="E84" s="49"/>
      <c r="F84" s="50"/>
      <c r="G84" s="55"/>
      <c r="H84" s="51"/>
      <c r="I84" s="51"/>
      <c r="J84" s="49"/>
      <c r="K84" s="52"/>
    </row>
    <row r="85" customHeight="1" spans="1:11">
      <c r="A85" s="48"/>
      <c r="B85" s="9"/>
      <c r="C85" s="10"/>
      <c r="D85" s="55"/>
      <c r="E85" s="49"/>
      <c r="F85" s="50"/>
      <c r="G85" s="55"/>
      <c r="H85" s="51"/>
      <c r="I85" s="51"/>
      <c r="J85" s="49"/>
      <c r="K85" s="52"/>
    </row>
    <row r="86" customHeight="1" spans="1:11">
      <c r="A86" s="48"/>
      <c r="B86" s="9"/>
      <c r="C86" s="10"/>
      <c r="D86" s="55"/>
      <c r="E86" s="49"/>
      <c r="F86" s="50"/>
      <c r="G86" s="55"/>
      <c r="H86" s="51"/>
      <c r="I86" s="51"/>
      <c r="J86" s="49"/>
      <c r="K86" s="52"/>
    </row>
    <row r="87" customHeight="1" spans="1:11">
      <c r="A87" s="48"/>
      <c r="B87" s="9"/>
      <c r="C87" s="10"/>
      <c r="D87" s="55"/>
      <c r="E87" s="49"/>
      <c r="F87" s="50"/>
      <c r="G87" s="55"/>
      <c r="H87" s="51"/>
      <c r="I87" s="51"/>
      <c r="J87" s="49"/>
      <c r="K87" s="52"/>
    </row>
    <row r="88" customHeight="1" spans="1:11">
      <c r="A88" s="48"/>
      <c r="B88" s="9"/>
      <c r="C88" s="10"/>
      <c r="D88" s="55"/>
      <c r="E88" s="49"/>
      <c r="F88" s="50"/>
      <c r="G88" s="55"/>
      <c r="H88" s="51"/>
      <c r="I88" s="51"/>
      <c r="J88" s="49"/>
      <c r="K88" s="52"/>
    </row>
    <row r="89" customHeight="1" spans="1:11">
      <c r="A89" s="48"/>
      <c r="B89" s="9"/>
      <c r="C89" s="10"/>
      <c r="D89" s="55"/>
      <c r="E89" s="49"/>
      <c r="F89" s="50"/>
      <c r="G89" s="55"/>
      <c r="H89" s="51"/>
      <c r="I89" s="51"/>
      <c r="J89" s="49"/>
      <c r="K89" s="52"/>
    </row>
    <row r="90" customHeight="1" spans="1:11">
      <c r="A90" s="48"/>
      <c r="B90" s="9"/>
      <c r="C90" s="10"/>
      <c r="D90" s="55"/>
      <c r="E90" s="49"/>
      <c r="F90" s="50"/>
      <c r="G90" s="55"/>
      <c r="H90" s="51"/>
      <c r="I90" s="51"/>
      <c r="J90" s="49"/>
      <c r="K90" s="52"/>
    </row>
    <row r="91" customHeight="1" spans="1:11">
      <c r="A91" s="48"/>
      <c r="B91" s="9"/>
      <c r="C91" s="10"/>
      <c r="D91" s="55"/>
      <c r="E91" s="49"/>
      <c r="F91" s="50"/>
      <c r="G91" s="55"/>
      <c r="H91" s="51"/>
      <c r="I91" s="51"/>
      <c r="J91" s="49"/>
      <c r="K91" s="52"/>
    </row>
    <row r="92" customHeight="1" spans="1:11">
      <c r="A92" s="48"/>
      <c r="B92" s="9"/>
      <c r="C92" s="10"/>
      <c r="D92" s="55"/>
      <c r="E92" s="49"/>
      <c r="F92" s="50"/>
      <c r="G92" s="55"/>
      <c r="H92" s="51"/>
      <c r="I92" s="51"/>
      <c r="J92" s="49"/>
      <c r="K92" s="52"/>
    </row>
    <row r="93" customHeight="1" spans="1:11">
      <c r="A93" s="48"/>
      <c r="B93" s="9"/>
      <c r="C93" s="10"/>
      <c r="D93" s="55"/>
      <c r="E93" s="49"/>
      <c r="F93" s="50"/>
      <c r="G93" s="55"/>
      <c r="H93" s="51"/>
      <c r="I93" s="51"/>
      <c r="J93" s="49"/>
      <c r="K93" s="52"/>
    </row>
    <row r="94" customHeight="1" spans="1:11">
      <c r="A94" s="48"/>
      <c r="B94" s="9"/>
      <c r="C94" s="10"/>
      <c r="D94" s="55"/>
      <c r="E94" s="49"/>
      <c r="F94" s="50" t="str">
        <f>IFERROR(VLOOKUP(E94,基础数据!$E$3:$F$23,2,0),"")</f>
        <v/>
      </c>
      <c r="G94" s="55"/>
      <c r="H94" s="51" t="str">
        <f>IFERROR(VLOOKUP(E94,日报!E:H,4,0),"")</f>
        <v/>
      </c>
      <c r="I94" s="51" t="str">
        <f>IFERROR(VLOOKUP(E94,基础数据!$E$3:$H$21,3,0),"")</f>
        <v/>
      </c>
      <c r="J94" s="49"/>
      <c r="K94" s="52" t="str">
        <f t="shared" ref="K94:K102" si="2">IFERROR(G94/I94,"")</f>
        <v/>
      </c>
    </row>
    <row r="95" customHeight="1" spans="1:11">
      <c r="A95" s="56"/>
      <c r="B95" s="57"/>
      <c r="C95" s="55"/>
      <c r="D95" s="55"/>
      <c r="E95" s="49"/>
      <c r="F95" s="50" t="str">
        <f>IFERROR(VLOOKUP(E95,基础数据!$E$3:$F$23,2,0),"")</f>
        <v/>
      </c>
      <c r="G95" s="55"/>
      <c r="H95" s="51" t="str">
        <f>IFERROR(VLOOKUP(E95,日报!E:H,4,0),"")</f>
        <v/>
      </c>
      <c r="I95" s="51" t="str">
        <f>IFERROR(VLOOKUP(E95,基础数据!$E$3:$H$21,3,0),"")</f>
        <v/>
      </c>
      <c r="J95" s="55"/>
      <c r="K95" s="52" t="str">
        <f t="shared" si="2"/>
        <v/>
      </c>
    </row>
    <row r="96" customHeight="1" spans="1:11">
      <c r="A96" s="56"/>
      <c r="B96" s="57"/>
      <c r="C96" s="55"/>
      <c r="D96" s="55"/>
      <c r="E96" s="49"/>
      <c r="F96" s="50" t="str">
        <f>IFERROR(VLOOKUP(E96,基础数据!$E$3:$F$23,2,0),"")</f>
        <v/>
      </c>
      <c r="G96" s="55"/>
      <c r="H96" s="51" t="str">
        <f>IFERROR(VLOOKUP(E96,日报!E:H,4,0),"")</f>
        <v/>
      </c>
      <c r="I96" s="51" t="str">
        <f>IFERROR(VLOOKUP(E96,基础数据!$E$3:$H$21,3,0),"")</f>
        <v/>
      </c>
      <c r="J96" s="55"/>
      <c r="K96" s="52" t="str">
        <f t="shared" si="2"/>
        <v/>
      </c>
    </row>
    <row r="97" customHeight="1" spans="1:11">
      <c r="A97" s="56"/>
      <c r="B97" s="57"/>
      <c r="C97" s="55"/>
      <c r="D97" s="55"/>
      <c r="E97" s="49"/>
      <c r="F97" s="50" t="str">
        <f>IFERROR(VLOOKUP(E97,基础数据!$E$3:$F$23,2,0),"")</f>
        <v/>
      </c>
      <c r="G97" s="55"/>
      <c r="H97" s="51" t="str">
        <f>IFERROR(VLOOKUP(E97,日报!E:H,4,0),"")</f>
        <v/>
      </c>
      <c r="I97" s="51" t="str">
        <f>IFERROR(VLOOKUP(E97,基础数据!$E$3:$H$21,3,0),"")</f>
        <v/>
      </c>
      <c r="J97" s="55"/>
      <c r="K97" s="52" t="str">
        <f t="shared" si="2"/>
        <v/>
      </c>
    </row>
    <row r="98" customHeight="1" spans="1:11">
      <c r="A98" s="56"/>
      <c r="B98" s="57"/>
      <c r="C98" s="55"/>
      <c r="D98" s="55"/>
      <c r="E98" s="49"/>
      <c r="F98" s="50" t="str">
        <f>IFERROR(VLOOKUP(E98,基础数据!$E$3:$F$23,2,0),"")</f>
        <v/>
      </c>
      <c r="G98" s="55"/>
      <c r="H98" s="51" t="str">
        <f>IFERROR(VLOOKUP(E98,日报!E:H,4,0),"")</f>
        <v/>
      </c>
      <c r="I98" s="51" t="str">
        <f>IFERROR(VLOOKUP(E98,基础数据!$E$3:$H$21,3,0),"")</f>
        <v/>
      </c>
      <c r="J98" s="55"/>
      <c r="K98" s="52" t="str">
        <f t="shared" si="2"/>
        <v/>
      </c>
    </row>
    <row r="99" customHeight="1" spans="1:11">
      <c r="A99" s="56"/>
      <c r="B99" s="57"/>
      <c r="C99" s="55"/>
      <c r="D99" s="55"/>
      <c r="E99" s="49"/>
      <c r="F99" s="50" t="str">
        <f>IFERROR(VLOOKUP(E99,基础数据!$E$3:$F$23,2,0),"")</f>
        <v/>
      </c>
      <c r="G99" s="55"/>
      <c r="H99" s="51" t="str">
        <f>IFERROR(VLOOKUP(E99,日报!E:H,4,0),"")</f>
        <v/>
      </c>
      <c r="I99" s="51" t="str">
        <f>IFERROR(VLOOKUP(E99,基础数据!$E$3:$H$21,3,0),"")</f>
        <v/>
      </c>
      <c r="J99" s="55"/>
      <c r="K99" s="52" t="str">
        <f t="shared" si="2"/>
        <v/>
      </c>
    </row>
    <row r="100" customHeight="1" spans="1:11">
      <c r="A100" s="56"/>
      <c r="B100" s="57"/>
      <c r="C100" s="55"/>
      <c r="D100" s="55"/>
      <c r="E100" s="49"/>
      <c r="F100" s="50" t="str">
        <f>IFERROR(VLOOKUP(E100,基础数据!$E$3:$F$23,2,0),"")</f>
        <v/>
      </c>
      <c r="G100" s="55"/>
      <c r="H100" s="51" t="str">
        <f>IFERROR(VLOOKUP(E100,日报!E:H,4,0),"")</f>
        <v/>
      </c>
      <c r="I100" s="51" t="str">
        <f>IFERROR(VLOOKUP(E100,基础数据!$E$3:$H$21,3,0),"")</f>
        <v/>
      </c>
      <c r="J100" s="55"/>
      <c r="K100" s="52" t="str">
        <f t="shared" si="2"/>
        <v/>
      </c>
    </row>
    <row r="101" customHeight="1" spans="1:11">
      <c r="A101" s="56"/>
      <c r="B101" s="57"/>
      <c r="C101" s="55"/>
      <c r="D101" s="55"/>
      <c r="E101" s="49"/>
      <c r="F101" s="50" t="str">
        <f>IFERROR(VLOOKUP(E101,基础数据!$E$3:$F$23,2,0),"")</f>
        <v/>
      </c>
      <c r="G101" s="55"/>
      <c r="H101" s="51" t="str">
        <f>IFERROR(VLOOKUP(E101,日报!E:H,4,0),"")</f>
        <v/>
      </c>
      <c r="I101" s="51" t="str">
        <f>IFERROR(VLOOKUP(E101,基础数据!$E$3:$H$21,3,0),"")</f>
        <v/>
      </c>
      <c r="J101" s="55"/>
      <c r="K101" s="52" t="str">
        <f t="shared" si="2"/>
        <v/>
      </c>
    </row>
    <row r="102" customHeight="1" spans="1:11">
      <c r="A102" s="56"/>
      <c r="B102" s="57"/>
      <c r="C102" s="55"/>
      <c r="D102" s="55"/>
      <c r="E102" s="49"/>
      <c r="F102" s="50" t="str">
        <f>IFERROR(VLOOKUP(E102,基础数据!$E$3:$F$23,2,0),"")</f>
        <v/>
      </c>
      <c r="G102" s="55"/>
      <c r="H102" s="51" t="str">
        <f>IFERROR(VLOOKUP(E102,日报!E:H,4,0),"")</f>
        <v/>
      </c>
      <c r="I102" s="51" t="str">
        <f>IFERROR(VLOOKUP(E102,基础数据!$E$3:$H$21,3,0),"")</f>
        <v/>
      </c>
      <c r="J102" s="55"/>
      <c r="K102" s="52" t="str">
        <f t="shared" si="2"/>
        <v/>
      </c>
    </row>
  </sheetData>
  <autoFilter xmlns:etc="http://www.wps.cn/officeDocument/2017/etCustomData" ref="A1:XFC102" etc:filterBottomFollowUsedRange="0">
    <extLst/>
  </autoFilter>
  <sortState ref="A2:K11842">
    <sortCondition ref="A2:A11842"/>
    <sortCondition ref="D2:D11842"/>
  </sortState>
  <conditionalFormatting sqref="E5">
    <cfRule type="duplicateValues" dxfId="0" priority="5"/>
  </conditionalFormatting>
  <conditionalFormatting sqref="E7">
    <cfRule type="duplicateValues" dxfId="0" priority="4"/>
  </conditionalFormatting>
  <conditionalFormatting sqref="E8">
    <cfRule type="duplicateValues" dxfId="0" priority="3"/>
  </conditionalFormatting>
  <conditionalFormatting sqref="E9">
    <cfRule type="duplicateValues" dxfId="0" priority="27"/>
  </conditionalFormatting>
  <conditionalFormatting sqref="E10">
    <cfRule type="duplicateValues" dxfId="0" priority="26"/>
  </conditionalFormatting>
  <conditionalFormatting sqref="E17">
    <cfRule type="duplicateValues" dxfId="0" priority="21"/>
  </conditionalFormatting>
  <conditionalFormatting sqref="E18">
    <cfRule type="duplicateValues" dxfId="0" priority="20"/>
  </conditionalFormatting>
  <conditionalFormatting sqref="E19">
    <cfRule type="duplicateValues" dxfId="0" priority="19"/>
  </conditionalFormatting>
  <conditionalFormatting sqref="E22">
    <cfRule type="duplicateValues" dxfId="0" priority="2"/>
  </conditionalFormatting>
  <conditionalFormatting sqref="E23">
    <cfRule type="duplicateValues" dxfId="0" priority="15"/>
  </conditionalFormatting>
  <conditionalFormatting sqref="E24">
    <cfRule type="duplicateValues" dxfId="0" priority="14"/>
  </conditionalFormatting>
  <conditionalFormatting sqref="E25">
    <cfRule type="duplicateValues" dxfId="0" priority="13"/>
  </conditionalFormatting>
  <conditionalFormatting sqref="E26">
    <cfRule type="duplicateValues" dxfId="0" priority="12"/>
  </conditionalFormatting>
  <dataValidations count="1">
    <dataValidation type="list" allowBlank="1" showInputMessage="1" showErrorMessage="1" sqref="E26 E28 E33 E69 E11:E13 E15:E16 E35:E36 E71:E102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E11" sqref="E11"/>
    </sheetView>
  </sheetViews>
  <sheetFormatPr defaultColWidth="15" defaultRowHeight="15.6"/>
  <cols>
    <col min="1" max="1" width="11.7777777777778" style="22" customWidth="1"/>
    <col min="2" max="2" width="11" style="23" customWidth="1"/>
    <col min="3" max="3" width="36.5555555555556" style="22" customWidth="1"/>
    <col min="4" max="4" width="20" style="24" customWidth="1"/>
    <col min="5" max="5" width="44.5555555555556" style="35" customWidth="1"/>
    <col min="6" max="6" width="20.2222222222222" style="24" customWidth="1"/>
    <col min="7" max="7" width="10.7777777777778" style="24" customWidth="1"/>
    <col min="8" max="8" width="29.7777777777778" style="24" customWidth="1"/>
    <col min="9" max="9" width="23.8888888888889" style="26" customWidth="1"/>
    <col min="10" max="10" width="29.2222222222222" style="26" customWidth="1"/>
    <col min="11" max="16377" width="15" style="26" customWidth="1"/>
    <col min="16378" max="16384" width="15" style="26"/>
  </cols>
  <sheetData>
    <row r="1" s="21" customFormat="1" ht="14.4" spans="1:10">
      <c r="A1" s="27" t="s">
        <v>61</v>
      </c>
      <c r="B1" s="28" t="s">
        <v>24</v>
      </c>
      <c r="C1" s="27" t="s">
        <v>5</v>
      </c>
      <c r="D1" s="29" t="s">
        <v>62</v>
      </c>
      <c r="E1" s="36" t="s">
        <v>8</v>
      </c>
      <c r="F1" s="29" t="s">
        <v>63</v>
      </c>
      <c r="G1" s="29" t="s">
        <v>64</v>
      </c>
      <c r="H1" s="29" t="s">
        <v>30</v>
      </c>
      <c r="I1" s="31" t="s">
        <v>65</v>
      </c>
      <c r="J1" s="31" t="s">
        <v>66</v>
      </c>
    </row>
    <row r="2" ht="17.4" spans="1:10">
      <c r="A2" s="22">
        <v>46155</v>
      </c>
      <c r="B2" s="9" t="s">
        <v>32</v>
      </c>
      <c r="C2" s="10" t="s">
        <v>33</v>
      </c>
      <c r="D2" s="15" t="s">
        <v>67</v>
      </c>
      <c r="E2" s="20" t="s">
        <v>68</v>
      </c>
      <c r="F2" s="24">
        <v>578</v>
      </c>
      <c r="H2" s="24" t="s">
        <v>15</v>
      </c>
    </row>
    <row r="3" ht="17.4" spans="1:10">
      <c r="B3" s="32"/>
      <c r="C3" s="32"/>
      <c r="D3" s="33"/>
    </row>
    <row r="4" spans="1:10">
      <c r="B4" s="34"/>
    </row>
    <row r="5" spans="1:10">
      <c r="B5" s="34"/>
    </row>
    <row r="6" spans="1:10">
      <c r="B6" s="34"/>
      <c r="E6" s="35" t="str">
        <f>IFERROR(VLOOKUP(D6,基础数据!E:F,2,0),"")</f>
        <v/>
      </c>
    </row>
    <row r="7" spans="1:10">
      <c r="B7" s="34"/>
      <c r="E7" s="35" t="str">
        <f>IFERROR(VLOOKUP(D7,基础数据!E:F,2,0),"")</f>
        <v/>
      </c>
    </row>
    <row r="8" spans="1:10">
      <c r="B8" s="34"/>
      <c r="E8" s="35" t="str">
        <f>IFERROR(VLOOKUP(D8,基础数据!E:F,2,0),"")</f>
        <v/>
      </c>
    </row>
    <row r="9" spans="1:10">
      <c r="B9" s="34"/>
      <c r="E9" s="35" t="str">
        <f>IFERROR(VLOOKUP(D9,基础数据!E:F,2,0),"")</f>
        <v/>
      </c>
    </row>
    <row r="10" spans="1:10">
      <c r="B10" s="34"/>
      <c r="E10" s="35" t="str">
        <f>IFERROR(VLOOKUP(D10,基础数据!E:F,2,0),"")</f>
        <v/>
      </c>
    </row>
    <row r="11" spans="1:10">
      <c r="B11" s="34"/>
      <c r="E11" s="35" t="str">
        <f>IFERROR(VLOOKUP(D11,基础数据!E:F,2,0),"")</f>
        <v/>
      </c>
    </row>
    <row r="12" spans="1:10">
      <c r="B12" s="34"/>
      <c r="E12" s="35" t="str">
        <f>IFERROR(VLOOKUP(D12,基础数据!E:F,2,0),"")</f>
        <v/>
      </c>
    </row>
    <row r="13" spans="1:10">
      <c r="B13" s="34"/>
      <c r="E13" s="35" t="str">
        <f>IFERROR(VLOOKUP(D13,基础数据!E:F,2,0),"")</f>
        <v/>
      </c>
    </row>
    <row r="14" spans="1:10">
      <c r="B14" s="34"/>
      <c r="E14" s="35" t="str">
        <f>IFERROR(VLOOKUP(D14,基础数据!E:F,2,0),"")</f>
        <v/>
      </c>
    </row>
    <row r="15" spans="1:10">
      <c r="B15" s="34"/>
      <c r="E15" s="35" t="str">
        <f>IFERROR(VLOOKUP(D15,基础数据!E:F,2,0),"")</f>
        <v/>
      </c>
    </row>
    <row r="16" spans="1:10">
      <c r="E16" s="35" t="str">
        <f>IFERROR(VLOOKUP(D16,基础数据!E:F,2,0),"")</f>
        <v/>
      </c>
    </row>
    <row r="17" spans="5:5">
      <c r="E17" s="35" t="str">
        <f>IFERROR(VLOOKUP(D17,基础数据!E:F,2,0),"")</f>
        <v/>
      </c>
    </row>
    <row r="18" spans="5:5">
      <c r="E18" s="35" t="str">
        <f>IFERROR(VLOOKUP(D18,基础数据!E:F,2,0),"")</f>
        <v/>
      </c>
    </row>
    <row r="19" spans="5:5">
      <c r="E19" s="35" t="str">
        <f>IFERROR(VLOOKUP(D19,基础数据!E:F,2,0),"")</f>
        <v/>
      </c>
    </row>
    <row r="20" spans="5:5">
      <c r="E20" s="35" t="str">
        <f>IFERROR(VLOOKUP(D20,基础数据!E:F,2,0),"")</f>
        <v/>
      </c>
    </row>
    <row r="21" spans="5:5">
      <c r="E21" s="35" t="str">
        <f>IFERROR(VLOOKUP(D21,基础数据!E:F,2,0),"")</f>
        <v/>
      </c>
    </row>
    <row r="22" spans="5:5">
      <c r="E22" s="35" t="str">
        <f>IFERROR(VLOOKUP(D22,基础数据!E:F,2,0),"")</f>
        <v/>
      </c>
    </row>
    <row r="23" spans="5:5">
      <c r="E23" s="35" t="str">
        <f>IFERROR(VLOOKUP(D23,基础数据!E:F,2,0),"")</f>
        <v/>
      </c>
    </row>
    <row r="24" spans="5:5">
      <c r="E24" s="35" t="str">
        <f>IFERROR(VLOOKUP(D24,基础数据!E:F,2,0),"")</f>
        <v/>
      </c>
    </row>
    <row r="25" spans="5:5">
      <c r="E25" s="35" t="str">
        <f>IFERROR(VLOOKUP(D25,基础数据!E:F,2,0),"")</f>
        <v/>
      </c>
    </row>
    <row r="26" spans="5:5">
      <c r="E26" s="35" t="str">
        <f>IFERROR(VLOOKUP(D26,基础数据!E:F,2,0),"")</f>
        <v/>
      </c>
    </row>
    <row r="27" spans="5:5">
      <c r="E27" s="35" t="str">
        <f>IFERROR(VLOOKUP(D27,基础数据!E:F,2,0),"")</f>
        <v/>
      </c>
    </row>
    <row r="28" spans="5:5">
      <c r="E28" s="35" t="str">
        <f>IFERROR(VLOOKUP(D28,基础数据!E:F,2,0),"")</f>
        <v/>
      </c>
    </row>
    <row r="29" spans="5:5">
      <c r="E29" s="35" t="str">
        <f>IFERROR(VLOOKUP(D29,基础数据!E:F,2,0),"")</f>
        <v/>
      </c>
    </row>
    <row r="30" spans="5:5">
      <c r="E30" s="35" t="str">
        <f>IFERROR(VLOOKUP(D30,基础数据!E:F,2,0),"")</f>
        <v/>
      </c>
    </row>
    <row r="31" spans="5:5">
      <c r="E31" s="35" t="str">
        <f>IFERROR(VLOOKUP(D31,基础数据!E:F,2,0),"")</f>
        <v/>
      </c>
    </row>
    <row r="32" spans="5:5">
      <c r="E32" s="35" t="str">
        <f>IFERROR(VLOOKUP(D32,基础数据!E:F,2,0),"")</f>
        <v/>
      </c>
    </row>
    <row r="33" spans="5:5">
      <c r="E33" s="35" t="str">
        <f>IFERROR(VLOOKUP(D33,基础数据!E:F,2,0),"")</f>
        <v/>
      </c>
    </row>
    <row r="34" spans="5:5">
      <c r="E34" s="35" t="str">
        <f>IFERROR(VLOOKUP(D34,基础数据!E:F,2,0),"")</f>
        <v/>
      </c>
    </row>
    <row r="35" spans="5:5">
      <c r="E35" s="35" t="str">
        <f>IFERROR(VLOOKUP(D35,基础数据!E:F,2,0),"")</f>
        <v/>
      </c>
    </row>
    <row r="36" spans="5:5">
      <c r="E36" s="35" t="str">
        <f>IFERROR(VLOOKUP(D36,基础数据!E:F,2,0),"")</f>
        <v/>
      </c>
    </row>
    <row r="37" spans="5:5">
      <c r="E37" s="35" t="str">
        <f>IFERROR(VLOOKUP(D37,基础数据!E:F,2,0),"")</f>
        <v/>
      </c>
    </row>
    <row r="38" spans="5:5">
      <c r="E38" s="35" t="str">
        <f>IFERROR(VLOOKUP(D38,基础数据!E:F,2,0),"")</f>
        <v/>
      </c>
    </row>
    <row r="39" spans="5:5">
      <c r="E39" s="35" t="str">
        <f>IFERROR(VLOOKUP(D39,基础数据!E:F,2,0),"")</f>
        <v/>
      </c>
    </row>
    <row r="40" spans="5:5">
      <c r="E40" s="35" t="str">
        <f>IFERROR(VLOOKUP(D40,基础数据!E:F,2,0),"")</f>
        <v/>
      </c>
    </row>
    <row r="41" spans="5:5">
      <c r="E41" s="35" t="str">
        <f>IFERROR(VLOOKUP(D41,基础数据!E:F,2,0),"")</f>
        <v/>
      </c>
    </row>
    <row r="42" spans="5:5">
      <c r="E42" s="35" t="str">
        <f>IFERROR(VLOOKUP(D42,基础数据!E:F,2,0),"")</f>
        <v/>
      </c>
    </row>
    <row r="43" spans="5:5">
      <c r="E43" s="35" t="str">
        <f>IFERROR(VLOOKUP(D43,基础数据!E:F,2,0),"")</f>
        <v/>
      </c>
    </row>
    <row r="44" spans="5:5">
      <c r="E44" s="35" t="str">
        <f>IFERROR(VLOOKUP(D44,基础数据!E:F,2,0),"")</f>
        <v/>
      </c>
    </row>
  </sheetData>
  <conditionalFormatting sqref="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C17" sqref="C17"/>
    </sheetView>
  </sheetViews>
  <sheetFormatPr defaultColWidth="15" defaultRowHeight="15.6"/>
  <cols>
    <col min="1" max="1" width="11.7777777777778" style="22" customWidth="1"/>
    <col min="2" max="2" width="11" style="23" customWidth="1"/>
    <col min="3" max="3" width="36.5555555555556" style="22" customWidth="1"/>
    <col min="4" max="4" width="20" style="24" customWidth="1"/>
    <col min="5" max="5" width="44.5555555555556" style="35" customWidth="1"/>
    <col min="6" max="6" width="20.2222222222222" style="24" customWidth="1"/>
    <col min="7" max="7" width="10.7777777777778" style="24" customWidth="1"/>
    <col min="8" max="8" width="29.7777777777778" style="24" customWidth="1"/>
    <col min="9" max="9" width="23.8888888888889" style="26" customWidth="1"/>
    <col min="10" max="10" width="29.2222222222222" style="26" customWidth="1"/>
    <col min="11" max="16377" width="15" style="26" customWidth="1"/>
    <col min="16378" max="16384" width="15" style="26"/>
  </cols>
  <sheetData>
    <row r="1" s="21" customFormat="1" ht="14.4" spans="1:10">
      <c r="A1" s="27" t="s">
        <v>61</v>
      </c>
      <c r="B1" s="28" t="s">
        <v>24</v>
      </c>
      <c r="C1" s="27" t="s">
        <v>5</v>
      </c>
      <c r="D1" s="29" t="s">
        <v>62</v>
      </c>
      <c r="E1" s="36" t="s">
        <v>8</v>
      </c>
      <c r="F1" s="29" t="s">
        <v>63</v>
      </c>
      <c r="G1" s="29" t="s">
        <v>64</v>
      </c>
      <c r="H1" s="29" t="s">
        <v>30</v>
      </c>
      <c r="I1" s="31" t="s">
        <v>65</v>
      </c>
      <c r="J1" s="31" t="s">
        <v>66</v>
      </c>
    </row>
    <row r="2" spans="1:10">
      <c r="A2" s="37"/>
      <c r="B2" s="9"/>
      <c r="C2" s="10"/>
      <c r="D2" s="38"/>
      <c r="I2" s="24"/>
    </row>
    <row r="3" ht="17.4" spans="1:10">
      <c r="B3" s="32"/>
      <c r="C3" s="32"/>
      <c r="D3" s="33"/>
      <c r="E3" s="35" t="str">
        <f>IFERROR(VLOOKUP(D3,基础数据!E:F,2,0),"")</f>
        <v/>
      </c>
    </row>
    <row r="4" spans="1:10">
      <c r="B4" s="34"/>
      <c r="E4" s="35" t="str">
        <f>IFERROR(VLOOKUP(D4,基础数据!E:F,2,0),"")</f>
        <v/>
      </c>
    </row>
    <row r="5" spans="1:10">
      <c r="B5" s="34"/>
      <c r="E5" s="35" t="str">
        <f>IFERROR(VLOOKUP(D5,基础数据!E:F,2,0),"")</f>
        <v/>
      </c>
    </row>
    <row r="6" spans="1:10">
      <c r="B6" s="34"/>
      <c r="E6" s="35" t="str">
        <f>IFERROR(VLOOKUP(D6,基础数据!E:F,2,0),"")</f>
        <v/>
      </c>
    </row>
    <row r="7" spans="1:10">
      <c r="B7" s="34"/>
      <c r="E7" s="35" t="str">
        <f>IFERROR(VLOOKUP(D7,基础数据!E:F,2,0),"")</f>
        <v/>
      </c>
    </row>
    <row r="8" spans="1:10">
      <c r="B8" s="34"/>
      <c r="E8" s="35" t="str">
        <f>IFERROR(VLOOKUP(D8,基础数据!E:F,2,0),"")</f>
        <v/>
      </c>
    </row>
    <row r="9" spans="1:10">
      <c r="B9" s="34"/>
      <c r="E9" s="35" t="str">
        <f>IFERROR(VLOOKUP(D9,基础数据!E:F,2,0),"")</f>
        <v/>
      </c>
    </row>
    <row r="10" spans="1:10">
      <c r="B10" s="34"/>
      <c r="E10" s="35" t="str">
        <f>IFERROR(VLOOKUP(D10,基础数据!E:F,2,0),"")</f>
        <v/>
      </c>
    </row>
    <row r="11" spans="1:10">
      <c r="B11" s="34"/>
      <c r="E11" s="35" t="str">
        <f>IFERROR(VLOOKUP(D11,基础数据!E:F,2,0),"")</f>
        <v/>
      </c>
    </row>
    <row r="12" spans="1:10">
      <c r="B12" s="34"/>
      <c r="E12" s="35" t="str">
        <f>IFERROR(VLOOKUP(D12,基础数据!E:F,2,0),"")</f>
        <v/>
      </c>
    </row>
    <row r="13" spans="1:10">
      <c r="B13" s="34"/>
      <c r="E13" s="35" t="str">
        <f>IFERROR(VLOOKUP(D13,基础数据!E:F,2,0),"")</f>
        <v/>
      </c>
    </row>
    <row r="14" spans="1:10">
      <c r="B14" s="34"/>
      <c r="E14" s="35" t="str">
        <f>IFERROR(VLOOKUP(D14,基础数据!E:F,2,0),"")</f>
        <v/>
      </c>
    </row>
    <row r="15" spans="1:10">
      <c r="B15" s="34"/>
      <c r="E15" s="35" t="str">
        <f>IFERROR(VLOOKUP(D15,基础数据!E:F,2,0),"")</f>
        <v/>
      </c>
    </row>
    <row r="16" spans="1:10">
      <c r="E16" s="35" t="str">
        <f>IFERROR(VLOOKUP(D16,基础数据!E:F,2,0),"")</f>
        <v/>
      </c>
    </row>
    <row r="17" spans="5:5">
      <c r="E17" s="35" t="str">
        <f>IFERROR(VLOOKUP(D17,基础数据!E:F,2,0),"")</f>
        <v/>
      </c>
    </row>
    <row r="18" spans="5:5">
      <c r="E18" s="35" t="str">
        <f>IFERROR(VLOOKUP(D18,基础数据!E:F,2,0),"")</f>
        <v/>
      </c>
    </row>
    <row r="19" spans="5:5">
      <c r="E19" s="35" t="str">
        <f>IFERROR(VLOOKUP(D19,基础数据!E:F,2,0),"")</f>
        <v/>
      </c>
    </row>
    <row r="20" spans="5:5">
      <c r="E20" s="35" t="str">
        <f>IFERROR(VLOOKUP(D20,基础数据!E:F,2,0),"")</f>
        <v/>
      </c>
    </row>
    <row r="21" spans="5:5">
      <c r="E21" s="35" t="str">
        <f>IFERROR(VLOOKUP(D21,基础数据!E:F,2,0),"")</f>
        <v/>
      </c>
    </row>
    <row r="22" spans="5:5">
      <c r="E22" s="35" t="str">
        <f>IFERROR(VLOOKUP(D22,基础数据!E:F,2,0),"")</f>
        <v/>
      </c>
    </row>
    <row r="23" spans="5:5">
      <c r="E23" s="35" t="str">
        <f>IFERROR(VLOOKUP(D23,基础数据!E:F,2,0),"")</f>
        <v/>
      </c>
    </row>
    <row r="24" spans="5:5">
      <c r="E24" s="35" t="str">
        <f>IFERROR(VLOOKUP(D24,基础数据!E:F,2,0),"")</f>
        <v/>
      </c>
    </row>
    <row r="25" spans="5:5">
      <c r="E25" s="35" t="str">
        <f>IFERROR(VLOOKUP(D25,基础数据!E:F,2,0),"")</f>
        <v/>
      </c>
    </row>
    <row r="26" spans="5:5">
      <c r="E26" s="35" t="str">
        <f>IFERROR(VLOOKUP(D26,基础数据!E:F,2,0),"")</f>
        <v/>
      </c>
    </row>
    <row r="27" spans="5:5">
      <c r="E27" s="35" t="str">
        <f>IFERROR(VLOOKUP(D27,基础数据!E:F,2,0),"")</f>
        <v/>
      </c>
    </row>
    <row r="28" spans="5:5">
      <c r="E28" s="35" t="str">
        <f>IFERROR(VLOOKUP(D28,基础数据!E:F,2,0),"")</f>
        <v/>
      </c>
    </row>
    <row r="29" spans="5:5">
      <c r="E29" s="35" t="str">
        <f>IFERROR(VLOOKUP(D29,基础数据!E:F,2,0),"")</f>
        <v/>
      </c>
    </row>
    <row r="30" spans="5:5">
      <c r="E30" s="35" t="str">
        <f>IFERROR(VLOOKUP(D30,基础数据!E:F,2,0),"")</f>
        <v/>
      </c>
    </row>
    <row r="31" spans="5:5">
      <c r="E31" s="35" t="str">
        <f>IFERROR(VLOOKUP(D31,基础数据!E:F,2,0),"")</f>
        <v/>
      </c>
    </row>
    <row r="32" spans="5:5">
      <c r="E32" s="35" t="str">
        <f>IFERROR(VLOOKUP(D32,基础数据!E:F,2,0),"")</f>
        <v/>
      </c>
    </row>
    <row r="33" spans="5:5">
      <c r="E33" s="35" t="str">
        <f>IFERROR(VLOOKUP(D33,基础数据!E:F,2,0),"")</f>
        <v/>
      </c>
    </row>
    <row r="34" spans="5:5">
      <c r="E34" s="35" t="str">
        <f>IFERROR(VLOOKUP(D34,基础数据!E:F,2,0),"")</f>
        <v/>
      </c>
    </row>
  </sheetData>
  <conditionalFormatting sqref="D3">
    <cfRule type="duplicateValues" dxfId="0" priority="1"/>
  </conditionalFormatting>
  <dataValidations count="1">
    <dataValidation type="list" allowBlank="1" showInputMessage="1" showErrorMessage="1" sqref="D2">
      <formula1>日报!$E:$E</formula1>
    </dataValidation>
  </dataValidations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D21" sqref="D21"/>
    </sheetView>
  </sheetViews>
  <sheetFormatPr defaultColWidth="15" defaultRowHeight="15.6"/>
  <cols>
    <col min="1" max="1" width="11.7777777777778" style="22" customWidth="1"/>
    <col min="2" max="2" width="11" style="23" customWidth="1"/>
    <col min="3" max="3" width="36.5555555555556" style="22" customWidth="1"/>
    <col min="4" max="4" width="34.1111111111111" style="24" customWidth="1"/>
    <col min="5" max="5" width="44.5555555555556" style="25" customWidth="1"/>
    <col min="6" max="6" width="20.2222222222222" style="24" customWidth="1"/>
    <col min="7" max="7" width="10.7777777777778" style="24" customWidth="1"/>
    <col min="8" max="8" width="29.7777777777778" style="24" customWidth="1"/>
    <col min="9" max="9" width="23.8888888888889" style="26" customWidth="1"/>
    <col min="10" max="10" width="29.2222222222222" style="26" customWidth="1"/>
    <col min="11" max="16377" width="15" style="26" customWidth="1"/>
    <col min="16378" max="16384" width="15" style="26"/>
  </cols>
  <sheetData>
    <row r="1" s="21" customFormat="1" ht="14.4" spans="1:10">
      <c r="A1" s="27" t="s">
        <v>61</v>
      </c>
      <c r="B1" s="28" t="s">
        <v>24</v>
      </c>
      <c r="C1" s="27" t="s">
        <v>5</v>
      </c>
      <c r="D1" s="29" t="s">
        <v>62</v>
      </c>
      <c r="E1" s="30" t="s">
        <v>8</v>
      </c>
      <c r="F1" s="29" t="s">
        <v>63</v>
      </c>
      <c r="G1" s="29" t="s">
        <v>64</v>
      </c>
      <c r="H1" s="29" t="s">
        <v>30</v>
      </c>
      <c r="I1" s="31" t="s">
        <v>65</v>
      </c>
      <c r="J1" s="31" t="s">
        <v>66</v>
      </c>
    </row>
    <row r="2" spans="1:10">
      <c r="B2" s="9"/>
      <c r="C2" s="10"/>
      <c r="D2" s="11"/>
    </row>
    <row r="3" ht="17.4" spans="1:10">
      <c r="B3" s="32"/>
      <c r="C3" s="32"/>
      <c r="D3" s="33"/>
      <c r="E3" s="25" t="str">
        <f>IFERROR(VLOOKUP(D3,基础数据!E:F,2,0),"")</f>
        <v/>
      </c>
    </row>
    <row r="4" spans="1:10">
      <c r="B4" s="34"/>
      <c r="E4" s="25" t="str">
        <f>IFERROR(VLOOKUP(D4,基础数据!E:F,2,0),"")</f>
        <v/>
      </c>
    </row>
    <row r="5" spans="1:10">
      <c r="B5" s="34"/>
      <c r="E5" s="25" t="str">
        <f>IFERROR(VLOOKUP(D5,基础数据!E:F,2,0),"")</f>
        <v/>
      </c>
    </row>
    <row r="6" spans="1:10">
      <c r="B6" s="34"/>
      <c r="E6" s="25" t="str">
        <f>IFERROR(VLOOKUP(D6,基础数据!E:F,2,0),"")</f>
        <v/>
      </c>
    </row>
    <row r="7" spans="1:10">
      <c r="B7" s="34"/>
      <c r="E7" s="25" t="str">
        <f>IFERROR(VLOOKUP(D7,基础数据!E:F,2,0),"")</f>
        <v/>
      </c>
    </row>
    <row r="8" spans="1:10">
      <c r="B8" s="34"/>
      <c r="E8" s="25" t="str">
        <f>IFERROR(VLOOKUP(D8,基础数据!E:F,2,0),"")</f>
        <v/>
      </c>
    </row>
    <row r="9" spans="1:10">
      <c r="B9" s="34"/>
      <c r="E9" s="25" t="str">
        <f>IFERROR(VLOOKUP(D9,基础数据!E:F,2,0),"")</f>
        <v/>
      </c>
    </row>
    <row r="10" spans="1:10">
      <c r="B10" s="34"/>
      <c r="E10" s="25" t="str">
        <f>IFERROR(VLOOKUP(D10,基础数据!E:F,2,0),"")</f>
        <v/>
      </c>
    </row>
    <row r="11" spans="1:10">
      <c r="B11" s="34"/>
      <c r="E11" s="25" t="str">
        <f>IFERROR(VLOOKUP(D11,基础数据!E:F,2,0),"")</f>
        <v/>
      </c>
    </row>
    <row r="12" spans="1:10">
      <c r="B12" s="34"/>
      <c r="E12" s="25" t="str">
        <f>IFERROR(VLOOKUP(D12,基础数据!E:F,2,0),"")</f>
        <v/>
      </c>
    </row>
    <row r="13" spans="1:10">
      <c r="B13" s="34"/>
      <c r="E13" s="25" t="str">
        <f>IFERROR(VLOOKUP(D13,基础数据!E:F,2,0),"")</f>
        <v/>
      </c>
    </row>
    <row r="14" spans="1:10">
      <c r="B14" s="34"/>
      <c r="E14" s="25" t="str">
        <f>IFERROR(VLOOKUP(D14,基础数据!E:F,2,0),"")</f>
        <v/>
      </c>
    </row>
    <row r="15" spans="1:10">
      <c r="E15" s="25" t="str">
        <f>IFERROR(VLOOKUP(D15,基础数据!E:F,2,0),"")</f>
        <v/>
      </c>
    </row>
    <row r="16" spans="1:10">
      <c r="E16" s="25" t="str">
        <f>IFERROR(VLOOKUP(D16,基础数据!E:F,2,0),"")</f>
        <v/>
      </c>
    </row>
    <row r="17" spans="5:5">
      <c r="E17" s="25" t="str">
        <f>IFERROR(VLOOKUP(D17,基础数据!E:F,2,0),"")</f>
        <v/>
      </c>
    </row>
    <row r="18" spans="5:5">
      <c r="E18" s="25" t="str">
        <f>IFERROR(VLOOKUP(D18,基础数据!E:F,2,0),"")</f>
        <v/>
      </c>
    </row>
    <row r="19" spans="5:5">
      <c r="E19" s="25" t="str">
        <f>IFERROR(VLOOKUP(D19,基础数据!E:F,2,0),"")</f>
        <v/>
      </c>
    </row>
    <row r="20" spans="5:5">
      <c r="E20" s="25" t="str">
        <f>IFERROR(VLOOKUP(D20,基础数据!E:F,2,0),"")</f>
        <v/>
      </c>
    </row>
    <row r="21" spans="5:5">
      <c r="E21" s="25" t="str">
        <f>IFERROR(VLOOKUP(D21,基础数据!E:F,2,0),"")</f>
        <v/>
      </c>
    </row>
    <row r="22" spans="5:5">
      <c r="E22" s="25" t="str">
        <f>IFERROR(VLOOKUP(D22,基础数据!E:F,2,0),"")</f>
        <v/>
      </c>
    </row>
    <row r="23" spans="5:5">
      <c r="E23" s="25" t="str">
        <f>IFERROR(VLOOKUP(D23,基础数据!E:F,2,0),"")</f>
        <v/>
      </c>
    </row>
    <row r="24" spans="5:5">
      <c r="E24" s="25" t="str">
        <f>IFERROR(VLOOKUP(D24,基础数据!E:F,2,0),"")</f>
        <v/>
      </c>
    </row>
    <row r="25" spans="5:5">
      <c r="E25" s="25" t="str">
        <f>IFERROR(VLOOKUP(D25,基础数据!E:F,2,0),"")</f>
        <v/>
      </c>
    </row>
  </sheetData>
  <conditionalFormatting sqref="D2">
    <cfRule type="duplicateValues" dxfId="0" priority="1"/>
  </conditionalFormatting>
  <conditionalFormatting sqref="D3">
    <cfRule type="duplicateValues" dxfId="0" priority="2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zoomScale="85" zoomScaleNormal="85" topLeftCell="A16" workbookViewId="0">
      <selection activeCell="E37" sqref="E37"/>
    </sheetView>
  </sheetViews>
  <sheetFormatPr defaultColWidth="8.55555555555556" defaultRowHeight="17.4"/>
  <cols>
    <col min="1" max="1" width="6.11111111111111" customWidth="1"/>
    <col min="2" max="2" width="16.2222222222222" customWidth="1"/>
    <col min="3" max="3" width="39.7777777777778" customWidth="1"/>
    <col min="4" max="4" width="22" customWidth="1"/>
    <col min="5" max="5" width="20.8888888888889" style="2" customWidth="1"/>
    <col min="6" max="6" width="37.4444444444444" style="3" customWidth="1"/>
    <col min="7" max="8" width="8.55555555555556" style="2"/>
    <col min="9" max="9" width="10.5555555555556" customWidth="1"/>
  </cols>
  <sheetData>
    <row r="1" ht="14.4" spans="1:9">
      <c r="A1" s="4" t="s">
        <v>3</v>
      </c>
      <c r="B1" s="4" t="s">
        <v>4</v>
      </c>
      <c r="C1" s="4" t="s">
        <v>5</v>
      </c>
      <c r="D1" s="5" t="s">
        <v>6</v>
      </c>
      <c r="E1" s="4" t="s">
        <v>7</v>
      </c>
      <c r="F1" s="6" t="s">
        <v>8</v>
      </c>
      <c r="G1" s="6" t="s">
        <v>9</v>
      </c>
      <c r="H1" s="5" t="s">
        <v>10</v>
      </c>
      <c r="I1" s="5" t="s">
        <v>69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15.6" spans="1:9">
      <c r="A3" s="8">
        <f t="shared" ref="A3:A9" si="0">ROW()-2</f>
        <v>1</v>
      </c>
      <c r="B3" s="9" t="s">
        <v>32</v>
      </c>
      <c r="C3" s="10" t="s">
        <v>33</v>
      </c>
      <c r="D3" s="10"/>
      <c r="E3" s="11" t="s">
        <v>44</v>
      </c>
      <c r="F3" s="8" t="s">
        <v>70</v>
      </c>
      <c r="G3" s="8">
        <v>20</v>
      </c>
      <c r="H3" s="10" t="s">
        <v>71</v>
      </c>
      <c r="I3" s="12" t="s">
        <v>72</v>
      </c>
    </row>
    <row r="4" s="1" customFormat="1" ht="15.6" spans="1:9">
      <c r="A4" s="8">
        <f t="shared" si="0"/>
        <v>2</v>
      </c>
      <c r="B4" s="9" t="s">
        <v>32</v>
      </c>
      <c r="C4" s="10" t="s">
        <v>33</v>
      </c>
      <c r="D4" s="10"/>
      <c r="E4" s="8" t="s">
        <v>48</v>
      </c>
      <c r="F4" s="8" t="s">
        <v>73</v>
      </c>
      <c r="G4" s="8">
        <v>100</v>
      </c>
      <c r="H4" s="10" t="s">
        <v>71</v>
      </c>
      <c r="I4" s="12" t="s">
        <v>72</v>
      </c>
    </row>
    <row r="5" s="1" customFormat="1" ht="15.6" spans="1:9">
      <c r="A5" s="8">
        <f t="shared" si="0"/>
        <v>3</v>
      </c>
      <c r="B5" s="9" t="s">
        <v>32</v>
      </c>
      <c r="C5" s="10" t="s">
        <v>33</v>
      </c>
      <c r="D5" s="10"/>
      <c r="E5" s="11" t="s">
        <v>45</v>
      </c>
      <c r="F5" s="8" t="s">
        <v>74</v>
      </c>
      <c r="G5" s="8">
        <v>100</v>
      </c>
      <c r="H5" s="10" t="s">
        <v>71</v>
      </c>
      <c r="I5" s="12" t="s">
        <v>72</v>
      </c>
    </row>
    <row r="6" s="1" customFormat="1" ht="15.6" spans="1:9">
      <c r="A6" s="8">
        <f t="shared" si="0"/>
        <v>4</v>
      </c>
      <c r="B6" s="9" t="s">
        <v>32</v>
      </c>
      <c r="C6" s="10" t="s">
        <v>33</v>
      </c>
      <c r="D6" s="8"/>
      <c r="E6" s="8" t="s">
        <v>46</v>
      </c>
      <c r="F6" s="8" t="s">
        <v>75</v>
      </c>
      <c r="G6" s="8">
        <v>1500</v>
      </c>
      <c r="H6" s="10" t="s">
        <v>71</v>
      </c>
      <c r="I6" s="12" t="s">
        <v>72</v>
      </c>
    </row>
    <row r="7" s="1" customFormat="1" ht="15.6" spans="1:9">
      <c r="A7" s="8">
        <f t="shared" si="0"/>
        <v>5</v>
      </c>
      <c r="B7" s="9" t="s">
        <v>32</v>
      </c>
      <c r="C7" s="10" t="s">
        <v>33</v>
      </c>
      <c r="D7" s="13"/>
      <c r="E7" s="11" t="s">
        <v>47</v>
      </c>
      <c r="F7" s="8" t="s">
        <v>76</v>
      </c>
      <c r="G7" s="8">
        <v>1500</v>
      </c>
      <c r="H7" s="10" t="s">
        <v>71</v>
      </c>
      <c r="I7" s="12" t="s">
        <v>72</v>
      </c>
    </row>
    <row r="8" s="1" customFormat="1" ht="22.05" customHeight="1" spans="1:9">
      <c r="A8" s="8">
        <f t="shared" si="0"/>
        <v>6</v>
      </c>
      <c r="B8" s="9" t="s">
        <v>32</v>
      </c>
      <c r="C8" s="10" t="s">
        <v>33</v>
      </c>
      <c r="D8" s="13"/>
      <c r="E8" s="8" t="s">
        <v>42</v>
      </c>
      <c r="F8" s="8" t="s">
        <v>77</v>
      </c>
      <c r="G8" s="8">
        <v>30</v>
      </c>
      <c r="H8" s="10" t="s">
        <v>71</v>
      </c>
      <c r="I8" s="12" t="s">
        <v>72</v>
      </c>
    </row>
    <row r="9" s="1" customFormat="1" ht="22.05" customHeight="1" spans="1:9">
      <c r="A9" s="8">
        <f t="shared" si="0"/>
        <v>7</v>
      </c>
      <c r="B9" s="9" t="s">
        <v>32</v>
      </c>
      <c r="C9" s="10" t="s">
        <v>33</v>
      </c>
      <c r="D9" s="13"/>
      <c r="E9" s="8" t="s">
        <v>43</v>
      </c>
      <c r="F9" s="8" t="s">
        <v>78</v>
      </c>
      <c r="G9" s="8">
        <v>50</v>
      </c>
      <c r="H9" s="10" t="s">
        <v>71</v>
      </c>
      <c r="I9" s="12" t="s">
        <v>72</v>
      </c>
    </row>
    <row r="10" s="1" customFormat="1" ht="22.05" customHeight="1" spans="1:9">
      <c r="A10" s="8">
        <f t="shared" ref="A10:A33" si="1">ROW()-2</f>
        <v>8</v>
      </c>
      <c r="B10" s="9" t="s">
        <v>32</v>
      </c>
      <c r="C10" s="10" t="s">
        <v>33</v>
      </c>
      <c r="D10" s="13"/>
      <c r="E10" s="8" t="s">
        <v>49</v>
      </c>
      <c r="F10" s="14" t="s">
        <v>79</v>
      </c>
      <c r="G10" s="14">
        <v>70</v>
      </c>
      <c r="H10" s="10" t="s">
        <v>71</v>
      </c>
      <c r="I10" s="12" t="s">
        <v>72</v>
      </c>
    </row>
    <row r="11" s="1" customFormat="1" ht="22.05" customHeight="1" spans="1:9">
      <c r="A11" s="8">
        <f t="shared" si="1"/>
        <v>9</v>
      </c>
      <c r="B11" s="9" t="s">
        <v>32</v>
      </c>
      <c r="C11" s="10" t="s">
        <v>33</v>
      </c>
      <c r="D11" s="13"/>
      <c r="E11" s="15" t="s">
        <v>80</v>
      </c>
      <c r="F11" s="14" t="s">
        <v>81</v>
      </c>
      <c r="G11" s="14">
        <v>15</v>
      </c>
      <c r="H11" s="10" t="s">
        <v>71</v>
      </c>
      <c r="I11" s="12" t="s">
        <v>72</v>
      </c>
    </row>
    <row r="12" s="1" customFormat="1" ht="22.05" customHeight="1" spans="1:9">
      <c r="A12" s="8">
        <f t="shared" si="1"/>
        <v>10</v>
      </c>
      <c r="B12" s="9" t="s">
        <v>32</v>
      </c>
      <c r="C12" s="10" t="s">
        <v>33</v>
      </c>
      <c r="D12" s="13"/>
      <c r="E12" s="15" t="s">
        <v>82</v>
      </c>
      <c r="F12" s="14" t="s">
        <v>83</v>
      </c>
      <c r="G12" s="14">
        <v>20</v>
      </c>
      <c r="H12" s="10" t="s">
        <v>71</v>
      </c>
      <c r="I12" s="12" t="s">
        <v>72</v>
      </c>
    </row>
    <row r="13" s="1" customFormat="1" ht="22.05" customHeight="1" spans="1:9">
      <c r="A13" s="8">
        <f t="shared" si="1"/>
        <v>11</v>
      </c>
      <c r="B13" s="9" t="s">
        <v>32</v>
      </c>
      <c r="C13" s="10" t="s">
        <v>33</v>
      </c>
      <c r="D13" s="13"/>
      <c r="E13" s="15" t="s">
        <v>84</v>
      </c>
      <c r="F13" s="14" t="s">
        <v>85</v>
      </c>
      <c r="G13" s="14">
        <v>50</v>
      </c>
      <c r="H13" s="10" t="s">
        <v>71</v>
      </c>
      <c r="I13" s="12" t="s">
        <v>72</v>
      </c>
    </row>
    <row r="14" s="1" customFormat="1" ht="22.05" customHeight="1" spans="1:9">
      <c r="A14" s="8">
        <f t="shared" si="1"/>
        <v>12</v>
      </c>
      <c r="B14" s="9" t="s">
        <v>32</v>
      </c>
      <c r="C14" s="10" t="s">
        <v>33</v>
      </c>
      <c r="D14" s="13"/>
      <c r="E14" s="15" t="s">
        <v>86</v>
      </c>
      <c r="F14" s="16" t="s">
        <v>87</v>
      </c>
      <c r="G14" s="14">
        <v>48</v>
      </c>
      <c r="H14" s="10" t="s">
        <v>71</v>
      </c>
      <c r="I14" s="12" t="s">
        <v>72</v>
      </c>
    </row>
    <row r="15" s="1" customFormat="1" ht="22.05" customHeight="1" spans="1:9">
      <c r="A15" s="8">
        <f t="shared" si="1"/>
        <v>13</v>
      </c>
      <c r="B15" s="9" t="s">
        <v>32</v>
      </c>
      <c r="C15" s="10" t="s">
        <v>33</v>
      </c>
      <c r="D15" s="13"/>
      <c r="E15" s="15" t="s">
        <v>88</v>
      </c>
      <c r="F15" s="17" t="s">
        <v>89</v>
      </c>
      <c r="G15" s="14">
        <v>70</v>
      </c>
      <c r="H15" s="10" t="s">
        <v>71</v>
      </c>
      <c r="I15" s="12" t="s">
        <v>72</v>
      </c>
    </row>
    <row r="16" s="1" customFormat="1" ht="22.05" customHeight="1" spans="1:9">
      <c r="A16" s="8">
        <f t="shared" si="1"/>
        <v>14</v>
      </c>
      <c r="B16" s="9" t="s">
        <v>32</v>
      </c>
      <c r="C16" s="10" t="s">
        <v>33</v>
      </c>
      <c r="D16" s="13"/>
      <c r="E16" s="15" t="s">
        <v>34</v>
      </c>
      <c r="F16" s="15" t="s">
        <v>22</v>
      </c>
      <c r="G16" s="14">
        <v>12</v>
      </c>
      <c r="H16" s="10" t="s">
        <v>90</v>
      </c>
      <c r="I16" s="12" t="s">
        <v>72</v>
      </c>
    </row>
    <row r="17" s="1" customFormat="1" ht="22.05" customHeight="1" spans="1:9">
      <c r="A17" s="8">
        <f t="shared" si="1"/>
        <v>15</v>
      </c>
      <c r="B17" s="9" t="s">
        <v>32</v>
      </c>
      <c r="C17" s="10" t="s">
        <v>33</v>
      </c>
      <c r="D17" s="13"/>
      <c r="E17" s="15" t="s">
        <v>50</v>
      </c>
      <c r="F17" s="15" t="s">
        <v>91</v>
      </c>
      <c r="G17" s="14">
        <v>100</v>
      </c>
      <c r="H17" s="10" t="s">
        <v>71</v>
      </c>
      <c r="I17" s="12" t="s">
        <v>72</v>
      </c>
    </row>
    <row r="18" s="1" customFormat="1" ht="22.05" customHeight="1" spans="1:9">
      <c r="A18" s="8">
        <f t="shared" si="1"/>
        <v>16</v>
      </c>
      <c r="B18" s="9" t="s">
        <v>32</v>
      </c>
      <c r="C18" s="10" t="s">
        <v>33</v>
      </c>
      <c r="D18" s="13"/>
      <c r="E18" s="15" t="s">
        <v>51</v>
      </c>
      <c r="F18" s="15" t="s">
        <v>92</v>
      </c>
      <c r="G18" s="14">
        <v>40</v>
      </c>
      <c r="H18" s="10" t="s">
        <v>71</v>
      </c>
      <c r="I18" s="12" t="s">
        <v>72</v>
      </c>
    </row>
    <row r="19" s="1" customFormat="1" ht="22.05" customHeight="1" spans="1:9">
      <c r="A19" s="8">
        <f t="shared" si="1"/>
        <v>17</v>
      </c>
      <c r="B19" s="9" t="s">
        <v>32</v>
      </c>
      <c r="C19" s="10" t="s">
        <v>33</v>
      </c>
      <c r="D19" s="13"/>
      <c r="E19" s="15" t="s">
        <v>93</v>
      </c>
      <c r="F19" s="15" t="s">
        <v>94</v>
      </c>
      <c r="G19" s="14">
        <v>100</v>
      </c>
      <c r="H19" s="10" t="s">
        <v>71</v>
      </c>
      <c r="I19" s="12" t="s">
        <v>72</v>
      </c>
    </row>
    <row r="20" s="1" customFormat="1" ht="22.05" customHeight="1" spans="1:9">
      <c r="A20" s="8">
        <f t="shared" si="1"/>
        <v>18</v>
      </c>
      <c r="B20" s="9" t="s">
        <v>32</v>
      </c>
      <c r="C20" s="10" t="s">
        <v>33</v>
      </c>
      <c r="D20" s="13"/>
      <c r="E20" s="15" t="s">
        <v>95</v>
      </c>
      <c r="F20" s="15" t="s">
        <v>96</v>
      </c>
      <c r="G20" s="15">
        <v>40</v>
      </c>
      <c r="H20" s="10" t="s">
        <v>71</v>
      </c>
      <c r="I20" s="12" t="s">
        <v>72</v>
      </c>
    </row>
    <row r="21" ht="15.6" spans="1:9">
      <c r="A21" s="8">
        <f t="shared" si="1"/>
        <v>19</v>
      </c>
      <c r="B21" s="9" t="s">
        <v>32</v>
      </c>
      <c r="C21" s="10" t="s">
        <v>33</v>
      </c>
      <c r="D21" s="18"/>
      <c r="E21" s="15" t="s">
        <v>52</v>
      </c>
      <c r="F21" s="15" t="s">
        <v>97</v>
      </c>
      <c r="G21" s="19">
        <v>1500</v>
      </c>
      <c r="H21" s="10" t="s">
        <v>71</v>
      </c>
      <c r="I21" s="12" t="s">
        <v>72</v>
      </c>
    </row>
    <row r="22" ht="15.6" spans="1:9">
      <c r="A22" s="8">
        <f t="shared" si="1"/>
        <v>20</v>
      </c>
      <c r="B22" s="9" t="s">
        <v>32</v>
      </c>
      <c r="C22" s="10" t="s">
        <v>33</v>
      </c>
      <c r="D22" s="18"/>
      <c r="E22" s="15" t="s">
        <v>54</v>
      </c>
      <c r="F22" s="15" t="s">
        <v>98</v>
      </c>
      <c r="G22" s="19">
        <v>40</v>
      </c>
      <c r="H22" s="10" t="s">
        <v>71</v>
      </c>
      <c r="I22" s="12" t="s">
        <v>72</v>
      </c>
    </row>
    <row r="23" ht="15.6" spans="1:9">
      <c r="A23" s="8">
        <f t="shared" si="1"/>
        <v>21</v>
      </c>
      <c r="B23" s="9" t="s">
        <v>32</v>
      </c>
      <c r="C23" s="10" t="s">
        <v>33</v>
      </c>
      <c r="D23" s="18"/>
      <c r="E23" s="15" t="s">
        <v>53</v>
      </c>
      <c r="F23" s="15" t="s">
        <v>99</v>
      </c>
      <c r="G23" s="19">
        <v>100</v>
      </c>
      <c r="H23" s="10" t="s">
        <v>71</v>
      </c>
      <c r="I23" s="12" t="s">
        <v>72</v>
      </c>
    </row>
    <row r="24" spans="1:9">
      <c r="A24" s="8">
        <f t="shared" si="1"/>
        <v>22</v>
      </c>
      <c r="B24" s="9" t="s">
        <v>32</v>
      </c>
      <c r="C24" s="10" t="s">
        <v>33</v>
      </c>
      <c r="D24" s="18"/>
      <c r="E24" s="15" t="s">
        <v>56</v>
      </c>
      <c r="F24" s="20" t="s">
        <v>100</v>
      </c>
      <c r="G24" s="19">
        <v>200</v>
      </c>
      <c r="H24" s="10" t="s">
        <v>71</v>
      </c>
      <c r="I24" s="12" t="s">
        <v>72</v>
      </c>
    </row>
    <row r="25" spans="1:9">
      <c r="A25" s="8">
        <f t="shared" si="1"/>
        <v>23</v>
      </c>
      <c r="B25" s="9" t="s">
        <v>32</v>
      </c>
      <c r="C25" s="10" t="s">
        <v>33</v>
      </c>
      <c r="D25" s="18"/>
      <c r="E25" s="15" t="s">
        <v>57</v>
      </c>
      <c r="F25" s="20" t="s">
        <v>100</v>
      </c>
      <c r="G25" s="19">
        <v>100</v>
      </c>
      <c r="H25" s="10" t="s">
        <v>71</v>
      </c>
      <c r="I25" s="12" t="s">
        <v>72</v>
      </c>
    </row>
    <row r="26" spans="1:9">
      <c r="A26" s="8">
        <f t="shared" si="1"/>
        <v>24</v>
      </c>
      <c r="B26" s="9" t="s">
        <v>32</v>
      </c>
      <c r="C26" s="10" t="s">
        <v>33</v>
      </c>
      <c r="D26" s="18"/>
      <c r="E26" s="15" t="s">
        <v>55</v>
      </c>
      <c r="F26" s="20" t="s">
        <v>100</v>
      </c>
      <c r="G26" s="19">
        <v>100</v>
      </c>
      <c r="H26" s="10" t="s">
        <v>71</v>
      </c>
      <c r="I26" s="12" t="s">
        <v>72</v>
      </c>
    </row>
    <row r="27" spans="1:9">
      <c r="A27" s="8">
        <f t="shared" si="1"/>
        <v>25</v>
      </c>
      <c r="B27" s="9" t="s">
        <v>32</v>
      </c>
      <c r="C27" s="10" t="s">
        <v>33</v>
      </c>
      <c r="D27" s="18"/>
      <c r="E27" s="15" t="s">
        <v>36</v>
      </c>
      <c r="F27" s="20" t="s">
        <v>100</v>
      </c>
      <c r="G27" s="19">
        <v>30</v>
      </c>
      <c r="H27" s="10" t="s">
        <v>71</v>
      </c>
      <c r="I27" s="12" t="s">
        <v>72</v>
      </c>
    </row>
    <row r="28" spans="1:9">
      <c r="A28" s="8">
        <f t="shared" si="1"/>
        <v>26</v>
      </c>
      <c r="B28" s="9" t="s">
        <v>32</v>
      </c>
      <c r="C28" s="10" t="s">
        <v>33</v>
      </c>
      <c r="D28" s="18"/>
      <c r="E28" s="15" t="s">
        <v>37</v>
      </c>
      <c r="F28" s="20" t="s">
        <v>100</v>
      </c>
      <c r="G28" s="19">
        <v>20</v>
      </c>
      <c r="H28" s="10" t="s">
        <v>71</v>
      </c>
      <c r="I28" s="12" t="s">
        <v>72</v>
      </c>
    </row>
    <row r="29" spans="1:9">
      <c r="A29" s="8">
        <f t="shared" si="1"/>
        <v>27</v>
      </c>
      <c r="B29" s="9" t="s">
        <v>32</v>
      </c>
      <c r="C29" s="10" t="s">
        <v>33</v>
      </c>
      <c r="D29" s="18"/>
      <c r="E29" s="15" t="s">
        <v>38</v>
      </c>
      <c r="F29" s="20" t="s">
        <v>100</v>
      </c>
      <c r="G29" s="19">
        <v>55</v>
      </c>
      <c r="H29" s="10" t="s">
        <v>71</v>
      </c>
      <c r="I29" s="12" t="s">
        <v>72</v>
      </c>
    </row>
    <row r="30" spans="1:9">
      <c r="A30" s="8">
        <f t="shared" si="1"/>
        <v>28</v>
      </c>
      <c r="B30" s="9" t="s">
        <v>32</v>
      </c>
      <c r="C30" s="10" t="s">
        <v>33</v>
      </c>
      <c r="D30" s="18"/>
      <c r="E30" s="15" t="s">
        <v>39</v>
      </c>
      <c r="F30" s="20" t="s">
        <v>100</v>
      </c>
      <c r="G30" s="19">
        <v>55</v>
      </c>
      <c r="H30" s="10" t="s">
        <v>71</v>
      </c>
      <c r="I30" s="12" t="s">
        <v>72</v>
      </c>
    </row>
    <row r="31" spans="1:9">
      <c r="A31" s="8">
        <f t="shared" si="1"/>
        <v>29</v>
      </c>
      <c r="B31" s="9" t="s">
        <v>32</v>
      </c>
      <c r="C31" s="10" t="s">
        <v>33</v>
      </c>
      <c r="D31" s="18"/>
      <c r="E31" s="15" t="s">
        <v>40</v>
      </c>
      <c r="F31" s="20" t="s">
        <v>100</v>
      </c>
      <c r="G31" s="19">
        <v>55</v>
      </c>
      <c r="H31" s="10" t="s">
        <v>71</v>
      </c>
      <c r="I31" s="12" t="s">
        <v>72</v>
      </c>
    </row>
    <row r="32" spans="1:9">
      <c r="A32" s="8">
        <f t="shared" si="1"/>
        <v>30</v>
      </c>
      <c r="B32" s="9" t="s">
        <v>32</v>
      </c>
      <c r="C32" s="10" t="s">
        <v>33</v>
      </c>
      <c r="D32" s="18"/>
      <c r="E32" s="15" t="s">
        <v>41</v>
      </c>
      <c r="F32" s="20" t="s">
        <v>100</v>
      </c>
      <c r="G32" s="19">
        <v>21</v>
      </c>
      <c r="H32" s="10" t="s">
        <v>71</v>
      </c>
      <c r="I32" s="12" t="s">
        <v>72</v>
      </c>
    </row>
    <row r="33" spans="1:9">
      <c r="A33" s="8">
        <f t="shared" si="1"/>
        <v>31</v>
      </c>
      <c r="B33" s="9" t="s">
        <v>32</v>
      </c>
      <c r="C33" s="10" t="s">
        <v>33</v>
      </c>
      <c r="D33" s="18"/>
      <c r="E33" s="15" t="s">
        <v>67</v>
      </c>
      <c r="F33" s="20" t="s">
        <v>68</v>
      </c>
      <c r="G33" s="19"/>
      <c r="H33" s="10" t="s">
        <v>71</v>
      </c>
      <c r="I33" s="12" t="s">
        <v>72</v>
      </c>
    </row>
    <row r="34" spans="1:9">
      <c r="A34" s="8"/>
      <c r="B34" s="9"/>
      <c r="C34" s="10"/>
      <c r="D34" s="18"/>
      <c r="E34" s="15"/>
      <c r="F34" s="20"/>
      <c r="G34" s="19"/>
      <c r="H34" s="10"/>
      <c r="I34" s="12"/>
    </row>
    <row r="35" spans="1:9">
      <c r="A35" s="8"/>
      <c r="B35" s="9"/>
      <c r="C35" s="10"/>
      <c r="D35" s="18"/>
      <c r="E35" s="15"/>
      <c r="F35" s="20"/>
      <c r="G35" s="19"/>
      <c r="H35" s="10"/>
      <c r="I35" s="12"/>
    </row>
    <row r="36" spans="1:9">
      <c r="A36" s="8"/>
      <c r="B36" s="9"/>
      <c r="C36" s="10"/>
      <c r="D36" s="18"/>
      <c r="E36" s="15"/>
      <c r="F36" s="20"/>
      <c r="G36" s="19"/>
      <c r="H36" s="10"/>
      <c r="I36" s="12"/>
    </row>
  </sheetData>
  <autoFilter xmlns:etc="http://www.wps.cn/officeDocument/2017/etCustomData" ref="A2:I33" etc:filterBottomFollowUsedRange="0">
    <extLst/>
  </autoFilter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0" priority="14"/>
  </conditionalFormatting>
  <conditionalFormatting sqref="F3">
    <cfRule type="duplicateValues" dxfId="0" priority="17"/>
  </conditionalFormatting>
  <conditionalFormatting sqref="E4">
    <cfRule type="duplicateValues" dxfId="0" priority="12"/>
  </conditionalFormatting>
  <conditionalFormatting sqref="E5">
    <cfRule type="duplicateValues" dxfId="0" priority="10"/>
  </conditionalFormatting>
  <conditionalFormatting sqref="E6">
    <cfRule type="duplicateValues" dxfId="0" priority="9"/>
  </conditionalFormatting>
  <conditionalFormatting sqref="E7">
    <cfRule type="duplicateValues" dxfId="0" priority="7"/>
  </conditionalFormatting>
  <conditionalFormatting sqref="E8">
    <cfRule type="duplicateValues" dxfId="0" priority="6"/>
  </conditionalFormatting>
  <conditionalFormatting sqref="E9">
    <cfRule type="duplicateValues" dxfId="0" priority="4"/>
  </conditionalFormatting>
  <conditionalFormatting sqref="E10">
    <cfRule type="duplicateValues" dxfId="0" priority="2"/>
  </conditionalFormatting>
  <conditionalFormatting sqref="D3:D5">
    <cfRule type="duplicateValues" dxfId="0" priority="16"/>
  </conditionalFormatting>
  <conditionalFormatting sqref="E1:E2 D1">
    <cfRule type="duplicateValues" dxfId="3" priority="20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2026-05-14T00:11:27Z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752631EF437647F2A46480E8ED19CE68_13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