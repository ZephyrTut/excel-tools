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9060" tabRatio="551" activeTab="2"/>
  </bookViews>
  <sheets>
    <sheet name="日报" sheetId="5" r:id="rId1"/>
    <sheet name="合格品入货记录" sheetId="1" r:id="rId2"/>
    <sheet name="合格品出库记录" sheetId="2" r:id="rId3"/>
    <sheet name="零跑退回" sheetId="18" r:id="rId4"/>
    <sheet name="退回供应商" sheetId="20" r:id="rId5"/>
    <sheet name="库内不良" sheetId="19" r:id="rId6"/>
    <sheet name="基础数据" sheetId="21" r:id="rId7"/>
  </sheets>
  <definedNames>
    <definedName name="_xlnm._FilterDatabase" localSheetId="1" hidden="1">合格品入货记录!$A$1:$K$140</definedName>
    <definedName name="_xlnm._FilterDatabase" localSheetId="2" hidden="1">合格品出库记录!$A$1:$XFC$189</definedName>
    <definedName name="_xlnm._FilterDatabase" localSheetId="0" hidden="1">日报!$A$3:$BZ$4</definedName>
    <definedName name="_xlnm.Print_Area" localSheetId="2">合格品出库记录!$A$1:$G$1</definedName>
    <definedName name="_xlnm.Print_Area" localSheetId="0">日报!$E$2:$F$3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<sst xmlns="http://schemas.openxmlformats.org/spreadsheetml/2006/main" count="107" uniqueCount="50">
  <si>
    <t>注：“可用结存”列中红色数据代表库存量过低;</t>
  </si>
  <si>
    <t>序号</t>
  </si>
  <si>
    <t>供应商代码</t>
  </si>
  <si>
    <t>供应商名称</t>
  </si>
  <si>
    <t>车型</t>
  </si>
  <si>
    <t>零跑零件编号</t>
  </si>
  <si>
    <t>零件名称</t>
  </si>
  <si>
    <t>SNP</t>
  </si>
  <si>
    <t>器具类型</t>
  </si>
  <si>
    <t>良品上月结存</t>
  </si>
  <si>
    <t>不良品上月结存</t>
  </si>
  <si>
    <t>累进</t>
  </si>
  <si>
    <t>累出</t>
  </si>
  <si>
    <t>零跑退回</t>
  </si>
  <si>
    <t>库内不良</t>
  </si>
  <si>
    <t>退回供应商</t>
  </si>
  <si>
    <t>不合格品库存</t>
  </si>
  <si>
    <t>可用结存</t>
  </si>
  <si>
    <t>最高库存量</t>
  </si>
  <si>
    <t>单车用量</t>
  </si>
  <si>
    <t>入库</t>
  </si>
  <si>
    <t>出库</t>
  </si>
  <si>
    <t>到货日期</t>
  </si>
  <si>
    <t>厂家代码</t>
  </si>
  <si>
    <t>到货单号</t>
  </si>
  <si>
    <t>零件编号</t>
  </si>
  <si>
    <t>收货数量</t>
  </si>
  <si>
    <t>包装类型</t>
  </si>
  <si>
    <t>包装数量</t>
  </si>
  <si>
    <t>备注</t>
  </si>
  <si>
    <t>箱数</t>
  </si>
  <si>
    <t>1DH</t>
  </si>
  <si>
    <t>宁波碧海精工有限公司</t>
  </si>
  <si>
    <t>S260504001</t>
  </si>
  <si>
    <t>3.2.44.30.02154-000</t>
  </si>
  <si>
    <t>昌 玉</t>
  </si>
  <si>
    <t>S260507001</t>
  </si>
  <si>
    <t>发货日期</t>
  </si>
  <si>
    <t>装箱单号</t>
  </si>
  <si>
    <t>发货数量</t>
  </si>
  <si>
    <t>日期</t>
  </si>
  <si>
    <t>零件号/空盛具</t>
  </si>
  <si>
    <t>退货数量</t>
  </si>
  <si>
    <t>发货人</t>
  </si>
  <si>
    <t>单号</t>
  </si>
  <si>
    <t>备注2</t>
  </si>
  <si>
    <t>交付地点</t>
  </si>
  <si>
    <t>02154端板</t>
  </si>
  <si>
    <t>料盒</t>
  </si>
  <si>
    <t>电池工厂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</si>
</sst>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 "/>
    <numFmt numFmtId="179" formatCode="yyyy&quot;年&quot;m&quot;月&quot;;@"/>
  </numFmts>
  <fonts count="54">
    <font>
      <sz val="11"/>
      <color rgb="FF000000"/>
      <name val="宋体"/>
      <charset val="134"/>
    </font>
    <font>
      <sz val="14"/>
      <color rgb="FF000000"/>
      <name val="宋体"/>
      <charset val="134"/>
    </font>
    <font>
      <b/>
      <sz val="14"/>
      <color rgb="FFFFFFFF"/>
      <name val="Microsoft YaHei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  <scheme val="major"/>
    </font>
    <font>
      <sz val="14"/>
      <name val="宋体"/>
      <charset val="134"/>
      <scheme val="major"/>
    </font>
    <font>
      <b/>
      <sz val="12"/>
      <color rgb="FF000000"/>
      <name val="宋体"/>
      <charset val="134"/>
    </font>
    <font>
      <sz val="11"/>
      <name val="微软雅黑"/>
      <charset val="134"/>
    </font>
    <font>
      <sz val="10"/>
      <name val="MS Sans Serif"/>
      <charset val="134"/>
    </font>
    <font>
      <sz val="10"/>
      <name val="宋体"/>
      <charset val="134"/>
    </font>
    <font>
      <sz val="11"/>
      <color rgb="FF000000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sz val="11"/>
      <color rgb="FF000000"/>
      <name val="Microsoft YaHei"/>
      <charset val="134"/>
    </font>
    <font>
      <sz val="12"/>
      <name val="微软雅黑"/>
      <charset val="134"/>
    </font>
    <font>
      <sz val="12"/>
      <name val="宋体"/>
      <charset val="134"/>
    </font>
    <font>
      <sz val="12"/>
      <color rgb="FF000000"/>
      <name val="黑体"/>
      <charset val="134"/>
    </font>
    <font>
      <sz val="12"/>
      <color rgb="FF000000"/>
      <name val="宋体"/>
      <charset val="134"/>
      <scheme val="major"/>
    </font>
    <font>
      <b/>
      <sz val="12"/>
      <name val="黑体"/>
      <charset val="134"/>
    </font>
    <font>
      <b/>
      <sz val="14"/>
      <name val="宋体"/>
      <charset val="134"/>
      <scheme val="major"/>
    </font>
    <font>
      <b/>
      <sz val="12"/>
      <color rgb="FF000000"/>
      <name val="黑体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Microsoft YaHei"/>
      <charset val="134"/>
    </font>
    <font>
      <b/>
      <sz val="1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FFFF"/>
      <name val="宋体"/>
      <charset val="134"/>
    </font>
    <font>
      <sz val="10"/>
      <name val="Arial"/>
      <charset val="134"/>
    </font>
    <font>
      <b/>
      <sz val="15"/>
      <color rgb="FF1F497D"/>
      <name val="宋体"/>
      <charset val="134"/>
    </font>
    <font>
      <b/>
      <sz val="13"/>
      <color rgb="FF1F497D"/>
      <name val="宋体"/>
      <charset val="134"/>
    </font>
    <font>
      <b/>
      <sz val="11"/>
      <color rgb="FF1F497D"/>
      <name val="宋体"/>
      <charset val="134"/>
    </font>
    <font>
      <sz val="18"/>
      <color rgb="FF1F497D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</borders>
  <cellStyleXfs count="83">
    <xf numFmtId="0" fontId="0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8" borderId="9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12" applyNumberFormat="0" applyAlignment="0" applyProtection="0">
      <alignment vertical="center"/>
    </xf>
    <xf numFmtId="0" fontId="38" fillId="10" borderId="13" applyNumberFormat="0" applyAlignment="0" applyProtection="0">
      <alignment vertical="center"/>
    </xf>
    <xf numFmtId="0" fontId="39" fillId="10" borderId="12" applyNumberFormat="0" applyAlignment="0" applyProtection="0">
      <alignment vertical="center"/>
    </xf>
    <xf numFmtId="0" fontId="40" fillId="11" borderId="14" applyNumberFormat="0" applyAlignment="0" applyProtection="0">
      <alignment vertical="center"/>
    </xf>
    <xf numFmtId="0" fontId="41" fillId="0" borderId="15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0" fillId="38" borderId="0" applyProtection="0">
      <alignment vertical="center"/>
    </xf>
    <xf numFmtId="0" fontId="0" fillId="39" borderId="0" applyProtection="0">
      <alignment vertical="center"/>
    </xf>
    <xf numFmtId="0" fontId="0" fillId="40" borderId="0" applyProtection="0">
      <alignment vertical="center"/>
    </xf>
    <xf numFmtId="0" fontId="0" fillId="41" borderId="0" applyProtection="0">
      <alignment vertical="center"/>
    </xf>
    <xf numFmtId="0" fontId="0" fillId="42" borderId="0" applyProtection="0">
      <alignment vertical="center"/>
    </xf>
    <xf numFmtId="0" fontId="0" fillId="43" borderId="0" applyProtection="0">
      <alignment vertical="center"/>
    </xf>
    <xf numFmtId="0" fontId="0" fillId="44" borderId="0" applyProtection="0">
      <alignment vertical="center"/>
    </xf>
    <xf numFmtId="0" fontId="0" fillId="45" borderId="0" applyProtection="0">
      <alignment vertical="center"/>
    </xf>
    <xf numFmtId="0" fontId="0" fillId="46" borderId="0" applyProtection="0">
      <alignment vertical="center"/>
    </xf>
    <xf numFmtId="0" fontId="0" fillId="47" borderId="0" applyProtection="0">
      <alignment vertical="center"/>
    </xf>
    <xf numFmtId="0" fontId="0" fillId="48" borderId="0" applyProtection="0">
      <alignment vertical="center"/>
    </xf>
    <xf numFmtId="0" fontId="0" fillId="49" borderId="0" applyProtection="0">
      <alignment vertical="center"/>
    </xf>
    <xf numFmtId="0" fontId="48" fillId="50" borderId="0" applyProtection="0">
      <alignment vertical="center"/>
    </xf>
    <xf numFmtId="0" fontId="48" fillId="51" borderId="0" applyProtection="0">
      <alignment vertical="center"/>
    </xf>
    <xf numFmtId="0" fontId="48" fillId="52" borderId="0" applyProtection="0">
      <alignment vertical="center"/>
    </xf>
    <xf numFmtId="0" fontId="48" fillId="53" borderId="0" applyProtection="0">
      <alignment vertical="center"/>
    </xf>
    <xf numFmtId="0" fontId="48" fillId="54" borderId="0" applyProtection="0">
      <alignment vertical="center"/>
    </xf>
    <xf numFmtId="0" fontId="48" fillId="55" borderId="0" applyProtection="0">
      <alignment vertical="center"/>
    </xf>
    <xf numFmtId="0" fontId="49" fillId="0" borderId="0"/>
    <xf numFmtId="0" fontId="50" fillId="0" borderId="17" applyProtection="0">
      <alignment vertical="center"/>
    </xf>
    <xf numFmtId="0" fontId="51" fillId="0" borderId="18" applyProtection="0">
      <alignment vertical="center"/>
    </xf>
    <xf numFmtId="0" fontId="52" fillId="0" borderId="19" applyProtection="0">
      <alignment vertical="center"/>
    </xf>
    <xf numFmtId="0" fontId="53" fillId="0" borderId="0" applyProtection="0">
      <alignment vertical="center"/>
    </xf>
    <xf numFmtId="0" fontId="49" fillId="0" borderId="0" applyProtection="0"/>
    <xf numFmtId="0" fontId="17" fillId="0" borderId="0"/>
    <xf numFmtId="0" fontId="9" fillId="0" borderId="0"/>
    <xf numFmtId="0" fontId="28" fillId="0" borderId="0">
      <alignment vertical="center"/>
    </xf>
    <xf numFmtId="0" fontId="0" fillId="0" borderId="0"/>
    <xf numFmtId="0" fontId="48" fillId="56" borderId="0" applyProtection="0">
      <alignment vertical="center"/>
    </xf>
    <xf numFmtId="0" fontId="48" fillId="57" borderId="0" applyProtection="0">
      <alignment vertical="center"/>
    </xf>
    <xf numFmtId="0" fontId="48" fillId="58" borderId="0" applyProtection="0">
      <alignment vertical="center"/>
    </xf>
    <xf numFmtId="0" fontId="48" fillId="59" borderId="0" applyProtection="0">
      <alignment vertical="center"/>
    </xf>
    <xf numFmtId="0" fontId="48" fillId="60" borderId="0" applyProtection="0">
      <alignment vertical="center"/>
    </xf>
    <xf numFmtId="0" fontId="48" fillId="61" borderId="0" applyProtection="0">
      <alignment vertical="center"/>
    </xf>
  </cellStyleXfs>
  <cellXfs count="96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horizontal="center" vertical="center" wrapText="1" shrinkToFit="1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 applyProtection="1">
      <alignment horizontal="center" vertical="center" wrapText="1"/>
      <protection hidden="1"/>
    </xf>
    <xf numFmtId="0" fontId="6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/>
    </xf>
    <xf numFmtId="0" fontId="9" fillId="0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76" fontId="13" fillId="3" borderId="2" xfId="0" applyNumberFormat="1" applyFont="1" applyFill="1" applyBorder="1" applyAlignment="1" applyProtection="1">
      <alignment horizontal="center" vertical="center"/>
      <protection locked="0"/>
    </xf>
    <xf numFmtId="177" fontId="13" fillId="3" borderId="1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>
      <alignment horizontal="center" vertical="center"/>
    </xf>
    <xf numFmtId="176" fontId="17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7" fillId="7" borderId="0" xfId="0" applyNumberFormat="1" applyFont="1" applyFill="1" applyBorder="1" applyAlignment="1">
      <alignment horizontal="center" vertical="center"/>
    </xf>
    <xf numFmtId="0" fontId="17" fillId="4" borderId="0" xfId="0" applyNumberFormat="1" applyFont="1" applyFill="1" applyBorder="1" applyAlignment="1">
      <alignment horizontal="center" vertical="center"/>
    </xf>
    <xf numFmtId="21" fontId="17" fillId="4" borderId="0" xfId="0" applyNumberFormat="1" applyFont="1" applyFill="1" applyBorder="1" applyAlignment="1">
      <alignment horizontal="center" vertical="center"/>
    </xf>
    <xf numFmtId="0" fontId="19" fillId="4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176" fontId="18" fillId="0" borderId="0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7" fillId="0" borderId="0" xfId="0" applyNumberFormat="1" applyFont="1" applyFill="1" applyBorder="1" applyAlignment="1">
      <alignment horizontal="center" vertical="center"/>
    </xf>
    <xf numFmtId="0" fontId="5" fillId="7" borderId="0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178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0" fillId="4" borderId="1" xfId="0" applyNumberFormat="1" applyFont="1" applyFill="1" applyBorder="1" applyAlignment="1">
      <alignment horizontal="center" vertical="center"/>
    </xf>
    <xf numFmtId="0" fontId="20" fillId="7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78" fontId="22" fillId="0" borderId="1" xfId="0" applyNumberFormat="1" applyFont="1" applyFill="1" applyBorder="1" applyAlignment="1">
      <alignment horizontal="center" vertical="center"/>
    </xf>
    <xf numFmtId="0" fontId="23" fillId="0" borderId="1" xfId="0" applyNumberFormat="1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78" fontId="18" fillId="7" borderId="1" xfId="0" applyNumberFormat="1" applyFont="1" applyFill="1" applyBorder="1" applyAlignment="1">
      <alignment horizontal="center" vertical="center"/>
    </xf>
    <xf numFmtId="14" fontId="23" fillId="0" borderId="1" xfId="0" applyNumberFormat="1" applyFont="1" applyFill="1" applyBorder="1" applyAlignment="1">
      <alignment horizontal="center" vertical="center"/>
    </xf>
    <xf numFmtId="0" fontId="23" fillId="4" borderId="1" xfId="0" applyNumberFormat="1" applyFont="1" applyFill="1" applyBorder="1" applyAlignment="1">
      <alignment horizontal="center" vertical="center"/>
    </xf>
    <xf numFmtId="0" fontId="15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4" fillId="7" borderId="1" xfId="0" applyFont="1" applyFill="1" applyBorder="1" applyAlignment="1" applyProtection="1">
      <alignment horizontal="center" vertical="center" wrapText="1"/>
      <protection hidden="1"/>
    </xf>
    <xf numFmtId="14" fontId="17" fillId="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179" fontId="26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27" fillId="0" borderId="0" xfId="0" applyFont="1" applyFill="1" applyAlignment="1" applyProtection="1">
      <alignment horizontal="center" vertical="center" wrapText="1"/>
      <protection hidden="1"/>
    </xf>
    <xf numFmtId="0" fontId="26" fillId="0" borderId="0" xfId="0" applyFont="1" applyFill="1" applyBorder="1" applyAlignment="1" applyProtection="1">
      <alignment horizontal="center" vertical="center" wrapText="1"/>
      <protection hidden="1"/>
    </xf>
    <xf numFmtId="0" fontId="2" fillId="2" borderId="4" xfId="0" applyFont="1" applyFill="1" applyBorder="1" applyAlignment="1" applyProtection="1">
      <alignment horizontal="center" vertical="center" wrapText="1"/>
      <protection hidden="1"/>
    </xf>
    <xf numFmtId="0" fontId="2" fillId="2" borderId="5" xfId="0" applyFont="1" applyFill="1" applyBorder="1" applyAlignment="1" applyProtection="1">
      <alignment horizontal="center" vertical="center" wrapText="1"/>
      <protection hidden="1"/>
    </xf>
    <xf numFmtId="0" fontId="2" fillId="2" borderId="6" xfId="0" applyFont="1" applyFill="1" applyBorder="1" applyAlignment="1" applyProtection="1">
      <alignment horizontal="center" vertical="center" wrapText="1"/>
      <protection hidden="1"/>
    </xf>
    <xf numFmtId="0" fontId="2" fillId="2" borderId="7" xfId="0" applyFont="1" applyFill="1" applyBorder="1" applyAlignment="1" applyProtection="1">
      <alignment horizontal="center" vertical="center" wrapText="1"/>
      <protection hidden="1"/>
    </xf>
    <xf numFmtId="0" fontId="2" fillId="2" borderId="8" xfId="0" applyFont="1" applyFill="1" applyBorder="1" applyAlignment="1" applyProtection="1">
      <alignment horizontal="center" vertical="center" wrapText="1"/>
      <protection hidden="1"/>
    </xf>
    <xf numFmtId="177" fontId="2" fillId="2" borderId="1" xfId="0" applyNumberFormat="1" applyFont="1" applyFill="1" applyBorder="1" applyAlignment="1" applyProtection="1">
      <alignment horizontal="center" vertical="center" wrapText="1" shrinkToFi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</cellXfs>
  <cellStyles count="8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2 2" xfId="56"/>
    <cellStyle name="40% - 强调文字颜色 3 2" xfId="57"/>
    <cellStyle name="40% - 强调文字颜色 4 2" xfId="58"/>
    <cellStyle name="40% - 强调文字颜色 5 2" xfId="59"/>
    <cellStyle name="40% - 强调文字颜色 6 2" xfId="60"/>
    <cellStyle name="60% - 强调文字颜色 1 2" xfId="61"/>
    <cellStyle name="60% - 强调文字颜色 2 2" xfId="62"/>
    <cellStyle name="60% - 强调文字颜色 3 2" xfId="63"/>
    <cellStyle name="60% - 强调文字颜色 4 2" xfId="64"/>
    <cellStyle name="60% - 强调文字颜色 5 2" xfId="65"/>
    <cellStyle name="60% - 强调文字颜色 6 2" xfId="66"/>
    <cellStyle name="Normal 2" xfId="67"/>
    <cellStyle name="标题 1 2" xfId="68"/>
    <cellStyle name="标题 2 2" xfId="69"/>
    <cellStyle name="标题 3 2" xfId="70"/>
    <cellStyle name="标题 6" xfId="71"/>
    <cellStyle name="常规 10" xfId="72"/>
    <cellStyle name="常规 10 3" xfId="73"/>
    <cellStyle name="常规 100 2" xfId="74"/>
    <cellStyle name="常规 4 11 2" xfId="75"/>
    <cellStyle name="常规 49" xfId="76"/>
    <cellStyle name="强调文字颜色 1 2" xfId="77"/>
    <cellStyle name="强调文字颜色 2 2" xfId="78"/>
    <cellStyle name="强调文字颜色 3 2" xfId="79"/>
    <cellStyle name="强调文字颜色 4 2" xfId="80"/>
    <cellStyle name="强调文字颜色 5 2" xfId="81"/>
    <cellStyle name="强调文字颜色 6 2" xfId="82"/>
  </cellStyles>
  <dxfs count="18">
    <dxf>
      <fill>
        <patternFill patternType="solid">
          <bgColor rgb="FFFF0000"/>
        </patternFill>
      </fill>
    </dxf>
    <dxf>
      <fill>
        <patternFill patternType="solid">
          <bgColor theme="9" tint="0.399822992645039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</dxf>
    <dxf>
      <fill>
        <gradientFill>
          <stop position="0">
            <color theme="4" tint="0.899777214880825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0"/>
        <u val="none"/>
        <color theme="4"/>
      </font>
      <fill>
        <gradientFill degree="90">
          <stop position="0">
            <color theme="4" tint="0.899777214880825"/>
          </stop>
          <stop position="1">
            <color rgb="FFFFEBEF"/>
          </stop>
        </gradient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/>
        <bottom style="thin">
          <color theme="4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rgb="FFDDDDDD"/>
        </horizontal>
      </border>
    </dxf>
    <dxf>
      <fill>
        <patternFill patternType="solid">
          <bgColor theme="4" tint="0.899807733390301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899807733390301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79979857783745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Medium9">
    <tableStyle name="渐变蓝色粉色系标题行首列表格样式_2c7eb5" count="7" xr9:uid="{EF666F58-E758-486E-A77B-1B21069A36D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secondRowStripe" dxfId="5"/>
      <tableStyleElement type="firstColumnStripe" dxfId="4"/>
    </tableStyle>
    <tableStyle name="中色系标题行镶边行表格样式_6e22f3" count="7" xr9:uid="{6F4B163B-7ACF-4D07-99B1-EC1FAB1CA43F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secondRowStripe" dxfId="12"/>
      <tableStyleElement type="firstColumnStripe" dxfId="11"/>
    </tableStyle>
  </tableStyles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  <pageSetUpPr fitToPage="1"/>
  </sheetPr>
  <dimension ref="A1:CC4"/>
  <sheetViews>
    <sheetView showGridLines="0" zoomScale="55" zoomScaleNormal="55" workbookViewId="0">
      <pane xSplit="1" ySplit="3" topLeftCell="B4" activePane="bottomRight" state="frozen"/>
      <selection/>
      <selection pane="topRight"/>
      <selection pane="bottomLeft"/>
      <selection pane="bottomRight" activeCell="L26" sqref="L26"/>
    </sheetView>
  </sheetViews>
  <sheetFormatPr defaultColWidth="9" defaultRowHeight="18" customHeight="1" outlineLevelRow="3"/>
  <cols>
    <col min="1" max="1" width="7.22222222222222" style="3" customWidth="1"/>
    <col min="2" max="2" width="9.55555555555556" style="3" customWidth="1"/>
    <col min="3" max="3" width="49.5555555555556" style="3" customWidth="1"/>
    <col min="4" max="4" width="16.5555555555556" style="3" customWidth="1"/>
    <col min="5" max="5" width="33.4444444444444" style="3" customWidth="1"/>
    <col min="6" max="6" width="22" style="3" customWidth="1"/>
    <col min="7" max="7" width="10.4444444444444" style="3" customWidth="1"/>
    <col min="8" max="10" width="10" style="3" customWidth="1"/>
    <col min="11" max="11" width="8.33333333333333" style="3" customWidth="1"/>
    <col min="12" max="12" width="8.66666666666667" style="3" customWidth="1"/>
    <col min="13" max="15" width="10" style="3" customWidth="1"/>
    <col min="16" max="16" width="11.3333333333333" style="3" customWidth="1"/>
    <col min="17" max="17" width="10" style="3" customWidth="1"/>
    <col min="18" max="18" width="6.33333333333333" style="3" customWidth="1"/>
    <col min="19" max="19" width="10" style="3" customWidth="1"/>
    <col min="20" max="28" width="11.2222222222222" style="3" customWidth="1"/>
    <col min="29" max="50" width="12.3333333333333" style="3" customWidth="1"/>
    <col min="51" max="59" width="11.2222222222222" style="3" customWidth="1"/>
    <col min="60" max="78" width="12.3333333333333" style="3" customWidth="1"/>
    <col min="79" max="81" width="12.8888888888889" customWidth="1"/>
  </cols>
  <sheetData>
    <row r="1" s="81" customFormat="1" ht="55.95" customHeight="1" spans="1:81">
      <c r="A1" s="84">
        <v>46143</v>
      </c>
      <c r="B1" s="84"/>
      <c r="C1" s="84"/>
      <c r="D1" s="84"/>
      <c r="E1" s="84"/>
      <c r="F1" s="85" t="s">
        <v>0</v>
      </c>
      <c r="G1" s="85"/>
      <c r="H1" s="85"/>
      <c r="I1" s="85"/>
      <c r="J1" s="85"/>
      <c r="K1" s="85"/>
      <c r="L1" s="85"/>
      <c r="M1" s="85"/>
      <c r="N1" s="85"/>
      <c r="O1" s="85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</row>
    <row r="2" s="82" customFormat="1" ht="22.5" customHeight="1" spans="1:81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6" t="s">
        <v>6</v>
      </c>
      <c r="G2" s="6" t="s">
        <v>7</v>
      </c>
      <c r="H2" s="5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87" t="s">
        <v>20</v>
      </c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9"/>
      <c r="AY2" s="90" t="s">
        <v>21</v>
      </c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</row>
    <row r="3" s="82" customFormat="1" ht="22.5" customHeight="1" spans="1:81">
      <c r="A3" s="4"/>
      <c r="B3" s="4"/>
      <c r="C3" s="4"/>
      <c r="D3" s="7"/>
      <c r="E3" s="4"/>
      <c r="F3" s="6"/>
      <c r="G3" s="6"/>
      <c r="H3" s="7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92">
        <v>46143</v>
      </c>
      <c r="U3" s="92">
        <f>T3+1</f>
        <v>46144</v>
      </c>
      <c r="V3" s="92">
        <f t="shared" ref="V3:AX3" si="0">U3+1</f>
        <v>46145</v>
      </c>
      <c r="W3" s="92">
        <f t="shared" si="0"/>
        <v>46146</v>
      </c>
      <c r="X3" s="92">
        <f t="shared" si="0"/>
        <v>46147</v>
      </c>
      <c r="Y3" s="92">
        <f t="shared" si="0"/>
        <v>46148</v>
      </c>
      <c r="Z3" s="92">
        <f t="shared" si="0"/>
        <v>46149</v>
      </c>
      <c r="AA3" s="92">
        <f t="shared" si="0"/>
        <v>46150</v>
      </c>
      <c r="AB3" s="92">
        <f t="shared" si="0"/>
        <v>46151</v>
      </c>
      <c r="AC3" s="92">
        <f t="shared" si="0"/>
        <v>46152</v>
      </c>
      <c r="AD3" s="92">
        <f t="shared" si="0"/>
        <v>46153</v>
      </c>
      <c r="AE3" s="92">
        <f t="shared" si="0"/>
        <v>46154</v>
      </c>
      <c r="AF3" s="92">
        <f t="shared" si="0"/>
        <v>46155</v>
      </c>
      <c r="AG3" s="92">
        <f t="shared" si="0"/>
        <v>46156</v>
      </c>
      <c r="AH3" s="92">
        <f t="shared" si="0"/>
        <v>46157</v>
      </c>
      <c r="AI3" s="92">
        <f t="shared" si="0"/>
        <v>46158</v>
      </c>
      <c r="AJ3" s="92">
        <f t="shared" si="0"/>
        <v>46159</v>
      </c>
      <c r="AK3" s="92">
        <f t="shared" si="0"/>
        <v>46160</v>
      </c>
      <c r="AL3" s="92">
        <f t="shared" si="0"/>
        <v>46161</v>
      </c>
      <c r="AM3" s="92">
        <f t="shared" si="0"/>
        <v>46162</v>
      </c>
      <c r="AN3" s="92">
        <f t="shared" si="0"/>
        <v>46163</v>
      </c>
      <c r="AO3" s="92">
        <f t="shared" si="0"/>
        <v>46164</v>
      </c>
      <c r="AP3" s="92">
        <f t="shared" si="0"/>
        <v>46165</v>
      </c>
      <c r="AQ3" s="92">
        <f t="shared" si="0"/>
        <v>46166</v>
      </c>
      <c r="AR3" s="92">
        <f t="shared" si="0"/>
        <v>46167</v>
      </c>
      <c r="AS3" s="92">
        <f t="shared" si="0"/>
        <v>46168</v>
      </c>
      <c r="AT3" s="92">
        <f t="shared" si="0"/>
        <v>46169</v>
      </c>
      <c r="AU3" s="92">
        <f t="shared" si="0"/>
        <v>46170</v>
      </c>
      <c r="AV3" s="92">
        <f t="shared" si="0"/>
        <v>46171</v>
      </c>
      <c r="AW3" s="92">
        <f t="shared" si="0"/>
        <v>46172</v>
      </c>
      <c r="AX3" s="92">
        <f t="shared" si="0"/>
        <v>46173</v>
      </c>
      <c r="AY3" s="92">
        <v>46143</v>
      </c>
      <c r="AZ3" s="92">
        <f>AY3+1</f>
        <v>46144</v>
      </c>
      <c r="BA3" s="92">
        <f t="shared" ref="BA3:CC3" si="1">AZ3+1</f>
        <v>46145</v>
      </c>
      <c r="BB3" s="92">
        <f t="shared" si="1"/>
        <v>46146</v>
      </c>
      <c r="BC3" s="92">
        <f t="shared" si="1"/>
        <v>46147</v>
      </c>
      <c r="BD3" s="92">
        <f t="shared" si="1"/>
        <v>46148</v>
      </c>
      <c r="BE3" s="92">
        <f t="shared" si="1"/>
        <v>46149</v>
      </c>
      <c r="BF3" s="92">
        <f t="shared" si="1"/>
        <v>46150</v>
      </c>
      <c r="BG3" s="92">
        <f t="shared" si="1"/>
        <v>46151</v>
      </c>
      <c r="BH3" s="92">
        <f t="shared" si="1"/>
        <v>46152</v>
      </c>
      <c r="BI3" s="92">
        <f t="shared" si="1"/>
        <v>46153</v>
      </c>
      <c r="BJ3" s="92">
        <f t="shared" si="1"/>
        <v>46154</v>
      </c>
      <c r="BK3" s="92">
        <f t="shared" si="1"/>
        <v>46155</v>
      </c>
      <c r="BL3" s="92">
        <f t="shared" si="1"/>
        <v>46156</v>
      </c>
      <c r="BM3" s="92">
        <f t="shared" si="1"/>
        <v>46157</v>
      </c>
      <c r="BN3" s="92">
        <f t="shared" si="1"/>
        <v>46158</v>
      </c>
      <c r="BO3" s="92">
        <f t="shared" si="1"/>
        <v>46159</v>
      </c>
      <c r="BP3" s="92">
        <f t="shared" si="1"/>
        <v>46160</v>
      </c>
      <c r="BQ3" s="92">
        <f t="shared" si="1"/>
        <v>46161</v>
      </c>
      <c r="BR3" s="92">
        <f t="shared" si="1"/>
        <v>46162</v>
      </c>
      <c r="BS3" s="92">
        <f t="shared" si="1"/>
        <v>46163</v>
      </c>
      <c r="BT3" s="92">
        <f t="shared" si="1"/>
        <v>46164</v>
      </c>
      <c r="BU3" s="92">
        <f t="shared" si="1"/>
        <v>46165</v>
      </c>
      <c r="BV3" s="92">
        <f t="shared" si="1"/>
        <v>46166</v>
      </c>
      <c r="BW3" s="92">
        <f t="shared" si="1"/>
        <v>46167</v>
      </c>
      <c r="BX3" s="92">
        <f t="shared" si="1"/>
        <v>46168</v>
      </c>
      <c r="BY3" s="92">
        <f t="shared" si="1"/>
        <v>46169</v>
      </c>
      <c r="BZ3" s="92">
        <f t="shared" si="1"/>
        <v>46170</v>
      </c>
      <c r="CA3" s="92">
        <f t="shared" si="1"/>
        <v>46171</v>
      </c>
      <c r="CB3" s="92">
        <f t="shared" si="1"/>
        <v>46172</v>
      </c>
      <c r="CC3" s="92">
        <f t="shared" si="1"/>
        <v>46173</v>
      </c>
    </row>
    <row r="4" s="83" customFormat="1" ht="25.05" customHeight="1" spans="1:81">
      <c r="A4" s="93">
        <f>ROW()-3</f>
        <v>1</v>
      </c>
      <c r="B4" s="9" t="str">
        <f>IFERROR(VLOOKUP(基础数据!B3,基础数据!B:B,1,0),"")</f>
        <v>1DH</v>
      </c>
      <c r="C4" s="10" t="str">
        <f>IFERROR(VLOOKUP(基础数据!C3,基础数据!C:C,1,0),"")</f>
        <v>宁波碧海精工有限公司</v>
      </c>
      <c r="D4" s="10" t="str">
        <f>IFERROR(VLOOKUP(基础数据!D3,基础数据!D:D,1,0),"")</f>
        <v/>
      </c>
      <c r="E4" s="94" t="str">
        <f>IFERROR(VLOOKUP(基础数据!E3,基础数据!E:E,1,0),"")</f>
        <v>3.2.44.30.02154-000</v>
      </c>
      <c r="F4" s="13" t="str">
        <f>IFERROR(VLOOKUP(基础数据!F3,基础数据!F:F,1,0),"")</f>
        <v>02154端板</v>
      </c>
      <c r="G4" s="13">
        <f>IFERROR(VLOOKUP(基础数据!G3,基础数据!G:G,1,0),"")</f>
        <v>84</v>
      </c>
      <c r="H4" s="10" t="str">
        <f>IFERROR(VLOOKUP(基础数据!H3,基础数据!H:H,1,0),"")</f>
        <v>料盒</v>
      </c>
      <c r="I4" s="93">
        <v>3360</v>
      </c>
      <c r="J4" s="93">
        <v>0</v>
      </c>
      <c r="K4" s="93">
        <f>SUMIF(合格品入货记录!E:E,日报!E4,合格品入货记录!G:G)</f>
        <v>6720</v>
      </c>
      <c r="L4" s="93">
        <f>SUMIF(合格品出库记录!E:E,日报!E4,合格品出库记录!G:G)</f>
        <v>6720</v>
      </c>
      <c r="M4" s="93">
        <f>SUMIF(零跑退回!D:D,日报!E:E,零跑退回!F:F)</f>
        <v>0</v>
      </c>
      <c r="N4" s="93">
        <f>SUMIF(库内不良!D:D,E:E,库内不良!F:F)</f>
        <v>0</v>
      </c>
      <c r="O4" s="93">
        <f>SUMIF(退回供应商!D:D,日报!E:E,退回供应商!F:F)</f>
        <v>0</v>
      </c>
      <c r="P4" s="93">
        <f>J4+M4+N4-O4</f>
        <v>0</v>
      </c>
      <c r="Q4" s="95">
        <f>I4+K4-L4-N4</f>
        <v>3360</v>
      </c>
      <c r="R4" s="93"/>
      <c r="S4" s="93">
        <v>1</v>
      </c>
      <c r="T4" s="93" t="str">
        <f>IF(SUMIFS(合格品入货记录!$G:$G,合格品入货记录!$E:$E,日报!$E:$E,合格品入货记录!$A:$A,日报!T$3)&lt;&gt;0,SUMIFS(合格品入货记录!$G:$G,合格品入货记录!$E:$E,日报!$E:$E,合格品入货记录!$A:$A,日报!T$3),"")</f>
        <v/>
      </c>
      <c r="U4" s="93" t="str">
        <f>IF(SUMIFS(合格品入货记录!$G:$G,合格品入货记录!$E:$E,日报!$E:$E,合格品入货记录!$A:$A,日报!U$3)&lt;&gt;0,SUMIFS(合格品入货记录!$G:$G,合格品入货记录!$E:$E,日报!$E:$E,合格品入货记录!$A:$A,日报!U$3),"")</f>
        <v/>
      </c>
      <c r="V4" s="93" t="str">
        <f>IF(SUMIFS(合格品入货记录!$G:$G,合格品入货记录!$E:$E,日报!$E:$E,合格品入货记录!$A:$A,日报!V$3)&lt;&gt;0,SUMIFS(合格品入货记录!$G:$G,合格品入货记录!$E:$E,日报!$E:$E,合格品入货记录!$A:$A,日报!V$3),"")</f>
        <v/>
      </c>
      <c r="W4" s="93" t="str">
        <f>IF(SUMIFS(合格品入货记录!$G:$G,合格品入货记录!$E:$E,日报!$E:$E,合格品入货记录!$A:$A,日报!W$3)&lt;&gt;0,SUMIFS(合格品入货记录!$G:$G,合格品入货记录!$E:$E,日报!$E:$E,合格品入货记录!$A:$A,日报!W$3),"")</f>
        <v/>
      </c>
      <c r="X4" s="93">
        <f>IF(SUMIFS(合格品入货记录!$G:$G,合格品入货记录!$E:$E,日报!$E:$E,合格品入货记录!$A:$A,日报!X$3)&lt;&gt;0,SUMIFS(合格品入货记录!$G:$G,合格品入货记录!$E:$E,日报!$E:$E,合格品入货记录!$A:$A,日报!X$3),"")</f>
        <v>3360</v>
      </c>
      <c r="Y4" s="93" t="str">
        <f>IF(SUMIFS(合格品入货记录!$G:$G,合格品入货记录!$E:$E,日报!$E:$E,合格品入货记录!$A:$A,日报!Y$3)&lt;&gt;0,SUMIFS(合格品入货记录!$G:$G,合格品入货记录!$E:$E,日报!$E:$E,合格品入货记录!$A:$A,日报!Y$3),"")</f>
        <v/>
      </c>
      <c r="Z4" s="93" t="str">
        <f>IF(SUMIFS(合格品入货记录!$G:$G,合格品入货记录!$E:$E,日报!$E:$E,合格品入货记录!$A:$A,日报!Z$3)&lt;&gt;0,SUMIFS(合格品入货记录!$G:$G,合格品入货记录!$E:$E,日报!$E:$E,合格品入货记录!$A:$A,日报!Z$3),"")</f>
        <v/>
      </c>
      <c r="AA4" s="93">
        <f>IF(SUMIFS(合格品入货记录!$G:$G,合格品入货记录!$E:$E,日报!$E:$E,合格品入货记录!$A:$A,日报!AA$3)&lt;&gt;0,SUMIFS(合格品入货记录!$G:$G,合格品入货记录!$E:$E,日报!$E:$E,合格品入货记录!$A:$A,日报!AA$3),"")</f>
        <v>3360</v>
      </c>
      <c r="AB4" s="93" t="str">
        <f>IF(SUMIFS(合格品入货记录!$G:$G,合格品入货记录!$E:$E,日报!$E:$E,合格品入货记录!$A:$A,日报!AB$3)&lt;&gt;0,SUMIFS(合格品入货记录!$G:$G,合格品入货记录!$E:$E,日报!$E:$E,合格品入货记录!$A:$A,日报!AB$3),"")</f>
        <v/>
      </c>
      <c r="AC4" s="93" t="str">
        <f>IF(SUMIFS(合格品入货记录!$G:$G,合格品入货记录!$E:$E,日报!$E:$E,合格品入货记录!$A:$A,日报!AC$3)&lt;&gt;0,SUMIFS(合格品入货记录!$G:$G,合格品入货记录!$E:$E,日报!$E:$E,合格品入货记录!$A:$A,日报!AC$3),"")</f>
        <v/>
      </c>
      <c r="AD4" s="93" t="str">
        <f>IF(SUMIFS(合格品入货记录!$G:$G,合格品入货记录!$E:$E,日报!$E:$E,合格品入货记录!$A:$A,日报!AD$3)&lt;&gt;0,SUMIFS(合格品入货记录!$G:$G,合格品入货记录!$E:$E,日报!$E:$E,合格品入货记录!$A:$A,日报!AD$3),"")</f>
        <v/>
      </c>
      <c r="AE4" s="93" t="str">
        <f>IF(SUMIFS(合格品入货记录!$G:$G,合格品入货记录!$E:$E,日报!$E:$E,合格品入货记录!$A:$A,日报!AE$3)&lt;&gt;0,SUMIFS(合格品入货记录!$G:$G,合格品入货记录!$E:$E,日报!$E:$E,合格品入货记录!$A:$A,日报!AE$3),"")</f>
        <v/>
      </c>
      <c r="AF4" s="93" t="str">
        <f>IF(SUMIFS(合格品入货记录!$G:$G,合格品入货记录!$E:$E,日报!$E:$E,合格品入货记录!$A:$A,日报!AF$3)&lt;&gt;0,SUMIFS(合格品入货记录!$G:$G,合格品入货记录!$E:$E,日报!$E:$E,合格品入货记录!$A:$A,日报!AF$3),"")</f>
        <v/>
      </c>
      <c r="AG4" s="93" t="str">
        <f>IF(SUMIFS(合格品入货记录!$G:$G,合格品入货记录!$E:$E,日报!$E:$E,合格品入货记录!$A:$A,日报!AG$3)&lt;&gt;0,SUMIFS(合格品入货记录!$G:$G,合格品入货记录!$E:$E,日报!$E:$E,合格品入货记录!$A:$A,日报!AG$3),"")</f>
        <v/>
      </c>
      <c r="AH4" s="93" t="str">
        <f>IF(SUMIFS(合格品入货记录!$G:$G,合格品入货记录!$E:$E,日报!$E:$E,合格品入货记录!$A:$A,日报!AH$3)&lt;&gt;0,SUMIFS(合格品入货记录!$G:$G,合格品入货记录!$E:$E,日报!$E:$E,合格品入货记录!$A:$A,日报!AH$3),"")</f>
        <v/>
      </c>
      <c r="AI4" s="93" t="str">
        <f>IF(SUMIFS(合格品入货记录!$G:$G,合格品入货记录!$E:$E,日报!$E:$E,合格品入货记录!$A:$A,日报!AI$3)&lt;&gt;0,SUMIFS(合格品入货记录!$G:$G,合格品入货记录!$E:$E,日报!$E:$E,合格品入货记录!$A:$A,日报!AI$3),"")</f>
        <v/>
      </c>
      <c r="AJ4" s="93" t="str">
        <f>IF(SUMIFS(合格品入货记录!$G:$G,合格品入货记录!$E:$E,日报!$E:$E,合格品入货记录!$A:$A,日报!AJ$3)&lt;&gt;0,SUMIFS(合格品入货记录!$G:$G,合格品入货记录!$E:$E,日报!$E:$E,合格品入货记录!$A:$A,日报!AJ$3),"")</f>
        <v/>
      </c>
      <c r="AK4" s="93" t="str">
        <f>IF(SUMIFS(合格品入货记录!$G:$G,合格品入货记录!$E:$E,日报!$E:$E,合格品入货记录!$A:$A,日报!AK$3)&lt;&gt;0,SUMIFS(合格品入货记录!$G:$G,合格品入货记录!$E:$E,日报!$E:$E,合格品入货记录!$A:$A,日报!AK$3),"")</f>
        <v/>
      </c>
      <c r="AL4" s="93" t="str">
        <f>IF(SUMIFS(合格品入货记录!$G:$G,合格品入货记录!$E:$E,日报!$E:$E,合格品入货记录!$A:$A,日报!AL$3)&lt;&gt;0,SUMIFS(合格品入货记录!$G:$G,合格品入货记录!$E:$E,日报!$E:$E,合格品入货记录!$A:$A,日报!AL$3),"")</f>
        <v/>
      </c>
      <c r="AM4" s="93" t="str">
        <f>IF(SUMIFS(合格品入货记录!$G:$G,合格品入货记录!$E:$E,日报!$E:$E,合格品入货记录!$A:$A,日报!AM$3)&lt;&gt;0,SUMIFS(合格品入货记录!$G:$G,合格品入货记录!$E:$E,日报!$E:$E,合格品入货记录!$A:$A,日报!AM$3),"")</f>
        <v/>
      </c>
      <c r="AN4" s="93" t="str">
        <f>IF(SUMIFS(合格品入货记录!$G:$G,合格品入货记录!$E:$E,日报!$E:$E,合格品入货记录!$A:$A,日报!AN$3)&lt;&gt;0,SUMIFS(合格品入货记录!$G:$G,合格品入货记录!$E:$E,日报!$E:$E,合格品入货记录!$A:$A,日报!AN$3),"")</f>
        <v/>
      </c>
      <c r="AO4" s="93" t="str">
        <f>IF(SUMIFS(合格品入货记录!$G:$G,合格品入货记录!$E:$E,日报!$E:$E,合格品入货记录!$A:$A,日报!AO$3)&lt;&gt;0,SUMIFS(合格品入货记录!$G:$G,合格品入货记录!$E:$E,日报!$E:$E,合格品入货记录!$A:$A,日报!AO$3),"")</f>
        <v/>
      </c>
      <c r="AP4" s="93" t="str">
        <f>IF(SUMIFS(合格品入货记录!$G:$G,合格品入货记录!$E:$E,日报!$E:$E,合格品入货记录!$A:$A,日报!AP$3)&lt;&gt;0,SUMIFS(合格品入货记录!$G:$G,合格品入货记录!$E:$E,日报!$E:$E,合格品入货记录!$A:$A,日报!AP$3),"")</f>
        <v/>
      </c>
      <c r="AQ4" s="93" t="str">
        <f>IF(SUMIFS(合格品入货记录!$G:$G,合格品入货记录!$E:$E,日报!$E:$E,合格品入货记录!$A:$A,日报!AQ$3)&lt;&gt;0,SUMIFS(合格品入货记录!$G:$G,合格品入货记录!$E:$E,日报!$E:$E,合格品入货记录!$A:$A,日报!AQ$3),"")</f>
        <v/>
      </c>
      <c r="AR4" s="93" t="str">
        <f>IF(SUMIFS(合格品入货记录!$G:$G,合格品入货记录!$E:$E,日报!$E:$E,合格品入货记录!$A:$A,日报!AR$3)&lt;&gt;0,SUMIFS(合格品入货记录!$G:$G,合格品入货记录!$E:$E,日报!$E:$E,合格品入货记录!$A:$A,日报!AR$3),"")</f>
        <v/>
      </c>
      <c r="AS4" s="93" t="str">
        <f>IF(SUMIFS(合格品入货记录!$G:$G,合格品入货记录!$E:$E,日报!$E:$E,合格品入货记录!$A:$A,日报!AS$3)&lt;&gt;0,SUMIFS(合格品入货记录!$G:$G,合格品入货记录!$E:$E,日报!$E:$E,合格品入货记录!$A:$A,日报!AS$3),"")</f>
        <v/>
      </c>
      <c r="AT4" s="93" t="str">
        <f>IF(SUMIFS(合格品入货记录!$G:$G,合格品入货记录!$E:$E,日报!$E:$E,合格品入货记录!$A:$A,日报!AT$3)&lt;&gt;0,SUMIFS(合格品入货记录!$G:$G,合格品入货记录!$E:$E,日报!$E:$E,合格品入货记录!$A:$A,日报!AT$3),"")</f>
        <v/>
      </c>
      <c r="AU4" s="93" t="str">
        <f>IF(SUMIFS(合格品入货记录!$G:$G,合格品入货记录!$E:$E,日报!$E:$E,合格品入货记录!$A:$A,日报!AU$3)&lt;&gt;0,SUMIFS(合格品入货记录!$G:$G,合格品入货记录!$E:$E,日报!$E:$E,合格品入货记录!$A:$A,日报!AU$3),"")</f>
        <v/>
      </c>
      <c r="AV4" s="93"/>
      <c r="AW4" s="93"/>
      <c r="AX4" s="93"/>
      <c r="AY4" s="93" t="str">
        <f>IF(SUMIFS(合格品出库记录!$G:$G,合格品出库记录!$E:$E,日报!$E:$E,合格品出库记录!$A:$A,日报!AY$3)&lt;&gt;0,SUMIFS(合格品出库记录!$G:$G,合格品出库记录!$E:$E,日报!$E:$E,合格品出库记录!$A:$A,日报!AY$3),"")</f>
        <v/>
      </c>
      <c r="AZ4" s="93" t="str">
        <f>IF(SUMIFS(合格品出库记录!$G:$G,合格品出库记录!$E:$E,日报!$E:$E,合格品出库记录!$A:$A,日报!AZ$3)&lt;&gt;0,SUMIFS(合格品出库记录!$G:$G,合格品出库记录!$E:$E,日报!$E:$E,合格品出库记录!$A:$A,日报!AZ$3),"")</f>
        <v/>
      </c>
      <c r="BA4" s="93">
        <f>IF(SUMIFS(合格品出库记录!$G:$G,合格品出库记录!$E:$E,日报!$E:$E,合格品出库记录!$A:$A,日报!BA$3)&lt;&gt;0,SUMIFS(合格品出库记录!$G:$G,合格品出库记录!$E:$E,日报!$E:$E,合格品出库记录!$A:$A,日报!BA$3),"")</f>
        <v>3360</v>
      </c>
      <c r="BB4" s="93" t="str">
        <f>IF(SUMIFS(合格品出库记录!$G:$G,合格品出库记录!$E:$E,日报!$E:$E,合格品出库记录!$A:$A,日报!BB$3)&lt;&gt;0,SUMIFS(合格品出库记录!$G:$G,合格品出库记录!$E:$E,日报!$E:$E,合格品出库记录!$A:$A,日报!BB$3),"")</f>
        <v/>
      </c>
      <c r="BC4" s="93" t="str">
        <f>IF(SUMIFS(合格品出库记录!$G:$G,合格品出库记录!$E:$E,日报!$E:$E,合格品出库记录!$A:$A,日报!BC$3)&lt;&gt;0,SUMIFS(合格品出库记录!$G:$G,合格品出库记录!$E:$E,日报!$E:$E,合格品出库记录!$A:$A,日报!BC$3),"")</f>
        <v/>
      </c>
      <c r="BD4" s="93" t="str">
        <f>IF(SUMIFS(合格品出库记录!$G:$G,合格品出库记录!$E:$E,日报!$E:$E,合格品出库记录!$A:$A,日报!BD$3)&lt;&gt;0,SUMIFS(合格品出库记录!$G:$G,合格品出库记录!$E:$E,日报!$E:$E,合格品出库记录!$A:$A,日报!BD$3),"")</f>
        <v/>
      </c>
      <c r="BE4" s="93" t="str">
        <f>IF(SUMIFS(合格品出库记录!$G:$G,合格品出库记录!$E:$E,日报!$E:$E,合格品出库记录!$A:$A,日报!BE$3)&lt;&gt;0,SUMIFS(合格品出库记录!$G:$G,合格品出库记录!$E:$E,日报!$E:$E,合格品出库记录!$A:$A,日报!BE$3),"")</f>
        <v/>
      </c>
      <c r="BF4" s="93" t="str">
        <f>IF(SUMIFS(合格品出库记录!$G:$G,合格品出库记录!$E:$E,日报!$E:$E,合格品出库记录!$A:$A,日报!BF$3)&lt;&gt;0,SUMIFS(合格品出库记录!$G:$G,合格品出库记录!$E:$E,日报!$E:$E,合格品出库记录!$A:$A,日报!BF$3),"")</f>
        <v/>
      </c>
      <c r="BG4" s="93" t="str">
        <f>IF(SUMIFS(合格品出库记录!$G:$G,合格品出库记录!$E:$E,日报!$E:$E,合格品出库记录!$A:$A,日报!BG$3)&lt;&gt;0,SUMIFS(合格品出库记录!$G:$G,合格品出库记录!$E:$E,日报!$E:$E,合格品出库记录!$A:$A,日报!BG$3),"")</f>
        <v/>
      </c>
      <c r="BH4" s="93" t="str">
        <f>IF(SUMIFS(合格品出库记录!$G:$G,合格品出库记录!$E:$E,日报!$E:$E,合格品出库记录!$A:$A,日报!BH$3)&lt;&gt;0,SUMIFS(合格品出库记录!$G:$G,合格品出库记录!$E:$E,日报!$E:$E,合格品出库记录!$A:$A,日报!BH$3),"")</f>
        <v/>
      </c>
      <c r="BI4" s="93" t="str">
        <f>IF(SUMIFS(合格品出库记录!$G:$G,合格品出库记录!$E:$E,日报!$E:$E,合格品出库记录!$A:$A,日报!BI$3)&lt;&gt;0,SUMIFS(合格品出库记录!$G:$G,合格品出库记录!$E:$E,日报!$E:$E,合格品出库记录!$A:$A,日报!BI$3),"")</f>
        <v/>
      </c>
      <c r="BJ4" s="93" t="str">
        <f>IF(SUMIFS(合格品出库记录!$G:$G,合格品出库记录!$E:$E,日报!$E:$E,合格品出库记录!$A:$A,日报!BJ$3)&lt;&gt;0,SUMIFS(合格品出库记录!$G:$G,合格品出库记录!$E:$E,日报!$E:$E,合格品出库记录!$A:$A,日报!BJ$3),"")</f>
        <v/>
      </c>
      <c r="BK4" s="93">
        <f>IF(SUMIFS(合格品出库记录!$G:$G,合格品出库记录!$E:$E,日报!$E:$E,合格品出库记录!$A:$A,日报!BK$3)&lt;&gt;0,SUMIFS(合格品出库记录!$G:$G,合格品出库记录!$E:$E,日报!$E:$E,合格品出库记录!$A:$A,日报!BK$3),"")</f>
        <v>3360</v>
      </c>
      <c r="BL4" s="93" t="str">
        <f>IF(SUMIFS(合格品出库记录!$G:$G,合格品出库记录!$E:$E,日报!$E:$E,合格品出库记录!$A:$A,日报!BL$3)&lt;&gt;0,SUMIFS(合格品出库记录!$G:$G,合格品出库记录!$E:$E,日报!$E:$E,合格品出库记录!$A:$A,日报!BL$3),"")</f>
        <v/>
      </c>
      <c r="BM4" s="93" t="str">
        <f>IF(SUMIFS(合格品出库记录!$G:$G,合格品出库记录!$E:$E,日报!$E:$E,合格品出库记录!$A:$A,日报!BM$3)&lt;&gt;0,SUMIFS(合格品出库记录!$G:$G,合格品出库记录!$E:$E,日报!$E:$E,合格品出库记录!$A:$A,日报!BM$3),"")</f>
        <v/>
      </c>
      <c r="BN4" s="93" t="str">
        <f>IF(SUMIFS(合格品出库记录!$G:$G,合格品出库记录!$E:$E,日报!$E:$E,合格品出库记录!$A:$A,日报!BN$3)&lt;&gt;0,SUMIFS(合格品出库记录!$G:$G,合格品出库记录!$E:$E,日报!$E:$E,合格品出库记录!$A:$A,日报!BN$3),"")</f>
        <v/>
      </c>
      <c r="BO4" s="93" t="str">
        <f>IF(SUMIFS(合格品出库记录!$G:$G,合格品出库记录!$E:$E,日报!$E:$E,合格品出库记录!$A:$A,日报!BO$3)&lt;&gt;0,SUMIFS(合格品出库记录!$G:$G,合格品出库记录!$E:$E,日报!$E:$E,合格品出库记录!$A:$A,日报!BO$3),"")</f>
        <v/>
      </c>
      <c r="BP4" s="93" t="str">
        <f>IF(SUMIFS(合格品出库记录!$G:$G,合格品出库记录!$E:$E,日报!$E:$E,合格品出库记录!$A:$A,日报!BP$3)&lt;&gt;0,SUMIFS(合格品出库记录!$G:$G,合格品出库记录!$E:$E,日报!$E:$E,合格品出库记录!$A:$A,日报!BP$3),"")</f>
        <v/>
      </c>
      <c r="BQ4" s="93" t="str">
        <f>IF(SUMIFS(合格品出库记录!$G:$G,合格品出库记录!$E:$E,日报!$E:$E,合格品出库记录!$A:$A,日报!BQ$3)&lt;&gt;0,SUMIFS(合格品出库记录!$G:$G,合格品出库记录!$E:$E,日报!$E:$E,合格品出库记录!$A:$A,日报!BQ$3),"")</f>
        <v/>
      </c>
      <c r="BR4" s="93" t="str">
        <f>IF(SUMIFS(合格品出库记录!$G:$G,合格品出库记录!$E:$E,日报!$E:$E,合格品出库记录!$A:$A,日报!BR$3)&lt;&gt;0,SUMIFS(合格品出库记录!$G:$G,合格品出库记录!$E:$E,日报!$E:$E,合格品出库记录!$A:$A,日报!BR$3),"")</f>
        <v/>
      </c>
      <c r="BS4" s="93" t="str">
        <f>IF(SUMIFS(合格品出库记录!$G:$G,合格品出库记录!$E:$E,日报!$E:$E,合格品出库记录!$A:$A,日报!BS$3)&lt;&gt;0,SUMIFS(合格品出库记录!$G:$G,合格品出库记录!$E:$E,日报!$E:$E,合格品出库记录!$A:$A,日报!BS$3),"")</f>
        <v/>
      </c>
      <c r="BT4" s="93" t="str">
        <f>IF(SUMIFS(合格品出库记录!$G:$G,合格品出库记录!$E:$E,日报!$E:$E,合格品出库记录!$A:$A,日报!BT$3)&lt;&gt;0,SUMIFS(合格品出库记录!$G:$G,合格品出库记录!$E:$E,日报!$E:$E,合格品出库记录!$A:$A,日报!BT$3),"")</f>
        <v/>
      </c>
      <c r="BU4" s="93" t="str">
        <f>IF(SUMIFS(合格品出库记录!$G:$G,合格品出库记录!$E:$E,日报!$E:$E,合格品出库记录!$A:$A,日报!BU$3)&lt;&gt;0,SUMIFS(合格品出库记录!$G:$G,合格品出库记录!$E:$E,日报!$E:$E,合格品出库记录!$A:$A,日报!BU$3),"")</f>
        <v/>
      </c>
      <c r="BV4" s="93" t="str">
        <f>IF(SUMIFS(合格品出库记录!$G:$G,合格品出库记录!$E:$E,日报!$E:$E,合格品出库记录!$A:$A,日报!BV$3)&lt;&gt;0,SUMIFS(合格品出库记录!$G:$G,合格品出库记录!$E:$E,日报!$E:$E,合格品出库记录!$A:$A,日报!BV$3),"")</f>
        <v/>
      </c>
      <c r="BW4" s="93" t="str">
        <f>IF(SUMIFS(合格品出库记录!$G:$G,合格品出库记录!$E:$E,日报!$E:$E,合格品出库记录!$A:$A,日报!BW$3)&lt;&gt;0,SUMIFS(合格品出库记录!$G:$G,合格品出库记录!$E:$E,日报!$E:$E,合格品出库记录!$A:$A,日报!BW$3),"")</f>
        <v/>
      </c>
      <c r="BX4" s="93" t="str">
        <f>IF(SUMIFS(合格品出库记录!$G:$G,合格品出库记录!$E:$E,日报!$E:$E,合格品出库记录!$A:$A,日报!BX$3)&lt;&gt;0,SUMIFS(合格品出库记录!$G:$G,合格品出库记录!$E:$E,日报!$E:$E,合格品出库记录!$A:$A,日报!BX$3),"")</f>
        <v/>
      </c>
      <c r="BY4" s="93" t="str">
        <f>IF(SUMIFS(合格品出库记录!$G:$G,合格品出库记录!$E:$E,日报!$E:$E,合格品出库记录!$A:$A,日报!BY$3)&lt;&gt;0,SUMIFS(合格品出库记录!$G:$G,合格品出库记录!$E:$E,日报!$E:$E,合格品出库记录!$A:$A,日报!BY$3),"")</f>
        <v/>
      </c>
      <c r="BZ4" s="93" t="str">
        <f>IF(SUMIFS(合格品出库记录!$G:$G,合格品出库记录!$E:$E,日报!$E:$E,合格品出库记录!$A:$A,日报!BZ$3)&lt;&gt;0,SUMIFS(合格品出库记录!$G:$G,合格品出库记录!$E:$E,日报!$E:$E,合格品出库记录!$A:$A,日报!BZ$3),"")</f>
        <v/>
      </c>
      <c r="CA4" s="93" t="str">
        <f>IF(SUMIFS(合格品出库记录!$G:$G,合格品出库记录!$E:$E,日报!$E:$E,合格品出库记录!$A:$A,日报!CA$3)&lt;&gt;0,SUMIFS(合格品出库记录!$G:$G,合格品出库记录!$E:$E,日报!$E:$E,合格品出库记录!$A:$A,日报!CA$3),"")</f>
        <v/>
      </c>
      <c r="CB4" s="93" t="str">
        <f>IF(SUMIFS(合格品出库记录!$G:$G,合格品出库记录!$E:$E,日报!$E:$E,合格品出库记录!$A:$A,日报!CB$3)&lt;&gt;0,SUMIFS(合格品出库记录!$G:$G,合格品出库记录!$E:$E,日报!$E:$E,合格品出库记录!$A:$A,日报!CB$3),"")</f>
        <v/>
      </c>
      <c r="CC4" s="93" t="str">
        <f>IF(SUMIFS(合格品出库记录!$G:$G,合格品出库记录!$E:$E,日报!$E:$E,合格品出库记录!$A:$A,日报!CC$3)&lt;&gt;0,SUMIFS(合格品出库记录!$G:$G,合格品出库记录!$E:$E,日报!$E:$E,合格品出库记录!$A:$A,日报!CC$3),"")</f>
        <v/>
      </c>
    </row>
  </sheetData>
  <sheetProtection selectLockedCells="1" selectUnlockedCells="1"/>
  <mergeCells count="23">
    <mergeCell ref="A1:E1"/>
    <mergeCell ref="F1:O1"/>
    <mergeCell ref="T2:AX2"/>
    <mergeCell ref="AY2:CC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</mergeCells>
  <conditionalFormatting sqref="Q4">
    <cfRule type="cellIs" dxfId="0" priority="163" operator="lessThanOrEqual">
      <formula>300</formula>
    </cfRule>
    <cfRule type="cellIs" dxfId="1" priority="166" operator="greaterThan">
      <formula>300</formula>
    </cfRule>
  </conditionalFormatting>
  <conditionalFormatting sqref="E2:E3 D2">
    <cfRule type="duplicateValues" dxfId="2" priority="15"/>
  </conditionalFormatting>
  <pageMargins left="0.708244776162576" right="0.708244776162576" top="0.747823152016467" bottom="0.747823152016467" header="0.315238382872634" footer="0.315238382872634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8"/>
  <sheetViews>
    <sheetView showGridLines="0" zoomScale="85" zoomScaleNormal="85" workbookViewId="0">
      <pane ySplit="1" topLeftCell="A2" activePane="bottomLeft" state="frozen"/>
      <selection/>
      <selection pane="bottomLeft" activeCell="F3" sqref="F3"/>
    </sheetView>
  </sheetViews>
  <sheetFormatPr defaultColWidth="11.3333333333333" defaultRowHeight="19.95" customHeight="1"/>
  <cols>
    <col min="1" max="1" width="13" style="61" customWidth="1"/>
    <col min="2" max="2" width="15.4444444444444" style="45" customWidth="1"/>
    <col min="3" max="3" width="32.7777777777778" style="45" customWidth="1"/>
    <col min="4" max="4" width="20.6666666666667" style="45" customWidth="1"/>
    <col min="5" max="5" width="26.5555555555556" style="45" customWidth="1"/>
    <col min="6" max="6" width="33.1111111111111" style="62" customWidth="1"/>
    <col min="7" max="7" width="11.2222222222222" style="45" customWidth="1"/>
    <col min="8" max="8" width="12.5555555555556" style="47" customWidth="1"/>
    <col min="9" max="9" width="10.4444444444444" style="45" customWidth="1"/>
    <col min="10" max="10" width="23.2222222222222" style="63" customWidth="1"/>
    <col min="11" max="11" width="12.6666666666667" style="64"/>
    <col min="12" max="12" width="14.3333333333333" style="65" customWidth="1"/>
    <col min="13" max="16384" width="11.3333333333333" style="65"/>
  </cols>
  <sheetData>
    <row r="1" s="60" customFormat="1" customHeight="1" spans="1:11">
      <c r="A1" s="66" t="s">
        <v>22</v>
      </c>
      <c r="B1" s="67" t="s">
        <v>23</v>
      </c>
      <c r="C1" s="67" t="s">
        <v>3</v>
      </c>
      <c r="D1" s="67" t="s">
        <v>24</v>
      </c>
      <c r="E1" s="67" t="s">
        <v>25</v>
      </c>
      <c r="F1" s="68" t="s">
        <v>6</v>
      </c>
      <c r="G1" s="67" t="s">
        <v>26</v>
      </c>
      <c r="H1" s="69" t="s">
        <v>27</v>
      </c>
      <c r="I1" s="70" t="s">
        <v>28</v>
      </c>
      <c r="J1" s="71" t="s">
        <v>29</v>
      </c>
      <c r="K1" s="72" t="s">
        <v>30</v>
      </c>
    </row>
    <row r="2" customHeight="1" spans="1:11">
      <c r="A2" s="51">
        <v>46147</v>
      </c>
      <c r="B2" s="9" t="s">
        <v>31</v>
      </c>
      <c r="C2" s="10" t="s">
        <v>32</v>
      </c>
      <c r="D2" s="73" t="s">
        <v>33</v>
      </c>
      <c r="E2" s="12" t="s">
        <v>34</v>
      </c>
      <c r="F2" s="53" t="str">
        <f>IFERROR(VLOOKUP(E2,日报!E:G,2,0),"")</f>
        <v>02154端板</v>
      </c>
      <c r="G2" s="73">
        <v>3360</v>
      </c>
      <c r="H2" s="54" t="str">
        <f>IFERROR(VLOOKUP(E2,日报!E:H,4,0),"")</f>
        <v>料盒</v>
      </c>
      <c r="I2" s="54">
        <f>IFERROR(VLOOKUP(E2,日报!E:G,3,0),"")</f>
        <v>84</v>
      </c>
      <c r="J2" s="74" t="s">
        <v>35</v>
      </c>
      <c r="K2" s="75">
        <f>IFERROR(G2/I2,"")</f>
        <v>40</v>
      </c>
    </row>
    <row r="3" customHeight="1" spans="1:11">
      <c r="A3" s="51">
        <v>46150</v>
      </c>
      <c r="B3" s="9" t="s">
        <v>31</v>
      </c>
      <c r="C3" s="10" t="s">
        <v>32</v>
      </c>
      <c r="D3" s="73" t="s">
        <v>36</v>
      </c>
      <c r="E3" s="12" t="s">
        <v>34</v>
      </c>
      <c r="F3" s="53" t="str">
        <f>IFERROR(VLOOKUP(E3,日报!E:G,2,0),"")</f>
        <v>02154端板</v>
      </c>
      <c r="G3" s="73">
        <v>3360</v>
      </c>
      <c r="H3" s="54" t="str">
        <f>IFERROR(VLOOKUP(E3,日报!E:H,4,0),"")</f>
        <v>料盒</v>
      </c>
      <c r="I3" s="54">
        <f>IFERROR(VLOOKUP(E3,日报!E:G,3,0),"")</f>
        <v>84</v>
      </c>
      <c r="J3" s="74" t="s">
        <v>35</v>
      </c>
      <c r="K3" s="75">
        <f>IFERROR(G3/I3,"")</f>
        <v>40</v>
      </c>
    </row>
    <row r="4" customHeight="1" spans="1:11">
      <c r="A4" s="76"/>
      <c r="B4" s="9"/>
      <c r="C4" s="10"/>
      <c r="D4" s="73"/>
      <c r="E4" s="12"/>
      <c r="F4" s="53"/>
      <c r="G4" s="73"/>
      <c r="H4" s="54"/>
      <c r="I4" s="54"/>
      <c r="J4" s="74"/>
      <c r="K4" s="75"/>
    </row>
    <row r="5" customHeight="1" spans="1:11">
      <c r="A5" s="76"/>
      <c r="B5" s="9"/>
      <c r="C5" s="10"/>
      <c r="D5" s="73"/>
      <c r="E5" s="12"/>
      <c r="F5" s="53"/>
      <c r="G5" s="73"/>
      <c r="H5" s="54"/>
      <c r="I5" s="54"/>
      <c r="J5" s="74"/>
      <c r="K5" s="75"/>
    </row>
    <row r="6" customHeight="1" spans="1:11">
      <c r="A6" s="76"/>
      <c r="B6" s="9"/>
      <c r="C6" s="10"/>
      <c r="D6" s="73"/>
      <c r="E6" s="73"/>
      <c r="F6" s="53"/>
      <c r="G6" s="73"/>
      <c r="H6" s="77"/>
      <c r="I6" s="78"/>
      <c r="J6" s="74"/>
      <c r="K6" s="75"/>
    </row>
    <row r="7" customHeight="1" spans="1:11">
      <c r="A7" s="76"/>
      <c r="B7" s="9"/>
      <c r="C7" s="10"/>
      <c r="D7" s="73"/>
      <c r="E7" s="73"/>
      <c r="F7" s="53"/>
      <c r="G7" s="73"/>
      <c r="H7" s="77"/>
      <c r="I7" s="78"/>
      <c r="J7" s="74"/>
      <c r="K7" s="75"/>
    </row>
    <row r="8" customHeight="1" spans="1:11">
      <c r="A8" s="76"/>
      <c r="B8" s="73"/>
      <c r="C8" s="73"/>
      <c r="D8" s="73"/>
      <c r="E8" s="73"/>
      <c r="F8" s="79"/>
      <c r="G8" s="73"/>
      <c r="H8" s="77"/>
      <c r="I8" s="78"/>
      <c r="J8" s="74"/>
      <c r="K8" s="75"/>
    </row>
    <row r="9" customHeight="1" spans="1:11">
      <c r="A9" s="76"/>
      <c r="B9" s="73"/>
      <c r="C9" s="73"/>
      <c r="D9" s="73"/>
      <c r="E9" s="73"/>
      <c r="F9" s="79"/>
      <c r="G9" s="73"/>
      <c r="H9" s="77"/>
      <c r="I9" s="78"/>
      <c r="J9" s="74"/>
      <c r="K9" s="75"/>
    </row>
    <row r="10" customHeight="1" spans="1:11">
      <c r="A10" s="76"/>
      <c r="B10" s="73"/>
      <c r="C10" s="73"/>
      <c r="D10" s="73"/>
      <c r="E10" s="73"/>
      <c r="F10" s="79"/>
      <c r="G10" s="73"/>
      <c r="H10" s="77"/>
      <c r="I10" s="78"/>
      <c r="J10" s="74"/>
      <c r="K10" s="75"/>
    </row>
    <row r="11" customHeight="1" spans="1:11">
      <c r="A11" s="76"/>
      <c r="B11" s="73"/>
      <c r="C11" s="73"/>
      <c r="D11" s="73"/>
      <c r="E11" s="73"/>
      <c r="F11" s="79"/>
      <c r="G11" s="73"/>
      <c r="H11" s="77"/>
      <c r="I11" s="78"/>
      <c r="J11" s="74"/>
      <c r="K11" s="75"/>
    </row>
    <row r="12" customHeight="1" spans="1:11">
      <c r="A12" s="76"/>
      <c r="B12" s="73"/>
      <c r="C12" s="73"/>
      <c r="D12" s="73"/>
      <c r="E12" s="73"/>
      <c r="F12" s="79"/>
      <c r="G12" s="73"/>
      <c r="H12" s="77"/>
      <c r="I12" s="78"/>
      <c r="J12" s="74"/>
      <c r="K12" s="75"/>
    </row>
    <row r="13" customHeight="1" spans="1:11">
      <c r="A13" s="76"/>
      <c r="B13" s="73"/>
      <c r="C13" s="73"/>
      <c r="D13" s="73"/>
      <c r="E13" s="73"/>
      <c r="F13" s="79"/>
      <c r="G13" s="73"/>
      <c r="H13" s="77"/>
      <c r="I13" s="78"/>
      <c r="J13" s="74"/>
      <c r="K13" s="75"/>
    </row>
    <row r="14" customHeight="1" spans="1:11">
      <c r="A14" s="76"/>
      <c r="B14" s="73"/>
      <c r="C14" s="73"/>
      <c r="D14" s="73"/>
      <c r="E14" s="73"/>
      <c r="F14" s="79"/>
      <c r="G14" s="73"/>
      <c r="H14" s="77"/>
      <c r="I14" s="78"/>
      <c r="J14" s="74"/>
      <c r="K14" s="75"/>
    </row>
    <row r="15" customHeight="1" spans="1:11">
      <c r="A15" s="76"/>
      <c r="B15" s="73"/>
      <c r="C15" s="73"/>
      <c r="D15" s="73"/>
      <c r="E15" s="73"/>
      <c r="F15" s="79"/>
      <c r="G15" s="73"/>
      <c r="H15" s="77"/>
      <c r="I15" s="78"/>
      <c r="J15" s="74"/>
      <c r="K15" s="75"/>
    </row>
    <row r="16" customHeight="1" spans="1:11">
      <c r="A16" s="76"/>
      <c r="B16" s="73"/>
      <c r="C16" s="73"/>
      <c r="D16" s="73"/>
      <c r="E16" s="73"/>
      <c r="F16" s="79" t="str">
        <f>IFERROR(VLOOKUP(E16,日报!E:F,2,0),"")</f>
        <v/>
      </c>
      <c r="G16" s="73"/>
      <c r="H16" s="77" t="str">
        <f>IFERROR(VLOOKUP(E16,日报!E:H,4,0),"")</f>
        <v/>
      </c>
      <c r="I16" s="78" t="str">
        <f>IFERROR(VLOOKUP(E16,日报!E:G,4,0),"")</f>
        <v/>
      </c>
      <c r="J16" s="74"/>
      <c r="K16" s="75" t="str">
        <f t="shared" ref="K4:K67" si="0">IFERROR(G16/I16,"")</f>
        <v/>
      </c>
    </row>
    <row r="17" customHeight="1" spans="1:11">
      <c r="A17" s="76"/>
      <c r="B17" s="73"/>
      <c r="C17" s="73"/>
      <c r="D17" s="73"/>
      <c r="E17" s="73"/>
      <c r="F17" s="79" t="str">
        <f>IFERROR(VLOOKUP(E17,日报!E:F,2,0),"")</f>
        <v/>
      </c>
      <c r="G17" s="73"/>
      <c r="H17" s="77" t="str">
        <f>IFERROR(VLOOKUP(E17,日报!E:H,4,0),"")</f>
        <v/>
      </c>
      <c r="I17" s="78" t="str">
        <f>IFERROR(VLOOKUP(E17,日报!E:G,4,0),"")</f>
        <v/>
      </c>
      <c r="J17" s="74"/>
      <c r="K17" s="75" t="str">
        <f t="shared" si="0"/>
        <v/>
      </c>
    </row>
    <row r="18" customHeight="1" spans="1:11">
      <c r="A18" s="76"/>
      <c r="B18" s="73"/>
      <c r="C18" s="73"/>
      <c r="D18" s="73"/>
      <c r="E18" s="73"/>
      <c r="F18" s="79" t="str">
        <f>IFERROR(VLOOKUP(E18,日报!E:F,2,0),"")</f>
        <v/>
      </c>
      <c r="G18" s="73"/>
      <c r="H18" s="77" t="str">
        <f>IFERROR(VLOOKUP(E18,日报!E:H,4,0),"")</f>
        <v/>
      </c>
      <c r="I18" s="78" t="str">
        <f>IFERROR(VLOOKUP(E18,日报!E:G,4,0),"")</f>
        <v/>
      </c>
      <c r="J18" s="74"/>
      <c r="K18" s="75" t="str">
        <f t="shared" si="0"/>
        <v/>
      </c>
    </row>
    <row r="19" customHeight="1" spans="1:11">
      <c r="A19" s="76"/>
      <c r="B19" s="73"/>
      <c r="C19" s="73"/>
      <c r="D19" s="73"/>
      <c r="E19" s="73"/>
      <c r="F19" s="79" t="str">
        <f>IFERROR(VLOOKUP(E19,日报!E:F,2,0),"")</f>
        <v/>
      </c>
      <c r="G19" s="73"/>
      <c r="H19" s="77" t="str">
        <f>IFERROR(VLOOKUP(E19,日报!E:H,4,0),"")</f>
        <v/>
      </c>
      <c r="I19" s="78" t="str">
        <f>IFERROR(VLOOKUP(E19,日报!E:G,4,0),"")</f>
        <v/>
      </c>
      <c r="J19" s="74"/>
      <c r="K19" s="75" t="str">
        <f t="shared" si="0"/>
        <v/>
      </c>
    </row>
    <row r="20" customHeight="1" spans="1:11">
      <c r="A20" s="76"/>
      <c r="B20" s="73"/>
      <c r="C20" s="73"/>
      <c r="D20" s="73"/>
      <c r="E20" s="73"/>
      <c r="F20" s="79" t="str">
        <f>IFERROR(VLOOKUP(E20,日报!E:F,2,0),"")</f>
        <v/>
      </c>
      <c r="G20" s="73"/>
      <c r="H20" s="77" t="str">
        <f>IFERROR(VLOOKUP(E20,日报!E:H,4,0),"")</f>
        <v/>
      </c>
      <c r="I20" s="78" t="str">
        <f>IFERROR(VLOOKUP(E20,日报!E:G,4,0),"")</f>
        <v/>
      </c>
      <c r="J20" s="74"/>
      <c r="K20" s="75" t="str">
        <f t="shared" si="0"/>
        <v/>
      </c>
    </row>
    <row r="21" customHeight="1" spans="1:11">
      <c r="A21" s="76"/>
      <c r="B21" s="73"/>
      <c r="C21" s="73"/>
      <c r="D21" s="73"/>
      <c r="E21" s="73"/>
      <c r="F21" s="79" t="str">
        <f>IFERROR(VLOOKUP(E21,日报!E:F,2,0),"")</f>
        <v/>
      </c>
      <c r="G21" s="73"/>
      <c r="H21" s="77" t="str">
        <f>IFERROR(VLOOKUP(E21,日报!E:H,4,0),"")</f>
        <v/>
      </c>
      <c r="I21" s="78" t="str">
        <f>IFERROR(VLOOKUP(E21,日报!E:G,4,0),"")</f>
        <v/>
      </c>
      <c r="J21" s="74"/>
      <c r="K21" s="75" t="str">
        <f t="shared" si="0"/>
        <v/>
      </c>
    </row>
    <row r="22" customHeight="1" spans="1:11">
      <c r="A22" s="76"/>
      <c r="B22" s="73"/>
      <c r="C22" s="73"/>
      <c r="D22" s="73"/>
      <c r="E22" s="73"/>
      <c r="F22" s="79" t="str">
        <f>IFERROR(VLOOKUP(E22,日报!E:F,2,0),"")</f>
        <v/>
      </c>
      <c r="G22" s="73"/>
      <c r="H22" s="77" t="str">
        <f>IFERROR(VLOOKUP(E22,日报!E:H,4,0),"")</f>
        <v/>
      </c>
      <c r="I22" s="78" t="str">
        <f>IFERROR(VLOOKUP(E22,日报!E:G,4,0),"")</f>
        <v/>
      </c>
      <c r="J22" s="74"/>
      <c r="K22" s="75" t="str">
        <f t="shared" si="0"/>
        <v/>
      </c>
    </row>
    <row r="23" customHeight="1" spans="1:11">
      <c r="A23" s="76"/>
      <c r="B23" s="73"/>
      <c r="C23" s="73"/>
      <c r="D23" s="73"/>
      <c r="E23" s="73"/>
      <c r="F23" s="79" t="str">
        <f>IFERROR(VLOOKUP(E23,日报!E:F,2,0),"")</f>
        <v/>
      </c>
      <c r="G23" s="73"/>
      <c r="H23" s="77" t="str">
        <f>IFERROR(VLOOKUP(E23,日报!E:H,4,0),"")</f>
        <v/>
      </c>
      <c r="I23" s="78" t="str">
        <f>IFERROR(VLOOKUP(E23,日报!E:G,4,0),"")</f>
        <v/>
      </c>
      <c r="J23" s="74"/>
      <c r="K23" s="75" t="str">
        <f t="shared" si="0"/>
        <v/>
      </c>
    </row>
    <row r="24" customHeight="1" spans="1:11">
      <c r="A24" s="76"/>
      <c r="B24" s="73"/>
      <c r="C24" s="73"/>
      <c r="D24" s="73"/>
      <c r="E24" s="73"/>
      <c r="F24" s="79" t="str">
        <f>IFERROR(VLOOKUP(E24,日报!E:F,2,0),"")</f>
        <v/>
      </c>
      <c r="G24" s="73"/>
      <c r="H24" s="77" t="str">
        <f>IFERROR(VLOOKUP(E24,日报!E:H,4,0),"")</f>
        <v/>
      </c>
      <c r="I24" s="78" t="str">
        <f>IFERROR(VLOOKUP(E24,日报!E:G,4,0),"")</f>
        <v/>
      </c>
      <c r="J24" s="74"/>
      <c r="K24" s="75" t="str">
        <f t="shared" si="0"/>
        <v/>
      </c>
    </row>
    <row r="25" customHeight="1" spans="1:11">
      <c r="A25" s="76"/>
      <c r="B25" s="73"/>
      <c r="C25" s="73"/>
      <c r="D25" s="73"/>
      <c r="E25" s="73"/>
      <c r="F25" s="79" t="str">
        <f>IFERROR(VLOOKUP(E25,日报!E:F,2,0),"")</f>
        <v/>
      </c>
      <c r="G25" s="73"/>
      <c r="H25" s="77" t="str">
        <f>IFERROR(VLOOKUP(E25,日报!E:H,4,0),"")</f>
        <v/>
      </c>
      <c r="I25" s="78" t="str">
        <f>IFERROR(VLOOKUP(E25,日报!E:G,4,0),"")</f>
        <v/>
      </c>
      <c r="J25" s="74"/>
      <c r="K25" s="75" t="str">
        <f t="shared" si="0"/>
        <v/>
      </c>
    </row>
    <row r="26" customHeight="1" spans="1:11">
      <c r="A26" s="76"/>
      <c r="B26" s="73"/>
      <c r="C26" s="73"/>
      <c r="D26" s="73"/>
      <c r="E26" s="73"/>
      <c r="F26" s="79" t="str">
        <f>IFERROR(VLOOKUP(E26,日报!E:F,2,0),"")</f>
        <v/>
      </c>
      <c r="G26" s="73"/>
      <c r="H26" s="77" t="str">
        <f>IFERROR(VLOOKUP(E26,日报!E:H,4,0),"")</f>
        <v/>
      </c>
      <c r="I26" s="78" t="str">
        <f>IFERROR(VLOOKUP(E26,日报!E:G,4,0),"")</f>
        <v/>
      </c>
      <c r="J26" s="74"/>
      <c r="K26" s="75" t="str">
        <f t="shared" si="0"/>
        <v/>
      </c>
    </row>
    <row r="27" customHeight="1" spans="1:11">
      <c r="A27" s="76"/>
      <c r="B27" s="73"/>
      <c r="C27" s="73"/>
      <c r="D27" s="73"/>
      <c r="E27" s="73"/>
      <c r="F27" s="79" t="str">
        <f>IFERROR(VLOOKUP(E27,日报!E:F,2,0),"")</f>
        <v/>
      </c>
      <c r="G27" s="73"/>
      <c r="H27" s="77" t="str">
        <f>IFERROR(VLOOKUP(E27,日报!E:H,4,0),"")</f>
        <v/>
      </c>
      <c r="I27" s="78" t="str">
        <f>IFERROR(VLOOKUP(E27,日报!E:G,4,0),"")</f>
        <v/>
      </c>
      <c r="J27" s="74"/>
      <c r="K27" s="75" t="str">
        <f t="shared" si="0"/>
        <v/>
      </c>
    </row>
    <row r="28" customHeight="1" spans="1:11">
      <c r="A28" s="76"/>
      <c r="B28" s="73"/>
      <c r="C28" s="73"/>
      <c r="D28" s="73"/>
      <c r="E28" s="73"/>
      <c r="F28" s="79" t="str">
        <f>IFERROR(VLOOKUP(E28,日报!E:F,2,0),"")</f>
        <v/>
      </c>
      <c r="G28" s="73"/>
      <c r="H28" s="77" t="str">
        <f>IFERROR(VLOOKUP(E28,日报!E:H,4,0),"")</f>
        <v/>
      </c>
      <c r="I28" s="78" t="str">
        <f>IFERROR(VLOOKUP(E28,日报!E:G,4,0),"")</f>
        <v/>
      </c>
      <c r="J28" s="74"/>
      <c r="K28" s="75" t="str">
        <f t="shared" si="0"/>
        <v/>
      </c>
    </row>
    <row r="29" customHeight="1" spans="1:11">
      <c r="A29" s="76"/>
      <c r="B29" s="73"/>
      <c r="C29" s="73"/>
      <c r="D29" s="73"/>
      <c r="E29" s="73"/>
      <c r="F29" s="79" t="str">
        <f>IFERROR(VLOOKUP(E29,日报!E:F,2,0),"")</f>
        <v/>
      </c>
      <c r="G29" s="73"/>
      <c r="H29" s="77" t="str">
        <f>IFERROR(VLOOKUP(E29,日报!E:H,4,0),"")</f>
        <v/>
      </c>
      <c r="I29" s="78" t="str">
        <f>IFERROR(VLOOKUP(E29,日报!E:G,4,0),"")</f>
        <v/>
      </c>
      <c r="J29" s="74"/>
      <c r="K29" s="75" t="str">
        <f t="shared" si="0"/>
        <v/>
      </c>
    </row>
    <row r="30" customHeight="1" spans="1:11">
      <c r="A30" s="76"/>
      <c r="B30" s="73"/>
      <c r="C30" s="73"/>
      <c r="D30" s="73"/>
      <c r="E30" s="73"/>
      <c r="F30" s="79" t="str">
        <f>IFERROR(VLOOKUP(E30,日报!E:F,2,0),"")</f>
        <v/>
      </c>
      <c r="G30" s="73"/>
      <c r="H30" s="77" t="str">
        <f>IFERROR(VLOOKUP(E30,日报!E:H,4,0),"")</f>
        <v/>
      </c>
      <c r="I30" s="78" t="str">
        <f>IFERROR(VLOOKUP(E30,日报!E:G,4,0),"")</f>
        <v/>
      </c>
      <c r="J30" s="74"/>
      <c r="K30" s="75" t="str">
        <f t="shared" si="0"/>
        <v/>
      </c>
    </row>
    <row r="31" customHeight="1" spans="1:11">
      <c r="A31" s="76"/>
      <c r="B31" s="73"/>
      <c r="C31" s="73"/>
      <c r="D31" s="73"/>
      <c r="E31" s="73"/>
      <c r="F31" s="79" t="str">
        <f>IFERROR(VLOOKUP(E31,日报!E:F,2,0),"")</f>
        <v/>
      </c>
      <c r="G31" s="73"/>
      <c r="H31" s="77" t="str">
        <f>IFERROR(VLOOKUP(E31,日报!E:H,4,0),"")</f>
        <v/>
      </c>
      <c r="I31" s="78" t="str">
        <f>IFERROR(VLOOKUP(E31,日报!E:G,4,0),"")</f>
        <v/>
      </c>
      <c r="J31" s="74"/>
      <c r="K31" s="75" t="str">
        <f t="shared" si="0"/>
        <v/>
      </c>
    </row>
    <row r="32" customHeight="1" spans="1:11">
      <c r="A32" s="76"/>
      <c r="B32" s="73"/>
      <c r="C32" s="73"/>
      <c r="D32" s="73"/>
      <c r="E32" s="73"/>
      <c r="F32" s="79" t="str">
        <f>IFERROR(VLOOKUP(E32,日报!E:F,2,0),"")</f>
        <v/>
      </c>
      <c r="G32" s="73"/>
      <c r="H32" s="77" t="str">
        <f>IFERROR(VLOOKUP(E32,日报!E:H,4,0),"")</f>
        <v/>
      </c>
      <c r="I32" s="78" t="str">
        <f>IFERROR(VLOOKUP(E32,日报!E:G,4,0),"")</f>
        <v/>
      </c>
      <c r="J32" s="74"/>
      <c r="K32" s="75" t="str">
        <f t="shared" si="0"/>
        <v/>
      </c>
    </row>
    <row r="33" customHeight="1" spans="1:11">
      <c r="A33" s="76"/>
      <c r="B33" s="73"/>
      <c r="C33" s="73"/>
      <c r="D33" s="73"/>
      <c r="E33" s="73"/>
      <c r="F33" s="79" t="str">
        <f>IFERROR(VLOOKUP(E33,日报!E:F,2,0),"")</f>
        <v/>
      </c>
      <c r="G33" s="73"/>
      <c r="H33" s="77" t="str">
        <f>IFERROR(VLOOKUP(E33,日报!E:H,4,0),"")</f>
        <v/>
      </c>
      <c r="I33" s="78" t="str">
        <f>IFERROR(VLOOKUP(E33,日报!E:G,4,0),"")</f>
        <v/>
      </c>
      <c r="J33" s="74"/>
      <c r="K33" s="75" t="str">
        <f t="shared" si="0"/>
        <v/>
      </c>
    </row>
    <row r="34" customHeight="1" spans="1:11">
      <c r="A34" s="76"/>
      <c r="B34" s="73"/>
      <c r="C34" s="73"/>
      <c r="D34" s="73"/>
      <c r="E34" s="73"/>
      <c r="F34" s="79" t="str">
        <f>IFERROR(VLOOKUP(E34,日报!E:F,2,0),"")</f>
        <v/>
      </c>
      <c r="G34" s="73"/>
      <c r="H34" s="77" t="str">
        <f>IFERROR(VLOOKUP(E34,日报!E:H,4,0),"")</f>
        <v/>
      </c>
      <c r="I34" s="78" t="str">
        <f>IFERROR(VLOOKUP(E34,日报!E:G,4,0),"")</f>
        <v/>
      </c>
      <c r="J34" s="74"/>
      <c r="K34" s="75" t="str">
        <f t="shared" si="0"/>
        <v/>
      </c>
    </row>
    <row r="35" customHeight="1" spans="1:11">
      <c r="A35" s="76"/>
      <c r="B35" s="73"/>
      <c r="C35" s="73"/>
      <c r="D35" s="73"/>
      <c r="E35" s="73"/>
      <c r="F35" s="79" t="str">
        <f>IFERROR(VLOOKUP(E35,日报!E:F,2,0),"")</f>
        <v/>
      </c>
      <c r="G35" s="73"/>
      <c r="H35" s="77" t="str">
        <f>IFERROR(VLOOKUP(E35,日报!E:H,4,0),"")</f>
        <v/>
      </c>
      <c r="I35" s="78" t="str">
        <f>IFERROR(VLOOKUP(E35,日报!E:G,4,0),"")</f>
        <v/>
      </c>
      <c r="J35" s="74"/>
      <c r="K35" s="75" t="str">
        <f t="shared" si="0"/>
        <v/>
      </c>
    </row>
    <row r="36" customHeight="1" spans="1:11">
      <c r="A36" s="76"/>
      <c r="B36" s="73"/>
      <c r="C36" s="73"/>
      <c r="D36" s="73"/>
      <c r="E36" s="73"/>
      <c r="F36" s="79" t="str">
        <f>IFERROR(VLOOKUP(E36,日报!E:F,2,0),"")</f>
        <v/>
      </c>
      <c r="G36" s="73"/>
      <c r="H36" s="77" t="str">
        <f>IFERROR(VLOOKUP(E36,日报!E:H,4,0),"")</f>
        <v/>
      </c>
      <c r="I36" s="78" t="str">
        <f>IFERROR(VLOOKUP(E36,日报!E:G,4,0),"")</f>
        <v/>
      </c>
      <c r="J36" s="74"/>
      <c r="K36" s="75" t="str">
        <f t="shared" si="0"/>
        <v/>
      </c>
    </row>
    <row r="37" customHeight="1" spans="1:11">
      <c r="A37" s="76"/>
      <c r="B37" s="73"/>
      <c r="C37" s="73"/>
      <c r="D37" s="73"/>
      <c r="E37" s="73"/>
      <c r="F37" s="79" t="str">
        <f>IFERROR(VLOOKUP(E37,日报!E:F,2,0),"")</f>
        <v/>
      </c>
      <c r="G37" s="73"/>
      <c r="H37" s="77" t="str">
        <f>IFERROR(VLOOKUP(E37,日报!E:H,4,0),"")</f>
        <v/>
      </c>
      <c r="I37" s="78" t="str">
        <f>IFERROR(VLOOKUP(E37,日报!E:G,4,0),"")</f>
        <v/>
      </c>
      <c r="J37" s="74"/>
      <c r="K37" s="75" t="str">
        <f t="shared" si="0"/>
        <v/>
      </c>
    </row>
    <row r="38" customHeight="1" spans="1:11">
      <c r="A38" s="76"/>
      <c r="B38" s="73"/>
      <c r="C38" s="73"/>
      <c r="D38" s="73"/>
      <c r="E38" s="73"/>
      <c r="F38" s="79" t="str">
        <f>IFERROR(VLOOKUP(E38,日报!E:F,2,0),"")</f>
        <v/>
      </c>
      <c r="G38" s="73"/>
      <c r="H38" s="77" t="str">
        <f>IFERROR(VLOOKUP(E38,日报!E:H,4,0),"")</f>
        <v/>
      </c>
      <c r="I38" s="78" t="str">
        <f>IFERROR(VLOOKUP(E38,日报!E:G,4,0),"")</f>
        <v/>
      </c>
      <c r="J38" s="74"/>
      <c r="K38" s="75" t="str">
        <f t="shared" si="0"/>
        <v/>
      </c>
    </row>
    <row r="39" customHeight="1" spans="1:11">
      <c r="A39" s="76"/>
      <c r="B39" s="73"/>
      <c r="C39" s="73"/>
      <c r="D39" s="73"/>
      <c r="E39" s="73"/>
      <c r="F39" s="79" t="str">
        <f>IFERROR(VLOOKUP(E39,日报!E:F,2,0),"")</f>
        <v/>
      </c>
      <c r="G39" s="73"/>
      <c r="H39" s="77" t="str">
        <f>IFERROR(VLOOKUP(E39,日报!E:H,4,0),"")</f>
        <v/>
      </c>
      <c r="I39" s="78" t="str">
        <f>IFERROR(VLOOKUP(E39,日报!E:G,4,0),"")</f>
        <v/>
      </c>
      <c r="J39" s="74"/>
      <c r="K39" s="75" t="str">
        <f t="shared" si="0"/>
        <v/>
      </c>
    </row>
    <row r="40" customHeight="1" spans="1:11">
      <c r="A40" s="76"/>
      <c r="B40" s="73"/>
      <c r="C40" s="73"/>
      <c r="D40" s="73"/>
      <c r="E40" s="73"/>
      <c r="F40" s="79" t="str">
        <f>IFERROR(VLOOKUP(E40,日报!E:F,2,0),"")</f>
        <v/>
      </c>
      <c r="G40" s="73"/>
      <c r="H40" s="77" t="str">
        <f>IFERROR(VLOOKUP(E40,日报!E:H,4,0),"")</f>
        <v/>
      </c>
      <c r="I40" s="78" t="str">
        <f>IFERROR(VLOOKUP(E40,日报!E:G,4,0),"")</f>
        <v/>
      </c>
      <c r="J40" s="74"/>
      <c r="K40" s="75" t="str">
        <f t="shared" si="0"/>
        <v/>
      </c>
    </row>
    <row r="41" customHeight="1" spans="1:11">
      <c r="A41" s="76"/>
      <c r="B41" s="73"/>
      <c r="C41" s="73"/>
      <c r="D41" s="73"/>
      <c r="E41" s="73"/>
      <c r="F41" s="79" t="str">
        <f>IFERROR(VLOOKUP(E41,日报!E:F,2,0),"")</f>
        <v/>
      </c>
      <c r="G41" s="73"/>
      <c r="H41" s="77" t="str">
        <f>IFERROR(VLOOKUP(E41,日报!E:H,4,0),"")</f>
        <v/>
      </c>
      <c r="I41" s="78" t="str">
        <f>IFERROR(VLOOKUP(E41,日报!E:G,4,0),"")</f>
        <v/>
      </c>
      <c r="J41" s="74"/>
      <c r="K41" s="75" t="str">
        <f t="shared" si="0"/>
        <v/>
      </c>
    </row>
    <row r="42" customHeight="1" spans="1:11">
      <c r="A42" s="76"/>
      <c r="B42" s="73"/>
      <c r="C42" s="73"/>
      <c r="D42" s="73"/>
      <c r="E42" s="73"/>
      <c r="F42" s="79" t="str">
        <f>IFERROR(VLOOKUP(E42,日报!E:F,2,0),"")</f>
        <v/>
      </c>
      <c r="G42" s="73"/>
      <c r="H42" s="77" t="str">
        <f>IFERROR(VLOOKUP(E42,日报!E:H,4,0),"")</f>
        <v/>
      </c>
      <c r="I42" s="78" t="str">
        <f>IFERROR(VLOOKUP(E42,日报!E:G,4,0),"")</f>
        <v/>
      </c>
      <c r="J42" s="74"/>
      <c r="K42" s="75" t="str">
        <f t="shared" si="0"/>
        <v/>
      </c>
    </row>
    <row r="43" customHeight="1" spans="1:11">
      <c r="A43" s="76"/>
      <c r="B43" s="73"/>
      <c r="C43" s="73"/>
      <c r="D43" s="73"/>
      <c r="E43" s="73"/>
      <c r="F43" s="79" t="str">
        <f>IFERROR(VLOOKUP(E43,日报!E:F,2,0),"")</f>
        <v/>
      </c>
      <c r="G43" s="73"/>
      <c r="H43" s="77" t="str">
        <f>IFERROR(VLOOKUP(E43,日报!E:H,4,0),"")</f>
        <v/>
      </c>
      <c r="I43" s="78" t="str">
        <f>IFERROR(VLOOKUP(E43,日报!E:G,4,0),"")</f>
        <v/>
      </c>
      <c r="J43" s="74"/>
      <c r="K43" s="75" t="str">
        <f t="shared" si="0"/>
        <v/>
      </c>
    </row>
    <row r="44" customHeight="1" spans="1:11">
      <c r="A44" s="76"/>
      <c r="B44" s="73"/>
      <c r="C44" s="73"/>
      <c r="D44" s="73"/>
      <c r="E44" s="73"/>
      <c r="F44" s="79" t="str">
        <f>IFERROR(VLOOKUP(E44,日报!E:F,2,0),"")</f>
        <v/>
      </c>
      <c r="G44" s="73"/>
      <c r="H44" s="77" t="str">
        <f>IFERROR(VLOOKUP(E44,日报!E:H,4,0),"")</f>
        <v/>
      </c>
      <c r="I44" s="78" t="str">
        <f>IFERROR(VLOOKUP(E44,日报!E:G,4,0),"")</f>
        <v/>
      </c>
      <c r="J44" s="74"/>
      <c r="K44" s="75" t="str">
        <f t="shared" si="0"/>
        <v/>
      </c>
    </row>
    <row r="45" customHeight="1" spans="1:11">
      <c r="A45" s="76"/>
      <c r="B45" s="73"/>
      <c r="C45" s="73"/>
      <c r="D45" s="73"/>
      <c r="E45" s="73"/>
      <c r="F45" s="79" t="str">
        <f>IFERROR(VLOOKUP(E45,日报!E:F,2,0),"")</f>
        <v/>
      </c>
      <c r="G45" s="73"/>
      <c r="H45" s="77" t="str">
        <f>IFERROR(VLOOKUP(E45,日报!E:H,4,0),"")</f>
        <v/>
      </c>
      <c r="I45" s="78" t="str">
        <f>IFERROR(VLOOKUP(E45,日报!E:G,4,0),"")</f>
        <v/>
      </c>
      <c r="J45" s="74"/>
      <c r="K45" s="75" t="str">
        <f t="shared" si="0"/>
        <v/>
      </c>
    </row>
    <row r="46" customHeight="1" spans="1:11">
      <c r="A46" s="76"/>
      <c r="B46" s="73"/>
      <c r="C46" s="73"/>
      <c r="D46" s="73"/>
      <c r="E46" s="73"/>
      <c r="F46" s="79" t="str">
        <f>IFERROR(VLOOKUP(E46,日报!E:F,2,0),"")</f>
        <v/>
      </c>
      <c r="G46" s="73"/>
      <c r="H46" s="77" t="str">
        <f>IFERROR(VLOOKUP(E46,日报!E:H,4,0),"")</f>
        <v/>
      </c>
      <c r="I46" s="78" t="str">
        <f>IFERROR(VLOOKUP(E46,日报!E:G,4,0),"")</f>
        <v/>
      </c>
      <c r="J46" s="74"/>
      <c r="K46" s="75" t="str">
        <f t="shared" si="0"/>
        <v/>
      </c>
    </row>
    <row r="47" customHeight="1" spans="1:11">
      <c r="A47" s="76"/>
      <c r="B47" s="73"/>
      <c r="C47" s="73"/>
      <c r="D47" s="73"/>
      <c r="E47" s="73"/>
      <c r="F47" s="79" t="str">
        <f>IFERROR(VLOOKUP(E47,日报!E:F,2,0),"")</f>
        <v/>
      </c>
      <c r="G47" s="73"/>
      <c r="H47" s="77" t="str">
        <f>IFERROR(VLOOKUP(E47,日报!E:H,4,0),"")</f>
        <v/>
      </c>
      <c r="I47" s="78" t="str">
        <f>IFERROR(VLOOKUP(E47,日报!E:G,4,0),"")</f>
        <v/>
      </c>
      <c r="J47" s="74"/>
      <c r="K47" s="75" t="str">
        <f t="shared" si="0"/>
        <v/>
      </c>
    </row>
    <row r="48" customHeight="1" spans="1:11">
      <c r="A48" s="76"/>
      <c r="B48" s="73"/>
      <c r="C48" s="73"/>
      <c r="D48" s="73"/>
      <c r="E48" s="73"/>
      <c r="F48" s="79" t="str">
        <f>IFERROR(VLOOKUP(E48,日报!E:F,2,0),"")</f>
        <v/>
      </c>
      <c r="G48" s="73"/>
      <c r="H48" s="77" t="str">
        <f>IFERROR(VLOOKUP(E48,日报!E:H,4,0),"")</f>
        <v/>
      </c>
      <c r="I48" s="78" t="str">
        <f>IFERROR(VLOOKUP(E48,日报!E:G,4,0),"")</f>
        <v/>
      </c>
      <c r="J48" s="74"/>
      <c r="K48" s="75" t="str">
        <f t="shared" si="0"/>
        <v/>
      </c>
    </row>
    <row r="49" customHeight="1" spans="1:11">
      <c r="A49" s="76"/>
      <c r="B49" s="73"/>
      <c r="C49" s="73"/>
      <c r="D49" s="73"/>
      <c r="E49" s="73"/>
      <c r="F49" s="79" t="str">
        <f>IFERROR(VLOOKUP(E49,日报!E:F,2,0),"")</f>
        <v/>
      </c>
      <c r="G49" s="73"/>
      <c r="H49" s="77" t="str">
        <f>IFERROR(VLOOKUP(E49,日报!E:H,4,0),"")</f>
        <v/>
      </c>
      <c r="I49" s="78" t="str">
        <f>IFERROR(VLOOKUP(E49,日报!E:G,4,0),"")</f>
        <v/>
      </c>
      <c r="J49" s="74"/>
      <c r="K49" s="75" t="str">
        <f t="shared" si="0"/>
        <v/>
      </c>
    </row>
    <row r="50" customHeight="1" spans="1:11">
      <c r="A50" s="76"/>
      <c r="B50" s="73"/>
      <c r="C50" s="73"/>
      <c r="D50" s="73"/>
      <c r="E50" s="73"/>
      <c r="F50" s="79" t="str">
        <f>IFERROR(VLOOKUP(E50,日报!E:F,2,0),"")</f>
        <v/>
      </c>
      <c r="G50" s="73"/>
      <c r="H50" s="77" t="str">
        <f>IFERROR(VLOOKUP(E50,日报!E:H,4,0),"")</f>
        <v/>
      </c>
      <c r="I50" s="78" t="str">
        <f>IFERROR(VLOOKUP(E50,日报!E:G,4,0),"")</f>
        <v/>
      </c>
      <c r="J50" s="74"/>
      <c r="K50" s="75" t="str">
        <f t="shared" si="0"/>
        <v/>
      </c>
    </row>
    <row r="51" customHeight="1" spans="1:11">
      <c r="A51" s="76"/>
      <c r="B51" s="73"/>
      <c r="C51" s="73"/>
      <c r="D51" s="73"/>
      <c r="E51" s="73"/>
      <c r="F51" s="79" t="str">
        <f>IFERROR(VLOOKUP(E51,日报!E:F,2,0),"")</f>
        <v/>
      </c>
      <c r="G51" s="73"/>
      <c r="H51" s="77" t="str">
        <f>IFERROR(VLOOKUP(E51,日报!E:H,4,0),"")</f>
        <v/>
      </c>
      <c r="I51" s="78" t="str">
        <f>IFERROR(VLOOKUP(E51,日报!E:G,4,0),"")</f>
        <v/>
      </c>
      <c r="J51" s="74"/>
      <c r="K51" s="75" t="str">
        <f t="shared" si="0"/>
        <v/>
      </c>
    </row>
    <row r="52" customHeight="1" spans="1:11">
      <c r="A52" s="76"/>
      <c r="B52" s="73"/>
      <c r="C52" s="73"/>
      <c r="D52" s="73"/>
      <c r="E52" s="73"/>
      <c r="F52" s="79" t="str">
        <f>IFERROR(VLOOKUP(E52,日报!E:F,2,0),"")</f>
        <v/>
      </c>
      <c r="G52" s="73"/>
      <c r="H52" s="77" t="str">
        <f>IFERROR(VLOOKUP(E52,日报!E:H,4,0),"")</f>
        <v/>
      </c>
      <c r="I52" s="78" t="str">
        <f>IFERROR(VLOOKUP(E52,日报!E:G,4,0),"")</f>
        <v/>
      </c>
      <c r="J52" s="74"/>
      <c r="K52" s="75" t="str">
        <f t="shared" si="0"/>
        <v/>
      </c>
    </row>
    <row r="53" customHeight="1" spans="1:11">
      <c r="A53" s="76"/>
      <c r="B53" s="73"/>
      <c r="C53" s="73"/>
      <c r="D53" s="73"/>
      <c r="E53" s="73"/>
      <c r="F53" s="79" t="str">
        <f>IFERROR(VLOOKUP(E53,日报!E:F,2,0),"")</f>
        <v/>
      </c>
      <c r="G53" s="73"/>
      <c r="H53" s="77" t="str">
        <f>IFERROR(VLOOKUP(E53,日报!E:H,4,0),"")</f>
        <v/>
      </c>
      <c r="I53" s="78" t="str">
        <f>IFERROR(VLOOKUP(E53,日报!E:G,4,0),"")</f>
        <v/>
      </c>
      <c r="J53" s="74"/>
      <c r="K53" s="75" t="str">
        <f t="shared" si="0"/>
        <v/>
      </c>
    </row>
    <row r="54" customHeight="1" spans="1:11">
      <c r="A54" s="76"/>
      <c r="B54" s="73"/>
      <c r="C54" s="73"/>
      <c r="D54" s="73"/>
      <c r="E54" s="73"/>
      <c r="F54" s="79" t="str">
        <f>IFERROR(VLOOKUP(E54,日报!E:F,2,0),"")</f>
        <v/>
      </c>
      <c r="G54" s="73"/>
      <c r="H54" s="77" t="str">
        <f>IFERROR(VLOOKUP(E54,日报!E:H,4,0),"")</f>
        <v/>
      </c>
      <c r="I54" s="78" t="str">
        <f>IFERROR(VLOOKUP(E54,日报!E:G,4,0),"")</f>
        <v/>
      </c>
      <c r="J54" s="74"/>
      <c r="K54" s="75" t="str">
        <f t="shared" si="0"/>
        <v/>
      </c>
    </row>
    <row r="55" customHeight="1" spans="1:11">
      <c r="A55" s="76"/>
      <c r="B55" s="73"/>
      <c r="C55" s="73"/>
      <c r="D55" s="73"/>
      <c r="E55" s="73"/>
      <c r="F55" s="79" t="str">
        <f>IFERROR(VLOOKUP(E55,日报!E:F,2,0),"")</f>
        <v/>
      </c>
      <c r="G55" s="73"/>
      <c r="H55" s="77" t="str">
        <f>IFERROR(VLOOKUP(E55,日报!E:H,4,0),"")</f>
        <v/>
      </c>
      <c r="I55" s="78" t="str">
        <f>IFERROR(VLOOKUP(E55,日报!E:G,4,0),"")</f>
        <v/>
      </c>
      <c r="J55" s="74"/>
      <c r="K55" s="75" t="str">
        <f t="shared" si="0"/>
        <v/>
      </c>
    </row>
    <row r="56" customHeight="1" spans="1:11">
      <c r="A56" s="76"/>
      <c r="B56" s="73"/>
      <c r="C56" s="73"/>
      <c r="D56" s="73"/>
      <c r="E56" s="73"/>
      <c r="F56" s="79" t="str">
        <f>IFERROR(VLOOKUP(E56,日报!E:F,2,0),"")</f>
        <v/>
      </c>
      <c r="G56" s="73"/>
      <c r="H56" s="77" t="str">
        <f>IFERROR(VLOOKUP(E56,日报!E:H,4,0),"")</f>
        <v/>
      </c>
      <c r="I56" s="78" t="str">
        <f>IFERROR(VLOOKUP(E56,日报!E:G,4,0),"")</f>
        <v/>
      </c>
      <c r="J56" s="74"/>
      <c r="K56" s="75" t="str">
        <f t="shared" si="0"/>
        <v/>
      </c>
    </row>
    <row r="57" customHeight="1" spans="1:11">
      <c r="A57" s="76"/>
      <c r="B57" s="73"/>
      <c r="C57" s="73"/>
      <c r="D57" s="73"/>
      <c r="E57" s="73"/>
      <c r="F57" s="79" t="str">
        <f>IFERROR(VLOOKUP(E57,日报!E:F,2,0),"")</f>
        <v/>
      </c>
      <c r="G57" s="73"/>
      <c r="H57" s="77" t="str">
        <f>IFERROR(VLOOKUP(E57,日报!E:H,4,0),"")</f>
        <v/>
      </c>
      <c r="I57" s="78" t="str">
        <f>IFERROR(VLOOKUP(E57,日报!E:G,4,0),"")</f>
        <v/>
      </c>
      <c r="J57" s="74"/>
      <c r="K57" s="75" t="str">
        <f t="shared" si="0"/>
        <v/>
      </c>
    </row>
    <row r="58" customHeight="1" spans="1:11">
      <c r="A58" s="76"/>
      <c r="B58" s="73"/>
      <c r="C58" s="73"/>
      <c r="D58" s="73"/>
      <c r="E58" s="73"/>
      <c r="F58" s="79" t="str">
        <f>IFERROR(VLOOKUP(E58,日报!E:F,2,0),"")</f>
        <v/>
      </c>
      <c r="G58" s="73"/>
      <c r="H58" s="77" t="str">
        <f>IFERROR(VLOOKUP(E58,日报!E:H,4,0),"")</f>
        <v/>
      </c>
      <c r="I58" s="78" t="str">
        <f>IFERROR(VLOOKUP(E58,日报!E:G,4,0),"")</f>
        <v/>
      </c>
      <c r="J58" s="74"/>
      <c r="K58" s="75" t="str">
        <f t="shared" si="0"/>
        <v/>
      </c>
    </row>
    <row r="59" customHeight="1" spans="1:11">
      <c r="A59" s="76"/>
      <c r="B59" s="73"/>
      <c r="C59" s="73"/>
      <c r="D59" s="73"/>
      <c r="E59" s="73"/>
      <c r="F59" s="79" t="str">
        <f>IFERROR(VLOOKUP(E59,日报!E:F,2,0),"")</f>
        <v/>
      </c>
      <c r="G59" s="73"/>
      <c r="H59" s="77" t="str">
        <f>IFERROR(VLOOKUP(E59,日报!E:H,4,0),"")</f>
        <v/>
      </c>
      <c r="I59" s="78" t="str">
        <f>IFERROR(VLOOKUP(E59,日报!E:G,4,0),"")</f>
        <v/>
      </c>
      <c r="J59" s="74"/>
      <c r="K59" s="75" t="str">
        <f t="shared" si="0"/>
        <v/>
      </c>
    </row>
    <row r="60" customHeight="1" spans="1:11">
      <c r="A60" s="76"/>
      <c r="B60" s="73"/>
      <c r="C60" s="73"/>
      <c r="D60" s="73"/>
      <c r="E60" s="73"/>
      <c r="F60" s="79" t="str">
        <f>IFERROR(VLOOKUP(E60,日报!E:F,2,0),"")</f>
        <v/>
      </c>
      <c r="G60" s="73"/>
      <c r="H60" s="77" t="str">
        <f>IFERROR(VLOOKUP(E60,日报!E:H,4,0),"")</f>
        <v/>
      </c>
      <c r="I60" s="78" t="str">
        <f>IFERROR(VLOOKUP(E60,日报!E:G,4,0),"")</f>
        <v/>
      </c>
      <c r="J60" s="74"/>
      <c r="K60" s="75" t="str">
        <f t="shared" si="0"/>
        <v/>
      </c>
    </row>
    <row r="61" customHeight="1" spans="1:11">
      <c r="A61" s="76"/>
      <c r="B61" s="73"/>
      <c r="C61" s="73"/>
      <c r="D61" s="73"/>
      <c r="E61" s="73"/>
      <c r="F61" s="79" t="str">
        <f>IFERROR(VLOOKUP(E61,日报!E:F,2,0),"")</f>
        <v/>
      </c>
      <c r="G61" s="73"/>
      <c r="H61" s="77" t="str">
        <f>IFERROR(VLOOKUP(E61,日报!E:H,4,0),"")</f>
        <v/>
      </c>
      <c r="I61" s="78" t="str">
        <f>IFERROR(VLOOKUP(E61,日报!E:G,4,0),"")</f>
        <v/>
      </c>
      <c r="J61" s="74"/>
      <c r="K61" s="75" t="str">
        <f t="shared" si="0"/>
        <v/>
      </c>
    </row>
    <row r="62" customHeight="1" spans="1:11">
      <c r="A62" s="76"/>
      <c r="B62" s="73"/>
      <c r="C62" s="73"/>
      <c r="D62" s="73"/>
      <c r="E62" s="73"/>
      <c r="F62" s="79" t="str">
        <f>IFERROR(VLOOKUP(E62,日报!E:F,2,0),"")</f>
        <v/>
      </c>
      <c r="G62" s="73"/>
      <c r="H62" s="77" t="str">
        <f>IFERROR(VLOOKUP(E62,日报!E:H,4,0),"")</f>
        <v/>
      </c>
      <c r="I62" s="78" t="str">
        <f>IFERROR(VLOOKUP(E62,日报!E:G,4,0),"")</f>
        <v/>
      </c>
      <c r="J62" s="74"/>
      <c r="K62" s="75" t="str">
        <f t="shared" si="0"/>
        <v/>
      </c>
    </row>
    <row r="63" customHeight="1" spans="1:11">
      <c r="A63" s="76"/>
      <c r="B63" s="73"/>
      <c r="C63" s="73"/>
      <c r="D63" s="73"/>
      <c r="E63" s="73"/>
      <c r="F63" s="79" t="str">
        <f>IFERROR(VLOOKUP(E63,日报!E:F,2,0),"")</f>
        <v/>
      </c>
      <c r="G63" s="73"/>
      <c r="H63" s="77" t="str">
        <f>IFERROR(VLOOKUP(E63,日报!E:H,4,0),"")</f>
        <v/>
      </c>
      <c r="I63" s="78" t="str">
        <f>IFERROR(VLOOKUP(E63,日报!E:G,4,0),"")</f>
        <v/>
      </c>
      <c r="J63" s="74"/>
      <c r="K63" s="75" t="str">
        <f t="shared" si="0"/>
        <v/>
      </c>
    </row>
    <row r="64" customHeight="1" spans="1:11">
      <c r="A64" s="76"/>
      <c r="B64" s="73"/>
      <c r="C64" s="73"/>
      <c r="D64" s="73"/>
      <c r="E64" s="73"/>
      <c r="F64" s="79" t="str">
        <f>IFERROR(VLOOKUP(E64,日报!E:F,2,0),"")</f>
        <v/>
      </c>
      <c r="G64" s="73"/>
      <c r="H64" s="77" t="str">
        <f>IFERROR(VLOOKUP(E64,日报!E:H,4,0),"")</f>
        <v/>
      </c>
      <c r="I64" s="78" t="str">
        <f>IFERROR(VLOOKUP(E64,日报!E:G,4,0),"")</f>
        <v/>
      </c>
      <c r="J64" s="74"/>
      <c r="K64" s="75" t="str">
        <f t="shared" si="0"/>
        <v/>
      </c>
    </row>
    <row r="65" customHeight="1" spans="1:11">
      <c r="A65" s="76"/>
      <c r="B65" s="73"/>
      <c r="C65" s="73"/>
      <c r="D65" s="73"/>
      <c r="E65" s="73"/>
      <c r="F65" s="79" t="str">
        <f>IFERROR(VLOOKUP(E65,日报!E:F,2,0),"")</f>
        <v/>
      </c>
      <c r="G65" s="73"/>
      <c r="H65" s="77" t="str">
        <f>IFERROR(VLOOKUP(E65,日报!E:H,4,0),"")</f>
        <v/>
      </c>
      <c r="I65" s="78" t="str">
        <f>IFERROR(VLOOKUP(E65,日报!E:G,4,0),"")</f>
        <v/>
      </c>
      <c r="J65" s="74"/>
      <c r="K65" s="75" t="str">
        <f t="shared" si="0"/>
        <v/>
      </c>
    </row>
    <row r="66" customHeight="1" spans="1:11">
      <c r="A66" s="76"/>
      <c r="B66" s="73"/>
      <c r="C66" s="73"/>
      <c r="D66" s="73"/>
      <c r="E66" s="73"/>
      <c r="F66" s="79" t="str">
        <f>IFERROR(VLOOKUP(E66,日报!E:F,2,0),"")</f>
        <v/>
      </c>
      <c r="G66" s="73"/>
      <c r="H66" s="77" t="str">
        <f>IFERROR(VLOOKUP(E66,日报!E:H,4,0),"")</f>
        <v/>
      </c>
      <c r="I66" s="78" t="str">
        <f>IFERROR(VLOOKUP(E66,日报!E:G,4,0),"")</f>
        <v/>
      </c>
      <c r="J66" s="74"/>
      <c r="K66" s="75" t="str">
        <f t="shared" si="0"/>
        <v/>
      </c>
    </row>
    <row r="67" customHeight="1" spans="1:11">
      <c r="A67" s="76"/>
      <c r="B67" s="73"/>
      <c r="C67" s="73"/>
      <c r="D67" s="73"/>
      <c r="E67" s="73"/>
      <c r="F67" s="79" t="str">
        <f>IFERROR(VLOOKUP(E67,日报!E:F,2,0),"")</f>
        <v/>
      </c>
      <c r="G67" s="73"/>
      <c r="H67" s="77" t="str">
        <f>IFERROR(VLOOKUP(E67,日报!E:H,4,0),"")</f>
        <v/>
      </c>
      <c r="I67" s="78" t="str">
        <f>IFERROR(VLOOKUP(E67,日报!E:G,4,0),"")</f>
        <v/>
      </c>
      <c r="J67" s="74"/>
      <c r="K67" s="75" t="str">
        <f t="shared" si="0"/>
        <v/>
      </c>
    </row>
    <row r="68" customHeight="1" spans="1:11">
      <c r="A68" s="76"/>
      <c r="B68" s="73"/>
      <c r="C68" s="73"/>
      <c r="D68" s="73"/>
      <c r="E68" s="73"/>
      <c r="F68" s="79" t="str">
        <f>IFERROR(VLOOKUP(E68,日报!E:F,2,0),"")</f>
        <v/>
      </c>
      <c r="G68" s="73"/>
      <c r="H68" s="77" t="str">
        <f>IFERROR(VLOOKUP(E68,日报!E:H,4,0),"")</f>
        <v/>
      </c>
      <c r="I68" s="78" t="str">
        <f>IFERROR(VLOOKUP(E68,日报!E:G,4,0),"")</f>
        <v/>
      </c>
      <c r="J68" s="74"/>
      <c r="K68" s="75" t="str">
        <f t="shared" ref="K68:K131" si="1">IFERROR(G68/I68,"")</f>
        <v/>
      </c>
    </row>
    <row r="69" customHeight="1" spans="1:11">
      <c r="A69" s="76"/>
      <c r="B69" s="73"/>
      <c r="C69" s="73"/>
      <c r="D69" s="73"/>
      <c r="E69" s="73"/>
      <c r="F69" s="79" t="str">
        <f>IFERROR(VLOOKUP(E69,日报!E:F,2,0),"")</f>
        <v/>
      </c>
      <c r="G69" s="73"/>
      <c r="H69" s="77" t="str">
        <f>IFERROR(VLOOKUP(E69,日报!E:H,4,0),"")</f>
        <v/>
      </c>
      <c r="I69" s="78" t="str">
        <f>IFERROR(VLOOKUP(E69,日报!E:G,4,0),"")</f>
        <v/>
      </c>
      <c r="J69" s="74"/>
      <c r="K69" s="75" t="str">
        <f t="shared" si="1"/>
        <v/>
      </c>
    </row>
    <row r="70" customHeight="1" spans="1:11">
      <c r="A70" s="76"/>
      <c r="B70" s="73"/>
      <c r="C70" s="73"/>
      <c r="D70" s="73"/>
      <c r="E70" s="73"/>
      <c r="F70" s="79" t="str">
        <f>IFERROR(VLOOKUP(E70,日报!E:F,2,0),"")</f>
        <v/>
      </c>
      <c r="G70" s="73"/>
      <c r="H70" s="77" t="str">
        <f>IFERROR(VLOOKUP(E70,日报!E:H,4,0),"")</f>
        <v/>
      </c>
      <c r="I70" s="78" t="str">
        <f>IFERROR(VLOOKUP(E70,日报!E:G,4,0),"")</f>
        <v/>
      </c>
      <c r="J70" s="74"/>
      <c r="K70" s="75" t="str">
        <f t="shared" si="1"/>
        <v/>
      </c>
    </row>
    <row r="71" customHeight="1" spans="1:11">
      <c r="A71" s="76"/>
      <c r="B71" s="73"/>
      <c r="C71" s="73"/>
      <c r="D71" s="73"/>
      <c r="E71" s="73"/>
      <c r="F71" s="79" t="str">
        <f>IFERROR(VLOOKUP(E71,日报!E:F,2,0),"")</f>
        <v/>
      </c>
      <c r="G71" s="73"/>
      <c r="H71" s="77" t="str">
        <f>IFERROR(VLOOKUP(E71,日报!E:H,4,0),"")</f>
        <v/>
      </c>
      <c r="I71" s="78" t="str">
        <f>IFERROR(VLOOKUP(E71,日报!E:G,4,0),"")</f>
        <v/>
      </c>
      <c r="J71" s="74"/>
      <c r="K71" s="75" t="str">
        <f t="shared" si="1"/>
        <v/>
      </c>
    </row>
    <row r="72" customHeight="1" spans="1:11">
      <c r="A72" s="76"/>
      <c r="B72" s="73"/>
      <c r="C72" s="73"/>
      <c r="D72" s="73"/>
      <c r="E72" s="73"/>
      <c r="F72" s="79" t="str">
        <f>IFERROR(VLOOKUP(E72,日报!E:F,2,0),"")</f>
        <v/>
      </c>
      <c r="G72" s="73"/>
      <c r="H72" s="77" t="str">
        <f>IFERROR(VLOOKUP(E72,日报!E:H,4,0),"")</f>
        <v/>
      </c>
      <c r="I72" s="78" t="str">
        <f>IFERROR(VLOOKUP(E72,日报!E:G,4,0),"")</f>
        <v/>
      </c>
      <c r="J72" s="74"/>
      <c r="K72" s="75" t="str">
        <f t="shared" si="1"/>
        <v/>
      </c>
    </row>
    <row r="73" customHeight="1" spans="1:11">
      <c r="A73" s="76"/>
      <c r="B73" s="73"/>
      <c r="C73" s="73"/>
      <c r="D73" s="73"/>
      <c r="E73" s="73"/>
      <c r="F73" s="79" t="str">
        <f>IFERROR(VLOOKUP(E73,日报!E:F,2,0),"")</f>
        <v/>
      </c>
      <c r="G73" s="73"/>
      <c r="H73" s="77" t="str">
        <f>IFERROR(VLOOKUP(E73,日报!E:H,4,0),"")</f>
        <v/>
      </c>
      <c r="I73" s="78" t="str">
        <f>IFERROR(VLOOKUP(E73,日报!E:G,4,0),"")</f>
        <v/>
      </c>
      <c r="J73" s="74"/>
      <c r="K73" s="75" t="str">
        <f t="shared" si="1"/>
        <v/>
      </c>
    </row>
    <row r="74" customHeight="1" spans="1:11">
      <c r="A74" s="76"/>
      <c r="B74" s="73"/>
      <c r="C74" s="73"/>
      <c r="D74" s="73"/>
      <c r="E74" s="73"/>
      <c r="F74" s="79" t="str">
        <f>IFERROR(VLOOKUP(E74,日报!E:F,2,0),"")</f>
        <v/>
      </c>
      <c r="G74" s="73"/>
      <c r="H74" s="77" t="str">
        <f>IFERROR(VLOOKUP(E74,日报!E:H,4,0),"")</f>
        <v/>
      </c>
      <c r="I74" s="78" t="str">
        <f>IFERROR(VLOOKUP(E74,日报!E:G,4,0),"")</f>
        <v/>
      </c>
      <c r="J74" s="74"/>
      <c r="K74" s="75" t="str">
        <f t="shared" si="1"/>
        <v/>
      </c>
    </row>
    <row r="75" customHeight="1" spans="1:11">
      <c r="A75" s="76"/>
      <c r="B75" s="73"/>
      <c r="C75" s="73"/>
      <c r="D75" s="73"/>
      <c r="E75" s="73"/>
      <c r="F75" s="79" t="str">
        <f>IFERROR(VLOOKUP(E75,日报!E:F,2,0),"")</f>
        <v/>
      </c>
      <c r="G75" s="73"/>
      <c r="H75" s="77" t="str">
        <f>IFERROR(VLOOKUP(E75,日报!E:H,4,0),"")</f>
        <v/>
      </c>
      <c r="I75" s="78" t="str">
        <f>IFERROR(VLOOKUP(E75,日报!E:G,4,0),"")</f>
        <v/>
      </c>
      <c r="J75" s="74"/>
      <c r="K75" s="75" t="str">
        <f t="shared" si="1"/>
        <v/>
      </c>
    </row>
    <row r="76" customHeight="1" spans="1:11">
      <c r="A76" s="76"/>
      <c r="B76" s="73"/>
      <c r="C76" s="73"/>
      <c r="D76" s="73"/>
      <c r="E76" s="73"/>
      <c r="F76" s="79" t="str">
        <f>IFERROR(VLOOKUP(E76,日报!E:F,2,0),"")</f>
        <v/>
      </c>
      <c r="G76" s="73"/>
      <c r="H76" s="77" t="str">
        <f>IFERROR(VLOOKUP(E76,日报!E:H,4,0),"")</f>
        <v/>
      </c>
      <c r="I76" s="78" t="str">
        <f>IFERROR(VLOOKUP(E76,日报!E:G,4,0),"")</f>
        <v/>
      </c>
      <c r="J76" s="74"/>
      <c r="K76" s="75" t="str">
        <f t="shared" si="1"/>
        <v/>
      </c>
    </row>
    <row r="77" customHeight="1" spans="1:11">
      <c r="A77" s="76"/>
      <c r="B77" s="73"/>
      <c r="C77" s="73"/>
      <c r="D77" s="73"/>
      <c r="E77" s="73"/>
      <c r="F77" s="79" t="str">
        <f>IFERROR(VLOOKUP(E77,日报!E:F,2,0),"")</f>
        <v/>
      </c>
      <c r="G77" s="73"/>
      <c r="H77" s="77" t="str">
        <f>IFERROR(VLOOKUP(E77,日报!E:H,4,0),"")</f>
        <v/>
      </c>
      <c r="I77" s="78" t="str">
        <f>IFERROR(VLOOKUP(E77,日报!E:G,4,0),"")</f>
        <v/>
      </c>
      <c r="J77" s="74"/>
      <c r="K77" s="75" t="str">
        <f t="shared" si="1"/>
        <v/>
      </c>
    </row>
    <row r="78" customHeight="1" spans="1:11">
      <c r="A78" s="76"/>
      <c r="B78" s="73"/>
      <c r="C78" s="73"/>
      <c r="D78" s="73"/>
      <c r="E78" s="73"/>
      <c r="F78" s="79" t="str">
        <f>IFERROR(VLOOKUP(E78,日报!E:F,2,0),"")</f>
        <v/>
      </c>
      <c r="G78" s="73"/>
      <c r="H78" s="77" t="str">
        <f>IFERROR(VLOOKUP(E78,日报!E:H,4,0),"")</f>
        <v/>
      </c>
      <c r="I78" s="78" t="str">
        <f>IFERROR(VLOOKUP(E78,日报!E:G,4,0),"")</f>
        <v/>
      </c>
      <c r="J78" s="74"/>
      <c r="K78" s="75" t="str">
        <f t="shared" si="1"/>
        <v/>
      </c>
    </row>
    <row r="79" customHeight="1" spans="1:11">
      <c r="A79" s="76"/>
      <c r="B79" s="73"/>
      <c r="C79" s="73"/>
      <c r="D79" s="73"/>
      <c r="E79" s="73"/>
      <c r="F79" s="79" t="str">
        <f>IFERROR(VLOOKUP(E79,日报!E:F,2,0),"")</f>
        <v/>
      </c>
      <c r="G79" s="73"/>
      <c r="H79" s="77" t="str">
        <f>IFERROR(VLOOKUP(E79,日报!E:H,4,0),"")</f>
        <v/>
      </c>
      <c r="I79" s="78" t="str">
        <f>IFERROR(VLOOKUP(E79,日报!E:G,4,0),"")</f>
        <v/>
      </c>
      <c r="J79" s="74"/>
      <c r="K79" s="75" t="str">
        <f t="shared" si="1"/>
        <v/>
      </c>
    </row>
    <row r="80" customHeight="1" spans="1:11">
      <c r="A80" s="76"/>
      <c r="B80" s="73"/>
      <c r="C80" s="73"/>
      <c r="D80" s="73"/>
      <c r="E80" s="73"/>
      <c r="F80" s="79" t="str">
        <f>IFERROR(VLOOKUP(E80,日报!E:F,2,0),"")</f>
        <v/>
      </c>
      <c r="G80" s="73"/>
      <c r="H80" s="77" t="str">
        <f>IFERROR(VLOOKUP(E80,日报!E:H,4,0),"")</f>
        <v/>
      </c>
      <c r="I80" s="78" t="str">
        <f>IFERROR(VLOOKUP(E80,日报!E:G,4,0),"")</f>
        <v/>
      </c>
      <c r="J80" s="74"/>
      <c r="K80" s="75" t="str">
        <f t="shared" si="1"/>
        <v/>
      </c>
    </row>
    <row r="81" customHeight="1" spans="1:11">
      <c r="A81" s="76"/>
      <c r="B81" s="73"/>
      <c r="C81" s="73"/>
      <c r="D81" s="73"/>
      <c r="E81" s="73"/>
      <c r="F81" s="79" t="str">
        <f>IFERROR(VLOOKUP(E81,日报!E:F,2,0),"")</f>
        <v/>
      </c>
      <c r="G81" s="73"/>
      <c r="H81" s="77" t="str">
        <f>IFERROR(VLOOKUP(E81,日报!E:H,4,0),"")</f>
        <v/>
      </c>
      <c r="I81" s="78" t="str">
        <f>IFERROR(VLOOKUP(E81,日报!E:G,4,0),"")</f>
        <v/>
      </c>
      <c r="J81" s="74"/>
      <c r="K81" s="75" t="str">
        <f t="shared" si="1"/>
        <v/>
      </c>
    </row>
    <row r="82" customHeight="1" spans="1:11">
      <c r="A82" s="76"/>
      <c r="B82" s="73"/>
      <c r="C82" s="73"/>
      <c r="D82" s="73"/>
      <c r="E82" s="73"/>
      <c r="F82" s="79" t="str">
        <f>IFERROR(VLOOKUP(E82,日报!E:F,2,0),"")</f>
        <v/>
      </c>
      <c r="G82" s="73"/>
      <c r="H82" s="77" t="str">
        <f>IFERROR(VLOOKUP(E82,日报!E:H,4,0),"")</f>
        <v/>
      </c>
      <c r="I82" s="78" t="str">
        <f>IFERROR(VLOOKUP(E82,日报!E:G,4,0),"")</f>
        <v/>
      </c>
      <c r="J82" s="74"/>
      <c r="K82" s="75" t="str">
        <f t="shared" si="1"/>
        <v/>
      </c>
    </row>
    <row r="83" customHeight="1" spans="1:11">
      <c r="A83" s="76"/>
      <c r="B83" s="73"/>
      <c r="C83" s="73"/>
      <c r="D83" s="73"/>
      <c r="E83" s="73"/>
      <c r="F83" s="79" t="str">
        <f>IFERROR(VLOOKUP(E83,日报!E:F,2,0),"")</f>
        <v/>
      </c>
      <c r="G83" s="73"/>
      <c r="H83" s="77" t="str">
        <f>IFERROR(VLOOKUP(E83,日报!E:H,4,0),"")</f>
        <v/>
      </c>
      <c r="I83" s="78" t="str">
        <f>IFERROR(VLOOKUP(E83,日报!E:G,4,0),"")</f>
        <v/>
      </c>
      <c r="J83" s="74"/>
      <c r="K83" s="75" t="str">
        <f t="shared" si="1"/>
        <v/>
      </c>
    </row>
    <row r="84" customHeight="1" spans="1:11">
      <c r="A84" s="76"/>
      <c r="B84" s="73"/>
      <c r="C84" s="73"/>
      <c r="D84" s="73"/>
      <c r="E84" s="73"/>
      <c r="F84" s="79" t="str">
        <f>IFERROR(VLOOKUP(E84,日报!E:F,2,0),"")</f>
        <v/>
      </c>
      <c r="G84" s="73"/>
      <c r="H84" s="77" t="str">
        <f>IFERROR(VLOOKUP(E84,日报!E:H,4,0),"")</f>
        <v/>
      </c>
      <c r="I84" s="78" t="str">
        <f>IFERROR(VLOOKUP(E84,日报!E:G,4,0),"")</f>
        <v/>
      </c>
      <c r="J84" s="74"/>
      <c r="K84" s="75" t="str">
        <f t="shared" si="1"/>
        <v/>
      </c>
    </row>
    <row r="85" customHeight="1" spans="1:11">
      <c r="A85" s="76"/>
      <c r="B85" s="73"/>
      <c r="C85" s="73"/>
      <c r="D85" s="73"/>
      <c r="E85" s="73"/>
      <c r="F85" s="79" t="str">
        <f>IFERROR(VLOOKUP(E85,日报!E:F,2,0),"")</f>
        <v/>
      </c>
      <c r="G85" s="73"/>
      <c r="H85" s="77" t="str">
        <f>IFERROR(VLOOKUP(E85,日报!E:H,4,0),"")</f>
        <v/>
      </c>
      <c r="I85" s="78" t="str">
        <f>IFERROR(VLOOKUP(E85,日报!E:G,4,0),"")</f>
        <v/>
      </c>
      <c r="J85" s="74"/>
      <c r="K85" s="75" t="str">
        <f t="shared" si="1"/>
        <v/>
      </c>
    </row>
    <row r="86" customHeight="1" spans="1:11">
      <c r="A86" s="76"/>
      <c r="B86" s="73"/>
      <c r="C86" s="73"/>
      <c r="D86" s="73"/>
      <c r="E86" s="73"/>
      <c r="F86" s="79" t="str">
        <f>IFERROR(VLOOKUP(E86,日报!E:F,2,0),"")</f>
        <v/>
      </c>
      <c r="G86" s="73"/>
      <c r="H86" s="77" t="str">
        <f>IFERROR(VLOOKUP(E86,日报!E:H,4,0),"")</f>
        <v/>
      </c>
      <c r="I86" s="78" t="str">
        <f>IFERROR(VLOOKUP(E86,日报!E:G,4,0),"")</f>
        <v/>
      </c>
      <c r="J86" s="74"/>
      <c r="K86" s="75" t="str">
        <f t="shared" si="1"/>
        <v/>
      </c>
    </row>
    <row r="87" customHeight="1" spans="1:11">
      <c r="A87" s="76"/>
      <c r="B87" s="73"/>
      <c r="C87" s="73"/>
      <c r="D87" s="73"/>
      <c r="E87" s="73"/>
      <c r="F87" s="79" t="str">
        <f>IFERROR(VLOOKUP(E87,日报!E:F,2,0),"")</f>
        <v/>
      </c>
      <c r="G87" s="73"/>
      <c r="H87" s="77" t="str">
        <f>IFERROR(VLOOKUP(E87,日报!E:H,4,0),"")</f>
        <v/>
      </c>
      <c r="I87" s="78" t="str">
        <f>IFERROR(VLOOKUP(E87,日报!E:G,4,0),"")</f>
        <v/>
      </c>
      <c r="J87" s="74"/>
      <c r="K87" s="75" t="str">
        <f t="shared" si="1"/>
        <v/>
      </c>
    </row>
    <row r="88" customHeight="1" spans="1:11">
      <c r="A88" s="76"/>
      <c r="B88" s="73"/>
      <c r="C88" s="73"/>
      <c r="D88" s="73"/>
      <c r="E88" s="73"/>
      <c r="F88" s="79" t="str">
        <f>IFERROR(VLOOKUP(E88,日报!E:F,2,0),"")</f>
        <v/>
      </c>
      <c r="G88" s="73"/>
      <c r="H88" s="77" t="str">
        <f>IFERROR(VLOOKUP(E88,日报!E:H,4,0),"")</f>
        <v/>
      </c>
      <c r="I88" s="78" t="str">
        <f>IFERROR(VLOOKUP(E88,日报!E:G,4,0),"")</f>
        <v/>
      </c>
      <c r="J88" s="74"/>
      <c r="K88" s="75" t="str">
        <f t="shared" si="1"/>
        <v/>
      </c>
    </row>
    <row r="89" customHeight="1" spans="1:11">
      <c r="A89" s="80"/>
      <c r="B89" s="59"/>
      <c r="C89" s="59"/>
      <c r="D89" s="59"/>
      <c r="E89" s="73"/>
      <c r="F89" s="79" t="str">
        <f>IFERROR(VLOOKUP(E89,日报!E:F,2,0),"")</f>
        <v/>
      </c>
      <c r="G89" s="59"/>
      <c r="H89" s="77" t="str">
        <f>IFERROR(VLOOKUP(E89,日报!E:H,4,0),"")</f>
        <v/>
      </c>
      <c r="I89" s="78" t="str">
        <f>IFERROR(VLOOKUP(E89,日报!E:G,4,0),"")</f>
        <v/>
      </c>
      <c r="J89" s="74"/>
      <c r="K89" s="75" t="str">
        <f t="shared" si="1"/>
        <v/>
      </c>
    </row>
    <row r="90" customHeight="1" spans="1:11">
      <c r="A90" s="80"/>
      <c r="B90" s="59"/>
      <c r="C90" s="59"/>
      <c r="D90" s="59"/>
      <c r="E90" s="73"/>
      <c r="F90" s="79" t="str">
        <f>IFERROR(VLOOKUP(E90,日报!E:F,2,0),"")</f>
        <v/>
      </c>
      <c r="G90" s="59"/>
      <c r="H90" s="77" t="str">
        <f>IFERROR(VLOOKUP(E90,日报!E:H,4,0),"")</f>
        <v/>
      </c>
      <c r="I90" s="78" t="str">
        <f>IFERROR(VLOOKUP(E90,日报!E:G,4,0),"")</f>
        <v/>
      </c>
      <c r="J90" s="74"/>
      <c r="K90" s="75" t="str">
        <f t="shared" si="1"/>
        <v/>
      </c>
    </row>
    <row r="91" customHeight="1" spans="1:11">
      <c r="A91" s="80"/>
      <c r="B91" s="59"/>
      <c r="C91" s="59"/>
      <c r="D91" s="59"/>
      <c r="E91" s="73"/>
      <c r="F91" s="79" t="str">
        <f>IFERROR(VLOOKUP(E91,日报!E:F,2,0),"")</f>
        <v/>
      </c>
      <c r="G91" s="59"/>
      <c r="H91" s="77" t="str">
        <f>IFERROR(VLOOKUP(E91,日报!E:H,4,0),"")</f>
        <v/>
      </c>
      <c r="I91" s="78" t="str">
        <f>IFERROR(VLOOKUP(E91,日报!E:G,4,0),"")</f>
        <v/>
      </c>
      <c r="J91" s="74"/>
      <c r="K91" s="75" t="str">
        <f t="shared" si="1"/>
        <v/>
      </c>
    </row>
    <row r="92" customHeight="1" spans="1:11">
      <c r="A92" s="80"/>
      <c r="B92" s="59"/>
      <c r="C92" s="59"/>
      <c r="D92" s="59"/>
      <c r="E92" s="73"/>
      <c r="F92" s="79" t="str">
        <f>IFERROR(VLOOKUP(E92,日报!E:F,2,0),"")</f>
        <v/>
      </c>
      <c r="G92" s="59"/>
      <c r="H92" s="77" t="str">
        <f>IFERROR(VLOOKUP(E92,日报!E:H,4,0),"")</f>
        <v/>
      </c>
      <c r="I92" s="78" t="str">
        <f>IFERROR(VLOOKUP(E92,日报!E:G,4,0),"")</f>
        <v/>
      </c>
      <c r="J92" s="74"/>
      <c r="K92" s="75" t="str">
        <f t="shared" si="1"/>
        <v/>
      </c>
    </row>
    <row r="93" customHeight="1" spans="1:11">
      <c r="A93" s="80"/>
      <c r="B93" s="59"/>
      <c r="C93" s="59"/>
      <c r="D93" s="59"/>
      <c r="E93" s="73"/>
      <c r="F93" s="79" t="str">
        <f>IFERROR(VLOOKUP(E93,日报!E:F,2,0),"")</f>
        <v/>
      </c>
      <c r="G93" s="59"/>
      <c r="H93" s="77" t="str">
        <f>IFERROR(VLOOKUP(E93,日报!E:H,4,0),"")</f>
        <v/>
      </c>
      <c r="I93" s="78" t="str">
        <f>IFERROR(VLOOKUP(E93,日报!E:G,4,0),"")</f>
        <v/>
      </c>
      <c r="J93" s="74"/>
      <c r="K93" s="75" t="str">
        <f t="shared" si="1"/>
        <v/>
      </c>
    </row>
    <row r="94" customHeight="1" spans="1:11">
      <c r="A94" s="80"/>
      <c r="B94" s="59"/>
      <c r="C94" s="59"/>
      <c r="D94" s="59"/>
      <c r="E94" s="73"/>
      <c r="F94" s="79" t="str">
        <f>IFERROR(VLOOKUP(E94,日报!E:F,2,0),"")</f>
        <v/>
      </c>
      <c r="G94" s="59"/>
      <c r="H94" s="77" t="str">
        <f>IFERROR(VLOOKUP(E94,日报!E:H,4,0),"")</f>
        <v/>
      </c>
      <c r="I94" s="78" t="str">
        <f>IFERROR(VLOOKUP(E94,日报!E:G,4,0),"")</f>
        <v/>
      </c>
      <c r="J94" s="74"/>
      <c r="K94" s="75" t="str">
        <f t="shared" si="1"/>
        <v/>
      </c>
    </row>
    <row r="95" customHeight="1" spans="1:11">
      <c r="A95" s="80"/>
      <c r="B95" s="59"/>
      <c r="C95" s="59"/>
      <c r="D95" s="59"/>
      <c r="E95" s="73"/>
      <c r="F95" s="79" t="str">
        <f>IFERROR(VLOOKUP(E95,日报!E:F,2,0),"")</f>
        <v/>
      </c>
      <c r="G95" s="59"/>
      <c r="H95" s="77" t="str">
        <f>IFERROR(VLOOKUP(E95,日报!E:H,4,0),"")</f>
        <v/>
      </c>
      <c r="I95" s="78" t="str">
        <f>IFERROR(VLOOKUP(E95,日报!E:G,4,0),"")</f>
        <v/>
      </c>
      <c r="J95" s="74"/>
      <c r="K95" s="75" t="str">
        <f t="shared" si="1"/>
        <v/>
      </c>
    </row>
    <row r="96" customHeight="1" spans="1:11">
      <c r="A96" s="80"/>
      <c r="B96" s="59"/>
      <c r="C96" s="59"/>
      <c r="D96" s="59"/>
      <c r="E96" s="73"/>
      <c r="F96" s="79" t="str">
        <f>IFERROR(VLOOKUP(E96,日报!E:F,2,0),"")</f>
        <v/>
      </c>
      <c r="G96" s="59"/>
      <c r="H96" s="77" t="str">
        <f>IFERROR(VLOOKUP(E96,日报!E:H,4,0),"")</f>
        <v/>
      </c>
      <c r="I96" s="78" t="str">
        <f>IFERROR(VLOOKUP(E96,日报!E:G,4,0),"")</f>
        <v/>
      </c>
      <c r="J96" s="74"/>
      <c r="K96" s="75" t="str">
        <f t="shared" si="1"/>
        <v/>
      </c>
    </row>
    <row r="97" customHeight="1" spans="1:11">
      <c r="A97" s="80"/>
      <c r="B97" s="59"/>
      <c r="C97" s="59"/>
      <c r="D97" s="59"/>
      <c r="E97" s="73"/>
      <c r="F97" s="79" t="str">
        <f>IFERROR(VLOOKUP(E97,日报!E:F,2,0),"")</f>
        <v/>
      </c>
      <c r="G97" s="59"/>
      <c r="H97" s="77" t="str">
        <f>IFERROR(VLOOKUP(E97,日报!E:H,4,0),"")</f>
        <v/>
      </c>
      <c r="I97" s="78" t="str">
        <f>IFERROR(VLOOKUP(E97,日报!E:G,4,0),"")</f>
        <v/>
      </c>
      <c r="J97" s="74"/>
      <c r="K97" s="75" t="str">
        <f t="shared" si="1"/>
        <v/>
      </c>
    </row>
    <row r="98" customHeight="1" spans="1:11">
      <c r="A98" s="80"/>
      <c r="B98" s="59"/>
      <c r="C98" s="59"/>
      <c r="D98" s="59"/>
      <c r="E98" s="73"/>
      <c r="F98" s="79" t="str">
        <f>IFERROR(VLOOKUP(E98,日报!E:F,2,0),"")</f>
        <v/>
      </c>
      <c r="G98" s="59"/>
      <c r="H98" s="77" t="str">
        <f>IFERROR(VLOOKUP(E98,日报!E:H,4,0),"")</f>
        <v/>
      </c>
      <c r="I98" s="78" t="str">
        <f>IFERROR(VLOOKUP(E98,日报!E:G,4,0),"")</f>
        <v/>
      </c>
      <c r="J98" s="74"/>
      <c r="K98" s="75" t="str">
        <f t="shared" si="1"/>
        <v/>
      </c>
    </row>
    <row r="99" customHeight="1" spans="1:11">
      <c r="A99" s="80"/>
      <c r="B99" s="59"/>
      <c r="C99" s="59"/>
      <c r="D99" s="59"/>
      <c r="E99" s="73"/>
      <c r="F99" s="79" t="str">
        <f>IFERROR(VLOOKUP(E99,日报!E:F,2,0),"")</f>
        <v/>
      </c>
      <c r="G99" s="59"/>
      <c r="H99" s="77" t="str">
        <f>IFERROR(VLOOKUP(E99,日报!E:H,4,0),"")</f>
        <v/>
      </c>
      <c r="I99" s="78" t="str">
        <f>IFERROR(VLOOKUP(E99,日报!E:G,4,0),"")</f>
        <v/>
      </c>
      <c r="J99" s="74"/>
      <c r="K99" s="75" t="str">
        <f t="shared" si="1"/>
        <v/>
      </c>
    </row>
    <row r="100" customHeight="1" spans="1:11">
      <c r="A100" s="80"/>
      <c r="B100" s="59"/>
      <c r="C100" s="59"/>
      <c r="D100" s="59"/>
      <c r="E100" s="73"/>
      <c r="F100" s="79" t="str">
        <f>IFERROR(VLOOKUP(E100,日报!E:F,2,0),"")</f>
        <v/>
      </c>
      <c r="G100" s="59"/>
      <c r="H100" s="77" t="str">
        <f>IFERROR(VLOOKUP(E100,日报!E:H,4,0),"")</f>
        <v/>
      </c>
      <c r="I100" s="78" t="str">
        <f>IFERROR(VLOOKUP(E100,日报!E:G,4,0),"")</f>
        <v/>
      </c>
      <c r="J100" s="74"/>
      <c r="K100" s="75" t="str">
        <f t="shared" si="1"/>
        <v/>
      </c>
    </row>
    <row r="101" customHeight="1" spans="1:11">
      <c r="A101" s="80"/>
      <c r="B101" s="59"/>
      <c r="C101" s="59"/>
      <c r="D101" s="59"/>
      <c r="E101" s="73"/>
      <c r="F101" s="79" t="str">
        <f>IFERROR(VLOOKUP(E101,日报!E:F,2,0),"")</f>
        <v/>
      </c>
      <c r="G101" s="59"/>
      <c r="H101" s="77" t="str">
        <f>IFERROR(VLOOKUP(E101,日报!E:H,4,0),"")</f>
        <v/>
      </c>
      <c r="I101" s="78" t="str">
        <f>IFERROR(VLOOKUP(E101,日报!E:G,4,0),"")</f>
        <v/>
      </c>
      <c r="J101" s="74"/>
      <c r="K101" s="75" t="str">
        <f t="shared" si="1"/>
        <v/>
      </c>
    </row>
    <row r="102" customHeight="1" spans="1:11">
      <c r="A102" s="80"/>
      <c r="B102" s="59"/>
      <c r="C102" s="59"/>
      <c r="D102" s="59"/>
      <c r="E102" s="73"/>
      <c r="F102" s="79" t="str">
        <f>IFERROR(VLOOKUP(E102,日报!E:F,2,0),"")</f>
        <v/>
      </c>
      <c r="G102" s="59"/>
      <c r="H102" s="77" t="str">
        <f>IFERROR(VLOOKUP(E102,日报!E:H,4,0),"")</f>
        <v/>
      </c>
      <c r="I102" s="78" t="str">
        <f>IFERROR(VLOOKUP(E102,日报!E:G,4,0),"")</f>
        <v/>
      </c>
      <c r="J102" s="74"/>
      <c r="K102" s="75" t="str">
        <f t="shared" si="1"/>
        <v/>
      </c>
    </row>
    <row r="103" customHeight="1" spans="1:11">
      <c r="A103" s="80"/>
      <c r="B103" s="59"/>
      <c r="C103" s="59"/>
      <c r="D103" s="59"/>
      <c r="E103" s="73"/>
      <c r="F103" s="79" t="str">
        <f>IFERROR(VLOOKUP(E103,日报!E:F,2,0),"")</f>
        <v/>
      </c>
      <c r="G103" s="59"/>
      <c r="H103" s="77" t="str">
        <f>IFERROR(VLOOKUP(E103,日报!E:H,4,0),"")</f>
        <v/>
      </c>
      <c r="I103" s="78" t="str">
        <f>IFERROR(VLOOKUP(E103,日报!E:G,4,0),"")</f>
        <v/>
      </c>
      <c r="J103" s="74"/>
      <c r="K103" s="75" t="str">
        <f t="shared" si="1"/>
        <v/>
      </c>
    </row>
    <row r="104" customHeight="1" spans="1:11">
      <c r="A104" s="80"/>
      <c r="B104" s="59"/>
      <c r="C104" s="59"/>
      <c r="D104" s="59"/>
      <c r="E104" s="73"/>
      <c r="F104" s="79" t="str">
        <f>IFERROR(VLOOKUP(E104,日报!E:F,2,0),"")</f>
        <v/>
      </c>
      <c r="G104" s="59"/>
      <c r="H104" s="77" t="str">
        <f>IFERROR(VLOOKUP(E104,日报!E:H,4,0),"")</f>
        <v/>
      </c>
      <c r="I104" s="78" t="str">
        <f>IFERROR(VLOOKUP(E104,日报!E:G,4,0),"")</f>
        <v/>
      </c>
      <c r="J104" s="74"/>
      <c r="K104" s="75" t="str">
        <f t="shared" si="1"/>
        <v/>
      </c>
    </row>
    <row r="105" customHeight="1" spans="1:11">
      <c r="A105" s="80"/>
      <c r="B105" s="59"/>
      <c r="C105" s="59"/>
      <c r="D105" s="59"/>
      <c r="E105" s="73"/>
      <c r="F105" s="79" t="str">
        <f>IFERROR(VLOOKUP(E105,日报!E:F,2,0),"")</f>
        <v/>
      </c>
      <c r="G105" s="59"/>
      <c r="H105" s="77" t="str">
        <f>IFERROR(VLOOKUP(E105,日报!E:H,4,0),"")</f>
        <v/>
      </c>
      <c r="I105" s="78" t="str">
        <f>IFERROR(VLOOKUP(E105,日报!E:G,4,0),"")</f>
        <v/>
      </c>
      <c r="J105" s="74"/>
      <c r="K105" s="75" t="str">
        <f t="shared" si="1"/>
        <v/>
      </c>
    </row>
    <row r="106" customHeight="1" spans="1:11">
      <c r="A106" s="80"/>
      <c r="B106" s="59"/>
      <c r="C106" s="59"/>
      <c r="D106" s="59"/>
      <c r="E106" s="73"/>
      <c r="F106" s="79" t="str">
        <f>IFERROR(VLOOKUP(E106,日报!E:F,2,0),"")</f>
        <v/>
      </c>
      <c r="G106" s="59"/>
      <c r="H106" s="77" t="str">
        <f>IFERROR(VLOOKUP(E106,日报!E:H,4,0),"")</f>
        <v/>
      </c>
      <c r="I106" s="78" t="str">
        <f>IFERROR(VLOOKUP(E106,日报!E:G,4,0),"")</f>
        <v/>
      </c>
      <c r="J106" s="74"/>
      <c r="K106" s="75" t="str">
        <f t="shared" si="1"/>
        <v/>
      </c>
    </row>
    <row r="107" customHeight="1" spans="1:11">
      <c r="A107" s="80"/>
      <c r="B107" s="59"/>
      <c r="C107" s="59"/>
      <c r="D107" s="59"/>
      <c r="E107" s="73"/>
      <c r="F107" s="79" t="str">
        <f>IFERROR(VLOOKUP(E107,日报!E:F,2,0),"")</f>
        <v/>
      </c>
      <c r="G107" s="59"/>
      <c r="H107" s="77" t="str">
        <f>IFERROR(VLOOKUP(E107,日报!E:H,4,0),"")</f>
        <v/>
      </c>
      <c r="I107" s="78" t="str">
        <f>IFERROR(VLOOKUP(E107,日报!E:G,4,0),"")</f>
        <v/>
      </c>
      <c r="J107" s="74"/>
      <c r="K107" s="75" t="str">
        <f t="shared" si="1"/>
        <v/>
      </c>
    </row>
    <row r="108" customHeight="1" spans="1:11">
      <c r="A108" s="80"/>
      <c r="B108" s="59"/>
      <c r="C108" s="59"/>
      <c r="D108" s="59"/>
      <c r="E108" s="73"/>
      <c r="F108" s="79" t="str">
        <f>IFERROR(VLOOKUP(E108,日报!E:F,2,0),"")</f>
        <v/>
      </c>
      <c r="G108" s="59"/>
      <c r="H108" s="77" t="str">
        <f>IFERROR(VLOOKUP(E108,日报!E:H,4,0),"")</f>
        <v/>
      </c>
      <c r="I108" s="78" t="str">
        <f>IFERROR(VLOOKUP(E108,日报!E:G,4,0),"")</f>
        <v/>
      </c>
      <c r="J108" s="74"/>
      <c r="K108" s="75" t="str">
        <f t="shared" si="1"/>
        <v/>
      </c>
    </row>
    <row r="109" customHeight="1" spans="1:11">
      <c r="A109" s="80"/>
      <c r="B109" s="59"/>
      <c r="C109" s="59"/>
      <c r="D109" s="59"/>
      <c r="E109" s="73"/>
      <c r="F109" s="79" t="str">
        <f>IFERROR(VLOOKUP(E109,日报!E:F,2,0),"")</f>
        <v/>
      </c>
      <c r="G109" s="59"/>
      <c r="H109" s="77" t="str">
        <f>IFERROR(VLOOKUP(E109,日报!E:H,4,0),"")</f>
        <v/>
      </c>
      <c r="I109" s="78" t="str">
        <f>IFERROR(VLOOKUP(E109,日报!E:G,4,0),"")</f>
        <v/>
      </c>
      <c r="J109" s="74"/>
      <c r="K109" s="75" t="str">
        <f t="shared" si="1"/>
        <v/>
      </c>
    </row>
    <row r="110" customHeight="1" spans="1:11">
      <c r="A110" s="80"/>
      <c r="B110" s="59"/>
      <c r="C110" s="59"/>
      <c r="D110" s="59"/>
      <c r="E110" s="73"/>
      <c r="F110" s="79" t="str">
        <f>IFERROR(VLOOKUP(E110,日报!E:F,2,0),"")</f>
        <v/>
      </c>
      <c r="G110" s="59"/>
      <c r="H110" s="77" t="str">
        <f>IFERROR(VLOOKUP(E110,日报!E:H,4,0),"")</f>
        <v/>
      </c>
      <c r="I110" s="78" t="str">
        <f>IFERROR(VLOOKUP(E110,日报!E:G,4,0),"")</f>
        <v/>
      </c>
      <c r="J110" s="74"/>
      <c r="K110" s="75" t="str">
        <f t="shared" si="1"/>
        <v/>
      </c>
    </row>
    <row r="111" customHeight="1" spans="1:11">
      <c r="A111" s="80"/>
      <c r="B111" s="59"/>
      <c r="C111" s="59"/>
      <c r="D111" s="59"/>
      <c r="E111" s="73"/>
      <c r="F111" s="79" t="str">
        <f>IFERROR(VLOOKUP(E111,日报!E:F,2,0),"")</f>
        <v/>
      </c>
      <c r="G111" s="59"/>
      <c r="H111" s="77" t="str">
        <f>IFERROR(VLOOKUP(E111,日报!E:H,4,0),"")</f>
        <v/>
      </c>
      <c r="I111" s="78" t="str">
        <f>IFERROR(VLOOKUP(E111,日报!E:G,4,0),"")</f>
        <v/>
      </c>
      <c r="J111" s="74"/>
      <c r="K111" s="75" t="str">
        <f t="shared" si="1"/>
        <v/>
      </c>
    </row>
    <row r="112" customHeight="1" spans="1:11">
      <c r="A112" s="80"/>
      <c r="B112" s="59"/>
      <c r="C112" s="59"/>
      <c r="D112" s="59"/>
      <c r="E112" s="73"/>
      <c r="F112" s="79" t="str">
        <f>IFERROR(VLOOKUP(E112,日报!E:F,2,0),"")</f>
        <v/>
      </c>
      <c r="G112" s="59"/>
      <c r="H112" s="77" t="str">
        <f>IFERROR(VLOOKUP(E112,日报!E:H,4,0),"")</f>
        <v/>
      </c>
      <c r="I112" s="78" t="str">
        <f>IFERROR(VLOOKUP(E112,日报!E:G,4,0),"")</f>
        <v/>
      </c>
      <c r="J112" s="74"/>
      <c r="K112" s="75" t="str">
        <f t="shared" si="1"/>
        <v/>
      </c>
    </row>
    <row r="113" customHeight="1" spans="1:11">
      <c r="A113" s="80"/>
      <c r="B113" s="59"/>
      <c r="C113" s="59"/>
      <c r="D113" s="59"/>
      <c r="E113" s="73"/>
      <c r="F113" s="79" t="str">
        <f>IFERROR(VLOOKUP(E113,日报!E:F,2,0),"")</f>
        <v/>
      </c>
      <c r="G113" s="59"/>
      <c r="H113" s="77" t="str">
        <f>IFERROR(VLOOKUP(E113,日报!E:H,4,0),"")</f>
        <v/>
      </c>
      <c r="I113" s="78" t="str">
        <f>IFERROR(VLOOKUP(E113,日报!E:G,4,0),"")</f>
        <v/>
      </c>
      <c r="J113" s="74"/>
      <c r="K113" s="75" t="str">
        <f t="shared" si="1"/>
        <v/>
      </c>
    </row>
    <row r="114" customHeight="1" spans="1:11">
      <c r="A114" s="80"/>
      <c r="B114" s="59"/>
      <c r="C114" s="59"/>
      <c r="D114" s="59"/>
      <c r="E114" s="73"/>
      <c r="F114" s="79" t="str">
        <f>IFERROR(VLOOKUP(E114,日报!E:F,2,0),"")</f>
        <v/>
      </c>
      <c r="G114" s="59"/>
      <c r="H114" s="77" t="str">
        <f>IFERROR(VLOOKUP(E114,日报!E:H,4,0),"")</f>
        <v/>
      </c>
      <c r="I114" s="78" t="str">
        <f>IFERROR(VLOOKUP(E114,日报!E:G,4,0),"")</f>
        <v/>
      </c>
      <c r="J114" s="74"/>
      <c r="K114" s="75" t="str">
        <f t="shared" si="1"/>
        <v/>
      </c>
    </row>
    <row r="115" customHeight="1" spans="1:11">
      <c r="A115" s="80"/>
      <c r="B115" s="59"/>
      <c r="C115" s="59"/>
      <c r="D115" s="59"/>
      <c r="E115" s="73"/>
      <c r="F115" s="79" t="str">
        <f>IFERROR(VLOOKUP(E115,日报!E:F,2,0),"")</f>
        <v/>
      </c>
      <c r="G115" s="59"/>
      <c r="H115" s="77" t="str">
        <f>IFERROR(VLOOKUP(E115,日报!E:H,4,0),"")</f>
        <v/>
      </c>
      <c r="I115" s="78" t="str">
        <f>IFERROR(VLOOKUP(E115,日报!E:G,4,0),"")</f>
        <v/>
      </c>
      <c r="J115" s="74"/>
      <c r="K115" s="75" t="str">
        <f t="shared" si="1"/>
        <v/>
      </c>
    </row>
    <row r="116" customHeight="1" spans="1:11">
      <c r="A116" s="80"/>
      <c r="B116" s="59"/>
      <c r="C116" s="59"/>
      <c r="D116" s="59"/>
      <c r="E116" s="73"/>
      <c r="F116" s="79" t="str">
        <f>IFERROR(VLOOKUP(E116,日报!E:F,2,0),"")</f>
        <v/>
      </c>
      <c r="G116" s="59"/>
      <c r="H116" s="77" t="str">
        <f>IFERROR(VLOOKUP(E116,日报!E:H,4,0),"")</f>
        <v/>
      </c>
      <c r="I116" s="78" t="str">
        <f>IFERROR(VLOOKUP(E116,日报!E:G,4,0),"")</f>
        <v/>
      </c>
      <c r="J116" s="74"/>
      <c r="K116" s="75" t="str">
        <f t="shared" si="1"/>
        <v/>
      </c>
    </row>
    <row r="117" customHeight="1" spans="1:11">
      <c r="A117" s="80"/>
      <c r="B117" s="59"/>
      <c r="C117" s="59"/>
      <c r="D117" s="59"/>
      <c r="E117" s="73"/>
      <c r="F117" s="79" t="str">
        <f>IFERROR(VLOOKUP(E117,日报!E:F,2,0),"")</f>
        <v/>
      </c>
      <c r="G117" s="59"/>
      <c r="H117" s="77" t="str">
        <f>IFERROR(VLOOKUP(E117,日报!E:H,4,0),"")</f>
        <v/>
      </c>
      <c r="I117" s="78" t="str">
        <f>IFERROR(VLOOKUP(E117,日报!E:G,4,0),"")</f>
        <v/>
      </c>
      <c r="J117" s="74"/>
      <c r="K117" s="75" t="str">
        <f t="shared" si="1"/>
        <v/>
      </c>
    </row>
    <row r="118" customHeight="1" spans="1:11">
      <c r="A118" s="80"/>
      <c r="B118" s="59"/>
      <c r="C118" s="59"/>
      <c r="D118" s="59"/>
      <c r="E118" s="73"/>
      <c r="F118" s="79" t="str">
        <f>IFERROR(VLOOKUP(E118,日报!E:F,2,0),"")</f>
        <v/>
      </c>
      <c r="G118" s="59"/>
      <c r="H118" s="77" t="str">
        <f>IFERROR(VLOOKUP(E118,日报!E:H,4,0),"")</f>
        <v/>
      </c>
      <c r="I118" s="78" t="str">
        <f>IFERROR(VLOOKUP(E118,日报!E:G,4,0),"")</f>
        <v/>
      </c>
      <c r="J118" s="74"/>
      <c r="K118" s="75" t="str">
        <f t="shared" si="1"/>
        <v/>
      </c>
    </row>
    <row r="119" customHeight="1" spans="1:11">
      <c r="A119" s="80"/>
      <c r="B119" s="59"/>
      <c r="C119" s="59"/>
      <c r="D119" s="59"/>
      <c r="E119" s="73"/>
      <c r="F119" s="79" t="str">
        <f>IFERROR(VLOOKUP(E119,日报!E:F,2,0),"")</f>
        <v/>
      </c>
      <c r="G119" s="59"/>
      <c r="H119" s="77" t="str">
        <f>IFERROR(VLOOKUP(E119,日报!E:H,4,0),"")</f>
        <v/>
      </c>
      <c r="I119" s="78" t="str">
        <f>IFERROR(VLOOKUP(E119,日报!E:G,4,0),"")</f>
        <v/>
      </c>
      <c r="J119" s="74"/>
      <c r="K119" s="75" t="str">
        <f t="shared" si="1"/>
        <v/>
      </c>
    </row>
    <row r="120" customHeight="1" spans="1:11">
      <c r="A120" s="80"/>
      <c r="B120" s="59"/>
      <c r="C120" s="59"/>
      <c r="D120" s="59"/>
      <c r="E120" s="73"/>
      <c r="F120" s="79" t="str">
        <f>IFERROR(VLOOKUP(E120,日报!E:F,2,0),"")</f>
        <v/>
      </c>
      <c r="G120" s="59"/>
      <c r="H120" s="77" t="str">
        <f>IFERROR(VLOOKUP(E120,日报!E:H,4,0),"")</f>
        <v/>
      </c>
      <c r="I120" s="78" t="str">
        <f>IFERROR(VLOOKUP(E120,日报!E:G,4,0),"")</f>
        <v/>
      </c>
      <c r="J120" s="74"/>
      <c r="K120" s="75" t="str">
        <f t="shared" si="1"/>
        <v/>
      </c>
    </row>
    <row r="121" customHeight="1" spans="1:11">
      <c r="A121" s="80"/>
      <c r="B121" s="59"/>
      <c r="C121" s="59"/>
      <c r="D121" s="59"/>
      <c r="E121" s="73"/>
      <c r="F121" s="79" t="str">
        <f>IFERROR(VLOOKUP(E121,日报!E:F,2,0),"")</f>
        <v/>
      </c>
      <c r="G121" s="59"/>
      <c r="H121" s="77" t="str">
        <f>IFERROR(VLOOKUP(E121,日报!E:H,4,0),"")</f>
        <v/>
      </c>
      <c r="I121" s="78" t="str">
        <f>IFERROR(VLOOKUP(E121,日报!E:G,4,0),"")</f>
        <v/>
      </c>
      <c r="J121" s="74"/>
      <c r="K121" s="75" t="str">
        <f t="shared" si="1"/>
        <v/>
      </c>
    </row>
    <row r="122" customHeight="1" spans="1:11">
      <c r="A122" s="80"/>
      <c r="B122" s="59"/>
      <c r="C122" s="59"/>
      <c r="D122" s="59"/>
      <c r="E122" s="73"/>
      <c r="F122" s="79" t="str">
        <f>IFERROR(VLOOKUP(E122,日报!E:F,2,0),"")</f>
        <v/>
      </c>
      <c r="G122" s="59"/>
      <c r="H122" s="77" t="str">
        <f>IFERROR(VLOOKUP(E122,日报!E:H,4,0),"")</f>
        <v/>
      </c>
      <c r="I122" s="78" t="str">
        <f>IFERROR(VLOOKUP(E122,日报!E:G,4,0),"")</f>
        <v/>
      </c>
      <c r="J122" s="74"/>
      <c r="K122" s="75" t="str">
        <f t="shared" si="1"/>
        <v/>
      </c>
    </row>
    <row r="123" customHeight="1" spans="1:11">
      <c r="A123" s="80"/>
      <c r="B123" s="59"/>
      <c r="C123" s="59"/>
      <c r="D123" s="59"/>
      <c r="E123" s="73"/>
      <c r="F123" s="79" t="str">
        <f>IFERROR(VLOOKUP(E123,日报!E:F,2,0),"")</f>
        <v/>
      </c>
      <c r="G123" s="59"/>
      <c r="H123" s="77" t="str">
        <f>IFERROR(VLOOKUP(E123,日报!E:H,4,0),"")</f>
        <v/>
      </c>
      <c r="I123" s="78" t="str">
        <f>IFERROR(VLOOKUP(E123,日报!E:G,4,0),"")</f>
        <v/>
      </c>
      <c r="J123" s="74"/>
      <c r="K123" s="75" t="str">
        <f t="shared" si="1"/>
        <v/>
      </c>
    </row>
    <row r="124" customHeight="1" spans="1:11">
      <c r="A124" s="80"/>
      <c r="B124" s="59"/>
      <c r="C124" s="59"/>
      <c r="D124" s="59"/>
      <c r="E124" s="73"/>
      <c r="F124" s="79" t="str">
        <f>IFERROR(VLOOKUP(E124,日报!E:F,2,0),"")</f>
        <v/>
      </c>
      <c r="G124" s="59"/>
      <c r="H124" s="77" t="str">
        <f>IFERROR(VLOOKUP(E124,日报!E:H,4,0),"")</f>
        <v/>
      </c>
      <c r="I124" s="78" t="str">
        <f>IFERROR(VLOOKUP(E124,日报!E:G,4,0),"")</f>
        <v/>
      </c>
      <c r="J124" s="74"/>
      <c r="K124" s="75" t="str">
        <f t="shared" si="1"/>
        <v/>
      </c>
    </row>
    <row r="125" customHeight="1" spans="1:11">
      <c r="A125" s="80"/>
      <c r="B125" s="59"/>
      <c r="C125" s="59"/>
      <c r="D125" s="59"/>
      <c r="E125" s="73"/>
      <c r="F125" s="79" t="str">
        <f>IFERROR(VLOOKUP(E125,日报!E:F,2,0),"")</f>
        <v/>
      </c>
      <c r="G125" s="59"/>
      <c r="H125" s="77" t="str">
        <f>IFERROR(VLOOKUP(E125,日报!E:H,4,0),"")</f>
        <v/>
      </c>
      <c r="I125" s="78" t="str">
        <f>IFERROR(VLOOKUP(E125,日报!E:G,4,0),"")</f>
        <v/>
      </c>
      <c r="J125" s="74"/>
      <c r="K125" s="75" t="str">
        <f t="shared" si="1"/>
        <v/>
      </c>
    </row>
    <row r="126" customHeight="1" spans="1:11">
      <c r="A126" s="80"/>
      <c r="B126" s="59"/>
      <c r="C126" s="59"/>
      <c r="D126" s="59"/>
      <c r="E126" s="73"/>
      <c r="F126" s="79" t="str">
        <f>IFERROR(VLOOKUP(E126,日报!E:F,2,0),"")</f>
        <v/>
      </c>
      <c r="G126" s="59"/>
      <c r="H126" s="77" t="str">
        <f>IFERROR(VLOOKUP(E126,日报!E:H,4,0),"")</f>
        <v/>
      </c>
      <c r="I126" s="78" t="str">
        <f>IFERROR(VLOOKUP(E126,日报!E:G,4,0),"")</f>
        <v/>
      </c>
      <c r="J126" s="74"/>
      <c r="K126" s="75" t="str">
        <f t="shared" si="1"/>
        <v/>
      </c>
    </row>
    <row r="127" customHeight="1" spans="1:11">
      <c r="A127" s="80"/>
      <c r="B127" s="59"/>
      <c r="C127" s="59"/>
      <c r="D127" s="59"/>
      <c r="E127" s="73"/>
      <c r="F127" s="79" t="str">
        <f>IFERROR(VLOOKUP(E127,日报!E:F,2,0),"")</f>
        <v/>
      </c>
      <c r="G127" s="59"/>
      <c r="H127" s="77" t="str">
        <f>IFERROR(VLOOKUP(E127,日报!E:H,4,0),"")</f>
        <v/>
      </c>
      <c r="I127" s="78" t="str">
        <f>IFERROR(VLOOKUP(E127,日报!E:G,4,0),"")</f>
        <v/>
      </c>
      <c r="J127" s="74"/>
      <c r="K127" s="75" t="str">
        <f t="shared" si="1"/>
        <v/>
      </c>
    </row>
    <row r="128" customHeight="1" spans="1:11">
      <c r="A128" s="80"/>
      <c r="B128" s="59"/>
      <c r="C128" s="59"/>
      <c r="D128" s="59"/>
      <c r="E128" s="73"/>
      <c r="F128" s="79" t="str">
        <f>IFERROR(VLOOKUP(E128,日报!E:F,2,0),"")</f>
        <v/>
      </c>
      <c r="G128" s="59"/>
      <c r="H128" s="77" t="str">
        <f>IFERROR(VLOOKUP(E128,日报!E:H,4,0),"")</f>
        <v/>
      </c>
      <c r="I128" s="78" t="str">
        <f>IFERROR(VLOOKUP(E128,日报!E:G,4,0),"")</f>
        <v/>
      </c>
      <c r="J128" s="74"/>
      <c r="K128" s="75" t="str">
        <f t="shared" si="1"/>
        <v/>
      </c>
    </row>
    <row r="129" customHeight="1" spans="1:11">
      <c r="A129" s="80"/>
      <c r="B129" s="59"/>
      <c r="C129" s="59"/>
      <c r="D129" s="59"/>
      <c r="E129" s="73"/>
      <c r="F129" s="79" t="str">
        <f>IFERROR(VLOOKUP(E129,日报!E:F,2,0),"")</f>
        <v/>
      </c>
      <c r="G129" s="59"/>
      <c r="H129" s="77" t="str">
        <f>IFERROR(VLOOKUP(E129,日报!E:H,4,0),"")</f>
        <v/>
      </c>
      <c r="I129" s="78" t="str">
        <f>IFERROR(VLOOKUP(E129,日报!E:G,4,0),"")</f>
        <v/>
      </c>
      <c r="J129" s="74"/>
      <c r="K129" s="75" t="str">
        <f t="shared" si="1"/>
        <v/>
      </c>
    </row>
    <row r="130" customHeight="1" spans="1:11">
      <c r="A130" s="80"/>
      <c r="B130" s="59"/>
      <c r="C130" s="59"/>
      <c r="D130" s="59"/>
      <c r="E130" s="73"/>
      <c r="F130" s="79" t="str">
        <f>IFERROR(VLOOKUP(E130,日报!E:F,2,0),"")</f>
        <v/>
      </c>
      <c r="G130" s="59"/>
      <c r="H130" s="77" t="str">
        <f>IFERROR(VLOOKUP(E130,日报!E:H,4,0),"")</f>
        <v/>
      </c>
      <c r="I130" s="78" t="str">
        <f>IFERROR(VLOOKUP(E130,日报!E:G,4,0),"")</f>
        <v/>
      </c>
      <c r="J130" s="74"/>
      <c r="K130" s="75" t="str">
        <f t="shared" si="1"/>
        <v/>
      </c>
    </row>
    <row r="131" customHeight="1" spans="1:11">
      <c r="A131" s="80"/>
      <c r="B131" s="59"/>
      <c r="C131" s="59"/>
      <c r="D131" s="59"/>
      <c r="E131" s="73"/>
      <c r="F131" s="79" t="str">
        <f>IFERROR(VLOOKUP(E131,日报!E:F,2,0),"")</f>
        <v/>
      </c>
      <c r="G131" s="59"/>
      <c r="H131" s="77" t="str">
        <f>IFERROR(VLOOKUP(E131,日报!E:H,4,0),"")</f>
        <v/>
      </c>
      <c r="I131" s="78" t="str">
        <f>IFERROR(VLOOKUP(E131,日报!E:G,4,0),"")</f>
        <v/>
      </c>
      <c r="J131" s="74"/>
      <c r="K131" s="75" t="str">
        <f t="shared" si="1"/>
        <v/>
      </c>
    </row>
    <row r="132" customHeight="1" spans="1:11">
      <c r="A132" s="80"/>
      <c r="B132" s="59"/>
      <c r="C132" s="59"/>
      <c r="D132" s="59"/>
      <c r="E132" s="73"/>
      <c r="F132" s="79" t="str">
        <f>IFERROR(VLOOKUP(E132,日报!E:F,2,0),"")</f>
        <v/>
      </c>
      <c r="G132" s="59"/>
      <c r="H132" s="77" t="str">
        <f>IFERROR(VLOOKUP(E132,日报!E:H,4,0),"")</f>
        <v/>
      </c>
      <c r="I132" s="78" t="str">
        <f>IFERROR(VLOOKUP(E132,日报!E:G,4,0),"")</f>
        <v/>
      </c>
      <c r="J132" s="74"/>
      <c r="K132" s="75" t="str">
        <f t="shared" ref="K132:K140" si="2">IFERROR(G132/I132,"")</f>
        <v/>
      </c>
    </row>
    <row r="133" customHeight="1" spans="1:11">
      <c r="A133" s="80"/>
      <c r="B133" s="59"/>
      <c r="C133" s="59"/>
      <c r="D133" s="59"/>
      <c r="E133" s="73"/>
      <c r="F133" s="79" t="str">
        <f>IFERROR(VLOOKUP(E133,日报!E:F,2,0),"")</f>
        <v/>
      </c>
      <c r="G133" s="59"/>
      <c r="H133" s="77" t="str">
        <f>IFERROR(VLOOKUP(E133,日报!E:H,4,0),"")</f>
        <v/>
      </c>
      <c r="I133" s="78" t="str">
        <f>IFERROR(VLOOKUP(E133,日报!E:G,4,0),"")</f>
        <v/>
      </c>
      <c r="J133" s="74"/>
      <c r="K133" s="75" t="str">
        <f t="shared" si="2"/>
        <v/>
      </c>
    </row>
    <row r="134" customHeight="1" spans="1:11">
      <c r="A134" s="80"/>
      <c r="B134" s="59"/>
      <c r="C134" s="59"/>
      <c r="D134" s="59"/>
      <c r="E134" s="73"/>
      <c r="F134" s="79" t="str">
        <f>IFERROR(VLOOKUP(E134,日报!E:F,2,0),"")</f>
        <v/>
      </c>
      <c r="G134" s="59"/>
      <c r="H134" s="77" t="str">
        <f>IFERROR(VLOOKUP(E134,日报!E:H,4,0),"")</f>
        <v/>
      </c>
      <c r="I134" s="78" t="str">
        <f>IFERROR(VLOOKUP(E134,日报!E:G,4,0),"")</f>
        <v/>
      </c>
      <c r="J134" s="74"/>
      <c r="K134" s="75" t="str">
        <f t="shared" si="2"/>
        <v/>
      </c>
    </row>
    <row r="135" customHeight="1" spans="1:11">
      <c r="A135" s="80"/>
      <c r="B135" s="59"/>
      <c r="C135" s="59"/>
      <c r="D135" s="59"/>
      <c r="E135" s="73"/>
      <c r="F135" s="79" t="str">
        <f>IFERROR(VLOOKUP(E135,日报!E:F,2,0),"")</f>
        <v/>
      </c>
      <c r="G135" s="59"/>
      <c r="H135" s="77" t="str">
        <f>IFERROR(VLOOKUP(E135,日报!E:H,4,0),"")</f>
        <v/>
      </c>
      <c r="I135" s="78" t="str">
        <f>IFERROR(VLOOKUP(E135,日报!E:G,4,0),"")</f>
        <v/>
      </c>
      <c r="J135" s="74"/>
      <c r="K135" s="75" t="str">
        <f t="shared" si="2"/>
        <v/>
      </c>
    </row>
    <row r="136" customHeight="1" spans="1:11">
      <c r="A136" s="80"/>
      <c r="B136" s="59"/>
      <c r="C136" s="59"/>
      <c r="D136" s="59"/>
      <c r="E136" s="73"/>
      <c r="F136" s="79" t="str">
        <f>IFERROR(VLOOKUP(E136,日报!E:F,2,0),"")</f>
        <v/>
      </c>
      <c r="G136" s="59"/>
      <c r="H136" s="77" t="str">
        <f>IFERROR(VLOOKUP(E136,日报!E:H,4,0),"")</f>
        <v/>
      </c>
      <c r="I136" s="78" t="str">
        <f>IFERROR(VLOOKUP(E136,日报!E:G,4,0),"")</f>
        <v/>
      </c>
      <c r="J136" s="74"/>
      <c r="K136" s="75" t="str">
        <f t="shared" si="2"/>
        <v/>
      </c>
    </row>
    <row r="137" customHeight="1" spans="1:11">
      <c r="A137" s="80"/>
      <c r="B137" s="59"/>
      <c r="C137" s="59"/>
      <c r="D137" s="59"/>
      <c r="E137" s="73"/>
      <c r="F137" s="79" t="str">
        <f>IFERROR(VLOOKUP(E137,日报!E:F,2,0),"")</f>
        <v/>
      </c>
      <c r="G137" s="59"/>
      <c r="H137" s="77" t="str">
        <f>IFERROR(VLOOKUP(E137,日报!E:H,4,0),"")</f>
        <v/>
      </c>
      <c r="I137" s="78" t="str">
        <f>IFERROR(VLOOKUP(E137,日报!E:G,4,0),"")</f>
        <v/>
      </c>
      <c r="J137" s="74"/>
      <c r="K137" s="75" t="str">
        <f t="shared" si="2"/>
        <v/>
      </c>
    </row>
    <row r="138" customHeight="1" spans="1:11">
      <c r="A138" s="80"/>
      <c r="B138" s="59"/>
      <c r="C138" s="59"/>
      <c r="D138" s="59"/>
      <c r="E138" s="73"/>
      <c r="F138" s="79" t="str">
        <f>IFERROR(VLOOKUP(E138,日报!E:F,2,0),"")</f>
        <v/>
      </c>
      <c r="G138" s="59"/>
      <c r="H138" s="77" t="str">
        <f>IFERROR(VLOOKUP(E138,日报!E:H,4,0),"")</f>
        <v/>
      </c>
      <c r="I138" s="78" t="str">
        <f>IFERROR(VLOOKUP(E138,日报!E:G,4,0),"")</f>
        <v/>
      </c>
      <c r="J138" s="74"/>
      <c r="K138" s="75" t="str">
        <f t="shared" si="2"/>
        <v/>
      </c>
    </row>
    <row r="139" customHeight="1" spans="1:11">
      <c r="A139" s="80"/>
      <c r="B139" s="59"/>
      <c r="C139" s="59"/>
      <c r="D139" s="59"/>
      <c r="E139" s="73"/>
      <c r="F139" s="79" t="str">
        <f>IFERROR(VLOOKUP(E139,日报!E:F,2,0),"")</f>
        <v/>
      </c>
      <c r="G139" s="59"/>
      <c r="H139" s="77" t="str">
        <f>IFERROR(VLOOKUP(E139,日报!E:H,4,0),"")</f>
        <v/>
      </c>
      <c r="I139" s="78" t="str">
        <f>IFERROR(VLOOKUP(E139,日报!E:G,4,0),"")</f>
        <v/>
      </c>
      <c r="J139" s="74"/>
      <c r="K139" s="75" t="str">
        <f t="shared" si="2"/>
        <v/>
      </c>
    </row>
    <row r="140" customHeight="1" spans="1:11">
      <c r="A140" s="80"/>
      <c r="B140" s="59"/>
      <c r="C140" s="59"/>
      <c r="D140" s="59"/>
      <c r="E140" s="73"/>
      <c r="F140" s="79" t="str">
        <f>IFERROR(VLOOKUP(E140,日报!E:F,2,0),"")</f>
        <v/>
      </c>
      <c r="G140" s="59"/>
      <c r="H140" s="77" t="str">
        <f>IFERROR(VLOOKUP(E140,日报!E:H,4,0),"")</f>
        <v/>
      </c>
      <c r="I140" s="78" t="str">
        <f>IFERROR(VLOOKUP(E140,日报!E:G,4,0),"")</f>
        <v/>
      </c>
      <c r="J140" s="74"/>
      <c r="K140" s="75" t="str">
        <f t="shared" si="2"/>
        <v/>
      </c>
    </row>
    <row r="141" customHeight="1" spans="1:11">
      <c r="E141" s="73"/>
    </row>
    <row r="142" customHeight="1" spans="1:11">
      <c r="E142" s="73"/>
    </row>
    <row r="143" customHeight="1" spans="1:11">
      <c r="E143" s="73"/>
    </row>
    <row r="144" customHeight="1" spans="1:11">
      <c r="E144" s="73"/>
    </row>
    <row r="145" customHeight="1" spans="5:5">
      <c r="E145" s="73"/>
    </row>
    <row r="146" customHeight="1" spans="5:5">
      <c r="E146" s="73"/>
    </row>
    <row r="147" customHeight="1" spans="5:5">
      <c r="E147" s="73"/>
    </row>
    <row r="148" customHeight="1" spans="5:5">
      <c r="E148" s="73"/>
    </row>
    <row r="149" customHeight="1" spans="5:5">
      <c r="E149" s="73"/>
    </row>
    <row r="150" customHeight="1" spans="5:5">
      <c r="E150" s="73"/>
    </row>
    <row r="151" customHeight="1" spans="5:5">
      <c r="E151" s="73"/>
    </row>
    <row r="152" customHeight="1" spans="5:5">
      <c r="E152" s="73"/>
    </row>
    <row r="153" customHeight="1" spans="5:5">
      <c r="E153" s="73"/>
    </row>
    <row r="154" customHeight="1" spans="5:5">
      <c r="E154" s="73"/>
    </row>
    <row r="155" customHeight="1" spans="5:5">
      <c r="E155" s="73"/>
    </row>
    <row r="156" customHeight="1" spans="5:5">
      <c r="E156" s="73"/>
    </row>
    <row r="157" customHeight="1" spans="5:5">
      <c r="E157" s="73"/>
    </row>
    <row r="158" customHeight="1" spans="5:5">
      <c r="E158" s="73"/>
    </row>
    <row r="159" customHeight="1" spans="5:5">
      <c r="E159" s="73"/>
    </row>
    <row r="160" customHeight="1" spans="5:5">
      <c r="E160" s="73"/>
    </row>
    <row r="161" customHeight="1" spans="5:5">
      <c r="E161" s="73"/>
    </row>
    <row r="162" customHeight="1" spans="5:5">
      <c r="E162" s="73"/>
    </row>
    <row r="163" customHeight="1" spans="5:5">
      <c r="E163" s="73"/>
    </row>
    <row r="164" customHeight="1" spans="5:5">
      <c r="E164" s="73"/>
    </row>
    <row r="165" customHeight="1" spans="5:5">
      <c r="E165" s="73"/>
    </row>
    <row r="166" customHeight="1" spans="5:5">
      <c r="E166" s="73"/>
    </row>
    <row r="167" customHeight="1" spans="5:5">
      <c r="E167" s="73"/>
    </row>
    <row r="168" customHeight="1" spans="5:5">
      <c r="E168" s="73"/>
    </row>
  </sheetData>
  <autoFilter xmlns:etc="http://www.wps.cn/officeDocument/2017/etCustomData" ref="A1:K140" etc:filterBottomFollowUsedRange="0">
    <extLst/>
  </autoFilter>
  <sortState ref="A2:L5747">
    <sortCondition ref="A2:A5747"/>
    <sortCondition ref="D2:D5747"/>
  </sortState>
  <conditionalFormatting sqref="E2">
    <cfRule type="duplicateValues" dxfId="3" priority="1"/>
  </conditionalFormatting>
  <conditionalFormatting sqref="E3">
    <cfRule type="duplicateValues" dxfId="3" priority="7"/>
  </conditionalFormatting>
  <conditionalFormatting sqref="E4">
    <cfRule type="duplicateValues" dxfId="3" priority="3"/>
  </conditionalFormatting>
  <conditionalFormatting sqref="E5">
    <cfRule type="duplicateValues" dxfId="3" priority="2"/>
  </conditionalFormatting>
  <dataValidations count="2">
    <dataValidation type="list" allowBlank="1" showInputMessage="1" showErrorMessage="1" sqref="F1 F8:F1048576">
      <formula1>日报!$F:$F</formula1>
    </dataValidation>
    <dataValidation type="list" allowBlank="1" showInputMessage="1" showErrorMessage="1" sqref="E6:E168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  <ignoredErrors>
    <ignoredError sqref="F16:F140" listDataValidatio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V189"/>
  <sheetViews>
    <sheetView showGridLines="0" tabSelected="1" zoomScale="85" zoomScaleNormal="85" workbookViewId="0">
      <pane ySplit="1" topLeftCell="A2" activePane="bottomLeft" state="frozen"/>
      <selection/>
      <selection pane="bottomLeft" activeCell="C22" sqref="C21:C22"/>
    </sheetView>
  </sheetViews>
  <sheetFormatPr defaultColWidth="9" defaultRowHeight="21" customHeight="1"/>
  <cols>
    <col min="1" max="1" width="13.7777777777778" style="43" customWidth="1"/>
    <col min="2" max="2" width="9.88888888888889" style="44" customWidth="1"/>
    <col min="3" max="3" width="32.7777777777778" style="45" customWidth="1"/>
    <col min="4" max="4" width="11.7777777777778" style="45" customWidth="1"/>
    <col min="5" max="5" width="29.1111111111111" style="45" customWidth="1"/>
    <col min="6" max="6" width="37.2222222222222" style="46" customWidth="1"/>
    <col min="7" max="7" width="10.1111111111111" style="45" customWidth="1"/>
    <col min="8" max="8" width="12.8888888888889" style="47" customWidth="1"/>
    <col min="9" max="9" width="11.4444444444444" style="48" customWidth="1"/>
    <col min="10" max="10" width="24" style="45" customWidth="1"/>
    <col min="11" max="11" width="14.3333333333333" style="49" customWidth="1"/>
    <col min="12" max="16384" width="9" style="50"/>
  </cols>
  <sheetData>
    <row r="1" s="42" customFormat="1" customHeight="1" spans="1:1020 1030:2040 2050:2570">
      <c r="A1" s="51" t="s">
        <v>37</v>
      </c>
      <c r="B1" s="52" t="s">
        <v>23</v>
      </c>
      <c r="C1" s="52" t="s">
        <v>3</v>
      </c>
      <c r="D1" s="52" t="s">
        <v>38</v>
      </c>
      <c r="E1" s="52" t="s">
        <v>25</v>
      </c>
      <c r="F1" s="53" t="s">
        <v>6</v>
      </c>
      <c r="G1" s="52" t="s">
        <v>39</v>
      </c>
      <c r="H1" s="54" t="s">
        <v>27</v>
      </c>
      <c r="I1" s="54" t="s">
        <v>28</v>
      </c>
      <c r="J1" s="52" t="s">
        <v>29</v>
      </c>
      <c r="K1" s="55" t="s">
        <v>30</v>
      </c>
    </row>
    <row r="2" s="42" customFormat="1" customHeight="1" spans="1:1020 1030:2040 2050:2570">
      <c r="A2" s="51">
        <v>46145</v>
      </c>
      <c r="B2" s="9" t="s">
        <v>31</v>
      </c>
      <c r="C2" s="10" t="s">
        <v>32</v>
      </c>
      <c r="D2" s="52">
        <v>652329279</v>
      </c>
      <c r="E2" s="12" t="s">
        <v>34</v>
      </c>
      <c r="F2" s="53" t="str">
        <f>IFERROR(VLOOKUP(E2,日报!E:G,2,0),"")</f>
        <v>02154端板</v>
      </c>
      <c r="G2" s="52">
        <v>3360</v>
      </c>
      <c r="H2" s="54" t="str">
        <f>IFERROR(VLOOKUP(E2,日报!E:H,4,0),"")</f>
        <v>料盒</v>
      </c>
      <c r="I2" s="54">
        <f>IFERROR(VLOOKUP(E2,日报!E:G,3,0),"")</f>
        <v>84</v>
      </c>
      <c r="J2" s="52" t="s">
        <v>35</v>
      </c>
      <c r="K2" s="55">
        <f>IFERROR(G2/I2,"")</f>
        <v>40</v>
      </c>
      <c r="T2" s="56"/>
      <c r="AD2" s="56"/>
      <c r="AN2" s="56"/>
      <c r="AX2" s="56"/>
      <c r="BH2" s="56"/>
      <c r="BR2" s="56"/>
      <c r="CB2" s="56"/>
      <c r="CL2" s="56"/>
      <c r="CV2" s="56"/>
      <c r="DF2" s="56"/>
      <c r="DP2" s="56"/>
      <c r="DZ2" s="56"/>
      <c r="EJ2" s="56"/>
      <c r="ET2" s="56"/>
      <c r="FD2" s="56"/>
      <c r="FN2" s="56"/>
      <c r="FX2" s="56"/>
      <c r="GH2" s="56"/>
      <c r="GR2" s="56"/>
      <c r="HB2" s="56"/>
      <c r="HL2" s="56"/>
      <c r="HV2" s="56"/>
      <c r="IF2" s="56"/>
      <c r="IP2" s="56"/>
      <c r="IZ2" s="56"/>
      <c r="JJ2" s="56"/>
      <c r="JT2" s="56"/>
      <c r="KD2" s="56"/>
      <c r="KN2" s="56"/>
      <c r="KX2" s="56"/>
      <c r="LH2" s="56"/>
      <c r="LR2" s="56"/>
      <c r="MB2" s="56"/>
      <c r="ML2" s="56"/>
      <c r="MV2" s="56"/>
      <c r="NF2" s="56"/>
      <c r="NP2" s="56"/>
      <c r="NZ2" s="56"/>
      <c r="OJ2" s="56"/>
      <c r="OT2" s="56"/>
      <c r="PD2" s="56"/>
      <c r="PN2" s="56"/>
      <c r="PX2" s="56"/>
      <c r="QH2" s="56"/>
      <c r="QR2" s="56"/>
      <c r="RB2" s="56"/>
      <c r="RL2" s="56"/>
      <c r="RV2" s="56"/>
      <c r="SF2" s="56"/>
      <c r="SP2" s="56"/>
      <c r="SZ2" s="56"/>
      <c r="TJ2" s="56"/>
      <c r="TT2" s="56"/>
      <c r="UD2" s="56"/>
      <c r="UN2" s="56"/>
      <c r="UX2" s="56"/>
      <c r="VH2" s="56"/>
      <c r="VR2" s="56"/>
      <c r="WB2" s="56"/>
      <c r="WL2" s="56"/>
      <c r="WV2" s="56"/>
      <c r="XF2" s="56"/>
      <c r="XP2" s="56"/>
      <c r="XZ2" s="56"/>
      <c r="YJ2" s="56"/>
      <c r="YT2" s="56"/>
      <c r="ZD2" s="56"/>
      <c r="ZN2" s="56"/>
      <c r="ZX2" s="56"/>
      <c r="AAH2" s="56"/>
      <c r="AAR2" s="56"/>
      <c r="ABB2" s="56"/>
      <c r="ABL2" s="56"/>
      <c r="ABV2" s="56"/>
      <c r="ACF2" s="56"/>
      <c r="ACP2" s="56"/>
      <c r="ACZ2" s="56"/>
      <c r="ADJ2" s="56"/>
      <c r="ADT2" s="56"/>
      <c r="AED2" s="56"/>
      <c r="AEN2" s="56"/>
      <c r="AEX2" s="56"/>
      <c r="AFH2" s="56"/>
      <c r="AFR2" s="56"/>
      <c r="AGB2" s="56"/>
      <c r="AGL2" s="56"/>
      <c r="AGV2" s="56"/>
      <c r="AHF2" s="56"/>
      <c r="AHP2" s="56"/>
      <c r="AHZ2" s="56"/>
      <c r="AIJ2" s="56"/>
      <c r="AIT2" s="56"/>
      <c r="AJD2" s="56"/>
      <c r="AJN2" s="56"/>
      <c r="AJX2" s="56"/>
      <c r="AKH2" s="56"/>
      <c r="AKR2" s="56"/>
      <c r="ALB2" s="56"/>
      <c r="ALL2" s="56"/>
      <c r="ALV2" s="56"/>
      <c r="AMF2" s="56"/>
      <c r="AMP2" s="56"/>
      <c r="AMZ2" s="56"/>
      <c r="ANJ2" s="56"/>
      <c r="ANT2" s="56"/>
      <c r="AOD2" s="56"/>
      <c r="AON2" s="56"/>
      <c r="AOX2" s="56"/>
      <c r="APH2" s="56"/>
      <c r="APR2" s="56"/>
      <c r="AQB2" s="56"/>
      <c r="AQL2" s="56"/>
      <c r="AQV2" s="56"/>
      <c r="ARF2" s="56"/>
      <c r="ARP2" s="56"/>
      <c r="ARZ2" s="56"/>
      <c r="ASJ2" s="56"/>
      <c r="AST2" s="56"/>
      <c r="ATD2" s="56"/>
      <c r="ATN2" s="56"/>
      <c r="ATX2" s="56"/>
      <c r="AUH2" s="56"/>
      <c r="AUR2" s="56"/>
      <c r="AVB2" s="56"/>
      <c r="AVL2" s="56"/>
      <c r="AVV2" s="56"/>
      <c r="AWF2" s="56"/>
      <c r="AWP2" s="56"/>
      <c r="AWZ2" s="56"/>
      <c r="AXJ2" s="56"/>
      <c r="AXT2" s="56"/>
      <c r="AYD2" s="56"/>
      <c r="AYN2" s="56"/>
      <c r="AYX2" s="56"/>
      <c r="AZH2" s="56"/>
      <c r="AZR2" s="56"/>
      <c r="BAB2" s="56"/>
      <c r="BAL2" s="56"/>
      <c r="BAV2" s="56"/>
      <c r="BBF2" s="56"/>
      <c r="BBP2" s="56"/>
      <c r="BBZ2" s="56"/>
      <c r="BCJ2" s="56"/>
      <c r="BCT2" s="56"/>
      <c r="BDD2" s="56"/>
      <c r="BDN2" s="56"/>
      <c r="BDX2" s="56"/>
      <c r="BEH2" s="56"/>
      <c r="BER2" s="56"/>
      <c r="BFB2" s="56"/>
      <c r="BFL2" s="56"/>
      <c r="BFV2" s="56"/>
      <c r="BGF2" s="56"/>
      <c r="BGP2" s="56"/>
      <c r="BGZ2" s="56"/>
      <c r="BHJ2" s="56"/>
      <c r="BHT2" s="56"/>
      <c r="BID2" s="56"/>
      <c r="BIN2" s="56"/>
      <c r="BIX2" s="56"/>
      <c r="BJH2" s="56"/>
      <c r="BJR2" s="56"/>
      <c r="BKB2" s="56"/>
      <c r="BKL2" s="56"/>
      <c r="BKV2" s="56"/>
      <c r="BLF2" s="56"/>
      <c r="BLP2" s="56"/>
      <c r="BLZ2" s="56"/>
      <c r="BMJ2" s="56"/>
      <c r="BMT2" s="56"/>
      <c r="BND2" s="56"/>
      <c r="BNN2" s="56"/>
      <c r="BNX2" s="56"/>
      <c r="BOH2" s="56"/>
      <c r="BOR2" s="56"/>
      <c r="BPB2" s="56"/>
      <c r="BPL2" s="56"/>
      <c r="BPV2" s="56"/>
      <c r="BQF2" s="56"/>
      <c r="BQP2" s="56"/>
      <c r="BQZ2" s="56"/>
      <c r="BRJ2" s="56"/>
      <c r="BRT2" s="56"/>
      <c r="BSD2" s="56"/>
      <c r="BSN2" s="56"/>
      <c r="BSX2" s="56"/>
      <c r="BTH2" s="56"/>
      <c r="BTR2" s="56"/>
      <c r="BUB2" s="56"/>
      <c r="BUL2" s="56"/>
      <c r="BUV2" s="56"/>
      <c r="BVF2" s="56"/>
      <c r="BVP2" s="56"/>
      <c r="BVZ2" s="56"/>
      <c r="BWJ2" s="56"/>
      <c r="BWT2" s="56"/>
      <c r="BXD2" s="56"/>
      <c r="BXN2" s="56"/>
      <c r="BXX2" s="56"/>
      <c r="BYH2" s="56"/>
      <c r="BYR2" s="56"/>
      <c r="BZB2" s="56"/>
      <c r="BZL2" s="56"/>
      <c r="BZV2" s="56"/>
      <c r="CAF2" s="56"/>
      <c r="CAP2" s="56"/>
      <c r="CAZ2" s="56"/>
      <c r="CBJ2" s="56"/>
      <c r="CBT2" s="56"/>
      <c r="CCD2" s="56"/>
      <c r="CCN2" s="56"/>
      <c r="CCX2" s="56"/>
      <c r="CDH2" s="56"/>
      <c r="CDR2" s="56"/>
      <c r="CEB2" s="56"/>
      <c r="CEL2" s="56"/>
      <c r="CEV2" s="56"/>
      <c r="CFF2" s="56"/>
      <c r="CFP2" s="56"/>
      <c r="CFZ2" s="56"/>
      <c r="CGJ2" s="56"/>
      <c r="CGT2" s="56"/>
      <c r="CHD2" s="56"/>
      <c r="CHN2" s="56"/>
      <c r="CHX2" s="56"/>
      <c r="CIH2" s="56"/>
      <c r="CIR2" s="56"/>
      <c r="CJB2" s="56"/>
      <c r="CJL2" s="56"/>
      <c r="CJV2" s="56"/>
      <c r="CKF2" s="56"/>
      <c r="CKP2" s="56"/>
      <c r="CKZ2" s="56"/>
      <c r="CLJ2" s="56"/>
      <c r="CLT2" s="56"/>
      <c r="CMD2" s="56"/>
      <c r="CMN2" s="56"/>
      <c r="CMX2" s="56"/>
      <c r="CNH2" s="56"/>
      <c r="CNR2" s="56"/>
      <c r="COB2" s="56"/>
      <c r="COL2" s="56"/>
      <c r="COV2" s="56"/>
      <c r="CPF2" s="56"/>
      <c r="CPP2" s="56"/>
      <c r="CPZ2" s="56"/>
      <c r="CQJ2" s="56"/>
      <c r="CQT2" s="56"/>
      <c r="CRD2" s="56"/>
      <c r="CRN2" s="56"/>
      <c r="CRX2" s="56"/>
      <c r="CSH2" s="56"/>
      <c r="CSR2" s="56"/>
      <c r="CTB2" s="56"/>
      <c r="CTL2" s="56"/>
      <c r="CTV2" s="56"/>
    </row>
    <row r="3" s="42" customFormat="1" customHeight="1" spans="1:1020 1030:2040 2050:2570">
      <c r="A3" s="51">
        <v>46155</v>
      </c>
      <c r="B3" s="9" t="s">
        <v>31</v>
      </c>
      <c r="C3" s="10" t="s">
        <v>32</v>
      </c>
      <c r="D3" s="52">
        <v>652398258</v>
      </c>
      <c r="E3" s="12" t="s">
        <v>34</v>
      </c>
      <c r="F3" s="53" t="str">
        <f>IFERROR(VLOOKUP(E3,日报!E:G,2,0),"")</f>
        <v>02154端板</v>
      </c>
      <c r="G3" s="52">
        <v>3360</v>
      </c>
      <c r="H3" s="54" t="str">
        <f>IFERROR(VLOOKUP(E3,日报!E:H,4,0),"")</f>
        <v>料盒</v>
      </c>
      <c r="I3" s="54">
        <f>IFERROR(VLOOKUP(E3,日报!E:G,3,0),"")</f>
        <v>84</v>
      </c>
      <c r="J3" s="52" t="s">
        <v>35</v>
      </c>
      <c r="K3" s="55">
        <f>IFERROR(G3/I3,"")</f>
        <v>40</v>
      </c>
      <c r="T3" s="56"/>
      <c r="AD3" s="56"/>
      <c r="AN3" s="56"/>
      <c r="AX3" s="56"/>
      <c r="BH3" s="56"/>
      <c r="BR3" s="56"/>
      <c r="CB3" s="56"/>
      <c r="CL3" s="56"/>
      <c r="CV3" s="56"/>
      <c r="DF3" s="56"/>
      <c r="DP3" s="56"/>
      <c r="DZ3" s="56"/>
      <c r="EJ3" s="56"/>
      <c r="ET3" s="56"/>
      <c r="FD3" s="56"/>
      <c r="FN3" s="56"/>
      <c r="FX3" s="56"/>
      <c r="GH3" s="56"/>
      <c r="GR3" s="56"/>
      <c r="HB3" s="56"/>
      <c r="HL3" s="56"/>
      <c r="HV3" s="56"/>
      <c r="IF3" s="56"/>
      <c r="IP3" s="56"/>
      <c r="IZ3" s="56"/>
      <c r="JJ3" s="56"/>
      <c r="JT3" s="56"/>
      <c r="KD3" s="56"/>
      <c r="KN3" s="56"/>
      <c r="KX3" s="56"/>
      <c r="LH3" s="56"/>
      <c r="LR3" s="56"/>
      <c r="MB3" s="56"/>
      <c r="ML3" s="56"/>
      <c r="MV3" s="56"/>
      <c r="NF3" s="56"/>
      <c r="NP3" s="56"/>
      <c r="NZ3" s="56"/>
      <c r="OJ3" s="56"/>
      <c r="OT3" s="56"/>
      <c r="PD3" s="56"/>
      <c r="PN3" s="56"/>
      <c r="PX3" s="56"/>
      <c r="QH3" s="56"/>
      <c r="QR3" s="56"/>
      <c r="RB3" s="56"/>
      <c r="RL3" s="56"/>
      <c r="RV3" s="56"/>
      <c r="SF3" s="56"/>
      <c r="SP3" s="56"/>
      <c r="SZ3" s="56"/>
      <c r="TJ3" s="56"/>
      <c r="TT3" s="56"/>
      <c r="UD3" s="56"/>
      <c r="UN3" s="56"/>
      <c r="UX3" s="56"/>
      <c r="VH3" s="56"/>
      <c r="VR3" s="56"/>
      <c r="WB3" s="56"/>
      <c r="WL3" s="56"/>
      <c r="WV3" s="56"/>
      <c r="XF3" s="56"/>
      <c r="XP3" s="56"/>
      <c r="XZ3" s="56"/>
      <c r="YJ3" s="56"/>
      <c r="YT3" s="56"/>
      <c r="ZD3" s="56"/>
      <c r="ZN3" s="56"/>
      <c r="ZX3" s="56"/>
      <c r="AAH3" s="56"/>
      <c r="AAR3" s="56"/>
      <c r="ABB3" s="56"/>
      <c r="ABL3" s="56"/>
      <c r="ABV3" s="56"/>
      <c r="ACF3" s="56"/>
      <c r="ACP3" s="56"/>
      <c r="ACZ3" s="56"/>
      <c r="ADJ3" s="56"/>
      <c r="ADT3" s="56"/>
      <c r="AED3" s="56"/>
      <c r="AEN3" s="56"/>
      <c r="AEX3" s="56"/>
      <c r="AFH3" s="56"/>
      <c r="AFR3" s="56"/>
      <c r="AGB3" s="56"/>
      <c r="AGL3" s="56"/>
      <c r="AGV3" s="56"/>
      <c r="AHF3" s="56"/>
      <c r="AHP3" s="56"/>
      <c r="AHZ3" s="56"/>
      <c r="AIJ3" s="56"/>
      <c r="AIT3" s="56"/>
      <c r="AJD3" s="56"/>
      <c r="AJN3" s="56"/>
      <c r="AJX3" s="56"/>
      <c r="AKH3" s="56"/>
      <c r="AKR3" s="56"/>
      <c r="ALB3" s="56"/>
      <c r="ALL3" s="56"/>
      <c r="ALV3" s="56"/>
      <c r="AMF3" s="56"/>
      <c r="AMP3" s="56"/>
      <c r="AMZ3" s="56"/>
      <c r="ANJ3" s="56"/>
      <c r="ANT3" s="56"/>
      <c r="AOD3" s="56"/>
      <c r="AON3" s="56"/>
      <c r="AOX3" s="56"/>
      <c r="APH3" s="56"/>
      <c r="APR3" s="56"/>
      <c r="AQB3" s="56"/>
      <c r="AQL3" s="56"/>
      <c r="AQV3" s="56"/>
      <c r="ARF3" s="56"/>
      <c r="ARP3" s="56"/>
      <c r="ARZ3" s="56"/>
      <c r="ASJ3" s="56"/>
      <c r="AST3" s="56"/>
      <c r="ATD3" s="56"/>
      <c r="ATN3" s="56"/>
      <c r="ATX3" s="56"/>
      <c r="AUH3" s="56"/>
      <c r="AUR3" s="56"/>
      <c r="AVB3" s="56"/>
      <c r="AVL3" s="56"/>
      <c r="AVV3" s="56"/>
      <c r="AWF3" s="56"/>
      <c r="AWP3" s="56"/>
      <c r="AWZ3" s="56"/>
      <c r="AXJ3" s="56"/>
      <c r="AXT3" s="56"/>
      <c r="AYD3" s="56"/>
      <c r="AYN3" s="56"/>
      <c r="AYX3" s="56"/>
      <c r="AZH3" s="56"/>
      <c r="AZR3" s="56"/>
      <c r="BAB3" s="56"/>
      <c r="BAL3" s="56"/>
      <c r="BAV3" s="56"/>
      <c r="BBF3" s="56"/>
      <c r="BBP3" s="56"/>
      <c r="BBZ3" s="56"/>
      <c r="BCJ3" s="56"/>
      <c r="BCT3" s="56"/>
      <c r="BDD3" s="56"/>
      <c r="BDN3" s="56"/>
      <c r="BDX3" s="56"/>
      <c r="BEH3" s="56"/>
      <c r="BER3" s="56"/>
      <c r="BFB3" s="56"/>
      <c r="BFL3" s="56"/>
      <c r="BFV3" s="56"/>
      <c r="BGF3" s="56"/>
      <c r="BGP3" s="56"/>
      <c r="BGZ3" s="56"/>
      <c r="BHJ3" s="56"/>
      <c r="BHT3" s="56"/>
      <c r="BID3" s="56"/>
      <c r="BIN3" s="56"/>
      <c r="BIX3" s="56"/>
      <c r="BJH3" s="56"/>
      <c r="BJR3" s="56"/>
      <c r="BKB3" s="56"/>
      <c r="BKL3" s="56"/>
      <c r="BKV3" s="56"/>
      <c r="BLF3" s="56"/>
      <c r="BLP3" s="56"/>
      <c r="BLZ3" s="56"/>
      <c r="BMJ3" s="56"/>
      <c r="BMT3" s="56"/>
      <c r="BND3" s="56"/>
      <c r="BNN3" s="56"/>
      <c r="BNX3" s="56"/>
      <c r="BOH3" s="56"/>
      <c r="BOR3" s="56"/>
      <c r="BPB3" s="56"/>
      <c r="BPL3" s="56"/>
      <c r="BPV3" s="56"/>
      <c r="BQF3" s="56"/>
      <c r="BQP3" s="56"/>
      <c r="BQZ3" s="56"/>
      <c r="BRJ3" s="56"/>
      <c r="BRT3" s="56"/>
      <c r="BSD3" s="56"/>
      <c r="BSN3" s="56"/>
      <c r="BSX3" s="56"/>
      <c r="BTH3" s="56"/>
      <c r="BTR3" s="56"/>
      <c r="BUB3" s="56"/>
      <c r="BUL3" s="56"/>
      <c r="BUV3" s="56"/>
      <c r="BVF3" s="56"/>
      <c r="BVP3" s="56"/>
      <c r="BVZ3" s="56"/>
      <c r="BWJ3" s="56"/>
      <c r="BWT3" s="56"/>
      <c r="BXD3" s="56"/>
      <c r="BXN3" s="56"/>
      <c r="BXX3" s="56"/>
      <c r="BYH3" s="56"/>
      <c r="BYR3" s="56"/>
      <c r="BZB3" s="56"/>
      <c r="BZL3" s="56"/>
      <c r="BZV3" s="56"/>
      <c r="CAF3" s="56"/>
      <c r="CAP3" s="56"/>
      <c r="CAZ3" s="56"/>
      <c r="CBJ3" s="56"/>
      <c r="CBT3" s="56"/>
      <c r="CCD3" s="56"/>
      <c r="CCN3" s="56"/>
      <c r="CCX3" s="56"/>
      <c r="CDH3" s="56"/>
      <c r="CDR3" s="56"/>
      <c r="CEB3" s="56"/>
      <c r="CEL3" s="56"/>
      <c r="CEV3" s="56"/>
      <c r="CFF3" s="56"/>
      <c r="CFP3" s="56"/>
      <c r="CFZ3" s="56"/>
      <c r="CGJ3" s="56"/>
      <c r="CGT3" s="56"/>
      <c r="CHD3" s="56"/>
      <c r="CHN3" s="56"/>
      <c r="CHX3" s="56"/>
      <c r="CIH3" s="56"/>
      <c r="CIR3" s="56"/>
      <c r="CJB3" s="56"/>
      <c r="CJL3" s="56"/>
      <c r="CJV3" s="56"/>
      <c r="CKF3" s="56"/>
      <c r="CKP3" s="56"/>
      <c r="CKZ3" s="56"/>
      <c r="CLJ3" s="56"/>
      <c r="CLT3" s="56"/>
      <c r="CMD3" s="56"/>
      <c r="CMN3" s="56"/>
      <c r="CMX3" s="56"/>
      <c r="CNH3" s="56"/>
      <c r="CNR3" s="56"/>
      <c r="COB3" s="56"/>
      <c r="COL3" s="56"/>
      <c r="COV3" s="56"/>
      <c r="CPF3" s="56"/>
      <c r="CPP3" s="56"/>
      <c r="CPZ3" s="56"/>
      <c r="CQJ3" s="56"/>
      <c r="CQT3" s="56"/>
      <c r="CRD3" s="56"/>
      <c r="CRN3" s="56"/>
      <c r="CRX3" s="56"/>
      <c r="CSH3" s="56"/>
      <c r="CSR3" s="56"/>
      <c r="CTB3" s="56"/>
      <c r="CTL3" s="56"/>
      <c r="CTV3" s="56"/>
    </row>
    <row r="4" s="42" customFormat="1" customHeight="1" spans="1:1020 1030:2040 2050:2570">
      <c r="A4" s="51"/>
      <c r="B4" s="9"/>
      <c r="C4" s="10"/>
      <c r="D4" s="52"/>
      <c r="E4" s="12"/>
      <c r="F4" s="53"/>
      <c r="G4" s="52"/>
      <c r="H4" s="54"/>
      <c r="I4" s="54"/>
      <c r="J4" s="52"/>
      <c r="K4" s="55"/>
      <c r="T4" s="56"/>
      <c r="AD4" s="56"/>
      <c r="AN4" s="56"/>
      <c r="AX4" s="56"/>
      <c r="BH4" s="56"/>
      <c r="BR4" s="56"/>
      <c r="CB4" s="56"/>
      <c r="CL4" s="56"/>
      <c r="CV4" s="56"/>
      <c r="DF4" s="56"/>
      <c r="DP4" s="56"/>
      <c r="DZ4" s="56"/>
      <c r="EJ4" s="56"/>
      <c r="ET4" s="56"/>
      <c r="FD4" s="56"/>
      <c r="FN4" s="56"/>
      <c r="FX4" s="56"/>
      <c r="GH4" s="56"/>
      <c r="GR4" s="56"/>
      <c r="HB4" s="56"/>
      <c r="HL4" s="56"/>
      <c r="HV4" s="56"/>
      <c r="IF4" s="56"/>
      <c r="IP4" s="56"/>
      <c r="IZ4" s="56"/>
      <c r="JJ4" s="56"/>
      <c r="JT4" s="56"/>
      <c r="KD4" s="56"/>
      <c r="KN4" s="56"/>
      <c r="KX4" s="56"/>
      <c r="LH4" s="56"/>
      <c r="LR4" s="56"/>
      <c r="MB4" s="56"/>
      <c r="ML4" s="56"/>
      <c r="MV4" s="56"/>
      <c r="NF4" s="56"/>
      <c r="NP4" s="56"/>
      <c r="NZ4" s="56"/>
      <c r="OJ4" s="56"/>
      <c r="OT4" s="56"/>
      <c r="PD4" s="56"/>
      <c r="PN4" s="56"/>
      <c r="PX4" s="56"/>
      <c r="QH4" s="56"/>
      <c r="QR4" s="56"/>
      <c r="RB4" s="56"/>
      <c r="RL4" s="56"/>
      <c r="RV4" s="56"/>
      <c r="SF4" s="56"/>
      <c r="SP4" s="56"/>
      <c r="SZ4" s="56"/>
      <c r="TJ4" s="56"/>
      <c r="TT4" s="56"/>
      <c r="UD4" s="56"/>
      <c r="UN4" s="56"/>
      <c r="UX4" s="56"/>
      <c r="VH4" s="56"/>
      <c r="VR4" s="56"/>
      <c r="WB4" s="56"/>
      <c r="WL4" s="56"/>
      <c r="WV4" s="56"/>
      <c r="XF4" s="56"/>
      <c r="XP4" s="56"/>
      <c r="XZ4" s="56"/>
      <c r="YJ4" s="56"/>
      <c r="YT4" s="56"/>
      <c r="ZD4" s="56"/>
      <c r="ZN4" s="56"/>
      <c r="ZX4" s="56"/>
      <c r="AAH4" s="56"/>
      <c r="AAR4" s="56"/>
      <c r="ABB4" s="56"/>
      <c r="ABL4" s="56"/>
      <c r="ABV4" s="56"/>
      <c r="ACF4" s="56"/>
      <c r="ACP4" s="56"/>
      <c r="ACZ4" s="56"/>
      <c r="ADJ4" s="56"/>
      <c r="ADT4" s="56"/>
      <c r="AED4" s="56"/>
      <c r="AEN4" s="56"/>
      <c r="AEX4" s="56"/>
      <c r="AFH4" s="56"/>
      <c r="AFR4" s="56"/>
      <c r="AGB4" s="56"/>
      <c r="AGL4" s="56"/>
      <c r="AGV4" s="56"/>
      <c r="AHF4" s="56"/>
      <c r="AHP4" s="56"/>
      <c r="AHZ4" s="56"/>
      <c r="AIJ4" s="56"/>
      <c r="AIT4" s="56"/>
      <c r="AJD4" s="56"/>
      <c r="AJN4" s="56"/>
      <c r="AJX4" s="56"/>
      <c r="AKH4" s="56"/>
      <c r="AKR4" s="56"/>
      <c r="ALB4" s="56"/>
      <c r="ALL4" s="56"/>
      <c r="ALV4" s="56"/>
      <c r="AMF4" s="56"/>
      <c r="AMP4" s="56"/>
      <c r="AMZ4" s="56"/>
      <c r="ANJ4" s="56"/>
      <c r="ANT4" s="56"/>
      <c r="AOD4" s="56"/>
      <c r="AON4" s="56"/>
      <c r="AOX4" s="56"/>
      <c r="APH4" s="56"/>
      <c r="APR4" s="56"/>
      <c r="AQB4" s="56"/>
      <c r="AQL4" s="56"/>
      <c r="AQV4" s="56"/>
      <c r="ARF4" s="56"/>
      <c r="ARP4" s="56"/>
      <c r="ARZ4" s="56"/>
      <c r="ASJ4" s="56"/>
      <c r="AST4" s="56"/>
      <c r="ATD4" s="56"/>
      <c r="ATN4" s="56"/>
      <c r="ATX4" s="56"/>
      <c r="AUH4" s="56"/>
      <c r="AUR4" s="56"/>
      <c r="AVB4" s="56"/>
      <c r="AVL4" s="56"/>
      <c r="AVV4" s="56"/>
      <c r="AWF4" s="56"/>
      <c r="AWP4" s="56"/>
      <c r="AWZ4" s="56"/>
      <c r="AXJ4" s="56"/>
      <c r="AXT4" s="56"/>
      <c r="AYD4" s="56"/>
      <c r="AYN4" s="56"/>
      <c r="AYX4" s="56"/>
      <c r="AZH4" s="56"/>
      <c r="AZR4" s="56"/>
      <c r="BAB4" s="56"/>
      <c r="BAL4" s="56"/>
      <c r="BAV4" s="56"/>
      <c r="BBF4" s="56"/>
      <c r="BBP4" s="56"/>
      <c r="BBZ4" s="56"/>
      <c r="BCJ4" s="56"/>
      <c r="BCT4" s="56"/>
      <c r="BDD4" s="56"/>
      <c r="BDN4" s="56"/>
      <c r="BDX4" s="56"/>
      <c r="BEH4" s="56"/>
      <c r="BER4" s="56"/>
      <c r="BFB4" s="56"/>
      <c r="BFL4" s="56"/>
      <c r="BFV4" s="56"/>
      <c r="BGF4" s="56"/>
      <c r="BGP4" s="56"/>
      <c r="BGZ4" s="56"/>
      <c r="BHJ4" s="56"/>
      <c r="BHT4" s="56"/>
      <c r="BID4" s="56"/>
      <c r="BIN4" s="56"/>
      <c r="BIX4" s="56"/>
      <c r="BJH4" s="56"/>
      <c r="BJR4" s="56"/>
      <c r="BKB4" s="56"/>
      <c r="BKL4" s="56"/>
      <c r="BKV4" s="56"/>
      <c r="BLF4" s="56"/>
      <c r="BLP4" s="56"/>
      <c r="BLZ4" s="56"/>
      <c r="BMJ4" s="56"/>
      <c r="BMT4" s="56"/>
      <c r="BND4" s="56"/>
      <c r="BNN4" s="56"/>
      <c r="BNX4" s="56"/>
      <c r="BOH4" s="56"/>
      <c r="BOR4" s="56"/>
      <c r="BPB4" s="56"/>
      <c r="BPL4" s="56"/>
      <c r="BPV4" s="56"/>
      <c r="BQF4" s="56"/>
      <c r="BQP4" s="56"/>
      <c r="BQZ4" s="56"/>
      <c r="BRJ4" s="56"/>
      <c r="BRT4" s="56"/>
      <c r="BSD4" s="56"/>
      <c r="BSN4" s="56"/>
      <c r="BSX4" s="56"/>
      <c r="BTH4" s="56"/>
      <c r="BTR4" s="56"/>
      <c r="BUB4" s="56"/>
      <c r="BUL4" s="56"/>
      <c r="BUV4" s="56"/>
      <c r="BVF4" s="56"/>
      <c r="BVP4" s="56"/>
      <c r="BVZ4" s="56"/>
      <c r="BWJ4" s="56"/>
      <c r="BWT4" s="56"/>
      <c r="BXD4" s="56"/>
      <c r="BXN4" s="56"/>
      <c r="BXX4" s="56"/>
      <c r="BYH4" s="56"/>
      <c r="BYR4" s="56"/>
      <c r="BZB4" s="56"/>
      <c r="BZL4" s="56"/>
      <c r="BZV4" s="56"/>
      <c r="CAF4" s="56"/>
      <c r="CAP4" s="56"/>
      <c r="CAZ4" s="56"/>
      <c r="CBJ4" s="56"/>
      <c r="CBT4" s="56"/>
      <c r="CCD4" s="56"/>
      <c r="CCN4" s="56"/>
      <c r="CCX4" s="56"/>
      <c r="CDH4" s="56"/>
      <c r="CDR4" s="56"/>
      <c r="CEB4" s="56"/>
      <c r="CEL4" s="56"/>
      <c r="CEV4" s="56"/>
      <c r="CFF4" s="56"/>
      <c r="CFP4" s="56"/>
      <c r="CFZ4" s="56"/>
      <c r="CGJ4" s="56"/>
      <c r="CGT4" s="56"/>
      <c r="CHD4" s="56"/>
      <c r="CHN4" s="56"/>
      <c r="CHX4" s="56"/>
      <c r="CIH4" s="56"/>
      <c r="CIR4" s="56"/>
      <c r="CJB4" s="56"/>
      <c r="CJL4" s="56"/>
      <c r="CJV4" s="56"/>
      <c r="CKF4" s="56"/>
      <c r="CKP4" s="56"/>
      <c r="CKZ4" s="56"/>
      <c r="CLJ4" s="56"/>
      <c r="CLT4" s="56"/>
      <c r="CMD4" s="56"/>
      <c r="CMN4" s="56"/>
      <c r="CMX4" s="56"/>
      <c r="CNH4" s="56"/>
      <c r="CNR4" s="56"/>
      <c r="COB4" s="56"/>
      <c r="COL4" s="56"/>
      <c r="COV4" s="56"/>
      <c r="CPF4" s="56"/>
      <c r="CPP4" s="56"/>
      <c r="CPZ4" s="56"/>
      <c r="CQJ4" s="56"/>
      <c r="CQT4" s="56"/>
      <c r="CRD4" s="56"/>
      <c r="CRN4" s="56"/>
      <c r="CRX4" s="56"/>
      <c r="CSH4" s="56"/>
      <c r="CSR4" s="56"/>
      <c r="CTB4" s="56"/>
      <c r="CTL4" s="56"/>
      <c r="CTV4" s="56"/>
    </row>
    <row r="5" s="42" customFormat="1" customHeight="1" spans="1:1020 1030:2040 2050:2570">
      <c r="A5" s="51"/>
      <c r="B5" s="9"/>
      <c r="C5" s="10"/>
      <c r="D5" s="52"/>
      <c r="E5" s="12"/>
      <c r="F5" s="53"/>
      <c r="G5" s="52"/>
      <c r="H5" s="54"/>
      <c r="I5" s="54"/>
      <c r="J5" s="52"/>
      <c r="K5" s="55"/>
      <c r="T5" s="56"/>
      <c r="AD5" s="56"/>
      <c r="AN5" s="56"/>
      <c r="AX5" s="56"/>
      <c r="BH5" s="56"/>
      <c r="BR5" s="56"/>
      <c r="CB5" s="56"/>
      <c r="CL5" s="56"/>
      <c r="CV5" s="56"/>
      <c r="DF5" s="56"/>
      <c r="DP5" s="56"/>
      <c r="DZ5" s="56"/>
      <c r="EJ5" s="56"/>
      <c r="ET5" s="56"/>
      <c r="FD5" s="56"/>
      <c r="FN5" s="56"/>
      <c r="FX5" s="56"/>
      <c r="GH5" s="56"/>
      <c r="GR5" s="56"/>
      <c r="HB5" s="56"/>
      <c r="HL5" s="56"/>
      <c r="HV5" s="56"/>
      <c r="IF5" s="56"/>
      <c r="IP5" s="56"/>
      <c r="IZ5" s="56"/>
      <c r="JJ5" s="56"/>
      <c r="JT5" s="56"/>
      <c r="KD5" s="56"/>
      <c r="KN5" s="56"/>
      <c r="KX5" s="56"/>
      <c r="LH5" s="56"/>
      <c r="LR5" s="56"/>
      <c r="MB5" s="56"/>
      <c r="ML5" s="56"/>
      <c r="MV5" s="56"/>
      <c r="NF5" s="56"/>
      <c r="NP5" s="56"/>
      <c r="NZ5" s="56"/>
      <c r="OJ5" s="56"/>
      <c r="OT5" s="56"/>
      <c r="PD5" s="56"/>
      <c r="PN5" s="56"/>
      <c r="PX5" s="56"/>
      <c r="QH5" s="56"/>
      <c r="QR5" s="56"/>
      <c r="RB5" s="56"/>
      <c r="RL5" s="56"/>
      <c r="RV5" s="56"/>
      <c r="SF5" s="56"/>
      <c r="SP5" s="56"/>
      <c r="SZ5" s="56"/>
      <c r="TJ5" s="56"/>
      <c r="TT5" s="56"/>
      <c r="UD5" s="56"/>
      <c r="UN5" s="56"/>
      <c r="UX5" s="56"/>
      <c r="VH5" s="56"/>
      <c r="VR5" s="56"/>
      <c r="WB5" s="56"/>
      <c r="WL5" s="56"/>
      <c r="WV5" s="56"/>
      <c r="XF5" s="56"/>
      <c r="XP5" s="56"/>
      <c r="XZ5" s="56"/>
      <c r="YJ5" s="56"/>
      <c r="YT5" s="56"/>
      <c r="ZD5" s="56"/>
      <c r="ZN5" s="56"/>
      <c r="ZX5" s="56"/>
      <c r="AAH5" s="56"/>
      <c r="AAR5" s="56"/>
      <c r="ABB5" s="56"/>
      <c r="ABL5" s="56"/>
      <c r="ABV5" s="56"/>
      <c r="ACF5" s="56"/>
      <c r="ACP5" s="56"/>
      <c r="ACZ5" s="56"/>
      <c r="ADJ5" s="56"/>
      <c r="ADT5" s="56"/>
      <c r="AED5" s="56"/>
      <c r="AEN5" s="56"/>
      <c r="AEX5" s="56"/>
      <c r="AFH5" s="56"/>
      <c r="AFR5" s="56"/>
      <c r="AGB5" s="56"/>
      <c r="AGL5" s="56"/>
      <c r="AGV5" s="56"/>
      <c r="AHF5" s="56"/>
      <c r="AHP5" s="56"/>
      <c r="AHZ5" s="56"/>
      <c r="AIJ5" s="56"/>
      <c r="AIT5" s="56"/>
      <c r="AJD5" s="56"/>
      <c r="AJN5" s="56"/>
      <c r="AJX5" s="56"/>
      <c r="AKH5" s="56"/>
      <c r="AKR5" s="56"/>
      <c r="ALB5" s="56"/>
      <c r="ALL5" s="56"/>
      <c r="ALV5" s="56"/>
      <c r="AMF5" s="56"/>
      <c r="AMP5" s="56"/>
      <c r="AMZ5" s="56"/>
      <c r="ANJ5" s="56"/>
      <c r="ANT5" s="56"/>
      <c r="AOD5" s="56"/>
      <c r="AON5" s="56"/>
      <c r="AOX5" s="56"/>
      <c r="APH5" s="56"/>
      <c r="APR5" s="56"/>
      <c r="AQB5" s="56"/>
      <c r="AQL5" s="56"/>
      <c r="AQV5" s="56"/>
      <c r="ARF5" s="56"/>
      <c r="ARP5" s="56"/>
      <c r="ARZ5" s="56"/>
      <c r="ASJ5" s="56"/>
      <c r="AST5" s="56"/>
      <c r="ATD5" s="56"/>
      <c r="ATN5" s="56"/>
      <c r="ATX5" s="56"/>
      <c r="AUH5" s="56"/>
      <c r="AUR5" s="56"/>
      <c r="AVB5" s="56"/>
      <c r="AVL5" s="56"/>
      <c r="AVV5" s="56"/>
      <c r="AWF5" s="56"/>
      <c r="AWP5" s="56"/>
      <c r="AWZ5" s="56"/>
      <c r="AXJ5" s="56"/>
      <c r="AXT5" s="56"/>
      <c r="AYD5" s="56"/>
      <c r="AYN5" s="56"/>
      <c r="AYX5" s="56"/>
      <c r="AZH5" s="56"/>
      <c r="AZR5" s="56"/>
      <c r="BAB5" s="56"/>
      <c r="BAL5" s="56"/>
      <c r="BAV5" s="56"/>
      <c r="BBF5" s="56"/>
      <c r="BBP5" s="56"/>
      <c r="BBZ5" s="56"/>
      <c r="BCJ5" s="56"/>
      <c r="BCT5" s="56"/>
      <c r="BDD5" s="56"/>
      <c r="BDN5" s="56"/>
      <c r="BDX5" s="56"/>
      <c r="BEH5" s="56"/>
      <c r="BER5" s="56"/>
      <c r="BFB5" s="56"/>
      <c r="BFL5" s="56"/>
      <c r="BFV5" s="56"/>
      <c r="BGF5" s="56"/>
      <c r="BGP5" s="56"/>
      <c r="BGZ5" s="56"/>
      <c r="BHJ5" s="56"/>
      <c r="BHT5" s="56"/>
      <c r="BID5" s="56"/>
      <c r="BIN5" s="56"/>
      <c r="BIX5" s="56"/>
      <c r="BJH5" s="56"/>
      <c r="BJR5" s="56"/>
      <c r="BKB5" s="56"/>
      <c r="BKL5" s="56"/>
      <c r="BKV5" s="56"/>
      <c r="BLF5" s="56"/>
      <c r="BLP5" s="56"/>
      <c r="BLZ5" s="56"/>
      <c r="BMJ5" s="56"/>
      <c r="BMT5" s="56"/>
      <c r="BND5" s="56"/>
      <c r="BNN5" s="56"/>
      <c r="BNX5" s="56"/>
      <c r="BOH5" s="56"/>
      <c r="BOR5" s="56"/>
      <c r="BPB5" s="56"/>
      <c r="BPL5" s="56"/>
      <c r="BPV5" s="56"/>
      <c r="BQF5" s="56"/>
      <c r="BQP5" s="56"/>
      <c r="BQZ5" s="56"/>
      <c r="BRJ5" s="56"/>
      <c r="BRT5" s="56"/>
      <c r="BSD5" s="56"/>
      <c r="BSN5" s="56"/>
      <c r="BSX5" s="56"/>
      <c r="BTH5" s="56"/>
      <c r="BTR5" s="56"/>
      <c r="BUB5" s="56"/>
      <c r="BUL5" s="56"/>
      <c r="BUV5" s="56"/>
      <c r="BVF5" s="56"/>
      <c r="BVP5" s="56"/>
      <c r="BVZ5" s="56"/>
      <c r="BWJ5" s="56"/>
      <c r="BWT5" s="56"/>
      <c r="BXD5" s="56"/>
      <c r="BXN5" s="56"/>
      <c r="BXX5" s="56"/>
      <c r="BYH5" s="56"/>
      <c r="BYR5" s="56"/>
      <c r="BZB5" s="56"/>
      <c r="BZL5" s="56"/>
      <c r="BZV5" s="56"/>
      <c r="CAF5" s="56"/>
      <c r="CAP5" s="56"/>
      <c r="CAZ5" s="56"/>
      <c r="CBJ5" s="56"/>
      <c r="CBT5" s="56"/>
      <c r="CCD5" s="56"/>
      <c r="CCN5" s="56"/>
      <c r="CCX5" s="56"/>
      <c r="CDH5" s="56"/>
      <c r="CDR5" s="56"/>
      <c r="CEB5" s="56"/>
      <c r="CEL5" s="56"/>
      <c r="CEV5" s="56"/>
      <c r="CFF5" s="56"/>
      <c r="CFP5" s="56"/>
      <c r="CFZ5" s="56"/>
      <c r="CGJ5" s="56"/>
      <c r="CGT5" s="56"/>
      <c r="CHD5" s="56"/>
      <c r="CHN5" s="56"/>
      <c r="CHX5" s="56"/>
      <c r="CIH5" s="56"/>
      <c r="CIR5" s="56"/>
      <c r="CJB5" s="56"/>
      <c r="CJL5" s="56"/>
      <c r="CJV5" s="56"/>
      <c r="CKF5" s="56"/>
      <c r="CKP5" s="56"/>
      <c r="CKZ5" s="56"/>
      <c r="CLJ5" s="56"/>
      <c r="CLT5" s="56"/>
      <c r="CMD5" s="56"/>
      <c r="CMN5" s="56"/>
      <c r="CMX5" s="56"/>
      <c r="CNH5" s="56"/>
      <c r="CNR5" s="56"/>
      <c r="COB5" s="56"/>
      <c r="COL5" s="56"/>
      <c r="COV5" s="56"/>
      <c r="CPF5" s="56"/>
      <c r="CPP5" s="56"/>
      <c r="CPZ5" s="56"/>
      <c r="CQJ5" s="56"/>
      <c r="CQT5" s="56"/>
      <c r="CRD5" s="56"/>
      <c r="CRN5" s="56"/>
      <c r="CRX5" s="56"/>
      <c r="CSH5" s="56"/>
      <c r="CSR5" s="56"/>
      <c r="CTB5" s="56"/>
      <c r="CTL5" s="56"/>
      <c r="CTV5" s="56"/>
    </row>
    <row r="6" s="42" customFormat="1" customHeight="1" spans="1:1020 1030:2040 2050:2570">
      <c r="A6" s="51"/>
      <c r="B6" s="9"/>
      <c r="C6" s="10"/>
      <c r="D6" s="52"/>
      <c r="E6" s="12"/>
      <c r="F6" s="53"/>
      <c r="G6" s="52"/>
      <c r="H6" s="54"/>
      <c r="I6" s="54"/>
      <c r="J6" s="52"/>
      <c r="K6" s="55"/>
      <c r="T6" s="56"/>
      <c r="AD6" s="56"/>
      <c r="AN6" s="56"/>
      <c r="AX6" s="56"/>
      <c r="BH6" s="56"/>
      <c r="BR6" s="56"/>
      <c r="CB6" s="56"/>
      <c r="CL6" s="56"/>
      <c r="CV6" s="56"/>
      <c r="DF6" s="56"/>
      <c r="DP6" s="56"/>
      <c r="DZ6" s="56"/>
      <c r="EJ6" s="56"/>
      <c r="ET6" s="56"/>
      <c r="FD6" s="56"/>
      <c r="FN6" s="56"/>
      <c r="FX6" s="56"/>
      <c r="GH6" s="56"/>
      <c r="GR6" s="56"/>
      <c r="HB6" s="56"/>
      <c r="HL6" s="56"/>
      <c r="HV6" s="56"/>
      <c r="IF6" s="56"/>
      <c r="IP6" s="56"/>
      <c r="IZ6" s="56"/>
      <c r="JJ6" s="56"/>
      <c r="JT6" s="56"/>
      <c r="KD6" s="56"/>
      <c r="KN6" s="56"/>
      <c r="KX6" s="56"/>
      <c r="LH6" s="56"/>
      <c r="LR6" s="56"/>
      <c r="MB6" s="56"/>
      <c r="ML6" s="56"/>
      <c r="MV6" s="56"/>
      <c r="NF6" s="56"/>
      <c r="NP6" s="56"/>
      <c r="NZ6" s="56"/>
      <c r="OJ6" s="56"/>
      <c r="OT6" s="56"/>
      <c r="PD6" s="56"/>
      <c r="PN6" s="56"/>
      <c r="PX6" s="56"/>
      <c r="QH6" s="56"/>
      <c r="QR6" s="56"/>
      <c r="RB6" s="56"/>
      <c r="RL6" s="56"/>
      <c r="RV6" s="56"/>
      <c r="SF6" s="56"/>
      <c r="SP6" s="56"/>
      <c r="SZ6" s="56"/>
      <c r="TJ6" s="56"/>
      <c r="TT6" s="56"/>
      <c r="UD6" s="56"/>
      <c r="UN6" s="56"/>
      <c r="UX6" s="56"/>
      <c r="VH6" s="56"/>
      <c r="VR6" s="56"/>
      <c r="WB6" s="56"/>
      <c r="WL6" s="56"/>
      <c r="WV6" s="56"/>
      <c r="XF6" s="56"/>
      <c r="XP6" s="56"/>
      <c r="XZ6" s="56"/>
      <c r="YJ6" s="56"/>
      <c r="YT6" s="56"/>
      <c r="ZD6" s="56"/>
      <c r="ZN6" s="56"/>
      <c r="ZX6" s="56"/>
      <c r="AAH6" s="56"/>
      <c r="AAR6" s="56"/>
      <c r="ABB6" s="56"/>
      <c r="ABL6" s="56"/>
      <c r="ABV6" s="56"/>
      <c r="ACF6" s="56"/>
      <c r="ACP6" s="56"/>
      <c r="ACZ6" s="56"/>
      <c r="ADJ6" s="56"/>
      <c r="ADT6" s="56"/>
      <c r="AED6" s="56"/>
      <c r="AEN6" s="56"/>
      <c r="AEX6" s="56"/>
      <c r="AFH6" s="56"/>
      <c r="AFR6" s="56"/>
      <c r="AGB6" s="56"/>
      <c r="AGL6" s="56"/>
      <c r="AGV6" s="56"/>
      <c r="AHF6" s="56"/>
      <c r="AHP6" s="56"/>
      <c r="AHZ6" s="56"/>
      <c r="AIJ6" s="56"/>
      <c r="AIT6" s="56"/>
      <c r="AJD6" s="56"/>
      <c r="AJN6" s="56"/>
      <c r="AJX6" s="56"/>
      <c r="AKH6" s="56"/>
      <c r="AKR6" s="56"/>
      <c r="ALB6" s="56"/>
      <c r="ALL6" s="56"/>
      <c r="ALV6" s="56"/>
      <c r="AMF6" s="56"/>
      <c r="AMP6" s="56"/>
      <c r="AMZ6" s="56"/>
      <c r="ANJ6" s="56"/>
      <c r="ANT6" s="56"/>
      <c r="AOD6" s="56"/>
      <c r="AON6" s="56"/>
      <c r="AOX6" s="56"/>
      <c r="APH6" s="56"/>
      <c r="APR6" s="56"/>
      <c r="AQB6" s="56"/>
      <c r="AQL6" s="56"/>
      <c r="AQV6" s="56"/>
      <c r="ARF6" s="56"/>
      <c r="ARP6" s="56"/>
      <c r="ARZ6" s="56"/>
      <c r="ASJ6" s="56"/>
      <c r="AST6" s="56"/>
      <c r="ATD6" s="56"/>
      <c r="ATN6" s="56"/>
      <c r="ATX6" s="56"/>
      <c r="AUH6" s="56"/>
      <c r="AUR6" s="56"/>
      <c r="AVB6" s="56"/>
      <c r="AVL6" s="56"/>
      <c r="AVV6" s="56"/>
      <c r="AWF6" s="56"/>
      <c r="AWP6" s="56"/>
      <c r="AWZ6" s="56"/>
      <c r="AXJ6" s="56"/>
      <c r="AXT6" s="56"/>
      <c r="AYD6" s="56"/>
      <c r="AYN6" s="56"/>
      <c r="AYX6" s="56"/>
      <c r="AZH6" s="56"/>
      <c r="AZR6" s="56"/>
      <c r="BAB6" s="56"/>
      <c r="BAL6" s="56"/>
      <c r="BAV6" s="56"/>
      <c r="BBF6" s="56"/>
      <c r="BBP6" s="56"/>
      <c r="BBZ6" s="56"/>
      <c r="BCJ6" s="56"/>
      <c r="BCT6" s="56"/>
      <c r="BDD6" s="56"/>
      <c r="BDN6" s="56"/>
      <c r="BDX6" s="56"/>
      <c r="BEH6" s="56"/>
      <c r="BER6" s="56"/>
      <c r="BFB6" s="56"/>
      <c r="BFL6" s="56"/>
      <c r="BFV6" s="56"/>
      <c r="BGF6" s="56"/>
      <c r="BGP6" s="56"/>
      <c r="BGZ6" s="56"/>
      <c r="BHJ6" s="56"/>
      <c r="BHT6" s="56"/>
      <c r="BID6" s="56"/>
      <c r="BIN6" s="56"/>
      <c r="BIX6" s="56"/>
      <c r="BJH6" s="56"/>
      <c r="BJR6" s="56"/>
      <c r="BKB6" s="56"/>
      <c r="BKL6" s="56"/>
      <c r="BKV6" s="56"/>
      <c r="BLF6" s="56"/>
      <c r="BLP6" s="56"/>
      <c r="BLZ6" s="56"/>
      <c r="BMJ6" s="56"/>
      <c r="BMT6" s="56"/>
      <c r="BND6" s="56"/>
      <c r="BNN6" s="56"/>
      <c r="BNX6" s="56"/>
      <c r="BOH6" s="56"/>
      <c r="BOR6" s="56"/>
      <c r="BPB6" s="56"/>
      <c r="BPL6" s="56"/>
      <c r="BPV6" s="56"/>
      <c r="BQF6" s="56"/>
      <c r="BQP6" s="56"/>
      <c r="BQZ6" s="56"/>
      <c r="BRJ6" s="56"/>
      <c r="BRT6" s="56"/>
      <c r="BSD6" s="56"/>
      <c r="BSN6" s="56"/>
      <c r="BSX6" s="56"/>
      <c r="BTH6" s="56"/>
      <c r="BTR6" s="56"/>
      <c r="BUB6" s="56"/>
      <c r="BUL6" s="56"/>
      <c r="BUV6" s="56"/>
      <c r="BVF6" s="56"/>
      <c r="BVP6" s="56"/>
      <c r="BVZ6" s="56"/>
      <c r="BWJ6" s="56"/>
      <c r="BWT6" s="56"/>
      <c r="BXD6" s="56"/>
      <c r="BXN6" s="56"/>
      <c r="BXX6" s="56"/>
      <c r="BYH6" s="56"/>
      <c r="BYR6" s="56"/>
      <c r="BZB6" s="56"/>
      <c r="BZL6" s="56"/>
      <c r="BZV6" s="56"/>
      <c r="CAF6" s="56"/>
      <c r="CAP6" s="56"/>
      <c r="CAZ6" s="56"/>
      <c r="CBJ6" s="56"/>
      <c r="CBT6" s="56"/>
      <c r="CCD6" s="56"/>
      <c r="CCN6" s="56"/>
      <c r="CCX6" s="56"/>
      <c r="CDH6" s="56"/>
      <c r="CDR6" s="56"/>
      <c r="CEB6" s="56"/>
      <c r="CEL6" s="56"/>
      <c r="CEV6" s="56"/>
      <c r="CFF6" s="56"/>
      <c r="CFP6" s="56"/>
      <c r="CFZ6" s="56"/>
      <c r="CGJ6" s="56"/>
      <c r="CGT6" s="56"/>
      <c r="CHD6" s="56"/>
      <c r="CHN6" s="56"/>
      <c r="CHX6" s="56"/>
      <c r="CIH6" s="56"/>
      <c r="CIR6" s="56"/>
      <c r="CJB6" s="56"/>
      <c r="CJL6" s="56"/>
      <c r="CJV6" s="56"/>
      <c r="CKF6" s="56"/>
      <c r="CKP6" s="56"/>
      <c r="CKZ6" s="56"/>
      <c r="CLJ6" s="56"/>
      <c r="CLT6" s="56"/>
      <c r="CMD6" s="56"/>
      <c r="CMN6" s="56"/>
      <c r="CMX6" s="56"/>
      <c r="CNH6" s="56"/>
      <c r="CNR6" s="56"/>
      <c r="COB6" s="56"/>
      <c r="COL6" s="56"/>
      <c r="COV6" s="56"/>
      <c r="CPF6" s="56"/>
      <c r="CPP6" s="56"/>
      <c r="CPZ6" s="56"/>
      <c r="CQJ6" s="56"/>
      <c r="CQT6" s="56"/>
      <c r="CRD6" s="56"/>
      <c r="CRN6" s="56"/>
      <c r="CRX6" s="56"/>
      <c r="CSH6" s="56"/>
      <c r="CSR6" s="56"/>
      <c r="CTB6" s="56"/>
      <c r="CTL6" s="56"/>
      <c r="CTV6" s="56"/>
    </row>
    <row r="7" s="42" customFormat="1" customHeight="1" spans="1:1020 1030:2040 2050:2570">
      <c r="A7" s="51"/>
      <c r="B7" s="9"/>
      <c r="C7" s="10"/>
      <c r="D7" s="52"/>
      <c r="E7" s="12"/>
      <c r="F7" s="53"/>
      <c r="G7" s="52"/>
      <c r="H7" s="54"/>
      <c r="I7" s="54"/>
      <c r="J7" s="52"/>
      <c r="K7" s="55"/>
      <c r="T7" s="56"/>
      <c r="AD7" s="56"/>
      <c r="AN7" s="56"/>
      <c r="AX7" s="56"/>
      <c r="BH7" s="56"/>
      <c r="BR7" s="56"/>
      <c r="CB7" s="56"/>
      <c r="CL7" s="56"/>
      <c r="CV7" s="56"/>
      <c r="DF7" s="56"/>
      <c r="DP7" s="56"/>
      <c r="DZ7" s="56"/>
      <c r="EJ7" s="56"/>
      <c r="ET7" s="56"/>
      <c r="FD7" s="56"/>
      <c r="FN7" s="56"/>
      <c r="FX7" s="56"/>
      <c r="GH7" s="56"/>
      <c r="GR7" s="56"/>
      <c r="HB7" s="56"/>
      <c r="HL7" s="56"/>
      <c r="HV7" s="56"/>
      <c r="IF7" s="56"/>
      <c r="IP7" s="56"/>
      <c r="IZ7" s="56"/>
      <c r="JJ7" s="56"/>
      <c r="JT7" s="56"/>
      <c r="KD7" s="56"/>
      <c r="KN7" s="56"/>
      <c r="KX7" s="56"/>
      <c r="LH7" s="56"/>
      <c r="LR7" s="56"/>
      <c r="MB7" s="56"/>
      <c r="ML7" s="56"/>
      <c r="MV7" s="56"/>
      <c r="NF7" s="56"/>
      <c r="NP7" s="56"/>
      <c r="NZ7" s="56"/>
      <c r="OJ7" s="56"/>
      <c r="OT7" s="56"/>
      <c r="PD7" s="56"/>
      <c r="PN7" s="56"/>
      <c r="PX7" s="56"/>
      <c r="QH7" s="56"/>
      <c r="QR7" s="56"/>
      <c r="RB7" s="56"/>
      <c r="RL7" s="56"/>
      <c r="RV7" s="56"/>
      <c r="SF7" s="56"/>
      <c r="SP7" s="56"/>
      <c r="SZ7" s="56"/>
      <c r="TJ7" s="56"/>
      <c r="TT7" s="56"/>
      <c r="UD7" s="56"/>
      <c r="UN7" s="56"/>
      <c r="UX7" s="56"/>
      <c r="VH7" s="56"/>
      <c r="VR7" s="56"/>
      <c r="WB7" s="56"/>
      <c r="WL7" s="56"/>
      <c r="WV7" s="56"/>
      <c r="XF7" s="56"/>
      <c r="XP7" s="56"/>
      <c r="XZ7" s="56"/>
      <c r="YJ7" s="56"/>
      <c r="YT7" s="56"/>
      <c r="ZD7" s="56"/>
      <c r="ZN7" s="56"/>
      <c r="ZX7" s="56"/>
      <c r="AAH7" s="56"/>
      <c r="AAR7" s="56"/>
      <c r="ABB7" s="56"/>
      <c r="ABL7" s="56"/>
      <c r="ABV7" s="56"/>
      <c r="ACF7" s="56"/>
      <c r="ACP7" s="56"/>
      <c r="ACZ7" s="56"/>
      <c r="ADJ7" s="56"/>
      <c r="ADT7" s="56"/>
      <c r="AED7" s="56"/>
      <c r="AEN7" s="56"/>
      <c r="AEX7" s="56"/>
      <c r="AFH7" s="56"/>
      <c r="AFR7" s="56"/>
      <c r="AGB7" s="56"/>
      <c r="AGL7" s="56"/>
      <c r="AGV7" s="56"/>
      <c r="AHF7" s="56"/>
      <c r="AHP7" s="56"/>
      <c r="AHZ7" s="56"/>
      <c r="AIJ7" s="56"/>
      <c r="AIT7" s="56"/>
      <c r="AJD7" s="56"/>
      <c r="AJN7" s="56"/>
      <c r="AJX7" s="56"/>
      <c r="AKH7" s="56"/>
      <c r="AKR7" s="56"/>
      <c r="ALB7" s="56"/>
      <c r="ALL7" s="56"/>
      <c r="ALV7" s="56"/>
      <c r="AMF7" s="56"/>
      <c r="AMP7" s="56"/>
      <c r="AMZ7" s="56"/>
      <c r="ANJ7" s="56"/>
      <c r="ANT7" s="56"/>
      <c r="AOD7" s="56"/>
      <c r="AON7" s="56"/>
      <c r="AOX7" s="56"/>
      <c r="APH7" s="56"/>
      <c r="APR7" s="56"/>
      <c r="AQB7" s="56"/>
      <c r="AQL7" s="56"/>
      <c r="AQV7" s="56"/>
      <c r="ARF7" s="56"/>
      <c r="ARP7" s="56"/>
      <c r="ARZ7" s="56"/>
      <c r="ASJ7" s="56"/>
      <c r="AST7" s="56"/>
      <c r="ATD7" s="56"/>
      <c r="ATN7" s="56"/>
      <c r="ATX7" s="56"/>
      <c r="AUH7" s="56"/>
      <c r="AUR7" s="56"/>
      <c r="AVB7" s="56"/>
      <c r="AVL7" s="56"/>
      <c r="AVV7" s="56"/>
      <c r="AWF7" s="56"/>
      <c r="AWP7" s="56"/>
      <c r="AWZ7" s="56"/>
      <c r="AXJ7" s="56"/>
      <c r="AXT7" s="56"/>
      <c r="AYD7" s="56"/>
      <c r="AYN7" s="56"/>
      <c r="AYX7" s="56"/>
      <c r="AZH7" s="56"/>
      <c r="AZR7" s="56"/>
      <c r="BAB7" s="56"/>
      <c r="BAL7" s="56"/>
      <c r="BAV7" s="56"/>
      <c r="BBF7" s="56"/>
      <c r="BBP7" s="56"/>
      <c r="BBZ7" s="56"/>
      <c r="BCJ7" s="56"/>
      <c r="BCT7" s="56"/>
      <c r="BDD7" s="56"/>
      <c r="BDN7" s="56"/>
      <c r="BDX7" s="56"/>
      <c r="BEH7" s="56"/>
      <c r="BER7" s="56"/>
      <c r="BFB7" s="56"/>
      <c r="BFL7" s="56"/>
      <c r="BFV7" s="56"/>
      <c r="BGF7" s="56"/>
      <c r="BGP7" s="56"/>
      <c r="BGZ7" s="56"/>
      <c r="BHJ7" s="56"/>
      <c r="BHT7" s="56"/>
      <c r="BID7" s="56"/>
      <c r="BIN7" s="56"/>
      <c r="BIX7" s="56"/>
      <c r="BJH7" s="56"/>
      <c r="BJR7" s="56"/>
      <c r="BKB7" s="56"/>
      <c r="BKL7" s="56"/>
      <c r="BKV7" s="56"/>
      <c r="BLF7" s="56"/>
      <c r="BLP7" s="56"/>
      <c r="BLZ7" s="56"/>
      <c r="BMJ7" s="56"/>
      <c r="BMT7" s="56"/>
      <c r="BND7" s="56"/>
      <c r="BNN7" s="56"/>
      <c r="BNX7" s="56"/>
      <c r="BOH7" s="56"/>
      <c r="BOR7" s="56"/>
      <c r="BPB7" s="56"/>
      <c r="BPL7" s="56"/>
      <c r="BPV7" s="56"/>
      <c r="BQF7" s="56"/>
      <c r="BQP7" s="56"/>
      <c r="BQZ7" s="56"/>
      <c r="BRJ7" s="56"/>
      <c r="BRT7" s="56"/>
      <c r="BSD7" s="56"/>
      <c r="BSN7" s="56"/>
      <c r="BSX7" s="56"/>
      <c r="BTH7" s="56"/>
      <c r="BTR7" s="56"/>
      <c r="BUB7" s="56"/>
      <c r="BUL7" s="56"/>
      <c r="BUV7" s="56"/>
      <c r="BVF7" s="56"/>
      <c r="BVP7" s="56"/>
      <c r="BVZ7" s="56"/>
      <c r="BWJ7" s="56"/>
      <c r="BWT7" s="56"/>
      <c r="BXD7" s="56"/>
      <c r="BXN7" s="56"/>
      <c r="BXX7" s="56"/>
      <c r="BYH7" s="56"/>
      <c r="BYR7" s="56"/>
      <c r="BZB7" s="56"/>
      <c r="BZL7" s="56"/>
      <c r="BZV7" s="56"/>
      <c r="CAF7" s="56"/>
      <c r="CAP7" s="56"/>
      <c r="CAZ7" s="56"/>
      <c r="CBJ7" s="56"/>
      <c r="CBT7" s="56"/>
      <c r="CCD7" s="56"/>
      <c r="CCN7" s="56"/>
      <c r="CCX7" s="56"/>
      <c r="CDH7" s="56"/>
      <c r="CDR7" s="56"/>
      <c r="CEB7" s="56"/>
      <c r="CEL7" s="56"/>
      <c r="CEV7" s="56"/>
      <c r="CFF7" s="56"/>
      <c r="CFP7" s="56"/>
      <c r="CFZ7" s="56"/>
      <c r="CGJ7" s="56"/>
      <c r="CGT7" s="56"/>
      <c r="CHD7" s="56"/>
      <c r="CHN7" s="56"/>
      <c r="CHX7" s="56"/>
      <c r="CIH7" s="56"/>
      <c r="CIR7" s="56"/>
      <c r="CJB7" s="56"/>
      <c r="CJL7" s="56"/>
      <c r="CJV7" s="56"/>
      <c r="CKF7" s="56"/>
      <c r="CKP7" s="56"/>
      <c r="CKZ7" s="56"/>
      <c r="CLJ7" s="56"/>
      <c r="CLT7" s="56"/>
      <c r="CMD7" s="56"/>
      <c r="CMN7" s="56"/>
      <c r="CMX7" s="56"/>
      <c r="CNH7" s="56"/>
      <c r="CNR7" s="56"/>
      <c r="COB7" s="56"/>
      <c r="COL7" s="56"/>
      <c r="COV7" s="56"/>
      <c r="CPF7" s="56"/>
      <c r="CPP7" s="56"/>
      <c r="CPZ7" s="56"/>
      <c r="CQJ7" s="56"/>
      <c r="CQT7" s="56"/>
      <c r="CRD7" s="56"/>
      <c r="CRN7" s="56"/>
      <c r="CRX7" s="56"/>
      <c r="CSH7" s="56"/>
      <c r="CSR7" s="56"/>
      <c r="CTB7" s="56"/>
      <c r="CTL7" s="56"/>
      <c r="CTV7" s="56"/>
    </row>
    <row r="8" s="42" customFormat="1" customHeight="1" spans="1:1020 1030:2040 2050:2570">
      <c r="A8" s="51"/>
      <c r="B8" s="9"/>
      <c r="C8" s="10"/>
      <c r="D8" s="52"/>
      <c r="E8" s="12"/>
      <c r="F8" s="53"/>
      <c r="G8" s="52"/>
      <c r="H8" s="54"/>
      <c r="I8" s="54"/>
      <c r="J8" s="52"/>
      <c r="K8" s="55"/>
      <c r="T8" s="56"/>
      <c r="AD8" s="56"/>
      <c r="AN8" s="56"/>
      <c r="AX8" s="56"/>
      <c r="BH8" s="56"/>
      <c r="BR8" s="56"/>
      <c r="CB8" s="56"/>
      <c r="CL8" s="56"/>
      <c r="CV8" s="56"/>
      <c r="DF8" s="56"/>
      <c r="DP8" s="56"/>
      <c r="DZ8" s="56"/>
      <c r="EJ8" s="56"/>
      <c r="ET8" s="56"/>
      <c r="FD8" s="56"/>
      <c r="FN8" s="56"/>
      <c r="FX8" s="56"/>
      <c r="GH8" s="56"/>
      <c r="GR8" s="56"/>
      <c r="HB8" s="56"/>
      <c r="HL8" s="56"/>
      <c r="HV8" s="56"/>
      <c r="IF8" s="56"/>
      <c r="IP8" s="56"/>
      <c r="IZ8" s="56"/>
      <c r="JJ8" s="56"/>
      <c r="JT8" s="56"/>
      <c r="KD8" s="56"/>
      <c r="KN8" s="56"/>
      <c r="KX8" s="56"/>
      <c r="LH8" s="56"/>
      <c r="LR8" s="56"/>
      <c r="MB8" s="56"/>
      <c r="ML8" s="56"/>
      <c r="MV8" s="56"/>
      <c r="NF8" s="56"/>
      <c r="NP8" s="56"/>
      <c r="NZ8" s="56"/>
      <c r="OJ8" s="56"/>
      <c r="OT8" s="56"/>
      <c r="PD8" s="56"/>
      <c r="PN8" s="56"/>
      <c r="PX8" s="56"/>
      <c r="QH8" s="56"/>
      <c r="QR8" s="56"/>
      <c r="RB8" s="56"/>
      <c r="RL8" s="56"/>
      <c r="RV8" s="56"/>
      <c r="SF8" s="56"/>
      <c r="SP8" s="56"/>
      <c r="SZ8" s="56"/>
      <c r="TJ8" s="56"/>
      <c r="TT8" s="56"/>
      <c r="UD8" s="56"/>
      <c r="UN8" s="56"/>
      <c r="UX8" s="56"/>
      <c r="VH8" s="56"/>
      <c r="VR8" s="56"/>
      <c r="WB8" s="56"/>
      <c r="WL8" s="56"/>
      <c r="WV8" s="56"/>
      <c r="XF8" s="56"/>
      <c r="XP8" s="56"/>
      <c r="XZ8" s="56"/>
      <c r="YJ8" s="56"/>
      <c r="YT8" s="56"/>
      <c r="ZD8" s="56"/>
      <c r="ZN8" s="56"/>
      <c r="ZX8" s="56"/>
      <c r="AAH8" s="56"/>
      <c r="AAR8" s="56"/>
      <c r="ABB8" s="56"/>
      <c r="ABL8" s="56"/>
      <c r="ABV8" s="56"/>
      <c r="ACF8" s="56"/>
      <c r="ACP8" s="56"/>
      <c r="ACZ8" s="56"/>
      <c r="ADJ8" s="56"/>
      <c r="ADT8" s="56"/>
      <c r="AED8" s="56"/>
      <c r="AEN8" s="56"/>
      <c r="AEX8" s="56"/>
      <c r="AFH8" s="56"/>
      <c r="AFR8" s="56"/>
      <c r="AGB8" s="56"/>
      <c r="AGL8" s="56"/>
      <c r="AGV8" s="56"/>
      <c r="AHF8" s="56"/>
      <c r="AHP8" s="56"/>
      <c r="AHZ8" s="56"/>
      <c r="AIJ8" s="56"/>
      <c r="AIT8" s="56"/>
      <c r="AJD8" s="56"/>
      <c r="AJN8" s="56"/>
      <c r="AJX8" s="56"/>
      <c r="AKH8" s="56"/>
      <c r="AKR8" s="56"/>
      <c r="ALB8" s="56"/>
      <c r="ALL8" s="56"/>
      <c r="ALV8" s="56"/>
      <c r="AMF8" s="56"/>
      <c r="AMP8" s="56"/>
      <c r="AMZ8" s="56"/>
      <c r="ANJ8" s="56"/>
      <c r="ANT8" s="56"/>
      <c r="AOD8" s="56"/>
      <c r="AON8" s="56"/>
      <c r="AOX8" s="56"/>
      <c r="APH8" s="56"/>
      <c r="APR8" s="56"/>
      <c r="AQB8" s="56"/>
      <c r="AQL8" s="56"/>
      <c r="AQV8" s="56"/>
      <c r="ARF8" s="56"/>
      <c r="ARP8" s="56"/>
      <c r="ARZ8" s="56"/>
      <c r="ASJ8" s="56"/>
      <c r="AST8" s="56"/>
      <c r="ATD8" s="56"/>
      <c r="ATN8" s="56"/>
      <c r="ATX8" s="56"/>
      <c r="AUH8" s="56"/>
      <c r="AUR8" s="56"/>
      <c r="AVB8" s="56"/>
      <c r="AVL8" s="56"/>
      <c r="AVV8" s="56"/>
      <c r="AWF8" s="56"/>
      <c r="AWP8" s="56"/>
      <c r="AWZ8" s="56"/>
      <c r="AXJ8" s="56"/>
      <c r="AXT8" s="56"/>
      <c r="AYD8" s="56"/>
      <c r="AYN8" s="56"/>
      <c r="AYX8" s="56"/>
      <c r="AZH8" s="56"/>
      <c r="AZR8" s="56"/>
      <c r="BAB8" s="56"/>
      <c r="BAL8" s="56"/>
      <c r="BAV8" s="56"/>
      <c r="BBF8" s="56"/>
      <c r="BBP8" s="56"/>
      <c r="BBZ8" s="56"/>
      <c r="BCJ8" s="56"/>
      <c r="BCT8" s="56"/>
      <c r="BDD8" s="56"/>
      <c r="BDN8" s="56"/>
      <c r="BDX8" s="56"/>
      <c r="BEH8" s="56"/>
      <c r="BER8" s="56"/>
      <c r="BFB8" s="56"/>
      <c r="BFL8" s="56"/>
      <c r="BFV8" s="56"/>
      <c r="BGF8" s="56"/>
      <c r="BGP8" s="56"/>
      <c r="BGZ8" s="56"/>
      <c r="BHJ8" s="56"/>
      <c r="BHT8" s="56"/>
      <c r="BID8" s="56"/>
      <c r="BIN8" s="56"/>
      <c r="BIX8" s="56"/>
      <c r="BJH8" s="56"/>
      <c r="BJR8" s="56"/>
      <c r="BKB8" s="56"/>
      <c r="BKL8" s="56"/>
      <c r="BKV8" s="56"/>
      <c r="BLF8" s="56"/>
      <c r="BLP8" s="56"/>
      <c r="BLZ8" s="56"/>
      <c r="BMJ8" s="56"/>
      <c r="BMT8" s="56"/>
      <c r="BND8" s="56"/>
      <c r="BNN8" s="56"/>
      <c r="BNX8" s="56"/>
      <c r="BOH8" s="56"/>
      <c r="BOR8" s="56"/>
      <c r="BPB8" s="56"/>
      <c r="BPL8" s="56"/>
      <c r="BPV8" s="56"/>
      <c r="BQF8" s="56"/>
      <c r="BQP8" s="56"/>
      <c r="BQZ8" s="56"/>
      <c r="BRJ8" s="56"/>
      <c r="BRT8" s="56"/>
      <c r="BSD8" s="56"/>
      <c r="BSN8" s="56"/>
      <c r="BSX8" s="56"/>
      <c r="BTH8" s="56"/>
      <c r="BTR8" s="56"/>
      <c r="BUB8" s="56"/>
      <c r="BUL8" s="56"/>
      <c r="BUV8" s="56"/>
      <c r="BVF8" s="56"/>
      <c r="BVP8" s="56"/>
      <c r="BVZ8" s="56"/>
      <c r="BWJ8" s="56"/>
      <c r="BWT8" s="56"/>
      <c r="BXD8" s="56"/>
      <c r="BXN8" s="56"/>
      <c r="BXX8" s="56"/>
      <c r="BYH8" s="56"/>
      <c r="BYR8" s="56"/>
      <c r="BZB8" s="56"/>
      <c r="BZL8" s="56"/>
      <c r="BZV8" s="56"/>
      <c r="CAF8" s="56"/>
      <c r="CAP8" s="56"/>
      <c r="CAZ8" s="56"/>
      <c r="CBJ8" s="56"/>
      <c r="CBT8" s="56"/>
      <c r="CCD8" s="56"/>
      <c r="CCN8" s="56"/>
      <c r="CCX8" s="56"/>
      <c r="CDH8" s="56"/>
      <c r="CDR8" s="56"/>
      <c r="CEB8" s="56"/>
      <c r="CEL8" s="56"/>
      <c r="CEV8" s="56"/>
      <c r="CFF8" s="56"/>
      <c r="CFP8" s="56"/>
      <c r="CFZ8" s="56"/>
      <c r="CGJ8" s="56"/>
      <c r="CGT8" s="56"/>
      <c r="CHD8" s="56"/>
      <c r="CHN8" s="56"/>
      <c r="CHX8" s="56"/>
      <c r="CIH8" s="56"/>
      <c r="CIR8" s="56"/>
      <c r="CJB8" s="56"/>
      <c r="CJL8" s="56"/>
      <c r="CJV8" s="56"/>
      <c r="CKF8" s="56"/>
      <c r="CKP8" s="56"/>
      <c r="CKZ8" s="56"/>
      <c r="CLJ8" s="56"/>
      <c r="CLT8" s="56"/>
      <c r="CMD8" s="56"/>
      <c r="CMN8" s="56"/>
      <c r="CMX8" s="56"/>
      <c r="CNH8" s="56"/>
      <c r="CNR8" s="56"/>
      <c r="COB8" s="56"/>
      <c r="COL8" s="56"/>
      <c r="COV8" s="56"/>
      <c r="CPF8" s="56"/>
      <c r="CPP8" s="56"/>
      <c r="CPZ8" s="56"/>
      <c r="CQJ8" s="56"/>
      <c r="CQT8" s="56"/>
      <c r="CRD8" s="56"/>
      <c r="CRN8" s="56"/>
      <c r="CRX8" s="56"/>
      <c r="CSH8" s="56"/>
      <c r="CSR8" s="56"/>
      <c r="CTB8" s="56"/>
      <c r="CTL8" s="56"/>
      <c r="CTV8" s="56"/>
    </row>
    <row r="9" s="42" customFormat="1" customHeight="1" spans="1:1020 1030:2040 2050:2570">
      <c r="A9" s="51"/>
      <c r="B9" s="9"/>
      <c r="C9" s="10"/>
      <c r="D9" s="52"/>
      <c r="E9" s="12"/>
      <c r="F9" s="53"/>
      <c r="G9" s="52"/>
      <c r="H9" s="54"/>
      <c r="I9" s="54"/>
      <c r="J9" s="52"/>
      <c r="K9" s="55"/>
      <c r="T9" s="56"/>
      <c r="AD9" s="56"/>
      <c r="AN9" s="56"/>
      <c r="AX9" s="56"/>
      <c r="BH9" s="56"/>
      <c r="BR9" s="56"/>
      <c r="CB9" s="56"/>
      <c r="CL9" s="56"/>
      <c r="CV9" s="56"/>
      <c r="DF9" s="56"/>
      <c r="DP9" s="56"/>
      <c r="DZ9" s="56"/>
      <c r="EJ9" s="56"/>
      <c r="ET9" s="56"/>
      <c r="FD9" s="56"/>
      <c r="FN9" s="56"/>
      <c r="FX9" s="56"/>
      <c r="GH9" s="56"/>
      <c r="GR9" s="56"/>
      <c r="HB9" s="56"/>
      <c r="HL9" s="56"/>
      <c r="HV9" s="56"/>
      <c r="IF9" s="56"/>
      <c r="IP9" s="56"/>
      <c r="IZ9" s="56"/>
      <c r="JJ9" s="56"/>
      <c r="JT9" s="56"/>
      <c r="KD9" s="56"/>
      <c r="KN9" s="56"/>
      <c r="KX9" s="56"/>
      <c r="LH9" s="56"/>
      <c r="LR9" s="56"/>
      <c r="MB9" s="56"/>
      <c r="ML9" s="56"/>
      <c r="MV9" s="56"/>
      <c r="NF9" s="56"/>
      <c r="NP9" s="56"/>
      <c r="NZ9" s="56"/>
      <c r="OJ9" s="56"/>
      <c r="OT9" s="56"/>
      <c r="PD9" s="56"/>
      <c r="PN9" s="56"/>
      <c r="PX9" s="56"/>
      <c r="QH9" s="56"/>
      <c r="QR9" s="56"/>
      <c r="RB9" s="56"/>
      <c r="RL9" s="56"/>
      <c r="RV9" s="56"/>
      <c r="SF9" s="56"/>
      <c r="SP9" s="56"/>
      <c r="SZ9" s="56"/>
      <c r="TJ9" s="56"/>
      <c r="TT9" s="56"/>
      <c r="UD9" s="56"/>
      <c r="UN9" s="56"/>
      <c r="UX9" s="56"/>
      <c r="VH9" s="56"/>
      <c r="VR9" s="56"/>
      <c r="WB9" s="56"/>
      <c r="WL9" s="56"/>
      <c r="WV9" s="56"/>
      <c r="XF9" s="56"/>
      <c r="XP9" s="56"/>
      <c r="XZ9" s="56"/>
      <c r="YJ9" s="56"/>
      <c r="YT9" s="56"/>
      <c r="ZD9" s="56"/>
      <c r="ZN9" s="56"/>
      <c r="ZX9" s="56"/>
      <c r="AAH9" s="56"/>
      <c r="AAR9" s="56"/>
      <c r="ABB9" s="56"/>
      <c r="ABL9" s="56"/>
      <c r="ABV9" s="56"/>
      <c r="ACF9" s="56"/>
      <c r="ACP9" s="56"/>
      <c r="ACZ9" s="56"/>
      <c r="ADJ9" s="56"/>
      <c r="ADT9" s="56"/>
      <c r="AED9" s="56"/>
      <c r="AEN9" s="56"/>
      <c r="AEX9" s="56"/>
      <c r="AFH9" s="56"/>
      <c r="AFR9" s="56"/>
      <c r="AGB9" s="56"/>
      <c r="AGL9" s="56"/>
      <c r="AGV9" s="56"/>
      <c r="AHF9" s="56"/>
      <c r="AHP9" s="56"/>
      <c r="AHZ9" s="56"/>
      <c r="AIJ9" s="56"/>
      <c r="AIT9" s="56"/>
      <c r="AJD9" s="56"/>
      <c r="AJN9" s="56"/>
      <c r="AJX9" s="56"/>
      <c r="AKH9" s="56"/>
      <c r="AKR9" s="56"/>
      <c r="ALB9" s="56"/>
      <c r="ALL9" s="56"/>
      <c r="ALV9" s="56"/>
      <c r="AMF9" s="56"/>
      <c r="AMP9" s="56"/>
      <c r="AMZ9" s="56"/>
      <c r="ANJ9" s="56"/>
      <c r="ANT9" s="56"/>
      <c r="AOD9" s="56"/>
      <c r="AON9" s="56"/>
      <c r="AOX9" s="56"/>
      <c r="APH9" s="56"/>
      <c r="APR9" s="56"/>
      <c r="AQB9" s="56"/>
      <c r="AQL9" s="56"/>
      <c r="AQV9" s="56"/>
      <c r="ARF9" s="56"/>
      <c r="ARP9" s="56"/>
      <c r="ARZ9" s="56"/>
      <c r="ASJ9" s="56"/>
      <c r="AST9" s="56"/>
      <c r="ATD9" s="56"/>
      <c r="ATN9" s="56"/>
      <c r="ATX9" s="56"/>
      <c r="AUH9" s="56"/>
      <c r="AUR9" s="56"/>
      <c r="AVB9" s="56"/>
      <c r="AVL9" s="56"/>
      <c r="AVV9" s="56"/>
      <c r="AWF9" s="56"/>
      <c r="AWP9" s="56"/>
      <c r="AWZ9" s="56"/>
      <c r="AXJ9" s="56"/>
      <c r="AXT9" s="56"/>
      <c r="AYD9" s="56"/>
      <c r="AYN9" s="56"/>
      <c r="AYX9" s="56"/>
      <c r="AZH9" s="56"/>
      <c r="AZR9" s="56"/>
      <c r="BAB9" s="56"/>
      <c r="BAL9" s="56"/>
      <c r="BAV9" s="56"/>
      <c r="BBF9" s="56"/>
      <c r="BBP9" s="56"/>
      <c r="BBZ9" s="56"/>
      <c r="BCJ9" s="56"/>
      <c r="BCT9" s="56"/>
      <c r="BDD9" s="56"/>
      <c r="BDN9" s="56"/>
      <c r="BDX9" s="56"/>
      <c r="BEH9" s="56"/>
      <c r="BER9" s="56"/>
      <c r="BFB9" s="56"/>
      <c r="BFL9" s="56"/>
      <c r="BFV9" s="56"/>
      <c r="BGF9" s="56"/>
      <c r="BGP9" s="56"/>
      <c r="BGZ9" s="56"/>
      <c r="BHJ9" s="56"/>
      <c r="BHT9" s="56"/>
      <c r="BID9" s="56"/>
      <c r="BIN9" s="56"/>
      <c r="BIX9" s="56"/>
      <c r="BJH9" s="56"/>
      <c r="BJR9" s="56"/>
      <c r="BKB9" s="56"/>
      <c r="BKL9" s="56"/>
      <c r="BKV9" s="56"/>
      <c r="BLF9" s="56"/>
      <c r="BLP9" s="56"/>
      <c r="BLZ9" s="56"/>
      <c r="BMJ9" s="56"/>
      <c r="BMT9" s="56"/>
      <c r="BND9" s="56"/>
      <c r="BNN9" s="56"/>
      <c r="BNX9" s="56"/>
      <c r="BOH9" s="56"/>
      <c r="BOR9" s="56"/>
      <c r="BPB9" s="56"/>
      <c r="BPL9" s="56"/>
      <c r="BPV9" s="56"/>
      <c r="BQF9" s="56"/>
      <c r="BQP9" s="56"/>
      <c r="BQZ9" s="56"/>
      <c r="BRJ9" s="56"/>
      <c r="BRT9" s="56"/>
      <c r="BSD9" s="56"/>
      <c r="BSN9" s="56"/>
      <c r="BSX9" s="56"/>
      <c r="BTH9" s="56"/>
      <c r="BTR9" s="56"/>
      <c r="BUB9" s="56"/>
      <c r="BUL9" s="56"/>
      <c r="BUV9" s="56"/>
      <c r="BVF9" s="56"/>
      <c r="BVP9" s="56"/>
      <c r="BVZ9" s="56"/>
      <c r="BWJ9" s="56"/>
      <c r="BWT9" s="56"/>
      <c r="BXD9" s="56"/>
      <c r="BXN9" s="56"/>
      <c r="BXX9" s="56"/>
      <c r="BYH9" s="56"/>
      <c r="BYR9" s="56"/>
      <c r="BZB9" s="56"/>
      <c r="BZL9" s="56"/>
      <c r="BZV9" s="56"/>
      <c r="CAF9" s="56"/>
      <c r="CAP9" s="56"/>
      <c r="CAZ9" s="56"/>
      <c r="CBJ9" s="56"/>
      <c r="CBT9" s="56"/>
      <c r="CCD9" s="56"/>
      <c r="CCN9" s="56"/>
      <c r="CCX9" s="56"/>
      <c r="CDH9" s="56"/>
      <c r="CDR9" s="56"/>
      <c r="CEB9" s="56"/>
      <c r="CEL9" s="56"/>
      <c r="CEV9" s="56"/>
      <c r="CFF9" s="56"/>
      <c r="CFP9" s="56"/>
      <c r="CFZ9" s="56"/>
      <c r="CGJ9" s="56"/>
      <c r="CGT9" s="56"/>
      <c r="CHD9" s="56"/>
      <c r="CHN9" s="56"/>
      <c r="CHX9" s="56"/>
      <c r="CIH9" s="56"/>
      <c r="CIR9" s="56"/>
      <c r="CJB9" s="56"/>
      <c r="CJL9" s="56"/>
      <c r="CJV9" s="56"/>
      <c r="CKF9" s="56"/>
      <c r="CKP9" s="56"/>
      <c r="CKZ9" s="56"/>
      <c r="CLJ9" s="56"/>
      <c r="CLT9" s="56"/>
      <c r="CMD9" s="56"/>
      <c r="CMN9" s="56"/>
      <c r="CMX9" s="56"/>
      <c r="CNH9" s="56"/>
      <c r="CNR9" s="56"/>
      <c r="COB9" s="56"/>
      <c r="COL9" s="56"/>
      <c r="COV9" s="56"/>
      <c r="CPF9" s="56"/>
      <c r="CPP9" s="56"/>
      <c r="CPZ9" s="56"/>
      <c r="CQJ9" s="56"/>
      <c r="CQT9" s="56"/>
      <c r="CRD9" s="56"/>
      <c r="CRN9" s="56"/>
      <c r="CRX9" s="56"/>
      <c r="CSH9" s="56"/>
      <c r="CSR9" s="56"/>
      <c r="CTB9" s="56"/>
      <c r="CTL9" s="56"/>
      <c r="CTV9" s="56"/>
    </row>
    <row r="10" s="42" customFormat="1" customHeight="1" spans="1:1020 1030:2040 2050:2570">
      <c r="A10" s="51"/>
      <c r="B10" s="52"/>
      <c r="C10" s="52"/>
      <c r="D10" s="52"/>
      <c r="E10" s="52"/>
      <c r="F10" s="53"/>
      <c r="G10" s="52"/>
      <c r="H10" s="54"/>
      <c r="I10" s="54"/>
      <c r="J10" s="52"/>
      <c r="K10" s="55"/>
      <c r="T10" s="56"/>
      <c r="AD10" s="56"/>
      <c r="AN10" s="56"/>
      <c r="AX10" s="56"/>
      <c r="BH10" s="56"/>
      <c r="BR10" s="56"/>
      <c r="CB10" s="56"/>
      <c r="CL10" s="56"/>
      <c r="CV10" s="56"/>
      <c r="DF10" s="56"/>
      <c r="DP10" s="56"/>
      <c r="DZ10" s="56"/>
      <c r="EJ10" s="56"/>
      <c r="ET10" s="56"/>
      <c r="FD10" s="56"/>
      <c r="FN10" s="56"/>
      <c r="FX10" s="56"/>
      <c r="GH10" s="56"/>
      <c r="GR10" s="56"/>
      <c r="HB10" s="56"/>
      <c r="HL10" s="56"/>
      <c r="HV10" s="56"/>
      <c r="IF10" s="56"/>
      <c r="IP10" s="56"/>
      <c r="IZ10" s="56"/>
      <c r="JJ10" s="56"/>
      <c r="JT10" s="56"/>
      <c r="KD10" s="56"/>
      <c r="KN10" s="56"/>
      <c r="KX10" s="56"/>
      <c r="LH10" s="56"/>
      <c r="LR10" s="56"/>
      <c r="MB10" s="56"/>
      <c r="ML10" s="56"/>
      <c r="MV10" s="56"/>
      <c r="NF10" s="56"/>
      <c r="NP10" s="56"/>
      <c r="NZ10" s="56"/>
      <c r="OJ10" s="56"/>
      <c r="OT10" s="56"/>
      <c r="PD10" s="56"/>
      <c r="PN10" s="56"/>
      <c r="PX10" s="56"/>
      <c r="QH10" s="56"/>
      <c r="QR10" s="56"/>
      <c r="RB10" s="56"/>
      <c r="RL10" s="56"/>
      <c r="RV10" s="56"/>
      <c r="SF10" s="56"/>
      <c r="SP10" s="56"/>
      <c r="SZ10" s="56"/>
      <c r="TJ10" s="56"/>
      <c r="TT10" s="56"/>
      <c r="UD10" s="56"/>
      <c r="UN10" s="56"/>
      <c r="UX10" s="56"/>
      <c r="VH10" s="56"/>
      <c r="VR10" s="56"/>
      <c r="WB10" s="56"/>
      <c r="WL10" s="56"/>
      <c r="WV10" s="56"/>
      <c r="XF10" s="56"/>
      <c r="XP10" s="56"/>
      <c r="XZ10" s="56"/>
      <c r="YJ10" s="56"/>
      <c r="YT10" s="56"/>
      <c r="ZD10" s="56"/>
      <c r="ZN10" s="56"/>
      <c r="ZX10" s="56"/>
      <c r="AAH10" s="56"/>
      <c r="AAR10" s="56"/>
      <c r="ABB10" s="56"/>
      <c r="ABL10" s="56"/>
      <c r="ABV10" s="56"/>
      <c r="ACF10" s="56"/>
      <c r="ACP10" s="56"/>
      <c r="ACZ10" s="56"/>
      <c r="ADJ10" s="56"/>
      <c r="ADT10" s="56"/>
      <c r="AED10" s="56"/>
      <c r="AEN10" s="56"/>
      <c r="AEX10" s="56"/>
      <c r="AFH10" s="56"/>
      <c r="AFR10" s="56"/>
      <c r="AGB10" s="56"/>
      <c r="AGL10" s="56"/>
      <c r="AGV10" s="56"/>
      <c r="AHF10" s="56"/>
      <c r="AHP10" s="56"/>
      <c r="AHZ10" s="56"/>
      <c r="AIJ10" s="56"/>
      <c r="AIT10" s="56"/>
      <c r="AJD10" s="56"/>
      <c r="AJN10" s="56"/>
      <c r="AJX10" s="56"/>
      <c r="AKH10" s="56"/>
      <c r="AKR10" s="56"/>
      <c r="ALB10" s="56"/>
      <c r="ALL10" s="56"/>
      <c r="ALV10" s="56"/>
      <c r="AMF10" s="56"/>
      <c r="AMP10" s="56"/>
      <c r="AMZ10" s="56"/>
      <c r="ANJ10" s="56"/>
      <c r="ANT10" s="56"/>
      <c r="AOD10" s="56"/>
      <c r="AON10" s="56"/>
      <c r="AOX10" s="56"/>
      <c r="APH10" s="56"/>
      <c r="APR10" s="56"/>
      <c r="AQB10" s="56"/>
      <c r="AQL10" s="56"/>
      <c r="AQV10" s="56"/>
      <c r="ARF10" s="56"/>
      <c r="ARP10" s="56"/>
      <c r="ARZ10" s="56"/>
      <c r="ASJ10" s="56"/>
      <c r="AST10" s="56"/>
      <c r="ATD10" s="56"/>
      <c r="ATN10" s="56"/>
      <c r="ATX10" s="56"/>
      <c r="AUH10" s="56"/>
      <c r="AUR10" s="56"/>
      <c r="AVB10" s="56"/>
      <c r="AVL10" s="56"/>
      <c r="AVV10" s="56"/>
      <c r="AWF10" s="56"/>
      <c r="AWP10" s="56"/>
      <c r="AWZ10" s="56"/>
      <c r="AXJ10" s="56"/>
      <c r="AXT10" s="56"/>
      <c r="AYD10" s="56"/>
      <c r="AYN10" s="56"/>
      <c r="AYX10" s="56"/>
      <c r="AZH10" s="56"/>
      <c r="AZR10" s="56"/>
      <c r="BAB10" s="56"/>
      <c r="BAL10" s="56"/>
      <c r="BAV10" s="56"/>
      <c r="BBF10" s="56"/>
      <c r="BBP10" s="56"/>
      <c r="BBZ10" s="56"/>
      <c r="BCJ10" s="56"/>
      <c r="BCT10" s="56"/>
      <c r="BDD10" s="56"/>
      <c r="BDN10" s="56"/>
      <c r="BDX10" s="56"/>
      <c r="BEH10" s="56"/>
      <c r="BER10" s="56"/>
      <c r="BFB10" s="56"/>
      <c r="BFL10" s="56"/>
      <c r="BFV10" s="56"/>
      <c r="BGF10" s="56"/>
      <c r="BGP10" s="56"/>
      <c r="BGZ10" s="56"/>
      <c r="BHJ10" s="56"/>
      <c r="BHT10" s="56"/>
      <c r="BID10" s="56"/>
      <c r="BIN10" s="56"/>
      <c r="BIX10" s="56"/>
      <c r="BJH10" s="56"/>
      <c r="BJR10" s="56"/>
      <c r="BKB10" s="56"/>
      <c r="BKL10" s="56"/>
      <c r="BKV10" s="56"/>
      <c r="BLF10" s="56"/>
      <c r="BLP10" s="56"/>
      <c r="BLZ10" s="56"/>
      <c r="BMJ10" s="56"/>
      <c r="BMT10" s="56"/>
      <c r="BND10" s="56"/>
      <c r="BNN10" s="56"/>
      <c r="BNX10" s="56"/>
      <c r="BOH10" s="56"/>
      <c r="BOR10" s="56"/>
      <c r="BPB10" s="56"/>
      <c r="BPL10" s="56"/>
      <c r="BPV10" s="56"/>
      <c r="BQF10" s="56"/>
      <c r="BQP10" s="56"/>
      <c r="BQZ10" s="56"/>
      <c r="BRJ10" s="56"/>
      <c r="BRT10" s="56"/>
      <c r="BSD10" s="56"/>
      <c r="BSN10" s="56"/>
      <c r="BSX10" s="56"/>
      <c r="BTH10" s="56"/>
      <c r="BTR10" s="56"/>
      <c r="BUB10" s="56"/>
      <c r="BUL10" s="56"/>
      <c r="BUV10" s="56"/>
      <c r="BVF10" s="56"/>
      <c r="BVP10" s="56"/>
      <c r="BVZ10" s="56"/>
      <c r="BWJ10" s="56"/>
      <c r="BWT10" s="56"/>
      <c r="BXD10" s="56"/>
      <c r="BXN10" s="56"/>
      <c r="BXX10" s="56"/>
      <c r="BYH10" s="56"/>
      <c r="BYR10" s="56"/>
      <c r="BZB10" s="56"/>
      <c r="BZL10" s="56"/>
      <c r="BZV10" s="56"/>
      <c r="CAF10" s="56"/>
      <c r="CAP10" s="56"/>
      <c r="CAZ10" s="56"/>
      <c r="CBJ10" s="56"/>
      <c r="CBT10" s="56"/>
      <c r="CCD10" s="56"/>
      <c r="CCN10" s="56"/>
      <c r="CCX10" s="56"/>
      <c r="CDH10" s="56"/>
      <c r="CDR10" s="56"/>
      <c r="CEB10" s="56"/>
      <c r="CEL10" s="56"/>
      <c r="CEV10" s="56"/>
      <c r="CFF10" s="56"/>
      <c r="CFP10" s="56"/>
      <c r="CFZ10" s="56"/>
      <c r="CGJ10" s="56"/>
      <c r="CGT10" s="56"/>
      <c r="CHD10" s="56"/>
      <c r="CHN10" s="56"/>
      <c r="CHX10" s="56"/>
      <c r="CIH10" s="56"/>
      <c r="CIR10" s="56"/>
      <c r="CJB10" s="56"/>
      <c r="CJL10" s="56"/>
      <c r="CJV10" s="56"/>
      <c r="CKF10" s="56"/>
      <c r="CKP10" s="56"/>
      <c r="CKZ10" s="56"/>
      <c r="CLJ10" s="56"/>
      <c r="CLT10" s="56"/>
      <c r="CMD10" s="56"/>
      <c r="CMN10" s="56"/>
      <c r="CMX10" s="56"/>
      <c r="CNH10" s="56"/>
      <c r="CNR10" s="56"/>
      <c r="COB10" s="56"/>
      <c r="COL10" s="56"/>
      <c r="COV10" s="56"/>
      <c r="CPF10" s="56"/>
      <c r="CPP10" s="56"/>
      <c r="CPZ10" s="56"/>
      <c r="CQJ10" s="56"/>
      <c r="CQT10" s="56"/>
      <c r="CRD10" s="56"/>
      <c r="CRN10" s="56"/>
      <c r="CRX10" s="56"/>
      <c r="CSH10" s="56"/>
      <c r="CSR10" s="56"/>
      <c r="CTB10" s="56"/>
      <c r="CTL10" s="56"/>
      <c r="CTV10" s="56"/>
    </row>
    <row r="11" s="42" customFormat="1" customHeight="1" spans="1:1020 1030:2040 2050:2570">
      <c r="A11" s="51"/>
      <c r="B11" s="52"/>
      <c r="C11" s="52"/>
      <c r="D11" s="52"/>
      <c r="E11" s="52"/>
      <c r="F11" s="53"/>
      <c r="G11" s="52"/>
      <c r="H11" s="54"/>
      <c r="I11" s="54"/>
      <c r="J11" s="52"/>
      <c r="K11" s="55"/>
      <c r="T11" s="56"/>
      <c r="AD11" s="56"/>
      <c r="AN11" s="56"/>
      <c r="AX11" s="56"/>
      <c r="BH11" s="56"/>
      <c r="BR11" s="56"/>
      <c r="CB11" s="56"/>
      <c r="CL11" s="56"/>
      <c r="CV11" s="56"/>
      <c r="DF11" s="56"/>
      <c r="DP11" s="56"/>
      <c r="DZ11" s="56"/>
      <c r="EJ11" s="56"/>
      <c r="ET11" s="56"/>
      <c r="FD11" s="56"/>
      <c r="FN11" s="56"/>
      <c r="FX11" s="56"/>
      <c r="GH11" s="56"/>
      <c r="GR11" s="56"/>
      <c r="HB11" s="56"/>
      <c r="HL11" s="56"/>
      <c r="HV11" s="56"/>
      <c r="IF11" s="56"/>
      <c r="IP11" s="56"/>
      <c r="IZ11" s="56"/>
      <c r="JJ11" s="56"/>
      <c r="JT11" s="56"/>
      <c r="KD11" s="56"/>
      <c r="KN11" s="56"/>
      <c r="KX11" s="56"/>
      <c r="LH11" s="56"/>
      <c r="LR11" s="56"/>
      <c r="MB11" s="56"/>
      <c r="ML11" s="56"/>
      <c r="MV11" s="56"/>
      <c r="NF11" s="56"/>
      <c r="NP11" s="56"/>
      <c r="NZ11" s="56"/>
      <c r="OJ11" s="56"/>
      <c r="OT11" s="56"/>
      <c r="PD11" s="56"/>
      <c r="PN11" s="56"/>
      <c r="PX11" s="56"/>
      <c r="QH11" s="56"/>
      <c r="QR11" s="56"/>
      <c r="RB11" s="56"/>
      <c r="RL11" s="56"/>
      <c r="RV11" s="56"/>
      <c r="SF11" s="56"/>
      <c r="SP11" s="56"/>
      <c r="SZ11" s="56"/>
      <c r="TJ11" s="56"/>
      <c r="TT11" s="56"/>
      <c r="UD11" s="56"/>
      <c r="UN11" s="56"/>
      <c r="UX11" s="56"/>
      <c r="VH11" s="56"/>
      <c r="VR11" s="56"/>
      <c r="WB11" s="56"/>
      <c r="WL11" s="56"/>
      <c r="WV11" s="56"/>
      <c r="XF11" s="56"/>
      <c r="XP11" s="56"/>
      <c r="XZ11" s="56"/>
      <c r="YJ11" s="56"/>
      <c r="YT11" s="56"/>
      <c r="ZD11" s="56"/>
      <c r="ZN11" s="56"/>
      <c r="ZX11" s="56"/>
      <c r="AAH11" s="56"/>
      <c r="AAR11" s="56"/>
      <c r="ABB11" s="56"/>
      <c r="ABL11" s="56"/>
      <c r="ABV11" s="56"/>
      <c r="ACF11" s="56"/>
      <c r="ACP11" s="56"/>
      <c r="ACZ11" s="56"/>
      <c r="ADJ11" s="56"/>
      <c r="ADT11" s="56"/>
      <c r="AED11" s="56"/>
      <c r="AEN11" s="56"/>
      <c r="AEX11" s="56"/>
      <c r="AFH11" s="56"/>
      <c r="AFR11" s="56"/>
      <c r="AGB11" s="56"/>
      <c r="AGL11" s="56"/>
      <c r="AGV11" s="56"/>
      <c r="AHF11" s="56"/>
      <c r="AHP11" s="56"/>
      <c r="AHZ11" s="56"/>
      <c r="AIJ11" s="56"/>
      <c r="AIT11" s="56"/>
      <c r="AJD11" s="56"/>
      <c r="AJN11" s="56"/>
      <c r="AJX11" s="56"/>
      <c r="AKH11" s="56"/>
      <c r="AKR11" s="56"/>
      <c r="ALB11" s="56"/>
      <c r="ALL11" s="56"/>
      <c r="ALV11" s="56"/>
      <c r="AMF11" s="56"/>
      <c r="AMP11" s="56"/>
      <c r="AMZ11" s="56"/>
      <c r="ANJ11" s="56"/>
      <c r="ANT11" s="56"/>
      <c r="AOD11" s="56"/>
      <c r="AON11" s="56"/>
      <c r="AOX11" s="56"/>
      <c r="APH11" s="56"/>
      <c r="APR11" s="56"/>
      <c r="AQB11" s="56"/>
      <c r="AQL11" s="56"/>
      <c r="AQV11" s="56"/>
      <c r="ARF11" s="56"/>
      <c r="ARP11" s="56"/>
      <c r="ARZ11" s="56"/>
      <c r="ASJ11" s="56"/>
      <c r="AST11" s="56"/>
      <c r="ATD11" s="56"/>
      <c r="ATN11" s="56"/>
      <c r="ATX11" s="56"/>
      <c r="AUH11" s="56"/>
      <c r="AUR11" s="56"/>
      <c r="AVB11" s="56"/>
      <c r="AVL11" s="56"/>
      <c r="AVV11" s="56"/>
      <c r="AWF11" s="56"/>
      <c r="AWP11" s="56"/>
      <c r="AWZ11" s="56"/>
      <c r="AXJ11" s="56"/>
      <c r="AXT11" s="56"/>
      <c r="AYD11" s="56"/>
      <c r="AYN11" s="56"/>
      <c r="AYX11" s="56"/>
      <c r="AZH11" s="56"/>
      <c r="AZR11" s="56"/>
      <c r="BAB11" s="56"/>
      <c r="BAL11" s="56"/>
      <c r="BAV11" s="56"/>
      <c r="BBF11" s="56"/>
      <c r="BBP11" s="56"/>
      <c r="BBZ11" s="56"/>
      <c r="BCJ11" s="56"/>
      <c r="BCT11" s="56"/>
      <c r="BDD11" s="56"/>
      <c r="BDN11" s="56"/>
      <c r="BDX11" s="56"/>
      <c r="BEH11" s="56"/>
      <c r="BER11" s="56"/>
      <c r="BFB11" s="56"/>
      <c r="BFL11" s="56"/>
      <c r="BFV11" s="56"/>
      <c r="BGF11" s="56"/>
      <c r="BGP11" s="56"/>
      <c r="BGZ11" s="56"/>
      <c r="BHJ11" s="56"/>
      <c r="BHT11" s="56"/>
      <c r="BID11" s="56"/>
      <c r="BIN11" s="56"/>
      <c r="BIX11" s="56"/>
      <c r="BJH11" s="56"/>
      <c r="BJR11" s="56"/>
      <c r="BKB11" s="56"/>
      <c r="BKL11" s="56"/>
      <c r="BKV11" s="56"/>
      <c r="BLF11" s="56"/>
      <c r="BLP11" s="56"/>
      <c r="BLZ11" s="56"/>
      <c r="BMJ11" s="56"/>
      <c r="BMT11" s="56"/>
      <c r="BND11" s="56"/>
      <c r="BNN11" s="56"/>
      <c r="BNX11" s="56"/>
      <c r="BOH11" s="56"/>
      <c r="BOR11" s="56"/>
      <c r="BPB11" s="56"/>
      <c r="BPL11" s="56"/>
      <c r="BPV11" s="56"/>
      <c r="BQF11" s="56"/>
      <c r="BQP11" s="56"/>
      <c r="BQZ11" s="56"/>
      <c r="BRJ11" s="56"/>
      <c r="BRT11" s="56"/>
      <c r="BSD11" s="56"/>
      <c r="BSN11" s="56"/>
      <c r="BSX11" s="56"/>
      <c r="BTH11" s="56"/>
      <c r="BTR11" s="56"/>
      <c r="BUB11" s="56"/>
      <c r="BUL11" s="56"/>
      <c r="BUV11" s="56"/>
      <c r="BVF11" s="56"/>
      <c r="BVP11" s="56"/>
      <c r="BVZ11" s="56"/>
      <c r="BWJ11" s="56"/>
      <c r="BWT11" s="56"/>
      <c r="BXD11" s="56"/>
      <c r="BXN11" s="56"/>
      <c r="BXX11" s="56"/>
      <c r="BYH11" s="56"/>
      <c r="BYR11" s="56"/>
      <c r="BZB11" s="56"/>
      <c r="BZL11" s="56"/>
      <c r="BZV11" s="56"/>
      <c r="CAF11" s="56"/>
      <c r="CAP11" s="56"/>
      <c r="CAZ11" s="56"/>
      <c r="CBJ11" s="56"/>
      <c r="CBT11" s="56"/>
      <c r="CCD11" s="56"/>
      <c r="CCN11" s="56"/>
      <c r="CCX11" s="56"/>
      <c r="CDH11" s="56"/>
      <c r="CDR11" s="56"/>
      <c r="CEB11" s="56"/>
      <c r="CEL11" s="56"/>
      <c r="CEV11" s="56"/>
      <c r="CFF11" s="56"/>
      <c r="CFP11" s="56"/>
      <c r="CFZ11" s="56"/>
      <c r="CGJ11" s="56"/>
      <c r="CGT11" s="56"/>
      <c r="CHD11" s="56"/>
      <c r="CHN11" s="56"/>
      <c r="CHX11" s="56"/>
      <c r="CIH11" s="56"/>
      <c r="CIR11" s="56"/>
      <c r="CJB11" s="56"/>
      <c r="CJL11" s="56"/>
      <c r="CJV11" s="56"/>
      <c r="CKF11" s="56"/>
      <c r="CKP11" s="56"/>
      <c r="CKZ11" s="56"/>
      <c r="CLJ11" s="56"/>
      <c r="CLT11" s="56"/>
      <c r="CMD11" s="56"/>
      <c r="CMN11" s="56"/>
      <c r="CMX11" s="56"/>
      <c r="CNH11" s="56"/>
      <c r="CNR11" s="56"/>
      <c r="COB11" s="56"/>
      <c r="COL11" s="56"/>
      <c r="COV11" s="56"/>
      <c r="CPF11" s="56"/>
      <c r="CPP11" s="56"/>
      <c r="CPZ11" s="56"/>
      <c r="CQJ11" s="56"/>
      <c r="CQT11" s="56"/>
      <c r="CRD11" s="56"/>
      <c r="CRN11" s="56"/>
      <c r="CRX11" s="56"/>
      <c r="CSH11" s="56"/>
      <c r="CSR11" s="56"/>
      <c r="CTB11" s="56"/>
      <c r="CTL11" s="56"/>
      <c r="CTV11" s="56"/>
    </row>
    <row r="12" s="42" customFormat="1" customHeight="1" spans="1:1020 1030:2040 2050:2570">
      <c r="A12" s="51"/>
      <c r="B12" s="52"/>
      <c r="C12" s="52"/>
      <c r="D12" s="52"/>
      <c r="E12" s="52"/>
      <c r="F12" s="53"/>
      <c r="G12" s="52"/>
      <c r="H12" s="54"/>
      <c r="I12" s="54"/>
      <c r="J12" s="52"/>
      <c r="K12" s="55"/>
      <c r="T12" s="56"/>
      <c r="AD12" s="56"/>
      <c r="AN12" s="56"/>
      <c r="AX12" s="56"/>
      <c r="BH12" s="56"/>
      <c r="BR12" s="56"/>
      <c r="CB12" s="56"/>
      <c r="CL12" s="56"/>
      <c r="CV12" s="56"/>
      <c r="DF12" s="56"/>
      <c r="DP12" s="56"/>
      <c r="DZ12" s="56"/>
      <c r="EJ12" s="56"/>
      <c r="ET12" s="56"/>
      <c r="FD12" s="56"/>
      <c r="FN12" s="56"/>
      <c r="FX12" s="56"/>
      <c r="GH12" s="56"/>
      <c r="GR12" s="56"/>
      <c r="HB12" s="56"/>
      <c r="HL12" s="56"/>
      <c r="HV12" s="56"/>
      <c r="IF12" s="56"/>
      <c r="IP12" s="56"/>
      <c r="IZ12" s="56"/>
      <c r="JJ12" s="56"/>
      <c r="JT12" s="56"/>
      <c r="KD12" s="56"/>
      <c r="KN12" s="56"/>
      <c r="KX12" s="56"/>
      <c r="LH12" s="56"/>
      <c r="LR12" s="56"/>
      <c r="MB12" s="56"/>
      <c r="ML12" s="56"/>
      <c r="MV12" s="56"/>
      <c r="NF12" s="56"/>
      <c r="NP12" s="56"/>
      <c r="NZ12" s="56"/>
      <c r="OJ12" s="56"/>
      <c r="OT12" s="56"/>
      <c r="PD12" s="56"/>
      <c r="PN12" s="56"/>
      <c r="PX12" s="56"/>
      <c r="QH12" s="56"/>
      <c r="QR12" s="56"/>
      <c r="RB12" s="56"/>
      <c r="RL12" s="56"/>
      <c r="RV12" s="56"/>
      <c r="SF12" s="56"/>
      <c r="SP12" s="56"/>
      <c r="SZ12" s="56"/>
      <c r="TJ12" s="56"/>
      <c r="TT12" s="56"/>
      <c r="UD12" s="56"/>
      <c r="UN12" s="56"/>
      <c r="UX12" s="56"/>
      <c r="VH12" s="56"/>
      <c r="VR12" s="56"/>
      <c r="WB12" s="56"/>
      <c r="WL12" s="56"/>
      <c r="WV12" s="56"/>
      <c r="XF12" s="56"/>
      <c r="XP12" s="56"/>
      <c r="XZ12" s="56"/>
      <c r="YJ12" s="56"/>
      <c r="YT12" s="56"/>
      <c r="ZD12" s="56"/>
      <c r="ZN12" s="56"/>
      <c r="ZX12" s="56"/>
      <c r="AAH12" s="56"/>
      <c r="AAR12" s="56"/>
      <c r="ABB12" s="56"/>
      <c r="ABL12" s="56"/>
      <c r="ABV12" s="56"/>
      <c r="ACF12" s="56"/>
      <c r="ACP12" s="56"/>
      <c r="ACZ12" s="56"/>
      <c r="ADJ12" s="56"/>
      <c r="ADT12" s="56"/>
      <c r="AED12" s="56"/>
      <c r="AEN12" s="56"/>
      <c r="AEX12" s="56"/>
      <c r="AFH12" s="56"/>
      <c r="AFR12" s="56"/>
      <c r="AGB12" s="56"/>
      <c r="AGL12" s="56"/>
      <c r="AGV12" s="56"/>
      <c r="AHF12" s="56"/>
      <c r="AHP12" s="56"/>
      <c r="AHZ12" s="56"/>
      <c r="AIJ12" s="56"/>
      <c r="AIT12" s="56"/>
      <c r="AJD12" s="56"/>
      <c r="AJN12" s="56"/>
      <c r="AJX12" s="56"/>
      <c r="AKH12" s="56"/>
      <c r="AKR12" s="56"/>
      <c r="ALB12" s="56"/>
      <c r="ALL12" s="56"/>
      <c r="ALV12" s="56"/>
      <c r="AMF12" s="56"/>
      <c r="AMP12" s="56"/>
      <c r="AMZ12" s="56"/>
      <c r="ANJ12" s="56"/>
      <c r="ANT12" s="56"/>
      <c r="AOD12" s="56"/>
      <c r="AON12" s="56"/>
      <c r="AOX12" s="56"/>
      <c r="APH12" s="56"/>
      <c r="APR12" s="56"/>
      <c r="AQB12" s="56"/>
      <c r="AQL12" s="56"/>
      <c r="AQV12" s="56"/>
      <c r="ARF12" s="56"/>
      <c r="ARP12" s="56"/>
      <c r="ARZ12" s="56"/>
      <c r="ASJ12" s="56"/>
      <c r="AST12" s="56"/>
      <c r="ATD12" s="56"/>
      <c r="ATN12" s="56"/>
      <c r="ATX12" s="56"/>
      <c r="AUH12" s="56"/>
      <c r="AUR12" s="56"/>
      <c r="AVB12" s="56"/>
      <c r="AVL12" s="56"/>
      <c r="AVV12" s="56"/>
      <c r="AWF12" s="56"/>
      <c r="AWP12" s="56"/>
      <c r="AWZ12" s="56"/>
      <c r="AXJ12" s="56"/>
      <c r="AXT12" s="56"/>
      <c r="AYD12" s="56"/>
      <c r="AYN12" s="56"/>
      <c r="AYX12" s="56"/>
      <c r="AZH12" s="56"/>
      <c r="AZR12" s="56"/>
      <c r="BAB12" s="56"/>
      <c r="BAL12" s="56"/>
      <c r="BAV12" s="56"/>
      <c r="BBF12" s="56"/>
      <c r="BBP12" s="56"/>
      <c r="BBZ12" s="56"/>
      <c r="BCJ12" s="56"/>
      <c r="BCT12" s="56"/>
      <c r="BDD12" s="56"/>
      <c r="BDN12" s="56"/>
      <c r="BDX12" s="56"/>
      <c r="BEH12" s="56"/>
      <c r="BER12" s="56"/>
      <c r="BFB12" s="56"/>
      <c r="BFL12" s="56"/>
      <c r="BFV12" s="56"/>
      <c r="BGF12" s="56"/>
      <c r="BGP12" s="56"/>
      <c r="BGZ12" s="56"/>
      <c r="BHJ12" s="56"/>
      <c r="BHT12" s="56"/>
      <c r="BID12" s="56"/>
      <c r="BIN12" s="56"/>
      <c r="BIX12" s="56"/>
      <c r="BJH12" s="56"/>
      <c r="BJR12" s="56"/>
      <c r="BKB12" s="56"/>
      <c r="BKL12" s="56"/>
      <c r="BKV12" s="56"/>
      <c r="BLF12" s="56"/>
      <c r="BLP12" s="56"/>
      <c r="BLZ12" s="56"/>
      <c r="BMJ12" s="56"/>
      <c r="BMT12" s="56"/>
      <c r="BND12" s="56"/>
      <c r="BNN12" s="56"/>
      <c r="BNX12" s="56"/>
      <c r="BOH12" s="56"/>
      <c r="BOR12" s="56"/>
      <c r="BPB12" s="56"/>
      <c r="BPL12" s="56"/>
      <c r="BPV12" s="56"/>
      <c r="BQF12" s="56"/>
      <c r="BQP12" s="56"/>
      <c r="BQZ12" s="56"/>
      <c r="BRJ12" s="56"/>
      <c r="BRT12" s="56"/>
      <c r="BSD12" s="56"/>
      <c r="BSN12" s="56"/>
      <c r="BSX12" s="56"/>
      <c r="BTH12" s="56"/>
      <c r="BTR12" s="56"/>
      <c r="BUB12" s="56"/>
      <c r="BUL12" s="56"/>
      <c r="BUV12" s="56"/>
      <c r="BVF12" s="56"/>
      <c r="BVP12" s="56"/>
      <c r="BVZ12" s="56"/>
      <c r="BWJ12" s="56"/>
      <c r="BWT12" s="56"/>
      <c r="BXD12" s="56"/>
      <c r="BXN12" s="56"/>
      <c r="BXX12" s="56"/>
      <c r="BYH12" s="56"/>
      <c r="BYR12" s="56"/>
      <c r="BZB12" s="56"/>
      <c r="BZL12" s="56"/>
      <c r="BZV12" s="56"/>
      <c r="CAF12" s="56"/>
      <c r="CAP12" s="56"/>
      <c r="CAZ12" s="56"/>
      <c r="CBJ12" s="56"/>
      <c r="CBT12" s="56"/>
      <c r="CCD12" s="56"/>
      <c r="CCN12" s="56"/>
      <c r="CCX12" s="56"/>
      <c r="CDH12" s="56"/>
      <c r="CDR12" s="56"/>
      <c r="CEB12" s="56"/>
      <c r="CEL12" s="56"/>
      <c r="CEV12" s="56"/>
      <c r="CFF12" s="56"/>
      <c r="CFP12" s="56"/>
      <c r="CFZ12" s="56"/>
      <c r="CGJ12" s="56"/>
      <c r="CGT12" s="56"/>
      <c r="CHD12" s="56"/>
      <c r="CHN12" s="56"/>
      <c r="CHX12" s="56"/>
      <c r="CIH12" s="56"/>
      <c r="CIR12" s="56"/>
      <c r="CJB12" s="56"/>
      <c r="CJL12" s="56"/>
      <c r="CJV12" s="56"/>
      <c r="CKF12" s="56"/>
      <c r="CKP12" s="56"/>
      <c r="CKZ12" s="56"/>
      <c r="CLJ12" s="56"/>
      <c r="CLT12" s="56"/>
      <c r="CMD12" s="56"/>
      <c r="CMN12" s="56"/>
      <c r="CMX12" s="56"/>
      <c r="CNH12" s="56"/>
      <c r="CNR12" s="56"/>
      <c r="COB12" s="56"/>
      <c r="COL12" s="56"/>
      <c r="COV12" s="56"/>
      <c r="CPF12" s="56"/>
      <c r="CPP12" s="56"/>
      <c r="CPZ12" s="56"/>
      <c r="CQJ12" s="56"/>
      <c r="CQT12" s="56"/>
      <c r="CRD12" s="56"/>
      <c r="CRN12" s="56"/>
      <c r="CRX12" s="56"/>
      <c r="CSH12" s="56"/>
      <c r="CSR12" s="56"/>
      <c r="CTB12" s="56"/>
      <c r="CTL12" s="56"/>
      <c r="CTV12" s="56"/>
    </row>
    <row r="13" s="42" customFormat="1" customHeight="1" spans="1:1020 1030:2040 2050:2570">
      <c r="A13" s="51"/>
      <c r="B13" s="52"/>
      <c r="C13" s="52"/>
      <c r="D13" s="52"/>
      <c r="E13" s="52"/>
      <c r="F13" s="53"/>
      <c r="G13" s="52"/>
      <c r="H13" s="54"/>
      <c r="I13" s="54"/>
      <c r="J13" s="52"/>
      <c r="K13" s="55"/>
      <c r="T13" s="56"/>
      <c r="AD13" s="56"/>
      <c r="AN13" s="56"/>
      <c r="AX13" s="56"/>
      <c r="BH13" s="56"/>
      <c r="BR13" s="56"/>
      <c r="CB13" s="56"/>
      <c r="CL13" s="56"/>
      <c r="CV13" s="56"/>
      <c r="DF13" s="56"/>
      <c r="DP13" s="56"/>
      <c r="DZ13" s="56"/>
      <c r="EJ13" s="56"/>
      <c r="ET13" s="56"/>
      <c r="FD13" s="56"/>
      <c r="FN13" s="56"/>
      <c r="FX13" s="56"/>
      <c r="GH13" s="56"/>
      <c r="GR13" s="56"/>
      <c r="HB13" s="56"/>
      <c r="HL13" s="56"/>
      <c r="HV13" s="56"/>
      <c r="IF13" s="56"/>
      <c r="IP13" s="56"/>
      <c r="IZ13" s="56"/>
      <c r="JJ13" s="56"/>
      <c r="JT13" s="56"/>
      <c r="KD13" s="56"/>
      <c r="KN13" s="56"/>
      <c r="KX13" s="56"/>
      <c r="LH13" s="56"/>
      <c r="LR13" s="56"/>
      <c r="MB13" s="56"/>
      <c r="ML13" s="56"/>
      <c r="MV13" s="56"/>
      <c r="NF13" s="56"/>
      <c r="NP13" s="56"/>
      <c r="NZ13" s="56"/>
      <c r="OJ13" s="56"/>
      <c r="OT13" s="56"/>
      <c r="PD13" s="56"/>
      <c r="PN13" s="56"/>
      <c r="PX13" s="56"/>
      <c r="QH13" s="56"/>
      <c r="QR13" s="56"/>
      <c r="RB13" s="56"/>
      <c r="RL13" s="56"/>
      <c r="RV13" s="56"/>
      <c r="SF13" s="56"/>
      <c r="SP13" s="56"/>
      <c r="SZ13" s="56"/>
      <c r="TJ13" s="56"/>
      <c r="TT13" s="56"/>
      <c r="UD13" s="56"/>
      <c r="UN13" s="56"/>
      <c r="UX13" s="56"/>
      <c r="VH13" s="56"/>
      <c r="VR13" s="56"/>
      <c r="WB13" s="56"/>
      <c r="WL13" s="56"/>
      <c r="WV13" s="56"/>
      <c r="XF13" s="56"/>
      <c r="XP13" s="56"/>
      <c r="XZ13" s="56"/>
      <c r="YJ13" s="56"/>
      <c r="YT13" s="56"/>
      <c r="ZD13" s="56"/>
      <c r="ZN13" s="56"/>
      <c r="ZX13" s="56"/>
      <c r="AAH13" s="56"/>
      <c r="AAR13" s="56"/>
      <c r="ABB13" s="56"/>
      <c r="ABL13" s="56"/>
      <c r="ABV13" s="56"/>
      <c r="ACF13" s="56"/>
      <c r="ACP13" s="56"/>
      <c r="ACZ13" s="56"/>
      <c r="ADJ13" s="56"/>
      <c r="ADT13" s="56"/>
      <c r="AED13" s="56"/>
      <c r="AEN13" s="56"/>
      <c r="AEX13" s="56"/>
      <c r="AFH13" s="56"/>
      <c r="AFR13" s="56"/>
      <c r="AGB13" s="56"/>
      <c r="AGL13" s="56"/>
      <c r="AGV13" s="56"/>
      <c r="AHF13" s="56"/>
      <c r="AHP13" s="56"/>
      <c r="AHZ13" s="56"/>
      <c r="AIJ13" s="56"/>
      <c r="AIT13" s="56"/>
      <c r="AJD13" s="56"/>
      <c r="AJN13" s="56"/>
      <c r="AJX13" s="56"/>
      <c r="AKH13" s="56"/>
      <c r="AKR13" s="56"/>
      <c r="ALB13" s="56"/>
      <c r="ALL13" s="56"/>
      <c r="ALV13" s="56"/>
      <c r="AMF13" s="56"/>
      <c r="AMP13" s="56"/>
      <c r="AMZ13" s="56"/>
      <c r="ANJ13" s="56"/>
      <c r="ANT13" s="56"/>
      <c r="AOD13" s="56"/>
      <c r="AON13" s="56"/>
      <c r="AOX13" s="56"/>
      <c r="APH13" s="56"/>
      <c r="APR13" s="56"/>
      <c r="AQB13" s="56"/>
      <c r="AQL13" s="56"/>
      <c r="AQV13" s="56"/>
      <c r="ARF13" s="56"/>
      <c r="ARP13" s="56"/>
      <c r="ARZ13" s="56"/>
      <c r="ASJ13" s="56"/>
      <c r="AST13" s="56"/>
      <c r="ATD13" s="56"/>
      <c r="ATN13" s="56"/>
      <c r="ATX13" s="56"/>
      <c r="AUH13" s="56"/>
      <c r="AUR13" s="56"/>
      <c r="AVB13" s="56"/>
      <c r="AVL13" s="56"/>
      <c r="AVV13" s="56"/>
      <c r="AWF13" s="56"/>
      <c r="AWP13" s="56"/>
      <c r="AWZ13" s="56"/>
      <c r="AXJ13" s="56"/>
      <c r="AXT13" s="56"/>
      <c r="AYD13" s="56"/>
      <c r="AYN13" s="56"/>
      <c r="AYX13" s="56"/>
      <c r="AZH13" s="56"/>
      <c r="AZR13" s="56"/>
      <c r="BAB13" s="56"/>
      <c r="BAL13" s="56"/>
      <c r="BAV13" s="56"/>
      <c r="BBF13" s="56"/>
      <c r="BBP13" s="56"/>
      <c r="BBZ13" s="56"/>
      <c r="BCJ13" s="56"/>
      <c r="BCT13" s="56"/>
      <c r="BDD13" s="56"/>
      <c r="BDN13" s="56"/>
      <c r="BDX13" s="56"/>
      <c r="BEH13" s="56"/>
      <c r="BER13" s="56"/>
      <c r="BFB13" s="56"/>
      <c r="BFL13" s="56"/>
      <c r="BFV13" s="56"/>
      <c r="BGF13" s="56"/>
      <c r="BGP13" s="56"/>
      <c r="BGZ13" s="56"/>
      <c r="BHJ13" s="56"/>
      <c r="BHT13" s="56"/>
      <c r="BID13" s="56"/>
      <c r="BIN13" s="56"/>
      <c r="BIX13" s="56"/>
      <c r="BJH13" s="56"/>
      <c r="BJR13" s="56"/>
      <c r="BKB13" s="56"/>
      <c r="BKL13" s="56"/>
      <c r="BKV13" s="56"/>
      <c r="BLF13" s="56"/>
      <c r="BLP13" s="56"/>
      <c r="BLZ13" s="56"/>
      <c r="BMJ13" s="56"/>
      <c r="BMT13" s="56"/>
      <c r="BND13" s="56"/>
      <c r="BNN13" s="56"/>
      <c r="BNX13" s="56"/>
      <c r="BOH13" s="56"/>
      <c r="BOR13" s="56"/>
      <c r="BPB13" s="56"/>
      <c r="BPL13" s="56"/>
      <c r="BPV13" s="56"/>
      <c r="BQF13" s="56"/>
      <c r="BQP13" s="56"/>
      <c r="BQZ13" s="56"/>
      <c r="BRJ13" s="56"/>
      <c r="BRT13" s="56"/>
      <c r="BSD13" s="56"/>
      <c r="BSN13" s="56"/>
      <c r="BSX13" s="56"/>
      <c r="BTH13" s="56"/>
      <c r="BTR13" s="56"/>
      <c r="BUB13" s="56"/>
      <c r="BUL13" s="56"/>
      <c r="BUV13" s="56"/>
      <c r="BVF13" s="56"/>
      <c r="BVP13" s="56"/>
      <c r="BVZ13" s="56"/>
      <c r="BWJ13" s="56"/>
      <c r="BWT13" s="56"/>
      <c r="BXD13" s="56"/>
      <c r="BXN13" s="56"/>
      <c r="BXX13" s="56"/>
      <c r="BYH13" s="56"/>
      <c r="BYR13" s="56"/>
      <c r="BZB13" s="56"/>
      <c r="BZL13" s="56"/>
      <c r="BZV13" s="56"/>
      <c r="CAF13" s="56"/>
      <c r="CAP13" s="56"/>
      <c r="CAZ13" s="56"/>
      <c r="CBJ13" s="56"/>
      <c r="CBT13" s="56"/>
      <c r="CCD13" s="56"/>
      <c r="CCN13" s="56"/>
      <c r="CCX13" s="56"/>
      <c r="CDH13" s="56"/>
      <c r="CDR13" s="56"/>
      <c r="CEB13" s="56"/>
      <c r="CEL13" s="56"/>
      <c r="CEV13" s="56"/>
      <c r="CFF13" s="56"/>
      <c r="CFP13" s="56"/>
      <c r="CFZ13" s="56"/>
      <c r="CGJ13" s="56"/>
      <c r="CGT13" s="56"/>
      <c r="CHD13" s="56"/>
      <c r="CHN13" s="56"/>
      <c r="CHX13" s="56"/>
      <c r="CIH13" s="56"/>
      <c r="CIR13" s="56"/>
      <c r="CJB13" s="56"/>
      <c r="CJL13" s="56"/>
      <c r="CJV13" s="56"/>
      <c r="CKF13" s="56"/>
      <c r="CKP13" s="56"/>
      <c r="CKZ13" s="56"/>
      <c r="CLJ13" s="56"/>
      <c r="CLT13" s="56"/>
      <c r="CMD13" s="56"/>
      <c r="CMN13" s="56"/>
      <c r="CMX13" s="56"/>
      <c r="CNH13" s="56"/>
      <c r="CNR13" s="56"/>
      <c r="COB13" s="56"/>
      <c r="COL13" s="56"/>
      <c r="COV13" s="56"/>
      <c r="CPF13" s="56"/>
      <c r="CPP13" s="56"/>
      <c r="CPZ13" s="56"/>
      <c r="CQJ13" s="56"/>
      <c r="CQT13" s="56"/>
      <c r="CRD13" s="56"/>
      <c r="CRN13" s="56"/>
      <c r="CRX13" s="56"/>
      <c r="CSH13" s="56"/>
      <c r="CSR13" s="56"/>
      <c r="CTB13" s="56"/>
      <c r="CTL13" s="56"/>
      <c r="CTV13" s="56"/>
    </row>
    <row r="14" s="42" customFormat="1" customHeight="1" spans="1:1020 1030:2040 2050:2570">
      <c r="A14" s="51"/>
      <c r="B14" s="52"/>
      <c r="C14" s="52"/>
      <c r="D14" s="52"/>
      <c r="E14" s="52"/>
      <c r="F14" s="53"/>
      <c r="G14" s="52"/>
      <c r="H14" s="54"/>
      <c r="I14" s="54"/>
      <c r="J14" s="52"/>
      <c r="K14" s="55"/>
      <c r="T14" s="56"/>
      <c r="AD14" s="56"/>
      <c r="AN14" s="56"/>
      <c r="AX14" s="56"/>
      <c r="BH14" s="56"/>
      <c r="BR14" s="56"/>
      <c r="CB14" s="56"/>
      <c r="CL14" s="56"/>
      <c r="CV14" s="56"/>
      <c r="DF14" s="56"/>
      <c r="DP14" s="56"/>
      <c r="DZ14" s="56"/>
      <c r="EJ14" s="56"/>
      <c r="ET14" s="56"/>
      <c r="FD14" s="56"/>
      <c r="FN14" s="56"/>
      <c r="FX14" s="56"/>
      <c r="GH14" s="56"/>
      <c r="GR14" s="56"/>
      <c r="HB14" s="56"/>
      <c r="HL14" s="56"/>
      <c r="HV14" s="56"/>
      <c r="IF14" s="56"/>
      <c r="IP14" s="56"/>
      <c r="IZ14" s="56"/>
      <c r="JJ14" s="56"/>
      <c r="JT14" s="56"/>
      <c r="KD14" s="56"/>
      <c r="KN14" s="56"/>
      <c r="KX14" s="56"/>
      <c r="LH14" s="56"/>
      <c r="LR14" s="56"/>
      <c r="MB14" s="56"/>
      <c r="ML14" s="56"/>
      <c r="MV14" s="56"/>
      <c r="NF14" s="56"/>
      <c r="NP14" s="56"/>
      <c r="NZ14" s="56"/>
      <c r="OJ14" s="56"/>
      <c r="OT14" s="56"/>
      <c r="PD14" s="56"/>
      <c r="PN14" s="56"/>
      <c r="PX14" s="56"/>
      <c r="QH14" s="56"/>
      <c r="QR14" s="56"/>
      <c r="RB14" s="56"/>
      <c r="RL14" s="56"/>
      <c r="RV14" s="56"/>
      <c r="SF14" s="56"/>
      <c r="SP14" s="56"/>
      <c r="SZ14" s="56"/>
      <c r="TJ14" s="56"/>
      <c r="TT14" s="56"/>
      <c r="UD14" s="56"/>
      <c r="UN14" s="56"/>
      <c r="UX14" s="56"/>
      <c r="VH14" s="56"/>
      <c r="VR14" s="56"/>
      <c r="WB14" s="56"/>
      <c r="WL14" s="56"/>
      <c r="WV14" s="56"/>
      <c r="XF14" s="56"/>
      <c r="XP14" s="56"/>
      <c r="XZ14" s="56"/>
      <c r="YJ14" s="56"/>
      <c r="YT14" s="56"/>
      <c r="ZD14" s="56"/>
      <c r="ZN14" s="56"/>
      <c r="ZX14" s="56"/>
      <c r="AAH14" s="56"/>
      <c r="AAR14" s="56"/>
      <c r="ABB14" s="56"/>
      <c r="ABL14" s="56"/>
      <c r="ABV14" s="56"/>
      <c r="ACF14" s="56"/>
      <c r="ACP14" s="56"/>
      <c r="ACZ14" s="56"/>
      <c r="ADJ14" s="56"/>
      <c r="ADT14" s="56"/>
      <c r="AED14" s="56"/>
      <c r="AEN14" s="56"/>
      <c r="AEX14" s="56"/>
      <c r="AFH14" s="56"/>
      <c r="AFR14" s="56"/>
      <c r="AGB14" s="56"/>
      <c r="AGL14" s="56"/>
      <c r="AGV14" s="56"/>
      <c r="AHF14" s="56"/>
      <c r="AHP14" s="56"/>
      <c r="AHZ14" s="56"/>
      <c r="AIJ14" s="56"/>
      <c r="AIT14" s="56"/>
      <c r="AJD14" s="56"/>
      <c r="AJN14" s="56"/>
      <c r="AJX14" s="56"/>
      <c r="AKH14" s="56"/>
      <c r="AKR14" s="56"/>
      <c r="ALB14" s="56"/>
      <c r="ALL14" s="56"/>
      <c r="ALV14" s="56"/>
      <c r="AMF14" s="56"/>
      <c r="AMP14" s="56"/>
      <c r="AMZ14" s="56"/>
      <c r="ANJ14" s="56"/>
      <c r="ANT14" s="56"/>
      <c r="AOD14" s="56"/>
      <c r="AON14" s="56"/>
      <c r="AOX14" s="56"/>
      <c r="APH14" s="56"/>
      <c r="APR14" s="56"/>
      <c r="AQB14" s="56"/>
      <c r="AQL14" s="56"/>
      <c r="AQV14" s="56"/>
      <c r="ARF14" s="56"/>
      <c r="ARP14" s="56"/>
      <c r="ARZ14" s="56"/>
      <c r="ASJ14" s="56"/>
      <c r="AST14" s="56"/>
      <c r="ATD14" s="56"/>
      <c r="ATN14" s="56"/>
      <c r="ATX14" s="56"/>
      <c r="AUH14" s="56"/>
      <c r="AUR14" s="56"/>
      <c r="AVB14" s="56"/>
      <c r="AVL14" s="56"/>
      <c r="AVV14" s="56"/>
      <c r="AWF14" s="56"/>
      <c r="AWP14" s="56"/>
      <c r="AWZ14" s="56"/>
      <c r="AXJ14" s="56"/>
      <c r="AXT14" s="56"/>
      <c r="AYD14" s="56"/>
      <c r="AYN14" s="56"/>
      <c r="AYX14" s="56"/>
      <c r="AZH14" s="56"/>
      <c r="AZR14" s="56"/>
      <c r="BAB14" s="56"/>
      <c r="BAL14" s="56"/>
      <c r="BAV14" s="56"/>
      <c r="BBF14" s="56"/>
      <c r="BBP14" s="56"/>
      <c r="BBZ14" s="56"/>
      <c r="BCJ14" s="56"/>
      <c r="BCT14" s="56"/>
      <c r="BDD14" s="56"/>
      <c r="BDN14" s="56"/>
      <c r="BDX14" s="56"/>
      <c r="BEH14" s="56"/>
      <c r="BER14" s="56"/>
      <c r="BFB14" s="56"/>
      <c r="BFL14" s="56"/>
      <c r="BFV14" s="56"/>
      <c r="BGF14" s="56"/>
      <c r="BGP14" s="56"/>
      <c r="BGZ14" s="56"/>
      <c r="BHJ14" s="56"/>
      <c r="BHT14" s="56"/>
      <c r="BID14" s="56"/>
      <c r="BIN14" s="56"/>
      <c r="BIX14" s="56"/>
      <c r="BJH14" s="56"/>
      <c r="BJR14" s="56"/>
      <c r="BKB14" s="56"/>
      <c r="BKL14" s="56"/>
      <c r="BKV14" s="56"/>
      <c r="BLF14" s="56"/>
      <c r="BLP14" s="56"/>
      <c r="BLZ14" s="56"/>
      <c r="BMJ14" s="56"/>
      <c r="BMT14" s="56"/>
      <c r="BND14" s="56"/>
      <c r="BNN14" s="56"/>
      <c r="BNX14" s="56"/>
      <c r="BOH14" s="56"/>
      <c r="BOR14" s="56"/>
      <c r="BPB14" s="56"/>
      <c r="BPL14" s="56"/>
      <c r="BPV14" s="56"/>
      <c r="BQF14" s="56"/>
      <c r="BQP14" s="56"/>
      <c r="BQZ14" s="56"/>
      <c r="BRJ14" s="56"/>
      <c r="BRT14" s="56"/>
      <c r="BSD14" s="56"/>
      <c r="BSN14" s="56"/>
      <c r="BSX14" s="56"/>
      <c r="BTH14" s="56"/>
      <c r="BTR14" s="56"/>
      <c r="BUB14" s="56"/>
      <c r="BUL14" s="56"/>
      <c r="BUV14" s="56"/>
      <c r="BVF14" s="56"/>
      <c r="BVP14" s="56"/>
      <c r="BVZ14" s="56"/>
      <c r="BWJ14" s="56"/>
      <c r="BWT14" s="56"/>
      <c r="BXD14" s="56"/>
      <c r="BXN14" s="56"/>
      <c r="BXX14" s="56"/>
      <c r="BYH14" s="56"/>
      <c r="BYR14" s="56"/>
      <c r="BZB14" s="56"/>
      <c r="BZL14" s="56"/>
      <c r="BZV14" s="56"/>
      <c r="CAF14" s="56"/>
      <c r="CAP14" s="56"/>
      <c r="CAZ14" s="56"/>
      <c r="CBJ14" s="56"/>
      <c r="CBT14" s="56"/>
      <c r="CCD14" s="56"/>
      <c r="CCN14" s="56"/>
      <c r="CCX14" s="56"/>
      <c r="CDH14" s="56"/>
      <c r="CDR14" s="56"/>
      <c r="CEB14" s="56"/>
      <c r="CEL14" s="56"/>
      <c r="CEV14" s="56"/>
      <c r="CFF14" s="56"/>
      <c r="CFP14" s="56"/>
      <c r="CFZ14" s="56"/>
      <c r="CGJ14" s="56"/>
      <c r="CGT14" s="56"/>
      <c r="CHD14" s="56"/>
      <c r="CHN14" s="56"/>
      <c r="CHX14" s="56"/>
      <c r="CIH14" s="56"/>
      <c r="CIR14" s="56"/>
      <c r="CJB14" s="56"/>
      <c r="CJL14" s="56"/>
      <c r="CJV14" s="56"/>
      <c r="CKF14" s="56"/>
      <c r="CKP14" s="56"/>
      <c r="CKZ14" s="56"/>
      <c r="CLJ14" s="56"/>
      <c r="CLT14" s="56"/>
      <c r="CMD14" s="56"/>
      <c r="CMN14" s="56"/>
      <c r="CMX14" s="56"/>
      <c r="CNH14" s="56"/>
      <c r="CNR14" s="56"/>
      <c r="COB14" s="56"/>
      <c r="COL14" s="56"/>
      <c r="COV14" s="56"/>
      <c r="CPF14" s="56"/>
      <c r="CPP14" s="56"/>
      <c r="CPZ14" s="56"/>
      <c r="CQJ14" s="56"/>
      <c r="CQT14" s="56"/>
      <c r="CRD14" s="56"/>
      <c r="CRN14" s="56"/>
      <c r="CRX14" s="56"/>
      <c r="CSH14" s="56"/>
      <c r="CSR14" s="56"/>
      <c r="CTB14" s="56"/>
      <c r="CTL14" s="56"/>
      <c r="CTV14" s="56"/>
    </row>
    <row r="15" s="42" customFormat="1" customHeight="1" spans="1:1020 1030:2040 2050:2570">
      <c r="A15" s="51"/>
      <c r="B15" s="52"/>
      <c r="C15" s="52"/>
      <c r="D15" s="52"/>
      <c r="E15" s="52"/>
      <c r="F15" s="53" t="str">
        <f>IFERROR(VLOOKUP(E15,日报!E:G,2,0),"")</f>
        <v/>
      </c>
      <c r="G15" s="52"/>
      <c r="H15" s="54" t="str">
        <f>IFERROR(VLOOKUP(E15,日报!E:H,4,0),"")</f>
        <v/>
      </c>
      <c r="I15" s="54" t="str">
        <f>IFERROR(VLOOKUP(E15,日报!E:G,3,0),"")</f>
        <v/>
      </c>
      <c r="J15" s="52"/>
      <c r="K15" s="55" t="str">
        <f>IFERROR(G15/I15,"")</f>
        <v/>
      </c>
      <c r="T15" s="56"/>
      <c r="AD15" s="56"/>
      <c r="AN15" s="56"/>
      <c r="AX15" s="56"/>
      <c r="BH15" s="56"/>
      <c r="BR15" s="56"/>
      <c r="CB15" s="56"/>
      <c r="CL15" s="56"/>
      <c r="CV15" s="56"/>
      <c r="DF15" s="56"/>
      <c r="DP15" s="56"/>
      <c r="DZ15" s="56"/>
      <c r="EJ15" s="56"/>
      <c r="ET15" s="56"/>
      <c r="FD15" s="56"/>
      <c r="FN15" s="56"/>
      <c r="FX15" s="56"/>
      <c r="GH15" s="56"/>
      <c r="GR15" s="56"/>
      <c r="HB15" s="56"/>
      <c r="HL15" s="56"/>
      <c r="HV15" s="56"/>
      <c r="IF15" s="56"/>
      <c r="IP15" s="56"/>
      <c r="IZ15" s="56"/>
      <c r="JJ15" s="56"/>
      <c r="JT15" s="56"/>
      <c r="KD15" s="56"/>
      <c r="KN15" s="56"/>
      <c r="KX15" s="56"/>
      <c r="LH15" s="56"/>
      <c r="LR15" s="56"/>
      <c r="MB15" s="56"/>
      <c r="ML15" s="56"/>
      <c r="MV15" s="56"/>
      <c r="NF15" s="56"/>
      <c r="NP15" s="56"/>
      <c r="NZ15" s="56"/>
      <c r="OJ15" s="56"/>
      <c r="OT15" s="56"/>
      <c r="PD15" s="56"/>
      <c r="PN15" s="56"/>
      <c r="PX15" s="56"/>
      <c r="QH15" s="56"/>
      <c r="QR15" s="56"/>
      <c r="RB15" s="56"/>
      <c r="RL15" s="56"/>
      <c r="RV15" s="56"/>
      <c r="SF15" s="56"/>
      <c r="SP15" s="56"/>
      <c r="SZ15" s="56"/>
      <c r="TJ15" s="56"/>
      <c r="TT15" s="56"/>
      <c r="UD15" s="56"/>
      <c r="UN15" s="56"/>
      <c r="UX15" s="56"/>
      <c r="VH15" s="56"/>
      <c r="VR15" s="56"/>
      <c r="WB15" s="56"/>
      <c r="WL15" s="56"/>
      <c r="WV15" s="56"/>
      <c r="XF15" s="56"/>
      <c r="XP15" s="56"/>
      <c r="XZ15" s="56"/>
      <c r="YJ15" s="56"/>
      <c r="YT15" s="56"/>
      <c r="ZD15" s="56"/>
      <c r="ZN15" s="56"/>
      <c r="ZX15" s="56"/>
      <c r="AAH15" s="56"/>
      <c r="AAR15" s="56"/>
      <c r="ABB15" s="56"/>
      <c r="ABL15" s="56"/>
      <c r="ABV15" s="56"/>
      <c r="ACF15" s="56"/>
      <c r="ACP15" s="56"/>
      <c r="ACZ15" s="56"/>
      <c r="ADJ15" s="56"/>
      <c r="ADT15" s="56"/>
      <c r="AED15" s="56"/>
      <c r="AEN15" s="56"/>
      <c r="AEX15" s="56"/>
      <c r="AFH15" s="56"/>
      <c r="AFR15" s="56"/>
      <c r="AGB15" s="56"/>
      <c r="AGL15" s="56"/>
      <c r="AGV15" s="56"/>
      <c r="AHF15" s="56"/>
      <c r="AHP15" s="56"/>
      <c r="AHZ15" s="56"/>
      <c r="AIJ15" s="56"/>
      <c r="AIT15" s="56"/>
      <c r="AJD15" s="56"/>
      <c r="AJN15" s="56"/>
      <c r="AJX15" s="56"/>
      <c r="AKH15" s="56"/>
      <c r="AKR15" s="56"/>
      <c r="ALB15" s="56"/>
      <c r="ALL15" s="56"/>
      <c r="ALV15" s="56"/>
      <c r="AMF15" s="56"/>
      <c r="AMP15" s="56"/>
      <c r="AMZ15" s="56"/>
      <c r="ANJ15" s="56"/>
      <c r="ANT15" s="56"/>
      <c r="AOD15" s="56"/>
      <c r="AON15" s="56"/>
      <c r="AOX15" s="56"/>
      <c r="APH15" s="56"/>
      <c r="APR15" s="56"/>
      <c r="AQB15" s="56"/>
      <c r="AQL15" s="56"/>
      <c r="AQV15" s="56"/>
      <c r="ARF15" s="56"/>
      <c r="ARP15" s="56"/>
      <c r="ARZ15" s="56"/>
      <c r="ASJ15" s="56"/>
      <c r="AST15" s="56"/>
      <c r="ATD15" s="56"/>
      <c r="ATN15" s="56"/>
      <c r="ATX15" s="56"/>
      <c r="AUH15" s="56"/>
      <c r="AUR15" s="56"/>
      <c r="AVB15" s="56"/>
      <c r="AVL15" s="56"/>
      <c r="AVV15" s="56"/>
      <c r="AWF15" s="56"/>
      <c r="AWP15" s="56"/>
      <c r="AWZ15" s="56"/>
      <c r="AXJ15" s="56"/>
      <c r="AXT15" s="56"/>
      <c r="AYD15" s="56"/>
      <c r="AYN15" s="56"/>
      <c r="AYX15" s="56"/>
      <c r="AZH15" s="56"/>
      <c r="AZR15" s="56"/>
      <c r="BAB15" s="56"/>
      <c r="BAL15" s="56"/>
      <c r="BAV15" s="56"/>
      <c r="BBF15" s="56"/>
      <c r="BBP15" s="56"/>
      <c r="BBZ15" s="56"/>
      <c r="BCJ15" s="56"/>
      <c r="BCT15" s="56"/>
      <c r="BDD15" s="56"/>
      <c r="BDN15" s="56"/>
      <c r="BDX15" s="56"/>
      <c r="BEH15" s="56"/>
      <c r="BER15" s="56"/>
      <c r="BFB15" s="56"/>
      <c r="BFL15" s="56"/>
      <c r="BFV15" s="56"/>
      <c r="BGF15" s="56"/>
      <c r="BGP15" s="56"/>
      <c r="BGZ15" s="56"/>
      <c r="BHJ15" s="56"/>
      <c r="BHT15" s="56"/>
      <c r="BID15" s="56"/>
      <c r="BIN15" s="56"/>
      <c r="BIX15" s="56"/>
      <c r="BJH15" s="56"/>
      <c r="BJR15" s="56"/>
      <c r="BKB15" s="56"/>
      <c r="BKL15" s="56"/>
      <c r="BKV15" s="56"/>
      <c r="BLF15" s="56"/>
      <c r="BLP15" s="56"/>
      <c r="BLZ15" s="56"/>
      <c r="BMJ15" s="56"/>
      <c r="BMT15" s="56"/>
      <c r="BND15" s="56"/>
      <c r="BNN15" s="56"/>
      <c r="BNX15" s="56"/>
      <c r="BOH15" s="56"/>
      <c r="BOR15" s="56"/>
      <c r="BPB15" s="56"/>
      <c r="BPL15" s="56"/>
      <c r="BPV15" s="56"/>
      <c r="BQF15" s="56"/>
      <c r="BQP15" s="56"/>
      <c r="BQZ15" s="56"/>
      <c r="BRJ15" s="56"/>
      <c r="BRT15" s="56"/>
      <c r="BSD15" s="56"/>
      <c r="BSN15" s="56"/>
      <c r="BSX15" s="56"/>
      <c r="BTH15" s="56"/>
      <c r="BTR15" s="56"/>
      <c r="BUB15" s="56"/>
      <c r="BUL15" s="56"/>
      <c r="BUV15" s="56"/>
      <c r="BVF15" s="56"/>
      <c r="BVP15" s="56"/>
      <c r="BVZ15" s="56"/>
      <c r="BWJ15" s="56"/>
      <c r="BWT15" s="56"/>
      <c r="BXD15" s="56"/>
      <c r="BXN15" s="56"/>
      <c r="BXX15" s="56"/>
      <c r="BYH15" s="56"/>
      <c r="BYR15" s="56"/>
      <c r="BZB15" s="56"/>
      <c r="BZL15" s="56"/>
      <c r="BZV15" s="56"/>
      <c r="CAF15" s="56"/>
      <c r="CAP15" s="56"/>
      <c r="CAZ15" s="56"/>
      <c r="CBJ15" s="56"/>
      <c r="CBT15" s="56"/>
      <c r="CCD15" s="56"/>
      <c r="CCN15" s="56"/>
      <c r="CCX15" s="56"/>
      <c r="CDH15" s="56"/>
      <c r="CDR15" s="56"/>
      <c r="CEB15" s="56"/>
      <c r="CEL15" s="56"/>
      <c r="CEV15" s="56"/>
      <c r="CFF15" s="56"/>
      <c r="CFP15" s="56"/>
      <c r="CFZ15" s="56"/>
      <c r="CGJ15" s="56"/>
      <c r="CGT15" s="56"/>
      <c r="CHD15" s="56"/>
      <c r="CHN15" s="56"/>
      <c r="CHX15" s="56"/>
      <c r="CIH15" s="56"/>
      <c r="CIR15" s="56"/>
      <c r="CJB15" s="56"/>
      <c r="CJL15" s="56"/>
      <c r="CJV15" s="56"/>
      <c r="CKF15" s="56"/>
      <c r="CKP15" s="56"/>
      <c r="CKZ15" s="56"/>
      <c r="CLJ15" s="56"/>
      <c r="CLT15" s="56"/>
      <c r="CMD15" s="56"/>
      <c r="CMN15" s="56"/>
      <c r="CMX15" s="56"/>
      <c r="CNH15" s="56"/>
      <c r="CNR15" s="56"/>
      <c r="COB15" s="56"/>
      <c r="COL15" s="56"/>
      <c r="COV15" s="56"/>
      <c r="CPF15" s="56"/>
      <c r="CPP15" s="56"/>
      <c r="CPZ15" s="56"/>
      <c r="CQJ15" s="56"/>
      <c r="CQT15" s="56"/>
      <c r="CRD15" s="56"/>
      <c r="CRN15" s="56"/>
      <c r="CRX15" s="56"/>
      <c r="CSH15" s="56"/>
      <c r="CSR15" s="56"/>
      <c r="CTB15" s="56"/>
      <c r="CTL15" s="56"/>
      <c r="CTV15" s="56"/>
    </row>
    <row r="16" s="42" customFormat="1" customHeight="1" spans="1:1020 1030:2040 2050:2570">
      <c r="A16" s="51"/>
      <c r="B16" s="52"/>
      <c r="C16" s="52"/>
      <c r="D16" s="52"/>
      <c r="E16" s="52"/>
      <c r="F16" s="53" t="str">
        <f>IFERROR(VLOOKUP(E16,日报!E:G,2,0),"")</f>
        <v/>
      </c>
      <c r="G16" s="52"/>
      <c r="H16" s="54" t="str">
        <f>IFERROR(VLOOKUP(E16,日报!E:H,4,0),"")</f>
        <v/>
      </c>
      <c r="I16" s="54" t="str">
        <f>IFERROR(VLOOKUP(E16,日报!E:G,3,0),"")</f>
        <v/>
      </c>
      <c r="J16" s="52"/>
      <c r="K16" s="55" t="str">
        <f>IFERROR(G16/I16,"")</f>
        <v/>
      </c>
      <c r="T16" s="56"/>
      <c r="AD16" s="56"/>
      <c r="AN16" s="56"/>
      <c r="AX16" s="56"/>
      <c r="BH16" s="56"/>
      <c r="BR16" s="56"/>
      <c r="CB16" s="56"/>
      <c r="CL16" s="56"/>
      <c r="CV16" s="56"/>
      <c r="DF16" s="56"/>
      <c r="DP16" s="56"/>
      <c r="DZ16" s="56"/>
      <c r="EJ16" s="56"/>
      <c r="ET16" s="56"/>
      <c r="FD16" s="56"/>
      <c r="FN16" s="56"/>
      <c r="FX16" s="56"/>
      <c r="GH16" s="56"/>
      <c r="GR16" s="56"/>
      <c r="HB16" s="56"/>
      <c r="HL16" s="56"/>
      <c r="HV16" s="56"/>
      <c r="IF16" s="56"/>
      <c r="IP16" s="56"/>
      <c r="IZ16" s="56"/>
      <c r="JJ16" s="56"/>
      <c r="JT16" s="56"/>
      <c r="KD16" s="56"/>
      <c r="KN16" s="56"/>
      <c r="KX16" s="56"/>
      <c r="LH16" s="56"/>
      <c r="LR16" s="56"/>
      <c r="MB16" s="56"/>
      <c r="ML16" s="56"/>
      <c r="MV16" s="56"/>
      <c r="NF16" s="56"/>
      <c r="NP16" s="56"/>
      <c r="NZ16" s="56"/>
      <c r="OJ16" s="56"/>
      <c r="OT16" s="56"/>
      <c r="PD16" s="56"/>
      <c r="PN16" s="56"/>
      <c r="PX16" s="56"/>
      <c r="QH16" s="56"/>
      <c r="QR16" s="56"/>
      <c r="RB16" s="56"/>
      <c r="RL16" s="56"/>
      <c r="RV16" s="56"/>
      <c r="SF16" s="56"/>
      <c r="SP16" s="56"/>
      <c r="SZ16" s="56"/>
      <c r="TJ16" s="56"/>
      <c r="TT16" s="56"/>
      <c r="UD16" s="56"/>
      <c r="UN16" s="56"/>
      <c r="UX16" s="56"/>
      <c r="VH16" s="56"/>
      <c r="VR16" s="56"/>
      <c r="WB16" s="56"/>
      <c r="WL16" s="56"/>
      <c r="WV16" s="56"/>
      <c r="XF16" s="56"/>
      <c r="XP16" s="56"/>
      <c r="XZ16" s="56"/>
      <c r="YJ16" s="56"/>
      <c r="YT16" s="56"/>
      <c r="ZD16" s="56"/>
      <c r="ZN16" s="56"/>
      <c r="ZX16" s="56"/>
      <c r="AAH16" s="56"/>
      <c r="AAR16" s="56"/>
      <c r="ABB16" s="56"/>
      <c r="ABL16" s="56"/>
      <c r="ABV16" s="56"/>
      <c r="ACF16" s="56"/>
      <c r="ACP16" s="56"/>
      <c r="ACZ16" s="56"/>
      <c r="ADJ16" s="56"/>
      <c r="ADT16" s="56"/>
      <c r="AED16" s="56"/>
      <c r="AEN16" s="56"/>
      <c r="AEX16" s="56"/>
      <c r="AFH16" s="56"/>
      <c r="AFR16" s="56"/>
      <c r="AGB16" s="56"/>
      <c r="AGL16" s="56"/>
      <c r="AGV16" s="56"/>
      <c r="AHF16" s="56"/>
      <c r="AHP16" s="56"/>
      <c r="AHZ16" s="56"/>
      <c r="AIJ16" s="56"/>
      <c r="AIT16" s="56"/>
      <c r="AJD16" s="56"/>
      <c r="AJN16" s="56"/>
      <c r="AJX16" s="56"/>
      <c r="AKH16" s="56"/>
      <c r="AKR16" s="56"/>
      <c r="ALB16" s="56"/>
      <c r="ALL16" s="56"/>
      <c r="ALV16" s="56"/>
      <c r="AMF16" s="56"/>
      <c r="AMP16" s="56"/>
      <c r="AMZ16" s="56"/>
      <c r="ANJ16" s="56"/>
      <c r="ANT16" s="56"/>
      <c r="AOD16" s="56"/>
      <c r="AON16" s="56"/>
      <c r="AOX16" s="56"/>
      <c r="APH16" s="56"/>
      <c r="APR16" s="56"/>
      <c r="AQB16" s="56"/>
      <c r="AQL16" s="56"/>
      <c r="AQV16" s="56"/>
      <c r="ARF16" s="56"/>
      <c r="ARP16" s="56"/>
      <c r="ARZ16" s="56"/>
      <c r="ASJ16" s="56"/>
      <c r="AST16" s="56"/>
      <c r="ATD16" s="56"/>
      <c r="ATN16" s="56"/>
      <c r="ATX16" s="56"/>
      <c r="AUH16" s="56"/>
      <c r="AUR16" s="56"/>
      <c r="AVB16" s="56"/>
      <c r="AVL16" s="56"/>
      <c r="AVV16" s="56"/>
      <c r="AWF16" s="56"/>
      <c r="AWP16" s="56"/>
      <c r="AWZ16" s="56"/>
      <c r="AXJ16" s="56"/>
      <c r="AXT16" s="56"/>
      <c r="AYD16" s="56"/>
      <c r="AYN16" s="56"/>
      <c r="AYX16" s="56"/>
      <c r="AZH16" s="56"/>
      <c r="AZR16" s="56"/>
      <c r="BAB16" s="56"/>
      <c r="BAL16" s="56"/>
      <c r="BAV16" s="56"/>
      <c r="BBF16" s="56"/>
      <c r="BBP16" s="56"/>
      <c r="BBZ16" s="56"/>
      <c r="BCJ16" s="56"/>
      <c r="BCT16" s="56"/>
      <c r="BDD16" s="56"/>
      <c r="BDN16" s="56"/>
      <c r="BDX16" s="56"/>
      <c r="BEH16" s="56"/>
      <c r="BER16" s="56"/>
      <c r="BFB16" s="56"/>
      <c r="BFL16" s="56"/>
      <c r="BFV16" s="56"/>
      <c r="BGF16" s="56"/>
      <c r="BGP16" s="56"/>
      <c r="BGZ16" s="56"/>
      <c r="BHJ16" s="56"/>
      <c r="BHT16" s="56"/>
      <c r="BID16" s="56"/>
      <c r="BIN16" s="56"/>
      <c r="BIX16" s="56"/>
      <c r="BJH16" s="56"/>
      <c r="BJR16" s="56"/>
      <c r="BKB16" s="56"/>
      <c r="BKL16" s="56"/>
      <c r="BKV16" s="56"/>
      <c r="BLF16" s="56"/>
      <c r="BLP16" s="56"/>
      <c r="BLZ16" s="56"/>
      <c r="BMJ16" s="56"/>
      <c r="BMT16" s="56"/>
      <c r="BND16" s="56"/>
      <c r="BNN16" s="56"/>
      <c r="BNX16" s="56"/>
      <c r="BOH16" s="56"/>
      <c r="BOR16" s="56"/>
      <c r="BPB16" s="56"/>
      <c r="BPL16" s="56"/>
      <c r="BPV16" s="56"/>
      <c r="BQF16" s="56"/>
      <c r="BQP16" s="56"/>
      <c r="BQZ16" s="56"/>
      <c r="BRJ16" s="56"/>
      <c r="BRT16" s="56"/>
      <c r="BSD16" s="56"/>
      <c r="BSN16" s="56"/>
      <c r="BSX16" s="56"/>
      <c r="BTH16" s="56"/>
      <c r="BTR16" s="56"/>
      <c r="BUB16" s="56"/>
      <c r="BUL16" s="56"/>
      <c r="BUV16" s="56"/>
      <c r="BVF16" s="56"/>
      <c r="BVP16" s="56"/>
      <c r="BVZ16" s="56"/>
      <c r="BWJ16" s="56"/>
      <c r="BWT16" s="56"/>
      <c r="BXD16" s="56"/>
      <c r="BXN16" s="56"/>
      <c r="BXX16" s="56"/>
      <c r="BYH16" s="56"/>
      <c r="BYR16" s="56"/>
      <c r="BZB16" s="56"/>
      <c r="BZL16" s="56"/>
      <c r="BZV16" s="56"/>
      <c r="CAF16" s="56"/>
      <c r="CAP16" s="56"/>
      <c r="CAZ16" s="56"/>
      <c r="CBJ16" s="56"/>
      <c r="CBT16" s="56"/>
      <c r="CCD16" s="56"/>
      <c r="CCN16" s="56"/>
      <c r="CCX16" s="56"/>
      <c r="CDH16" s="56"/>
      <c r="CDR16" s="56"/>
      <c r="CEB16" s="56"/>
      <c r="CEL16" s="56"/>
      <c r="CEV16" s="56"/>
      <c r="CFF16" s="56"/>
      <c r="CFP16" s="56"/>
      <c r="CFZ16" s="56"/>
      <c r="CGJ16" s="56"/>
      <c r="CGT16" s="56"/>
      <c r="CHD16" s="56"/>
      <c r="CHN16" s="56"/>
      <c r="CHX16" s="56"/>
      <c r="CIH16" s="56"/>
      <c r="CIR16" s="56"/>
      <c r="CJB16" s="56"/>
      <c r="CJL16" s="56"/>
      <c r="CJV16" s="56"/>
      <c r="CKF16" s="56"/>
      <c r="CKP16" s="56"/>
      <c r="CKZ16" s="56"/>
      <c r="CLJ16" s="56"/>
      <c r="CLT16" s="56"/>
      <c r="CMD16" s="56"/>
      <c r="CMN16" s="56"/>
      <c r="CMX16" s="56"/>
      <c r="CNH16" s="56"/>
      <c r="CNR16" s="56"/>
      <c r="COB16" s="56"/>
      <c r="COL16" s="56"/>
      <c r="COV16" s="56"/>
      <c r="CPF16" s="56"/>
      <c r="CPP16" s="56"/>
      <c r="CPZ16" s="56"/>
      <c r="CQJ16" s="56"/>
      <c r="CQT16" s="56"/>
      <c r="CRD16" s="56"/>
      <c r="CRN16" s="56"/>
      <c r="CRX16" s="56"/>
      <c r="CSH16" s="56"/>
      <c r="CSR16" s="56"/>
      <c r="CTB16" s="56"/>
      <c r="CTL16" s="56"/>
      <c r="CTV16" s="56"/>
    </row>
    <row r="17" s="42" customFormat="1" customHeight="1" spans="1:1020 1030:2040 2050:2570">
      <c r="A17" s="51"/>
      <c r="B17" s="52"/>
      <c r="C17" s="52"/>
      <c r="D17" s="52"/>
      <c r="E17" s="52"/>
      <c r="F17" s="53" t="str">
        <f>IFERROR(VLOOKUP(E17,日报!E:G,2,0),"")</f>
        <v/>
      </c>
      <c r="G17" s="52"/>
      <c r="H17" s="54" t="str">
        <f>IFERROR(VLOOKUP(E17,日报!E:H,4,0),"")</f>
        <v/>
      </c>
      <c r="I17" s="54" t="str">
        <f>IFERROR(VLOOKUP(E17,日报!E:G,3,0),"")</f>
        <v/>
      </c>
      <c r="J17" s="52"/>
      <c r="K17" s="55" t="str">
        <f>IFERROR(G17/I17,"")</f>
        <v/>
      </c>
      <c r="T17" s="56"/>
      <c r="AD17" s="56"/>
      <c r="AN17" s="56"/>
      <c r="AX17" s="56"/>
      <c r="BH17" s="56"/>
      <c r="BR17" s="56"/>
      <c r="CB17" s="56"/>
      <c r="CL17" s="56"/>
      <c r="CV17" s="56"/>
      <c r="DF17" s="56"/>
      <c r="DP17" s="56"/>
      <c r="DZ17" s="56"/>
      <c r="EJ17" s="56"/>
      <c r="ET17" s="56"/>
      <c r="FD17" s="56"/>
      <c r="FN17" s="56"/>
      <c r="FX17" s="56"/>
      <c r="GH17" s="56"/>
      <c r="GR17" s="56"/>
      <c r="HB17" s="56"/>
      <c r="HL17" s="56"/>
      <c r="HV17" s="56"/>
      <c r="IF17" s="56"/>
      <c r="IP17" s="56"/>
      <c r="IZ17" s="56"/>
      <c r="JJ17" s="56"/>
      <c r="JT17" s="56"/>
      <c r="KD17" s="56"/>
      <c r="KN17" s="56"/>
      <c r="KX17" s="56"/>
      <c r="LH17" s="56"/>
      <c r="LR17" s="56"/>
      <c r="MB17" s="56"/>
      <c r="ML17" s="56"/>
      <c r="MV17" s="56"/>
      <c r="NF17" s="56"/>
      <c r="NP17" s="56"/>
      <c r="NZ17" s="56"/>
      <c r="OJ17" s="56"/>
      <c r="OT17" s="56"/>
      <c r="PD17" s="56"/>
      <c r="PN17" s="56"/>
      <c r="PX17" s="56"/>
      <c r="QH17" s="56"/>
      <c r="QR17" s="56"/>
      <c r="RB17" s="56"/>
      <c r="RL17" s="56"/>
      <c r="RV17" s="56"/>
      <c r="SF17" s="56"/>
      <c r="SP17" s="56"/>
      <c r="SZ17" s="56"/>
      <c r="TJ17" s="56"/>
      <c r="TT17" s="56"/>
      <c r="UD17" s="56"/>
      <c r="UN17" s="56"/>
      <c r="UX17" s="56"/>
      <c r="VH17" s="56"/>
      <c r="VR17" s="56"/>
      <c r="WB17" s="56"/>
      <c r="WL17" s="56"/>
      <c r="WV17" s="56"/>
      <c r="XF17" s="56"/>
      <c r="XP17" s="56"/>
      <c r="XZ17" s="56"/>
      <c r="YJ17" s="56"/>
      <c r="YT17" s="56"/>
      <c r="ZD17" s="56"/>
      <c r="ZN17" s="56"/>
      <c r="ZX17" s="56"/>
      <c r="AAH17" s="56"/>
      <c r="AAR17" s="56"/>
      <c r="ABB17" s="56"/>
      <c r="ABL17" s="56"/>
      <c r="ABV17" s="56"/>
      <c r="ACF17" s="56"/>
      <c r="ACP17" s="56"/>
      <c r="ACZ17" s="56"/>
      <c r="ADJ17" s="56"/>
      <c r="ADT17" s="56"/>
      <c r="AED17" s="56"/>
      <c r="AEN17" s="56"/>
      <c r="AEX17" s="56"/>
      <c r="AFH17" s="56"/>
      <c r="AFR17" s="56"/>
      <c r="AGB17" s="56"/>
      <c r="AGL17" s="56"/>
      <c r="AGV17" s="56"/>
      <c r="AHF17" s="56"/>
      <c r="AHP17" s="56"/>
      <c r="AHZ17" s="56"/>
      <c r="AIJ17" s="56"/>
      <c r="AIT17" s="56"/>
      <c r="AJD17" s="56"/>
      <c r="AJN17" s="56"/>
      <c r="AJX17" s="56"/>
      <c r="AKH17" s="56"/>
      <c r="AKR17" s="56"/>
      <c r="ALB17" s="56"/>
      <c r="ALL17" s="56"/>
      <c r="ALV17" s="56"/>
      <c r="AMF17" s="56"/>
      <c r="AMP17" s="56"/>
      <c r="AMZ17" s="56"/>
      <c r="ANJ17" s="56"/>
      <c r="ANT17" s="56"/>
      <c r="AOD17" s="56"/>
      <c r="AON17" s="56"/>
      <c r="AOX17" s="56"/>
      <c r="APH17" s="56"/>
      <c r="APR17" s="56"/>
      <c r="AQB17" s="56"/>
      <c r="AQL17" s="56"/>
      <c r="AQV17" s="56"/>
      <c r="ARF17" s="56"/>
      <c r="ARP17" s="56"/>
      <c r="ARZ17" s="56"/>
      <c r="ASJ17" s="56"/>
      <c r="AST17" s="56"/>
      <c r="ATD17" s="56"/>
      <c r="ATN17" s="56"/>
      <c r="ATX17" s="56"/>
      <c r="AUH17" s="56"/>
      <c r="AUR17" s="56"/>
      <c r="AVB17" s="56"/>
      <c r="AVL17" s="56"/>
      <c r="AVV17" s="56"/>
      <c r="AWF17" s="56"/>
      <c r="AWP17" s="56"/>
      <c r="AWZ17" s="56"/>
      <c r="AXJ17" s="56"/>
      <c r="AXT17" s="56"/>
      <c r="AYD17" s="56"/>
      <c r="AYN17" s="56"/>
      <c r="AYX17" s="56"/>
      <c r="AZH17" s="56"/>
      <c r="AZR17" s="56"/>
      <c r="BAB17" s="56"/>
      <c r="BAL17" s="56"/>
      <c r="BAV17" s="56"/>
      <c r="BBF17" s="56"/>
      <c r="BBP17" s="56"/>
      <c r="BBZ17" s="56"/>
      <c r="BCJ17" s="56"/>
      <c r="BCT17" s="56"/>
      <c r="BDD17" s="56"/>
      <c r="BDN17" s="56"/>
      <c r="BDX17" s="56"/>
      <c r="BEH17" s="56"/>
      <c r="BER17" s="56"/>
      <c r="BFB17" s="56"/>
      <c r="BFL17" s="56"/>
      <c r="BFV17" s="56"/>
      <c r="BGF17" s="56"/>
      <c r="BGP17" s="56"/>
      <c r="BGZ17" s="56"/>
      <c r="BHJ17" s="56"/>
      <c r="BHT17" s="56"/>
      <c r="BID17" s="56"/>
      <c r="BIN17" s="56"/>
      <c r="BIX17" s="56"/>
      <c r="BJH17" s="56"/>
      <c r="BJR17" s="56"/>
      <c r="BKB17" s="56"/>
      <c r="BKL17" s="56"/>
      <c r="BKV17" s="56"/>
      <c r="BLF17" s="56"/>
      <c r="BLP17" s="56"/>
      <c r="BLZ17" s="56"/>
      <c r="BMJ17" s="56"/>
      <c r="BMT17" s="56"/>
      <c r="BND17" s="56"/>
      <c r="BNN17" s="56"/>
      <c r="BNX17" s="56"/>
      <c r="BOH17" s="56"/>
      <c r="BOR17" s="56"/>
      <c r="BPB17" s="56"/>
      <c r="BPL17" s="56"/>
      <c r="BPV17" s="56"/>
      <c r="BQF17" s="56"/>
      <c r="BQP17" s="56"/>
      <c r="BQZ17" s="56"/>
      <c r="BRJ17" s="56"/>
      <c r="BRT17" s="56"/>
      <c r="BSD17" s="56"/>
      <c r="BSN17" s="56"/>
      <c r="BSX17" s="56"/>
      <c r="BTH17" s="56"/>
      <c r="BTR17" s="56"/>
      <c r="BUB17" s="56"/>
      <c r="BUL17" s="56"/>
      <c r="BUV17" s="56"/>
      <c r="BVF17" s="56"/>
      <c r="BVP17" s="56"/>
      <c r="BVZ17" s="56"/>
      <c r="BWJ17" s="56"/>
      <c r="BWT17" s="56"/>
      <c r="BXD17" s="56"/>
      <c r="BXN17" s="56"/>
      <c r="BXX17" s="56"/>
      <c r="BYH17" s="56"/>
      <c r="BYR17" s="56"/>
      <c r="BZB17" s="56"/>
      <c r="BZL17" s="56"/>
      <c r="BZV17" s="56"/>
      <c r="CAF17" s="56"/>
      <c r="CAP17" s="56"/>
      <c r="CAZ17" s="56"/>
      <c r="CBJ17" s="56"/>
      <c r="CBT17" s="56"/>
      <c r="CCD17" s="56"/>
      <c r="CCN17" s="56"/>
      <c r="CCX17" s="56"/>
      <c r="CDH17" s="56"/>
      <c r="CDR17" s="56"/>
      <c r="CEB17" s="56"/>
      <c r="CEL17" s="56"/>
      <c r="CEV17" s="56"/>
      <c r="CFF17" s="56"/>
      <c r="CFP17" s="56"/>
      <c r="CFZ17" s="56"/>
      <c r="CGJ17" s="56"/>
      <c r="CGT17" s="56"/>
      <c r="CHD17" s="56"/>
      <c r="CHN17" s="56"/>
      <c r="CHX17" s="56"/>
      <c r="CIH17" s="56"/>
      <c r="CIR17" s="56"/>
      <c r="CJB17" s="56"/>
      <c r="CJL17" s="56"/>
      <c r="CJV17" s="56"/>
      <c r="CKF17" s="56"/>
      <c r="CKP17" s="56"/>
      <c r="CKZ17" s="56"/>
      <c r="CLJ17" s="56"/>
      <c r="CLT17" s="56"/>
      <c r="CMD17" s="56"/>
      <c r="CMN17" s="56"/>
      <c r="CMX17" s="56"/>
      <c r="CNH17" s="56"/>
      <c r="CNR17" s="56"/>
      <c r="COB17" s="56"/>
      <c r="COL17" s="56"/>
      <c r="COV17" s="56"/>
      <c r="CPF17" s="56"/>
      <c r="CPP17" s="56"/>
      <c r="CPZ17" s="56"/>
      <c r="CQJ17" s="56"/>
      <c r="CQT17" s="56"/>
      <c r="CRD17" s="56"/>
      <c r="CRN17" s="56"/>
      <c r="CRX17" s="56"/>
      <c r="CSH17" s="56"/>
      <c r="CSR17" s="56"/>
      <c r="CTB17" s="56"/>
      <c r="CTL17" s="56"/>
      <c r="CTV17" s="56"/>
    </row>
    <row r="18" s="42" customFormat="1" customHeight="1" spans="1:1020 1030:2040 2050:2570">
      <c r="A18" s="51"/>
      <c r="B18" s="52"/>
      <c r="C18" s="52"/>
      <c r="D18" s="52"/>
      <c r="E18" s="52"/>
      <c r="F18" s="53" t="str">
        <f>IFERROR(VLOOKUP(E18,日报!E:G,2,0),"")</f>
        <v/>
      </c>
      <c r="G18" s="52"/>
      <c r="H18" s="54" t="str">
        <f>IFERROR(VLOOKUP(E18,日报!E:H,4,0),"")</f>
        <v/>
      </c>
      <c r="I18" s="54" t="str">
        <f>IFERROR(VLOOKUP(E18,日报!E:G,3,0),"")</f>
        <v/>
      </c>
      <c r="J18" s="52"/>
      <c r="K18" s="55" t="str">
        <f>IFERROR(G18/I18,"")</f>
        <v/>
      </c>
      <c r="T18" s="56"/>
      <c r="AD18" s="56"/>
      <c r="AN18" s="56"/>
      <c r="AX18" s="56"/>
      <c r="BH18" s="56"/>
      <c r="BR18" s="56"/>
      <c r="CB18" s="56"/>
      <c r="CL18" s="56"/>
      <c r="CV18" s="56"/>
      <c r="DF18" s="56"/>
      <c r="DP18" s="56"/>
      <c r="DZ18" s="56"/>
      <c r="EJ18" s="56"/>
      <c r="ET18" s="56"/>
      <c r="FD18" s="56"/>
      <c r="FN18" s="56"/>
      <c r="FX18" s="56"/>
      <c r="GH18" s="56"/>
      <c r="GR18" s="56"/>
      <c r="HB18" s="56"/>
      <c r="HL18" s="56"/>
      <c r="HV18" s="56"/>
      <c r="IF18" s="56"/>
      <c r="IP18" s="56"/>
      <c r="IZ18" s="56"/>
      <c r="JJ18" s="56"/>
      <c r="JT18" s="56"/>
      <c r="KD18" s="56"/>
      <c r="KN18" s="56"/>
      <c r="KX18" s="56"/>
      <c r="LH18" s="56"/>
      <c r="LR18" s="56"/>
      <c r="MB18" s="56"/>
      <c r="ML18" s="56"/>
      <c r="MV18" s="56"/>
      <c r="NF18" s="56"/>
      <c r="NP18" s="56"/>
      <c r="NZ18" s="56"/>
      <c r="OJ18" s="56"/>
      <c r="OT18" s="56"/>
      <c r="PD18" s="56"/>
      <c r="PN18" s="56"/>
      <c r="PX18" s="56"/>
      <c r="QH18" s="56"/>
      <c r="QR18" s="56"/>
      <c r="RB18" s="56"/>
      <c r="RL18" s="56"/>
      <c r="RV18" s="56"/>
      <c r="SF18" s="56"/>
      <c r="SP18" s="56"/>
      <c r="SZ18" s="56"/>
      <c r="TJ18" s="56"/>
      <c r="TT18" s="56"/>
      <c r="UD18" s="56"/>
      <c r="UN18" s="56"/>
      <c r="UX18" s="56"/>
      <c r="VH18" s="56"/>
      <c r="VR18" s="56"/>
      <c r="WB18" s="56"/>
      <c r="WL18" s="56"/>
      <c r="WV18" s="56"/>
      <c r="XF18" s="56"/>
      <c r="XP18" s="56"/>
      <c r="XZ18" s="56"/>
      <c r="YJ18" s="56"/>
      <c r="YT18" s="56"/>
      <c r="ZD18" s="56"/>
      <c r="ZN18" s="56"/>
      <c r="ZX18" s="56"/>
      <c r="AAH18" s="56"/>
      <c r="AAR18" s="56"/>
      <c r="ABB18" s="56"/>
      <c r="ABL18" s="56"/>
      <c r="ABV18" s="56"/>
      <c r="ACF18" s="56"/>
      <c r="ACP18" s="56"/>
      <c r="ACZ18" s="56"/>
      <c r="ADJ18" s="56"/>
      <c r="ADT18" s="56"/>
      <c r="AED18" s="56"/>
      <c r="AEN18" s="56"/>
      <c r="AEX18" s="56"/>
      <c r="AFH18" s="56"/>
      <c r="AFR18" s="56"/>
      <c r="AGB18" s="56"/>
      <c r="AGL18" s="56"/>
      <c r="AGV18" s="56"/>
      <c r="AHF18" s="56"/>
      <c r="AHP18" s="56"/>
      <c r="AHZ18" s="56"/>
      <c r="AIJ18" s="56"/>
      <c r="AIT18" s="56"/>
      <c r="AJD18" s="56"/>
      <c r="AJN18" s="56"/>
      <c r="AJX18" s="56"/>
      <c r="AKH18" s="56"/>
      <c r="AKR18" s="56"/>
      <c r="ALB18" s="56"/>
      <c r="ALL18" s="56"/>
      <c r="ALV18" s="56"/>
      <c r="AMF18" s="56"/>
      <c r="AMP18" s="56"/>
      <c r="AMZ18" s="56"/>
      <c r="ANJ18" s="56"/>
      <c r="ANT18" s="56"/>
      <c r="AOD18" s="56"/>
      <c r="AON18" s="56"/>
      <c r="AOX18" s="56"/>
      <c r="APH18" s="56"/>
      <c r="APR18" s="56"/>
      <c r="AQB18" s="56"/>
      <c r="AQL18" s="56"/>
      <c r="AQV18" s="56"/>
      <c r="ARF18" s="56"/>
      <c r="ARP18" s="56"/>
      <c r="ARZ18" s="56"/>
      <c r="ASJ18" s="56"/>
      <c r="AST18" s="56"/>
      <c r="ATD18" s="56"/>
      <c r="ATN18" s="56"/>
      <c r="ATX18" s="56"/>
      <c r="AUH18" s="56"/>
      <c r="AUR18" s="56"/>
      <c r="AVB18" s="56"/>
      <c r="AVL18" s="56"/>
      <c r="AVV18" s="56"/>
      <c r="AWF18" s="56"/>
      <c r="AWP18" s="56"/>
      <c r="AWZ18" s="56"/>
      <c r="AXJ18" s="56"/>
      <c r="AXT18" s="56"/>
      <c r="AYD18" s="56"/>
      <c r="AYN18" s="56"/>
      <c r="AYX18" s="56"/>
      <c r="AZH18" s="56"/>
      <c r="AZR18" s="56"/>
      <c r="BAB18" s="56"/>
      <c r="BAL18" s="56"/>
      <c r="BAV18" s="56"/>
      <c r="BBF18" s="56"/>
      <c r="BBP18" s="56"/>
      <c r="BBZ18" s="56"/>
      <c r="BCJ18" s="56"/>
      <c r="BCT18" s="56"/>
      <c r="BDD18" s="56"/>
      <c r="BDN18" s="56"/>
      <c r="BDX18" s="56"/>
      <c r="BEH18" s="56"/>
      <c r="BER18" s="56"/>
      <c r="BFB18" s="56"/>
      <c r="BFL18" s="56"/>
      <c r="BFV18" s="56"/>
      <c r="BGF18" s="56"/>
      <c r="BGP18" s="56"/>
      <c r="BGZ18" s="56"/>
      <c r="BHJ18" s="56"/>
      <c r="BHT18" s="56"/>
      <c r="BID18" s="56"/>
      <c r="BIN18" s="56"/>
      <c r="BIX18" s="56"/>
      <c r="BJH18" s="56"/>
      <c r="BJR18" s="56"/>
      <c r="BKB18" s="56"/>
      <c r="BKL18" s="56"/>
      <c r="BKV18" s="56"/>
      <c r="BLF18" s="56"/>
      <c r="BLP18" s="56"/>
      <c r="BLZ18" s="56"/>
      <c r="BMJ18" s="56"/>
      <c r="BMT18" s="56"/>
      <c r="BND18" s="56"/>
      <c r="BNN18" s="56"/>
      <c r="BNX18" s="56"/>
      <c r="BOH18" s="56"/>
      <c r="BOR18" s="56"/>
      <c r="BPB18" s="56"/>
      <c r="BPL18" s="56"/>
      <c r="BPV18" s="56"/>
      <c r="BQF18" s="56"/>
      <c r="BQP18" s="56"/>
      <c r="BQZ18" s="56"/>
      <c r="BRJ18" s="56"/>
      <c r="BRT18" s="56"/>
      <c r="BSD18" s="56"/>
      <c r="BSN18" s="56"/>
      <c r="BSX18" s="56"/>
      <c r="BTH18" s="56"/>
      <c r="BTR18" s="56"/>
      <c r="BUB18" s="56"/>
      <c r="BUL18" s="56"/>
      <c r="BUV18" s="56"/>
      <c r="BVF18" s="56"/>
      <c r="BVP18" s="56"/>
      <c r="BVZ18" s="56"/>
      <c r="BWJ18" s="56"/>
      <c r="BWT18" s="56"/>
      <c r="BXD18" s="56"/>
      <c r="BXN18" s="56"/>
      <c r="BXX18" s="56"/>
      <c r="BYH18" s="56"/>
      <c r="BYR18" s="56"/>
      <c r="BZB18" s="56"/>
      <c r="BZL18" s="56"/>
      <c r="BZV18" s="56"/>
      <c r="CAF18" s="56"/>
      <c r="CAP18" s="56"/>
      <c r="CAZ18" s="56"/>
      <c r="CBJ18" s="56"/>
      <c r="CBT18" s="56"/>
      <c r="CCD18" s="56"/>
      <c r="CCN18" s="56"/>
      <c r="CCX18" s="56"/>
      <c r="CDH18" s="56"/>
      <c r="CDR18" s="56"/>
      <c r="CEB18" s="56"/>
      <c r="CEL18" s="56"/>
      <c r="CEV18" s="56"/>
      <c r="CFF18" s="56"/>
      <c r="CFP18" s="56"/>
      <c r="CFZ18" s="56"/>
      <c r="CGJ18" s="56"/>
      <c r="CGT18" s="56"/>
      <c r="CHD18" s="56"/>
      <c r="CHN18" s="56"/>
      <c r="CHX18" s="56"/>
      <c r="CIH18" s="56"/>
      <c r="CIR18" s="56"/>
      <c r="CJB18" s="56"/>
      <c r="CJL18" s="56"/>
      <c r="CJV18" s="56"/>
      <c r="CKF18" s="56"/>
      <c r="CKP18" s="56"/>
      <c r="CKZ18" s="56"/>
      <c r="CLJ18" s="56"/>
      <c r="CLT18" s="56"/>
      <c r="CMD18" s="56"/>
      <c r="CMN18" s="56"/>
      <c r="CMX18" s="56"/>
      <c r="CNH18" s="56"/>
      <c r="CNR18" s="56"/>
      <c r="COB18" s="56"/>
      <c r="COL18" s="56"/>
      <c r="COV18" s="56"/>
      <c r="CPF18" s="56"/>
      <c r="CPP18" s="56"/>
      <c r="CPZ18" s="56"/>
      <c r="CQJ18" s="56"/>
      <c r="CQT18" s="56"/>
      <c r="CRD18" s="56"/>
      <c r="CRN18" s="56"/>
      <c r="CRX18" s="56"/>
      <c r="CSH18" s="56"/>
      <c r="CSR18" s="56"/>
      <c r="CTB18" s="56"/>
      <c r="CTL18" s="56"/>
      <c r="CTV18" s="56"/>
    </row>
    <row r="19" s="42" customFormat="1" customHeight="1" spans="1:1020 1030:2040 2050:2570">
      <c r="A19" s="51"/>
      <c r="B19" s="52"/>
      <c r="C19" s="52"/>
      <c r="D19" s="52"/>
      <c r="E19" s="52"/>
      <c r="F19" s="53" t="str">
        <f>IFERROR(VLOOKUP(E19,日报!E:G,2,0),"")</f>
        <v/>
      </c>
      <c r="G19" s="52"/>
      <c r="H19" s="54" t="str">
        <f>IFERROR(VLOOKUP(E19,日报!E:H,4,0),"")</f>
        <v/>
      </c>
      <c r="I19" s="54" t="str">
        <f>IFERROR(VLOOKUP(E19,日报!E:G,3,0),"")</f>
        <v/>
      </c>
      <c r="J19" s="52"/>
      <c r="K19" s="55" t="str">
        <f>IFERROR(G19/I19,"")</f>
        <v/>
      </c>
      <c r="T19" s="56"/>
      <c r="AD19" s="56"/>
      <c r="AN19" s="56"/>
      <c r="AX19" s="56"/>
      <c r="BH19" s="56"/>
      <c r="BR19" s="56"/>
      <c r="CB19" s="56"/>
      <c r="CL19" s="56"/>
      <c r="CV19" s="56"/>
      <c r="DF19" s="56"/>
      <c r="DP19" s="56"/>
      <c r="DZ19" s="56"/>
      <c r="EJ19" s="56"/>
      <c r="ET19" s="56"/>
      <c r="FD19" s="56"/>
      <c r="FN19" s="56"/>
      <c r="FX19" s="56"/>
      <c r="GH19" s="56"/>
      <c r="GR19" s="56"/>
      <c r="HB19" s="56"/>
      <c r="HL19" s="56"/>
      <c r="HV19" s="56"/>
      <c r="IF19" s="56"/>
      <c r="IP19" s="56"/>
      <c r="IZ19" s="56"/>
      <c r="JJ19" s="56"/>
      <c r="JT19" s="56"/>
      <c r="KD19" s="56"/>
      <c r="KN19" s="56"/>
      <c r="KX19" s="56"/>
      <c r="LH19" s="56"/>
      <c r="LR19" s="56"/>
      <c r="MB19" s="56"/>
      <c r="ML19" s="56"/>
      <c r="MV19" s="56"/>
      <c r="NF19" s="56"/>
      <c r="NP19" s="56"/>
      <c r="NZ19" s="56"/>
      <c r="OJ19" s="56"/>
      <c r="OT19" s="56"/>
      <c r="PD19" s="56"/>
      <c r="PN19" s="56"/>
      <c r="PX19" s="56"/>
      <c r="QH19" s="56"/>
      <c r="QR19" s="56"/>
      <c r="RB19" s="56"/>
      <c r="RL19" s="56"/>
      <c r="RV19" s="56"/>
      <c r="SF19" s="56"/>
      <c r="SP19" s="56"/>
      <c r="SZ19" s="56"/>
      <c r="TJ19" s="56"/>
      <c r="TT19" s="56"/>
      <c r="UD19" s="56"/>
      <c r="UN19" s="56"/>
      <c r="UX19" s="56"/>
      <c r="VH19" s="56"/>
      <c r="VR19" s="56"/>
      <c r="WB19" s="56"/>
      <c r="WL19" s="56"/>
      <c r="WV19" s="56"/>
      <c r="XF19" s="56"/>
      <c r="XP19" s="56"/>
      <c r="XZ19" s="56"/>
      <c r="YJ19" s="56"/>
      <c r="YT19" s="56"/>
      <c r="ZD19" s="56"/>
      <c r="ZN19" s="56"/>
      <c r="ZX19" s="56"/>
      <c r="AAH19" s="56"/>
      <c r="AAR19" s="56"/>
      <c r="ABB19" s="56"/>
      <c r="ABL19" s="56"/>
      <c r="ABV19" s="56"/>
      <c r="ACF19" s="56"/>
      <c r="ACP19" s="56"/>
      <c r="ACZ19" s="56"/>
      <c r="ADJ19" s="56"/>
      <c r="ADT19" s="56"/>
      <c r="AED19" s="56"/>
      <c r="AEN19" s="56"/>
      <c r="AEX19" s="56"/>
      <c r="AFH19" s="56"/>
      <c r="AFR19" s="56"/>
      <c r="AGB19" s="56"/>
      <c r="AGL19" s="56"/>
      <c r="AGV19" s="56"/>
      <c r="AHF19" s="56"/>
      <c r="AHP19" s="56"/>
      <c r="AHZ19" s="56"/>
      <c r="AIJ19" s="56"/>
      <c r="AIT19" s="56"/>
      <c r="AJD19" s="56"/>
      <c r="AJN19" s="56"/>
      <c r="AJX19" s="56"/>
      <c r="AKH19" s="56"/>
      <c r="AKR19" s="56"/>
      <c r="ALB19" s="56"/>
      <c r="ALL19" s="56"/>
      <c r="ALV19" s="56"/>
      <c r="AMF19" s="56"/>
      <c r="AMP19" s="56"/>
      <c r="AMZ19" s="56"/>
      <c r="ANJ19" s="56"/>
      <c r="ANT19" s="56"/>
      <c r="AOD19" s="56"/>
      <c r="AON19" s="56"/>
      <c r="AOX19" s="56"/>
      <c r="APH19" s="56"/>
      <c r="APR19" s="56"/>
      <c r="AQB19" s="56"/>
      <c r="AQL19" s="56"/>
      <c r="AQV19" s="56"/>
      <c r="ARF19" s="56"/>
      <c r="ARP19" s="56"/>
      <c r="ARZ19" s="56"/>
      <c r="ASJ19" s="56"/>
      <c r="AST19" s="56"/>
      <c r="ATD19" s="56"/>
      <c r="ATN19" s="56"/>
      <c r="ATX19" s="56"/>
      <c r="AUH19" s="56"/>
      <c r="AUR19" s="56"/>
      <c r="AVB19" s="56"/>
      <c r="AVL19" s="56"/>
      <c r="AVV19" s="56"/>
      <c r="AWF19" s="56"/>
      <c r="AWP19" s="56"/>
      <c r="AWZ19" s="56"/>
      <c r="AXJ19" s="56"/>
      <c r="AXT19" s="56"/>
      <c r="AYD19" s="56"/>
      <c r="AYN19" s="56"/>
      <c r="AYX19" s="56"/>
      <c r="AZH19" s="56"/>
      <c r="AZR19" s="56"/>
      <c r="BAB19" s="56"/>
      <c r="BAL19" s="56"/>
      <c r="BAV19" s="56"/>
      <c r="BBF19" s="56"/>
      <c r="BBP19" s="56"/>
      <c r="BBZ19" s="56"/>
      <c r="BCJ19" s="56"/>
      <c r="BCT19" s="56"/>
      <c r="BDD19" s="56"/>
      <c r="BDN19" s="56"/>
      <c r="BDX19" s="56"/>
      <c r="BEH19" s="56"/>
      <c r="BER19" s="56"/>
      <c r="BFB19" s="56"/>
      <c r="BFL19" s="56"/>
      <c r="BFV19" s="56"/>
      <c r="BGF19" s="56"/>
      <c r="BGP19" s="56"/>
      <c r="BGZ19" s="56"/>
      <c r="BHJ19" s="56"/>
      <c r="BHT19" s="56"/>
      <c r="BID19" s="56"/>
      <c r="BIN19" s="56"/>
      <c r="BIX19" s="56"/>
      <c r="BJH19" s="56"/>
      <c r="BJR19" s="56"/>
      <c r="BKB19" s="56"/>
      <c r="BKL19" s="56"/>
      <c r="BKV19" s="56"/>
      <c r="BLF19" s="56"/>
      <c r="BLP19" s="56"/>
      <c r="BLZ19" s="56"/>
      <c r="BMJ19" s="56"/>
      <c r="BMT19" s="56"/>
      <c r="BND19" s="56"/>
      <c r="BNN19" s="56"/>
      <c r="BNX19" s="56"/>
      <c r="BOH19" s="56"/>
      <c r="BOR19" s="56"/>
      <c r="BPB19" s="56"/>
      <c r="BPL19" s="56"/>
      <c r="BPV19" s="56"/>
      <c r="BQF19" s="56"/>
      <c r="BQP19" s="56"/>
      <c r="BQZ19" s="56"/>
      <c r="BRJ19" s="56"/>
      <c r="BRT19" s="56"/>
      <c r="BSD19" s="56"/>
      <c r="BSN19" s="56"/>
      <c r="BSX19" s="56"/>
      <c r="BTH19" s="56"/>
      <c r="BTR19" s="56"/>
      <c r="BUB19" s="56"/>
      <c r="BUL19" s="56"/>
      <c r="BUV19" s="56"/>
      <c r="BVF19" s="56"/>
      <c r="BVP19" s="56"/>
      <c r="BVZ19" s="56"/>
      <c r="BWJ19" s="56"/>
      <c r="BWT19" s="56"/>
      <c r="BXD19" s="56"/>
      <c r="BXN19" s="56"/>
      <c r="BXX19" s="56"/>
      <c r="BYH19" s="56"/>
      <c r="BYR19" s="56"/>
      <c r="BZB19" s="56"/>
      <c r="BZL19" s="56"/>
      <c r="BZV19" s="56"/>
      <c r="CAF19" s="56"/>
      <c r="CAP19" s="56"/>
      <c r="CAZ19" s="56"/>
      <c r="CBJ19" s="56"/>
      <c r="CBT19" s="56"/>
      <c r="CCD19" s="56"/>
      <c r="CCN19" s="56"/>
      <c r="CCX19" s="56"/>
      <c r="CDH19" s="56"/>
      <c r="CDR19" s="56"/>
      <c r="CEB19" s="56"/>
      <c r="CEL19" s="56"/>
      <c r="CEV19" s="56"/>
      <c r="CFF19" s="56"/>
      <c r="CFP19" s="56"/>
      <c r="CFZ19" s="56"/>
      <c r="CGJ19" s="56"/>
      <c r="CGT19" s="56"/>
      <c r="CHD19" s="56"/>
      <c r="CHN19" s="56"/>
      <c r="CHX19" s="56"/>
      <c r="CIH19" s="56"/>
      <c r="CIR19" s="56"/>
      <c r="CJB19" s="56"/>
      <c r="CJL19" s="56"/>
      <c r="CJV19" s="56"/>
      <c r="CKF19" s="56"/>
      <c r="CKP19" s="56"/>
      <c r="CKZ19" s="56"/>
      <c r="CLJ19" s="56"/>
      <c r="CLT19" s="56"/>
      <c r="CMD19" s="56"/>
      <c r="CMN19" s="56"/>
      <c r="CMX19" s="56"/>
      <c r="CNH19" s="56"/>
      <c r="CNR19" s="56"/>
      <c r="COB19" s="56"/>
      <c r="COL19" s="56"/>
      <c r="COV19" s="56"/>
      <c r="CPF19" s="56"/>
      <c r="CPP19" s="56"/>
      <c r="CPZ19" s="56"/>
      <c r="CQJ19" s="56"/>
      <c r="CQT19" s="56"/>
      <c r="CRD19" s="56"/>
      <c r="CRN19" s="56"/>
      <c r="CRX19" s="56"/>
      <c r="CSH19" s="56"/>
      <c r="CSR19" s="56"/>
      <c r="CTB19" s="56"/>
      <c r="CTL19" s="56"/>
      <c r="CTV19" s="56"/>
    </row>
    <row r="20" s="42" customFormat="1" customHeight="1" spans="1:1020 1030:2040 2050:2570">
      <c r="A20" s="51"/>
      <c r="B20" s="52"/>
      <c r="C20" s="52"/>
      <c r="D20" s="52"/>
      <c r="E20" s="52"/>
      <c r="F20" s="53" t="str">
        <f>IFERROR(VLOOKUP(E20,日报!E:G,2,0),"")</f>
        <v/>
      </c>
      <c r="G20" s="52"/>
      <c r="H20" s="54" t="str">
        <f>IFERROR(VLOOKUP(E20,日报!E:H,4,0),"")</f>
        <v/>
      </c>
      <c r="I20" s="54" t="str">
        <f>IFERROR(VLOOKUP(E20,日报!E:G,3,0),"")</f>
        <v/>
      </c>
      <c r="J20" s="52"/>
      <c r="K20" s="55" t="str">
        <f t="shared" ref="K20:K83" si="0">IFERROR(G20/I20,"")</f>
        <v/>
      </c>
      <c r="T20" s="56"/>
      <c r="AD20" s="56"/>
      <c r="AN20" s="56"/>
      <c r="AX20" s="56"/>
      <c r="BH20" s="56"/>
      <c r="BR20" s="56"/>
      <c r="CB20" s="56"/>
      <c r="CL20" s="56"/>
      <c r="CV20" s="56"/>
      <c r="DF20" s="56"/>
      <c r="DP20" s="56"/>
      <c r="DZ20" s="56"/>
      <c r="EJ20" s="56"/>
      <c r="ET20" s="56"/>
      <c r="FD20" s="56"/>
      <c r="FN20" s="56"/>
      <c r="FX20" s="56"/>
      <c r="GH20" s="56"/>
      <c r="GR20" s="56"/>
      <c r="HB20" s="56"/>
      <c r="HL20" s="56"/>
      <c r="HV20" s="56"/>
      <c r="IF20" s="56"/>
      <c r="IP20" s="56"/>
      <c r="IZ20" s="56"/>
      <c r="JJ20" s="56"/>
      <c r="JT20" s="56"/>
      <c r="KD20" s="56"/>
      <c r="KN20" s="56"/>
      <c r="KX20" s="56"/>
      <c r="LH20" s="56"/>
      <c r="LR20" s="56"/>
      <c r="MB20" s="56"/>
      <c r="ML20" s="56"/>
      <c r="MV20" s="56"/>
      <c r="NF20" s="56"/>
      <c r="NP20" s="56"/>
      <c r="NZ20" s="56"/>
      <c r="OJ20" s="56"/>
      <c r="OT20" s="56"/>
      <c r="PD20" s="56"/>
      <c r="PN20" s="56"/>
      <c r="PX20" s="56"/>
      <c r="QH20" s="56"/>
      <c r="QR20" s="56"/>
      <c r="RB20" s="56"/>
      <c r="RL20" s="56"/>
      <c r="RV20" s="56"/>
      <c r="SF20" s="56"/>
      <c r="SP20" s="56"/>
      <c r="SZ20" s="56"/>
      <c r="TJ20" s="56"/>
      <c r="TT20" s="56"/>
      <c r="UD20" s="56"/>
      <c r="UN20" s="56"/>
      <c r="UX20" s="56"/>
      <c r="VH20" s="56"/>
      <c r="VR20" s="56"/>
      <c r="WB20" s="56"/>
      <c r="WL20" s="56"/>
      <c r="WV20" s="56"/>
      <c r="XF20" s="56"/>
      <c r="XP20" s="56"/>
      <c r="XZ20" s="56"/>
      <c r="YJ20" s="56"/>
      <c r="YT20" s="56"/>
      <c r="ZD20" s="56"/>
      <c r="ZN20" s="56"/>
      <c r="ZX20" s="56"/>
      <c r="AAH20" s="56"/>
      <c r="AAR20" s="56"/>
      <c r="ABB20" s="56"/>
      <c r="ABL20" s="56"/>
      <c r="ABV20" s="56"/>
      <c r="ACF20" s="56"/>
      <c r="ACP20" s="56"/>
      <c r="ACZ20" s="56"/>
      <c r="ADJ20" s="56"/>
      <c r="ADT20" s="56"/>
      <c r="AED20" s="56"/>
      <c r="AEN20" s="56"/>
      <c r="AEX20" s="56"/>
      <c r="AFH20" s="56"/>
      <c r="AFR20" s="56"/>
      <c r="AGB20" s="56"/>
      <c r="AGL20" s="56"/>
      <c r="AGV20" s="56"/>
      <c r="AHF20" s="56"/>
      <c r="AHP20" s="56"/>
      <c r="AHZ20" s="56"/>
      <c r="AIJ20" s="56"/>
      <c r="AIT20" s="56"/>
      <c r="AJD20" s="56"/>
      <c r="AJN20" s="56"/>
      <c r="AJX20" s="56"/>
      <c r="AKH20" s="56"/>
      <c r="AKR20" s="56"/>
      <c r="ALB20" s="56"/>
      <c r="ALL20" s="56"/>
      <c r="ALV20" s="56"/>
      <c r="AMF20" s="56"/>
      <c r="AMP20" s="56"/>
      <c r="AMZ20" s="56"/>
      <c r="ANJ20" s="56"/>
      <c r="ANT20" s="56"/>
      <c r="AOD20" s="56"/>
      <c r="AON20" s="56"/>
      <c r="AOX20" s="56"/>
      <c r="APH20" s="56"/>
      <c r="APR20" s="56"/>
      <c r="AQB20" s="56"/>
      <c r="AQL20" s="56"/>
      <c r="AQV20" s="56"/>
      <c r="ARF20" s="56"/>
      <c r="ARP20" s="56"/>
      <c r="ARZ20" s="56"/>
      <c r="ASJ20" s="56"/>
      <c r="AST20" s="56"/>
      <c r="ATD20" s="56"/>
      <c r="ATN20" s="56"/>
      <c r="ATX20" s="56"/>
      <c r="AUH20" s="56"/>
      <c r="AUR20" s="56"/>
      <c r="AVB20" s="56"/>
      <c r="AVL20" s="56"/>
      <c r="AVV20" s="56"/>
      <c r="AWF20" s="56"/>
      <c r="AWP20" s="56"/>
      <c r="AWZ20" s="56"/>
      <c r="AXJ20" s="56"/>
      <c r="AXT20" s="56"/>
      <c r="AYD20" s="56"/>
      <c r="AYN20" s="56"/>
      <c r="AYX20" s="56"/>
      <c r="AZH20" s="56"/>
      <c r="AZR20" s="56"/>
      <c r="BAB20" s="56"/>
      <c r="BAL20" s="56"/>
      <c r="BAV20" s="56"/>
      <c r="BBF20" s="56"/>
      <c r="BBP20" s="56"/>
      <c r="BBZ20" s="56"/>
      <c r="BCJ20" s="56"/>
      <c r="BCT20" s="56"/>
      <c r="BDD20" s="56"/>
      <c r="BDN20" s="56"/>
      <c r="BDX20" s="56"/>
      <c r="BEH20" s="56"/>
      <c r="BER20" s="56"/>
      <c r="BFB20" s="56"/>
      <c r="BFL20" s="56"/>
      <c r="BFV20" s="56"/>
      <c r="BGF20" s="56"/>
      <c r="BGP20" s="56"/>
      <c r="BGZ20" s="56"/>
      <c r="BHJ20" s="56"/>
      <c r="BHT20" s="56"/>
      <c r="BID20" s="56"/>
      <c r="BIN20" s="56"/>
      <c r="BIX20" s="56"/>
      <c r="BJH20" s="56"/>
      <c r="BJR20" s="56"/>
      <c r="BKB20" s="56"/>
      <c r="BKL20" s="56"/>
      <c r="BKV20" s="56"/>
      <c r="BLF20" s="56"/>
      <c r="BLP20" s="56"/>
      <c r="BLZ20" s="56"/>
      <c r="BMJ20" s="56"/>
      <c r="BMT20" s="56"/>
      <c r="BND20" s="56"/>
      <c r="BNN20" s="56"/>
      <c r="BNX20" s="56"/>
      <c r="BOH20" s="56"/>
      <c r="BOR20" s="56"/>
      <c r="BPB20" s="56"/>
      <c r="BPL20" s="56"/>
      <c r="BPV20" s="56"/>
      <c r="BQF20" s="56"/>
      <c r="BQP20" s="56"/>
      <c r="BQZ20" s="56"/>
      <c r="BRJ20" s="56"/>
      <c r="BRT20" s="56"/>
      <c r="BSD20" s="56"/>
      <c r="BSN20" s="56"/>
      <c r="BSX20" s="56"/>
      <c r="BTH20" s="56"/>
      <c r="BTR20" s="56"/>
      <c r="BUB20" s="56"/>
      <c r="BUL20" s="56"/>
      <c r="BUV20" s="56"/>
      <c r="BVF20" s="56"/>
      <c r="BVP20" s="56"/>
      <c r="BVZ20" s="56"/>
      <c r="BWJ20" s="56"/>
      <c r="BWT20" s="56"/>
      <c r="BXD20" s="56"/>
      <c r="BXN20" s="56"/>
      <c r="BXX20" s="56"/>
      <c r="BYH20" s="56"/>
      <c r="BYR20" s="56"/>
      <c r="BZB20" s="56"/>
      <c r="BZL20" s="56"/>
      <c r="BZV20" s="56"/>
      <c r="CAF20" s="56"/>
      <c r="CAP20" s="56"/>
      <c r="CAZ20" s="56"/>
      <c r="CBJ20" s="56"/>
      <c r="CBT20" s="56"/>
      <c r="CCD20" s="56"/>
      <c r="CCN20" s="56"/>
      <c r="CCX20" s="56"/>
      <c r="CDH20" s="56"/>
      <c r="CDR20" s="56"/>
      <c r="CEB20" s="56"/>
      <c r="CEL20" s="56"/>
      <c r="CEV20" s="56"/>
      <c r="CFF20" s="56"/>
      <c r="CFP20" s="56"/>
      <c r="CFZ20" s="56"/>
      <c r="CGJ20" s="56"/>
      <c r="CGT20" s="56"/>
      <c r="CHD20" s="56"/>
      <c r="CHN20" s="56"/>
      <c r="CHX20" s="56"/>
      <c r="CIH20" s="56"/>
      <c r="CIR20" s="56"/>
      <c r="CJB20" s="56"/>
      <c r="CJL20" s="56"/>
      <c r="CJV20" s="56"/>
      <c r="CKF20" s="56"/>
      <c r="CKP20" s="56"/>
      <c r="CKZ20" s="56"/>
      <c r="CLJ20" s="56"/>
      <c r="CLT20" s="56"/>
      <c r="CMD20" s="56"/>
      <c r="CMN20" s="56"/>
      <c r="CMX20" s="56"/>
      <c r="CNH20" s="56"/>
      <c r="CNR20" s="56"/>
      <c r="COB20" s="56"/>
      <c r="COL20" s="56"/>
      <c r="COV20" s="56"/>
      <c r="CPF20" s="56"/>
      <c r="CPP20" s="56"/>
      <c r="CPZ20" s="56"/>
      <c r="CQJ20" s="56"/>
      <c r="CQT20" s="56"/>
      <c r="CRD20" s="56"/>
      <c r="CRN20" s="56"/>
      <c r="CRX20" s="56"/>
      <c r="CSH20" s="56"/>
      <c r="CSR20" s="56"/>
      <c r="CTB20" s="56"/>
      <c r="CTL20" s="56"/>
      <c r="CTV20" s="56"/>
    </row>
    <row r="21" s="42" customFormat="1" customHeight="1" spans="1:1020 1030:2040 2050:2570">
      <c r="A21" s="51"/>
      <c r="B21" s="52"/>
      <c r="C21" s="52"/>
      <c r="D21" s="52"/>
      <c r="E21" s="52"/>
      <c r="F21" s="53" t="str">
        <f>IFERROR(VLOOKUP(E21,日报!E:G,2,0),"")</f>
        <v/>
      </c>
      <c r="G21" s="52"/>
      <c r="H21" s="54" t="str">
        <f>IFERROR(VLOOKUP(E21,日报!E:H,4,0),"")</f>
        <v/>
      </c>
      <c r="I21" s="54" t="str">
        <f>IFERROR(VLOOKUP(E21,日报!E:G,3,0),"")</f>
        <v/>
      </c>
      <c r="J21" s="52"/>
      <c r="K21" s="55" t="str">
        <f t="shared" si="0"/>
        <v/>
      </c>
      <c r="T21" s="56"/>
      <c r="AD21" s="56"/>
      <c r="AN21" s="56"/>
      <c r="AX21" s="56"/>
      <c r="BH21" s="56"/>
      <c r="BR21" s="56"/>
      <c r="CB21" s="56"/>
      <c r="CL21" s="56"/>
      <c r="CV21" s="56"/>
      <c r="DF21" s="56"/>
      <c r="DP21" s="56"/>
      <c r="DZ21" s="56"/>
      <c r="EJ21" s="56"/>
      <c r="ET21" s="56"/>
      <c r="FD21" s="56"/>
      <c r="FN21" s="56"/>
      <c r="FX21" s="56"/>
      <c r="GH21" s="56"/>
      <c r="GR21" s="56"/>
      <c r="HB21" s="56"/>
      <c r="HL21" s="56"/>
      <c r="HV21" s="56"/>
      <c r="IF21" s="56"/>
      <c r="IP21" s="56"/>
      <c r="IZ21" s="56"/>
      <c r="JJ21" s="56"/>
      <c r="JT21" s="56"/>
      <c r="KD21" s="56"/>
      <c r="KN21" s="56"/>
      <c r="KX21" s="56"/>
      <c r="LH21" s="56"/>
      <c r="LR21" s="56"/>
      <c r="MB21" s="56"/>
      <c r="ML21" s="56"/>
      <c r="MV21" s="56"/>
      <c r="NF21" s="56"/>
      <c r="NP21" s="56"/>
      <c r="NZ21" s="56"/>
      <c r="OJ21" s="56"/>
      <c r="OT21" s="56"/>
      <c r="PD21" s="56"/>
      <c r="PN21" s="56"/>
      <c r="PX21" s="56"/>
      <c r="QH21" s="56"/>
      <c r="QR21" s="56"/>
      <c r="RB21" s="56"/>
      <c r="RL21" s="56"/>
      <c r="RV21" s="56"/>
      <c r="SF21" s="56"/>
      <c r="SP21" s="56"/>
      <c r="SZ21" s="56"/>
      <c r="TJ21" s="56"/>
      <c r="TT21" s="56"/>
      <c r="UD21" s="56"/>
      <c r="UN21" s="56"/>
      <c r="UX21" s="56"/>
      <c r="VH21" s="56"/>
      <c r="VR21" s="56"/>
      <c r="WB21" s="56"/>
      <c r="WL21" s="56"/>
      <c r="WV21" s="56"/>
      <c r="XF21" s="56"/>
      <c r="XP21" s="56"/>
      <c r="XZ21" s="56"/>
      <c r="YJ21" s="56"/>
      <c r="YT21" s="56"/>
      <c r="ZD21" s="56"/>
      <c r="ZN21" s="56"/>
      <c r="ZX21" s="56"/>
      <c r="AAH21" s="56"/>
      <c r="AAR21" s="56"/>
      <c r="ABB21" s="56"/>
      <c r="ABL21" s="56"/>
      <c r="ABV21" s="56"/>
      <c r="ACF21" s="56"/>
      <c r="ACP21" s="56"/>
      <c r="ACZ21" s="56"/>
      <c r="ADJ21" s="56"/>
      <c r="ADT21" s="56"/>
      <c r="AED21" s="56"/>
      <c r="AEN21" s="56"/>
      <c r="AEX21" s="56"/>
      <c r="AFH21" s="56"/>
      <c r="AFR21" s="56"/>
      <c r="AGB21" s="56"/>
      <c r="AGL21" s="56"/>
      <c r="AGV21" s="56"/>
      <c r="AHF21" s="56"/>
      <c r="AHP21" s="56"/>
      <c r="AHZ21" s="56"/>
      <c r="AIJ21" s="56"/>
      <c r="AIT21" s="56"/>
      <c r="AJD21" s="56"/>
      <c r="AJN21" s="56"/>
      <c r="AJX21" s="56"/>
      <c r="AKH21" s="56"/>
      <c r="AKR21" s="56"/>
      <c r="ALB21" s="56"/>
      <c r="ALL21" s="56"/>
      <c r="ALV21" s="56"/>
      <c r="AMF21" s="56"/>
      <c r="AMP21" s="56"/>
      <c r="AMZ21" s="56"/>
      <c r="ANJ21" s="56"/>
      <c r="ANT21" s="56"/>
      <c r="AOD21" s="56"/>
      <c r="AON21" s="56"/>
      <c r="AOX21" s="56"/>
      <c r="APH21" s="56"/>
      <c r="APR21" s="56"/>
      <c r="AQB21" s="56"/>
      <c r="AQL21" s="56"/>
      <c r="AQV21" s="56"/>
      <c r="ARF21" s="56"/>
      <c r="ARP21" s="56"/>
      <c r="ARZ21" s="56"/>
      <c r="ASJ21" s="56"/>
      <c r="AST21" s="56"/>
      <c r="ATD21" s="56"/>
      <c r="ATN21" s="56"/>
      <c r="ATX21" s="56"/>
      <c r="AUH21" s="56"/>
      <c r="AUR21" s="56"/>
      <c r="AVB21" s="56"/>
      <c r="AVL21" s="56"/>
      <c r="AVV21" s="56"/>
      <c r="AWF21" s="56"/>
      <c r="AWP21" s="56"/>
      <c r="AWZ21" s="56"/>
      <c r="AXJ21" s="56"/>
      <c r="AXT21" s="56"/>
      <c r="AYD21" s="56"/>
      <c r="AYN21" s="56"/>
      <c r="AYX21" s="56"/>
      <c r="AZH21" s="56"/>
      <c r="AZR21" s="56"/>
      <c r="BAB21" s="56"/>
      <c r="BAL21" s="56"/>
      <c r="BAV21" s="56"/>
      <c r="BBF21" s="56"/>
      <c r="BBP21" s="56"/>
      <c r="BBZ21" s="56"/>
      <c r="BCJ21" s="56"/>
      <c r="BCT21" s="56"/>
      <c r="BDD21" s="56"/>
      <c r="BDN21" s="56"/>
      <c r="BDX21" s="56"/>
      <c r="BEH21" s="56"/>
      <c r="BER21" s="56"/>
      <c r="BFB21" s="56"/>
      <c r="BFL21" s="56"/>
      <c r="BFV21" s="56"/>
      <c r="BGF21" s="56"/>
      <c r="BGP21" s="56"/>
      <c r="BGZ21" s="56"/>
      <c r="BHJ21" s="56"/>
      <c r="BHT21" s="56"/>
      <c r="BID21" s="56"/>
      <c r="BIN21" s="56"/>
      <c r="BIX21" s="56"/>
      <c r="BJH21" s="56"/>
      <c r="BJR21" s="56"/>
      <c r="BKB21" s="56"/>
      <c r="BKL21" s="56"/>
      <c r="BKV21" s="56"/>
      <c r="BLF21" s="56"/>
      <c r="BLP21" s="56"/>
      <c r="BLZ21" s="56"/>
      <c r="BMJ21" s="56"/>
      <c r="BMT21" s="56"/>
      <c r="BND21" s="56"/>
      <c r="BNN21" s="56"/>
      <c r="BNX21" s="56"/>
      <c r="BOH21" s="56"/>
      <c r="BOR21" s="56"/>
      <c r="BPB21" s="56"/>
      <c r="BPL21" s="56"/>
      <c r="BPV21" s="56"/>
      <c r="BQF21" s="56"/>
      <c r="BQP21" s="56"/>
      <c r="BQZ21" s="56"/>
      <c r="BRJ21" s="56"/>
      <c r="BRT21" s="56"/>
      <c r="BSD21" s="56"/>
      <c r="BSN21" s="56"/>
      <c r="BSX21" s="56"/>
      <c r="BTH21" s="56"/>
      <c r="BTR21" s="56"/>
      <c r="BUB21" s="56"/>
      <c r="BUL21" s="56"/>
      <c r="BUV21" s="56"/>
      <c r="BVF21" s="56"/>
      <c r="BVP21" s="56"/>
      <c r="BVZ21" s="56"/>
      <c r="BWJ21" s="56"/>
      <c r="BWT21" s="56"/>
      <c r="BXD21" s="56"/>
      <c r="BXN21" s="56"/>
      <c r="BXX21" s="56"/>
      <c r="BYH21" s="56"/>
      <c r="BYR21" s="56"/>
      <c r="BZB21" s="56"/>
      <c r="BZL21" s="56"/>
      <c r="BZV21" s="56"/>
      <c r="CAF21" s="56"/>
      <c r="CAP21" s="56"/>
      <c r="CAZ21" s="56"/>
      <c r="CBJ21" s="56"/>
      <c r="CBT21" s="56"/>
      <c r="CCD21" s="56"/>
      <c r="CCN21" s="56"/>
      <c r="CCX21" s="56"/>
      <c r="CDH21" s="56"/>
      <c r="CDR21" s="56"/>
      <c r="CEB21" s="56"/>
      <c r="CEL21" s="56"/>
      <c r="CEV21" s="56"/>
      <c r="CFF21" s="56"/>
      <c r="CFP21" s="56"/>
      <c r="CFZ21" s="56"/>
      <c r="CGJ21" s="56"/>
      <c r="CGT21" s="56"/>
      <c r="CHD21" s="56"/>
      <c r="CHN21" s="56"/>
      <c r="CHX21" s="56"/>
      <c r="CIH21" s="56"/>
      <c r="CIR21" s="56"/>
      <c r="CJB21" s="56"/>
      <c r="CJL21" s="56"/>
      <c r="CJV21" s="56"/>
      <c r="CKF21" s="56"/>
      <c r="CKP21" s="56"/>
      <c r="CKZ21" s="56"/>
      <c r="CLJ21" s="56"/>
      <c r="CLT21" s="56"/>
      <c r="CMD21" s="56"/>
      <c r="CMN21" s="56"/>
      <c r="CMX21" s="56"/>
      <c r="CNH21" s="56"/>
      <c r="CNR21" s="56"/>
      <c r="COB21" s="56"/>
      <c r="COL21" s="56"/>
      <c r="COV21" s="56"/>
      <c r="CPF21" s="56"/>
      <c r="CPP21" s="56"/>
      <c r="CPZ21" s="56"/>
      <c r="CQJ21" s="56"/>
      <c r="CQT21" s="56"/>
      <c r="CRD21" s="56"/>
      <c r="CRN21" s="56"/>
      <c r="CRX21" s="56"/>
      <c r="CSH21" s="56"/>
      <c r="CSR21" s="56"/>
      <c r="CTB21" s="56"/>
      <c r="CTL21" s="56"/>
      <c r="CTV21" s="56"/>
    </row>
    <row r="22" s="42" customFormat="1" customHeight="1" spans="1:1020 1030:2040 2050:2570">
      <c r="A22" s="51"/>
      <c r="B22" s="52"/>
      <c r="C22" s="52"/>
      <c r="D22" s="52"/>
      <c r="E22" s="52"/>
      <c r="F22" s="53" t="str">
        <f>IFERROR(VLOOKUP(E22,日报!E:G,2,0),"")</f>
        <v/>
      </c>
      <c r="G22" s="52"/>
      <c r="H22" s="54" t="str">
        <f>IFERROR(VLOOKUP(E22,日报!E:H,4,0),"")</f>
        <v/>
      </c>
      <c r="I22" s="54" t="str">
        <f>IFERROR(VLOOKUP(E22,日报!E:G,3,0),"")</f>
        <v/>
      </c>
      <c r="J22" s="52"/>
      <c r="K22" s="55" t="str">
        <f t="shared" si="0"/>
        <v/>
      </c>
      <c r="T22" s="56"/>
      <c r="AD22" s="56"/>
      <c r="AN22" s="56"/>
      <c r="AX22" s="56"/>
      <c r="BH22" s="56"/>
      <c r="BR22" s="56"/>
      <c r="CB22" s="56"/>
      <c r="CL22" s="56"/>
      <c r="CV22" s="56"/>
      <c r="DF22" s="56"/>
      <c r="DP22" s="56"/>
      <c r="DZ22" s="56"/>
      <c r="EJ22" s="56"/>
      <c r="ET22" s="56"/>
      <c r="FD22" s="56"/>
      <c r="FN22" s="56"/>
      <c r="FX22" s="56"/>
      <c r="GH22" s="56"/>
      <c r="GR22" s="56"/>
      <c r="HB22" s="56"/>
      <c r="HL22" s="56"/>
      <c r="HV22" s="56"/>
      <c r="IF22" s="56"/>
      <c r="IP22" s="56"/>
      <c r="IZ22" s="56"/>
      <c r="JJ22" s="56"/>
      <c r="JT22" s="56"/>
      <c r="KD22" s="56"/>
      <c r="KN22" s="56"/>
      <c r="KX22" s="56"/>
      <c r="LH22" s="56"/>
      <c r="LR22" s="56"/>
      <c r="MB22" s="56"/>
      <c r="ML22" s="56"/>
      <c r="MV22" s="56"/>
      <c r="NF22" s="56"/>
      <c r="NP22" s="56"/>
      <c r="NZ22" s="56"/>
      <c r="OJ22" s="56"/>
      <c r="OT22" s="56"/>
      <c r="PD22" s="56"/>
      <c r="PN22" s="56"/>
      <c r="PX22" s="56"/>
      <c r="QH22" s="56"/>
      <c r="QR22" s="56"/>
      <c r="RB22" s="56"/>
      <c r="RL22" s="56"/>
      <c r="RV22" s="56"/>
      <c r="SF22" s="56"/>
      <c r="SP22" s="56"/>
      <c r="SZ22" s="56"/>
      <c r="TJ22" s="56"/>
      <c r="TT22" s="56"/>
      <c r="UD22" s="56"/>
      <c r="UN22" s="56"/>
      <c r="UX22" s="56"/>
      <c r="VH22" s="56"/>
      <c r="VR22" s="56"/>
      <c r="WB22" s="56"/>
      <c r="WL22" s="56"/>
      <c r="WV22" s="56"/>
      <c r="XF22" s="56"/>
      <c r="XP22" s="56"/>
      <c r="XZ22" s="56"/>
      <c r="YJ22" s="56"/>
      <c r="YT22" s="56"/>
      <c r="ZD22" s="56"/>
      <c r="ZN22" s="56"/>
      <c r="ZX22" s="56"/>
      <c r="AAH22" s="56"/>
      <c r="AAR22" s="56"/>
      <c r="ABB22" s="56"/>
      <c r="ABL22" s="56"/>
      <c r="ABV22" s="56"/>
      <c r="ACF22" s="56"/>
      <c r="ACP22" s="56"/>
      <c r="ACZ22" s="56"/>
      <c r="ADJ22" s="56"/>
      <c r="ADT22" s="56"/>
      <c r="AED22" s="56"/>
      <c r="AEN22" s="56"/>
      <c r="AEX22" s="56"/>
      <c r="AFH22" s="56"/>
      <c r="AFR22" s="56"/>
      <c r="AGB22" s="56"/>
      <c r="AGL22" s="56"/>
      <c r="AGV22" s="56"/>
      <c r="AHF22" s="56"/>
      <c r="AHP22" s="56"/>
      <c r="AHZ22" s="56"/>
      <c r="AIJ22" s="56"/>
      <c r="AIT22" s="56"/>
      <c r="AJD22" s="56"/>
      <c r="AJN22" s="56"/>
      <c r="AJX22" s="56"/>
      <c r="AKH22" s="56"/>
      <c r="AKR22" s="56"/>
      <c r="ALB22" s="56"/>
      <c r="ALL22" s="56"/>
      <c r="ALV22" s="56"/>
      <c r="AMF22" s="56"/>
      <c r="AMP22" s="56"/>
      <c r="AMZ22" s="56"/>
      <c r="ANJ22" s="56"/>
      <c r="ANT22" s="56"/>
      <c r="AOD22" s="56"/>
      <c r="AON22" s="56"/>
      <c r="AOX22" s="56"/>
      <c r="APH22" s="56"/>
      <c r="APR22" s="56"/>
      <c r="AQB22" s="56"/>
      <c r="AQL22" s="56"/>
      <c r="AQV22" s="56"/>
      <c r="ARF22" s="56"/>
      <c r="ARP22" s="56"/>
      <c r="ARZ22" s="56"/>
      <c r="ASJ22" s="56"/>
      <c r="AST22" s="56"/>
      <c r="ATD22" s="56"/>
      <c r="ATN22" s="56"/>
      <c r="ATX22" s="56"/>
      <c r="AUH22" s="56"/>
      <c r="AUR22" s="56"/>
      <c r="AVB22" s="56"/>
      <c r="AVL22" s="56"/>
      <c r="AVV22" s="56"/>
      <c r="AWF22" s="56"/>
      <c r="AWP22" s="56"/>
      <c r="AWZ22" s="56"/>
      <c r="AXJ22" s="56"/>
      <c r="AXT22" s="56"/>
      <c r="AYD22" s="56"/>
      <c r="AYN22" s="56"/>
      <c r="AYX22" s="56"/>
      <c r="AZH22" s="56"/>
      <c r="AZR22" s="56"/>
      <c r="BAB22" s="56"/>
      <c r="BAL22" s="56"/>
      <c r="BAV22" s="56"/>
      <c r="BBF22" s="56"/>
      <c r="BBP22" s="56"/>
      <c r="BBZ22" s="56"/>
      <c r="BCJ22" s="56"/>
      <c r="BCT22" s="56"/>
      <c r="BDD22" s="56"/>
      <c r="BDN22" s="56"/>
      <c r="BDX22" s="56"/>
      <c r="BEH22" s="56"/>
      <c r="BER22" s="56"/>
      <c r="BFB22" s="56"/>
      <c r="BFL22" s="56"/>
      <c r="BFV22" s="56"/>
      <c r="BGF22" s="56"/>
      <c r="BGP22" s="56"/>
      <c r="BGZ22" s="56"/>
      <c r="BHJ22" s="56"/>
      <c r="BHT22" s="56"/>
      <c r="BID22" s="56"/>
      <c r="BIN22" s="56"/>
      <c r="BIX22" s="56"/>
      <c r="BJH22" s="56"/>
      <c r="BJR22" s="56"/>
      <c r="BKB22" s="56"/>
      <c r="BKL22" s="56"/>
      <c r="BKV22" s="56"/>
      <c r="BLF22" s="56"/>
      <c r="BLP22" s="56"/>
      <c r="BLZ22" s="56"/>
      <c r="BMJ22" s="56"/>
      <c r="BMT22" s="56"/>
      <c r="BND22" s="56"/>
      <c r="BNN22" s="56"/>
      <c r="BNX22" s="56"/>
      <c r="BOH22" s="56"/>
      <c r="BOR22" s="56"/>
      <c r="BPB22" s="56"/>
      <c r="BPL22" s="56"/>
      <c r="BPV22" s="56"/>
      <c r="BQF22" s="56"/>
      <c r="BQP22" s="56"/>
      <c r="BQZ22" s="56"/>
      <c r="BRJ22" s="56"/>
      <c r="BRT22" s="56"/>
      <c r="BSD22" s="56"/>
      <c r="BSN22" s="56"/>
      <c r="BSX22" s="56"/>
      <c r="BTH22" s="56"/>
      <c r="BTR22" s="56"/>
      <c r="BUB22" s="56"/>
      <c r="BUL22" s="56"/>
      <c r="BUV22" s="56"/>
      <c r="BVF22" s="56"/>
      <c r="BVP22" s="56"/>
      <c r="BVZ22" s="56"/>
      <c r="BWJ22" s="56"/>
      <c r="BWT22" s="56"/>
      <c r="BXD22" s="56"/>
      <c r="BXN22" s="56"/>
      <c r="BXX22" s="56"/>
      <c r="BYH22" s="56"/>
      <c r="BYR22" s="56"/>
      <c r="BZB22" s="56"/>
      <c r="BZL22" s="56"/>
      <c r="BZV22" s="56"/>
      <c r="CAF22" s="56"/>
      <c r="CAP22" s="56"/>
      <c r="CAZ22" s="56"/>
      <c r="CBJ22" s="56"/>
      <c r="CBT22" s="56"/>
      <c r="CCD22" s="56"/>
      <c r="CCN22" s="56"/>
      <c r="CCX22" s="56"/>
      <c r="CDH22" s="56"/>
      <c r="CDR22" s="56"/>
      <c r="CEB22" s="56"/>
      <c r="CEL22" s="56"/>
      <c r="CEV22" s="56"/>
      <c r="CFF22" s="56"/>
      <c r="CFP22" s="56"/>
      <c r="CFZ22" s="56"/>
      <c r="CGJ22" s="56"/>
      <c r="CGT22" s="56"/>
      <c r="CHD22" s="56"/>
      <c r="CHN22" s="56"/>
      <c r="CHX22" s="56"/>
      <c r="CIH22" s="56"/>
      <c r="CIR22" s="56"/>
      <c r="CJB22" s="56"/>
      <c r="CJL22" s="56"/>
      <c r="CJV22" s="56"/>
      <c r="CKF22" s="56"/>
      <c r="CKP22" s="56"/>
      <c r="CKZ22" s="56"/>
      <c r="CLJ22" s="56"/>
      <c r="CLT22" s="56"/>
      <c r="CMD22" s="56"/>
      <c r="CMN22" s="56"/>
      <c r="CMX22" s="56"/>
      <c r="CNH22" s="56"/>
      <c r="CNR22" s="56"/>
      <c r="COB22" s="56"/>
      <c r="COL22" s="56"/>
      <c r="COV22" s="56"/>
      <c r="CPF22" s="56"/>
      <c r="CPP22" s="56"/>
      <c r="CPZ22" s="56"/>
      <c r="CQJ22" s="56"/>
      <c r="CQT22" s="56"/>
      <c r="CRD22" s="56"/>
      <c r="CRN22" s="56"/>
      <c r="CRX22" s="56"/>
      <c r="CSH22" s="56"/>
      <c r="CSR22" s="56"/>
      <c r="CTB22" s="56"/>
      <c r="CTL22" s="56"/>
      <c r="CTV22" s="56"/>
    </row>
    <row r="23" s="42" customFormat="1" customHeight="1" spans="1:1020 1030:2040 2050:2570">
      <c r="A23" s="51"/>
      <c r="B23" s="52"/>
      <c r="C23" s="52"/>
      <c r="D23" s="52"/>
      <c r="E23" s="52"/>
      <c r="F23" s="53" t="str">
        <f>IFERROR(VLOOKUP(E23,日报!E:G,2,0),"")</f>
        <v/>
      </c>
      <c r="G23" s="52"/>
      <c r="H23" s="54" t="str">
        <f>IFERROR(VLOOKUP(E23,日报!E:H,4,0),"")</f>
        <v/>
      </c>
      <c r="I23" s="54" t="str">
        <f>IFERROR(VLOOKUP(E23,日报!E:G,3,0),"")</f>
        <v/>
      </c>
      <c r="J23" s="52"/>
      <c r="K23" s="55" t="str">
        <f t="shared" si="0"/>
        <v/>
      </c>
      <c r="T23" s="56"/>
      <c r="AD23" s="56"/>
      <c r="AN23" s="56"/>
      <c r="AX23" s="56"/>
      <c r="BH23" s="56"/>
      <c r="BR23" s="56"/>
      <c r="CB23" s="56"/>
      <c r="CL23" s="56"/>
      <c r="CV23" s="56"/>
      <c r="DF23" s="56"/>
      <c r="DP23" s="56"/>
      <c r="DZ23" s="56"/>
      <c r="EJ23" s="56"/>
      <c r="ET23" s="56"/>
      <c r="FD23" s="56"/>
      <c r="FN23" s="56"/>
      <c r="FX23" s="56"/>
      <c r="GH23" s="56"/>
      <c r="GR23" s="56"/>
      <c r="HB23" s="56"/>
      <c r="HL23" s="56"/>
      <c r="HV23" s="56"/>
      <c r="IF23" s="56"/>
      <c r="IP23" s="56"/>
      <c r="IZ23" s="56"/>
      <c r="JJ23" s="56"/>
      <c r="JT23" s="56"/>
      <c r="KD23" s="56"/>
      <c r="KN23" s="56"/>
      <c r="KX23" s="56"/>
      <c r="LH23" s="56"/>
      <c r="LR23" s="56"/>
      <c r="MB23" s="56"/>
      <c r="ML23" s="56"/>
      <c r="MV23" s="56"/>
      <c r="NF23" s="56"/>
      <c r="NP23" s="56"/>
      <c r="NZ23" s="56"/>
      <c r="OJ23" s="56"/>
      <c r="OT23" s="56"/>
      <c r="PD23" s="56"/>
      <c r="PN23" s="56"/>
      <c r="PX23" s="56"/>
      <c r="QH23" s="56"/>
      <c r="QR23" s="56"/>
      <c r="RB23" s="56"/>
      <c r="RL23" s="56"/>
      <c r="RV23" s="56"/>
      <c r="SF23" s="56"/>
      <c r="SP23" s="56"/>
      <c r="SZ23" s="56"/>
      <c r="TJ23" s="56"/>
      <c r="TT23" s="56"/>
      <c r="UD23" s="56"/>
      <c r="UN23" s="56"/>
      <c r="UX23" s="56"/>
      <c r="VH23" s="56"/>
      <c r="VR23" s="56"/>
      <c r="WB23" s="56"/>
      <c r="WL23" s="56"/>
      <c r="WV23" s="56"/>
      <c r="XF23" s="56"/>
      <c r="XP23" s="56"/>
      <c r="XZ23" s="56"/>
      <c r="YJ23" s="56"/>
      <c r="YT23" s="56"/>
      <c r="ZD23" s="56"/>
      <c r="ZN23" s="56"/>
      <c r="ZX23" s="56"/>
      <c r="AAH23" s="56"/>
      <c r="AAR23" s="56"/>
      <c r="ABB23" s="56"/>
      <c r="ABL23" s="56"/>
      <c r="ABV23" s="56"/>
      <c r="ACF23" s="56"/>
      <c r="ACP23" s="56"/>
      <c r="ACZ23" s="56"/>
      <c r="ADJ23" s="56"/>
      <c r="ADT23" s="56"/>
      <c r="AED23" s="56"/>
      <c r="AEN23" s="56"/>
      <c r="AEX23" s="56"/>
      <c r="AFH23" s="56"/>
      <c r="AFR23" s="56"/>
      <c r="AGB23" s="56"/>
      <c r="AGL23" s="56"/>
      <c r="AGV23" s="56"/>
      <c r="AHF23" s="56"/>
      <c r="AHP23" s="56"/>
      <c r="AHZ23" s="56"/>
      <c r="AIJ23" s="56"/>
      <c r="AIT23" s="56"/>
      <c r="AJD23" s="56"/>
      <c r="AJN23" s="56"/>
      <c r="AJX23" s="56"/>
      <c r="AKH23" s="56"/>
      <c r="AKR23" s="56"/>
      <c r="ALB23" s="56"/>
      <c r="ALL23" s="56"/>
      <c r="ALV23" s="56"/>
      <c r="AMF23" s="56"/>
      <c r="AMP23" s="56"/>
      <c r="AMZ23" s="56"/>
      <c r="ANJ23" s="56"/>
      <c r="ANT23" s="56"/>
      <c r="AOD23" s="56"/>
      <c r="AON23" s="56"/>
      <c r="AOX23" s="56"/>
      <c r="APH23" s="56"/>
      <c r="APR23" s="56"/>
      <c r="AQB23" s="56"/>
      <c r="AQL23" s="56"/>
      <c r="AQV23" s="56"/>
      <c r="ARF23" s="56"/>
      <c r="ARP23" s="56"/>
      <c r="ARZ23" s="56"/>
      <c r="ASJ23" s="56"/>
      <c r="AST23" s="56"/>
      <c r="ATD23" s="56"/>
      <c r="ATN23" s="56"/>
      <c r="ATX23" s="56"/>
      <c r="AUH23" s="56"/>
      <c r="AUR23" s="56"/>
      <c r="AVB23" s="56"/>
      <c r="AVL23" s="56"/>
      <c r="AVV23" s="56"/>
      <c r="AWF23" s="56"/>
      <c r="AWP23" s="56"/>
      <c r="AWZ23" s="56"/>
      <c r="AXJ23" s="56"/>
      <c r="AXT23" s="56"/>
      <c r="AYD23" s="56"/>
      <c r="AYN23" s="56"/>
      <c r="AYX23" s="56"/>
      <c r="AZH23" s="56"/>
      <c r="AZR23" s="56"/>
      <c r="BAB23" s="56"/>
      <c r="BAL23" s="56"/>
      <c r="BAV23" s="56"/>
      <c r="BBF23" s="56"/>
      <c r="BBP23" s="56"/>
      <c r="BBZ23" s="56"/>
      <c r="BCJ23" s="56"/>
      <c r="BCT23" s="56"/>
      <c r="BDD23" s="56"/>
      <c r="BDN23" s="56"/>
      <c r="BDX23" s="56"/>
      <c r="BEH23" s="56"/>
      <c r="BER23" s="56"/>
      <c r="BFB23" s="56"/>
      <c r="BFL23" s="56"/>
      <c r="BFV23" s="56"/>
      <c r="BGF23" s="56"/>
      <c r="BGP23" s="56"/>
      <c r="BGZ23" s="56"/>
      <c r="BHJ23" s="56"/>
      <c r="BHT23" s="56"/>
      <c r="BID23" s="56"/>
      <c r="BIN23" s="56"/>
      <c r="BIX23" s="56"/>
      <c r="BJH23" s="56"/>
      <c r="BJR23" s="56"/>
      <c r="BKB23" s="56"/>
      <c r="BKL23" s="56"/>
      <c r="BKV23" s="56"/>
      <c r="BLF23" s="56"/>
      <c r="BLP23" s="56"/>
      <c r="BLZ23" s="56"/>
      <c r="BMJ23" s="56"/>
      <c r="BMT23" s="56"/>
      <c r="BND23" s="56"/>
      <c r="BNN23" s="56"/>
      <c r="BNX23" s="56"/>
      <c r="BOH23" s="56"/>
      <c r="BOR23" s="56"/>
      <c r="BPB23" s="56"/>
      <c r="BPL23" s="56"/>
      <c r="BPV23" s="56"/>
      <c r="BQF23" s="56"/>
      <c r="BQP23" s="56"/>
      <c r="BQZ23" s="56"/>
      <c r="BRJ23" s="56"/>
      <c r="BRT23" s="56"/>
      <c r="BSD23" s="56"/>
      <c r="BSN23" s="56"/>
      <c r="BSX23" s="56"/>
      <c r="BTH23" s="56"/>
      <c r="BTR23" s="56"/>
      <c r="BUB23" s="56"/>
      <c r="BUL23" s="56"/>
      <c r="BUV23" s="56"/>
      <c r="BVF23" s="56"/>
      <c r="BVP23" s="56"/>
      <c r="BVZ23" s="56"/>
      <c r="BWJ23" s="56"/>
      <c r="BWT23" s="56"/>
      <c r="BXD23" s="56"/>
      <c r="BXN23" s="56"/>
      <c r="BXX23" s="56"/>
      <c r="BYH23" s="56"/>
      <c r="BYR23" s="56"/>
      <c r="BZB23" s="56"/>
      <c r="BZL23" s="56"/>
      <c r="BZV23" s="56"/>
      <c r="CAF23" s="56"/>
      <c r="CAP23" s="56"/>
      <c r="CAZ23" s="56"/>
      <c r="CBJ23" s="56"/>
      <c r="CBT23" s="56"/>
      <c r="CCD23" s="56"/>
      <c r="CCN23" s="56"/>
      <c r="CCX23" s="56"/>
      <c r="CDH23" s="56"/>
      <c r="CDR23" s="56"/>
      <c r="CEB23" s="56"/>
      <c r="CEL23" s="56"/>
      <c r="CEV23" s="56"/>
      <c r="CFF23" s="56"/>
      <c r="CFP23" s="56"/>
      <c r="CFZ23" s="56"/>
      <c r="CGJ23" s="56"/>
      <c r="CGT23" s="56"/>
      <c r="CHD23" s="56"/>
      <c r="CHN23" s="56"/>
      <c r="CHX23" s="56"/>
      <c r="CIH23" s="56"/>
      <c r="CIR23" s="56"/>
      <c r="CJB23" s="56"/>
      <c r="CJL23" s="56"/>
      <c r="CJV23" s="56"/>
      <c r="CKF23" s="56"/>
      <c r="CKP23" s="56"/>
      <c r="CKZ23" s="56"/>
      <c r="CLJ23" s="56"/>
      <c r="CLT23" s="56"/>
      <c r="CMD23" s="56"/>
      <c r="CMN23" s="56"/>
      <c r="CMX23" s="56"/>
      <c r="CNH23" s="56"/>
      <c r="CNR23" s="56"/>
      <c r="COB23" s="56"/>
      <c r="COL23" s="56"/>
      <c r="COV23" s="56"/>
      <c r="CPF23" s="56"/>
      <c r="CPP23" s="56"/>
      <c r="CPZ23" s="56"/>
      <c r="CQJ23" s="56"/>
      <c r="CQT23" s="56"/>
      <c r="CRD23" s="56"/>
      <c r="CRN23" s="56"/>
      <c r="CRX23" s="56"/>
      <c r="CSH23" s="56"/>
      <c r="CSR23" s="56"/>
      <c r="CTB23" s="56"/>
      <c r="CTL23" s="56"/>
      <c r="CTV23" s="56"/>
    </row>
    <row r="24" s="42" customFormat="1" customHeight="1" spans="1:1020 1030:2040 2050:2570">
      <c r="A24" s="51"/>
      <c r="B24" s="52"/>
      <c r="C24" s="52"/>
      <c r="D24" s="52"/>
      <c r="E24" s="52"/>
      <c r="F24" s="53" t="str">
        <f>IFERROR(VLOOKUP(E24,日报!E:G,2,0),"")</f>
        <v/>
      </c>
      <c r="G24" s="52"/>
      <c r="H24" s="54" t="str">
        <f>IFERROR(VLOOKUP(E24,日报!E:H,4,0),"")</f>
        <v/>
      </c>
      <c r="I24" s="54" t="str">
        <f>IFERROR(VLOOKUP(E24,日报!E:G,3,0),"")</f>
        <v/>
      </c>
      <c r="J24" s="52"/>
      <c r="K24" s="55" t="str">
        <f t="shared" si="0"/>
        <v/>
      </c>
      <c r="T24" s="56"/>
      <c r="AD24" s="56"/>
      <c r="AN24" s="56"/>
      <c r="AX24" s="56"/>
      <c r="BH24" s="56"/>
      <c r="BR24" s="56"/>
      <c r="CB24" s="56"/>
      <c r="CL24" s="56"/>
      <c r="CV24" s="56"/>
      <c r="DF24" s="56"/>
      <c r="DP24" s="56"/>
      <c r="DZ24" s="56"/>
      <c r="EJ24" s="56"/>
      <c r="ET24" s="56"/>
      <c r="FD24" s="56"/>
      <c r="FN24" s="56"/>
      <c r="FX24" s="56"/>
      <c r="GH24" s="56"/>
      <c r="GR24" s="56"/>
      <c r="HB24" s="56"/>
      <c r="HL24" s="56"/>
      <c r="HV24" s="56"/>
      <c r="IF24" s="56"/>
      <c r="IP24" s="56"/>
      <c r="IZ24" s="56"/>
      <c r="JJ24" s="56"/>
      <c r="JT24" s="56"/>
      <c r="KD24" s="56"/>
      <c r="KN24" s="56"/>
      <c r="KX24" s="56"/>
      <c r="LH24" s="56"/>
      <c r="LR24" s="56"/>
      <c r="MB24" s="56"/>
      <c r="ML24" s="56"/>
      <c r="MV24" s="56"/>
      <c r="NF24" s="56"/>
      <c r="NP24" s="56"/>
      <c r="NZ24" s="56"/>
      <c r="OJ24" s="56"/>
      <c r="OT24" s="56"/>
      <c r="PD24" s="56"/>
      <c r="PN24" s="56"/>
      <c r="PX24" s="56"/>
      <c r="QH24" s="56"/>
      <c r="QR24" s="56"/>
      <c r="RB24" s="56"/>
      <c r="RL24" s="56"/>
      <c r="RV24" s="56"/>
      <c r="SF24" s="56"/>
      <c r="SP24" s="56"/>
      <c r="SZ24" s="56"/>
      <c r="TJ24" s="56"/>
      <c r="TT24" s="56"/>
      <c r="UD24" s="56"/>
      <c r="UN24" s="56"/>
      <c r="UX24" s="56"/>
      <c r="VH24" s="56"/>
      <c r="VR24" s="56"/>
      <c r="WB24" s="56"/>
      <c r="WL24" s="56"/>
      <c r="WV24" s="56"/>
      <c r="XF24" s="56"/>
      <c r="XP24" s="56"/>
      <c r="XZ24" s="56"/>
      <c r="YJ24" s="56"/>
      <c r="YT24" s="56"/>
      <c r="ZD24" s="56"/>
      <c r="ZN24" s="56"/>
      <c r="ZX24" s="56"/>
      <c r="AAH24" s="56"/>
      <c r="AAR24" s="56"/>
      <c r="ABB24" s="56"/>
      <c r="ABL24" s="56"/>
      <c r="ABV24" s="56"/>
      <c r="ACF24" s="56"/>
      <c r="ACP24" s="56"/>
      <c r="ACZ24" s="56"/>
      <c r="ADJ24" s="56"/>
      <c r="ADT24" s="56"/>
      <c r="AED24" s="56"/>
      <c r="AEN24" s="56"/>
      <c r="AEX24" s="56"/>
      <c r="AFH24" s="56"/>
      <c r="AFR24" s="56"/>
      <c r="AGB24" s="56"/>
      <c r="AGL24" s="56"/>
      <c r="AGV24" s="56"/>
      <c r="AHF24" s="56"/>
      <c r="AHP24" s="56"/>
      <c r="AHZ24" s="56"/>
      <c r="AIJ24" s="56"/>
      <c r="AIT24" s="56"/>
      <c r="AJD24" s="56"/>
      <c r="AJN24" s="56"/>
      <c r="AJX24" s="56"/>
      <c r="AKH24" s="56"/>
      <c r="AKR24" s="56"/>
      <c r="ALB24" s="56"/>
      <c r="ALL24" s="56"/>
      <c r="ALV24" s="56"/>
      <c r="AMF24" s="56"/>
      <c r="AMP24" s="56"/>
      <c r="AMZ24" s="56"/>
      <c r="ANJ24" s="56"/>
      <c r="ANT24" s="56"/>
      <c r="AOD24" s="56"/>
      <c r="AON24" s="56"/>
      <c r="AOX24" s="56"/>
      <c r="APH24" s="56"/>
      <c r="APR24" s="56"/>
      <c r="AQB24" s="56"/>
      <c r="AQL24" s="56"/>
      <c r="AQV24" s="56"/>
      <c r="ARF24" s="56"/>
      <c r="ARP24" s="56"/>
      <c r="ARZ24" s="56"/>
      <c r="ASJ24" s="56"/>
      <c r="AST24" s="56"/>
      <c r="ATD24" s="56"/>
      <c r="ATN24" s="56"/>
      <c r="ATX24" s="56"/>
      <c r="AUH24" s="56"/>
      <c r="AUR24" s="56"/>
      <c r="AVB24" s="56"/>
      <c r="AVL24" s="56"/>
      <c r="AVV24" s="56"/>
      <c r="AWF24" s="56"/>
      <c r="AWP24" s="56"/>
      <c r="AWZ24" s="56"/>
      <c r="AXJ24" s="56"/>
      <c r="AXT24" s="56"/>
      <c r="AYD24" s="56"/>
      <c r="AYN24" s="56"/>
      <c r="AYX24" s="56"/>
      <c r="AZH24" s="56"/>
      <c r="AZR24" s="56"/>
      <c r="BAB24" s="56"/>
      <c r="BAL24" s="56"/>
      <c r="BAV24" s="56"/>
      <c r="BBF24" s="56"/>
      <c r="BBP24" s="56"/>
      <c r="BBZ24" s="56"/>
      <c r="BCJ24" s="56"/>
      <c r="BCT24" s="56"/>
      <c r="BDD24" s="56"/>
      <c r="BDN24" s="56"/>
      <c r="BDX24" s="56"/>
      <c r="BEH24" s="56"/>
      <c r="BER24" s="56"/>
      <c r="BFB24" s="56"/>
      <c r="BFL24" s="56"/>
      <c r="BFV24" s="56"/>
      <c r="BGF24" s="56"/>
      <c r="BGP24" s="56"/>
      <c r="BGZ24" s="56"/>
      <c r="BHJ24" s="56"/>
      <c r="BHT24" s="56"/>
      <c r="BID24" s="56"/>
      <c r="BIN24" s="56"/>
      <c r="BIX24" s="56"/>
      <c r="BJH24" s="56"/>
      <c r="BJR24" s="56"/>
      <c r="BKB24" s="56"/>
      <c r="BKL24" s="56"/>
      <c r="BKV24" s="56"/>
      <c r="BLF24" s="56"/>
      <c r="BLP24" s="56"/>
      <c r="BLZ24" s="56"/>
      <c r="BMJ24" s="56"/>
      <c r="BMT24" s="56"/>
      <c r="BND24" s="56"/>
      <c r="BNN24" s="56"/>
      <c r="BNX24" s="56"/>
      <c r="BOH24" s="56"/>
      <c r="BOR24" s="56"/>
      <c r="BPB24" s="56"/>
      <c r="BPL24" s="56"/>
      <c r="BPV24" s="56"/>
      <c r="BQF24" s="56"/>
      <c r="BQP24" s="56"/>
      <c r="BQZ24" s="56"/>
      <c r="BRJ24" s="56"/>
      <c r="BRT24" s="56"/>
      <c r="BSD24" s="56"/>
      <c r="BSN24" s="56"/>
      <c r="BSX24" s="56"/>
      <c r="BTH24" s="56"/>
      <c r="BTR24" s="56"/>
      <c r="BUB24" s="56"/>
      <c r="BUL24" s="56"/>
      <c r="BUV24" s="56"/>
      <c r="BVF24" s="56"/>
      <c r="BVP24" s="56"/>
      <c r="BVZ24" s="56"/>
      <c r="BWJ24" s="56"/>
      <c r="BWT24" s="56"/>
      <c r="BXD24" s="56"/>
      <c r="BXN24" s="56"/>
      <c r="BXX24" s="56"/>
      <c r="BYH24" s="56"/>
      <c r="BYR24" s="56"/>
      <c r="BZB24" s="56"/>
      <c r="BZL24" s="56"/>
      <c r="BZV24" s="56"/>
      <c r="CAF24" s="56"/>
      <c r="CAP24" s="56"/>
      <c r="CAZ24" s="56"/>
      <c r="CBJ24" s="56"/>
      <c r="CBT24" s="56"/>
      <c r="CCD24" s="56"/>
      <c r="CCN24" s="56"/>
      <c r="CCX24" s="56"/>
      <c r="CDH24" s="56"/>
      <c r="CDR24" s="56"/>
      <c r="CEB24" s="56"/>
      <c r="CEL24" s="56"/>
      <c r="CEV24" s="56"/>
      <c r="CFF24" s="56"/>
      <c r="CFP24" s="56"/>
      <c r="CFZ24" s="56"/>
      <c r="CGJ24" s="56"/>
      <c r="CGT24" s="56"/>
      <c r="CHD24" s="56"/>
      <c r="CHN24" s="56"/>
      <c r="CHX24" s="56"/>
      <c r="CIH24" s="56"/>
      <c r="CIR24" s="56"/>
      <c r="CJB24" s="56"/>
      <c r="CJL24" s="56"/>
      <c r="CJV24" s="56"/>
      <c r="CKF24" s="56"/>
      <c r="CKP24" s="56"/>
      <c r="CKZ24" s="56"/>
      <c r="CLJ24" s="56"/>
      <c r="CLT24" s="56"/>
      <c r="CMD24" s="56"/>
      <c r="CMN24" s="56"/>
      <c r="CMX24" s="56"/>
      <c r="CNH24" s="56"/>
      <c r="CNR24" s="56"/>
      <c r="COB24" s="56"/>
      <c r="COL24" s="56"/>
      <c r="COV24" s="56"/>
      <c r="CPF24" s="56"/>
      <c r="CPP24" s="56"/>
      <c r="CPZ24" s="56"/>
      <c r="CQJ24" s="56"/>
      <c r="CQT24" s="56"/>
      <c r="CRD24" s="56"/>
      <c r="CRN24" s="56"/>
      <c r="CRX24" s="56"/>
      <c r="CSH24" s="56"/>
      <c r="CSR24" s="56"/>
      <c r="CTB24" s="56"/>
      <c r="CTL24" s="56"/>
      <c r="CTV24" s="56"/>
    </row>
    <row r="25" s="42" customFormat="1" customHeight="1" spans="1:1020 1030:2040 2050:2570">
      <c r="A25" s="51"/>
      <c r="B25" s="52"/>
      <c r="C25" s="52"/>
      <c r="D25" s="52"/>
      <c r="E25" s="52"/>
      <c r="F25" s="53" t="str">
        <f>IFERROR(VLOOKUP(E25,日报!E:G,2,0),"")</f>
        <v/>
      </c>
      <c r="G25" s="52"/>
      <c r="H25" s="54" t="str">
        <f>IFERROR(VLOOKUP(E25,日报!E:H,4,0),"")</f>
        <v/>
      </c>
      <c r="I25" s="54" t="str">
        <f>IFERROR(VLOOKUP(E25,日报!E:G,3,0),"")</f>
        <v/>
      </c>
      <c r="J25" s="52"/>
      <c r="K25" s="55" t="str">
        <f t="shared" si="0"/>
        <v/>
      </c>
      <c r="T25" s="56"/>
      <c r="AD25" s="56"/>
      <c r="AN25" s="56"/>
      <c r="AX25" s="56"/>
      <c r="BH25" s="56"/>
      <c r="BR25" s="56"/>
      <c r="CB25" s="56"/>
      <c r="CL25" s="56"/>
      <c r="CV25" s="56"/>
      <c r="DF25" s="56"/>
      <c r="DP25" s="56"/>
      <c r="DZ25" s="56"/>
      <c r="EJ25" s="56"/>
      <c r="ET25" s="56"/>
      <c r="FD25" s="56"/>
      <c r="FN25" s="56"/>
      <c r="FX25" s="56"/>
      <c r="GH25" s="56"/>
      <c r="GR25" s="56"/>
      <c r="HB25" s="56"/>
      <c r="HL25" s="56"/>
      <c r="HV25" s="56"/>
      <c r="IF25" s="56"/>
      <c r="IP25" s="56"/>
      <c r="IZ25" s="56"/>
      <c r="JJ25" s="56"/>
      <c r="JT25" s="56"/>
      <c r="KD25" s="56"/>
      <c r="KN25" s="56"/>
      <c r="KX25" s="56"/>
      <c r="LH25" s="56"/>
      <c r="LR25" s="56"/>
      <c r="MB25" s="56"/>
      <c r="ML25" s="56"/>
      <c r="MV25" s="56"/>
      <c r="NF25" s="56"/>
      <c r="NP25" s="56"/>
      <c r="NZ25" s="56"/>
      <c r="OJ25" s="56"/>
      <c r="OT25" s="56"/>
      <c r="PD25" s="56"/>
      <c r="PN25" s="56"/>
      <c r="PX25" s="56"/>
      <c r="QH25" s="56"/>
      <c r="QR25" s="56"/>
      <c r="RB25" s="56"/>
      <c r="RL25" s="56"/>
      <c r="RV25" s="56"/>
      <c r="SF25" s="56"/>
      <c r="SP25" s="56"/>
      <c r="SZ25" s="56"/>
      <c r="TJ25" s="56"/>
      <c r="TT25" s="56"/>
      <c r="UD25" s="56"/>
      <c r="UN25" s="56"/>
      <c r="UX25" s="56"/>
      <c r="VH25" s="56"/>
      <c r="VR25" s="56"/>
      <c r="WB25" s="56"/>
      <c r="WL25" s="56"/>
      <c r="WV25" s="56"/>
      <c r="XF25" s="56"/>
      <c r="XP25" s="56"/>
      <c r="XZ25" s="56"/>
      <c r="YJ25" s="56"/>
      <c r="YT25" s="56"/>
      <c r="ZD25" s="56"/>
      <c r="ZN25" s="56"/>
      <c r="ZX25" s="56"/>
      <c r="AAH25" s="56"/>
      <c r="AAR25" s="56"/>
      <c r="ABB25" s="56"/>
      <c r="ABL25" s="56"/>
      <c r="ABV25" s="56"/>
      <c r="ACF25" s="56"/>
      <c r="ACP25" s="56"/>
      <c r="ACZ25" s="56"/>
      <c r="ADJ25" s="56"/>
      <c r="ADT25" s="56"/>
      <c r="AED25" s="56"/>
      <c r="AEN25" s="56"/>
      <c r="AEX25" s="56"/>
      <c r="AFH25" s="56"/>
      <c r="AFR25" s="56"/>
      <c r="AGB25" s="56"/>
      <c r="AGL25" s="56"/>
      <c r="AGV25" s="56"/>
      <c r="AHF25" s="56"/>
      <c r="AHP25" s="56"/>
      <c r="AHZ25" s="56"/>
      <c r="AIJ25" s="56"/>
      <c r="AIT25" s="56"/>
      <c r="AJD25" s="56"/>
      <c r="AJN25" s="56"/>
      <c r="AJX25" s="56"/>
      <c r="AKH25" s="56"/>
      <c r="AKR25" s="56"/>
      <c r="ALB25" s="56"/>
      <c r="ALL25" s="56"/>
      <c r="ALV25" s="56"/>
      <c r="AMF25" s="56"/>
      <c r="AMP25" s="56"/>
      <c r="AMZ25" s="56"/>
      <c r="ANJ25" s="56"/>
      <c r="ANT25" s="56"/>
      <c r="AOD25" s="56"/>
      <c r="AON25" s="56"/>
      <c r="AOX25" s="56"/>
      <c r="APH25" s="56"/>
      <c r="APR25" s="56"/>
      <c r="AQB25" s="56"/>
      <c r="AQL25" s="56"/>
      <c r="AQV25" s="56"/>
      <c r="ARF25" s="56"/>
      <c r="ARP25" s="56"/>
      <c r="ARZ25" s="56"/>
      <c r="ASJ25" s="56"/>
      <c r="AST25" s="56"/>
      <c r="ATD25" s="56"/>
      <c r="ATN25" s="56"/>
      <c r="ATX25" s="56"/>
      <c r="AUH25" s="56"/>
      <c r="AUR25" s="56"/>
      <c r="AVB25" s="56"/>
      <c r="AVL25" s="56"/>
      <c r="AVV25" s="56"/>
      <c r="AWF25" s="56"/>
      <c r="AWP25" s="56"/>
      <c r="AWZ25" s="56"/>
      <c r="AXJ25" s="56"/>
      <c r="AXT25" s="56"/>
      <c r="AYD25" s="56"/>
      <c r="AYN25" s="56"/>
      <c r="AYX25" s="56"/>
      <c r="AZH25" s="56"/>
      <c r="AZR25" s="56"/>
      <c r="BAB25" s="56"/>
      <c r="BAL25" s="56"/>
      <c r="BAV25" s="56"/>
      <c r="BBF25" s="56"/>
      <c r="BBP25" s="56"/>
      <c r="BBZ25" s="56"/>
      <c r="BCJ25" s="56"/>
      <c r="BCT25" s="56"/>
      <c r="BDD25" s="56"/>
      <c r="BDN25" s="56"/>
      <c r="BDX25" s="56"/>
      <c r="BEH25" s="56"/>
      <c r="BER25" s="56"/>
      <c r="BFB25" s="56"/>
      <c r="BFL25" s="56"/>
      <c r="BFV25" s="56"/>
      <c r="BGF25" s="56"/>
      <c r="BGP25" s="56"/>
      <c r="BGZ25" s="56"/>
      <c r="BHJ25" s="56"/>
      <c r="BHT25" s="56"/>
      <c r="BID25" s="56"/>
      <c r="BIN25" s="56"/>
      <c r="BIX25" s="56"/>
      <c r="BJH25" s="56"/>
      <c r="BJR25" s="56"/>
      <c r="BKB25" s="56"/>
      <c r="BKL25" s="56"/>
      <c r="BKV25" s="56"/>
      <c r="BLF25" s="56"/>
      <c r="BLP25" s="56"/>
      <c r="BLZ25" s="56"/>
      <c r="BMJ25" s="56"/>
      <c r="BMT25" s="56"/>
      <c r="BND25" s="56"/>
      <c r="BNN25" s="56"/>
      <c r="BNX25" s="56"/>
      <c r="BOH25" s="56"/>
      <c r="BOR25" s="56"/>
      <c r="BPB25" s="56"/>
      <c r="BPL25" s="56"/>
      <c r="BPV25" s="56"/>
      <c r="BQF25" s="56"/>
      <c r="BQP25" s="56"/>
      <c r="BQZ25" s="56"/>
      <c r="BRJ25" s="56"/>
      <c r="BRT25" s="56"/>
      <c r="BSD25" s="56"/>
      <c r="BSN25" s="56"/>
      <c r="BSX25" s="56"/>
      <c r="BTH25" s="56"/>
      <c r="BTR25" s="56"/>
      <c r="BUB25" s="56"/>
      <c r="BUL25" s="56"/>
      <c r="BUV25" s="56"/>
      <c r="BVF25" s="56"/>
      <c r="BVP25" s="56"/>
      <c r="BVZ25" s="56"/>
      <c r="BWJ25" s="56"/>
      <c r="BWT25" s="56"/>
      <c r="BXD25" s="56"/>
      <c r="BXN25" s="56"/>
      <c r="BXX25" s="56"/>
      <c r="BYH25" s="56"/>
      <c r="BYR25" s="56"/>
      <c r="BZB25" s="56"/>
      <c r="BZL25" s="56"/>
      <c r="BZV25" s="56"/>
      <c r="CAF25" s="56"/>
      <c r="CAP25" s="56"/>
      <c r="CAZ25" s="56"/>
      <c r="CBJ25" s="56"/>
      <c r="CBT25" s="56"/>
      <c r="CCD25" s="56"/>
      <c r="CCN25" s="56"/>
      <c r="CCX25" s="56"/>
      <c r="CDH25" s="56"/>
      <c r="CDR25" s="56"/>
      <c r="CEB25" s="56"/>
      <c r="CEL25" s="56"/>
      <c r="CEV25" s="56"/>
      <c r="CFF25" s="56"/>
      <c r="CFP25" s="56"/>
      <c r="CFZ25" s="56"/>
      <c r="CGJ25" s="56"/>
      <c r="CGT25" s="56"/>
      <c r="CHD25" s="56"/>
      <c r="CHN25" s="56"/>
      <c r="CHX25" s="56"/>
      <c r="CIH25" s="56"/>
      <c r="CIR25" s="56"/>
      <c r="CJB25" s="56"/>
      <c r="CJL25" s="56"/>
      <c r="CJV25" s="56"/>
      <c r="CKF25" s="56"/>
      <c r="CKP25" s="56"/>
      <c r="CKZ25" s="56"/>
      <c r="CLJ25" s="56"/>
      <c r="CLT25" s="56"/>
      <c r="CMD25" s="56"/>
      <c r="CMN25" s="56"/>
      <c r="CMX25" s="56"/>
      <c r="CNH25" s="56"/>
      <c r="CNR25" s="56"/>
      <c r="COB25" s="56"/>
      <c r="COL25" s="56"/>
      <c r="COV25" s="56"/>
      <c r="CPF25" s="56"/>
      <c r="CPP25" s="56"/>
      <c r="CPZ25" s="56"/>
      <c r="CQJ25" s="56"/>
      <c r="CQT25" s="56"/>
      <c r="CRD25" s="56"/>
      <c r="CRN25" s="56"/>
      <c r="CRX25" s="56"/>
      <c r="CSH25" s="56"/>
      <c r="CSR25" s="56"/>
      <c r="CTB25" s="56"/>
      <c r="CTL25" s="56"/>
      <c r="CTV25" s="56"/>
    </row>
    <row r="26" s="42" customFormat="1" customHeight="1" spans="1:1020 1030:2040 2050:2570">
      <c r="A26" s="51"/>
      <c r="B26" s="52"/>
      <c r="C26" s="52"/>
      <c r="D26" s="52"/>
      <c r="E26" s="52"/>
      <c r="F26" s="53" t="str">
        <f>IFERROR(VLOOKUP(E26,日报!E:G,2,0),"")</f>
        <v/>
      </c>
      <c r="G26" s="52"/>
      <c r="H26" s="54" t="str">
        <f>IFERROR(VLOOKUP(E26,日报!E:H,4,0),"")</f>
        <v/>
      </c>
      <c r="I26" s="54" t="str">
        <f>IFERROR(VLOOKUP(E26,日报!E:G,3,0),"")</f>
        <v/>
      </c>
      <c r="J26" s="52"/>
      <c r="K26" s="55" t="str">
        <f t="shared" si="0"/>
        <v/>
      </c>
      <c r="T26" s="56"/>
      <c r="AD26" s="56"/>
      <c r="AN26" s="56"/>
      <c r="AX26" s="56"/>
      <c r="BH26" s="56"/>
      <c r="BR26" s="56"/>
      <c r="CB26" s="56"/>
      <c r="CL26" s="56"/>
      <c r="CV26" s="56"/>
      <c r="DF26" s="56"/>
      <c r="DP26" s="56"/>
      <c r="DZ26" s="56"/>
      <c r="EJ26" s="56"/>
      <c r="ET26" s="56"/>
      <c r="FD26" s="56"/>
      <c r="FN26" s="56"/>
      <c r="FX26" s="56"/>
      <c r="GH26" s="56"/>
      <c r="GR26" s="56"/>
      <c r="HB26" s="56"/>
      <c r="HL26" s="56"/>
      <c r="HV26" s="56"/>
      <c r="IF26" s="56"/>
      <c r="IP26" s="56"/>
      <c r="IZ26" s="56"/>
      <c r="JJ26" s="56"/>
      <c r="JT26" s="56"/>
      <c r="KD26" s="56"/>
      <c r="KN26" s="56"/>
      <c r="KX26" s="56"/>
      <c r="LH26" s="56"/>
      <c r="LR26" s="56"/>
      <c r="MB26" s="56"/>
      <c r="ML26" s="56"/>
      <c r="MV26" s="56"/>
      <c r="NF26" s="56"/>
      <c r="NP26" s="56"/>
      <c r="NZ26" s="56"/>
      <c r="OJ26" s="56"/>
      <c r="OT26" s="56"/>
      <c r="PD26" s="56"/>
      <c r="PN26" s="56"/>
      <c r="PX26" s="56"/>
      <c r="QH26" s="56"/>
      <c r="QR26" s="56"/>
      <c r="RB26" s="56"/>
      <c r="RL26" s="56"/>
      <c r="RV26" s="56"/>
      <c r="SF26" s="56"/>
      <c r="SP26" s="56"/>
      <c r="SZ26" s="56"/>
      <c r="TJ26" s="56"/>
      <c r="TT26" s="56"/>
      <c r="UD26" s="56"/>
      <c r="UN26" s="56"/>
      <c r="UX26" s="56"/>
      <c r="VH26" s="56"/>
      <c r="VR26" s="56"/>
      <c r="WB26" s="56"/>
      <c r="WL26" s="56"/>
      <c r="WV26" s="56"/>
      <c r="XF26" s="56"/>
      <c r="XP26" s="56"/>
      <c r="XZ26" s="56"/>
      <c r="YJ26" s="56"/>
      <c r="YT26" s="56"/>
      <c r="ZD26" s="56"/>
      <c r="ZN26" s="56"/>
      <c r="ZX26" s="56"/>
      <c r="AAH26" s="56"/>
      <c r="AAR26" s="56"/>
      <c r="ABB26" s="56"/>
      <c r="ABL26" s="56"/>
      <c r="ABV26" s="56"/>
      <c r="ACF26" s="56"/>
      <c r="ACP26" s="56"/>
      <c r="ACZ26" s="56"/>
      <c r="ADJ26" s="56"/>
      <c r="ADT26" s="56"/>
      <c r="AED26" s="56"/>
      <c r="AEN26" s="56"/>
      <c r="AEX26" s="56"/>
      <c r="AFH26" s="56"/>
      <c r="AFR26" s="56"/>
      <c r="AGB26" s="56"/>
      <c r="AGL26" s="56"/>
      <c r="AGV26" s="56"/>
      <c r="AHF26" s="56"/>
      <c r="AHP26" s="56"/>
      <c r="AHZ26" s="56"/>
      <c r="AIJ26" s="56"/>
      <c r="AIT26" s="56"/>
      <c r="AJD26" s="56"/>
      <c r="AJN26" s="56"/>
      <c r="AJX26" s="56"/>
      <c r="AKH26" s="56"/>
      <c r="AKR26" s="56"/>
      <c r="ALB26" s="56"/>
      <c r="ALL26" s="56"/>
      <c r="ALV26" s="56"/>
      <c r="AMF26" s="56"/>
      <c r="AMP26" s="56"/>
      <c r="AMZ26" s="56"/>
      <c r="ANJ26" s="56"/>
      <c r="ANT26" s="56"/>
      <c r="AOD26" s="56"/>
      <c r="AON26" s="56"/>
      <c r="AOX26" s="56"/>
      <c r="APH26" s="56"/>
      <c r="APR26" s="56"/>
      <c r="AQB26" s="56"/>
      <c r="AQL26" s="56"/>
      <c r="AQV26" s="56"/>
      <c r="ARF26" s="56"/>
      <c r="ARP26" s="56"/>
      <c r="ARZ26" s="56"/>
      <c r="ASJ26" s="56"/>
      <c r="AST26" s="56"/>
      <c r="ATD26" s="56"/>
      <c r="ATN26" s="56"/>
      <c r="ATX26" s="56"/>
      <c r="AUH26" s="56"/>
      <c r="AUR26" s="56"/>
      <c r="AVB26" s="56"/>
      <c r="AVL26" s="56"/>
      <c r="AVV26" s="56"/>
      <c r="AWF26" s="56"/>
      <c r="AWP26" s="56"/>
      <c r="AWZ26" s="56"/>
      <c r="AXJ26" s="56"/>
      <c r="AXT26" s="56"/>
      <c r="AYD26" s="56"/>
      <c r="AYN26" s="56"/>
      <c r="AYX26" s="56"/>
      <c r="AZH26" s="56"/>
      <c r="AZR26" s="56"/>
      <c r="BAB26" s="56"/>
      <c r="BAL26" s="56"/>
      <c r="BAV26" s="56"/>
      <c r="BBF26" s="56"/>
      <c r="BBP26" s="56"/>
      <c r="BBZ26" s="56"/>
      <c r="BCJ26" s="56"/>
      <c r="BCT26" s="56"/>
      <c r="BDD26" s="56"/>
      <c r="BDN26" s="56"/>
      <c r="BDX26" s="56"/>
      <c r="BEH26" s="56"/>
      <c r="BER26" s="56"/>
      <c r="BFB26" s="56"/>
      <c r="BFL26" s="56"/>
      <c r="BFV26" s="56"/>
      <c r="BGF26" s="56"/>
      <c r="BGP26" s="56"/>
      <c r="BGZ26" s="56"/>
      <c r="BHJ26" s="56"/>
      <c r="BHT26" s="56"/>
      <c r="BID26" s="56"/>
      <c r="BIN26" s="56"/>
      <c r="BIX26" s="56"/>
      <c r="BJH26" s="56"/>
      <c r="BJR26" s="56"/>
      <c r="BKB26" s="56"/>
      <c r="BKL26" s="56"/>
      <c r="BKV26" s="56"/>
      <c r="BLF26" s="56"/>
      <c r="BLP26" s="56"/>
      <c r="BLZ26" s="56"/>
      <c r="BMJ26" s="56"/>
      <c r="BMT26" s="56"/>
      <c r="BND26" s="56"/>
      <c r="BNN26" s="56"/>
      <c r="BNX26" s="56"/>
      <c r="BOH26" s="56"/>
      <c r="BOR26" s="56"/>
      <c r="BPB26" s="56"/>
      <c r="BPL26" s="56"/>
      <c r="BPV26" s="56"/>
      <c r="BQF26" s="56"/>
      <c r="BQP26" s="56"/>
      <c r="BQZ26" s="56"/>
      <c r="BRJ26" s="56"/>
      <c r="BRT26" s="56"/>
      <c r="BSD26" s="56"/>
      <c r="BSN26" s="56"/>
      <c r="BSX26" s="56"/>
      <c r="BTH26" s="56"/>
      <c r="BTR26" s="56"/>
      <c r="BUB26" s="56"/>
      <c r="BUL26" s="56"/>
      <c r="BUV26" s="56"/>
      <c r="BVF26" s="56"/>
      <c r="BVP26" s="56"/>
      <c r="BVZ26" s="56"/>
      <c r="BWJ26" s="56"/>
      <c r="BWT26" s="56"/>
      <c r="BXD26" s="56"/>
      <c r="BXN26" s="56"/>
      <c r="BXX26" s="56"/>
      <c r="BYH26" s="56"/>
      <c r="BYR26" s="56"/>
      <c r="BZB26" s="56"/>
      <c r="BZL26" s="56"/>
      <c r="BZV26" s="56"/>
      <c r="CAF26" s="56"/>
      <c r="CAP26" s="56"/>
      <c r="CAZ26" s="56"/>
      <c r="CBJ26" s="56"/>
      <c r="CBT26" s="56"/>
      <c r="CCD26" s="56"/>
      <c r="CCN26" s="56"/>
      <c r="CCX26" s="56"/>
      <c r="CDH26" s="56"/>
      <c r="CDR26" s="56"/>
      <c r="CEB26" s="56"/>
      <c r="CEL26" s="56"/>
      <c r="CEV26" s="56"/>
      <c r="CFF26" s="56"/>
      <c r="CFP26" s="56"/>
      <c r="CFZ26" s="56"/>
      <c r="CGJ26" s="56"/>
      <c r="CGT26" s="56"/>
      <c r="CHD26" s="56"/>
      <c r="CHN26" s="56"/>
      <c r="CHX26" s="56"/>
      <c r="CIH26" s="56"/>
      <c r="CIR26" s="56"/>
      <c r="CJB26" s="56"/>
      <c r="CJL26" s="56"/>
      <c r="CJV26" s="56"/>
      <c r="CKF26" s="56"/>
      <c r="CKP26" s="56"/>
      <c r="CKZ26" s="56"/>
      <c r="CLJ26" s="56"/>
      <c r="CLT26" s="56"/>
      <c r="CMD26" s="56"/>
      <c r="CMN26" s="56"/>
      <c r="CMX26" s="56"/>
      <c r="CNH26" s="56"/>
      <c r="CNR26" s="56"/>
      <c r="COB26" s="56"/>
      <c r="COL26" s="56"/>
      <c r="COV26" s="56"/>
      <c r="CPF26" s="56"/>
      <c r="CPP26" s="56"/>
      <c r="CPZ26" s="56"/>
      <c r="CQJ26" s="56"/>
      <c r="CQT26" s="56"/>
      <c r="CRD26" s="56"/>
      <c r="CRN26" s="56"/>
      <c r="CRX26" s="56"/>
      <c r="CSH26" s="56"/>
      <c r="CSR26" s="56"/>
      <c r="CTB26" s="56"/>
      <c r="CTL26" s="56"/>
      <c r="CTV26" s="56"/>
    </row>
    <row r="27" s="42" customFormat="1" customHeight="1" spans="1:1020 1030:2040 2050:2570">
      <c r="A27" s="51"/>
      <c r="B27" s="52"/>
      <c r="C27" s="52"/>
      <c r="D27" s="52"/>
      <c r="E27" s="52"/>
      <c r="F27" s="53" t="str">
        <f>IFERROR(VLOOKUP(E27,日报!E:G,2,0),"")</f>
        <v/>
      </c>
      <c r="G27" s="52"/>
      <c r="H27" s="54" t="str">
        <f>IFERROR(VLOOKUP(E27,日报!E:H,4,0),"")</f>
        <v/>
      </c>
      <c r="I27" s="54" t="str">
        <f>IFERROR(VLOOKUP(E27,日报!E:G,3,0),"")</f>
        <v/>
      </c>
      <c r="J27" s="52"/>
      <c r="K27" s="55" t="str">
        <f t="shared" si="0"/>
        <v/>
      </c>
      <c r="T27" s="56"/>
      <c r="AD27" s="56"/>
      <c r="AN27" s="56"/>
      <c r="AX27" s="56"/>
      <c r="BH27" s="56"/>
      <c r="BR27" s="56"/>
      <c r="CB27" s="56"/>
      <c r="CL27" s="56"/>
      <c r="CV27" s="56"/>
      <c r="DF27" s="56"/>
      <c r="DP27" s="56"/>
      <c r="DZ27" s="56"/>
      <c r="EJ27" s="56"/>
      <c r="ET27" s="56"/>
      <c r="FD27" s="56"/>
      <c r="FN27" s="56"/>
      <c r="FX27" s="56"/>
      <c r="GH27" s="56"/>
      <c r="GR27" s="56"/>
      <c r="HB27" s="56"/>
      <c r="HL27" s="56"/>
      <c r="HV27" s="56"/>
      <c r="IF27" s="56"/>
      <c r="IP27" s="56"/>
      <c r="IZ27" s="56"/>
      <c r="JJ27" s="56"/>
      <c r="JT27" s="56"/>
      <c r="KD27" s="56"/>
      <c r="KN27" s="56"/>
      <c r="KX27" s="56"/>
      <c r="LH27" s="56"/>
      <c r="LR27" s="56"/>
      <c r="MB27" s="56"/>
      <c r="ML27" s="56"/>
      <c r="MV27" s="56"/>
      <c r="NF27" s="56"/>
      <c r="NP27" s="56"/>
      <c r="NZ27" s="56"/>
      <c r="OJ27" s="56"/>
      <c r="OT27" s="56"/>
      <c r="PD27" s="56"/>
      <c r="PN27" s="56"/>
      <c r="PX27" s="56"/>
      <c r="QH27" s="56"/>
      <c r="QR27" s="56"/>
      <c r="RB27" s="56"/>
      <c r="RL27" s="56"/>
      <c r="RV27" s="56"/>
      <c r="SF27" s="56"/>
      <c r="SP27" s="56"/>
      <c r="SZ27" s="56"/>
      <c r="TJ27" s="56"/>
      <c r="TT27" s="56"/>
      <c r="UD27" s="56"/>
      <c r="UN27" s="56"/>
      <c r="UX27" s="56"/>
      <c r="VH27" s="56"/>
      <c r="VR27" s="56"/>
      <c r="WB27" s="56"/>
      <c r="WL27" s="56"/>
      <c r="WV27" s="56"/>
      <c r="XF27" s="56"/>
      <c r="XP27" s="56"/>
      <c r="XZ27" s="56"/>
      <c r="YJ27" s="56"/>
      <c r="YT27" s="56"/>
      <c r="ZD27" s="56"/>
      <c r="ZN27" s="56"/>
      <c r="ZX27" s="56"/>
      <c r="AAH27" s="56"/>
      <c r="AAR27" s="56"/>
      <c r="ABB27" s="56"/>
      <c r="ABL27" s="56"/>
      <c r="ABV27" s="56"/>
      <c r="ACF27" s="56"/>
      <c r="ACP27" s="56"/>
      <c r="ACZ27" s="56"/>
      <c r="ADJ27" s="56"/>
      <c r="ADT27" s="56"/>
      <c r="AED27" s="56"/>
      <c r="AEN27" s="56"/>
      <c r="AEX27" s="56"/>
      <c r="AFH27" s="56"/>
      <c r="AFR27" s="56"/>
      <c r="AGB27" s="56"/>
      <c r="AGL27" s="56"/>
      <c r="AGV27" s="56"/>
      <c r="AHF27" s="56"/>
      <c r="AHP27" s="56"/>
      <c r="AHZ27" s="56"/>
      <c r="AIJ27" s="56"/>
      <c r="AIT27" s="56"/>
      <c r="AJD27" s="56"/>
      <c r="AJN27" s="56"/>
      <c r="AJX27" s="56"/>
      <c r="AKH27" s="56"/>
      <c r="AKR27" s="56"/>
      <c r="ALB27" s="56"/>
      <c r="ALL27" s="56"/>
      <c r="ALV27" s="56"/>
      <c r="AMF27" s="56"/>
      <c r="AMP27" s="56"/>
      <c r="AMZ27" s="56"/>
      <c r="ANJ27" s="56"/>
      <c r="ANT27" s="56"/>
      <c r="AOD27" s="56"/>
      <c r="AON27" s="56"/>
      <c r="AOX27" s="56"/>
      <c r="APH27" s="56"/>
      <c r="APR27" s="56"/>
      <c r="AQB27" s="56"/>
      <c r="AQL27" s="56"/>
      <c r="AQV27" s="56"/>
      <c r="ARF27" s="56"/>
      <c r="ARP27" s="56"/>
      <c r="ARZ27" s="56"/>
      <c r="ASJ27" s="56"/>
      <c r="AST27" s="56"/>
      <c r="ATD27" s="56"/>
      <c r="ATN27" s="56"/>
      <c r="ATX27" s="56"/>
      <c r="AUH27" s="56"/>
      <c r="AUR27" s="56"/>
      <c r="AVB27" s="56"/>
      <c r="AVL27" s="56"/>
      <c r="AVV27" s="56"/>
      <c r="AWF27" s="56"/>
      <c r="AWP27" s="56"/>
      <c r="AWZ27" s="56"/>
      <c r="AXJ27" s="56"/>
      <c r="AXT27" s="56"/>
      <c r="AYD27" s="56"/>
      <c r="AYN27" s="56"/>
      <c r="AYX27" s="56"/>
      <c r="AZH27" s="56"/>
      <c r="AZR27" s="56"/>
      <c r="BAB27" s="56"/>
      <c r="BAL27" s="56"/>
      <c r="BAV27" s="56"/>
      <c r="BBF27" s="56"/>
      <c r="BBP27" s="56"/>
      <c r="BBZ27" s="56"/>
      <c r="BCJ27" s="56"/>
      <c r="BCT27" s="56"/>
      <c r="BDD27" s="56"/>
      <c r="BDN27" s="56"/>
      <c r="BDX27" s="56"/>
      <c r="BEH27" s="56"/>
      <c r="BER27" s="56"/>
      <c r="BFB27" s="56"/>
      <c r="BFL27" s="56"/>
      <c r="BFV27" s="56"/>
      <c r="BGF27" s="56"/>
      <c r="BGP27" s="56"/>
      <c r="BGZ27" s="56"/>
      <c r="BHJ27" s="56"/>
      <c r="BHT27" s="56"/>
      <c r="BID27" s="56"/>
      <c r="BIN27" s="56"/>
      <c r="BIX27" s="56"/>
      <c r="BJH27" s="56"/>
      <c r="BJR27" s="56"/>
      <c r="BKB27" s="56"/>
      <c r="BKL27" s="56"/>
      <c r="BKV27" s="56"/>
      <c r="BLF27" s="56"/>
      <c r="BLP27" s="56"/>
      <c r="BLZ27" s="56"/>
      <c r="BMJ27" s="56"/>
      <c r="BMT27" s="56"/>
      <c r="BND27" s="56"/>
      <c r="BNN27" s="56"/>
      <c r="BNX27" s="56"/>
      <c r="BOH27" s="56"/>
      <c r="BOR27" s="56"/>
      <c r="BPB27" s="56"/>
      <c r="BPL27" s="56"/>
      <c r="BPV27" s="56"/>
      <c r="BQF27" s="56"/>
      <c r="BQP27" s="56"/>
      <c r="BQZ27" s="56"/>
      <c r="BRJ27" s="56"/>
      <c r="BRT27" s="56"/>
      <c r="BSD27" s="56"/>
      <c r="BSN27" s="56"/>
      <c r="BSX27" s="56"/>
      <c r="BTH27" s="56"/>
      <c r="BTR27" s="56"/>
      <c r="BUB27" s="56"/>
      <c r="BUL27" s="56"/>
      <c r="BUV27" s="56"/>
      <c r="BVF27" s="56"/>
      <c r="BVP27" s="56"/>
      <c r="BVZ27" s="56"/>
      <c r="BWJ27" s="56"/>
      <c r="BWT27" s="56"/>
      <c r="BXD27" s="56"/>
      <c r="BXN27" s="56"/>
      <c r="BXX27" s="56"/>
      <c r="BYH27" s="56"/>
      <c r="BYR27" s="56"/>
      <c r="BZB27" s="56"/>
      <c r="BZL27" s="56"/>
      <c r="BZV27" s="56"/>
      <c r="CAF27" s="56"/>
      <c r="CAP27" s="56"/>
      <c r="CAZ27" s="56"/>
      <c r="CBJ27" s="56"/>
      <c r="CBT27" s="56"/>
      <c r="CCD27" s="56"/>
      <c r="CCN27" s="56"/>
      <c r="CCX27" s="56"/>
      <c r="CDH27" s="56"/>
      <c r="CDR27" s="56"/>
      <c r="CEB27" s="56"/>
      <c r="CEL27" s="56"/>
      <c r="CEV27" s="56"/>
      <c r="CFF27" s="56"/>
      <c r="CFP27" s="56"/>
      <c r="CFZ27" s="56"/>
      <c r="CGJ27" s="56"/>
      <c r="CGT27" s="56"/>
      <c r="CHD27" s="56"/>
      <c r="CHN27" s="56"/>
      <c r="CHX27" s="56"/>
      <c r="CIH27" s="56"/>
      <c r="CIR27" s="56"/>
      <c r="CJB27" s="56"/>
      <c r="CJL27" s="56"/>
      <c r="CJV27" s="56"/>
      <c r="CKF27" s="56"/>
      <c r="CKP27" s="56"/>
      <c r="CKZ27" s="56"/>
      <c r="CLJ27" s="56"/>
      <c r="CLT27" s="56"/>
      <c r="CMD27" s="56"/>
      <c r="CMN27" s="56"/>
      <c r="CMX27" s="56"/>
      <c r="CNH27" s="56"/>
      <c r="CNR27" s="56"/>
      <c r="COB27" s="56"/>
      <c r="COL27" s="56"/>
      <c r="COV27" s="56"/>
      <c r="CPF27" s="56"/>
      <c r="CPP27" s="56"/>
      <c r="CPZ27" s="56"/>
      <c r="CQJ27" s="56"/>
      <c r="CQT27" s="56"/>
      <c r="CRD27" s="56"/>
      <c r="CRN27" s="56"/>
      <c r="CRX27" s="56"/>
      <c r="CSH27" s="56"/>
      <c r="CSR27" s="56"/>
      <c r="CTB27" s="56"/>
      <c r="CTL27" s="56"/>
      <c r="CTV27" s="56"/>
    </row>
    <row r="28" s="42" customFormat="1" customHeight="1" spans="1:1020 1030:2040 2050:2570">
      <c r="A28" s="51"/>
      <c r="B28" s="52"/>
      <c r="C28" s="52"/>
      <c r="D28" s="52"/>
      <c r="E28" s="52"/>
      <c r="F28" s="53" t="str">
        <f>IFERROR(VLOOKUP(E28,日报!E:G,2,0),"")</f>
        <v/>
      </c>
      <c r="G28" s="52"/>
      <c r="H28" s="54" t="str">
        <f>IFERROR(VLOOKUP(E28,日报!E:H,4,0),"")</f>
        <v/>
      </c>
      <c r="I28" s="54" t="str">
        <f>IFERROR(VLOOKUP(E28,日报!E:G,3,0),"")</f>
        <v/>
      </c>
      <c r="J28" s="52"/>
      <c r="K28" s="55" t="str">
        <f t="shared" si="0"/>
        <v/>
      </c>
      <c r="T28" s="56"/>
      <c r="AD28" s="56"/>
      <c r="AN28" s="56"/>
      <c r="AX28" s="56"/>
      <c r="BH28" s="56"/>
      <c r="BR28" s="56"/>
      <c r="CB28" s="56"/>
      <c r="CL28" s="56"/>
      <c r="CV28" s="56"/>
      <c r="DF28" s="56"/>
      <c r="DP28" s="56"/>
      <c r="DZ28" s="56"/>
      <c r="EJ28" s="56"/>
      <c r="ET28" s="56"/>
      <c r="FD28" s="56"/>
      <c r="FN28" s="56"/>
      <c r="FX28" s="56"/>
      <c r="GH28" s="56"/>
      <c r="GR28" s="56"/>
      <c r="HB28" s="56"/>
      <c r="HL28" s="56"/>
      <c r="HV28" s="56"/>
      <c r="IF28" s="56"/>
      <c r="IP28" s="56"/>
      <c r="IZ28" s="56"/>
      <c r="JJ28" s="56"/>
      <c r="JT28" s="56"/>
      <c r="KD28" s="56"/>
      <c r="KN28" s="56"/>
      <c r="KX28" s="56"/>
      <c r="LH28" s="56"/>
      <c r="LR28" s="56"/>
      <c r="MB28" s="56"/>
      <c r="ML28" s="56"/>
      <c r="MV28" s="56"/>
      <c r="NF28" s="56"/>
      <c r="NP28" s="56"/>
      <c r="NZ28" s="56"/>
      <c r="OJ28" s="56"/>
      <c r="OT28" s="56"/>
      <c r="PD28" s="56"/>
      <c r="PN28" s="56"/>
      <c r="PX28" s="56"/>
      <c r="QH28" s="56"/>
      <c r="QR28" s="56"/>
      <c r="RB28" s="56"/>
      <c r="RL28" s="56"/>
      <c r="RV28" s="56"/>
      <c r="SF28" s="56"/>
      <c r="SP28" s="56"/>
      <c r="SZ28" s="56"/>
      <c r="TJ28" s="56"/>
      <c r="TT28" s="56"/>
      <c r="UD28" s="56"/>
      <c r="UN28" s="56"/>
      <c r="UX28" s="56"/>
      <c r="VH28" s="56"/>
      <c r="VR28" s="56"/>
      <c r="WB28" s="56"/>
      <c r="WL28" s="56"/>
      <c r="WV28" s="56"/>
      <c r="XF28" s="56"/>
      <c r="XP28" s="56"/>
      <c r="XZ28" s="56"/>
      <c r="YJ28" s="56"/>
      <c r="YT28" s="56"/>
      <c r="ZD28" s="56"/>
      <c r="ZN28" s="56"/>
      <c r="ZX28" s="56"/>
      <c r="AAH28" s="56"/>
      <c r="AAR28" s="56"/>
      <c r="ABB28" s="56"/>
      <c r="ABL28" s="56"/>
      <c r="ABV28" s="56"/>
      <c r="ACF28" s="56"/>
      <c r="ACP28" s="56"/>
      <c r="ACZ28" s="56"/>
      <c r="ADJ28" s="56"/>
      <c r="ADT28" s="56"/>
      <c r="AED28" s="56"/>
      <c r="AEN28" s="56"/>
      <c r="AEX28" s="56"/>
      <c r="AFH28" s="56"/>
      <c r="AFR28" s="56"/>
      <c r="AGB28" s="56"/>
      <c r="AGL28" s="56"/>
      <c r="AGV28" s="56"/>
      <c r="AHF28" s="56"/>
      <c r="AHP28" s="56"/>
      <c r="AHZ28" s="56"/>
      <c r="AIJ28" s="56"/>
      <c r="AIT28" s="56"/>
      <c r="AJD28" s="56"/>
      <c r="AJN28" s="56"/>
      <c r="AJX28" s="56"/>
      <c r="AKH28" s="56"/>
      <c r="AKR28" s="56"/>
      <c r="ALB28" s="56"/>
      <c r="ALL28" s="56"/>
      <c r="ALV28" s="56"/>
      <c r="AMF28" s="56"/>
      <c r="AMP28" s="56"/>
      <c r="AMZ28" s="56"/>
      <c r="ANJ28" s="56"/>
      <c r="ANT28" s="56"/>
      <c r="AOD28" s="56"/>
      <c r="AON28" s="56"/>
      <c r="AOX28" s="56"/>
      <c r="APH28" s="56"/>
      <c r="APR28" s="56"/>
      <c r="AQB28" s="56"/>
      <c r="AQL28" s="56"/>
      <c r="AQV28" s="56"/>
      <c r="ARF28" s="56"/>
      <c r="ARP28" s="56"/>
      <c r="ARZ28" s="56"/>
      <c r="ASJ28" s="56"/>
      <c r="AST28" s="56"/>
      <c r="ATD28" s="56"/>
      <c r="ATN28" s="56"/>
      <c r="ATX28" s="56"/>
      <c r="AUH28" s="56"/>
      <c r="AUR28" s="56"/>
      <c r="AVB28" s="56"/>
      <c r="AVL28" s="56"/>
      <c r="AVV28" s="56"/>
      <c r="AWF28" s="56"/>
      <c r="AWP28" s="56"/>
      <c r="AWZ28" s="56"/>
      <c r="AXJ28" s="56"/>
      <c r="AXT28" s="56"/>
      <c r="AYD28" s="56"/>
      <c r="AYN28" s="56"/>
      <c r="AYX28" s="56"/>
      <c r="AZH28" s="56"/>
      <c r="AZR28" s="56"/>
      <c r="BAB28" s="56"/>
      <c r="BAL28" s="56"/>
      <c r="BAV28" s="56"/>
      <c r="BBF28" s="56"/>
      <c r="BBP28" s="56"/>
      <c r="BBZ28" s="56"/>
      <c r="BCJ28" s="56"/>
      <c r="BCT28" s="56"/>
      <c r="BDD28" s="56"/>
      <c r="BDN28" s="56"/>
      <c r="BDX28" s="56"/>
      <c r="BEH28" s="56"/>
      <c r="BER28" s="56"/>
      <c r="BFB28" s="56"/>
      <c r="BFL28" s="56"/>
      <c r="BFV28" s="56"/>
      <c r="BGF28" s="56"/>
      <c r="BGP28" s="56"/>
      <c r="BGZ28" s="56"/>
      <c r="BHJ28" s="56"/>
      <c r="BHT28" s="56"/>
      <c r="BID28" s="56"/>
      <c r="BIN28" s="56"/>
      <c r="BIX28" s="56"/>
      <c r="BJH28" s="56"/>
      <c r="BJR28" s="56"/>
      <c r="BKB28" s="56"/>
      <c r="BKL28" s="56"/>
      <c r="BKV28" s="56"/>
      <c r="BLF28" s="56"/>
      <c r="BLP28" s="56"/>
      <c r="BLZ28" s="56"/>
      <c r="BMJ28" s="56"/>
      <c r="BMT28" s="56"/>
      <c r="BND28" s="56"/>
      <c r="BNN28" s="56"/>
      <c r="BNX28" s="56"/>
      <c r="BOH28" s="56"/>
      <c r="BOR28" s="56"/>
      <c r="BPB28" s="56"/>
      <c r="BPL28" s="56"/>
      <c r="BPV28" s="56"/>
      <c r="BQF28" s="56"/>
      <c r="BQP28" s="56"/>
      <c r="BQZ28" s="56"/>
      <c r="BRJ28" s="56"/>
      <c r="BRT28" s="56"/>
      <c r="BSD28" s="56"/>
      <c r="BSN28" s="56"/>
      <c r="BSX28" s="56"/>
      <c r="BTH28" s="56"/>
      <c r="BTR28" s="56"/>
      <c r="BUB28" s="56"/>
      <c r="BUL28" s="56"/>
      <c r="BUV28" s="56"/>
      <c r="BVF28" s="56"/>
      <c r="BVP28" s="56"/>
      <c r="BVZ28" s="56"/>
      <c r="BWJ28" s="56"/>
      <c r="BWT28" s="56"/>
      <c r="BXD28" s="56"/>
      <c r="BXN28" s="56"/>
      <c r="BXX28" s="56"/>
      <c r="BYH28" s="56"/>
      <c r="BYR28" s="56"/>
      <c r="BZB28" s="56"/>
      <c r="BZL28" s="56"/>
      <c r="BZV28" s="56"/>
      <c r="CAF28" s="56"/>
      <c r="CAP28" s="56"/>
      <c r="CAZ28" s="56"/>
      <c r="CBJ28" s="56"/>
      <c r="CBT28" s="56"/>
      <c r="CCD28" s="56"/>
      <c r="CCN28" s="56"/>
      <c r="CCX28" s="56"/>
      <c r="CDH28" s="56"/>
      <c r="CDR28" s="56"/>
      <c r="CEB28" s="56"/>
      <c r="CEL28" s="56"/>
      <c r="CEV28" s="56"/>
      <c r="CFF28" s="56"/>
      <c r="CFP28" s="56"/>
      <c r="CFZ28" s="56"/>
      <c r="CGJ28" s="56"/>
      <c r="CGT28" s="56"/>
      <c r="CHD28" s="56"/>
      <c r="CHN28" s="56"/>
      <c r="CHX28" s="56"/>
      <c r="CIH28" s="56"/>
      <c r="CIR28" s="56"/>
      <c r="CJB28" s="56"/>
      <c r="CJL28" s="56"/>
      <c r="CJV28" s="56"/>
      <c r="CKF28" s="56"/>
      <c r="CKP28" s="56"/>
      <c r="CKZ28" s="56"/>
      <c r="CLJ28" s="56"/>
      <c r="CLT28" s="56"/>
      <c r="CMD28" s="56"/>
      <c r="CMN28" s="56"/>
      <c r="CMX28" s="56"/>
      <c r="CNH28" s="56"/>
      <c r="CNR28" s="56"/>
      <c r="COB28" s="56"/>
      <c r="COL28" s="56"/>
      <c r="COV28" s="56"/>
      <c r="CPF28" s="56"/>
      <c r="CPP28" s="56"/>
      <c r="CPZ28" s="56"/>
      <c r="CQJ28" s="56"/>
      <c r="CQT28" s="56"/>
      <c r="CRD28" s="56"/>
      <c r="CRN28" s="56"/>
      <c r="CRX28" s="56"/>
      <c r="CSH28" s="56"/>
      <c r="CSR28" s="56"/>
      <c r="CTB28" s="56"/>
      <c r="CTL28" s="56"/>
      <c r="CTV28" s="56"/>
    </row>
    <row r="29" s="42" customFormat="1" customHeight="1" spans="1:1020 1030:2040 2050:2570">
      <c r="A29" s="51"/>
      <c r="B29" s="52"/>
      <c r="C29" s="52"/>
      <c r="D29" s="52"/>
      <c r="E29" s="52"/>
      <c r="F29" s="53" t="str">
        <f>IFERROR(VLOOKUP(E29,日报!E:G,2,0),"")</f>
        <v/>
      </c>
      <c r="G29" s="52"/>
      <c r="H29" s="54" t="str">
        <f>IFERROR(VLOOKUP(E29,日报!E:H,4,0),"")</f>
        <v/>
      </c>
      <c r="I29" s="54" t="str">
        <f>IFERROR(VLOOKUP(E29,日报!E:G,3,0),"")</f>
        <v/>
      </c>
      <c r="J29" s="52"/>
      <c r="K29" s="55" t="str">
        <f t="shared" si="0"/>
        <v/>
      </c>
      <c r="T29" s="56"/>
      <c r="AD29" s="56"/>
      <c r="AN29" s="56"/>
      <c r="AX29" s="56"/>
      <c r="BH29" s="56"/>
      <c r="BR29" s="56"/>
      <c r="CB29" s="56"/>
      <c r="CL29" s="56"/>
      <c r="CV29" s="56"/>
      <c r="DF29" s="56"/>
      <c r="DP29" s="56"/>
      <c r="DZ29" s="56"/>
      <c r="EJ29" s="56"/>
      <c r="ET29" s="56"/>
      <c r="FD29" s="56"/>
      <c r="FN29" s="56"/>
      <c r="FX29" s="56"/>
      <c r="GH29" s="56"/>
      <c r="GR29" s="56"/>
      <c r="HB29" s="56"/>
      <c r="HL29" s="56"/>
      <c r="HV29" s="56"/>
      <c r="IF29" s="56"/>
      <c r="IP29" s="56"/>
      <c r="IZ29" s="56"/>
      <c r="JJ29" s="56"/>
      <c r="JT29" s="56"/>
      <c r="KD29" s="56"/>
      <c r="KN29" s="56"/>
      <c r="KX29" s="56"/>
      <c r="LH29" s="56"/>
      <c r="LR29" s="56"/>
      <c r="MB29" s="56"/>
      <c r="ML29" s="56"/>
      <c r="MV29" s="56"/>
      <c r="NF29" s="56"/>
      <c r="NP29" s="56"/>
      <c r="NZ29" s="56"/>
      <c r="OJ29" s="56"/>
      <c r="OT29" s="56"/>
      <c r="PD29" s="56"/>
      <c r="PN29" s="56"/>
      <c r="PX29" s="56"/>
      <c r="QH29" s="56"/>
      <c r="QR29" s="56"/>
      <c r="RB29" s="56"/>
      <c r="RL29" s="56"/>
      <c r="RV29" s="56"/>
      <c r="SF29" s="56"/>
      <c r="SP29" s="56"/>
      <c r="SZ29" s="56"/>
      <c r="TJ29" s="56"/>
      <c r="TT29" s="56"/>
      <c r="UD29" s="56"/>
      <c r="UN29" s="56"/>
      <c r="UX29" s="56"/>
      <c r="VH29" s="56"/>
      <c r="VR29" s="56"/>
      <c r="WB29" s="56"/>
      <c r="WL29" s="56"/>
      <c r="WV29" s="56"/>
      <c r="XF29" s="56"/>
      <c r="XP29" s="56"/>
      <c r="XZ29" s="56"/>
      <c r="YJ29" s="56"/>
      <c r="YT29" s="56"/>
      <c r="ZD29" s="56"/>
      <c r="ZN29" s="56"/>
      <c r="ZX29" s="56"/>
      <c r="AAH29" s="56"/>
      <c r="AAR29" s="56"/>
      <c r="ABB29" s="56"/>
      <c r="ABL29" s="56"/>
      <c r="ABV29" s="56"/>
      <c r="ACF29" s="56"/>
      <c r="ACP29" s="56"/>
      <c r="ACZ29" s="56"/>
      <c r="ADJ29" s="56"/>
      <c r="ADT29" s="56"/>
      <c r="AED29" s="56"/>
      <c r="AEN29" s="56"/>
      <c r="AEX29" s="56"/>
      <c r="AFH29" s="56"/>
      <c r="AFR29" s="56"/>
      <c r="AGB29" s="56"/>
      <c r="AGL29" s="56"/>
      <c r="AGV29" s="56"/>
      <c r="AHF29" s="56"/>
      <c r="AHP29" s="56"/>
      <c r="AHZ29" s="56"/>
      <c r="AIJ29" s="56"/>
      <c r="AIT29" s="56"/>
      <c r="AJD29" s="56"/>
      <c r="AJN29" s="56"/>
      <c r="AJX29" s="56"/>
      <c r="AKH29" s="56"/>
      <c r="AKR29" s="56"/>
      <c r="ALB29" s="56"/>
      <c r="ALL29" s="56"/>
      <c r="ALV29" s="56"/>
      <c r="AMF29" s="56"/>
      <c r="AMP29" s="56"/>
      <c r="AMZ29" s="56"/>
      <c r="ANJ29" s="56"/>
      <c r="ANT29" s="56"/>
      <c r="AOD29" s="56"/>
      <c r="AON29" s="56"/>
      <c r="AOX29" s="56"/>
      <c r="APH29" s="56"/>
      <c r="APR29" s="56"/>
      <c r="AQB29" s="56"/>
      <c r="AQL29" s="56"/>
      <c r="AQV29" s="56"/>
      <c r="ARF29" s="56"/>
      <c r="ARP29" s="56"/>
      <c r="ARZ29" s="56"/>
      <c r="ASJ29" s="56"/>
      <c r="AST29" s="56"/>
      <c r="ATD29" s="56"/>
      <c r="ATN29" s="56"/>
      <c r="ATX29" s="56"/>
      <c r="AUH29" s="56"/>
      <c r="AUR29" s="56"/>
      <c r="AVB29" s="56"/>
      <c r="AVL29" s="56"/>
      <c r="AVV29" s="56"/>
      <c r="AWF29" s="56"/>
      <c r="AWP29" s="56"/>
      <c r="AWZ29" s="56"/>
      <c r="AXJ29" s="56"/>
      <c r="AXT29" s="56"/>
      <c r="AYD29" s="56"/>
      <c r="AYN29" s="56"/>
      <c r="AYX29" s="56"/>
      <c r="AZH29" s="56"/>
      <c r="AZR29" s="56"/>
      <c r="BAB29" s="56"/>
      <c r="BAL29" s="56"/>
      <c r="BAV29" s="56"/>
      <c r="BBF29" s="56"/>
      <c r="BBP29" s="56"/>
      <c r="BBZ29" s="56"/>
      <c r="BCJ29" s="56"/>
      <c r="BCT29" s="56"/>
      <c r="BDD29" s="56"/>
      <c r="BDN29" s="56"/>
      <c r="BDX29" s="56"/>
      <c r="BEH29" s="56"/>
      <c r="BER29" s="56"/>
      <c r="BFB29" s="56"/>
      <c r="BFL29" s="56"/>
      <c r="BFV29" s="56"/>
      <c r="BGF29" s="56"/>
      <c r="BGP29" s="56"/>
      <c r="BGZ29" s="56"/>
      <c r="BHJ29" s="56"/>
      <c r="BHT29" s="56"/>
      <c r="BID29" s="56"/>
      <c r="BIN29" s="56"/>
      <c r="BIX29" s="56"/>
      <c r="BJH29" s="56"/>
      <c r="BJR29" s="56"/>
      <c r="BKB29" s="56"/>
      <c r="BKL29" s="56"/>
      <c r="BKV29" s="56"/>
      <c r="BLF29" s="56"/>
      <c r="BLP29" s="56"/>
      <c r="BLZ29" s="56"/>
      <c r="BMJ29" s="56"/>
      <c r="BMT29" s="56"/>
      <c r="BND29" s="56"/>
      <c r="BNN29" s="56"/>
      <c r="BNX29" s="56"/>
      <c r="BOH29" s="56"/>
      <c r="BOR29" s="56"/>
      <c r="BPB29" s="56"/>
      <c r="BPL29" s="56"/>
      <c r="BPV29" s="56"/>
      <c r="BQF29" s="56"/>
      <c r="BQP29" s="56"/>
      <c r="BQZ29" s="56"/>
      <c r="BRJ29" s="56"/>
      <c r="BRT29" s="56"/>
      <c r="BSD29" s="56"/>
      <c r="BSN29" s="56"/>
      <c r="BSX29" s="56"/>
      <c r="BTH29" s="56"/>
      <c r="BTR29" s="56"/>
      <c r="BUB29" s="56"/>
      <c r="BUL29" s="56"/>
      <c r="BUV29" s="56"/>
      <c r="BVF29" s="56"/>
      <c r="BVP29" s="56"/>
      <c r="BVZ29" s="56"/>
      <c r="BWJ29" s="56"/>
      <c r="BWT29" s="56"/>
      <c r="BXD29" s="56"/>
      <c r="BXN29" s="56"/>
      <c r="BXX29" s="56"/>
      <c r="BYH29" s="56"/>
      <c r="BYR29" s="56"/>
      <c r="BZB29" s="56"/>
      <c r="BZL29" s="56"/>
      <c r="BZV29" s="56"/>
      <c r="CAF29" s="56"/>
      <c r="CAP29" s="56"/>
      <c r="CAZ29" s="56"/>
      <c r="CBJ29" s="56"/>
      <c r="CBT29" s="56"/>
      <c r="CCD29" s="56"/>
      <c r="CCN29" s="56"/>
      <c r="CCX29" s="56"/>
      <c r="CDH29" s="56"/>
      <c r="CDR29" s="56"/>
      <c r="CEB29" s="56"/>
      <c r="CEL29" s="56"/>
      <c r="CEV29" s="56"/>
      <c r="CFF29" s="56"/>
      <c r="CFP29" s="56"/>
      <c r="CFZ29" s="56"/>
      <c r="CGJ29" s="56"/>
      <c r="CGT29" s="56"/>
      <c r="CHD29" s="56"/>
      <c r="CHN29" s="56"/>
      <c r="CHX29" s="56"/>
      <c r="CIH29" s="56"/>
      <c r="CIR29" s="56"/>
      <c r="CJB29" s="56"/>
      <c r="CJL29" s="56"/>
      <c r="CJV29" s="56"/>
      <c r="CKF29" s="56"/>
      <c r="CKP29" s="56"/>
      <c r="CKZ29" s="56"/>
      <c r="CLJ29" s="56"/>
      <c r="CLT29" s="56"/>
      <c r="CMD29" s="56"/>
      <c r="CMN29" s="56"/>
      <c r="CMX29" s="56"/>
      <c r="CNH29" s="56"/>
      <c r="CNR29" s="56"/>
      <c r="COB29" s="56"/>
      <c r="COL29" s="56"/>
      <c r="COV29" s="56"/>
      <c r="CPF29" s="56"/>
      <c r="CPP29" s="56"/>
      <c r="CPZ29" s="56"/>
      <c r="CQJ29" s="56"/>
      <c r="CQT29" s="56"/>
      <c r="CRD29" s="56"/>
      <c r="CRN29" s="56"/>
      <c r="CRX29" s="56"/>
      <c r="CSH29" s="56"/>
      <c r="CSR29" s="56"/>
      <c r="CTB29" s="56"/>
      <c r="CTL29" s="56"/>
      <c r="CTV29" s="56"/>
    </row>
    <row r="30" s="42" customFormat="1" customHeight="1" spans="1:1020 1030:2040 2050:2570">
      <c r="A30" s="51"/>
      <c r="B30" s="52"/>
      <c r="C30" s="52"/>
      <c r="D30" s="52"/>
      <c r="E30" s="52"/>
      <c r="F30" s="53" t="str">
        <f>IFERROR(VLOOKUP(E30,日报!E:G,2,0),"")</f>
        <v/>
      </c>
      <c r="G30" s="52"/>
      <c r="H30" s="54" t="str">
        <f>IFERROR(VLOOKUP(E30,日报!E:H,4,0),"")</f>
        <v/>
      </c>
      <c r="I30" s="54" t="str">
        <f>IFERROR(VLOOKUP(E30,日报!E:G,3,0),"")</f>
        <v/>
      </c>
      <c r="J30" s="52"/>
      <c r="K30" s="55" t="str">
        <f t="shared" si="0"/>
        <v/>
      </c>
      <c r="T30" s="56"/>
      <c r="AD30" s="56"/>
      <c r="AN30" s="56"/>
      <c r="AX30" s="56"/>
      <c r="BH30" s="56"/>
      <c r="BR30" s="56"/>
      <c r="CB30" s="56"/>
      <c r="CL30" s="56"/>
      <c r="CV30" s="56"/>
      <c r="DF30" s="56"/>
      <c r="DP30" s="56"/>
      <c r="DZ30" s="56"/>
      <c r="EJ30" s="56"/>
      <c r="ET30" s="56"/>
      <c r="FD30" s="56"/>
      <c r="FN30" s="56"/>
      <c r="FX30" s="56"/>
      <c r="GH30" s="56"/>
      <c r="GR30" s="56"/>
      <c r="HB30" s="56"/>
      <c r="HL30" s="56"/>
      <c r="HV30" s="56"/>
      <c r="IF30" s="56"/>
      <c r="IP30" s="56"/>
      <c r="IZ30" s="56"/>
      <c r="JJ30" s="56"/>
      <c r="JT30" s="56"/>
      <c r="KD30" s="56"/>
      <c r="KN30" s="56"/>
      <c r="KX30" s="56"/>
      <c r="LH30" s="56"/>
      <c r="LR30" s="56"/>
      <c r="MB30" s="56"/>
      <c r="ML30" s="56"/>
      <c r="MV30" s="56"/>
      <c r="NF30" s="56"/>
      <c r="NP30" s="56"/>
      <c r="NZ30" s="56"/>
      <c r="OJ30" s="56"/>
      <c r="OT30" s="56"/>
      <c r="PD30" s="56"/>
      <c r="PN30" s="56"/>
      <c r="PX30" s="56"/>
      <c r="QH30" s="56"/>
      <c r="QR30" s="56"/>
      <c r="RB30" s="56"/>
      <c r="RL30" s="56"/>
      <c r="RV30" s="56"/>
      <c r="SF30" s="56"/>
      <c r="SP30" s="56"/>
      <c r="SZ30" s="56"/>
      <c r="TJ30" s="56"/>
      <c r="TT30" s="56"/>
      <c r="UD30" s="56"/>
      <c r="UN30" s="56"/>
      <c r="UX30" s="56"/>
      <c r="VH30" s="56"/>
      <c r="VR30" s="56"/>
      <c r="WB30" s="56"/>
      <c r="WL30" s="56"/>
      <c r="WV30" s="56"/>
      <c r="XF30" s="56"/>
      <c r="XP30" s="56"/>
      <c r="XZ30" s="56"/>
      <c r="YJ30" s="56"/>
      <c r="YT30" s="56"/>
      <c r="ZD30" s="56"/>
      <c r="ZN30" s="56"/>
      <c r="ZX30" s="56"/>
      <c r="AAH30" s="56"/>
      <c r="AAR30" s="56"/>
      <c r="ABB30" s="56"/>
      <c r="ABL30" s="56"/>
      <c r="ABV30" s="56"/>
      <c r="ACF30" s="56"/>
      <c r="ACP30" s="56"/>
      <c r="ACZ30" s="56"/>
      <c r="ADJ30" s="56"/>
      <c r="ADT30" s="56"/>
      <c r="AED30" s="56"/>
      <c r="AEN30" s="56"/>
      <c r="AEX30" s="56"/>
      <c r="AFH30" s="56"/>
      <c r="AFR30" s="56"/>
      <c r="AGB30" s="56"/>
      <c r="AGL30" s="56"/>
      <c r="AGV30" s="56"/>
      <c r="AHF30" s="56"/>
      <c r="AHP30" s="56"/>
      <c r="AHZ30" s="56"/>
      <c r="AIJ30" s="56"/>
      <c r="AIT30" s="56"/>
      <c r="AJD30" s="56"/>
      <c r="AJN30" s="56"/>
      <c r="AJX30" s="56"/>
      <c r="AKH30" s="56"/>
      <c r="AKR30" s="56"/>
      <c r="ALB30" s="56"/>
      <c r="ALL30" s="56"/>
      <c r="ALV30" s="56"/>
      <c r="AMF30" s="56"/>
      <c r="AMP30" s="56"/>
      <c r="AMZ30" s="56"/>
      <c r="ANJ30" s="56"/>
      <c r="ANT30" s="56"/>
      <c r="AOD30" s="56"/>
      <c r="AON30" s="56"/>
      <c r="AOX30" s="56"/>
      <c r="APH30" s="56"/>
      <c r="APR30" s="56"/>
      <c r="AQB30" s="56"/>
      <c r="AQL30" s="56"/>
      <c r="AQV30" s="56"/>
      <c r="ARF30" s="56"/>
      <c r="ARP30" s="56"/>
      <c r="ARZ30" s="56"/>
      <c r="ASJ30" s="56"/>
      <c r="AST30" s="56"/>
      <c r="ATD30" s="56"/>
      <c r="ATN30" s="56"/>
      <c r="ATX30" s="56"/>
      <c r="AUH30" s="56"/>
      <c r="AUR30" s="56"/>
      <c r="AVB30" s="56"/>
      <c r="AVL30" s="56"/>
      <c r="AVV30" s="56"/>
      <c r="AWF30" s="56"/>
      <c r="AWP30" s="56"/>
      <c r="AWZ30" s="56"/>
      <c r="AXJ30" s="56"/>
      <c r="AXT30" s="56"/>
      <c r="AYD30" s="56"/>
      <c r="AYN30" s="56"/>
      <c r="AYX30" s="56"/>
      <c r="AZH30" s="56"/>
      <c r="AZR30" s="56"/>
      <c r="BAB30" s="56"/>
      <c r="BAL30" s="56"/>
      <c r="BAV30" s="56"/>
      <c r="BBF30" s="56"/>
      <c r="BBP30" s="56"/>
      <c r="BBZ30" s="56"/>
      <c r="BCJ30" s="56"/>
      <c r="BCT30" s="56"/>
      <c r="BDD30" s="56"/>
      <c r="BDN30" s="56"/>
      <c r="BDX30" s="56"/>
      <c r="BEH30" s="56"/>
      <c r="BER30" s="56"/>
      <c r="BFB30" s="56"/>
      <c r="BFL30" s="56"/>
      <c r="BFV30" s="56"/>
      <c r="BGF30" s="56"/>
      <c r="BGP30" s="56"/>
      <c r="BGZ30" s="56"/>
      <c r="BHJ30" s="56"/>
      <c r="BHT30" s="56"/>
      <c r="BID30" s="56"/>
      <c r="BIN30" s="56"/>
      <c r="BIX30" s="56"/>
      <c r="BJH30" s="56"/>
      <c r="BJR30" s="56"/>
      <c r="BKB30" s="56"/>
      <c r="BKL30" s="56"/>
      <c r="BKV30" s="56"/>
      <c r="BLF30" s="56"/>
      <c r="BLP30" s="56"/>
      <c r="BLZ30" s="56"/>
      <c r="BMJ30" s="56"/>
      <c r="BMT30" s="56"/>
      <c r="BND30" s="56"/>
      <c r="BNN30" s="56"/>
      <c r="BNX30" s="56"/>
      <c r="BOH30" s="56"/>
      <c r="BOR30" s="56"/>
      <c r="BPB30" s="56"/>
      <c r="BPL30" s="56"/>
      <c r="BPV30" s="56"/>
      <c r="BQF30" s="56"/>
      <c r="BQP30" s="56"/>
      <c r="BQZ30" s="56"/>
      <c r="BRJ30" s="56"/>
      <c r="BRT30" s="56"/>
      <c r="BSD30" s="56"/>
      <c r="BSN30" s="56"/>
      <c r="BSX30" s="56"/>
      <c r="BTH30" s="56"/>
      <c r="BTR30" s="56"/>
      <c r="BUB30" s="56"/>
      <c r="BUL30" s="56"/>
      <c r="BUV30" s="56"/>
      <c r="BVF30" s="56"/>
      <c r="BVP30" s="56"/>
      <c r="BVZ30" s="56"/>
      <c r="BWJ30" s="56"/>
      <c r="BWT30" s="56"/>
      <c r="BXD30" s="56"/>
      <c r="BXN30" s="56"/>
      <c r="BXX30" s="56"/>
      <c r="BYH30" s="56"/>
      <c r="BYR30" s="56"/>
      <c r="BZB30" s="56"/>
      <c r="BZL30" s="56"/>
      <c r="BZV30" s="56"/>
      <c r="CAF30" s="56"/>
      <c r="CAP30" s="56"/>
      <c r="CAZ30" s="56"/>
      <c r="CBJ30" s="56"/>
      <c r="CBT30" s="56"/>
      <c r="CCD30" s="56"/>
      <c r="CCN30" s="56"/>
      <c r="CCX30" s="56"/>
      <c r="CDH30" s="56"/>
      <c r="CDR30" s="56"/>
      <c r="CEB30" s="56"/>
      <c r="CEL30" s="56"/>
      <c r="CEV30" s="56"/>
      <c r="CFF30" s="56"/>
      <c r="CFP30" s="56"/>
      <c r="CFZ30" s="56"/>
      <c r="CGJ30" s="56"/>
      <c r="CGT30" s="56"/>
      <c r="CHD30" s="56"/>
      <c r="CHN30" s="56"/>
      <c r="CHX30" s="56"/>
      <c r="CIH30" s="56"/>
      <c r="CIR30" s="56"/>
      <c r="CJB30" s="56"/>
      <c r="CJL30" s="56"/>
      <c r="CJV30" s="56"/>
      <c r="CKF30" s="56"/>
      <c r="CKP30" s="56"/>
      <c r="CKZ30" s="56"/>
      <c r="CLJ30" s="56"/>
      <c r="CLT30" s="56"/>
      <c r="CMD30" s="56"/>
      <c r="CMN30" s="56"/>
      <c r="CMX30" s="56"/>
      <c r="CNH30" s="56"/>
      <c r="CNR30" s="56"/>
      <c r="COB30" s="56"/>
      <c r="COL30" s="56"/>
      <c r="COV30" s="56"/>
      <c r="CPF30" s="56"/>
      <c r="CPP30" s="56"/>
      <c r="CPZ30" s="56"/>
      <c r="CQJ30" s="56"/>
      <c r="CQT30" s="56"/>
      <c r="CRD30" s="56"/>
      <c r="CRN30" s="56"/>
      <c r="CRX30" s="56"/>
      <c r="CSH30" s="56"/>
      <c r="CSR30" s="56"/>
      <c r="CTB30" s="56"/>
      <c r="CTL30" s="56"/>
      <c r="CTV30" s="56"/>
    </row>
    <row r="31" s="42" customFormat="1" customHeight="1" spans="1:1020 1030:2040 2050:2570">
      <c r="A31" s="51"/>
      <c r="B31" s="52"/>
      <c r="C31" s="52"/>
      <c r="D31" s="52"/>
      <c r="E31" s="52"/>
      <c r="F31" s="53" t="str">
        <f>IFERROR(VLOOKUP(E31,日报!E:G,2,0),"")</f>
        <v/>
      </c>
      <c r="G31" s="52"/>
      <c r="H31" s="54" t="str">
        <f>IFERROR(VLOOKUP(E31,日报!E:H,4,0),"")</f>
        <v/>
      </c>
      <c r="I31" s="54" t="str">
        <f>IFERROR(VLOOKUP(E31,日报!E:G,3,0),"")</f>
        <v/>
      </c>
      <c r="J31" s="52"/>
      <c r="K31" s="55" t="str">
        <f t="shared" si="0"/>
        <v/>
      </c>
      <c r="T31" s="56"/>
      <c r="AD31" s="56"/>
      <c r="AN31" s="56"/>
      <c r="AX31" s="56"/>
      <c r="BH31" s="56"/>
      <c r="BR31" s="56"/>
      <c r="CB31" s="56"/>
      <c r="CL31" s="56"/>
      <c r="CV31" s="56"/>
      <c r="DF31" s="56"/>
      <c r="DP31" s="56"/>
      <c r="DZ31" s="56"/>
      <c r="EJ31" s="56"/>
      <c r="ET31" s="56"/>
      <c r="FD31" s="56"/>
      <c r="FN31" s="56"/>
      <c r="FX31" s="56"/>
      <c r="GH31" s="56"/>
      <c r="GR31" s="56"/>
      <c r="HB31" s="56"/>
      <c r="HL31" s="56"/>
      <c r="HV31" s="56"/>
      <c r="IF31" s="56"/>
      <c r="IP31" s="56"/>
      <c r="IZ31" s="56"/>
      <c r="JJ31" s="56"/>
      <c r="JT31" s="56"/>
      <c r="KD31" s="56"/>
      <c r="KN31" s="56"/>
      <c r="KX31" s="56"/>
      <c r="LH31" s="56"/>
      <c r="LR31" s="56"/>
      <c r="MB31" s="56"/>
      <c r="ML31" s="56"/>
      <c r="MV31" s="56"/>
      <c r="NF31" s="56"/>
      <c r="NP31" s="56"/>
      <c r="NZ31" s="56"/>
      <c r="OJ31" s="56"/>
      <c r="OT31" s="56"/>
      <c r="PD31" s="56"/>
      <c r="PN31" s="56"/>
      <c r="PX31" s="56"/>
      <c r="QH31" s="56"/>
      <c r="QR31" s="56"/>
      <c r="RB31" s="56"/>
      <c r="RL31" s="56"/>
      <c r="RV31" s="56"/>
      <c r="SF31" s="56"/>
      <c r="SP31" s="56"/>
      <c r="SZ31" s="56"/>
      <c r="TJ31" s="56"/>
      <c r="TT31" s="56"/>
      <c r="UD31" s="56"/>
      <c r="UN31" s="56"/>
      <c r="UX31" s="56"/>
      <c r="VH31" s="56"/>
      <c r="VR31" s="56"/>
      <c r="WB31" s="56"/>
      <c r="WL31" s="56"/>
      <c r="WV31" s="56"/>
      <c r="XF31" s="56"/>
      <c r="XP31" s="56"/>
      <c r="XZ31" s="56"/>
      <c r="YJ31" s="56"/>
      <c r="YT31" s="56"/>
      <c r="ZD31" s="56"/>
      <c r="ZN31" s="56"/>
      <c r="ZX31" s="56"/>
      <c r="AAH31" s="56"/>
      <c r="AAR31" s="56"/>
      <c r="ABB31" s="56"/>
      <c r="ABL31" s="56"/>
      <c r="ABV31" s="56"/>
      <c r="ACF31" s="56"/>
      <c r="ACP31" s="56"/>
      <c r="ACZ31" s="56"/>
      <c r="ADJ31" s="56"/>
      <c r="ADT31" s="56"/>
      <c r="AED31" s="56"/>
      <c r="AEN31" s="56"/>
      <c r="AEX31" s="56"/>
      <c r="AFH31" s="56"/>
      <c r="AFR31" s="56"/>
      <c r="AGB31" s="56"/>
      <c r="AGL31" s="56"/>
      <c r="AGV31" s="56"/>
      <c r="AHF31" s="56"/>
      <c r="AHP31" s="56"/>
      <c r="AHZ31" s="56"/>
      <c r="AIJ31" s="56"/>
      <c r="AIT31" s="56"/>
      <c r="AJD31" s="56"/>
      <c r="AJN31" s="56"/>
      <c r="AJX31" s="56"/>
      <c r="AKH31" s="56"/>
      <c r="AKR31" s="56"/>
      <c r="ALB31" s="56"/>
      <c r="ALL31" s="56"/>
      <c r="ALV31" s="56"/>
      <c r="AMF31" s="56"/>
      <c r="AMP31" s="56"/>
      <c r="AMZ31" s="56"/>
      <c r="ANJ31" s="56"/>
      <c r="ANT31" s="56"/>
      <c r="AOD31" s="56"/>
      <c r="AON31" s="56"/>
      <c r="AOX31" s="56"/>
      <c r="APH31" s="56"/>
      <c r="APR31" s="56"/>
      <c r="AQB31" s="56"/>
      <c r="AQL31" s="56"/>
      <c r="AQV31" s="56"/>
      <c r="ARF31" s="56"/>
      <c r="ARP31" s="56"/>
      <c r="ARZ31" s="56"/>
      <c r="ASJ31" s="56"/>
      <c r="AST31" s="56"/>
      <c r="ATD31" s="56"/>
      <c r="ATN31" s="56"/>
      <c r="ATX31" s="56"/>
      <c r="AUH31" s="56"/>
      <c r="AUR31" s="56"/>
      <c r="AVB31" s="56"/>
      <c r="AVL31" s="56"/>
      <c r="AVV31" s="56"/>
      <c r="AWF31" s="56"/>
      <c r="AWP31" s="56"/>
      <c r="AWZ31" s="56"/>
      <c r="AXJ31" s="56"/>
      <c r="AXT31" s="56"/>
      <c r="AYD31" s="56"/>
      <c r="AYN31" s="56"/>
      <c r="AYX31" s="56"/>
      <c r="AZH31" s="56"/>
      <c r="AZR31" s="56"/>
      <c r="BAB31" s="56"/>
      <c r="BAL31" s="56"/>
      <c r="BAV31" s="56"/>
      <c r="BBF31" s="56"/>
      <c r="BBP31" s="56"/>
      <c r="BBZ31" s="56"/>
      <c r="BCJ31" s="56"/>
      <c r="BCT31" s="56"/>
      <c r="BDD31" s="56"/>
      <c r="BDN31" s="56"/>
      <c r="BDX31" s="56"/>
      <c r="BEH31" s="56"/>
      <c r="BER31" s="56"/>
      <c r="BFB31" s="56"/>
      <c r="BFL31" s="56"/>
      <c r="BFV31" s="56"/>
      <c r="BGF31" s="56"/>
      <c r="BGP31" s="56"/>
      <c r="BGZ31" s="56"/>
      <c r="BHJ31" s="56"/>
      <c r="BHT31" s="56"/>
      <c r="BID31" s="56"/>
      <c r="BIN31" s="56"/>
      <c r="BIX31" s="56"/>
      <c r="BJH31" s="56"/>
      <c r="BJR31" s="56"/>
      <c r="BKB31" s="56"/>
      <c r="BKL31" s="56"/>
      <c r="BKV31" s="56"/>
      <c r="BLF31" s="56"/>
      <c r="BLP31" s="56"/>
      <c r="BLZ31" s="56"/>
      <c r="BMJ31" s="56"/>
      <c r="BMT31" s="56"/>
      <c r="BND31" s="56"/>
      <c r="BNN31" s="56"/>
      <c r="BNX31" s="56"/>
      <c r="BOH31" s="56"/>
      <c r="BOR31" s="56"/>
      <c r="BPB31" s="56"/>
      <c r="BPL31" s="56"/>
      <c r="BPV31" s="56"/>
      <c r="BQF31" s="56"/>
      <c r="BQP31" s="56"/>
      <c r="BQZ31" s="56"/>
      <c r="BRJ31" s="56"/>
      <c r="BRT31" s="56"/>
      <c r="BSD31" s="56"/>
      <c r="BSN31" s="56"/>
      <c r="BSX31" s="56"/>
      <c r="BTH31" s="56"/>
      <c r="BTR31" s="56"/>
      <c r="BUB31" s="56"/>
      <c r="BUL31" s="56"/>
      <c r="BUV31" s="56"/>
      <c r="BVF31" s="56"/>
      <c r="BVP31" s="56"/>
      <c r="BVZ31" s="56"/>
      <c r="BWJ31" s="56"/>
      <c r="BWT31" s="56"/>
      <c r="BXD31" s="56"/>
      <c r="BXN31" s="56"/>
      <c r="BXX31" s="56"/>
      <c r="BYH31" s="56"/>
      <c r="BYR31" s="56"/>
      <c r="BZB31" s="56"/>
      <c r="BZL31" s="56"/>
      <c r="BZV31" s="56"/>
      <c r="CAF31" s="56"/>
      <c r="CAP31" s="56"/>
      <c r="CAZ31" s="56"/>
      <c r="CBJ31" s="56"/>
      <c r="CBT31" s="56"/>
      <c r="CCD31" s="56"/>
      <c r="CCN31" s="56"/>
      <c r="CCX31" s="56"/>
      <c r="CDH31" s="56"/>
      <c r="CDR31" s="56"/>
      <c r="CEB31" s="56"/>
      <c r="CEL31" s="56"/>
      <c r="CEV31" s="56"/>
      <c r="CFF31" s="56"/>
      <c r="CFP31" s="56"/>
      <c r="CFZ31" s="56"/>
      <c r="CGJ31" s="56"/>
      <c r="CGT31" s="56"/>
      <c r="CHD31" s="56"/>
      <c r="CHN31" s="56"/>
      <c r="CHX31" s="56"/>
      <c r="CIH31" s="56"/>
      <c r="CIR31" s="56"/>
      <c r="CJB31" s="56"/>
      <c r="CJL31" s="56"/>
      <c r="CJV31" s="56"/>
      <c r="CKF31" s="56"/>
      <c r="CKP31" s="56"/>
      <c r="CKZ31" s="56"/>
      <c r="CLJ31" s="56"/>
      <c r="CLT31" s="56"/>
      <c r="CMD31" s="56"/>
      <c r="CMN31" s="56"/>
      <c r="CMX31" s="56"/>
      <c r="CNH31" s="56"/>
      <c r="CNR31" s="56"/>
      <c r="COB31" s="56"/>
      <c r="COL31" s="56"/>
      <c r="COV31" s="56"/>
      <c r="CPF31" s="56"/>
      <c r="CPP31" s="56"/>
      <c r="CPZ31" s="56"/>
      <c r="CQJ31" s="56"/>
      <c r="CQT31" s="56"/>
      <c r="CRD31" s="56"/>
      <c r="CRN31" s="56"/>
      <c r="CRX31" s="56"/>
      <c r="CSH31" s="56"/>
      <c r="CSR31" s="56"/>
      <c r="CTB31" s="56"/>
      <c r="CTL31" s="56"/>
      <c r="CTV31" s="56"/>
    </row>
    <row r="32" s="42" customFormat="1" customHeight="1" spans="1:1020 1030:2040 2050:2570">
      <c r="A32" s="51"/>
      <c r="B32" s="52"/>
      <c r="C32" s="52"/>
      <c r="D32" s="52"/>
      <c r="E32" s="52"/>
      <c r="F32" s="53" t="str">
        <f>IFERROR(VLOOKUP(E32,日报!E:G,2,0),"")</f>
        <v/>
      </c>
      <c r="G32" s="52"/>
      <c r="H32" s="54" t="str">
        <f>IFERROR(VLOOKUP(E32,日报!E:H,4,0),"")</f>
        <v/>
      </c>
      <c r="I32" s="54" t="str">
        <f>IFERROR(VLOOKUP(E32,日报!E:G,3,0),"")</f>
        <v/>
      </c>
      <c r="J32" s="52"/>
      <c r="K32" s="55" t="str">
        <f t="shared" si="0"/>
        <v/>
      </c>
      <c r="T32" s="56"/>
      <c r="AD32" s="56"/>
      <c r="AN32" s="56"/>
      <c r="AX32" s="56"/>
      <c r="BH32" s="56"/>
      <c r="BR32" s="56"/>
      <c r="CB32" s="56"/>
      <c r="CL32" s="56"/>
      <c r="CV32" s="56"/>
      <c r="DF32" s="56"/>
      <c r="DP32" s="56"/>
      <c r="DZ32" s="56"/>
      <c r="EJ32" s="56"/>
      <c r="ET32" s="56"/>
      <c r="FD32" s="56"/>
      <c r="FN32" s="56"/>
      <c r="FX32" s="56"/>
      <c r="GH32" s="56"/>
      <c r="GR32" s="56"/>
      <c r="HB32" s="56"/>
      <c r="HL32" s="56"/>
      <c r="HV32" s="56"/>
      <c r="IF32" s="56"/>
      <c r="IP32" s="56"/>
      <c r="IZ32" s="56"/>
      <c r="JJ32" s="56"/>
      <c r="JT32" s="56"/>
      <c r="KD32" s="56"/>
      <c r="KN32" s="56"/>
      <c r="KX32" s="56"/>
      <c r="LH32" s="56"/>
      <c r="LR32" s="56"/>
      <c r="MB32" s="56"/>
      <c r="ML32" s="56"/>
      <c r="MV32" s="56"/>
      <c r="NF32" s="56"/>
      <c r="NP32" s="56"/>
      <c r="NZ32" s="56"/>
      <c r="OJ32" s="56"/>
      <c r="OT32" s="56"/>
      <c r="PD32" s="56"/>
      <c r="PN32" s="56"/>
      <c r="PX32" s="56"/>
      <c r="QH32" s="56"/>
      <c r="QR32" s="56"/>
      <c r="RB32" s="56"/>
      <c r="RL32" s="56"/>
      <c r="RV32" s="56"/>
      <c r="SF32" s="56"/>
      <c r="SP32" s="56"/>
      <c r="SZ32" s="56"/>
      <c r="TJ32" s="56"/>
      <c r="TT32" s="56"/>
      <c r="UD32" s="56"/>
      <c r="UN32" s="56"/>
      <c r="UX32" s="56"/>
      <c r="VH32" s="56"/>
      <c r="VR32" s="56"/>
      <c r="WB32" s="56"/>
      <c r="WL32" s="56"/>
      <c r="WV32" s="56"/>
      <c r="XF32" s="56"/>
      <c r="XP32" s="56"/>
      <c r="XZ32" s="56"/>
      <c r="YJ32" s="56"/>
      <c r="YT32" s="56"/>
      <c r="ZD32" s="56"/>
      <c r="ZN32" s="56"/>
      <c r="ZX32" s="56"/>
      <c r="AAH32" s="56"/>
      <c r="AAR32" s="56"/>
      <c r="ABB32" s="56"/>
      <c r="ABL32" s="56"/>
      <c r="ABV32" s="56"/>
      <c r="ACF32" s="56"/>
      <c r="ACP32" s="56"/>
      <c r="ACZ32" s="56"/>
      <c r="ADJ32" s="56"/>
      <c r="ADT32" s="56"/>
      <c r="AED32" s="56"/>
      <c r="AEN32" s="56"/>
      <c r="AEX32" s="56"/>
      <c r="AFH32" s="56"/>
      <c r="AFR32" s="56"/>
      <c r="AGB32" s="56"/>
      <c r="AGL32" s="56"/>
      <c r="AGV32" s="56"/>
      <c r="AHF32" s="56"/>
      <c r="AHP32" s="56"/>
      <c r="AHZ32" s="56"/>
      <c r="AIJ32" s="56"/>
      <c r="AIT32" s="56"/>
      <c r="AJD32" s="56"/>
      <c r="AJN32" s="56"/>
      <c r="AJX32" s="56"/>
      <c r="AKH32" s="56"/>
      <c r="AKR32" s="56"/>
      <c r="ALB32" s="56"/>
      <c r="ALL32" s="56"/>
      <c r="ALV32" s="56"/>
      <c r="AMF32" s="56"/>
      <c r="AMP32" s="56"/>
      <c r="AMZ32" s="56"/>
      <c r="ANJ32" s="56"/>
      <c r="ANT32" s="56"/>
      <c r="AOD32" s="56"/>
      <c r="AON32" s="56"/>
      <c r="AOX32" s="56"/>
      <c r="APH32" s="56"/>
      <c r="APR32" s="56"/>
      <c r="AQB32" s="56"/>
      <c r="AQL32" s="56"/>
      <c r="AQV32" s="56"/>
      <c r="ARF32" s="56"/>
      <c r="ARP32" s="56"/>
      <c r="ARZ32" s="56"/>
      <c r="ASJ32" s="56"/>
      <c r="AST32" s="56"/>
      <c r="ATD32" s="56"/>
      <c r="ATN32" s="56"/>
      <c r="ATX32" s="56"/>
      <c r="AUH32" s="56"/>
      <c r="AUR32" s="56"/>
      <c r="AVB32" s="56"/>
      <c r="AVL32" s="56"/>
      <c r="AVV32" s="56"/>
      <c r="AWF32" s="56"/>
      <c r="AWP32" s="56"/>
      <c r="AWZ32" s="56"/>
      <c r="AXJ32" s="56"/>
      <c r="AXT32" s="56"/>
      <c r="AYD32" s="56"/>
      <c r="AYN32" s="56"/>
      <c r="AYX32" s="56"/>
      <c r="AZH32" s="56"/>
      <c r="AZR32" s="56"/>
      <c r="BAB32" s="56"/>
      <c r="BAL32" s="56"/>
      <c r="BAV32" s="56"/>
      <c r="BBF32" s="56"/>
      <c r="BBP32" s="56"/>
      <c r="BBZ32" s="56"/>
      <c r="BCJ32" s="56"/>
      <c r="BCT32" s="56"/>
      <c r="BDD32" s="56"/>
      <c r="BDN32" s="56"/>
      <c r="BDX32" s="56"/>
      <c r="BEH32" s="56"/>
      <c r="BER32" s="56"/>
      <c r="BFB32" s="56"/>
      <c r="BFL32" s="56"/>
      <c r="BFV32" s="56"/>
      <c r="BGF32" s="56"/>
      <c r="BGP32" s="56"/>
      <c r="BGZ32" s="56"/>
      <c r="BHJ32" s="56"/>
      <c r="BHT32" s="56"/>
      <c r="BID32" s="56"/>
      <c r="BIN32" s="56"/>
      <c r="BIX32" s="56"/>
      <c r="BJH32" s="56"/>
      <c r="BJR32" s="56"/>
      <c r="BKB32" s="56"/>
      <c r="BKL32" s="56"/>
      <c r="BKV32" s="56"/>
      <c r="BLF32" s="56"/>
      <c r="BLP32" s="56"/>
      <c r="BLZ32" s="56"/>
      <c r="BMJ32" s="56"/>
      <c r="BMT32" s="56"/>
      <c r="BND32" s="56"/>
      <c r="BNN32" s="56"/>
      <c r="BNX32" s="56"/>
      <c r="BOH32" s="56"/>
      <c r="BOR32" s="56"/>
      <c r="BPB32" s="56"/>
      <c r="BPL32" s="56"/>
      <c r="BPV32" s="56"/>
      <c r="BQF32" s="56"/>
      <c r="BQP32" s="56"/>
      <c r="BQZ32" s="56"/>
      <c r="BRJ32" s="56"/>
      <c r="BRT32" s="56"/>
      <c r="BSD32" s="56"/>
      <c r="BSN32" s="56"/>
      <c r="BSX32" s="56"/>
      <c r="BTH32" s="56"/>
      <c r="BTR32" s="56"/>
      <c r="BUB32" s="56"/>
      <c r="BUL32" s="56"/>
      <c r="BUV32" s="56"/>
      <c r="BVF32" s="56"/>
      <c r="BVP32" s="56"/>
      <c r="BVZ32" s="56"/>
      <c r="BWJ32" s="56"/>
      <c r="BWT32" s="56"/>
      <c r="BXD32" s="56"/>
      <c r="BXN32" s="56"/>
      <c r="BXX32" s="56"/>
      <c r="BYH32" s="56"/>
      <c r="BYR32" s="56"/>
      <c r="BZB32" s="56"/>
      <c r="BZL32" s="56"/>
      <c r="BZV32" s="56"/>
      <c r="CAF32" s="56"/>
      <c r="CAP32" s="56"/>
      <c r="CAZ32" s="56"/>
      <c r="CBJ32" s="56"/>
      <c r="CBT32" s="56"/>
      <c r="CCD32" s="56"/>
      <c r="CCN32" s="56"/>
      <c r="CCX32" s="56"/>
      <c r="CDH32" s="56"/>
      <c r="CDR32" s="56"/>
      <c r="CEB32" s="56"/>
      <c r="CEL32" s="56"/>
      <c r="CEV32" s="56"/>
      <c r="CFF32" s="56"/>
      <c r="CFP32" s="56"/>
      <c r="CFZ32" s="56"/>
      <c r="CGJ32" s="56"/>
      <c r="CGT32" s="56"/>
      <c r="CHD32" s="56"/>
      <c r="CHN32" s="56"/>
      <c r="CHX32" s="56"/>
      <c r="CIH32" s="56"/>
      <c r="CIR32" s="56"/>
      <c r="CJB32" s="56"/>
      <c r="CJL32" s="56"/>
      <c r="CJV32" s="56"/>
      <c r="CKF32" s="56"/>
      <c r="CKP32" s="56"/>
      <c r="CKZ32" s="56"/>
      <c r="CLJ32" s="56"/>
      <c r="CLT32" s="56"/>
      <c r="CMD32" s="56"/>
      <c r="CMN32" s="56"/>
      <c r="CMX32" s="56"/>
      <c r="CNH32" s="56"/>
      <c r="CNR32" s="56"/>
      <c r="COB32" s="56"/>
      <c r="COL32" s="56"/>
      <c r="COV32" s="56"/>
      <c r="CPF32" s="56"/>
      <c r="CPP32" s="56"/>
      <c r="CPZ32" s="56"/>
      <c r="CQJ32" s="56"/>
      <c r="CQT32" s="56"/>
      <c r="CRD32" s="56"/>
      <c r="CRN32" s="56"/>
      <c r="CRX32" s="56"/>
      <c r="CSH32" s="56"/>
      <c r="CSR32" s="56"/>
      <c r="CTB32" s="56"/>
      <c r="CTL32" s="56"/>
      <c r="CTV32" s="56"/>
    </row>
    <row r="33" s="42" customFormat="1" customHeight="1" spans="1:1020 1030:2040 2050:2570">
      <c r="A33" s="51"/>
      <c r="B33" s="52"/>
      <c r="C33" s="52"/>
      <c r="D33" s="52"/>
      <c r="E33" s="52"/>
      <c r="F33" s="53" t="str">
        <f>IFERROR(VLOOKUP(E33,日报!E:G,2,0),"")</f>
        <v/>
      </c>
      <c r="G33" s="52"/>
      <c r="H33" s="54" t="str">
        <f>IFERROR(VLOOKUP(E33,日报!E:H,4,0),"")</f>
        <v/>
      </c>
      <c r="I33" s="54" t="str">
        <f>IFERROR(VLOOKUP(E33,日报!E:G,3,0),"")</f>
        <v/>
      </c>
      <c r="J33" s="52"/>
      <c r="K33" s="55" t="str">
        <f t="shared" si="0"/>
        <v/>
      </c>
      <c r="T33" s="56"/>
      <c r="AD33" s="56"/>
      <c r="AN33" s="56"/>
      <c r="AX33" s="56"/>
      <c r="BH33" s="56"/>
      <c r="BR33" s="56"/>
      <c r="CB33" s="56"/>
      <c r="CL33" s="56"/>
      <c r="CV33" s="56"/>
      <c r="DF33" s="56"/>
      <c r="DP33" s="56"/>
      <c r="DZ33" s="56"/>
      <c r="EJ33" s="56"/>
      <c r="ET33" s="56"/>
      <c r="FD33" s="56"/>
      <c r="FN33" s="56"/>
      <c r="FX33" s="56"/>
      <c r="GH33" s="56"/>
      <c r="GR33" s="56"/>
      <c r="HB33" s="56"/>
      <c r="HL33" s="56"/>
      <c r="HV33" s="56"/>
      <c r="IF33" s="56"/>
      <c r="IP33" s="56"/>
      <c r="IZ33" s="56"/>
      <c r="JJ33" s="56"/>
      <c r="JT33" s="56"/>
      <c r="KD33" s="56"/>
      <c r="KN33" s="56"/>
      <c r="KX33" s="56"/>
      <c r="LH33" s="56"/>
      <c r="LR33" s="56"/>
      <c r="MB33" s="56"/>
      <c r="ML33" s="56"/>
      <c r="MV33" s="56"/>
      <c r="NF33" s="56"/>
      <c r="NP33" s="56"/>
      <c r="NZ33" s="56"/>
      <c r="OJ33" s="56"/>
      <c r="OT33" s="56"/>
      <c r="PD33" s="56"/>
      <c r="PN33" s="56"/>
      <c r="PX33" s="56"/>
      <c r="QH33" s="56"/>
      <c r="QR33" s="56"/>
      <c r="RB33" s="56"/>
      <c r="RL33" s="56"/>
      <c r="RV33" s="56"/>
      <c r="SF33" s="56"/>
      <c r="SP33" s="56"/>
      <c r="SZ33" s="56"/>
      <c r="TJ33" s="56"/>
      <c r="TT33" s="56"/>
      <c r="UD33" s="56"/>
      <c r="UN33" s="56"/>
      <c r="UX33" s="56"/>
      <c r="VH33" s="56"/>
      <c r="VR33" s="56"/>
      <c r="WB33" s="56"/>
      <c r="WL33" s="56"/>
      <c r="WV33" s="56"/>
      <c r="XF33" s="56"/>
      <c r="XP33" s="56"/>
      <c r="XZ33" s="56"/>
      <c r="YJ33" s="56"/>
      <c r="YT33" s="56"/>
      <c r="ZD33" s="56"/>
      <c r="ZN33" s="56"/>
      <c r="ZX33" s="56"/>
      <c r="AAH33" s="56"/>
      <c r="AAR33" s="56"/>
      <c r="ABB33" s="56"/>
      <c r="ABL33" s="56"/>
      <c r="ABV33" s="56"/>
      <c r="ACF33" s="56"/>
      <c r="ACP33" s="56"/>
      <c r="ACZ33" s="56"/>
      <c r="ADJ33" s="56"/>
      <c r="ADT33" s="56"/>
      <c r="AED33" s="56"/>
      <c r="AEN33" s="56"/>
      <c r="AEX33" s="56"/>
      <c r="AFH33" s="56"/>
      <c r="AFR33" s="56"/>
      <c r="AGB33" s="56"/>
      <c r="AGL33" s="56"/>
      <c r="AGV33" s="56"/>
      <c r="AHF33" s="56"/>
      <c r="AHP33" s="56"/>
      <c r="AHZ33" s="56"/>
      <c r="AIJ33" s="56"/>
      <c r="AIT33" s="56"/>
      <c r="AJD33" s="56"/>
      <c r="AJN33" s="56"/>
      <c r="AJX33" s="56"/>
      <c r="AKH33" s="56"/>
      <c r="AKR33" s="56"/>
      <c r="ALB33" s="56"/>
      <c r="ALL33" s="56"/>
      <c r="ALV33" s="56"/>
      <c r="AMF33" s="56"/>
      <c r="AMP33" s="56"/>
      <c r="AMZ33" s="56"/>
      <c r="ANJ33" s="56"/>
      <c r="ANT33" s="56"/>
      <c r="AOD33" s="56"/>
      <c r="AON33" s="56"/>
      <c r="AOX33" s="56"/>
      <c r="APH33" s="56"/>
      <c r="APR33" s="56"/>
      <c r="AQB33" s="56"/>
      <c r="AQL33" s="56"/>
      <c r="AQV33" s="56"/>
      <c r="ARF33" s="56"/>
      <c r="ARP33" s="56"/>
      <c r="ARZ33" s="56"/>
      <c r="ASJ33" s="56"/>
      <c r="AST33" s="56"/>
      <c r="ATD33" s="56"/>
      <c r="ATN33" s="56"/>
      <c r="ATX33" s="56"/>
      <c r="AUH33" s="56"/>
      <c r="AUR33" s="56"/>
      <c r="AVB33" s="56"/>
      <c r="AVL33" s="56"/>
      <c r="AVV33" s="56"/>
      <c r="AWF33" s="56"/>
      <c r="AWP33" s="56"/>
      <c r="AWZ33" s="56"/>
      <c r="AXJ33" s="56"/>
      <c r="AXT33" s="56"/>
      <c r="AYD33" s="56"/>
      <c r="AYN33" s="56"/>
      <c r="AYX33" s="56"/>
      <c r="AZH33" s="56"/>
      <c r="AZR33" s="56"/>
      <c r="BAB33" s="56"/>
      <c r="BAL33" s="56"/>
      <c r="BAV33" s="56"/>
      <c r="BBF33" s="56"/>
      <c r="BBP33" s="56"/>
      <c r="BBZ33" s="56"/>
      <c r="BCJ33" s="56"/>
      <c r="BCT33" s="56"/>
      <c r="BDD33" s="56"/>
      <c r="BDN33" s="56"/>
      <c r="BDX33" s="56"/>
      <c r="BEH33" s="56"/>
      <c r="BER33" s="56"/>
      <c r="BFB33" s="56"/>
      <c r="BFL33" s="56"/>
      <c r="BFV33" s="56"/>
      <c r="BGF33" s="56"/>
      <c r="BGP33" s="56"/>
      <c r="BGZ33" s="56"/>
      <c r="BHJ33" s="56"/>
      <c r="BHT33" s="56"/>
      <c r="BID33" s="56"/>
      <c r="BIN33" s="56"/>
      <c r="BIX33" s="56"/>
      <c r="BJH33" s="56"/>
      <c r="BJR33" s="56"/>
      <c r="BKB33" s="56"/>
      <c r="BKL33" s="56"/>
      <c r="BKV33" s="56"/>
      <c r="BLF33" s="56"/>
      <c r="BLP33" s="56"/>
      <c r="BLZ33" s="56"/>
      <c r="BMJ33" s="56"/>
      <c r="BMT33" s="56"/>
      <c r="BND33" s="56"/>
      <c r="BNN33" s="56"/>
      <c r="BNX33" s="56"/>
      <c r="BOH33" s="56"/>
      <c r="BOR33" s="56"/>
      <c r="BPB33" s="56"/>
      <c r="BPL33" s="56"/>
      <c r="BPV33" s="56"/>
      <c r="BQF33" s="56"/>
      <c r="BQP33" s="56"/>
      <c r="BQZ33" s="56"/>
      <c r="BRJ33" s="56"/>
      <c r="BRT33" s="56"/>
      <c r="BSD33" s="56"/>
      <c r="BSN33" s="56"/>
      <c r="BSX33" s="56"/>
      <c r="BTH33" s="56"/>
      <c r="BTR33" s="56"/>
      <c r="BUB33" s="56"/>
      <c r="BUL33" s="56"/>
      <c r="BUV33" s="56"/>
      <c r="BVF33" s="56"/>
      <c r="BVP33" s="56"/>
      <c r="BVZ33" s="56"/>
      <c r="BWJ33" s="56"/>
      <c r="BWT33" s="56"/>
      <c r="BXD33" s="56"/>
      <c r="BXN33" s="56"/>
      <c r="BXX33" s="56"/>
      <c r="BYH33" s="56"/>
      <c r="BYR33" s="56"/>
      <c r="BZB33" s="56"/>
      <c r="BZL33" s="56"/>
      <c r="BZV33" s="56"/>
      <c r="CAF33" s="56"/>
      <c r="CAP33" s="56"/>
      <c r="CAZ33" s="56"/>
      <c r="CBJ33" s="56"/>
      <c r="CBT33" s="56"/>
      <c r="CCD33" s="56"/>
      <c r="CCN33" s="56"/>
      <c r="CCX33" s="56"/>
      <c r="CDH33" s="56"/>
      <c r="CDR33" s="56"/>
      <c r="CEB33" s="56"/>
      <c r="CEL33" s="56"/>
      <c r="CEV33" s="56"/>
      <c r="CFF33" s="56"/>
      <c r="CFP33" s="56"/>
      <c r="CFZ33" s="56"/>
      <c r="CGJ33" s="56"/>
      <c r="CGT33" s="56"/>
      <c r="CHD33" s="56"/>
      <c r="CHN33" s="56"/>
      <c r="CHX33" s="56"/>
      <c r="CIH33" s="56"/>
      <c r="CIR33" s="56"/>
      <c r="CJB33" s="56"/>
      <c r="CJL33" s="56"/>
      <c r="CJV33" s="56"/>
      <c r="CKF33" s="56"/>
      <c r="CKP33" s="56"/>
      <c r="CKZ33" s="56"/>
      <c r="CLJ33" s="56"/>
      <c r="CLT33" s="56"/>
      <c r="CMD33" s="56"/>
      <c r="CMN33" s="56"/>
      <c r="CMX33" s="56"/>
      <c r="CNH33" s="56"/>
      <c r="CNR33" s="56"/>
      <c r="COB33" s="56"/>
      <c r="COL33" s="56"/>
      <c r="COV33" s="56"/>
      <c r="CPF33" s="56"/>
      <c r="CPP33" s="56"/>
      <c r="CPZ33" s="56"/>
      <c r="CQJ33" s="56"/>
      <c r="CQT33" s="56"/>
      <c r="CRD33" s="56"/>
      <c r="CRN33" s="56"/>
      <c r="CRX33" s="56"/>
      <c r="CSH33" s="56"/>
      <c r="CSR33" s="56"/>
      <c r="CTB33" s="56"/>
      <c r="CTL33" s="56"/>
      <c r="CTV33" s="56"/>
    </row>
    <row r="34" s="42" customFormat="1" customHeight="1" spans="1:1020 1030:2040 2050:2570">
      <c r="A34" s="51"/>
      <c r="B34" s="52"/>
      <c r="C34" s="52"/>
      <c r="D34" s="52"/>
      <c r="E34" s="52"/>
      <c r="F34" s="53" t="str">
        <f>IFERROR(VLOOKUP(E34,日报!E:G,2,0),"")</f>
        <v/>
      </c>
      <c r="G34" s="52"/>
      <c r="H34" s="54" t="str">
        <f>IFERROR(VLOOKUP(E34,日报!E:H,4,0),"")</f>
        <v/>
      </c>
      <c r="I34" s="54" t="str">
        <f>IFERROR(VLOOKUP(E34,日报!E:G,3,0),"")</f>
        <v/>
      </c>
      <c r="J34" s="52"/>
      <c r="K34" s="55" t="str">
        <f t="shared" si="0"/>
        <v/>
      </c>
      <c r="T34" s="56"/>
      <c r="AD34" s="56"/>
      <c r="AN34" s="56"/>
      <c r="AX34" s="56"/>
      <c r="BH34" s="56"/>
      <c r="BR34" s="56"/>
      <c r="CB34" s="56"/>
      <c r="CL34" s="56"/>
      <c r="CV34" s="56"/>
      <c r="DF34" s="56"/>
      <c r="DP34" s="56"/>
      <c r="DZ34" s="56"/>
      <c r="EJ34" s="56"/>
      <c r="ET34" s="56"/>
      <c r="FD34" s="56"/>
      <c r="FN34" s="56"/>
      <c r="FX34" s="56"/>
      <c r="GH34" s="56"/>
      <c r="GR34" s="56"/>
      <c r="HB34" s="56"/>
      <c r="HL34" s="56"/>
      <c r="HV34" s="56"/>
      <c r="IF34" s="56"/>
      <c r="IP34" s="56"/>
      <c r="IZ34" s="56"/>
      <c r="JJ34" s="56"/>
      <c r="JT34" s="56"/>
      <c r="KD34" s="56"/>
      <c r="KN34" s="56"/>
      <c r="KX34" s="56"/>
      <c r="LH34" s="56"/>
      <c r="LR34" s="56"/>
      <c r="MB34" s="56"/>
      <c r="ML34" s="56"/>
      <c r="MV34" s="56"/>
      <c r="NF34" s="56"/>
      <c r="NP34" s="56"/>
      <c r="NZ34" s="56"/>
      <c r="OJ34" s="56"/>
      <c r="OT34" s="56"/>
      <c r="PD34" s="56"/>
      <c r="PN34" s="56"/>
      <c r="PX34" s="56"/>
      <c r="QH34" s="56"/>
      <c r="QR34" s="56"/>
      <c r="RB34" s="56"/>
      <c r="RL34" s="56"/>
      <c r="RV34" s="56"/>
      <c r="SF34" s="56"/>
      <c r="SP34" s="56"/>
      <c r="SZ34" s="56"/>
      <c r="TJ34" s="56"/>
      <c r="TT34" s="56"/>
      <c r="UD34" s="56"/>
      <c r="UN34" s="56"/>
      <c r="UX34" s="56"/>
      <c r="VH34" s="56"/>
      <c r="VR34" s="56"/>
      <c r="WB34" s="56"/>
      <c r="WL34" s="56"/>
      <c r="WV34" s="56"/>
      <c r="XF34" s="56"/>
      <c r="XP34" s="56"/>
      <c r="XZ34" s="56"/>
      <c r="YJ34" s="56"/>
      <c r="YT34" s="56"/>
      <c r="ZD34" s="56"/>
      <c r="ZN34" s="56"/>
      <c r="ZX34" s="56"/>
      <c r="AAH34" s="56"/>
      <c r="AAR34" s="56"/>
      <c r="ABB34" s="56"/>
      <c r="ABL34" s="56"/>
      <c r="ABV34" s="56"/>
      <c r="ACF34" s="56"/>
      <c r="ACP34" s="56"/>
      <c r="ACZ34" s="56"/>
      <c r="ADJ34" s="56"/>
      <c r="ADT34" s="56"/>
      <c r="AED34" s="56"/>
      <c r="AEN34" s="56"/>
      <c r="AEX34" s="56"/>
      <c r="AFH34" s="56"/>
      <c r="AFR34" s="56"/>
      <c r="AGB34" s="56"/>
      <c r="AGL34" s="56"/>
      <c r="AGV34" s="56"/>
      <c r="AHF34" s="56"/>
      <c r="AHP34" s="56"/>
      <c r="AHZ34" s="56"/>
      <c r="AIJ34" s="56"/>
      <c r="AIT34" s="56"/>
      <c r="AJD34" s="56"/>
      <c r="AJN34" s="56"/>
      <c r="AJX34" s="56"/>
      <c r="AKH34" s="56"/>
      <c r="AKR34" s="56"/>
      <c r="ALB34" s="56"/>
      <c r="ALL34" s="56"/>
      <c r="ALV34" s="56"/>
      <c r="AMF34" s="56"/>
      <c r="AMP34" s="56"/>
      <c r="AMZ34" s="56"/>
      <c r="ANJ34" s="56"/>
      <c r="ANT34" s="56"/>
      <c r="AOD34" s="56"/>
      <c r="AON34" s="56"/>
      <c r="AOX34" s="56"/>
      <c r="APH34" s="56"/>
      <c r="APR34" s="56"/>
      <c r="AQB34" s="56"/>
      <c r="AQL34" s="56"/>
      <c r="AQV34" s="56"/>
      <c r="ARF34" s="56"/>
      <c r="ARP34" s="56"/>
      <c r="ARZ34" s="56"/>
      <c r="ASJ34" s="56"/>
      <c r="AST34" s="56"/>
      <c r="ATD34" s="56"/>
      <c r="ATN34" s="56"/>
      <c r="ATX34" s="56"/>
      <c r="AUH34" s="56"/>
      <c r="AUR34" s="56"/>
      <c r="AVB34" s="56"/>
      <c r="AVL34" s="56"/>
      <c r="AVV34" s="56"/>
      <c r="AWF34" s="56"/>
      <c r="AWP34" s="56"/>
      <c r="AWZ34" s="56"/>
      <c r="AXJ34" s="56"/>
      <c r="AXT34" s="56"/>
      <c r="AYD34" s="56"/>
      <c r="AYN34" s="56"/>
      <c r="AYX34" s="56"/>
      <c r="AZH34" s="56"/>
      <c r="AZR34" s="56"/>
      <c r="BAB34" s="56"/>
      <c r="BAL34" s="56"/>
      <c r="BAV34" s="56"/>
      <c r="BBF34" s="56"/>
      <c r="BBP34" s="56"/>
      <c r="BBZ34" s="56"/>
      <c r="BCJ34" s="56"/>
      <c r="BCT34" s="56"/>
      <c r="BDD34" s="56"/>
      <c r="BDN34" s="56"/>
      <c r="BDX34" s="56"/>
      <c r="BEH34" s="56"/>
      <c r="BER34" s="56"/>
      <c r="BFB34" s="56"/>
      <c r="BFL34" s="56"/>
      <c r="BFV34" s="56"/>
      <c r="BGF34" s="56"/>
      <c r="BGP34" s="56"/>
      <c r="BGZ34" s="56"/>
      <c r="BHJ34" s="56"/>
      <c r="BHT34" s="56"/>
      <c r="BID34" s="56"/>
      <c r="BIN34" s="56"/>
      <c r="BIX34" s="56"/>
      <c r="BJH34" s="56"/>
      <c r="BJR34" s="56"/>
      <c r="BKB34" s="56"/>
      <c r="BKL34" s="56"/>
      <c r="BKV34" s="56"/>
      <c r="BLF34" s="56"/>
      <c r="BLP34" s="56"/>
      <c r="BLZ34" s="56"/>
      <c r="BMJ34" s="56"/>
      <c r="BMT34" s="56"/>
      <c r="BND34" s="56"/>
      <c r="BNN34" s="56"/>
      <c r="BNX34" s="56"/>
      <c r="BOH34" s="56"/>
      <c r="BOR34" s="56"/>
      <c r="BPB34" s="56"/>
      <c r="BPL34" s="56"/>
      <c r="BPV34" s="56"/>
      <c r="BQF34" s="56"/>
      <c r="BQP34" s="56"/>
      <c r="BQZ34" s="56"/>
      <c r="BRJ34" s="56"/>
      <c r="BRT34" s="56"/>
      <c r="BSD34" s="56"/>
      <c r="BSN34" s="56"/>
      <c r="BSX34" s="56"/>
      <c r="BTH34" s="56"/>
      <c r="BTR34" s="56"/>
      <c r="BUB34" s="56"/>
      <c r="BUL34" s="56"/>
      <c r="BUV34" s="56"/>
      <c r="BVF34" s="56"/>
      <c r="BVP34" s="56"/>
      <c r="BVZ34" s="56"/>
      <c r="BWJ34" s="56"/>
      <c r="BWT34" s="56"/>
      <c r="BXD34" s="56"/>
      <c r="BXN34" s="56"/>
      <c r="BXX34" s="56"/>
      <c r="BYH34" s="56"/>
      <c r="BYR34" s="56"/>
      <c r="BZB34" s="56"/>
      <c r="BZL34" s="56"/>
      <c r="BZV34" s="56"/>
      <c r="CAF34" s="56"/>
      <c r="CAP34" s="56"/>
      <c r="CAZ34" s="56"/>
      <c r="CBJ34" s="56"/>
      <c r="CBT34" s="56"/>
      <c r="CCD34" s="56"/>
      <c r="CCN34" s="56"/>
      <c r="CCX34" s="56"/>
      <c r="CDH34" s="56"/>
      <c r="CDR34" s="56"/>
      <c r="CEB34" s="56"/>
      <c r="CEL34" s="56"/>
      <c r="CEV34" s="56"/>
      <c r="CFF34" s="56"/>
      <c r="CFP34" s="56"/>
      <c r="CFZ34" s="56"/>
      <c r="CGJ34" s="56"/>
      <c r="CGT34" s="56"/>
      <c r="CHD34" s="56"/>
      <c r="CHN34" s="56"/>
      <c r="CHX34" s="56"/>
      <c r="CIH34" s="56"/>
      <c r="CIR34" s="56"/>
      <c r="CJB34" s="56"/>
      <c r="CJL34" s="56"/>
      <c r="CJV34" s="56"/>
      <c r="CKF34" s="56"/>
      <c r="CKP34" s="56"/>
      <c r="CKZ34" s="56"/>
      <c r="CLJ34" s="56"/>
      <c r="CLT34" s="56"/>
      <c r="CMD34" s="56"/>
      <c r="CMN34" s="56"/>
      <c r="CMX34" s="56"/>
      <c r="CNH34" s="56"/>
      <c r="CNR34" s="56"/>
      <c r="COB34" s="56"/>
      <c r="COL34" s="56"/>
      <c r="COV34" s="56"/>
      <c r="CPF34" s="56"/>
      <c r="CPP34" s="56"/>
      <c r="CPZ34" s="56"/>
      <c r="CQJ34" s="56"/>
      <c r="CQT34" s="56"/>
      <c r="CRD34" s="56"/>
      <c r="CRN34" s="56"/>
      <c r="CRX34" s="56"/>
      <c r="CSH34" s="56"/>
      <c r="CSR34" s="56"/>
      <c r="CTB34" s="56"/>
      <c r="CTL34" s="56"/>
      <c r="CTV34" s="56"/>
    </row>
    <row r="35" s="42" customFormat="1" customHeight="1" spans="1:1020 1030:2040 2050:2570">
      <c r="A35" s="51"/>
      <c r="B35" s="52"/>
      <c r="C35" s="52"/>
      <c r="D35" s="52"/>
      <c r="E35" s="52"/>
      <c r="F35" s="53" t="str">
        <f>IFERROR(VLOOKUP(E35,日报!E:G,2,0),"")</f>
        <v/>
      </c>
      <c r="G35" s="52"/>
      <c r="H35" s="54" t="str">
        <f>IFERROR(VLOOKUP(E35,日报!E:H,4,0),"")</f>
        <v/>
      </c>
      <c r="I35" s="54" t="str">
        <f>IFERROR(VLOOKUP(E35,日报!E:G,3,0),"")</f>
        <v/>
      </c>
      <c r="J35" s="52"/>
      <c r="K35" s="55" t="str">
        <f t="shared" si="0"/>
        <v/>
      </c>
      <c r="T35" s="56"/>
      <c r="AD35" s="56"/>
      <c r="AN35" s="56"/>
      <c r="AX35" s="56"/>
      <c r="BH35" s="56"/>
      <c r="BR35" s="56"/>
      <c r="CB35" s="56"/>
      <c r="CL35" s="56"/>
      <c r="CV35" s="56"/>
      <c r="DF35" s="56"/>
      <c r="DP35" s="56"/>
      <c r="DZ35" s="56"/>
      <c r="EJ35" s="56"/>
      <c r="ET35" s="56"/>
      <c r="FD35" s="56"/>
      <c r="FN35" s="56"/>
      <c r="FX35" s="56"/>
      <c r="GH35" s="56"/>
      <c r="GR35" s="56"/>
      <c r="HB35" s="56"/>
      <c r="HL35" s="56"/>
      <c r="HV35" s="56"/>
      <c r="IF35" s="56"/>
      <c r="IP35" s="56"/>
      <c r="IZ35" s="56"/>
      <c r="JJ35" s="56"/>
      <c r="JT35" s="56"/>
      <c r="KD35" s="56"/>
      <c r="KN35" s="56"/>
      <c r="KX35" s="56"/>
      <c r="LH35" s="56"/>
      <c r="LR35" s="56"/>
      <c r="MB35" s="56"/>
      <c r="ML35" s="56"/>
      <c r="MV35" s="56"/>
      <c r="NF35" s="56"/>
      <c r="NP35" s="56"/>
      <c r="NZ35" s="56"/>
      <c r="OJ35" s="56"/>
      <c r="OT35" s="56"/>
      <c r="PD35" s="56"/>
      <c r="PN35" s="56"/>
      <c r="PX35" s="56"/>
      <c r="QH35" s="56"/>
      <c r="QR35" s="56"/>
      <c r="RB35" s="56"/>
      <c r="RL35" s="56"/>
      <c r="RV35" s="56"/>
      <c r="SF35" s="56"/>
      <c r="SP35" s="56"/>
      <c r="SZ35" s="56"/>
      <c r="TJ35" s="56"/>
      <c r="TT35" s="56"/>
      <c r="UD35" s="56"/>
      <c r="UN35" s="56"/>
      <c r="UX35" s="56"/>
      <c r="VH35" s="56"/>
      <c r="VR35" s="56"/>
      <c r="WB35" s="56"/>
      <c r="WL35" s="56"/>
      <c r="WV35" s="56"/>
      <c r="XF35" s="56"/>
      <c r="XP35" s="56"/>
      <c r="XZ35" s="56"/>
      <c r="YJ35" s="56"/>
      <c r="YT35" s="56"/>
      <c r="ZD35" s="56"/>
      <c r="ZN35" s="56"/>
      <c r="ZX35" s="56"/>
      <c r="AAH35" s="56"/>
      <c r="AAR35" s="56"/>
      <c r="ABB35" s="56"/>
      <c r="ABL35" s="56"/>
      <c r="ABV35" s="56"/>
      <c r="ACF35" s="56"/>
      <c r="ACP35" s="56"/>
      <c r="ACZ35" s="56"/>
      <c r="ADJ35" s="56"/>
      <c r="ADT35" s="56"/>
      <c r="AED35" s="56"/>
      <c r="AEN35" s="56"/>
      <c r="AEX35" s="56"/>
      <c r="AFH35" s="56"/>
      <c r="AFR35" s="56"/>
      <c r="AGB35" s="56"/>
      <c r="AGL35" s="56"/>
      <c r="AGV35" s="56"/>
      <c r="AHF35" s="56"/>
      <c r="AHP35" s="56"/>
      <c r="AHZ35" s="56"/>
      <c r="AIJ35" s="56"/>
      <c r="AIT35" s="56"/>
      <c r="AJD35" s="56"/>
      <c r="AJN35" s="56"/>
      <c r="AJX35" s="56"/>
      <c r="AKH35" s="56"/>
      <c r="AKR35" s="56"/>
      <c r="ALB35" s="56"/>
      <c r="ALL35" s="56"/>
      <c r="ALV35" s="56"/>
      <c r="AMF35" s="56"/>
      <c r="AMP35" s="56"/>
      <c r="AMZ35" s="56"/>
      <c r="ANJ35" s="56"/>
      <c r="ANT35" s="56"/>
      <c r="AOD35" s="56"/>
      <c r="AON35" s="56"/>
      <c r="AOX35" s="56"/>
      <c r="APH35" s="56"/>
      <c r="APR35" s="56"/>
      <c r="AQB35" s="56"/>
      <c r="AQL35" s="56"/>
      <c r="AQV35" s="56"/>
      <c r="ARF35" s="56"/>
      <c r="ARP35" s="56"/>
      <c r="ARZ35" s="56"/>
      <c r="ASJ35" s="56"/>
      <c r="AST35" s="56"/>
      <c r="ATD35" s="56"/>
      <c r="ATN35" s="56"/>
      <c r="ATX35" s="56"/>
      <c r="AUH35" s="56"/>
      <c r="AUR35" s="56"/>
      <c r="AVB35" s="56"/>
      <c r="AVL35" s="56"/>
      <c r="AVV35" s="56"/>
      <c r="AWF35" s="56"/>
      <c r="AWP35" s="56"/>
      <c r="AWZ35" s="56"/>
      <c r="AXJ35" s="56"/>
      <c r="AXT35" s="56"/>
      <c r="AYD35" s="56"/>
      <c r="AYN35" s="56"/>
      <c r="AYX35" s="56"/>
      <c r="AZH35" s="56"/>
      <c r="AZR35" s="56"/>
      <c r="BAB35" s="56"/>
      <c r="BAL35" s="56"/>
      <c r="BAV35" s="56"/>
      <c r="BBF35" s="56"/>
      <c r="BBP35" s="56"/>
      <c r="BBZ35" s="56"/>
      <c r="BCJ35" s="56"/>
      <c r="BCT35" s="56"/>
      <c r="BDD35" s="56"/>
      <c r="BDN35" s="56"/>
      <c r="BDX35" s="56"/>
      <c r="BEH35" s="56"/>
      <c r="BER35" s="56"/>
      <c r="BFB35" s="56"/>
      <c r="BFL35" s="56"/>
      <c r="BFV35" s="56"/>
      <c r="BGF35" s="56"/>
      <c r="BGP35" s="56"/>
      <c r="BGZ35" s="56"/>
      <c r="BHJ35" s="56"/>
      <c r="BHT35" s="56"/>
      <c r="BID35" s="56"/>
      <c r="BIN35" s="56"/>
      <c r="BIX35" s="56"/>
      <c r="BJH35" s="56"/>
      <c r="BJR35" s="56"/>
      <c r="BKB35" s="56"/>
      <c r="BKL35" s="56"/>
      <c r="BKV35" s="56"/>
      <c r="BLF35" s="56"/>
      <c r="BLP35" s="56"/>
      <c r="BLZ35" s="56"/>
      <c r="BMJ35" s="56"/>
      <c r="BMT35" s="56"/>
      <c r="BND35" s="56"/>
      <c r="BNN35" s="56"/>
      <c r="BNX35" s="56"/>
      <c r="BOH35" s="56"/>
      <c r="BOR35" s="56"/>
      <c r="BPB35" s="56"/>
      <c r="BPL35" s="56"/>
      <c r="BPV35" s="56"/>
      <c r="BQF35" s="56"/>
      <c r="BQP35" s="56"/>
      <c r="BQZ35" s="56"/>
      <c r="BRJ35" s="56"/>
      <c r="BRT35" s="56"/>
      <c r="BSD35" s="56"/>
      <c r="BSN35" s="56"/>
      <c r="BSX35" s="56"/>
      <c r="BTH35" s="56"/>
      <c r="BTR35" s="56"/>
      <c r="BUB35" s="56"/>
      <c r="BUL35" s="56"/>
      <c r="BUV35" s="56"/>
      <c r="BVF35" s="56"/>
      <c r="BVP35" s="56"/>
      <c r="BVZ35" s="56"/>
      <c r="BWJ35" s="56"/>
      <c r="BWT35" s="56"/>
      <c r="BXD35" s="56"/>
      <c r="BXN35" s="56"/>
      <c r="BXX35" s="56"/>
      <c r="BYH35" s="56"/>
      <c r="BYR35" s="56"/>
      <c r="BZB35" s="56"/>
      <c r="BZL35" s="56"/>
      <c r="BZV35" s="56"/>
      <c r="CAF35" s="56"/>
      <c r="CAP35" s="56"/>
      <c r="CAZ35" s="56"/>
      <c r="CBJ35" s="56"/>
      <c r="CBT35" s="56"/>
      <c r="CCD35" s="56"/>
      <c r="CCN35" s="56"/>
      <c r="CCX35" s="56"/>
      <c r="CDH35" s="56"/>
      <c r="CDR35" s="56"/>
      <c r="CEB35" s="56"/>
      <c r="CEL35" s="56"/>
      <c r="CEV35" s="56"/>
      <c r="CFF35" s="56"/>
      <c r="CFP35" s="56"/>
      <c r="CFZ35" s="56"/>
      <c r="CGJ35" s="56"/>
      <c r="CGT35" s="56"/>
      <c r="CHD35" s="56"/>
      <c r="CHN35" s="56"/>
      <c r="CHX35" s="56"/>
      <c r="CIH35" s="56"/>
      <c r="CIR35" s="56"/>
      <c r="CJB35" s="56"/>
      <c r="CJL35" s="56"/>
      <c r="CJV35" s="56"/>
      <c r="CKF35" s="56"/>
      <c r="CKP35" s="56"/>
      <c r="CKZ35" s="56"/>
      <c r="CLJ35" s="56"/>
      <c r="CLT35" s="56"/>
      <c r="CMD35" s="56"/>
      <c r="CMN35" s="56"/>
      <c r="CMX35" s="56"/>
      <c r="CNH35" s="56"/>
      <c r="CNR35" s="56"/>
      <c r="COB35" s="56"/>
      <c r="COL35" s="56"/>
      <c r="COV35" s="56"/>
      <c r="CPF35" s="56"/>
      <c r="CPP35" s="56"/>
      <c r="CPZ35" s="56"/>
      <c r="CQJ35" s="56"/>
      <c r="CQT35" s="56"/>
      <c r="CRD35" s="56"/>
      <c r="CRN35" s="56"/>
      <c r="CRX35" s="56"/>
      <c r="CSH35" s="56"/>
      <c r="CSR35" s="56"/>
      <c r="CTB35" s="56"/>
      <c r="CTL35" s="56"/>
      <c r="CTV35" s="56"/>
    </row>
    <row r="36" s="42" customFormat="1" customHeight="1" spans="1:1020 1030:2040 2050:2570">
      <c r="A36" s="51"/>
      <c r="B36" s="52"/>
      <c r="C36" s="52"/>
      <c r="D36" s="52"/>
      <c r="E36" s="52"/>
      <c r="F36" s="53" t="str">
        <f>IFERROR(VLOOKUP(E36,日报!E:G,2,0),"")</f>
        <v/>
      </c>
      <c r="G36" s="52"/>
      <c r="H36" s="54" t="str">
        <f>IFERROR(VLOOKUP(E36,日报!E:H,4,0),"")</f>
        <v/>
      </c>
      <c r="I36" s="54" t="str">
        <f>IFERROR(VLOOKUP(E36,日报!E:G,3,0),"")</f>
        <v/>
      </c>
      <c r="J36" s="52"/>
      <c r="K36" s="55" t="str">
        <f t="shared" si="0"/>
        <v/>
      </c>
      <c r="T36" s="56"/>
      <c r="AD36" s="56"/>
      <c r="AN36" s="56"/>
      <c r="AX36" s="56"/>
      <c r="BH36" s="56"/>
      <c r="BR36" s="56"/>
      <c r="CB36" s="56"/>
      <c r="CL36" s="56"/>
      <c r="CV36" s="56"/>
      <c r="DF36" s="56"/>
      <c r="DP36" s="56"/>
      <c r="DZ36" s="56"/>
      <c r="EJ36" s="56"/>
      <c r="ET36" s="56"/>
      <c r="FD36" s="56"/>
      <c r="FN36" s="56"/>
      <c r="FX36" s="56"/>
      <c r="GH36" s="56"/>
      <c r="GR36" s="56"/>
      <c r="HB36" s="56"/>
      <c r="HL36" s="56"/>
      <c r="HV36" s="56"/>
      <c r="IF36" s="56"/>
      <c r="IP36" s="56"/>
      <c r="IZ36" s="56"/>
      <c r="JJ36" s="56"/>
      <c r="JT36" s="56"/>
      <c r="KD36" s="56"/>
      <c r="KN36" s="56"/>
      <c r="KX36" s="56"/>
      <c r="LH36" s="56"/>
      <c r="LR36" s="56"/>
      <c r="MB36" s="56"/>
      <c r="ML36" s="56"/>
      <c r="MV36" s="56"/>
      <c r="NF36" s="56"/>
      <c r="NP36" s="56"/>
      <c r="NZ36" s="56"/>
      <c r="OJ36" s="56"/>
      <c r="OT36" s="56"/>
      <c r="PD36" s="56"/>
      <c r="PN36" s="56"/>
      <c r="PX36" s="56"/>
      <c r="QH36" s="56"/>
      <c r="QR36" s="56"/>
      <c r="RB36" s="56"/>
      <c r="RL36" s="56"/>
      <c r="RV36" s="56"/>
      <c r="SF36" s="56"/>
      <c r="SP36" s="56"/>
      <c r="SZ36" s="56"/>
      <c r="TJ36" s="56"/>
      <c r="TT36" s="56"/>
      <c r="UD36" s="56"/>
      <c r="UN36" s="56"/>
      <c r="UX36" s="56"/>
      <c r="VH36" s="56"/>
      <c r="VR36" s="56"/>
      <c r="WB36" s="56"/>
      <c r="WL36" s="56"/>
      <c r="WV36" s="56"/>
      <c r="XF36" s="56"/>
      <c r="XP36" s="56"/>
      <c r="XZ36" s="56"/>
      <c r="YJ36" s="56"/>
      <c r="YT36" s="56"/>
      <c r="ZD36" s="56"/>
      <c r="ZN36" s="56"/>
      <c r="ZX36" s="56"/>
      <c r="AAH36" s="56"/>
      <c r="AAR36" s="56"/>
      <c r="ABB36" s="56"/>
      <c r="ABL36" s="56"/>
      <c r="ABV36" s="56"/>
      <c r="ACF36" s="56"/>
      <c r="ACP36" s="56"/>
      <c r="ACZ36" s="56"/>
      <c r="ADJ36" s="56"/>
      <c r="ADT36" s="56"/>
      <c r="AED36" s="56"/>
      <c r="AEN36" s="56"/>
      <c r="AEX36" s="56"/>
      <c r="AFH36" s="56"/>
      <c r="AFR36" s="56"/>
      <c r="AGB36" s="56"/>
      <c r="AGL36" s="56"/>
      <c r="AGV36" s="56"/>
      <c r="AHF36" s="56"/>
      <c r="AHP36" s="56"/>
      <c r="AHZ36" s="56"/>
      <c r="AIJ36" s="56"/>
      <c r="AIT36" s="56"/>
      <c r="AJD36" s="56"/>
      <c r="AJN36" s="56"/>
      <c r="AJX36" s="56"/>
      <c r="AKH36" s="56"/>
      <c r="AKR36" s="56"/>
      <c r="ALB36" s="56"/>
      <c r="ALL36" s="56"/>
      <c r="ALV36" s="56"/>
      <c r="AMF36" s="56"/>
      <c r="AMP36" s="56"/>
      <c r="AMZ36" s="56"/>
      <c r="ANJ36" s="56"/>
      <c r="ANT36" s="56"/>
      <c r="AOD36" s="56"/>
      <c r="AON36" s="56"/>
      <c r="AOX36" s="56"/>
      <c r="APH36" s="56"/>
      <c r="APR36" s="56"/>
      <c r="AQB36" s="56"/>
      <c r="AQL36" s="56"/>
      <c r="AQV36" s="56"/>
      <c r="ARF36" s="56"/>
      <c r="ARP36" s="56"/>
      <c r="ARZ36" s="56"/>
      <c r="ASJ36" s="56"/>
      <c r="AST36" s="56"/>
      <c r="ATD36" s="56"/>
      <c r="ATN36" s="56"/>
      <c r="ATX36" s="56"/>
      <c r="AUH36" s="56"/>
      <c r="AUR36" s="56"/>
      <c r="AVB36" s="56"/>
      <c r="AVL36" s="56"/>
      <c r="AVV36" s="56"/>
      <c r="AWF36" s="56"/>
      <c r="AWP36" s="56"/>
      <c r="AWZ36" s="56"/>
      <c r="AXJ36" s="56"/>
      <c r="AXT36" s="56"/>
      <c r="AYD36" s="56"/>
      <c r="AYN36" s="56"/>
      <c r="AYX36" s="56"/>
      <c r="AZH36" s="56"/>
      <c r="AZR36" s="56"/>
      <c r="BAB36" s="56"/>
      <c r="BAL36" s="56"/>
      <c r="BAV36" s="56"/>
      <c r="BBF36" s="56"/>
      <c r="BBP36" s="56"/>
      <c r="BBZ36" s="56"/>
      <c r="BCJ36" s="56"/>
      <c r="BCT36" s="56"/>
      <c r="BDD36" s="56"/>
      <c r="BDN36" s="56"/>
      <c r="BDX36" s="56"/>
      <c r="BEH36" s="56"/>
      <c r="BER36" s="56"/>
      <c r="BFB36" s="56"/>
      <c r="BFL36" s="56"/>
      <c r="BFV36" s="56"/>
      <c r="BGF36" s="56"/>
      <c r="BGP36" s="56"/>
      <c r="BGZ36" s="56"/>
      <c r="BHJ36" s="56"/>
      <c r="BHT36" s="56"/>
      <c r="BID36" s="56"/>
      <c r="BIN36" s="56"/>
      <c r="BIX36" s="56"/>
      <c r="BJH36" s="56"/>
      <c r="BJR36" s="56"/>
      <c r="BKB36" s="56"/>
      <c r="BKL36" s="56"/>
      <c r="BKV36" s="56"/>
      <c r="BLF36" s="56"/>
      <c r="BLP36" s="56"/>
      <c r="BLZ36" s="56"/>
      <c r="BMJ36" s="56"/>
      <c r="BMT36" s="56"/>
      <c r="BND36" s="56"/>
      <c r="BNN36" s="56"/>
      <c r="BNX36" s="56"/>
      <c r="BOH36" s="56"/>
      <c r="BOR36" s="56"/>
      <c r="BPB36" s="56"/>
      <c r="BPL36" s="56"/>
      <c r="BPV36" s="56"/>
      <c r="BQF36" s="56"/>
      <c r="BQP36" s="56"/>
      <c r="BQZ36" s="56"/>
      <c r="BRJ36" s="56"/>
      <c r="BRT36" s="56"/>
      <c r="BSD36" s="56"/>
      <c r="BSN36" s="56"/>
      <c r="BSX36" s="56"/>
      <c r="BTH36" s="56"/>
      <c r="BTR36" s="56"/>
      <c r="BUB36" s="56"/>
      <c r="BUL36" s="56"/>
      <c r="BUV36" s="56"/>
      <c r="BVF36" s="56"/>
      <c r="BVP36" s="56"/>
      <c r="BVZ36" s="56"/>
      <c r="BWJ36" s="56"/>
      <c r="BWT36" s="56"/>
      <c r="BXD36" s="56"/>
      <c r="BXN36" s="56"/>
      <c r="BXX36" s="56"/>
      <c r="BYH36" s="56"/>
      <c r="BYR36" s="56"/>
      <c r="BZB36" s="56"/>
      <c r="BZL36" s="56"/>
      <c r="BZV36" s="56"/>
      <c r="CAF36" s="56"/>
      <c r="CAP36" s="56"/>
      <c r="CAZ36" s="56"/>
      <c r="CBJ36" s="56"/>
      <c r="CBT36" s="56"/>
      <c r="CCD36" s="56"/>
      <c r="CCN36" s="56"/>
      <c r="CCX36" s="56"/>
      <c r="CDH36" s="56"/>
      <c r="CDR36" s="56"/>
      <c r="CEB36" s="56"/>
      <c r="CEL36" s="56"/>
      <c r="CEV36" s="56"/>
      <c r="CFF36" s="56"/>
      <c r="CFP36" s="56"/>
      <c r="CFZ36" s="56"/>
      <c r="CGJ36" s="56"/>
      <c r="CGT36" s="56"/>
      <c r="CHD36" s="56"/>
      <c r="CHN36" s="56"/>
      <c r="CHX36" s="56"/>
      <c r="CIH36" s="56"/>
      <c r="CIR36" s="56"/>
      <c r="CJB36" s="56"/>
      <c r="CJL36" s="56"/>
      <c r="CJV36" s="56"/>
      <c r="CKF36" s="56"/>
      <c r="CKP36" s="56"/>
      <c r="CKZ36" s="56"/>
      <c r="CLJ36" s="56"/>
      <c r="CLT36" s="56"/>
      <c r="CMD36" s="56"/>
      <c r="CMN36" s="56"/>
      <c r="CMX36" s="56"/>
      <c r="CNH36" s="56"/>
      <c r="CNR36" s="56"/>
      <c r="COB36" s="56"/>
      <c r="COL36" s="56"/>
      <c r="COV36" s="56"/>
      <c r="CPF36" s="56"/>
      <c r="CPP36" s="56"/>
      <c r="CPZ36" s="56"/>
      <c r="CQJ36" s="56"/>
      <c r="CQT36" s="56"/>
      <c r="CRD36" s="56"/>
      <c r="CRN36" s="56"/>
      <c r="CRX36" s="56"/>
      <c r="CSH36" s="56"/>
      <c r="CSR36" s="56"/>
      <c r="CTB36" s="56"/>
      <c r="CTL36" s="56"/>
      <c r="CTV36" s="56"/>
    </row>
    <row r="37" s="42" customFormat="1" customHeight="1" spans="1:1020 1030:2040 2050:2570">
      <c r="A37" s="51"/>
      <c r="B37" s="52"/>
      <c r="C37" s="52"/>
      <c r="D37" s="52"/>
      <c r="E37" s="52"/>
      <c r="F37" s="53" t="str">
        <f>IFERROR(VLOOKUP(E37,日报!E:G,2,0),"")</f>
        <v/>
      </c>
      <c r="G37" s="52"/>
      <c r="H37" s="54" t="str">
        <f>IFERROR(VLOOKUP(E37,日报!E:H,4,0),"")</f>
        <v/>
      </c>
      <c r="I37" s="54" t="str">
        <f>IFERROR(VLOOKUP(E37,日报!E:G,3,0),"")</f>
        <v/>
      </c>
      <c r="J37" s="52"/>
      <c r="K37" s="55" t="str">
        <f t="shared" si="0"/>
        <v/>
      </c>
      <c r="T37" s="56"/>
      <c r="AD37" s="56"/>
      <c r="AN37" s="56"/>
      <c r="AX37" s="56"/>
      <c r="BH37" s="56"/>
      <c r="BR37" s="56"/>
      <c r="CB37" s="56"/>
      <c r="CL37" s="56"/>
      <c r="CV37" s="56"/>
      <c r="DF37" s="56"/>
      <c r="DP37" s="56"/>
      <c r="DZ37" s="56"/>
      <c r="EJ37" s="56"/>
      <c r="ET37" s="56"/>
      <c r="FD37" s="56"/>
      <c r="FN37" s="56"/>
      <c r="FX37" s="56"/>
      <c r="GH37" s="56"/>
      <c r="GR37" s="56"/>
      <c r="HB37" s="56"/>
      <c r="HL37" s="56"/>
      <c r="HV37" s="56"/>
      <c r="IF37" s="56"/>
      <c r="IP37" s="56"/>
      <c r="IZ37" s="56"/>
      <c r="JJ37" s="56"/>
      <c r="JT37" s="56"/>
      <c r="KD37" s="56"/>
      <c r="KN37" s="56"/>
      <c r="KX37" s="56"/>
      <c r="LH37" s="56"/>
      <c r="LR37" s="56"/>
      <c r="MB37" s="56"/>
      <c r="ML37" s="56"/>
      <c r="MV37" s="56"/>
      <c r="NF37" s="56"/>
      <c r="NP37" s="56"/>
      <c r="NZ37" s="56"/>
      <c r="OJ37" s="56"/>
      <c r="OT37" s="56"/>
      <c r="PD37" s="56"/>
      <c r="PN37" s="56"/>
      <c r="PX37" s="56"/>
      <c r="QH37" s="56"/>
      <c r="QR37" s="56"/>
      <c r="RB37" s="56"/>
      <c r="RL37" s="56"/>
      <c r="RV37" s="56"/>
      <c r="SF37" s="56"/>
      <c r="SP37" s="56"/>
      <c r="SZ37" s="56"/>
      <c r="TJ37" s="56"/>
      <c r="TT37" s="56"/>
      <c r="UD37" s="56"/>
      <c r="UN37" s="56"/>
      <c r="UX37" s="56"/>
      <c r="VH37" s="56"/>
      <c r="VR37" s="56"/>
      <c r="WB37" s="56"/>
      <c r="WL37" s="56"/>
      <c r="WV37" s="56"/>
      <c r="XF37" s="56"/>
      <c r="XP37" s="56"/>
      <c r="XZ37" s="56"/>
      <c r="YJ37" s="56"/>
      <c r="YT37" s="56"/>
      <c r="ZD37" s="56"/>
      <c r="ZN37" s="56"/>
      <c r="ZX37" s="56"/>
      <c r="AAH37" s="56"/>
      <c r="AAR37" s="56"/>
      <c r="ABB37" s="56"/>
      <c r="ABL37" s="56"/>
      <c r="ABV37" s="56"/>
      <c r="ACF37" s="56"/>
      <c r="ACP37" s="56"/>
      <c r="ACZ37" s="56"/>
      <c r="ADJ37" s="56"/>
      <c r="ADT37" s="56"/>
      <c r="AED37" s="56"/>
      <c r="AEN37" s="56"/>
      <c r="AEX37" s="56"/>
      <c r="AFH37" s="56"/>
      <c r="AFR37" s="56"/>
      <c r="AGB37" s="56"/>
      <c r="AGL37" s="56"/>
      <c r="AGV37" s="56"/>
      <c r="AHF37" s="56"/>
      <c r="AHP37" s="56"/>
      <c r="AHZ37" s="56"/>
      <c r="AIJ37" s="56"/>
      <c r="AIT37" s="56"/>
      <c r="AJD37" s="56"/>
      <c r="AJN37" s="56"/>
      <c r="AJX37" s="56"/>
      <c r="AKH37" s="56"/>
      <c r="AKR37" s="56"/>
      <c r="ALB37" s="56"/>
      <c r="ALL37" s="56"/>
      <c r="ALV37" s="56"/>
      <c r="AMF37" s="56"/>
      <c r="AMP37" s="56"/>
      <c r="AMZ37" s="56"/>
      <c r="ANJ37" s="56"/>
      <c r="ANT37" s="56"/>
      <c r="AOD37" s="56"/>
      <c r="AON37" s="56"/>
      <c r="AOX37" s="56"/>
      <c r="APH37" s="56"/>
      <c r="APR37" s="56"/>
      <c r="AQB37" s="56"/>
      <c r="AQL37" s="56"/>
      <c r="AQV37" s="56"/>
      <c r="ARF37" s="56"/>
      <c r="ARP37" s="56"/>
      <c r="ARZ37" s="56"/>
      <c r="ASJ37" s="56"/>
      <c r="AST37" s="56"/>
      <c r="ATD37" s="56"/>
      <c r="ATN37" s="56"/>
      <c r="ATX37" s="56"/>
      <c r="AUH37" s="56"/>
      <c r="AUR37" s="56"/>
      <c r="AVB37" s="56"/>
      <c r="AVL37" s="56"/>
      <c r="AVV37" s="56"/>
      <c r="AWF37" s="56"/>
      <c r="AWP37" s="56"/>
      <c r="AWZ37" s="56"/>
      <c r="AXJ37" s="56"/>
      <c r="AXT37" s="56"/>
      <c r="AYD37" s="56"/>
      <c r="AYN37" s="56"/>
      <c r="AYX37" s="56"/>
      <c r="AZH37" s="56"/>
      <c r="AZR37" s="56"/>
      <c r="BAB37" s="56"/>
      <c r="BAL37" s="56"/>
      <c r="BAV37" s="56"/>
      <c r="BBF37" s="56"/>
      <c r="BBP37" s="56"/>
      <c r="BBZ37" s="56"/>
      <c r="BCJ37" s="56"/>
      <c r="BCT37" s="56"/>
      <c r="BDD37" s="56"/>
      <c r="BDN37" s="56"/>
      <c r="BDX37" s="56"/>
      <c r="BEH37" s="56"/>
      <c r="BER37" s="56"/>
      <c r="BFB37" s="56"/>
      <c r="BFL37" s="56"/>
      <c r="BFV37" s="56"/>
      <c r="BGF37" s="56"/>
      <c r="BGP37" s="56"/>
      <c r="BGZ37" s="56"/>
      <c r="BHJ37" s="56"/>
      <c r="BHT37" s="56"/>
      <c r="BID37" s="56"/>
      <c r="BIN37" s="56"/>
      <c r="BIX37" s="56"/>
      <c r="BJH37" s="56"/>
      <c r="BJR37" s="56"/>
      <c r="BKB37" s="56"/>
      <c r="BKL37" s="56"/>
      <c r="BKV37" s="56"/>
      <c r="BLF37" s="56"/>
      <c r="BLP37" s="56"/>
      <c r="BLZ37" s="56"/>
      <c r="BMJ37" s="56"/>
      <c r="BMT37" s="56"/>
      <c r="BND37" s="56"/>
      <c r="BNN37" s="56"/>
      <c r="BNX37" s="56"/>
      <c r="BOH37" s="56"/>
      <c r="BOR37" s="56"/>
      <c r="BPB37" s="56"/>
      <c r="BPL37" s="56"/>
      <c r="BPV37" s="56"/>
      <c r="BQF37" s="56"/>
      <c r="BQP37" s="56"/>
      <c r="BQZ37" s="56"/>
      <c r="BRJ37" s="56"/>
      <c r="BRT37" s="56"/>
      <c r="BSD37" s="56"/>
      <c r="BSN37" s="56"/>
      <c r="BSX37" s="56"/>
      <c r="BTH37" s="56"/>
      <c r="BTR37" s="56"/>
      <c r="BUB37" s="56"/>
      <c r="BUL37" s="56"/>
      <c r="BUV37" s="56"/>
      <c r="BVF37" s="56"/>
      <c r="BVP37" s="56"/>
      <c r="BVZ37" s="56"/>
      <c r="BWJ37" s="56"/>
      <c r="BWT37" s="56"/>
      <c r="BXD37" s="56"/>
      <c r="BXN37" s="56"/>
      <c r="BXX37" s="56"/>
      <c r="BYH37" s="56"/>
      <c r="BYR37" s="56"/>
      <c r="BZB37" s="56"/>
      <c r="BZL37" s="56"/>
      <c r="BZV37" s="56"/>
      <c r="CAF37" s="56"/>
      <c r="CAP37" s="56"/>
      <c r="CAZ37" s="56"/>
      <c r="CBJ37" s="56"/>
      <c r="CBT37" s="56"/>
      <c r="CCD37" s="56"/>
      <c r="CCN37" s="56"/>
      <c r="CCX37" s="56"/>
      <c r="CDH37" s="56"/>
      <c r="CDR37" s="56"/>
      <c r="CEB37" s="56"/>
      <c r="CEL37" s="56"/>
      <c r="CEV37" s="56"/>
      <c r="CFF37" s="56"/>
      <c r="CFP37" s="56"/>
      <c r="CFZ37" s="56"/>
      <c r="CGJ37" s="56"/>
      <c r="CGT37" s="56"/>
      <c r="CHD37" s="56"/>
      <c r="CHN37" s="56"/>
      <c r="CHX37" s="56"/>
      <c r="CIH37" s="56"/>
      <c r="CIR37" s="56"/>
      <c r="CJB37" s="56"/>
      <c r="CJL37" s="56"/>
      <c r="CJV37" s="56"/>
      <c r="CKF37" s="56"/>
      <c r="CKP37" s="56"/>
      <c r="CKZ37" s="56"/>
      <c r="CLJ37" s="56"/>
      <c r="CLT37" s="56"/>
      <c r="CMD37" s="56"/>
      <c r="CMN37" s="56"/>
      <c r="CMX37" s="56"/>
      <c r="CNH37" s="56"/>
      <c r="CNR37" s="56"/>
      <c r="COB37" s="56"/>
      <c r="COL37" s="56"/>
      <c r="COV37" s="56"/>
      <c r="CPF37" s="56"/>
      <c r="CPP37" s="56"/>
      <c r="CPZ37" s="56"/>
      <c r="CQJ37" s="56"/>
      <c r="CQT37" s="56"/>
      <c r="CRD37" s="56"/>
      <c r="CRN37" s="56"/>
      <c r="CRX37" s="56"/>
      <c r="CSH37" s="56"/>
      <c r="CSR37" s="56"/>
      <c r="CTB37" s="56"/>
      <c r="CTL37" s="56"/>
      <c r="CTV37" s="56"/>
    </row>
    <row r="38" s="42" customFormat="1" customHeight="1" spans="1:1020 1030:2040 2050:2570">
      <c r="A38" s="51"/>
      <c r="B38" s="52"/>
      <c r="C38" s="52"/>
      <c r="D38" s="52"/>
      <c r="E38" s="52"/>
      <c r="F38" s="53" t="str">
        <f>IFERROR(VLOOKUP(E38,日报!E:G,2,0),"")</f>
        <v/>
      </c>
      <c r="G38" s="52"/>
      <c r="H38" s="54" t="str">
        <f>IFERROR(VLOOKUP(E38,日报!E:H,4,0),"")</f>
        <v/>
      </c>
      <c r="I38" s="54" t="str">
        <f>IFERROR(VLOOKUP(E38,日报!E:G,3,0),"")</f>
        <v/>
      </c>
      <c r="J38" s="52"/>
      <c r="K38" s="55" t="str">
        <f t="shared" si="0"/>
        <v/>
      </c>
      <c r="T38" s="56"/>
      <c r="AD38" s="56"/>
      <c r="AN38" s="56"/>
      <c r="AX38" s="56"/>
      <c r="BH38" s="56"/>
      <c r="BR38" s="56"/>
      <c r="CB38" s="56"/>
      <c r="CL38" s="56"/>
      <c r="CV38" s="56"/>
      <c r="DF38" s="56"/>
      <c r="DP38" s="56"/>
      <c r="DZ38" s="56"/>
      <c r="EJ38" s="56"/>
      <c r="ET38" s="56"/>
      <c r="FD38" s="56"/>
      <c r="FN38" s="56"/>
      <c r="FX38" s="56"/>
      <c r="GH38" s="56"/>
      <c r="GR38" s="56"/>
      <c r="HB38" s="56"/>
      <c r="HL38" s="56"/>
      <c r="HV38" s="56"/>
      <c r="IF38" s="56"/>
      <c r="IP38" s="56"/>
      <c r="IZ38" s="56"/>
      <c r="JJ38" s="56"/>
      <c r="JT38" s="56"/>
      <c r="KD38" s="56"/>
      <c r="KN38" s="56"/>
      <c r="KX38" s="56"/>
      <c r="LH38" s="56"/>
      <c r="LR38" s="56"/>
      <c r="MB38" s="56"/>
      <c r="ML38" s="56"/>
      <c r="MV38" s="56"/>
      <c r="NF38" s="56"/>
      <c r="NP38" s="56"/>
      <c r="NZ38" s="56"/>
      <c r="OJ38" s="56"/>
      <c r="OT38" s="56"/>
      <c r="PD38" s="56"/>
      <c r="PN38" s="56"/>
      <c r="PX38" s="56"/>
      <c r="QH38" s="56"/>
      <c r="QR38" s="56"/>
      <c r="RB38" s="56"/>
      <c r="RL38" s="56"/>
      <c r="RV38" s="56"/>
      <c r="SF38" s="56"/>
      <c r="SP38" s="56"/>
      <c r="SZ38" s="56"/>
      <c r="TJ38" s="56"/>
      <c r="TT38" s="56"/>
      <c r="UD38" s="56"/>
      <c r="UN38" s="56"/>
      <c r="UX38" s="56"/>
      <c r="VH38" s="56"/>
      <c r="VR38" s="56"/>
      <c r="WB38" s="56"/>
      <c r="WL38" s="56"/>
      <c r="WV38" s="56"/>
      <c r="XF38" s="56"/>
      <c r="XP38" s="56"/>
      <c r="XZ38" s="56"/>
      <c r="YJ38" s="56"/>
      <c r="YT38" s="56"/>
      <c r="ZD38" s="56"/>
      <c r="ZN38" s="56"/>
      <c r="ZX38" s="56"/>
      <c r="AAH38" s="56"/>
      <c r="AAR38" s="56"/>
      <c r="ABB38" s="56"/>
      <c r="ABL38" s="56"/>
      <c r="ABV38" s="56"/>
      <c r="ACF38" s="56"/>
      <c r="ACP38" s="56"/>
      <c r="ACZ38" s="56"/>
      <c r="ADJ38" s="56"/>
      <c r="ADT38" s="56"/>
      <c r="AED38" s="56"/>
      <c r="AEN38" s="56"/>
      <c r="AEX38" s="56"/>
      <c r="AFH38" s="56"/>
      <c r="AFR38" s="56"/>
      <c r="AGB38" s="56"/>
      <c r="AGL38" s="56"/>
      <c r="AGV38" s="56"/>
      <c r="AHF38" s="56"/>
      <c r="AHP38" s="56"/>
      <c r="AHZ38" s="56"/>
      <c r="AIJ38" s="56"/>
      <c r="AIT38" s="56"/>
      <c r="AJD38" s="56"/>
      <c r="AJN38" s="56"/>
      <c r="AJX38" s="56"/>
      <c r="AKH38" s="56"/>
      <c r="AKR38" s="56"/>
      <c r="ALB38" s="56"/>
      <c r="ALL38" s="56"/>
      <c r="ALV38" s="56"/>
      <c r="AMF38" s="56"/>
      <c r="AMP38" s="56"/>
      <c r="AMZ38" s="56"/>
      <c r="ANJ38" s="56"/>
      <c r="ANT38" s="56"/>
      <c r="AOD38" s="56"/>
      <c r="AON38" s="56"/>
      <c r="AOX38" s="56"/>
      <c r="APH38" s="56"/>
      <c r="APR38" s="56"/>
      <c r="AQB38" s="56"/>
      <c r="AQL38" s="56"/>
      <c r="AQV38" s="56"/>
      <c r="ARF38" s="56"/>
      <c r="ARP38" s="56"/>
      <c r="ARZ38" s="56"/>
      <c r="ASJ38" s="56"/>
      <c r="AST38" s="56"/>
      <c r="ATD38" s="56"/>
      <c r="ATN38" s="56"/>
      <c r="ATX38" s="56"/>
      <c r="AUH38" s="56"/>
      <c r="AUR38" s="56"/>
      <c r="AVB38" s="56"/>
      <c r="AVL38" s="56"/>
      <c r="AVV38" s="56"/>
      <c r="AWF38" s="56"/>
      <c r="AWP38" s="56"/>
      <c r="AWZ38" s="56"/>
      <c r="AXJ38" s="56"/>
      <c r="AXT38" s="56"/>
      <c r="AYD38" s="56"/>
      <c r="AYN38" s="56"/>
      <c r="AYX38" s="56"/>
      <c r="AZH38" s="56"/>
      <c r="AZR38" s="56"/>
      <c r="BAB38" s="56"/>
      <c r="BAL38" s="56"/>
      <c r="BAV38" s="56"/>
      <c r="BBF38" s="56"/>
      <c r="BBP38" s="56"/>
      <c r="BBZ38" s="56"/>
      <c r="BCJ38" s="56"/>
      <c r="BCT38" s="56"/>
      <c r="BDD38" s="56"/>
      <c r="BDN38" s="56"/>
      <c r="BDX38" s="56"/>
      <c r="BEH38" s="56"/>
      <c r="BER38" s="56"/>
      <c r="BFB38" s="56"/>
      <c r="BFL38" s="56"/>
      <c r="BFV38" s="56"/>
      <c r="BGF38" s="56"/>
      <c r="BGP38" s="56"/>
      <c r="BGZ38" s="56"/>
      <c r="BHJ38" s="56"/>
      <c r="BHT38" s="56"/>
      <c r="BID38" s="56"/>
      <c r="BIN38" s="56"/>
      <c r="BIX38" s="56"/>
      <c r="BJH38" s="56"/>
      <c r="BJR38" s="56"/>
      <c r="BKB38" s="56"/>
      <c r="BKL38" s="56"/>
      <c r="BKV38" s="56"/>
      <c r="BLF38" s="56"/>
      <c r="BLP38" s="56"/>
      <c r="BLZ38" s="56"/>
      <c r="BMJ38" s="56"/>
      <c r="BMT38" s="56"/>
      <c r="BND38" s="56"/>
      <c r="BNN38" s="56"/>
      <c r="BNX38" s="56"/>
      <c r="BOH38" s="56"/>
      <c r="BOR38" s="56"/>
      <c r="BPB38" s="56"/>
      <c r="BPL38" s="56"/>
      <c r="BPV38" s="56"/>
      <c r="BQF38" s="56"/>
      <c r="BQP38" s="56"/>
      <c r="BQZ38" s="56"/>
      <c r="BRJ38" s="56"/>
      <c r="BRT38" s="56"/>
      <c r="BSD38" s="56"/>
      <c r="BSN38" s="56"/>
      <c r="BSX38" s="56"/>
      <c r="BTH38" s="56"/>
      <c r="BTR38" s="56"/>
      <c r="BUB38" s="56"/>
      <c r="BUL38" s="56"/>
      <c r="BUV38" s="56"/>
      <c r="BVF38" s="56"/>
      <c r="BVP38" s="56"/>
      <c r="BVZ38" s="56"/>
      <c r="BWJ38" s="56"/>
      <c r="BWT38" s="56"/>
      <c r="BXD38" s="56"/>
      <c r="BXN38" s="56"/>
      <c r="BXX38" s="56"/>
      <c r="BYH38" s="56"/>
      <c r="BYR38" s="56"/>
      <c r="BZB38" s="56"/>
      <c r="BZL38" s="56"/>
      <c r="BZV38" s="56"/>
      <c r="CAF38" s="56"/>
      <c r="CAP38" s="56"/>
      <c r="CAZ38" s="56"/>
      <c r="CBJ38" s="56"/>
      <c r="CBT38" s="56"/>
      <c r="CCD38" s="56"/>
      <c r="CCN38" s="56"/>
      <c r="CCX38" s="56"/>
      <c r="CDH38" s="56"/>
      <c r="CDR38" s="56"/>
      <c r="CEB38" s="56"/>
      <c r="CEL38" s="56"/>
      <c r="CEV38" s="56"/>
      <c r="CFF38" s="56"/>
      <c r="CFP38" s="56"/>
      <c r="CFZ38" s="56"/>
      <c r="CGJ38" s="56"/>
      <c r="CGT38" s="56"/>
      <c r="CHD38" s="56"/>
      <c r="CHN38" s="56"/>
      <c r="CHX38" s="56"/>
      <c r="CIH38" s="56"/>
      <c r="CIR38" s="56"/>
      <c r="CJB38" s="56"/>
      <c r="CJL38" s="56"/>
      <c r="CJV38" s="56"/>
      <c r="CKF38" s="56"/>
      <c r="CKP38" s="56"/>
      <c r="CKZ38" s="56"/>
      <c r="CLJ38" s="56"/>
      <c r="CLT38" s="56"/>
      <c r="CMD38" s="56"/>
      <c r="CMN38" s="56"/>
      <c r="CMX38" s="56"/>
      <c r="CNH38" s="56"/>
      <c r="CNR38" s="56"/>
      <c r="COB38" s="56"/>
      <c r="COL38" s="56"/>
      <c r="COV38" s="56"/>
      <c r="CPF38" s="56"/>
      <c r="CPP38" s="56"/>
      <c r="CPZ38" s="56"/>
      <c r="CQJ38" s="56"/>
      <c r="CQT38" s="56"/>
      <c r="CRD38" s="56"/>
      <c r="CRN38" s="56"/>
      <c r="CRX38" s="56"/>
      <c r="CSH38" s="56"/>
      <c r="CSR38" s="56"/>
      <c r="CTB38" s="56"/>
      <c r="CTL38" s="56"/>
      <c r="CTV38" s="56"/>
    </row>
    <row r="39" s="42" customFormat="1" customHeight="1" spans="1:1020 1030:2040 2050:2570">
      <c r="A39" s="51"/>
      <c r="B39" s="52"/>
      <c r="C39" s="52"/>
      <c r="D39" s="52"/>
      <c r="E39" s="52"/>
      <c r="F39" s="53" t="str">
        <f>IFERROR(VLOOKUP(E39,日报!E:G,2,0),"")</f>
        <v/>
      </c>
      <c r="G39" s="52"/>
      <c r="H39" s="54" t="str">
        <f>IFERROR(VLOOKUP(E39,日报!E:H,4,0),"")</f>
        <v/>
      </c>
      <c r="I39" s="54" t="str">
        <f>IFERROR(VLOOKUP(E39,日报!E:G,3,0),"")</f>
        <v/>
      </c>
      <c r="J39" s="52"/>
      <c r="K39" s="55" t="str">
        <f t="shared" si="0"/>
        <v/>
      </c>
      <c r="T39" s="56"/>
      <c r="AD39" s="56"/>
      <c r="AN39" s="56"/>
      <c r="AX39" s="56"/>
      <c r="BH39" s="56"/>
      <c r="BR39" s="56"/>
      <c r="CB39" s="56"/>
      <c r="CL39" s="56"/>
      <c r="CV39" s="56"/>
      <c r="DF39" s="56"/>
      <c r="DP39" s="56"/>
      <c r="DZ39" s="56"/>
      <c r="EJ39" s="56"/>
      <c r="ET39" s="56"/>
      <c r="FD39" s="56"/>
      <c r="FN39" s="56"/>
      <c r="FX39" s="56"/>
      <c r="GH39" s="56"/>
      <c r="GR39" s="56"/>
      <c r="HB39" s="56"/>
      <c r="HL39" s="56"/>
      <c r="HV39" s="56"/>
      <c r="IF39" s="56"/>
      <c r="IP39" s="56"/>
      <c r="IZ39" s="56"/>
      <c r="JJ39" s="56"/>
      <c r="JT39" s="56"/>
      <c r="KD39" s="56"/>
      <c r="KN39" s="56"/>
      <c r="KX39" s="56"/>
      <c r="LH39" s="56"/>
      <c r="LR39" s="56"/>
      <c r="MB39" s="56"/>
      <c r="ML39" s="56"/>
      <c r="MV39" s="56"/>
      <c r="NF39" s="56"/>
      <c r="NP39" s="56"/>
      <c r="NZ39" s="56"/>
      <c r="OJ39" s="56"/>
      <c r="OT39" s="56"/>
      <c r="PD39" s="56"/>
      <c r="PN39" s="56"/>
      <c r="PX39" s="56"/>
      <c r="QH39" s="56"/>
      <c r="QR39" s="56"/>
      <c r="RB39" s="56"/>
      <c r="RL39" s="56"/>
      <c r="RV39" s="56"/>
      <c r="SF39" s="56"/>
      <c r="SP39" s="56"/>
      <c r="SZ39" s="56"/>
      <c r="TJ39" s="56"/>
      <c r="TT39" s="56"/>
      <c r="UD39" s="56"/>
      <c r="UN39" s="56"/>
      <c r="UX39" s="56"/>
      <c r="VH39" s="56"/>
      <c r="VR39" s="56"/>
      <c r="WB39" s="56"/>
      <c r="WL39" s="56"/>
      <c r="WV39" s="56"/>
      <c r="XF39" s="56"/>
      <c r="XP39" s="56"/>
      <c r="XZ39" s="56"/>
      <c r="YJ39" s="56"/>
      <c r="YT39" s="56"/>
      <c r="ZD39" s="56"/>
      <c r="ZN39" s="56"/>
      <c r="ZX39" s="56"/>
      <c r="AAH39" s="56"/>
      <c r="AAR39" s="56"/>
      <c r="ABB39" s="56"/>
      <c r="ABL39" s="56"/>
      <c r="ABV39" s="56"/>
      <c r="ACF39" s="56"/>
      <c r="ACP39" s="56"/>
      <c r="ACZ39" s="56"/>
      <c r="ADJ39" s="56"/>
      <c r="ADT39" s="56"/>
      <c r="AED39" s="56"/>
      <c r="AEN39" s="56"/>
      <c r="AEX39" s="56"/>
      <c r="AFH39" s="56"/>
      <c r="AFR39" s="56"/>
      <c r="AGB39" s="56"/>
      <c r="AGL39" s="56"/>
      <c r="AGV39" s="56"/>
      <c r="AHF39" s="56"/>
      <c r="AHP39" s="56"/>
      <c r="AHZ39" s="56"/>
      <c r="AIJ39" s="56"/>
      <c r="AIT39" s="56"/>
      <c r="AJD39" s="56"/>
      <c r="AJN39" s="56"/>
      <c r="AJX39" s="56"/>
      <c r="AKH39" s="56"/>
      <c r="AKR39" s="56"/>
      <c r="ALB39" s="56"/>
      <c r="ALL39" s="56"/>
      <c r="ALV39" s="56"/>
      <c r="AMF39" s="56"/>
      <c r="AMP39" s="56"/>
      <c r="AMZ39" s="56"/>
      <c r="ANJ39" s="56"/>
      <c r="ANT39" s="56"/>
      <c r="AOD39" s="56"/>
      <c r="AON39" s="56"/>
      <c r="AOX39" s="56"/>
      <c r="APH39" s="56"/>
      <c r="APR39" s="56"/>
      <c r="AQB39" s="56"/>
      <c r="AQL39" s="56"/>
      <c r="AQV39" s="56"/>
      <c r="ARF39" s="56"/>
      <c r="ARP39" s="56"/>
      <c r="ARZ39" s="56"/>
      <c r="ASJ39" s="56"/>
      <c r="AST39" s="56"/>
      <c r="ATD39" s="56"/>
      <c r="ATN39" s="56"/>
      <c r="ATX39" s="56"/>
      <c r="AUH39" s="56"/>
      <c r="AUR39" s="56"/>
      <c r="AVB39" s="56"/>
      <c r="AVL39" s="56"/>
      <c r="AVV39" s="56"/>
      <c r="AWF39" s="56"/>
      <c r="AWP39" s="56"/>
      <c r="AWZ39" s="56"/>
      <c r="AXJ39" s="56"/>
      <c r="AXT39" s="56"/>
      <c r="AYD39" s="56"/>
      <c r="AYN39" s="56"/>
      <c r="AYX39" s="56"/>
      <c r="AZH39" s="56"/>
      <c r="AZR39" s="56"/>
      <c r="BAB39" s="56"/>
      <c r="BAL39" s="56"/>
      <c r="BAV39" s="56"/>
      <c r="BBF39" s="56"/>
      <c r="BBP39" s="56"/>
      <c r="BBZ39" s="56"/>
      <c r="BCJ39" s="56"/>
      <c r="BCT39" s="56"/>
      <c r="BDD39" s="56"/>
      <c r="BDN39" s="56"/>
      <c r="BDX39" s="56"/>
      <c r="BEH39" s="56"/>
      <c r="BER39" s="56"/>
      <c r="BFB39" s="56"/>
      <c r="BFL39" s="56"/>
      <c r="BFV39" s="56"/>
      <c r="BGF39" s="56"/>
      <c r="BGP39" s="56"/>
      <c r="BGZ39" s="56"/>
      <c r="BHJ39" s="56"/>
      <c r="BHT39" s="56"/>
      <c r="BID39" s="56"/>
      <c r="BIN39" s="56"/>
      <c r="BIX39" s="56"/>
      <c r="BJH39" s="56"/>
      <c r="BJR39" s="56"/>
      <c r="BKB39" s="56"/>
      <c r="BKL39" s="56"/>
      <c r="BKV39" s="56"/>
      <c r="BLF39" s="56"/>
      <c r="BLP39" s="56"/>
      <c r="BLZ39" s="56"/>
      <c r="BMJ39" s="56"/>
      <c r="BMT39" s="56"/>
      <c r="BND39" s="56"/>
      <c r="BNN39" s="56"/>
      <c r="BNX39" s="56"/>
      <c r="BOH39" s="56"/>
      <c r="BOR39" s="56"/>
      <c r="BPB39" s="56"/>
      <c r="BPL39" s="56"/>
      <c r="BPV39" s="56"/>
      <c r="BQF39" s="56"/>
      <c r="BQP39" s="56"/>
      <c r="BQZ39" s="56"/>
      <c r="BRJ39" s="56"/>
      <c r="BRT39" s="56"/>
      <c r="BSD39" s="56"/>
      <c r="BSN39" s="56"/>
      <c r="BSX39" s="56"/>
      <c r="BTH39" s="56"/>
      <c r="BTR39" s="56"/>
      <c r="BUB39" s="56"/>
      <c r="BUL39" s="56"/>
      <c r="BUV39" s="56"/>
      <c r="BVF39" s="56"/>
      <c r="BVP39" s="56"/>
      <c r="BVZ39" s="56"/>
      <c r="BWJ39" s="56"/>
      <c r="BWT39" s="56"/>
      <c r="BXD39" s="56"/>
      <c r="BXN39" s="56"/>
      <c r="BXX39" s="56"/>
      <c r="BYH39" s="56"/>
      <c r="BYR39" s="56"/>
      <c r="BZB39" s="56"/>
      <c r="BZL39" s="56"/>
      <c r="BZV39" s="56"/>
      <c r="CAF39" s="56"/>
      <c r="CAP39" s="56"/>
      <c r="CAZ39" s="56"/>
      <c r="CBJ39" s="56"/>
      <c r="CBT39" s="56"/>
      <c r="CCD39" s="56"/>
      <c r="CCN39" s="56"/>
      <c r="CCX39" s="56"/>
      <c r="CDH39" s="56"/>
      <c r="CDR39" s="56"/>
      <c r="CEB39" s="56"/>
      <c r="CEL39" s="56"/>
      <c r="CEV39" s="56"/>
      <c r="CFF39" s="56"/>
      <c r="CFP39" s="56"/>
      <c r="CFZ39" s="56"/>
      <c r="CGJ39" s="56"/>
      <c r="CGT39" s="56"/>
      <c r="CHD39" s="56"/>
      <c r="CHN39" s="56"/>
      <c r="CHX39" s="56"/>
      <c r="CIH39" s="56"/>
      <c r="CIR39" s="56"/>
      <c r="CJB39" s="56"/>
      <c r="CJL39" s="56"/>
      <c r="CJV39" s="56"/>
      <c r="CKF39" s="56"/>
      <c r="CKP39" s="56"/>
      <c r="CKZ39" s="56"/>
      <c r="CLJ39" s="56"/>
      <c r="CLT39" s="56"/>
      <c r="CMD39" s="56"/>
      <c r="CMN39" s="56"/>
      <c r="CMX39" s="56"/>
      <c r="CNH39" s="56"/>
      <c r="CNR39" s="56"/>
      <c r="COB39" s="56"/>
      <c r="COL39" s="56"/>
      <c r="COV39" s="56"/>
      <c r="CPF39" s="56"/>
      <c r="CPP39" s="56"/>
      <c r="CPZ39" s="56"/>
      <c r="CQJ39" s="56"/>
      <c r="CQT39" s="56"/>
      <c r="CRD39" s="56"/>
      <c r="CRN39" s="56"/>
      <c r="CRX39" s="56"/>
      <c r="CSH39" s="56"/>
      <c r="CSR39" s="56"/>
      <c r="CTB39" s="56"/>
      <c r="CTL39" s="56"/>
      <c r="CTV39" s="56"/>
    </row>
    <row r="40" s="42" customFormat="1" customHeight="1" spans="1:1020 1030:2040 2050:2570">
      <c r="A40" s="51"/>
      <c r="B40" s="52"/>
      <c r="C40" s="52"/>
      <c r="D40" s="52"/>
      <c r="E40" s="52"/>
      <c r="F40" s="53" t="str">
        <f>IFERROR(VLOOKUP(E40,日报!E:G,2,0),"")</f>
        <v/>
      </c>
      <c r="G40" s="52"/>
      <c r="H40" s="54" t="str">
        <f>IFERROR(VLOOKUP(E40,日报!E:H,4,0),"")</f>
        <v/>
      </c>
      <c r="I40" s="54" t="str">
        <f>IFERROR(VLOOKUP(E40,日报!E:G,3,0),"")</f>
        <v/>
      </c>
      <c r="J40" s="52"/>
      <c r="K40" s="55" t="str">
        <f t="shared" si="0"/>
        <v/>
      </c>
      <c r="T40" s="56"/>
      <c r="AD40" s="56"/>
      <c r="AN40" s="56"/>
      <c r="AX40" s="56"/>
      <c r="BH40" s="56"/>
      <c r="BR40" s="56"/>
      <c r="CB40" s="56"/>
      <c r="CL40" s="56"/>
      <c r="CV40" s="56"/>
      <c r="DF40" s="56"/>
      <c r="DP40" s="56"/>
      <c r="DZ40" s="56"/>
      <c r="EJ40" s="56"/>
      <c r="ET40" s="56"/>
      <c r="FD40" s="56"/>
      <c r="FN40" s="56"/>
      <c r="FX40" s="56"/>
      <c r="GH40" s="56"/>
      <c r="GR40" s="56"/>
      <c r="HB40" s="56"/>
      <c r="HL40" s="56"/>
      <c r="HV40" s="56"/>
      <c r="IF40" s="56"/>
      <c r="IP40" s="56"/>
      <c r="IZ40" s="56"/>
      <c r="JJ40" s="56"/>
      <c r="JT40" s="56"/>
      <c r="KD40" s="56"/>
      <c r="KN40" s="56"/>
      <c r="KX40" s="56"/>
      <c r="LH40" s="56"/>
      <c r="LR40" s="56"/>
      <c r="MB40" s="56"/>
      <c r="ML40" s="56"/>
      <c r="MV40" s="56"/>
      <c r="NF40" s="56"/>
      <c r="NP40" s="56"/>
      <c r="NZ40" s="56"/>
      <c r="OJ40" s="56"/>
      <c r="OT40" s="56"/>
      <c r="PD40" s="56"/>
      <c r="PN40" s="56"/>
      <c r="PX40" s="56"/>
      <c r="QH40" s="56"/>
      <c r="QR40" s="56"/>
      <c r="RB40" s="56"/>
      <c r="RL40" s="56"/>
      <c r="RV40" s="56"/>
      <c r="SF40" s="56"/>
      <c r="SP40" s="56"/>
      <c r="SZ40" s="56"/>
      <c r="TJ40" s="56"/>
      <c r="TT40" s="56"/>
      <c r="UD40" s="56"/>
      <c r="UN40" s="56"/>
      <c r="UX40" s="56"/>
      <c r="VH40" s="56"/>
      <c r="VR40" s="56"/>
      <c r="WB40" s="56"/>
      <c r="WL40" s="56"/>
      <c r="WV40" s="56"/>
      <c r="XF40" s="56"/>
      <c r="XP40" s="56"/>
      <c r="XZ40" s="56"/>
      <c r="YJ40" s="56"/>
      <c r="YT40" s="56"/>
      <c r="ZD40" s="56"/>
      <c r="ZN40" s="56"/>
      <c r="ZX40" s="56"/>
      <c r="AAH40" s="56"/>
      <c r="AAR40" s="56"/>
      <c r="ABB40" s="56"/>
      <c r="ABL40" s="56"/>
      <c r="ABV40" s="56"/>
      <c r="ACF40" s="56"/>
      <c r="ACP40" s="56"/>
      <c r="ACZ40" s="56"/>
      <c r="ADJ40" s="56"/>
      <c r="ADT40" s="56"/>
      <c r="AED40" s="56"/>
      <c r="AEN40" s="56"/>
      <c r="AEX40" s="56"/>
      <c r="AFH40" s="56"/>
      <c r="AFR40" s="56"/>
      <c r="AGB40" s="56"/>
      <c r="AGL40" s="56"/>
      <c r="AGV40" s="56"/>
      <c r="AHF40" s="56"/>
      <c r="AHP40" s="56"/>
      <c r="AHZ40" s="56"/>
      <c r="AIJ40" s="56"/>
      <c r="AIT40" s="56"/>
      <c r="AJD40" s="56"/>
      <c r="AJN40" s="56"/>
      <c r="AJX40" s="56"/>
      <c r="AKH40" s="56"/>
      <c r="AKR40" s="56"/>
      <c r="ALB40" s="56"/>
      <c r="ALL40" s="56"/>
      <c r="ALV40" s="56"/>
      <c r="AMF40" s="56"/>
      <c r="AMP40" s="56"/>
      <c r="AMZ40" s="56"/>
      <c r="ANJ40" s="56"/>
      <c r="ANT40" s="56"/>
      <c r="AOD40" s="56"/>
      <c r="AON40" s="56"/>
      <c r="AOX40" s="56"/>
      <c r="APH40" s="56"/>
      <c r="APR40" s="56"/>
      <c r="AQB40" s="56"/>
      <c r="AQL40" s="56"/>
      <c r="AQV40" s="56"/>
      <c r="ARF40" s="56"/>
      <c r="ARP40" s="56"/>
      <c r="ARZ40" s="56"/>
      <c r="ASJ40" s="56"/>
      <c r="AST40" s="56"/>
      <c r="ATD40" s="56"/>
      <c r="ATN40" s="56"/>
      <c r="ATX40" s="56"/>
      <c r="AUH40" s="56"/>
      <c r="AUR40" s="56"/>
      <c r="AVB40" s="56"/>
      <c r="AVL40" s="56"/>
      <c r="AVV40" s="56"/>
      <c r="AWF40" s="56"/>
      <c r="AWP40" s="56"/>
      <c r="AWZ40" s="56"/>
      <c r="AXJ40" s="56"/>
      <c r="AXT40" s="56"/>
      <c r="AYD40" s="56"/>
      <c r="AYN40" s="56"/>
      <c r="AYX40" s="56"/>
      <c r="AZH40" s="56"/>
      <c r="AZR40" s="56"/>
      <c r="BAB40" s="56"/>
      <c r="BAL40" s="56"/>
      <c r="BAV40" s="56"/>
      <c r="BBF40" s="56"/>
      <c r="BBP40" s="56"/>
      <c r="BBZ40" s="56"/>
      <c r="BCJ40" s="56"/>
      <c r="BCT40" s="56"/>
      <c r="BDD40" s="56"/>
      <c r="BDN40" s="56"/>
      <c r="BDX40" s="56"/>
      <c r="BEH40" s="56"/>
      <c r="BER40" s="56"/>
      <c r="BFB40" s="56"/>
      <c r="BFL40" s="56"/>
      <c r="BFV40" s="56"/>
      <c r="BGF40" s="56"/>
      <c r="BGP40" s="56"/>
      <c r="BGZ40" s="56"/>
      <c r="BHJ40" s="56"/>
      <c r="BHT40" s="56"/>
      <c r="BID40" s="56"/>
      <c r="BIN40" s="56"/>
      <c r="BIX40" s="56"/>
      <c r="BJH40" s="56"/>
      <c r="BJR40" s="56"/>
      <c r="BKB40" s="56"/>
      <c r="BKL40" s="56"/>
      <c r="BKV40" s="56"/>
      <c r="BLF40" s="56"/>
      <c r="BLP40" s="56"/>
      <c r="BLZ40" s="56"/>
      <c r="BMJ40" s="56"/>
      <c r="BMT40" s="56"/>
      <c r="BND40" s="56"/>
      <c r="BNN40" s="56"/>
      <c r="BNX40" s="56"/>
      <c r="BOH40" s="56"/>
      <c r="BOR40" s="56"/>
      <c r="BPB40" s="56"/>
      <c r="BPL40" s="56"/>
      <c r="BPV40" s="56"/>
      <c r="BQF40" s="56"/>
      <c r="BQP40" s="56"/>
      <c r="BQZ40" s="56"/>
      <c r="BRJ40" s="56"/>
      <c r="BRT40" s="56"/>
      <c r="BSD40" s="56"/>
      <c r="BSN40" s="56"/>
      <c r="BSX40" s="56"/>
      <c r="BTH40" s="56"/>
      <c r="BTR40" s="56"/>
      <c r="BUB40" s="56"/>
      <c r="BUL40" s="56"/>
      <c r="BUV40" s="56"/>
      <c r="BVF40" s="56"/>
      <c r="BVP40" s="56"/>
      <c r="BVZ40" s="56"/>
      <c r="BWJ40" s="56"/>
      <c r="BWT40" s="56"/>
      <c r="BXD40" s="56"/>
      <c r="BXN40" s="56"/>
      <c r="BXX40" s="56"/>
      <c r="BYH40" s="56"/>
      <c r="BYR40" s="56"/>
      <c r="BZB40" s="56"/>
      <c r="BZL40" s="56"/>
      <c r="BZV40" s="56"/>
      <c r="CAF40" s="56"/>
      <c r="CAP40" s="56"/>
      <c r="CAZ40" s="56"/>
      <c r="CBJ40" s="56"/>
      <c r="CBT40" s="56"/>
      <c r="CCD40" s="56"/>
      <c r="CCN40" s="56"/>
      <c r="CCX40" s="56"/>
      <c r="CDH40" s="56"/>
      <c r="CDR40" s="56"/>
      <c r="CEB40" s="56"/>
      <c r="CEL40" s="56"/>
      <c r="CEV40" s="56"/>
      <c r="CFF40" s="56"/>
      <c r="CFP40" s="56"/>
      <c r="CFZ40" s="56"/>
      <c r="CGJ40" s="56"/>
      <c r="CGT40" s="56"/>
      <c r="CHD40" s="56"/>
      <c r="CHN40" s="56"/>
      <c r="CHX40" s="56"/>
      <c r="CIH40" s="56"/>
      <c r="CIR40" s="56"/>
      <c r="CJB40" s="56"/>
      <c r="CJL40" s="56"/>
      <c r="CJV40" s="56"/>
      <c r="CKF40" s="56"/>
      <c r="CKP40" s="56"/>
      <c r="CKZ40" s="56"/>
      <c r="CLJ40" s="56"/>
      <c r="CLT40" s="56"/>
      <c r="CMD40" s="56"/>
      <c r="CMN40" s="56"/>
      <c r="CMX40" s="56"/>
      <c r="CNH40" s="56"/>
      <c r="CNR40" s="56"/>
      <c r="COB40" s="56"/>
      <c r="COL40" s="56"/>
      <c r="COV40" s="56"/>
      <c r="CPF40" s="56"/>
      <c r="CPP40" s="56"/>
      <c r="CPZ40" s="56"/>
      <c r="CQJ40" s="56"/>
      <c r="CQT40" s="56"/>
      <c r="CRD40" s="56"/>
      <c r="CRN40" s="56"/>
      <c r="CRX40" s="56"/>
      <c r="CSH40" s="56"/>
      <c r="CSR40" s="56"/>
      <c r="CTB40" s="56"/>
      <c r="CTL40" s="56"/>
      <c r="CTV40" s="56"/>
    </row>
    <row r="41" s="42" customFormat="1" customHeight="1" spans="1:1020 1030:2040 2050:2570">
      <c r="A41" s="51"/>
      <c r="B41" s="52"/>
      <c r="C41" s="52"/>
      <c r="D41" s="52"/>
      <c r="E41" s="52"/>
      <c r="F41" s="53" t="str">
        <f>IFERROR(VLOOKUP(E41,日报!E:G,2,0),"")</f>
        <v/>
      </c>
      <c r="G41" s="52"/>
      <c r="H41" s="54" t="str">
        <f>IFERROR(VLOOKUP(E41,日报!E:H,4,0),"")</f>
        <v/>
      </c>
      <c r="I41" s="54" t="str">
        <f>IFERROR(VLOOKUP(E41,日报!E:G,3,0),"")</f>
        <v/>
      </c>
      <c r="J41" s="52"/>
      <c r="K41" s="55" t="str">
        <f t="shared" si="0"/>
        <v/>
      </c>
      <c r="T41" s="56"/>
      <c r="AD41" s="56"/>
      <c r="AN41" s="56"/>
      <c r="AX41" s="56"/>
      <c r="BH41" s="56"/>
      <c r="BR41" s="56"/>
      <c r="CB41" s="56"/>
      <c r="CL41" s="56"/>
      <c r="CV41" s="56"/>
      <c r="DF41" s="56"/>
      <c r="DP41" s="56"/>
      <c r="DZ41" s="56"/>
      <c r="EJ41" s="56"/>
      <c r="ET41" s="56"/>
      <c r="FD41" s="56"/>
      <c r="FN41" s="56"/>
      <c r="FX41" s="56"/>
      <c r="GH41" s="56"/>
      <c r="GR41" s="56"/>
      <c r="HB41" s="56"/>
      <c r="HL41" s="56"/>
      <c r="HV41" s="56"/>
      <c r="IF41" s="56"/>
      <c r="IP41" s="56"/>
      <c r="IZ41" s="56"/>
      <c r="JJ41" s="56"/>
      <c r="JT41" s="56"/>
      <c r="KD41" s="56"/>
      <c r="KN41" s="56"/>
      <c r="KX41" s="56"/>
      <c r="LH41" s="56"/>
      <c r="LR41" s="56"/>
      <c r="MB41" s="56"/>
      <c r="ML41" s="56"/>
      <c r="MV41" s="56"/>
      <c r="NF41" s="56"/>
      <c r="NP41" s="56"/>
      <c r="NZ41" s="56"/>
      <c r="OJ41" s="56"/>
      <c r="OT41" s="56"/>
      <c r="PD41" s="56"/>
      <c r="PN41" s="56"/>
      <c r="PX41" s="56"/>
      <c r="QH41" s="56"/>
      <c r="QR41" s="56"/>
      <c r="RB41" s="56"/>
      <c r="RL41" s="56"/>
      <c r="RV41" s="56"/>
      <c r="SF41" s="56"/>
      <c r="SP41" s="56"/>
      <c r="SZ41" s="56"/>
      <c r="TJ41" s="56"/>
      <c r="TT41" s="56"/>
      <c r="UD41" s="56"/>
      <c r="UN41" s="56"/>
      <c r="UX41" s="56"/>
      <c r="VH41" s="56"/>
      <c r="VR41" s="56"/>
      <c r="WB41" s="56"/>
      <c r="WL41" s="56"/>
      <c r="WV41" s="56"/>
      <c r="XF41" s="56"/>
      <c r="XP41" s="56"/>
      <c r="XZ41" s="56"/>
      <c r="YJ41" s="56"/>
      <c r="YT41" s="56"/>
      <c r="ZD41" s="56"/>
      <c r="ZN41" s="56"/>
      <c r="ZX41" s="56"/>
      <c r="AAH41" s="56"/>
      <c r="AAR41" s="56"/>
      <c r="ABB41" s="56"/>
      <c r="ABL41" s="56"/>
      <c r="ABV41" s="56"/>
      <c r="ACF41" s="56"/>
      <c r="ACP41" s="56"/>
      <c r="ACZ41" s="56"/>
      <c r="ADJ41" s="56"/>
      <c r="ADT41" s="56"/>
      <c r="AED41" s="56"/>
      <c r="AEN41" s="56"/>
      <c r="AEX41" s="56"/>
      <c r="AFH41" s="56"/>
      <c r="AFR41" s="56"/>
      <c r="AGB41" s="56"/>
      <c r="AGL41" s="56"/>
      <c r="AGV41" s="56"/>
      <c r="AHF41" s="56"/>
      <c r="AHP41" s="56"/>
      <c r="AHZ41" s="56"/>
      <c r="AIJ41" s="56"/>
      <c r="AIT41" s="56"/>
      <c r="AJD41" s="56"/>
      <c r="AJN41" s="56"/>
      <c r="AJX41" s="56"/>
      <c r="AKH41" s="56"/>
      <c r="AKR41" s="56"/>
      <c r="ALB41" s="56"/>
      <c r="ALL41" s="56"/>
      <c r="ALV41" s="56"/>
      <c r="AMF41" s="56"/>
      <c r="AMP41" s="56"/>
      <c r="AMZ41" s="56"/>
      <c r="ANJ41" s="56"/>
      <c r="ANT41" s="56"/>
      <c r="AOD41" s="56"/>
      <c r="AON41" s="56"/>
      <c r="AOX41" s="56"/>
      <c r="APH41" s="56"/>
      <c r="APR41" s="56"/>
      <c r="AQB41" s="56"/>
      <c r="AQL41" s="56"/>
      <c r="AQV41" s="56"/>
      <c r="ARF41" s="56"/>
      <c r="ARP41" s="56"/>
      <c r="ARZ41" s="56"/>
      <c r="ASJ41" s="56"/>
      <c r="AST41" s="56"/>
      <c r="ATD41" s="56"/>
      <c r="ATN41" s="56"/>
      <c r="ATX41" s="56"/>
      <c r="AUH41" s="56"/>
      <c r="AUR41" s="56"/>
      <c r="AVB41" s="56"/>
      <c r="AVL41" s="56"/>
      <c r="AVV41" s="56"/>
      <c r="AWF41" s="56"/>
      <c r="AWP41" s="56"/>
      <c r="AWZ41" s="56"/>
      <c r="AXJ41" s="56"/>
      <c r="AXT41" s="56"/>
      <c r="AYD41" s="56"/>
      <c r="AYN41" s="56"/>
      <c r="AYX41" s="56"/>
      <c r="AZH41" s="56"/>
      <c r="AZR41" s="56"/>
      <c r="BAB41" s="56"/>
      <c r="BAL41" s="56"/>
      <c r="BAV41" s="56"/>
      <c r="BBF41" s="56"/>
      <c r="BBP41" s="56"/>
      <c r="BBZ41" s="56"/>
      <c r="BCJ41" s="56"/>
      <c r="BCT41" s="56"/>
      <c r="BDD41" s="56"/>
      <c r="BDN41" s="56"/>
      <c r="BDX41" s="56"/>
      <c r="BEH41" s="56"/>
      <c r="BER41" s="56"/>
      <c r="BFB41" s="56"/>
      <c r="BFL41" s="56"/>
      <c r="BFV41" s="56"/>
      <c r="BGF41" s="56"/>
      <c r="BGP41" s="56"/>
      <c r="BGZ41" s="56"/>
      <c r="BHJ41" s="56"/>
      <c r="BHT41" s="56"/>
      <c r="BID41" s="56"/>
      <c r="BIN41" s="56"/>
      <c r="BIX41" s="56"/>
      <c r="BJH41" s="56"/>
      <c r="BJR41" s="56"/>
      <c r="BKB41" s="56"/>
      <c r="BKL41" s="56"/>
      <c r="BKV41" s="56"/>
      <c r="BLF41" s="56"/>
      <c r="BLP41" s="56"/>
      <c r="BLZ41" s="56"/>
      <c r="BMJ41" s="56"/>
      <c r="BMT41" s="56"/>
      <c r="BND41" s="56"/>
      <c r="BNN41" s="56"/>
      <c r="BNX41" s="56"/>
      <c r="BOH41" s="56"/>
      <c r="BOR41" s="56"/>
      <c r="BPB41" s="56"/>
      <c r="BPL41" s="56"/>
      <c r="BPV41" s="56"/>
      <c r="BQF41" s="56"/>
      <c r="BQP41" s="56"/>
      <c r="BQZ41" s="56"/>
      <c r="BRJ41" s="56"/>
      <c r="BRT41" s="56"/>
      <c r="BSD41" s="56"/>
      <c r="BSN41" s="56"/>
      <c r="BSX41" s="56"/>
      <c r="BTH41" s="56"/>
      <c r="BTR41" s="56"/>
      <c r="BUB41" s="56"/>
      <c r="BUL41" s="56"/>
      <c r="BUV41" s="56"/>
      <c r="BVF41" s="56"/>
      <c r="BVP41" s="56"/>
      <c r="BVZ41" s="56"/>
      <c r="BWJ41" s="56"/>
      <c r="BWT41" s="56"/>
      <c r="BXD41" s="56"/>
      <c r="BXN41" s="56"/>
      <c r="BXX41" s="56"/>
      <c r="BYH41" s="56"/>
      <c r="BYR41" s="56"/>
      <c r="BZB41" s="56"/>
      <c r="BZL41" s="56"/>
      <c r="BZV41" s="56"/>
      <c r="CAF41" s="56"/>
      <c r="CAP41" s="56"/>
      <c r="CAZ41" s="56"/>
      <c r="CBJ41" s="56"/>
      <c r="CBT41" s="56"/>
      <c r="CCD41" s="56"/>
      <c r="CCN41" s="56"/>
      <c r="CCX41" s="56"/>
      <c r="CDH41" s="56"/>
      <c r="CDR41" s="56"/>
      <c r="CEB41" s="56"/>
      <c r="CEL41" s="56"/>
      <c r="CEV41" s="56"/>
      <c r="CFF41" s="56"/>
      <c r="CFP41" s="56"/>
      <c r="CFZ41" s="56"/>
      <c r="CGJ41" s="56"/>
      <c r="CGT41" s="56"/>
      <c r="CHD41" s="56"/>
      <c r="CHN41" s="56"/>
      <c r="CHX41" s="56"/>
      <c r="CIH41" s="56"/>
      <c r="CIR41" s="56"/>
      <c r="CJB41" s="56"/>
      <c r="CJL41" s="56"/>
      <c r="CJV41" s="56"/>
      <c r="CKF41" s="56"/>
      <c r="CKP41" s="56"/>
      <c r="CKZ41" s="56"/>
      <c r="CLJ41" s="56"/>
      <c r="CLT41" s="56"/>
      <c r="CMD41" s="56"/>
      <c r="CMN41" s="56"/>
      <c r="CMX41" s="56"/>
      <c r="CNH41" s="56"/>
      <c r="CNR41" s="56"/>
      <c r="COB41" s="56"/>
      <c r="COL41" s="56"/>
      <c r="COV41" s="56"/>
      <c r="CPF41" s="56"/>
      <c r="CPP41" s="56"/>
      <c r="CPZ41" s="56"/>
      <c r="CQJ41" s="56"/>
      <c r="CQT41" s="56"/>
      <c r="CRD41" s="56"/>
      <c r="CRN41" s="56"/>
      <c r="CRX41" s="56"/>
      <c r="CSH41" s="56"/>
      <c r="CSR41" s="56"/>
      <c r="CTB41" s="56"/>
      <c r="CTL41" s="56"/>
      <c r="CTV41" s="56"/>
    </row>
    <row r="42" s="42" customFormat="1" customHeight="1" spans="1:1020 1030:2040 2050:2570">
      <c r="A42" s="51"/>
      <c r="B42" s="52"/>
      <c r="C42" s="52"/>
      <c r="D42" s="52"/>
      <c r="E42" s="52"/>
      <c r="F42" s="53" t="str">
        <f>IFERROR(VLOOKUP(E42,日报!E:G,2,0),"")</f>
        <v/>
      </c>
      <c r="G42" s="52"/>
      <c r="H42" s="54" t="str">
        <f>IFERROR(VLOOKUP(E42,日报!E:H,4,0),"")</f>
        <v/>
      </c>
      <c r="I42" s="54" t="str">
        <f>IFERROR(VLOOKUP(E42,日报!E:G,3,0),"")</f>
        <v/>
      </c>
      <c r="J42" s="52"/>
      <c r="K42" s="55" t="str">
        <f t="shared" si="0"/>
        <v/>
      </c>
      <c r="T42" s="56"/>
      <c r="AD42" s="56"/>
      <c r="AN42" s="56"/>
      <c r="AX42" s="56"/>
      <c r="BH42" s="56"/>
      <c r="BR42" s="56"/>
      <c r="CB42" s="56"/>
      <c r="CL42" s="56"/>
      <c r="CV42" s="56"/>
      <c r="DF42" s="56"/>
      <c r="DP42" s="56"/>
      <c r="DZ42" s="56"/>
      <c r="EJ42" s="56"/>
      <c r="ET42" s="56"/>
      <c r="FD42" s="56"/>
      <c r="FN42" s="56"/>
      <c r="FX42" s="56"/>
      <c r="GH42" s="56"/>
      <c r="GR42" s="56"/>
      <c r="HB42" s="56"/>
      <c r="HL42" s="56"/>
      <c r="HV42" s="56"/>
      <c r="IF42" s="56"/>
      <c r="IP42" s="56"/>
      <c r="IZ42" s="56"/>
      <c r="JJ42" s="56"/>
      <c r="JT42" s="56"/>
      <c r="KD42" s="56"/>
      <c r="KN42" s="56"/>
      <c r="KX42" s="56"/>
      <c r="LH42" s="56"/>
      <c r="LR42" s="56"/>
      <c r="MB42" s="56"/>
      <c r="ML42" s="56"/>
      <c r="MV42" s="56"/>
      <c r="NF42" s="56"/>
      <c r="NP42" s="56"/>
      <c r="NZ42" s="56"/>
      <c r="OJ42" s="56"/>
      <c r="OT42" s="56"/>
      <c r="PD42" s="56"/>
      <c r="PN42" s="56"/>
      <c r="PX42" s="56"/>
      <c r="QH42" s="56"/>
      <c r="QR42" s="56"/>
      <c r="RB42" s="56"/>
      <c r="RL42" s="56"/>
      <c r="RV42" s="56"/>
      <c r="SF42" s="56"/>
      <c r="SP42" s="56"/>
      <c r="SZ42" s="56"/>
      <c r="TJ42" s="56"/>
      <c r="TT42" s="56"/>
      <c r="UD42" s="56"/>
      <c r="UN42" s="56"/>
      <c r="UX42" s="56"/>
      <c r="VH42" s="56"/>
      <c r="VR42" s="56"/>
      <c r="WB42" s="56"/>
      <c r="WL42" s="56"/>
      <c r="WV42" s="56"/>
      <c r="XF42" s="56"/>
      <c r="XP42" s="56"/>
      <c r="XZ42" s="56"/>
      <c r="YJ42" s="56"/>
      <c r="YT42" s="56"/>
      <c r="ZD42" s="56"/>
      <c r="ZN42" s="56"/>
      <c r="ZX42" s="56"/>
      <c r="AAH42" s="56"/>
      <c r="AAR42" s="56"/>
      <c r="ABB42" s="56"/>
      <c r="ABL42" s="56"/>
      <c r="ABV42" s="56"/>
      <c r="ACF42" s="56"/>
      <c r="ACP42" s="56"/>
      <c r="ACZ42" s="56"/>
      <c r="ADJ42" s="56"/>
      <c r="ADT42" s="56"/>
      <c r="AED42" s="56"/>
      <c r="AEN42" s="56"/>
      <c r="AEX42" s="56"/>
      <c r="AFH42" s="56"/>
      <c r="AFR42" s="56"/>
      <c r="AGB42" s="56"/>
      <c r="AGL42" s="56"/>
      <c r="AGV42" s="56"/>
      <c r="AHF42" s="56"/>
      <c r="AHP42" s="56"/>
      <c r="AHZ42" s="56"/>
      <c r="AIJ42" s="56"/>
      <c r="AIT42" s="56"/>
      <c r="AJD42" s="56"/>
      <c r="AJN42" s="56"/>
      <c r="AJX42" s="56"/>
      <c r="AKH42" s="56"/>
      <c r="AKR42" s="56"/>
      <c r="ALB42" s="56"/>
      <c r="ALL42" s="56"/>
      <c r="ALV42" s="56"/>
      <c r="AMF42" s="56"/>
      <c r="AMP42" s="56"/>
      <c r="AMZ42" s="56"/>
      <c r="ANJ42" s="56"/>
      <c r="ANT42" s="56"/>
      <c r="AOD42" s="56"/>
      <c r="AON42" s="56"/>
      <c r="AOX42" s="56"/>
      <c r="APH42" s="56"/>
      <c r="APR42" s="56"/>
      <c r="AQB42" s="56"/>
      <c r="AQL42" s="56"/>
      <c r="AQV42" s="56"/>
      <c r="ARF42" s="56"/>
      <c r="ARP42" s="56"/>
      <c r="ARZ42" s="56"/>
      <c r="ASJ42" s="56"/>
      <c r="AST42" s="56"/>
      <c r="ATD42" s="56"/>
      <c r="ATN42" s="56"/>
      <c r="ATX42" s="56"/>
      <c r="AUH42" s="56"/>
      <c r="AUR42" s="56"/>
      <c r="AVB42" s="56"/>
      <c r="AVL42" s="56"/>
      <c r="AVV42" s="56"/>
      <c r="AWF42" s="56"/>
      <c r="AWP42" s="56"/>
      <c r="AWZ42" s="56"/>
      <c r="AXJ42" s="56"/>
      <c r="AXT42" s="56"/>
      <c r="AYD42" s="56"/>
      <c r="AYN42" s="56"/>
      <c r="AYX42" s="56"/>
      <c r="AZH42" s="56"/>
      <c r="AZR42" s="56"/>
      <c r="BAB42" s="56"/>
      <c r="BAL42" s="56"/>
      <c r="BAV42" s="56"/>
      <c r="BBF42" s="56"/>
      <c r="BBP42" s="56"/>
      <c r="BBZ42" s="56"/>
      <c r="BCJ42" s="56"/>
      <c r="BCT42" s="56"/>
      <c r="BDD42" s="56"/>
      <c r="BDN42" s="56"/>
      <c r="BDX42" s="56"/>
      <c r="BEH42" s="56"/>
      <c r="BER42" s="56"/>
      <c r="BFB42" s="56"/>
      <c r="BFL42" s="56"/>
      <c r="BFV42" s="56"/>
      <c r="BGF42" s="56"/>
      <c r="BGP42" s="56"/>
      <c r="BGZ42" s="56"/>
      <c r="BHJ42" s="56"/>
      <c r="BHT42" s="56"/>
      <c r="BID42" s="56"/>
      <c r="BIN42" s="56"/>
      <c r="BIX42" s="56"/>
      <c r="BJH42" s="56"/>
      <c r="BJR42" s="56"/>
      <c r="BKB42" s="56"/>
      <c r="BKL42" s="56"/>
      <c r="BKV42" s="56"/>
      <c r="BLF42" s="56"/>
      <c r="BLP42" s="56"/>
      <c r="BLZ42" s="56"/>
      <c r="BMJ42" s="56"/>
      <c r="BMT42" s="56"/>
      <c r="BND42" s="56"/>
      <c r="BNN42" s="56"/>
      <c r="BNX42" s="56"/>
      <c r="BOH42" s="56"/>
      <c r="BOR42" s="56"/>
      <c r="BPB42" s="56"/>
      <c r="BPL42" s="56"/>
      <c r="BPV42" s="56"/>
      <c r="BQF42" s="56"/>
      <c r="BQP42" s="56"/>
      <c r="BQZ42" s="56"/>
      <c r="BRJ42" s="56"/>
      <c r="BRT42" s="56"/>
      <c r="BSD42" s="56"/>
      <c r="BSN42" s="56"/>
      <c r="BSX42" s="56"/>
      <c r="BTH42" s="56"/>
      <c r="BTR42" s="56"/>
      <c r="BUB42" s="56"/>
      <c r="BUL42" s="56"/>
      <c r="BUV42" s="56"/>
      <c r="BVF42" s="56"/>
      <c r="BVP42" s="56"/>
      <c r="BVZ42" s="56"/>
      <c r="BWJ42" s="56"/>
      <c r="BWT42" s="56"/>
      <c r="BXD42" s="56"/>
      <c r="BXN42" s="56"/>
      <c r="BXX42" s="56"/>
      <c r="BYH42" s="56"/>
      <c r="BYR42" s="56"/>
      <c r="BZB42" s="56"/>
      <c r="BZL42" s="56"/>
      <c r="BZV42" s="56"/>
      <c r="CAF42" s="56"/>
      <c r="CAP42" s="56"/>
      <c r="CAZ42" s="56"/>
      <c r="CBJ42" s="56"/>
      <c r="CBT42" s="56"/>
      <c r="CCD42" s="56"/>
      <c r="CCN42" s="56"/>
      <c r="CCX42" s="56"/>
      <c r="CDH42" s="56"/>
      <c r="CDR42" s="56"/>
      <c r="CEB42" s="56"/>
      <c r="CEL42" s="56"/>
      <c r="CEV42" s="56"/>
      <c r="CFF42" s="56"/>
      <c r="CFP42" s="56"/>
      <c r="CFZ42" s="56"/>
      <c r="CGJ42" s="56"/>
      <c r="CGT42" s="56"/>
      <c r="CHD42" s="56"/>
      <c r="CHN42" s="56"/>
      <c r="CHX42" s="56"/>
      <c r="CIH42" s="56"/>
      <c r="CIR42" s="56"/>
      <c r="CJB42" s="56"/>
      <c r="CJL42" s="56"/>
      <c r="CJV42" s="56"/>
      <c r="CKF42" s="56"/>
      <c r="CKP42" s="56"/>
      <c r="CKZ42" s="56"/>
      <c r="CLJ42" s="56"/>
      <c r="CLT42" s="56"/>
      <c r="CMD42" s="56"/>
      <c r="CMN42" s="56"/>
      <c r="CMX42" s="56"/>
      <c r="CNH42" s="56"/>
      <c r="CNR42" s="56"/>
      <c r="COB42" s="56"/>
      <c r="COL42" s="56"/>
      <c r="COV42" s="56"/>
      <c r="CPF42" s="56"/>
      <c r="CPP42" s="56"/>
      <c r="CPZ42" s="56"/>
      <c r="CQJ42" s="56"/>
      <c r="CQT42" s="56"/>
      <c r="CRD42" s="56"/>
      <c r="CRN42" s="56"/>
      <c r="CRX42" s="56"/>
      <c r="CSH42" s="56"/>
      <c r="CSR42" s="56"/>
      <c r="CTB42" s="56"/>
      <c r="CTL42" s="56"/>
      <c r="CTV42" s="56"/>
    </row>
    <row r="43" s="42" customFormat="1" customHeight="1" spans="1:1020 1030:2040 2050:2570">
      <c r="A43" s="51"/>
      <c r="B43" s="52"/>
      <c r="C43" s="52"/>
      <c r="D43" s="52"/>
      <c r="E43" s="52"/>
      <c r="F43" s="53" t="str">
        <f>IFERROR(VLOOKUP(E43,日报!E:G,2,0),"")</f>
        <v/>
      </c>
      <c r="G43" s="52"/>
      <c r="H43" s="54" t="str">
        <f>IFERROR(VLOOKUP(E43,日报!E:H,4,0),"")</f>
        <v/>
      </c>
      <c r="I43" s="54" t="str">
        <f>IFERROR(VLOOKUP(E43,日报!E:G,3,0),"")</f>
        <v/>
      </c>
      <c r="J43" s="52"/>
      <c r="K43" s="55" t="str">
        <f t="shared" si="0"/>
        <v/>
      </c>
      <c r="T43" s="56"/>
      <c r="AD43" s="56"/>
      <c r="AN43" s="56"/>
      <c r="AX43" s="56"/>
      <c r="BH43" s="56"/>
      <c r="BR43" s="56"/>
      <c r="CB43" s="56"/>
      <c r="CL43" s="56"/>
      <c r="CV43" s="56"/>
      <c r="DF43" s="56"/>
      <c r="DP43" s="56"/>
      <c r="DZ43" s="56"/>
      <c r="EJ43" s="56"/>
      <c r="ET43" s="56"/>
      <c r="FD43" s="56"/>
      <c r="FN43" s="56"/>
      <c r="FX43" s="56"/>
      <c r="GH43" s="56"/>
      <c r="GR43" s="56"/>
      <c r="HB43" s="56"/>
      <c r="HL43" s="56"/>
      <c r="HV43" s="56"/>
      <c r="IF43" s="56"/>
      <c r="IP43" s="56"/>
      <c r="IZ43" s="56"/>
      <c r="JJ43" s="56"/>
      <c r="JT43" s="56"/>
      <c r="KD43" s="56"/>
      <c r="KN43" s="56"/>
      <c r="KX43" s="56"/>
      <c r="LH43" s="56"/>
      <c r="LR43" s="56"/>
      <c r="MB43" s="56"/>
      <c r="ML43" s="56"/>
      <c r="MV43" s="56"/>
      <c r="NF43" s="56"/>
      <c r="NP43" s="56"/>
      <c r="NZ43" s="56"/>
      <c r="OJ43" s="56"/>
      <c r="OT43" s="56"/>
      <c r="PD43" s="56"/>
      <c r="PN43" s="56"/>
      <c r="PX43" s="56"/>
      <c r="QH43" s="56"/>
      <c r="QR43" s="56"/>
      <c r="RB43" s="56"/>
      <c r="RL43" s="56"/>
      <c r="RV43" s="56"/>
      <c r="SF43" s="56"/>
      <c r="SP43" s="56"/>
      <c r="SZ43" s="56"/>
      <c r="TJ43" s="56"/>
      <c r="TT43" s="56"/>
      <c r="UD43" s="56"/>
      <c r="UN43" s="56"/>
      <c r="UX43" s="56"/>
      <c r="VH43" s="56"/>
      <c r="VR43" s="56"/>
      <c r="WB43" s="56"/>
      <c r="WL43" s="56"/>
      <c r="WV43" s="56"/>
      <c r="XF43" s="56"/>
      <c r="XP43" s="56"/>
      <c r="XZ43" s="56"/>
      <c r="YJ43" s="56"/>
      <c r="YT43" s="56"/>
      <c r="ZD43" s="56"/>
      <c r="ZN43" s="56"/>
      <c r="ZX43" s="56"/>
      <c r="AAH43" s="56"/>
      <c r="AAR43" s="56"/>
      <c r="ABB43" s="56"/>
      <c r="ABL43" s="56"/>
      <c r="ABV43" s="56"/>
      <c r="ACF43" s="56"/>
      <c r="ACP43" s="56"/>
      <c r="ACZ43" s="56"/>
      <c r="ADJ43" s="56"/>
      <c r="ADT43" s="56"/>
      <c r="AED43" s="56"/>
      <c r="AEN43" s="56"/>
      <c r="AEX43" s="56"/>
      <c r="AFH43" s="56"/>
      <c r="AFR43" s="56"/>
      <c r="AGB43" s="56"/>
      <c r="AGL43" s="56"/>
      <c r="AGV43" s="56"/>
      <c r="AHF43" s="56"/>
      <c r="AHP43" s="56"/>
      <c r="AHZ43" s="56"/>
      <c r="AIJ43" s="56"/>
      <c r="AIT43" s="56"/>
      <c r="AJD43" s="56"/>
      <c r="AJN43" s="56"/>
      <c r="AJX43" s="56"/>
      <c r="AKH43" s="56"/>
      <c r="AKR43" s="56"/>
      <c r="ALB43" s="56"/>
      <c r="ALL43" s="56"/>
      <c r="ALV43" s="56"/>
      <c r="AMF43" s="56"/>
      <c r="AMP43" s="56"/>
      <c r="AMZ43" s="56"/>
      <c r="ANJ43" s="56"/>
      <c r="ANT43" s="56"/>
      <c r="AOD43" s="56"/>
      <c r="AON43" s="56"/>
      <c r="AOX43" s="56"/>
      <c r="APH43" s="56"/>
      <c r="APR43" s="56"/>
      <c r="AQB43" s="56"/>
      <c r="AQL43" s="56"/>
      <c r="AQV43" s="56"/>
      <c r="ARF43" s="56"/>
      <c r="ARP43" s="56"/>
      <c r="ARZ43" s="56"/>
      <c r="ASJ43" s="56"/>
      <c r="AST43" s="56"/>
      <c r="ATD43" s="56"/>
      <c r="ATN43" s="56"/>
      <c r="ATX43" s="56"/>
      <c r="AUH43" s="56"/>
      <c r="AUR43" s="56"/>
      <c r="AVB43" s="56"/>
      <c r="AVL43" s="56"/>
      <c r="AVV43" s="56"/>
      <c r="AWF43" s="56"/>
      <c r="AWP43" s="56"/>
      <c r="AWZ43" s="56"/>
      <c r="AXJ43" s="56"/>
      <c r="AXT43" s="56"/>
      <c r="AYD43" s="56"/>
      <c r="AYN43" s="56"/>
      <c r="AYX43" s="56"/>
      <c r="AZH43" s="56"/>
      <c r="AZR43" s="56"/>
      <c r="BAB43" s="56"/>
      <c r="BAL43" s="56"/>
      <c r="BAV43" s="56"/>
      <c r="BBF43" s="56"/>
      <c r="BBP43" s="56"/>
      <c r="BBZ43" s="56"/>
      <c r="BCJ43" s="56"/>
      <c r="BCT43" s="56"/>
      <c r="BDD43" s="56"/>
      <c r="BDN43" s="56"/>
      <c r="BDX43" s="56"/>
      <c r="BEH43" s="56"/>
      <c r="BER43" s="56"/>
      <c r="BFB43" s="56"/>
      <c r="BFL43" s="56"/>
      <c r="BFV43" s="56"/>
      <c r="BGF43" s="56"/>
      <c r="BGP43" s="56"/>
      <c r="BGZ43" s="56"/>
      <c r="BHJ43" s="56"/>
      <c r="BHT43" s="56"/>
      <c r="BID43" s="56"/>
      <c r="BIN43" s="56"/>
      <c r="BIX43" s="56"/>
      <c r="BJH43" s="56"/>
      <c r="BJR43" s="56"/>
      <c r="BKB43" s="56"/>
      <c r="BKL43" s="56"/>
      <c r="BKV43" s="56"/>
      <c r="BLF43" s="56"/>
      <c r="BLP43" s="56"/>
      <c r="BLZ43" s="56"/>
      <c r="BMJ43" s="56"/>
      <c r="BMT43" s="56"/>
      <c r="BND43" s="56"/>
      <c r="BNN43" s="56"/>
      <c r="BNX43" s="56"/>
      <c r="BOH43" s="56"/>
      <c r="BOR43" s="56"/>
      <c r="BPB43" s="56"/>
      <c r="BPL43" s="56"/>
      <c r="BPV43" s="56"/>
      <c r="BQF43" s="56"/>
      <c r="BQP43" s="56"/>
      <c r="BQZ43" s="56"/>
      <c r="BRJ43" s="56"/>
      <c r="BRT43" s="56"/>
      <c r="BSD43" s="56"/>
      <c r="BSN43" s="56"/>
      <c r="BSX43" s="56"/>
      <c r="BTH43" s="56"/>
      <c r="BTR43" s="56"/>
      <c r="BUB43" s="56"/>
      <c r="BUL43" s="56"/>
      <c r="BUV43" s="56"/>
      <c r="BVF43" s="56"/>
      <c r="BVP43" s="56"/>
      <c r="BVZ43" s="56"/>
      <c r="BWJ43" s="56"/>
      <c r="BWT43" s="56"/>
      <c r="BXD43" s="56"/>
      <c r="BXN43" s="56"/>
      <c r="BXX43" s="56"/>
      <c r="BYH43" s="56"/>
      <c r="BYR43" s="56"/>
      <c r="BZB43" s="56"/>
      <c r="BZL43" s="56"/>
      <c r="BZV43" s="56"/>
      <c r="CAF43" s="56"/>
      <c r="CAP43" s="56"/>
      <c r="CAZ43" s="56"/>
      <c r="CBJ43" s="56"/>
      <c r="CBT43" s="56"/>
      <c r="CCD43" s="56"/>
      <c r="CCN43" s="56"/>
      <c r="CCX43" s="56"/>
      <c r="CDH43" s="56"/>
      <c r="CDR43" s="56"/>
      <c r="CEB43" s="56"/>
      <c r="CEL43" s="56"/>
      <c r="CEV43" s="56"/>
      <c r="CFF43" s="56"/>
      <c r="CFP43" s="56"/>
      <c r="CFZ43" s="56"/>
      <c r="CGJ43" s="56"/>
      <c r="CGT43" s="56"/>
      <c r="CHD43" s="56"/>
      <c r="CHN43" s="56"/>
      <c r="CHX43" s="56"/>
      <c r="CIH43" s="56"/>
      <c r="CIR43" s="56"/>
      <c r="CJB43" s="56"/>
      <c r="CJL43" s="56"/>
      <c r="CJV43" s="56"/>
      <c r="CKF43" s="56"/>
      <c r="CKP43" s="56"/>
      <c r="CKZ43" s="56"/>
      <c r="CLJ43" s="56"/>
      <c r="CLT43" s="56"/>
      <c r="CMD43" s="56"/>
      <c r="CMN43" s="56"/>
      <c r="CMX43" s="56"/>
      <c r="CNH43" s="56"/>
      <c r="CNR43" s="56"/>
      <c r="COB43" s="56"/>
      <c r="COL43" s="56"/>
      <c r="COV43" s="56"/>
      <c r="CPF43" s="56"/>
      <c r="CPP43" s="56"/>
      <c r="CPZ43" s="56"/>
      <c r="CQJ43" s="56"/>
      <c r="CQT43" s="56"/>
      <c r="CRD43" s="56"/>
      <c r="CRN43" s="56"/>
      <c r="CRX43" s="56"/>
      <c r="CSH43" s="56"/>
      <c r="CSR43" s="56"/>
      <c r="CTB43" s="56"/>
      <c r="CTL43" s="56"/>
      <c r="CTV43" s="56"/>
    </row>
    <row r="44" s="42" customFormat="1" customHeight="1" spans="1:1020 1030:2040 2050:2570">
      <c r="A44" s="51"/>
      <c r="B44" s="52"/>
      <c r="C44" s="52"/>
      <c r="D44" s="52"/>
      <c r="E44" s="52"/>
      <c r="F44" s="53" t="str">
        <f>IFERROR(VLOOKUP(E44,日报!E:G,2,0),"")</f>
        <v/>
      </c>
      <c r="G44" s="52"/>
      <c r="H44" s="54" t="str">
        <f>IFERROR(VLOOKUP(E44,日报!E:H,4,0),"")</f>
        <v/>
      </c>
      <c r="I44" s="54" t="str">
        <f>IFERROR(VLOOKUP(E44,日报!E:G,3,0),"")</f>
        <v/>
      </c>
      <c r="J44" s="52"/>
      <c r="K44" s="55" t="str">
        <f t="shared" si="0"/>
        <v/>
      </c>
      <c r="T44" s="56"/>
      <c r="AD44" s="56"/>
      <c r="AN44" s="56"/>
      <c r="AX44" s="56"/>
      <c r="BH44" s="56"/>
      <c r="BR44" s="56"/>
      <c r="CB44" s="56"/>
      <c r="CL44" s="56"/>
      <c r="CV44" s="56"/>
      <c r="DF44" s="56"/>
      <c r="DP44" s="56"/>
      <c r="DZ44" s="56"/>
      <c r="EJ44" s="56"/>
      <c r="ET44" s="56"/>
      <c r="FD44" s="56"/>
      <c r="FN44" s="56"/>
      <c r="FX44" s="56"/>
      <c r="GH44" s="56"/>
      <c r="GR44" s="56"/>
      <c r="HB44" s="56"/>
      <c r="HL44" s="56"/>
      <c r="HV44" s="56"/>
      <c r="IF44" s="56"/>
      <c r="IP44" s="56"/>
      <c r="IZ44" s="56"/>
      <c r="JJ44" s="56"/>
      <c r="JT44" s="56"/>
      <c r="KD44" s="56"/>
      <c r="KN44" s="56"/>
      <c r="KX44" s="56"/>
      <c r="LH44" s="56"/>
      <c r="LR44" s="56"/>
      <c r="MB44" s="56"/>
      <c r="ML44" s="56"/>
      <c r="MV44" s="56"/>
      <c r="NF44" s="56"/>
      <c r="NP44" s="56"/>
      <c r="NZ44" s="56"/>
      <c r="OJ44" s="56"/>
      <c r="OT44" s="56"/>
      <c r="PD44" s="56"/>
      <c r="PN44" s="56"/>
      <c r="PX44" s="56"/>
      <c r="QH44" s="56"/>
      <c r="QR44" s="56"/>
      <c r="RB44" s="56"/>
      <c r="RL44" s="56"/>
      <c r="RV44" s="56"/>
      <c r="SF44" s="56"/>
      <c r="SP44" s="56"/>
      <c r="SZ44" s="56"/>
      <c r="TJ44" s="56"/>
      <c r="TT44" s="56"/>
      <c r="UD44" s="56"/>
      <c r="UN44" s="56"/>
      <c r="UX44" s="56"/>
      <c r="VH44" s="56"/>
      <c r="VR44" s="56"/>
      <c r="WB44" s="56"/>
      <c r="WL44" s="56"/>
      <c r="WV44" s="56"/>
      <c r="XF44" s="56"/>
      <c r="XP44" s="56"/>
      <c r="XZ44" s="56"/>
      <c r="YJ44" s="56"/>
      <c r="YT44" s="56"/>
      <c r="ZD44" s="56"/>
      <c r="ZN44" s="56"/>
      <c r="ZX44" s="56"/>
      <c r="AAH44" s="56"/>
      <c r="AAR44" s="56"/>
      <c r="ABB44" s="56"/>
      <c r="ABL44" s="56"/>
      <c r="ABV44" s="56"/>
      <c r="ACF44" s="56"/>
      <c r="ACP44" s="56"/>
      <c r="ACZ44" s="56"/>
      <c r="ADJ44" s="56"/>
      <c r="ADT44" s="56"/>
      <c r="AED44" s="56"/>
      <c r="AEN44" s="56"/>
      <c r="AEX44" s="56"/>
      <c r="AFH44" s="56"/>
      <c r="AFR44" s="56"/>
      <c r="AGB44" s="56"/>
      <c r="AGL44" s="56"/>
      <c r="AGV44" s="56"/>
      <c r="AHF44" s="56"/>
      <c r="AHP44" s="56"/>
      <c r="AHZ44" s="56"/>
      <c r="AIJ44" s="56"/>
      <c r="AIT44" s="56"/>
      <c r="AJD44" s="56"/>
      <c r="AJN44" s="56"/>
      <c r="AJX44" s="56"/>
      <c r="AKH44" s="56"/>
      <c r="AKR44" s="56"/>
      <c r="ALB44" s="56"/>
      <c r="ALL44" s="56"/>
      <c r="ALV44" s="56"/>
      <c r="AMF44" s="56"/>
      <c r="AMP44" s="56"/>
      <c r="AMZ44" s="56"/>
      <c r="ANJ44" s="56"/>
      <c r="ANT44" s="56"/>
      <c r="AOD44" s="56"/>
      <c r="AON44" s="56"/>
      <c r="AOX44" s="56"/>
      <c r="APH44" s="56"/>
      <c r="APR44" s="56"/>
      <c r="AQB44" s="56"/>
      <c r="AQL44" s="56"/>
      <c r="AQV44" s="56"/>
      <c r="ARF44" s="56"/>
      <c r="ARP44" s="56"/>
      <c r="ARZ44" s="56"/>
      <c r="ASJ44" s="56"/>
      <c r="AST44" s="56"/>
      <c r="ATD44" s="56"/>
      <c r="ATN44" s="56"/>
      <c r="ATX44" s="56"/>
      <c r="AUH44" s="56"/>
      <c r="AUR44" s="56"/>
      <c r="AVB44" s="56"/>
      <c r="AVL44" s="56"/>
      <c r="AVV44" s="56"/>
      <c r="AWF44" s="56"/>
      <c r="AWP44" s="56"/>
      <c r="AWZ44" s="56"/>
      <c r="AXJ44" s="56"/>
      <c r="AXT44" s="56"/>
      <c r="AYD44" s="56"/>
      <c r="AYN44" s="56"/>
      <c r="AYX44" s="56"/>
      <c r="AZH44" s="56"/>
      <c r="AZR44" s="56"/>
      <c r="BAB44" s="56"/>
      <c r="BAL44" s="56"/>
      <c r="BAV44" s="56"/>
      <c r="BBF44" s="56"/>
      <c r="BBP44" s="56"/>
      <c r="BBZ44" s="56"/>
      <c r="BCJ44" s="56"/>
      <c r="BCT44" s="56"/>
      <c r="BDD44" s="56"/>
      <c r="BDN44" s="56"/>
      <c r="BDX44" s="56"/>
      <c r="BEH44" s="56"/>
      <c r="BER44" s="56"/>
      <c r="BFB44" s="56"/>
      <c r="BFL44" s="56"/>
      <c r="BFV44" s="56"/>
      <c r="BGF44" s="56"/>
      <c r="BGP44" s="56"/>
      <c r="BGZ44" s="56"/>
      <c r="BHJ44" s="56"/>
      <c r="BHT44" s="56"/>
      <c r="BID44" s="56"/>
      <c r="BIN44" s="56"/>
      <c r="BIX44" s="56"/>
      <c r="BJH44" s="56"/>
      <c r="BJR44" s="56"/>
      <c r="BKB44" s="56"/>
      <c r="BKL44" s="56"/>
      <c r="BKV44" s="56"/>
      <c r="BLF44" s="56"/>
      <c r="BLP44" s="56"/>
      <c r="BLZ44" s="56"/>
      <c r="BMJ44" s="56"/>
      <c r="BMT44" s="56"/>
      <c r="BND44" s="56"/>
      <c r="BNN44" s="56"/>
      <c r="BNX44" s="56"/>
      <c r="BOH44" s="56"/>
      <c r="BOR44" s="56"/>
      <c r="BPB44" s="56"/>
      <c r="BPL44" s="56"/>
      <c r="BPV44" s="56"/>
      <c r="BQF44" s="56"/>
      <c r="BQP44" s="56"/>
      <c r="BQZ44" s="56"/>
      <c r="BRJ44" s="56"/>
      <c r="BRT44" s="56"/>
      <c r="BSD44" s="56"/>
      <c r="BSN44" s="56"/>
      <c r="BSX44" s="56"/>
      <c r="BTH44" s="56"/>
      <c r="BTR44" s="56"/>
      <c r="BUB44" s="56"/>
      <c r="BUL44" s="56"/>
      <c r="BUV44" s="56"/>
      <c r="BVF44" s="56"/>
      <c r="BVP44" s="56"/>
      <c r="BVZ44" s="56"/>
      <c r="BWJ44" s="56"/>
      <c r="BWT44" s="56"/>
      <c r="BXD44" s="56"/>
      <c r="BXN44" s="56"/>
      <c r="BXX44" s="56"/>
      <c r="BYH44" s="56"/>
      <c r="BYR44" s="56"/>
      <c r="BZB44" s="56"/>
      <c r="BZL44" s="56"/>
      <c r="BZV44" s="56"/>
      <c r="CAF44" s="56"/>
      <c r="CAP44" s="56"/>
      <c r="CAZ44" s="56"/>
      <c r="CBJ44" s="56"/>
      <c r="CBT44" s="56"/>
      <c r="CCD44" s="56"/>
      <c r="CCN44" s="56"/>
      <c r="CCX44" s="56"/>
      <c r="CDH44" s="56"/>
      <c r="CDR44" s="56"/>
      <c r="CEB44" s="56"/>
      <c r="CEL44" s="56"/>
      <c r="CEV44" s="56"/>
      <c r="CFF44" s="56"/>
      <c r="CFP44" s="56"/>
      <c r="CFZ44" s="56"/>
      <c r="CGJ44" s="56"/>
      <c r="CGT44" s="56"/>
      <c r="CHD44" s="56"/>
      <c r="CHN44" s="56"/>
      <c r="CHX44" s="56"/>
      <c r="CIH44" s="56"/>
      <c r="CIR44" s="56"/>
      <c r="CJB44" s="56"/>
      <c r="CJL44" s="56"/>
      <c r="CJV44" s="56"/>
      <c r="CKF44" s="56"/>
      <c r="CKP44" s="56"/>
      <c r="CKZ44" s="56"/>
      <c r="CLJ44" s="56"/>
      <c r="CLT44" s="56"/>
      <c r="CMD44" s="56"/>
      <c r="CMN44" s="56"/>
      <c r="CMX44" s="56"/>
      <c r="CNH44" s="56"/>
      <c r="CNR44" s="56"/>
      <c r="COB44" s="56"/>
      <c r="COL44" s="56"/>
      <c r="COV44" s="56"/>
      <c r="CPF44" s="56"/>
      <c r="CPP44" s="56"/>
      <c r="CPZ44" s="56"/>
      <c r="CQJ44" s="56"/>
      <c r="CQT44" s="56"/>
      <c r="CRD44" s="56"/>
      <c r="CRN44" s="56"/>
      <c r="CRX44" s="56"/>
      <c r="CSH44" s="56"/>
      <c r="CSR44" s="56"/>
      <c r="CTB44" s="56"/>
      <c r="CTL44" s="56"/>
      <c r="CTV44" s="56"/>
    </row>
    <row r="45" s="42" customFormat="1" customHeight="1" spans="1:1020 1030:2040 2050:2570">
      <c r="A45" s="51"/>
      <c r="B45" s="52"/>
      <c r="C45" s="52"/>
      <c r="D45" s="52"/>
      <c r="E45" s="52"/>
      <c r="F45" s="53" t="str">
        <f>IFERROR(VLOOKUP(E45,日报!E:G,2,0),"")</f>
        <v/>
      </c>
      <c r="G45" s="52"/>
      <c r="H45" s="54" t="str">
        <f>IFERROR(VLOOKUP(E45,日报!E:H,4,0),"")</f>
        <v/>
      </c>
      <c r="I45" s="54" t="str">
        <f>IFERROR(VLOOKUP(E45,日报!E:G,3,0),"")</f>
        <v/>
      </c>
      <c r="J45" s="52"/>
      <c r="K45" s="55" t="str">
        <f t="shared" si="0"/>
        <v/>
      </c>
      <c r="T45" s="56"/>
      <c r="AD45" s="56"/>
      <c r="AN45" s="56"/>
      <c r="AX45" s="56"/>
      <c r="BH45" s="56"/>
      <c r="BR45" s="56"/>
      <c r="CB45" s="56"/>
      <c r="CL45" s="56"/>
      <c r="CV45" s="56"/>
      <c r="DF45" s="56"/>
      <c r="DP45" s="56"/>
      <c r="DZ45" s="56"/>
      <c r="EJ45" s="56"/>
      <c r="ET45" s="56"/>
      <c r="FD45" s="56"/>
      <c r="FN45" s="56"/>
      <c r="FX45" s="56"/>
      <c r="GH45" s="56"/>
      <c r="GR45" s="56"/>
      <c r="HB45" s="56"/>
      <c r="HL45" s="56"/>
      <c r="HV45" s="56"/>
      <c r="IF45" s="56"/>
      <c r="IP45" s="56"/>
      <c r="IZ45" s="56"/>
      <c r="JJ45" s="56"/>
      <c r="JT45" s="56"/>
      <c r="KD45" s="56"/>
      <c r="KN45" s="56"/>
      <c r="KX45" s="56"/>
      <c r="LH45" s="56"/>
      <c r="LR45" s="56"/>
      <c r="MB45" s="56"/>
      <c r="ML45" s="56"/>
      <c r="MV45" s="56"/>
      <c r="NF45" s="56"/>
      <c r="NP45" s="56"/>
      <c r="NZ45" s="56"/>
      <c r="OJ45" s="56"/>
      <c r="OT45" s="56"/>
      <c r="PD45" s="56"/>
      <c r="PN45" s="56"/>
      <c r="PX45" s="56"/>
      <c r="QH45" s="56"/>
      <c r="QR45" s="56"/>
      <c r="RB45" s="56"/>
      <c r="RL45" s="56"/>
      <c r="RV45" s="56"/>
      <c r="SF45" s="56"/>
      <c r="SP45" s="56"/>
      <c r="SZ45" s="56"/>
      <c r="TJ45" s="56"/>
      <c r="TT45" s="56"/>
      <c r="UD45" s="56"/>
      <c r="UN45" s="56"/>
      <c r="UX45" s="56"/>
      <c r="VH45" s="56"/>
      <c r="VR45" s="56"/>
      <c r="WB45" s="56"/>
      <c r="WL45" s="56"/>
      <c r="WV45" s="56"/>
      <c r="XF45" s="56"/>
      <c r="XP45" s="56"/>
      <c r="XZ45" s="56"/>
      <c r="YJ45" s="56"/>
      <c r="YT45" s="56"/>
      <c r="ZD45" s="56"/>
      <c r="ZN45" s="56"/>
      <c r="ZX45" s="56"/>
      <c r="AAH45" s="56"/>
      <c r="AAR45" s="56"/>
      <c r="ABB45" s="56"/>
      <c r="ABL45" s="56"/>
      <c r="ABV45" s="56"/>
      <c r="ACF45" s="56"/>
      <c r="ACP45" s="56"/>
      <c r="ACZ45" s="56"/>
      <c r="ADJ45" s="56"/>
      <c r="ADT45" s="56"/>
      <c r="AED45" s="56"/>
      <c r="AEN45" s="56"/>
      <c r="AEX45" s="56"/>
      <c r="AFH45" s="56"/>
      <c r="AFR45" s="56"/>
      <c r="AGB45" s="56"/>
      <c r="AGL45" s="56"/>
      <c r="AGV45" s="56"/>
      <c r="AHF45" s="56"/>
      <c r="AHP45" s="56"/>
      <c r="AHZ45" s="56"/>
      <c r="AIJ45" s="56"/>
      <c r="AIT45" s="56"/>
      <c r="AJD45" s="56"/>
      <c r="AJN45" s="56"/>
      <c r="AJX45" s="56"/>
      <c r="AKH45" s="56"/>
      <c r="AKR45" s="56"/>
      <c r="ALB45" s="56"/>
      <c r="ALL45" s="56"/>
      <c r="ALV45" s="56"/>
      <c r="AMF45" s="56"/>
      <c r="AMP45" s="56"/>
      <c r="AMZ45" s="56"/>
      <c r="ANJ45" s="56"/>
      <c r="ANT45" s="56"/>
      <c r="AOD45" s="56"/>
      <c r="AON45" s="56"/>
      <c r="AOX45" s="56"/>
      <c r="APH45" s="56"/>
      <c r="APR45" s="56"/>
      <c r="AQB45" s="56"/>
      <c r="AQL45" s="56"/>
      <c r="AQV45" s="56"/>
      <c r="ARF45" s="56"/>
      <c r="ARP45" s="56"/>
      <c r="ARZ45" s="56"/>
      <c r="ASJ45" s="56"/>
      <c r="AST45" s="56"/>
      <c r="ATD45" s="56"/>
      <c r="ATN45" s="56"/>
      <c r="ATX45" s="56"/>
      <c r="AUH45" s="56"/>
      <c r="AUR45" s="56"/>
      <c r="AVB45" s="56"/>
      <c r="AVL45" s="56"/>
      <c r="AVV45" s="56"/>
      <c r="AWF45" s="56"/>
      <c r="AWP45" s="56"/>
      <c r="AWZ45" s="56"/>
      <c r="AXJ45" s="56"/>
      <c r="AXT45" s="56"/>
      <c r="AYD45" s="56"/>
      <c r="AYN45" s="56"/>
      <c r="AYX45" s="56"/>
      <c r="AZH45" s="56"/>
      <c r="AZR45" s="56"/>
      <c r="BAB45" s="56"/>
      <c r="BAL45" s="56"/>
      <c r="BAV45" s="56"/>
      <c r="BBF45" s="56"/>
      <c r="BBP45" s="56"/>
      <c r="BBZ45" s="56"/>
      <c r="BCJ45" s="56"/>
      <c r="BCT45" s="56"/>
      <c r="BDD45" s="56"/>
      <c r="BDN45" s="56"/>
      <c r="BDX45" s="56"/>
      <c r="BEH45" s="56"/>
      <c r="BER45" s="56"/>
      <c r="BFB45" s="56"/>
      <c r="BFL45" s="56"/>
      <c r="BFV45" s="56"/>
      <c r="BGF45" s="56"/>
      <c r="BGP45" s="56"/>
      <c r="BGZ45" s="56"/>
      <c r="BHJ45" s="56"/>
      <c r="BHT45" s="56"/>
      <c r="BID45" s="56"/>
      <c r="BIN45" s="56"/>
      <c r="BIX45" s="56"/>
      <c r="BJH45" s="56"/>
      <c r="BJR45" s="56"/>
      <c r="BKB45" s="56"/>
      <c r="BKL45" s="56"/>
      <c r="BKV45" s="56"/>
      <c r="BLF45" s="56"/>
      <c r="BLP45" s="56"/>
      <c r="BLZ45" s="56"/>
      <c r="BMJ45" s="56"/>
      <c r="BMT45" s="56"/>
      <c r="BND45" s="56"/>
      <c r="BNN45" s="56"/>
      <c r="BNX45" s="56"/>
      <c r="BOH45" s="56"/>
      <c r="BOR45" s="56"/>
      <c r="BPB45" s="56"/>
      <c r="BPL45" s="56"/>
      <c r="BPV45" s="56"/>
      <c r="BQF45" s="56"/>
      <c r="BQP45" s="56"/>
      <c r="BQZ45" s="56"/>
      <c r="BRJ45" s="56"/>
      <c r="BRT45" s="56"/>
      <c r="BSD45" s="56"/>
      <c r="BSN45" s="56"/>
      <c r="BSX45" s="56"/>
      <c r="BTH45" s="56"/>
      <c r="BTR45" s="56"/>
      <c r="BUB45" s="56"/>
      <c r="BUL45" s="56"/>
      <c r="BUV45" s="56"/>
      <c r="BVF45" s="56"/>
      <c r="BVP45" s="56"/>
      <c r="BVZ45" s="56"/>
      <c r="BWJ45" s="56"/>
      <c r="BWT45" s="56"/>
      <c r="BXD45" s="56"/>
      <c r="BXN45" s="56"/>
      <c r="BXX45" s="56"/>
      <c r="BYH45" s="56"/>
      <c r="BYR45" s="56"/>
      <c r="BZB45" s="56"/>
      <c r="BZL45" s="56"/>
      <c r="BZV45" s="56"/>
      <c r="CAF45" s="56"/>
      <c r="CAP45" s="56"/>
      <c r="CAZ45" s="56"/>
      <c r="CBJ45" s="56"/>
      <c r="CBT45" s="56"/>
      <c r="CCD45" s="56"/>
      <c r="CCN45" s="56"/>
      <c r="CCX45" s="56"/>
      <c r="CDH45" s="56"/>
      <c r="CDR45" s="56"/>
      <c r="CEB45" s="56"/>
      <c r="CEL45" s="56"/>
      <c r="CEV45" s="56"/>
      <c r="CFF45" s="56"/>
      <c r="CFP45" s="56"/>
      <c r="CFZ45" s="56"/>
      <c r="CGJ45" s="56"/>
      <c r="CGT45" s="56"/>
      <c r="CHD45" s="56"/>
      <c r="CHN45" s="56"/>
      <c r="CHX45" s="56"/>
      <c r="CIH45" s="56"/>
      <c r="CIR45" s="56"/>
      <c r="CJB45" s="56"/>
      <c r="CJL45" s="56"/>
      <c r="CJV45" s="56"/>
      <c r="CKF45" s="56"/>
      <c r="CKP45" s="56"/>
      <c r="CKZ45" s="56"/>
      <c r="CLJ45" s="56"/>
      <c r="CLT45" s="56"/>
      <c r="CMD45" s="56"/>
      <c r="CMN45" s="56"/>
      <c r="CMX45" s="56"/>
      <c r="CNH45" s="56"/>
      <c r="CNR45" s="56"/>
      <c r="COB45" s="56"/>
      <c r="COL45" s="56"/>
      <c r="COV45" s="56"/>
      <c r="CPF45" s="56"/>
      <c r="CPP45" s="56"/>
      <c r="CPZ45" s="56"/>
      <c r="CQJ45" s="56"/>
      <c r="CQT45" s="56"/>
      <c r="CRD45" s="56"/>
      <c r="CRN45" s="56"/>
      <c r="CRX45" s="56"/>
      <c r="CSH45" s="56"/>
      <c r="CSR45" s="56"/>
      <c r="CTB45" s="56"/>
      <c r="CTL45" s="56"/>
      <c r="CTV45" s="56"/>
    </row>
    <row r="46" s="42" customFormat="1" customHeight="1" spans="1:1020 1030:2040 2050:2570">
      <c r="A46" s="51"/>
      <c r="B46" s="52"/>
      <c r="C46" s="52"/>
      <c r="D46" s="52"/>
      <c r="E46" s="52"/>
      <c r="F46" s="53" t="str">
        <f>IFERROR(VLOOKUP(E46,日报!E:G,2,0),"")</f>
        <v/>
      </c>
      <c r="G46" s="52"/>
      <c r="H46" s="54" t="str">
        <f>IFERROR(VLOOKUP(E46,日报!E:H,4,0),"")</f>
        <v/>
      </c>
      <c r="I46" s="54" t="str">
        <f>IFERROR(VLOOKUP(E46,日报!E:G,3,0),"")</f>
        <v/>
      </c>
      <c r="J46" s="52"/>
      <c r="K46" s="55" t="str">
        <f t="shared" si="0"/>
        <v/>
      </c>
      <c r="T46" s="56"/>
      <c r="AD46" s="56"/>
      <c r="AN46" s="56"/>
      <c r="AX46" s="56"/>
      <c r="BH46" s="56"/>
      <c r="BR46" s="56"/>
      <c r="CB46" s="56"/>
      <c r="CL46" s="56"/>
      <c r="CV46" s="56"/>
      <c r="DF46" s="56"/>
      <c r="DP46" s="56"/>
      <c r="DZ46" s="56"/>
      <c r="EJ46" s="56"/>
      <c r="ET46" s="56"/>
      <c r="FD46" s="56"/>
      <c r="FN46" s="56"/>
      <c r="FX46" s="56"/>
      <c r="GH46" s="56"/>
      <c r="GR46" s="56"/>
      <c r="HB46" s="56"/>
      <c r="HL46" s="56"/>
      <c r="HV46" s="56"/>
      <c r="IF46" s="56"/>
      <c r="IP46" s="56"/>
      <c r="IZ46" s="56"/>
      <c r="JJ46" s="56"/>
      <c r="JT46" s="56"/>
      <c r="KD46" s="56"/>
      <c r="KN46" s="56"/>
      <c r="KX46" s="56"/>
      <c r="LH46" s="56"/>
      <c r="LR46" s="56"/>
      <c r="MB46" s="56"/>
      <c r="ML46" s="56"/>
      <c r="MV46" s="56"/>
      <c r="NF46" s="56"/>
      <c r="NP46" s="56"/>
      <c r="NZ46" s="56"/>
      <c r="OJ46" s="56"/>
      <c r="OT46" s="56"/>
      <c r="PD46" s="56"/>
      <c r="PN46" s="56"/>
      <c r="PX46" s="56"/>
      <c r="QH46" s="56"/>
      <c r="QR46" s="56"/>
      <c r="RB46" s="56"/>
      <c r="RL46" s="56"/>
      <c r="RV46" s="56"/>
      <c r="SF46" s="56"/>
      <c r="SP46" s="56"/>
      <c r="SZ46" s="56"/>
      <c r="TJ46" s="56"/>
      <c r="TT46" s="56"/>
      <c r="UD46" s="56"/>
      <c r="UN46" s="56"/>
      <c r="UX46" s="56"/>
      <c r="VH46" s="56"/>
      <c r="VR46" s="56"/>
      <c r="WB46" s="56"/>
      <c r="WL46" s="56"/>
      <c r="WV46" s="56"/>
      <c r="XF46" s="56"/>
      <c r="XP46" s="56"/>
      <c r="XZ46" s="56"/>
      <c r="YJ46" s="56"/>
      <c r="YT46" s="56"/>
      <c r="ZD46" s="56"/>
      <c r="ZN46" s="56"/>
      <c r="ZX46" s="56"/>
      <c r="AAH46" s="56"/>
      <c r="AAR46" s="56"/>
      <c r="ABB46" s="56"/>
      <c r="ABL46" s="56"/>
      <c r="ABV46" s="56"/>
      <c r="ACF46" s="56"/>
      <c r="ACP46" s="56"/>
      <c r="ACZ46" s="56"/>
      <c r="ADJ46" s="56"/>
      <c r="ADT46" s="56"/>
      <c r="AED46" s="56"/>
      <c r="AEN46" s="56"/>
      <c r="AEX46" s="56"/>
      <c r="AFH46" s="56"/>
      <c r="AFR46" s="56"/>
      <c r="AGB46" s="56"/>
      <c r="AGL46" s="56"/>
      <c r="AGV46" s="56"/>
      <c r="AHF46" s="56"/>
      <c r="AHP46" s="56"/>
      <c r="AHZ46" s="56"/>
      <c r="AIJ46" s="56"/>
      <c r="AIT46" s="56"/>
      <c r="AJD46" s="56"/>
      <c r="AJN46" s="56"/>
      <c r="AJX46" s="56"/>
      <c r="AKH46" s="56"/>
      <c r="AKR46" s="56"/>
      <c r="ALB46" s="56"/>
      <c r="ALL46" s="56"/>
      <c r="ALV46" s="56"/>
      <c r="AMF46" s="56"/>
      <c r="AMP46" s="56"/>
      <c r="AMZ46" s="56"/>
      <c r="ANJ46" s="56"/>
      <c r="ANT46" s="56"/>
      <c r="AOD46" s="56"/>
      <c r="AON46" s="56"/>
      <c r="AOX46" s="56"/>
      <c r="APH46" s="56"/>
      <c r="APR46" s="56"/>
      <c r="AQB46" s="56"/>
      <c r="AQL46" s="56"/>
      <c r="AQV46" s="56"/>
      <c r="ARF46" s="56"/>
      <c r="ARP46" s="56"/>
      <c r="ARZ46" s="56"/>
      <c r="ASJ46" s="56"/>
      <c r="AST46" s="56"/>
      <c r="ATD46" s="56"/>
      <c r="ATN46" s="56"/>
      <c r="ATX46" s="56"/>
      <c r="AUH46" s="56"/>
      <c r="AUR46" s="56"/>
      <c r="AVB46" s="56"/>
      <c r="AVL46" s="56"/>
      <c r="AVV46" s="56"/>
      <c r="AWF46" s="56"/>
      <c r="AWP46" s="56"/>
      <c r="AWZ46" s="56"/>
      <c r="AXJ46" s="56"/>
      <c r="AXT46" s="56"/>
      <c r="AYD46" s="56"/>
      <c r="AYN46" s="56"/>
      <c r="AYX46" s="56"/>
      <c r="AZH46" s="56"/>
      <c r="AZR46" s="56"/>
      <c r="BAB46" s="56"/>
      <c r="BAL46" s="56"/>
      <c r="BAV46" s="56"/>
      <c r="BBF46" s="56"/>
      <c r="BBP46" s="56"/>
      <c r="BBZ46" s="56"/>
      <c r="BCJ46" s="56"/>
      <c r="BCT46" s="56"/>
      <c r="BDD46" s="56"/>
      <c r="BDN46" s="56"/>
      <c r="BDX46" s="56"/>
      <c r="BEH46" s="56"/>
      <c r="BER46" s="56"/>
      <c r="BFB46" s="56"/>
      <c r="BFL46" s="56"/>
      <c r="BFV46" s="56"/>
      <c r="BGF46" s="56"/>
      <c r="BGP46" s="56"/>
      <c r="BGZ46" s="56"/>
      <c r="BHJ46" s="56"/>
      <c r="BHT46" s="56"/>
      <c r="BID46" s="56"/>
      <c r="BIN46" s="56"/>
      <c r="BIX46" s="56"/>
      <c r="BJH46" s="56"/>
      <c r="BJR46" s="56"/>
      <c r="BKB46" s="56"/>
      <c r="BKL46" s="56"/>
      <c r="BKV46" s="56"/>
      <c r="BLF46" s="56"/>
      <c r="BLP46" s="56"/>
      <c r="BLZ46" s="56"/>
      <c r="BMJ46" s="56"/>
      <c r="BMT46" s="56"/>
      <c r="BND46" s="56"/>
      <c r="BNN46" s="56"/>
      <c r="BNX46" s="56"/>
      <c r="BOH46" s="56"/>
      <c r="BOR46" s="56"/>
      <c r="BPB46" s="56"/>
      <c r="BPL46" s="56"/>
      <c r="BPV46" s="56"/>
      <c r="BQF46" s="56"/>
      <c r="BQP46" s="56"/>
      <c r="BQZ46" s="56"/>
      <c r="BRJ46" s="56"/>
      <c r="BRT46" s="56"/>
      <c r="BSD46" s="56"/>
      <c r="BSN46" s="56"/>
      <c r="BSX46" s="56"/>
      <c r="BTH46" s="56"/>
      <c r="BTR46" s="56"/>
      <c r="BUB46" s="56"/>
      <c r="BUL46" s="56"/>
      <c r="BUV46" s="56"/>
      <c r="BVF46" s="56"/>
      <c r="BVP46" s="56"/>
      <c r="BVZ46" s="56"/>
      <c r="BWJ46" s="56"/>
      <c r="BWT46" s="56"/>
      <c r="BXD46" s="56"/>
      <c r="BXN46" s="56"/>
      <c r="BXX46" s="56"/>
      <c r="BYH46" s="56"/>
      <c r="BYR46" s="56"/>
      <c r="BZB46" s="56"/>
      <c r="BZL46" s="56"/>
      <c r="BZV46" s="56"/>
      <c r="CAF46" s="56"/>
      <c r="CAP46" s="56"/>
      <c r="CAZ46" s="56"/>
      <c r="CBJ46" s="56"/>
      <c r="CBT46" s="56"/>
      <c r="CCD46" s="56"/>
      <c r="CCN46" s="56"/>
      <c r="CCX46" s="56"/>
      <c r="CDH46" s="56"/>
      <c r="CDR46" s="56"/>
      <c r="CEB46" s="56"/>
      <c r="CEL46" s="56"/>
      <c r="CEV46" s="56"/>
      <c r="CFF46" s="56"/>
      <c r="CFP46" s="56"/>
      <c r="CFZ46" s="56"/>
      <c r="CGJ46" s="56"/>
      <c r="CGT46" s="56"/>
      <c r="CHD46" s="56"/>
      <c r="CHN46" s="56"/>
      <c r="CHX46" s="56"/>
      <c r="CIH46" s="56"/>
      <c r="CIR46" s="56"/>
      <c r="CJB46" s="56"/>
      <c r="CJL46" s="56"/>
      <c r="CJV46" s="56"/>
      <c r="CKF46" s="56"/>
      <c r="CKP46" s="56"/>
      <c r="CKZ46" s="56"/>
      <c r="CLJ46" s="56"/>
      <c r="CLT46" s="56"/>
      <c r="CMD46" s="56"/>
      <c r="CMN46" s="56"/>
      <c r="CMX46" s="56"/>
      <c r="CNH46" s="56"/>
      <c r="CNR46" s="56"/>
      <c r="COB46" s="56"/>
      <c r="COL46" s="56"/>
      <c r="COV46" s="56"/>
      <c r="CPF46" s="56"/>
      <c r="CPP46" s="56"/>
      <c r="CPZ46" s="56"/>
      <c r="CQJ46" s="56"/>
      <c r="CQT46" s="56"/>
      <c r="CRD46" s="56"/>
      <c r="CRN46" s="56"/>
      <c r="CRX46" s="56"/>
      <c r="CSH46" s="56"/>
      <c r="CSR46" s="56"/>
      <c r="CTB46" s="56"/>
      <c r="CTL46" s="56"/>
      <c r="CTV46" s="56"/>
    </row>
    <row r="47" s="42" customFormat="1" customHeight="1" spans="1:1020 1030:2040 2050:2570">
      <c r="A47" s="51"/>
      <c r="B47" s="52"/>
      <c r="C47" s="52"/>
      <c r="D47" s="52"/>
      <c r="E47" s="52"/>
      <c r="F47" s="53" t="str">
        <f>IFERROR(VLOOKUP(E47,日报!E:G,2,0),"")</f>
        <v/>
      </c>
      <c r="G47" s="52"/>
      <c r="H47" s="54" t="str">
        <f>IFERROR(VLOOKUP(E47,日报!E:H,4,0),"")</f>
        <v/>
      </c>
      <c r="I47" s="54" t="str">
        <f>IFERROR(VLOOKUP(E47,日报!E:G,3,0),"")</f>
        <v/>
      </c>
      <c r="J47" s="52"/>
      <c r="K47" s="55" t="str">
        <f t="shared" si="0"/>
        <v/>
      </c>
      <c r="T47" s="56"/>
      <c r="AD47" s="56"/>
      <c r="AN47" s="56"/>
      <c r="AX47" s="56"/>
      <c r="BH47" s="56"/>
      <c r="BR47" s="56"/>
      <c r="CB47" s="56"/>
      <c r="CL47" s="56"/>
      <c r="CV47" s="56"/>
      <c r="DF47" s="56"/>
      <c r="DP47" s="56"/>
      <c r="DZ47" s="56"/>
      <c r="EJ47" s="56"/>
      <c r="ET47" s="56"/>
      <c r="FD47" s="56"/>
      <c r="FN47" s="56"/>
      <c r="FX47" s="56"/>
      <c r="GH47" s="56"/>
      <c r="GR47" s="56"/>
      <c r="HB47" s="56"/>
      <c r="HL47" s="56"/>
      <c r="HV47" s="56"/>
      <c r="IF47" s="56"/>
      <c r="IP47" s="56"/>
      <c r="IZ47" s="56"/>
      <c r="JJ47" s="56"/>
      <c r="JT47" s="56"/>
      <c r="KD47" s="56"/>
      <c r="KN47" s="56"/>
      <c r="KX47" s="56"/>
      <c r="LH47" s="56"/>
      <c r="LR47" s="56"/>
      <c r="MB47" s="56"/>
      <c r="ML47" s="56"/>
      <c r="MV47" s="56"/>
      <c r="NF47" s="56"/>
      <c r="NP47" s="56"/>
      <c r="NZ47" s="56"/>
      <c r="OJ47" s="56"/>
      <c r="OT47" s="56"/>
      <c r="PD47" s="56"/>
      <c r="PN47" s="56"/>
      <c r="PX47" s="56"/>
      <c r="QH47" s="56"/>
      <c r="QR47" s="56"/>
      <c r="RB47" s="56"/>
      <c r="RL47" s="56"/>
      <c r="RV47" s="56"/>
      <c r="SF47" s="56"/>
      <c r="SP47" s="56"/>
      <c r="SZ47" s="56"/>
      <c r="TJ47" s="56"/>
      <c r="TT47" s="56"/>
      <c r="UD47" s="56"/>
      <c r="UN47" s="56"/>
      <c r="UX47" s="56"/>
      <c r="VH47" s="56"/>
      <c r="VR47" s="56"/>
      <c r="WB47" s="56"/>
      <c r="WL47" s="56"/>
      <c r="WV47" s="56"/>
      <c r="XF47" s="56"/>
      <c r="XP47" s="56"/>
      <c r="XZ47" s="56"/>
      <c r="YJ47" s="56"/>
      <c r="YT47" s="56"/>
      <c r="ZD47" s="56"/>
      <c r="ZN47" s="56"/>
      <c r="ZX47" s="56"/>
      <c r="AAH47" s="56"/>
      <c r="AAR47" s="56"/>
      <c r="ABB47" s="56"/>
      <c r="ABL47" s="56"/>
      <c r="ABV47" s="56"/>
      <c r="ACF47" s="56"/>
      <c r="ACP47" s="56"/>
      <c r="ACZ47" s="56"/>
      <c r="ADJ47" s="56"/>
      <c r="ADT47" s="56"/>
      <c r="AED47" s="56"/>
      <c r="AEN47" s="56"/>
      <c r="AEX47" s="56"/>
      <c r="AFH47" s="56"/>
      <c r="AFR47" s="56"/>
      <c r="AGB47" s="56"/>
      <c r="AGL47" s="56"/>
      <c r="AGV47" s="56"/>
      <c r="AHF47" s="56"/>
      <c r="AHP47" s="56"/>
      <c r="AHZ47" s="56"/>
      <c r="AIJ47" s="56"/>
      <c r="AIT47" s="56"/>
      <c r="AJD47" s="56"/>
      <c r="AJN47" s="56"/>
      <c r="AJX47" s="56"/>
      <c r="AKH47" s="56"/>
      <c r="AKR47" s="56"/>
      <c r="ALB47" s="56"/>
      <c r="ALL47" s="56"/>
      <c r="ALV47" s="56"/>
      <c r="AMF47" s="56"/>
      <c r="AMP47" s="56"/>
      <c r="AMZ47" s="56"/>
      <c r="ANJ47" s="56"/>
      <c r="ANT47" s="56"/>
      <c r="AOD47" s="56"/>
      <c r="AON47" s="56"/>
      <c r="AOX47" s="56"/>
      <c r="APH47" s="56"/>
      <c r="APR47" s="56"/>
      <c r="AQB47" s="56"/>
      <c r="AQL47" s="56"/>
      <c r="AQV47" s="56"/>
      <c r="ARF47" s="56"/>
      <c r="ARP47" s="56"/>
      <c r="ARZ47" s="56"/>
      <c r="ASJ47" s="56"/>
      <c r="AST47" s="56"/>
      <c r="ATD47" s="56"/>
      <c r="ATN47" s="56"/>
      <c r="ATX47" s="56"/>
      <c r="AUH47" s="56"/>
      <c r="AUR47" s="56"/>
      <c r="AVB47" s="56"/>
      <c r="AVL47" s="56"/>
      <c r="AVV47" s="56"/>
      <c r="AWF47" s="56"/>
      <c r="AWP47" s="56"/>
      <c r="AWZ47" s="56"/>
      <c r="AXJ47" s="56"/>
      <c r="AXT47" s="56"/>
      <c r="AYD47" s="56"/>
      <c r="AYN47" s="56"/>
      <c r="AYX47" s="56"/>
      <c r="AZH47" s="56"/>
      <c r="AZR47" s="56"/>
      <c r="BAB47" s="56"/>
      <c r="BAL47" s="56"/>
      <c r="BAV47" s="56"/>
      <c r="BBF47" s="56"/>
      <c r="BBP47" s="56"/>
      <c r="BBZ47" s="56"/>
      <c r="BCJ47" s="56"/>
      <c r="BCT47" s="56"/>
      <c r="BDD47" s="56"/>
      <c r="BDN47" s="56"/>
      <c r="BDX47" s="56"/>
      <c r="BEH47" s="56"/>
      <c r="BER47" s="56"/>
      <c r="BFB47" s="56"/>
      <c r="BFL47" s="56"/>
      <c r="BFV47" s="56"/>
      <c r="BGF47" s="56"/>
      <c r="BGP47" s="56"/>
      <c r="BGZ47" s="56"/>
      <c r="BHJ47" s="56"/>
      <c r="BHT47" s="56"/>
      <c r="BID47" s="56"/>
      <c r="BIN47" s="56"/>
      <c r="BIX47" s="56"/>
      <c r="BJH47" s="56"/>
      <c r="BJR47" s="56"/>
      <c r="BKB47" s="56"/>
      <c r="BKL47" s="56"/>
      <c r="BKV47" s="56"/>
      <c r="BLF47" s="56"/>
      <c r="BLP47" s="56"/>
      <c r="BLZ47" s="56"/>
      <c r="BMJ47" s="56"/>
      <c r="BMT47" s="56"/>
      <c r="BND47" s="56"/>
      <c r="BNN47" s="56"/>
      <c r="BNX47" s="56"/>
      <c r="BOH47" s="56"/>
      <c r="BOR47" s="56"/>
      <c r="BPB47" s="56"/>
      <c r="BPL47" s="56"/>
      <c r="BPV47" s="56"/>
      <c r="BQF47" s="56"/>
      <c r="BQP47" s="56"/>
      <c r="BQZ47" s="56"/>
      <c r="BRJ47" s="56"/>
      <c r="BRT47" s="56"/>
      <c r="BSD47" s="56"/>
      <c r="BSN47" s="56"/>
      <c r="BSX47" s="56"/>
      <c r="BTH47" s="56"/>
      <c r="BTR47" s="56"/>
      <c r="BUB47" s="56"/>
      <c r="BUL47" s="56"/>
      <c r="BUV47" s="56"/>
      <c r="BVF47" s="56"/>
      <c r="BVP47" s="56"/>
      <c r="BVZ47" s="56"/>
      <c r="BWJ47" s="56"/>
      <c r="BWT47" s="56"/>
      <c r="BXD47" s="56"/>
      <c r="BXN47" s="56"/>
      <c r="BXX47" s="56"/>
      <c r="BYH47" s="56"/>
      <c r="BYR47" s="56"/>
      <c r="BZB47" s="56"/>
      <c r="BZL47" s="56"/>
      <c r="BZV47" s="56"/>
      <c r="CAF47" s="56"/>
      <c r="CAP47" s="56"/>
      <c r="CAZ47" s="56"/>
      <c r="CBJ47" s="56"/>
      <c r="CBT47" s="56"/>
      <c r="CCD47" s="56"/>
      <c r="CCN47" s="56"/>
      <c r="CCX47" s="56"/>
      <c r="CDH47" s="56"/>
      <c r="CDR47" s="56"/>
      <c r="CEB47" s="56"/>
      <c r="CEL47" s="56"/>
      <c r="CEV47" s="56"/>
      <c r="CFF47" s="56"/>
      <c r="CFP47" s="56"/>
      <c r="CFZ47" s="56"/>
      <c r="CGJ47" s="56"/>
      <c r="CGT47" s="56"/>
      <c r="CHD47" s="56"/>
      <c r="CHN47" s="56"/>
      <c r="CHX47" s="56"/>
      <c r="CIH47" s="56"/>
      <c r="CIR47" s="56"/>
      <c r="CJB47" s="56"/>
      <c r="CJL47" s="56"/>
      <c r="CJV47" s="56"/>
      <c r="CKF47" s="56"/>
      <c r="CKP47" s="56"/>
      <c r="CKZ47" s="56"/>
      <c r="CLJ47" s="56"/>
      <c r="CLT47" s="56"/>
      <c r="CMD47" s="56"/>
      <c r="CMN47" s="56"/>
      <c r="CMX47" s="56"/>
      <c r="CNH47" s="56"/>
      <c r="CNR47" s="56"/>
      <c r="COB47" s="56"/>
      <c r="COL47" s="56"/>
      <c r="COV47" s="56"/>
      <c r="CPF47" s="56"/>
      <c r="CPP47" s="56"/>
      <c r="CPZ47" s="56"/>
      <c r="CQJ47" s="56"/>
      <c r="CQT47" s="56"/>
      <c r="CRD47" s="56"/>
      <c r="CRN47" s="56"/>
      <c r="CRX47" s="56"/>
      <c r="CSH47" s="56"/>
      <c r="CSR47" s="56"/>
      <c r="CTB47" s="56"/>
      <c r="CTL47" s="56"/>
      <c r="CTV47" s="56"/>
    </row>
    <row r="48" s="42" customFormat="1" customHeight="1" spans="1:1020 1030:2040 2050:2570">
      <c r="A48" s="51"/>
      <c r="B48" s="52"/>
      <c r="C48" s="52"/>
      <c r="D48" s="52"/>
      <c r="E48" s="52"/>
      <c r="F48" s="53" t="str">
        <f>IFERROR(VLOOKUP(E48,日报!E:G,2,0),"")</f>
        <v/>
      </c>
      <c r="G48" s="52"/>
      <c r="H48" s="54" t="str">
        <f>IFERROR(VLOOKUP(E48,日报!E:H,4,0),"")</f>
        <v/>
      </c>
      <c r="I48" s="54" t="str">
        <f>IFERROR(VLOOKUP(E48,日报!E:G,3,0),"")</f>
        <v/>
      </c>
      <c r="J48" s="52"/>
      <c r="K48" s="55" t="str">
        <f t="shared" si="0"/>
        <v/>
      </c>
      <c r="T48" s="56"/>
      <c r="AD48" s="56"/>
      <c r="AN48" s="56"/>
      <c r="AX48" s="56"/>
      <c r="BH48" s="56"/>
      <c r="BR48" s="56"/>
      <c r="CB48" s="56"/>
      <c r="CL48" s="56"/>
      <c r="CV48" s="56"/>
      <c r="DF48" s="56"/>
      <c r="DP48" s="56"/>
      <c r="DZ48" s="56"/>
      <c r="EJ48" s="56"/>
      <c r="ET48" s="56"/>
      <c r="FD48" s="56"/>
      <c r="FN48" s="56"/>
      <c r="FX48" s="56"/>
      <c r="GH48" s="56"/>
      <c r="GR48" s="56"/>
      <c r="HB48" s="56"/>
      <c r="HL48" s="56"/>
      <c r="HV48" s="56"/>
      <c r="IF48" s="56"/>
      <c r="IP48" s="56"/>
      <c r="IZ48" s="56"/>
      <c r="JJ48" s="56"/>
      <c r="JT48" s="56"/>
      <c r="KD48" s="56"/>
      <c r="KN48" s="56"/>
      <c r="KX48" s="56"/>
      <c r="LH48" s="56"/>
      <c r="LR48" s="56"/>
      <c r="MB48" s="56"/>
      <c r="ML48" s="56"/>
      <c r="MV48" s="56"/>
      <c r="NF48" s="56"/>
      <c r="NP48" s="56"/>
      <c r="NZ48" s="56"/>
      <c r="OJ48" s="56"/>
      <c r="OT48" s="56"/>
      <c r="PD48" s="56"/>
      <c r="PN48" s="56"/>
      <c r="PX48" s="56"/>
      <c r="QH48" s="56"/>
      <c r="QR48" s="56"/>
      <c r="RB48" s="56"/>
      <c r="RL48" s="56"/>
      <c r="RV48" s="56"/>
      <c r="SF48" s="56"/>
      <c r="SP48" s="56"/>
      <c r="SZ48" s="56"/>
      <c r="TJ48" s="56"/>
      <c r="TT48" s="56"/>
      <c r="UD48" s="56"/>
      <c r="UN48" s="56"/>
      <c r="UX48" s="56"/>
      <c r="VH48" s="56"/>
      <c r="VR48" s="56"/>
      <c r="WB48" s="56"/>
      <c r="WL48" s="56"/>
      <c r="WV48" s="56"/>
      <c r="XF48" s="56"/>
      <c r="XP48" s="56"/>
      <c r="XZ48" s="56"/>
      <c r="YJ48" s="56"/>
      <c r="YT48" s="56"/>
      <c r="ZD48" s="56"/>
      <c r="ZN48" s="56"/>
      <c r="ZX48" s="56"/>
      <c r="AAH48" s="56"/>
      <c r="AAR48" s="56"/>
      <c r="ABB48" s="56"/>
      <c r="ABL48" s="56"/>
      <c r="ABV48" s="56"/>
      <c r="ACF48" s="56"/>
      <c r="ACP48" s="56"/>
      <c r="ACZ48" s="56"/>
      <c r="ADJ48" s="56"/>
      <c r="ADT48" s="56"/>
      <c r="AED48" s="56"/>
      <c r="AEN48" s="56"/>
      <c r="AEX48" s="56"/>
      <c r="AFH48" s="56"/>
      <c r="AFR48" s="56"/>
      <c r="AGB48" s="56"/>
      <c r="AGL48" s="56"/>
      <c r="AGV48" s="56"/>
      <c r="AHF48" s="56"/>
      <c r="AHP48" s="56"/>
      <c r="AHZ48" s="56"/>
      <c r="AIJ48" s="56"/>
      <c r="AIT48" s="56"/>
      <c r="AJD48" s="56"/>
      <c r="AJN48" s="56"/>
      <c r="AJX48" s="56"/>
      <c r="AKH48" s="56"/>
      <c r="AKR48" s="56"/>
      <c r="ALB48" s="56"/>
      <c r="ALL48" s="56"/>
      <c r="ALV48" s="56"/>
      <c r="AMF48" s="56"/>
      <c r="AMP48" s="56"/>
      <c r="AMZ48" s="56"/>
      <c r="ANJ48" s="56"/>
      <c r="ANT48" s="56"/>
      <c r="AOD48" s="56"/>
      <c r="AON48" s="56"/>
      <c r="AOX48" s="56"/>
      <c r="APH48" s="56"/>
      <c r="APR48" s="56"/>
      <c r="AQB48" s="56"/>
      <c r="AQL48" s="56"/>
      <c r="AQV48" s="56"/>
      <c r="ARF48" s="56"/>
      <c r="ARP48" s="56"/>
      <c r="ARZ48" s="56"/>
      <c r="ASJ48" s="56"/>
      <c r="AST48" s="56"/>
      <c r="ATD48" s="56"/>
      <c r="ATN48" s="56"/>
      <c r="ATX48" s="56"/>
      <c r="AUH48" s="56"/>
      <c r="AUR48" s="56"/>
      <c r="AVB48" s="56"/>
      <c r="AVL48" s="56"/>
      <c r="AVV48" s="56"/>
      <c r="AWF48" s="56"/>
      <c r="AWP48" s="56"/>
      <c r="AWZ48" s="56"/>
      <c r="AXJ48" s="56"/>
      <c r="AXT48" s="56"/>
      <c r="AYD48" s="56"/>
      <c r="AYN48" s="56"/>
      <c r="AYX48" s="56"/>
      <c r="AZH48" s="56"/>
      <c r="AZR48" s="56"/>
      <c r="BAB48" s="56"/>
      <c r="BAL48" s="56"/>
      <c r="BAV48" s="56"/>
      <c r="BBF48" s="56"/>
      <c r="BBP48" s="56"/>
      <c r="BBZ48" s="56"/>
      <c r="BCJ48" s="56"/>
      <c r="BCT48" s="56"/>
      <c r="BDD48" s="56"/>
      <c r="BDN48" s="56"/>
      <c r="BDX48" s="56"/>
      <c r="BEH48" s="56"/>
      <c r="BER48" s="56"/>
      <c r="BFB48" s="56"/>
      <c r="BFL48" s="56"/>
      <c r="BFV48" s="56"/>
      <c r="BGF48" s="56"/>
      <c r="BGP48" s="56"/>
      <c r="BGZ48" s="56"/>
      <c r="BHJ48" s="56"/>
      <c r="BHT48" s="56"/>
      <c r="BID48" s="56"/>
      <c r="BIN48" s="56"/>
      <c r="BIX48" s="56"/>
      <c r="BJH48" s="56"/>
      <c r="BJR48" s="56"/>
      <c r="BKB48" s="56"/>
      <c r="BKL48" s="56"/>
      <c r="BKV48" s="56"/>
      <c r="BLF48" s="56"/>
      <c r="BLP48" s="56"/>
      <c r="BLZ48" s="56"/>
      <c r="BMJ48" s="56"/>
      <c r="BMT48" s="56"/>
      <c r="BND48" s="56"/>
      <c r="BNN48" s="56"/>
      <c r="BNX48" s="56"/>
      <c r="BOH48" s="56"/>
      <c r="BOR48" s="56"/>
      <c r="BPB48" s="56"/>
      <c r="BPL48" s="56"/>
      <c r="BPV48" s="56"/>
      <c r="BQF48" s="56"/>
      <c r="BQP48" s="56"/>
      <c r="BQZ48" s="56"/>
      <c r="BRJ48" s="56"/>
      <c r="BRT48" s="56"/>
      <c r="BSD48" s="56"/>
      <c r="BSN48" s="56"/>
      <c r="BSX48" s="56"/>
      <c r="BTH48" s="56"/>
      <c r="BTR48" s="56"/>
      <c r="BUB48" s="56"/>
      <c r="BUL48" s="56"/>
      <c r="BUV48" s="56"/>
      <c r="BVF48" s="56"/>
      <c r="BVP48" s="56"/>
      <c r="BVZ48" s="56"/>
      <c r="BWJ48" s="56"/>
      <c r="BWT48" s="56"/>
      <c r="BXD48" s="56"/>
      <c r="BXN48" s="56"/>
      <c r="BXX48" s="56"/>
      <c r="BYH48" s="56"/>
      <c r="BYR48" s="56"/>
      <c r="BZB48" s="56"/>
      <c r="BZL48" s="56"/>
      <c r="BZV48" s="56"/>
      <c r="CAF48" s="56"/>
      <c r="CAP48" s="56"/>
      <c r="CAZ48" s="56"/>
      <c r="CBJ48" s="56"/>
      <c r="CBT48" s="56"/>
      <c r="CCD48" s="56"/>
      <c r="CCN48" s="56"/>
      <c r="CCX48" s="56"/>
      <c r="CDH48" s="56"/>
      <c r="CDR48" s="56"/>
      <c r="CEB48" s="56"/>
      <c r="CEL48" s="56"/>
      <c r="CEV48" s="56"/>
      <c r="CFF48" s="56"/>
      <c r="CFP48" s="56"/>
      <c r="CFZ48" s="56"/>
      <c r="CGJ48" s="56"/>
      <c r="CGT48" s="56"/>
      <c r="CHD48" s="56"/>
      <c r="CHN48" s="56"/>
      <c r="CHX48" s="56"/>
      <c r="CIH48" s="56"/>
      <c r="CIR48" s="56"/>
      <c r="CJB48" s="56"/>
      <c r="CJL48" s="56"/>
      <c r="CJV48" s="56"/>
      <c r="CKF48" s="56"/>
      <c r="CKP48" s="56"/>
      <c r="CKZ48" s="56"/>
      <c r="CLJ48" s="56"/>
      <c r="CLT48" s="56"/>
      <c r="CMD48" s="56"/>
      <c r="CMN48" s="56"/>
      <c r="CMX48" s="56"/>
      <c r="CNH48" s="56"/>
      <c r="CNR48" s="56"/>
      <c r="COB48" s="56"/>
      <c r="COL48" s="56"/>
      <c r="COV48" s="56"/>
      <c r="CPF48" s="56"/>
      <c r="CPP48" s="56"/>
      <c r="CPZ48" s="56"/>
      <c r="CQJ48" s="56"/>
      <c r="CQT48" s="56"/>
      <c r="CRD48" s="56"/>
      <c r="CRN48" s="56"/>
      <c r="CRX48" s="56"/>
      <c r="CSH48" s="56"/>
      <c r="CSR48" s="56"/>
      <c r="CTB48" s="56"/>
      <c r="CTL48" s="56"/>
      <c r="CTV48" s="56"/>
    </row>
    <row r="49" s="42" customFormat="1" customHeight="1" spans="1:1020 1030:2040 2050:2570">
      <c r="A49" s="51"/>
      <c r="B49" s="52"/>
      <c r="C49" s="52"/>
      <c r="D49" s="52"/>
      <c r="E49" s="52"/>
      <c r="F49" s="53" t="str">
        <f>IFERROR(VLOOKUP(E49,日报!E:G,2,0),"")</f>
        <v/>
      </c>
      <c r="G49" s="52"/>
      <c r="H49" s="54" t="str">
        <f>IFERROR(VLOOKUP(E49,日报!E:H,4,0),"")</f>
        <v/>
      </c>
      <c r="I49" s="54" t="str">
        <f>IFERROR(VLOOKUP(E49,日报!E:G,3,0),"")</f>
        <v/>
      </c>
      <c r="J49" s="52"/>
      <c r="K49" s="55" t="str">
        <f t="shared" si="0"/>
        <v/>
      </c>
      <c r="T49" s="56"/>
      <c r="AD49" s="56"/>
      <c r="AN49" s="56"/>
      <c r="AX49" s="56"/>
      <c r="BH49" s="56"/>
      <c r="BR49" s="56"/>
      <c r="CB49" s="56"/>
      <c r="CL49" s="56"/>
      <c r="CV49" s="56"/>
      <c r="DF49" s="56"/>
      <c r="DP49" s="56"/>
      <c r="DZ49" s="56"/>
      <c r="EJ49" s="56"/>
      <c r="ET49" s="56"/>
      <c r="FD49" s="56"/>
      <c r="FN49" s="56"/>
      <c r="FX49" s="56"/>
      <c r="GH49" s="56"/>
      <c r="GR49" s="56"/>
      <c r="HB49" s="56"/>
      <c r="HL49" s="56"/>
      <c r="HV49" s="56"/>
      <c r="IF49" s="56"/>
      <c r="IP49" s="56"/>
      <c r="IZ49" s="56"/>
      <c r="JJ49" s="56"/>
      <c r="JT49" s="56"/>
      <c r="KD49" s="56"/>
      <c r="KN49" s="56"/>
      <c r="KX49" s="56"/>
      <c r="LH49" s="56"/>
      <c r="LR49" s="56"/>
      <c r="MB49" s="56"/>
      <c r="ML49" s="56"/>
      <c r="MV49" s="56"/>
      <c r="NF49" s="56"/>
      <c r="NP49" s="56"/>
      <c r="NZ49" s="56"/>
      <c r="OJ49" s="56"/>
      <c r="OT49" s="56"/>
      <c r="PD49" s="56"/>
      <c r="PN49" s="56"/>
      <c r="PX49" s="56"/>
      <c r="QH49" s="56"/>
      <c r="QR49" s="56"/>
      <c r="RB49" s="56"/>
      <c r="RL49" s="56"/>
      <c r="RV49" s="56"/>
      <c r="SF49" s="56"/>
      <c r="SP49" s="56"/>
      <c r="SZ49" s="56"/>
      <c r="TJ49" s="56"/>
      <c r="TT49" s="56"/>
      <c r="UD49" s="56"/>
      <c r="UN49" s="56"/>
      <c r="UX49" s="56"/>
      <c r="VH49" s="56"/>
      <c r="VR49" s="56"/>
      <c r="WB49" s="56"/>
      <c r="WL49" s="56"/>
      <c r="WV49" s="56"/>
      <c r="XF49" s="56"/>
      <c r="XP49" s="56"/>
      <c r="XZ49" s="56"/>
      <c r="YJ49" s="56"/>
      <c r="YT49" s="56"/>
      <c r="ZD49" s="56"/>
      <c r="ZN49" s="56"/>
      <c r="ZX49" s="56"/>
      <c r="AAH49" s="56"/>
      <c r="AAR49" s="56"/>
      <c r="ABB49" s="56"/>
      <c r="ABL49" s="56"/>
      <c r="ABV49" s="56"/>
      <c r="ACF49" s="56"/>
      <c r="ACP49" s="56"/>
      <c r="ACZ49" s="56"/>
      <c r="ADJ49" s="56"/>
      <c r="ADT49" s="56"/>
      <c r="AED49" s="56"/>
      <c r="AEN49" s="56"/>
      <c r="AEX49" s="56"/>
      <c r="AFH49" s="56"/>
      <c r="AFR49" s="56"/>
      <c r="AGB49" s="56"/>
      <c r="AGL49" s="56"/>
      <c r="AGV49" s="56"/>
      <c r="AHF49" s="56"/>
      <c r="AHP49" s="56"/>
      <c r="AHZ49" s="56"/>
      <c r="AIJ49" s="56"/>
      <c r="AIT49" s="56"/>
      <c r="AJD49" s="56"/>
      <c r="AJN49" s="56"/>
      <c r="AJX49" s="56"/>
      <c r="AKH49" s="56"/>
      <c r="AKR49" s="56"/>
      <c r="ALB49" s="56"/>
      <c r="ALL49" s="56"/>
      <c r="ALV49" s="56"/>
      <c r="AMF49" s="56"/>
      <c r="AMP49" s="56"/>
      <c r="AMZ49" s="56"/>
      <c r="ANJ49" s="56"/>
      <c r="ANT49" s="56"/>
      <c r="AOD49" s="56"/>
      <c r="AON49" s="56"/>
      <c r="AOX49" s="56"/>
      <c r="APH49" s="56"/>
      <c r="APR49" s="56"/>
      <c r="AQB49" s="56"/>
      <c r="AQL49" s="56"/>
      <c r="AQV49" s="56"/>
      <c r="ARF49" s="56"/>
      <c r="ARP49" s="56"/>
      <c r="ARZ49" s="56"/>
      <c r="ASJ49" s="56"/>
      <c r="AST49" s="56"/>
      <c r="ATD49" s="56"/>
      <c r="ATN49" s="56"/>
      <c r="ATX49" s="56"/>
      <c r="AUH49" s="56"/>
      <c r="AUR49" s="56"/>
      <c r="AVB49" s="56"/>
      <c r="AVL49" s="56"/>
      <c r="AVV49" s="56"/>
      <c r="AWF49" s="56"/>
      <c r="AWP49" s="56"/>
      <c r="AWZ49" s="56"/>
      <c r="AXJ49" s="56"/>
      <c r="AXT49" s="56"/>
      <c r="AYD49" s="56"/>
      <c r="AYN49" s="56"/>
      <c r="AYX49" s="56"/>
      <c r="AZH49" s="56"/>
      <c r="AZR49" s="56"/>
      <c r="BAB49" s="56"/>
      <c r="BAL49" s="56"/>
      <c r="BAV49" s="56"/>
      <c r="BBF49" s="56"/>
      <c r="BBP49" s="56"/>
      <c r="BBZ49" s="56"/>
      <c r="BCJ49" s="56"/>
      <c r="BCT49" s="56"/>
      <c r="BDD49" s="56"/>
      <c r="BDN49" s="56"/>
      <c r="BDX49" s="56"/>
      <c r="BEH49" s="56"/>
      <c r="BER49" s="56"/>
      <c r="BFB49" s="56"/>
      <c r="BFL49" s="56"/>
      <c r="BFV49" s="56"/>
      <c r="BGF49" s="56"/>
      <c r="BGP49" s="56"/>
      <c r="BGZ49" s="56"/>
      <c r="BHJ49" s="56"/>
      <c r="BHT49" s="56"/>
      <c r="BID49" s="56"/>
      <c r="BIN49" s="56"/>
      <c r="BIX49" s="56"/>
      <c r="BJH49" s="56"/>
      <c r="BJR49" s="56"/>
      <c r="BKB49" s="56"/>
      <c r="BKL49" s="56"/>
      <c r="BKV49" s="56"/>
      <c r="BLF49" s="56"/>
      <c r="BLP49" s="56"/>
      <c r="BLZ49" s="56"/>
      <c r="BMJ49" s="56"/>
      <c r="BMT49" s="56"/>
      <c r="BND49" s="56"/>
      <c r="BNN49" s="56"/>
      <c r="BNX49" s="56"/>
      <c r="BOH49" s="56"/>
      <c r="BOR49" s="56"/>
      <c r="BPB49" s="56"/>
      <c r="BPL49" s="56"/>
      <c r="BPV49" s="56"/>
      <c r="BQF49" s="56"/>
      <c r="BQP49" s="56"/>
      <c r="BQZ49" s="56"/>
      <c r="BRJ49" s="56"/>
      <c r="BRT49" s="56"/>
      <c r="BSD49" s="56"/>
      <c r="BSN49" s="56"/>
      <c r="BSX49" s="56"/>
      <c r="BTH49" s="56"/>
      <c r="BTR49" s="56"/>
      <c r="BUB49" s="56"/>
      <c r="BUL49" s="56"/>
      <c r="BUV49" s="56"/>
      <c r="BVF49" s="56"/>
      <c r="BVP49" s="56"/>
      <c r="BVZ49" s="56"/>
      <c r="BWJ49" s="56"/>
      <c r="BWT49" s="56"/>
      <c r="BXD49" s="56"/>
      <c r="BXN49" s="56"/>
      <c r="BXX49" s="56"/>
      <c r="BYH49" s="56"/>
      <c r="BYR49" s="56"/>
      <c r="BZB49" s="56"/>
      <c r="BZL49" s="56"/>
      <c r="BZV49" s="56"/>
      <c r="CAF49" s="56"/>
      <c r="CAP49" s="56"/>
      <c r="CAZ49" s="56"/>
      <c r="CBJ49" s="56"/>
      <c r="CBT49" s="56"/>
      <c r="CCD49" s="56"/>
      <c r="CCN49" s="56"/>
      <c r="CCX49" s="56"/>
      <c r="CDH49" s="56"/>
      <c r="CDR49" s="56"/>
      <c r="CEB49" s="56"/>
      <c r="CEL49" s="56"/>
      <c r="CEV49" s="56"/>
      <c r="CFF49" s="56"/>
      <c r="CFP49" s="56"/>
      <c r="CFZ49" s="56"/>
      <c r="CGJ49" s="56"/>
      <c r="CGT49" s="56"/>
      <c r="CHD49" s="56"/>
      <c r="CHN49" s="56"/>
      <c r="CHX49" s="56"/>
      <c r="CIH49" s="56"/>
      <c r="CIR49" s="56"/>
      <c r="CJB49" s="56"/>
      <c r="CJL49" s="56"/>
      <c r="CJV49" s="56"/>
      <c r="CKF49" s="56"/>
      <c r="CKP49" s="56"/>
      <c r="CKZ49" s="56"/>
      <c r="CLJ49" s="56"/>
      <c r="CLT49" s="56"/>
      <c r="CMD49" s="56"/>
      <c r="CMN49" s="56"/>
      <c r="CMX49" s="56"/>
      <c r="CNH49" s="56"/>
      <c r="CNR49" s="56"/>
      <c r="COB49" s="56"/>
      <c r="COL49" s="56"/>
      <c r="COV49" s="56"/>
      <c r="CPF49" s="56"/>
      <c r="CPP49" s="56"/>
      <c r="CPZ49" s="56"/>
      <c r="CQJ49" s="56"/>
      <c r="CQT49" s="56"/>
      <c r="CRD49" s="56"/>
      <c r="CRN49" s="56"/>
      <c r="CRX49" s="56"/>
      <c r="CSH49" s="56"/>
      <c r="CSR49" s="56"/>
      <c r="CTB49" s="56"/>
      <c r="CTL49" s="56"/>
      <c r="CTV49" s="56"/>
    </row>
    <row r="50" s="42" customFormat="1" customHeight="1" spans="1:1020 1030:2040 2050:2570">
      <c r="A50" s="51"/>
      <c r="B50" s="52"/>
      <c r="C50" s="52"/>
      <c r="D50" s="52"/>
      <c r="E50" s="52"/>
      <c r="F50" s="53" t="str">
        <f>IFERROR(VLOOKUP(E50,日报!E:G,2,0),"")</f>
        <v/>
      </c>
      <c r="G50" s="52"/>
      <c r="H50" s="54" t="str">
        <f>IFERROR(VLOOKUP(E50,日报!E:H,4,0),"")</f>
        <v/>
      </c>
      <c r="I50" s="54" t="str">
        <f>IFERROR(VLOOKUP(E50,日报!E:G,3,0),"")</f>
        <v/>
      </c>
      <c r="J50" s="52"/>
      <c r="K50" s="55" t="str">
        <f t="shared" si="0"/>
        <v/>
      </c>
      <c r="T50" s="56"/>
      <c r="AD50" s="56"/>
      <c r="AN50" s="56"/>
      <c r="AX50" s="56"/>
      <c r="BH50" s="56"/>
      <c r="BR50" s="56"/>
      <c r="CB50" s="56"/>
      <c r="CL50" s="56"/>
      <c r="CV50" s="56"/>
      <c r="DF50" s="56"/>
      <c r="DP50" s="56"/>
      <c r="DZ50" s="56"/>
      <c r="EJ50" s="56"/>
      <c r="ET50" s="56"/>
      <c r="FD50" s="56"/>
      <c r="FN50" s="56"/>
      <c r="FX50" s="56"/>
      <c r="GH50" s="56"/>
      <c r="GR50" s="56"/>
      <c r="HB50" s="56"/>
      <c r="HL50" s="56"/>
      <c r="HV50" s="56"/>
      <c r="IF50" s="56"/>
      <c r="IP50" s="56"/>
      <c r="IZ50" s="56"/>
      <c r="JJ50" s="56"/>
      <c r="JT50" s="56"/>
      <c r="KD50" s="56"/>
      <c r="KN50" s="56"/>
      <c r="KX50" s="56"/>
      <c r="LH50" s="56"/>
      <c r="LR50" s="56"/>
      <c r="MB50" s="56"/>
      <c r="ML50" s="56"/>
      <c r="MV50" s="56"/>
      <c r="NF50" s="56"/>
      <c r="NP50" s="56"/>
      <c r="NZ50" s="56"/>
      <c r="OJ50" s="56"/>
      <c r="OT50" s="56"/>
      <c r="PD50" s="56"/>
      <c r="PN50" s="56"/>
      <c r="PX50" s="56"/>
      <c r="QH50" s="56"/>
      <c r="QR50" s="56"/>
      <c r="RB50" s="56"/>
      <c r="RL50" s="56"/>
      <c r="RV50" s="56"/>
      <c r="SF50" s="56"/>
      <c r="SP50" s="56"/>
      <c r="SZ50" s="56"/>
      <c r="TJ50" s="56"/>
      <c r="TT50" s="56"/>
      <c r="UD50" s="56"/>
      <c r="UN50" s="56"/>
      <c r="UX50" s="56"/>
      <c r="VH50" s="56"/>
      <c r="VR50" s="56"/>
      <c r="WB50" s="56"/>
      <c r="WL50" s="56"/>
      <c r="WV50" s="56"/>
      <c r="XF50" s="56"/>
      <c r="XP50" s="56"/>
      <c r="XZ50" s="56"/>
      <c r="YJ50" s="56"/>
      <c r="YT50" s="56"/>
      <c r="ZD50" s="56"/>
      <c r="ZN50" s="56"/>
      <c r="ZX50" s="56"/>
      <c r="AAH50" s="56"/>
      <c r="AAR50" s="56"/>
      <c r="ABB50" s="56"/>
      <c r="ABL50" s="56"/>
      <c r="ABV50" s="56"/>
      <c r="ACF50" s="56"/>
      <c r="ACP50" s="56"/>
      <c r="ACZ50" s="56"/>
      <c r="ADJ50" s="56"/>
      <c r="ADT50" s="56"/>
      <c r="AED50" s="56"/>
      <c r="AEN50" s="56"/>
      <c r="AEX50" s="56"/>
      <c r="AFH50" s="56"/>
      <c r="AFR50" s="56"/>
      <c r="AGB50" s="56"/>
      <c r="AGL50" s="56"/>
      <c r="AGV50" s="56"/>
      <c r="AHF50" s="56"/>
      <c r="AHP50" s="56"/>
      <c r="AHZ50" s="56"/>
      <c r="AIJ50" s="56"/>
      <c r="AIT50" s="56"/>
      <c r="AJD50" s="56"/>
      <c r="AJN50" s="56"/>
      <c r="AJX50" s="56"/>
      <c r="AKH50" s="56"/>
      <c r="AKR50" s="56"/>
      <c r="ALB50" s="56"/>
      <c r="ALL50" s="56"/>
      <c r="ALV50" s="56"/>
      <c r="AMF50" s="56"/>
      <c r="AMP50" s="56"/>
      <c r="AMZ50" s="56"/>
      <c r="ANJ50" s="56"/>
      <c r="ANT50" s="56"/>
      <c r="AOD50" s="56"/>
      <c r="AON50" s="56"/>
      <c r="AOX50" s="56"/>
      <c r="APH50" s="56"/>
      <c r="APR50" s="56"/>
      <c r="AQB50" s="56"/>
      <c r="AQL50" s="56"/>
      <c r="AQV50" s="56"/>
      <c r="ARF50" s="56"/>
      <c r="ARP50" s="56"/>
      <c r="ARZ50" s="56"/>
      <c r="ASJ50" s="56"/>
      <c r="AST50" s="56"/>
      <c r="ATD50" s="56"/>
      <c r="ATN50" s="56"/>
      <c r="ATX50" s="56"/>
      <c r="AUH50" s="56"/>
      <c r="AUR50" s="56"/>
      <c r="AVB50" s="56"/>
      <c r="AVL50" s="56"/>
      <c r="AVV50" s="56"/>
      <c r="AWF50" s="56"/>
      <c r="AWP50" s="56"/>
      <c r="AWZ50" s="56"/>
      <c r="AXJ50" s="56"/>
      <c r="AXT50" s="56"/>
      <c r="AYD50" s="56"/>
      <c r="AYN50" s="56"/>
      <c r="AYX50" s="56"/>
      <c r="AZH50" s="56"/>
      <c r="AZR50" s="56"/>
      <c r="BAB50" s="56"/>
      <c r="BAL50" s="56"/>
      <c r="BAV50" s="56"/>
      <c r="BBF50" s="56"/>
      <c r="BBP50" s="56"/>
      <c r="BBZ50" s="56"/>
      <c r="BCJ50" s="56"/>
      <c r="BCT50" s="56"/>
      <c r="BDD50" s="56"/>
      <c r="BDN50" s="56"/>
      <c r="BDX50" s="56"/>
      <c r="BEH50" s="56"/>
      <c r="BER50" s="56"/>
      <c r="BFB50" s="56"/>
      <c r="BFL50" s="56"/>
      <c r="BFV50" s="56"/>
      <c r="BGF50" s="56"/>
      <c r="BGP50" s="56"/>
      <c r="BGZ50" s="56"/>
      <c r="BHJ50" s="56"/>
      <c r="BHT50" s="56"/>
      <c r="BID50" s="56"/>
      <c r="BIN50" s="56"/>
      <c r="BIX50" s="56"/>
      <c r="BJH50" s="56"/>
      <c r="BJR50" s="56"/>
      <c r="BKB50" s="56"/>
      <c r="BKL50" s="56"/>
      <c r="BKV50" s="56"/>
      <c r="BLF50" s="56"/>
      <c r="BLP50" s="56"/>
      <c r="BLZ50" s="56"/>
      <c r="BMJ50" s="56"/>
      <c r="BMT50" s="56"/>
      <c r="BND50" s="56"/>
      <c r="BNN50" s="56"/>
      <c r="BNX50" s="56"/>
      <c r="BOH50" s="56"/>
      <c r="BOR50" s="56"/>
      <c r="BPB50" s="56"/>
      <c r="BPL50" s="56"/>
      <c r="BPV50" s="56"/>
      <c r="BQF50" s="56"/>
      <c r="BQP50" s="56"/>
      <c r="BQZ50" s="56"/>
      <c r="BRJ50" s="56"/>
      <c r="BRT50" s="56"/>
      <c r="BSD50" s="56"/>
      <c r="BSN50" s="56"/>
      <c r="BSX50" s="56"/>
      <c r="BTH50" s="56"/>
      <c r="BTR50" s="56"/>
      <c r="BUB50" s="56"/>
      <c r="BUL50" s="56"/>
      <c r="BUV50" s="56"/>
      <c r="BVF50" s="56"/>
      <c r="BVP50" s="56"/>
      <c r="BVZ50" s="56"/>
      <c r="BWJ50" s="56"/>
      <c r="BWT50" s="56"/>
      <c r="BXD50" s="56"/>
      <c r="BXN50" s="56"/>
      <c r="BXX50" s="56"/>
      <c r="BYH50" s="56"/>
      <c r="BYR50" s="56"/>
      <c r="BZB50" s="56"/>
      <c r="BZL50" s="56"/>
      <c r="BZV50" s="56"/>
      <c r="CAF50" s="56"/>
      <c r="CAP50" s="56"/>
      <c r="CAZ50" s="56"/>
      <c r="CBJ50" s="56"/>
      <c r="CBT50" s="56"/>
      <c r="CCD50" s="56"/>
      <c r="CCN50" s="56"/>
      <c r="CCX50" s="56"/>
      <c r="CDH50" s="56"/>
      <c r="CDR50" s="56"/>
      <c r="CEB50" s="56"/>
      <c r="CEL50" s="56"/>
      <c r="CEV50" s="56"/>
      <c r="CFF50" s="56"/>
      <c r="CFP50" s="56"/>
      <c r="CFZ50" s="56"/>
      <c r="CGJ50" s="56"/>
      <c r="CGT50" s="56"/>
      <c r="CHD50" s="56"/>
      <c r="CHN50" s="56"/>
      <c r="CHX50" s="56"/>
      <c r="CIH50" s="56"/>
      <c r="CIR50" s="56"/>
      <c r="CJB50" s="56"/>
      <c r="CJL50" s="56"/>
      <c r="CJV50" s="56"/>
      <c r="CKF50" s="56"/>
      <c r="CKP50" s="56"/>
      <c r="CKZ50" s="56"/>
      <c r="CLJ50" s="56"/>
      <c r="CLT50" s="56"/>
      <c r="CMD50" s="56"/>
      <c r="CMN50" s="56"/>
      <c r="CMX50" s="56"/>
      <c r="CNH50" s="56"/>
      <c r="CNR50" s="56"/>
      <c r="COB50" s="56"/>
      <c r="COL50" s="56"/>
      <c r="COV50" s="56"/>
      <c r="CPF50" s="56"/>
      <c r="CPP50" s="56"/>
      <c r="CPZ50" s="56"/>
      <c r="CQJ50" s="56"/>
      <c r="CQT50" s="56"/>
      <c r="CRD50" s="56"/>
      <c r="CRN50" s="56"/>
      <c r="CRX50" s="56"/>
      <c r="CSH50" s="56"/>
      <c r="CSR50" s="56"/>
      <c r="CTB50" s="56"/>
      <c r="CTL50" s="56"/>
      <c r="CTV50" s="56"/>
    </row>
    <row r="51" s="42" customFormat="1" customHeight="1" spans="1:1020 1030:2040 2050:2570">
      <c r="A51" s="51"/>
      <c r="B51" s="52"/>
      <c r="C51" s="52"/>
      <c r="D51" s="52"/>
      <c r="E51" s="52"/>
      <c r="F51" s="53" t="str">
        <f>IFERROR(VLOOKUP(E51,日报!E:G,2,0),"")</f>
        <v/>
      </c>
      <c r="G51" s="52"/>
      <c r="H51" s="54" t="str">
        <f>IFERROR(VLOOKUP(E51,日报!E:H,4,0),"")</f>
        <v/>
      </c>
      <c r="I51" s="54" t="str">
        <f>IFERROR(VLOOKUP(E51,日报!E:G,3,0),"")</f>
        <v/>
      </c>
      <c r="J51" s="52"/>
      <c r="K51" s="55" t="str">
        <f t="shared" si="0"/>
        <v/>
      </c>
      <c r="T51" s="56"/>
      <c r="AD51" s="56"/>
      <c r="AN51" s="56"/>
      <c r="AX51" s="56"/>
      <c r="BH51" s="56"/>
      <c r="BR51" s="56"/>
      <c r="CB51" s="56"/>
      <c r="CL51" s="56"/>
      <c r="CV51" s="56"/>
      <c r="DF51" s="56"/>
      <c r="DP51" s="56"/>
      <c r="DZ51" s="56"/>
      <c r="EJ51" s="56"/>
      <c r="ET51" s="56"/>
      <c r="FD51" s="56"/>
      <c r="FN51" s="56"/>
      <c r="FX51" s="56"/>
      <c r="GH51" s="56"/>
      <c r="GR51" s="56"/>
      <c r="HB51" s="56"/>
      <c r="HL51" s="56"/>
      <c r="HV51" s="56"/>
      <c r="IF51" s="56"/>
      <c r="IP51" s="56"/>
      <c r="IZ51" s="56"/>
      <c r="JJ51" s="56"/>
      <c r="JT51" s="56"/>
      <c r="KD51" s="56"/>
      <c r="KN51" s="56"/>
      <c r="KX51" s="56"/>
      <c r="LH51" s="56"/>
      <c r="LR51" s="56"/>
      <c r="MB51" s="56"/>
      <c r="ML51" s="56"/>
      <c r="MV51" s="56"/>
      <c r="NF51" s="56"/>
      <c r="NP51" s="56"/>
      <c r="NZ51" s="56"/>
      <c r="OJ51" s="56"/>
      <c r="OT51" s="56"/>
      <c r="PD51" s="56"/>
      <c r="PN51" s="56"/>
      <c r="PX51" s="56"/>
      <c r="QH51" s="56"/>
      <c r="QR51" s="56"/>
      <c r="RB51" s="56"/>
      <c r="RL51" s="56"/>
      <c r="RV51" s="56"/>
      <c r="SF51" s="56"/>
      <c r="SP51" s="56"/>
      <c r="SZ51" s="56"/>
      <c r="TJ51" s="56"/>
      <c r="TT51" s="56"/>
      <c r="UD51" s="56"/>
      <c r="UN51" s="56"/>
      <c r="UX51" s="56"/>
      <c r="VH51" s="56"/>
      <c r="VR51" s="56"/>
      <c r="WB51" s="56"/>
      <c r="WL51" s="56"/>
      <c r="WV51" s="56"/>
      <c r="XF51" s="56"/>
      <c r="XP51" s="56"/>
      <c r="XZ51" s="56"/>
      <c r="YJ51" s="56"/>
      <c r="YT51" s="56"/>
      <c r="ZD51" s="56"/>
      <c r="ZN51" s="56"/>
      <c r="ZX51" s="56"/>
      <c r="AAH51" s="56"/>
      <c r="AAR51" s="56"/>
      <c r="ABB51" s="56"/>
      <c r="ABL51" s="56"/>
      <c r="ABV51" s="56"/>
      <c r="ACF51" s="56"/>
      <c r="ACP51" s="56"/>
      <c r="ACZ51" s="56"/>
      <c r="ADJ51" s="56"/>
      <c r="ADT51" s="56"/>
      <c r="AED51" s="56"/>
      <c r="AEN51" s="56"/>
      <c r="AEX51" s="56"/>
      <c r="AFH51" s="56"/>
      <c r="AFR51" s="56"/>
      <c r="AGB51" s="56"/>
      <c r="AGL51" s="56"/>
      <c r="AGV51" s="56"/>
      <c r="AHF51" s="56"/>
      <c r="AHP51" s="56"/>
      <c r="AHZ51" s="56"/>
      <c r="AIJ51" s="56"/>
      <c r="AIT51" s="56"/>
      <c r="AJD51" s="56"/>
      <c r="AJN51" s="56"/>
      <c r="AJX51" s="56"/>
      <c r="AKH51" s="56"/>
      <c r="AKR51" s="56"/>
      <c r="ALB51" s="56"/>
      <c r="ALL51" s="56"/>
      <c r="ALV51" s="56"/>
      <c r="AMF51" s="56"/>
      <c r="AMP51" s="56"/>
      <c r="AMZ51" s="56"/>
      <c r="ANJ51" s="56"/>
      <c r="ANT51" s="56"/>
      <c r="AOD51" s="56"/>
      <c r="AON51" s="56"/>
      <c r="AOX51" s="56"/>
      <c r="APH51" s="56"/>
      <c r="APR51" s="56"/>
      <c r="AQB51" s="56"/>
      <c r="AQL51" s="56"/>
      <c r="AQV51" s="56"/>
      <c r="ARF51" s="56"/>
      <c r="ARP51" s="56"/>
      <c r="ARZ51" s="56"/>
      <c r="ASJ51" s="56"/>
      <c r="AST51" s="56"/>
      <c r="ATD51" s="56"/>
      <c r="ATN51" s="56"/>
      <c r="ATX51" s="56"/>
      <c r="AUH51" s="56"/>
      <c r="AUR51" s="56"/>
      <c r="AVB51" s="56"/>
      <c r="AVL51" s="56"/>
      <c r="AVV51" s="56"/>
      <c r="AWF51" s="56"/>
      <c r="AWP51" s="56"/>
      <c r="AWZ51" s="56"/>
      <c r="AXJ51" s="56"/>
      <c r="AXT51" s="56"/>
      <c r="AYD51" s="56"/>
      <c r="AYN51" s="56"/>
      <c r="AYX51" s="56"/>
      <c r="AZH51" s="56"/>
      <c r="AZR51" s="56"/>
      <c r="BAB51" s="56"/>
      <c r="BAL51" s="56"/>
      <c r="BAV51" s="56"/>
      <c r="BBF51" s="56"/>
      <c r="BBP51" s="56"/>
      <c r="BBZ51" s="56"/>
      <c r="BCJ51" s="56"/>
      <c r="BCT51" s="56"/>
      <c r="BDD51" s="56"/>
      <c r="BDN51" s="56"/>
      <c r="BDX51" s="56"/>
      <c r="BEH51" s="56"/>
      <c r="BER51" s="56"/>
      <c r="BFB51" s="56"/>
      <c r="BFL51" s="56"/>
      <c r="BFV51" s="56"/>
      <c r="BGF51" s="56"/>
      <c r="BGP51" s="56"/>
      <c r="BGZ51" s="56"/>
      <c r="BHJ51" s="56"/>
      <c r="BHT51" s="56"/>
      <c r="BID51" s="56"/>
      <c r="BIN51" s="56"/>
      <c r="BIX51" s="56"/>
      <c r="BJH51" s="56"/>
      <c r="BJR51" s="56"/>
      <c r="BKB51" s="56"/>
      <c r="BKL51" s="56"/>
      <c r="BKV51" s="56"/>
      <c r="BLF51" s="56"/>
      <c r="BLP51" s="56"/>
      <c r="BLZ51" s="56"/>
      <c r="BMJ51" s="56"/>
      <c r="BMT51" s="56"/>
      <c r="BND51" s="56"/>
      <c r="BNN51" s="56"/>
      <c r="BNX51" s="56"/>
      <c r="BOH51" s="56"/>
      <c r="BOR51" s="56"/>
      <c r="BPB51" s="56"/>
      <c r="BPL51" s="56"/>
      <c r="BPV51" s="56"/>
      <c r="BQF51" s="56"/>
      <c r="BQP51" s="56"/>
      <c r="BQZ51" s="56"/>
      <c r="BRJ51" s="56"/>
      <c r="BRT51" s="56"/>
      <c r="BSD51" s="56"/>
      <c r="BSN51" s="56"/>
      <c r="BSX51" s="56"/>
      <c r="BTH51" s="56"/>
      <c r="BTR51" s="56"/>
      <c r="BUB51" s="56"/>
      <c r="BUL51" s="56"/>
      <c r="BUV51" s="56"/>
      <c r="BVF51" s="56"/>
      <c r="BVP51" s="56"/>
      <c r="BVZ51" s="56"/>
      <c r="BWJ51" s="56"/>
      <c r="BWT51" s="56"/>
      <c r="BXD51" s="56"/>
      <c r="BXN51" s="56"/>
      <c r="BXX51" s="56"/>
      <c r="BYH51" s="56"/>
      <c r="BYR51" s="56"/>
      <c r="BZB51" s="56"/>
      <c r="BZL51" s="56"/>
      <c r="BZV51" s="56"/>
      <c r="CAF51" s="56"/>
      <c r="CAP51" s="56"/>
      <c r="CAZ51" s="56"/>
      <c r="CBJ51" s="56"/>
      <c r="CBT51" s="56"/>
      <c r="CCD51" s="56"/>
      <c r="CCN51" s="56"/>
      <c r="CCX51" s="56"/>
      <c r="CDH51" s="56"/>
      <c r="CDR51" s="56"/>
      <c r="CEB51" s="56"/>
      <c r="CEL51" s="56"/>
      <c r="CEV51" s="56"/>
      <c r="CFF51" s="56"/>
      <c r="CFP51" s="56"/>
      <c r="CFZ51" s="56"/>
      <c r="CGJ51" s="56"/>
      <c r="CGT51" s="56"/>
      <c r="CHD51" s="56"/>
      <c r="CHN51" s="56"/>
      <c r="CHX51" s="56"/>
      <c r="CIH51" s="56"/>
      <c r="CIR51" s="56"/>
      <c r="CJB51" s="56"/>
      <c r="CJL51" s="56"/>
      <c r="CJV51" s="56"/>
      <c r="CKF51" s="56"/>
      <c r="CKP51" s="56"/>
      <c r="CKZ51" s="56"/>
      <c r="CLJ51" s="56"/>
      <c r="CLT51" s="56"/>
      <c r="CMD51" s="56"/>
      <c r="CMN51" s="56"/>
      <c r="CMX51" s="56"/>
      <c r="CNH51" s="56"/>
      <c r="CNR51" s="56"/>
      <c r="COB51" s="56"/>
      <c r="COL51" s="56"/>
      <c r="COV51" s="56"/>
      <c r="CPF51" s="56"/>
      <c r="CPP51" s="56"/>
      <c r="CPZ51" s="56"/>
      <c r="CQJ51" s="56"/>
      <c r="CQT51" s="56"/>
      <c r="CRD51" s="56"/>
      <c r="CRN51" s="56"/>
      <c r="CRX51" s="56"/>
      <c r="CSH51" s="56"/>
      <c r="CSR51" s="56"/>
      <c r="CTB51" s="56"/>
      <c r="CTL51" s="56"/>
      <c r="CTV51" s="56"/>
    </row>
    <row r="52" s="42" customFormat="1" customHeight="1" spans="1:1020 1030:2040 2050:2570">
      <c r="A52" s="51"/>
      <c r="B52" s="52"/>
      <c r="C52" s="52"/>
      <c r="D52" s="52"/>
      <c r="E52" s="52"/>
      <c r="F52" s="53" t="str">
        <f>IFERROR(VLOOKUP(E52,日报!E:G,2,0),"")</f>
        <v/>
      </c>
      <c r="G52" s="52"/>
      <c r="H52" s="54" t="str">
        <f>IFERROR(VLOOKUP(E52,日报!E:H,4,0),"")</f>
        <v/>
      </c>
      <c r="I52" s="54" t="str">
        <f>IFERROR(VLOOKUP(E52,日报!E:G,3,0),"")</f>
        <v/>
      </c>
      <c r="J52" s="52"/>
      <c r="K52" s="55" t="str">
        <f t="shared" si="0"/>
        <v/>
      </c>
      <c r="T52" s="56"/>
      <c r="AD52" s="56"/>
      <c r="AN52" s="56"/>
      <c r="AX52" s="56"/>
      <c r="BH52" s="56"/>
      <c r="BR52" s="56"/>
      <c r="CB52" s="56"/>
      <c r="CL52" s="56"/>
      <c r="CV52" s="56"/>
      <c r="DF52" s="56"/>
      <c r="DP52" s="56"/>
      <c r="DZ52" s="56"/>
      <c r="EJ52" s="56"/>
      <c r="ET52" s="56"/>
      <c r="FD52" s="56"/>
      <c r="FN52" s="56"/>
      <c r="FX52" s="56"/>
      <c r="GH52" s="56"/>
      <c r="GR52" s="56"/>
      <c r="HB52" s="56"/>
      <c r="HL52" s="56"/>
      <c r="HV52" s="56"/>
      <c r="IF52" s="56"/>
      <c r="IP52" s="56"/>
      <c r="IZ52" s="56"/>
      <c r="JJ52" s="56"/>
      <c r="JT52" s="56"/>
      <c r="KD52" s="56"/>
      <c r="KN52" s="56"/>
      <c r="KX52" s="56"/>
      <c r="LH52" s="56"/>
      <c r="LR52" s="56"/>
      <c r="MB52" s="56"/>
      <c r="ML52" s="56"/>
      <c r="MV52" s="56"/>
      <c r="NF52" s="56"/>
      <c r="NP52" s="56"/>
      <c r="NZ52" s="56"/>
      <c r="OJ52" s="56"/>
      <c r="OT52" s="56"/>
      <c r="PD52" s="56"/>
      <c r="PN52" s="56"/>
      <c r="PX52" s="56"/>
      <c r="QH52" s="56"/>
      <c r="QR52" s="56"/>
      <c r="RB52" s="56"/>
      <c r="RL52" s="56"/>
      <c r="RV52" s="56"/>
      <c r="SF52" s="56"/>
      <c r="SP52" s="56"/>
      <c r="SZ52" s="56"/>
      <c r="TJ52" s="56"/>
      <c r="TT52" s="56"/>
      <c r="UD52" s="56"/>
      <c r="UN52" s="56"/>
      <c r="UX52" s="56"/>
      <c r="VH52" s="56"/>
      <c r="VR52" s="56"/>
      <c r="WB52" s="56"/>
      <c r="WL52" s="56"/>
      <c r="WV52" s="56"/>
      <c r="XF52" s="56"/>
      <c r="XP52" s="56"/>
      <c r="XZ52" s="56"/>
      <c r="YJ52" s="56"/>
      <c r="YT52" s="56"/>
      <c r="ZD52" s="56"/>
      <c r="ZN52" s="56"/>
      <c r="ZX52" s="56"/>
      <c r="AAH52" s="56"/>
      <c r="AAR52" s="56"/>
      <c r="ABB52" s="56"/>
      <c r="ABL52" s="56"/>
      <c r="ABV52" s="56"/>
      <c r="ACF52" s="56"/>
      <c r="ACP52" s="56"/>
      <c r="ACZ52" s="56"/>
      <c r="ADJ52" s="56"/>
      <c r="ADT52" s="56"/>
      <c r="AED52" s="56"/>
      <c r="AEN52" s="56"/>
      <c r="AEX52" s="56"/>
      <c r="AFH52" s="56"/>
      <c r="AFR52" s="56"/>
      <c r="AGB52" s="56"/>
      <c r="AGL52" s="56"/>
      <c r="AGV52" s="56"/>
      <c r="AHF52" s="56"/>
      <c r="AHP52" s="56"/>
      <c r="AHZ52" s="56"/>
      <c r="AIJ52" s="56"/>
      <c r="AIT52" s="56"/>
      <c r="AJD52" s="56"/>
      <c r="AJN52" s="56"/>
      <c r="AJX52" s="56"/>
      <c r="AKH52" s="56"/>
      <c r="AKR52" s="56"/>
      <c r="ALB52" s="56"/>
      <c r="ALL52" s="56"/>
      <c r="ALV52" s="56"/>
      <c r="AMF52" s="56"/>
      <c r="AMP52" s="56"/>
      <c r="AMZ52" s="56"/>
      <c r="ANJ52" s="56"/>
      <c r="ANT52" s="56"/>
      <c r="AOD52" s="56"/>
      <c r="AON52" s="56"/>
      <c r="AOX52" s="56"/>
      <c r="APH52" s="56"/>
      <c r="APR52" s="56"/>
      <c r="AQB52" s="56"/>
      <c r="AQL52" s="56"/>
      <c r="AQV52" s="56"/>
      <c r="ARF52" s="56"/>
      <c r="ARP52" s="56"/>
      <c r="ARZ52" s="56"/>
      <c r="ASJ52" s="56"/>
      <c r="AST52" s="56"/>
      <c r="ATD52" s="56"/>
      <c r="ATN52" s="56"/>
      <c r="ATX52" s="56"/>
      <c r="AUH52" s="56"/>
      <c r="AUR52" s="56"/>
      <c r="AVB52" s="56"/>
      <c r="AVL52" s="56"/>
      <c r="AVV52" s="56"/>
      <c r="AWF52" s="56"/>
      <c r="AWP52" s="56"/>
      <c r="AWZ52" s="56"/>
      <c r="AXJ52" s="56"/>
      <c r="AXT52" s="56"/>
      <c r="AYD52" s="56"/>
      <c r="AYN52" s="56"/>
      <c r="AYX52" s="56"/>
      <c r="AZH52" s="56"/>
      <c r="AZR52" s="56"/>
      <c r="BAB52" s="56"/>
      <c r="BAL52" s="56"/>
      <c r="BAV52" s="56"/>
      <c r="BBF52" s="56"/>
      <c r="BBP52" s="56"/>
      <c r="BBZ52" s="56"/>
      <c r="BCJ52" s="56"/>
      <c r="BCT52" s="56"/>
      <c r="BDD52" s="56"/>
      <c r="BDN52" s="56"/>
      <c r="BDX52" s="56"/>
      <c r="BEH52" s="56"/>
      <c r="BER52" s="56"/>
      <c r="BFB52" s="56"/>
      <c r="BFL52" s="56"/>
      <c r="BFV52" s="56"/>
      <c r="BGF52" s="56"/>
      <c r="BGP52" s="56"/>
      <c r="BGZ52" s="56"/>
      <c r="BHJ52" s="56"/>
      <c r="BHT52" s="56"/>
      <c r="BID52" s="56"/>
      <c r="BIN52" s="56"/>
      <c r="BIX52" s="56"/>
      <c r="BJH52" s="56"/>
      <c r="BJR52" s="56"/>
      <c r="BKB52" s="56"/>
      <c r="BKL52" s="56"/>
      <c r="BKV52" s="56"/>
      <c r="BLF52" s="56"/>
      <c r="BLP52" s="56"/>
      <c r="BLZ52" s="56"/>
      <c r="BMJ52" s="56"/>
      <c r="BMT52" s="56"/>
      <c r="BND52" s="56"/>
      <c r="BNN52" s="56"/>
      <c r="BNX52" s="56"/>
      <c r="BOH52" s="56"/>
      <c r="BOR52" s="56"/>
      <c r="BPB52" s="56"/>
      <c r="BPL52" s="56"/>
      <c r="BPV52" s="56"/>
      <c r="BQF52" s="56"/>
      <c r="BQP52" s="56"/>
      <c r="BQZ52" s="56"/>
      <c r="BRJ52" s="56"/>
      <c r="BRT52" s="56"/>
      <c r="BSD52" s="56"/>
      <c r="BSN52" s="56"/>
      <c r="BSX52" s="56"/>
      <c r="BTH52" s="56"/>
      <c r="BTR52" s="56"/>
      <c r="BUB52" s="56"/>
      <c r="BUL52" s="56"/>
      <c r="BUV52" s="56"/>
      <c r="BVF52" s="56"/>
      <c r="BVP52" s="56"/>
      <c r="BVZ52" s="56"/>
      <c r="BWJ52" s="56"/>
      <c r="BWT52" s="56"/>
      <c r="BXD52" s="56"/>
      <c r="BXN52" s="56"/>
      <c r="BXX52" s="56"/>
      <c r="BYH52" s="56"/>
      <c r="BYR52" s="56"/>
      <c r="BZB52" s="56"/>
      <c r="BZL52" s="56"/>
      <c r="BZV52" s="56"/>
      <c r="CAF52" s="56"/>
      <c r="CAP52" s="56"/>
      <c r="CAZ52" s="56"/>
      <c r="CBJ52" s="56"/>
      <c r="CBT52" s="56"/>
      <c r="CCD52" s="56"/>
      <c r="CCN52" s="56"/>
      <c r="CCX52" s="56"/>
      <c r="CDH52" s="56"/>
      <c r="CDR52" s="56"/>
      <c r="CEB52" s="56"/>
      <c r="CEL52" s="56"/>
      <c r="CEV52" s="56"/>
      <c r="CFF52" s="56"/>
      <c r="CFP52" s="56"/>
      <c r="CFZ52" s="56"/>
      <c r="CGJ52" s="56"/>
      <c r="CGT52" s="56"/>
      <c r="CHD52" s="56"/>
      <c r="CHN52" s="56"/>
      <c r="CHX52" s="56"/>
      <c r="CIH52" s="56"/>
      <c r="CIR52" s="56"/>
      <c r="CJB52" s="56"/>
      <c r="CJL52" s="56"/>
      <c r="CJV52" s="56"/>
      <c r="CKF52" s="56"/>
      <c r="CKP52" s="56"/>
      <c r="CKZ52" s="56"/>
      <c r="CLJ52" s="56"/>
      <c r="CLT52" s="56"/>
      <c r="CMD52" s="56"/>
      <c r="CMN52" s="56"/>
      <c r="CMX52" s="56"/>
      <c r="CNH52" s="56"/>
      <c r="CNR52" s="56"/>
      <c r="COB52" s="56"/>
      <c r="COL52" s="56"/>
      <c r="COV52" s="56"/>
      <c r="CPF52" s="56"/>
      <c r="CPP52" s="56"/>
      <c r="CPZ52" s="56"/>
      <c r="CQJ52" s="56"/>
      <c r="CQT52" s="56"/>
      <c r="CRD52" s="56"/>
      <c r="CRN52" s="56"/>
      <c r="CRX52" s="56"/>
      <c r="CSH52" s="56"/>
      <c r="CSR52" s="56"/>
      <c r="CTB52" s="56"/>
      <c r="CTL52" s="56"/>
      <c r="CTV52" s="56"/>
    </row>
    <row r="53" s="42" customFormat="1" customHeight="1" spans="1:1020 1030:2040 2050:2570">
      <c r="A53" s="51"/>
      <c r="B53" s="52"/>
      <c r="C53" s="52"/>
      <c r="D53" s="52"/>
      <c r="E53" s="52"/>
      <c r="F53" s="53" t="str">
        <f>IFERROR(VLOOKUP(E53,日报!E:G,2,0),"")</f>
        <v/>
      </c>
      <c r="G53" s="52"/>
      <c r="H53" s="54" t="str">
        <f>IFERROR(VLOOKUP(E53,日报!E:H,4,0),"")</f>
        <v/>
      </c>
      <c r="I53" s="54" t="str">
        <f>IFERROR(VLOOKUP(E53,日报!E:G,3,0),"")</f>
        <v/>
      </c>
      <c r="J53" s="52"/>
      <c r="K53" s="55" t="str">
        <f t="shared" si="0"/>
        <v/>
      </c>
      <c r="T53" s="56"/>
      <c r="AD53" s="56"/>
      <c r="AN53" s="56"/>
      <c r="AX53" s="56"/>
      <c r="BH53" s="56"/>
      <c r="BR53" s="56"/>
      <c r="CB53" s="56"/>
      <c r="CL53" s="56"/>
      <c r="CV53" s="56"/>
      <c r="DF53" s="56"/>
      <c r="DP53" s="56"/>
      <c r="DZ53" s="56"/>
      <c r="EJ53" s="56"/>
      <c r="ET53" s="56"/>
      <c r="FD53" s="56"/>
      <c r="FN53" s="56"/>
      <c r="FX53" s="56"/>
      <c r="GH53" s="56"/>
      <c r="GR53" s="56"/>
      <c r="HB53" s="56"/>
      <c r="HL53" s="56"/>
      <c r="HV53" s="56"/>
      <c r="IF53" s="56"/>
      <c r="IP53" s="56"/>
      <c r="IZ53" s="56"/>
      <c r="JJ53" s="56"/>
      <c r="JT53" s="56"/>
      <c r="KD53" s="56"/>
      <c r="KN53" s="56"/>
      <c r="KX53" s="56"/>
      <c r="LH53" s="56"/>
      <c r="LR53" s="56"/>
      <c r="MB53" s="56"/>
      <c r="ML53" s="56"/>
      <c r="MV53" s="56"/>
      <c r="NF53" s="56"/>
      <c r="NP53" s="56"/>
      <c r="NZ53" s="56"/>
      <c r="OJ53" s="56"/>
      <c r="OT53" s="56"/>
      <c r="PD53" s="56"/>
      <c r="PN53" s="56"/>
      <c r="PX53" s="56"/>
      <c r="QH53" s="56"/>
      <c r="QR53" s="56"/>
      <c r="RB53" s="56"/>
      <c r="RL53" s="56"/>
      <c r="RV53" s="56"/>
      <c r="SF53" s="56"/>
      <c r="SP53" s="56"/>
      <c r="SZ53" s="56"/>
      <c r="TJ53" s="56"/>
      <c r="TT53" s="56"/>
      <c r="UD53" s="56"/>
      <c r="UN53" s="56"/>
      <c r="UX53" s="56"/>
      <c r="VH53" s="56"/>
      <c r="VR53" s="56"/>
      <c r="WB53" s="56"/>
      <c r="WL53" s="56"/>
      <c r="WV53" s="56"/>
      <c r="XF53" s="56"/>
      <c r="XP53" s="56"/>
      <c r="XZ53" s="56"/>
      <c r="YJ53" s="56"/>
      <c r="YT53" s="56"/>
      <c r="ZD53" s="56"/>
      <c r="ZN53" s="56"/>
      <c r="ZX53" s="56"/>
      <c r="AAH53" s="56"/>
      <c r="AAR53" s="56"/>
      <c r="ABB53" s="56"/>
      <c r="ABL53" s="56"/>
      <c r="ABV53" s="56"/>
      <c r="ACF53" s="56"/>
      <c r="ACP53" s="56"/>
      <c r="ACZ53" s="56"/>
      <c r="ADJ53" s="56"/>
      <c r="ADT53" s="56"/>
      <c r="AED53" s="56"/>
      <c r="AEN53" s="56"/>
      <c r="AEX53" s="56"/>
      <c r="AFH53" s="56"/>
      <c r="AFR53" s="56"/>
      <c r="AGB53" s="56"/>
      <c r="AGL53" s="56"/>
      <c r="AGV53" s="56"/>
      <c r="AHF53" s="56"/>
      <c r="AHP53" s="56"/>
      <c r="AHZ53" s="56"/>
      <c r="AIJ53" s="56"/>
      <c r="AIT53" s="56"/>
      <c r="AJD53" s="56"/>
      <c r="AJN53" s="56"/>
      <c r="AJX53" s="56"/>
      <c r="AKH53" s="56"/>
      <c r="AKR53" s="56"/>
      <c r="ALB53" s="56"/>
      <c r="ALL53" s="56"/>
      <c r="ALV53" s="56"/>
      <c r="AMF53" s="56"/>
      <c r="AMP53" s="56"/>
      <c r="AMZ53" s="56"/>
      <c r="ANJ53" s="56"/>
      <c r="ANT53" s="56"/>
      <c r="AOD53" s="56"/>
      <c r="AON53" s="56"/>
      <c r="AOX53" s="56"/>
      <c r="APH53" s="56"/>
      <c r="APR53" s="56"/>
      <c r="AQB53" s="56"/>
      <c r="AQL53" s="56"/>
      <c r="AQV53" s="56"/>
      <c r="ARF53" s="56"/>
      <c r="ARP53" s="56"/>
      <c r="ARZ53" s="56"/>
      <c r="ASJ53" s="56"/>
      <c r="AST53" s="56"/>
      <c r="ATD53" s="56"/>
      <c r="ATN53" s="56"/>
      <c r="ATX53" s="56"/>
      <c r="AUH53" s="56"/>
      <c r="AUR53" s="56"/>
      <c r="AVB53" s="56"/>
      <c r="AVL53" s="56"/>
      <c r="AVV53" s="56"/>
      <c r="AWF53" s="56"/>
      <c r="AWP53" s="56"/>
      <c r="AWZ53" s="56"/>
      <c r="AXJ53" s="56"/>
      <c r="AXT53" s="56"/>
      <c r="AYD53" s="56"/>
      <c r="AYN53" s="56"/>
      <c r="AYX53" s="56"/>
      <c r="AZH53" s="56"/>
      <c r="AZR53" s="56"/>
      <c r="BAB53" s="56"/>
      <c r="BAL53" s="56"/>
      <c r="BAV53" s="56"/>
      <c r="BBF53" s="56"/>
      <c r="BBP53" s="56"/>
      <c r="BBZ53" s="56"/>
      <c r="BCJ53" s="56"/>
      <c r="BCT53" s="56"/>
      <c r="BDD53" s="56"/>
      <c r="BDN53" s="56"/>
      <c r="BDX53" s="56"/>
      <c r="BEH53" s="56"/>
      <c r="BER53" s="56"/>
      <c r="BFB53" s="56"/>
      <c r="BFL53" s="56"/>
      <c r="BFV53" s="56"/>
      <c r="BGF53" s="56"/>
      <c r="BGP53" s="56"/>
      <c r="BGZ53" s="56"/>
      <c r="BHJ53" s="56"/>
      <c r="BHT53" s="56"/>
      <c r="BID53" s="56"/>
      <c r="BIN53" s="56"/>
      <c r="BIX53" s="56"/>
      <c r="BJH53" s="56"/>
      <c r="BJR53" s="56"/>
      <c r="BKB53" s="56"/>
      <c r="BKL53" s="56"/>
      <c r="BKV53" s="56"/>
      <c r="BLF53" s="56"/>
      <c r="BLP53" s="56"/>
      <c r="BLZ53" s="56"/>
      <c r="BMJ53" s="56"/>
      <c r="BMT53" s="56"/>
      <c r="BND53" s="56"/>
      <c r="BNN53" s="56"/>
      <c r="BNX53" s="56"/>
      <c r="BOH53" s="56"/>
      <c r="BOR53" s="56"/>
      <c r="BPB53" s="56"/>
      <c r="BPL53" s="56"/>
      <c r="BPV53" s="56"/>
      <c r="BQF53" s="56"/>
      <c r="BQP53" s="56"/>
      <c r="BQZ53" s="56"/>
      <c r="BRJ53" s="56"/>
      <c r="BRT53" s="56"/>
      <c r="BSD53" s="56"/>
      <c r="BSN53" s="56"/>
      <c r="BSX53" s="56"/>
      <c r="BTH53" s="56"/>
      <c r="BTR53" s="56"/>
      <c r="BUB53" s="56"/>
      <c r="BUL53" s="56"/>
      <c r="BUV53" s="56"/>
      <c r="BVF53" s="56"/>
      <c r="BVP53" s="56"/>
      <c r="BVZ53" s="56"/>
      <c r="BWJ53" s="56"/>
      <c r="BWT53" s="56"/>
      <c r="BXD53" s="56"/>
      <c r="BXN53" s="56"/>
      <c r="BXX53" s="56"/>
      <c r="BYH53" s="56"/>
      <c r="BYR53" s="56"/>
      <c r="BZB53" s="56"/>
      <c r="BZL53" s="56"/>
      <c r="BZV53" s="56"/>
      <c r="CAF53" s="56"/>
      <c r="CAP53" s="56"/>
      <c r="CAZ53" s="56"/>
      <c r="CBJ53" s="56"/>
      <c r="CBT53" s="56"/>
      <c r="CCD53" s="56"/>
      <c r="CCN53" s="56"/>
      <c r="CCX53" s="56"/>
      <c r="CDH53" s="56"/>
      <c r="CDR53" s="56"/>
      <c r="CEB53" s="56"/>
      <c r="CEL53" s="56"/>
      <c r="CEV53" s="56"/>
      <c r="CFF53" s="56"/>
      <c r="CFP53" s="56"/>
      <c r="CFZ53" s="56"/>
      <c r="CGJ53" s="56"/>
      <c r="CGT53" s="56"/>
      <c r="CHD53" s="56"/>
      <c r="CHN53" s="56"/>
      <c r="CHX53" s="56"/>
      <c r="CIH53" s="56"/>
      <c r="CIR53" s="56"/>
      <c r="CJB53" s="56"/>
      <c r="CJL53" s="56"/>
      <c r="CJV53" s="56"/>
      <c r="CKF53" s="56"/>
      <c r="CKP53" s="56"/>
      <c r="CKZ53" s="56"/>
      <c r="CLJ53" s="56"/>
      <c r="CLT53" s="56"/>
      <c r="CMD53" s="56"/>
      <c r="CMN53" s="56"/>
      <c r="CMX53" s="56"/>
      <c r="CNH53" s="56"/>
      <c r="CNR53" s="56"/>
      <c r="COB53" s="56"/>
      <c r="COL53" s="56"/>
      <c r="COV53" s="56"/>
      <c r="CPF53" s="56"/>
      <c r="CPP53" s="56"/>
      <c r="CPZ53" s="56"/>
      <c r="CQJ53" s="56"/>
      <c r="CQT53" s="56"/>
      <c r="CRD53" s="56"/>
      <c r="CRN53" s="56"/>
      <c r="CRX53" s="56"/>
      <c r="CSH53" s="56"/>
      <c r="CSR53" s="56"/>
      <c r="CTB53" s="56"/>
      <c r="CTL53" s="56"/>
      <c r="CTV53" s="56"/>
    </row>
    <row r="54" s="42" customFormat="1" customHeight="1" spans="1:1020 1030:2040 2050:2570">
      <c r="A54" s="51"/>
      <c r="B54" s="52"/>
      <c r="C54" s="52"/>
      <c r="D54" s="52"/>
      <c r="E54" s="52"/>
      <c r="F54" s="53" t="str">
        <f>IFERROR(VLOOKUP(E54,日报!E:G,2,0),"")</f>
        <v/>
      </c>
      <c r="G54" s="52"/>
      <c r="H54" s="54" t="str">
        <f>IFERROR(VLOOKUP(E54,日报!E:H,4,0),"")</f>
        <v/>
      </c>
      <c r="I54" s="54" t="str">
        <f>IFERROR(VLOOKUP(E54,日报!E:G,3,0),"")</f>
        <v/>
      </c>
      <c r="J54" s="52"/>
      <c r="K54" s="55" t="str">
        <f t="shared" si="0"/>
        <v/>
      </c>
      <c r="T54" s="56"/>
      <c r="AD54" s="56"/>
      <c r="AN54" s="56"/>
      <c r="AX54" s="56"/>
      <c r="BH54" s="56"/>
      <c r="BR54" s="56"/>
      <c r="CB54" s="56"/>
      <c r="CL54" s="56"/>
      <c r="CV54" s="56"/>
      <c r="DF54" s="56"/>
      <c r="DP54" s="56"/>
      <c r="DZ54" s="56"/>
      <c r="EJ54" s="56"/>
      <c r="ET54" s="56"/>
      <c r="FD54" s="56"/>
      <c r="FN54" s="56"/>
      <c r="FX54" s="56"/>
      <c r="GH54" s="56"/>
      <c r="GR54" s="56"/>
      <c r="HB54" s="56"/>
      <c r="HL54" s="56"/>
      <c r="HV54" s="56"/>
      <c r="IF54" s="56"/>
      <c r="IP54" s="56"/>
      <c r="IZ54" s="56"/>
      <c r="JJ54" s="56"/>
      <c r="JT54" s="56"/>
      <c r="KD54" s="56"/>
      <c r="KN54" s="56"/>
      <c r="KX54" s="56"/>
      <c r="LH54" s="56"/>
      <c r="LR54" s="56"/>
      <c r="MB54" s="56"/>
      <c r="ML54" s="56"/>
      <c r="MV54" s="56"/>
      <c r="NF54" s="56"/>
      <c r="NP54" s="56"/>
      <c r="NZ54" s="56"/>
      <c r="OJ54" s="56"/>
      <c r="OT54" s="56"/>
      <c r="PD54" s="56"/>
      <c r="PN54" s="56"/>
      <c r="PX54" s="56"/>
      <c r="QH54" s="56"/>
      <c r="QR54" s="56"/>
      <c r="RB54" s="56"/>
      <c r="RL54" s="56"/>
      <c r="RV54" s="56"/>
      <c r="SF54" s="56"/>
      <c r="SP54" s="56"/>
      <c r="SZ54" s="56"/>
      <c r="TJ54" s="56"/>
      <c r="TT54" s="56"/>
      <c r="UD54" s="56"/>
      <c r="UN54" s="56"/>
      <c r="UX54" s="56"/>
      <c r="VH54" s="56"/>
      <c r="VR54" s="56"/>
      <c r="WB54" s="56"/>
      <c r="WL54" s="56"/>
      <c r="WV54" s="56"/>
      <c r="XF54" s="56"/>
      <c r="XP54" s="56"/>
      <c r="XZ54" s="56"/>
      <c r="YJ54" s="56"/>
      <c r="YT54" s="56"/>
      <c r="ZD54" s="56"/>
      <c r="ZN54" s="56"/>
      <c r="ZX54" s="56"/>
      <c r="AAH54" s="56"/>
      <c r="AAR54" s="56"/>
      <c r="ABB54" s="56"/>
      <c r="ABL54" s="56"/>
      <c r="ABV54" s="56"/>
      <c r="ACF54" s="56"/>
      <c r="ACP54" s="56"/>
      <c r="ACZ54" s="56"/>
      <c r="ADJ54" s="56"/>
      <c r="ADT54" s="56"/>
      <c r="AED54" s="56"/>
      <c r="AEN54" s="56"/>
      <c r="AEX54" s="56"/>
      <c r="AFH54" s="56"/>
      <c r="AFR54" s="56"/>
      <c r="AGB54" s="56"/>
      <c r="AGL54" s="56"/>
      <c r="AGV54" s="56"/>
      <c r="AHF54" s="56"/>
      <c r="AHP54" s="56"/>
      <c r="AHZ54" s="56"/>
      <c r="AIJ54" s="56"/>
      <c r="AIT54" s="56"/>
      <c r="AJD54" s="56"/>
      <c r="AJN54" s="56"/>
      <c r="AJX54" s="56"/>
      <c r="AKH54" s="56"/>
      <c r="AKR54" s="56"/>
      <c r="ALB54" s="56"/>
      <c r="ALL54" s="56"/>
      <c r="ALV54" s="56"/>
      <c r="AMF54" s="56"/>
      <c r="AMP54" s="56"/>
      <c r="AMZ54" s="56"/>
      <c r="ANJ54" s="56"/>
      <c r="ANT54" s="56"/>
      <c r="AOD54" s="56"/>
      <c r="AON54" s="56"/>
      <c r="AOX54" s="56"/>
      <c r="APH54" s="56"/>
      <c r="APR54" s="56"/>
      <c r="AQB54" s="56"/>
      <c r="AQL54" s="56"/>
      <c r="AQV54" s="56"/>
      <c r="ARF54" s="56"/>
      <c r="ARP54" s="56"/>
      <c r="ARZ54" s="56"/>
      <c r="ASJ54" s="56"/>
      <c r="AST54" s="56"/>
      <c r="ATD54" s="56"/>
      <c r="ATN54" s="56"/>
      <c r="ATX54" s="56"/>
      <c r="AUH54" s="56"/>
      <c r="AUR54" s="56"/>
      <c r="AVB54" s="56"/>
      <c r="AVL54" s="56"/>
      <c r="AVV54" s="56"/>
      <c r="AWF54" s="56"/>
      <c r="AWP54" s="56"/>
      <c r="AWZ54" s="56"/>
      <c r="AXJ54" s="56"/>
      <c r="AXT54" s="56"/>
      <c r="AYD54" s="56"/>
      <c r="AYN54" s="56"/>
      <c r="AYX54" s="56"/>
      <c r="AZH54" s="56"/>
      <c r="AZR54" s="56"/>
      <c r="BAB54" s="56"/>
      <c r="BAL54" s="56"/>
      <c r="BAV54" s="56"/>
      <c r="BBF54" s="56"/>
      <c r="BBP54" s="56"/>
      <c r="BBZ54" s="56"/>
      <c r="BCJ54" s="56"/>
      <c r="BCT54" s="56"/>
      <c r="BDD54" s="56"/>
      <c r="BDN54" s="56"/>
      <c r="BDX54" s="56"/>
      <c r="BEH54" s="56"/>
      <c r="BER54" s="56"/>
      <c r="BFB54" s="56"/>
      <c r="BFL54" s="56"/>
      <c r="BFV54" s="56"/>
      <c r="BGF54" s="56"/>
      <c r="BGP54" s="56"/>
      <c r="BGZ54" s="56"/>
      <c r="BHJ54" s="56"/>
      <c r="BHT54" s="56"/>
      <c r="BID54" s="56"/>
      <c r="BIN54" s="56"/>
      <c r="BIX54" s="56"/>
      <c r="BJH54" s="56"/>
      <c r="BJR54" s="56"/>
      <c r="BKB54" s="56"/>
      <c r="BKL54" s="56"/>
      <c r="BKV54" s="56"/>
      <c r="BLF54" s="56"/>
      <c r="BLP54" s="56"/>
      <c r="BLZ54" s="56"/>
      <c r="BMJ54" s="56"/>
      <c r="BMT54" s="56"/>
      <c r="BND54" s="56"/>
      <c r="BNN54" s="56"/>
      <c r="BNX54" s="56"/>
      <c r="BOH54" s="56"/>
      <c r="BOR54" s="56"/>
      <c r="BPB54" s="56"/>
      <c r="BPL54" s="56"/>
      <c r="BPV54" s="56"/>
      <c r="BQF54" s="56"/>
      <c r="BQP54" s="56"/>
      <c r="BQZ54" s="56"/>
      <c r="BRJ54" s="56"/>
      <c r="BRT54" s="56"/>
      <c r="BSD54" s="56"/>
      <c r="BSN54" s="56"/>
      <c r="BSX54" s="56"/>
      <c r="BTH54" s="56"/>
      <c r="BTR54" s="56"/>
      <c r="BUB54" s="56"/>
      <c r="BUL54" s="56"/>
      <c r="BUV54" s="56"/>
      <c r="BVF54" s="56"/>
      <c r="BVP54" s="56"/>
      <c r="BVZ54" s="56"/>
      <c r="BWJ54" s="56"/>
      <c r="BWT54" s="56"/>
      <c r="BXD54" s="56"/>
      <c r="BXN54" s="56"/>
      <c r="BXX54" s="56"/>
      <c r="BYH54" s="56"/>
      <c r="BYR54" s="56"/>
      <c r="BZB54" s="56"/>
      <c r="BZL54" s="56"/>
      <c r="BZV54" s="56"/>
      <c r="CAF54" s="56"/>
      <c r="CAP54" s="56"/>
      <c r="CAZ54" s="56"/>
      <c r="CBJ54" s="56"/>
      <c r="CBT54" s="56"/>
      <c r="CCD54" s="56"/>
      <c r="CCN54" s="56"/>
      <c r="CCX54" s="56"/>
      <c r="CDH54" s="56"/>
      <c r="CDR54" s="56"/>
      <c r="CEB54" s="56"/>
      <c r="CEL54" s="56"/>
      <c r="CEV54" s="56"/>
      <c r="CFF54" s="56"/>
      <c r="CFP54" s="56"/>
      <c r="CFZ54" s="56"/>
      <c r="CGJ54" s="56"/>
      <c r="CGT54" s="56"/>
      <c r="CHD54" s="56"/>
      <c r="CHN54" s="56"/>
      <c r="CHX54" s="56"/>
      <c r="CIH54" s="56"/>
      <c r="CIR54" s="56"/>
      <c r="CJB54" s="56"/>
      <c r="CJL54" s="56"/>
      <c r="CJV54" s="56"/>
      <c r="CKF54" s="56"/>
      <c r="CKP54" s="56"/>
      <c r="CKZ54" s="56"/>
      <c r="CLJ54" s="56"/>
      <c r="CLT54" s="56"/>
      <c r="CMD54" s="56"/>
      <c r="CMN54" s="56"/>
      <c r="CMX54" s="56"/>
      <c r="CNH54" s="56"/>
      <c r="CNR54" s="56"/>
      <c r="COB54" s="56"/>
      <c r="COL54" s="56"/>
      <c r="COV54" s="56"/>
      <c r="CPF54" s="56"/>
      <c r="CPP54" s="56"/>
      <c r="CPZ54" s="56"/>
      <c r="CQJ54" s="56"/>
      <c r="CQT54" s="56"/>
      <c r="CRD54" s="56"/>
      <c r="CRN54" s="56"/>
      <c r="CRX54" s="56"/>
      <c r="CSH54" s="56"/>
      <c r="CSR54" s="56"/>
      <c r="CTB54" s="56"/>
      <c r="CTL54" s="56"/>
      <c r="CTV54" s="56"/>
    </row>
    <row r="55" s="42" customFormat="1" customHeight="1" spans="1:1020 1030:2040 2050:2570">
      <c r="A55" s="51"/>
      <c r="B55" s="52"/>
      <c r="C55" s="52"/>
      <c r="D55" s="52"/>
      <c r="E55" s="52"/>
      <c r="F55" s="53" t="str">
        <f>IFERROR(VLOOKUP(E55,日报!E:G,2,0),"")</f>
        <v/>
      </c>
      <c r="G55" s="52"/>
      <c r="H55" s="54" t="str">
        <f>IFERROR(VLOOKUP(E55,日报!E:H,4,0),"")</f>
        <v/>
      </c>
      <c r="I55" s="54" t="str">
        <f>IFERROR(VLOOKUP(E55,日报!E:G,3,0),"")</f>
        <v/>
      </c>
      <c r="J55" s="52"/>
      <c r="K55" s="55" t="str">
        <f t="shared" si="0"/>
        <v/>
      </c>
      <c r="T55" s="56"/>
      <c r="AD55" s="56"/>
      <c r="AN55" s="56"/>
      <c r="AX55" s="56"/>
      <c r="BH55" s="56"/>
      <c r="BR55" s="56"/>
      <c r="CB55" s="56"/>
      <c r="CL55" s="56"/>
      <c r="CV55" s="56"/>
      <c r="DF55" s="56"/>
      <c r="DP55" s="56"/>
      <c r="DZ55" s="56"/>
      <c r="EJ55" s="56"/>
      <c r="ET55" s="56"/>
      <c r="FD55" s="56"/>
      <c r="FN55" s="56"/>
      <c r="FX55" s="56"/>
      <c r="GH55" s="56"/>
      <c r="GR55" s="56"/>
      <c r="HB55" s="56"/>
      <c r="HL55" s="56"/>
      <c r="HV55" s="56"/>
      <c r="IF55" s="56"/>
      <c r="IP55" s="56"/>
      <c r="IZ55" s="56"/>
      <c r="JJ55" s="56"/>
      <c r="JT55" s="56"/>
      <c r="KD55" s="56"/>
      <c r="KN55" s="56"/>
      <c r="KX55" s="56"/>
      <c r="LH55" s="56"/>
      <c r="LR55" s="56"/>
      <c r="MB55" s="56"/>
      <c r="ML55" s="56"/>
      <c r="MV55" s="56"/>
      <c r="NF55" s="56"/>
      <c r="NP55" s="56"/>
      <c r="NZ55" s="56"/>
      <c r="OJ55" s="56"/>
      <c r="OT55" s="56"/>
      <c r="PD55" s="56"/>
      <c r="PN55" s="56"/>
      <c r="PX55" s="56"/>
      <c r="QH55" s="56"/>
      <c r="QR55" s="56"/>
      <c r="RB55" s="56"/>
      <c r="RL55" s="56"/>
      <c r="RV55" s="56"/>
      <c r="SF55" s="56"/>
      <c r="SP55" s="56"/>
      <c r="SZ55" s="56"/>
      <c r="TJ55" s="56"/>
      <c r="TT55" s="56"/>
      <c r="UD55" s="56"/>
      <c r="UN55" s="56"/>
      <c r="UX55" s="56"/>
      <c r="VH55" s="56"/>
      <c r="VR55" s="56"/>
      <c r="WB55" s="56"/>
      <c r="WL55" s="56"/>
      <c r="WV55" s="56"/>
      <c r="XF55" s="56"/>
      <c r="XP55" s="56"/>
      <c r="XZ55" s="56"/>
      <c r="YJ55" s="56"/>
      <c r="YT55" s="56"/>
      <c r="ZD55" s="56"/>
      <c r="ZN55" s="56"/>
      <c r="ZX55" s="56"/>
      <c r="AAH55" s="56"/>
      <c r="AAR55" s="56"/>
      <c r="ABB55" s="56"/>
      <c r="ABL55" s="56"/>
      <c r="ABV55" s="56"/>
      <c r="ACF55" s="56"/>
      <c r="ACP55" s="56"/>
      <c r="ACZ55" s="56"/>
      <c r="ADJ55" s="56"/>
      <c r="ADT55" s="56"/>
      <c r="AED55" s="56"/>
      <c r="AEN55" s="56"/>
      <c r="AEX55" s="56"/>
      <c r="AFH55" s="56"/>
      <c r="AFR55" s="56"/>
      <c r="AGB55" s="56"/>
      <c r="AGL55" s="56"/>
      <c r="AGV55" s="56"/>
      <c r="AHF55" s="56"/>
      <c r="AHP55" s="56"/>
      <c r="AHZ55" s="56"/>
      <c r="AIJ55" s="56"/>
      <c r="AIT55" s="56"/>
      <c r="AJD55" s="56"/>
      <c r="AJN55" s="56"/>
      <c r="AJX55" s="56"/>
      <c r="AKH55" s="56"/>
      <c r="AKR55" s="56"/>
      <c r="ALB55" s="56"/>
      <c r="ALL55" s="56"/>
      <c r="ALV55" s="56"/>
      <c r="AMF55" s="56"/>
      <c r="AMP55" s="56"/>
      <c r="AMZ55" s="56"/>
      <c r="ANJ55" s="56"/>
      <c r="ANT55" s="56"/>
      <c r="AOD55" s="56"/>
      <c r="AON55" s="56"/>
      <c r="AOX55" s="56"/>
      <c r="APH55" s="56"/>
      <c r="APR55" s="56"/>
      <c r="AQB55" s="56"/>
      <c r="AQL55" s="56"/>
      <c r="AQV55" s="56"/>
      <c r="ARF55" s="56"/>
      <c r="ARP55" s="56"/>
      <c r="ARZ55" s="56"/>
      <c r="ASJ55" s="56"/>
      <c r="AST55" s="56"/>
      <c r="ATD55" s="56"/>
      <c r="ATN55" s="56"/>
      <c r="ATX55" s="56"/>
      <c r="AUH55" s="56"/>
      <c r="AUR55" s="56"/>
      <c r="AVB55" s="56"/>
      <c r="AVL55" s="56"/>
      <c r="AVV55" s="56"/>
      <c r="AWF55" s="56"/>
      <c r="AWP55" s="56"/>
      <c r="AWZ55" s="56"/>
      <c r="AXJ55" s="56"/>
      <c r="AXT55" s="56"/>
      <c r="AYD55" s="56"/>
      <c r="AYN55" s="56"/>
      <c r="AYX55" s="56"/>
      <c r="AZH55" s="56"/>
      <c r="AZR55" s="56"/>
      <c r="BAB55" s="56"/>
      <c r="BAL55" s="56"/>
      <c r="BAV55" s="56"/>
      <c r="BBF55" s="56"/>
      <c r="BBP55" s="56"/>
      <c r="BBZ55" s="56"/>
      <c r="BCJ55" s="56"/>
      <c r="BCT55" s="56"/>
      <c r="BDD55" s="56"/>
      <c r="BDN55" s="56"/>
      <c r="BDX55" s="56"/>
      <c r="BEH55" s="56"/>
      <c r="BER55" s="56"/>
      <c r="BFB55" s="56"/>
      <c r="BFL55" s="56"/>
      <c r="BFV55" s="56"/>
      <c r="BGF55" s="56"/>
      <c r="BGP55" s="56"/>
      <c r="BGZ55" s="56"/>
      <c r="BHJ55" s="56"/>
      <c r="BHT55" s="56"/>
      <c r="BID55" s="56"/>
      <c r="BIN55" s="56"/>
      <c r="BIX55" s="56"/>
      <c r="BJH55" s="56"/>
      <c r="BJR55" s="56"/>
      <c r="BKB55" s="56"/>
      <c r="BKL55" s="56"/>
      <c r="BKV55" s="56"/>
      <c r="BLF55" s="56"/>
      <c r="BLP55" s="56"/>
      <c r="BLZ55" s="56"/>
      <c r="BMJ55" s="56"/>
      <c r="BMT55" s="56"/>
      <c r="BND55" s="56"/>
      <c r="BNN55" s="56"/>
      <c r="BNX55" s="56"/>
      <c r="BOH55" s="56"/>
      <c r="BOR55" s="56"/>
      <c r="BPB55" s="56"/>
      <c r="BPL55" s="56"/>
      <c r="BPV55" s="56"/>
      <c r="BQF55" s="56"/>
      <c r="BQP55" s="56"/>
      <c r="BQZ55" s="56"/>
      <c r="BRJ55" s="56"/>
      <c r="BRT55" s="56"/>
      <c r="BSD55" s="56"/>
      <c r="BSN55" s="56"/>
      <c r="BSX55" s="56"/>
      <c r="BTH55" s="56"/>
      <c r="BTR55" s="56"/>
      <c r="BUB55" s="56"/>
      <c r="BUL55" s="56"/>
      <c r="BUV55" s="56"/>
      <c r="BVF55" s="56"/>
      <c r="BVP55" s="56"/>
      <c r="BVZ55" s="56"/>
      <c r="BWJ55" s="56"/>
      <c r="BWT55" s="56"/>
      <c r="BXD55" s="56"/>
      <c r="BXN55" s="56"/>
      <c r="BXX55" s="56"/>
      <c r="BYH55" s="56"/>
      <c r="BYR55" s="56"/>
      <c r="BZB55" s="56"/>
      <c r="BZL55" s="56"/>
      <c r="BZV55" s="56"/>
      <c r="CAF55" s="56"/>
      <c r="CAP55" s="56"/>
      <c r="CAZ55" s="56"/>
      <c r="CBJ55" s="56"/>
      <c r="CBT55" s="56"/>
      <c r="CCD55" s="56"/>
      <c r="CCN55" s="56"/>
      <c r="CCX55" s="56"/>
      <c r="CDH55" s="56"/>
      <c r="CDR55" s="56"/>
      <c r="CEB55" s="56"/>
      <c r="CEL55" s="56"/>
      <c r="CEV55" s="56"/>
      <c r="CFF55" s="56"/>
      <c r="CFP55" s="56"/>
      <c r="CFZ55" s="56"/>
      <c r="CGJ55" s="56"/>
      <c r="CGT55" s="56"/>
      <c r="CHD55" s="56"/>
      <c r="CHN55" s="56"/>
      <c r="CHX55" s="56"/>
      <c r="CIH55" s="56"/>
      <c r="CIR55" s="56"/>
      <c r="CJB55" s="56"/>
      <c r="CJL55" s="56"/>
      <c r="CJV55" s="56"/>
      <c r="CKF55" s="56"/>
      <c r="CKP55" s="56"/>
      <c r="CKZ55" s="56"/>
      <c r="CLJ55" s="56"/>
      <c r="CLT55" s="56"/>
      <c r="CMD55" s="56"/>
      <c r="CMN55" s="56"/>
      <c r="CMX55" s="56"/>
      <c r="CNH55" s="56"/>
      <c r="CNR55" s="56"/>
      <c r="COB55" s="56"/>
      <c r="COL55" s="56"/>
      <c r="COV55" s="56"/>
      <c r="CPF55" s="56"/>
      <c r="CPP55" s="56"/>
      <c r="CPZ55" s="56"/>
      <c r="CQJ55" s="56"/>
      <c r="CQT55" s="56"/>
      <c r="CRD55" s="56"/>
      <c r="CRN55" s="56"/>
      <c r="CRX55" s="56"/>
      <c r="CSH55" s="56"/>
      <c r="CSR55" s="56"/>
      <c r="CTB55" s="56"/>
      <c r="CTL55" s="56"/>
      <c r="CTV55" s="56"/>
    </row>
    <row r="56" s="42" customFormat="1" customHeight="1" spans="1:1020 1030:2040 2050:2570">
      <c r="A56" s="51"/>
      <c r="B56" s="52"/>
      <c r="C56" s="52"/>
      <c r="D56" s="52"/>
      <c r="E56" s="52"/>
      <c r="F56" s="53" t="str">
        <f>IFERROR(VLOOKUP(E56,日报!E:G,2,0),"")</f>
        <v/>
      </c>
      <c r="G56" s="52"/>
      <c r="H56" s="54" t="str">
        <f>IFERROR(VLOOKUP(E56,日报!E:H,4,0),"")</f>
        <v/>
      </c>
      <c r="I56" s="54" t="str">
        <f>IFERROR(VLOOKUP(E56,日报!E:G,3,0),"")</f>
        <v/>
      </c>
      <c r="J56" s="52"/>
      <c r="K56" s="55" t="str">
        <f t="shared" si="0"/>
        <v/>
      </c>
      <c r="T56" s="56"/>
      <c r="AD56" s="56"/>
      <c r="AN56" s="56"/>
      <c r="AX56" s="56"/>
      <c r="BH56" s="56"/>
      <c r="BR56" s="56"/>
      <c r="CB56" s="56"/>
      <c r="CL56" s="56"/>
      <c r="CV56" s="56"/>
      <c r="DF56" s="56"/>
      <c r="DP56" s="56"/>
      <c r="DZ56" s="56"/>
      <c r="EJ56" s="56"/>
      <c r="ET56" s="56"/>
      <c r="FD56" s="56"/>
      <c r="FN56" s="56"/>
      <c r="FX56" s="56"/>
      <c r="GH56" s="56"/>
      <c r="GR56" s="56"/>
      <c r="HB56" s="56"/>
      <c r="HL56" s="56"/>
      <c r="HV56" s="56"/>
      <c r="IF56" s="56"/>
      <c r="IP56" s="56"/>
      <c r="IZ56" s="56"/>
      <c r="JJ56" s="56"/>
      <c r="JT56" s="56"/>
      <c r="KD56" s="56"/>
      <c r="KN56" s="56"/>
      <c r="KX56" s="56"/>
      <c r="LH56" s="56"/>
      <c r="LR56" s="56"/>
      <c r="MB56" s="56"/>
      <c r="ML56" s="56"/>
      <c r="MV56" s="56"/>
      <c r="NF56" s="56"/>
      <c r="NP56" s="56"/>
      <c r="NZ56" s="56"/>
      <c r="OJ56" s="56"/>
      <c r="OT56" s="56"/>
      <c r="PD56" s="56"/>
      <c r="PN56" s="56"/>
      <c r="PX56" s="56"/>
      <c r="QH56" s="56"/>
      <c r="QR56" s="56"/>
      <c r="RB56" s="56"/>
      <c r="RL56" s="56"/>
      <c r="RV56" s="56"/>
      <c r="SF56" s="56"/>
      <c r="SP56" s="56"/>
      <c r="SZ56" s="56"/>
      <c r="TJ56" s="56"/>
      <c r="TT56" s="56"/>
      <c r="UD56" s="56"/>
      <c r="UN56" s="56"/>
      <c r="UX56" s="56"/>
      <c r="VH56" s="56"/>
      <c r="VR56" s="56"/>
      <c r="WB56" s="56"/>
      <c r="WL56" s="56"/>
      <c r="WV56" s="56"/>
      <c r="XF56" s="56"/>
      <c r="XP56" s="56"/>
      <c r="XZ56" s="56"/>
      <c r="YJ56" s="56"/>
      <c r="YT56" s="56"/>
      <c r="ZD56" s="56"/>
      <c r="ZN56" s="56"/>
      <c r="ZX56" s="56"/>
      <c r="AAH56" s="56"/>
      <c r="AAR56" s="56"/>
      <c r="ABB56" s="56"/>
      <c r="ABL56" s="56"/>
      <c r="ABV56" s="56"/>
      <c r="ACF56" s="56"/>
      <c r="ACP56" s="56"/>
      <c r="ACZ56" s="56"/>
      <c r="ADJ56" s="56"/>
      <c r="ADT56" s="56"/>
      <c r="AED56" s="56"/>
      <c r="AEN56" s="56"/>
      <c r="AEX56" s="56"/>
      <c r="AFH56" s="56"/>
      <c r="AFR56" s="56"/>
      <c r="AGB56" s="56"/>
      <c r="AGL56" s="56"/>
      <c r="AGV56" s="56"/>
      <c r="AHF56" s="56"/>
      <c r="AHP56" s="56"/>
      <c r="AHZ56" s="56"/>
      <c r="AIJ56" s="56"/>
      <c r="AIT56" s="56"/>
      <c r="AJD56" s="56"/>
      <c r="AJN56" s="56"/>
      <c r="AJX56" s="56"/>
      <c r="AKH56" s="56"/>
      <c r="AKR56" s="56"/>
      <c r="ALB56" s="56"/>
      <c r="ALL56" s="56"/>
      <c r="ALV56" s="56"/>
      <c r="AMF56" s="56"/>
      <c r="AMP56" s="56"/>
      <c r="AMZ56" s="56"/>
      <c r="ANJ56" s="56"/>
      <c r="ANT56" s="56"/>
      <c r="AOD56" s="56"/>
      <c r="AON56" s="56"/>
      <c r="AOX56" s="56"/>
      <c r="APH56" s="56"/>
      <c r="APR56" s="56"/>
      <c r="AQB56" s="56"/>
      <c r="AQL56" s="56"/>
      <c r="AQV56" s="56"/>
      <c r="ARF56" s="56"/>
      <c r="ARP56" s="56"/>
      <c r="ARZ56" s="56"/>
      <c r="ASJ56" s="56"/>
      <c r="AST56" s="56"/>
      <c r="ATD56" s="56"/>
      <c r="ATN56" s="56"/>
      <c r="ATX56" s="56"/>
      <c r="AUH56" s="56"/>
      <c r="AUR56" s="56"/>
      <c r="AVB56" s="56"/>
      <c r="AVL56" s="56"/>
      <c r="AVV56" s="56"/>
      <c r="AWF56" s="56"/>
      <c r="AWP56" s="56"/>
      <c r="AWZ56" s="56"/>
      <c r="AXJ56" s="56"/>
      <c r="AXT56" s="56"/>
      <c r="AYD56" s="56"/>
      <c r="AYN56" s="56"/>
      <c r="AYX56" s="56"/>
      <c r="AZH56" s="56"/>
      <c r="AZR56" s="56"/>
      <c r="BAB56" s="56"/>
      <c r="BAL56" s="56"/>
      <c r="BAV56" s="56"/>
      <c r="BBF56" s="56"/>
      <c r="BBP56" s="56"/>
      <c r="BBZ56" s="56"/>
      <c r="BCJ56" s="56"/>
      <c r="BCT56" s="56"/>
      <c r="BDD56" s="56"/>
      <c r="BDN56" s="56"/>
      <c r="BDX56" s="56"/>
      <c r="BEH56" s="56"/>
      <c r="BER56" s="56"/>
      <c r="BFB56" s="56"/>
      <c r="BFL56" s="56"/>
      <c r="BFV56" s="56"/>
      <c r="BGF56" s="56"/>
      <c r="BGP56" s="56"/>
      <c r="BGZ56" s="56"/>
      <c r="BHJ56" s="56"/>
      <c r="BHT56" s="56"/>
      <c r="BID56" s="56"/>
      <c r="BIN56" s="56"/>
      <c r="BIX56" s="56"/>
      <c r="BJH56" s="56"/>
      <c r="BJR56" s="56"/>
      <c r="BKB56" s="56"/>
      <c r="BKL56" s="56"/>
      <c r="BKV56" s="56"/>
      <c r="BLF56" s="56"/>
      <c r="BLP56" s="56"/>
      <c r="BLZ56" s="56"/>
      <c r="BMJ56" s="56"/>
      <c r="BMT56" s="56"/>
      <c r="BND56" s="56"/>
      <c r="BNN56" s="56"/>
      <c r="BNX56" s="56"/>
      <c r="BOH56" s="56"/>
      <c r="BOR56" s="56"/>
      <c r="BPB56" s="56"/>
      <c r="BPL56" s="56"/>
      <c r="BPV56" s="56"/>
      <c r="BQF56" s="56"/>
      <c r="BQP56" s="56"/>
      <c r="BQZ56" s="56"/>
      <c r="BRJ56" s="56"/>
      <c r="BRT56" s="56"/>
      <c r="BSD56" s="56"/>
      <c r="BSN56" s="56"/>
      <c r="BSX56" s="56"/>
      <c r="BTH56" s="56"/>
      <c r="BTR56" s="56"/>
      <c r="BUB56" s="56"/>
      <c r="BUL56" s="56"/>
      <c r="BUV56" s="56"/>
      <c r="BVF56" s="56"/>
      <c r="BVP56" s="56"/>
      <c r="BVZ56" s="56"/>
      <c r="BWJ56" s="56"/>
      <c r="BWT56" s="56"/>
      <c r="BXD56" s="56"/>
      <c r="BXN56" s="56"/>
      <c r="BXX56" s="56"/>
      <c r="BYH56" s="56"/>
      <c r="BYR56" s="56"/>
      <c r="BZB56" s="56"/>
      <c r="BZL56" s="56"/>
      <c r="BZV56" s="56"/>
      <c r="CAF56" s="56"/>
      <c r="CAP56" s="56"/>
      <c r="CAZ56" s="56"/>
      <c r="CBJ56" s="56"/>
      <c r="CBT56" s="56"/>
      <c r="CCD56" s="56"/>
      <c r="CCN56" s="56"/>
      <c r="CCX56" s="56"/>
      <c r="CDH56" s="56"/>
      <c r="CDR56" s="56"/>
      <c r="CEB56" s="56"/>
      <c r="CEL56" s="56"/>
      <c r="CEV56" s="56"/>
      <c r="CFF56" s="56"/>
      <c r="CFP56" s="56"/>
      <c r="CFZ56" s="56"/>
      <c r="CGJ56" s="56"/>
      <c r="CGT56" s="56"/>
      <c r="CHD56" s="56"/>
      <c r="CHN56" s="56"/>
      <c r="CHX56" s="56"/>
      <c r="CIH56" s="56"/>
      <c r="CIR56" s="56"/>
      <c r="CJB56" s="56"/>
      <c r="CJL56" s="56"/>
      <c r="CJV56" s="56"/>
      <c r="CKF56" s="56"/>
      <c r="CKP56" s="56"/>
      <c r="CKZ56" s="56"/>
      <c r="CLJ56" s="56"/>
      <c r="CLT56" s="56"/>
      <c r="CMD56" s="56"/>
      <c r="CMN56" s="56"/>
      <c r="CMX56" s="56"/>
      <c r="CNH56" s="56"/>
      <c r="CNR56" s="56"/>
      <c r="COB56" s="56"/>
      <c r="COL56" s="56"/>
      <c r="COV56" s="56"/>
      <c r="CPF56" s="56"/>
      <c r="CPP56" s="56"/>
      <c r="CPZ56" s="56"/>
      <c r="CQJ56" s="56"/>
      <c r="CQT56" s="56"/>
      <c r="CRD56" s="56"/>
      <c r="CRN56" s="56"/>
      <c r="CRX56" s="56"/>
      <c r="CSH56" s="56"/>
      <c r="CSR56" s="56"/>
      <c r="CTB56" s="56"/>
      <c r="CTL56" s="56"/>
      <c r="CTV56" s="56"/>
    </row>
    <row r="57" s="42" customFormat="1" customHeight="1" spans="1:1020 1030:2040 2050:2570">
      <c r="A57" s="51"/>
      <c r="B57" s="52"/>
      <c r="C57" s="52"/>
      <c r="D57" s="52"/>
      <c r="E57" s="52"/>
      <c r="F57" s="53" t="str">
        <f>IFERROR(VLOOKUP(E57,日报!E:G,2,0),"")</f>
        <v/>
      </c>
      <c r="G57" s="52"/>
      <c r="H57" s="54" t="str">
        <f>IFERROR(VLOOKUP(E57,日报!E:H,4,0),"")</f>
        <v/>
      </c>
      <c r="I57" s="54" t="str">
        <f>IFERROR(VLOOKUP(E57,日报!E:G,3,0),"")</f>
        <v/>
      </c>
      <c r="J57" s="52"/>
      <c r="K57" s="55" t="str">
        <f t="shared" si="0"/>
        <v/>
      </c>
      <c r="T57" s="56"/>
      <c r="AD57" s="56"/>
      <c r="AN57" s="56"/>
      <c r="AX57" s="56"/>
      <c r="BH57" s="56"/>
      <c r="BR57" s="56"/>
      <c r="CB57" s="56"/>
      <c r="CL57" s="56"/>
      <c r="CV57" s="56"/>
      <c r="DF57" s="56"/>
      <c r="DP57" s="56"/>
      <c r="DZ57" s="56"/>
      <c r="EJ57" s="56"/>
      <c r="ET57" s="56"/>
      <c r="FD57" s="56"/>
      <c r="FN57" s="56"/>
      <c r="FX57" s="56"/>
      <c r="GH57" s="56"/>
      <c r="GR57" s="56"/>
      <c r="HB57" s="56"/>
      <c r="HL57" s="56"/>
      <c r="HV57" s="56"/>
      <c r="IF57" s="56"/>
      <c r="IP57" s="56"/>
      <c r="IZ57" s="56"/>
      <c r="JJ57" s="56"/>
      <c r="JT57" s="56"/>
      <c r="KD57" s="56"/>
      <c r="KN57" s="56"/>
      <c r="KX57" s="56"/>
      <c r="LH57" s="56"/>
      <c r="LR57" s="56"/>
      <c r="MB57" s="56"/>
      <c r="ML57" s="56"/>
      <c r="MV57" s="56"/>
      <c r="NF57" s="56"/>
      <c r="NP57" s="56"/>
      <c r="NZ57" s="56"/>
      <c r="OJ57" s="56"/>
      <c r="OT57" s="56"/>
      <c r="PD57" s="56"/>
      <c r="PN57" s="56"/>
      <c r="PX57" s="56"/>
      <c r="QH57" s="56"/>
      <c r="QR57" s="56"/>
      <c r="RB57" s="56"/>
      <c r="RL57" s="56"/>
      <c r="RV57" s="56"/>
      <c r="SF57" s="56"/>
      <c r="SP57" s="56"/>
      <c r="SZ57" s="56"/>
      <c r="TJ57" s="56"/>
      <c r="TT57" s="56"/>
      <c r="UD57" s="56"/>
      <c r="UN57" s="56"/>
      <c r="UX57" s="56"/>
      <c r="VH57" s="56"/>
      <c r="VR57" s="56"/>
      <c r="WB57" s="56"/>
      <c r="WL57" s="56"/>
      <c r="WV57" s="56"/>
      <c r="XF57" s="56"/>
      <c r="XP57" s="56"/>
      <c r="XZ57" s="56"/>
      <c r="YJ57" s="56"/>
      <c r="YT57" s="56"/>
      <c r="ZD57" s="56"/>
      <c r="ZN57" s="56"/>
      <c r="ZX57" s="56"/>
      <c r="AAH57" s="56"/>
      <c r="AAR57" s="56"/>
      <c r="ABB57" s="56"/>
      <c r="ABL57" s="56"/>
      <c r="ABV57" s="56"/>
      <c r="ACF57" s="56"/>
      <c r="ACP57" s="56"/>
      <c r="ACZ57" s="56"/>
      <c r="ADJ57" s="56"/>
      <c r="ADT57" s="56"/>
      <c r="AED57" s="56"/>
      <c r="AEN57" s="56"/>
      <c r="AEX57" s="56"/>
      <c r="AFH57" s="56"/>
      <c r="AFR57" s="56"/>
      <c r="AGB57" s="56"/>
      <c r="AGL57" s="56"/>
      <c r="AGV57" s="56"/>
      <c r="AHF57" s="56"/>
      <c r="AHP57" s="56"/>
      <c r="AHZ57" s="56"/>
      <c r="AIJ57" s="56"/>
      <c r="AIT57" s="56"/>
      <c r="AJD57" s="56"/>
      <c r="AJN57" s="56"/>
      <c r="AJX57" s="56"/>
      <c r="AKH57" s="56"/>
      <c r="AKR57" s="56"/>
      <c r="ALB57" s="56"/>
      <c r="ALL57" s="56"/>
      <c r="ALV57" s="56"/>
      <c r="AMF57" s="56"/>
      <c r="AMP57" s="56"/>
      <c r="AMZ57" s="56"/>
      <c r="ANJ57" s="56"/>
      <c r="ANT57" s="56"/>
      <c r="AOD57" s="56"/>
      <c r="AON57" s="56"/>
      <c r="AOX57" s="56"/>
      <c r="APH57" s="56"/>
      <c r="APR57" s="56"/>
      <c r="AQB57" s="56"/>
      <c r="AQL57" s="56"/>
      <c r="AQV57" s="56"/>
      <c r="ARF57" s="56"/>
      <c r="ARP57" s="56"/>
      <c r="ARZ57" s="56"/>
      <c r="ASJ57" s="56"/>
      <c r="AST57" s="56"/>
      <c r="ATD57" s="56"/>
      <c r="ATN57" s="56"/>
      <c r="ATX57" s="56"/>
      <c r="AUH57" s="56"/>
      <c r="AUR57" s="56"/>
      <c r="AVB57" s="56"/>
      <c r="AVL57" s="56"/>
      <c r="AVV57" s="56"/>
      <c r="AWF57" s="56"/>
      <c r="AWP57" s="56"/>
      <c r="AWZ57" s="56"/>
      <c r="AXJ57" s="56"/>
      <c r="AXT57" s="56"/>
      <c r="AYD57" s="56"/>
      <c r="AYN57" s="56"/>
      <c r="AYX57" s="56"/>
      <c r="AZH57" s="56"/>
      <c r="AZR57" s="56"/>
      <c r="BAB57" s="56"/>
      <c r="BAL57" s="56"/>
      <c r="BAV57" s="56"/>
      <c r="BBF57" s="56"/>
      <c r="BBP57" s="56"/>
      <c r="BBZ57" s="56"/>
      <c r="BCJ57" s="56"/>
      <c r="BCT57" s="56"/>
      <c r="BDD57" s="56"/>
      <c r="BDN57" s="56"/>
      <c r="BDX57" s="56"/>
      <c r="BEH57" s="56"/>
      <c r="BER57" s="56"/>
      <c r="BFB57" s="56"/>
      <c r="BFL57" s="56"/>
      <c r="BFV57" s="56"/>
      <c r="BGF57" s="56"/>
      <c r="BGP57" s="56"/>
      <c r="BGZ57" s="56"/>
      <c r="BHJ57" s="56"/>
      <c r="BHT57" s="56"/>
      <c r="BID57" s="56"/>
      <c r="BIN57" s="56"/>
      <c r="BIX57" s="56"/>
      <c r="BJH57" s="56"/>
      <c r="BJR57" s="56"/>
      <c r="BKB57" s="56"/>
      <c r="BKL57" s="56"/>
      <c r="BKV57" s="56"/>
      <c r="BLF57" s="56"/>
      <c r="BLP57" s="56"/>
      <c r="BLZ57" s="56"/>
      <c r="BMJ57" s="56"/>
      <c r="BMT57" s="56"/>
      <c r="BND57" s="56"/>
      <c r="BNN57" s="56"/>
      <c r="BNX57" s="56"/>
      <c r="BOH57" s="56"/>
      <c r="BOR57" s="56"/>
      <c r="BPB57" s="56"/>
      <c r="BPL57" s="56"/>
      <c r="BPV57" s="56"/>
      <c r="BQF57" s="56"/>
      <c r="BQP57" s="56"/>
      <c r="BQZ57" s="56"/>
      <c r="BRJ57" s="56"/>
      <c r="BRT57" s="56"/>
      <c r="BSD57" s="56"/>
      <c r="BSN57" s="56"/>
      <c r="BSX57" s="56"/>
      <c r="BTH57" s="56"/>
      <c r="BTR57" s="56"/>
      <c r="BUB57" s="56"/>
      <c r="BUL57" s="56"/>
      <c r="BUV57" s="56"/>
      <c r="BVF57" s="56"/>
      <c r="BVP57" s="56"/>
      <c r="BVZ57" s="56"/>
      <c r="BWJ57" s="56"/>
      <c r="BWT57" s="56"/>
      <c r="BXD57" s="56"/>
      <c r="BXN57" s="56"/>
      <c r="BXX57" s="56"/>
      <c r="BYH57" s="56"/>
      <c r="BYR57" s="56"/>
      <c r="BZB57" s="56"/>
      <c r="BZL57" s="56"/>
      <c r="BZV57" s="56"/>
      <c r="CAF57" s="56"/>
      <c r="CAP57" s="56"/>
      <c r="CAZ57" s="56"/>
      <c r="CBJ57" s="56"/>
      <c r="CBT57" s="56"/>
      <c r="CCD57" s="56"/>
      <c r="CCN57" s="56"/>
      <c r="CCX57" s="56"/>
      <c r="CDH57" s="56"/>
      <c r="CDR57" s="56"/>
      <c r="CEB57" s="56"/>
      <c r="CEL57" s="56"/>
      <c r="CEV57" s="56"/>
      <c r="CFF57" s="56"/>
      <c r="CFP57" s="56"/>
      <c r="CFZ57" s="56"/>
      <c r="CGJ57" s="56"/>
      <c r="CGT57" s="56"/>
      <c r="CHD57" s="56"/>
      <c r="CHN57" s="56"/>
      <c r="CHX57" s="56"/>
      <c r="CIH57" s="56"/>
      <c r="CIR57" s="56"/>
      <c r="CJB57" s="56"/>
      <c r="CJL57" s="56"/>
      <c r="CJV57" s="56"/>
      <c r="CKF57" s="56"/>
      <c r="CKP57" s="56"/>
      <c r="CKZ57" s="56"/>
      <c r="CLJ57" s="56"/>
      <c r="CLT57" s="56"/>
      <c r="CMD57" s="56"/>
      <c r="CMN57" s="56"/>
      <c r="CMX57" s="56"/>
      <c r="CNH57" s="56"/>
      <c r="CNR57" s="56"/>
      <c r="COB57" s="56"/>
      <c r="COL57" s="56"/>
      <c r="COV57" s="56"/>
      <c r="CPF57" s="56"/>
      <c r="CPP57" s="56"/>
      <c r="CPZ57" s="56"/>
      <c r="CQJ57" s="56"/>
      <c r="CQT57" s="56"/>
      <c r="CRD57" s="56"/>
      <c r="CRN57" s="56"/>
      <c r="CRX57" s="56"/>
      <c r="CSH57" s="56"/>
      <c r="CSR57" s="56"/>
      <c r="CTB57" s="56"/>
      <c r="CTL57" s="56"/>
      <c r="CTV57" s="56"/>
    </row>
    <row r="58" s="42" customFormat="1" customHeight="1" spans="1:1020 1030:2040 2050:2570">
      <c r="A58" s="51"/>
      <c r="B58" s="52"/>
      <c r="C58" s="52"/>
      <c r="D58" s="52"/>
      <c r="E58" s="52"/>
      <c r="F58" s="53" t="str">
        <f>IFERROR(VLOOKUP(E58,日报!E:G,2,0),"")</f>
        <v/>
      </c>
      <c r="G58" s="52"/>
      <c r="H58" s="54" t="str">
        <f>IFERROR(VLOOKUP(E58,日报!E:H,4,0),"")</f>
        <v/>
      </c>
      <c r="I58" s="54" t="str">
        <f>IFERROR(VLOOKUP(E58,日报!E:G,3,0),"")</f>
        <v/>
      </c>
      <c r="J58" s="52"/>
      <c r="K58" s="55" t="str">
        <f t="shared" si="0"/>
        <v/>
      </c>
      <c r="T58" s="56"/>
      <c r="AD58" s="56"/>
      <c r="AN58" s="56"/>
      <c r="AX58" s="56"/>
      <c r="BH58" s="56"/>
      <c r="BR58" s="56"/>
      <c r="CB58" s="56"/>
      <c r="CL58" s="56"/>
      <c r="CV58" s="56"/>
      <c r="DF58" s="56"/>
      <c r="DP58" s="56"/>
      <c r="DZ58" s="56"/>
      <c r="EJ58" s="56"/>
      <c r="ET58" s="56"/>
      <c r="FD58" s="56"/>
      <c r="FN58" s="56"/>
      <c r="FX58" s="56"/>
      <c r="GH58" s="56"/>
      <c r="GR58" s="56"/>
      <c r="HB58" s="56"/>
      <c r="HL58" s="56"/>
      <c r="HV58" s="56"/>
      <c r="IF58" s="56"/>
      <c r="IP58" s="56"/>
      <c r="IZ58" s="56"/>
      <c r="JJ58" s="56"/>
      <c r="JT58" s="56"/>
      <c r="KD58" s="56"/>
      <c r="KN58" s="56"/>
      <c r="KX58" s="56"/>
      <c r="LH58" s="56"/>
      <c r="LR58" s="56"/>
      <c r="MB58" s="56"/>
      <c r="ML58" s="56"/>
      <c r="MV58" s="56"/>
      <c r="NF58" s="56"/>
      <c r="NP58" s="56"/>
      <c r="NZ58" s="56"/>
      <c r="OJ58" s="56"/>
      <c r="OT58" s="56"/>
      <c r="PD58" s="56"/>
      <c r="PN58" s="56"/>
      <c r="PX58" s="56"/>
      <c r="QH58" s="56"/>
      <c r="QR58" s="56"/>
      <c r="RB58" s="56"/>
      <c r="RL58" s="56"/>
      <c r="RV58" s="56"/>
      <c r="SF58" s="56"/>
      <c r="SP58" s="56"/>
      <c r="SZ58" s="56"/>
      <c r="TJ58" s="56"/>
      <c r="TT58" s="56"/>
      <c r="UD58" s="56"/>
      <c r="UN58" s="56"/>
      <c r="UX58" s="56"/>
      <c r="VH58" s="56"/>
      <c r="VR58" s="56"/>
      <c r="WB58" s="56"/>
      <c r="WL58" s="56"/>
      <c r="WV58" s="56"/>
      <c r="XF58" s="56"/>
      <c r="XP58" s="56"/>
      <c r="XZ58" s="56"/>
      <c r="YJ58" s="56"/>
      <c r="YT58" s="56"/>
      <c r="ZD58" s="56"/>
      <c r="ZN58" s="56"/>
      <c r="ZX58" s="56"/>
      <c r="AAH58" s="56"/>
      <c r="AAR58" s="56"/>
      <c r="ABB58" s="56"/>
      <c r="ABL58" s="56"/>
      <c r="ABV58" s="56"/>
      <c r="ACF58" s="56"/>
      <c r="ACP58" s="56"/>
      <c r="ACZ58" s="56"/>
      <c r="ADJ58" s="56"/>
      <c r="ADT58" s="56"/>
      <c r="AED58" s="56"/>
      <c r="AEN58" s="56"/>
      <c r="AEX58" s="56"/>
      <c r="AFH58" s="56"/>
      <c r="AFR58" s="56"/>
      <c r="AGB58" s="56"/>
      <c r="AGL58" s="56"/>
      <c r="AGV58" s="56"/>
      <c r="AHF58" s="56"/>
      <c r="AHP58" s="56"/>
      <c r="AHZ58" s="56"/>
      <c r="AIJ58" s="56"/>
      <c r="AIT58" s="56"/>
      <c r="AJD58" s="56"/>
      <c r="AJN58" s="56"/>
      <c r="AJX58" s="56"/>
      <c r="AKH58" s="56"/>
      <c r="AKR58" s="56"/>
      <c r="ALB58" s="56"/>
      <c r="ALL58" s="56"/>
      <c r="ALV58" s="56"/>
      <c r="AMF58" s="56"/>
      <c r="AMP58" s="56"/>
      <c r="AMZ58" s="56"/>
      <c r="ANJ58" s="56"/>
      <c r="ANT58" s="56"/>
      <c r="AOD58" s="56"/>
      <c r="AON58" s="56"/>
      <c r="AOX58" s="56"/>
      <c r="APH58" s="56"/>
      <c r="APR58" s="56"/>
      <c r="AQB58" s="56"/>
      <c r="AQL58" s="56"/>
      <c r="AQV58" s="56"/>
      <c r="ARF58" s="56"/>
      <c r="ARP58" s="56"/>
      <c r="ARZ58" s="56"/>
      <c r="ASJ58" s="56"/>
      <c r="AST58" s="56"/>
      <c r="ATD58" s="56"/>
      <c r="ATN58" s="56"/>
      <c r="ATX58" s="56"/>
      <c r="AUH58" s="56"/>
      <c r="AUR58" s="56"/>
      <c r="AVB58" s="56"/>
      <c r="AVL58" s="56"/>
      <c r="AVV58" s="56"/>
      <c r="AWF58" s="56"/>
      <c r="AWP58" s="56"/>
      <c r="AWZ58" s="56"/>
      <c r="AXJ58" s="56"/>
      <c r="AXT58" s="56"/>
      <c r="AYD58" s="56"/>
      <c r="AYN58" s="56"/>
      <c r="AYX58" s="56"/>
      <c r="AZH58" s="56"/>
      <c r="AZR58" s="56"/>
      <c r="BAB58" s="56"/>
      <c r="BAL58" s="56"/>
      <c r="BAV58" s="56"/>
      <c r="BBF58" s="56"/>
      <c r="BBP58" s="56"/>
      <c r="BBZ58" s="56"/>
      <c r="BCJ58" s="56"/>
      <c r="BCT58" s="56"/>
      <c r="BDD58" s="56"/>
      <c r="BDN58" s="56"/>
      <c r="BDX58" s="56"/>
      <c r="BEH58" s="56"/>
      <c r="BER58" s="56"/>
      <c r="BFB58" s="56"/>
      <c r="BFL58" s="56"/>
      <c r="BFV58" s="56"/>
      <c r="BGF58" s="56"/>
      <c r="BGP58" s="56"/>
      <c r="BGZ58" s="56"/>
      <c r="BHJ58" s="56"/>
      <c r="BHT58" s="56"/>
      <c r="BID58" s="56"/>
      <c r="BIN58" s="56"/>
      <c r="BIX58" s="56"/>
      <c r="BJH58" s="56"/>
      <c r="BJR58" s="56"/>
      <c r="BKB58" s="56"/>
      <c r="BKL58" s="56"/>
      <c r="BKV58" s="56"/>
      <c r="BLF58" s="56"/>
      <c r="BLP58" s="56"/>
      <c r="BLZ58" s="56"/>
      <c r="BMJ58" s="56"/>
      <c r="BMT58" s="56"/>
      <c r="BND58" s="56"/>
      <c r="BNN58" s="56"/>
      <c r="BNX58" s="56"/>
      <c r="BOH58" s="56"/>
      <c r="BOR58" s="56"/>
      <c r="BPB58" s="56"/>
      <c r="BPL58" s="56"/>
      <c r="BPV58" s="56"/>
      <c r="BQF58" s="56"/>
      <c r="BQP58" s="56"/>
      <c r="BQZ58" s="56"/>
      <c r="BRJ58" s="56"/>
      <c r="BRT58" s="56"/>
      <c r="BSD58" s="56"/>
      <c r="BSN58" s="56"/>
      <c r="BSX58" s="56"/>
      <c r="BTH58" s="56"/>
      <c r="BTR58" s="56"/>
      <c r="BUB58" s="56"/>
      <c r="BUL58" s="56"/>
      <c r="BUV58" s="56"/>
      <c r="BVF58" s="56"/>
      <c r="BVP58" s="56"/>
      <c r="BVZ58" s="56"/>
      <c r="BWJ58" s="56"/>
      <c r="BWT58" s="56"/>
      <c r="BXD58" s="56"/>
      <c r="BXN58" s="56"/>
      <c r="BXX58" s="56"/>
      <c r="BYH58" s="56"/>
      <c r="BYR58" s="56"/>
      <c r="BZB58" s="56"/>
      <c r="BZL58" s="56"/>
      <c r="BZV58" s="56"/>
      <c r="CAF58" s="56"/>
      <c r="CAP58" s="56"/>
      <c r="CAZ58" s="56"/>
      <c r="CBJ58" s="56"/>
      <c r="CBT58" s="56"/>
      <c r="CCD58" s="56"/>
      <c r="CCN58" s="56"/>
      <c r="CCX58" s="56"/>
      <c r="CDH58" s="56"/>
      <c r="CDR58" s="56"/>
      <c r="CEB58" s="56"/>
      <c r="CEL58" s="56"/>
      <c r="CEV58" s="56"/>
      <c r="CFF58" s="56"/>
      <c r="CFP58" s="56"/>
      <c r="CFZ58" s="56"/>
      <c r="CGJ58" s="56"/>
      <c r="CGT58" s="56"/>
      <c r="CHD58" s="56"/>
      <c r="CHN58" s="56"/>
      <c r="CHX58" s="56"/>
      <c r="CIH58" s="56"/>
      <c r="CIR58" s="56"/>
      <c r="CJB58" s="56"/>
      <c r="CJL58" s="56"/>
      <c r="CJV58" s="56"/>
      <c r="CKF58" s="56"/>
      <c r="CKP58" s="56"/>
      <c r="CKZ58" s="56"/>
      <c r="CLJ58" s="56"/>
      <c r="CLT58" s="56"/>
      <c r="CMD58" s="56"/>
      <c r="CMN58" s="56"/>
      <c r="CMX58" s="56"/>
      <c r="CNH58" s="56"/>
      <c r="CNR58" s="56"/>
      <c r="COB58" s="56"/>
      <c r="COL58" s="56"/>
      <c r="COV58" s="56"/>
      <c r="CPF58" s="56"/>
      <c r="CPP58" s="56"/>
      <c r="CPZ58" s="56"/>
      <c r="CQJ58" s="56"/>
      <c r="CQT58" s="56"/>
      <c r="CRD58" s="56"/>
      <c r="CRN58" s="56"/>
      <c r="CRX58" s="56"/>
      <c r="CSH58" s="56"/>
      <c r="CSR58" s="56"/>
      <c r="CTB58" s="56"/>
      <c r="CTL58" s="56"/>
      <c r="CTV58" s="56"/>
    </row>
    <row r="59" s="42" customFormat="1" customHeight="1" spans="1:1020 1030:2040 2050:2570">
      <c r="A59" s="51"/>
      <c r="B59" s="52"/>
      <c r="C59" s="52"/>
      <c r="D59" s="52"/>
      <c r="E59" s="52"/>
      <c r="F59" s="53" t="str">
        <f>IFERROR(VLOOKUP(E59,日报!E:G,2,0),"")</f>
        <v/>
      </c>
      <c r="G59" s="52"/>
      <c r="H59" s="54" t="str">
        <f>IFERROR(VLOOKUP(E59,日报!E:H,4,0),"")</f>
        <v/>
      </c>
      <c r="I59" s="54" t="str">
        <f>IFERROR(VLOOKUP(E59,日报!E:G,3,0),"")</f>
        <v/>
      </c>
      <c r="J59" s="52"/>
      <c r="K59" s="55" t="str">
        <f t="shared" si="0"/>
        <v/>
      </c>
      <c r="T59" s="56"/>
      <c r="AD59" s="56"/>
      <c r="AN59" s="56"/>
      <c r="AX59" s="56"/>
      <c r="BH59" s="56"/>
      <c r="BR59" s="56"/>
      <c r="CB59" s="56"/>
      <c r="CL59" s="56"/>
      <c r="CV59" s="56"/>
      <c r="DF59" s="56"/>
      <c r="DP59" s="56"/>
      <c r="DZ59" s="56"/>
      <c r="EJ59" s="56"/>
      <c r="ET59" s="56"/>
      <c r="FD59" s="56"/>
      <c r="FN59" s="56"/>
      <c r="FX59" s="56"/>
      <c r="GH59" s="56"/>
      <c r="GR59" s="56"/>
      <c r="HB59" s="56"/>
      <c r="HL59" s="56"/>
      <c r="HV59" s="56"/>
      <c r="IF59" s="56"/>
      <c r="IP59" s="56"/>
      <c r="IZ59" s="56"/>
      <c r="JJ59" s="56"/>
      <c r="JT59" s="56"/>
      <c r="KD59" s="56"/>
      <c r="KN59" s="56"/>
      <c r="KX59" s="56"/>
      <c r="LH59" s="56"/>
      <c r="LR59" s="56"/>
      <c r="MB59" s="56"/>
      <c r="ML59" s="56"/>
      <c r="MV59" s="56"/>
      <c r="NF59" s="56"/>
      <c r="NP59" s="56"/>
      <c r="NZ59" s="56"/>
      <c r="OJ59" s="56"/>
      <c r="OT59" s="56"/>
      <c r="PD59" s="56"/>
      <c r="PN59" s="56"/>
      <c r="PX59" s="56"/>
      <c r="QH59" s="56"/>
      <c r="QR59" s="56"/>
      <c r="RB59" s="56"/>
      <c r="RL59" s="56"/>
      <c r="RV59" s="56"/>
      <c r="SF59" s="56"/>
      <c r="SP59" s="56"/>
      <c r="SZ59" s="56"/>
      <c r="TJ59" s="56"/>
      <c r="TT59" s="56"/>
      <c r="UD59" s="56"/>
      <c r="UN59" s="56"/>
      <c r="UX59" s="56"/>
      <c r="VH59" s="56"/>
      <c r="VR59" s="56"/>
      <c r="WB59" s="56"/>
      <c r="WL59" s="56"/>
      <c r="WV59" s="56"/>
      <c r="XF59" s="56"/>
      <c r="XP59" s="56"/>
      <c r="XZ59" s="56"/>
      <c r="YJ59" s="56"/>
      <c r="YT59" s="56"/>
      <c r="ZD59" s="56"/>
      <c r="ZN59" s="56"/>
      <c r="ZX59" s="56"/>
      <c r="AAH59" s="56"/>
      <c r="AAR59" s="56"/>
      <c r="ABB59" s="56"/>
      <c r="ABL59" s="56"/>
      <c r="ABV59" s="56"/>
      <c r="ACF59" s="56"/>
      <c r="ACP59" s="56"/>
      <c r="ACZ59" s="56"/>
      <c r="ADJ59" s="56"/>
      <c r="ADT59" s="56"/>
      <c r="AED59" s="56"/>
      <c r="AEN59" s="56"/>
      <c r="AEX59" s="56"/>
      <c r="AFH59" s="56"/>
      <c r="AFR59" s="56"/>
      <c r="AGB59" s="56"/>
      <c r="AGL59" s="56"/>
      <c r="AGV59" s="56"/>
      <c r="AHF59" s="56"/>
      <c r="AHP59" s="56"/>
      <c r="AHZ59" s="56"/>
      <c r="AIJ59" s="56"/>
      <c r="AIT59" s="56"/>
      <c r="AJD59" s="56"/>
      <c r="AJN59" s="56"/>
      <c r="AJX59" s="56"/>
      <c r="AKH59" s="56"/>
      <c r="AKR59" s="56"/>
      <c r="ALB59" s="56"/>
      <c r="ALL59" s="56"/>
      <c r="ALV59" s="56"/>
      <c r="AMF59" s="56"/>
      <c r="AMP59" s="56"/>
      <c r="AMZ59" s="56"/>
      <c r="ANJ59" s="56"/>
      <c r="ANT59" s="56"/>
      <c r="AOD59" s="56"/>
      <c r="AON59" s="56"/>
      <c r="AOX59" s="56"/>
      <c r="APH59" s="56"/>
      <c r="APR59" s="56"/>
      <c r="AQB59" s="56"/>
      <c r="AQL59" s="56"/>
      <c r="AQV59" s="56"/>
      <c r="ARF59" s="56"/>
      <c r="ARP59" s="56"/>
      <c r="ARZ59" s="56"/>
      <c r="ASJ59" s="56"/>
      <c r="AST59" s="56"/>
      <c r="ATD59" s="56"/>
      <c r="ATN59" s="56"/>
      <c r="ATX59" s="56"/>
      <c r="AUH59" s="56"/>
      <c r="AUR59" s="56"/>
      <c r="AVB59" s="56"/>
      <c r="AVL59" s="56"/>
      <c r="AVV59" s="56"/>
      <c r="AWF59" s="56"/>
      <c r="AWP59" s="56"/>
      <c r="AWZ59" s="56"/>
      <c r="AXJ59" s="56"/>
      <c r="AXT59" s="56"/>
      <c r="AYD59" s="56"/>
      <c r="AYN59" s="56"/>
      <c r="AYX59" s="56"/>
      <c r="AZH59" s="56"/>
      <c r="AZR59" s="56"/>
      <c r="BAB59" s="56"/>
      <c r="BAL59" s="56"/>
      <c r="BAV59" s="56"/>
      <c r="BBF59" s="56"/>
      <c r="BBP59" s="56"/>
      <c r="BBZ59" s="56"/>
      <c r="BCJ59" s="56"/>
      <c r="BCT59" s="56"/>
      <c r="BDD59" s="56"/>
      <c r="BDN59" s="56"/>
      <c r="BDX59" s="56"/>
      <c r="BEH59" s="56"/>
      <c r="BER59" s="56"/>
      <c r="BFB59" s="56"/>
      <c r="BFL59" s="56"/>
      <c r="BFV59" s="56"/>
      <c r="BGF59" s="56"/>
      <c r="BGP59" s="56"/>
      <c r="BGZ59" s="56"/>
      <c r="BHJ59" s="56"/>
      <c r="BHT59" s="56"/>
      <c r="BID59" s="56"/>
      <c r="BIN59" s="56"/>
      <c r="BIX59" s="56"/>
      <c r="BJH59" s="56"/>
      <c r="BJR59" s="56"/>
      <c r="BKB59" s="56"/>
      <c r="BKL59" s="56"/>
      <c r="BKV59" s="56"/>
      <c r="BLF59" s="56"/>
      <c r="BLP59" s="56"/>
      <c r="BLZ59" s="56"/>
      <c r="BMJ59" s="56"/>
      <c r="BMT59" s="56"/>
      <c r="BND59" s="56"/>
      <c r="BNN59" s="56"/>
      <c r="BNX59" s="56"/>
      <c r="BOH59" s="56"/>
      <c r="BOR59" s="56"/>
      <c r="BPB59" s="56"/>
      <c r="BPL59" s="56"/>
      <c r="BPV59" s="56"/>
      <c r="BQF59" s="56"/>
      <c r="BQP59" s="56"/>
      <c r="BQZ59" s="56"/>
      <c r="BRJ59" s="56"/>
      <c r="BRT59" s="56"/>
      <c r="BSD59" s="56"/>
      <c r="BSN59" s="56"/>
      <c r="BSX59" s="56"/>
      <c r="BTH59" s="56"/>
      <c r="BTR59" s="56"/>
      <c r="BUB59" s="56"/>
      <c r="BUL59" s="56"/>
      <c r="BUV59" s="56"/>
      <c r="BVF59" s="56"/>
      <c r="BVP59" s="56"/>
      <c r="BVZ59" s="56"/>
      <c r="BWJ59" s="56"/>
      <c r="BWT59" s="56"/>
      <c r="BXD59" s="56"/>
      <c r="BXN59" s="56"/>
      <c r="BXX59" s="56"/>
      <c r="BYH59" s="56"/>
      <c r="BYR59" s="56"/>
      <c r="BZB59" s="56"/>
      <c r="BZL59" s="56"/>
      <c r="BZV59" s="56"/>
      <c r="CAF59" s="56"/>
      <c r="CAP59" s="56"/>
      <c r="CAZ59" s="56"/>
      <c r="CBJ59" s="56"/>
      <c r="CBT59" s="56"/>
      <c r="CCD59" s="56"/>
      <c r="CCN59" s="56"/>
      <c r="CCX59" s="56"/>
      <c r="CDH59" s="56"/>
      <c r="CDR59" s="56"/>
      <c r="CEB59" s="56"/>
      <c r="CEL59" s="56"/>
      <c r="CEV59" s="56"/>
      <c r="CFF59" s="56"/>
      <c r="CFP59" s="56"/>
      <c r="CFZ59" s="56"/>
      <c r="CGJ59" s="56"/>
      <c r="CGT59" s="56"/>
      <c r="CHD59" s="56"/>
      <c r="CHN59" s="56"/>
      <c r="CHX59" s="56"/>
      <c r="CIH59" s="56"/>
      <c r="CIR59" s="56"/>
      <c r="CJB59" s="56"/>
      <c r="CJL59" s="56"/>
      <c r="CJV59" s="56"/>
      <c r="CKF59" s="56"/>
      <c r="CKP59" s="56"/>
      <c r="CKZ59" s="56"/>
      <c r="CLJ59" s="56"/>
      <c r="CLT59" s="56"/>
      <c r="CMD59" s="56"/>
      <c r="CMN59" s="56"/>
      <c r="CMX59" s="56"/>
      <c r="CNH59" s="56"/>
      <c r="CNR59" s="56"/>
      <c r="COB59" s="56"/>
      <c r="COL59" s="56"/>
      <c r="COV59" s="56"/>
      <c r="CPF59" s="56"/>
      <c r="CPP59" s="56"/>
      <c r="CPZ59" s="56"/>
      <c r="CQJ59" s="56"/>
      <c r="CQT59" s="56"/>
      <c r="CRD59" s="56"/>
      <c r="CRN59" s="56"/>
      <c r="CRX59" s="56"/>
      <c r="CSH59" s="56"/>
      <c r="CSR59" s="56"/>
      <c r="CTB59" s="56"/>
      <c r="CTL59" s="56"/>
      <c r="CTV59" s="56"/>
    </row>
    <row r="60" s="42" customFormat="1" customHeight="1" spans="1:1020 1030:2040 2050:2570">
      <c r="A60" s="51"/>
      <c r="B60" s="52"/>
      <c r="C60" s="52"/>
      <c r="D60" s="52"/>
      <c r="E60" s="52"/>
      <c r="F60" s="53" t="str">
        <f>IFERROR(VLOOKUP(E60,日报!E:G,2,0),"")</f>
        <v/>
      </c>
      <c r="G60" s="52"/>
      <c r="H60" s="54" t="str">
        <f>IFERROR(VLOOKUP(E60,日报!E:H,4,0),"")</f>
        <v/>
      </c>
      <c r="I60" s="54" t="str">
        <f>IFERROR(VLOOKUP(E60,日报!E:G,3,0),"")</f>
        <v/>
      </c>
      <c r="J60" s="52"/>
      <c r="K60" s="55" t="str">
        <f t="shared" si="0"/>
        <v/>
      </c>
      <c r="T60" s="56"/>
      <c r="AD60" s="56"/>
      <c r="AN60" s="56"/>
      <c r="AX60" s="56"/>
      <c r="BH60" s="56"/>
      <c r="BR60" s="56"/>
      <c r="CB60" s="56"/>
      <c r="CL60" s="56"/>
      <c r="CV60" s="56"/>
      <c r="DF60" s="56"/>
      <c r="DP60" s="56"/>
      <c r="DZ60" s="56"/>
      <c r="EJ60" s="56"/>
      <c r="ET60" s="56"/>
      <c r="FD60" s="56"/>
      <c r="FN60" s="56"/>
      <c r="FX60" s="56"/>
      <c r="GH60" s="56"/>
      <c r="GR60" s="56"/>
      <c r="HB60" s="56"/>
      <c r="HL60" s="56"/>
      <c r="HV60" s="56"/>
      <c r="IF60" s="56"/>
      <c r="IP60" s="56"/>
      <c r="IZ60" s="56"/>
      <c r="JJ60" s="56"/>
      <c r="JT60" s="56"/>
      <c r="KD60" s="56"/>
      <c r="KN60" s="56"/>
      <c r="KX60" s="56"/>
      <c r="LH60" s="56"/>
      <c r="LR60" s="56"/>
      <c r="MB60" s="56"/>
      <c r="ML60" s="56"/>
      <c r="MV60" s="56"/>
      <c r="NF60" s="56"/>
      <c r="NP60" s="56"/>
      <c r="NZ60" s="56"/>
      <c r="OJ60" s="56"/>
      <c r="OT60" s="56"/>
      <c r="PD60" s="56"/>
      <c r="PN60" s="56"/>
      <c r="PX60" s="56"/>
      <c r="QH60" s="56"/>
      <c r="QR60" s="56"/>
      <c r="RB60" s="56"/>
      <c r="RL60" s="56"/>
      <c r="RV60" s="56"/>
      <c r="SF60" s="56"/>
      <c r="SP60" s="56"/>
      <c r="SZ60" s="56"/>
      <c r="TJ60" s="56"/>
      <c r="TT60" s="56"/>
      <c r="UD60" s="56"/>
      <c r="UN60" s="56"/>
      <c r="UX60" s="56"/>
      <c r="VH60" s="56"/>
      <c r="VR60" s="56"/>
      <c r="WB60" s="56"/>
      <c r="WL60" s="56"/>
      <c r="WV60" s="56"/>
      <c r="XF60" s="56"/>
      <c r="XP60" s="56"/>
      <c r="XZ60" s="56"/>
      <c r="YJ60" s="56"/>
      <c r="YT60" s="56"/>
      <c r="ZD60" s="56"/>
      <c r="ZN60" s="56"/>
      <c r="ZX60" s="56"/>
      <c r="AAH60" s="56"/>
      <c r="AAR60" s="56"/>
      <c r="ABB60" s="56"/>
      <c r="ABL60" s="56"/>
      <c r="ABV60" s="56"/>
      <c r="ACF60" s="56"/>
      <c r="ACP60" s="56"/>
      <c r="ACZ60" s="56"/>
      <c r="ADJ60" s="56"/>
      <c r="ADT60" s="56"/>
      <c r="AED60" s="56"/>
      <c r="AEN60" s="56"/>
      <c r="AEX60" s="56"/>
      <c r="AFH60" s="56"/>
      <c r="AFR60" s="56"/>
      <c r="AGB60" s="56"/>
      <c r="AGL60" s="56"/>
      <c r="AGV60" s="56"/>
      <c r="AHF60" s="56"/>
      <c r="AHP60" s="56"/>
      <c r="AHZ60" s="56"/>
      <c r="AIJ60" s="56"/>
      <c r="AIT60" s="56"/>
      <c r="AJD60" s="56"/>
      <c r="AJN60" s="56"/>
      <c r="AJX60" s="56"/>
      <c r="AKH60" s="56"/>
      <c r="AKR60" s="56"/>
      <c r="ALB60" s="56"/>
      <c r="ALL60" s="56"/>
      <c r="ALV60" s="56"/>
      <c r="AMF60" s="56"/>
      <c r="AMP60" s="56"/>
      <c r="AMZ60" s="56"/>
      <c r="ANJ60" s="56"/>
      <c r="ANT60" s="56"/>
      <c r="AOD60" s="56"/>
      <c r="AON60" s="56"/>
      <c r="AOX60" s="56"/>
      <c r="APH60" s="56"/>
      <c r="APR60" s="56"/>
      <c r="AQB60" s="56"/>
      <c r="AQL60" s="56"/>
      <c r="AQV60" s="56"/>
      <c r="ARF60" s="56"/>
      <c r="ARP60" s="56"/>
      <c r="ARZ60" s="56"/>
      <c r="ASJ60" s="56"/>
      <c r="AST60" s="56"/>
      <c r="ATD60" s="56"/>
      <c r="ATN60" s="56"/>
      <c r="ATX60" s="56"/>
      <c r="AUH60" s="56"/>
      <c r="AUR60" s="56"/>
      <c r="AVB60" s="56"/>
      <c r="AVL60" s="56"/>
      <c r="AVV60" s="56"/>
      <c r="AWF60" s="56"/>
      <c r="AWP60" s="56"/>
      <c r="AWZ60" s="56"/>
      <c r="AXJ60" s="56"/>
      <c r="AXT60" s="56"/>
      <c r="AYD60" s="56"/>
      <c r="AYN60" s="56"/>
      <c r="AYX60" s="56"/>
      <c r="AZH60" s="56"/>
      <c r="AZR60" s="56"/>
      <c r="BAB60" s="56"/>
      <c r="BAL60" s="56"/>
      <c r="BAV60" s="56"/>
      <c r="BBF60" s="56"/>
      <c r="BBP60" s="56"/>
      <c r="BBZ60" s="56"/>
      <c r="BCJ60" s="56"/>
      <c r="BCT60" s="56"/>
      <c r="BDD60" s="56"/>
      <c r="BDN60" s="56"/>
      <c r="BDX60" s="56"/>
      <c r="BEH60" s="56"/>
      <c r="BER60" s="56"/>
      <c r="BFB60" s="56"/>
      <c r="BFL60" s="56"/>
      <c r="BFV60" s="56"/>
      <c r="BGF60" s="56"/>
      <c r="BGP60" s="56"/>
      <c r="BGZ60" s="56"/>
      <c r="BHJ60" s="56"/>
      <c r="BHT60" s="56"/>
      <c r="BID60" s="56"/>
      <c r="BIN60" s="56"/>
      <c r="BIX60" s="56"/>
      <c r="BJH60" s="56"/>
      <c r="BJR60" s="56"/>
      <c r="BKB60" s="56"/>
      <c r="BKL60" s="56"/>
      <c r="BKV60" s="56"/>
      <c r="BLF60" s="56"/>
      <c r="BLP60" s="56"/>
      <c r="BLZ60" s="56"/>
      <c r="BMJ60" s="56"/>
      <c r="BMT60" s="56"/>
      <c r="BND60" s="56"/>
      <c r="BNN60" s="56"/>
      <c r="BNX60" s="56"/>
      <c r="BOH60" s="56"/>
      <c r="BOR60" s="56"/>
      <c r="BPB60" s="56"/>
      <c r="BPL60" s="56"/>
      <c r="BPV60" s="56"/>
      <c r="BQF60" s="56"/>
      <c r="BQP60" s="56"/>
      <c r="BQZ60" s="56"/>
      <c r="BRJ60" s="56"/>
      <c r="BRT60" s="56"/>
      <c r="BSD60" s="56"/>
      <c r="BSN60" s="56"/>
      <c r="BSX60" s="56"/>
      <c r="BTH60" s="56"/>
      <c r="BTR60" s="56"/>
      <c r="BUB60" s="56"/>
      <c r="BUL60" s="56"/>
      <c r="BUV60" s="56"/>
      <c r="BVF60" s="56"/>
      <c r="BVP60" s="56"/>
      <c r="BVZ60" s="56"/>
      <c r="BWJ60" s="56"/>
      <c r="BWT60" s="56"/>
      <c r="BXD60" s="56"/>
      <c r="BXN60" s="56"/>
      <c r="BXX60" s="56"/>
      <c r="BYH60" s="56"/>
      <c r="BYR60" s="56"/>
      <c r="BZB60" s="56"/>
      <c r="BZL60" s="56"/>
      <c r="BZV60" s="56"/>
      <c r="CAF60" s="56"/>
      <c r="CAP60" s="56"/>
      <c r="CAZ60" s="56"/>
      <c r="CBJ60" s="56"/>
      <c r="CBT60" s="56"/>
      <c r="CCD60" s="56"/>
      <c r="CCN60" s="56"/>
      <c r="CCX60" s="56"/>
      <c r="CDH60" s="56"/>
      <c r="CDR60" s="56"/>
      <c r="CEB60" s="56"/>
      <c r="CEL60" s="56"/>
      <c r="CEV60" s="56"/>
      <c r="CFF60" s="56"/>
      <c r="CFP60" s="56"/>
      <c r="CFZ60" s="56"/>
      <c r="CGJ60" s="56"/>
      <c r="CGT60" s="56"/>
      <c r="CHD60" s="56"/>
      <c r="CHN60" s="56"/>
      <c r="CHX60" s="56"/>
      <c r="CIH60" s="56"/>
      <c r="CIR60" s="56"/>
      <c r="CJB60" s="56"/>
      <c r="CJL60" s="56"/>
      <c r="CJV60" s="56"/>
      <c r="CKF60" s="56"/>
      <c r="CKP60" s="56"/>
      <c r="CKZ60" s="56"/>
      <c r="CLJ60" s="56"/>
      <c r="CLT60" s="56"/>
      <c r="CMD60" s="56"/>
      <c r="CMN60" s="56"/>
      <c r="CMX60" s="56"/>
      <c r="CNH60" s="56"/>
      <c r="CNR60" s="56"/>
      <c r="COB60" s="56"/>
      <c r="COL60" s="56"/>
      <c r="COV60" s="56"/>
      <c r="CPF60" s="56"/>
      <c r="CPP60" s="56"/>
      <c r="CPZ60" s="56"/>
      <c r="CQJ60" s="56"/>
      <c r="CQT60" s="56"/>
      <c r="CRD60" s="56"/>
      <c r="CRN60" s="56"/>
      <c r="CRX60" s="56"/>
      <c r="CSH60" s="56"/>
      <c r="CSR60" s="56"/>
      <c r="CTB60" s="56"/>
      <c r="CTL60" s="56"/>
      <c r="CTV60" s="56"/>
    </row>
    <row r="61" s="42" customFormat="1" customHeight="1" spans="1:1020 1030:2040 2050:2570">
      <c r="A61" s="51"/>
      <c r="B61" s="52"/>
      <c r="C61" s="52"/>
      <c r="D61" s="52"/>
      <c r="E61" s="52"/>
      <c r="F61" s="53" t="str">
        <f>IFERROR(VLOOKUP(E61,日报!E:G,2,0),"")</f>
        <v/>
      </c>
      <c r="G61" s="52"/>
      <c r="H61" s="54" t="str">
        <f>IFERROR(VLOOKUP(E61,日报!E:H,4,0),"")</f>
        <v/>
      </c>
      <c r="I61" s="54" t="str">
        <f>IFERROR(VLOOKUP(E61,日报!E:G,3,0),"")</f>
        <v/>
      </c>
      <c r="J61" s="52"/>
      <c r="K61" s="55" t="str">
        <f t="shared" si="0"/>
        <v/>
      </c>
      <c r="T61" s="56"/>
      <c r="AD61" s="56"/>
      <c r="AN61" s="56"/>
      <c r="AX61" s="56"/>
      <c r="BH61" s="56"/>
      <c r="BR61" s="56"/>
      <c r="CB61" s="56"/>
      <c r="CL61" s="56"/>
      <c r="CV61" s="56"/>
      <c r="DF61" s="56"/>
      <c r="DP61" s="56"/>
      <c r="DZ61" s="56"/>
      <c r="EJ61" s="56"/>
      <c r="ET61" s="56"/>
      <c r="FD61" s="56"/>
      <c r="FN61" s="56"/>
      <c r="FX61" s="56"/>
      <c r="GH61" s="56"/>
      <c r="GR61" s="56"/>
      <c r="HB61" s="56"/>
      <c r="HL61" s="56"/>
      <c r="HV61" s="56"/>
      <c r="IF61" s="56"/>
      <c r="IP61" s="56"/>
      <c r="IZ61" s="56"/>
      <c r="JJ61" s="56"/>
      <c r="JT61" s="56"/>
      <c r="KD61" s="56"/>
      <c r="KN61" s="56"/>
      <c r="KX61" s="56"/>
      <c r="LH61" s="56"/>
      <c r="LR61" s="56"/>
      <c r="MB61" s="56"/>
      <c r="ML61" s="56"/>
      <c r="MV61" s="56"/>
      <c r="NF61" s="56"/>
      <c r="NP61" s="56"/>
      <c r="NZ61" s="56"/>
      <c r="OJ61" s="56"/>
      <c r="OT61" s="56"/>
      <c r="PD61" s="56"/>
      <c r="PN61" s="56"/>
      <c r="PX61" s="56"/>
      <c r="QH61" s="56"/>
      <c r="QR61" s="56"/>
      <c r="RB61" s="56"/>
      <c r="RL61" s="56"/>
      <c r="RV61" s="56"/>
      <c r="SF61" s="56"/>
      <c r="SP61" s="56"/>
      <c r="SZ61" s="56"/>
      <c r="TJ61" s="56"/>
      <c r="TT61" s="56"/>
      <c r="UD61" s="56"/>
      <c r="UN61" s="56"/>
      <c r="UX61" s="56"/>
      <c r="VH61" s="56"/>
      <c r="VR61" s="56"/>
      <c r="WB61" s="56"/>
      <c r="WL61" s="56"/>
      <c r="WV61" s="56"/>
      <c r="XF61" s="56"/>
      <c r="XP61" s="56"/>
      <c r="XZ61" s="56"/>
      <c r="YJ61" s="56"/>
      <c r="YT61" s="56"/>
      <c r="ZD61" s="56"/>
      <c r="ZN61" s="56"/>
      <c r="ZX61" s="56"/>
      <c r="AAH61" s="56"/>
      <c r="AAR61" s="56"/>
      <c r="ABB61" s="56"/>
      <c r="ABL61" s="56"/>
      <c r="ABV61" s="56"/>
      <c r="ACF61" s="56"/>
      <c r="ACP61" s="56"/>
      <c r="ACZ61" s="56"/>
      <c r="ADJ61" s="56"/>
      <c r="ADT61" s="56"/>
      <c r="AED61" s="56"/>
      <c r="AEN61" s="56"/>
      <c r="AEX61" s="56"/>
      <c r="AFH61" s="56"/>
      <c r="AFR61" s="56"/>
      <c r="AGB61" s="56"/>
      <c r="AGL61" s="56"/>
      <c r="AGV61" s="56"/>
      <c r="AHF61" s="56"/>
      <c r="AHP61" s="56"/>
      <c r="AHZ61" s="56"/>
      <c r="AIJ61" s="56"/>
      <c r="AIT61" s="56"/>
      <c r="AJD61" s="56"/>
      <c r="AJN61" s="56"/>
      <c r="AJX61" s="56"/>
      <c r="AKH61" s="56"/>
      <c r="AKR61" s="56"/>
      <c r="ALB61" s="56"/>
      <c r="ALL61" s="56"/>
      <c r="ALV61" s="56"/>
      <c r="AMF61" s="56"/>
      <c r="AMP61" s="56"/>
      <c r="AMZ61" s="56"/>
      <c r="ANJ61" s="56"/>
      <c r="ANT61" s="56"/>
      <c r="AOD61" s="56"/>
      <c r="AON61" s="56"/>
      <c r="AOX61" s="56"/>
      <c r="APH61" s="56"/>
      <c r="APR61" s="56"/>
      <c r="AQB61" s="56"/>
      <c r="AQL61" s="56"/>
      <c r="AQV61" s="56"/>
      <c r="ARF61" s="56"/>
      <c r="ARP61" s="56"/>
      <c r="ARZ61" s="56"/>
      <c r="ASJ61" s="56"/>
      <c r="AST61" s="56"/>
      <c r="ATD61" s="56"/>
      <c r="ATN61" s="56"/>
      <c r="ATX61" s="56"/>
      <c r="AUH61" s="56"/>
      <c r="AUR61" s="56"/>
      <c r="AVB61" s="56"/>
      <c r="AVL61" s="56"/>
      <c r="AVV61" s="56"/>
      <c r="AWF61" s="56"/>
      <c r="AWP61" s="56"/>
      <c r="AWZ61" s="56"/>
      <c r="AXJ61" s="56"/>
      <c r="AXT61" s="56"/>
      <c r="AYD61" s="56"/>
      <c r="AYN61" s="56"/>
      <c r="AYX61" s="56"/>
      <c r="AZH61" s="56"/>
      <c r="AZR61" s="56"/>
      <c r="BAB61" s="56"/>
      <c r="BAL61" s="56"/>
      <c r="BAV61" s="56"/>
      <c r="BBF61" s="56"/>
      <c r="BBP61" s="56"/>
      <c r="BBZ61" s="56"/>
      <c r="BCJ61" s="56"/>
      <c r="BCT61" s="56"/>
      <c r="BDD61" s="56"/>
      <c r="BDN61" s="56"/>
      <c r="BDX61" s="56"/>
      <c r="BEH61" s="56"/>
      <c r="BER61" s="56"/>
      <c r="BFB61" s="56"/>
      <c r="BFL61" s="56"/>
      <c r="BFV61" s="56"/>
      <c r="BGF61" s="56"/>
      <c r="BGP61" s="56"/>
      <c r="BGZ61" s="56"/>
      <c r="BHJ61" s="56"/>
      <c r="BHT61" s="56"/>
      <c r="BID61" s="56"/>
      <c r="BIN61" s="56"/>
      <c r="BIX61" s="56"/>
      <c r="BJH61" s="56"/>
      <c r="BJR61" s="56"/>
      <c r="BKB61" s="56"/>
      <c r="BKL61" s="56"/>
      <c r="BKV61" s="56"/>
      <c r="BLF61" s="56"/>
      <c r="BLP61" s="56"/>
      <c r="BLZ61" s="56"/>
      <c r="BMJ61" s="56"/>
      <c r="BMT61" s="56"/>
      <c r="BND61" s="56"/>
      <c r="BNN61" s="56"/>
      <c r="BNX61" s="56"/>
      <c r="BOH61" s="56"/>
      <c r="BOR61" s="56"/>
      <c r="BPB61" s="56"/>
      <c r="BPL61" s="56"/>
      <c r="BPV61" s="56"/>
      <c r="BQF61" s="56"/>
      <c r="BQP61" s="56"/>
      <c r="BQZ61" s="56"/>
      <c r="BRJ61" s="56"/>
      <c r="BRT61" s="56"/>
      <c r="BSD61" s="56"/>
      <c r="BSN61" s="56"/>
      <c r="BSX61" s="56"/>
      <c r="BTH61" s="56"/>
      <c r="BTR61" s="56"/>
      <c r="BUB61" s="56"/>
      <c r="BUL61" s="56"/>
      <c r="BUV61" s="56"/>
      <c r="BVF61" s="56"/>
      <c r="BVP61" s="56"/>
      <c r="BVZ61" s="56"/>
      <c r="BWJ61" s="56"/>
      <c r="BWT61" s="56"/>
      <c r="BXD61" s="56"/>
      <c r="BXN61" s="56"/>
      <c r="BXX61" s="56"/>
      <c r="BYH61" s="56"/>
      <c r="BYR61" s="56"/>
      <c r="BZB61" s="56"/>
      <c r="BZL61" s="56"/>
      <c r="BZV61" s="56"/>
      <c r="CAF61" s="56"/>
      <c r="CAP61" s="56"/>
      <c r="CAZ61" s="56"/>
      <c r="CBJ61" s="56"/>
      <c r="CBT61" s="56"/>
      <c r="CCD61" s="56"/>
      <c r="CCN61" s="56"/>
      <c r="CCX61" s="56"/>
      <c r="CDH61" s="56"/>
      <c r="CDR61" s="56"/>
      <c r="CEB61" s="56"/>
      <c r="CEL61" s="56"/>
      <c r="CEV61" s="56"/>
      <c r="CFF61" s="56"/>
      <c r="CFP61" s="56"/>
      <c r="CFZ61" s="56"/>
      <c r="CGJ61" s="56"/>
      <c r="CGT61" s="56"/>
      <c r="CHD61" s="56"/>
      <c r="CHN61" s="56"/>
      <c r="CHX61" s="56"/>
      <c r="CIH61" s="56"/>
      <c r="CIR61" s="56"/>
      <c r="CJB61" s="56"/>
      <c r="CJL61" s="56"/>
      <c r="CJV61" s="56"/>
      <c r="CKF61" s="56"/>
      <c r="CKP61" s="56"/>
      <c r="CKZ61" s="56"/>
      <c r="CLJ61" s="56"/>
      <c r="CLT61" s="56"/>
      <c r="CMD61" s="56"/>
      <c r="CMN61" s="56"/>
      <c r="CMX61" s="56"/>
      <c r="CNH61" s="56"/>
      <c r="CNR61" s="56"/>
      <c r="COB61" s="56"/>
      <c r="COL61" s="56"/>
      <c r="COV61" s="56"/>
      <c r="CPF61" s="56"/>
      <c r="CPP61" s="56"/>
      <c r="CPZ61" s="56"/>
      <c r="CQJ61" s="56"/>
      <c r="CQT61" s="56"/>
      <c r="CRD61" s="56"/>
      <c r="CRN61" s="56"/>
      <c r="CRX61" s="56"/>
      <c r="CSH61" s="56"/>
      <c r="CSR61" s="56"/>
      <c r="CTB61" s="56"/>
      <c r="CTL61" s="56"/>
      <c r="CTV61" s="56"/>
    </row>
    <row r="62" s="42" customFormat="1" customHeight="1" spans="1:1020 1030:2040 2050:2570">
      <c r="A62" s="51"/>
      <c r="B62" s="52"/>
      <c r="C62" s="52"/>
      <c r="D62" s="52"/>
      <c r="E62" s="52"/>
      <c r="F62" s="53" t="str">
        <f>IFERROR(VLOOKUP(E62,日报!E:G,2,0),"")</f>
        <v/>
      </c>
      <c r="G62" s="52"/>
      <c r="H62" s="54" t="str">
        <f>IFERROR(VLOOKUP(E62,日报!E:H,4,0),"")</f>
        <v/>
      </c>
      <c r="I62" s="54" t="str">
        <f>IFERROR(VLOOKUP(E62,日报!E:G,3,0),"")</f>
        <v/>
      </c>
      <c r="J62" s="52"/>
      <c r="K62" s="55" t="str">
        <f t="shared" si="0"/>
        <v/>
      </c>
      <c r="T62" s="56"/>
      <c r="AD62" s="56"/>
      <c r="AN62" s="56"/>
      <c r="AX62" s="56"/>
      <c r="BH62" s="56"/>
      <c r="BR62" s="56"/>
      <c r="CB62" s="56"/>
      <c r="CL62" s="56"/>
      <c r="CV62" s="56"/>
      <c r="DF62" s="56"/>
      <c r="DP62" s="56"/>
      <c r="DZ62" s="56"/>
      <c r="EJ62" s="56"/>
      <c r="ET62" s="56"/>
      <c r="FD62" s="56"/>
      <c r="FN62" s="56"/>
      <c r="FX62" s="56"/>
      <c r="GH62" s="56"/>
      <c r="GR62" s="56"/>
      <c r="HB62" s="56"/>
      <c r="HL62" s="56"/>
      <c r="HV62" s="56"/>
      <c r="IF62" s="56"/>
      <c r="IP62" s="56"/>
      <c r="IZ62" s="56"/>
      <c r="JJ62" s="56"/>
      <c r="JT62" s="56"/>
      <c r="KD62" s="56"/>
      <c r="KN62" s="56"/>
      <c r="KX62" s="56"/>
      <c r="LH62" s="56"/>
      <c r="LR62" s="56"/>
      <c r="MB62" s="56"/>
      <c r="ML62" s="56"/>
      <c r="MV62" s="56"/>
      <c r="NF62" s="56"/>
      <c r="NP62" s="56"/>
      <c r="NZ62" s="56"/>
      <c r="OJ62" s="56"/>
      <c r="OT62" s="56"/>
      <c r="PD62" s="56"/>
      <c r="PN62" s="56"/>
      <c r="PX62" s="56"/>
      <c r="QH62" s="56"/>
      <c r="QR62" s="56"/>
      <c r="RB62" s="56"/>
      <c r="RL62" s="56"/>
      <c r="RV62" s="56"/>
      <c r="SF62" s="56"/>
      <c r="SP62" s="56"/>
      <c r="SZ62" s="56"/>
      <c r="TJ62" s="56"/>
      <c r="TT62" s="56"/>
      <c r="UD62" s="56"/>
      <c r="UN62" s="56"/>
      <c r="UX62" s="56"/>
      <c r="VH62" s="56"/>
      <c r="VR62" s="56"/>
      <c r="WB62" s="56"/>
      <c r="WL62" s="56"/>
      <c r="WV62" s="56"/>
      <c r="XF62" s="56"/>
      <c r="XP62" s="56"/>
      <c r="XZ62" s="56"/>
      <c r="YJ62" s="56"/>
      <c r="YT62" s="56"/>
      <c r="ZD62" s="56"/>
      <c r="ZN62" s="56"/>
      <c r="ZX62" s="56"/>
      <c r="AAH62" s="56"/>
      <c r="AAR62" s="56"/>
      <c r="ABB62" s="56"/>
      <c r="ABL62" s="56"/>
      <c r="ABV62" s="56"/>
      <c r="ACF62" s="56"/>
      <c r="ACP62" s="56"/>
      <c r="ACZ62" s="56"/>
      <c r="ADJ62" s="56"/>
      <c r="ADT62" s="56"/>
      <c r="AED62" s="56"/>
      <c r="AEN62" s="56"/>
      <c r="AEX62" s="56"/>
      <c r="AFH62" s="56"/>
      <c r="AFR62" s="56"/>
      <c r="AGB62" s="56"/>
      <c r="AGL62" s="56"/>
      <c r="AGV62" s="56"/>
      <c r="AHF62" s="56"/>
      <c r="AHP62" s="56"/>
      <c r="AHZ62" s="56"/>
      <c r="AIJ62" s="56"/>
      <c r="AIT62" s="56"/>
      <c r="AJD62" s="56"/>
      <c r="AJN62" s="56"/>
      <c r="AJX62" s="56"/>
      <c r="AKH62" s="56"/>
      <c r="AKR62" s="56"/>
      <c r="ALB62" s="56"/>
      <c r="ALL62" s="56"/>
      <c r="ALV62" s="56"/>
      <c r="AMF62" s="56"/>
      <c r="AMP62" s="56"/>
      <c r="AMZ62" s="56"/>
      <c r="ANJ62" s="56"/>
      <c r="ANT62" s="56"/>
      <c r="AOD62" s="56"/>
      <c r="AON62" s="56"/>
      <c r="AOX62" s="56"/>
      <c r="APH62" s="56"/>
      <c r="APR62" s="56"/>
      <c r="AQB62" s="56"/>
      <c r="AQL62" s="56"/>
      <c r="AQV62" s="56"/>
      <c r="ARF62" s="56"/>
      <c r="ARP62" s="56"/>
      <c r="ARZ62" s="56"/>
      <c r="ASJ62" s="56"/>
      <c r="AST62" s="56"/>
      <c r="ATD62" s="56"/>
      <c r="ATN62" s="56"/>
      <c r="ATX62" s="56"/>
      <c r="AUH62" s="56"/>
      <c r="AUR62" s="56"/>
      <c r="AVB62" s="56"/>
      <c r="AVL62" s="56"/>
      <c r="AVV62" s="56"/>
      <c r="AWF62" s="56"/>
      <c r="AWP62" s="56"/>
      <c r="AWZ62" s="56"/>
      <c r="AXJ62" s="56"/>
      <c r="AXT62" s="56"/>
      <c r="AYD62" s="56"/>
      <c r="AYN62" s="56"/>
      <c r="AYX62" s="56"/>
      <c r="AZH62" s="56"/>
      <c r="AZR62" s="56"/>
      <c r="BAB62" s="56"/>
      <c r="BAL62" s="56"/>
      <c r="BAV62" s="56"/>
      <c r="BBF62" s="56"/>
      <c r="BBP62" s="56"/>
      <c r="BBZ62" s="56"/>
      <c r="BCJ62" s="56"/>
      <c r="BCT62" s="56"/>
      <c r="BDD62" s="56"/>
      <c r="BDN62" s="56"/>
      <c r="BDX62" s="56"/>
      <c r="BEH62" s="56"/>
      <c r="BER62" s="56"/>
      <c r="BFB62" s="56"/>
      <c r="BFL62" s="56"/>
      <c r="BFV62" s="56"/>
      <c r="BGF62" s="56"/>
      <c r="BGP62" s="56"/>
      <c r="BGZ62" s="56"/>
      <c r="BHJ62" s="56"/>
      <c r="BHT62" s="56"/>
      <c r="BID62" s="56"/>
      <c r="BIN62" s="56"/>
      <c r="BIX62" s="56"/>
      <c r="BJH62" s="56"/>
      <c r="BJR62" s="56"/>
      <c r="BKB62" s="56"/>
      <c r="BKL62" s="56"/>
      <c r="BKV62" s="56"/>
      <c r="BLF62" s="56"/>
      <c r="BLP62" s="56"/>
      <c r="BLZ62" s="56"/>
      <c r="BMJ62" s="56"/>
      <c r="BMT62" s="56"/>
      <c r="BND62" s="56"/>
      <c r="BNN62" s="56"/>
      <c r="BNX62" s="56"/>
      <c r="BOH62" s="56"/>
      <c r="BOR62" s="56"/>
      <c r="BPB62" s="56"/>
      <c r="BPL62" s="56"/>
      <c r="BPV62" s="56"/>
      <c r="BQF62" s="56"/>
      <c r="BQP62" s="56"/>
      <c r="BQZ62" s="56"/>
      <c r="BRJ62" s="56"/>
      <c r="BRT62" s="56"/>
      <c r="BSD62" s="56"/>
      <c r="BSN62" s="56"/>
      <c r="BSX62" s="56"/>
      <c r="BTH62" s="56"/>
      <c r="BTR62" s="56"/>
      <c r="BUB62" s="56"/>
      <c r="BUL62" s="56"/>
      <c r="BUV62" s="56"/>
      <c r="BVF62" s="56"/>
      <c r="BVP62" s="56"/>
      <c r="BVZ62" s="56"/>
      <c r="BWJ62" s="56"/>
      <c r="BWT62" s="56"/>
      <c r="BXD62" s="56"/>
      <c r="BXN62" s="56"/>
      <c r="BXX62" s="56"/>
      <c r="BYH62" s="56"/>
      <c r="BYR62" s="56"/>
      <c r="BZB62" s="56"/>
      <c r="BZL62" s="56"/>
      <c r="BZV62" s="56"/>
      <c r="CAF62" s="56"/>
      <c r="CAP62" s="56"/>
      <c r="CAZ62" s="56"/>
      <c r="CBJ62" s="56"/>
      <c r="CBT62" s="56"/>
      <c r="CCD62" s="56"/>
      <c r="CCN62" s="56"/>
      <c r="CCX62" s="56"/>
      <c r="CDH62" s="56"/>
      <c r="CDR62" s="56"/>
      <c r="CEB62" s="56"/>
      <c r="CEL62" s="56"/>
      <c r="CEV62" s="56"/>
      <c r="CFF62" s="56"/>
      <c r="CFP62" s="56"/>
      <c r="CFZ62" s="56"/>
      <c r="CGJ62" s="56"/>
      <c r="CGT62" s="56"/>
      <c r="CHD62" s="56"/>
      <c r="CHN62" s="56"/>
      <c r="CHX62" s="56"/>
      <c r="CIH62" s="56"/>
      <c r="CIR62" s="56"/>
      <c r="CJB62" s="56"/>
      <c r="CJL62" s="56"/>
      <c r="CJV62" s="56"/>
      <c r="CKF62" s="56"/>
      <c r="CKP62" s="56"/>
      <c r="CKZ62" s="56"/>
      <c r="CLJ62" s="56"/>
      <c r="CLT62" s="56"/>
      <c r="CMD62" s="56"/>
      <c r="CMN62" s="56"/>
      <c r="CMX62" s="56"/>
      <c r="CNH62" s="56"/>
      <c r="CNR62" s="56"/>
      <c r="COB62" s="56"/>
      <c r="COL62" s="56"/>
      <c r="COV62" s="56"/>
      <c r="CPF62" s="56"/>
      <c r="CPP62" s="56"/>
      <c r="CPZ62" s="56"/>
      <c r="CQJ62" s="56"/>
      <c r="CQT62" s="56"/>
      <c r="CRD62" s="56"/>
      <c r="CRN62" s="56"/>
      <c r="CRX62" s="56"/>
      <c r="CSH62" s="56"/>
      <c r="CSR62" s="56"/>
      <c r="CTB62" s="56"/>
      <c r="CTL62" s="56"/>
      <c r="CTV62" s="56"/>
    </row>
    <row r="63" s="42" customFormat="1" customHeight="1" spans="1:1020 1030:2040 2050:2570">
      <c r="A63" s="51"/>
      <c r="B63" s="52"/>
      <c r="C63" s="52"/>
      <c r="D63" s="52"/>
      <c r="E63" s="52"/>
      <c r="F63" s="53" t="str">
        <f>IFERROR(VLOOKUP(E63,日报!E:G,2,0),"")</f>
        <v/>
      </c>
      <c r="G63" s="52"/>
      <c r="H63" s="54" t="str">
        <f>IFERROR(VLOOKUP(E63,日报!E:H,4,0),"")</f>
        <v/>
      </c>
      <c r="I63" s="54" t="str">
        <f>IFERROR(VLOOKUP(E63,日报!E:G,3,0),"")</f>
        <v/>
      </c>
      <c r="J63" s="52"/>
      <c r="K63" s="55" t="str">
        <f t="shared" si="0"/>
        <v/>
      </c>
      <c r="T63" s="56"/>
      <c r="AD63" s="56"/>
      <c r="AN63" s="56"/>
      <c r="AX63" s="56"/>
      <c r="BH63" s="56"/>
      <c r="BR63" s="56"/>
      <c r="CB63" s="56"/>
      <c r="CL63" s="56"/>
      <c r="CV63" s="56"/>
      <c r="DF63" s="56"/>
      <c r="DP63" s="56"/>
      <c r="DZ63" s="56"/>
      <c r="EJ63" s="56"/>
      <c r="ET63" s="56"/>
      <c r="FD63" s="56"/>
      <c r="FN63" s="56"/>
      <c r="FX63" s="56"/>
      <c r="GH63" s="56"/>
      <c r="GR63" s="56"/>
      <c r="HB63" s="56"/>
      <c r="HL63" s="56"/>
      <c r="HV63" s="56"/>
      <c r="IF63" s="56"/>
      <c r="IP63" s="56"/>
      <c r="IZ63" s="56"/>
      <c r="JJ63" s="56"/>
      <c r="JT63" s="56"/>
      <c r="KD63" s="56"/>
      <c r="KN63" s="56"/>
      <c r="KX63" s="56"/>
      <c r="LH63" s="56"/>
      <c r="LR63" s="56"/>
      <c r="MB63" s="56"/>
      <c r="ML63" s="56"/>
      <c r="MV63" s="56"/>
      <c r="NF63" s="56"/>
      <c r="NP63" s="56"/>
      <c r="NZ63" s="56"/>
      <c r="OJ63" s="56"/>
      <c r="OT63" s="56"/>
      <c r="PD63" s="56"/>
      <c r="PN63" s="56"/>
      <c r="PX63" s="56"/>
      <c r="QH63" s="56"/>
      <c r="QR63" s="56"/>
      <c r="RB63" s="56"/>
      <c r="RL63" s="56"/>
      <c r="RV63" s="56"/>
      <c r="SF63" s="56"/>
      <c r="SP63" s="56"/>
      <c r="SZ63" s="56"/>
      <c r="TJ63" s="56"/>
      <c r="TT63" s="56"/>
      <c r="UD63" s="56"/>
      <c r="UN63" s="56"/>
      <c r="UX63" s="56"/>
      <c r="VH63" s="56"/>
      <c r="VR63" s="56"/>
      <c r="WB63" s="56"/>
      <c r="WL63" s="56"/>
      <c r="WV63" s="56"/>
      <c r="XF63" s="56"/>
      <c r="XP63" s="56"/>
      <c r="XZ63" s="56"/>
      <c r="YJ63" s="56"/>
      <c r="YT63" s="56"/>
      <c r="ZD63" s="56"/>
      <c r="ZN63" s="56"/>
      <c r="ZX63" s="56"/>
      <c r="AAH63" s="56"/>
      <c r="AAR63" s="56"/>
      <c r="ABB63" s="56"/>
      <c r="ABL63" s="56"/>
      <c r="ABV63" s="56"/>
      <c r="ACF63" s="56"/>
      <c r="ACP63" s="56"/>
      <c r="ACZ63" s="56"/>
      <c r="ADJ63" s="56"/>
      <c r="ADT63" s="56"/>
      <c r="AED63" s="56"/>
      <c r="AEN63" s="56"/>
      <c r="AEX63" s="56"/>
      <c r="AFH63" s="56"/>
      <c r="AFR63" s="56"/>
      <c r="AGB63" s="56"/>
      <c r="AGL63" s="56"/>
      <c r="AGV63" s="56"/>
      <c r="AHF63" s="56"/>
      <c r="AHP63" s="56"/>
      <c r="AHZ63" s="56"/>
      <c r="AIJ63" s="56"/>
      <c r="AIT63" s="56"/>
      <c r="AJD63" s="56"/>
      <c r="AJN63" s="56"/>
      <c r="AJX63" s="56"/>
      <c r="AKH63" s="56"/>
      <c r="AKR63" s="56"/>
      <c r="ALB63" s="56"/>
      <c r="ALL63" s="56"/>
      <c r="ALV63" s="56"/>
      <c r="AMF63" s="56"/>
      <c r="AMP63" s="56"/>
      <c r="AMZ63" s="56"/>
      <c r="ANJ63" s="56"/>
      <c r="ANT63" s="56"/>
      <c r="AOD63" s="56"/>
      <c r="AON63" s="56"/>
      <c r="AOX63" s="56"/>
      <c r="APH63" s="56"/>
      <c r="APR63" s="56"/>
      <c r="AQB63" s="56"/>
      <c r="AQL63" s="56"/>
      <c r="AQV63" s="56"/>
      <c r="ARF63" s="56"/>
      <c r="ARP63" s="56"/>
      <c r="ARZ63" s="56"/>
      <c r="ASJ63" s="56"/>
      <c r="AST63" s="56"/>
      <c r="ATD63" s="56"/>
      <c r="ATN63" s="56"/>
      <c r="ATX63" s="56"/>
      <c r="AUH63" s="56"/>
      <c r="AUR63" s="56"/>
      <c r="AVB63" s="56"/>
      <c r="AVL63" s="56"/>
      <c r="AVV63" s="56"/>
      <c r="AWF63" s="56"/>
      <c r="AWP63" s="56"/>
      <c r="AWZ63" s="56"/>
      <c r="AXJ63" s="56"/>
      <c r="AXT63" s="56"/>
      <c r="AYD63" s="56"/>
      <c r="AYN63" s="56"/>
      <c r="AYX63" s="56"/>
      <c r="AZH63" s="56"/>
      <c r="AZR63" s="56"/>
      <c r="BAB63" s="56"/>
      <c r="BAL63" s="56"/>
      <c r="BAV63" s="56"/>
      <c r="BBF63" s="56"/>
      <c r="BBP63" s="56"/>
      <c r="BBZ63" s="56"/>
      <c r="BCJ63" s="56"/>
      <c r="BCT63" s="56"/>
      <c r="BDD63" s="56"/>
      <c r="BDN63" s="56"/>
      <c r="BDX63" s="56"/>
      <c r="BEH63" s="56"/>
      <c r="BER63" s="56"/>
      <c r="BFB63" s="56"/>
      <c r="BFL63" s="56"/>
      <c r="BFV63" s="56"/>
      <c r="BGF63" s="56"/>
      <c r="BGP63" s="56"/>
      <c r="BGZ63" s="56"/>
      <c r="BHJ63" s="56"/>
      <c r="BHT63" s="56"/>
      <c r="BID63" s="56"/>
      <c r="BIN63" s="56"/>
      <c r="BIX63" s="56"/>
      <c r="BJH63" s="56"/>
      <c r="BJR63" s="56"/>
      <c r="BKB63" s="56"/>
      <c r="BKL63" s="56"/>
      <c r="BKV63" s="56"/>
      <c r="BLF63" s="56"/>
      <c r="BLP63" s="56"/>
      <c r="BLZ63" s="56"/>
      <c r="BMJ63" s="56"/>
      <c r="BMT63" s="56"/>
      <c r="BND63" s="56"/>
      <c r="BNN63" s="56"/>
      <c r="BNX63" s="56"/>
      <c r="BOH63" s="56"/>
      <c r="BOR63" s="56"/>
      <c r="BPB63" s="56"/>
      <c r="BPL63" s="56"/>
      <c r="BPV63" s="56"/>
      <c r="BQF63" s="56"/>
      <c r="BQP63" s="56"/>
      <c r="BQZ63" s="56"/>
      <c r="BRJ63" s="56"/>
      <c r="BRT63" s="56"/>
      <c r="BSD63" s="56"/>
      <c r="BSN63" s="56"/>
      <c r="BSX63" s="56"/>
      <c r="BTH63" s="56"/>
      <c r="BTR63" s="56"/>
      <c r="BUB63" s="56"/>
      <c r="BUL63" s="56"/>
      <c r="BUV63" s="56"/>
      <c r="BVF63" s="56"/>
      <c r="BVP63" s="56"/>
      <c r="BVZ63" s="56"/>
      <c r="BWJ63" s="56"/>
      <c r="BWT63" s="56"/>
      <c r="BXD63" s="56"/>
      <c r="BXN63" s="56"/>
      <c r="BXX63" s="56"/>
      <c r="BYH63" s="56"/>
      <c r="BYR63" s="56"/>
      <c r="BZB63" s="56"/>
      <c r="BZL63" s="56"/>
      <c r="BZV63" s="56"/>
      <c r="CAF63" s="56"/>
      <c r="CAP63" s="56"/>
      <c r="CAZ63" s="56"/>
      <c r="CBJ63" s="56"/>
      <c r="CBT63" s="56"/>
      <c r="CCD63" s="56"/>
      <c r="CCN63" s="56"/>
      <c r="CCX63" s="56"/>
      <c r="CDH63" s="56"/>
      <c r="CDR63" s="56"/>
      <c r="CEB63" s="56"/>
      <c r="CEL63" s="56"/>
      <c r="CEV63" s="56"/>
      <c r="CFF63" s="56"/>
      <c r="CFP63" s="56"/>
      <c r="CFZ63" s="56"/>
      <c r="CGJ63" s="56"/>
      <c r="CGT63" s="56"/>
      <c r="CHD63" s="56"/>
      <c r="CHN63" s="56"/>
      <c r="CHX63" s="56"/>
      <c r="CIH63" s="56"/>
      <c r="CIR63" s="56"/>
      <c r="CJB63" s="56"/>
      <c r="CJL63" s="56"/>
      <c r="CJV63" s="56"/>
      <c r="CKF63" s="56"/>
      <c r="CKP63" s="56"/>
      <c r="CKZ63" s="56"/>
      <c r="CLJ63" s="56"/>
      <c r="CLT63" s="56"/>
      <c r="CMD63" s="56"/>
      <c r="CMN63" s="56"/>
      <c r="CMX63" s="56"/>
      <c r="CNH63" s="56"/>
      <c r="CNR63" s="56"/>
      <c r="COB63" s="56"/>
      <c r="COL63" s="56"/>
      <c r="COV63" s="56"/>
      <c r="CPF63" s="56"/>
      <c r="CPP63" s="56"/>
      <c r="CPZ63" s="56"/>
      <c r="CQJ63" s="56"/>
      <c r="CQT63" s="56"/>
      <c r="CRD63" s="56"/>
      <c r="CRN63" s="56"/>
      <c r="CRX63" s="56"/>
      <c r="CSH63" s="56"/>
      <c r="CSR63" s="56"/>
      <c r="CTB63" s="56"/>
      <c r="CTL63" s="56"/>
      <c r="CTV63" s="56"/>
    </row>
    <row r="64" s="42" customFormat="1" customHeight="1" spans="1:1020 1030:2040 2050:2570">
      <c r="A64" s="51"/>
      <c r="B64" s="52"/>
      <c r="C64" s="52"/>
      <c r="D64" s="52"/>
      <c r="E64" s="52"/>
      <c r="F64" s="53" t="str">
        <f>IFERROR(VLOOKUP(E64,日报!E:G,2,0),"")</f>
        <v/>
      </c>
      <c r="G64" s="52"/>
      <c r="H64" s="54" t="str">
        <f>IFERROR(VLOOKUP(E64,日报!E:H,4,0),"")</f>
        <v/>
      </c>
      <c r="I64" s="54" t="str">
        <f>IFERROR(VLOOKUP(E64,日报!E:G,3,0),"")</f>
        <v/>
      </c>
      <c r="J64" s="52"/>
      <c r="K64" s="55" t="str">
        <f t="shared" si="0"/>
        <v/>
      </c>
      <c r="T64" s="56"/>
      <c r="AD64" s="56"/>
      <c r="AN64" s="56"/>
      <c r="AX64" s="56"/>
      <c r="BH64" s="56"/>
      <c r="BR64" s="56"/>
      <c r="CB64" s="56"/>
      <c r="CL64" s="56"/>
      <c r="CV64" s="56"/>
      <c r="DF64" s="56"/>
      <c r="DP64" s="56"/>
      <c r="DZ64" s="56"/>
      <c r="EJ64" s="56"/>
      <c r="ET64" s="56"/>
      <c r="FD64" s="56"/>
      <c r="FN64" s="56"/>
      <c r="FX64" s="56"/>
      <c r="GH64" s="56"/>
      <c r="GR64" s="56"/>
      <c r="HB64" s="56"/>
      <c r="HL64" s="56"/>
      <c r="HV64" s="56"/>
      <c r="IF64" s="56"/>
      <c r="IP64" s="56"/>
      <c r="IZ64" s="56"/>
      <c r="JJ64" s="56"/>
      <c r="JT64" s="56"/>
      <c r="KD64" s="56"/>
      <c r="KN64" s="56"/>
      <c r="KX64" s="56"/>
      <c r="LH64" s="56"/>
      <c r="LR64" s="56"/>
      <c r="MB64" s="56"/>
      <c r="ML64" s="56"/>
      <c r="MV64" s="56"/>
      <c r="NF64" s="56"/>
      <c r="NP64" s="56"/>
      <c r="NZ64" s="56"/>
      <c r="OJ64" s="56"/>
      <c r="OT64" s="56"/>
      <c r="PD64" s="56"/>
      <c r="PN64" s="56"/>
      <c r="PX64" s="56"/>
      <c r="QH64" s="56"/>
      <c r="QR64" s="56"/>
      <c r="RB64" s="56"/>
      <c r="RL64" s="56"/>
      <c r="RV64" s="56"/>
      <c r="SF64" s="56"/>
      <c r="SP64" s="56"/>
      <c r="SZ64" s="56"/>
      <c r="TJ64" s="56"/>
      <c r="TT64" s="56"/>
      <c r="UD64" s="56"/>
      <c r="UN64" s="56"/>
      <c r="UX64" s="56"/>
      <c r="VH64" s="56"/>
      <c r="VR64" s="56"/>
      <c r="WB64" s="56"/>
      <c r="WL64" s="56"/>
      <c r="WV64" s="56"/>
      <c r="XF64" s="56"/>
      <c r="XP64" s="56"/>
      <c r="XZ64" s="56"/>
      <c r="YJ64" s="56"/>
      <c r="YT64" s="56"/>
      <c r="ZD64" s="56"/>
      <c r="ZN64" s="56"/>
      <c r="ZX64" s="56"/>
      <c r="AAH64" s="56"/>
      <c r="AAR64" s="56"/>
      <c r="ABB64" s="56"/>
      <c r="ABL64" s="56"/>
      <c r="ABV64" s="56"/>
      <c r="ACF64" s="56"/>
      <c r="ACP64" s="56"/>
      <c r="ACZ64" s="56"/>
      <c r="ADJ64" s="56"/>
      <c r="ADT64" s="56"/>
      <c r="AED64" s="56"/>
      <c r="AEN64" s="56"/>
      <c r="AEX64" s="56"/>
      <c r="AFH64" s="56"/>
      <c r="AFR64" s="56"/>
      <c r="AGB64" s="56"/>
      <c r="AGL64" s="56"/>
      <c r="AGV64" s="56"/>
      <c r="AHF64" s="56"/>
      <c r="AHP64" s="56"/>
      <c r="AHZ64" s="56"/>
      <c r="AIJ64" s="56"/>
      <c r="AIT64" s="56"/>
      <c r="AJD64" s="56"/>
      <c r="AJN64" s="56"/>
      <c r="AJX64" s="56"/>
      <c r="AKH64" s="56"/>
      <c r="AKR64" s="56"/>
      <c r="ALB64" s="56"/>
      <c r="ALL64" s="56"/>
      <c r="ALV64" s="56"/>
      <c r="AMF64" s="56"/>
      <c r="AMP64" s="56"/>
      <c r="AMZ64" s="56"/>
      <c r="ANJ64" s="56"/>
      <c r="ANT64" s="56"/>
      <c r="AOD64" s="56"/>
      <c r="AON64" s="56"/>
      <c r="AOX64" s="56"/>
      <c r="APH64" s="56"/>
      <c r="APR64" s="56"/>
      <c r="AQB64" s="56"/>
      <c r="AQL64" s="56"/>
      <c r="AQV64" s="56"/>
      <c r="ARF64" s="56"/>
      <c r="ARP64" s="56"/>
      <c r="ARZ64" s="56"/>
      <c r="ASJ64" s="56"/>
      <c r="AST64" s="56"/>
      <c r="ATD64" s="56"/>
      <c r="ATN64" s="56"/>
      <c r="ATX64" s="56"/>
      <c r="AUH64" s="56"/>
      <c r="AUR64" s="56"/>
      <c r="AVB64" s="56"/>
      <c r="AVL64" s="56"/>
      <c r="AVV64" s="56"/>
      <c r="AWF64" s="56"/>
      <c r="AWP64" s="56"/>
      <c r="AWZ64" s="56"/>
      <c r="AXJ64" s="56"/>
      <c r="AXT64" s="56"/>
      <c r="AYD64" s="56"/>
      <c r="AYN64" s="56"/>
      <c r="AYX64" s="56"/>
      <c r="AZH64" s="56"/>
      <c r="AZR64" s="56"/>
      <c r="BAB64" s="56"/>
      <c r="BAL64" s="56"/>
      <c r="BAV64" s="56"/>
      <c r="BBF64" s="56"/>
      <c r="BBP64" s="56"/>
      <c r="BBZ64" s="56"/>
      <c r="BCJ64" s="56"/>
      <c r="BCT64" s="56"/>
      <c r="BDD64" s="56"/>
      <c r="BDN64" s="56"/>
      <c r="BDX64" s="56"/>
      <c r="BEH64" s="56"/>
      <c r="BER64" s="56"/>
      <c r="BFB64" s="56"/>
      <c r="BFL64" s="56"/>
      <c r="BFV64" s="56"/>
      <c r="BGF64" s="56"/>
      <c r="BGP64" s="56"/>
      <c r="BGZ64" s="56"/>
      <c r="BHJ64" s="56"/>
      <c r="BHT64" s="56"/>
      <c r="BID64" s="56"/>
      <c r="BIN64" s="56"/>
      <c r="BIX64" s="56"/>
      <c r="BJH64" s="56"/>
      <c r="BJR64" s="56"/>
      <c r="BKB64" s="56"/>
      <c r="BKL64" s="56"/>
      <c r="BKV64" s="56"/>
      <c r="BLF64" s="56"/>
      <c r="BLP64" s="56"/>
      <c r="BLZ64" s="56"/>
      <c r="BMJ64" s="56"/>
      <c r="BMT64" s="56"/>
      <c r="BND64" s="56"/>
      <c r="BNN64" s="56"/>
      <c r="BNX64" s="56"/>
      <c r="BOH64" s="56"/>
      <c r="BOR64" s="56"/>
      <c r="BPB64" s="56"/>
      <c r="BPL64" s="56"/>
      <c r="BPV64" s="56"/>
      <c r="BQF64" s="56"/>
      <c r="BQP64" s="56"/>
      <c r="BQZ64" s="56"/>
      <c r="BRJ64" s="56"/>
      <c r="BRT64" s="56"/>
      <c r="BSD64" s="56"/>
      <c r="BSN64" s="56"/>
      <c r="BSX64" s="56"/>
      <c r="BTH64" s="56"/>
      <c r="BTR64" s="56"/>
      <c r="BUB64" s="56"/>
      <c r="BUL64" s="56"/>
      <c r="BUV64" s="56"/>
      <c r="BVF64" s="56"/>
      <c r="BVP64" s="56"/>
      <c r="BVZ64" s="56"/>
      <c r="BWJ64" s="56"/>
      <c r="BWT64" s="56"/>
      <c r="BXD64" s="56"/>
      <c r="BXN64" s="56"/>
      <c r="BXX64" s="56"/>
      <c r="BYH64" s="56"/>
      <c r="BYR64" s="56"/>
      <c r="BZB64" s="56"/>
      <c r="BZL64" s="56"/>
      <c r="BZV64" s="56"/>
      <c r="CAF64" s="56"/>
      <c r="CAP64" s="56"/>
      <c r="CAZ64" s="56"/>
      <c r="CBJ64" s="56"/>
      <c r="CBT64" s="56"/>
      <c r="CCD64" s="56"/>
      <c r="CCN64" s="56"/>
      <c r="CCX64" s="56"/>
      <c r="CDH64" s="56"/>
      <c r="CDR64" s="56"/>
      <c r="CEB64" s="56"/>
      <c r="CEL64" s="56"/>
      <c r="CEV64" s="56"/>
      <c r="CFF64" s="56"/>
      <c r="CFP64" s="56"/>
      <c r="CFZ64" s="56"/>
      <c r="CGJ64" s="56"/>
      <c r="CGT64" s="56"/>
      <c r="CHD64" s="56"/>
      <c r="CHN64" s="56"/>
      <c r="CHX64" s="56"/>
      <c r="CIH64" s="56"/>
      <c r="CIR64" s="56"/>
      <c r="CJB64" s="56"/>
      <c r="CJL64" s="56"/>
      <c r="CJV64" s="56"/>
      <c r="CKF64" s="56"/>
      <c r="CKP64" s="56"/>
      <c r="CKZ64" s="56"/>
      <c r="CLJ64" s="56"/>
      <c r="CLT64" s="56"/>
      <c r="CMD64" s="56"/>
      <c r="CMN64" s="56"/>
      <c r="CMX64" s="56"/>
      <c r="CNH64" s="56"/>
      <c r="CNR64" s="56"/>
      <c r="COB64" s="56"/>
      <c r="COL64" s="56"/>
      <c r="COV64" s="56"/>
      <c r="CPF64" s="56"/>
      <c r="CPP64" s="56"/>
      <c r="CPZ64" s="56"/>
      <c r="CQJ64" s="56"/>
      <c r="CQT64" s="56"/>
      <c r="CRD64" s="56"/>
      <c r="CRN64" s="56"/>
      <c r="CRX64" s="56"/>
      <c r="CSH64" s="56"/>
      <c r="CSR64" s="56"/>
      <c r="CTB64" s="56"/>
      <c r="CTL64" s="56"/>
      <c r="CTV64" s="56"/>
    </row>
    <row r="65" s="42" customFormat="1" customHeight="1" spans="1:1020 1030:2040 2050:2570">
      <c r="A65" s="51"/>
      <c r="B65" s="52"/>
      <c r="C65" s="52"/>
      <c r="D65" s="52"/>
      <c r="E65" s="52"/>
      <c r="F65" s="53" t="str">
        <f>IFERROR(VLOOKUP(E65,日报!E:G,2,0),"")</f>
        <v/>
      </c>
      <c r="G65" s="52"/>
      <c r="H65" s="54" t="str">
        <f>IFERROR(VLOOKUP(E65,日报!E:H,4,0),"")</f>
        <v/>
      </c>
      <c r="I65" s="54" t="str">
        <f>IFERROR(VLOOKUP(E65,日报!E:G,3,0),"")</f>
        <v/>
      </c>
      <c r="J65" s="52"/>
      <c r="K65" s="55" t="str">
        <f t="shared" si="0"/>
        <v/>
      </c>
      <c r="T65" s="56"/>
      <c r="AD65" s="56"/>
      <c r="AN65" s="56"/>
      <c r="AX65" s="56"/>
      <c r="BH65" s="56"/>
      <c r="BR65" s="56"/>
      <c r="CB65" s="56"/>
      <c r="CL65" s="56"/>
      <c r="CV65" s="56"/>
      <c r="DF65" s="56"/>
      <c r="DP65" s="56"/>
      <c r="DZ65" s="56"/>
      <c r="EJ65" s="56"/>
      <c r="ET65" s="56"/>
      <c r="FD65" s="56"/>
      <c r="FN65" s="56"/>
      <c r="FX65" s="56"/>
      <c r="GH65" s="56"/>
      <c r="GR65" s="56"/>
      <c r="HB65" s="56"/>
      <c r="HL65" s="56"/>
      <c r="HV65" s="56"/>
      <c r="IF65" s="56"/>
      <c r="IP65" s="56"/>
      <c r="IZ65" s="56"/>
      <c r="JJ65" s="56"/>
      <c r="JT65" s="56"/>
      <c r="KD65" s="56"/>
      <c r="KN65" s="56"/>
      <c r="KX65" s="56"/>
      <c r="LH65" s="56"/>
      <c r="LR65" s="56"/>
      <c r="MB65" s="56"/>
      <c r="ML65" s="56"/>
      <c r="MV65" s="56"/>
      <c r="NF65" s="56"/>
      <c r="NP65" s="56"/>
      <c r="NZ65" s="56"/>
      <c r="OJ65" s="56"/>
      <c r="OT65" s="56"/>
      <c r="PD65" s="56"/>
      <c r="PN65" s="56"/>
      <c r="PX65" s="56"/>
      <c r="QH65" s="56"/>
      <c r="QR65" s="56"/>
      <c r="RB65" s="56"/>
      <c r="RL65" s="56"/>
      <c r="RV65" s="56"/>
      <c r="SF65" s="56"/>
      <c r="SP65" s="56"/>
      <c r="SZ65" s="56"/>
      <c r="TJ65" s="56"/>
      <c r="TT65" s="56"/>
      <c r="UD65" s="56"/>
      <c r="UN65" s="56"/>
      <c r="UX65" s="56"/>
      <c r="VH65" s="56"/>
      <c r="VR65" s="56"/>
      <c r="WB65" s="56"/>
      <c r="WL65" s="56"/>
      <c r="WV65" s="56"/>
      <c r="XF65" s="56"/>
      <c r="XP65" s="56"/>
      <c r="XZ65" s="56"/>
      <c r="YJ65" s="56"/>
      <c r="YT65" s="56"/>
      <c r="ZD65" s="56"/>
      <c r="ZN65" s="56"/>
      <c r="ZX65" s="56"/>
      <c r="AAH65" s="56"/>
      <c r="AAR65" s="56"/>
      <c r="ABB65" s="56"/>
      <c r="ABL65" s="56"/>
      <c r="ABV65" s="56"/>
      <c r="ACF65" s="56"/>
      <c r="ACP65" s="56"/>
      <c r="ACZ65" s="56"/>
      <c r="ADJ65" s="56"/>
      <c r="ADT65" s="56"/>
      <c r="AED65" s="56"/>
      <c r="AEN65" s="56"/>
      <c r="AEX65" s="56"/>
      <c r="AFH65" s="56"/>
      <c r="AFR65" s="56"/>
      <c r="AGB65" s="56"/>
      <c r="AGL65" s="56"/>
      <c r="AGV65" s="56"/>
      <c r="AHF65" s="56"/>
      <c r="AHP65" s="56"/>
      <c r="AHZ65" s="56"/>
      <c r="AIJ65" s="56"/>
      <c r="AIT65" s="56"/>
      <c r="AJD65" s="56"/>
      <c r="AJN65" s="56"/>
      <c r="AJX65" s="56"/>
      <c r="AKH65" s="56"/>
      <c r="AKR65" s="56"/>
      <c r="ALB65" s="56"/>
      <c r="ALL65" s="56"/>
      <c r="ALV65" s="56"/>
      <c r="AMF65" s="56"/>
      <c r="AMP65" s="56"/>
      <c r="AMZ65" s="56"/>
      <c r="ANJ65" s="56"/>
      <c r="ANT65" s="56"/>
      <c r="AOD65" s="56"/>
      <c r="AON65" s="56"/>
      <c r="AOX65" s="56"/>
      <c r="APH65" s="56"/>
      <c r="APR65" s="56"/>
      <c r="AQB65" s="56"/>
      <c r="AQL65" s="56"/>
      <c r="AQV65" s="56"/>
      <c r="ARF65" s="56"/>
      <c r="ARP65" s="56"/>
      <c r="ARZ65" s="56"/>
      <c r="ASJ65" s="56"/>
      <c r="AST65" s="56"/>
      <c r="ATD65" s="56"/>
      <c r="ATN65" s="56"/>
      <c r="ATX65" s="56"/>
      <c r="AUH65" s="56"/>
      <c r="AUR65" s="56"/>
      <c r="AVB65" s="56"/>
      <c r="AVL65" s="56"/>
      <c r="AVV65" s="56"/>
      <c r="AWF65" s="56"/>
      <c r="AWP65" s="56"/>
      <c r="AWZ65" s="56"/>
      <c r="AXJ65" s="56"/>
      <c r="AXT65" s="56"/>
      <c r="AYD65" s="56"/>
      <c r="AYN65" s="56"/>
      <c r="AYX65" s="56"/>
      <c r="AZH65" s="56"/>
      <c r="AZR65" s="56"/>
      <c r="BAB65" s="56"/>
      <c r="BAL65" s="56"/>
      <c r="BAV65" s="56"/>
      <c r="BBF65" s="56"/>
      <c r="BBP65" s="56"/>
      <c r="BBZ65" s="56"/>
      <c r="BCJ65" s="56"/>
      <c r="BCT65" s="56"/>
      <c r="BDD65" s="56"/>
      <c r="BDN65" s="56"/>
      <c r="BDX65" s="56"/>
      <c r="BEH65" s="56"/>
      <c r="BER65" s="56"/>
      <c r="BFB65" s="56"/>
      <c r="BFL65" s="56"/>
      <c r="BFV65" s="56"/>
      <c r="BGF65" s="56"/>
      <c r="BGP65" s="56"/>
      <c r="BGZ65" s="56"/>
      <c r="BHJ65" s="56"/>
      <c r="BHT65" s="56"/>
      <c r="BID65" s="56"/>
      <c r="BIN65" s="56"/>
      <c r="BIX65" s="56"/>
      <c r="BJH65" s="56"/>
      <c r="BJR65" s="56"/>
      <c r="BKB65" s="56"/>
      <c r="BKL65" s="56"/>
      <c r="BKV65" s="56"/>
      <c r="BLF65" s="56"/>
      <c r="BLP65" s="56"/>
      <c r="BLZ65" s="56"/>
      <c r="BMJ65" s="56"/>
      <c r="BMT65" s="56"/>
      <c r="BND65" s="56"/>
      <c r="BNN65" s="56"/>
      <c r="BNX65" s="56"/>
      <c r="BOH65" s="56"/>
      <c r="BOR65" s="56"/>
      <c r="BPB65" s="56"/>
      <c r="BPL65" s="56"/>
      <c r="BPV65" s="56"/>
      <c r="BQF65" s="56"/>
      <c r="BQP65" s="56"/>
      <c r="BQZ65" s="56"/>
      <c r="BRJ65" s="56"/>
      <c r="BRT65" s="56"/>
      <c r="BSD65" s="56"/>
      <c r="BSN65" s="56"/>
      <c r="BSX65" s="56"/>
      <c r="BTH65" s="56"/>
      <c r="BTR65" s="56"/>
      <c r="BUB65" s="56"/>
      <c r="BUL65" s="56"/>
      <c r="BUV65" s="56"/>
      <c r="BVF65" s="56"/>
      <c r="BVP65" s="56"/>
      <c r="BVZ65" s="56"/>
      <c r="BWJ65" s="56"/>
      <c r="BWT65" s="56"/>
      <c r="BXD65" s="56"/>
      <c r="BXN65" s="56"/>
      <c r="BXX65" s="56"/>
      <c r="BYH65" s="56"/>
      <c r="BYR65" s="56"/>
      <c r="BZB65" s="56"/>
      <c r="BZL65" s="56"/>
      <c r="BZV65" s="56"/>
      <c r="CAF65" s="56"/>
      <c r="CAP65" s="56"/>
      <c r="CAZ65" s="56"/>
      <c r="CBJ65" s="56"/>
      <c r="CBT65" s="56"/>
      <c r="CCD65" s="56"/>
      <c r="CCN65" s="56"/>
      <c r="CCX65" s="56"/>
      <c r="CDH65" s="56"/>
      <c r="CDR65" s="56"/>
      <c r="CEB65" s="56"/>
      <c r="CEL65" s="56"/>
      <c r="CEV65" s="56"/>
      <c r="CFF65" s="56"/>
      <c r="CFP65" s="56"/>
      <c r="CFZ65" s="56"/>
      <c r="CGJ65" s="56"/>
      <c r="CGT65" s="56"/>
      <c r="CHD65" s="56"/>
      <c r="CHN65" s="56"/>
      <c r="CHX65" s="56"/>
      <c r="CIH65" s="56"/>
      <c r="CIR65" s="56"/>
      <c r="CJB65" s="56"/>
      <c r="CJL65" s="56"/>
      <c r="CJV65" s="56"/>
      <c r="CKF65" s="56"/>
      <c r="CKP65" s="56"/>
      <c r="CKZ65" s="56"/>
      <c r="CLJ65" s="56"/>
      <c r="CLT65" s="56"/>
      <c r="CMD65" s="56"/>
      <c r="CMN65" s="56"/>
      <c r="CMX65" s="56"/>
      <c r="CNH65" s="56"/>
      <c r="CNR65" s="56"/>
      <c r="COB65" s="56"/>
      <c r="COL65" s="56"/>
      <c r="COV65" s="56"/>
      <c r="CPF65" s="56"/>
      <c r="CPP65" s="56"/>
      <c r="CPZ65" s="56"/>
      <c r="CQJ65" s="56"/>
      <c r="CQT65" s="56"/>
      <c r="CRD65" s="56"/>
      <c r="CRN65" s="56"/>
      <c r="CRX65" s="56"/>
      <c r="CSH65" s="56"/>
      <c r="CSR65" s="56"/>
      <c r="CTB65" s="56"/>
      <c r="CTL65" s="56"/>
      <c r="CTV65" s="56"/>
    </row>
    <row r="66" s="42" customFormat="1" customHeight="1" spans="1:1020 1030:2040 2050:2570">
      <c r="A66" s="51"/>
      <c r="B66" s="52"/>
      <c r="C66" s="52"/>
      <c r="D66" s="52"/>
      <c r="E66" s="52"/>
      <c r="F66" s="53" t="str">
        <f>IFERROR(VLOOKUP(E66,日报!E:G,2,0),"")</f>
        <v/>
      </c>
      <c r="G66" s="52"/>
      <c r="H66" s="54" t="str">
        <f>IFERROR(VLOOKUP(E66,日报!E:H,4,0),"")</f>
        <v/>
      </c>
      <c r="I66" s="54" t="str">
        <f>IFERROR(VLOOKUP(E66,日报!E:G,3,0),"")</f>
        <v/>
      </c>
      <c r="J66" s="52"/>
      <c r="K66" s="55" t="str">
        <f t="shared" si="0"/>
        <v/>
      </c>
      <c r="T66" s="56"/>
      <c r="AD66" s="56"/>
      <c r="AN66" s="56"/>
      <c r="AX66" s="56"/>
      <c r="BH66" s="56"/>
      <c r="BR66" s="56"/>
      <c r="CB66" s="56"/>
      <c r="CL66" s="56"/>
      <c r="CV66" s="56"/>
      <c r="DF66" s="56"/>
      <c r="DP66" s="56"/>
      <c r="DZ66" s="56"/>
      <c r="EJ66" s="56"/>
      <c r="ET66" s="56"/>
      <c r="FD66" s="56"/>
      <c r="FN66" s="56"/>
      <c r="FX66" s="56"/>
      <c r="GH66" s="56"/>
      <c r="GR66" s="56"/>
      <c r="HB66" s="56"/>
      <c r="HL66" s="56"/>
      <c r="HV66" s="56"/>
      <c r="IF66" s="56"/>
      <c r="IP66" s="56"/>
      <c r="IZ66" s="56"/>
      <c r="JJ66" s="56"/>
      <c r="JT66" s="56"/>
      <c r="KD66" s="56"/>
      <c r="KN66" s="56"/>
      <c r="KX66" s="56"/>
      <c r="LH66" s="56"/>
      <c r="LR66" s="56"/>
      <c r="MB66" s="56"/>
      <c r="ML66" s="56"/>
      <c r="MV66" s="56"/>
      <c r="NF66" s="56"/>
      <c r="NP66" s="56"/>
      <c r="NZ66" s="56"/>
      <c r="OJ66" s="56"/>
      <c r="OT66" s="56"/>
      <c r="PD66" s="56"/>
      <c r="PN66" s="56"/>
      <c r="PX66" s="56"/>
      <c r="QH66" s="56"/>
      <c r="QR66" s="56"/>
      <c r="RB66" s="56"/>
      <c r="RL66" s="56"/>
      <c r="RV66" s="56"/>
      <c r="SF66" s="56"/>
      <c r="SP66" s="56"/>
      <c r="SZ66" s="56"/>
      <c r="TJ66" s="56"/>
      <c r="TT66" s="56"/>
      <c r="UD66" s="56"/>
      <c r="UN66" s="56"/>
      <c r="UX66" s="56"/>
      <c r="VH66" s="56"/>
      <c r="VR66" s="56"/>
      <c r="WB66" s="56"/>
      <c r="WL66" s="56"/>
      <c r="WV66" s="56"/>
      <c r="XF66" s="56"/>
      <c r="XP66" s="56"/>
      <c r="XZ66" s="56"/>
      <c r="YJ66" s="56"/>
      <c r="YT66" s="56"/>
      <c r="ZD66" s="56"/>
      <c r="ZN66" s="56"/>
      <c r="ZX66" s="56"/>
      <c r="AAH66" s="56"/>
      <c r="AAR66" s="56"/>
      <c r="ABB66" s="56"/>
      <c r="ABL66" s="56"/>
      <c r="ABV66" s="56"/>
      <c r="ACF66" s="56"/>
      <c r="ACP66" s="56"/>
      <c r="ACZ66" s="56"/>
      <c r="ADJ66" s="56"/>
      <c r="ADT66" s="56"/>
      <c r="AED66" s="56"/>
      <c r="AEN66" s="56"/>
      <c r="AEX66" s="56"/>
      <c r="AFH66" s="56"/>
      <c r="AFR66" s="56"/>
      <c r="AGB66" s="56"/>
      <c r="AGL66" s="56"/>
      <c r="AGV66" s="56"/>
      <c r="AHF66" s="56"/>
      <c r="AHP66" s="56"/>
      <c r="AHZ66" s="56"/>
      <c r="AIJ66" s="56"/>
      <c r="AIT66" s="56"/>
      <c r="AJD66" s="56"/>
      <c r="AJN66" s="56"/>
      <c r="AJX66" s="56"/>
      <c r="AKH66" s="56"/>
      <c r="AKR66" s="56"/>
      <c r="ALB66" s="56"/>
      <c r="ALL66" s="56"/>
      <c r="ALV66" s="56"/>
      <c r="AMF66" s="56"/>
      <c r="AMP66" s="56"/>
      <c r="AMZ66" s="56"/>
      <c r="ANJ66" s="56"/>
      <c r="ANT66" s="56"/>
      <c r="AOD66" s="56"/>
      <c r="AON66" s="56"/>
      <c r="AOX66" s="56"/>
      <c r="APH66" s="56"/>
      <c r="APR66" s="56"/>
      <c r="AQB66" s="56"/>
      <c r="AQL66" s="56"/>
      <c r="AQV66" s="56"/>
      <c r="ARF66" s="56"/>
      <c r="ARP66" s="56"/>
      <c r="ARZ66" s="56"/>
      <c r="ASJ66" s="56"/>
      <c r="AST66" s="56"/>
      <c r="ATD66" s="56"/>
      <c r="ATN66" s="56"/>
      <c r="ATX66" s="56"/>
      <c r="AUH66" s="56"/>
      <c r="AUR66" s="56"/>
      <c r="AVB66" s="56"/>
      <c r="AVL66" s="56"/>
      <c r="AVV66" s="56"/>
      <c r="AWF66" s="56"/>
      <c r="AWP66" s="56"/>
      <c r="AWZ66" s="56"/>
      <c r="AXJ66" s="56"/>
      <c r="AXT66" s="56"/>
      <c r="AYD66" s="56"/>
      <c r="AYN66" s="56"/>
      <c r="AYX66" s="56"/>
      <c r="AZH66" s="56"/>
      <c r="AZR66" s="56"/>
      <c r="BAB66" s="56"/>
      <c r="BAL66" s="56"/>
      <c r="BAV66" s="56"/>
      <c r="BBF66" s="56"/>
      <c r="BBP66" s="56"/>
      <c r="BBZ66" s="56"/>
      <c r="BCJ66" s="56"/>
      <c r="BCT66" s="56"/>
      <c r="BDD66" s="56"/>
      <c r="BDN66" s="56"/>
      <c r="BDX66" s="56"/>
      <c r="BEH66" s="56"/>
      <c r="BER66" s="56"/>
      <c r="BFB66" s="56"/>
      <c r="BFL66" s="56"/>
      <c r="BFV66" s="56"/>
      <c r="BGF66" s="56"/>
      <c r="BGP66" s="56"/>
      <c r="BGZ66" s="56"/>
      <c r="BHJ66" s="56"/>
      <c r="BHT66" s="56"/>
      <c r="BID66" s="56"/>
      <c r="BIN66" s="56"/>
      <c r="BIX66" s="56"/>
      <c r="BJH66" s="56"/>
      <c r="BJR66" s="56"/>
      <c r="BKB66" s="56"/>
      <c r="BKL66" s="56"/>
      <c r="BKV66" s="56"/>
      <c r="BLF66" s="56"/>
      <c r="BLP66" s="56"/>
      <c r="BLZ66" s="56"/>
      <c r="BMJ66" s="56"/>
      <c r="BMT66" s="56"/>
      <c r="BND66" s="56"/>
      <c r="BNN66" s="56"/>
      <c r="BNX66" s="56"/>
      <c r="BOH66" s="56"/>
      <c r="BOR66" s="56"/>
      <c r="BPB66" s="56"/>
      <c r="BPL66" s="56"/>
      <c r="BPV66" s="56"/>
      <c r="BQF66" s="56"/>
      <c r="BQP66" s="56"/>
      <c r="BQZ66" s="56"/>
      <c r="BRJ66" s="56"/>
      <c r="BRT66" s="56"/>
      <c r="BSD66" s="56"/>
      <c r="BSN66" s="56"/>
      <c r="BSX66" s="56"/>
      <c r="BTH66" s="56"/>
      <c r="BTR66" s="56"/>
      <c r="BUB66" s="56"/>
      <c r="BUL66" s="56"/>
      <c r="BUV66" s="56"/>
      <c r="BVF66" s="56"/>
      <c r="BVP66" s="56"/>
      <c r="BVZ66" s="56"/>
      <c r="BWJ66" s="56"/>
      <c r="BWT66" s="56"/>
      <c r="BXD66" s="56"/>
      <c r="BXN66" s="56"/>
      <c r="BXX66" s="56"/>
      <c r="BYH66" s="56"/>
      <c r="BYR66" s="56"/>
      <c r="BZB66" s="56"/>
      <c r="BZL66" s="56"/>
      <c r="BZV66" s="56"/>
      <c r="CAF66" s="56"/>
      <c r="CAP66" s="56"/>
      <c r="CAZ66" s="56"/>
      <c r="CBJ66" s="56"/>
      <c r="CBT66" s="56"/>
      <c r="CCD66" s="56"/>
      <c r="CCN66" s="56"/>
      <c r="CCX66" s="56"/>
      <c r="CDH66" s="56"/>
      <c r="CDR66" s="56"/>
      <c r="CEB66" s="56"/>
      <c r="CEL66" s="56"/>
      <c r="CEV66" s="56"/>
      <c r="CFF66" s="56"/>
      <c r="CFP66" s="56"/>
      <c r="CFZ66" s="56"/>
      <c r="CGJ66" s="56"/>
      <c r="CGT66" s="56"/>
      <c r="CHD66" s="56"/>
      <c r="CHN66" s="56"/>
      <c r="CHX66" s="56"/>
      <c r="CIH66" s="56"/>
      <c r="CIR66" s="56"/>
      <c r="CJB66" s="56"/>
      <c r="CJL66" s="56"/>
      <c r="CJV66" s="56"/>
      <c r="CKF66" s="56"/>
      <c r="CKP66" s="56"/>
      <c r="CKZ66" s="56"/>
      <c r="CLJ66" s="56"/>
      <c r="CLT66" s="56"/>
      <c r="CMD66" s="56"/>
      <c r="CMN66" s="56"/>
      <c r="CMX66" s="56"/>
      <c r="CNH66" s="56"/>
      <c r="CNR66" s="56"/>
      <c r="COB66" s="56"/>
      <c r="COL66" s="56"/>
      <c r="COV66" s="56"/>
      <c r="CPF66" s="56"/>
      <c r="CPP66" s="56"/>
      <c r="CPZ66" s="56"/>
      <c r="CQJ66" s="56"/>
      <c r="CQT66" s="56"/>
      <c r="CRD66" s="56"/>
      <c r="CRN66" s="56"/>
      <c r="CRX66" s="56"/>
      <c r="CSH66" s="56"/>
      <c r="CSR66" s="56"/>
      <c r="CTB66" s="56"/>
      <c r="CTL66" s="56"/>
      <c r="CTV66" s="56"/>
    </row>
    <row r="67" s="42" customFormat="1" customHeight="1" spans="1:1020 1030:2040 2050:2570">
      <c r="A67" s="51"/>
      <c r="B67" s="52"/>
      <c r="C67" s="52"/>
      <c r="D67" s="52"/>
      <c r="E67" s="52"/>
      <c r="F67" s="53" t="str">
        <f>IFERROR(VLOOKUP(E67,日报!E:G,2,0),"")</f>
        <v/>
      </c>
      <c r="G67" s="52"/>
      <c r="H67" s="54" t="str">
        <f>IFERROR(VLOOKUP(E67,日报!E:H,4,0),"")</f>
        <v/>
      </c>
      <c r="I67" s="54" t="str">
        <f>IFERROR(VLOOKUP(E67,日报!E:G,3,0),"")</f>
        <v/>
      </c>
      <c r="J67" s="52"/>
      <c r="K67" s="55" t="str">
        <f t="shared" si="0"/>
        <v/>
      </c>
      <c r="T67" s="56"/>
      <c r="AD67" s="56"/>
      <c r="AN67" s="56"/>
      <c r="AX67" s="56"/>
      <c r="BH67" s="56"/>
      <c r="BR67" s="56"/>
      <c r="CB67" s="56"/>
      <c r="CL67" s="56"/>
      <c r="CV67" s="56"/>
      <c r="DF67" s="56"/>
      <c r="DP67" s="56"/>
      <c r="DZ67" s="56"/>
      <c r="EJ67" s="56"/>
      <c r="ET67" s="56"/>
      <c r="FD67" s="56"/>
      <c r="FN67" s="56"/>
      <c r="FX67" s="56"/>
      <c r="GH67" s="56"/>
      <c r="GR67" s="56"/>
      <c r="HB67" s="56"/>
      <c r="HL67" s="56"/>
      <c r="HV67" s="56"/>
      <c r="IF67" s="56"/>
      <c r="IP67" s="56"/>
      <c r="IZ67" s="56"/>
      <c r="JJ67" s="56"/>
      <c r="JT67" s="56"/>
      <c r="KD67" s="56"/>
      <c r="KN67" s="56"/>
      <c r="KX67" s="56"/>
      <c r="LH67" s="56"/>
      <c r="LR67" s="56"/>
      <c r="MB67" s="56"/>
      <c r="ML67" s="56"/>
      <c r="MV67" s="56"/>
      <c r="NF67" s="56"/>
      <c r="NP67" s="56"/>
      <c r="NZ67" s="56"/>
      <c r="OJ67" s="56"/>
      <c r="OT67" s="56"/>
      <c r="PD67" s="56"/>
      <c r="PN67" s="56"/>
      <c r="PX67" s="56"/>
      <c r="QH67" s="56"/>
      <c r="QR67" s="56"/>
      <c r="RB67" s="56"/>
      <c r="RL67" s="56"/>
      <c r="RV67" s="56"/>
      <c r="SF67" s="56"/>
      <c r="SP67" s="56"/>
      <c r="SZ67" s="56"/>
      <c r="TJ67" s="56"/>
      <c r="TT67" s="56"/>
      <c r="UD67" s="56"/>
      <c r="UN67" s="56"/>
      <c r="UX67" s="56"/>
      <c r="VH67" s="56"/>
      <c r="VR67" s="56"/>
      <c r="WB67" s="56"/>
      <c r="WL67" s="56"/>
      <c r="WV67" s="56"/>
      <c r="XF67" s="56"/>
      <c r="XP67" s="56"/>
      <c r="XZ67" s="56"/>
      <c r="YJ67" s="56"/>
      <c r="YT67" s="56"/>
      <c r="ZD67" s="56"/>
      <c r="ZN67" s="56"/>
      <c r="ZX67" s="56"/>
      <c r="AAH67" s="56"/>
      <c r="AAR67" s="56"/>
      <c r="ABB67" s="56"/>
      <c r="ABL67" s="56"/>
      <c r="ABV67" s="56"/>
      <c r="ACF67" s="56"/>
      <c r="ACP67" s="56"/>
      <c r="ACZ67" s="56"/>
      <c r="ADJ67" s="56"/>
      <c r="ADT67" s="56"/>
      <c r="AED67" s="56"/>
      <c r="AEN67" s="56"/>
      <c r="AEX67" s="56"/>
      <c r="AFH67" s="56"/>
      <c r="AFR67" s="56"/>
      <c r="AGB67" s="56"/>
      <c r="AGL67" s="56"/>
      <c r="AGV67" s="56"/>
      <c r="AHF67" s="56"/>
      <c r="AHP67" s="56"/>
      <c r="AHZ67" s="56"/>
      <c r="AIJ67" s="56"/>
      <c r="AIT67" s="56"/>
      <c r="AJD67" s="56"/>
      <c r="AJN67" s="56"/>
      <c r="AJX67" s="56"/>
      <c r="AKH67" s="56"/>
      <c r="AKR67" s="56"/>
      <c r="ALB67" s="56"/>
      <c r="ALL67" s="56"/>
      <c r="ALV67" s="56"/>
      <c r="AMF67" s="56"/>
      <c r="AMP67" s="56"/>
      <c r="AMZ67" s="56"/>
      <c r="ANJ67" s="56"/>
      <c r="ANT67" s="56"/>
      <c r="AOD67" s="56"/>
      <c r="AON67" s="56"/>
      <c r="AOX67" s="56"/>
      <c r="APH67" s="56"/>
      <c r="APR67" s="56"/>
      <c r="AQB67" s="56"/>
      <c r="AQL67" s="56"/>
      <c r="AQV67" s="56"/>
      <c r="ARF67" s="56"/>
      <c r="ARP67" s="56"/>
      <c r="ARZ67" s="56"/>
      <c r="ASJ67" s="56"/>
      <c r="AST67" s="56"/>
      <c r="ATD67" s="56"/>
      <c r="ATN67" s="56"/>
      <c r="ATX67" s="56"/>
      <c r="AUH67" s="56"/>
      <c r="AUR67" s="56"/>
      <c r="AVB67" s="56"/>
      <c r="AVL67" s="56"/>
      <c r="AVV67" s="56"/>
      <c r="AWF67" s="56"/>
      <c r="AWP67" s="56"/>
      <c r="AWZ67" s="56"/>
      <c r="AXJ67" s="56"/>
      <c r="AXT67" s="56"/>
      <c r="AYD67" s="56"/>
      <c r="AYN67" s="56"/>
      <c r="AYX67" s="56"/>
      <c r="AZH67" s="56"/>
      <c r="AZR67" s="56"/>
      <c r="BAB67" s="56"/>
      <c r="BAL67" s="56"/>
      <c r="BAV67" s="56"/>
      <c r="BBF67" s="56"/>
      <c r="BBP67" s="56"/>
      <c r="BBZ67" s="56"/>
      <c r="BCJ67" s="56"/>
      <c r="BCT67" s="56"/>
      <c r="BDD67" s="56"/>
      <c r="BDN67" s="56"/>
      <c r="BDX67" s="56"/>
      <c r="BEH67" s="56"/>
      <c r="BER67" s="56"/>
      <c r="BFB67" s="56"/>
      <c r="BFL67" s="56"/>
      <c r="BFV67" s="56"/>
      <c r="BGF67" s="56"/>
      <c r="BGP67" s="56"/>
      <c r="BGZ67" s="56"/>
      <c r="BHJ67" s="56"/>
      <c r="BHT67" s="56"/>
      <c r="BID67" s="56"/>
      <c r="BIN67" s="56"/>
      <c r="BIX67" s="56"/>
      <c r="BJH67" s="56"/>
      <c r="BJR67" s="56"/>
      <c r="BKB67" s="56"/>
      <c r="BKL67" s="56"/>
      <c r="BKV67" s="56"/>
      <c r="BLF67" s="56"/>
      <c r="BLP67" s="56"/>
      <c r="BLZ67" s="56"/>
      <c r="BMJ67" s="56"/>
      <c r="BMT67" s="56"/>
      <c r="BND67" s="56"/>
      <c r="BNN67" s="56"/>
      <c r="BNX67" s="56"/>
      <c r="BOH67" s="56"/>
      <c r="BOR67" s="56"/>
      <c r="BPB67" s="56"/>
      <c r="BPL67" s="56"/>
      <c r="BPV67" s="56"/>
      <c r="BQF67" s="56"/>
      <c r="BQP67" s="56"/>
      <c r="BQZ67" s="56"/>
      <c r="BRJ67" s="56"/>
      <c r="BRT67" s="56"/>
      <c r="BSD67" s="56"/>
      <c r="BSN67" s="56"/>
      <c r="BSX67" s="56"/>
      <c r="BTH67" s="56"/>
      <c r="BTR67" s="56"/>
      <c r="BUB67" s="56"/>
      <c r="BUL67" s="56"/>
      <c r="BUV67" s="56"/>
      <c r="BVF67" s="56"/>
      <c r="BVP67" s="56"/>
      <c r="BVZ67" s="56"/>
      <c r="BWJ67" s="56"/>
      <c r="BWT67" s="56"/>
      <c r="BXD67" s="56"/>
      <c r="BXN67" s="56"/>
      <c r="BXX67" s="56"/>
      <c r="BYH67" s="56"/>
      <c r="BYR67" s="56"/>
      <c r="BZB67" s="56"/>
      <c r="BZL67" s="56"/>
      <c r="BZV67" s="56"/>
      <c r="CAF67" s="56"/>
      <c r="CAP67" s="56"/>
      <c r="CAZ67" s="56"/>
      <c r="CBJ67" s="56"/>
      <c r="CBT67" s="56"/>
      <c r="CCD67" s="56"/>
      <c r="CCN67" s="56"/>
      <c r="CCX67" s="56"/>
      <c r="CDH67" s="56"/>
      <c r="CDR67" s="56"/>
      <c r="CEB67" s="56"/>
      <c r="CEL67" s="56"/>
      <c r="CEV67" s="56"/>
      <c r="CFF67" s="56"/>
      <c r="CFP67" s="56"/>
      <c r="CFZ67" s="56"/>
      <c r="CGJ67" s="56"/>
      <c r="CGT67" s="56"/>
      <c r="CHD67" s="56"/>
      <c r="CHN67" s="56"/>
      <c r="CHX67" s="56"/>
      <c r="CIH67" s="56"/>
      <c r="CIR67" s="56"/>
      <c r="CJB67" s="56"/>
      <c r="CJL67" s="56"/>
      <c r="CJV67" s="56"/>
      <c r="CKF67" s="56"/>
      <c r="CKP67" s="56"/>
      <c r="CKZ67" s="56"/>
      <c r="CLJ67" s="56"/>
      <c r="CLT67" s="56"/>
      <c r="CMD67" s="56"/>
      <c r="CMN67" s="56"/>
      <c r="CMX67" s="56"/>
      <c r="CNH67" s="56"/>
      <c r="CNR67" s="56"/>
      <c r="COB67" s="56"/>
      <c r="COL67" s="56"/>
      <c r="COV67" s="56"/>
      <c r="CPF67" s="56"/>
      <c r="CPP67" s="56"/>
      <c r="CPZ67" s="56"/>
      <c r="CQJ67" s="56"/>
      <c r="CQT67" s="56"/>
      <c r="CRD67" s="56"/>
      <c r="CRN67" s="56"/>
      <c r="CRX67" s="56"/>
      <c r="CSH67" s="56"/>
      <c r="CSR67" s="56"/>
      <c r="CTB67" s="56"/>
      <c r="CTL67" s="56"/>
      <c r="CTV67" s="56"/>
    </row>
    <row r="68" s="42" customFormat="1" customHeight="1" spans="1:1020 1030:2040 2050:2570">
      <c r="A68" s="51"/>
      <c r="B68" s="52"/>
      <c r="C68" s="52"/>
      <c r="D68" s="52"/>
      <c r="E68" s="52"/>
      <c r="F68" s="53" t="str">
        <f>IFERROR(VLOOKUP(E68,日报!E:G,2,0),"")</f>
        <v/>
      </c>
      <c r="G68" s="52"/>
      <c r="H68" s="54" t="str">
        <f>IFERROR(VLOOKUP(E68,日报!E:H,4,0),"")</f>
        <v/>
      </c>
      <c r="I68" s="54" t="str">
        <f>IFERROR(VLOOKUP(E68,日报!E:G,3,0),"")</f>
        <v/>
      </c>
      <c r="J68" s="52"/>
      <c r="K68" s="55" t="str">
        <f t="shared" si="0"/>
        <v/>
      </c>
      <c r="T68" s="56"/>
      <c r="AD68" s="56"/>
      <c r="AN68" s="56"/>
      <c r="AX68" s="56"/>
      <c r="BH68" s="56"/>
      <c r="BR68" s="56"/>
      <c r="CB68" s="56"/>
      <c r="CL68" s="56"/>
      <c r="CV68" s="56"/>
      <c r="DF68" s="56"/>
      <c r="DP68" s="56"/>
      <c r="DZ68" s="56"/>
      <c r="EJ68" s="56"/>
      <c r="ET68" s="56"/>
      <c r="FD68" s="56"/>
      <c r="FN68" s="56"/>
      <c r="FX68" s="56"/>
      <c r="GH68" s="56"/>
      <c r="GR68" s="56"/>
      <c r="HB68" s="56"/>
      <c r="HL68" s="56"/>
      <c r="HV68" s="56"/>
      <c r="IF68" s="56"/>
      <c r="IP68" s="56"/>
      <c r="IZ68" s="56"/>
      <c r="JJ68" s="56"/>
      <c r="JT68" s="56"/>
      <c r="KD68" s="56"/>
      <c r="KN68" s="56"/>
      <c r="KX68" s="56"/>
      <c r="LH68" s="56"/>
      <c r="LR68" s="56"/>
      <c r="MB68" s="56"/>
      <c r="ML68" s="56"/>
      <c r="MV68" s="56"/>
      <c r="NF68" s="56"/>
      <c r="NP68" s="56"/>
      <c r="NZ68" s="56"/>
      <c r="OJ68" s="56"/>
      <c r="OT68" s="56"/>
      <c r="PD68" s="56"/>
      <c r="PN68" s="56"/>
      <c r="PX68" s="56"/>
      <c r="QH68" s="56"/>
      <c r="QR68" s="56"/>
      <c r="RB68" s="56"/>
      <c r="RL68" s="56"/>
      <c r="RV68" s="56"/>
      <c r="SF68" s="56"/>
      <c r="SP68" s="56"/>
      <c r="SZ68" s="56"/>
      <c r="TJ68" s="56"/>
      <c r="TT68" s="56"/>
      <c r="UD68" s="56"/>
      <c r="UN68" s="56"/>
      <c r="UX68" s="56"/>
      <c r="VH68" s="56"/>
      <c r="VR68" s="56"/>
      <c r="WB68" s="56"/>
      <c r="WL68" s="56"/>
      <c r="WV68" s="56"/>
      <c r="XF68" s="56"/>
      <c r="XP68" s="56"/>
      <c r="XZ68" s="56"/>
      <c r="YJ68" s="56"/>
      <c r="YT68" s="56"/>
      <c r="ZD68" s="56"/>
      <c r="ZN68" s="56"/>
      <c r="ZX68" s="56"/>
      <c r="AAH68" s="56"/>
      <c r="AAR68" s="56"/>
      <c r="ABB68" s="56"/>
      <c r="ABL68" s="56"/>
      <c r="ABV68" s="56"/>
      <c r="ACF68" s="56"/>
      <c r="ACP68" s="56"/>
      <c r="ACZ68" s="56"/>
      <c r="ADJ68" s="56"/>
      <c r="ADT68" s="56"/>
      <c r="AED68" s="56"/>
      <c r="AEN68" s="56"/>
      <c r="AEX68" s="56"/>
      <c r="AFH68" s="56"/>
      <c r="AFR68" s="56"/>
      <c r="AGB68" s="56"/>
      <c r="AGL68" s="56"/>
      <c r="AGV68" s="56"/>
      <c r="AHF68" s="56"/>
      <c r="AHP68" s="56"/>
      <c r="AHZ68" s="56"/>
      <c r="AIJ68" s="56"/>
      <c r="AIT68" s="56"/>
      <c r="AJD68" s="56"/>
      <c r="AJN68" s="56"/>
      <c r="AJX68" s="56"/>
      <c r="AKH68" s="56"/>
      <c r="AKR68" s="56"/>
      <c r="ALB68" s="56"/>
      <c r="ALL68" s="56"/>
      <c r="ALV68" s="56"/>
      <c r="AMF68" s="56"/>
      <c r="AMP68" s="56"/>
      <c r="AMZ68" s="56"/>
      <c r="ANJ68" s="56"/>
      <c r="ANT68" s="56"/>
      <c r="AOD68" s="56"/>
      <c r="AON68" s="56"/>
      <c r="AOX68" s="56"/>
      <c r="APH68" s="56"/>
      <c r="APR68" s="56"/>
      <c r="AQB68" s="56"/>
      <c r="AQL68" s="56"/>
      <c r="AQV68" s="56"/>
      <c r="ARF68" s="56"/>
      <c r="ARP68" s="56"/>
      <c r="ARZ68" s="56"/>
      <c r="ASJ68" s="56"/>
      <c r="AST68" s="56"/>
      <c r="ATD68" s="56"/>
      <c r="ATN68" s="56"/>
      <c r="ATX68" s="56"/>
      <c r="AUH68" s="56"/>
      <c r="AUR68" s="56"/>
      <c r="AVB68" s="56"/>
      <c r="AVL68" s="56"/>
      <c r="AVV68" s="56"/>
      <c r="AWF68" s="56"/>
      <c r="AWP68" s="56"/>
      <c r="AWZ68" s="56"/>
      <c r="AXJ68" s="56"/>
      <c r="AXT68" s="56"/>
      <c r="AYD68" s="56"/>
      <c r="AYN68" s="56"/>
      <c r="AYX68" s="56"/>
      <c r="AZH68" s="56"/>
      <c r="AZR68" s="56"/>
      <c r="BAB68" s="56"/>
      <c r="BAL68" s="56"/>
      <c r="BAV68" s="56"/>
      <c r="BBF68" s="56"/>
      <c r="BBP68" s="56"/>
      <c r="BBZ68" s="56"/>
      <c r="BCJ68" s="56"/>
      <c r="BCT68" s="56"/>
      <c r="BDD68" s="56"/>
      <c r="BDN68" s="56"/>
      <c r="BDX68" s="56"/>
      <c r="BEH68" s="56"/>
      <c r="BER68" s="56"/>
      <c r="BFB68" s="56"/>
      <c r="BFL68" s="56"/>
      <c r="BFV68" s="56"/>
      <c r="BGF68" s="56"/>
      <c r="BGP68" s="56"/>
      <c r="BGZ68" s="56"/>
      <c r="BHJ68" s="56"/>
      <c r="BHT68" s="56"/>
      <c r="BID68" s="56"/>
      <c r="BIN68" s="56"/>
      <c r="BIX68" s="56"/>
      <c r="BJH68" s="56"/>
      <c r="BJR68" s="56"/>
      <c r="BKB68" s="56"/>
      <c r="BKL68" s="56"/>
      <c r="BKV68" s="56"/>
      <c r="BLF68" s="56"/>
      <c r="BLP68" s="56"/>
      <c r="BLZ68" s="56"/>
      <c r="BMJ68" s="56"/>
      <c r="BMT68" s="56"/>
      <c r="BND68" s="56"/>
      <c r="BNN68" s="56"/>
      <c r="BNX68" s="56"/>
      <c r="BOH68" s="56"/>
      <c r="BOR68" s="56"/>
      <c r="BPB68" s="56"/>
      <c r="BPL68" s="56"/>
      <c r="BPV68" s="56"/>
      <c r="BQF68" s="56"/>
      <c r="BQP68" s="56"/>
      <c r="BQZ68" s="56"/>
      <c r="BRJ68" s="56"/>
      <c r="BRT68" s="56"/>
      <c r="BSD68" s="56"/>
      <c r="BSN68" s="56"/>
      <c r="BSX68" s="56"/>
      <c r="BTH68" s="56"/>
      <c r="BTR68" s="56"/>
      <c r="BUB68" s="56"/>
      <c r="BUL68" s="56"/>
      <c r="BUV68" s="56"/>
      <c r="BVF68" s="56"/>
      <c r="BVP68" s="56"/>
      <c r="BVZ68" s="56"/>
      <c r="BWJ68" s="56"/>
      <c r="BWT68" s="56"/>
      <c r="BXD68" s="56"/>
      <c r="BXN68" s="56"/>
      <c r="BXX68" s="56"/>
      <c r="BYH68" s="56"/>
      <c r="BYR68" s="56"/>
      <c r="BZB68" s="56"/>
      <c r="BZL68" s="56"/>
      <c r="BZV68" s="56"/>
      <c r="CAF68" s="56"/>
      <c r="CAP68" s="56"/>
      <c r="CAZ68" s="56"/>
      <c r="CBJ68" s="56"/>
      <c r="CBT68" s="56"/>
      <c r="CCD68" s="56"/>
      <c r="CCN68" s="56"/>
      <c r="CCX68" s="56"/>
      <c r="CDH68" s="56"/>
      <c r="CDR68" s="56"/>
      <c r="CEB68" s="56"/>
      <c r="CEL68" s="56"/>
      <c r="CEV68" s="56"/>
      <c r="CFF68" s="56"/>
      <c r="CFP68" s="56"/>
      <c r="CFZ68" s="56"/>
      <c r="CGJ68" s="56"/>
      <c r="CGT68" s="56"/>
      <c r="CHD68" s="56"/>
      <c r="CHN68" s="56"/>
      <c r="CHX68" s="56"/>
      <c r="CIH68" s="56"/>
      <c r="CIR68" s="56"/>
      <c r="CJB68" s="56"/>
      <c r="CJL68" s="56"/>
      <c r="CJV68" s="56"/>
      <c r="CKF68" s="56"/>
      <c r="CKP68" s="56"/>
      <c r="CKZ68" s="56"/>
      <c r="CLJ68" s="56"/>
      <c r="CLT68" s="56"/>
      <c r="CMD68" s="56"/>
      <c r="CMN68" s="56"/>
      <c r="CMX68" s="56"/>
      <c r="CNH68" s="56"/>
      <c r="CNR68" s="56"/>
      <c r="COB68" s="56"/>
      <c r="COL68" s="56"/>
      <c r="COV68" s="56"/>
      <c r="CPF68" s="56"/>
      <c r="CPP68" s="56"/>
      <c r="CPZ68" s="56"/>
      <c r="CQJ68" s="56"/>
      <c r="CQT68" s="56"/>
      <c r="CRD68" s="56"/>
      <c r="CRN68" s="56"/>
      <c r="CRX68" s="56"/>
      <c r="CSH68" s="56"/>
      <c r="CSR68" s="56"/>
      <c r="CTB68" s="56"/>
      <c r="CTL68" s="56"/>
      <c r="CTV68" s="56"/>
    </row>
    <row r="69" s="42" customFormat="1" customHeight="1" spans="1:1020 1030:2040 2050:2570">
      <c r="A69" s="51"/>
      <c r="B69" s="52"/>
      <c r="C69" s="52"/>
      <c r="D69" s="52"/>
      <c r="E69" s="52"/>
      <c r="F69" s="53" t="str">
        <f>IFERROR(VLOOKUP(E69,日报!E:G,2,0),"")</f>
        <v/>
      </c>
      <c r="G69" s="52"/>
      <c r="H69" s="54" t="str">
        <f>IFERROR(VLOOKUP(E69,日报!E:H,4,0),"")</f>
        <v/>
      </c>
      <c r="I69" s="54" t="str">
        <f>IFERROR(VLOOKUP(E69,日报!E:G,3,0),"")</f>
        <v/>
      </c>
      <c r="J69" s="52"/>
      <c r="K69" s="55" t="str">
        <f t="shared" si="0"/>
        <v/>
      </c>
      <c r="T69" s="56"/>
      <c r="AD69" s="56"/>
      <c r="AN69" s="56"/>
      <c r="AX69" s="56"/>
      <c r="BH69" s="56"/>
      <c r="BR69" s="56"/>
      <c r="CB69" s="56"/>
      <c r="CL69" s="56"/>
      <c r="CV69" s="56"/>
      <c r="DF69" s="56"/>
      <c r="DP69" s="56"/>
      <c r="DZ69" s="56"/>
      <c r="EJ69" s="56"/>
      <c r="ET69" s="56"/>
      <c r="FD69" s="56"/>
      <c r="FN69" s="56"/>
      <c r="FX69" s="56"/>
      <c r="GH69" s="56"/>
      <c r="GR69" s="56"/>
      <c r="HB69" s="56"/>
      <c r="HL69" s="56"/>
      <c r="HV69" s="56"/>
      <c r="IF69" s="56"/>
      <c r="IP69" s="56"/>
      <c r="IZ69" s="56"/>
      <c r="JJ69" s="56"/>
      <c r="JT69" s="56"/>
      <c r="KD69" s="56"/>
      <c r="KN69" s="56"/>
      <c r="KX69" s="56"/>
      <c r="LH69" s="56"/>
      <c r="LR69" s="56"/>
      <c r="MB69" s="56"/>
      <c r="ML69" s="56"/>
      <c r="MV69" s="56"/>
      <c r="NF69" s="56"/>
      <c r="NP69" s="56"/>
      <c r="NZ69" s="56"/>
      <c r="OJ69" s="56"/>
      <c r="OT69" s="56"/>
      <c r="PD69" s="56"/>
      <c r="PN69" s="56"/>
      <c r="PX69" s="56"/>
      <c r="QH69" s="56"/>
      <c r="QR69" s="56"/>
      <c r="RB69" s="56"/>
      <c r="RL69" s="56"/>
      <c r="RV69" s="56"/>
      <c r="SF69" s="56"/>
      <c r="SP69" s="56"/>
      <c r="SZ69" s="56"/>
      <c r="TJ69" s="56"/>
      <c r="TT69" s="56"/>
      <c r="UD69" s="56"/>
      <c r="UN69" s="56"/>
      <c r="UX69" s="56"/>
      <c r="VH69" s="56"/>
      <c r="VR69" s="56"/>
      <c r="WB69" s="56"/>
      <c r="WL69" s="56"/>
      <c r="WV69" s="56"/>
      <c r="XF69" s="56"/>
      <c r="XP69" s="56"/>
      <c r="XZ69" s="56"/>
      <c r="YJ69" s="56"/>
      <c r="YT69" s="56"/>
      <c r="ZD69" s="56"/>
      <c r="ZN69" s="56"/>
      <c r="ZX69" s="56"/>
      <c r="AAH69" s="56"/>
      <c r="AAR69" s="56"/>
      <c r="ABB69" s="56"/>
      <c r="ABL69" s="56"/>
      <c r="ABV69" s="56"/>
      <c r="ACF69" s="56"/>
      <c r="ACP69" s="56"/>
      <c r="ACZ69" s="56"/>
      <c r="ADJ69" s="56"/>
      <c r="ADT69" s="56"/>
      <c r="AED69" s="56"/>
      <c r="AEN69" s="56"/>
      <c r="AEX69" s="56"/>
      <c r="AFH69" s="56"/>
      <c r="AFR69" s="56"/>
      <c r="AGB69" s="56"/>
      <c r="AGL69" s="56"/>
      <c r="AGV69" s="56"/>
      <c r="AHF69" s="56"/>
      <c r="AHP69" s="56"/>
      <c r="AHZ69" s="56"/>
      <c r="AIJ69" s="56"/>
      <c r="AIT69" s="56"/>
      <c r="AJD69" s="56"/>
      <c r="AJN69" s="56"/>
      <c r="AJX69" s="56"/>
      <c r="AKH69" s="56"/>
      <c r="AKR69" s="56"/>
      <c r="ALB69" s="56"/>
      <c r="ALL69" s="56"/>
      <c r="ALV69" s="56"/>
      <c r="AMF69" s="56"/>
      <c r="AMP69" s="56"/>
      <c r="AMZ69" s="56"/>
      <c r="ANJ69" s="56"/>
      <c r="ANT69" s="56"/>
      <c r="AOD69" s="56"/>
      <c r="AON69" s="56"/>
      <c r="AOX69" s="56"/>
      <c r="APH69" s="56"/>
      <c r="APR69" s="56"/>
      <c r="AQB69" s="56"/>
      <c r="AQL69" s="56"/>
      <c r="AQV69" s="56"/>
      <c r="ARF69" s="56"/>
      <c r="ARP69" s="56"/>
      <c r="ARZ69" s="56"/>
      <c r="ASJ69" s="56"/>
      <c r="AST69" s="56"/>
      <c r="ATD69" s="56"/>
      <c r="ATN69" s="56"/>
      <c r="ATX69" s="56"/>
      <c r="AUH69" s="56"/>
      <c r="AUR69" s="56"/>
      <c r="AVB69" s="56"/>
      <c r="AVL69" s="56"/>
      <c r="AVV69" s="56"/>
      <c r="AWF69" s="56"/>
      <c r="AWP69" s="56"/>
      <c r="AWZ69" s="56"/>
      <c r="AXJ69" s="56"/>
      <c r="AXT69" s="56"/>
      <c r="AYD69" s="56"/>
      <c r="AYN69" s="56"/>
      <c r="AYX69" s="56"/>
      <c r="AZH69" s="56"/>
      <c r="AZR69" s="56"/>
      <c r="BAB69" s="56"/>
      <c r="BAL69" s="56"/>
      <c r="BAV69" s="56"/>
      <c r="BBF69" s="56"/>
      <c r="BBP69" s="56"/>
      <c r="BBZ69" s="56"/>
      <c r="BCJ69" s="56"/>
      <c r="BCT69" s="56"/>
      <c r="BDD69" s="56"/>
      <c r="BDN69" s="56"/>
      <c r="BDX69" s="56"/>
      <c r="BEH69" s="56"/>
      <c r="BER69" s="56"/>
      <c r="BFB69" s="56"/>
      <c r="BFL69" s="56"/>
      <c r="BFV69" s="56"/>
      <c r="BGF69" s="56"/>
      <c r="BGP69" s="56"/>
      <c r="BGZ69" s="56"/>
      <c r="BHJ69" s="56"/>
      <c r="BHT69" s="56"/>
      <c r="BID69" s="56"/>
      <c r="BIN69" s="56"/>
      <c r="BIX69" s="56"/>
      <c r="BJH69" s="56"/>
      <c r="BJR69" s="56"/>
      <c r="BKB69" s="56"/>
      <c r="BKL69" s="56"/>
      <c r="BKV69" s="56"/>
      <c r="BLF69" s="56"/>
      <c r="BLP69" s="56"/>
      <c r="BLZ69" s="56"/>
      <c r="BMJ69" s="56"/>
      <c r="BMT69" s="56"/>
      <c r="BND69" s="56"/>
      <c r="BNN69" s="56"/>
      <c r="BNX69" s="56"/>
      <c r="BOH69" s="56"/>
      <c r="BOR69" s="56"/>
      <c r="BPB69" s="56"/>
      <c r="BPL69" s="56"/>
      <c r="BPV69" s="56"/>
      <c r="BQF69" s="56"/>
      <c r="BQP69" s="56"/>
      <c r="BQZ69" s="56"/>
      <c r="BRJ69" s="56"/>
      <c r="BRT69" s="56"/>
      <c r="BSD69" s="56"/>
      <c r="BSN69" s="56"/>
      <c r="BSX69" s="56"/>
      <c r="BTH69" s="56"/>
      <c r="BTR69" s="56"/>
      <c r="BUB69" s="56"/>
      <c r="BUL69" s="56"/>
      <c r="BUV69" s="56"/>
      <c r="BVF69" s="56"/>
      <c r="BVP69" s="56"/>
      <c r="BVZ69" s="56"/>
      <c r="BWJ69" s="56"/>
      <c r="BWT69" s="56"/>
      <c r="BXD69" s="56"/>
      <c r="BXN69" s="56"/>
      <c r="BXX69" s="56"/>
      <c r="BYH69" s="56"/>
      <c r="BYR69" s="56"/>
      <c r="BZB69" s="56"/>
      <c r="BZL69" s="56"/>
      <c r="BZV69" s="56"/>
      <c r="CAF69" s="56"/>
      <c r="CAP69" s="56"/>
      <c r="CAZ69" s="56"/>
      <c r="CBJ69" s="56"/>
      <c r="CBT69" s="56"/>
      <c r="CCD69" s="56"/>
      <c r="CCN69" s="56"/>
      <c r="CCX69" s="56"/>
      <c r="CDH69" s="56"/>
      <c r="CDR69" s="56"/>
      <c r="CEB69" s="56"/>
      <c r="CEL69" s="56"/>
      <c r="CEV69" s="56"/>
      <c r="CFF69" s="56"/>
      <c r="CFP69" s="56"/>
      <c r="CFZ69" s="56"/>
      <c r="CGJ69" s="56"/>
      <c r="CGT69" s="56"/>
      <c r="CHD69" s="56"/>
      <c r="CHN69" s="56"/>
      <c r="CHX69" s="56"/>
      <c r="CIH69" s="56"/>
      <c r="CIR69" s="56"/>
      <c r="CJB69" s="56"/>
      <c r="CJL69" s="56"/>
      <c r="CJV69" s="56"/>
      <c r="CKF69" s="56"/>
      <c r="CKP69" s="56"/>
      <c r="CKZ69" s="56"/>
      <c r="CLJ69" s="56"/>
      <c r="CLT69" s="56"/>
      <c r="CMD69" s="56"/>
      <c r="CMN69" s="56"/>
      <c r="CMX69" s="56"/>
      <c r="CNH69" s="56"/>
      <c r="CNR69" s="56"/>
      <c r="COB69" s="56"/>
      <c r="COL69" s="56"/>
      <c r="COV69" s="56"/>
      <c r="CPF69" s="56"/>
      <c r="CPP69" s="56"/>
      <c r="CPZ69" s="56"/>
      <c r="CQJ69" s="56"/>
      <c r="CQT69" s="56"/>
      <c r="CRD69" s="56"/>
      <c r="CRN69" s="56"/>
      <c r="CRX69" s="56"/>
      <c r="CSH69" s="56"/>
      <c r="CSR69" s="56"/>
      <c r="CTB69" s="56"/>
      <c r="CTL69" s="56"/>
      <c r="CTV69" s="56"/>
    </row>
    <row r="70" s="42" customFormat="1" customHeight="1" spans="1:1020 1030:2040 2050:2570">
      <c r="A70" s="51"/>
      <c r="B70" s="52"/>
      <c r="C70" s="52"/>
      <c r="D70" s="52"/>
      <c r="E70" s="52"/>
      <c r="F70" s="53" t="str">
        <f>IFERROR(VLOOKUP(E70,日报!E:G,2,0),"")</f>
        <v/>
      </c>
      <c r="G70" s="52"/>
      <c r="H70" s="54" t="str">
        <f>IFERROR(VLOOKUP(E70,日报!E:H,4,0),"")</f>
        <v/>
      </c>
      <c r="I70" s="54" t="str">
        <f>IFERROR(VLOOKUP(E70,日报!E:G,3,0),"")</f>
        <v/>
      </c>
      <c r="J70" s="52"/>
      <c r="K70" s="55" t="str">
        <f t="shared" si="0"/>
        <v/>
      </c>
      <c r="T70" s="56"/>
      <c r="AD70" s="56"/>
      <c r="AN70" s="56"/>
      <c r="AX70" s="56"/>
      <c r="BH70" s="56"/>
      <c r="BR70" s="56"/>
      <c r="CB70" s="56"/>
      <c r="CL70" s="56"/>
      <c r="CV70" s="56"/>
      <c r="DF70" s="56"/>
      <c r="DP70" s="56"/>
      <c r="DZ70" s="56"/>
      <c r="EJ70" s="56"/>
      <c r="ET70" s="56"/>
      <c r="FD70" s="56"/>
      <c r="FN70" s="56"/>
      <c r="FX70" s="56"/>
      <c r="GH70" s="56"/>
      <c r="GR70" s="56"/>
      <c r="HB70" s="56"/>
      <c r="HL70" s="56"/>
      <c r="HV70" s="56"/>
      <c r="IF70" s="56"/>
      <c r="IP70" s="56"/>
      <c r="IZ70" s="56"/>
      <c r="JJ70" s="56"/>
      <c r="JT70" s="56"/>
      <c r="KD70" s="56"/>
      <c r="KN70" s="56"/>
      <c r="KX70" s="56"/>
      <c r="LH70" s="56"/>
      <c r="LR70" s="56"/>
      <c r="MB70" s="56"/>
      <c r="ML70" s="56"/>
      <c r="MV70" s="56"/>
      <c r="NF70" s="56"/>
      <c r="NP70" s="56"/>
      <c r="NZ70" s="56"/>
      <c r="OJ70" s="56"/>
      <c r="OT70" s="56"/>
      <c r="PD70" s="56"/>
      <c r="PN70" s="56"/>
      <c r="PX70" s="56"/>
      <c r="QH70" s="56"/>
      <c r="QR70" s="56"/>
      <c r="RB70" s="56"/>
      <c r="RL70" s="56"/>
      <c r="RV70" s="56"/>
      <c r="SF70" s="56"/>
      <c r="SP70" s="56"/>
      <c r="SZ70" s="56"/>
      <c r="TJ70" s="56"/>
      <c r="TT70" s="56"/>
      <c r="UD70" s="56"/>
      <c r="UN70" s="56"/>
      <c r="UX70" s="56"/>
      <c r="VH70" s="56"/>
      <c r="VR70" s="56"/>
      <c r="WB70" s="56"/>
      <c r="WL70" s="56"/>
      <c r="WV70" s="56"/>
      <c r="XF70" s="56"/>
      <c r="XP70" s="56"/>
      <c r="XZ70" s="56"/>
      <c r="YJ70" s="56"/>
      <c r="YT70" s="56"/>
      <c r="ZD70" s="56"/>
      <c r="ZN70" s="56"/>
      <c r="ZX70" s="56"/>
      <c r="AAH70" s="56"/>
      <c r="AAR70" s="56"/>
      <c r="ABB70" s="56"/>
      <c r="ABL70" s="56"/>
      <c r="ABV70" s="56"/>
      <c r="ACF70" s="56"/>
      <c r="ACP70" s="56"/>
      <c r="ACZ70" s="56"/>
      <c r="ADJ70" s="56"/>
      <c r="ADT70" s="56"/>
      <c r="AED70" s="56"/>
      <c r="AEN70" s="56"/>
      <c r="AEX70" s="56"/>
      <c r="AFH70" s="56"/>
      <c r="AFR70" s="56"/>
      <c r="AGB70" s="56"/>
      <c r="AGL70" s="56"/>
      <c r="AGV70" s="56"/>
      <c r="AHF70" s="56"/>
      <c r="AHP70" s="56"/>
      <c r="AHZ70" s="56"/>
      <c r="AIJ70" s="56"/>
      <c r="AIT70" s="56"/>
      <c r="AJD70" s="56"/>
      <c r="AJN70" s="56"/>
      <c r="AJX70" s="56"/>
      <c r="AKH70" s="56"/>
      <c r="AKR70" s="56"/>
      <c r="ALB70" s="56"/>
      <c r="ALL70" s="56"/>
      <c r="ALV70" s="56"/>
      <c r="AMF70" s="56"/>
      <c r="AMP70" s="56"/>
      <c r="AMZ70" s="56"/>
      <c r="ANJ70" s="56"/>
      <c r="ANT70" s="56"/>
      <c r="AOD70" s="56"/>
      <c r="AON70" s="56"/>
      <c r="AOX70" s="56"/>
      <c r="APH70" s="56"/>
      <c r="APR70" s="56"/>
      <c r="AQB70" s="56"/>
      <c r="AQL70" s="56"/>
      <c r="AQV70" s="56"/>
      <c r="ARF70" s="56"/>
      <c r="ARP70" s="56"/>
      <c r="ARZ70" s="56"/>
      <c r="ASJ70" s="56"/>
      <c r="AST70" s="56"/>
      <c r="ATD70" s="56"/>
      <c r="ATN70" s="56"/>
      <c r="ATX70" s="56"/>
      <c r="AUH70" s="56"/>
      <c r="AUR70" s="56"/>
      <c r="AVB70" s="56"/>
      <c r="AVL70" s="56"/>
      <c r="AVV70" s="56"/>
      <c r="AWF70" s="56"/>
      <c r="AWP70" s="56"/>
      <c r="AWZ70" s="56"/>
      <c r="AXJ70" s="56"/>
      <c r="AXT70" s="56"/>
      <c r="AYD70" s="56"/>
      <c r="AYN70" s="56"/>
      <c r="AYX70" s="56"/>
      <c r="AZH70" s="56"/>
      <c r="AZR70" s="56"/>
      <c r="BAB70" s="56"/>
      <c r="BAL70" s="56"/>
      <c r="BAV70" s="56"/>
      <c r="BBF70" s="56"/>
      <c r="BBP70" s="56"/>
      <c r="BBZ70" s="56"/>
      <c r="BCJ70" s="56"/>
      <c r="BCT70" s="56"/>
      <c r="BDD70" s="56"/>
      <c r="BDN70" s="56"/>
      <c r="BDX70" s="56"/>
      <c r="BEH70" s="56"/>
      <c r="BER70" s="56"/>
      <c r="BFB70" s="56"/>
      <c r="BFL70" s="56"/>
      <c r="BFV70" s="56"/>
      <c r="BGF70" s="56"/>
      <c r="BGP70" s="56"/>
      <c r="BGZ70" s="56"/>
      <c r="BHJ70" s="56"/>
      <c r="BHT70" s="56"/>
      <c r="BID70" s="56"/>
      <c r="BIN70" s="56"/>
      <c r="BIX70" s="56"/>
      <c r="BJH70" s="56"/>
      <c r="BJR70" s="56"/>
      <c r="BKB70" s="56"/>
      <c r="BKL70" s="56"/>
      <c r="BKV70" s="56"/>
      <c r="BLF70" s="56"/>
      <c r="BLP70" s="56"/>
      <c r="BLZ70" s="56"/>
      <c r="BMJ70" s="56"/>
      <c r="BMT70" s="56"/>
      <c r="BND70" s="56"/>
      <c r="BNN70" s="56"/>
      <c r="BNX70" s="56"/>
      <c r="BOH70" s="56"/>
      <c r="BOR70" s="56"/>
      <c r="BPB70" s="56"/>
      <c r="BPL70" s="56"/>
      <c r="BPV70" s="56"/>
      <c r="BQF70" s="56"/>
      <c r="BQP70" s="56"/>
      <c r="BQZ70" s="56"/>
      <c r="BRJ70" s="56"/>
      <c r="BRT70" s="56"/>
      <c r="BSD70" s="56"/>
      <c r="BSN70" s="56"/>
      <c r="BSX70" s="56"/>
      <c r="BTH70" s="56"/>
      <c r="BTR70" s="56"/>
      <c r="BUB70" s="56"/>
      <c r="BUL70" s="56"/>
      <c r="BUV70" s="56"/>
      <c r="BVF70" s="56"/>
      <c r="BVP70" s="56"/>
      <c r="BVZ70" s="56"/>
      <c r="BWJ70" s="56"/>
      <c r="BWT70" s="56"/>
      <c r="BXD70" s="56"/>
      <c r="BXN70" s="56"/>
      <c r="BXX70" s="56"/>
      <c r="BYH70" s="56"/>
      <c r="BYR70" s="56"/>
      <c r="BZB70" s="56"/>
      <c r="BZL70" s="56"/>
      <c r="BZV70" s="56"/>
      <c r="CAF70" s="56"/>
      <c r="CAP70" s="56"/>
      <c r="CAZ70" s="56"/>
      <c r="CBJ70" s="56"/>
      <c r="CBT70" s="56"/>
      <c r="CCD70" s="56"/>
      <c r="CCN70" s="56"/>
      <c r="CCX70" s="56"/>
      <c r="CDH70" s="56"/>
      <c r="CDR70" s="56"/>
      <c r="CEB70" s="56"/>
      <c r="CEL70" s="56"/>
      <c r="CEV70" s="56"/>
      <c r="CFF70" s="56"/>
      <c r="CFP70" s="56"/>
      <c r="CFZ70" s="56"/>
      <c r="CGJ70" s="56"/>
      <c r="CGT70" s="56"/>
      <c r="CHD70" s="56"/>
      <c r="CHN70" s="56"/>
      <c r="CHX70" s="56"/>
      <c r="CIH70" s="56"/>
      <c r="CIR70" s="56"/>
      <c r="CJB70" s="56"/>
      <c r="CJL70" s="56"/>
      <c r="CJV70" s="56"/>
      <c r="CKF70" s="56"/>
      <c r="CKP70" s="56"/>
      <c r="CKZ70" s="56"/>
      <c r="CLJ70" s="56"/>
      <c r="CLT70" s="56"/>
      <c r="CMD70" s="56"/>
      <c r="CMN70" s="56"/>
      <c r="CMX70" s="56"/>
      <c r="CNH70" s="56"/>
      <c r="CNR70" s="56"/>
      <c r="COB70" s="56"/>
      <c r="COL70" s="56"/>
      <c r="COV70" s="56"/>
      <c r="CPF70" s="56"/>
      <c r="CPP70" s="56"/>
      <c r="CPZ70" s="56"/>
      <c r="CQJ70" s="56"/>
      <c r="CQT70" s="56"/>
      <c r="CRD70" s="56"/>
      <c r="CRN70" s="56"/>
      <c r="CRX70" s="56"/>
      <c r="CSH70" s="56"/>
      <c r="CSR70" s="56"/>
      <c r="CTB70" s="56"/>
      <c r="CTL70" s="56"/>
      <c r="CTV70" s="56"/>
    </row>
    <row r="71" s="42" customFormat="1" customHeight="1" spans="1:1020 1030:2040 2050:2570">
      <c r="A71" s="51"/>
      <c r="B71" s="52"/>
      <c r="C71" s="52"/>
      <c r="D71" s="52"/>
      <c r="E71" s="52"/>
      <c r="F71" s="53" t="str">
        <f>IFERROR(VLOOKUP(E71,日报!E:G,2,0),"")</f>
        <v/>
      </c>
      <c r="G71" s="52"/>
      <c r="H71" s="54" t="str">
        <f>IFERROR(VLOOKUP(E71,日报!E:H,4,0),"")</f>
        <v/>
      </c>
      <c r="I71" s="54" t="str">
        <f>IFERROR(VLOOKUP(E71,日报!E:G,3,0),"")</f>
        <v/>
      </c>
      <c r="J71" s="52"/>
      <c r="K71" s="55" t="str">
        <f t="shared" si="0"/>
        <v/>
      </c>
      <c r="T71" s="56"/>
      <c r="AD71" s="56"/>
      <c r="AN71" s="56"/>
      <c r="AX71" s="56"/>
      <c r="BH71" s="56"/>
      <c r="BR71" s="56"/>
      <c r="CB71" s="56"/>
      <c r="CL71" s="56"/>
      <c r="CV71" s="56"/>
      <c r="DF71" s="56"/>
      <c r="DP71" s="56"/>
      <c r="DZ71" s="56"/>
      <c r="EJ71" s="56"/>
      <c r="ET71" s="56"/>
      <c r="FD71" s="56"/>
      <c r="FN71" s="56"/>
      <c r="FX71" s="56"/>
      <c r="GH71" s="56"/>
      <c r="GR71" s="56"/>
      <c r="HB71" s="56"/>
      <c r="HL71" s="56"/>
      <c r="HV71" s="56"/>
      <c r="IF71" s="56"/>
      <c r="IP71" s="56"/>
      <c r="IZ71" s="56"/>
      <c r="JJ71" s="56"/>
      <c r="JT71" s="56"/>
      <c r="KD71" s="56"/>
      <c r="KN71" s="56"/>
      <c r="KX71" s="56"/>
      <c r="LH71" s="56"/>
      <c r="LR71" s="56"/>
      <c r="MB71" s="56"/>
      <c r="ML71" s="56"/>
      <c r="MV71" s="56"/>
      <c r="NF71" s="56"/>
      <c r="NP71" s="56"/>
      <c r="NZ71" s="56"/>
      <c r="OJ71" s="56"/>
      <c r="OT71" s="56"/>
      <c r="PD71" s="56"/>
      <c r="PN71" s="56"/>
      <c r="PX71" s="56"/>
      <c r="QH71" s="56"/>
      <c r="QR71" s="56"/>
      <c r="RB71" s="56"/>
      <c r="RL71" s="56"/>
      <c r="RV71" s="56"/>
      <c r="SF71" s="56"/>
      <c r="SP71" s="56"/>
      <c r="SZ71" s="56"/>
      <c r="TJ71" s="56"/>
      <c r="TT71" s="56"/>
      <c r="UD71" s="56"/>
      <c r="UN71" s="56"/>
      <c r="UX71" s="56"/>
      <c r="VH71" s="56"/>
      <c r="VR71" s="56"/>
      <c r="WB71" s="56"/>
      <c r="WL71" s="56"/>
      <c r="WV71" s="56"/>
      <c r="XF71" s="56"/>
      <c r="XP71" s="56"/>
      <c r="XZ71" s="56"/>
      <c r="YJ71" s="56"/>
      <c r="YT71" s="56"/>
      <c r="ZD71" s="56"/>
      <c r="ZN71" s="56"/>
      <c r="ZX71" s="56"/>
      <c r="AAH71" s="56"/>
      <c r="AAR71" s="56"/>
      <c r="ABB71" s="56"/>
      <c r="ABL71" s="56"/>
      <c r="ABV71" s="56"/>
      <c r="ACF71" s="56"/>
      <c r="ACP71" s="56"/>
      <c r="ACZ71" s="56"/>
      <c r="ADJ71" s="56"/>
      <c r="ADT71" s="56"/>
      <c r="AED71" s="56"/>
      <c r="AEN71" s="56"/>
      <c r="AEX71" s="56"/>
      <c r="AFH71" s="56"/>
      <c r="AFR71" s="56"/>
      <c r="AGB71" s="56"/>
      <c r="AGL71" s="56"/>
      <c r="AGV71" s="56"/>
      <c r="AHF71" s="56"/>
      <c r="AHP71" s="56"/>
      <c r="AHZ71" s="56"/>
      <c r="AIJ71" s="56"/>
      <c r="AIT71" s="56"/>
      <c r="AJD71" s="56"/>
      <c r="AJN71" s="56"/>
      <c r="AJX71" s="56"/>
      <c r="AKH71" s="56"/>
      <c r="AKR71" s="56"/>
      <c r="ALB71" s="56"/>
      <c r="ALL71" s="56"/>
      <c r="ALV71" s="56"/>
      <c r="AMF71" s="56"/>
      <c r="AMP71" s="56"/>
      <c r="AMZ71" s="56"/>
      <c r="ANJ71" s="56"/>
      <c r="ANT71" s="56"/>
      <c r="AOD71" s="56"/>
      <c r="AON71" s="56"/>
      <c r="AOX71" s="56"/>
      <c r="APH71" s="56"/>
      <c r="APR71" s="56"/>
      <c r="AQB71" s="56"/>
      <c r="AQL71" s="56"/>
      <c r="AQV71" s="56"/>
      <c r="ARF71" s="56"/>
      <c r="ARP71" s="56"/>
      <c r="ARZ71" s="56"/>
      <c r="ASJ71" s="56"/>
      <c r="AST71" s="56"/>
      <c r="ATD71" s="56"/>
      <c r="ATN71" s="56"/>
      <c r="ATX71" s="56"/>
      <c r="AUH71" s="56"/>
      <c r="AUR71" s="56"/>
      <c r="AVB71" s="56"/>
      <c r="AVL71" s="56"/>
      <c r="AVV71" s="56"/>
      <c r="AWF71" s="56"/>
      <c r="AWP71" s="56"/>
      <c r="AWZ71" s="56"/>
      <c r="AXJ71" s="56"/>
      <c r="AXT71" s="56"/>
      <c r="AYD71" s="56"/>
      <c r="AYN71" s="56"/>
      <c r="AYX71" s="56"/>
      <c r="AZH71" s="56"/>
      <c r="AZR71" s="56"/>
      <c r="BAB71" s="56"/>
      <c r="BAL71" s="56"/>
      <c r="BAV71" s="56"/>
      <c r="BBF71" s="56"/>
      <c r="BBP71" s="56"/>
      <c r="BBZ71" s="56"/>
      <c r="BCJ71" s="56"/>
      <c r="BCT71" s="56"/>
      <c r="BDD71" s="56"/>
      <c r="BDN71" s="56"/>
      <c r="BDX71" s="56"/>
      <c r="BEH71" s="56"/>
      <c r="BER71" s="56"/>
      <c r="BFB71" s="56"/>
      <c r="BFL71" s="56"/>
      <c r="BFV71" s="56"/>
      <c r="BGF71" s="56"/>
      <c r="BGP71" s="56"/>
      <c r="BGZ71" s="56"/>
      <c r="BHJ71" s="56"/>
      <c r="BHT71" s="56"/>
      <c r="BID71" s="56"/>
      <c r="BIN71" s="56"/>
      <c r="BIX71" s="56"/>
      <c r="BJH71" s="56"/>
      <c r="BJR71" s="56"/>
      <c r="BKB71" s="56"/>
      <c r="BKL71" s="56"/>
      <c r="BKV71" s="56"/>
      <c r="BLF71" s="56"/>
      <c r="BLP71" s="56"/>
      <c r="BLZ71" s="56"/>
      <c r="BMJ71" s="56"/>
      <c r="BMT71" s="56"/>
      <c r="BND71" s="56"/>
      <c r="BNN71" s="56"/>
      <c r="BNX71" s="56"/>
      <c r="BOH71" s="56"/>
      <c r="BOR71" s="56"/>
      <c r="BPB71" s="56"/>
      <c r="BPL71" s="56"/>
      <c r="BPV71" s="56"/>
      <c r="BQF71" s="56"/>
      <c r="BQP71" s="56"/>
      <c r="BQZ71" s="56"/>
      <c r="BRJ71" s="56"/>
      <c r="BRT71" s="56"/>
      <c r="BSD71" s="56"/>
      <c r="BSN71" s="56"/>
      <c r="BSX71" s="56"/>
      <c r="BTH71" s="56"/>
      <c r="BTR71" s="56"/>
      <c r="BUB71" s="56"/>
      <c r="BUL71" s="56"/>
      <c r="BUV71" s="56"/>
      <c r="BVF71" s="56"/>
      <c r="BVP71" s="56"/>
      <c r="BVZ71" s="56"/>
      <c r="BWJ71" s="56"/>
      <c r="BWT71" s="56"/>
      <c r="BXD71" s="56"/>
      <c r="BXN71" s="56"/>
      <c r="BXX71" s="56"/>
      <c r="BYH71" s="56"/>
      <c r="BYR71" s="56"/>
      <c r="BZB71" s="56"/>
      <c r="BZL71" s="56"/>
      <c r="BZV71" s="56"/>
      <c r="CAF71" s="56"/>
      <c r="CAP71" s="56"/>
      <c r="CAZ71" s="56"/>
      <c r="CBJ71" s="56"/>
      <c r="CBT71" s="56"/>
      <c r="CCD71" s="56"/>
      <c r="CCN71" s="56"/>
      <c r="CCX71" s="56"/>
      <c r="CDH71" s="56"/>
      <c r="CDR71" s="56"/>
      <c r="CEB71" s="56"/>
      <c r="CEL71" s="56"/>
      <c r="CEV71" s="56"/>
      <c r="CFF71" s="56"/>
      <c r="CFP71" s="56"/>
      <c r="CFZ71" s="56"/>
      <c r="CGJ71" s="56"/>
      <c r="CGT71" s="56"/>
      <c r="CHD71" s="56"/>
      <c r="CHN71" s="56"/>
      <c r="CHX71" s="56"/>
      <c r="CIH71" s="56"/>
      <c r="CIR71" s="56"/>
      <c r="CJB71" s="56"/>
      <c r="CJL71" s="56"/>
      <c r="CJV71" s="56"/>
      <c r="CKF71" s="56"/>
      <c r="CKP71" s="56"/>
      <c r="CKZ71" s="56"/>
      <c r="CLJ71" s="56"/>
      <c r="CLT71" s="56"/>
      <c r="CMD71" s="56"/>
      <c r="CMN71" s="56"/>
      <c r="CMX71" s="56"/>
      <c r="CNH71" s="56"/>
      <c r="CNR71" s="56"/>
      <c r="COB71" s="56"/>
      <c r="COL71" s="56"/>
      <c r="COV71" s="56"/>
      <c r="CPF71" s="56"/>
      <c r="CPP71" s="56"/>
      <c r="CPZ71" s="56"/>
      <c r="CQJ71" s="56"/>
      <c r="CQT71" s="56"/>
      <c r="CRD71" s="56"/>
      <c r="CRN71" s="56"/>
      <c r="CRX71" s="56"/>
      <c r="CSH71" s="56"/>
      <c r="CSR71" s="56"/>
      <c r="CTB71" s="56"/>
      <c r="CTL71" s="56"/>
      <c r="CTV71" s="56"/>
    </row>
    <row r="72" s="42" customFormat="1" customHeight="1" spans="1:1020 1030:2040 2050:2570">
      <c r="A72" s="51"/>
      <c r="B72" s="52"/>
      <c r="C72" s="52"/>
      <c r="D72" s="52"/>
      <c r="E72" s="52"/>
      <c r="F72" s="53" t="str">
        <f>IFERROR(VLOOKUP(E72,日报!E:G,2,0),"")</f>
        <v/>
      </c>
      <c r="G72" s="52"/>
      <c r="H72" s="54" t="str">
        <f>IFERROR(VLOOKUP(E72,日报!E:H,4,0),"")</f>
        <v/>
      </c>
      <c r="I72" s="54" t="str">
        <f>IFERROR(VLOOKUP(E72,日报!E:G,3,0),"")</f>
        <v/>
      </c>
      <c r="J72" s="52"/>
      <c r="K72" s="55" t="str">
        <f t="shared" si="0"/>
        <v/>
      </c>
      <c r="T72" s="56"/>
      <c r="AD72" s="56"/>
      <c r="AN72" s="56"/>
      <c r="AX72" s="56"/>
      <c r="BH72" s="56"/>
      <c r="BR72" s="56"/>
      <c r="CB72" s="56"/>
      <c r="CL72" s="56"/>
      <c r="CV72" s="56"/>
      <c r="DF72" s="56"/>
      <c r="DP72" s="56"/>
      <c r="DZ72" s="56"/>
      <c r="EJ72" s="56"/>
      <c r="ET72" s="56"/>
      <c r="FD72" s="56"/>
      <c r="FN72" s="56"/>
      <c r="FX72" s="56"/>
      <c r="GH72" s="56"/>
      <c r="GR72" s="56"/>
      <c r="HB72" s="56"/>
      <c r="HL72" s="56"/>
      <c r="HV72" s="56"/>
      <c r="IF72" s="56"/>
      <c r="IP72" s="56"/>
      <c r="IZ72" s="56"/>
      <c r="JJ72" s="56"/>
      <c r="JT72" s="56"/>
      <c r="KD72" s="56"/>
      <c r="KN72" s="56"/>
      <c r="KX72" s="56"/>
      <c r="LH72" s="56"/>
      <c r="LR72" s="56"/>
      <c r="MB72" s="56"/>
      <c r="ML72" s="56"/>
      <c r="MV72" s="56"/>
      <c r="NF72" s="56"/>
      <c r="NP72" s="56"/>
      <c r="NZ72" s="56"/>
      <c r="OJ72" s="56"/>
      <c r="OT72" s="56"/>
      <c r="PD72" s="56"/>
      <c r="PN72" s="56"/>
      <c r="PX72" s="56"/>
      <c r="QH72" s="56"/>
      <c r="QR72" s="56"/>
      <c r="RB72" s="56"/>
      <c r="RL72" s="56"/>
      <c r="RV72" s="56"/>
      <c r="SF72" s="56"/>
      <c r="SP72" s="56"/>
      <c r="SZ72" s="56"/>
      <c r="TJ72" s="56"/>
      <c r="TT72" s="56"/>
      <c r="UD72" s="56"/>
      <c r="UN72" s="56"/>
      <c r="UX72" s="56"/>
      <c r="VH72" s="56"/>
      <c r="VR72" s="56"/>
      <c r="WB72" s="56"/>
      <c r="WL72" s="56"/>
      <c r="WV72" s="56"/>
      <c r="XF72" s="56"/>
      <c r="XP72" s="56"/>
      <c r="XZ72" s="56"/>
      <c r="YJ72" s="56"/>
      <c r="YT72" s="56"/>
      <c r="ZD72" s="56"/>
      <c r="ZN72" s="56"/>
      <c r="ZX72" s="56"/>
      <c r="AAH72" s="56"/>
      <c r="AAR72" s="56"/>
      <c r="ABB72" s="56"/>
      <c r="ABL72" s="56"/>
      <c r="ABV72" s="56"/>
      <c r="ACF72" s="56"/>
      <c r="ACP72" s="56"/>
      <c r="ACZ72" s="56"/>
      <c r="ADJ72" s="56"/>
      <c r="ADT72" s="56"/>
      <c r="AED72" s="56"/>
      <c r="AEN72" s="56"/>
      <c r="AEX72" s="56"/>
      <c r="AFH72" s="56"/>
      <c r="AFR72" s="56"/>
      <c r="AGB72" s="56"/>
      <c r="AGL72" s="56"/>
      <c r="AGV72" s="56"/>
      <c r="AHF72" s="56"/>
      <c r="AHP72" s="56"/>
      <c r="AHZ72" s="56"/>
      <c r="AIJ72" s="56"/>
      <c r="AIT72" s="56"/>
      <c r="AJD72" s="56"/>
      <c r="AJN72" s="56"/>
      <c r="AJX72" s="56"/>
      <c r="AKH72" s="56"/>
      <c r="AKR72" s="56"/>
      <c r="ALB72" s="56"/>
      <c r="ALL72" s="56"/>
      <c r="ALV72" s="56"/>
      <c r="AMF72" s="56"/>
      <c r="AMP72" s="56"/>
      <c r="AMZ72" s="56"/>
      <c r="ANJ72" s="56"/>
      <c r="ANT72" s="56"/>
      <c r="AOD72" s="56"/>
      <c r="AON72" s="56"/>
      <c r="AOX72" s="56"/>
      <c r="APH72" s="56"/>
      <c r="APR72" s="56"/>
      <c r="AQB72" s="56"/>
      <c r="AQL72" s="56"/>
      <c r="AQV72" s="56"/>
      <c r="ARF72" s="56"/>
      <c r="ARP72" s="56"/>
      <c r="ARZ72" s="56"/>
      <c r="ASJ72" s="56"/>
      <c r="AST72" s="56"/>
      <c r="ATD72" s="56"/>
      <c r="ATN72" s="56"/>
      <c r="ATX72" s="56"/>
      <c r="AUH72" s="56"/>
      <c r="AUR72" s="56"/>
      <c r="AVB72" s="56"/>
      <c r="AVL72" s="56"/>
      <c r="AVV72" s="56"/>
      <c r="AWF72" s="56"/>
      <c r="AWP72" s="56"/>
      <c r="AWZ72" s="56"/>
      <c r="AXJ72" s="56"/>
      <c r="AXT72" s="56"/>
      <c r="AYD72" s="56"/>
      <c r="AYN72" s="56"/>
      <c r="AYX72" s="56"/>
      <c r="AZH72" s="56"/>
      <c r="AZR72" s="56"/>
      <c r="BAB72" s="56"/>
      <c r="BAL72" s="56"/>
      <c r="BAV72" s="56"/>
      <c r="BBF72" s="56"/>
      <c r="BBP72" s="56"/>
      <c r="BBZ72" s="56"/>
      <c r="BCJ72" s="56"/>
      <c r="BCT72" s="56"/>
      <c r="BDD72" s="56"/>
      <c r="BDN72" s="56"/>
      <c r="BDX72" s="56"/>
      <c r="BEH72" s="56"/>
      <c r="BER72" s="56"/>
      <c r="BFB72" s="56"/>
      <c r="BFL72" s="56"/>
      <c r="BFV72" s="56"/>
      <c r="BGF72" s="56"/>
      <c r="BGP72" s="56"/>
      <c r="BGZ72" s="56"/>
      <c r="BHJ72" s="56"/>
      <c r="BHT72" s="56"/>
      <c r="BID72" s="56"/>
      <c r="BIN72" s="56"/>
      <c r="BIX72" s="56"/>
      <c r="BJH72" s="56"/>
      <c r="BJR72" s="56"/>
      <c r="BKB72" s="56"/>
      <c r="BKL72" s="56"/>
      <c r="BKV72" s="56"/>
      <c r="BLF72" s="56"/>
      <c r="BLP72" s="56"/>
      <c r="BLZ72" s="56"/>
      <c r="BMJ72" s="56"/>
      <c r="BMT72" s="56"/>
      <c r="BND72" s="56"/>
      <c r="BNN72" s="56"/>
      <c r="BNX72" s="56"/>
      <c r="BOH72" s="56"/>
      <c r="BOR72" s="56"/>
      <c r="BPB72" s="56"/>
      <c r="BPL72" s="56"/>
      <c r="BPV72" s="56"/>
      <c r="BQF72" s="56"/>
      <c r="BQP72" s="56"/>
      <c r="BQZ72" s="56"/>
      <c r="BRJ72" s="56"/>
      <c r="BRT72" s="56"/>
      <c r="BSD72" s="56"/>
      <c r="BSN72" s="56"/>
      <c r="BSX72" s="56"/>
      <c r="BTH72" s="56"/>
      <c r="BTR72" s="56"/>
      <c r="BUB72" s="56"/>
      <c r="BUL72" s="56"/>
      <c r="BUV72" s="56"/>
      <c r="BVF72" s="56"/>
      <c r="BVP72" s="56"/>
      <c r="BVZ72" s="56"/>
      <c r="BWJ72" s="56"/>
      <c r="BWT72" s="56"/>
      <c r="BXD72" s="56"/>
      <c r="BXN72" s="56"/>
      <c r="BXX72" s="56"/>
      <c r="BYH72" s="56"/>
      <c r="BYR72" s="56"/>
      <c r="BZB72" s="56"/>
      <c r="BZL72" s="56"/>
      <c r="BZV72" s="56"/>
      <c r="CAF72" s="56"/>
      <c r="CAP72" s="56"/>
      <c r="CAZ72" s="56"/>
      <c r="CBJ72" s="56"/>
      <c r="CBT72" s="56"/>
      <c r="CCD72" s="56"/>
      <c r="CCN72" s="56"/>
      <c r="CCX72" s="56"/>
      <c r="CDH72" s="56"/>
      <c r="CDR72" s="56"/>
      <c r="CEB72" s="56"/>
      <c r="CEL72" s="56"/>
      <c r="CEV72" s="56"/>
      <c r="CFF72" s="56"/>
      <c r="CFP72" s="56"/>
      <c r="CFZ72" s="56"/>
      <c r="CGJ72" s="56"/>
      <c r="CGT72" s="56"/>
      <c r="CHD72" s="56"/>
      <c r="CHN72" s="56"/>
      <c r="CHX72" s="56"/>
      <c r="CIH72" s="56"/>
      <c r="CIR72" s="56"/>
      <c r="CJB72" s="56"/>
      <c r="CJL72" s="56"/>
      <c r="CJV72" s="56"/>
      <c r="CKF72" s="56"/>
      <c r="CKP72" s="56"/>
      <c r="CKZ72" s="56"/>
      <c r="CLJ72" s="56"/>
      <c r="CLT72" s="56"/>
      <c r="CMD72" s="56"/>
      <c r="CMN72" s="56"/>
      <c r="CMX72" s="56"/>
      <c r="CNH72" s="56"/>
      <c r="CNR72" s="56"/>
      <c r="COB72" s="56"/>
      <c r="COL72" s="56"/>
      <c r="COV72" s="56"/>
      <c r="CPF72" s="56"/>
      <c r="CPP72" s="56"/>
      <c r="CPZ72" s="56"/>
      <c r="CQJ72" s="56"/>
      <c r="CQT72" s="56"/>
      <c r="CRD72" s="56"/>
      <c r="CRN72" s="56"/>
      <c r="CRX72" s="56"/>
      <c r="CSH72" s="56"/>
      <c r="CSR72" s="56"/>
      <c r="CTB72" s="56"/>
      <c r="CTL72" s="56"/>
      <c r="CTV72" s="56"/>
    </row>
    <row r="73" s="42" customFormat="1" customHeight="1" spans="1:1020 1030:2040 2050:2570">
      <c r="A73" s="51"/>
      <c r="B73" s="52"/>
      <c r="C73" s="52"/>
      <c r="D73" s="52"/>
      <c r="E73" s="52"/>
      <c r="F73" s="53" t="str">
        <f>IFERROR(VLOOKUP(E73,日报!E:G,2,0),"")</f>
        <v/>
      </c>
      <c r="G73" s="52"/>
      <c r="H73" s="54" t="str">
        <f>IFERROR(VLOOKUP(E73,日报!E:H,4,0),"")</f>
        <v/>
      </c>
      <c r="I73" s="54" t="str">
        <f>IFERROR(VLOOKUP(E73,日报!E:G,3,0),"")</f>
        <v/>
      </c>
      <c r="J73" s="52"/>
      <c r="K73" s="55" t="str">
        <f t="shared" si="0"/>
        <v/>
      </c>
      <c r="T73" s="56"/>
      <c r="AD73" s="56"/>
      <c r="AN73" s="56"/>
      <c r="AX73" s="56"/>
      <c r="BH73" s="56"/>
      <c r="BR73" s="56"/>
      <c r="CB73" s="56"/>
      <c r="CL73" s="56"/>
      <c r="CV73" s="56"/>
      <c r="DF73" s="56"/>
      <c r="DP73" s="56"/>
      <c r="DZ73" s="56"/>
      <c r="EJ73" s="56"/>
      <c r="ET73" s="56"/>
      <c r="FD73" s="56"/>
      <c r="FN73" s="56"/>
      <c r="FX73" s="56"/>
      <c r="GH73" s="56"/>
      <c r="GR73" s="56"/>
      <c r="HB73" s="56"/>
      <c r="HL73" s="56"/>
      <c r="HV73" s="56"/>
      <c r="IF73" s="56"/>
      <c r="IP73" s="56"/>
      <c r="IZ73" s="56"/>
      <c r="JJ73" s="56"/>
      <c r="JT73" s="56"/>
      <c r="KD73" s="56"/>
      <c r="KN73" s="56"/>
      <c r="KX73" s="56"/>
      <c r="LH73" s="56"/>
      <c r="LR73" s="56"/>
      <c r="MB73" s="56"/>
      <c r="ML73" s="56"/>
      <c r="MV73" s="56"/>
      <c r="NF73" s="56"/>
      <c r="NP73" s="56"/>
      <c r="NZ73" s="56"/>
      <c r="OJ73" s="56"/>
      <c r="OT73" s="56"/>
      <c r="PD73" s="56"/>
      <c r="PN73" s="56"/>
      <c r="PX73" s="56"/>
      <c r="QH73" s="56"/>
      <c r="QR73" s="56"/>
      <c r="RB73" s="56"/>
      <c r="RL73" s="56"/>
      <c r="RV73" s="56"/>
      <c r="SF73" s="56"/>
      <c r="SP73" s="56"/>
      <c r="SZ73" s="56"/>
      <c r="TJ73" s="56"/>
      <c r="TT73" s="56"/>
      <c r="UD73" s="56"/>
      <c r="UN73" s="56"/>
      <c r="UX73" s="56"/>
      <c r="VH73" s="56"/>
      <c r="VR73" s="56"/>
      <c r="WB73" s="56"/>
      <c r="WL73" s="56"/>
      <c r="WV73" s="56"/>
      <c r="XF73" s="56"/>
      <c r="XP73" s="56"/>
      <c r="XZ73" s="56"/>
      <c r="YJ73" s="56"/>
      <c r="YT73" s="56"/>
      <c r="ZD73" s="56"/>
      <c r="ZN73" s="56"/>
      <c r="ZX73" s="56"/>
      <c r="AAH73" s="56"/>
      <c r="AAR73" s="56"/>
      <c r="ABB73" s="56"/>
      <c r="ABL73" s="56"/>
      <c r="ABV73" s="56"/>
      <c r="ACF73" s="56"/>
      <c r="ACP73" s="56"/>
      <c r="ACZ73" s="56"/>
      <c r="ADJ73" s="56"/>
      <c r="ADT73" s="56"/>
      <c r="AED73" s="56"/>
      <c r="AEN73" s="56"/>
      <c r="AEX73" s="56"/>
      <c r="AFH73" s="56"/>
      <c r="AFR73" s="56"/>
      <c r="AGB73" s="56"/>
      <c r="AGL73" s="56"/>
      <c r="AGV73" s="56"/>
      <c r="AHF73" s="56"/>
      <c r="AHP73" s="56"/>
      <c r="AHZ73" s="56"/>
      <c r="AIJ73" s="56"/>
      <c r="AIT73" s="56"/>
      <c r="AJD73" s="56"/>
      <c r="AJN73" s="56"/>
      <c r="AJX73" s="56"/>
      <c r="AKH73" s="56"/>
      <c r="AKR73" s="56"/>
      <c r="ALB73" s="56"/>
      <c r="ALL73" s="56"/>
      <c r="ALV73" s="56"/>
      <c r="AMF73" s="56"/>
      <c r="AMP73" s="56"/>
      <c r="AMZ73" s="56"/>
      <c r="ANJ73" s="56"/>
      <c r="ANT73" s="56"/>
      <c r="AOD73" s="56"/>
      <c r="AON73" s="56"/>
      <c r="AOX73" s="56"/>
      <c r="APH73" s="56"/>
      <c r="APR73" s="56"/>
      <c r="AQB73" s="56"/>
      <c r="AQL73" s="56"/>
      <c r="AQV73" s="56"/>
      <c r="ARF73" s="56"/>
      <c r="ARP73" s="56"/>
      <c r="ARZ73" s="56"/>
      <c r="ASJ73" s="56"/>
      <c r="AST73" s="56"/>
      <c r="ATD73" s="56"/>
      <c r="ATN73" s="56"/>
      <c r="ATX73" s="56"/>
      <c r="AUH73" s="56"/>
      <c r="AUR73" s="56"/>
      <c r="AVB73" s="56"/>
      <c r="AVL73" s="56"/>
      <c r="AVV73" s="56"/>
      <c r="AWF73" s="56"/>
      <c r="AWP73" s="56"/>
      <c r="AWZ73" s="56"/>
      <c r="AXJ73" s="56"/>
      <c r="AXT73" s="56"/>
      <c r="AYD73" s="56"/>
      <c r="AYN73" s="56"/>
      <c r="AYX73" s="56"/>
      <c r="AZH73" s="56"/>
      <c r="AZR73" s="56"/>
      <c r="BAB73" s="56"/>
      <c r="BAL73" s="56"/>
      <c r="BAV73" s="56"/>
      <c r="BBF73" s="56"/>
      <c r="BBP73" s="56"/>
      <c r="BBZ73" s="56"/>
      <c r="BCJ73" s="56"/>
      <c r="BCT73" s="56"/>
      <c r="BDD73" s="56"/>
      <c r="BDN73" s="56"/>
      <c r="BDX73" s="56"/>
      <c r="BEH73" s="56"/>
      <c r="BER73" s="56"/>
      <c r="BFB73" s="56"/>
      <c r="BFL73" s="56"/>
      <c r="BFV73" s="56"/>
      <c r="BGF73" s="56"/>
      <c r="BGP73" s="56"/>
      <c r="BGZ73" s="56"/>
      <c r="BHJ73" s="56"/>
      <c r="BHT73" s="56"/>
      <c r="BID73" s="56"/>
      <c r="BIN73" s="56"/>
      <c r="BIX73" s="56"/>
      <c r="BJH73" s="56"/>
      <c r="BJR73" s="56"/>
      <c r="BKB73" s="56"/>
      <c r="BKL73" s="56"/>
      <c r="BKV73" s="56"/>
      <c r="BLF73" s="56"/>
      <c r="BLP73" s="56"/>
      <c r="BLZ73" s="56"/>
      <c r="BMJ73" s="56"/>
      <c r="BMT73" s="56"/>
      <c r="BND73" s="56"/>
      <c r="BNN73" s="56"/>
      <c r="BNX73" s="56"/>
      <c r="BOH73" s="56"/>
      <c r="BOR73" s="56"/>
      <c r="BPB73" s="56"/>
      <c r="BPL73" s="56"/>
      <c r="BPV73" s="56"/>
      <c r="BQF73" s="56"/>
      <c r="BQP73" s="56"/>
      <c r="BQZ73" s="56"/>
      <c r="BRJ73" s="56"/>
      <c r="BRT73" s="56"/>
      <c r="BSD73" s="56"/>
      <c r="BSN73" s="56"/>
      <c r="BSX73" s="56"/>
      <c r="BTH73" s="56"/>
      <c r="BTR73" s="56"/>
      <c r="BUB73" s="56"/>
      <c r="BUL73" s="56"/>
      <c r="BUV73" s="56"/>
      <c r="BVF73" s="56"/>
      <c r="BVP73" s="56"/>
      <c r="BVZ73" s="56"/>
      <c r="BWJ73" s="56"/>
      <c r="BWT73" s="56"/>
      <c r="BXD73" s="56"/>
      <c r="BXN73" s="56"/>
      <c r="BXX73" s="56"/>
      <c r="BYH73" s="56"/>
      <c r="BYR73" s="56"/>
      <c r="BZB73" s="56"/>
      <c r="BZL73" s="56"/>
      <c r="BZV73" s="56"/>
      <c r="CAF73" s="56"/>
      <c r="CAP73" s="56"/>
      <c r="CAZ73" s="56"/>
      <c r="CBJ73" s="56"/>
      <c r="CBT73" s="56"/>
      <c r="CCD73" s="56"/>
      <c r="CCN73" s="56"/>
      <c r="CCX73" s="56"/>
      <c r="CDH73" s="56"/>
      <c r="CDR73" s="56"/>
      <c r="CEB73" s="56"/>
      <c r="CEL73" s="56"/>
      <c r="CEV73" s="56"/>
      <c r="CFF73" s="56"/>
      <c r="CFP73" s="56"/>
      <c r="CFZ73" s="56"/>
      <c r="CGJ73" s="56"/>
      <c r="CGT73" s="56"/>
      <c r="CHD73" s="56"/>
      <c r="CHN73" s="56"/>
      <c r="CHX73" s="56"/>
      <c r="CIH73" s="56"/>
      <c r="CIR73" s="56"/>
      <c r="CJB73" s="56"/>
      <c r="CJL73" s="56"/>
      <c r="CJV73" s="56"/>
      <c r="CKF73" s="56"/>
      <c r="CKP73" s="56"/>
      <c r="CKZ73" s="56"/>
      <c r="CLJ73" s="56"/>
      <c r="CLT73" s="56"/>
      <c r="CMD73" s="56"/>
      <c r="CMN73" s="56"/>
      <c r="CMX73" s="56"/>
      <c r="CNH73" s="56"/>
      <c r="CNR73" s="56"/>
      <c r="COB73" s="56"/>
      <c r="COL73" s="56"/>
      <c r="COV73" s="56"/>
      <c r="CPF73" s="56"/>
      <c r="CPP73" s="56"/>
      <c r="CPZ73" s="56"/>
      <c r="CQJ73" s="56"/>
      <c r="CQT73" s="56"/>
      <c r="CRD73" s="56"/>
      <c r="CRN73" s="56"/>
      <c r="CRX73" s="56"/>
      <c r="CSH73" s="56"/>
      <c r="CSR73" s="56"/>
      <c r="CTB73" s="56"/>
      <c r="CTL73" s="56"/>
      <c r="CTV73" s="56"/>
    </row>
    <row r="74" s="42" customFormat="1" customHeight="1" spans="1:1020 1030:2040 2050:2570">
      <c r="A74" s="51"/>
      <c r="B74" s="52"/>
      <c r="C74" s="52"/>
      <c r="D74" s="52"/>
      <c r="E74" s="52"/>
      <c r="F74" s="53" t="str">
        <f>IFERROR(VLOOKUP(E74,日报!E:G,2,0),"")</f>
        <v/>
      </c>
      <c r="G74" s="52"/>
      <c r="H74" s="54" t="str">
        <f>IFERROR(VLOOKUP(E74,日报!E:H,4,0),"")</f>
        <v/>
      </c>
      <c r="I74" s="54" t="str">
        <f>IFERROR(VLOOKUP(E74,日报!E:G,3,0),"")</f>
        <v/>
      </c>
      <c r="J74" s="52"/>
      <c r="K74" s="55" t="str">
        <f t="shared" si="0"/>
        <v/>
      </c>
      <c r="T74" s="56"/>
      <c r="AD74" s="56"/>
      <c r="AN74" s="56"/>
      <c r="AX74" s="56"/>
      <c r="BH74" s="56"/>
      <c r="BR74" s="56"/>
      <c r="CB74" s="56"/>
      <c r="CL74" s="56"/>
      <c r="CV74" s="56"/>
      <c r="DF74" s="56"/>
      <c r="DP74" s="56"/>
      <c r="DZ74" s="56"/>
      <c r="EJ74" s="56"/>
      <c r="ET74" s="56"/>
      <c r="FD74" s="56"/>
      <c r="FN74" s="56"/>
      <c r="FX74" s="56"/>
      <c r="GH74" s="56"/>
      <c r="GR74" s="56"/>
      <c r="HB74" s="56"/>
      <c r="HL74" s="56"/>
      <c r="HV74" s="56"/>
      <c r="IF74" s="56"/>
      <c r="IP74" s="56"/>
      <c r="IZ74" s="56"/>
      <c r="JJ74" s="56"/>
      <c r="JT74" s="56"/>
      <c r="KD74" s="56"/>
      <c r="KN74" s="56"/>
      <c r="KX74" s="56"/>
      <c r="LH74" s="56"/>
      <c r="LR74" s="56"/>
      <c r="MB74" s="56"/>
      <c r="ML74" s="56"/>
      <c r="MV74" s="56"/>
      <c r="NF74" s="56"/>
      <c r="NP74" s="56"/>
      <c r="NZ74" s="56"/>
      <c r="OJ74" s="56"/>
      <c r="OT74" s="56"/>
      <c r="PD74" s="56"/>
      <c r="PN74" s="56"/>
      <c r="PX74" s="56"/>
      <c r="QH74" s="56"/>
      <c r="QR74" s="56"/>
      <c r="RB74" s="56"/>
      <c r="RL74" s="56"/>
      <c r="RV74" s="56"/>
      <c r="SF74" s="56"/>
      <c r="SP74" s="56"/>
      <c r="SZ74" s="56"/>
      <c r="TJ74" s="56"/>
      <c r="TT74" s="56"/>
      <c r="UD74" s="56"/>
      <c r="UN74" s="56"/>
      <c r="UX74" s="56"/>
      <c r="VH74" s="56"/>
      <c r="VR74" s="56"/>
      <c r="WB74" s="56"/>
      <c r="WL74" s="56"/>
      <c r="WV74" s="56"/>
      <c r="XF74" s="56"/>
      <c r="XP74" s="56"/>
      <c r="XZ74" s="56"/>
      <c r="YJ74" s="56"/>
      <c r="YT74" s="56"/>
      <c r="ZD74" s="56"/>
      <c r="ZN74" s="56"/>
      <c r="ZX74" s="56"/>
      <c r="AAH74" s="56"/>
      <c r="AAR74" s="56"/>
      <c r="ABB74" s="56"/>
      <c r="ABL74" s="56"/>
      <c r="ABV74" s="56"/>
      <c r="ACF74" s="56"/>
      <c r="ACP74" s="56"/>
      <c r="ACZ74" s="56"/>
      <c r="ADJ74" s="56"/>
      <c r="ADT74" s="56"/>
      <c r="AED74" s="56"/>
      <c r="AEN74" s="56"/>
      <c r="AEX74" s="56"/>
      <c r="AFH74" s="56"/>
      <c r="AFR74" s="56"/>
      <c r="AGB74" s="56"/>
      <c r="AGL74" s="56"/>
      <c r="AGV74" s="56"/>
      <c r="AHF74" s="56"/>
      <c r="AHP74" s="56"/>
      <c r="AHZ74" s="56"/>
      <c r="AIJ74" s="56"/>
      <c r="AIT74" s="56"/>
      <c r="AJD74" s="56"/>
      <c r="AJN74" s="56"/>
      <c r="AJX74" s="56"/>
      <c r="AKH74" s="56"/>
      <c r="AKR74" s="56"/>
      <c r="ALB74" s="56"/>
      <c r="ALL74" s="56"/>
      <c r="ALV74" s="56"/>
      <c r="AMF74" s="56"/>
      <c r="AMP74" s="56"/>
      <c r="AMZ74" s="56"/>
      <c r="ANJ74" s="56"/>
      <c r="ANT74" s="56"/>
      <c r="AOD74" s="56"/>
      <c r="AON74" s="56"/>
      <c r="AOX74" s="56"/>
      <c r="APH74" s="56"/>
      <c r="APR74" s="56"/>
      <c r="AQB74" s="56"/>
      <c r="AQL74" s="56"/>
      <c r="AQV74" s="56"/>
      <c r="ARF74" s="56"/>
      <c r="ARP74" s="56"/>
      <c r="ARZ74" s="56"/>
      <c r="ASJ74" s="56"/>
      <c r="AST74" s="56"/>
      <c r="ATD74" s="56"/>
      <c r="ATN74" s="56"/>
      <c r="ATX74" s="56"/>
      <c r="AUH74" s="56"/>
      <c r="AUR74" s="56"/>
      <c r="AVB74" s="56"/>
      <c r="AVL74" s="56"/>
      <c r="AVV74" s="56"/>
      <c r="AWF74" s="56"/>
      <c r="AWP74" s="56"/>
      <c r="AWZ74" s="56"/>
      <c r="AXJ74" s="56"/>
      <c r="AXT74" s="56"/>
      <c r="AYD74" s="56"/>
      <c r="AYN74" s="56"/>
      <c r="AYX74" s="56"/>
      <c r="AZH74" s="56"/>
      <c r="AZR74" s="56"/>
      <c r="BAB74" s="56"/>
      <c r="BAL74" s="56"/>
      <c r="BAV74" s="56"/>
      <c r="BBF74" s="56"/>
      <c r="BBP74" s="56"/>
      <c r="BBZ74" s="56"/>
      <c r="BCJ74" s="56"/>
      <c r="BCT74" s="56"/>
      <c r="BDD74" s="56"/>
      <c r="BDN74" s="56"/>
      <c r="BDX74" s="56"/>
      <c r="BEH74" s="56"/>
      <c r="BER74" s="56"/>
      <c r="BFB74" s="56"/>
      <c r="BFL74" s="56"/>
      <c r="BFV74" s="56"/>
      <c r="BGF74" s="56"/>
      <c r="BGP74" s="56"/>
      <c r="BGZ74" s="56"/>
      <c r="BHJ74" s="56"/>
      <c r="BHT74" s="56"/>
      <c r="BID74" s="56"/>
      <c r="BIN74" s="56"/>
      <c r="BIX74" s="56"/>
      <c r="BJH74" s="56"/>
      <c r="BJR74" s="56"/>
      <c r="BKB74" s="56"/>
      <c r="BKL74" s="56"/>
      <c r="BKV74" s="56"/>
      <c r="BLF74" s="56"/>
      <c r="BLP74" s="56"/>
      <c r="BLZ74" s="56"/>
      <c r="BMJ74" s="56"/>
      <c r="BMT74" s="56"/>
      <c r="BND74" s="56"/>
      <c r="BNN74" s="56"/>
      <c r="BNX74" s="56"/>
      <c r="BOH74" s="56"/>
      <c r="BOR74" s="56"/>
      <c r="BPB74" s="56"/>
      <c r="BPL74" s="56"/>
      <c r="BPV74" s="56"/>
      <c r="BQF74" s="56"/>
      <c r="BQP74" s="56"/>
      <c r="BQZ74" s="56"/>
      <c r="BRJ74" s="56"/>
      <c r="BRT74" s="56"/>
      <c r="BSD74" s="56"/>
      <c r="BSN74" s="56"/>
      <c r="BSX74" s="56"/>
      <c r="BTH74" s="56"/>
      <c r="BTR74" s="56"/>
      <c r="BUB74" s="56"/>
      <c r="BUL74" s="56"/>
      <c r="BUV74" s="56"/>
      <c r="BVF74" s="56"/>
      <c r="BVP74" s="56"/>
      <c r="BVZ74" s="56"/>
      <c r="BWJ74" s="56"/>
      <c r="BWT74" s="56"/>
      <c r="BXD74" s="56"/>
      <c r="BXN74" s="56"/>
      <c r="BXX74" s="56"/>
      <c r="BYH74" s="56"/>
      <c r="BYR74" s="56"/>
      <c r="BZB74" s="56"/>
      <c r="BZL74" s="56"/>
      <c r="BZV74" s="56"/>
      <c r="CAF74" s="56"/>
      <c r="CAP74" s="56"/>
      <c r="CAZ74" s="56"/>
      <c r="CBJ74" s="56"/>
      <c r="CBT74" s="56"/>
      <c r="CCD74" s="56"/>
      <c r="CCN74" s="56"/>
      <c r="CCX74" s="56"/>
      <c r="CDH74" s="56"/>
      <c r="CDR74" s="56"/>
      <c r="CEB74" s="56"/>
      <c r="CEL74" s="56"/>
      <c r="CEV74" s="56"/>
      <c r="CFF74" s="56"/>
      <c r="CFP74" s="56"/>
      <c r="CFZ74" s="56"/>
      <c r="CGJ74" s="56"/>
      <c r="CGT74" s="56"/>
      <c r="CHD74" s="56"/>
      <c r="CHN74" s="56"/>
      <c r="CHX74" s="56"/>
      <c r="CIH74" s="56"/>
      <c r="CIR74" s="56"/>
      <c r="CJB74" s="56"/>
      <c r="CJL74" s="56"/>
      <c r="CJV74" s="56"/>
      <c r="CKF74" s="56"/>
      <c r="CKP74" s="56"/>
      <c r="CKZ74" s="56"/>
      <c r="CLJ74" s="56"/>
      <c r="CLT74" s="56"/>
      <c r="CMD74" s="56"/>
      <c r="CMN74" s="56"/>
      <c r="CMX74" s="56"/>
      <c r="CNH74" s="56"/>
      <c r="CNR74" s="56"/>
      <c r="COB74" s="56"/>
      <c r="COL74" s="56"/>
      <c r="COV74" s="56"/>
      <c r="CPF74" s="56"/>
      <c r="CPP74" s="56"/>
      <c r="CPZ74" s="56"/>
      <c r="CQJ74" s="56"/>
      <c r="CQT74" s="56"/>
      <c r="CRD74" s="56"/>
      <c r="CRN74" s="56"/>
      <c r="CRX74" s="56"/>
      <c r="CSH74" s="56"/>
      <c r="CSR74" s="56"/>
      <c r="CTB74" s="56"/>
      <c r="CTL74" s="56"/>
      <c r="CTV74" s="56"/>
    </row>
    <row r="75" s="42" customFormat="1" customHeight="1" spans="1:1020 1030:2040 2050:2570">
      <c r="A75" s="51"/>
      <c r="B75" s="52"/>
      <c r="C75" s="52"/>
      <c r="D75" s="52"/>
      <c r="E75" s="52"/>
      <c r="F75" s="53" t="str">
        <f>IFERROR(VLOOKUP(E75,日报!E:G,2,0),"")</f>
        <v/>
      </c>
      <c r="G75" s="52"/>
      <c r="H75" s="54" t="str">
        <f>IFERROR(VLOOKUP(E75,日报!E:H,4,0),"")</f>
        <v/>
      </c>
      <c r="I75" s="54" t="str">
        <f>IFERROR(VLOOKUP(E75,日报!E:G,3,0),"")</f>
        <v/>
      </c>
      <c r="J75" s="52"/>
      <c r="K75" s="55" t="str">
        <f t="shared" si="0"/>
        <v/>
      </c>
      <c r="T75" s="56"/>
      <c r="AD75" s="56"/>
      <c r="AN75" s="56"/>
      <c r="AX75" s="56"/>
      <c r="BH75" s="56"/>
      <c r="BR75" s="56"/>
      <c r="CB75" s="56"/>
      <c r="CL75" s="56"/>
      <c r="CV75" s="56"/>
      <c r="DF75" s="56"/>
      <c r="DP75" s="56"/>
      <c r="DZ75" s="56"/>
      <c r="EJ75" s="56"/>
      <c r="ET75" s="56"/>
      <c r="FD75" s="56"/>
      <c r="FN75" s="56"/>
      <c r="FX75" s="56"/>
      <c r="GH75" s="56"/>
      <c r="GR75" s="56"/>
      <c r="HB75" s="56"/>
      <c r="HL75" s="56"/>
      <c r="HV75" s="56"/>
      <c r="IF75" s="56"/>
      <c r="IP75" s="56"/>
      <c r="IZ75" s="56"/>
      <c r="JJ75" s="56"/>
      <c r="JT75" s="56"/>
      <c r="KD75" s="56"/>
      <c r="KN75" s="56"/>
      <c r="KX75" s="56"/>
      <c r="LH75" s="56"/>
      <c r="LR75" s="56"/>
      <c r="MB75" s="56"/>
      <c r="ML75" s="56"/>
      <c r="MV75" s="56"/>
      <c r="NF75" s="56"/>
      <c r="NP75" s="56"/>
      <c r="NZ75" s="56"/>
      <c r="OJ75" s="56"/>
      <c r="OT75" s="56"/>
      <c r="PD75" s="56"/>
      <c r="PN75" s="56"/>
      <c r="PX75" s="56"/>
      <c r="QH75" s="56"/>
      <c r="QR75" s="56"/>
      <c r="RB75" s="56"/>
      <c r="RL75" s="56"/>
      <c r="RV75" s="56"/>
      <c r="SF75" s="56"/>
      <c r="SP75" s="56"/>
      <c r="SZ75" s="56"/>
      <c r="TJ75" s="56"/>
      <c r="TT75" s="56"/>
      <c r="UD75" s="56"/>
      <c r="UN75" s="56"/>
      <c r="UX75" s="56"/>
      <c r="VH75" s="56"/>
      <c r="VR75" s="56"/>
      <c r="WB75" s="56"/>
      <c r="WL75" s="56"/>
      <c r="WV75" s="56"/>
      <c r="XF75" s="56"/>
      <c r="XP75" s="56"/>
      <c r="XZ75" s="56"/>
      <c r="YJ75" s="56"/>
      <c r="YT75" s="56"/>
      <c r="ZD75" s="56"/>
      <c r="ZN75" s="56"/>
      <c r="ZX75" s="56"/>
      <c r="AAH75" s="56"/>
      <c r="AAR75" s="56"/>
      <c r="ABB75" s="56"/>
      <c r="ABL75" s="56"/>
      <c r="ABV75" s="56"/>
      <c r="ACF75" s="56"/>
      <c r="ACP75" s="56"/>
      <c r="ACZ75" s="56"/>
      <c r="ADJ75" s="56"/>
      <c r="ADT75" s="56"/>
      <c r="AED75" s="56"/>
      <c r="AEN75" s="56"/>
      <c r="AEX75" s="56"/>
      <c r="AFH75" s="56"/>
      <c r="AFR75" s="56"/>
      <c r="AGB75" s="56"/>
      <c r="AGL75" s="56"/>
      <c r="AGV75" s="56"/>
      <c r="AHF75" s="56"/>
      <c r="AHP75" s="56"/>
      <c r="AHZ75" s="56"/>
      <c r="AIJ75" s="56"/>
      <c r="AIT75" s="56"/>
      <c r="AJD75" s="56"/>
      <c r="AJN75" s="56"/>
      <c r="AJX75" s="56"/>
      <c r="AKH75" s="56"/>
      <c r="AKR75" s="56"/>
      <c r="ALB75" s="56"/>
      <c r="ALL75" s="56"/>
      <c r="ALV75" s="56"/>
      <c r="AMF75" s="56"/>
      <c r="AMP75" s="56"/>
      <c r="AMZ75" s="56"/>
      <c r="ANJ75" s="56"/>
      <c r="ANT75" s="56"/>
      <c r="AOD75" s="56"/>
      <c r="AON75" s="56"/>
      <c r="AOX75" s="56"/>
      <c r="APH75" s="56"/>
      <c r="APR75" s="56"/>
      <c r="AQB75" s="56"/>
      <c r="AQL75" s="56"/>
      <c r="AQV75" s="56"/>
      <c r="ARF75" s="56"/>
      <c r="ARP75" s="56"/>
      <c r="ARZ75" s="56"/>
      <c r="ASJ75" s="56"/>
      <c r="AST75" s="56"/>
      <c r="ATD75" s="56"/>
      <c r="ATN75" s="56"/>
      <c r="ATX75" s="56"/>
      <c r="AUH75" s="56"/>
      <c r="AUR75" s="56"/>
      <c r="AVB75" s="56"/>
      <c r="AVL75" s="56"/>
      <c r="AVV75" s="56"/>
      <c r="AWF75" s="56"/>
      <c r="AWP75" s="56"/>
      <c r="AWZ75" s="56"/>
      <c r="AXJ75" s="56"/>
      <c r="AXT75" s="56"/>
      <c r="AYD75" s="56"/>
      <c r="AYN75" s="56"/>
      <c r="AYX75" s="56"/>
      <c r="AZH75" s="56"/>
      <c r="AZR75" s="56"/>
      <c r="BAB75" s="56"/>
      <c r="BAL75" s="56"/>
      <c r="BAV75" s="56"/>
      <c r="BBF75" s="56"/>
      <c r="BBP75" s="56"/>
      <c r="BBZ75" s="56"/>
      <c r="BCJ75" s="56"/>
      <c r="BCT75" s="56"/>
      <c r="BDD75" s="56"/>
      <c r="BDN75" s="56"/>
      <c r="BDX75" s="56"/>
      <c r="BEH75" s="56"/>
      <c r="BER75" s="56"/>
      <c r="BFB75" s="56"/>
      <c r="BFL75" s="56"/>
      <c r="BFV75" s="56"/>
      <c r="BGF75" s="56"/>
      <c r="BGP75" s="56"/>
      <c r="BGZ75" s="56"/>
      <c r="BHJ75" s="56"/>
      <c r="BHT75" s="56"/>
      <c r="BID75" s="56"/>
      <c r="BIN75" s="56"/>
      <c r="BIX75" s="56"/>
      <c r="BJH75" s="56"/>
      <c r="BJR75" s="56"/>
      <c r="BKB75" s="56"/>
      <c r="BKL75" s="56"/>
      <c r="BKV75" s="56"/>
      <c r="BLF75" s="56"/>
      <c r="BLP75" s="56"/>
      <c r="BLZ75" s="56"/>
      <c r="BMJ75" s="56"/>
      <c r="BMT75" s="56"/>
      <c r="BND75" s="56"/>
      <c r="BNN75" s="56"/>
      <c r="BNX75" s="56"/>
      <c r="BOH75" s="56"/>
      <c r="BOR75" s="56"/>
      <c r="BPB75" s="56"/>
      <c r="BPL75" s="56"/>
      <c r="BPV75" s="56"/>
      <c r="BQF75" s="56"/>
      <c r="BQP75" s="56"/>
      <c r="BQZ75" s="56"/>
      <c r="BRJ75" s="56"/>
      <c r="BRT75" s="56"/>
      <c r="BSD75" s="56"/>
      <c r="BSN75" s="56"/>
      <c r="BSX75" s="56"/>
      <c r="BTH75" s="56"/>
      <c r="BTR75" s="56"/>
      <c r="BUB75" s="56"/>
      <c r="BUL75" s="56"/>
      <c r="BUV75" s="56"/>
      <c r="BVF75" s="56"/>
      <c r="BVP75" s="56"/>
      <c r="BVZ75" s="56"/>
      <c r="BWJ75" s="56"/>
      <c r="BWT75" s="56"/>
      <c r="BXD75" s="56"/>
      <c r="BXN75" s="56"/>
      <c r="BXX75" s="56"/>
      <c r="BYH75" s="56"/>
      <c r="BYR75" s="56"/>
      <c r="BZB75" s="56"/>
      <c r="BZL75" s="56"/>
      <c r="BZV75" s="56"/>
      <c r="CAF75" s="56"/>
      <c r="CAP75" s="56"/>
      <c r="CAZ75" s="56"/>
      <c r="CBJ75" s="56"/>
      <c r="CBT75" s="56"/>
      <c r="CCD75" s="56"/>
      <c r="CCN75" s="56"/>
      <c r="CCX75" s="56"/>
      <c r="CDH75" s="56"/>
      <c r="CDR75" s="56"/>
      <c r="CEB75" s="56"/>
      <c r="CEL75" s="56"/>
      <c r="CEV75" s="56"/>
      <c r="CFF75" s="56"/>
      <c r="CFP75" s="56"/>
      <c r="CFZ75" s="56"/>
      <c r="CGJ75" s="56"/>
      <c r="CGT75" s="56"/>
      <c r="CHD75" s="56"/>
      <c r="CHN75" s="56"/>
      <c r="CHX75" s="56"/>
      <c r="CIH75" s="56"/>
      <c r="CIR75" s="56"/>
      <c r="CJB75" s="56"/>
      <c r="CJL75" s="56"/>
      <c r="CJV75" s="56"/>
      <c r="CKF75" s="56"/>
      <c r="CKP75" s="56"/>
      <c r="CKZ75" s="56"/>
      <c r="CLJ75" s="56"/>
      <c r="CLT75" s="56"/>
      <c r="CMD75" s="56"/>
      <c r="CMN75" s="56"/>
      <c r="CMX75" s="56"/>
      <c r="CNH75" s="56"/>
      <c r="CNR75" s="56"/>
      <c r="COB75" s="56"/>
      <c r="COL75" s="56"/>
      <c r="COV75" s="56"/>
      <c r="CPF75" s="56"/>
      <c r="CPP75" s="56"/>
      <c r="CPZ75" s="56"/>
      <c r="CQJ75" s="56"/>
      <c r="CQT75" s="56"/>
      <c r="CRD75" s="56"/>
      <c r="CRN75" s="56"/>
      <c r="CRX75" s="56"/>
      <c r="CSH75" s="56"/>
      <c r="CSR75" s="56"/>
      <c r="CTB75" s="56"/>
      <c r="CTL75" s="56"/>
      <c r="CTV75" s="56"/>
    </row>
    <row r="76" s="42" customFormat="1" customHeight="1" spans="1:1020 1030:2040 2050:2570">
      <c r="A76" s="51"/>
      <c r="B76" s="52"/>
      <c r="C76" s="52"/>
      <c r="D76" s="52"/>
      <c r="E76" s="52"/>
      <c r="F76" s="53" t="str">
        <f>IFERROR(VLOOKUP(E76,日报!E:G,2,0),"")</f>
        <v/>
      </c>
      <c r="G76" s="52"/>
      <c r="H76" s="54" t="str">
        <f>IFERROR(VLOOKUP(E76,日报!E:H,4,0),"")</f>
        <v/>
      </c>
      <c r="I76" s="54" t="str">
        <f>IFERROR(VLOOKUP(E76,日报!E:G,3,0),"")</f>
        <v/>
      </c>
      <c r="J76" s="52"/>
      <c r="K76" s="55" t="str">
        <f t="shared" si="0"/>
        <v/>
      </c>
      <c r="T76" s="56"/>
      <c r="AD76" s="56"/>
      <c r="AN76" s="56"/>
      <c r="AX76" s="56"/>
      <c r="BH76" s="56"/>
      <c r="BR76" s="56"/>
      <c r="CB76" s="56"/>
      <c r="CL76" s="56"/>
      <c r="CV76" s="56"/>
      <c r="DF76" s="56"/>
      <c r="DP76" s="56"/>
      <c r="DZ76" s="56"/>
      <c r="EJ76" s="56"/>
      <c r="ET76" s="56"/>
      <c r="FD76" s="56"/>
      <c r="FN76" s="56"/>
      <c r="FX76" s="56"/>
      <c r="GH76" s="56"/>
      <c r="GR76" s="56"/>
      <c r="HB76" s="56"/>
      <c r="HL76" s="56"/>
      <c r="HV76" s="56"/>
      <c r="IF76" s="56"/>
      <c r="IP76" s="56"/>
      <c r="IZ76" s="56"/>
      <c r="JJ76" s="56"/>
      <c r="JT76" s="56"/>
      <c r="KD76" s="56"/>
      <c r="KN76" s="56"/>
      <c r="KX76" s="56"/>
      <c r="LH76" s="56"/>
      <c r="LR76" s="56"/>
      <c r="MB76" s="56"/>
      <c r="ML76" s="56"/>
      <c r="MV76" s="56"/>
      <c r="NF76" s="56"/>
      <c r="NP76" s="56"/>
      <c r="NZ76" s="56"/>
      <c r="OJ76" s="56"/>
      <c r="OT76" s="56"/>
      <c r="PD76" s="56"/>
      <c r="PN76" s="56"/>
      <c r="PX76" s="56"/>
      <c r="QH76" s="56"/>
      <c r="QR76" s="56"/>
      <c r="RB76" s="56"/>
      <c r="RL76" s="56"/>
      <c r="RV76" s="56"/>
      <c r="SF76" s="56"/>
      <c r="SP76" s="56"/>
      <c r="SZ76" s="56"/>
      <c r="TJ76" s="56"/>
      <c r="TT76" s="56"/>
      <c r="UD76" s="56"/>
      <c r="UN76" s="56"/>
      <c r="UX76" s="56"/>
      <c r="VH76" s="56"/>
      <c r="VR76" s="56"/>
      <c r="WB76" s="56"/>
      <c r="WL76" s="56"/>
      <c r="WV76" s="56"/>
      <c r="XF76" s="56"/>
      <c r="XP76" s="56"/>
      <c r="XZ76" s="56"/>
      <c r="YJ76" s="56"/>
      <c r="YT76" s="56"/>
      <c r="ZD76" s="56"/>
      <c r="ZN76" s="56"/>
      <c r="ZX76" s="56"/>
      <c r="AAH76" s="56"/>
      <c r="AAR76" s="56"/>
      <c r="ABB76" s="56"/>
      <c r="ABL76" s="56"/>
      <c r="ABV76" s="56"/>
      <c r="ACF76" s="56"/>
      <c r="ACP76" s="56"/>
      <c r="ACZ76" s="56"/>
      <c r="ADJ76" s="56"/>
      <c r="ADT76" s="56"/>
      <c r="AED76" s="56"/>
      <c r="AEN76" s="56"/>
      <c r="AEX76" s="56"/>
      <c r="AFH76" s="56"/>
      <c r="AFR76" s="56"/>
      <c r="AGB76" s="56"/>
      <c r="AGL76" s="56"/>
      <c r="AGV76" s="56"/>
      <c r="AHF76" s="56"/>
      <c r="AHP76" s="56"/>
      <c r="AHZ76" s="56"/>
      <c r="AIJ76" s="56"/>
      <c r="AIT76" s="56"/>
      <c r="AJD76" s="56"/>
      <c r="AJN76" s="56"/>
      <c r="AJX76" s="56"/>
      <c r="AKH76" s="56"/>
      <c r="AKR76" s="56"/>
      <c r="ALB76" s="56"/>
      <c r="ALL76" s="56"/>
      <c r="ALV76" s="56"/>
      <c r="AMF76" s="56"/>
      <c r="AMP76" s="56"/>
      <c r="AMZ76" s="56"/>
      <c r="ANJ76" s="56"/>
      <c r="ANT76" s="56"/>
      <c r="AOD76" s="56"/>
      <c r="AON76" s="56"/>
      <c r="AOX76" s="56"/>
      <c r="APH76" s="56"/>
      <c r="APR76" s="56"/>
      <c r="AQB76" s="56"/>
      <c r="AQL76" s="56"/>
      <c r="AQV76" s="56"/>
      <c r="ARF76" s="56"/>
      <c r="ARP76" s="56"/>
      <c r="ARZ76" s="56"/>
      <c r="ASJ76" s="56"/>
      <c r="AST76" s="56"/>
      <c r="ATD76" s="56"/>
      <c r="ATN76" s="56"/>
      <c r="ATX76" s="56"/>
      <c r="AUH76" s="56"/>
      <c r="AUR76" s="56"/>
      <c r="AVB76" s="56"/>
      <c r="AVL76" s="56"/>
      <c r="AVV76" s="56"/>
      <c r="AWF76" s="56"/>
      <c r="AWP76" s="56"/>
      <c r="AWZ76" s="56"/>
      <c r="AXJ76" s="56"/>
      <c r="AXT76" s="56"/>
      <c r="AYD76" s="56"/>
      <c r="AYN76" s="56"/>
      <c r="AYX76" s="56"/>
      <c r="AZH76" s="56"/>
      <c r="AZR76" s="56"/>
      <c r="BAB76" s="56"/>
      <c r="BAL76" s="56"/>
      <c r="BAV76" s="56"/>
      <c r="BBF76" s="56"/>
      <c r="BBP76" s="56"/>
      <c r="BBZ76" s="56"/>
      <c r="BCJ76" s="56"/>
      <c r="BCT76" s="56"/>
      <c r="BDD76" s="56"/>
      <c r="BDN76" s="56"/>
      <c r="BDX76" s="56"/>
      <c r="BEH76" s="56"/>
      <c r="BER76" s="56"/>
      <c r="BFB76" s="56"/>
      <c r="BFL76" s="56"/>
      <c r="BFV76" s="56"/>
      <c r="BGF76" s="56"/>
      <c r="BGP76" s="56"/>
      <c r="BGZ76" s="56"/>
      <c r="BHJ76" s="56"/>
      <c r="BHT76" s="56"/>
      <c r="BID76" s="56"/>
      <c r="BIN76" s="56"/>
      <c r="BIX76" s="56"/>
      <c r="BJH76" s="56"/>
      <c r="BJR76" s="56"/>
      <c r="BKB76" s="56"/>
      <c r="BKL76" s="56"/>
      <c r="BKV76" s="56"/>
      <c r="BLF76" s="56"/>
      <c r="BLP76" s="56"/>
      <c r="BLZ76" s="56"/>
      <c r="BMJ76" s="56"/>
      <c r="BMT76" s="56"/>
      <c r="BND76" s="56"/>
      <c r="BNN76" s="56"/>
      <c r="BNX76" s="56"/>
      <c r="BOH76" s="56"/>
      <c r="BOR76" s="56"/>
      <c r="BPB76" s="56"/>
      <c r="BPL76" s="56"/>
      <c r="BPV76" s="56"/>
      <c r="BQF76" s="56"/>
      <c r="BQP76" s="56"/>
      <c r="BQZ76" s="56"/>
      <c r="BRJ76" s="56"/>
      <c r="BRT76" s="56"/>
      <c r="BSD76" s="56"/>
      <c r="BSN76" s="56"/>
      <c r="BSX76" s="56"/>
      <c r="BTH76" s="56"/>
      <c r="BTR76" s="56"/>
      <c r="BUB76" s="56"/>
      <c r="BUL76" s="56"/>
      <c r="BUV76" s="56"/>
      <c r="BVF76" s="56"/>
      <c r="BVP76" s="56"/>
      <c r="BVZ76" s="56"/>
      <c r="BWJ76" s="56"/>
      <c r="BWT76" s="56"/>
      <c r="BXD76" s="56"/>
      <c r="BXN76" s="56"/>
      <c r="BXX76" s="56"/>
      <c r="BYH76" s="56"/>
      <c r="BYR76" s="56"/>
      <c r="BZB76" s="56"/>
      <c r="BZL76" s="56"/>
      <c r="BZV76" s="56"/>
      <c r="CAF76" s="56"/>
      <c r="CAP76" s="56"/>
      <c r="CAZ76" s="56"/>
      <c r="CBJ76" s="56"/>
      <c r="CBT76" s="56"/>
      <c r="CCD76" s="56"/>
      <c r="CCN76" s="56"/>
      <c r="CCX76" s="56"/>
      <c r="CDH76" s="56"/>
      <c r="CDR76" s="56"/>
      <c r="CEB76" s="56"/>
      <c r="CEL76" s="56"/>
      <c r="CEV76" s="56"/>
      <c r="CFF76" s="56"/>
      <c r="CFP76" s="56"/>
      <c r="CFZ76" s="56"/>
      <c r="CGJ76" s="56"/>
      <c r="CGT76" s="56"/>
      <c r="CHD76" s="56"/>
      <c r="CHN76" s="56"/>
      <c r="CHX76" s="56"/>
      <c r="CIH76" s="56"/>
      <c r="CIR76" s="56"/>
      <c r="CJB76" s="56"/>
      <c r="CJL76" s="56"/>
      <c r="CJV76" s="56"/>
      <c r="CKF76" s="56"/>
      <c r="CKP76" s="56"/>
      <c r="CKZ76" s="56"/>
      <c r="CLJ76" s="56"/>
      <c r="CLT76" s="56"/>
      <c r="CMD76" s="56"/>
      <c r="CMN76" s="56"/>
      <c r="CMX76" s="56"/>
      <c r="CNH76" s="56"/>
      <c r="CNR76" s="56"/>
      <c r="COB76" s="56"/>
      <c r="COL76" s="56"/>
      <c r="COV76" s="56"/>
      <c r="CPF76" s="56"/>
      <c r="CPP76" s="56"/>
      <c r="CPZ76" s="56"/>
      <c r="CQJ76" s="56"/>
      <c r="CQT76" s="56"/>
      <c r="CRD76" s="56"/>
      <c r="CRN76" s="56"/>
      <c r="CRX76" s="56"/>
      <c r="CSH76" s="56"/>
      <c r="CSR76" s="56"/>
      <c r="CTB76" s="56"/>
      <c r="CTL76" s="56"/>
      <c r="CTV76" s="56"/>
    </row>
    <row r="77" s="42" customFormat="1" customHeight="1" spans="1:1020 1030:2040 2050:2570">
      <c r="A77" s="51"/>
      <c r="B77" s="52"/>
      <c r="C77" s="52"/>
      <c r="D77" s="52"/>
      <c r="E77" s="52"/>
      <c r="F77" s="53" t="str">
        <f>IFERROR(VLOOKUP(E77,日报!E:G,2,0),"")</f>
        <v/>
      </c>
      <c r="G77" s="52"/>
      <c r="H77" s="54" t="str">
        <f>IFERROR(VLOOKUP(E77,日报!E:H,4,0),"")</f>
        <v/>
      </c>
      <c r="I77" s="54" t="str">
        <f>IFERROR(VLOOKUP(E77,日报!E:G,3,0),"")</f>
        <v/>
      </c>
      <c r="J77" s="52"/>
      <c r="K77" s="55" t="str">
        <f t="shared" si="0"/>
        <v/>
      </c>
      <c r="T77" s="56"/>
      <c r="AD77" s="56"/>
      <c r="AN77" s="56"/>
      <c r="AX77" s="56"/>
      <c r="BH77" s="56"/>
      <c r="BR77" s="56"/>
      <c r="CB77" s="56"/>
      <c r="CL77" s="56"/>
      <c r="CV77" s="56"/>
      <c r="DF77" s="56"/>
      <c r="DP77" s="56"/>
      <c r="DZ77" s="56"/>
      <c r="EJ77" s="56"/>
      <c r="ET77" s="56"/>
      <c r="FD77" s="56"/>
      <c r="FN77" s="56"/>
      <c r="FX77" s="56"/>
      <c r="GH77" s="56"/>
      <c r="GR77" s="56"/>
      <c r="HB77" s="56"/>
      <c r="HL77" s="56"/>
      <c r="HV77" s="56"/>
      <c r="IF77" s="56"/>
      <c r="IP77" s="56"/>
      <c r="IZ77" s="56"/>
      <c r="JJ77" s="56"/>
      <c r="JT77" s="56"/>
      <c r="KD77" s="56"/>
      <c r="KN77" s="56"/>
      <c r="KX77" s="56"/>
      <c r="LH77" s="56"/>
      <c r="LR77" s="56"/>
      <c r="MB77" s="56"/>
      <c r="ML77" s="56"/>
      <c r="MV77" s="56"/>
      <c r="NF77" s="56"/>
      <c r="NP77" s="56"/>
      <c r="NZ77" s="56"/>
      <c r="OJ77" s="56"/>
      <c r="OT77" s="56"/>
      <c r="PD77" s="56"/>
      <c r="PN77" s="56"/>
      <c r="PX77" s="56"/>
      <c r="QH77" s="56"/>
      <c r="QR77" s="56"/>
      <c r="RB77" s="56"/>
      <c r="RL77" s="56"/>
      <c r="RV77" s="56"/>
      <c r="SF77" s="56"/>
      <c r="SP77" s="56"/>
      <c r="SZ77" s="56"/>
      <c r="TJ77" s="56"/>
      <c r="TT77" s="56"/>
      <c r="UD77" s="56"/>
      <c r="UN77" s="56"/>
      <c r="UX77" s="56"/>
      <c r="VH77" s="56"/>
      <c r="VR77" s="56"/>
      <c r="WB77" s="56"/>
      <c r="WL77" s="56"/>
      <c r="WV77" s="56"/>
      <c r="XF77" s="56"/>
      <c r="XP77" s="56"/>
      <c r="XZ77" s="56"/>
      <c r="YJ77" s="56"/>
      <c r="YT77" s="56"/>
      <c r="ZD77" s="56"/>
      <c r="ZN77" s="56"/>
      <c r="ZX77" s="56"/>
      <c r="AAH77" s="56"/>
      <c r="AAR77" s="56"/>
      <c r="ABB77" s="56"/>
      <c r="ABL77" s="56"/>
      <c r="ABV77" s="56"/>
      <c r="ACF77" s="56"/>
      <c r="ACP77" s="56"/>
      <c r="ACZ77" s="56"/>
      <c r="ADJ77" s="56"/>
      <c r="ADT77" s="56"/>
      <c r="AED77" s="56"/>
      <c r="AEN77" s="56"/>
      <c r="AEX77" s="56"/>
      <c r="AFH77" s="56"/>
      <c r="AFR77" s="56"/>
      <c r="AGB77" s="56"/>
      <c r="AGL77" s="56"/>
      <c r="AGV77" s="56"/>
      <c r="AHF77" s="56"/>
      <c r="AHP77" s="56"/>
      <c r="AHZ77" s="56"/>
      <c r="AIJ77" s="56"/>
      <c r="AIT77" s="56"/>
      <c r="AJD77" s="56"/>
      <c r="AJN77" s="56"/>
      <c r="AJX77" s="56"/>
      <c r="AKH77" s="56"/>
      <c r="AKR77" s="56"/>
      <c r="ALB77" s="56"/>
      <c r="ALL77" s="56"/>
      <c r="ALV77" s="56"/>
      <c r="AMF77" s="56"/>
      <c r="AMP77" s="56"/>
      <c r="AMZ77" s="56"/>
      <c r="ANJ77" s="56"/>
      <c r="ANT77" s="56"/>
      <c r="AOD77" s="56"/>
      <c r="AON77" s="56"/>
      <c r="AOX77" s="56"/>
      <c r="APH77" s="56"/>
      <c r="APR77" s="56"/>
      <c r="AQB77" s="56"/>
      <c r="AQL77" s="56"/>
      <c r="AQV77" s="56"/>
      <c r="ARF77" s="56"/>
      <c r="ARP77" s="56"/>
      <c r="ARZ77" s="56"/>
      <c r="ASJ77" s="56"/>
      <c r="AST77" s="56"/>
      <c r="ATD77" s="56"/>
      <c r="ATN77" s="56"/>
      <c r="ATX77" s="56"/>
      <c r="AUH77" s="56"/>
      <c r="AUR77" s="56"/>
      <c r="AVB77" s="56"/>
      <c r="AVL77" s="56"/>
      <c r="AVV77" s="56"/>
      <c r="AWF77" s="56"/>
      <c r="AWP77" s="56"/>
      <c r="AWZ77" s="56"/>
      <c r="AXJ77" s="56"/>
      <c r="AXT77" s="56"/>
      <c r="AYD77" s="56"/>
      <c r="AYN77" s="56"/>
      <c r="AYX77" s="56"/>
      <c r="AZH77" s="56"/>
      <c r="AZR77" s="56"/>
      <c r="BAB77" s="56"/>
      <c r="BAL77" s="56"/>
      <c r="BAV77" s="56"/>
      <c r="BBF77" s="56"/>
      <c r="BBP77" s="56"/>
      <c r="BBZ77" s="56"/>
      <c r="BCJ77" s="56"/>
      <c r="BCT77" s="56"/>
      <c r="BDD77" s="56"/>
      <c r="BDN77" s="56"/>
      <c r="BDX77" s="56"/>
      <c r="BEH77" s="56"/>
      <c r="BER77" s="56"/>
      <c r="BFB77" s="56"/>
      <c r="BFL77" s="56"/>
      <c r="BFV77" s="56"/>
      <c r="BGF77" s="56"/>
      <c r="BGP77" s="56"/>
      <c r="BGZ77" s="56"/>
      <c r="BHJ77" s="56"/>
      <c r="BHT77" s="56"/>
      <c r="BID77" s="56"/>
      <c r="BIN77" s="56"/>
      <c r="BIX77" s="56"/>
      <c r="BJH77" s="56"/>
      <c r="BJR77" s="56"/>
      <c r="BKB77" s="56"/>
      <c r="BKL77" s="56"/>
      <c r="BKV77" s="56"/>
      <c r="BLF77" s="56"/>
      <c r="BLP77" s="56"/>
      <c r="BLZ77" s="56"/>
      <c r="BMJ77" s="56"/>
      <c r="BMT77" s="56"/>
      <c r="BND77" s="56"/>
      <c r="BNN77" s="56"/>
      <c r="BNX77" s="56"/>
      <c r="BOH77" s="56"/>
      <c r="BOR77" s="56"/>
      <c r="BPB77" s="56"/>
      <c r="BPL77" s="56"/>
      <c r="BPV77" s="56"/>
      <c r="BQF77" s="56"/>
      <c r="BQP77" s="56"/>
      <c r="BQZ77" s="56"/>
      <c r="BRJ77" s="56"/>
      <c r="BRT77" s="56"/>
      <c r="BSD77" s="56"/>
      <c r="BSN77" s="56"/>
      <c r="BSX77" s="56"/>
      <c r="BTH77" s="56"/>
      <c r="BTR77" s="56"/>
      <c r="BUB77" s="56"/>
      <c r="BUL77" s="56"/>
      <c r="BUV77" s="56"/>
      <c r="BVF77" s="56"/>
      <c r="BVP77" s="56"/>
      <c r="BVZ77" s="56"/>
      <c r="BWJ77" s="56"/>
      <c r="BWT77" s="56"/>
      <c r="BXD77" s="56"/>
      <c r="BXN77" s="56"/>
      <c r="BXX77" s="56"/>
      <c r="BYH77" s="56"/>
      <c r="BYR77" s="56"/>
      <c r="BZB77" s="56"/>
      <c r="BZL77" s="56"/>
      <c r="BZV77" s="56"/>
      <c r="CAF77" s="56"/>
      <c r="CAP77" s="56"/>
      <c r="CAZ77" s="56"/>
      <c r="CBJ77" s="56"/>
      <c r="CBT77" s="56"/>
      <c r="CCD77" s="56"/>
      <c r="CCN77" s="56"/>
      <c r="CCX77" s="56"/>
      <c r="CDH77" s="56"/>
      <c r="CDR77" s="56"/>
      <c r="CEB77" s="56"/>
      <c r="CEL77" s="56"/>
      <c r="CEV77" s="56"/>
      <c r="CFF77" s="56"/>
      <c r="CFP77" s="56"/>
      <c r="CFZ77" s="56"/>
      <c r="CGJ77" s="56"/>
      <c r="CGT77" s="56"/>
      <c r="CHD77" s="56"/>
      <c r="CHN77" s="56"/>
      <c r="CHX77" s="56"/>
      <c r="CIH77" s="56"/>
      <c r="CIR77" s="56"/>
      <c r="CJB77" s="56"/>
      <c r="CJL77" s="56"/>
      <c r="CJV77" s="56"/>
      <c r="CKF77" s="56"/>
      <c r="CKP77" s="56"/>
      <c r="CKZ77" s="56"/>
      <c r="CLJ77" s="56"/>
      <c r="CLT77" s="56"/>
      <c r="CMD77" s="56"/>
      <c r="CMN77" s="56"/>
      <c r="CMX77" s="56"/>
      <c r="CNH77" s="56"/>
      <c r="CNR77" s="56"/>
      <c r="COB77" s="56"/>
      <c r="COL77" s="56"/>
      <c r="COV77" s="56"/>
      <c r="CPF77" s="56"/>
      <c r="CPP77" s="56"/>
      <c r="CPZ77" s="56"/>
      <c r="CQJ77" s="56"/>
      <c r="CQT77" s="56"/>
      <c r="CRD77" s="56"/>
      <c r="CRN77" s="56"/>
      <c r="CRX77" s="56"/>
      <c r="CSH77" s="56"/>
      <c r="CSR77" s="56"/>
      <c r="CTB77" s="56"/>
      <c r="CTL77" s="56"/>
      <c r="CTV77" s="56"/>
    </row>
    <row r="78" s="42" customFormat="1" customHeight="1" spans="1:1020 1030:2040 2050:2570">
      <c r="A78" s="51"/>
      <c r="B78" s="52"/>
      <c r="C78" s="52"/>
      <c r="D78" s="52"/>
      <c r="E78" s="52"/>
      <c r="F78" s="53" t="str">
        <f>IFERROR(VLOOKUP(E78,日报!E:G,2,0),"")</f>
        <v/>
      </c>
      <c r="G78" s="52"/>
      <c r="H78" s="54" t="str">
        <f>IFERROR(VLOOKUP(E78,日报!E:H,4,0),"")</f>
        <v/>
      </c>
      <c r="I78" s="54" t="str">
        <f>IFERROR(VLOOKUP(E78,日报!E:G,3,0),"")</f>
        <v/>
      </c>
      <c r="J78" s="52"/>
      <c r="K78" s="55" t="str">
        <f t="shared" si="0"/>
        <v/>
      </c>
      <c r="T78" s="56"/>
      <c r="AD78" s="56"/>
      <c r="AN78" s="56"/>
      <c r="AX78" s="56"/>
      <c r="BH78" s="56"/>
      <c r="BR78" s="56"/>
      <c r="CB78" s="56"/>
      <c r="CL78" s="56"/>
      <c r="CV78" s="56"/>
      <c r="DF78" s="56"/>
      <c r="DP78" s="56"/>
      <c r="DZ78" s="56"/>
      <c r="EJ78" s="56"/>
      <c r="ET78" s="56"/>
      <c r="FD78" s="56"/>
      <c r="FN78" s="56"/>
      <c r="FX78" s="56"/>
      <c r="GH78" s="56"/>
      <c r="GR78" s="56"/>
      <c r="HB78" s="56"/>
      <c r="HL78" s="56"/>
      <c r="HV78" s="56"/>
      <c r="IF78" s="56"/>
      <c r="IP78" s="56"/>
      <c r="IZ78" s="56"/>
      <c r="JJ78" s="56"/>
      <c r="JT78" s="56"/>
      <c r="KD78" s="56"/>
      <c r="KN78" s="56"/>
      <c r="KX78" s="56"/>
      <c r="LH78" s="56"/>
      <c r="LR78" s="56"/>
      <c r="MB78" s="56"/>
      <c r="ML78" s="56"/>
      <c r="MV78" s="56"/>
      <c r="NF78" s="56"/>
      <c r="NP78" s="56"/>
      <c r="NZ78" s="56"/>
      <c r="OJ78" s="56"/>
      <c r="OT78" s="56"/>
      <c r="PD78" s="56"/>
      <c r="PN78" s="56"/>
      <c r="PX78" s="56"/>
      <c r="QH78" s="56"/>
      <c r="QR78" s="56"/>
      <c r="RB78" s="56"/>
      <c r="RL78" s="56"/>
      <c r="RV78" s="56"/>
      <c r="SF78" s="56"/>
      <c r="SP78" s="56"/>
      <c r="SZ78" s="56"/>
      <c r="TJ78" s="56"/>
      <c r="TT78" s="56"/>
      <c r="UD78" s="56"/>
      <c r="UN78" s="56"/>
      <c r="UX78" s="56"/>
      <c r="VH78" s="56"/>
      <c r="VR78" s="56"/>
      <c r="WB78" s="56"/>
      <c r="WL78" s="56"/>
      <c r="WV78" s="56"/>
      <c r="XF78" s="56"/>
      <c r="XP78" s="56"/>
      <c r="XZ78" s="56"/>
      <c r="YJ78" s="56"/>
      <c r="YT78" s="56"/>
      <c r="ZD78" s="56"/>
      <c r="ZN78" s="56"/>
      <c r="ZX78" s="56"/>
      <c r="AAH78" s="56"/>
      <c r="AAR78" s="56"/>
      <c r="ABB78" s="56"/>
      <c r="ABL78" s="56"/>
      <c r="ABV78" s="56"/>
      <c r="ACF78" s="56"/>
      <c r="ACP78" s="56"/>
      <c r="ACZ78" s="56"/>
      <c r="ADJ78" s="56"/>
      <c r="ADT78" s="56"/>
      <c r="AED78" s="56"/>
      <c r="AEN78" s="56"/>
      <c r="AEX78" s="56"/>
      <c r="AFH78" s="56"/>
      <c r="AFR78" s="56"/>
      <c r="AGB78" s="56"/>
      <c r="AGL78" s="56"/>
      <c r="AGV78" s="56"/>
      <c r="AHF78" s="56"/>
      <c r="AHP78" s="56"/>
      <c r="AHZ78" s="56"/>
      <c r="AIJ78" s="56"/>
      <c r="AIT78" s="56"/>
      <c r="AJD78" s="56"/>
      <c r="AJN78" s="56"/>
      <c r="AJX78" s="56"/>
      <c r="AKH78" s="56"/>
      <c r="AKR78" s="56"/>
      <c r="ALB78" s="56"/>
      <c r="ALL78" s="56"/>
      <c r="ALV78" s="56"/>
      <c r="AMF78" s="56"/>
      <c r="AMP78" s="56"/>
      <c r="AMZ78" s="56"/>
      <c r="ANJ78" s="56"/>
      <c r="ANT78" s="56"/>
      <c r="AOD78" s="56"/>
      <c r="AON78" s="56"/>
      <c r="AOX78" s="56"/>
      <c r="APH78" s="56"/>
      <c r="APR78" s="56"/>
      <c r="AQB78" s="56"/>
      <c r="AQL78" s="56"/>
      <c r="AQV78" s="56"/>
      <c r="ARF78" s="56"/>
      <c r="ARP78" s="56"/>
      <c r="ARZ78" s="56"/>
      <c r="ASJ78" s="56"/>
      <c r="AST78" s="56"/>
      <c r="ATD78" s="56"/>
      <c r="ATN78" s="56"/>
      <c r="ATX78" s="56"/>
      <c r="AUH78" s="56"/>
      <c r="AUR78" s="56"/>
      <c r="AVB78" s="56"/>
      <c r="AVL78" s="56"/>
      <c r="AVV78" s="56"/>
      <c r="AWF78" s="56"/>
      <c r="AWP78" s="56"/>
      <c r="AWZ78" s="56"/>
      <c r="AXJ78" s="56"/>
      <c r="AXT78" s="56"/>
      <c r="AYD78" s="56"/>
      <c r="AYN78" s="56"/>
      <c r="AYX78" s="56"/>
      <c r="AZH78" s="56"/>
      <c r="AZR78" s="56"/>
      <c r="BAB78" s="56"/>
      <c r="BAL78" s="56"/>
      <c r="BAV78" s="56"/>
      <c r="BBF78" s="56"/>
      <c r="BBP78" s="56"/>
      <c r="BBZ78" s="56"/>
      <c r="BCJ78" s="56"/>
      <c r="BCT78" s="56"/>
      <c r="BDD78" s="56"/>
      <c r="BDN78" s="56"/>
      <c r="BDX78" s="56"/>
      <c r="BEH78" s="56"/>
      <c r="BER78" s="56"/>
      <c r="BFB78" s="56"/>
      <c r="BFL78" s="56"/>
      <c r="BFV78" s="56"/>
      <c r="BGF78" s="56"/>
      <c r="BGP78" s="56"/>
      <c r="BGZ78" s="56"/>
      <c r="BHJ78" s="56"/>
      <c r="BHT78" s="56"/>
      <c r="BID78" s="56"/>
      <c r="BIN78" s="56"/>
      <c r="BIX78" s="56"/>
      <c r="BJH78" s="56"/>
      <c r="BJR78" s="56"/>
      <c r="BKB78" s="56"/>
      <c r="BKL78" s="56"/>
      <c r="BKV78" s="56"/>
      <c r="BLF78" s="56"/>
      <c r="BLP78" s="56"/>
      <c r="BLZ78" s="56"/>
      <c r="BMJ78" s="56"/>
      <c r="BMT78" s="56"/>
      <c r="BND78" s="56"/>
      <c r="BNN78" s="56"/>
      <c r="BNX78" s="56"/>
      <c r="BOH78" s="56"/>
      <c r="BOR78" s="56"/>
      <c r="BPB78" s="56"/>
      <c r="BPL78" s="56"/>
      <c r="BPV78" s="56"/>
      <c r="BQF78" s="56"/>
      <c r="BQP78" s="56"/>
      <c r="BQZ78" s="56"/>
      <c r="BRJ78" s="56"/>
      <c r="BRT78" s="56"/>
      <c r="BSD78" s="56"/>
      <c r="BSN78" s="56"/>
      <c r="BSX78" s="56"/>
      <c r="BTH78" s="56"/>
      <c r="BTR78" s="56"/>
      <c r="BUB78" s="56"/>
      <c r="BUL78" s="56"/>
      <c r="BUV78" s="56"/>
      <c r="BVF78" s="56"/>
      <c r="BVP78" s="56"/>
      <c r="BVZ78" s="56"/>
      <c r="BWJ78" s="56"/>
      <c r="BWT78" s="56"/>
      <c r="BXD78" s="56"/>
      <c r="BXN78" s="56"/>
      <c r="BXX78" s="56"/>
      <c r="BYH78" s="56"/>
      <c r="BYR78" s="56"/>
      <c r="BZB78" s="56"/>
      <c r="BZL78" s="56"/>
      <c r="BZV78" s="56"/>
      <c r="CAF78" s="56"/>
      <c r="CAP78" s="56"/>
      <c r="CAZ78" s="56"/>
      <c r="CBJ78" s="56"/>
      <c r="CBT78" s="56"/>
      <c r="CCD78" s="56"/>
      <c r="CCN78" s="56"/>
      <c r="CCX78" s="56"/>
      <c r="CDH78" s="56"/>
      <c r="CDR78" s="56"/>
      <c r="CEB78" s="56"/>
      <c r="CEL78" s="56"/>
      <c r="CEV78" s="56"/>
      <c r="CFF78" s="56"/>
      <c r="CFP78" s="56"/>
      <c r="CFZ78" s="56"/>
      <c r="CGJ78" s="56"/>
      <c r="CGT78" s="56"/>
      <c r="CHD78" s="56"/>
      <c r="CHN78" s="56"/>
      <c r="CHX78" s="56"/>
      <c r="CIH78" s="56"/>
      <c r="CIR78" s="56"/>
      <c r="CJB78" s="56"/>
      <c r="CJL78" s="56"/>
      <c r="CJV78" s="56"/>
      <c r="CKF78" s="56"/>
      <c r="CKP78" s="56"/>
      <c r="CKZ78" s="56"/>
      <c r="CLJ78" s="56"/>
      <c r="CLT78" s="56"/>
      <c r="CMD78" s="56"/>
      <c r="CMN78" s="56"/>
      <c r="CMX78" s="56"/>
      <c r="CNH78" s="56"/>
      <c r="CNR78" s="56"/>
      <c r="COB78" s="56"/>
      <c r="COL78" s="56"/>
      <c r="COV78" s="56"/>
      <c r="CPF78" s="56"/>
      <c r="CPP78" s="56"/>
      <c r="CPZ78" s="56"/>
      <c r="CQJ78" s="56"/>
      <c r="CQT78" s="56"/>
      <c r="CRD78" s="56"/>
      <c r="CRN78" s="56"/>
      <c r="CRX78" s="56"/>
      <c r="CSH78" s="56"/>
      <c r="CSR78" s="56"/>
      <c r="CTB78" s="56"/>
      <c r="CTL78" s="56"/>
      <c r="CTV78" s="56"/>
    </row>
    <row r="79" s="42" customFormat="1" customHeight="1" spans="1:1020 1030:2040 2050:2570">
      <c r="A79" s="51"/>
      <c r="B79" s="52"/>
      <c r="C79" s="52"/>
      <c r="D79" s="52"/>
      <c r="E79" s="52"/>
      <c r="F79" s="53" t="str">
        <f>IFERROR(VLOOKUP(E79,日报!E:G,2,0),"")</f>
        <v/>
      </c>
      <c r="G79" s="52"/>
      <c r="H79" s="54" t="str">
        <f>IFERROR(VLOOKUP(E79,日报!E:H,4,0),"")</f>
        <v/>
      </c>
      <c r="I79" s="54" t="str">
        <f>IFERROR(VLOOKUP(E79,日报!E:G,3,0),"")</f>
        <v/>
      </c>
      <c r="J79" s="52"/>
      <c r="K79" s="55" t="str">
        <f t="shared" si="0"/>
        <v/>
      </c>
      <c r="T79" s="56"/>
      <c r="AD79" s="56"/>
      <c r="AN79" s="56"/>
      <c r="AX79" s="56"/>
      <c r="BH79" s="56"/>
      <c r="BR79" s="56"/>
      <c r="CB79" s="56"/>
      <c r="CL79" s="56"/>
      <c r="CV79" s="56"/>
      <c r="DF79" s="56"/>
      <c r="DP79" s="56"/>
      <c r="DZ79" s="56"/>
      <c r="EJ79" s="56"/>
      <c r="ET79" s="56"/>
      <c r="FD79" s="56"/>
      <c r="FN79" s="56"/>
      <c r="FX79" s="56"/>
      <c r="GH79" s="56"/>
      <c r="GR79" s="56"/>
      <c r="HB79" s="56"/>
      <c r="HL79" s="56"/>
      <c r="HV79" s="56"/>
      <c r="IF79" s="56"/>
      <c r="IP79" s="56"/>
      <c r="IZ79" s="56"/>
      <c r="JJ79" s="56"/>
      <c r="JT79" s="56"/>
      <c r="KD79" s="56"/>
      <c r="KN79" s="56"/>
      <c r="KX79" s="56"/>
      <c r="LH79" s="56"/>
      <c r="LR79" s="56"/>
      <c r="MB79" s="56"/>
      <c r="ML79" s="56"/>
      <c r="MV79" s="56"/>
      <c r="NF79" s="56"/>
      <c r="NP79" s="56"/>
      <c r="NZ79" s="56"/>
      <c r="OJ79" s="56"/>
      <c r="OT79" s="56"/>
      <c r="PD79" s="56"/>
      <c r="PN79" s="56"/>
      <c r="PX79" s="56"/>
      <c r="QH79" s="56"/>
      <c r="QR79" s="56"/>
      <c r="RB79" s="56"/>
      <c r="RL79" s="56"/>
      <c r="RV79" s="56"/>
      <c r="SF79" s="56"/>
      <c r="SP79" s="56"/>
      <c r="SZ79" s="56"/>
      <c r="TJ79" s="56"/>
      <c r="TT79" s="56"/>
      <c r="UD79" s="56"/>
      <c r="UN79" s="56"/>
      <c r="UX79" s="56"/>
      <c r="VH79" s="56"/>
      <c r="VR79" s="56"/>
      <c r="WB79" s="56"/>
      <c r="WL79" s="56"/>
      <c r="WV79" s="56"/>
      <c r="XF79" s="56"/>
      <c r="XP79" s="56"/>
      <c r="XZ79" s="56"/>
      <c r="YJ79" s="56"/>
      <c r="YT79" s="56"/>
      <c r="ZD79" s="56"/>
      <c r="ZN79" s="56"/>
      <c r="ZX79" s="56"/>
      <c r="AAH79" s="56"/>
      <c r="AAR79" s="56"/>
      <c r="ABB79" s="56"/>
      <c r="ABL79" s="56"/>
      <c r="ABV79" s="56"/>
      <c r="ACF79" s="56"/>
      <c r="ACP79" s="56"/>
      <c r="ACZ79" s="56"/>
      <c r="ADJ79" s="56"/>
      <c r="ADT79" s="56"/>
      <c r="AED79" s="56"/>
      <c r="AEN79" s="56"/>
      <c r="AEX79" s="56"/>
      <c r="AFH79" s="56"/>
      <c r="AFR79" s="56"/>
      <c r="AGB79" s="56"/>
      <c r="AGL79" s="56"/>
      <c r="AGV79" s="56"/>
      <c r="AHF79" s="56"/>
      <c r="AHP79" s="56"/>
      <c r="AHZ79" s="56"/>
      <c r="AIJ79" s="56"/>
      <c r="AIT79" s="56"/>
      <c r="AJD79" s="56"/>
      <c r="AJN79" s="56"/>
      <c r="AJX79" s="56"/>
      <c r="AKH79" s="56"/>
      <c r="AKR79" s="56"/>
      <c r="ALB79" s="56"/>
      <c r="ALL79" s="56"/>
      <c r="ALV79" s="56"/>
      <c r="AMF79" s="56"/>
      <c r="AMP79" s="56"/>
      <c r="AMZ79" s="56"/>
      <c r="ANJ79" s="56"/>
      <c r="ANT79" s="56"/>
      <c r="AOD79" s="56"/>
      <c r="AON79" s="56"/>
      <c r="AOX79" s="56"/>
      <c r="APH79" s="56"/>
      <c r="APR79" s="56"/>
      <c r="AQB79" s="56"/>
      <c r="AQL79" s="56"/>
      <c r="AQV79" s="56"/>
      <c r="ARF79" s="56"/>
      <c r="ARP79" s="56"/>
      <c r="ARZ79" s="56"/>
      <c r="ASJ79" s="56"/>
      <c r="AST79" s="56"/>
      <c r="ATD79" s="56"/>
      <c r="ATN79" s="56"/>
      <c r="ATX79" s="56"/>
      <c r="AUH79" s="56"/>
      <c r="AUR79" s="56"/>
      <c r="AVB79" s="56"/>
      <c r="AVL79" s="56"/>
      <c r="AVV79" s="56"/>
      <c r="AWF79" s="56"/>
      <c r="AWP79" s="56"/>
      <c r="AWZ79" s="56"/>
      <c r="AXJ79" s="56"/>
      <c r="AXT79" s="56"/>
      <c r="AYD79" s="56"/>
      <c r="AYN79" s="56"/>
      <c r="AYX79" s="56"/>
      <c r="AZH79" s="56"/>
      <c r="AZR79" s="56"/>
      <c r="BAB79" s="56"/>
      <c r="BAL79" s="56"/>
      <c r="BAV79" s="56"/>
      <c r="BBF79" s="56"/>
      <c r="BBP79" s="56"/>
      <c r="BBZ79" s="56"/>
      <c r="BCJ79" s="56"/>
      <c r="BCT79" s="56"/>
      <c r="BDD79" s="56"/>
      <c r="BDN79" s="56"/>
      <c r="BDX79" s="56"/>
      <c r="BEH79" s="56"/>
      <c r="BER79" s="56"/>
      <c r="BFB79" s="56"/>
      <c r="BFL79" s="56"/>
      <c r="BFV79" s="56"/>
      <c r="BGF79" s="56"/>
      <c r="BGP79" s="56"/>
      <c r="BGZ79" s="56"/>
      <c r="BHJ79" s="56"/>
      <c r="BHT79" s="56"/>
      <c r="BID79" s="56"/>
      <c r="BIN79" s="56"/>
      <c r="BIX79" s="56"/>
      <c r="BJH79" s="56"/>
      <c r="BJR79" s="56"/>
      <c r="BKB79" s="56"/>
      <c r="BKL79" s="56"/>
      <c r="BKV79" s="56"/>
      <c r="BLF79" s="56"/>
      <c r="BLP79" s="56"/>
      <c r="BLZ79" s="56"/>
      <c r="BMJ79" s="56"/>
      <c r="BMT79" s="56"/>
      <c r="BND79" s="56"/>
      <c r="BNN79" s="56"/>
      <c r="BNX79" s="56"/>
      <c r="BOH79" s="56"/>
      <c r="BOR79" s="56"/>
      <c r="BPB79" s="56"/>
      <c r="BPL79" s="56"/>
      <c r="BPV79" s="56"/>
      <c r="BQF79" s="56"/>
      <c r="BQP79" s="56"/>
      <c r="BQZ79" s="56"/>
      <c r="BRJ79" s="56"/>
      <c r="BRT79" s="56"/>
      <c r="BSD79" s="56"/>
      <c r="BSN79" s="56"/>
      <c r="BSX79" s="56"/>
      <c r="BTH79" s="56"/>
      <c r="BTR79" s="56"/>
      <c r="BUB79" s="56"/>
      <c r="BUL79" s="56"/>
      <c r="BUV79" s="56"/>
      <c r="BVF79" s="56"/>
      <c r="BVP79" s="56"/>
      <c r="BVZ79" s="56"/>
      <c r="BWJ79" s="56"/>
      <c r="BWT79" s="56"/>
      <c r="BXD79" s="56"/>
      <c r="BXN79" s="56"/>
      <c r="BXX79" s="56"/>
      <c r="BYH79" s="56"/>
      <c r="BYR79" s="56"/>
      <c r="BZB79" s="56"/>
      <c r="BZL79" s="56"/>
      <c r="BZV79" s="56"/>
      <c r="CAF79" s="56"/>
      <c r="CAP79" s="56"/>
      <c r="CAZ79" s="56"/>
      <c r="CBJ79" s="56"/>
      <c r="CBT79" s="56"/>
      <c r="CCD79" s="56"/>
      <c r="CCN79" s="56"/>
      <c r="CCX79" s="56"/>
      <c r="CDH79" s="56"/>
      <c r="CDR79" s="56"/>
      <c r="CEB79" s="56"/>
      <c r="CEL79" s="56"/>
      <c r="CEV79" s="56"/>
      <c r="CFF79" s="56"/>
      <c r="CFP79" s="56"/>
      <c r="CFZ79" s="56"/>
      <c r="CGJ79" s="56"/>
      <c r="CGT79" s="56"/>
      <c r="CHD79" s="56"/>
      <c r="CHN79" s="56"/>
      <c r="CHX79" s="56"/>
      <c r="CIH79" s="56"/>
      <c r="CIR79" s="56"/>
      <c r="CJB79" s="56"/>
      <c r="CJL79" s="56"/>
      <c r="CJV79" s="56"/>
      <c r="CKF79" s="56"/>
      <c r="CKP79" s="56"/>
      <c r="CKZ79" s="56"/>
      <c r="CLJ79" s="56"/>
      <c r="CLT79" s="56"/>
      <c r="CMD79" s="56"/>
      <c r="CMN79" s="56"/>
      <c r="CMX79" s="56"/>
      <c r="CNH79" s="56"/>
      <c r="CNR79" s="56"/>
      <c r="COB79" s="56"/>
      <c r="COL79" s="56"/>
      <c r="COV79" s="56"/>
      <c r="CPF79" s="56"/>
      <c r="CPP79" s="56"/>
      <c r="CPZ79" s="56"/>
      <c r="CQJ79" s="56"/>
      <c r="CQT79" s="56"/>
      <c r="CRD79" s="56"/>
      <c r="CRN79" s="56"/>
      <c r="CRX79" s="56"/>
      <c r="CSH79" s="56"/>
      <c r="CSR79" s="56"/>
      <c r="CTB79" s="56"/>
      <c r="CTL79" s="56"/>
      <c r="CTV79" s="56"/>
    </row>
    <row r="80" s="42" customFormat="1" customHeight="1" spans="1:1020 1030:2040 2050:2570">
      <c r="A80" s="51"/>
      <c r="B80" s="52"/>
      <c r="C80" s="52"/>
      <c r="D80" s="52"/>
      <c r="E80" s="52"/>
      <c r="F80" s="53" t="str">
        <f>IFERROR(VLOOKUP(E80,日报!E:G,2,0),"")</f>
        <v/>
      </c>
      <c r="G80" s="52"/>
      <c r="H80" s="54" t="str">
        <f>IFERROR(VLOOKUP(E80,日报!E:H,4,0),"")</f>
        <v/>
      </c>
      <c r="I80" s="54" t="str">
        <f>IFERROR(VLOOKUP(E80,日报!E:G,3,0),"")</f>
        <v/>
      </c>
      <c r="J80" s="52"/>
      <c r="K80" s="55" t="str">
        <f t="shared" si="0"/>
        <v/>
      </c>
      <c r="T80" s="56"/>
      <c r="AD80" s="56"/>
      <c r="AN80" s="56"/>
      <c r="AX80" s="56"/>
      <c r="BH80" s="56"/>
      <c r="BR80" s="56"/>
      <c r="CB80" s="56"/>
      <c r="CL80" s="56"/>
      <c r="CV80" s="56"/>
      <c r="DF80" s="56"/>
      <c r="DP80" s="56"/>
      <c r="DZ80" s="56"/>
      <c r="EJ80" s="56"/>
      <c r="ET80" s="56"/>
      <c r="FD80" s="56"/>
      <c r="FN80" s="56"/>
      <c r="FX80" s="56"/>
      <c r="GH80" s="56"/>
      <c r="GR80" s="56"/>
      <c r="HB80" s="56"/>
      <c r="HL80" s="56"/>
      <c r="HV80" s="56"/>
      <c r="IF80" s="56"/>
      <c r="IP80" s="56"/>
      <c r="IZ80" s="56"/>
      <c r="JJ80" s="56"/>
      <c r="JT80" s="56"/>
      <c r="KD80" s="56"/>
      <c r="KN80" s="56"/>
      <c r="KX80" s="56"/>
      <c r="LH80" s="56"/>
      <c r="LR80" s="56"/>
      <c r="MB80" s="56"/>
      <c r="ML80" s="56"/>
      <c r="MV80" s="56"/>
      <c r="NF80" s="56"/>
      <c r="NP80" s="56"/>
      <c r="NZ80" s="56"/>
      <c r="OJ80" s="56"/>
      <c r="OT80" s="56"/>
      <c r="PD80" s="56"/>
      <c r="PN80" s="56"/>
      <c r="PX80" s="56"/>
      <c r="QH80" s="56"/>
      <c r="QR80" s="56"/>
      <c r="RB80" s="56"/>
      <c r="RL80" s="56"/>
      <c r="RV80" s="56"/>
      <c r="SF80" s="56"/>
      <c r="SP80" s="56"/>
      <c r="SZ80" s="56"/>
      <c r="TJ80" s="56"/>
      <c r="TT80" s="56"/>
      <c r="UD80" s="56"/>
      <c r="UN80" s="56"/>
      <c r="UX80" s="56"/>
      <c r="VH80" s="56"/>
      <c r="VR80" s="56"/>
      <c r="WB80" s="56"/>
      <c r="WL80" s="56"/>
      <c r="WV80" s="56"/>
      <c r="XF80" s="56"/>
      <c r="XP80" s="56"/>
      <c r="XZ80" s="56"/>
      <c r="YJ80" s="56"/>
      <c r="YT80" s="56"/>
      <c r="ZD80" s="56"/>
      <c r="ZN80" s="56"/>
      <c r="ZX80" s="56"/>
      <c r="AAH80" s="56"/>
      <c r="AAR80" s="56"/>
      <c r="ABB80" s="56"/>
      <c r="ABL80" s="56"/>
      <c r="ABV80" s="56"/>
      <c r="ACF80" s="56"/>
      <c r="ACP80" s="56"/>
      <c r="ACZ80" s="56"/>
      <c r="ADJ80" s="56"/>
      <c r="ADT80" s="56"/>
      <c r="AED80" s="56"/>
      <c r="AEN80" s="56"/>
      <c r="AEX80" s="56"/>
      <c r="AFH80" s="56"/>
      <c r="AFR80" s="56"/>
      <c r="AGB80" s="56"/>
      <c r="AGL80" s="56"/>
      <c r="AGV80" s="56"/>
      <c r="AHF80" s="56"/>
      <c r="AHP80" s="56"/>
      <c r="AHZ80" s="56"/>
      <c r="AIJ80" s="56"/>
      <c r="AIT80" s="56"/>
      <c r="AJD80" s="56"/>
      <c r="AJN80" s="56"/>
      <c r="AJX80" s="56"/>
      <c r="AKH80" s="56"/>
      <c r="AKR80" s="56"/>
      <c r="ALB80" s="56"/>
      <c r="ALL80" s="56"/>
      <c r="ALV80" s="56"/>
      <c r="AMF80" s="56"/>
      <c r="AMP80" s="56"/>
      <c r="AMZ80" s="56"/>
      <c r="ANJ80" s="56"/>
      <c r="ANT80" s="56"/>
      <c r="AOD80" s="56"/>
      <c r="AON80" s="56"/>
      <c r="AOX80" s="56"/>
      <c r="APH80" s="56"/>
      <c r="APR80" s="56"/>
      <c r="AQB80" s="56"/>
      <c r="AQL80" s="56"/>
      <c r="AQV80" s="56"/>
      <c r="ARF80" s="56"/>
      <c r="ARP80" s="56"/>
      <c r="ARZ80" s="56"/>
      <c r="ASJ80" s="56"/>
      <c r="AST80" s="56"/>
      <c r="ATD80" s="56"/>
      <c r="ATN80" s="56"/>
      <c r="ATX80" s="56"/>
      <c r="AUH80" s="56"/>
      <c r="AUR80" s="56"/>
      <c r="AVB80" s="56"/>
      <c r="AVL80" s="56"/>
      <c r="AVV80" s="56"/>
      <c r="AWF80" s="56"/>
      <c r="AWP80" s="56"/>
      <c r="AWZ80" s="56"/>
      <c r="AXJ80" s="56"/>
      <c r="AXT80" s="56"/>
      <c r="AYD80" s="56"/>
      <c r="AYN80" s="56"/>
      <c r="AYX80" s="56"/>
      <c r="AZH80" s="56"/>
      <c r="AZR80" s="56"/>
      <c r="BAB80" s="56"/>
      <c r="BAL80" s="56"/>
      <c r="BAV80" s="56"/>
      <c r="BBF80" s="56"/>
      <c r="BBP80" s="56"/>
      <c r="BBZ80" s="56"/>
      <c r="BCJ80" s="56"/>
      <c r="BCT80" s="56"/>
      <c r="BDD80" s="56"/>
      <c r="BDN80" s="56"/>
      <c r="BDX80" s="56"/>
      <c r="BEH80" s="56"/>
      <c r="BER80" s="56"/>
      <c r="BFB80" s="56"/>
      <c r="BFL80" s="56"/>
      <c r="BFV80" s="56"/>
      <c r="BGF80" s="56"/>
      <c r="BGP80" s="56"/>
      <c r="BGZ80" s="56"/>
      <c r="BHJ80" s="56"/>
      <c r="BHT80" s="56"/>
      <c r="BID80" s="56"/>
      <c r="BIN80" s="56"/>
      <c r="BIX80" s="56"/>
      <c r="BJH80" s="56"/>
      <c r="BJR80" s="56"/>
      <c r="BKB80" s="56"/>
      <c r="BKL80" s="56"/>
      <c r="BKV80" s="56"/>
      <c r="BLF80" s="56"/>
      <c r="BLP80" s="56"/>
      <c r="BLZ80" s="56"/>
      <c r="BMJ80" s="56"/>
      <c r="BMT80" s="56"/>
      <c r="BND80" s="56"/>
      <c r="BNN80" s="56"/>
      <c r="BNX80" s="56"/>
      <c r="BOH80" s="56"/>
      <c r="BOR80" s="56"/>
      <c r="BPB80" s="56"/>
      <c r="BPL80" s="56"/>
      <c r="BPV80" s="56"/>
      <c r="BQF80" s="56"/>
      <c r="BQP80" s="56"/>
      <c r="BQZ80" s="56"/>
      <c r="BRJ80" s="56"/>
      <c r="BRT80" s="56"/>
      <c r="BSD80" s="56"/>
      <c r="BSN80" s="56"/>
      <c r="BSX80" s="56"/>
      <c r="BTH80" s="56"/>
      <c r="BTR80" s="56"/>
      <c r="BUB80" s="56"/>
      <c r="BUL80" s="56"/>
      <c r="BUV80" s="56"/>
      <c r="BVF80" s="56"/>
      <c r="BVP80" s="56"/>
      <c r="BVZ80" s="56"/>
      <c r="BWJ80" s="56"/>
      <c r="BWT80" s="56"/>
      <c r="BXD80" s="56"/>
      <c r="BXN80" s="56"/>
      <c r="BXX80" s="56"/>
      <c r="BYH80" s="56"/>
      <c r="BYR80" s="56"/>
      <c r="BZB80" s="56"/>
      <c r="BZL80" s="56"/>
      <c r="BZV80" s="56"/>
      <c r="CAF80" s="56"/>
      <c r="CAP80" s="56"/>
      <c r="CAZ80" s="56"/>
      <c r="CBJ80" s="56"/>
      <c r="CBT80" s="56"/>
      <c r="CCD80" s="56"/>
      <c r="CCN80" s="56"/>
      <c r="CCX80" s="56"/>
      <c r="CDH80" s="56"/>
      <c r="CDR80" s="56"/>
      <c r="CEB80" s="56"/>
      <c r="CEL80" s="56"/>
      <c r="CEV80" s="56"/>
      <c r="CFF80" s="56"/>
      <c r="CFP80" s="56"/>
      <c r="CFZ80" s="56"/>
      <c r="CGJ80" s="56"/>
      <c r="CGT80" s="56"/>
      <c r="CHD80" s="56"/>
      <c r="CHN80" s="56"/>
      <c r="CHX80" s="56"/>
      <c r="CIH80" s="56"/>
      <c r="CIR80" s="56"/>
      <c r="CJB80" s="56"/>
      <c r="CJL80" s="56"/>
      <c r="CJV80" s="56"/>
      <c r="CKF80" s="56"/>
      <c r="CKP80" s="56"/>
      <c r="CKZ80" s="56"/>
      <c r="CLJ80" s="56"/>
      <c r="CLT80" s="56"/>
      <c r="CMD80" s="56"/>
      <c r="CMN80" s="56"/>
      <c r="CMX80" s="56"/>
      <c r="CNH80" s="56"/>
      <c r="CNR80" s="56"/>
      <c r="COB80" s="56"/>
      <c r="COL80" s="56"/>
      <c r="COV80" s="56"/>
      <c r="CPF80" s="56"/>
      <c r="CPP80" s="56"/>
      <c r="CPZ80" s="56"/>
      <c r="CQJ80" s="56"/>
      <c r="CQT80" s="56"/>
      <c r="CRD80" s="56"/>
      <c r="CRN80" s="56"/>
      <c r="CRX80" s="56"/>
      <c r="CSH80" s="56"/>
      <c r="CSR80" s="56"/>
      <c r="CTB80" s="56"/>
      <c r="CTL80" s="56"/>
      <c r="CTV80" s="56"/>
    </row>
    <row r="81" s="42" customFormat="1" customHeight="1" spans="1:1020 1030:2040 2050:2570">
      <c r="A81" s="51"/>
      <c r="B81" s="52"/>
      <c r="C81" s="52"/>
      <c r="D81" s="52"/>
      <c r="E81" s="52"/>
      <c r="F81" s="53" t="str">
        <f>IFERROR(VLOOKUP(E81,日报!E:G,2,0),"")</f>
        <v/>
      </c>
      <c r="G81" s="52"/>
      <c r="H81" s="54" t="str">
        <f>IFERROR(VLOOKUP(E81,日报!E:H,4,0),"")</f>
        <v/>
      </c>
      <c r="I81" s="54" t="str">
        <f>IFERROR(VLOOKUP(E81,日报!E:G,3,0),"")</f>
        <v/>
      </c>
      <c r="J81" s="52"/>
      <c r="K81" s="55" t="str">
        <f t="shared" si="0"/>
        <v/>
      </c>
      <c r="T81" s="56"/>
      <c r="AD81" s="56"/>
      <c r="AN81" s="56"/>
      <c r="AX81" s="56"/>
      <c r="BH81" s="56"/>
      <c r="BR81" s="56"/>
      <c r="CB81" s="56"/>
      <c r="CL81" s="56"/>
      <c r="CV81" s="56"/>
      <c r="DF81" s="56"/>
      <c r="DP81" s="56"/>
      <c r="DZ81" s="56"/>
      <c r="EJ81" s="56"/>
      <c r="ET81" s="56"/>
      <c r="FD81" s="56"/>
      <c r="FN81" s="56"/>
      <c r="FX81" s="56"/>
      <c r="GH81" s="56"/>
      <c r="GR81" s="56"/>
      <c r="HB81" s="56"/>
      <c r="HL81" s="56"/>
      <c r="HV81" s="56"/>
      <c r="IF81" s="56"/>
      <c r="IP81" s="56"/>
      <c r="IZ81" s="56"/>
      <c r="JJ81" s="56"/>
      <c r="JT81" s="56"/>
      <c r="KD81" s="56"/>
      <c r="KN81" s="56"/>
      <c r="KX81" s="56"/>
      <c r="LH81" s="56"/>
      <c r="LR81" s="56"/>
      <c r="MB81" s="56"/>
      <c r="ML81" s="56"/>
      <c r="MV81" s="56"/>
      <c r="NF81" s="56"/>
      <c r="NP81" s="56"/>
      <c r="NZ81" s="56"/>
      <c r="OJ81" s="56"/>
      <c r="OT81" s="56"/>
      <c r="PD81" s="56"/>
      <c r="PN81" s="56"/>
      <c r="PX81" s="56"/>
      <c r="QH81" s="56"/>
      <c r="QR81" s="56"/>
      <c r="RB81" s="56"/>
      <c r="RL81" s="56"/>
      <c r="RV81" s="56"/>
      <c r="SF81" s="56"/>
      <c r="SP81" s="56"/>
      <c r="SZ81" s="56"/>
      <c r="TJ81" s="56"/>
      <c r="TT81" s="56"/>
      <c r="UD81" s="56"/>
      <c r="UN81" s="56"/>
      <c r="UX81" s="56"/>
      <c r="VH81" s="56"/>
      <c r="VR81" s="56"/>
      <c r="WB81" s="56"/>
      <c r="WL81" s="56"/>
      <c r="WV81" s="56"/>
      <c r="XF81" s="56"/>
      <c r="XP81" s="56"/>
      <c r="XZ81" s="56"/>
      <c r="YJ81" s="56"/>
      <c r="YT81" s="56"/>
      <c r="ZD81" s="56"/>
      <c r="ZN81" s="56"/>
      <c r="ZX81" s="56"/>
      <c r="AAH81" s="56"/>
      <c r="AAR81" s="56"/>
      <c r="ABB81" s="56"/>
      <c r="ABL81" s="56"/>
      <c r="ABV81" s="56"/>
      <c r="ACF81" s="56"/>
      <c r="ACP81" s="56"/>
      <c r="ACZ81" s="56"/>
      <c r="ADJ81" s="56"/>
      <c r="ADT81" s="56"/>
      <c r="AED81" s="56"/>
      <c r="AEN81" s="56"/>
      <c r="AEX81" s="56"/>
      <c r="AFH81" s="56"/>
      <c r="AFR81" s="56"/>
      <c r="AGB81" s="56"/>
      <c r="AGL81" s="56"/>
      <c r="AGV81" s="56"/>
      <c r="AHF81" s="56"/>
      <c r="AHP81" s="56"/>
      <c r="AHZ81" s="56"/>
      <c r="AIJ81" s="56"/>
      <c r="AIT81" s="56"/>
      <c r="AJD81" s="56"/>
      <c r="AJN81" s="56"/>
      <c r="AJX81" s="56"/>
      <c r="AKH81" s="56"/>
      <c r="AKR81" s="56"/>
      <c r="ALB81" s="56"/>
      <c r="ALL81" s="56"/>
      <c r="ALV81" s="56"/>
      <c r="AMF81" s="56"/>
      <c r="AMP81" s="56"/>
      <c r="AMZ81" s="56"/>
      <c r="ANJ81" s="56"/>
      <c r="ANT81" s="56"/>
      <c r="AOD81" s="56"/>
      <c r="AON81" s="56"/>
      <c r="AOX81" s="56"/>
      <c r="APH81" s="56"/>
      <c r="APR81" s="56"/>
      <c r="AQB81" s="56"/>
      <c r="AQL81" s="56"/>
      <c r="AQV81" s="56"/>
      <c r="ARF81" s="56"/>
      <c r="ARP81" s="56"/>
      <c r="ARZ81" s="56"/>
      <c r="ASJ81" s="56"/>
      <c r="AST81" s="56"/>
      <c r="ATD81" s="56"/>
      <c r="ATN81" s="56"/>
      <c r="ATX81" s="56"/>
      <c r="AUH81" s="56"/>
      <c r="AUR81" s="56"/>
      <c r="AVB81" s="56"/>
      <c r="AVL81" s="56"/>
      <c r="AVV81" s="56"/>
      <c r="AWF81" s="56"/>
      <c r="AWP81" s="56"/>
      <c r="AWZ81" s="56"/>
      <c r="AXJ81" s="56"/>
      <c r="AXT81" s="56"/>
      <c r="AYD81" s="56"/>
      <c r="AYN81" s="56"/>
      <c r="AYX81" s="56"/>
      <c r="AZH81" s="56"/>
      <c r="AZR81" s="56"/>
      <c r="BAB81" s="56"/>
      <c r="BAL81" s="56"/>
      <c r="BAV81" s="56"/>
      <c r="BBF81" s="56"/>
      <c r="BBP81" s="56"/>
      <c r="BBZ81" s="56"/>
      <c r="BCJ81" s="56"/>
      <c r="BCT81" s="56"/>
      <c r="BDD81" s="56"/>
      <c r="BDN81" s="56"/>
      <c r="BDX81" s="56"/>
      <c r="BEH81" s="56"/>
      <c r="BER81" s="56"/>
      <c r="BFB81" s="56"/>
      <c r="BFL81" s="56"/>
      <c r="BFV81" s="56"/>
      <c r="BGF81" s="56"/>
      <c r="BGP81" s="56"/>
      <c r="BGZ81" s="56"/>
      <c r="BHJ81" s="56"/>
      <c r="BHT81" s="56"/>
      <c r="BID81" s="56"/>
      <c r="BIN81" s="56"/>
      <c r="BIX81" s="56"/>
      <c r="BJH81" s="56"/>
      <c r="BJR81" s="56"/>
      <c r="BKB81" s="56"/>
      <c r="BKL81" s="56"/>
      <c r="BKV81" s="56"/>
      <c r="BLF81" s="56"/>
      <c r="BLP81" s="56"/>
      <c r="BLZ81" s="56"/>
      <c r="BMJ81" s="56"/>
      <c r="BMT81" s="56"/>
      <c r="BND81" s="56"/>
      <c r="BNN81" s="56"/>
      <c r="BNX81" s="56"/>
      <c r="BOH81" s="56"/>
      <c r="BOR81" s="56"/>
      <c r="BPB81" s="56"/>
      <c r="BPL81" s="56"/>
      <c r="BPV81" s="56"/>
      <c r="BQF81" s="56"/>
      <c r="BQP81" s="56"/>
      <c r="BQZ81" s="56"/>
      <c r="BRJ81" s="56"/>
      <c r="BRT81" s="56"/>
      <c r="BSD81" s="56"/>
      <c r="BSN81" s="56"/>
      <c r="BSX81" s="56"/>
      <c r="BTH81" s="56"/>
      <c r="BTR81" s="56"/>
      <c r="BUB81" s="56"/>
      <c r="BUL81" s="56"/>
      <c r="BUV81" s="56"/>
      <c r="BVF81" s="56"/>
      <c r="BVP81" s="56"/>
      <c r="BVZ81" s="56"/>
      <c r="BWJ81" s="56"/>
      <c r="BWT81" s="56"/>
      <c r="BXD81" s="56"/>
      <c r="BXN81" s="56"/>
      <c r="BXX81" s="56"/>
      <c r="BYH81" s="56"/>
      <c r="BYR81" s="56"/>
      <c r="BZB81" s="56"/>
      <c r="BZL81" s="56"/>
      <c r="BZV81" s="56"/>
      <c r="CAF81" s="56"/>
      <c r="CAP81" s="56"/>
      <c r="CAZ81" s="56"/>
      <c r="CBJ81" s="56"/>
      <c r="CBT81" s="56"/>
      <c r="CCD81" s="56"/>
      <c r="CCN81" s="56"/>
      <c r="CCX81" s="56"/>
      <c r="CDH81" s="56"/>
      <c r="CDR81" s="56"/>
      <c r="CEB81" s="56"/>
      <c r="CEL81" s="56"/>
      <c r="CEV81" s="56"/>
      <c r="CFF81" s="56"/>
      <c r="CFP81" s="56"/>
      <c r="CFZ81" s="56"/>
      <c r="CGJ81" s="56"/>
      <c r="CGT81" s="56"/>
      <c r="CHD81" s="56"/>
      <c r="CHN81" s="56"/>
      <c r="CHX81" s="56"/>
      <c r="CIH81" s="56"/>
      <c r="CIR81" s="56"/>
      <c r="CJB81" s="56"/>
      <c r="CJL81" s="56"/>
      <c r="CJV81" s="56"/>
      <c r="CKF81" s="56"/>
      <c r="CKP81" s="56"/>
      <c r="CKZ81" s="56"/>
      <c r="CLJ81" s="56"/>
      <c r="CLT81" s="56"/>
      <c r="CMD81" s="56"/>
      <c r="CMN81" s="56"/>
      <c r="CMX81" s="56"/>
      <c r="CNH81" s="56"/>
      <c r="CNR81" s="56"/>
      <c r="COB81" s="56"/>
      <c r="COL81" s="56"/>
      <c r="COV81" s="56"/>
      <c r="CPF81" s="56"/>
      <c r="CPP81" s="56"/>
      <c r="CPZ81" s="56"/>
      <c r="CQJ81" s="56"/>
      <c r="CQT81" s="56"/>
      <c r="CRD81" s="56"/>
      <c r="CRN81" s="56"/>
      <c r="CRX81" s="56"/>
      <c r="CSH81" s="56"/>
      <c r="CSR81" s="56"/>
      <c r="CTB81" s="56"/>
      <c r="CTL81" s="56"/>
      <c r="CTV81" s="56"/>
    </row>
    <row r="82" s="42" customFormat="1" customHeight="1" spans="1:1020 1030:2040 2050:2570">
      <c r="A82" s="51"/>
      <c r="B82" s="52"/>
      <c r="C82" s="52"/>
      <c r="D82" s="52"/>
      <c r="E82" s="52"/>
      <c r="F82" s="53" t="str">
        <f>IFERROR(VLOOKUP(E82,日报!E:G,2,0),"")</f>
        <v/>
      </c>
      <c r="G82" s="52"/>
      <c r="H82" s="54" t="str">
        <f>IFERROR(VLOOKUP(E82,日报!E:H,4,0),"")</f>
        <v/>
      </c>
      <c r="I82" s="54" t="str">
        <f>IFERROR(VLOOKUP(E82,日报!E:G,3,0),"")</f>
        <v/>
      </c>
      <c r="J82" s="52"/>
      <c r="K82" s="55" t="str">
        <f t="shared" si="0"/>
        <v/>
      </c>
      <c r="T82" s="56"/>
      <c r="AD82" s="56"/>
      <c r="AN82" s="56"/>
      <c r="AX82" s="56"/>
      <c r="BH82" s="56"/>
      <c r="BR82" s="56"/>
      <c r="CB82" s="56"/>
      <c r="CL82" s="56"/>
      <c r="CV82" s="56"/>
      <c r="DF82" s="56"/>
      <c r="DP82" s="56"/>
      <c r="DZ82" s="56"/>
      <c r="EJ82" s="56"/>
      <c r="ET82" s="56"/>
      <c r="FD82" s="56"/>
      <c r="FN82" s="56"/>
      <c r="FX82" s="56"/>
      <c r="GH82" s="56"/>
      <c r="GR82" s="56"/>
      <c r="HB82" s="56"/>
      <c r="HL82" s="56"/>
      <c r="HV82" s="56"/>
      <c r="IF82" s="56"/>
      <c r="IP82" s="56"/>
      <c r="IZ82" s="56"/>
      <c r="JJ82" s="56"/>
      <c r="JT82" s="56"/>
      <c r="KD82" s="56"/>
      <c r="KN82" s="56"/>
      <c r="KX82" s="56"/>
      <c r="LH82" s="56"/>
      <c r="LR82" s="56"/>
      <c r="MB82" s="56"/>
      <c r="ML82" s="56"/>
      <c r="MV82" s="56"/>
      <c r="NF82" s="56"/>
      <c r="NP82" s="56"/>
      <c r="NZ82" s="56"/>
      <c r="OJ82" s="56"/>
      <c r="OT82" s="56"/>
      <c r="PD82" s="56"/>
      <c r="PN82" s="56"/>
      <c r="PX82" s="56"/>
      <c r="QH82" s="56"/>
      <c r="QR82" s="56"/>
      <c r="RB82" s="56"/>
      <c r="RL82" s="56"/>
      <c r="RV82" s="56"/>
      <c r="SF82" s="56"/>
      <c r="SP82" s="56"/>
      <c r="SZ82" s="56"/>
      <c r="TJ82" s="56"/>
      <c r="TT82" s="56"/>
      <c r="UD82" s="56"/>
      <c r="UN82" s="56"/>
      <c r="UX82" s="56"/>
      <c r="VH82" s="56"/>
      <c r="VR82" s="56"/>
      <c r="WB82" s="56"/>
      <c r="WL82" s="56"/>
      <c r="WV82" s="56"/>
      <c r="XF82" s="56"/>
      <c r="XP82" s="56"/>
      <c r="XZ82" s="56"/>
      <c r="YJ82" s="56"/>
      <c r="YT82" s="56"/>
      <c r="ZD82" s="56"/>
      <c r="ZN82" s="56"/>
      <c r="ZX82" s="56"/>
      <c r="AAH82" s="56"/>
      <c r="AAR82" s="56"/>
      <c r="ABB82" s="56"/>
      <c r="ABL82" s="56"/>
      <c r="ABV82" s="56"/>
      <c r="ACF82" s="56"/>
      <c r="ACP82" s="56"/>
      <c r="ACZ82" s="56"/>
      <c r="ADJ82" s="56"/>
      <c r="ADT82" s="56"/>
      <c r="AED82" s="56"/>
      <c r="AEN82" s="56"/>
      <c r="AEX82" s="56"/>
      <c r="AFH82" s="56"/>
      <c r="AFR82" s="56"/>
      <c r="AGB82" s="56"/>
      <c r="AGL82" s="56"/>
      <c r="AGV82" s="56"/>
      <c r="AHF82" s="56"/>
      <c r="AHP82" s="56"/>
      <c r="AHZ82" s="56"/>
      <c r="AIJ82" s="56"/>
      <c r="AIT82" s="56"/>
      <c r="AJD82" s="56"/>
      <c r="AJN82" s="56"/>
      <c r="AJX82" s="56"/>
      <c r="AKH82" s="56"/>
      <c r="AKR82" s="56"/>
      <c r="ALB82" s="56"/>
      <c r="ALL82" s="56"/>
      <c r="ALV82" s="56"/>
      <c r="AMF82" s="56"/>
      <c r="AMP82" s="56"/>
      <c r="AMZ82" s="56"/>
      <c r="ANJ82" s="56"/>
      <c r="ANT82" s="56"/>
      <c r="AOD82" s="56"/>
      <c r="AON82" s="56"/>
      <c r="AOX82" s="56"/>
      <c r="APH82" s="56"/>
      <c r="APR82" s="56"/>
      <c r="AQB82" s="56"/>
      <c r="AQL82" s="56"/>
      <c r="AQV82" s="56"/>
      <c r="ARF82" s="56"/>
      <c r="ARP82" s="56"/>
      <c r="ARZ82" s="56"/>
      <c r="ASJ82" s="56"/>
      <c r="AST82" s="56"/>
      <c r="ATD82" s="56"/>
      <c r="ATN82" s="56"/>
      <c r="ATX82" s="56"/>
      <c r="AUH82" s="56"/>
      <c r="AUR82" s="56"/>
      <c r="AVB82" s="56"/>
      <c r="AVL82" s="56"/>
      <c r="AVV82" s="56"/>
      <c r="AWF82" s="56"/>
      <c r="AWP82" s="56"/>
      <c r="AWZ82" s="56"/>
      <c r="AXJ82" s="56"/>
      <c r="AXT82" s="56"/>
      <c r="AYD82" s="56"/>
      <c r="AYN82" s="56"/>
      <c r="AYX82" s="56"/>
      <c r="AZH82" s="56"/>
      <c r="AZR82" s="56"/>
      <c r="BAB82" s="56"/>
      <c r="BAL82" s="56"/>
      <c r="BAV82" s="56"/>
      <c r="BBF82" s="56"/>
      <c r="BBP82" s="56"/>
      <c r="BBZ82" s="56"/>
      <c r="BCJ82" s="56"/>
      <c r="BCT82" s="56"/>
      <c r="BDD82" s="56"/>
      <c r="BDN82" s="56"/>
      <c r="BDX82" s="56"/>
      <c r="BEH82" s="56"/>
      <c r="BER82" s="56"/>
      <c r="BFB82" s="56"/>
      <c r="BFL82" s="56"/>
      <c r="BFV82" s="56"/>
      <c r="BGF82" s="56"/>
      <c r="BGP82" s="56"/>
      <c r="BGZ82" s="56"/>
      <c r="BHJ82" s="56"/>
      <c r="BHT82" s="56"/>
      <c r="BID82" s="56"/>
      <c r="BIN82" s="56"/>
      <c r="BIX82" s="56"/>
      <c r="BJH82" s="56"/>
      <c r="BJR82" s="56"/>
      <c r="BKB82" s="56"/>
      <c r="BKL82" s="56"/>
      <c r="BKV82" s="56"/>
      <c r="BLF82" s="56"/>
      <c r="BLP82" s="56"/>
      <c r="BLZ82" s="56"/>
      <c r="BMJ82" s="56"/>
      <c r="BMT82" s="56"/>
      <c r="BND82" s="56"/>
      <c r="BNN82" s="56"/>
      <c r="BNX82" s="56"/>
      <c r="BOH82" s="56"/>
      <c r="BOR82" s="56"/>
      <c r="BPB82" s="56"/>
      <c r="BPL82" s="56"/>
      <c r="BPV82" s="56"/>
      <c r="BQF82" s="56"/>
      <c r="BQP82" s="56"/>
      <c r="BQZ82" s="56"/>
      <c r="BRJ82" s="56"/>
      <c r="BRT82" s="56"/>
      <c r="BSD82" s="56"/>
      <c r="BSN82" s="56"/>
      <c r="BSX82" s="56"/>
      <c r="BTH82" s="56"/>
      <c r="BTR82" s="56"/>
      <c r="BUB82" s="56"/>
      <c r="BUL82" s="56"/>
      <c r="BUV82" s="56"/>
      <c r="BVF82" s="56"/>
      <c r="BVP82" s="56"/>
      <c r="BVZ82" s="56"/>
      <c r="BWJ82" s="56"/>
      <c r="BWT82" s="56"/>
      <c r="BXD82" s="56"/>
      <c r="BXN82" s="56"/>
      <c r="BXX82" s="56"/>
      <c r="BYH82" s="56"/>
      <c r="BYR82" s="56"/>
      <c r="BZB82" s="56"/>
      <c r="BZL82" s="56"/>
      <c r="BZV82" s="56"/>
      <c r="CAF82" s="56"/>
      <c r="CAP82" s="56"/>
      <c r="CAZ82" s="56"/>
      <c r="CBJ82" s="56"/>
      <c r="CBT82" s="56"/>
      <c r="CCD82" s="56"/>
      <c r="CCN82" s="56"/>
      <c r="CCX82" s="56"/>
      <c r="CDH82" s="56"/>
      <c r="CDR82" s="56"/>
      <c r="CEB82" s="56"/>
      <c r="CEL82" s="56"/>
      <c r="CEV82" s="56"/>
      <c r="CFF82" s="56"/>
      <c r="CFP82" s="56"/>
      <c r="CFZ82" s="56"/>
      <c r="CGJ82" s="56"/>
      <c r="CGT82" s="56"/>
      <c r="CHD82" s="56"/>
      <c r="CHN82" s="56"/>
      <c r="CHX82" s="56"/>
      <c r="CIH82" s="56"/>
      <c r="CIR82" s="56"/>
      <c r="CJB82" s="56"/>
      <c r="CJL82" s="56"/>
      <c r="CJV82" s="56"/>
      <c r="CKF82" s="56"/>
      <c r="CKP82" s="56"/>
      <c r="CKZ82" s="56"/>
      <c r="CLJ82" s="56"/>
      <c r="CLT82" s="56"/>
      <c r="CMD82" s="56"/>
      <c r="CMN82" s="56"/>
      <c r="CMX82" s="56"/>
      <c r="CNH82" s="56"/>
      <c r="CNR82" s="56"/>
      <c r="COB82" s="56"/>
      <c r="COL82" s="56"/>
      <c r="COV82" s="56"/>
      <c r="CPF82" s="56"/>
      <c r="CPP82" s="56"/>
      <c r="CPZ82" s="56"/>
      <c r="CQJ82" s="56"/>
      <c r="CQT82" s="56"/>
      <c r="CRD82" s="56"/>
      <c r="CRN82" s="56"/>
      <c r="CRX82" s="56"/>
      <c r="CSH82" s="56"/>
      <c r="CSR82" s="56"/>
      <c r="CTB82" s="56"/>
      <c r="CTL82" s="56"/>
      <c r="CTV82" s="56"/>
    </row>
    <row r="83" s="42" customFormat="1" customHeight="1" spans="1:1020 1030:2040 2050:2570">
      <c r="A83" s="51"/>
      <c r="B83" s="52"/>
      <c r="C83" s="52"/>
      <c r="D83" s="52"/>
      <c r="E83" s="52"/>
      <c r="F83" s="53" t="str">
        <f>IFERROR(VLOOKUP(E83,日报!E:G,2,0),"")</f>
        <v/>
      </c>
      <c r="G83" s="52"/>
      <c r="H83" s="54" t="str">
        <f>IFERROR(VLOOKUP(E83,日报!E:H,4,0),"")</f>
        <v/>
      </c>
      <c r="I83" s="54" t="str">
        <f>IFERROR(VLOOKUP(E83,日报!E:G,3,0),"")</f>
        <v/>
      </c>
      <c r="J83" s="52"/>
      <c r="K83" s="55" t="str">
        <f t="shared" si="0"/>
        <v/>
      </c>
      <c r="T83" s="56"/>
      <c r="AD83" s="56"/>
      <c r="AN83" s="56"/>
      <c r="AX83" s="56"/>
      <c r="BH83" s="56"/>
      <c r="BR83" s="56"/>
      <c r="CB83" s="56"/>
      <c r="CL83" s="56"/>
      <c r="CV83" s="56"/>
      <c r="DF83" s="56"/>
      <c r="DP83" s="56"/>
      <c r="DZ83" s="56"/>
      <c r="EJ83" s="56"/>
      <c r="ET83" s="56"/>
      <c r="FD83" s="56"/>
      <c r="FN83" s="56"/>
      <c r="FX83" s="56"/>
      <c r="GH83" s="56"/>
      <c r="GR83" s="56"/>
      <c r="HB83" s="56"/>
      <c r="HL83" s="56"/>
      <c r="HV83" s="56"/>
      <c r="IF83" s="56"/>
      <c r="IP83" s="56"/>
      <c r="IZ83" s="56"/>
      <c r="JJ83" s="56"/>
      <c r="JT83" s="56"/>
      <c r="KD83" s="56"/>
      <c r="KN83" s="56"/>
      <c r="KX83" s="56"/>
      <c r="LH83" s="56"/>
      <c r="LR83" s="56"/>
      <c r="MB83" s="56"/>
      <c r="ML83" s="56"/>
      <c r="MV83" s="56"/>
      <c r="NF83" s="56"/>
      <c r="NP83" s="56"/>
      <c r="NZ83" s="56"/>
      <c r="OJ83" s="56"/>
      <c r="OT83" s="56"/>
      <c r="PD83" s="56"/>
      <c r="PN83" s="56"/>
      <c r="PX83" s="56"/>
      <c r="QH83" s="56"/>
      <c r="QR83" s="56"/>
      <c r="RB83" s="56"/>
      <c r="RL83" s="56"/>
      <c r="RV83" s="56"/>
      <c r="SF83" s="56"/>
      <c r="SP83" s="56"/>
      <c r="SZ83" s="56"/>
      <c r="TJ83" s="56"/>
      <c r="TT83" s="56"/>
      <c r="UD83" s="56"/>
      <c r="UN83" s="56"/>
      <c r="UX83" s="56"/>
      <c r="VH83" s="56"/>
      <c r="VR83" s="56"/>
      <c r="WB83" s="56"/>
      <c r="WL83" s="56"/>
      <c r="WV83" s="56"/>
      <c r="XF83" s="56"/>
      <c r="XP83" s="56"/>
      <c r="XZ83" s="56"/>
      <c r="YJ83" s="56"/>
      <c r="YT83" s="56"/>
      <c r="ZD83" s="56"/>
      <c r="ZN83" s="56"/>
      <c r="ZX83" s="56"/>
      <c r="AAH83" s="56"/>
      <c r="AAR83" s="56"/>
      <c r="ABB83" s="56"/>
      <c r="ABL83" s="56"/>
      <c r="ABV83" s="56"/>
      <c r="ACF83" s="56"/>
      <c r="ACP83" s="56"/>
      <c r="ACZ83" s="56"/>
      <c r="ADJ83" s="56"/>
      <c r="ADT83" s="56"/>
      <c r="AED83" s="56"/>
      <c r="AEN83" s="56"/>
      <c r="AEX83" s="56"/>
      <c r="AFH83" s="56"/>
      <c r="AFR83" s="56"/>
      <c r="AGB83" s="56"/>
      <c r="AGL83" s="56"/>
      <c r="AGV83" s="56"/>
      <c r="AHF83" s="56"/>
      <c r="AHP83" s="56"/>
      <c r="AHZ83" s="56"/>
      <c r="AIJ83" s="56"/>
      <c r="AIT83" s="56"/>
      <c r="AJD83" s="56"/>
      <c r="AJN83" s="56"/>
      <c r="AJX83" s="56"/>
      <c r="AKH83" s="56"/>
      <c r="AKR83" s="56"/>
      <c r="ALB83" s="56"/>
      <c r="ALL83" s="56"/>
      <c r="ALV83" s="56"/>
      <c r="AMF83" s="56"/>
      <c r="AMP83" s="56"/>
      <c r="AMZ83" s="56"/>
      <c r="ANJ83" s="56"/>
      <c r="ANT83" s="56"/>
      <c r="AOD83" s="56"/>
      <c r="AON83" s="56"/>
      <c r="AOX83" s="56"/>
      <c r="APH83" s="56"/>
      <c r="APR83" s="56"/>
      <c r="AQB83" s="56"/>
      <c r="AQL83" s="56"/>
      <c r="AQV83" s="56"/>
      <c r="ARF83" s="56"/>
      <c r="ARP83" s="56"/>
      <c r="ARZ83" s="56"/>
      <c r="ASJ83" s="56"/>
      <c r="AST83" s="56"/>
      <c r="ATD83" s="56"/>
      <c r="ATN83" s="56"/>
      <c r="ATX83" s="56"/>
      <c r="AUH83" s="56"/>
      <c r="AUR83" s="56"/>
      <c r="AVB83" s="56"/>
      <c r="AVL83" s="56"/>
      <c r="AVV83" s="56"/>
      <c r="AWF83" s="56"/>
      <c r="AWP83" s="56"/>
      <c r="AWZ83" s="56"/>
      <c r="AXJ83" s="56"/>
      <c r="AXT83" s="56"/>
      <c r="AYD83" s="56"/>
      <c r="AYN83" s="56"/>
      <c r="AYX83" s="56"/>
      <c r="AZH83" s="56"/>
      <c r="AZR83" s="56"/>
      <c r="BAB83" s="56"/>
      <c r="BAL83" s="56"/>
      <c r="BAV83" s="56"/>
      <c r="BBF83" s="56"/>
      <c r="BBP83" s="56"/>
      <c r="BBZ83" s="56"/>
      <c r="BCJ83" s="56"/>
      <c r="BCT83" s="56"/>
      <c r="BDD83" s="56"/>
      <c r="BDN83" s="56"/>
      <c r="BDX83" s="56"/>
      <c r="BEH83" s="56"/>
      <c r="BER83" s="56"/>
      <c r="BFB83" s="56"/>
      <c r="BFL83" s="56"/>
      <c r="BFV83" s="56"/>
      <c r="BGF83" s="56"/>
      <c r="BGP83" s="56"/>
      <c r="BGZ83" s="56"/>
      <c r="BHJ83" s="56"/>
      <c r="BHT83" s="56"/>
      <c r="BID83" s="56"/>
      <c r="BIN83" s="56"/>
      <c r="BIX83" s="56"/>
      <c r="BJH83" s="56"/>
      <c r="BJR83" s="56"/>
      <c r="BKB83" s="56"/>
      <c r="BKL83" s="56"/>
      <c r="BKV83" s="56"/>
      <c r="BLF83" s="56"/>
      <c r="BLP83" s="56"/>
      <c r="BLZ83" s="56"/>
      <c r="BMJ83" s="56"/>
      <c r="BMT83" s="56"/>
      <c r="BND83" s="56"/>
      <c r="BNN83" s="56"/>
      <c r="BNX83" s="56"/>
      <c r="BOH83" s="56"/>
      <c r="BOR83" s="56"/>
      <c r="BPB83" s="56"/>
      <c r="BPL83" s="56"/>
      <c r="BPV83" s="56"/>
      <c r="BQF83" s="56"/>
      <c r="BQP83" s="56"/>
      <c r="BQZ83" s="56"/>
      <c r="BRJ83" s="56"/>
      <c r="BRT83" s="56"/>
      <c r="BSD83" s="56"/>
      <c r="BSN83" s="56"/>
      <c r="BSX83" s="56"/>
      <c r="BTH83" s="56"/>
      <c r="BTR83" s="56"/>
      <c r="BUB83" s="56"/>
      <c r="BUL83" s="56"/>
      <c r="BUV83" s="56"/>
      <c r="BVF83" s="56"/>
      <c r="BVP83" s="56"/>
      <c r="BVZ83" s="56"/>
      <c r="BWJ83" s="56"/>
      <c r="BWT83" s="56"/>
      <c r="BXD83" s="56"/>
      <c r="BXN83" s="56"/>
      <c r="BXX83" s="56"/>
      <c r="BYH83" s="56"/>
      <c r="BYR83" s="56"/>
      <c r="BZB83" s="56"/>
      <c r="BZL83" s="56"/>
      <c r="BZV83" s="56"/>
      <c r="CAF83" s="56"/>
      <c r="CAP83" s="56"/>
      <c r="CAZ83" s="56"/>
      <c r="CBJ83" s="56"/>
      <c r="CBT83" s="56"/>
      <c r="CCD83" s="56"/>
      <c r="CCN83" s="56"/>
      <c r="CCX83" s="56"/>
      <c r="CDH83" s="56"/>
      <c r="CDR83" s="56"/>
      <c r="CEB83" s="56"/>
      <c r="CEL83" s="56"/>
      <c r="CEV83" s="56"/>
      <c r="CFF83" s="56"/>
      <c r="CFP83" s="56"/>
      <c r="CFZ83" s="56"/>
      <c r="CGJ83" s="56"/>
      <c r="CGT83" s="56"/>
      <c r="CHD83" s="56"/>
      <c r="CHN83" s="56"/>
      <c r="CHX83" s="56"/>
      <c r="CIH83" s="56"/>
      <c r="CIR83" s="56"/>
      <c r="CJB83" s="56"/>
      <c r="CJL83" s="56"/>
      <c r="CJV83" s="56"/>
      <c r="CKF83" s="56"/>
      <c r="CKP83" s="56"/>
      <c r="CKZ83" s="56"/>
      <c r="CLJ83" s="56"/>
      <c r="CLT83" s="56"/>
      <c r="CMD83" s="56"/>
      <c r="CMN83" s="56"/>
      <c r="CMX83" s="56"/>
      <c r="CNH83" s="56"/>
      <c r="CNR83" s="56"/>
      <c r="COB83" s="56"/>
      <c r="COL83" s="56"/>
      <c r="COV83" s="56"/>
      <c r="CPF83" s="56"/>
      <c r="CPP83" s="56"/>
      <c r="CPZ83" s="56"/>
      <c r="CQJ83" s="56"/>
      <c r="CQT83" s="56"/>
      <c r="CRD83" s="56"/>
      <c r="CRN83" s="56"/>
      <c r="CRX83" s="56"/>
      <c r="CSH83" s="56"/>
      <c r="CSR83" s="56"/>
      <c r="CTB83" s="56"/>
      <c r="CTL83" s="56"/>
      <c r="CTV83" s="56"/>
    </row>
    <row r="84" s="42" customFormat="1" customHeight="1" spans="1:1020 1030:2040 2050:2570">
      <c r="A84" s="51"/>
      <c r="B84" s="52"/>
      <c r="C84" s="52"/>
      <c r="D84" s="52"/>
      <c r="E84" s="52"/>
      <c r="F84" s="53" t="str">
        <f>IFERROR(VLOOKUP(E84,日报!E:G,2,0),"")</f>
        <v/>
      </c>
      <c r="G84" s="52"/>
      <c r="H84" s="54" t="str">
        <f>IFERROR(VLOOKUP(E84,日报!E:H,4,0),"")</f>
        <v/>
      </c>
      <c r="I84" s="54" t="str">
        <f>IFERROR(VLOOKUP(E84,日报!E:G,3,0),"")</f>
        <v/>
      </c>
      <c r="J84" s="52"/>
      <c r="K84" s="55" t="str">
        <f t="shared" ref="K84:K147" si="1">IFERROR(G84/I84,"")</f>
        <v/>
      </c>
      <c r="T84" s="56"/>
      <c r="AD84" s="56"/>
      <c r="AN84" s="56"/>
      <c r="AX84" s="56"/>
      <c r="BH84" s="56"/>
      <c r="BR84" s="56"/>
      <c r="CB84" s="56"/>
      <c r="CL84" s="56"/>
      <c r="CV84" s="56"/>
      <c r="DF84" s="56"/>
      <c r="DP84" s="56"/>
      <c r="DZ84" s="56"/>
      <c r="EJ84" s="56"/>
      <c r="ET84" s="56"/>
      <c r="FD84" s="56"/>
      <c r="FN84" s="56"/>
      <c r="FX84" s="56"/>
      <c r="GH84" s="56"/>
      <c r="GR84" s="56"/>
      <c r="HB84" s="56"/>
      <c r="HL84" s="56"/>
      <c r="HV84" s="56"/>
      <c r="IF84" s="56"/>
      <c r="IP84" s="56"/>
      <c r="IZ84" s="56"/>
      <c r="JJ84" s="56"/>
      <c r="JT84" s="56"/>
      <c r="KD84" s="56"/>
      <c r="KN84" s="56"/>
      <c r="KX84" s="56"/>
      <c r="LH84" s="56"/>
      <c r="LR84" s="56"/>
      <c r="MB84" s="56"/>
      <c r="ML84" s="56"/>
      <c r="MV84" s="56"/>
      <c r="NF84" s="56"/>
      <c r="NP84" s="56"/>
      <c r="NZ84" s="56"/>
      <c r="OJ84" s="56"/>
      <c r="OT84" s="56"/>
      <c r="PD84" s="56"/>
      <c r="PN84" s="56"/>
      <c r="PX84" s="56"/>
      <c r="QH84" s="56"/>
      <c r="QR84" s="56"/>
      <c r="RB84" s="56"/>
      <c r="RL84" s="56"/>
      <c r="RV84" s="56"/>
      <c r="SF84" s="56"/>
      <c r="SP84" s="56"/>
      <c r="SZ84" s="56"/>
      <c r="TJ84" s="56"/>
      <c r="TT84" s="56"/>
      <c r="UD84" s="56"/>
      <c r="UN84" s="56"/>
      <c r="UX84" s="56"/>
      <c r="VH84" s="56"/>
      <c r="VR84" s="56"/>
      <c r="WB84" s="56"/>
      <c r="WL84" s="56"/>
      <c r="WV84" s="56"/>
      <c r="XF84" s="56"/>
      <c r="XP84" s="56"/>
      <c r="XZ84" s="56"/>
      <c r="YJ84" s="56"/>
      <c r="YT84" s="56"/>
      <c r="ZD84" s="56"/>
      <c r="ZN84" s="56"/>
      <c r="ZX84" s="56"/>
      <c r="AAH84" s="56"/>
      <c r="AAR84" s="56"/>
      <c r="ABB84" s="56"/>
      <c r="ABL84" s="56"/>
      <c r="ABV84" s="56"/>
      <c r="ACF84" s="56"/>
      <c r="ACP84" s="56"/>
      <c r="ACZ84" s="56"/>
      <c r="ADJ84" s="56"/>
      <c r="ADT84" s="56"/>
      <c r="AED84" s="56"/>
      <c r="AEN84" s="56"/>
      <c r="AEX84" s="56"/>
      <c r="AFH84" s="56"/>
      <c r="AFR84" s="56"/>
      <c r="AGB84" s="56"/>
      <c r="AGL84" s="56"/>
      <c r="AGV84" s="56"/>
      <c r="AHF84" s="56"/>
      <c r="AHP84" s="56"/>
      <c r="AHZ84" s="56"/>
      <c r="AIJ84" s="56"/>
      <c r="AIT84" s="56"/>
      <c r="AJD84" s="56"/>
      <c r="AJN84" s="56"/>
      <c r="AJX84" s="56"/>
      <c r="AKH84" s="56"/>
      <c r="AKR84" s="56"/>
      <c r="ALB84" s="56"/>
      <c r="ALL84" s="56"/>
      <c r="ALV84" s="56"/>
      <c r="AMF84" s="56"/>
      <c r="AMP84" s="56"/>
      <c r="AMZ84" s="56"/>
      <c r="ANJ84" s="56"/>
      <c r="ANT84" s="56"/>
      <c r="AOD84" s="56"/>
      <c r="AON84" s="56"/>
      <c r="AOX84" s="56"/>
      <c r="APH84" s="56"/>
      <c r="APR84" s="56"/>
      <c r="AQB84" s="56"/>
      <c r="AQL84" s="56"/>
      <c r="AQV84" s="56"/>
      <c r="ARF84" s="56"/>
      <c r="ARP84" s="56"/>
      <c r="ARZ84" s="56"/>
      <c r="ASJ84" s="56"/>
      <c r="AST84" s="56"/>
      <c r="ATD84" s="56"/>
      <c r="ATN84" s="56"/>
      <c r="ATX84" s="56"/>
      <c r="AUH84" s="56"/>
      <c r="AUR84" s="56"/>
      <c r="AVB84" s="56"/>
      <c r="AVL84" s="56"/>
      <c r="AVV84" s="56"/>
      <c r="AWF84" s="56"/>
      <c r="AWP84" s="56"/>
      <c r="AWZ84" s="56"/>
      <c r="AXJ84" s="56"/>
      <c r="AXT84" s="56"/>
      <c r="AYD84" s="56"/>
      <c r="AYN84" s="56"/>
      <c r="AYX84" s="56"/>
      <c r="AZH84" s="56"/>
      <c r="AZR84" s="56"/>
      <c r="BAB84" s="56"/>
      <c r="BAL84" s="56"/>
      <c r="BAV84" s="56"/>
      <c r="BBF84" s="56"/>
      <c r="BBP84" s="56"/>
      <c r="BBZ84" s="56"/>
      <c r="BCJ84" s="56"/>
      <c r="BCT84" s="56"/>
      <c r="BDD84" s="56"/>
      <c r="BDN84" s="56"/>
      <c r="BDX84" s="56"/>
      <c r="BEH84" s="56"/>
      <c r="BER84" s="56"/>
      <c r="BFB84" s="56"/>
      <c r="BFL84" s="56"/>
      <c r="BFV84" s="56"/>
      <c r="BGF84" s="56"/>
      <c r="BGP84" s="56"/>
      <c r="BGZ84" s="56"/>
      <c r="BHJ84" s="56"/>
      <c r="BHT84" s="56"/>
      <c r="BID84" s="56"/>
      <c r="BIN84" s="56"/>
      <c r="BIX84" s="56"/>
      <c r="BJH84" s="56"/>
      <c r="BJR84" s="56"/>
      <c r="BKB84" s="56"/>
      <c r="BKL84" s="56"/>
      <c r="BKV84" s="56"/>
      <c r="BLF84" s="56"/>
      <c r="BLP84" s="56"/>
      <c r="BLZ84" s="56"/>
      <c r="BMJ84" s="56"/>
      <c r="BMT84" s="56"/>
      <c r="BND84" s="56"/>
      <c r="BNN84" s="56"/>
      <c r="BNX84" s="56"/>
      <c r="BOH84" s="56"/>
      <c r="BOR84" s="56"/>
      <c r="BPB84" s="56"/>
      <c r="BPL84" s="56"/>
      <c r="BPV84" s="56"/>
      <c r="BQF84" s="56"/>
      <c r="BQP84" s="56"/>
      <c r="BQZ84" s="56"/>
      <c r="BRJ84" s="56"/>
      <c r="BRT84" s="56"/>
      <c r="BSD84" s="56"/>
      <c r="BSN84" s="56"/>
      <c r="BSX84" s="56"/>
      <c r="BTH84" s="56"/>
      <c r="BTR84" s="56"/>
      <c r="BUB84" s="56"/>
      <c r="BUL84" s="56"/>
      <c r="BUV84" s="56"/>
      <c r="BVF84" s="56"/>
      <c r="BVP84" s="56"/>
      <c r="BVZ84" s="56"/>
      <c r="BWJ84" s="56"/>
      <c r="BWT84" s="56"/>
      <c r="BXD84" s="56"/>
      <c r="BXN84" s="56"/>
      <c r="BXX84" s="56"/>
      <c r="BYH84" s="56"/>
      <c r="BYR84" s="56"/>
      <c r="BZB84" s="56"/>
      <c r="BZL84" s="56"/>
      <c r="BZV84" s="56"/>
      <c r="CAF84" s="56"/>
      <c r="CAP84" s="56"/>
      <c r="CAZ84" s="56"/>
      <c r="CBJ84" s="56"/>
      <c r="CBT84" s="56"/>
      <c r="CCD84" s="56"/>
      <c r="CCN84" s="56"/>
      <c r="CCX84" s="56"/>
      <c r="CDH84" s="56"/>
      <c r="CDR84" s="56"/>
      <c r="CEB84" s="56"/>
      <c r="CEL84" s="56"/>
      <c r="CEV84" s="56"/>
      <c r="CFF84" s="56"/>
      <c r="CFP84" s="56"/>
      <c r="CFZ84" s="56"/>
      <c r="CGJ84" s="56"/>
      <c r="CGT84" s="56"/>
      <c r="CHD84" s="56"/>
      <c r="CHN84" s="56"/>
      <c r="CHX84" s="56"/>
      <c r="CIH84" s="56"/>
      <c r="CIR84" s="56"/>
      <c r="CJB84" s="56"/>
      <c r="CJL84" s="56"/>
      <c r="CJV84" s="56"/>
      <c r="CKF84" s="56"/>
      <c r="CKP84" s="56"/>
      <c r="CKZ84" s="56"/>
      <c r="CLJ84" s="56"/>
      <c r="CLT84" s="56"/>
      <c r="CMD84" s="56"/>
      <c r="CMN84" s="56"/>
      <c r="CMX84" s="56"/>
      <c r="CNH84" s="56"/>
      <c r="CNR84" s="56"/>
      <c r="COB84" s="56"/>
      <c r="COL84" s="56"/>
      <c r="COV84" s="56"/>
      <c r="CPF84" s="56"/>
      <c r="CPP84" s="56"/>
      <c r="CPZ84" s="56"/>
      <c r="CQJ84" s="56"/>
      <c r="CQT84" s="56"/>
      <c r="CRD84" s="56"/>
      <c r="CRN84" s="56"/>
      <c r="CRX84" s="56"/>
      <c r="CSH84" s="56"/>
      <c r="CSR84" s="56"/>
      <c r="CTB84" s="56"/>
      <c r="CTL84" s="56"/>
      <c r="CTV84" s="56"/>
    </row>
    <row r="85" s="42" customFormat="1" customHeight="1" spans="1:1020 1030:2040 2050:2570">
      <c r="A85" s="51"/>
      <c r="B85" s="52"/>
      <c r="C85" s="52"/>
      <c r="D85" s="52"/>
      <c r="E85" s="52"/>
      <c r="F85" s="53" t="str">
        <f>IFERROR(VLOOKUP(E85,日报!E:G,2,0),"")</f>
        <v/>
      </c>
      <c r="G85" s="52"/>
      <c r="H85" s="54" t="str">
        <f>IFERROR(VLOOKUP(E85,日报!E:H,4,0),"")</f>
        <v/>
      </c>
      <c r="I85" s="54" t="str">
        <f>IFERROR(VLOOKUP(E85,日报!E:G,3,0),"")</f>
        <v/>
      </c>
      <c r="J85" s="52"/>
      <c r="K85" s="55" t="str">
        <f t="shared" si="1"/>
        <v/>
      </c>
      <c r="T85" s="56"/>
      <c r="AD85" s="56"/>
      <c r="AN85" s="56"/>
      <c r="AX85" s="56"/>
      <c r="BH85" s="56"/>
      <c r="BR85" s="56"/>
      <c r="CB85" s="56"/>
      <c r="CL85" s="56"/>
      <c r="CV85" s="56"/>
      <c r="DF85" s="56"/>
      <c r="DP85" s="56"/>
      <c r="DZ85" s="56"/>
      <c r="EJ85" s="56"/>
      <c r="ET85" s="56"/>
      <c r="FD85" s="56"/>
      <c r="FN85" s="56"/>
      <c r="FX85" s="56"/>
      <c r="GH85" s="56"/>
      <c r="GR85" s="56"/>
      <c r="HB85" s="56"/>
      <c r="HL85" s="56"/>
      <c r="HV85" s="56"/>
      <c r="IF85" s="56"/>
      <c r="IP85" s="56"/>
      <c r="IZ85" s="56"/>
      <c r="JJ85" s="56"/>
      <c r="JT85" s="56"/>
      <c r="KD85" s="56"/>
      <c r="KN85" s="56"/>
      <c r="KX85" s="56"/>
      <c r="LH85" s="56"/>
      <c r="LR85" s="56"/>
      <c r="MB85" s="56"/>
      <c r="ML85" s="56"/>
      <c r="MV85" s="56"/>
      <c r="NF85" s="56"/>
      <c r="NP85" s="56"/>
      <c r="NZ85" s="56"/>
      <c r="OJ85" s="56"/>
      <c r="OT85" s="56"/>
      <c r="PD85" s="56"/>
      <c r="PN85" s="56"/>
      <c r="PX85" s="56"/>
      <c r="QH85" s="56"/>
      <c r="QR85" s="56"/>
      <c r="RB85" s="56"/>
      <c r="RL85" s="56"/>
      <c r="RV85" s="56"/>
      <c r="SF85" s="56"/>
      <c r="SP85" s="56"/>
      <c r="SZ85" s="56"/>
      <c r="TJ85" s="56"/>
      <c r="TT85" s="56"/>
      <c r="UD85" s="56"/>
      <c r="UN85" s="56"/>
      <c r="UX85" s="56"/>
      <c r="VH85" s="56"/>
      <c r="VR85" s="56"/>
      <c r="WB85" s="56"/>
      <c r="WL85" s="56"/>
      <c r="WV85" s="56"/>
      <c r="XF85" s="56"/>
      <c r="XP85" s="56"/>
      <c r="XZ85" s="56"/>
      <c r="YJ85" s="56"/>
      <c r="YT85" s="56"/>
      <c r="ZD85" s="56"/>
      <c r="ZN85" s="56"/>
      <c r="ZX85" s="56"/>
      <c r="AAH85" s="56"/>
      <c r="AAR85" s="56"/>
      <c r="ABB85" s="56"/>
      <c r="ABL85" s="56"/>
      <c r="ABV85" s="56"/>
      <c r="ACF85" s="56"/>
      <c r="ACP85" s="56"/>
      <c r="ACZ85" s="56"/>
      <c r="ADJ85" s="56"/>
      <c r="ADT85" s="56"/>
      <c r="AED85" s="56"/>
      <c r="AEN85" s="56"/>
      <c r="AEX85" s="56"/>
      <c r="AFH85" s="56"/>
      <c r="AFR85" s="56"/>
      <c r="AGB85" s="56"/>
      <c r="AGL85" s="56"/>
      <c r="AGV85" s="56"/>
      <c r="AHF85" s="56"/>
      <c r="AHP85" s="56"/>
      <c r="AHZ85" s="56"/>
      <c r="AIJ85" s="56"/>
      <c r="AIT85" s="56"/>
      <c r="AJD85" s="56"/>
      <c r="AJN85" s="56"/>
      <c r="AJX85" s="56"/>
      <c r="AKH85" s="56"/>
      <c r="AKR85" s="56"/>
      <c r="ALB85" s="56"/>
      <c r="ALL85" s="56"/>
      <c r="ALV85" s="56"/>
      <c r="AMF85" s="56"/>
      <c r="AMP85" s="56"/>
      <c r="AMZ85" s="56"/>
      <c r="ANJ85" s="56"/>
      <c r="ANT85" s="56"/>
      <c r="AOD85" s="56"/>
      <c r="AON85" s="56"/>
      <c r="AOX85" s="56"/>
      <c r="APH85" s="56"/>
      <c r="APR85" s="56"/>
      <c r="AQB85" s="56"/>
      <c r="AQL85" s="56"/>
      <c r="AQV85" s="56"/>
      <c r="ARF85" s="56"/>
      <c r="ARP85" s="56"/>
      <c r="ARZ85" s="56"/>
      <c r="ASJ85" s="56"/>
      <c r="AST85" s="56"/>
      <c r="ATD85" s="56"/>
      <c r="ATN85" s="56"/>
      <c r="ATX85" s="56"/>
      <c r="AUH85" s="56"/>
      <c r="AUR85" s="56"/>
      <c r="AVB85" s="56"/>
      <c r="AVL85" s="56"/>
      <c r="AVV85" s="56"/>
      <c r="AWF85" s="56"/>
      <c r="AWP85" s="56"/>
      <c r="AWZ85" s="56"/>
      <c r="AXJ85" s="56"/>
      <c r="AXT85" s="56"/>
      <c r="AYD85" s="56"/>
      <c r="AYN85" s="56"/>
      <c r="AYX85" s="56"/>
      <c r="AZH85" s="56"/>
      <c r="AZR85" s="56"/>
      <c r="BAB85" s="56"/>
      <c r="BAL85" s="56"/>
      <c r="BAV85" s="56"/>
      <c r="BBF85" s="56"/>
      <c r="BBP85" s="56"/>
      <c r="BBZ85" s="56"/>
      <c r="BCJ85" s="56"/>
      <c r="BCT85" s="56"/>
      <c r="BDD85" s="56"/>
      <c r="BDN85" s="56"/>
      <c r="BDX85" s="56"/>
      <c r="BEH85" s="56"/>
      <c r="BER85" s="56"/>
      <c r="BFB85" s="56"/>
      <c r="BFL85" s="56"/>
      <c r="BFV85" s="56"/>
      <c r="BGF85" s="56"/>
      <c r="BGP85" s="56"/>
      <c r="BGZ85" s="56"/>
      <c r="BHJ85" s="56"/>
      <c r="BHT85" s="56"/>
      <c r="BID85" s="56"/>
      <c r="BIN85" s="56"/>
      <c r="BIX85" s="56"/>
      <c r="BJH85" s="56"/>
      <c r="BJR85" s="56"/>
      <c r="BKB85" s="56"/>
      <c r="BKL85" s="56"/>
      <c r="BKV85" s="56"/>
      <c r="BLF85" s="56"/>
      <c r="BLP85" s="56"/>
      <c r="BLZ85" s="56"/>
      <c r="BMJ85" s="56"/>
      <c r="BMT85" s="56"/>
      <c r="BND85" s="56"/>
      <c r="BNN85" s="56"/>
      <c r="BNX85" s="56"/>
      <c r="BOH85" s="56"/>
      <c r="BOR85" s="56"/>
      <c r="BPB85" s="56"/>
      <c r="BPL85" s="56"/>
      <c r="BPV85" s="56"/>
      <c r="BQF85" s="56"/>
      <c r="BQP85" s="56"/>
      <c r="BQZ85" s="56"/>
      <c r="BRJ85" s="56"/>
      <c r="BRT85" s="56"/>
      <c r="BSD85" s="56"/>
      <c r="BSN85" s="56"/>
      <c r="BSX85" s="56"/>
      <c r="BTH85" s="56"/>
      <c r="BTR85" s="56"/>
      <c r="BUB85" s="56"/>
      <c r="BUL85" s="56"/>
      <c r="BUV85" s="56"/>
      <c r="BVF85" s="56"/>
      <c r="BVP85" s="56"/>
      <c r="BVZ85" s="56"/>
      <c r="BWJ85" s="56"/>
      <c r="BWT85" s="56"/>
      <c r="BXD85" s="56"/>
      <c r="BXN85" s="56"/>
      <c r="BXX85" s="56"/>
      <c r="BYH85" s="56"/>
      <c r="BYR85" s="56"/>
      <c r="BZB85" s="56"/>
      <c r="BZL85" s="56"/>
      <c r="BZV85" s="56"/>
      <c r="CAF85" s="56"/>
      <c r="CAP85" s="56"/>
      <c r="CAZ85" s="56"/>
      <c r="CBJ85" s="56"/>
      <c r="CBT85" s="56"/>
      <c r="CCD85" s="56"/>
      <c r="CCN85" s="56"/>
      <c r="CCX85" s="56"/>
      <c r="CDH85" s="56"/>
      <c r="CDR85" s="56"/>
      <c r="CEB85" s="56"/>
      <c r="CEL85" s="56"/>
      <c r="CEV85" s="56"/>
      <c r="CFF85" s="56"/>
      <c r="CFP85" s="56"/>
      <c r="CFZ85" s="56"/>
      <c r="CGJ85" s="56"/>
      <c r="CGT85" s="56"/>
      <c r="CHD85" s="56"/>
      <c r="CHN85" s="56"/>
      <c r="CHX85" s="56"/>
      <c r="CIH85" s="56"/>
      <c r="CIR85" s="56"/>
      <c r="CJB85" s="56"/>
      <c r="CJL85" s="56"/>
      <c r="CJV85" s="56"/>
      <c r="CKF85" s="56"/>
      <c r="CKP85" s="56"/>
      <c r="CKZ85" s="56"/>
      <c r="CLJ85" s="56"/>
      <c r="CLT85" s="56"/>
      <c r="CMD85" s="56"/>
      <c r="CMN85" s="56"/>
      <c r="CMX85" s="56"/>
      <c r="CNH85" s="56"/>
      <c r="CNR85" s="56"/>
      <c r="COB85" s="56"/>
      <c r="COL85" s="56"/>
      <c r="COV85" s="56"/>
      <c r="CPF85" s="56"/>
      <c r="CPP85" s="56"/>
      <c r="CPZ85" s="56"/>
      <c r="CQJ85" s="56"/>
      <c r="CQT85" s="56"/>
      <c r="CRD85" s="56"/>
      <c r="CRN85" s="56"/>
      <c r="CRX85" s="56"/>
      <c r="CSH85" s="56"/>
      <c r="CSR85" s="56"/>
      <c r="CTB85" s="56"/>
      <c r="CTL85" s="56"/>
      <c r="CTV85" s="56"/>
    </row>
    <row r="86" s="42" customFormat="1" customHeight="1" spans="1:1020 1030:2040 2050:2570">
      <c r="A86" s="51"/>
      <c r="B86" s="52"/>
      <c r="C86" s="52"/>
      <c r="D86" s="52"/>
      <c r="E86" s="52"/>
      <c r="F86" s="53" t="str">
        <f>IFERROR(VLOOKUP(E86,日报!E:G,2,0),"")</f>
        <v/>
      </c>
      <c r="G86" s="52"/>
      <c r="H86" s="54" t="str">
        <f>IFERROR(VLOOKUP(E86,日报!E:H,4,0),"")</f>
        <v/>
      </c>
      <c r="I86" s="54" t="str">
        <f>IFERROR(VLOOKUP(E86,日报!E:G,3,0),"")</f>
        <v/>
      </c>
      <c r="J86" s="52"/>
      <c r="K86" s="55" t="str">
        <f t="shared" si="1"/>
        <v/>
      </c>
      <c r="T86" s="56"/>
      <c r="AD86" s="56"/>
      <c r="AN86" s="56"/>
      <c r="AX86" s="56"/>
      <c r="BH86" s="56"/>
      <c r="BR86" s="56"/>
      <c r="CB86" s="56"/>
      <c r="CL86" s="56"/>
      <c r="CV86" s="56"/>
      <c r="DF86" s="56"/>
      <c r="DP86" s="56"/>
      <c r="DZ86" s="56"/>
      <c r="EJ86" s="56"/>
      <c r="ET86" s="56"/>
      <c r="FD86" s="56"/>
      <c r="FN86" s="56"/>
      <c r="FX86" s="56"/>
      <c r="GH86" s="56"/>
      <c r="GR86" s="56"/>
      <c r="HB86" s="56"/>
      <c r="HL86" s="56"/>
      <c r="HV86" s="56"/>
      <c r="IF86" s="56"/>
      <c r="IP86" s="56"/>
      <c r="IZ86" s="56"/>
      <c r="JJ86" s="56"/>
      <c r="JT86" s="56"/>
      <c r="KD86" s="56"/>
      <c r="KN86" s="56"/>
      <c r="KX86" s="56"/>
      <c r="LH86" s="56"/>
      <c r="LR86" s="56"/>
      <c r="MB86" s="56"/>
      <c r="ML86" s="56"/>
      <c r="MV86" s="56"/>
      <c r="NF86" s="56"/>
      <c r="NP86" s="56"/>
      <c r="NZ86" s="56"/>
      <c r="OJ86" s="56"/>
      <c r="OT86" s="56"/>
      <c r="PD86" s="56"/>
      <c r="PN86" s="56"/>
      <c r="PX86" s="56"/>
      <c r="QH86" s="56"/>
      <c r="QR86" s="56"/>
      <c r="RB86" s="56"/>
      <c r="RL86" s="56"/>
      <c r="RV86" s="56"/>
      <c r="SF86" s="56"/>
      <c r="SP86" s="56"/>
      <c r="SZ86" s="56"/>
      <c r="TJ86" s="56"/>
      <c r="TT86" s="56"/>
      <c r="UD86" s="56"/>
      <c r="UN86" s="56"/>
      <c r="UX86" s="56"/>
      <c r="VH86" s="56"/>
      <c r="VR86" s="56"/>
      <c r="WB86" s="56"/>
      <c r="WL86" s="56"/>
      <c r="WV86" s="56"/>
      <c r="XF86" s="56"/>
      <c r="XP86" s="56"/>
      <c r="XZ86" s="56"/>
      <c r="YJ86" s="56"/>
      <c r="YT86" s="56"/>
      <c r="ZD86" s="56"/>
      <c r="ZN86" s="56"/>
      <c r="ZX86" s="56"/>
      <c r="AAH86" s="56"/>
      <c r="AAR86" s="56"/>
      <c r="ABB86" s="56"/>
      <c r="ABL86" s="56"/>
      <c r="ABV86" s="56"/>
      <c r="ACF86" s="56"/>
      <c r="ACP86" s="56"/>
      <c r="ACZ86" s="56"/>
      <c r="ADJ86" s="56"/>
      <c r="ADT86" s="56"/>
      <c r="AED86" s="56"/>
      <c r="AEN86" s="56"/>
      <c r="AEX86" s="56"/>
      <c r="AFH86" s="56"/>
      <c r="AFR86" s="56"/>
      <c r="AGB86" s="56"/>
      <c r="AGL86" s="56"/>
      <c r="AGV86" s="56"/>
      <c r="AHF86" s="56"/>
      <c r="AHP86" s="56"/>
      <c r="AHZ86" s="56"/>
      <c r="AIJ86" s="56"/>
      <c r="AIT86" s="56"/>
      <c r="AJD86" s="56"/>
      <c r="AJN86" s="56"/>
      <c r="AJX86" s="56"/>
      <c r="AKH86" s="56"/>
      <c r="AKR86" s="56"/>
      <c r="ALB86" s="56"/>
      <c r="ALL86" s="56"/>
      <c r="ALV86" s="56"/>
      <c r="AMF86" s="56"/>
      <c r="AMP86" s="56"/>
      <c r="AMZ86" s="56"/>
      <c r="ANJ86" s="56"/>
      <c r="ANT86" s="56"/>
      <c r="AOD86" s="56"/>
      <c r="AON86" s="56"/>
      <c r="AOX86" s="56"/>
      <c r="APH86" s="56"/>
      <c r="APR86" s="56"/>
      <c r="AQB86" s="56"/>
      <c r="AQL86" s="56"/>
      <c r="AQV86" s="56"/>
      <c r="ARF86" s="56"/>
      <c r="ARP86" s="56"/>
      <c r="ARZ86" s="56"/>
      <c r="ASJ86" s="56"/>
      <c r="AST86" s="56"/>
      <c r="ATD86" s="56"/>
      <c r="ATN86" s="56"/>
      <c r="ATX86" s="56"/>
      <c r="AUH86" s="56"/>
      <c r="AUR86" s="56"/>
      <c r="AVB86" s="56"/>
      <c r="AVL86" s="56"/>
      <c r="AVV86" s="56"/>
      <c r="AWF86" s="56"/>
      <c r="AWP86" s="56"/>
      <c r="AWZ86" s="56"/>
      <c r="AXJ86" s="56"/>
      <c r="AXT86" s="56"/>
      <c r="AYD86" s="56"/>
      <c r="AYN86" s="56"/>
      <c r="AYX86" s="56"/>
      <c r="AZH86" s="56"/>
      <c r="AZR86" s="56"/>
      <c r="BAB86" s="56"/>
      <c r="BAL86" s="56"/>
      <c r="BAV86" s="56"/>
      <c r="BBF86" s="56"/>
      <c r="BBP86" s="56"/>
      <c r="BBZ86" s="56"/>
      <c r="BCJ86" s="56"/>
      <c r="BCT86" s="56"/>
      <c r="BDD86" s="56"/>
      <c r="BDN86" s="56"/>
      <c r="BDX86" s="56"/>
      <c r="BEH86" s="56"/>
      <c r="BER86" s="56"/>
      <c r="BFB86" s="56"/>
      <c r="BFL86" s="56"/>
      <c r="BFV86" s="56"/>
      <c r="BGF86" s="56"/>
      <c r="BGP86" s="56"/>
      <c r="BGZ86" s="56"/>
      <c r="BHJ86" s="56"/>
      <c r="BHT86" s="56"/>
      <c r="BID86" s="56"/>
      <c r="BIN86" s="56"/>
      <c r="BIX86" s="56"/>
      <c r="BJH86" s="56"/>
      <c r="BJR86" s="56"/>
      <c r="BKB86" s="56"/>
      <c r="BKL86" s="56"/>
      <c r="BKV86" s="56"/>
      <c r="BLF86" s="56"/>
      <c r="BLP86" s="56"/>
      <c r="BLZ86" s="56"/>
      <c r="BMJ86" s="56"/>
      <c r="BMT86" s="56"/>
      <c r="BND86" s="56"/>
      <c r="BNN86" s="56"/>
      <c r="BNX86" s="56"/>
      <c r="BOH86" s="56"/>
      <c r="BOR86" s="56"/>
      <c r="BPB86" s="56"/>
      <c r="BPL86" s="56"/>
      <c r="BPV86" s="56"/>
      <c r="BQF86" s="56"/>
      <c r="BQP86" s="56"/>
      <c r="BQZ86" s="56"/>
      <c r="BRJ86" s="56"/>
      <c r="BRT86" s="56"/>
      <c r="BSD86" s="56"/>
      <c r="BSN86" s="56"/>
      <c r="BSX86" s="56"/>
      <c r="BTH86" s="56"/>
      <c r="BTR86" s="56"/>
      <c r="BUB86" s="56"/>
      <c r="BUL86" s="56"/>
      <c r="BUV86" s="56"/>
      <c r="BVF86" s="56"/>
      <c r="BVP86" s="56"/>
      <c r="BVZ86" s="56"/>
      <c r="BWJ86" s="56"/>
      <c r="BWT86" s="56"/>
      <c r="BXD86" s="56"/>
      <c r="BXN86" s="56"/>
      <c r="BXX86" s="56"/>
      <c r="BYH86" s="56"/>
      <c r="BYR86" s="56"/>
      <c r="BZB86" s="56"/>
      <c r="BZL86" s="56"/>
      <c r="BZV86" s="56"/>
      <c r="CAF86" s="56"/>
      <c r="CAP86" s="56"/>
      <c r="CAZ86" s="56"/>
      <c r="CBJ86" s="56"/>
      <c r="CBT86" s="56"/>
      <c r="CCD86" s="56"/>
      <c r="CCN86" s="56"/>
      <c r="CCX86" s="56"/>
      <c r="CDH86" s="56"/>
      <c r="CDR86" s="56"/>
      <c r="CEB86" s="56"/>
      <c r="CEL86" s="56"/>
      <c r="CEV86" s="56"/>
      <c r="CFF86" s="56"/>
      <c r="CFP86" s="56"/>
      <c r="CFZ86" s="56"/>
      <c r="CGJ86" s="56"/>
      <c r="CGT86" s="56"/>
      <c r="CHD86" s="56"/>
      <c r="CHN86" s="56"/>
      <c r="CHX86" s="56"/>
      <c r="CIH86" s="56"/>
      <c r="CIR86" s="56"/>
      <c r="CJB86" s="56"/>
      <c r="CJL86" s="56"/>
      <c r="CJV86" s="56"/>
      <c r="CKF86" s="56"/>
      <c r="CKP86" s="56"/>
      <c r="CKZ86" s="56"/>
      <c r="CLJ86" s="56"/>
      <c r="CLT86" s="56"/>
      <c r="CMD86" s="56"/>
      <c r="CMN86" s="56"/>
      <c r="CMX86" s="56"/>
      <c r="CNH86" s="56"/>
      <c r="CNR86" s="56"/>
      <c r="COB86" s="56"/>
      <c r="COL86" s="56"/>
      <c r="COV86" s="56"/>
      <c r="CPF86" s="56"/>
      <c r="CPP86" s="56"/>
      <c r="CPZ86" s="56"/>
      <c r="CQJ86" s="56"/>
      <c r="CQT86" s="56"/>
      <c r="CRD86" s="56"/>
      <c r="CRN86" s="56"/>
      <c r="CRX86" s="56"/>
      <c r="CSH86" s="56"/>
      <c r="CSR86" s="56"/>
      <c r="CTB86" s="56"/>
      <c r="CTL86" s="56"/>
      <c r="CTV86" s="56"/>
    </row>
    <row r="87" s="42" customFormat="1" customHeight="1" spans="1:1020 1030:2040 2050:2570">
      <c r="A87" s="51"/>
      <c r="B87" s="52"/>
      <c r="C87" s="52"/>
      <c r="D87" s="52"/>
      <c r="E87" s="52"/>
      <c r="F87" s="53" t="str">
        <f>IFERROR(VLOOKUP(E87,日报!E:G,2,0),"")</f>
        <v/>
      </c>
      <c r="G87" s="52"/>
      <c r="H87" s="54" t="str">
        <f>IFERROR(VLOOKUP(E87,日报!E:H,4,0),"")</f>
        <v/>
      </c>
      <c r="I87" s="54" t="str">
        <f>IFERROR(VLOOKUP(E87,日报!E:G,3,0),"")</f>
        <v/>
      </c>
      <c r="J87" s="52"/>
      <c r="K87" s="55" t="str">
        <f t="shared" si="1"/>
        <v/>
      </c>
      <c r="T87" s="56"/>
      <c r="AD87" s="56"/>
      <c r="AN87" s="56"/>
      <c r="AX87" s="56"/>
      <c r="BH87" s="56"/>
      <c r="BR87" s="56"/>
      <c r="CB87" s="56"/>
      <c r="CL87" s="56"/>
      <c r="CV87" s="56"/>
      <c r="DF87" s="56"/>
      <c r="DP87" s="56"/>
      <c r="DZ87" s="56"/>
      <c r="EJ87" s="56"/>
      <c r="ET87" s="56"/>
      <c r="FD87" s="56"/>
      <c r="FN87" s="56"/>
      <c r="FX87" s="56"/>
      <c r="GH87" s="56"/>
      <c r="GR87" s="56"/>
      <c r="HB87" s="56"/>
      <c r="HL87" s="56"/>
      <c r="HV87" s="56"/>
      <c r="IF87" s="56"/>
      <c r="IP87" s="56"/>
      <c r="IZ87" s="56"/>
      <c r="JJ87" s="56"/>
      <c r="JT87" s="56"/>
      <c r="KD87" s="56"/>
      <c r="KN87" s="56"/>
      <c r="KX87" s="56"/>
      <c r="LH87" s="56"/>
      <c r="LR87" s="56"/>
      <c r="MB87" s="56"/>
      <c r="ML87" s="56"/>
      <c r="MV87" s="56"/>
      <c r="NF87" s="56"/>
      <c r="NP87" s="56"/>
      <c r="NZ87" s="56"/>
      <c r="OJ87" s="56"/>
      <c r="OT87" s="56"/>
      <c r="PD87" s="56"/>
      <c r="PN87" s="56"/>
      <c r="PX87" s="56"/>
      <c r="QH87" s="56"/>
      <c r="QR87" s="56"/>
      <c r="RB87" s="56"/>
      <c r="RL87" s="56"/>
      <c r="RV87" s="56"/>
      <c r="SF87" s="56"/>
      <c r="SP87" s="56"/>
      <c r="SZ87" s="56"/>
      <c r="TJ87" s="56"/>
      <c r="TT87" s="56"/>
      <c r="UD87" s="56"/>
      <c r="UN87" s="56"/>
      <c r="UX87" s="56"/>
      <c r="VH87" s="56"/>
      <c r="VR87" s="56"/>
      <c r="WB87" s="56"/>
      <c r="WL87" s="56"/>
      <c r="WV87" s="56"/>
      <c r="XF87" s="56"/>
      <c r="XP87" s="56"/>
      <c r="XZ87" s="56"/>
      <c r="YJ87" s="56"/>
      <c r="YT87" s="56"/>
      <c r="ZD87" s="56"/>
      <c r="ZN87" s="56"/>
      <c r="ZX87" s="56"/>
      <c r="AAH87" s="56"/>
      <c r="AAR87" s="56"/>
      <c r="ABB87" s="56"/>
      <c r="ABL87" s="56"/>
      <c r="ABV87" s="56"/>
      <c r="ACF87" s="56"/>
      <c r="ACP87" s="56"/>
      <c r="ACZ87" s="56"/>
      <c r="ADJ87" s="56"/>
      <c r="ADT87" s="56"/>
      <c r="AED87" s="56"/>
      <c r="AEN87" s="56"/>
      <c r="AEX87" s="56"/>
      <c r="AFH87" s="56"/>
      <c r="AFR87" s="56"/>
      <c r="AGB87" s="56"/>
      <c r="AGL87" s="56"/>
      <c r="AGV87" s="56"/>
      <c r="AHF87" s="56"/>
      <c r="AHP87" s="56"/>
      <c r="AHZ87" s="56"/>
      <c r="AIJ87" s="56"/>
      <c r="AIT87" s="56"/>
      <c r="AJD87" s="56"/>
      <c r="AJN87" s="56"/>
      <c r="AJX87" s="56"/>
      <c r="AKH87" s="56"/>
      <c r="AKR87" s="56"/>
      <c r="ALB87" s="56"/>
      <c r="ALL87" s="56"/>
      <c r="ALV87" s="56"/>
      <c r="AMF87" s="56"/>
      <c r="AMP87" s="56"/>
      <c r="AMZ87" s="56"/>
      <c r="ANJ87" s="56"/>
      <c r="ANT87" s="56"/>
      <c r="AOD87" s="56"/>
      <c r="AON87" s="56"/>
      <c r="AOX87" s="56"/>
      <c r="APH87" s="56"/>
      <c r="APR87" s="56"/>
      <c r="AQB87" s="56"/>
      <c r="AQL87" s="56"/>
      <c r="AQV87" s="56"/>
      <c r="ARF87" s="56"/>
      <c r="ARP87" s="56"/>
      <c r="ARZ87" s="56"/>
      <c r="ASJ87" s="56"/>
      <c r="AST87" s="56"/>
      <c r="ATD87" s="56"/>
      <c r="ATN87" s="56"/>
      <c r="ATX87" s="56"/>
      <c r="AUH87" s="56"/>
      <c r="AUR87" s="56"/>
      <c r="AVB87" s="56"/>
      <c r="AVL87" s="56"/>
      <c r="AVV87" s="56"/>
      <c r="AWF87" s="56"/>
      <c r="AWP87" s="56"/>
      <c r="AWZ87" s="56"/>
      <c r="AXJ87" s="56"/>
      <c r="AXT87" s="56"/>
      <c r="AYD87" s="56"/>
      <c r="AYN87" s="56"/>
      <c r="AYX87" s="56"/>
      <c r="AZH87" s="56"/>
      <c r="AZR87" s="56"/>
      <c r="BAB87" s="56"/>
      <c r="BAL87" s="56"/>
      <c r="BAV87" s="56"/>
      <c r="BBF87" s="56"/>
      <c r="BBP87" s="56"/>
      <c r="BBZ87" s="56"/>
      <c r="BCJ87" s="56"/>
      <c r="BCT87" s="56"/>
      <c r="BDD87" s="56"/>
      <c r="BDN87" s="56"/>
      <c r="BDX87" s="56"/>
      <c r="BEH87" s="56"/>
      <c r="BER87" s="56"/>
      <c r="BFB87" s="56"/>
      <c r="BFL87" s="56"/>
      <c r="BFV87" s="56"/>
      <c r="BGF87" s="56"/>
      <c r="BGP87" s="56"/>
      <c r="BGZ87" s="56"/>
      <c r="BHJ87" s="56"/>
      <c r="BHT87" s="56"/>
      <c r="BID87" s="56"/>
      <c r="BIN87" s="56"/>
      <c r="BIX87" s="56"/>
      <c r="BJH87" s="56"/>
      <c r="BJR87" s="56"/>
      <c r="BKB87" s="56"/>
      <c r="BKL87" s="56"/>
      <c r="BKV87" s="56"/>
      <c r="BLF87" s="56"/>
      <c r="BLP87" s="56"/>
      <c r="BLZ87" s="56"/>
      <c r="BMJ87" s="56"/>
      <c r="BMT87" s="56"/>
      <c r="BND87" s="56"/>
      <c r="BNN87" s="56"/>
      <c r="BNX87" s="56"/>
      <c r="BOH87" s="56"/>
      <c r="BOR87" s="56"/>
      <c r="BPB87" s="56"/>
      <c r="BPL87" s="56"/>
      <c r="BPV87" s="56"/>
      <c r="BQF87" s="56"/>
      <c r="BQP87" s="56"/>
      <c r="BQZ87" s="56"/>
      <c r="BRJ87" s="56"/>
      <c r="BRT87" s="56"/>
      <c r="BSD87" s="56"/>
      <c r="BSN87" s="56"/>
      <c r="BSX87" s="56"/>
      <c r="BTH87" s="56"/>
      <c r="BTR87" s="56"/>
      <c r="BUB87" s="56"/>
      <c r="BUL87" s="56"/>
      <c r="BUV87" s="56"/>
      <c r="BVF87" s="56"/>
      <c r="BVP87" s="56"/>
      <c r="BVZ87" s="56"/>
      <c r="BWJ87" s="56"/>
      <c r="BWT87" s="56"/>
      <c r="BXD87" s="56"/>
      <c r="BXN87" s="56"/>
      <c r="BXX87" s="56"/>
      <c r="BYH87" s="56"/>
      <c r="BYR87" s="56"/>
      <c r="BZB87" s="56"/>
      <c r="BZL87" s="56"/>
      <c r="BZV87" s="56"/>
      <c r="CAF87" s="56"/>
      <c r="CAP87" s="56"/>
      <c r="CAZ87" s="56"/>
      <c r="CBJ87" s="56"/>
      <c r="CBT87" s="56"/>
      <c r="CCD87" s="56"/>
      <c r="CCN87" s="56"/>
      <c r="CCX87" s="56"/>
      <c r="CDH87" s="56"/>
      <c r="CDR87" s="56"/>
      <c r="CEB87" s="56"/>
      <c r="CEL87" s="56"/>
      <c r="CEV87" s="56"/>
      <c r="CFF87" s="56"/>
      <c r="CFP87" s="56"/>
      <c r="CFZ87" s="56"/>
      <c r="CGJ87" s="56"/>
      <c r="CGT87" s="56"/>
      <c r="CHD87" s="56"/>
      <c r="CHN87" s="56"/>
      <c r="CHX87" s="56"/>
      <c r="CIH87" s="56"/>
      <c r="CIR87" s="56"/>
      <c r="CJB87" s="56"/>
      <c r="CJL87" s="56"/>
      <c r="CJV87" s="56"/>
      <c r="CKF87" s="56"/>
      <c r="CKP87" s="56"/>
      <c r="CKZ87" s="56"/>
      <c r="CLJ87" s="56"/>
      <c r="CLT87" s="56"/>
      <c r="CMD87" s="56"/>
      <c r="CMN87" s="56"/>
      <c r="CMX87" s="56"/>
      <c r="CNH87" s="56"/>
      <c r="CNR87" s="56"/>
      <c r="COB87" s="56"/>
      <c r="COL87" s="56"/>
      <c r="COV87" s="56"/>
      <c r="CPF87" s="56"/>
      <c r="CPP87" s="56"/>
      <c r="CPZ87" s="56"/>
      <c r="CQJ87" s="56"/>
      <c r="CQT87" s="56"/>
      <c r="CRD87" s="56"/>
      <c r="CRN87" s="56"/>
      <c r="CRX87" s="56"/>
      <c r="CSH87" s="56"/>
      <c r="CSR87" s="56"/>
      <c r="CTB87" s="56"/>
      <c r="CTL87" s="56"/>
      <c r="CTV87" s="56"/>
    </row>
    <row r="88" s="42" customFormat="1" customHeight="1" spans="1:1020 1030:2040 2050:2570">
      <c r="A88" s="51"/>
      <c r="B88" s="52"/>
      <c r="C88" s="52"/>
      <c r="D88" s="52"/>
      <c r="E88" s="52"/>
      <c r="F88" s="53" t="str">
        <f>IFERROR(VLOOKUP(E88,日报!E:G,2,0),"")</f>
        <v/>
      </c>
      <c r="G88" s="52"/>
      <c r="H88" s="54" t="str">
        <f>IFERROR(VLOOKUP(E88,日报!E:H,4,0),"")</f>
        <v/>
      </c>
      <c r="I88" s="54" t="str">
        <f>IFERROR(VLOOKUP(E88,日报!E:G,3,0),"")</f>
        <v/>
      </c>
      <c r="J88" s="52"/>
      <c r="K88" s="55" t="str">
        <f t="shared" si="1"/>
        <v/>
      </c>
      <c r="T88" s="56"/>
      <c r="AD88" s="56"/>
      <c r="AN88" s="56"/>
      <c r="AX88" s="56"/>
      <c r="BH88" s="56"/>
      <c r="BR88" s="56"/>
      <c r="CB88" s="56"/>
      <c r="CL88" s="56"/>
      <c r="CV88" s="56"/>
      <c r="DF88" s="56"/>
      <c r="DP88" s="56"/>
      <c r="DZ88" s="56"/>
      <c r="EJ88" s="56"/>
      <c r="ET88" s="56"/>
      <c r="FD88" s="56"/>
      <c r="FN88" s="56"/>
      <c r="FX88" s="56"/>
      <c r="GH88" s="56"/>
      <c r="GR88" s="56"/>
      <c r="HB88" s="56"/>
      <c r="HL88" s="56"/>
      <c r="HV88" s="56"/>
      <c r="IF88" s="56"/>
      <c r="IP88" s="56"/>
      <c r="IZ88" s="56"/>
      <c r="JJ88" s="56"/>
      <c r="JT88" s="56"/>
      <c r="KD88" s="56"/>
      <c r="KN88" s="56"/>
      <c r="KX88" s="56"/>
      <c r="LH88" s="56"/>
      <c r="LR88" s="56"/>
      <c r="MB88" s="56"/>
      <c r="ML88" s="56"/>
      <c r="MV88" s="56"/>
      <c r="NF88" s="56"/>
      <c r="NP88" s="56"/>
      <c r="NZ88" s="56"/>
      <c r="OJ88" s="56"/>
      <c r="OT88" s="56"/>
      <c r="PD88" s="56"/>
      <c r="PN88" s="56"/>
      <c r="PX88" s="56"/>
      <c r="QH88" s="56"/>
      <c r="QR88" s="56"/>
      <c r="RB88" s="56"/>
      <c r="RL88" s="56"/>
      <c r="RV88" s="56"/>
      <c r="SF88" s="56"/>
      <c r="SP88" s="56"/>
      <c r="SZ88" s="56"/>
      <c r="TJ88" s="56"/>
      <c r="TT88" s="56"/>
      <c r="UD88" s="56"/>
      <c r="UN88" s="56"/>
      <c r="UX88" s="56"/>
      <c r="VH88" s="56"/>
      <c r="VR88" s="56"/>
      <c r="WB88" s="56"/>
      <c r="WL88" s="56"/>
      <c r="WV88" s="56"/>
      <c r="XF88" s="56"/>
      <c r="XP88" s="56"/>
      <c r="XZ88" s="56"/>
      <c r="YJ88" s="56"/>
      <c r="YT88" s="56"/>
      <c r="ZD88" s="56"/>
      <c r="ZN88" s="56"/>
      <c r="ZX88" s="56"/>
      <c r="AAH88" s="56"/>
      <c r="AAR88" s="56"/>
      <c r="ABB88" s="56"/>
      <c r="ABL88" s="56"/>
      <c r="ABV88" s="56"/>
      <c r="ACF88" s="56"/>
      <c r="ACP88" s="56"/>
      <c r="ACZ88" s="56"/>
      <c r="ADJ88" s="56"/>
      <c r="ADT88" s="56"/>
      <c r="AED88" s="56"/>
      <c r="AEN88" s="56"/>
      <c r="AEX88" s="56"/>
      <c r="AFH88" s="56"/>
      <c r="AFR88" s="56"/>
      <c r="AGB88" s="56"/>
      <c r="AGL88" s="56"/>
      <c r="AGV88" s="56"/>
      <c r="AHF88" s="56"/>
      <c r="AHP88" s="56"/>
      <c r="AHZ88" s="56"/>
      <c r="AIJ88" s="56"/>
      <c r="AIT88" s="56"/>
      <c r="AJD88" s="56"/>
      <c r="AJN88" s="56"/>
      <c r="AJX88" s="56"/>
      <c r="AKH88" s="56"/>
      <c r="AKR88" s="56"/>
      <c r="ALB88" s="56"/>
      <c r="ALL88" s="56"/>
      <c r="ALV88" s="56"/>
      <c r="AMF88" s="56"/>
      <c r="AMP88" s="56"/>
      <c r="AMZ88" s="56"/>
      <c r="ANJ88" s="56"/>
      <c r="ANT88" s="56"/>
      <c r="AOD88" s="56"/>
      <c r="AON88" s="56"/>
      <c r="AOX88" s="56"/>
      <c r="APH88" s="56"/>
      <c r="APR88" s="56"/>
      <c r="AQB88" s="56"/>
      <c r="AQL88" s="56"/>
      <c r="AQV88" s="56"/>
      <c r="ARF88" s="56"/>
      <c r="ARP88" s="56"/>
      <c r="ARZ88" s="56"/>
      <c r="ASJ88" s="56"/>
      <c r="AST88" s="56"/>
      <c r="ATD88" s="56"/>
      <c r="ATN88" s="56"/>
      <c r="ATX88" s="56"/>
      <c r="AUH88" s="56"/>
      <c r="AUR88" s="56"/>
      <c r="AVB88" s="56"/>
      <c r="AVL88" s="56"/>
      <c r="AVV88" s="56"/>
      <c r="AWF88" s="56"/>
      <c r="AWP88" s="56"/>
      <c r="AWZ88" s="56"/>
      <c r="AXJ88" s="56"/>
      <c r="AXT88" s="56"/>
      <c r="AYD88" s="56"/>
      <c r="AYN88" s="56"/>
      <c r="AYX88" s="56"/>
      <c r="AZH88" s="56"/>
      <c r="AZR88" s="56"/>
      <c r="BAB88" s="56"/>
      <c r="BAL88" s="56"/>
      <c r="BAV88" s="56"/>
      <c r="BBF88" s="56"/>
      <c r="BBP88" s="56"/>
      <c r="BBZ88" s="56"/>
      <c r="BCJ88" s="56"/>
      <c r="BCT88" s="56"/>
      <c r="BDD88" s="56"/>
      <c r="BDN88" s="56"/>
      <c r="BDX88" s="56"/>
      <c r="BEH88" s="56"/>
      <c r="BER88" s="56"/>
      <c r="BFB88" s="56"/>
      <c r="BFL88" s="56"/>
      <c r="BFV88" s="56"/>
      <c r="BGF88" s="56"/>
      <c r="BGP88" s="56"/>
      <c r="BGZ88" s="56"/>
      <c r="BHJ88" s="56"/>
      <c r="BHT88" s="56"/>
      <c r="BID88" s="56"/>
      <c r="BIN88" s="56"/>
      <c r="BIX88" s="56"/>
      <c r="BJH88" s="56"/>
      <c r="BJR88" s="56"/>
      <c r="BKB88" s="56"/>
      <c r="BKL88" s="56"/>
      <c r="BKV88" s="56"/>
      <c r="BLF88" s="56"/>
      <c r="BLP88" s="56"/>
      <c r="BLZ88" s="56"/>
      <c r="BMJ88" s="56"/>
      <c r="BMT88" s="56"/>
      <c r="BND88" s="56"/>
      <c r="BNN88" s="56"/>
      <c r="BNX88" s="56"/>
      <c r="BOH88" s="56"/>
      <c r="BOR88" s="56"/>
      <c r="BPB88" s="56"/>
      <c r="BPL88" s="56"/>
      <c r="BPV88" s="56"/>
      <c r="BQF88" s="56"/>
      <c r="BQP88" s="56"/>
      <c r="BQZ88" s="56"/>
      <c r="BRJ88" s="56"/>
      <c r="BRT88" s="56"/>
      <c r="BSD88" s="56"/>
      <c r="BSN88" s="56"/>
      <c r="BSX88" s="56"/>
      <c r="BTH88" s="56"/>
      <c r="BTR88" s="56"/>
      <c r="BUB88" s="56"/>
      <c r="BUL88" s="56"/>
      <c r="BUV88" s="56"/>
      <c r="BVF88" s="56"/>
      <c r="BVP88" s="56"/>
      <c r="BVZ88" s="56"/>
      <c r="BWJ88" s="56"/>
      <c r="BWT88" s="56"/>
      <c r="BXD88" s="56"/>
      <c r="BXN88" s="56"/>
      <c r="BXX88" s="56"/>
      <c r="BYH88" s="56"/>
      <c r="BYR88" s="56"/>
      <c r="BZB88" s="56"/>
      <c r="BZL88" s="56"/>
      <c r="BZV88" s="56"/>
      <c r="CAF88" s="56"/>
      <c r="CAP88" s="56"/>
      <c r="CAZ88" s="56"/>
      <c r="CBJ88" s="56"/>
      <c r="CBT88" s="56"/>
      <c r="CCD88" s="56"/>
      <c r="CCN88" s="56"/>
      <c r="CCX88" s="56"/>
      <c r="CDH88" s="56"/>
      <c r="CDR88" s="56"/>
      <c r="CEB88" s="56"/>
      <c r="CEL88" s="56"/>
      <c r="CEV88" s="56"/>
      <c r="CFF88" s="56"/>
      <c r="CFP88" s="56"/>
      <c r="CFZ88" s="56"/>
      <c r="CGJ88" s="56"/>
      <c r="CGT88" s="56"/>
      <c r="CHD88" s="56"/>
      <c r="CHN88" s="56"/>
      <c r="CHX88" s="56"/>
      <c r="CIH88" s="56"/>
      <c r="CIR88" s="56"/>
      <c r="CJB88" s="56"/>
      <c r="CJL88" s="56"/>
      <c r="CJV88" s="56"/>
      <c r="CKF88" s="56"/>
      <c r="CKP88" s="56"/>
      <c r="CKZ88" s="56"/>
      <c r="CLJ88" s="56"/>
      <c r="CLT88" s="56"/>
      <c r="CMD88" s="56"/>
      <c r="CMN88" s="56"/>
      <c r="CMX88" s="56"/>
      <c r="CNH88" s="56"/>
      <c r="CNR88" s="56"/>
      <c r="COB88" s="56"/>
      <c r="COL88" s="56"/>
      <c r="COV88" s="56"/>
      <c r="CPF88" s="56"/>
      <c r="CPP88" s="56"/>
      <c r="CPZ88" s="56"/>
      <c r="CQJ88" s="56"/>
      <c r="CQT88" s="56"/>
      <c r="CRD88" s="56"/>
      <c r="CRN88" s="56"/>
      <c r="CRX88" s="56"/>
      <c r="CSH88" s="56"/>
      <c r="CSR88" s="56"/>
      <c r="CTB88" s="56"/>
      <c r="CTL88" s="56"/>
      <c r="CTV88" s="56"/>
    </row>
    <row r="89" s="42" customFormat="1" customHeight="1" spans="1:1020 1030:2040 2050:2570">
      <c r="A89" s="51"/>
      <c r="B89" s="52"/>
      <c r="C89" s="52"/>
      <c r="D89" s="52"/>
      <c r="E89" s="52"/>
      <c r="F89" s="53" t="str">
        <f>IFERROR(VLOOKUP(E89,日报!E:G,2,0),"")</f>
        <v/>
      </c>
      <c r="G89" s="52"/>
      <c r="H89" s="54" t="str">
        <f>IFERROR(VLOOKUP(E89,日报!E:H,4,0),"")</f>
        <v/>
      </c>
      <c r="I89" s="54" t="str">
        <f>IFERROR(VLOOKUP(E89,日报!E:G,3,0),"")</f>
        <v/>
      </c>
      <c r="J89" s="52"/>
      <c r="K89" s="55" t="str">
        <f t="shared" si="1"/>
        <v/>
      </c>
      <c r="T89" s="56"/>
      <c r="AD89" s="56"/>
      <c r="AN89" s="56"/>
      <c r="AX89" s="56"/>
      <c r="BH89" s="56"/>
      <c r="BR89" s="56"/>
      <c r="CB89" s="56"/>
      <c r="CL89" s="56"/>
      <c r="CV89" s="56"/>
      <c r="DF89" s="56"/>
      <c r="DP89" s="56"/>
      <c r="DZ89" s="56"/>
      <c r="EJ89" s="56"/>
      <c r="ET89" s="56"/>
      <c r="FD89" s="56"/>
      <c r="FN89" s="56"/>
      <c r="FX89" s="56"/>
      <c r="GH89" s="56"/>
      <c r="GR89" s="56"/>
      <c r="HB89" s="56"/>
      <c r="HL89" s="56"/>
      <c r="HV89" s="56"/>
      <c r="IF89" s="56"/>
      <c r="IP89" s="56"/>
      <c r="IZ89" s="56"/>
      <c r="JJ89" s="56"/>
      <c r="JT89" s="56"/>
      <c r="KD89" s="56"/>
      <c r="KN89" s="56"/>
      <c r="KX89" s="56"/>
      <c r="LH89" s="56"/>
      <c r="LR89" s="56"/>
      <c r="MB89" s="56"/>
      <c r="ML89" s="56"/>
      <c r="MV89" s="56"/>
      <c r="NF89" s="56"/>
      <c r="NP89" s="56"/>
      <c r="NZ89" s="56"/>
      <c r="OJ89" s="56"/>
      <c r="OT89" s="56"/>
      <c r="PD89" s="56"/>
      <c r="PN89" s="56"/>
      <c r="PX89" s="56"/>
      <c r="QH89" s="56"/>
      <c r="QR89" s="56"/>
      <c r="RB89" s="56"/>
      <c r="RL89" s="56"/>
      <c r="RV89" s="56"/>
      <c r="SF89" s="56"/>
      <c r="SP89" s="56"/>
      <c r="SZ89" s="56"/>
      <c r="TJ89" s="56"/>
      <c r="TT89" s="56"/>
      <c r="UD89" s="56"/>
      <c r="UN89" s="56"/>
      <c r="UX89" s="56"/>
      <c r="VH89" s="56"/>
      <c r="VR89" s="56"/>
      <c r="WB89" s="56"/>
      <c r="WL89" s="56"/>
      <c r="WV89" s="56"/>
      <c r="XF89" s="56"/>
      <c r="XP89" s="56"/>
      <c r="XZ89" s="56"/>
      <c r="YJ89" s="56"/>
      <c r="YT89" s="56"/>
      <c r="ZD89" s="56"/>
      <c r="ZN89" s="56"/>
      <c r="ZX89" s="56"/>
      <c r="AAH89" s="56"/>
      <c r="AAR89" s="56"/>
      <c r="ABB89" s="56"/>
      <c r="ABL89" s="56"/>
      <c r="ABV89" s="56"/>
      <c r="ACF89" s="56"/>
      <c r="ACP89" s="56"/>
      <c r="ACZ89" s="56"/>
      <c r="ADJ89" s="56"/>
      <c r="ADT89" s="56"/>
      <c r="AED89" s="56"/>
      <c r="AEN89" s="56"/>
      <c r="AEX89" s="56"/>
      <c r="AFH89" s="56"/>
      <c r="AFR89" s="56"/>
      <c r="AGB89" s="56"/>
      <c r="AGL89" s="56"/>
      <c r="AGV89" s="56"/>
      <c r="AHF89" s="56"/>
      <c r="AHP89" s="56"/>
      <c r="AHZ89" s="56"/>
      <c r="AIJ89" s="56"/>
      <c r="AIT89" s="56"/>
      <c r="AJD89" s="56"/>
      <c r="AJN89" s="56"/>
      <c r="AJX89" s="56"/>
      <c r="AKH89" s="56"/>
      <c r="AKR89" s="56"/>
      <c r="ALB89" s="56"/>
      <c r="ALL89" s="56"/>
      <c r="ALV89" s="56"/>
      <c r="AMF89" s="56"/>
      <c r="AMP89" s="56"/>
      <c r="AMZ89" s="56"/>
      <c r="ANJ89" s="56"/>
      <c r="ANT89" s="56"/>
      <c r="AOD89" s="56"/>
      <c r="AON89" s="56"/>
      <c r="AOX89" s="56"/>
      <c r="APH89" s="56"/>
      <c r="APR89" s="56"/>
      <c r="AQB89" s="56"/>
      <c r="AQL89" s="56"/>
      <c r="AQV89" s="56"/>
      <c r="ARF89" s="56"/>
      <c r="ARP89" s="56"/>
      <c r="ARZ89" s="56"/>
      <c r="ASJ89" s="56"/>
      <c r="AST89" s="56"/>
      <c r="ATD89" s="56"/>
      <c r="ATN89" s="56"/>
      <c r="ATX89" s="56"/>
      <c r="AUH89" s="56"/>
      <c r="AUR89" s="56"/>
      <c r="AVB89" s="56"/>
      <c r="AVL89" s="56"/>
      <c r="AVV89" s="56"/>
      <c r="AWF89" s="56"/>
      <c r="AWP89" s="56"/>
      <c r="AWZ89" s="56"/>
      <c r="AXJ89" s="56"/>
      <c r="AXT89" s="56"/>
      <c r="AYD89" s="56"/>
      <c r="AYN89" s="56"/>
      <c r="AYX89" s="56"/>
      <c r="AZH89" s="56"/>
      <c r="AZR89" s="56"/>
      <c r="BAB89" s="56"/>
      <c r="BAL89" s="56"/>
      <c r="BAV89" s="56"/>
      <c r="BBF89" s="56"/>
      <c r="BBP89" s="56"/>
      <c r="BBZ89" s="56"/>
      <c r="BCJ89" s="56"/>
      <c r="BCT89" s="56"/>
      <c r="BDD89" s="56"/>
      <c r="BDN89" s="56"/>
      <c r="BDX89" s="56"/>
      <c r="BEH89" s="56"/>
      <c r="BER89" s="56"/>
      <c r="BFB89" s="56"/>
      <c r="BFL89" s="56"/>
      <c r="BFV89" s="56"/>
      <c r="BGF89" s="56"/>
      <c r="BGP89" s="56"/>
      <c r="BGZ89" s="56"/>
      <c r="BHJ89" s="56"/>
      <c r="BHT89" s="56"/>
      <c r="BID89" s="56"/>
      <c r="BIN89" s="56"/>
      <c r="BIX89" s="56"/>
      <c r="BJH89" s="56"/>
      <c r="BJR89" s="56"/>
      <c r="BKB89" s="56"/>
      <c r="BKL89" s="56"/>
      <c r="BKV89" s="56"/>
      <c r="BLF89" s="56"/>
      <c r="BLP89" s="56"/>
      <c r="BLZ89" s="56"/>
      <c r="BMJ89" s="56"/>
      <c r="BMT89" s="56"/>
      <c r="BND89" s="56"/>
      <c r="BNN89" s="56"/>
      <c r="BNX89" s="56"/>
      <c r="BOH89" s="56"/>
      <c r="BOR89" s="56"/>
      <c r="BPB89" s="56"/>
      <c r="BPL89" s="56"/>
      <c r="BPV89" s="56"/>
      <c r="BQF89" s="56"/>
      <c r="BQP89" s="56"/>
      <c r="BQZ89" s="56"/>
      <c r="BRJ89" s="56"/>
      <c r="BRT89" s="56"/>
      <c r="BSD89" s="56"/>
      <c r="BSN89" s="56"/>
      <c r="BSX89" s="56"/>
      <c r="BTH89" s="56"/>
      <c r="BTR89" s="56"/>
      <c r="BUB89" s="56"/>
      <c r="BUL89" s="56"/>
      <c r="BUV89" s="56"/>
      <c r="BVF89" s="56"/>
      <c r="BVP89" s="56"/>
      <c r="BVZ89" s="56"/>
      <c r="BWJ89" s="56"/>
      <c r="BWT89" s="56"/>
      <c r="BXD89" s="56"/>
      <c r="BXN89" s="56"/>
      <c r="BXX89" s="56"/>
      <c r="BYH89" s="56"/>
      <c r="BYR89" s="56"/>
      <c r="BZB89" s="56"/>
      <c r="BZL89" s="56"/>
      <c r="BZV89" s="56"/>
      <c r="CAF89" s="56"/>
      <c r="CAP89" s="56"/>
      <c r="CAZ89" s="56"/>
      <c r="CBJ89" s="56"/>
      <c r="CBT89" s="56"/>
      <c r="CCD89" s="56"/>
      <c r="CCN89" s="56"/>
      <c r="CCX89" s="56"/>
      <c r="CDH89" s="56"/>
      <c r="CDR89" s="56"/>
      <c r="CEB89" s="56"/>
      <c r="CEL89" s="56"/>
      <c r="CEV89" s="56"/>
      <c r="CFF89" s="56"/>
      <c r="CFP89" s="56"/>
      <c r="CFZ89" s="56"/>
      <c r="CGJ89" s="56"/>
      <c r="CGT89" s="56"/>
      <c r="CHD89" s="56"/>
      <c r="CHN89" s="56"/>
      <c r="CHX89" s="56"/>
      <c r="CIH89" s="56"/>
      <c r="CIR89" s="56"/>
      <c r="CJB89" s="56"/>
      <c r="CJL89" s="56"/>
      <c r="CJV89" s="56"/>
      <c r="CKF89" s="56"/>
      <c r="CKP89" s="56"/>
      <c r="CKZ89" s="56"/>
      <c r="CLJ89" s="56"/>
      <c r="CLT89" s="56"/>
      <c r="CMD89" s="56"/>
      <c r="CMN89" s="56"/>
      <c r="CMX89" s="56"/>
      <c r="CNH89" s="56"/>
      <c r="CNR89" s="56"/>
      <c r="COB89" s="56"/>
      <c r="COL89" s="56"/>
      <c r="COV89" s="56"/>
      <c r="CPF89" s="56"/>
      <c r="CPP89" s="56"/>
      <c r="CPZ89" s="56"/>
      <c r="CQJ89" s="56"/>
      <c r="CQT89" s="56"/>
      <c r="CRD89" s="56"/>
      <c r="CRN89" s="56"/>
      <c r="CRX89" s="56"/>
      <c r="CSH89" s="56"/>
      <c r="CSR89" s="56"/>
      <c r="CTB89" s="56"/>
      <c r="CTL89" s="56"/>
      <c r="CTV89" s="56"/>
    </row>
    <row r="90" s="42" customFormat="1" customHeight="1" spans="1:1020 1030:2040 2050:2570">
      <c r="A90" s="51"/>
      <c r="B90" s="52"/>
      <c r="C90" s="52"/>
      <c r="D90" s="52"/>
      <c r="E90" s="52"/>
      <c r="F90" s="53" t="str">
        <f>IFERROR(VLOOKUP(E90,日报!E:G,2,0),"")</f>
        <v/>
      </c>
      <c r="G90" s="52"/>
      <c r="H90" s="54" t="str">
        <f>IFERROR(VLOOKUP(E90,日报!E:H,4,0),"")</f>
        <v/>
      </c>
      <c r="I90" s="54" t="str">
        <f>IFERROR(VLOOKUP(E90,日报!E:G,3,0),"")</f>
        <v/>
      </c>
      <c r="J90" s="52"/>
      <c r="K90" s="55" t="str">
        <f t="shared" si="1"/>
        <v/>
      </c>
      <c r="T90" s="56"/>
      <c r="AD90" s="56"/>
      <c r="AN90" s="56"/>
      <c r="AX90" s="56"/>
      <c r="BH90" s="56"/>
      <c r="BR90" s="56"/>
      <c r="CB90" s="56"/>
      <c r="CL90" s="56"/>
      <c r="CV90" s="56"/>
      <c r="DF90" s="56"/>
      <c r="DP90" s="56"/>
      <c r="DZ90" s="56"/>
      <c r="EJ90" s="56"/>
      <c r="ET90" s="56"/>
      <c r="FD90" s="56"/>
      <c r="FN90" s="56"/>
      <c r="FX90" s="56"/>
      <c r="GH90" s="56"/>
      <c r="GR90" s="56"/>
      <c r="HB90" s="56"/>
      <c r="HL90" s="56"/>
      <c r="HV90" s="56"/>
      <c r="IF90" s="56"/>
      <c r="IP90" s="56"/>
      <c r="IZ90" s="56"/>
      <c r="JJ90" s="56"/>
      <c r="JT90" s="56"/>
      <c r="KD90" s="56"/>
      <c r="KN90" s="56"/>
      <c r="KX90" s="56"/>
      <c r="LH90" s="56"/>
      <c r="LR90" s="56"/>
      <c r="MB90" s="56"/>
      <c r="ML90" s="56"/>
      <c r="MV90" s="56"/>
      <c r="NF90" s="56"/>
      <c r="NP90" s="56"/>
      <c r="NZ90" s="56"/>
      <c r="OJ90" s="56"/>
      <c r="OT90" s="56"/>
      <c r="PD90" s="56"/>
      <c r="PN90" s="56"/>
      <c r="PX90" s="56"/>
      <c r="QH90" s="56"/>
      <c r="QR90" s="56"/>
      <c r="RB90" s="56"/>
      <c r="RL90" s="56"/>
      <c r="RV90" s="56"/>
      <c r="SF90" s="56"/>
      <c r="SP90" s="56"/>
      <c r="SZ90" s="56"/>
      <c r="TJ90" s="56"/>
      <c r="TT90" s="56"/>
      <c r="UD90" s="56"/>
      <c r="UN90" s="56"/>
      <c r="UX90" s="56"/>
      <c r="VH90" s="56"/>
      <c r="VR90" s="56"/>
      <c r="WB90" s="56"/>
      <c r="WL90" s="56"/>
      <c r="WV90" s="56"/>
      <c r="XF90" s="56"/>
      <c r="XP90" s="56"/>
      <c r="XZ90" s="56"/>
      <c r="YJ90" s="56"/>
      <c r="YT90" s="56"/>
      <c r="ZD90" s="56"/>
      <c r="ZN90" s="56"/>
      <c r="ZX90" s="56"/>
      <c r="AAH90" s="56"/>
      <c r="AAR90" s="56"/>
      <c r="ABB90" s="56"/>
      <c r="ABL90" s="56"/>
      <c r="ABV90" s="56"/>
      <c r="ACF90" s="56"/>
      <c r="ACP90" s="56"/>
      <c r="ACZ90" s="56"/>
      <c r="ADJ90" s="56"/>
      <c r="ADT90" s="56"/>
      <c r="AED90" s="56"/>
      <c r="AEN90" s="56"/>
      <c r="AEX90" s="56"/>
      <c r="AFH90" s="56"/>
      <c r="AFR90" s="56"/>
      <c r="AGB90" s="56"/>
      <c r="AGL90" s="56"/>
      <c r="AGV90" s="56"/>
      <c r="AHF90" s="56"/>
      <c r="AHP90" s="56"/>
      <c r="AHZ90" s="56"/>
      <c r="AIJ90" s="56"/>
      <c r="AIT90" s="56"/>
      <c r="AJD90" s="56"/>
      <c r="AJN90" s="56"/>
      <c r="AJX90" s="56"/>
      <c r="AKH90" s="56"/>
      <c r="AKR90" s="56"/>
      <c r="ALB90" s="56"/>
      <c r="ALL90" s="56"/>
      <c r="ALV90" s="56"/>
      <c r="AMF90" s="56"/>
      <c r="AMP90" s="56"/>
      <c r="AMZ90" s="56"/>
      <c r="ANJ90" s="56"/>
      <c r="ANT90" s="56"/>
      <c r="AOD90" s="56"/>
      <c r="AON90" s="56"/>
      <c r="AOX90" s="56"/>
      <c r="APH90" s="56"/>
      <c r="APR90" s="56"/>
      <c r="AQB90" s="56"/>
      <c r="AQL90" s="56"/>
      <c r="AQV90" s="56"/>
      <c r="ARF90" s="56"/>
      <c r="ARP90" s="56"/>
      <c r="ARZ90" s="56"/>
      <c r="ASJ90" s="56"/>
      <c r="AST90" s="56"/>
      <c r="ATD90" s="56"/>
      <c r="ATN90" s="56"/>
      <c r="ATX90" s="56"/>
      <c r="AUH90" s="56"/>
      <c r="AUR90" s="56"/>
      <c r="AVB90" s="56"/>
      <c r="AVL90" s="56"/>
      <c r="AVV90" s="56"/>
      <c r="AWF90" s="56"/>
      <c r="AWP90" s="56"/>
      <c r="AWZ90" s="56"/>
      <c r="AXJ90" s="56"/>
      <c r="AXT90" s="56"/>
      <c r="AYD90" s="56"/>
      <c r="AYN90" s="56"/>
      <c r="AYX90" s="56"/>
      <c r="AZH90" s="56"/>
      <c r="AZR90" s="56"/>
      <c r="BAB90" s="56"/>
      <c r="BAL90" s="56"/>
      <c r="BAV90" s="56"/>
      <c r="BBF90" s="56"/>
      <c r="BBP90" s="56"/>
      <c r="BBZ90" s="56"/>
      <c r="BCJ90" s="56"/>
      <c r="BCT90" s="56"/>
      <c r="BDD90" s="56"/>
      <c r="BDN90" s="56"/>
      <c r="BDX90" s="56"/>
      <c r="BEH90" s="56"/>
      <c r="BER90" s="56"/>
      <c r="BFB90" s="56"/>
      <c r="BFL90" s="56"/>
      <c r="BFV90" s="56"/>
      <c r="BGF90" s="56"/>
      <c r="BGP90" s="56"/>
      <c r="BGZ90" s="56"/>
      <c r="BHJ90" s="56"/>
      <c r="BHT90" s="56"/>
      <c r="BID90" s="56"/>
      <c r="BIN90" s="56"/>
      <c r="BIX90" s="56"/>
      <c r="BJH90" s="56"/>
      <c r="BJR90" s="56"/>
      <c r="BKB90" s="56"/>
      <c r="BKL90" s="56"/>
      <c r="BKV90" s="56"/>
      <c r="BLF90" s="56"/>
      <c r="BLP90" s="56"/>
      <c r="BLZ90" s="56"/>
      <c r="BMJ90" s="56"/>
      <c r="BMT90" s="56"/>
      <c r="BND90" s="56"/>
      <c r="BNN90" s="56"/>
      <c r="BNX90" s="56"/>
      <c r="BOH90" s="56"/>
      <c r="BOR90" s="56"/>
      <c r="BPB90" s="56"/>
      <c r="BPL90" s="56"/>
      <c r="BPV90" s="56"/>
      <c r="BQF90" s="56"/>
      <c r="BQP90" s="56"/>
      <c r="BQZ90" s="56"/>
      <c r="BRJ90" s="56"/>
      <c r="BRT90" s="56"/>
      <c r="BSD90" s="56"/>
      <c r="BSN90" s="56"/>
      <c r="BSX90" s="56"/>
      <c r="BTH90" s="56"/>
      <c r="BTR90" s="56"/>
      <c r="BUB90" s="56"/>
      <c r="BUL90" s="56"/>
      <c r="BUV90" s="56"/>
      <c r="BVF90" s="56"/>
      <c r="BVP90" s="56"/>
      <c r="BVZ90" s="56"/>
      <c r="BWJ90" s="56"/>
      <c r="BWT90" s="56"/>
      <c r="BXD90" s="56"/>
      <c r="BXN90" s="56"/>
      <c r="BXX90" s="56"/>
      <c r="BYH90" s="56"/>
      <c r="BYR90" s="56"/>
      <c r="BZB90" s="56"/>
      <c r="BZL90" s="56"/>
      <c r="BZV90" s="56"/>
      <c r="CAF90" s="56"/>
      <c r="CAP90" s="56"/>
      <c r="CAZ90" s="56"/>
      <c r="CBJ90" s="56"/>
      <c r="CBT90" s="56"/>
      <c r="CCD90" s="56"/>
      <c r="CCN90" s="56"/>
      <c r="CCX90" s="56"/>
      <c r="CDH90" s="56"/>
      <c r="CDR90" s="56"/>
      <c r="CEB90" s="56"/>
      <c r="CEL90" s="56"/>
      <c r="CEV90" s="56"/>
      <c r="CFF90" s="56"/>
      <c r="CFP90" s="56"/>
      <c r="CFZ90" s="56"/>
      <c r="CGJ90" s="56"/>
      <c r="CGT90" s="56"/>
      <c r="CHD90" s="56"/>
      <c r="CHN90" s="56"/>
      <c r="CHX90" s="56"/>
      <c r="CIH90" s="56"/>
      <c r="CIR90" s="56"/>
      <c r="CJB90" s="56"/>
      <c r="CJL90" s="56"/>
      <c r="CJV90" s="56"/>
      <c r="CKF90" s="56"/>
      <c r="CKP90" s="56"/>
      <c r="CKZ90" s="56"/>
      <c r="CLJ90" s="56"/>
      <c r="CLT90" s="56"/>
      <c r="CMD90" s="56"/>
      <c r="CMN90" s="56"/>
      <c r="CMX90" s="56"/>
      <c r="CNH90" s="56"/>
      <c r="CNR90" s="56"/>
      <c r="COB90" s="56"/>
      <c r="COL90" s="56"/>
      <c r="COV90" s="56"/>
      <c r="CPF90" s="56"/>
      <c r="CPP90" s="56"/>
      <c r="CPZ90" s="56"/>
      <c r="CQJ90" s="56"/>
      <c r="CQT90" s="56"/>
      <c r="CRD90" s="56"/>
      <c r="CRN90" s="56"/>
      <c r="CRX90" s="56"/>
      <c r="CSH90" s="56"/>
      <c r="CSR90" s="56"/>
      <c r="CTB90" s="56"/>
      <c r="CTL90" s="56"/>
      <c r="CTV90" s="56"/>
    </row>
    <row r="91" s="42" customFormat="1" customHeight="1" spans="1:1020 1030:2040 2050:2570">
      <c r="A91" s="51"/>
      <c r="B91" s="52"/>
      <c r="C91" s="52"/>
      <c r="D91" s="52"/>
      <c r="E91" s="52"/>
      <c r="F91" s="53" t="str">
        <f>IFERROR(VLOOKUP(E91,日报!E:G,2,0),"")</f>
        <v/>
      </c>
      <c r="G91" s="52"/>
      <c r="H91" s="54" t="str">
        <f>IFERROR(VLOOKUP(E91,日报!E:H,4,0),"")</f>
        <v/>
      </c>
      <c r="I91" s="54" t="str">
        <f>IFERROR(VLOOKUP(E91,日报!E:G,3,0),"")</f>
        <v/>
      </c>
      <c r="J91" s="52"/>
      <c r="K91" s="55" t="str">
        <f t="shared" si="1"/>
        <v/>
      </c>
      <c r="T91" s="56"/>
      <c r="AD91" s="56"/>
      <c r="AN91" s="56"/>
      <c r="AX91" s="56"/>
      <c r="BH91" s="56"/>
      <c r="BR91" s="56"/>
      <c r="CB91" s="56"/>
      <c r="CL91" s="56"/>
      <c r="CV91" s="56"/>
      <c r="DF91" s="56"/>
      <c r="DP91" s="56"/>
      <c r="DZ91" s="56"/>
      <c r="EJ91" s="56"/>
      <c r="ET91" s="56"/>
      <c r="FD91" s="56"/>
      <c r="FN91" s="56"/>
      <c r="FX91" s="56"/>
      <c r="GH91" s="56"/>
      <c r="GR91" s="56"/>
      <c r="HB91" s="56"/>
      <c r="HL91" s="56"/>
      <c r="HV91" s="56"/>
      <c r="IF91" s="56"/>
      <c r="IP91" s="56"/>
      <c r="IZ91" s="56"/>
      <c r="JJ91" s="56"/>
      <c r="JT91" s="56"/>
      <c r="KD91" s="56"/>
      <c r="KN91" s="56"/>
      <c r="KX91" s="56"/>
      <c r="LH91" s="56"/>
      <c r="LR91" s="56"/>
      <c r="MB91" s="56"/>
      <c r="ML91" s="56"/>
      <c r="MV91" s="56"/>
      <c r="NF91" s="56"/>
      <c r="NP91" s="56"/>
      <c r="NZ91" s="56"/>
      <c r="OJ91" s="56"/>
      <c r="OT91" s="56"/>
      <c r="PD91" s="56"/>
      <c r="PN91" s="56"/>
      <c r="PX91" s="56"/>
      <c r="QH91" s="56"/>
      <c r="QR91" s="56"/>
      <c r="RB91" s="56"/>
      <c r="RL91" s="56"/>
      <c r="RV91" s="56"/>
      <c r="SF91" s="56"/>
      <c r="SP91" s="56"/>
      <c r="SZ91" s="56"/>
      <c r="TJ91" s="56"/>
      <c r="TT91" s="56"/>
      <c r="UD91" s="56"/>
      <c r="UN91" s="56"/>
      <c r="UX91" s="56"/>
      <c r="VH91" s="56"/>
      <c r="VR91" s="56"/>
      <c r="WB91" s="56"/>
      <c r="WL91" s="56"/>
      <c r="WV91" s="56"/>
      <c r="XF91" s="56"/>
      <c r="XP91" s="56"/>
      <c r="XZ91" s="56"/>
      <c r="YJ91" s="56"/>
      <c r="YT91" s="56"/>
      <c r="ZD91" s="56"/>
      <c r="ZN91" s="56"/>
      <c r="ZX91" s="56"/>
      <c r="AAH91" s="56"/>
      <c r="AAR91" s="56"/>
      <c r="ABB91" s="56"/>
      <c r="ABL91" s="56"/>
      <c r="ABV91" s="56"/>
      <c r="ACF91" s="56"/>
      <c r="ACP91" s="56"/>
      <c r="ACZ91" s="56"/>
      <c r="ADJ91" s="56"/>
      <c r="ADT91" s="56"/>
      <c r="AED91" s="56"/>
      <c r="AEN91" s="56"/>
      <c r="AEX91" s="56"/>
      <c r="AFH91" s="56"/>
      <c r="AFR91" s="56"/>
      <c r="AGB91" s="56"/>
      <c r="AGL91" s="56"/>
      <c r="AGV91" s="56"/>
      <c r="AHF91" s="56"/>
      <c r="AHP91" s="56"/>
      <c r="AHZ91" s="56"/>
      <c r="AIJ91" s="56"/>
      <c r="AIT91" s="56"/>
      <c r="AJD91" s="56"/>
      <c r="AJN91" s="56"/>
      <c r="AJX91" s="56"/>
      <c r="AKH91" s="56"/>
      <c r="AKR91" s="56"/>
      <c r="ALB91" s="56"/>
      <c r="ALL91" s="56"/>
      <c r="ALV91" s="56"/>
      <c r="AMF91" s="56"/>
      <c r="AMP91" s="56"/>
      <c r="AMZ91" s="56"/>
      <c r="ANJ91" s="56"/>
      <c r="ANT91" s="56"/>
      <c r="AOD91" s="56"/>
      <c r="AON91" s="56"/>
      <c r="AOX91" s="56"/>
      <c r="APH91" s="56"/>
      <c r="APR91" s="56"/>
      <c r="AQB91" s="56"/>
      <c r="AQL91" s="56"/>
      <c r="AQV91" s="56"/>
      <c r="ARF91" s="56"/>
      <c r="ARP91" s="56"/>
      <c r="ARZ91" s="56"/>
      <c r="ASJ91" s="56"/>
      <c r="AST91" s="56"/>
      <c r="ATD91" s="56"/>
      <c r="ATN91" s="56"/>
      <c r="ATX91" s="56"/>
      <c r="AUH91" s="56"/>
      <c r="AUR91" s="56"/>
      <c r="AVB91" s="56"/>
      <c r="AVL91" s="56"/>
      <c r="AVV91" s="56"/>
      <c r="AWF91" s="56"/>
      <c r="AWP91" s="56"/>
      <c r="AWZ91" s="56"/>
      <c r="AXJ91" s="56"/>
      <c r="AXT91" s="56"/>
      <c r="AYD91" s="56"/>
      <c r="AYN91" s="56"/>
      <c r="AYX91" s="56"/>
      <c r="AZH91" s="56"/>
      <c r="AZR91" s="56"/>
      <c r="BAB91" s="56"/>
      <c r="BAL91" s="56"/>
      <c r="BAV91" s="56"/>
      <c r="BBF91" s="56"/>
      <c r="BBP91" s="56"/>
      <c r="BBZ91" s="56"/>
      <c r="BCJ91" s="56"/>
      <c r="BCT91" s="56"/>
      <c r="BDD91" s="56"/>
      <c r="BDN91" s="56"/>
      <c r="BDX91" s="56"/>
      <c r="BEH91" s="56"/>
      <c r="BER91" s="56"/>
      <c r="BFB91" s="56"/>
      <c r="BFL91" s="56"/>
      <c r="BFV91" s="56"/>
      <c r="BGF91" s="56"/>
      <c r="BGP91" s="56"/>
      <c r="BGZ91" s="56"/>
      <c r="BHJ91" s="56"/>
      <c r="BHT91" s="56"/>
      <c r="BID91" s="56"/>
      <c r="BIN91" s="56"/>
      <c r="BIX91" s="56"/>
      <c r="BJH91" s="56"/>
      <c r="BJR91" s="56"/>
      <c r="BKB91" s="56"/>
      <c r="BKL91" s="56"/>
      <c r="BKV91" s="56"/>
      <c r="BLF91" s="56"/>
      <c r="BLP91" s="56"/>
      <c r="BLZ91" s="56"/>
      <c r="BMJ91" s="56"/>
      <c r="BMT91" s="56"/>
      <c r="BND91" s="56"/>
      <c r="BNN91" s="56"/>
      <c r="BNX91" s="56"/>
      <c r="BOH91" s="56"/>
      <c r="BOR91" s="56"/>
      <c r="BPB91" s="56"/>
      <c r="BPL91" s="56"/>
      <c r="BPV91" s="56"/>
      <c r="BQF91" s="56"/>
      <c r="BQP91" s="56"/>
      <c r="BQZ91" s="56"/>
      <c r="BRJ91" s="56"/>
      <c r="BRT91" s="56"/>
      <c r="BSD91" s="56"/>
      <c r="BSN91" s="56"/>
      <c r="BSX91" s="56"/>
      <c r="BTH91" s="56"/>
      <c r="BTR91" s="56"/>
      <c r="BUB91" s="56"/>
      <c r="BUL91" s="56"/>
      <c r="BUV91" s="56"/>
      <c r="BVF91" s="56"/>
      <c r="BVP91" s="56"/>
      <c r="BVZ91" s="56"/>
      <c r="BWJ91" s="56"/>
      <c r="BWT91" s="56"/>
      <c r="BXD91" s="56"/>
      <c r="BXN91" s="56"/>
      <c r="BXX91" s="56"/>
      <c r="BYH91" s="56"/>
      <c r="BYR91" s="56"/>
      <c r="BZB91" s="56"/>
      <c r="BZL91" s="56"/>
      <c r="BZV91" s="56"/>
      <c r="CAF91" s="56"/>
      <c r="CAP91" s="56"/>
      <c r="CAZ91" s="56"/>
      <c r="CBJ91" s="56"/>
      <c r="CBT91" s="56"/>
      <c r="CCD91" s="56"/>
      <c r="CCN91" s="56"/>
      <c r="CCX91" s="56"/>
      <c r="CDH91" s="56"/>
      <c r="CDR91" s="56"/>
      <c r="CEB91" s="56"/>
      <c r="CEL91" s="56"/>
      <c r="CEV91" s="56"/>
      <c r="CFF91" s="56"/>
      <c r="CFP91" s="56"/>
      <c r="CFZ91" s="56"/>
      <c r="CGJ91" s="56"/>
      <c r="CGT91" s="56"/>
      <c r="CHD91" s="56"/>
      <c r="CHN91" s="56"/>
      <c r="CHX91" s="56"/>
      <c r="CIH91" s="56"/>
      <c r="CIR91" s="56"/>
      <c r="CJB91" s="56"/>
      <c r="CJL91" s="56"/>
      <c r="CJV91" s="56"/>
      <c r="CKF91" s="56"/>
      <c r="CKP91" s="56"/>
      <c r="CKZ91" s="56"/>
      <c r="CLJ91" s="56"/>
      <c r="CLT91" s="56"/>
      <c r="CMD91" s="56"/>
      <c r="CMN91" s="56"/>
      <c r="CMX91" s="56"/>
      <c r="CNH91" s="56"/>
      <c r="CNR91" s="56"/>
      <c r="COB91" s="56"/>
      <c r="COL91" s="56"/>
      <c r="COV91" s="56"/>
      <c r="CPF91" s="56"/>
      <c r="CPP91" s="56"/>
      <c r="CPZ91" s="56"/>
      <c r="CQJ91" s="56"/>
      <c r="CQT91" s="56"/>
      <c r="CRD91" s="56"/>
      <c r="CRN91" s="56"/>
      <c r="CRX91" s="56"/>
      <c r="CSH91" s="56"/>
      <c r="CSR91" s="56"/>
      <c r="CTB91" s="56"/>
      <c r="CTL91" s="56"/>
      <c r="CTV91" s="56"/>
    </row>
    <row r="92" s="42" customFormat="1" customHeight="1" spans="1:1020 1030:2040 2050:2570">
      <c r="A92" s="51"/>
      <c r="B92" s="52"/>
      <c r="C92" s="52"/>
      <c r="D92" s="52"/>
      <c r="E92" s="52"/>
      <c r="F92" s="53" t="str">
        <f>IFERROR(VLOOKUP(E92,日报!E:G,2,0),"")</f>
        <v/>
      </c>
      <c r="G92" s="52"/>
      <c r="H92" s="54" t="str">
        <f>IFERROR(VLOOKUP(E92,日报!E:H,4,0),"")</f>
        <v/>
      </c>
      <c r="I92" s="54" t="str">
        <f>IFERROR(VLOOKUP(E92,日报!E:G,3,0),"")</f>
        <v/>
      </c>
      <c r="J92" s="52"/>
      <c r="K92" s="55" t="str">
        <f t="shared" si="1"/>
        <v/>
      </c>
      <c r="T92" s="56"/>
      <c r="AD92" s="56"/>
      <c r="AN92" s="56"/>
      <c r="AX92" s="56"/>
      <c r="BH92" s="56"/>
      <c r="BR92" s="56"/>
      <c r="CB92" s="56"/>
      <c r="CL92" s="56"/>
      <c r="CV92" s="56"/>
      <c r="DF92" s="56"/>
      <c r="DP92" s="56"/>
      <c r="DZ92" s="56"/>
      <c r="EJ92" s="56"/>
      <c r="ET92" s="56"/>
      <c r="FD92" s="56"/>
      <c r="FN92" s="56"/>
      <c r="FX92" s="56"/>
      <c r="GH92" s="56"/>
      <c r="GR92" s="56"/>
      <c r="HB92" s="56"/>
      <c r="HL92" s="56"/>
      <c r="HV92" s="56"/>
      <c r="IF92" s="56"/>
      <c r="IP92" s="56"/>
      <c r="IZ92" s="56"/>
      <c r="JJ92" s="56"/>
      <c r="JT92" s="56"/>
      <c r="KD92" s="56"/>
      <c r="KN92" s="56"/>
      <c r="KX92" s="56"/>
      <c r="LH92" s="56"/>
      <c r="LR92" s="56"/>
      <c r="MB92" s="56"/>
      <c r="ML92" s="56"/>
      <c r="MV92" s="56"/>
      <c r="NF92" s="56"/>
      <c r="NP92" s="56"/>
      <c r="NZ92" s="56"/>
      <c r="OJ92" s="56"/>
      <c r="OT92" s="56"/>
      <c r="PD92" s="56"/>
      <c r="PN92" s="56"/>
      <c r="PX92" s="56"/>
      <c r="QH92" s="56"/>
      <c r="QR92" s="56"/>
      <c r="RB92" s="56"/>
      <c r="RL92" s="56"/>
      <c r="RV92" s="56"/>
      <c r="SF92" s="56"/>
      <c r="SP92" s="56"/>
      <c r="SZ92" s="56"/>
      <c r="TJ92" s="56"/>
      <c r="TT92" s="56"/>
      <c r="UD92" s="56"/>
      <c r="UN92" s="56"/>
      <c r="UX92" s="56"/>
      <c r="VH92" s="56"/>
      <c r="VR92" s="56"/>
      <c r="WB92" s="56"/>
      <c r="WL92" s="56"/>
      <c r="WV92" s="56"/>
      <c r="XF92" s="56"/>
      <c r="XP92" s="56"/>
      <c r="XZ92" s="56"/>
      <c r="YJ92" s="56"/>
      <c r="YT92" s="56"/>
      <c r="ZD92" s="56"/>
      <c r="ZN92" s="56"/>
      <c r="ZX92" s="56"/>
      <c r="AAH92" s="56"/>
      <c r="AAR92" s="56"/>
      <c r="ABB92" s="56"/>
      <c r="ABL92" s="56"/>
      <c r="ABV92" s="56"/>
      <c r="ACF92" s="56"/>
      <c r="ACP92" s="56"/>
      <c r="ACZ92" s="56"/>
      <c r="ADJ92" s="56"/>
      <c r="ADT92" s="56"/>
      <c r="AED92" s="56"/>
      <c r="AEN92" s="56"/>
      <c r="AEX92" s="56"/>
      <c r="AFH92" s="56"/>
      <c r="AFR92" s="56"/>
      <c r="AGB92" s="56"/>
      <c r="AGL92" s="56"/>
      <c r="AGV92" s="56"/>
      <c r="AHF92" s="56"/>
      <c r="AHP92" s="56"/>
      <c r="AHZ92" s="56"/>
      <c r="AIJ92" s="56"/>
      <c r="AIT92" s="56"/>
      <c r="AJD92" s="56"/>
      <c r="AJN92" s="56"/>
      <c r="AJX92" s="56"/>
      <c r="AKH92" s="56"/>
      <c r="AKR92" s="56"/>
      <c r="ALB92" s="56"/>
      <c r="ALL92" s="56"/>
      <c r="ALV92" s="56"/>
      <c r="AMF92" s="56"/>
      <c r="AMP92" s="56"/>
      <c r="AMZ92" s="56"/>
      <c r="ANJ92" s="56"/>
      <c r="ANT92" s="56"/>
      <c r="AOD92" s="56"/>
      <c r="AON92" s="56"/>
      <c r="AOX92" s="56"/>
      <c r="APH92" s="56"/>
      <c r="APR92" s="56"/>
      <c r="AQB92" s="56"/>
      <c r="AQL92" s="56"/>
      <c r="AQV92" s="56"/>
      <c r="ARF92" s="56"/>
      <c r="ARP92" s="56"/>
      <c r="ARZ92" s="56"/>
      <c r="ASJ92" s="56"/>
      <c r="AST92" s="56"/>
      <c r="ATD92" s="56"/>
      <c r="ATN92" s="56"/>
      <c r="ATX92" s="56"/>
      <c r="AUH92" s="56"/>
      <c r="AUR92" s="56"/>
      <c r="AVB92" s="56"/>
      <c r="AVL92" s="56"/>
      <c r="AVV92" s="56"/>
      <c r="AWF92" s="56"/>
      <c r="AWP92" s="56"/>
      <c r="AWZ92" s="56"/>
      <c r="AXJ92" s="56"/>
      <c r="AXT92" s="56"/>
      <c r="AYD92" s="56"/>
      <c r="AYN92" s="56"/>
      <c r="AYX92" s="56"/>
      <c r="AZH92" s="56"/>
      <c r="AZR92" s="56"/>
      <c r="BAB92" s="56"/>
      <c r="BAL92" s="56"/>
      <c r="BAV92" s="56"/>
      <c r="BBF92" s="56"/>
      <c r="BBP92" s="56"/>
      <c r="BBZ92" s="56"/>
      <c r="BCJ92" s="56"/>
      <c r="BCT92" s="56"/>
      <c r="BDD92" s="56"/>
      <c r="BDN92" s="56"/>
      <c r="BDX92" s="56"/>
      <c r="BEH92" s="56"/>
      <c r="BER92" s="56"/>
      <c r="BFB92" s="56"/>
      <c r="BFL92" s="56"/>
      <c r="BFV92" s="56"/>
      <c r="BGF92" s="56"/>
      <c r="BGP92" s="56"/>
      <c r="BGZ92" s="56"/>
      <c r="BHJ92" s="56"/>
      <c r="BHT92" s="56"/>
      <c r="BID92" s="56"/>
      <c r="BIN92" s="56"/>
      <c r="BIX92" s="56"/>
      <c r="BJH92" s="56"/>
      <c r="BJR92" s="56"/>
      <c r="BKB92" s="56"/>
      <c r="BKL92" s="56"/>
      <c r="BKV92" s="56"/>
      <c r="BLF92" s="56"/>
      <c r="BLP92" s="56"/>
      <c r="BLZ92" s="56"/>
      <c r="BMJ92" s="56"/>
      <c r="BMT92" s="56"/>
      <c r="BND92" s="56"/>
      <c r="BNN92" s="56"/>
      <c r="BNX92" s="56"/>
      <c r="BOH92" s="56"/>
      <c r="BOR92" s="56"/>
      <c r="BPB92" s="56"/>
      <c r="BPL92" s="56"/>
      <c r="BPV92" s="56"/>
      <c r="BQF92" s="56"/>
      <c r="BQP92" s="56"/>
      <c r="BQZ92" s="56"/>
      <c r="BRJ92" s="56"/>
      <c r="BRT92" s="56"/>
      <c r="BSD92" s="56"/>
      <c r="BSN92" s="56"/>
      <c r="BSX92" s="56"/>
      <c r="BTH92" s="56"/>
      <c r="BTR92" s="56"/>
      <c r="BUB92" s="56"/>
      <c r="BUL92" s="56"/>
      <c r="BUV92" s="56"/>
      <c r="BVF92" s="56"/>
      <c r="BVP92" s="56"/>
      <c r="BVZ92" s="56"/>
      <c r="BWJ92" s="56"/>
      <c r="BWT92" s="56"/>
      <c r="BXD92" s="56"/>
      <c r="BXN92" s="56"/>
      <c r="BXX92" s="56"/>
      <c r="BYH92" s="56"/>
      <c r="BYR92" s="56"/>
      <c r="BZB92" s="56"/>
      <c r="BZL92" s="56"/>
      <c r="BZV92" s="56"/>
      <c r="CAF92" s="56"/>
      <c r="CAP92" s="56"/>
      <c r="CAZ92" s="56"/>
      <c r="CBJ92" s="56"/>
      <c r="CBT92" s="56"/>
      <c r="CCD92" s="56"/>
      <c r="CCN92" s="56"/>
      <c r="CCX92" s="56"/>
      <c r="CDH92" s="56"/>
      <c r="CDR92" s="56"/>
      <c r="CEB92" s="56"/>
      <c r="CEL92" s="56"/>
      <c r="CEV92" s="56"/>
      <c r="CFF92" s="56"/>
      <c r="CFP92" s="56"/>
      <c r="CFZ92" s="56"/>
      <c r="CGJ92" s="56"/>
      <c r="CGT92" s="56"/>
      <c r="CHD92" s="56"/>
      <c r="CHN92" s="56"/>
      <c r="CHX92" s="56"/>
      <c r="CIH92" s="56"/>
      <c r="CIR92" s="56"/>
      <c r="CJB92" s="56"/>
      <c r="CJL92" s="56"/>
      <c r="CJV92" s="56"/>
      <c r="CKF92" s="56"/>
      <c r="CKP92" s="56"/>
      <c r="CKZ92" s="56"/>
      <c r="CLJ92" s="56"/>
      <c r="CLT92" s="56"/>
      <c r="CMD92" s="56"/>
      <c r="CMN92" s="56"/>
      <c r="CMX92" s="56"/>
      <c r="CNH92" s="56"/>
      <c r="CNR92" s="56"/>
      <c r="COB92" s="56"/>
      <c r="COL92" s="56"/>
      <c r="COV92" s="56"/>
      <c r="CPF92" s="56"/>
      <c r="CPP92" s="56"/>
      <c r="CPZ92" s="56"/>
      <c r="CQJ92" s="56"/>
      <c r="CQT92" s="56"/>
      <c r="CRD92" s="56"/>
      <c r="CRN92" s="56"/>
      <c r="CRX92" s="56"/>
      <c r="CSH92" s="56"/>
      <c r="CSR92" s="56"/>
      <c r="CTB92" s="56"/>
      <c r="CTL92" s="56"/>
      <c r="CTV92" s="56"/>
    </row>
    <row r="93" s="42" customFormat="1" customHeight="1" spans="1:1020 1030:2040 2050:2570">
      <c r="A93" s="51"/>
      <c r="B93" s="52"/>
      <c r="C93" s="52"/>
      <c r="D93" s="52"/>
      <c r="E93" s="52"/>
      <c r="F93" s="53" t="str">
        <f>IFERROR(VLOOKUP(E93,日报!E:G,2,0),"")</f>
        <v/>
      </c>
      <c r="G93" s="52"/>
      <c r="H93" s="54" t="str">
        <f>IFERROR(VLOOKUP(E93,日报!E:H,4,0),"")</f>
        <v/>
      </c>
      <c r="I93" s="54" t="str">
        <f>IFERROR(VLOOKUP(E93,日报!E:G,3,0),"")</f>
        <v/>
      </c>
      <c r="J93" s="52"/>
      <c r="K93" s="55" t="str">
        <f t="shared" si="1"/>
        <v/>
      </c>
      <c r="T93" s="56"/>
      <c r="AD93" s="56"/>
      <c r="AN93" s="56"/>
      <c r="AX93" s="56"/>
      <c r="BH93" s="56"/>
      <c r="BR93" s="56"/>
      <c r="CB93" s="56"/>
      <c r="CL93" s="56"/>
      <c r="CV93" s="56"/>
      <c r="DF93" s="56"/>
      <c r="DP93" s="56"/>
      <c r="DZ93" s="56"/>
      <c r="EJ93" s="56"/>
      <c r="ET93" s="56"/>
      <c r="FD93" s="56"/>
      <c r="FN93" s="56"/>
      <c r="FX93" s="56"/>
      <c r="GH93" s="56"/>
      <c r="GR93" s="56"/>
      <c r="HB93" s="56"/>
      <c r="HL93" s="56"/>
      <c r="HV93" s="56"/>
      <c r="IF93" s="56"/>
      <c r="IP93" s="56"/>
      <c r="IZ93" s="56"/>
      <c r="JJ93" s="56"/>
      <c r="JT93" s="56"/>
      <c r="KD93" s="56"/>
      <c r="KN93" s="56"/>
      <c r="KX93" s="56"/>
      <c r="LH93" s="56"/>
      <c r="LR93" s="56"/>
      <c r="MB93" s="56"/>
      <c r="ML93" s="56"/>
      <c r="MV93" s="56"/>
      <c r="NF93" s="56"/>
      <c r="NP93" s="56"/>
      <c r="NZ93" s="56"/>
      <c r="OJ93" s="56"/>
      <c r="OT93" s="56"/>
      <c r="PD93" s="56"/>
      <c r="PN93" s="56"/>
      <c r="PX93" s="56"/>
      <c r="QH93" s="56"/>
      <c r="QR93" s="56"/>
      <c r="RB93" s="56"/>
      <c r="RL93" s="56"/>
      <c r="RV93" s="56"/>
      <c r="SF93" s="56"/>
      <c r="SP93" s="56"/>
      <c r="SZ93" s="56"/>
      <c r="TJ93" s="56"/>
      <c r="TT93" s="56"/>
      <c r="UD93" s="56"/>
      <c r="UN93" s="56"/>
      <c r="UX93" s="56"/>
      <c r="VH93" s="56"/>
      <c r="VR93" s="56"/>
      <c r="WB93" s="56"/>
      <c r="WL93" s="56"/>
      <c r="WV93" s="56"/>
      <c r="XF93" s="56"/>
      <c r="XP93" s="56"/>
      <c r="XZ93" s="56"/>
      <c r="YJ93" s="56"/>
      <c r="YT93" s="56"/>
      <c r="ZD93" s="56"/>
      <c r="ZN93" s="56"/>
      <c r="ZX93" s="56"/>
      <c r="AAH93" s="56"/>
      <c r="AAR93" s="56"/>
      <c r="ABB93" s="56"/>
      <c r="ABL93" s="56"/>
      <c r="ABV93" s="56"/>
      <c r="ACF93" s="56"/>
      <c r="ACP93" s="56"/>
      <c r="ACZ93" s="56"/>
      <c r="ADJ93" s="56"/>
      <c r="ADT93" s="56"/>
      <c r="AED93" s="56"/>
      <c r="AEN93" s="56"/>
      <c r="AEX93" s="56"/>
      <c r="AFH93" s="56"/>
      <c r="AFR93" s="56"/>
      <c r="AGB93" s="56"/>
      <c r="AGL93" s="56"/>
      <c r="AGV93" s="56"/>
      <c r="AHF93" s="56"/>
      <c r="AHP93" s="56"/>
      <c r="AHZ93" s="56"/>
      <c r="AIJ93" s="56"/>
      <c r="AIT93" s="56"/>
      <c r="AJD93" s="56"/>
      <c r="AJN93" s="56"/>
      <c r="AJX93" s="56"/>
      <c r="AKH93" s="56"/>
      <c r="AKR93" s="56"/>
      <c r="ALB93" s="56"/>
      <c r="ALL93" s="56"/>
      <c r="ALV93" s="56"/>
      <c r="AMF93" s="56"/>
      <c r="AMP93" s="56"/>
      <c r="AMZ93" s="56"/>
      <c r="ANJ93" s="56"/>
      <c r="ANT93" s="56"/>
      <c r="AOD93" s="56"/>
      <c r="AON93" s="56"/>
      <c r="AOX93" s="56"/>
      <c r="APH93" s="56"/>
      <c r="APR93" s="56"/>
      <c r="AQB93" s="56"/>
      <c r="AQL93" s="56"/>
      <c r="AQV93" s="56"/>
      <c r="ARF93" s="56"/>
      <c r="ARP93" s="56"/>
      <c r="ARZ93" s="56"/>
      <c r="ASJ93" s="56"/>
      <c r="AST93" s="56"/>
      <c r="ATD93" s="56"/>
      <c r="ATN93" s="56"/>
      <c r="ATX93" s="56"/>
      <c r="AUH93" s="56"/>
      <c r="AUR93" s="56"/>
      <c r="AVB93" s="56"/>
      <c r="AVL93" s="56"/>
      <c r="AVV93" s="56"/>
      <c r="AWF93" s="56"/>
      <c r="AWP93" s="56"/>
      <c r="AWZ93" s="56"/>
      <c r="AXJ93" s="56"/>
      <c r="AXT93" s="56"/>
      <c r="AYD93" s="56"/>
      <c r="AYN93" s="56"/>
      <c r="AYX93" s="56"/>
      <c r="AZH93" s="56"/>
      <c r="AZR93" s="56"/>
      <c r="BAB93" s="56"/>
      <c r="BAL93" s="56"/>
      <c r="BAV93" s="56"/>
      <c r="BBF93" s="56"/>
      <c r="BBP93" s="56"/>
      <c r="BBZ93" s="56"/>
      <c r="BCJ93" s="56"/>
      <c r="BCT93" s="56"/>
      <c r="BDD93" s="56"/>
      <c r="BDN93" s="56"/>
      <c r="BDX93" s="56"/>
      <c r="BEH93" s="56"/>
      <c r="BER93" s="56"/>
      <c r="BFB93" s="56"/>
      <c r="BFL93" s="56"/>
      <c r="BFV93" s="56"/>
      <c r="BGF93" s="56"/>
      <c r="BGP93" s="56"/>
      <c r="BGZ93" s="56"/>
      <c r="BHJ93" s="56"/>
      <c r="BHT93" s="56"/>
      <c r="BID93" s="56"/>
      <c r="BIN93" s="56"/>
      <c r="BIX93" s="56"/>
      <c r="BJH93" s="56"/>
      <c r="BJR93" s="56"/>
      <c r="BKB93" s="56"/>
      <c r="BKL93" s="56"/>
      <c r="BKV93" s="56"/>
      <c r="BLF93" s="56"/>
      <c r="BLP93" s="56"/>
      <c r="BLZ93" s="56"/>
      <c r="BMJ93" s="56"/>
      <c r="BMT93" s="56"/>
      <c r="BND93" s="56"/>
      <c r="BNN93" s="56"/>
      <c r="BNX93" s="56"/>
      <c r="BOH93" s="56"/>
      <c r="BOR93" s="56"/>
      <c r="BPB93" s="56"/>
      <c r="BPL93" s="56"/>
      <c r="BPV93" s="56"/>
      <c r="BQF93" s="56"/>
      <c r="BQP93" s="56"/>
      <c r="BQZ93" s="56"/>
      <c r="BRJ93" s="56"/>
      <c r="BRT93" s="56"/>
      <c r="BSD93" s="56"/>
      <c r="BSN93" s="56"/>
      <c r="BSX93" s="56"/>
      <c r="BTH93" s="56"/>
      <c r="BTR93" s="56"/>
      <c r="BUB93" s="56"/>
      <c r="BUL93" s="56"/>
      <c r="BUV93" s="56"/>
      <c r="BVF93" s="56"/>
      <c r="BVP93" s="56"/>
      <c r="BVZ93" s="56"/>
      <c r="BWJ93" s="56"/>
      <c r="BWT93" s="56"/>
      <c r="BXD93" s="56"/>
      <c r="BXN93" s="56"/>
      <c r="BXX93" s="56"/>
      <c r="BYH93" s="56"/>
      <c r="BYR93" s="56"/>
      <c r="BZB93" s="56"/>
      <c r="BZL93" s="56"/>
      <c r="BZV93" s="56"/>
      <c r="CAF93" s="56"/>
      <c r="CAP93" s="56"/>
      <c r="CAZ93" s="56"/>
      <c r="CBJ93" s="56"/>
      <c r="CBT93" s="56"/>
      <c r="CCD93" s="56"/>
      <c r="CCN93" s="56"/>
      <c r="CCX93" s="56"/>
      <c r="CDH93" s="56"/>
      <c r="CDR93" s="56"/>
      <c r="CEB93" s="56"/>
      <c r="CEL93" s="56"/>
      <c r="CEV93" s="56"/>
      <c r="CFF93" s="56"/>
      <c r="CFP93" s="56"/>
      <c r="CFZ93" s="56"/>
      <c r="CGJ93" s="56"/>
      <c r="CGT93" s="56"/>
      <c r="CHD93" s="56"/>
      <c r="CHN93" s="56"/>
      <c r="CHX93" s="56"/>
      <c r="CIH93" s="56"/>
      <c r="CIR93" s="56"/>
      <c r="CJB93" s="56"/>
      <c r="CJL93" s="56"/>
      <c r="CJV93" s="56"/>
      <c r="CKF93" s="56"/>
      <c r="CKP93" s="56"/>
      <c r="CKZ93" s="56"/>
      <c r="CLJ93" s="56"/>
      <c r="CLT93" s="56"/>
      <c r="CMD93" s="56"/>
      <c r="CMN93" s="56"/>
      <c r="CMX93" s="56"/>
      <c r="CNH93" s="56"/>
      <c r="CNR93" s="56"/>
      <c r="COB93" s="56"/>
      <c r="COL93" s="56"/>
      <c r="COV93" s="56"/>
      <c r="CPF93" s="56"/>
      <c r="CPP93" s="56"/>
      <c r="CPZ93" s="56"/>
      <c r="CQJ93" s="56"/>
      <c r="CQT93" s="56"/>
      <c r="CRD93" s="56"/>
      <c r="CRN93" s="56"/>
      <c r="CRX93" s="56"/>
      <c r="CSH93" s="56"/>
      <c r="CSR93" s="56"/>
      <c r="CTB93" s="56"/>
      <c r="CTL93" s="56"/>
      <c r="CTV93" s="56"/>
    </row>
    <row r="94" s="42" customFormat="1" customHeight="1" spans="1:1020 1030:2040 2050:2570">
      <c r="A94" s="51"/>
      <c r="B94" s="52"/>
      <c r="C94" s="52"/>
      <c r="D94" s="52"/>
      <c r="E94" s="52"/>
      <c r="F94" s="53" t="str">
        <f>IFERROR(VLOOKUP(E94,日报!E:G,2,0),"")</f>
        <v/>
      </c>
      <c r="G94" s="52"/>
      <c r="H94" s="54" t="str">
        <f>IFERROR(VLOOKUP(E94,日报!E:H,4,0),"")</f>
        <v/>
      </c>
      <c r="I94" s="54" t="str">
        <f>IFERROR(VLOOKUP(E94,日报!E:G,3,0),"")</f>
        <v/>
      </c>
      <c r="J94" s="52"/>
      <c r="K94" s="55" t="str">
        <f t="shared" si="1"/>
        <v/>
      </c>
      <c r="T94" s="56"/>
      <c r="AD94" s="56"/>
      <c r="AN94" s="56"/>
      <c r="AX94" s="56"/>
      <c r="BH94" s="56"/>
      <c r="BR94" s="56"/>
      <c r="CB94" s="56"/>
      <c r="CL94" s="56"/>
      <c r="CV94" s="56"/>
      <c r="DF94" s="56"/>
      <c r="DP94" s="56"/>
      <c r="DZ94" s="56"/>
      <c r="EJ94" s="56"/>
      <c r="ET94" s="56"/>
      <c r="FD94" s="56"/>
      <c r="FN94" s="56"/>
      <c r="FX94" s="56"/>
      <c r="GH94" s="56"/>
      <c r="GR94" s="56"/>
      <c r="HB94" s="56"/>
      <c r="HL94" s="56"/>
      <c r="HV94" s="56"/>
      <c r="IF94" s="56"/>
      <c r="IP94" s="56"/>
      <c r="IZ94" s="56"/>
      <c r="JJ94" s="56"/>
      <c r="JT94" s="56"/>
      <c r="KD94" s="56"/>
      <c r="KN94" s="56"/>
      <c r="KX94" s="56"/>
      <c r="LH94" s="56"/>
      <c r="LR94" s="56"/>
      <c r="MB94" s="56"/>
      <c r="ML94" s="56"/>
      <c r="MV94" s="56"/>
      <c r="NF94" s="56"/>
      <c r="NP94" s="56"/>
      <c r="NZ94" s="56"/>
      <c r="OJ94" s="56"/>
      <c r="OT94" s="56"/>
      <c r="PD94" s="56"/>
      <c r="PN94" s="56"/>
      <c r="PX94" s="56"/>
      <c r="QH94" s="56"/>
      <c r="QR94" s="56"/>
      <c r="RB94" s="56"/>
      <c r="RL94" s="56"/>
      <c r="RV94" s="56"/>
      <c r="SF94" s="56"/>
      <c r="SP94" s="56"/>
      <c r="SZ94" s="56"/>
      <c r="TJ94" s="56"/>
      <c r="TT94" s="56"/>
      <c r="UD94" s="56"/>
      <c r="UN94" s="56"/>
      <c r="UX94" s="56"/>
      <c r="VH94" s="56"/>
      <c r="VR94" s="56"/>
      <c r="WB94" s="56"/>
      <c r="WL94" s="56"/>
      <c r="WV94" s="56"/>
      <c r="XF94" s="56"/>
      <c r="XP94" s="56"/>
      <c r="XZ94" s="56"/>
      <c r="YJ94" s="56"/>
      <c r="YT94" s="56"/>
      <c r="ZD94" s="56"/>
      <c r="ZN94" s="56"/>
      <c r="ZX94" s="56"/>
      <c r="AAH94" s="56"/>
      <c r="AAR94" s="56"/>
      <c r="ABB94" s="56"/>
      <c r="ABL94" s="56"/>
      <c r="ABV94" s="56"/>
      <c r="ACF94" s="56"/>
      <c r="ACP94" s="56"/>
      <c r="ACZ94" s="56"/>
      <c r="ADJ94" s="56"/>
      <c r="ADT94" s="56"/>
      <c r="AED94" s="56"/>
      <c r="AEN94" s="56"/>
      <c r="AEX94" s="56"/>
      <c r="AFH94" s="56"/>
      <c r="AFR94" s="56"/>
      <c r="AGB94" s="56"/>
      <c r="AGL94" s="56"/>
      <c r="AGV94" s="56"/>
      <c r="AHF94" s="56"/>
      <c r="AHP94" s="56"/>
      <c r="AHZ94" s="56"/>
      <c r="AIJ94" s="56"/>
      <c r="AIT94" s="56"/>
      <c r="AJD94" s="56"/>
      <c r="AJN94" s="56"/>
      <c r="AJX94" s="56"/>
      <c r="AKH94" s="56"/>
      <c r="AKR94" s="56"/>
      <c r="ALB94" s="56"/>
      <c r="ALL94" s="56"/>
      <c r="ALV94" s="56"/>
      <c r="AMF94" s="56"/>
      <c r="AMP94" s="56"/>
      <c r="AMZ94" s="56"/>
      <c r="ANJ94" s="56"/>
      <c r="ANT94" s="56"/>
      <c r="AOD94" s="56"/>
      <c r="AON94" s="56"/>
      <c r="AOX94" s="56"/>
      <c r="APH94" s="56"/>
      <c r="APR94" s="56"/>
      <c r="AQB94" s="56"/>
      <c r="AQL94" s="56"/>
      <c r="AQV94" s="56"/>
      <c r="ARF94" s="56"/>
      <c r="ARP94" s="56"/>
      <c r="ARZ94" s="56"/>
      <c r="ASJ94" s="56"/>
      <c r="AST94" s="56"/>
      <c r="ATD94" s="56"/>
      <c r="ATN94" s="56"/>
      <c r="ATX94" s="56"/>
      <c r="AUH94" s="56"/>
      <c r="AUR94" s="56"/>
      <c r="AVB94" s="56"/>
      <c r="AVL94" s="56"/>
      <c r="AVV94" s="56"/>
      <c r="AWF94" s="56"/>
      <c r="AWP94" s="56"/>
      <c r="AWZ94" s="56"/>
      <c r="AXJ94" s="56"/>
      <c r="AXT94" s="56"/>
      <c r="AYD94" s="56"/>
      <c r="AYN94" s="56"/>
      <c r="AYX94" s="56"/>
      <c r="AZH94" s="56"/>
      <c r="AZR94" s="56"/>
      <c r="BAB94" s="56"/>
      <c r="BAL94" s="56"/>
      <c r="BAV94" s="56"/>
      <c r="BBF94" s="56"/>
      <c r="BBP94" s="56"/>
      <c r="BBZ94" s="56"/>
      <c r="BCJ94" s="56"/>
      <c r="BCT94" s="56"/>
      <c r="BDD94" s="56"/>
      <c r="BDN94" s="56"/>
      <c r="BDX94" s="56"/>
      <c r="BEH94" s="56"/>
      <c r="BER94" s="56"/>
      <c r="BFB94" s="56"/>
      <c r="BFL94" s="56"/>
      <c r="BFV94" s="56"/>
      <c r="BGF94" s="56"/>
      <c r="BGP94" s="56"/>
      <c r="BGZ94" s="56"/>
      <c r="BHJ94" s="56"/>
      <c r="BHT94" s="56"/>
      <c r="BID94" s="56"/>
      <c r="BIN94" s="56"/>
      <c r="BIX94" s="56"/>
      <c r="BJH94" s="56"/>
      <c r="BJR94" s="56"/>
      <c r="BKB94" s="56"/>
      <c r="BKL94" s="56"/>
      <c r="BKV94" s="56"/>
      <c r="BLF94" s="56"/>
      <c r="BLP94" s="56"/>
      <c r="BLZ94" s="56"/>
      <c r="BMJ94" s="56"/>
      <c r="BMT94" s="56"/>
      <c r="BND94" s="56"/>
      <c r="BNN94" s="56"/>
      <c r="BNX94" s="56"/>
      <c r="BOH94" s="56"/>
      <c r="BOR94" s="56"/>
      <c r="BPB94" s="56"/>
      <c r="BPL94" s="56"/>
      <c r="BPV94" s="56"/>
      <c r="BQF94" s="56"/>
      <c r="BQP94" s="56"/>
      <c r="BQZ94" s="56"/>
      <c r="BRJ94" s="56"/>
      <c r="BRT94" s="56"/>
      <c r="BSD94" s="56"/>
      <c r="BSN94" s="56"/>
      <c r="BSX94" s="56"/>
      <c r="BTH94" s="56"/>
      <c r="BTR94" s="56"/>
      <c r="BUB94" s="56"/>
      <c r="BUL94" s="56"/>
      <c r="BUV94" s="56"/>
      <c r="BVF94" s="56"/>
      <c r="BVP94" s="56"/>
      <c r="BVZ94" s="56"/>
      <c r="BWJ94" s="56"/>
      <c r="BWT94" s="56"/>
      <c r="BXD94" s="56"/>
      <c r="BXN94" s="56"/>
      <c r="BXX94" s="56"/>
      <c r="BYH94" s="56"/>
      <c r="BYR94" s="56"/>
      <c r="BZB94" s="56"/>
      <c r="BZL94" s="56"/>
      <c r="BZV94" s="56"/>
      <c r="CAF94" s="56"/>
      <c r="CAP94" s="56"/>
      <c r="CAZ94" s="56"/>
      <c r="CBJ94" s="56"/>
      <c r="CBT94" s="56"/>
      <c r="CCD94" s="56"/>
      <c r="CCN94" s="56"/>
      <c r="CCX94" s="56"/>
      <c r="CDH94" s="56"/>
      <c r="CDR94" s="56"/>
      <c r="CEB94" s="56"/>
      <c r="CEL94" s="56"/>
      <c r="CEV94" s="56"/>
      <c r="CFF94" s="56"/>
      <c r="CFP94" s="56"/>
      <c r="CFZ94" s="56"/>
      <c r="CGJ94" s="56"/>
      <c r="CGT94" s="56"/>
      <c r="CHD94" s="56"/>
      <c r="CHN94" s="56"/>
      <c r="CHX94" s="56"/>
      <c r="CIH94" s="56"/>
      <c r="CIR94" s="56"/>
      <c r="CJB94" s="56"/>
      <c r="CJL94" s="56"/>
      <c r="CJV94" s="56"/>
      <c r="CKF94" s="56"/>
      <c r="CKP94" s="56"/>
      <c r="CKZ94" s="56"/>
      <c r="CLJ94" s="56"/>
      <c r="CLT94" s="56"/>
      <c r="CMD94" s="56"/>
      <c r="CMN94" s="56"/>
      <c r="CMX94" s="56"/>
      <c r="CNH94" s="56"/>
      <c r="CNR94" s="56"/>
      <c r="COB94" s="56"/>
      <c r="COL94" s="56"/>
      <c r="COV94" s="56"/>
      <c r="CPF94" s="56"/>
      <c r="CPP94" s="56"/>
      <c r="CPZ94" s="56"/>
      <c r="CQJ94" s="56"/>
      <c r="CQT94" s="56"/>
      <c r="CRD94" s="56"/>
      <c r="CRN94" s="56"/>
      <c r="CRX94" s="56"/>
      <c r="CSH94" s="56"/>
      <c r="CSR94" s="56"/>
      <c r="CTB94" s="56"/>
      <c r="CTL94" s="56"/>
      <c r="CTV94" s="56"/>
    </row>
    <row r="95" s="42" customFormat="1" customHeight="1" spans="1:1020 1030:2040 2050:2570">
      <c r="A95" s="51"/>
      <c r="B95" s="52"/>
      <c r="C95" s="52"/>
      <c r="D95" s="52"/>
      <c r="E95" s="52"/>
      <c r="F95" s="53" t="str">
        <f>IFERROR(VLOOKUP(E95,日报!E:G,2,0),"")</f>
        <v/>
      </c>
      <c r="G95" s="52"/>
      <c r="H95" s="54" t="str">
        <f>IFERROR(VLOOKUP(E95,日报!E:H,4,0),"")</f>
        <v/>
      </c>
      <c r="I95" s="54" t="str">
        <f>IFERROR(VLOOKUP(E95,日报!E:G,3,0),"")</f>
        <v/>
      </c>
      <c r="J95" s="52"/>
      <c r="K95" s="55" t="str">
        <f t="shared" si="1"/>
        <v/>
      </c>
      <c r="T95" s="56"/>
      <c r="AD95" s="56"/>
      <c r="AN95" s="56"/>
      <c r="AX95" s="56"/>
      <c r="BH95" s="56"/>
      <c r="BR95" s="56"/>
      <c r="CB95" s="56"/>
      <c r="CL95" s="56"/>
      <c r="CV95" s="56"/>
      <c r="DF95" s="56"/>
      <c r="DP95" s="56"/>
      <c r="DZ95" s="56"/>
      <c r="EJ95" s="56"/>
      <c r="ET95" s="56"/>
      <c r="FD95" s="56"/>
      <c r="FN95" s="56"/>
      <c r="FX95" s="56"/>
      <c r="GH95" s="56"/>
      <c r="GR95" s="56"/>
      <c r="HB95" s="56"/>
      <c r="HL95" s="56"/>
      <c r="HV95" s="56"/>
      <c r="IF95" s="56"/>
      <c r="IP95" s="56"/>
      <c r="IZ95" s="56"/>
      <c r="JJ95" s="56"/>
      <c r="JT95" s="56"/>
      <c r="KD95" s="56"/>
      <c r="KN95" s="56"/>
      <c r="KX95" s="56"/>
      <c r="LH95" s="56"/>
      <c r="LR95" s="56"/>
      <c r="MB95" s="56"/>
      <c r="ML95" s="56"/>
      <c r="MV95" s="56"/>
      <c r="NF95" s="56"/>
      <c r="NP95" s="56"/>
      <c r="NZ95" s="56"/>
      <c r="OJ95" s="56"/>
      <c r="OT95" s="56"/>
      <c r="PD95" s="56"/>
      <c r="PN95" s="56"/>
      <c r="PX95" s="56"/>
      <c r="QH95" s="56"/>
      <c r="QR95" s="56"/>
      <c r="RB95" s="56"/>
      <c r="RL95" s="56"/>
      <c r="RV95" s="56"/>
      <c r="SF95" s="56"/>
      <c r="SP95" s="56"/>
      <c r="SZ95" s="56"/>
      <c r="TJ95" s="56"/>
      <c r="TT95" s="56"/>
      <c r="UD95" s="56"/>
      <c r="UN95" s="56"/>
      <c r="UX95" s="56"/>
      <c r="VH95" s="56"/>
      <c r="VR95" s="56"/>
      <c r="WB95" s="56"/>
      <c r="WL95" s="56"/>
      <c r="WV95" s="56"/>
      <c r="XF95" s="56"/>
      <c r="XP95" s="56"/>
      <c r="XZ95" s="56"/>
      <c r="YJ95" s="56"/>
      <c r="YT95" s="56"/>
      <c r="ZD95" s="56"/>
      <c r="ZN95" s="56"/>
      <c r="ZX95" s="56"/>
      <c r="AAH95" s="56"/>
      <c r="AAR95" s="56"/>
      <c r="ABB95" s="56"/>
      <c r="ABL95" s="56"/>
      <c r="ABV95" s="56"/>
      <c r="ACF95" s="56"/>
      <c r="ACP95" s="56"/>
      <c r="ACZ95" s="56"/>
      <c r="ADJ95" s="56"/>
      <c r="ADT95" s="56"/>
      <c r="AED95" s="56"/>
      <c r="AEN95" s="56"/>
      <c r="AEX95" s="56"/>
      <c r="AFH95" s="56"/>
      <c r="AFR95" s="56"/>
      <c r="AGB95" s="56"/>
      <c r="AGL95" s="56"/>
      <c r="AGV95" s="56"/>
      <c r="AHF95" s="56"/>
      <c r="AHP95" s="56"/>
      <c r="AHZ95" s="56"/>
      <c r="AIJ95" s="56"/>
      <c r="AIT95" s="56"/>
      <c r="AJD95" s="56"/>
      <c r="AJN95" s="56"/>
      <c r="AJX95" s="56"/>
      <c r="AKH95" s="56"/>
      <c r="AKR95" s="56"/>
      <c r="ALB95" s="56"/>
      <c r="ALL95" s="56"/>
      <c r="ALV95" s="56"/>
      <c r="AMF95" s="56"/>
      <c r="AMP95" s="56"/>
      <c r="AMZ95" s="56"/>
      <c r="ANJ95" s="56"/>
      <c r="ANT95" s="56"/>
      <c r="AOD95" s="56"/>
      <c r="AON95" s="56"/>
      <c r="AOX95" s="56"/>
      <c r="APH95" s="56"/>
      <c r="APR95" s="56"/>
      <c r="AQB95" s="56"/>
      <c r="AQL95" s="56"/>
      <c r="AQV95" s="56"/>
      <c r="ARF95" s="56"/>
      <c r="ARP95" s="56"/>
      <c r="ARZ95" s="56"/>
      <c r="ASJ95" s="56"/>
      <c r="AST95" s="56"/>
      <c r="ATD95" s="56"/>
      <c r="ATN95" s="56"/>
      <c r="ATX95" s="56"/>
      <c r="AUH95" s="56"/>
      <c r="AUR95" s="56"/>
      <c r="AVB95" s="56"/>
      <c r="AVL95" s="56"/>
      <c r="AVV95" s="56"/>
      <c r="AWF95" s="56"/>
      <c r="AWP95" s="56"/>
      <c r="AWZ95" s="56"/>
      <c r="AXJ95" s="56"/>
      <c r="AXT95" s="56"/>
      <c r="AYD95" s="56"/>
      <c r="AYN95" s="56"/>
      <c r="AYX95" s="56"/>
      <c r="AZH95" s="56"/>
      <c r="AZR95" s="56"/>
      <c r="BAB95" s="56"/>
      <c r="BAL95" s="56"/>
      <c r="BAV95" s="56"/>
      <c r="BBF95" s="56"/>
      <c r="BBP95" s="56"/>
      <c r="BBZ95" s="56"/>
      <c r="BCJ95" s="56"/>
      <c r="BCT95" s="56"/>
      <c r="BDD95" s="56"/>
      <c r="BDN95" s="56"/>
      <c r="BDX95" s="56"/>
      <c r="BEH95" s="56"/>
      <c r="BER95" s="56"/>
      <c r="BFB95" s="56"/>
      <c r="BFL95" s="56"/>
      <c r="BFV95" s="56"/>
      <c r="BGF95" s="56"/>
      <c r="BGP95" s="56"/>
      <c r="BGZ95" s="56"/>
      <c r="BHJ95" s="56"/>
      <c r="BHT95" s="56"/>
      <c r="BID95" s="56"/>
      <c r="BIN95" s="56"/>
      <c r="BIX95" s="56"/>
      <c r="BJH95" s="56"/>
      <c r="BJR95" s="56"/>
      <c r="BKB95" s="56"/>
      <c r="BKL95" s="56"/>
      <c r="BKV95" s="56"/>
      <c r="BLF95" s="56"/>
      <c r="BLP95" s="56"/>
      <c r="BLZ95" s="56"/>
      <c r="BMJ95" s="56"/>
      <c r="BMT95" s="56"/>
      <c r="BND95" s="56"/>
      <c r="BNN95" s="56"/>
      <c r="BNX95" s="56"/>
      <c r="BOH95" s="56"/>
      <c r="BOR95" s="56"/>
      <c r="BPB95" s="56"/>
      <c r="BPL95" s="56"/>
      <c r="BPV95" s="56"/>
      <c r="BQF95" s="56"/>
      <c r="BQP95" s="56"/>
      <c r="BQZ95" s="56"/>
      <c r="BRJ95" s="56"/>
      <c r="BRT95" s="56"/>
      <c r="BSD95" s="56"/>
      <c r="BSN95" s="56"/>
      <c r="BSX95" s="56"/>
      <c r="BTH95" s="56"/>
      <c r="BTR95" s="56"/>
      <c r="BUB95" s="56"/>
      <c r="BUL95" s="56"/>
      <c r="BUV95" s="56"/>
      <c r="BVF95" s="56"/>
      <c r="BVP95" s="56"/>
      <c r="BVZ95" s="56"/>
      <c r="BWJ95" s="56"/>
      <c r="BWT95" s="56"/>
      <c r="BXD95" s="56"/>
      <c r="BXN95" s="56"/>
      <c r="BXX95" s="56"/>
      <c r="BYH95" s="56"/>
      <c r="BYR95" s="56"/>
      <c r="BZB95" s="56"/>
      <c r="BZL95" s="56"/>
      <c r="BZV95" s="56"/>
      <c r="CAF95" s="56"/>
      <c r="CAP95" s="56"/>
      <c r="CAZ95" s="56"/>
      <c r="CBJ95" s="56"/>
      <c r="CBT95" s="56"/>
      <c r="CCD95" s="56"/>
      <c r="CCN95" s="56"/>
      <c r="CCX95" s="56"/>
      <c r="CDH95" s="56"/>
      <c r="CDR95" s="56"/>
      <c r="CEB95" s="56"/>
      <c r="CEL95" s="56"/>
      <c r="CEV95" s="56"/>
      <c r="CFF95" s="56"/>
      <c r="CFP95" s="56"/>
      <c r="CFZ95" s="56"/>
      <c r="CGJ95" s="56"/>
      <c r="CGT95" s="56"/>
      <c r="CHD95" s="56"/>
      <c r="CHN95" s="56"/>
      <c r="CHX95" s="56"/>
      <c r="CIH95" s="56"/>
      <c r="CIR95" s="56"/>
      <c r="CJB95" s="56"/>
      <c r="CJL95" s="56"/>
      <c r="CJV95" s="56"/>
      <c r="CKF95" s="56"/>
      <c r="CKP95" s="56"/>
      <c r="CKZ95" s="56"/>
      <c r="CLJ95" s="56"/>
      <c r="CLT95" s="56"/>
      <c r="CMD95" s="56"/>
      <c r="CMN95" s="56"/>
      <c r="CMX95" s="56"/>
      <c r="CNH95" s="56"/>
      <c r="CNR95" s="56"/>
      <c r="COB95" s="56"/>
      <c r="COL95" s="56"/>
      <c r="COV95" s="56"/>
      <c r="CPF95" s="56"/>
      <c r="CPP95" s="56"/>
      <c r="CPZ95" s="56"/>
      <c r="CQJ95" s="56"/>
      <c r="CQT95" s="56"/>
      <c r="CRD95" s="56"/>
      <c r="CRN95" s="56"/>
      <c r="CRX95" s="56"/>
      <c r="CSH95" s="56"/>
      <c r="CSR95" s="56"/>
      <c r="CTB95" s="56"/>
      <c r="CTL95" s="56"/>
      <c r="CTV95" s="56"/>
    </row>
    <row r="96" s="42" customFormat="1" customHeight="1" spans="1:1020 1030:2040 2050:2570">
      <c r="A96" s="51"/>
      <c r="B96" s="52"/>
      <c r="C96" s="52"/>
      <c r="D96" s="52"/>
      <c r="E96" s="52"/>
      <c r="F96" s="53" t="str">
        <f>IFERROR(VLOOKUP(E96,日报!E:G,2,0),"")</f>
        <v/>
      </c>
      <c r="G96" s="52"/>
      <c r="H96" s="54" t="str">
        <f>IFERROR(VLOOKUP(E96,日报!E:H,4,0),"")</f>
        <v/>
      </c>
      <c r="I96" s="54" t="str">
        <f>IFERROR(VLOOKUP(E96,日报!E:G,3,0),"")</f>
        <v/>
      </c>
      <c r="J96" s="52"/>
      <c r="K96" s="55" t="str">
        <f t="shared" si="1"/>
        <v/>
      </c>
      <c r="T96" s="56"/>
      <c r="AD96" s="56"/>
      <c r="AN96" s="56"/>
      <c r="AX96" s="56"/>
      <c r="BH96" s="56"/>
      <c r="BR96" s="56"/>
      <c r="CB96" s="56"/>
      <c r="CL96" s="56"/>
      <c r="CV96" s="56"/>
      <c r="DF96" s="56"/>
      <c r="DP96" s="56"/>
      <c r="DZ96" s="56"/>
      <c r="EJ96" s="56"/>
      <c r="ET96" s="56"/>
      <c r="FD96" s="56"/>
      <c r="FN96" s="56"/>
      <c r="FX96" s="56"/>
      <c r="GH96" s="56"/>
      <c r="GR96" s="56"/>
      <c r="HB96" s="56"/>
      <c r="HL96" s="56"/>
      <c r="HV96" s="56"/>
      <c r="IF96" s="56"/>
      <c r="IP96" s="56"/>
      <c r="IZ96" s="56"/>
      <c r="JJ96" s="56"/>
      <c r="JT96" s="56"/>
      <c r="KD96" s="56"/>
      <c r="KN96" s="56"/>
      <c r="KX96" s="56"/>
      <c r="LH96" s="56"/>
      <c r="LR96" s="56"/>
      <c r="MB96" s="56"/>
      <c r="ML96" s="56"/>
      <c r="MV96" s="56"/>
      <c r="NF96" s="56"/>
      <c r="NP96" s="56"/>
      <c r="NZ96" s="56"/>
      <c r="OJ96" s="56"/>
      <c r="OT96" s="56"/>
      <c r="PD96" s="56"/>
      <c r="PN96" s="56"/>
      <c r="PX96" s="56"/>
      <c r="QH96" s="56"/>
      <c r="QR96" s="56"/>
      <c r="RB96" s="56"/>
      <c r="RL96" s="56"/>
      <c r="RV96" s="56"/>
      <c r="SF96" s="56"/>
      <c r="SP96" s="56"/>
      <c r="SZ96" s="56"/>
      <c r="TJ96" s="56"/>
      <c r="TT96" s="56"/>
      <c r="UD96" s="56"/>
      <c r="UN96" s="56"/>
      <c r="UX96" s="56"/>
      <c r="VH96" s="56"/>
      <c r="VR96" s="56"/>
      <c r="WB96" s="56"/>
      <c r="WL96" s="56"/>
      <c r="WV96" s="56"/>
      <c r="XF96" s="56"/>
      <c r="XP96" s="56"/>
      <c r="XZ96" s="56"/>
      <c r="YJ96" s="56"/>
      <c r="YT96" s="56"/>
      <c r="ZD96" s="56"/>
      <c r="ZN96" s="56"/>
      <c r="ZX96" s="56"/>
      <c r="AAH96" s="56"/>
      <c r="AAR96" s="56"/>
      <c r="ABB96" s="56"/>
      <c r="ABL96" s="56"/>
      <c r="ABV96" s="56"/>
      <c r="ACF96" s="56"/>
      <c r="ACP96" s="56"/>
      <c r="ACZ96" s="56"/>
      <c r="ADJ96" s="56"/>
      <c r="ADT96" s="56"/>
      <c r="AED96" s="56"/>
      <c r="AEN96" s="56"/>
      <c r="AEX96" s="56"/>
      <c r="AFH96" s="56"/>
      <c r="AFR96" s="56"/>
      <c r="AGB96" s="56"/>
      <c r="AGL96" s="56"/>
      <c r="AGV96" s="56"/>
      <c r="AHF96" s="56"/>
      <c r="AHP96" s="56"/>
      <c r="AHZ96" s="56"/>
      <c r="AIJ96" s="56"/>
      <c r="AIT96" s="56"/>
      <c r="AJD96" s="56"/>
      <c r="AJN96" s="56"/>
      <c r="AJX96" s="56"/>
      <c r="AKH96" s="56"/>
      <c r="AKR96" s="56"/>
      <c r="ALB96" s="56"/>
      <c r="ALL96" s="56"/>
      <c r="ALV96" s="56"/>
      <c r="AMF96" s="56"/>
      <c r="AMP96" s="56"/>
      <c r="AMZ96" s="56"/>
      <c r="ANJ96" s="56"/>
      <c r="ANT96" s="56"/>
      <c r="AOD96" s="56"/>
      <c r="AON96" s="56"/>
      <c r="AOX96" s="56"/>
      <c r="APH96" s="56"/>
      <c r="APR96" s="56"/>
      <c r="AQB96" s="56"/>
      <c r="AQL96" s="56"/>
      <c r="AQV96" s="56"/>
      <c r="ARF96" s="56"/>
      <c r="ARP96" s="56"/>
      <c r="ARZ96" s="56"/>
      <c r="ASJ96" s="56"/>
      <c r="AST96" s="56"/>
      <c r="ATD96" s="56"/>
      <c r="ATN96" s="56"/>
      <c r="ATX96" s="56"/>
      <c r="AUH96" s="56"/>
      <c r="AUR96" s="56"/>
      <c r="AVB96" s="56"/>
      <c r="AVL96" s="56"/>
      <c r="AVV96" s="56"/>
      <c r="AWF96" s="56"/>
      <c r="AWP96" s="56"/>
      <c r="AWZ96" s="56"/>
      <c r="AXJ96" s="56"/>
      <c r="AXT96" s="56"/>
      <c r="AYD96" s="56"/>
      <c r="AYN96" s="56"/>
      <c r="AYX96" s="56"/>
      <c r="AZH96" s="56"/>
      <c r="AZR96" s="56"/>
      <c r="BAB96" s="56"/>
      <c r="BAL96" s="56"/>
      <c r="BAV96" s="56"/>
      <c r="BBF96" s="56"/>
      <c r="BBP96" s="56"/>
      <c r="BBZ96" s="56"/>
      <c r="BCJ96" s="56"/>
      <c r="BCT96" s="56"/>
      <c r="BDD96" s="56"/>
      <c r="BDN96" s="56"/>
      <c r="BDX96" s="56"/>
      <c r="BEH96" s="56"/>
      <c r="BER96" s="56"/>
      <c r="BFB96" s="56"/>
      <c r="BFL96" s="56"/>
      <c r="BFV96" s="56"/>
      <c r="BGF96" s="56"/>
      <c r="BGP96" s="56"/>
      <c r="BGZ96" s="56"/>
      <c r="BHJ96" s="56"/>
      <c r="BHT96" s="56"/>
      <c r="BID96" s="56"/>
      <c r="BIN96" s="56"/>
      <c r="BIX96" s="56"/>
      <c r="BJH96" s="56"/>
      <c r="BJR96" s="56"/>
      <c r="BKB96" s="56"/>
      <c r="BKL96" s="56"/>
      <c r="BKV96" s="56"/>
      <c r="BLF96" s="56"/>
      <c r="BLP96" s="56"/>
      <c r="BLZ96" s="56"/>
      <c r="BMJ96" s="56"/>
      <c r="BMT96" s="56"/>
      <c r="BND96" s="56"/>
      <c r="BNN96" s="56"/>
      <c r="BNX96" s="56"/>
      <c r="BOH96" s="56"/>
      <c r="BOR96" s="56"/>
      <c r="BPB96" s="56"/>
      <c r="BPL96" s="56"/>
      <c r="BPV96" s="56"/>
      <c r="BQF96" s="56"/>
      <c r="BQP96" s="56"/>
      <c r="BQZ96" s="56"/>
      <c r="BRJ96" s="56"/>
      <c r="BRT96" s="56"/>
      <c r="BSD96" s="56"/>
      <c r="BSN96" s="56"/>
      <c r="BSX96" s="56"/>
      <c r="BTH96" s="56"/>
      <c r="BTR96" s="56"/>
      <c r="BUB96" s="56"/>
      <c r="BUL96" s="56"/>
      <c r="BUV96" s="56"/>
      <c r="BVF96" s="56"/>
      <c r="BVP96" s="56"/>
      <c r="BVZ96" s="56"/>
      <c r="BWJ96" s="56"/>
      <c r="BWT96" s="56"/>
      <c r="BXD96" s="56"/>
      <c r="BXN96" s="56"/>
      <c r="BXX96" s="56"/>
      <c r="BYH96" s="56"/>
      <c r="BYR96" s="56"/>
      <c r="BZB96" s="56"/>
      <c r="BZL96" s="56"/>
      <c r="BZV96" s="56"/>
      <c r="CAF96" s="56"/>
      <c r="CAP96" s="56"/>
      <c r="CAZ96" s="56"/>
      <c r="CBJ96" s="56"/>
      <c r="CBT96" s="56"/>
      <c r="CCD96" s="56"/>
      <c r="CCN96" s="56"/>
      <c r="CCX96" s="56"/>
      <c r="CDH96" s="56"/>
      <c r="CDR96" s="56"/>
      <c r="CEB96" s="56"/>
      <c r="CEL96" s="56"/>
      <c r="CEV96" s="56"/>
      <c r="CFF96" s="56"/>
      <c r="CFP96" s="56"/>
      <c r="CFZ96" s="56"/>
      <c r="CGJ96" s="56"/>
      <c r="CGT96" s="56"/>
      <c r="CHD96" s="56"/>
      <c r="CHN96" s="56"/>
      <c r="CHX96" s="56"/>
      <c r="CIH96" s="56"/>
      <c r="CIR96" s="56"/>
      <c r="CJB96" s="56"/>
      <c r="CJL96" s="56"/>
      <c r="CJV96" s="56"/>
      <c r="CKF96" s="56"/>
      <c r="CKP96" s="56"/>
      <c r="CKZ96" s="56"/>
      <c r="CLJ96" s="56"/>
      <c r="CLT96" s="56"/>
      <c r="CMD96" s="56"/>
      <c r="CMN96" s="56"/>
      <c r="CMX96" s="56"/>
      <c r="CNH96" s="56"/>
      <c r="CNR96" s="56"/>
      <c r="COB96" s="56"/>
      <c r="COL96" s="56"/>
      <c r="COV96" s="56"/>
      <c r="CPF96" s="56"/>
      <c r="CPP96" s="56"/>
      <c r="CPZ96" s="56"/>
      <c r="CQJ96" s="56"/>
      <c r="CQT96" s="56"/>
      <c r="CRD96" s="56"/>
      <c r="CRN96" s="56"/>
      <c r="CRX96" s="56"/>
      <c r="CSH96" s="56"/>
      <c r="CSR96" s="56"/>
      <c r="CTB96" s="56"/>
      <c r="CTL96" s="56"/>
      <c r="CTV96" s="56"/>
    </row>
    <row r="97" s="42" customFormat="1" customHeight="1" spans="1:1020 1030:2040 2050:2570">
      <c r="A97" s="51"/>
      <c r="B97" s="52"/>
      <c r="C97" s="52"/>
      <c r="D97" s="52"/>
      <c r="E97" s="52"/>
      <c r="F97" s="53" t="str">
        <f>IFERROR(VLOOKUP(E97,日报!E:G,2,0),"")</f>
        <v/>
      </c>
      <c r="G97" s="52"/>
      <c r="H97" s="54" t="str">
        <f>IFERROR(VLOOKUP(E97,日报!E:H,4,0),"")</f>
        <v/>
      </c>
      <c r="I97" s="54" t="str">
        <f>IFERROR(VLOOKUP(E97,日报!E:G,3,0),"")</f>
        <v/>
      </c>
      <c r="J97" s="52"/>
      <c r="K97" s="55" t="str">
        <f t="shared" si="1"/>
        <v/>
      </c>
      <c r="T97" s="56"/>
      <c r="AD97" s="56"/>
      <c r="AN97" s="56"/>
      <c r="AX97" s="56"/>
      <c r="BH97" s="56"/>
      <c r="BR97" s="56"/>
      <c r="CB97" s="56"/>
      <c r="CL97" s="56"/>
      <c r="CV97" s="56"/>
      <c r="DF97" s="56"/>
      <c r="DP97" s="56"/>
      <c r="DZ97" s="56"/>
      <c r="EJ97" s="56"/>
      <c r="ET97" s="56"/>
      <c r="FD97" s="56"/>
      <c r="FN97" s="56"/>
      <c r="FX97" s="56"/>
      <c r="GH97" s="56"/>
      <c r="GR97" s="56"/>
      <c r="HB97" s="56"/>
      <c r="HL97" s="56"/>
      <c r="HV97" s="56"/>
      <c r="IF97" s="56"/>
      <c r="IP97" s="56"/>
      <c r="IZ97" s="56"/>
      <c r="JJ97" s="56"/>
      <c r="JT97" s="56"/>
      <c r="KD97" s="56"/>
      <c r="KN97" s="56"/>
      <c r="KX97" s="56"/>
      <c r="LH97" s="56"/>
      <c r="LR97" s="56"/>
      <c r="MB97" s="56"/>
      <c r="ML97" s="56"/>
      <c r="MV97" s="56"/>
      <c r="NF97" s="56"/>
      <c r="NP97" s="56"/>
      <c r="NZ97" s="56"/>
      <c r="OJ97" s="56"/>
      <c r="OT97" s="56"/>
      <c r="PD97" s="56"/>
      <c r="PN97" s="56"/>
      <c r="PX97" s="56"/>
      <c r="QH97" s="56"/>
      <c r="QR97" s="56"/>
      <c r="RB97" s="56"/>
      <c r="RL97" s="56"/>
      <c r="RV97" s="56"/>
      <c r="SF97" s="56"/>
      <c r="SP97" s="56"/>
      <c r="SZ97" s="56"/>
      <c r="TJ97" s="56"/>
      <c r="TT97" s="56"/>
      <c r="UD97" s="56"/>
      <c r="UN97" s="56"/>
      <c r="UX97" s="56"/>
      <c r="VH97" s="56"/>
      <c r="VR97" s="56"/>
      <c r="WB97" s="56"/>
      <c r="WL97" s="56"/>
      <c r="WV97" s="56"/>
      <c r="XF97" s="56"/>
      <c r="XP97" s="56"/>
      <c r="XZ97" s="56"/>
      <c r="YJ97" s="56"/>
      <c r="YT97" s="56"/>
      <c r="ZD97" s="56"/>
      <c r="ZN97" s="56"/>
      <c r="ZX97" s="56"/>
      <c r="AAH97" s="56"/>
      <c r="AAR97" s="56"/>
      <c r="ABB97" s="56"/>
      <c r="ABL97" s="56"/>
      <c r="ABV97" s="56"/>
      <c r="ACF97" s="56"/>
      <c r="ACP97" s="56"/>
      <c r="ACZ97" s="56"/>
      <c r="ADJ97" s="56"/>
      <c r="ADT97" s="56"/>
      <c r="AED97" s="56"/>
      <c r="AEN97" s="56"/>
      <c r="AEX97" s="56"/>
      <c r="AFH97" s="56"/>
      <c r="AFR97" s="56"/>
      <c r="AGB97" s="56"/>
      <c r="AGL97" s="56"/>
      <c r="AGV97" s="56"/>
      <c r="AHF97" s="56"/>
      <c r="AHP97" s="56"/>
      <c r="AHZ97" s="56"/>
      <c r="AIJ97" s="56"/>
      <c r="AIT97" s="56"/>
      <c r="AJD97" s="56"/>
      <c r="AJN97" s="56"/>
      <c r="AJX97" s="56"/>
      <c r="AKH97" s="56"/>
      <c r="AKR97" s="56"/>
      <c r="ALB97" s="56"/>
      <c r="ALL97" s="56"/>
      <c r="ALV97" s="56"/>
      <c r="AMF97" s="56"/>
      <c r="AMP97" s="56"/>
      <c r="AMZ97" s="56"/>
      <c r="ANJ97" s="56"/>
      <c r="ANT97" s="56"/>
      <c r="AOD97" s="56"/>
      <c r="AON97" s="56"/>
      <c r="AOX97" s="56"/>
      <c r="APH97" s="56"/>
      <c r="APR97" s="56"/>
      <c r="AQB97" s="56"/>
      <c r="AQL97" s="56"/>
      <c r="AQV97" s="56"/>
      <c r="ARF97" s="56"/>
      <c r="ARP97" s="56"/>
      <c r="ARZ97" s="56"/>
      <c r="ASJ97" s="56"/>
      <c r="AST97" s="56"/>
      <c r="ATD97" s="56"/>
      <c r="ATN97" s="56"/>
      <c r="ATX97" s="56"/>
      <c r="AUH97" s="56"/>
      <c r="AUR97" s="56"/>
      <c r="AVB97" s="56"/>
      <c r="AVL97" s="56"/>
      <c r="AVV97" s="56"/>
      <c r="AWF97" s="56"/>
      <c r="AWP97" s="56"/>
      <c r="AWZ97" s="56"/>
      <c r="AXJ97" s="56"/>
      <c r="AXT97" s="56"/>
      <c r="AYD97" s="56"/>
      <c r="AYN97" s="56"/>
      <c r="AYX97" s="56"/>
      <c r="AZH97" s="56"/>
      <c r="AZR97" s="56"/>
      <c r="BAB97" s="56"/>
      <c r="BAL97" s="56"/>
      <c r="BAV97" s="56"/>
      <c r="BBF97" s="56"/>
      <c r="BBP97" s="56"/>
      <c r="BBZ97" s="56"/>
      <c r="BCJ97" s="56"/>
      <c r="BCT97" s="56"/>
      <c r="BDD97" s="56"/>
      <c r="BDN97" s="56"/>
      <c r="BDX97" s="56"/>
      <c r="BEH97" s="56"/>
      <c r="BER97" s="56"/>
      <c r="BFB97" s="56"/>
      <c r="BFL97" s="56"/>
      <c r="BFV97" s="56"/>
      <c r="BGF97" s="56"/>
      <c r="BGP97" s="56"/>
      <c r="BGZ97" s="56"/>
      <c r="BHJ97" s="56"/>
      <c r="BHT97" s="56"/>
      <c r="BID97" s="56"/>
      <c r="BIN97" s="56"/>
      <c r="BIX97" s="56"/>
      <c r="BJH97" s="56"/>
      <c r="BJR97" s="56"/>
      <c r="BKB97" s="56"/>
      <c r="BKL97" s="56"/>
      <c r="BKV97" s="56"/>
      <c r="BLF97" s="56"/>
      <c r="BLP97" s="56"/>
      <c r="BLZ97" s="56"/>
      <c r="BMJ97" s="56"/>
      <c r="BMT97" s="56"/>
      <c r="BND97" s="56"/>
      <c r="BNN97" s="56"/>
      <c r="BNX97" s="56"/>
      <c r="BOH97" s="56"/>
      <c r="BOR97" s="56"/>
      <c r="BPB97" s="56"/>
      <c r="BPL97" s="56"/>
      <c r="BPV97" s="56"/>
      <c r="BQF97" s="56"/>
      <c r="BQP97" s="56"/>
      <c r="BQZ97" s="56"/>
      <c r="BRJ97" s="56"/>
      <c r="BRT97" s="56"/>
      <c r="BSD97" s="56"/>
      <c r="BSN97" s="56"/>
      <c r="BSX97" s="56"/>
      <c r="BTH97" s="56"/>
      <c r="BTR97" s="56"/>
      <c r="BUB97" s="56"/>
      <c r="BUL97" s="56"/>
      <c r="BUV97" s="56"/>
      <c r="BVF97" s="56"/>
      <c r="BVP97" s="56"/>
      <c r="BVZ97" s="56"/>
      <c r="BWJ97" s="56"/>
      <c r="BWT97" s="56"/>
      <c r="BXD97" s="56"/>
      <c r="BXN97" s="56"/>
      <c r="BXX97" s="56"/>
      <c r="BYH97" s="56"/>
      <c r="BYR97" s="56"/>
      <c r="BZB97" s="56"/>
      <c r="BZL97" s="56"/>
      <c r="BZV97" s="56"/>
      <c r="CAF97" s="56"/>
      <c r="CAP97" s="56"/>
      <c r="CAZ97" s="56"/>
      <c r="CBJ97" s="56"/>
      <c r="CBT97" s="56"/>
      <c r="CCD97" s="56"/>
      <c r="CCN97" s="56"/>
      <c r="CCX97" s="56"/>
      <c r="CDH97" s="56"/>
      <c r="CDR97" s="56"/>
      <c r="CEB97" s="56"/>
      <c r="CEL97" s="56"/>
      <c r="CEV97" s="56"/>
      <c r="CFF97" s="56"/>
      <c r="CFP97" s="56"/>
      <c r="CFZ97" s="56"/>
      <c r="CGJ97" s="56"/>
      <c r="CGT97" s="56"/>
      <c r="CHD97" s="56"/>
      <c r="CHN97" s="56"/>
      <c r="CHX97" s="56"/>
      <c r="CIH97" s="56"/>
      <c r="CIR97" s="56"/>
      <c r="CJB97" s="56"/>
      <c r="CJL97" s="56"/>
      <c r="CJV97" s="56"/>
      <c r="CKF97" s="56"/>
      <c r="CKP97" s="56"/>
      <c r="CKZ97" s="56"/>
      <c r="CLJ97" s="56"/>
      <c r="CLT97" s="56"/>
      <c r="CMD97" s="56"/>
      <c r="CMN97" s="56"/>
      <c r="CMX97" s="56"/>
      <c r="CNH97" s="56"/>
      <c r="CNR97" s="56"/>
      <c r="COB97" s="56"/>
      <c r="COL97" s="56"/>
      <c r="COV97" s="56"/>
      <c r="CPF97" s="56"/>
      <c r="CPP97" s="56"/>
      <c r="CPZ97" s="56"/>
      <c r="CQJ97" s="56"/>
      <c r="CQT97" s="56"/>
      <c r="CRD97" s="56"/>
      <c r="CRN97" s="56"/>
      <c r="CRX97" s="56"/>
      <c r="CSH97" s="56"/>
      <c r="CSR97" s="56"/>
      <c r="CTB97" s="56"/>
      <c r="CTL97" s="56"/>
      <c r="CTV97" s="56"/>
    </row>
    <row r="98" s="42" customFormat="1" customHeight="1" spans="1:1020 1030:2040 2050:2570">
      <c r="A98" s="51"/>
      <c r="B98" s="52"/>
      <c r="C98" s="52"/>
      <c r="D98" s="52"/>
      <c r="E98" s="52"/>
      <c r="F98" s="53" t="str">
        <f>IFERROR(VLOOKUP(E98,日报!E:G,2,0),"")</f>
        <v/>
      </c>
      <c r="G98" s="52"/>
      <c r="H98" s="54" t="str">
        <f>IFERROR(VLOOKUP(E98,日报!E:H,4,0),"")</f>
        <v/>
      </c>
      <c r="I98" s="54" t="str">
        <f>IFERROR(VLOOKUP(E98,日报!E:G,3,0),"")</f>
        <v/>
      </c>
      <c r="J98" s="52"/>
      <c r="K98" s="55" t="str">
        <f t="shared" si="1"/>
        <v/>
      </c>
      <c r="T98" s="56"/>
      <c r="AD98" s="56"/>
      <c r="AN98" s="56"/>
      <c r="AX98" s="56"/>
      <c r="BH98" s="56"/>
      <c r="BR98" s="56"/>
      <c r="CB98" s="56"/>
      <c r="CL98" s="56"/>
      <c r="CV98" s="56"/>
      <c r="DF98" s="56"/>
      <c r="DP98" s="56"/>
      <c r="DZ98" s="56"/>
      <c r="EJ98" s="56"/>
      <c r="ET98" s="56"/>
      <c r="FD98" s="56"/>
      <c r="FN98" s="56"/>
      <c r="FX98" s="56"/>
      <c r="GH98" s="56"/>
      <c r="GR98" s="56"/>
      <c r="HB98" s="56"/>
      <c r="HL98" s="56"/>
      <c r="HV98" s="56"/>
      <c r="IF98" s="56"/>
      <c r="IP98" s="56"/>
      <c r="IZ98" s="56"/>
      <c r="JJ98" s="56"/>
      <c r="JT98" s="56"/>
      <c r="KD98" s="56"/>
      <c r="KN98" s="56"/>
      <c r="KX98" s="56"/>
      <c r="LH98" s="56"/>
      <c r="LR98" s="56"/>
      <c r="MB98" s="56"/>
      <c r="ML98" s="56"/>
      <c r="MV98" s="56"/>
      <c r="NF98" s="56"/>
      <c r="NP98" s="56"/>
      <c r="NZ98" s="56"/>
      <c r="OJ98" s="56"/>
      <c r="OT98" s="56"/>
      <c r="PD98" s="56"/>
      <c r="PN98" s="56"/>
      <c r="PX98" s="56"/>
      <c r="QH98" s="56"/>
      <c r="QR98" s="56"/>
      <c r="RB98" s="56"/>
      <c r="RL98" s="56"/>
      <c r="RV98" s="56"/>
      <c r="SF98" s="56"/>
      <c r="SP98" s="56"/>
      <c r="SZ98" s="56"/>
      <c r="TJ98" s="56"/>
      <c r="TT98" s="56"/>
      <c r="UD98" s="56"/>
      <c r="UN98" s="56"/>
      <c r="UX98" s="56"/>
      <c r="VH98" s="56"/>
      <c r="VR98" s="56"/>
      <c r="WB98" s="56"/>
      <c r="WL98" s="56"/>
      <c r="WV98" s="56"/>
      <c r="XF98" s="56"/>
      <c r="XP98" s="56"/>
      <c r="XZ98" s="56"/>
      <c r="YJ98" s="56"/>
      <c r="YT98" s="56"/>
      <c r="ZD98" s="56"/>
      <c r="ZN98" s="56"/>
      <c r="ZX98" s="56"/>
      <c r="AAH98" s="56"/>
      <c r="AAR98" s="56"/>
      <c r="ABB98" s="56"/>
      <c r="ABL98" s="56"/>
      <c r="ABV98" s="56"/>
      <c r="ACF98" s="56"/>
      <c r="ACP98" s="56"/>
      <c r="ACZ98" s="56"/>
      <c r="ADJ98" s="56"/>
      <c r="ADT98" s="56"/>
      <c r="AED98" s="56"/>
      <c r="AEN98" s="56"/>
      <c r="AEX98" s="56"/>
      <c r="AFH98" s="56"/>
      <c r="AFR98" s="56"/>
      <c r="AGB98" s="56"/>
      <c r="AGL98" s="56"/>
      <c r="AGV98" s="56"/>
      <c r="AHF98" s="56"/>
      <c r="AHP98" s="56"/>
      <c r="AHZ98" s="56"/>
      <c r="AIJ98" s="56"/>
      <c r="AIT98" s="56"/>
      <c r="AJD98" s="56"/>
      <c r="AJN98" s="56"/>
      <c r="AJX98" s="56"/>
      <c r="AKH98" s="56"/>
      <c r="AKR98" s="56"/>
      <c r="ALB98" s="56"/>
      <c r="ALL98" s="56"/>
      <c r="ALV98" s="56"/>
      <c r="AMF98" s="56"/>
      <c r="AMP98" s="56"/>
      <c r="AMZ98" s="56"/>
      <c r="ANJ98" s="56"/>
      <c r="ANT98" s="56"/>
      <c r="AOD98" s="56"/>
      <c r="AON98" s="56"/>
      <c r="AOX98" s="56"/>
      <c r="APH98" s="56"/>
      <c r="APR98" s="56"/>
      <c r="AQB98" s="56"/>
      <c r="AQL98" s="56"/>
      <c r="AQV98" s="56"/>
      <c r="ARF98" s="56"/>
      <c r="ARP98" s="56"/>
      <c r="ARZ98" s="56"/>
      <c r="ASJ98" s="56"/>
      <c r="AST98" s="56"/>
      <c r="ATD98" s="56"/>
      <c r="ATN98" s="56"/>
      <c r="ATX98" s="56"/>
      <c r="AUH98" s="56"/>
      <c r="AUR98" s="56"/>
      <c r="AVB98" s="56"/>
      <c r="AVL98" s="56"/>
      <c r="AVV98" s="56"/>
      <c r="AWF98" s="56"/>
      <c r="AWP98" s="56"/>
      <c r="AWZ98" s="56"/>
      <c r="AXJ98" s="56"/>
      <c r="AXT98" s="56"/>
      <c r="AYD98" s="56"/>
      <c r="AYN98" s="56"/>
      <c r="AYX98" s="56"/>
      <c r="AZH98" s="56"/>
      <c r="AZR98" s="56"/>
      <c r="BAB98" s="56"/>
      <c r="BAL98" s="56"/>
      <c r="BAV98" s="56"/>
      <c r="BBF98" s="56"/>
      <c r="BBP98" s="56"/>
      <c r="BBZ98" s="56"/>
      <c r="BCJ98" s="56"/>
      <c r="BCT98" s="56"/>
      <c r="BDD98" s="56"/>
      <c r="BDN98" s="56"/>
      <c r="BDX98" s="56"/>
      <c r="BEH98" s="56"/>
      <c r="BER98" s="56"/>
      <c r="BFB98" s="56"/>
      <c r="BFL98" s="56"/>
      <c r="BFV98" s="56"/>
      <c r="BGF98" s="56"/>
      <c r="BGP98" s="56"/>
      <c r="BGZ98" s="56"/>
      <c r="BHJ98" s="56"/>
      <c r="BHT98" s="56"/>
      <c r="BID98" s="56"/>
      <c r="BIN98" s="56"/>
      <c r="BIX98" s="56"/>
      <c r="BJH98" s="56"/>
      <c r="BJR98" s="56"/>
      <c r="BKB98" s="56"/>
      <c r="BKL98" s="56"/>
      <c r="BKV98" s="56"/>
      <c r="BLF98" s="56"/>
      <c r="BLP98" s="56"/>
      <c r="BLZ98" s="56"/>
      <c r="BMJ98" s="56"/>
      <c r="BMT98" s="56"/>
      <c r="BND98" s="56"/>
      <c r="BNN98" s="56"/>
      <c r="BNX98" s="56"/>
      <c r="BOH98" s="56"/>
      <c r="BOR98" s="56"/>
      <c r="BPB98" s="56"/>
      <c r="BPL98" s="56"/>
      <c r="BPV98" s="56"/>
      <c r="BQF98" s="56"/>
      <c r="BQP98" s="56"/>
      <c r="BQZ98" s="56"/>
      <c r="BRJ98" s="56"/>
      <c r="BRT98" s="56"/>
      <c r="BSD98" s="56"/>
      <c r="BSN98" s="56"/>
      <c r="BSX98" s="56"/>
      <c r="BTH98" s="56"/>
      <c r="BTR98" s="56"/>
      <c r="BUB98" s="56"/>
      <c r="BUL98" s="56"/>
      <c r="BUV98" s="56"/>
      <c r="BVF98" s="56"/>
      <c r="BVP98" s="56"/>
      <c r="BVZ98" s="56"/>
      <c r="BWJ98" s="56"/>
      <c r="BWT98" s="56"/>
      <c r="BXD98" s="56"/>
      <c r="BXN98" s="56"/>
      <c r="BXX98" s="56"/>
      <c r="BYH98" s="56"/>
      <c r="BYR98" s="56"/>
      <c r="BZB98" s="56"/>
      <c r="BZL98" s="56"/>
      <c r="BZV98" s="56"/>
      <c r="CAF98" s="56"/>
      <c r="CAP98" s="56"/>
      <c r="CAZ98" s="56"/>
      <c r="CBJ98" s="56"/>
      <c r="CBT98" s="56"/>
      <c r="CCD98" s="56"/>
      <c r="CCN98" s="56"/>
      <c r="CCX98" s="56"/>
      <c r="CDH98" s="56"/>
      <c r="CDR98" s="56"/>
      <c r="CEB98" s="56"/>
      <c r="CEL98" s="56"/>
      <c r="CEV98" s="56"/>
      <c r="CFF98" s="56"/>
      <c r="CFP98" s="56"/>
      <c r="CFZ98" s="56"/>
      <c r="CGJ98" s="56"/>
      <c r="CGT98" s="56"/>
      <c r="CHD98" s="56"/>
      <c r="CHN98" s="56"/>
      <c r="CHX98" s="56"/>
      <c r="CIH98" s="56"/>
      <c r="CIR98" s="56"/>
      <c r="CJB98" s="56"/>
      <c r="CJL98" s="56"/>
      <c r="CJV98" s="56"/>
      <c r="CKF98" s="56"/>
      <c r="CKP98" s="56"/>
      <c r="CKZ98" s="56"/>
      <c r="CLJ98" s="56"/>
      <c r="CLT98" s="56"/>
      <c r="CMD98" s="56"/>
      <c r="CMN98" s="56"/>
      <c r="CMX98" s="56"/>
      <c r="CNH98" s="56"/>
      <c r="CNR98" s="56"/>
      <c r="COB98" s="56"/>
      <c r="COL98" s="56"/>
      <c r="COV98" s="56"/>
      <c r="CPF98" s="56"/>
      <c r="CPP98" s="56"/>
      <c r="CPZ98" s="56"/>
      <c r="CQJ98" s="56"/>
      <c r="CQT98" s="56"/>
      <c r="CRD98" s="56"/>
      <c r="CRN98" s="56"/>
      <c r="CRX98" s="56"/>
      <c r="CSH98" s="56"/>
      <c r="CSR98" s="56"/>
      <c r="CTB98" s="56"/>
      <c r="CTL98" s="56"/>
      <c r="CTV98" s="56"/>
    </row>
    <row r="99" s="42" customFormat="1" customHeight="1" spans="1:1020 1030:2040 2050:2570">
      <c r="A99" s="51"/>
      <c r="B99" s="52"/>
      <c r="C99" s="52"/>
      <c r="D99" s="52"/>
      <c r="E99" s="52"/>
      <c r="F99" s="53" t="str">
        <f>IFERROR(VLOOKUP(E99,日报!E:G,2,0),"")</f>
        <v/>
      </c>
      <c r="G99" s="52"/>
      <c r="H99" s="54" t="str">
        <f>IFERROR(VLOOKUP(E99,日报!E:H,4,0),"")</f>
        <v/>
      </c>
      <c r="I99" s="54" t="str">
        <f>IFERROR(VLOOKUP(E99,日报!E:G,3,0),"")</f>
        <v/>
      </c>
      <c r="J99" s="52"/>
      <c r="K99" s="55" t="str">
        <f t="shared" si="1"/>
        <v/>
      </c>
      <c r="T99" s="56"/>
      <c r="AD99" s="56"/>
      <c r="AN99" s="56"/>
      <c r="AX99" s="56"/>
      <c r="BH99" s="56"/>
      <c r="BR99" s="56"/>
      <c r="CB99" s="56"/>
      <c r="CL99" s="56"/>
      <c r="CV99" s="56"/>
      <c r="DF99" s="56"/>
      <c r="DP99" s="56"/>
      <c r="DZ99" s="56"/>
      <c r="EJ99" s="56"/>
      <c r="ET99" s="56"/>
      <c r="FD99" s="56"/>
      <c r="FN99" s="56"/>
      <c r="FX99" s="56"/>
      <c r="GH99" s="56"/>
      <c r="GR99" s="56"/>
      <c r="HB99" s="56"/>
      <c r="HL99" s="56"/>
      <c r="HV99" s="56"/>
      <c r="IF99" s="56"/>
      <c r="IP99" s="56"/>
      <c r="IZ99" s="56"/>
      <c r="JJ99" s="56"/>
      <c r="JT99" s="56"/>
      <c r="KD99" s="56"/>
      <c r="KN99" s="56"/>
      <c r="KX99" s="56"/>
      <c r="LH99" s="56"/>
      <c r="LR99" s="56"/>
      <c r="MB99" s="56"/>
      <c r="ML99" s="56"/>
      <c r="MV99" s="56"/>
      <c r="NF99" s="56"/>
      <c r="NP99" s="56"/>
      <c r="NZ99" s="56"/>
      <c r="OJ99" s="56"/>
      <c r="OT99" s="56"/>
      <c r="PD99" s="56"/>
      <c r="PN99" s="56"/>
      <c r="PX99" s="56"/>
      <c r="QH99" s="56"/>
      <c r="QR99" s="56"/>
      <c r="RB99" s="56"/>
      <c r="RL99" s="56"/>
      <c r="RV99" s="56"/>
      <c r="SF99" s="56"/>
      <c r="SP99" s="56"/>
      <c r="SZ99" s="56"/>
      <c r="TJ99" s="56"/>
      <c r="TT99" s="56"/>
      <c r="UD99" s="56"/>
      <c r="UN99" s="56"/>
      <c r="UX99" s="56"/>
      <c r="VH99" s="56"/>
      <c r="VR99" s="56"/>
      <c r="WB99" s="56"/>
      <c r="WL99" s="56"/>
      <c r="WV99" s="56"/>
      <c r="XF99" s="56"/>
      <c r="XP99" s="56"/>
      <c r="XZ99" s="56"/>
      <c r="YJ99" s="56"/>
      <c r="YT99" s="56"/>
      <c r="ZD99" s="56"/>
      <c r="ZN99" s="56"/>
      <c r="ZX99" s="56"/>
      <c r="AAH99" s="56"/>
      <c r="AAR99" s="56"/>
      <c r="ABB99" s="56"/>
      <c r="ABL99" s="56"/>
      <c r="ABV99" s="56"/>
      <c r="ACF99" s="56"/>
      <c r="ACP99" s="56"/>
      <c r="ACZ99" s="56"/>
      <c r="ADJ99" s="56"/>
      <c r="ADT99" s="56"/>
      <c r="AED99" s="56"/>
      <c r="AEN99" s="56"/>
      <c r="AEX99" s="56"/>
      <c r="AFH99" s="56"/>
      <c r="AFR99" s="56"/>
      <c r="AGB99" s="56"/>
      <c r="AGL99" s="56"/>
      <c r="AGV99" s="56"/>
      <c r="AHF99" s="56"/>
      <c r="AHP99" s="56"/>
      <c r="AHZ99" s="56"/>
      <c r="AIJ99" s="56"/>
      <c r="AIT99" s="56"/>
      <c r="AJD99" s="56"/>
      <c r="AJN99" s="56"/>
      <c r="AJX99" s="56"/>
      <c r="AKH99" s="56"/>
      <c r="AKR99" s="56"/>
      <c r="ALB99" s="56"/>
      <c r="ALL99" s="56"/>
      <c r="ALV99" s="56"/>
      <c r="AMF99" s="56"/>
      <c r="AMP99" s="56"/>
      <c r="AMZ99" s="56"/>
      <c r="ANJ99" s="56"/>
      <c r="ANT99" s="56"/>
      <c r="AOD99" s="56"/>
      <c r="AON99" s="56"/>
      <c r="AOX99" s="56"/>
      <c r="APH99" s="56"/>
      <c r="APR99" s="56"/>
      <c r="AQB99" s="56"/>
      <c r="AQL99" s="56"/>
      <c r="AQV99" s="56"/>
      <c r="ARF99" s="56"/>
      <c r="ARP99" s="56"/>
      <c r="ARZ99" s="56"/>
      <c r="ASJ99" s="56"/>
      <c r="AST99" s="56"/>
      <c r="ATD99" s="56"/>
      <c r="ATN99" s="56"/>
      <c r="ATX99" s="56"/>
      <c r="AUH99" s="56"/>
      <c r="AUR99" s="56"/>
      <c r="AVB99" s="56"/>
      <c r="AVL99" s="56"/>
      <c r="AVV99" s="56"/>
      <c r="AWF99" s="56"/>
      <c r="AWP99" s="56"/>
      <c r="AWZ99" s="56"/>
      <c r="AXJ99" s="56"/>
      <c r="AXT99" s="56"/>
      <c r="AYD99" s="56"/>
      <c r="AYN99" s="56"/>
      <c r="AYX99" s="56"/>
      <c r="AZH99" s="56"/>
      <c r="AZR99" s="56"/>
      <c r="BAB99" s="56"/>
      <c r="BAL99" s="56"/>
      <c r="BAV99" s="56"/>
      <c r="BBF99" s="56"/>
      <c r="BBP99" s="56"/>
      <c r="BBZ99" s="56"/>
      <c r="BCJ99" s="56"/>
      <c r="BCT99" s="56"/>
      <c r="BDD99" s="56"/>
      <c r="BDN99" s="56"/>
      <c r="BDX99" s="56"/>
      <c r="BEH99" s="56"/>
      <c r="BER99" s="56"/>
      <c r="BFB99" s="56"/>
      <c r="BFL99" s="56"/>
      <c r="BFV99" s="56"/>
      <c r="BGF99" s="56"/>
      <c r="BGP99" s="56"/>
      <c r="BGZ99" s="56"/>
      <c r="BHJ99" s="56"/>
      <c r="BHT99" s="56"/>
      <c r="BID99" s="56"/>
      <c r="BIN99" s="56"/>
      <c r="BIX99" s="56"/>
      <c r="BJH99" s="56"/>
      <c r="BJR99" s="56"/>
      <c r="BKB99" s="56"/>
      <c r="BKL99" s="56"/>
      <c r="BKV99" s="56"/>
      <c r="BLF99" s="56"/>
      <c r="BLP99" s="56"/>
      <c r="BLZ99" s="56"/>
      <c r="BMJ99" s="56"/>
      <c r="BMT99" s="56"/>
      <c r="BND99" s="56"/>
      <c r="BNN99" s="56"/>
      <c r="BNX99" s="56"/>
      <c r="BOH99" s="56"/>
      <c r="BOR99" s="56"/>
      <c r="BPB99" s="56"/>
      <c r="BPL99" s="56"/>
      <c r="BPV99" s="56"/>
      <c r="BQF99" s="56"/>
      <c r="BQP99" s="56"/>
      <c r="BQZ99" s="56"/>
      <c r="BRJ99" s="56"/>
      <c r="BRT99" s="56"/>
      <c r="BSD99" s="56"/>
      <c r="BSN99" s="56"/>
      <c r="BSX99" s="56"/>
      <c r="BTH99" s="56"/>
      <c r="BTR99" s="56"/>
      <c r="BUB99" s="56"/>
      <c r="BUL99" s="56"/>
      <c r="BUV99" s="56"/>
      <c r="BVF99" s="56"/>
      <c r="BVP99" s="56"/>
      <c r="BVZ99" s="56"/>
      <c r="BWJ99" s="56"/>
      <c r="BWT99" s="56"/>
      <c r="BXD99" s="56"/>
      <c r="BXN99" s="56"/>
      <c r="BXX99" s="56"/>
      <c r="BYH99" s="56"/>
      <c r="BYR99" s="56"/>
      <c r="BZB99" s="56"/>
      <c r="BZL99" s="56"/>
      <c r="BZV99" s="56"/>
      <c r="CAF99" s="56"/>
      <c r="CAP99" s="56"/>
      <c r="CAZ99" s="56"/>
      <c r="CBJ99" s="56"/>
      <c r="CBT99" s="56"/>
      <c r="CCD99" s="56"/>
      <c r="CCN99" s="56"/>
      <c r="CCX99" s="56"/>
      <c r="CDH99" s="56"/>
      <c r="CDR99" s="56"/>
      <c r="CEB99" s="56"/>
      <c r="CEL99" s="56"/>
      <c r="CEV99" s="56"/>
      <c r="CFF99" s="56"/>
      <c r="CFP99" s="56"/>
      <c r="CFZ99" s="56"/>
      <c r="CGJ99" s="56"/>
      <c r="CGT99" s="56"/>
      <c r="CHD99" s="56"/>
      <c r="CHN99" s="56"/>
      <c r="CHX99" s="56"/>
      <c r="CIH99" s="56"/>
      <c r="CIR99" s="56"/>
      <c r="CJB99" s="56"/>
      <c r="CJL99" s="56"/>
      <c r="CJV99" s="56"/>
      <c r="CKF99" s="56"/>
      <c r="CKP99" s="56"/>
      <c r="CKZ99" s="56"/>
      <c r="CLJ99" s="56"/>
      <c r="CLT99" s="56"/>
      <c r="CMD99" s="56"/>
      <c r="CMN99" s="56"/>
      <c r="CMX99" s="56"/>
      <c r="CNH99" s="56"/>
      <c r="CNR99" s="56"/>
      <c r="COB99" s="56"/>
      <c r="COL99" s="56"/>
      <c r="COV99" s="56"/>
      <c r="CPF99" s="56"/>
      <c r="CPP99" s="56"/>
      <c r="CPZ99" s="56"/>
      <c r="CQJ99" s="56"/>
      <c r="CQT99" s="56"/>
      <c r="CRD99" s="56"/>
      <c r="CRN99" s="56"/>
      <c r="CRX99" s="56"/>
      <c r="CSH99" s="56"/>
      <c r="CSR99" s="56"/>
      <c r="CTB99" s="56"/>
      <c r="CTL99" s="56"/>
      <c r="CTV99" s="56"/>
    </row>
    <row r="100" s="42" customFormat="1" customHeight="1" spans="1:1020 1030:2040 2050:2570">
      <c r="A100" s="51"/>
      <c r="B100" s="52"/>
      <c r="C100" s="52"/>
      <c r="D100" s="52"/>
      <c r="E100" s="52"/>
      <c r="F100" s="53" t="str">
        <f>IFERROR(VLOOKUP(E100,日报!E:G,2,0),"")</f>
        <v/>
      </c>
      <c r="G100" s="52"/>
      <c r="H100" s="54" t="str">
        <f>IFERROR(VLOOKUP(E100,日报!E:H,4,0),"")</f>
        <v/>
      </c>
      <c r="I100" s="54" t="str">
        <f>IFERROR(VLOOKUP(E100,日报!E:G,3,0),"")</f>
        <v/>
      </c>
      <c r="J100" s="52"/>
      <c r="K100" s="55" t="str">
        <f t="shared" si="1"/>
        <v/>
      </c>
      <c r="T100" s="56"/>
      <c r="AD100" s="56"/>
      <c r="AN100" s="56"/>
      <c r="AX100" s="56"/>
      <c r="BH100" s="56"/>
      <c r="BR100" s="56"/>
      <c r="CB100" s="56"/>
      <c r="CL100" s="56"/>
      <c r="CV100" s="56"/>
      <c r="DF100" s="56"/>
      <c r="DP100" s="56"/>
      <c r="DZ100" s="56"/>
      <c r="EJ100" s="56"/>
      <c r="ET100" s="56"/>
      <c r="FD100" s="56"/>
      <c r="FN100" s="56"/>
      <c r="FX100" s="56"/>
      <c r="GH100" s="56"/>
      <c r="GR100" s="56"/>
      <c r="HB100" s="56"/>
      <c r="HL100" s="56"/>
      <c r="HV100" s="56"/>
      <c r="IF100" s="56"/>
      <c r="IP100" s="56"/>
      <c r="IZ100" s="56"/>
      <c r="JJ100" s="56"/>
      <c r="JT100" s="56"/>
      <c r="KD100" s="56"/>
      <c r="KN100" s="56"/>
      <c r="KX100" s="56"/>
      <c r="LH100" s="56"/>
      <c r="LR100" s="56"/>
      <c r="MB100" s="56"/>
      <c r="ML100" s="56"/>
      <c r="MV100" s="56"/>
      <c r="NF100" s="56"/>
      <c r="NP100" s="56"/>
      <c r="NZ100" s="56"/>
      <c r="OJ100" s="56"/>
      <c r="OT100" s="56"/>
      <c r="PD100" s="56"/>
      <c r="PN100" s="56"/>
      <c r="PX100" s="56"/>
      <c r="QH100" s="56"/>
      <c r="QR100" s="56"/>
      <c r="RB100" s="56"/>
      <c r="RL100" s="56"/>
      <c r="RV100" s="56"/>
      <c r="SF100" s="56"/>
      <c r="SP100" s="56"/>
      <c r="SZ100" s="56"/>
      <c r="TJ100" s="56"/>
      <c r="TT100" s="56"/>
      <c r="UD100" s="56"/>
      <c r="UN100" s="56"/>
      <c r="UX100" s="56"/>
      <c r="VH100" s="56"/>
      <c r="VR100" s="56"/>
      <c r="WB100" s="56"/>
      <c r="WL100" s="56"/>
      <c r="WV100" s="56"/>
      <c r="XF100" s="56"/>
      <c r="XP100" s="56"/>
      <c r="XZ100" s="56"/>
      <c r="YJ100" s="56"/>
      <c r="YT100" s="56"/>
      <c r="ZD100" s="56"/>
      <c r="ZN100" s="56"/>
      <c r="ZX100" s="56"/>
      <c r="AAH100" s="56"/>
      <c r="AAR100" s="56"/>
      <c r="ABB100" s="56"/>
      <c r="ABL100" s="56"/>
      <c r="ABV100" s="56"/>
      <c r="ACF100" s="56"/>
      <c r="ACP100" s="56"/>
      <c r="ACZ100" s="56"/>
      <c r="ADJ100" s="56"/>
      <c r="ADT100" s="56"/>
      <c r="AED100" s="56"/>
      <c r="AEN100" s="56"/>
      <c r="AEX100" s="56"/>
      <c r="AFH100" s="56"/>
      <c r="AFR100" s="56"/>
      <c r="AGB100" s="56"/>
      <c r="AGL100" s="56"/>
      <c r="AGV100" s="56"/>
      <c r="AHF100" s="56"/>
      <c r="AHP100" s="56"/>
      <c r="AHZ100" s="56"/>
      <c r="AIJ100" s="56"/>
      <c r="AIT100" s="56"/>
      <c r="AJD100" s="56"/>
      <c r="AJN100" s="56"/>
      <c r="AJX100" s="56"/>
      <c r="AKH100" s="56"/>
      <c r="AKR100" s="56"/>
      <c r="ALB100" s="56"/>
      <c r="ALL100" s="56"/>
      <c r="ALV100" s="56"/>
      <c r="AMF100" s="56"/>
      <c r="AMP100" s="56"/>
      <c r="AMZ100" s="56"/>
      <c r="ANJ100" s="56"/>
      <c r="ANT100" s="56"/>
      <c r="AOD100" s="56"/>
      <c r="AON100" s="56"/>
      <c r="AOX100" s="56"/>
      <c r="APH100" s="56"/>
      <c r="APR100" s="56"/>
      <c r="AQB100" s="56"/>
      <c r="AQL100" s="56"/>
      <c r="AQV100" s="56"/>
      <c r="ARF100" s="56"/>
      <c r="ARP100" s="56"/>
      <c r="ARZ100" s="56"/>
      <c r="ASJ100" s="56"/>
      <c r="AST100" s="56"/>
      <c r="ATD100" s="56"/>
      <c r="ATN100" s="56"/>
      <c r="ATX100" s="56"/>
      <c r="AUH100" s="56"/>
      <c r="AUR100" s="56"/>
      <c r="AVB100" s="56"/>
      <c r="AVL100" s="56"/>
      <c r="AVV100" s="56"/>
      <c r="AWF100" s="56"/>
      <c r="AWP100" s="56"/>
      <c r="AWZ100" s="56"/>
      <c r="AXJ100" s="56"/>
      <c r="AXT100" s="56"/>
      <c r="AYD100" s="56"/>
      <c r="AYN100" s="56"/>
      <c r="AYX100" s="56"/>
      <c r="AZH100" s="56"/>
      <c r="AZR100" s="56"/>
      <c r="BAB100" s="56"/>
      <c r="BAL100" s="56"/>
      <c r="BAV100" s="56"/>
      <c r="BBF100" s="56"/>
      <c r="BBP100" s="56"/>
      <c r="BBZ100" s="56"/>
      <c r="BCJ100" s="56"/>
      <c r="BCT100" s="56"/>
      <c r="BDD100" s="56"/>
      <c r="BDN100" s="56"/>
      <c r="BDX100" s="56"/>
      <c r="BEH100" s="56"/>
      <c r="BER100" s="56"/>
      <c r="BFB100" s="56"/>
      <c r="BFL100" s="56"/>
      <c r="BFV100" s="56"/>
      <c r="BGF100" s="56"/>
      <c r="BGP100" s="56"/>
      <c r="BGZ100" s="56"/>
      <c r="BHJ100" s="56"/>
      <c r="BHT100" s="56"/>
      <c r="BID100" s="56"/>
      <c r="BIN100" s="56"/>
      <c r="BIX100" s="56"/>
      <c r="BJH100" s="56"/>
      <c r="BJR100" s="56"/>
      <c r="BKB100" s="56"/>
      <c r="BKL100" s="56"/>
      <c r="BKV100" s="56"/>
      <c r="BLF100" s="56"/>
      <c r="BLP100" s="56"/>
      <c r="BLZ100" s="56"/>
      <c r="BMJ100" s="56"/>
      <c r="BMT100" s="56"/>
      <c r="BND100" s="56"/>
      <c r="BNN100" s="56"/>
      <c r="BNX100" s="56"/>
      <c r="BOH100" s="56"/>
      <c r="BOR100" s="56"/>
      <c r="BPB100" s="56"/>
      <c r="BPL100" s="56"/>
      <c r="BPV100" s="56"/>
      <c r="BQF100" s="56"/>
      <c r="BQP100" s="56"/>
      <c r="BQZ100" s="56"/>
      <c r="BRJ100" s="56"/>
      <c r="BRT100" s="56"/>
      <c r="BSD100" s="56"/>
      <c r="BSN100" s="56"/>
      <c r="BSX100" s="56"/>
      <c r="BTH100" s="56"/>
      <c r="BTR100" s="56"/>
      <c r="BUB100" s="56"/>
      <c r="BUL100" s="56"/>
      <c r="BUV100" s="56"/>
      <c r="BVF100" s="56"/>
      <c r="BVP100" s="56"/>
      <c r="BVZ100" s="56"/>
      <c r="BWJ100" s="56"/>
      <c r="BWT100" s="56"/>
      <c r="BXD100" s="56"/>
      <c r="BXN100" s="56"/>
      <c r="BXX100" s="56"/>
      <c r="BYH100" s="56"/>
      <c r="BYR100" s="56"/>
      <c r="BZB100" s="56"/>
      <c r="BZL100" s="56"/>
      <c r="BZV100" s="56"/>
      <c r="CAF100" s="56"/>
      <c r="CAP100" s="56"/>
      <c r="CAZ100" s="56"/>
      <c r="CBJ100" s="56"/>
      <c r="CBT100" s="56"/>
      <c r="CCD100" s="56"/>
      <c r="CCN100" s="56"/>
      <c r="CCX100" s="56"/>
      <c r="CDH100" s="56"/>
      <c r="CDR100" s="56"/>
      <c r="CEB100" s="56"/>
      <c r="CEL100" s="56"/>
      <c r="CEV100" s="56"/>
      <c r="CFF100" s="56"/>
      <c r="CFP100" s="56"/>
      <c r="CFZ100" s="56"/>
      <c r="CGJ100" s="56"/>
      <c r="CGT100" s="56"/>
      <c r="CHD100" s="56"/>
      <c r="CHN100" s="56"/>
      <c r="CHX100" s="56"/>
      <c r="CIH100" s="56"/>
      <c r="CIR100" s="56"/>
      <c r="CJB100" s="56"/>
      <c r="CJL100" s="56"/>
      <c r="CJV100" s="56"/>
      <c r="CKF100" s="56"/>
      <c r="CKP100" s="56"/>
      <c r="CKZ100" s="56"/>
      <c r="CLJ100" s="56"/>
      <c r="CLT100" s="56"/>
      <c r="CMD100" s="56"/>
      <c r="CMN100" s="56"/>
      <c r="CMX100" s="56"/>
      <c r="CNH100" s="56"/>
      <c r="CNR100" s="56"/>
      <c r="COB100" s="56"/>
      <c r="COL100" s="56"/>
      <c r="COV100" s="56"/>
      <c r="CPF100" s="56"/>
      <c r="CPP100" s="56"/>
      <c r="CPZ100" s="56"/>
      <c r="CQJ100" s="56"/>
      <c r="CQT100" s="56"/>
      <c r="CRD100" s="56"/>
      <c r="CRN100" s="56"/>
      <c r="CRX100" s="56"/>
      <c r="CSH100" s="56"/>
      <c r="CSR100" s="56"/>
      <c r="CTB100" s="56"/>
      <c r="CTL100" s="56"/>
      <c r="CTV100" s="56"/>
    </row>
    <row r="101" s="42" customFormat="1" customHeight="1" spans="1:1020 1030:2040 2050:2570">
      <c r="A101" s="51"/>
      <c r="B101" s="52"/>
      <c r="C101" s="52"/>
      <c r="D101" s="52"/>
      <c r="E101" s="52"/>
      <c r="F101" s="53" t="str">
        <f>IFERROR(VLOOKUP(E101,日报!E:G,2,0),"")</f>
        <v/>
      </c>
      <c r="G101" s="52"/>
      <c r="H101" s="54" t="str">
        <f>IFERROR(VLOOKUP(E101,日报!E:H,4,0),"")</f>
        <v/>
      </c>
      <c r="I101" s="54" t="str">
        <f>IFERROR(VLOOKUP(E101,日报!E:G,3,0),"")</f>
        <v/>
      </c>
      <c r="J101" s="52"/>
      <c r="K101" s="55" t="str">
        <f t="shared" si="1"/>
        <v/>
      </c>
      <c r="T101" s="56"/>
      <c r="AD101" s="56"/>
      <c r="AN101" s="56"/>
      <c r="AX101" s="56"/>
      <c r="BH101" s="56"/>
      <c r="BR101" s="56"/>
      <c r="CB101" s="56"/>
      <c r="CL101" s="56"/>
      <c r="CV101" s="56"/>
      <c r="DF101" s="56"/>
      <c r="DP101" s="56"/>
      <c r="DZ101" s="56"/>
      <c r="EJ101" s="56"/>
      <c r="ET101" s="56"/>
      <c r="FD101" s="56"/>
      <c r="FN101" s="56"/>
      <c r="FX101" s="56"/>
      <c r="GH101" s="56"/>
      <c r="GR101" s="56"/>
      <c r="HB101" s="56"/>
      <c r="HL101" s="56"/>
      <c r="HV101" s="56"/>
      <c r="IF101" s="56"/>
      <c r="IP101" s="56"/>
      <c r="IZ101" s="56"/>
      <c r="JJ101" s="56"/>
      <c r="JT101" s="56"/>
      <c r="KD101" s="56"/>
      <c r="KN101" s="56"/>
      <c r="KX101" s="56"/>
      <c r="LH101" s="56"/>
      <c r="LR101" s="56"/>
      <c r="MB101" s="56"/>
      <c r="ML101" s="56"/>
      <c r="MV101" s="56"/>
      <c r="NF101" s="56"/>
      <c r="NP101" s="56"/>
      <c r="NZ101" s="56"/>
      <c r="OJ101" s="56"/>
      <c r="OT101" s="56"/>
      <c r="PD101" s="56"/>
      <c r="PN101" s="56"/>
      <c r="PX101" s="56"/>
      <c r="QH101" s="56"/>
      <c r="QR101" s="56"/>
      <c r="RB101" s="56"/>
      <c r="RL101" s="56"/>
      <c r="RV101" s="56"/>
      <c r="SF101" s="56"/>
      <c r="SP101" s="56"/>
      <c r="SZ101" s="56"/>
      <c r="TJ101" s="56"/>
      <c r="TT101" s="56"/>
      <c r="UD101" s="56"/>
      <c r="UN101" s="56"/>
      <c r="UX101" s="56"/>
      <c r="VH101" s="56"/>
      <c r="VR101" s="56"/>
      <c r="WB101" s="56"/>
      <c r="WL101" s="56"/>
      <c r="WV101" s="56"/>
      <c r="XF101" s="56"/>
      <c r="XP101" s="56"/>
      <c r="XZ101" s="56"/>
      <c r="YJ101" s="56"/>
      <c r="YT101" s="56"/>
      <c r="ZD101" s="56"/>
      <c r="ZN101" s="56"/>
      <c r="ZX101" s="56"/>
      <c r="AAH101" s="56"/>
      <c r="AAR101" s="56"/>
      <c r="ABB101" s="56"/>
      <c r="ABL101" s="56"/>
      <c r="ABV101" s="56"/>
      <c r="ACF101" s="56"/>
      <c r="ACP101" s="56"/>
      <c r="ACZ101" s="56"/>
      <c r="ADJ101" s="56"/>
      <c r="ADT101" s="56"/>
      <c r="AED101" s="56"/>
      <c r="AEN101" s="56"/>
      <c r="AEX101" s="56"/>
      <c r="AFH101" s="56"/>
      <c r="AFR101" s="56"/>
      <c r="AGB101" s="56"/>
      <c r="AGL101" s="56"/>
      <c r="AGV101" s="56"/>
      <c r="AHF101" s="56"/>
      <c r="AHP101" s="56"/>
      <c r="AHZ101" s="56"/>
      <c r="AIJ101" s="56"/>
      <c r="AIT101" s="56"/>
      <c r="AJD101" s="56"/>
      <c r="AJN101" s="56"/>
      <c r="AJX101" s="56"/>
      <c r="AKH101" s="56"/>
      <c r="AKR101" s="56"/>
      <c r="ALB101" s="56"/>
      <c r="ALL101" s="56"/>
      <c r="ALV101" s="56"/>
      <c r="AMF101" s="56"/>
      <c r="AMP101" s="56"/>
      <c r="AMZ101" s="56"/>
      <c r="ANJ101" s="56"/>
      <c r="ANT101" s="56"/>
      <c r="AOD101" s="56"/>
      <c r="AON101" s="56"/>
      <c r="AOX101" s="56"/>
      <c r="APH101" s="56"/>
      <c r="APR101" s="56"/>
      <c r="AQB101" s="56"/>
      <c r="AQL101" s="56"/>
      <c r="AQV101" s="56"/>
      <c r="ARF101" s="56"/>
      <c r="ARP101" s="56"/>
      <c r="ARZ101" s="56"/>
      <c r="ASJ101" s="56"/>
      <c r="AST101" s="56"/>
      <c r="ATD101" s="56"/>
      <c r="ATN101" s="56"/>
      <c r="ATX101" s="56"/>
      <c r="AUH101" s="56"/>
      <c r="AUR101" s="56"/>
      <c r="AVB101" s="56"/>
      <c r="AVL101" s="56"/>
      <c r="AVV101" s="56"/>
      <c r="AWF101" s="56"/>
      <c r="AWP101" s="56"/>
      <c r="AWZ101" s="56"/>
      <c r="AXJ101" s="56"/>
      <c r="AXT101" s="56"/>
      <c r="AYD101" s="56"/>
      <c r="AYN101" s="56"/>
      <c r="AYX101" s="56"/>
      <c r="AZH101" s="56"/>
      <c r="AZR101" s="56"/>
      <c r="BAB101" s="56"/>
      <c r="BAL101" s="56"/>
      <c r="BAV101" s="56"/>
      <c r="BBF101" s="56"/>
      <c r="BBP101" s="56"/>
      <c r="BBZ101" s="56"/>
      <c r="BCJ101" s="56"/>
      <c r="BCT101" s="56"/>
      <c r="BDD101" s="56"/>
      <c r="BDN101" s="56"/>
      <c r="BDX101" s="56"/>
      <c r="BEH101" s="56"/>
      <c r="BER101" s="56"/>
      <c r="BFB101" s="56"/>
      <c r="BFL101" s="56"/>
      <c r="BFV101" s="56"/>
      <c r="BGF101" s="56"/>
      <c r="BGP101" s="56"/>
      <c r="BGZ101" s="56"/>
      <c r="BHJ101" s="56"/>
      <c r="BHT101" s="56"/>
      <c r="BID101" s="56"/>
      <c r="BIN101" s="56"/>
      <c r="BIX101" s="56"/>
      <c r="BJH101" s="56"/>
      <c r="BJR101" s="56"/>
      <c r="BKB101" s="56"/>
      <c r="BKL101" s="56"/>
      <c r="BKV101" s="56"/>
      <c r="BLF101" s="56"/>
      <c r="BLP101" s="56"/>
      <c r="BLZ101" s="56"/>
      <c r="BMJ101" s="56"/>
      <c r="BMT101" s="56"/>
      <c r="BND101" s="56"/>
      <c r="BNN101" s="56"/>
      <c r="BNX101" s="56"/>
      <c r="BOH101" s="56"/>
      <c r="BOR101" s="56"/>
      <c r="BPB101" s="56"/>
      <c r="BPL101" s="56"/>
      <c r="BPV101" s="56"/>
      <c r="BQF101" s="56"/>
      <c r="BQP101" s="56"/>
      <c r="BQZ101" s="56"/>
      <c r="BRJ101" s="56"/>
      <c r="BRT101" s="56"/>
      <c r="BSD101" s="56"/>
      <c r="BSN101" s="56"/>
      <c r="BSX101" s="56"/>
      <c r="BTH101" s="56"/>
      <c r="BTR101" s="56"/>
      <c r="BUB101" s="56"/>
      <c r="BUL101" s="56"/>
      <c r="BUV101" s="56"/>
      <c r="BVF101" s="56"/>
      <c r="BVP101" s="56"/>
      <c r="BVZ101" s="56"/>
      <c r="BWJ101" s="56"/>
      <c r="BWT101" s="56"/>
      <c r="BXD101" s="56"/>
      <c r="BXN101" s="56"/>
      <c r="BXX101" s="56"/>
      <c r="BYH101" s="56"/>
      <c r="BYR101" s="56"/>
      <c r="BZB101" s="56"/>
      <c r="BZL101" s="56"/>
      <c r="BZV101" s="56"/>
      <c r="CAF101" s="56"/>
      <c r="CAP101" s="56"/>
      <c r="CAZ101" s="56"/>
      <c r="CBJ101" s="56"/>
      <c r="CBT101" s="56"/>
      <c r="CCD101" s="56"/>
      <c r="CCN101" s="56"/>
      <c r="CCX101" s="56"/>
      <c r="CDH101" s="56"/>
      <c r="CDR101" s="56"/>
      <c r="CEB101" s="56"/>
      <c r="CEL101" s="56"/>
      <c r="CEV101" s="56"/>
      <c r="CFF101" s="56"/>
      <c r="CFP101" s="56"/>
      <c r="CFZ101" s="56"/>
      <c r="CGJ101" s="56"/>
      <c r="CGT101" s="56"/>
      <c r="CHD101" s="56"/>
      <c r="CHN101" s="56"/>
      <c r="CHX101" s="56"/>
      <c r="CIH101" s="56"/>
      <c r="CIR101" s="56"/>
      <c r="CJB101" s="56"/>
      <c r="CJL101" s="56"/>
      <c r="CJV101" s="56"/>
      <c r="CKF101" s="56"/>
      <c r="CKP101" s="56"/>
      <c r="CKZ101" s="56"/>
      <c r="CLJ101" s="56"/>
      <c r="CLT101" s="56"/>
      <c r="CMD101" s="56"/>
      <c r="CMN101" s="56"/>
      <c r="CMX101" s="56"/>
      <c r="CNH101" s="56"/>
      <c r="CNR101" s="56"/>
      <c r="COB101" s="56"/>
      <c r="COL101" s="56"/>
      <c r="COV101" s="56"/>
      <c r="CPF101" s="56"/>
      <c r="CPP101" s="56"/>
      <c r="CPZ101" s="56"/>
      <c r="CQJ101" s="56"/>
      <c r="CQT101" s="56"/>
      <c r="CRD101" s="56"/>
      <c r="CRN101" s="56"/>
      <c r="CRX101" s="56"/>
      <c r="CSH101" s="56"/>
      <c r="CSR101" s="56"/>
      <c r="CTB101" s="56"/>
      <c r="CTL101" s="56"/>
      <c r="CTV101" s="56"/>
    </row>
    <row r="102" s="42" customFormat="1" customHeight="1" spans="1:1020 1030:2040 2050:2570">
      <c r="A102" s="51"/>
      <c r="B102" s="52"/>
      <c r="C102" s="52"/>
      <c r="D102" s="52"/>
      <c r="E102" s="52"/>
      <c r="F102" s="53" t="str">
        <f>IFERROR(VLOOKUP(E102,日报!E:G,2,0),"")</f>
        <v/>
      </c>
      <c r="G102" s="52"/>
      <c r="H102" s="54" t="str">
        <f>IFERROR(VLOOKUP(E102,日报!E:H,4,0),"")</f>
        <v/>
      </c>
      <c r="I102" s="54" t="str">
        <f>IFERROR(VLOOKUP(E102,日报!E:G,3,0),"")</f>
        <v/>
      </c>
      <c r="J102" s="52"/>
      <c r="K102" s="55" t="str">
        <f t="shared" si="1"/>
        <v/>
      </c>
      <c r="T102" s="56"/>
      <c r="AD102" s="56"/>
      <c r="AN102" s="56"/>
      <c r="AX102" s="56"/>
      <c r="BH102" s="56"/>
      <c r="BR102" s="56"/>
      <c r="CB102" s="56"/>
      <c r="CL102" s="56"/>
      <c r="CV102" s="56"/>
      <c r="DF102" s="56"/>
      <c r="DP102" s="56"/>
      <c r="DZ102" s="56"/>
      <c r="EJ102" s="56"/>
      <c r="ET102" s="56"/>
      <c r="FD102" s="56"/>
      <c r="FN102" s="56"/>
      <c r="FX102" s="56"/>
      <c r="GH102" s="56"/>
      <c r="GR102" s="56"/>
      <c r="HB102" s="56"/>
      <c r="HL102" s="56"/>
      <c r="HV102" s="56"/>
      <c r="IF102" s="56"/>
      <c r="IP102" s="56"/>
      <c r="IZ102" s="56"/>
      <c r="JJ102" s="56"/>
      <c r="JT102" s="56"/>
      <c r="KD102" s="56"/>
      <c r="KN102" s="56"/>
      <c r="KX102" s="56"/>
      <c r="LH102" s="56"/>
      <c r="LR102" s="56"/>
      <c r="MB102" s="56"/>
      <c r="ML102" s="56"/>
      <c r="MV102" s="56"/>
      <c r="NF102" s="56"/>
      <c r="NP102" s="56"/>
      <c r="NZ102" s="56"/>
      <c r="OJ102" s="56"/>
      <c r="OT102" s="56"/>
      <c r="PD102" s="56"/>
      <c r="PN102" s="56"/>
      <c r="PX102" s="56"/>
      <c r="QH102" s="56"/>
      <c r="QR102" s="56"/>
      <c r="RB102" s="56"/>
      <c r="RL102" s="56"/>
      <c r="RV102" s="56"/>
      <c r="SF102" s="56"/>
      <c r="SP102" s="56"/>
      <c r="SZ102" s="56"/>
      <c r="TJ102" s="56"/>
      <c r="TT102" s="56"/>
      <c r="UD102" s="56"/>
      <c r="UN102" s="56"/>
      <c r="UX102" s="56"/>
      <c r="VH102" s="56"/>
      <c r="VR102" s="56"/>
      <c r="WB102" s="56"/>
      <c r="WL102" s="56"/>
      <c r="WV102" s="56"/>
      <c r="XF102" s="56"/>
      <c r="XP102" s="56"/>
      <c r="XZ102" s="56"/>
      <c r="YJ102" s="56"/>
      <c r="YT102" s="56"/>
      <c r="ZD102" s="56"/>
      <c r="ZN102" s="56"/>
      <c r="ZX102" s="56"/>
      <c r="AAH102" s="56"/>
      <c r="AAR102" s="56"/>
      <c r="ABB102" s="56"/>
      <c r="ABL102" s="56"/>
      <c r="ABV102" s="56"/>
      <c r="ACF102" s="56"/>
      <c r="ACP102" s="56"/>
      <c r="ACZ102" s="56"/>
      <c r="ADJ102" s="56"/>
      <c r="ADT102" s="56"/>
      <c r="AED102" s="56"/>
      <c r="AEN102" s="56"/>
      <c r="AEX102" s="56"/>
      <c r="AFH102" s="56"/>
      <c r="AFR102" s="56"/>
      <c r="AGB102" s="56"/>
      <c r="AGL102" s="56"/>
      <c r="AGV102" s="56"/>
      <c r="AHF102" s="56"/>
      <c r="AHP102" s="56"/>
      <c r="AHZ102" s="56"/>
      <c r="AIJ102" s="56"/>
      <c r="AIT102" s="56"/>
      <c r="AJD102" s="56"/>
      <c r="AJN102" s="56"/>
      <c r="AJX102" s="56"/>
      <c r="AKH102" s="56"/>
      <c r="AKR102" s="56"/>
      <c r="ALB102" s="56"/>
      <c r="ALL102" s="56"/>
      <c r="ALV102" s="56"/>
      <c r="AMF102" s="56"/>
      <c r="AMP102" s="56"/>
      <c r="AMZ102" s="56"/>
      <c r="ANJ102" s="56"/>
      <c r="ANT102" s="56"/>
      <c r="AOD102" s="56"/>
      <c r="AON102" s="56"/>
      <c r="AOX102" s="56"/>
      <c r="APH102" s="56"/>
      <c r="APR102" s="56"/>
      <c r="AQB102" s="56"/>
      <c r="AQL102" s="56"/>
      <c r="AQV102" s="56"/>
      <c r="ARF102" s="56"/>
      <c r="ARP102" s="56"/>
      <c r="ARZ102" s="56"/>
      <c r="ASJ102" s="56"/>
      <c r="AST102" s="56"/>
      <c r="ATD102" s="56"/>
      <c r="ATN102" s="56"/>
      <c r="ATX102" s="56"/>
      <c r="AUH102" s="56"/>
      <c r="AUR102" s="56"/>
      <c r="AVB102" s="56"/>
      <c r="AVL102" s="56"/>
      <c r="AVV102" s="56"/>
      <c r="AWF102" s="56"/>
      <c r="AWP102" s="56"/>
      <c r="AWZ102" s="56"/>
      <c r="AXJ102" s="56"/>
      <c r="AXT102" s="56"/>
      <c r="AYD102" s="56"/>
      <c r="AYN102" s="56"/>
      <c r="AYX102" s="56"/>
      <c r="AZH102" s="56"/>
      <c r="AZR102" s="56"/>
      <c r="BAB102" s="56"/>
      <c r="BAL102" s="56"/>
      <c r="BAV102" s="56"/>
      <c r="BBF102" s="56"/>
      <c r="BBP102" s="56"/>
      <c r="BBZ102" s="56"/>
      <c r="BCJ102" s="56"/>
      <c r="BCT102" s="56"/>
      <c r="BDD102" s="56"/>
      <c r="BDN102" s="56"/>
      <c r="BDX102" s="56"/>
      <c r="BEH102" s="56"/>
      <c r="BER102" s="56"/>
      <c r="BFB102" s="56"/>
      <c r="BFL102" s="56"/>
      <c r="BFV102" s="56"/>
      <c r="BGF102" s="56"/>
      <c r="BGP102" s="56"/>
      <c r="BGZ102" s="56"/>
      <c r="BHJ102" s="56"/>
      <c r="BHT102" s="56"/>
      <c r="BID102" s="56"/>
      <c r="BIN102" s="56"/>
      <c r="BIX102" s="56"/>
      <c r="BJH102" s="56"/>
      <c r="BJR102" s="56"/>
      <c r="BKB102" s="56"/>
      <c r="BKL102" s="56"/>
      <c r="BKV102" s="56"/>
      <c r="BLF102" s="56"/>
      <c r="BLP102" s="56"/>
      <c r="BLZ102" s="56"/>
      <c r="BMJ102" s="56"/>
      <c r="BMT102" s="56"/>
      <c r="BND102" s="56"/>
      <c r="BNN102" s="56"/>
      <c r="BNX102" s="56"/>
      <c r="BOH102" s="56"/>
      <c r="BOR102" s="56"/>
      <c r="BPB102" s="56"/>
      <c r="BPL102" s="56"/>
      <c r="BPV102" s="56"/>
      <c r="BQF102" s="56"/>
      <c r="BQP102" s="56"/>
      <c r="BQZ102" s="56"/>
      <c r="BRJ102" s="56"/>
      <c r="BRT102" s="56"/>
      <c r="BSD102" s="56"/>
      <c r="BSN102" s="56"/>
      <c r="BSX102" s="56"/>
      <c r="BTH102" s="56"/>
      <c r="BTR102" s="56"/>
      <c r="BUB102" s="56"/>
      <c r="BUL102" s="56"/>
      <c r="BUV102" s="56"/>
      <c r="BVF102" s="56"/>
      <c r="BVP102" s="56"/>
      <c r="BVZ102" s="56"/>
      <c r="BWJ102" s="56"/>
      <c r="BWT102" s="56"/>
      <c r="BXD102" s="56"/>
      <c r="BXN102" s="56"/>
      <c r="BXX102" s="56"/>
      <c r="BYH102" s="56"/>
      <c r="BYR102" s="56"/>
      <c r="BZB102" s="56"/>
      <c r="BZL102" s="56"/>
      <c r="BZV102" s="56"/>
      <c r="CAF102" s="56"/>
      <c r="CAP102" s="56"/>
      <c r="CAZ102" s="56"/>
      <c r="CBJ102" s="56"/>
      <c r="CBT102" s="56"/>
      <c r="CCD102" s="56"/>
      <c r="CCN102" s="56"/>
      <c r="CCX102" s="56"/>
      <c r="CDH102" s="56"/>
      <c r="CDR102" s="56"/>
      <c r="CEB102" s="56"/>
      <c r="CEL102" s="56"/>
      <c r="CEV102" s="56"/>
      <c r="CFF102" s="56"/>
      <c r="CFP102" s="56"/>
      <c r="CFZ102" s="56"/>
      <c r="CGJ102" s="56"/>
      <c r="CGT102" s="56"/>
      <c r="CHD102" s="56"/>
      <c r="CHN102" s="56"/>
      <c r="CHX102" s="56"/>
      <c r="CIH102" s="56"/>
      <c r="CIR102" s="56"/>
      <c r="CJB102" s="56"/>
      <c r="CJL102" s="56"/>
      <c r="CJV102" s="56"/>
      <c r="CKF102" s="56"/>
      <c r="CKP102" s="56"/>
      <c r="CKZ102" s="56"/>
      <c r="CLJ102" s="56"/>
      <c r="CLT102" s="56"/>
      <c r="CMD102" s="56"/>
      <c r="CMN102" s="56"/>
      <c r="CMX102" s="56"/>
      <c r="CNH102" s="56"/>
      <c r="CNR102" s="56"/>
      <c r="COB102" s="56"/>
      <c r="COL102" s="56"/>
      <c r="COV102" s="56"/>
      <c r="CPF102" s="56"/>
      <c r="CPP102" s="56"/>
      <c r="CPZ102" s="56"/>
      <c r="CQJ102" s="56"/>
      <c r="CQT102" s="56"/>
      <c r="CRD102" s="56"/>
      <c r="CRN102" s="56"/>
      <c r="CRX102" s="56"/>
      <c r="CSH102" s="56"/>
      <c r="CSR102" s="56"/>
      <c r="CTB102" s="56"/>
      <c r="CTL102" s="56"/>
      <c r="CTV102" s="56"/>
    </row>
    <row r="103" s="42" customFormat="1" customHeight="1" spans="1:1020 1030:2040 2050:2570">
      <c r="A103" s="51"/>
      <c r="B103" s="52"/>
      <c r="C103" s="52"/>
      <c r="D103" s="52"/>
      <c r="E103" s="52"/>
      <c r="F103" s="53" t="str">
        <f>IFERROR(VLOOKUP(E103,日报!E:G,2,0),"")</f>
        <v/>
      </c>
      <c r="G103" s="52"/>
      <c r="H103" s="54" t="str">
        <f>IFERROR(VLOOKUP(E103,日报!E:H,4,0),"")</f>
        <v/>
      </c>
      <c r="I103" s="54" t="str">
        <f>IFERROR(VLOOKUP(E103,日报!E:G,3,0),"")</f>
        <v/>
      </c>
      <c r="J103" s="52"/>
      <c r="K103" s="55" t="str">
        <f t="shared" si="1"/>
        <v/>
      </c>
      <c r="T103" s="56"/>
      <c r="AD103" s="56"/>
      <c r="AN103" s="56"/>
      <c r="AX103" s="56"/>
      <c r="BH103" s="56"/>
      <c r="BR103" s="56"/>
      <c r="CB103" s="56"/>
      <c r="CL103" s="56"/>
      <c r="CV103" s="56"/>
      <c r="DF103" s="56"/>
      <c r="DP103" s="56"/>
      <c r="DZ103" s="56"/>
      <c r="EJ103" s="56"/>
      <c r="ET103" s="56"/>
      <c r="FD103" s="56"/>
      <c r="FN103" s="56"/>
      <c r="FX103" s="56"/>
      <c r="GH103" s="56"/>
      <c r="GR103" s="56"/>
      <c r="HB103" s="56"/>
      <c r="HL103" s="56"/>
      <c r="HV103" s="56"/>
      <c r="IF103" s="56"/>
      <c r="IP103" s="56"/>
      <c r="IZ103" s="56"/>
      <c r="JJ103" s="56"/>
      <c r="JT103" s="56"/>
      <c r="KD103" s="56"/>
      <c r="KN103" s="56"/>
      <c r="KX103" s="56"/>
      <c r="LH103" s="56"/>
      <c r="LR103" s="56"/>
      <c r="MB103" s="56"/>
      <c r="ML103" s="56"/>
      <c r="MV103" s="56"/>
      <c r="NF103" s="56"/>
      <c r="NP103" s="56"/>
      <c r="NZ103" s="56"/>
      <c r="OJ103" s="56"/>
      <c r="OT103" s="56"/>
      <c r="PD103" s="56"/>
      <c r="PN103" s="56"/>
      <c r="PX103" s="56"/>
      <c r="QH103" s="56"/>
      <c r="QR103" s="56"/>
      <c r="RB103" s="56"/>
      <c r="RL103" s="56"/>
      <c r="RV103" s="56"/>
      <c r="SF103" s="56"/>
      <c r="SP103" s="56"/>
      <c r="SZ103" s="56"/>
      <c r="TJ103" s="56"/>
      <c r="TT103" s="56"/>
      <c r="UD103" s="56"/>
      <c r="UN103" s="56"/>
      <c r="UX103" s="56"/>
      <c r="VH103" s="56"/>
      <c r="VR103" s="56"/>
      <c r="WB103" s="56"/>
      <c r="WL103" s="56"/>
      <c r="WV103" s="56"/>
      <c r="XF103" s="56"/>
      <c r="XP103" s="56"/>
      <c r="XZ103" s="56"/>
      <c r="YJ103" s="56"/>
      <c r="YT103" s="56"/>
      <c r="ZD103" s="56"/>
      <c r="ZN103" s="56"/>
      <c r="ZX103" s="56"/>
      <c r="AAH103" s="56"/>
      <c r="AAR103" s="56"/>
      <c r="ABB103" s="56"/>
      <c r="ABL103" s="56"/>
      <c r="ABV103" s="56"/>
      <c r="ACF103" s="56"/>
      <c r="ACP103" s="56"/>
      <c r="ACZ103" s="56"/>
      <c r="ADJ103" s="56"/>
      <c r="ADT103" s="56"/>
      <c r="AED103" s="56"/>
      <c r="AEN103" s="56"/>
      <c r="AEX103" s="56"/>
      <c r="AFH103" s="56"/>
      <c r="AFR103" s="56"/>
      <c r="AGB103" s="56"/>
      <c r="AGL103" s="56"/>
      <c r="AGV103" s="56"/>
      <c r="AHF103" s="56"/>
      <c r="AHP103" s="56"/>
      <c r="AHZ103" s="56"/>
      <c r="AIJ103" s="56"/>
      <c r="AIT103" s="56"/>
      <c r="AJD103" s="56"/>
      <c r="AJN103" s="56"/>
      <c r="AJX103" s="56"/>
      <c r="AKH103" s="56"/>
      <c r="AKR103" s="56"/>
      <c r="ALB103" s="56"/>
      <c r="ALL103" s="56"/>
      <c r="ALV103" s="56"/>
      <c r="AMF103" s="56"/>
      <c r="AMP103" s="56"/>
      <c r="AMZ103" s="56"/>
      <c r="ANJ103" s="56"/>
      <c r="ANT103" s="56"/>
      <c r="AOD103" s="56"/>
      <c r="AON103" s="56"/>
      <c r="AOX103" s="56"/>
      <c r="APH103" s="56"/>
      <c r="APR103" s="56"/>
      <c r="AQB103" s="56"/>
      <c r="AQL103" s="56"/>
      <c r="AQV103" s="56"/>
      <c r="ARF103" s="56"/>
      <c r="ARP103" s="56"/>
      <c r="ARZ103" s="56"/>
      <c r="ASJ103" s="56"/>
      <c r="AST103" s="56"/>
      <c r="ATD103" s="56"/>
      <c r="ATN103" s="56"/>
      <c r="ATX103" s="56"/>
      <c r="AUH103" s="56"/>
      <c r="AUR103" s="56"/>
      <c r="AVB103" s="56"/>
      <c r="AVL103" s="56"/>
      <c r="AVV103" s="56"/>
      <c r="AWF103" s="56"/>
      <c r="AWP103" s="56"/>
      <c r="AWZ103" s="56"/>
      <c r="AXJ103" s="56"/>
      <c r="AXT103" s="56"/>
      <c r="AYD103" s="56"/>
      <c r="AYN103" s="56"/>
      <c r="AYX103" s="56"/>
      <c r="AZH103" s="56"/>
      <c r="AZR103" s="56"/>
      <c r="BAB103" s="56"/>
      <c r="BAL103" s="56"/>
      <c r="BAV103" s="56"/>
      <c r="BBF103" s="56"/>
      <c r="BBP103" s="56"/>
      <c r="BBZ103" s="56"/>
      <c r="BCJ103" s="56"/>
      <c r="BCT103" s="56"/>
      <c r="BDD103" s="56"/>
      <c r="BDN103" s="56"/>
      <c r="BDX103" s="56"/>
      <c r="BEH103" s="56"/>
      <c r="BER103" s="56"/>
      <c r="BFB103" s="56"/>
      <c r="BFL103" s="56"/>
      <c r="BFV103" s="56"/>
      <c r="BGF103" s="56"/>
      <c r="BGP103" s="56"/>
      <c r="BGZ103" s="56"/>
      <c r="BHJ103" s="56"/>
      <c r="BHT103" s="56"/>
      <c r="BID103" s="56"/>
      <c r="BIN103" s="56"/>
      <c r="BIX103" s="56"/>
      <c r="BJH103" s="56"/>
      <c r="BJR103" s="56"/>
      <c r="BKB103" s="56"/>
      <c r="BKL103" s="56"/>
      <c r="BKV103" s="56"/>
      <c r="BLF103" s="56"/>
      <c r="BLP103" s="56"/>
      <c r="BLZ103" s="56"/>
      <c r="BMJ103" s="56"/>
      <c r="BMT103" s="56"/>
      <c r="BND103" s="56"/>
      <c r="BNN103" s="56"/>
      <c r="BNX103" s="56"/>
      <c r="BOH103" s="56"/>
      <c r="BOR103" s="56"/>
      <c r="BPB103" s="56"/>
      <c r="BPL103" s="56"/>
      <c r="BPV103" s="56"/>
      <c r="BQF103" s="56"/>
      <c r="BQP103" s="56"/>
      <c r="BQZ103" s="56"/>
      <c r="BRJ103" s="56"/>
      <c r="BRT103" s="56"/>
      <c r="BSD103" s="56"/>
      <c r="BSN103" s="56"/>
      <c r="BSX103" s="56"/>
      <c r="BTH103" s="56"/>
      <c r="BTR103" s="56"/>
      <c r="BUB103" s="56"/>
      <c r="BUL103" s="56"/>
      <c r="BUV103" s="56"/>
      <c r="BVF103" s="56"/>
      <c r="BVP103" s="56"/>
      <c r="BVZ103" s="56"/>
      <c r="BWJ103" s="56"/>
      <c r="BWT103" s="56"/>
      <c r="BXD103" s="56"/>
      <c r="BXN103" s="56"/>
      <c r="BXX103" s="56"/>
      <c r="BYH103" s="56"/>
      <c r="BYR103" s="56"/>
      <c r="BZB103" s="56"/>
      <c r="BZL103" s="56"/>
      <c r="BZV103" s="56"/>
      <c r="CAF103" s="56"/>
      <c r="CAP103" s="56"/>
      <c r="CAZ103" s="56"/>
      <c r="CBJ103" s="56"/>
      <c r="CBT103" s="56"/>
      <c r="CCD103" s="56"/>
      <c r="CCN103" s="56"/>
      <c r="CCX103" s="56"/>
      <c r="CDH103" s="56"/>
      <c r="CDR103" s="56"/>
      <c r="CEB103" s="56"/>
      <c r="CEL103" s="56"/>
      <c r="CEV103" s="56"/>
      <c r="CFF103" s="56"/>
      <c r="CFP103" s="56"/>
      <c r="CFZ103" s="56"/>
      <c r="CGJ103" s="56"/>
      <c r="CGT103" s="56"/>
      <c r="CHD103" s="56"/>
      <c r="CHN103" s="56"/>
      <c r="CHX103" s="56"/>
      <c r="CIH103" s="56"/>
      <c r="CIR103" s="56"/>
      <c r="CJB103" s="56"/>
      <c r="CJL103" s="56"/>
      <c r="CJV103" s="56"/>
      <c r="CKF103" s="56"/>
      <c r="CKP103" s="56"/>
      <c r="CKZ103" s="56"/>
      <c r="CLJ103" s="56"/>
      <c r="CLT103" s="56"/>
      <c r="CMD103" s="56"/>
      <c r="CMN103" s="56"/>
      <c r="CMX103" s="56"/>
      <c r="CNH103" s="56"/>
      <c r="CNR103" s="56"/>
      <c r="COB103" s="56"/>
      <c r="COL103" s="56"/>
      <c r="COV103" s="56"/>
      <c r="CPF103" s="56"/>
      <c r="CPP103" s="56"/>
      <c r="CPZ103" s="56"/>
      <c r="CQJ103" s="56"/>
      <c r="CQT103" s="56"/>
      <c r="CRD103" s="56"/>
      <c r="CRN103" s="56"/>
      <c r="CRX103" s="56"/>
      <c r="CSH103" s="56"/>
      <c r="CSR103" s="56"/>
      <c r="CTB103" s="56"/>
      <c r="CTL103" s="56"/>
      <c r="CTV103" s="56"/>
    </row>
    <row r="104" s="42" customFormat="1" customHeight="1" spans="1:1020 1030:2040 2050:2570">
      <c r="A104" s="51"/>
      <c r="B104" s="52"/>
      <c r="C104" s="52"/>
      <c r="D104" s="52"/>
      <c r="E104" s="52"/>
      <c r="F104" s="53" t="str">
        <f>IFERROR(VLOOKUP(E104,日报!E:G,2,0),"")</f>
        <v/>
      </c>
      <c r="G104" s="52"/>
      <c r="H104" s="54" t="str">
        <f>IFERROR(VLOOKUP(E104,日报!E:H,4,0),"")</f>
        <v/>
      </c>
      <c r="I104" s="54" t="str">
        <f>IFERROR(VLOOKUP(E104,日报!E:G,3,0),"")</f>
        <v/>
      </c>
      <c r="J104" s="52"/>
      <c r="K104" s="55" t="str">
        <f t="shared" si="1"/>
        <v/>
      </c>
      <c r="T104" s="56"/>
      <c r="AD104" s="56"/>
      <c r="AN104" s="56"/>
      <c r="AX104" s="56"/>
      <c r="BH104" s="56"/>
      <c r="BR104" s="56"/>
      <c r="CB104" s="56"/>
      <c r="CL104" s="56"/>
      <c r="CV104" s="56"/>
      <c r="DF104" s="56"/>
      <c r="DP104" s="56"/>
      <c r="DZ104" s="56"/>
      <c r="EJ104" s="56"/>
      <c r="ET104" s="56"/>
      <c r="FD104" s="56"/>
      <c r="FN104" s="56"/>
      <c r="FX104" s="56"/>
      <c r="GH104" s="56"/>
      <c r="GR104" s="56"/>
      <c r="HB104" s="56"/>
      <c r="HL104" s="56"/>
      <c r="HV104" s="56"/>
      <c r="IF104" s="56"/>
      <c r="IP104" s="56"/>
      <c r="IZ104" s="56"/>
      <c r="JJ104" s="56"/>
      <c r="JT104" s="56"/>
      <c r="KD104" s="56"/>
      <c r="KN104" s="56"/>
      <c r="KX104" s="56"/>
      <c r="LH104" s="56"/>
      <c r="LR104" s="56"/>
      <c r="MB104" s="56"/>
      <c r="ML104" s="56"/>
      <c r="MV104" s="56"/>
      <c r="NF104" s="56"/>
      <c r="NP104" s="56"/>
      <c r="NZ104" s="56"/>
      <c r="OJ104" s="56"/>
      <c r="OT104" s="56"/>
      <c r="PD104" s="56"/>
      <c r="PN104" s="56"/>
      <c r="PX104" s="56"/>
      <c r="QH104" s="56"/>
      <c r="QR104" s="56"/>
      <c r="RB104" s="56"/>
      <c r="RL104" s="56"/>
      <c r="RV104" s="56"/>
      <c r="SF104" s="56"/>
      <c r="SP104" s="56"/>
      <c r="SZ104" s="56"/>
      <c r="TJ104" s="56"/>
      <c r="TT104" s="56"/>
      <c r="UD104" s="56"/>
      <c r="UN104" s="56"/>
      <c r="UX104" s="56"/>
      <c r="VH104" s="56"/>
      <c r="VR104" s="56"/>
      <c r="WB104" s="56"/>
      <c r="WL104" s="56"/>
      <c r="WV104" s="56"/>
      <c r="XF104" s="56"/>
      <c r="XP104" s="56"/>
      <c r="XZ104" s="56"/>
      <c r="YJ104" s="56"/>
      <c r="YT104" s="56"/>
      <c r="ZD104" s="56"/>
      <c r="ZN104" s="56"/>
      <c r="ZX104" s="56"/>
      <c r="AAH104" s="56"/>
      <c r="AAR104" s="56"/>
      <c r="ABB104" s="56"/>
      <c r="ABL104" s="56"/>
      <c r="ABV104" s="56"/>
      <c r="ACF104" s="56"/>
      <c r="ACP104" s="56"/>
      <c r="ACZ104" s="56"/>
      <c r="ADJ104" s="56"/>
      <c r="ADT104" s="56"/>
      <c r="AED104" s="56"/>
      <c r="AEN104" s="56"/>
      <c r="AEX104" s="56"/>
      <c r="AFH104" s="56"/>
      <c r="AFR104" s="56"/>
      <c r="AGB104" s="56"/>
      <c r="AGL104" s="56"/>
      <c r="AGV104" s="56"/>
      <c r="AHF104" s="56"/>
      <c r="AHP104" s="56"/>
      <c r="AHZ104" s="56"/>
      <c r="AIJ104" s="56"/>
      <c r="AIT104" s="56"/>
      <c r="AJD104" s="56"/>
      <c r="AJN104" s="56"/>
      <c r="AJX104" s="56"/>
      <c r="AKH104" s="56"/>
      <c r="AKR104" s="56"/>
      <c r="ALB104" s="56"/>
      <c r="ALL104" s="56"/>
      <c r="ALV104" s="56"/>
      <c r="AMF104" s="56"/>
      <c r="AMP104" s="56"/>
      <c r="AMZ104" s="56"/>
      <c r="ANJ104" s="56"/>
      <c r="ANT104" s="56"/>
      <c r="AOD104" s="56"/>
      <c r="AON104" s="56"/>
      <c r="AOX104" s="56"/>
      <c r="APH104" s="56"/>
      <c r="APR104" s="56"/>
      <c r="AQB104" s="56"/>
      <c r="AQL104" s="56"/>
      <c r="AQV104" s="56"/>
      <c r="ARF104" s="56"/>
      <c r="ARP104" s="56"/>
      <c r="ARZ104" s="56"/>
      <c r="ASJ104" s="56"/>
      <c r="AST104" s="56"/>
      <c r="ATD104" s="56"/>
      <c r="ATN104" s="56"/>
      <c r="ATX104" s="56"/>
      <c r="AUH104" s="56"/>
      <c r="AUR104" s="56"/>
      <c r="AVB104" s="56"/>
      <c r="AVL104" s="56"/>
      <c r="AVV104" s="56"/>
      <c r="AWF104" s="56"/>
      <c r="AWP104" s="56"/>
      <c r="AWZ104" s="56"/>
      <c r="AXJ104" s="56"/>
      <c r="AXT104" s="56"/>
      <c r="AYD104" s="56"/>
      <c r="AYN104" s="56"/>
      <c r="AYX104" s="56"/>
      <c r="AZH104" s="56"/>
      <c r="AZR104" s="56"/>
      <c r="BAB104" s="56"/>
      <c r="BAL104" s="56"/>
      <c r="BAV104" s="56"/>
      <c r="BBF104" s="56"/>
      <c r="BBP104" s="56"/>
      <c r="BBZ104" s="56"/>
      <c r="BCJ104" s="56"/>
      <c r="BCT104" s="56"/>
      <c r="BDD104" s="56"/>
      <c r="BDN104" s="56"/>
      <c r="BDX104" s="56"/>
      <c r="BEH104" s="56"/>
      <c r="BER104" s="56"/>
      <c r="BFB104" s="56"/>
      <c r="BFL104" s="56"/>
      <c r="BFV104" s="56"/>
      <c r="BGF104" s="56"/>
      <c r="BGP104" s="56"/>
      <c r="BGZ104" s="56"/>
      <c r="BHJ104" s="56"/>
      <c r="BHT104" s="56"/>
      <c r="BID104" s="56"/>
      <c r="BIN104" s="56"/>
      <c r="BIX104" s="56"/>
      <c r="BJH104" s="56"/>
      <c r="BJR104" s="56"/>
      <c r="BKB104" s="56"/>
      <c r="BKL104" s="56"/>
      <c r="BKV104" s="56"/>
      <c r="BLF104" s="56"/>
      <c r="BLP104" s="56"/>
      <c r="BLZ104" s="56"/>
      <c r="BMJ104" s="56"/>
      <c r="BMT104" s="56"/>
      <c r="BND104" s="56"/>
      <c r="BNN104" s="56"/>
      <c r="BNX104" s="56"/>
      <c r="BOH104" s="56"/>
      <c r="BOR104" s="56"/>
      <c r="BPB104" s="56"/>
      <c r="BPL104" s="56"/>
      <c r="BPV104" s="56"/>
      <c r="BQF104" s="56"/>
      <c r="BQP104" s="56"/>
      <c r="BQZ104" s="56"/>
      <c r="BRJ104" s="56"/>
      <c r="BRT104" s="56"/>
      <c r="BSD104" s="56"/>
      <c r="BSN104" s="56"/>
      <c r="BSX104" s="56"/>
      <c r="BTH104" s="56"/>
      <c r="BTR104" s="56"/>
      <c r="BUB104" s="56"/>
      <c r="BUL104" s="56"/>
      <c r="BUV104" s="56"/>
      <c r="BVF104" s="56"/>
      <c r="BVP104" s="56"/>
      <c r="BVZ104" s="56"/>
      <c r="BWJ104" s="56"/>
      <c r="BWT104" s="56"/>
      <c r="BXD104" s="56"/>
      <c r="BXN104" s="56"/>
      <c r="BXX104" s="56"/>
      <c r="BYH104" s="56"/>
      <c r="BYR104" s="56"/>
      <c r="BZB104" s="56"/>
      <c r="BZL104" s="56"/>
      <c r="BZV104" s="56"/>
      <c r="CAF104" s="56"/>
      <c r="CAP104" s="56"/>
      <c r="CAZ104" s="56"/>
      <c r="CBJ104" s="56"/>
      <c r="CBT104" s="56"/>
      <c r="CCD104" s="56"/>
      <c r="CCN104" s="56"/>
      <c r="CCX104" s="56"/>
      <c r="CDH104" s="56"/>
      <c r="CDR104" s="56"/>
      <c r="CEB104" s="56"/>
      <c r="CEL104" s="56"/>
      <c r="CEV104" s="56"/>
      <c r="CFF104" s="56"/>
      <c r="CFP104" s="56"/>
      <c r="CFZ104" s="56"/>
      <c r="CGJ104" s="56"/>
      <c r="CGT104" s="56"/>
      <c r="CHD104" s="56"/>
      <c r="CHN104" s="56"/>
      <c r="CHX104" s="56"/>
      <c r="CIH104" s="56"/>
      <c r="CIR104" s="56"/>
      <c r="CJB104" s="56"/>
      <c r="CJL104" s="56"/>
      <c r="CJV104" s="56"/>
      <c r="CKF104" s="56"/>
      <c r="CKP104" s="56"/>
      <c r="CKZ104" s="56"/>
      <c r="CLJ104" s="56"/>
      <c r="CLT104" s="56"/>
      <c r="CMD104" s="56"/>
      <c r="CMN104" s="56"/>
      <c r="CMX104" s="56"/>
      <c r="CNH104" s="56"/>
      <c r="CNR104" s="56"/>
      <c r="COB104" s="56"/>
      <c r="COL104" s="56"/>
      <c r="COV104" s="56"/>
      <c r="CPF104" s="56"/>
      <c r="CPP104" s="56"/>
      <c r="CPZ104" s="56"/>
      <c r="CQJ104" s="56"/>
      <c r="CQT104" s="56"/>
      <c r="CRD104" s="56"/>
      <c r="CRN104" s="56"/>
      <c r="CRX104" s="56"/>
      <c r="CSH104" s="56"/>
      <c r="CSR104" s="56"/>
      <c r="CTB104" s="56"/>
      <c r="CTL104" s="56"/>
      <c r="CTV104" s="56"/>
    </row>
    <row r="105" s="42" customFormat="1" customHeight="1" spans="1:1020 1030:2040 2050:2570">
      <c r="A105" s="51"/>
      <c r="B105" s="52"/>
      <c r="C105" s="52"/>
      <c r="D105" s="52"/>
      <c r="E105" s="52"/>
      <c r="F105" s="53" t="str">
        <f>IFERROR(VLOOKUP(E105,日报!E:G,2,0),"")</f>
        <v/>
      </c>
      <c r="G105" s="52"/>
      <c r="H105" s="54" t="str">
        <f>IFERROR(VLOOKUP(E105,日报!E:H,4,0),"")</f>
        <v/>
      </c>
      <c r="I105" s="54" t="str">
        <f>IFERROR(VLOOKUP(E105,日报!E:G,3,0),"")</f>
        <v/>
      </c>
      <c r="J105" s="52"/>
      <c r="K105" s="55" t="str">
        <f t="shared" si="1"/>
        <v/>
      </c>
      <c r="T105" s="56"/>
      <c r="AD105" s="56"/>
      <c r="AN105" s="56"/>
      <c r="AX105" s="56"/>
      <c r="BH105" s="56"/>
      <c r="BR105" s="56"/>
      <c r="CB105" s="56"/>
      <c r="CL105" s="56"/>
      <c r="CV105" s="56"/>
      <c r="DF105" s="56"/>
      <c r="DP105" s="56"/>
      <c r="DZ105" s="56"/>
      <c r="EJ105" s="56"/>
      <c r="ET105" s="56"/>
      <c r="FD105" s="56"/>
      <c r="FN105" s="56"/>
      <c r="FX105" s="56"/>
      <c r="GH105" s="56"/>
      <c r="GR105" s="56"/>
      <c r="HB105" s="56"/>
      <c r="HL105" s="56"/>
      <c r="HV105" s="56"/>
      <c r="IF105" s="56"/>
      <c r="IP105" s="56"/>
      <c r="IZ105" s="56"/>
      <c r="JJ105" s="56"/>
      <c r="JT105" s="56"/>
      <c r="KD105" s="56"/>
      <c r="KN105" s="56"/>
      <c r="KX105" s="56"/>
      <c r="LH105" s="56"/>
      <c r="LR105" s="56"/>
      <c r="MB105" s="56"/>
      <c r="ML105" s="56"/>
      <c r="MV105" s="56"/>
      <c r="NF105" s="56"/>
      <c r="NP105" s="56"/>
      <c r="NZ105" s="56"/>
      <c r="OJ105" s="56"/>
      <c r="OT105" s="56"/>
      <c r="PD105" s="56"/>
      <c r="PN105" s="56"/>
      <c r="PX105" s="56"/>
      <c r="QH105" s="56"/>
      <c r="QR105" s="56"/>
      <c r="RB105" s="56"/>
      <c r="RL105" s="56"/>
      <c r="RV105" s="56"/>
      <c r="SF105" s="56"/>
      <c r="SP105" s="56"/>
      <c r="SZ105" s="56"/>
      <c r="TJ105" s="56"/>
      <c r="TT105" s="56"/>
      <c r="UD105" s="56"/>
      <c r="UN105" s="56"/>
      <c r="UX105" s="56"/>
      <c r="VH105" s="56"/>
      <c r="VR105" s="56"/>
      <c r="WB105" s="56"/>
      <c r="WL105" s="56"/>
      <c r="WV105" s="56"/>
      <c r="XF105" s="56"/>
      <c r="XP105" s="56"/>
      <c r="XZ105" s="56"/>
      <c r="YJ105" s="56"/>
      <c r="YT105" s="56"/>
      <c r="ZD105" s="56"/>
      <c r="ZN105" s="56"/>
      <c r="ZX105" s="56"/>
      <c r="AAH105" s="56"/>
      <c r="AAR105" s="56"/>
      <c r="ABB105" s="56"/>
      <c r="ABL105" s="56"/>
      <c r="ABV105" s="56"/>
      <c r="ACF105" s="56"/>
      <c r="ACP105" s="56"/>
      <c r="ACZ105" s="56"/>
      <c r="ADJ105" s="56"/>
      <c r="ADT105" s="56"/>
      <c r="AED105" s="56"/>
      <c r="AEN105" s="56"/>
      <c r="AEX105" s="56"/>
      <c r="AFH105" s="56"/>
      <c r="AFR105" s="56"/>
      <c r="AGB105" s="56"/>
      <c r="AGL105" s="56"/>
      <c r="AGV105" s="56"/>
      <c r="AHF105" s="56"/>
      <c r="AHP105" s="56"/>
      <c r="AHZ105" s="56"/>
      <c r="AIJ105" s="56"/>
      <c r="AIT105" s="56"/>
      <c r="AJD105" s="56"/>
      <c r="AJN105" s="56"/>
      <c r="AJX105" s="56"/>
      <c r="AKH105" s="56"/>
      <c r="AKR105" s="56"/>
      <c r="ALB105" s="56"/>
      <c r="ALL105" s="56"/>
      <c r="ALV105" s="56"/>
      <c r="AMF105" s="56"/>
      <c r="AMP105" s="56"/>
      <c r="AMZ105" s="56"/>
      <c r="ANJ105" s="56"/>
      <c r="ANT105" s="56"/>
      <c r="AOD105" s="56"/>
      <c r="AON105" s="56"/>
      <c r="AOX105" s="56"/>
      <c r="APH105" s="56"/>
      <c r="APR105" s="56"/>
      <c r="AQB105" s="56"/>
      <c r="AQL105" s="56"/>
      <c r="AQV105" s="56"/>
      <c r="ARF105" s="56"/>
      <c r="ARP105" s="56"/>
      <c r="ARZ105" s="56"/>
      <c r="ASJ105" s="56"/>
      <c r="AST105" s="56"/>
      <c r="ATD105" s="56"/>
      <c r="ATN105" s="56"/>
      <c r="ATX105" s="56"/>
      <c r="AUH105" s="56"/>
      <c r="AUR105" s="56"/>
      <c r="AVB105" s="56"/>
      <c r="AVL105" s="56"/>
      <c r="AVV105" s="56"/>
      <c r="AWF105" s="56"/>
      <c r="AWP105" s="56"/>
      <c r="AWZ105" s="56"/>
      <c r="AXJ105" s="56"/>
      <c r="AXT105" s="56"/>
      <c r="AYD105" s="56"/>
      <c r="AYN105" s="56"/>
      <c r="AYX105" s="56"/>
      <c r="AZH105" s="56"/>
      <c r="AZR105" s="56"/>
      <c r="BAB105" s="56"/>
      <c r="BAL105" s="56"/>
      <c r="BAV105" s="56"/>
      <c r="BBF105" s="56"/>
      <c r="BBP105" s="56"/>
      <c r="BBZ105" s="56"/>
      <c r="BCJ105" s="56"/>
      <c r="BCT105" s="56"/>
      <c r="BDD105" s="56"/>
      <c r="BDN105" s="56"/>
      <c r="BDX105" s="56"/>
      <c r="BEH105" s="56"/>
      <c r="BER105" s="56"/>
      <c r="BFB105" s="56"/>
      <c r="BFL105" s="56"/>
      <c r="BFV105" s="56"/>
      <c r="BGF105" s="56"/>
      <c r="BGP105" s="56"/>
      <c r="BGZ105" s="56"/>
      <c r="BHJ105" s="56"/>
      <c r="BHT105" s="56"/>
      <c r="BID105" s="56"/>
      <c r="BIN105" s="56"/>
      <c r="BIX105" s="56"/>
      <c r="BJH105" s="56"/>
      <c r="BJR105" s="56"/>
      <c r="BKB105" s="56"/>
      <c r="BKL105" s="56"/>
      <c r="BKV105" s="56"/>
      <c r="BLF105" s="56"/>
      <c r="BLP105" s="56"/>
      <c r="BLZ105" s="56"/>
      <c r="BMJ105" s="56"/>
      <c r="BMT105" s="56"/>
      <c r="BND105" s="56"/>
      <c r="BNN105" s="56"/>
      <c r="BNX105" s="56"/>
      <c r="BOH105" s="56"/>
      <c r="BOR105" s="56"/>
      <c r="BPB105" s="56"/>
      <c r="BPL105" s="56"/>
      <c r="BPV105" s="56"/>
      <c r="BQF105" s="56"/>
      <c r="BQP105" s="56"/>
      <c r="BQZ105" s="56"/>
      <c r="BRJ105" s="56"/>
      <c r="BRT105" s="56"/>
      <c r="BSD105" s="56"/>
      <c r="BSN105" s="56"/>
      <c r="BSX105" s="56"/>
      <c r="BTH105" s="56"/>
      <c r="BTR105" s="56"/>
      <c r="BUB105" s="56"/>
      <c r="BUL105" s="56"/>
      <c r="BUV105" s="56"/>
      <c r="BVF105" s="56"/>
      <c r="BVP105" s="56"/>
      <c r="BVZ105" s="56"/>
      <c r="BWJ105" s="56"/>
      <c r="BWT105" s="56"/>
      <c r="BXD105" s="56"/>
      <c r="BXN105" s="56"/>
      <c r="BXX105" s="56"/>
      <c r="BYH105" s="56"/>
      <c r="BYR105" s="56"/>
      <c r="BZB105" s="56"/>
      <c r="BZL105" s="56"/>
      <c r="BZV105" s="56"/>
      <c r="CAF105" s="56"/>
      <c r="CAP105" s="56"/>
      <c r="CAZ105" s="56"/>
      <c r="CBJ105" s="56"/>
      <c r="CBT105" s="56"/>
      <c r="CCD105" s="56"/>
      <c r="CCN105" s="56"/>
      <c r="CCX105" s="56"/>
      <c r="CDH105" s="56"/>
      <c r="CDR105" s="56"/>
      <c r="CEB105" s="56"/>
      <c r="CEL105" s="56"/>
      <c r="CEV105" s="56"/>
      <c r="CFF105" s="56"/>
      <c r="CFP105" s="56"/>
      <c r="CFZ105" s="56"/>
      <c r="CGJ105" s="56"/>
      <c r="CGT105" s="56"/>
      <c r="CHD105" s="56"/>
      <c r="CHN105" s="56"/>
      <c r="CHX105" s="56"/>
      <c r="CIH105" s="56"/>
      <c r="CIR105" s="56"/>
      <c r="CJB105" s="56"/>
      <c r="CJL105" s="56"/>
      <c r="CJV105" s="56"/>
      <c r="CKF105" s="56"/>
      <c r="CKP105" s="56"/>
      <c r="CKZ105" s="56"/>
      <c r="CLJ105" s="56"/>
      <c r="CLT105" s="56"/>
      <c r="CMD105" s="56"/>
      <c r="CMN105" s="56"/>
      <c r="CMX105" s="56"/>
      <c r="CNH105" s="56"/>
      <c r="CNR105" s="56"/>
      <c r="COB105" s="56"/>
      <c r="COL105" s="56"/>
      <c r="COV105" s="56"/>
      <c r="CPF105" s="56"/>
      <c r="CPP105" s="56"/>
      <c r="CPZ105" s="56"/>
      <c r="CQJ105" s="56"/>
      <c r="CQT105" s="56"/>
      <c r="CRD105" s="56"/>
      <c r="CRN105" s="56"/>
      <c r="CRX105" s="56"/>
      <c r="CSH105" s="56"/>
      <c r="CSR105" s="56"/>
      <c r="CTB105" s="56"/>
      <c r="CTL105" s="56"/>
      <c r="CTV105" s="56"/>
    </row>
    <row r="106" s="42" customFormat="1" customHeight="1" spans="1:1020 1030:2040 2050:2570">
      <c r="A106" s="51"/>
      <c r="B106" s="52"/>
      <c r="C106" s="52"/>
      <c r="D106" s="52"/>
      <c r="E106" s="52"/>
      <c r="F106" s="53" t="str">
        <f>IFERROR(VLOOKUP(E106,日报!E:G,2,0),"")</f>
        <v/>
      </c>
      <c r="G106" s="52"/>
      <c r="H106" s="54" t="str">
        <f>IFERROR(VLOOKUP(E106,日报!E:H,4,0),"")</f>
        <v/>
      </c>
      <c r="I106" s="54" t="str">
        <f>IFERROR(VLOOKUP(E106,日报!E:G,3,0),"")</f>
        <v/>
      </c>
      <c r="J106" s="52"/>
      <c r="K106" s="55" t="str">
        <f t="shared" si="1"/>
        <v/>
      </c>
      <c r="T106" s="56"/>
      <c r="AD106" s="56"/>
      <c r="AN106" s="56"/>
      <c r="AX106" s="56"/>
      <c r="BH106" s="56"/>
      <c r="BR106" s="56"/>
      <c r="CB106" s="56"/>
      <c r="CL106" s="56"/>
      <c r="CV106" s="56"/>
      <c r="DF106" s="56"/>
      <c r="DP106" s="56"/>
      <c r="DZ106" s="56"/>
      <c r="EJ106" s="56"/>
      <c r="ET106" s="56"/>
      <c r="FD106" s="56"/>
      <c r="FN106" s="56"/>
      <c r="FX106" s="56"/>
      <c r="GH106" s="56"/>
      <c r="GR106" s="56"/>
      <c r="HB106" s="56"/>
      <c r="HL106" s="56"/>
      <c r="HV106" s="56"/>
      <c r="IF106" s="56"/>
      <c r="IP106" s="56"/>
      <c r="IZ106" s="56"/>
      <c r="JJ106" s="56"/>
      <c r="JT106" s="56"/>
      <c r="KD106" s="56"/>
      <c r="KN106" s="56"/>
      <c r="KX106" s="56"/>
      <c r="LH106" s="56"/>
      <c r="LR106" s="56"/>
      <c r="MB106" s="56"/>
      <c r="ML106" s="56"/>
      <c r="MV106" s="56"/>
      <c r="NF106" s="56"/>
      <c r="NP106" s="56"/>
      <c r="NZ106" s="56"/>
      <c r="OJ106" s="56"/>
      <c r="OT106" s="56"/>
      <c r="PD106" s="56"/>
      <c r="PN106" s="56"/>
      <c r="PX106" s="56"/>
      <c r="QH106" s="56"/>
      <c r="QR106" s="56"/>
      <c r="RB106" s="56"/>
      <c r="RL106" s="56"/>
      <c r="RV106" s="56"/>
      <c r="SF106" s="56"/>
      <c r="SP106" s="56"/>
      <c r="SZ106" s="56"/>
      <c r="TJ106" s="56"/>
      <c r="TT106" s="56"/>
      <c r="UD106" s="56"/>
      <c r="UN106" s="56"/>
      <c r="UX106" s="56"/>
      <c r="VH106" s="56"/>
      <c r="VR106" s="56"/>
      <c r="WB106" s="56"/>
      <c r="WL106" s="56"/>
      <c r="WV106" s="56"/>
      <c r="XF106" s="56"/>
      <c r="XP106" s="56"/>
      <c r="XZ106" s="56"/>
      <c r="YJ106" s="56"/>
      <c r="YT106" s="56"/>
      <c r="ZD106" s="56"/>
      <c r="ZN106" s="56"/>
      <c r="ZX106" s="56"/>
      <c r="AAH106" s="56"/>
      <c r="AAR106" s="56"/>
      <c r="ABB106" s="56"/>
      <c r="ABL106" s="56"/>
      <c r="ABV106" s="56"/>
      <c r="ACF106" s="56"/>
      <c r="ACP106" s="56"/>
      <c r="ACZ106" s="56"/>
      <c r="ADJ106" s="56"/>
      <c r="ADT106" s="56"/>
      <c r="AED106" s="56"/>
      <c r="AEN106" s="56"/>
      <c r="AEX106" s="56"/>
      <c r="AFH106" s="56"/>
      <c r="AFR106" s="56"/>
      <c r="AGB106" s="56"/>
      <c r="AGL106" s="56"/>
      <c r="AGV106" s="56"/>
      <c r="AHF106" s="56"/>
      <c r="AHP106" s="56"/>
      <c r="AHZ106" s="56"/>
      <c r="AIJ106" s="56"/>
      <c r="AIT106" s="56"/>
      <c r="AJD106" s="56"/>
      <c r="AJN106" s="56"/>
      <c r="AJX106" s="56"/>
      <c r="AKH106" s="56"/>
      <c r="AKR106" s="56"/>
      <c r="ALB106" s="56"/>
      <c r="ALL106" s="56"/>
      <c r="ALV106" s="56"/>
      <c r="AMF106" s="56"/>
      <c r="AMP106" s="56"/>
      <c r="AMZ106" s="56"/>
      <c r="ANJ106" s="56"/>
      <c r="ANT106" s="56"/>
      <c r="AOD106" s="56"/>
      <c r="AON106" s="56"/>
      <c r="AOX106" s="56"/>
      <c r="APH106" s="56"/>
      <c r="APR106" s="56"/>
      <c r="AQB106" s="56"/>
      <c r="AQL106" s="56"/>
      <c r="AQV106" s="56"/>
      <c r="ARF106" s="56"/>
      <c r="ARP106" s="56"/>
      <c r="ARZ106" s="56"/>
      <c r="ASJ106" s="56"/>
      <c r="AST106" s="56"/>
      <c r="ATD106" s="56"/>
      <c r="ATN106" s="56"/>
      <c r="ATX106" s="56"/>
      <c r="AUH106" s="56"/>
      <c r="AUR106" s="56"/>
      <c r="AVB106" s="56"/>
      <c r="AVL106" s="56"/>
      <c r="AVV106" s="56"/>
      <c r="AWF106" s="56"/>
      <c r="AWP106" s="56"/>
      <c r="AWZ106" s="56"/>
      <c r="AXJ106" s="56"/>
      <c r="AXT106" s="56"/>
      <c r="AYD106" s="56"/>
      <c r="AYN106" s="56"/>
      <c r="AYX106" s="56"/>
      <c r="AZH106" s="56"/>
      <c r="AZR106" s="56"/>
      <c r="BAB106" s="56"/>
      <c r="BAL106" s="56"/>
      <c r="BAV106" s="56"/>
      <c r="BBF106" s="56"/>
      <c r="BBP106" s="56"/>
      <c r="BBZ106" s="56"/>
      <c r="BCJ106" s="56"/>
      <c r="BCT106" s="56"/>
      <c r="BDD106" s="56"/>
      <c r="BDN106" s="56"/>
      <c r="BDX106" s="56"/>
      <c r="BEH106" s="56"/>
      <c r="BER106" s="56"/>
      <c r="BFB106" s="56"/>
      <c r="BFL106" s="56"/>
      <c r="BFV106" s="56"/>
      <c r="BGF106" s="56"/>
      <c r="BGP106" s="56"/>
      <c r="BGZ106" s="56"/>
      <c r="BHJ106" s="56"/>
      <c r="BHT106" s="56"/>
      <c r="BID106" s="56"/>
      <c r="BIN106" s="56"/>
      <c r="BIX106" s="56"/>
      <c r="BJH106" s="56"/>
      <c r="BJR106" s="56"/>
      <c r="BKB106" s="56"/>
      <c r="BKL106" s="56"/>
      <c r="BKV106" s="56"/>
      <c r="BLF106" s="56"/>
      <c r="BLP106" s="56"/>
      <c r="BLZ106" s="56"/>
      <c r="BMJ106" s="56"/>
      <c r="BMT106" s="56"/>
      <c r="BND106" s="56"/>
      <c r="BNN106" s="56"/>
      <c r="BNX106" s="56"/>
      <c r="BOH106" s="56"/>
      <c r="BOR106" s="56"/>
      <c r="BPB106" s="56"/>
      <c r="BPL106" s="56"/>
      <c r="BPV106" s="56"/>
      <c r="BQF106" s="56"/>
      <c r="BQP106" s="56"/>
      <c r="BQZ106" s="56"/>
      <c r="BRJ106" s="56"/>
      <c r="BRT106" s="56"/>
      <c r="BSD106" s="56"/>
      <c r="BSN106" s="56"/>
      <c r="BSX106" s="56"/>
      <c r="BTH106" s="56"/>
      <c r="BTR106" s="56"/>
      <c r="BUB106" s="56"/>
      <c r="BUL106" s="56"/>
      <c r="BUV106" s="56"/>
      <c r="BVF106" s="56"/>
      <c r="BVP106" s="56"/>
      <c r="BVZ106" s="56"/>
      <c r="BWJ106" s="56"/>
      <c r="BWT106" s="56"/>
      <c r="BXD106" s="56"/>
      <c r="BXN106" s="56"/>
      <c r="BXX106" s="56"/>
      <c r="BYH106" s="56"/>
      <c r="BYR106" s="56"/>
      <c r="BZB106" s="56"/>
      <c r="BZL106" s="56"/>
      <c r="BZV106" s="56"/>
      <c r="CAF106" s="56"/>
      <c r="CAP106" s="56"/>
      <c r="CAZ106" s="56"/>
      <c r="CBJ106" s="56"/>
      <c r="CBT106" s="56"/>
      <c r="CCD106" s="56"/>
      <c r="CCN106" s="56"/>
      <c r="CCX106" s="56"/>
      <c r="CDH106" s="56"/>
      <c r="CDR106" s="56"/>
      <c r="CEB106" s="56"/>
      <c r="CEL106" s="56"/>
      <c r="CEV106" s="56"/>
      <c r="CFF106" s="56"/>
      <c r="CFP106" s="56"/>
      <c r="CFZ106" s="56"/>
      <c r="CGJ106" s="56"/>
      <c r="CGT106" s="56"/>
      <c r="CHD106" s="56"/>
      <c r="CHN106" s="56"/>
      <c r="CHX106" s="56"/>
      <c r="CIH106" s="56"/>
      <c r="CIR106" s="56"/>
      <c r="CJB106" s="56"/>
      <c r="CJL106" s="56"/>
      <c r="CJV106" s="56"/>
      <c r="CKF106" s="56"/>
      <c r="CKP106" s="56"/>
      <c r="CKZ106" s="56"/>
      <c r="CLJ106" s="56"/>
      <c r="CLT106" s="56"/>
      <c r="CMD106" s="56"/>
      <c r="CMN106" s="56"/>
      <c r="CMX106" s="56"/>
      <c r="CNH106" s="56"/>
      <c r="CNR106" s="56"/>
      <c r="COB106" s="56"/>
      <c r="COL106" s="56"/>
      <c r="COV106" s="56"/>
      <c r="CPF106" s="56"/>
      <c r="CPP106" s="56"/>
      <c r="CPZ106" s="56"/>
      <c r="CQJ106" s="56"/>
      <c r="CQT106" s="56"/>
      <c r="CRD106" s="56"/>
      <c r="CRN106" s="56"/>
      <c r="CRX106" s="56"/>
      <c r="CSH106" s="56"/>
      <c r="CSR106" s="56"/>
      <c r="CTB106" s="56"/>
      <c r="CTL106" s="56"/>
      <c r="CTV106" s="56"/>
    </row>
    <row r="107" s="42" customFormat="1" customHeight="1" spans="1:1020 1030:2040 2050:2570">
      <c r="A107" s="51"/>
      <c r="B107" s="52"/>
      <c r="C107" s="52"/>
      <c r="D107" s="52"/>
      <c r="E107" s="52"/>
      <c r="F107" s="53" t="str">
        <f>IFERROR(VLOOKUP(E107,日报!E:G,2,0),"")</f>
        <v/>
      </c>
      <c r="G107" s="52"/>
      <c r="H107" s="54" t="str">
        <f>IFERROR(VLOOKUP(E107,日报!E:H,4,0),"")</f>
        <v/>
      </c>
      <c r="I107" s="54" t="str">
        <f>IFERROR(VLOOKUP(E107,日报!E:G,3,0),"")</f>
        <v/>
      </c>
      <c r="J107" s="52"/>
      <c r="K107" s="55" t="str">
        <f t="shared" si="1"/>
        <v/>
      </c>
      <c r="T107" s="56"/>
      <c r="AD107" s="56"/>
      <c r="AN107" s="56"/>
      <c r="AX107" s="56"/>
      <c r="BH107" s="56"/>
      <c r="BR107" s="56"/>
      <c r="CB107" s="56"/>
      <c r="CL107" s="56"/>
      <c r="CV107" s="56"/>
      <c r="DF107" s="56"/>
      <c r="DP107" s="56"/>
      <c r="DZ107" s="56"/>
      <c r="EJ107" s="56"/>
      <c r="ET107" s="56"/>
      <c r="FD107" s="56"/>
      <c r="FN107" s="56"/>
      <c r="FX107" s="56"/>
      <c r="GH107" s="56"/>
      <c r="GR107" s="56"/>
      <c r="HB107" s="56"/>
      <c r="HL107" s="56"/>
      <c r="HV107" s="56"/>
      <c r="IF107" s="56"/>
      <c r="IP107" s="56"/>
      <c r="IZ107" s="56"/>
      <c r="JJ107" s="56"/>
      <c r="JT107" s="56"/>
      <c r="KD107" s="56"/>
      <c r="KN107" s="56"/>
      <c r="KX107" s="56"/>
      <c r="LH107" s="56"/>
      <c r="LR107" s="56"/>
      <c r="MB107" s="56"/>
      <c r="ML107" s="56"/>
      <c r="MV107" s="56"/>
      <c r="NF107" s="56"/>
      <c r="NP107" s="56"/>
      <c r="NZ107" s="56"/>
      <c r="OJ107" s="56"/>
      <c r="OT107" s="56"/>
      <c r="PD107" s="56"/>
      <c r="PN107" s="56"/>
      <c r="PX107" s="56"/>
      <c r="QH107" s="56"/>
      <c r="QR107" s="56"/>
      <c r="RB107" s="56"/>
      <c r="RL107" s="56"/>
      <c r="RV107" s="56"/>
      <c r="SF107" s="56"/>
      <c r="SP107" s="56"/>
      <c r="SZ107" s="56"/>
      <c r="TJ107" s="56"/>
      <c r="TT107" s="56"/>
      <c r="UD107" s="56"/>
      <c r="UN107" s="56"/>
      <c r="UX107" s="56"/>
      <c r="VH107" s="56"/>
      <c r="VR107" s="56"/>
      <c r="WB107" s="56"/>
      <c r="WL107" s="56"/>
      <c r="WV107" s="56"/>
      <c r="XF107" s="56"/>
      <c r="XP107" s="56"/>
      <c r="XZ107" s="56"/>
      <c r="YJ107" s="56"/>
      <c r="YT107" s="56"/>
      <c r="ZD107" s="56"/>
      <c r="ZN107" s="56"/>
      <c r="ZX107" s="56"/>
      <c r="AAH107" s="56"/>
      <c r="AAR107" s="56"/>
      <c r="ABB107" s="56"/>
      <c r="ABL107" s="56"/>
      <c r="ABV107" s="56"/>
      <c r="ACF107" s="56"/>
      <c r="ACP107" s="56"/>
      <c r="ACZ107" s="56"/>
      <c r="ADJ107" s="56"/>
      <c r="ADT107" s="56"/>
      <c r="AED107" s="56"/>
      <c r="AEN107" s="56"/>
      <c r="AEX107" s="56"/>
      <c r="AFH107" s="56"/>
      <c r="AFR107" s="56"/>
      <c r="AGB107" s="56"/>
      <c r="AGL107" s="56"/>
      <c r="AGV107" s="56"/>
      <c r="AHF107" s="56"/>
      <c r="AHP107" s="56"/>
      <c r="AHZ107" s="56"/>
      <c r="AIJ107" s="56"/>
      <c r="AIT107" s="56"/>
      <c r="AJD107" s="56"/>
      <c r="AJN107" s="56"/>
      <c r="AJX107" s="56"/>
      <c r="AKH107" s="56"/>
      <c r="AKR107" s="56"/>
      <c r="ALB107" s="56"/>
      <c r="ALL107" s="56"/>
      <c r="ALV107" s="56"/>
      <c r="AMF107" s="56"/>
      <c r="AMP107" s="56"/>
      <c r="AMZ107" s="56"/>
      <c r="ANJ107" s="56"/>
      <c r="ANT107" s="56"/>
      <c r="AOD107" s="56"/>
      <c r="AON107" s="56"/>
      <c r="AOX107" s="56"/>
      <c r="APH107" s="56"/>
      <c r="APR107" s="56"/>
      <c r="AQB107" s="56"/>
      <c r="AQL107" s="56"/>
      <c r="AQV107" s="56"/>
      <c r="ARF107" s="56"/>
      <c r="ARP107" s="56"/>
      <c r="ARZ107" s="56"/>
      <c r="ASJ107" s="56"/>
      <c r="AST107" s="56"/>
      <c r="ATD107" s="56"/>
      <c r="ATN107" s="56"/>
      <c r="ATX107" s="56"/>
      <c r="AUH107" s="56"/>
      <c r="AUR107" s="56"/>
      <c r="AVB107" s="56"/>
      <c r="AVL107" s="56"/>
      <c r="AVV107" s="56"/>
      <c r="AWF107" s="56"/>
      <c r="AWP107" s="56"/>
      <c r="AWZ107" s="56"/>
      <c r="AXJ107" s="56"/>
      <c r="AXT107" s="56"/>
      <c r="AYD107" s="56"/>
      <c r="AYN107" s="56"/>
      <c r="AYX107" s="56"/>
      <c r="AZH107" s="56"/>
      <c r="AZR107" s="56"/>
      <c r="BAB107" s="56"/>
      <c r="BAL107" s="56"/>
      <c r="BAV107" s="56"/>
      <c r="BBF107" s="56"/>
      <c r="BBP107" s="56"/>
      <c r="BBZ107" s="56"/>
      <c r="BCJ107" s="56"/>
      <c r="BCT107" s="56"/>
      <c r="BDD107" s="56"/>
      <c r="BDN107" s="56"/>
      <c r="BDX107" s="56"/>
      <c r="BEH107" s="56"/>
      <c r="BER107" s="56"/>
      <c r="BFB107" s="56"/>
      <c r="BFL107" s="56"/>
      <c r="BFV107" s="56"/>
      <c r="BGF107" s="56"/>
      <c r="BGP107" s="56"/>
      <c r="BGZ107" s="56"/>
      <c r="BHJ107" s="56"/>
      <c r="BHT107" s="56"/>
      <c r="BID107" s="56"/>
      <c r="BIN107" s="56"/>
      <c r="BIX107" s="56"/>
      <c r="BJH107" s="56"/>
      <c r="BJR107" s="56"/>
      <c r="BKB107" s="56"/>
      <c r="BKL107" s="56"/>
      <c r="BKV107" s="56"/>
      <c r="BLF107" s="56"/>
      <c r="BLP107" s="56"/>
      <c r="BLZ107" s="56"/>
      <c r="BMJ107" s="56"/>
      <c r="BMT107" s="56"/>
      <c r="BND107" s="56"/>
      <c r="BNN107" s="56"/>
      <c r="BNX107" s="56"/>
      <c r="BOH107" s="56"/>
      <c r="BOR107" s="56"/>
      <c r="BPB107" s="56"/>
      <c r="BPL107" s="56"/>
      <c r="BPV107" s="56"/>
      <c r="BQF107" s="56"/>
      <c r="BQP107" s="56"/>
      <c r="BQZ107" s="56"/>
      <c r="BRJ107" s="56"/>
      <c r="BRT107" s="56"/>
      <c r="BSD107" s="56"/>
      <c r="BSN107" s="56"/>
      <c r="BSX107" s="56"/>
      <c r="BTH107" s="56"/>
      <c r="BTR107" s="56"/>
      <c r="BUB107" s="56"/>
      <c r="BUL107" s="56"/>
      <c r="BUV107" s="56"/>
      <c r="BVF107" s="56"/>
      <c r="BVP107" s="56"/>
      <c r="BVZ107" s="56"/>
      <c r="BWJ107" s="56"/>
      <c r="BWT107" s="56"/>
      <c r="BXD107" s="56"/>
      <c r="BXN107" s="56"/>
      <c r="BXX107" s="56"/>
      <c r="BYH107" s="56"/>
      <c r="BYR107" s="56"/>
      <c r="BZB107" s="56"/>
      <c r="BZL107" s="56"/>
      <c r="BZV107" s="56"/>
      <c r="CAF107" s="56"/>
      <c r="CAP107" s="56"/>
      <c r="CAZ107" s="56"/>
      <c r="CBJ107" s="56"/>
      <c r="CBT107" s="56"/>
      <c r="CCD107" s="56"/>
      <c r="CCN107" s="56"/>
      <c r="CCX107" s="56"/>
      <c r="CDH107" s="56"/>
      <c r="CDR107" s="56"/>
      <c r="CEB107" s="56"/>
      <c r="CEL107" s="56"/>
      <c r="CEV107" s="56"/>
      <c r="CFF107" s="56"/>
      <c r="CFP107" s="56"/>
      <c r="CFZ107" s="56"/>
      <c r="CGJ107" s="56"/>
      <c r="CGT107" s="56"/>
      <c r="CHD107" s="56"/>
      <c r="CHN107" s="56"/>
      <c r="CHX107" s="56"/>
      <c r="CIH107" s="56"/>
      <c r="CIR107" s="56"/>
      <c r="CJB107" s="56"/>
      <c r="CJL107" s="56"/>
      <c r="CJV107" s="56"/>
      <c r="CKF107" s="56"/>
      <c r="CKP107" s="56"/>
      <c r="CKZ107" s="56"/>
      <c r="CLJ107" s="56"/>
      <c r="CLT107" s="56"/>
      <c r="CMD107" s="56"/>
      <c r="CMN107" s="56"/>
      <c r="CMX107" s="56"/>
      <c r="CNH107" s="56"/>
      <c r="CNR107" s="56"/>
      <c r="COB107" s="56"/>
      <c r="COL107" s="56"/>
      <c r="COV107" s="56"/>
      <c r="CPF107" s="56"/>
      <c r="CPP107" s="56"/>
      <c r="CPZ107" s="56"/>
      <c r="CQJ107" s="56"/>
      <c r="CQT107" s="56"/>
      <c r="CRD107" s="56"/>
      <c r="CRN107" s="56"/>
      <c r="CRX107" s="56"/>
      <c r="CSH107" s="56"/>
      <c r="CSR107" s="56"/>
      <c r="CTB107" s="56"/>
      <c r="CTL107" s="56"/>
      <c r="CTV107" s="56"/>
    </row>
    <row r="108" s="42" customFormat="1" customHeight="1" spans="1:1020 1030:2040 2050:2570">
      <c r="A108" s="51"/>
      <c r="B108" s="52"/>
      <c r="C108" s="52"/>
      <c r="D108" s="52"/>
      <c r="E108" s="52"/>
      <c r="F108" s="53" t="str">
        <f>IFERROR(VLOOKUP(E108,日报!E:G,2,0),"")</f>
        <v/>
      </c>
      <c r="G108" s="52"/>
      <c r="H108" s="54" t="str">
        <f>IFERROR(VLOOKUP(E108,日报!E:H,4,0),"")</f>
        <v/>
      </c>
      <c r="I108" s="54" t="str">
        <f>IFERROR(VLOOKUP(E108,日报!E:G,3,0),"")</f>
        <v/>
      </c>
      <c r="J108" s="52"/>
      <c r="K108" s="55" t="str">
        <f t="shared" si="1"/>
        <v/>
      </c>
      <c r="T108" s="56"/>
      <c r="AD108" s="56"/>
      <c r="AN108" s="56"/>
      <c r="AX108" s="56"/>
      <c r="BH108" s="56"/>
      <c r="BR108" s="56"/>
      <c r="CB108" s="56"/>
      <c r="CL108" s="56"/>
      <c r="CV108" s="56"/>
      <c r="DF108" s="56"/>
      <c r="DP108" s="56"/>
      <c r="DZ108" s="56"/>
      <c r="EJ108" s="56"/>
      <c r="ET108" s="56"/>
      <c r="FD108" s="56"/>
      <c r="FN108" s="56"/>
      <c r="FX108" s="56"/>
      <c r="GH108" s="56"/>
      <c r="GR108" s="56"/>
      <c r="HB108" s="56"/>
      <c r="HL108" s="56"/>
      <c r="HV108" s="56"/>
      <c r="IF108" s="56"/>
      <c r="IP108" s="56"/>
      <c r="IZ108" s="56"/>
      <c r="JJ108" s="56"/>
      <c r="JT108" s="56"/>
      <c r="KD108" s="56"/>
      <c r="KN108" s="56"/>
      <c r="KX108" s="56"/>
      <c r="LH108" s="56"/>
      <c r="LR108" s="56"/>
      <c r="MB108" s="56"/>
      <c r="ML108" s="56"/>
      <c r="MV108" s="56"/>
      <c r="NF108" s="56"/>
      <c r="NP108" s="56"/>
      <c r="NZ108" s="56"/>
      <c r="OJ108" s="56"/>
      <c r="OT108" s="56"/>
      <c r="PD108" s="56"/>
      <c r="PN108" s="56"/>
      <c r="PX108" s="56"/>
      <c r="QH108" s="56"/>
      <c r="QR108" s="56"/>
      <c r="RB108" s="56"/>
      <c r="RL108" s="56"/>
      <c r="RV108" s="56"/>
      <c r="SF108" s="56"/>
      <c r="SP108" s="56"/>
      <c r="SZ108" s="56"/>
      <c r="TJ108" s="56"/>
      <c r="TT108" s="56"/>
      <c r="UD108" s="56"/>
      <c r="UN108" s="56"/>
      <c r="UX108" s="56"/>
      <c r="VH108" s="56"/>
      <c r="VR108" s="56"/>
      <c r="WB108" s="56"/>
      <c r="WL108" s="56"/>
      <c r="WV108" s="56"/>
      <c r="XF108" s="56"/>
      <c r="XP108" s="56"/>
      <c r="XZ108" s="56"/>
      <c r="YJ108" s="56"/>
      <c r="YT108" s="56"/>
      <c r="ZD108" s="56"/>
      <c r="ZN108" s="56"/>
      <c r="ZX108" s="56"/>
      <c r="AAH108" s="56"/>
      <c r="AAR108" s="56"/>
      <c r="ABB108" s="56"/>
      <c r="ABL108" s="56"/>
      <c r="ABV108" s="56"/>
      <c r="ACF108" s="56"/>
      <c r="ACP108" s="56"/>
      <c r="ACZ108" s="56"/>
      <c r="ADJ108" s="56"/>
      <c r="ADT108" s="56"/>
      <c r="AED108" s="56"/>
      <c r="AEN108" s="56"/>
      <c r="AEX108" s="56"/>
      <c r="AFH108" s="56"/>
      <c r="AFR108" s="56"/>
      <c r="AGB108" s="56"/>
      <c r="AGL108" s="56"/>
      <c r="AGV108" s="56"/>
      <c r="AHF108" s="56"/>
      <c r="AHP108" s="56"/>
      <c r="AHZ108" s="56"/>
      <c r="AIJ108" s="56"/>
      <c r="AIT108" s="56"/>
      <c r="AJD108" s="56"/>
      <c r="AJN108" s="56"/>
      <c r="AJX108" s="56"/>
      <c r="AKH108" s="56"/>
      <c r="AKR108" s="56"/>
      <c r="ALB108" s="56"/>
      <c r="ALL108" s="56"/>
      <c r="ALV108" s="56"/>
      <c r="AMF108" s="56"/>
      <c r="AMP108" s="56"/>
      <c r="AMZ108" s="56"/>
      <c r="ANJ108" s="56"/>
      <c r="ANT108" s="56"/>
      <c r="AOD108" s="56"/>
      <c r="AON108" s="56"/>
      <c r="AOX108" s="56"/>
      <c r="APH108" s="56"/>
      <c r="APR108" s="56"/>
      <c r="AQB108" s="56"/>
      <c r="AQL108" s="56"/>
      <c r="AQV108" s="56"/>
      <c r="ARF108" s="56"/>
      <c r="ARP108" s="56"/>
      <c r="ARZ108" s="56"/>
      <c r="ASJ108" s="56"/>
      <c r="AST108" s="56"/>
      <c r="ATD108" s="56"/>
      <c r="ATN108" s="56"/>
      <c r="ATX108" s="56"/>
      <c r="AUH108" s="56"/>
      <c r="AUR108" s="56"/>
      <c r="AVB108" s="56"/>
      <c r="AVL108" s="56"/>
      <c r="AVV108" s="56"/>
      <c r="AWF108" s="56"/>
      <c r="AWP108" s="56"/>
      <c r="AWZ108" s="56"/>
      <c r="AXJ108" s="56"/>
      <c r="AXT108" s="56"/>
      <c r="AYD108" s="56"/>
      <c r="AYN108" s="56"/>
      <c r="AYX108" s="56"/>
      <c r="AZH108" s="56"/>
      <c r="AZR108" s="56"/>
      <c r="BAB108" s="56"/>
      <c r="BAL108" s="56"/>
      <c r="BAV108" s="56"/>
      <c r="BBF108" s="56"/>
      <c r="BBP108" s="56"/>
      <c r="BBZ108" s="56"/>
      <c r="BCJ108" s="56"/>
      <c r="BCT108" s="56"/>
      <c r="BDD108" s="56"/>
      <c r="BDN108" s="56"/>
      <c r="BDX108" s="56"/>
      <c r="BEH108" s="56"/>
      <c r="BER108" s="56"/>
      <c r="BFB108" s="56"/>
      <c r="BFL108" s="56"/>
      <c r="BFV108" s="56"/>
      <c r="BGF108" s="56"/>
      <c r="BGP108" s="56"/>
      <c r="BGZ108" s="56"/>
      <c r="BHJ108" s="56"/>
      <c r="BHT108" s="56"/>
      <c r="BID108" s="56"/>
      <c r="BIN108" s="56"/>
      <c r="BIX108" s="56"/>
      <c r="BJH108" s="56"/>
      <c r="BJR108" s="56"/>
      <c r="BKB108" s="56"/>
      <c r="BKL108" s="56"/>
      <c r="BKV108" s="56"/>
      <c r="BLF108" s="56"/>
      <c r="BLP108" s="56"/>
      <c r="BLZ108" s="56"/>
      <c r="BMJ108" s="56"/>
      <c r="BMT108" s="56"/>
      <c r="BND108" s="56"/>
      <c r="BNN108" s="56"/>
      <c r="BNX108" s="56"/>
      <c r="BOH108" s="56"/>
      <c r="BOR108" s="56"/>
      <c r="BPB108" s="56"/>
      <c r="BPL108" s="56"/>
      <c r="BPV108" s="56"/>
      <c r="BQF108" s="56"/>
      <c r="BQP108" s="56"/>
      <c r="BQZ108" s="56"/>
      <c r="BRJ108" s="56"/>
      <c r="BRT108" s="56"/>
      <c r="BSD108" s="56"/>
      <c r="BSN108" s="56"/>
      <c r="BSX108" s="56"/>
      <c r="BTH108" s="56"/>
      <c r="BTR108" s="56"/>
      <c r="BUB108" s="56"/>
      <c r="BUL108" s="56"/>
      <c r="BUV108" s="56"/>
      <c r="BVF108" s="56"/>
      <c r="BVP108" s="56"/>
      <c r="BVZ108" s="56"/>
      <c r="BWJ108" s="56"/>
      <c r="BWT108" s="56"/>
      <c r="BXD108" s="56"/>
      <c r="BXN108" s="56"/>
      <c r="BXX108" s="56"/>
      <c r="BYH108" s="56"/>
      <c r="BYR108" s="56"/>
      <c r="BZB108" s="56"/>
      <c r="BZL108" s="56"/>
      <c r="BZV108" s="56"/>
      <c r="CAF108" s="56"/>
      <c r="CAP108" s="56"/>
      <c r="CAZ108" s="56"/>
      <c r="CBJ108" s="56"/>
      <c r="CBT108" s="56"/>
      <c r="CCD108" s="56"/>
      <c r="CCN108" s="56"/>
      <c r="CCX108" s="56"/>
      <c r="CDH108" s="56"/>
      <c r="CDR108" s="56"/>
      <c r="CEB108" s="56"/>
      <c r="CEL108" s="56"/>
      <c r="CEV108" s="56"/>
      <c r="CFF108" s="56"/>
      <c r="CFP108" s="56"/>
      <c r="CFZ108" s="56"/>
      <c r="CGJ108" s="56"/>
      <c r="CGT108" s="56"/>
      <c r="CHD108" s="56"/>
      <c r="CHN108" s="56"/>
      <c r="CHX108" s="56"/>
      <c r="CIH108" s="56"/>
      <c r="CIR108" s="56"/>
      <c r="CJB108" s="56"/>
      <c r="CJL108" s="56"/>
      <c r="CJV108" s="56"/>
      <c r="CKF108" s="56"/>
      <c r="CKP108" s="56"/>
      <c r="CKZ108" s="56"/>
      <c r="CLJ108" s="56"/>
      <c r="CLT108" s="56"/>
      <c r="CMD108" s="56"/>
      <c r="CMN108" s="56"/>
      <c r="CMX108" s="56"/>
      <c r="CNH108" s="56"/>
      <c r="CNR108" s="56"/>
      <c r="COB108" s="56"/>
      <c r="COL108" s="56"/>
      <c r="COV108" s="56"/>
      <c r="CPF108" s="56"/>
      <c r="CPP108" s="56"/>
      <c r="CPZ108" s="56"/>
      <c r="CQJ108" s="56"/>
      <c r="CQT108" s="56"/>
      <c r="CRD108" s="56"/>
      <c r="CRN108" s="56"/>
      <c r="CRX108" s="56"/>
      <c r="CSH108" s="56"/>
      <c r="CSR108" s="56"/>
      <c r="CTB108" s="56"/>
      <c r="CTL108" s="56"/>
      <c r="CTV108" s="56"/>
    </row>
    <row r="109" s="42" customFormat="1" customHeight="1" spans="1:1020 1030:2040 2050:2570">
      <c r="A109" s="51"/>
      <c r="B109" s="52"/>
      <c r="C109" s="52"/>
      <c r="D109" s="52"/>
      <c r="E109" s="52"/>
      <c r="F109" s="53" t="str">
        <f>IFERROR(VLOOKUP(E109,日报!E:G,2,0),"")</f>
        <v/>
      </c>
      <c r="G109" s="52"/>
      <c r="H109" s="54" t="str">
        <f>IFERROR(VLOOKUP(E109,日报!E:H,4,0),"")</f>
        <v/>
      </c>
      <c r="I109" s="54" t="str">
        <f>IFERROR(VLOOKUP(E109,日报!E:G,3,0),"")</f>
        <v/>
      </c>
      <c r="J109" s="52"/>
      <c r="K109" s="55" t="str">
        <f t="shared" si="1"/>
        <v/>
      </c>
      <c r="T109" s="56"/>
      <c r="AD109" s="56"/>
      <c r="AN109" s="56"/>
      <c r="AX109" s="56"/>
      <c r="BH109" s="56"/>
      <c r="BR109" s="56"/>
      <c r="CB109" s="56"/>
      <c r="CL109" s="56"/>
      <c r="CV109" s="56"/>
      <c r="DF109" s="56"/>
      <c r="DP109" s="56"/>
      <c r="DZ109" s="56"/>
      <c r="EJ109" s="56"/>
      <c r="ET109" s="56"/>
      <c r="FD109" s="56"/>
      <c r="FN109" s="56"/>
      <c r="FX109" s="56"/>
      <c r="GH109" s="56"/>
      <c r="GR109" s="56"/>
      <c r="HB109" s="56"/>
      <c r="HL109" s="56"/>
      <c r="HV109" s="56"/>
      <c r="IF109" s="56"/>
      <c r="IP109" s="56"/>
      <c r="IZ109" s="56"/>
      <c r="JJ109" s="56"/>
      <c r="JT109" s="56"/>
      <c r="KD109" s="56"/>
      <c r="KN109" s="56"/>
      <c r="KX109" s="56"/>
      <c r="LH109" s="56"/>
      <c r="LR109" s="56"/>
      <c r="MB109" s="56"/>
      <c r="ML109" s="56"/>
      <c r="MV109" s="56"/>
      <c r="NF109" s="56"/>
      <c r="NP109" s="56"/>
      <c r="NZ109" s="56"/>
      <c r="OJ109" s="56"/>
      <c r="OT109" s="56"/>
      <c r="PD109" s="56"/>
      <c r="PN109" s="56"/>
      <c r="PX109" s="56"/>
      <c r="QH109" s="56"/>
      <c r="QR109" s="56"/>
      <c r="RB109" s="56"/>
      <c r="RL109" s="56"/>
      <c r="RV109" s="56"/>
      <c r="SF109" s="56"/>
      <c r="SP109" s="56"/>
      <c r="SZ109" s="56"/>
      <c r="TJ109" s="56"/>
      <c r="TT109" s="56"/>
      <c r="UD109" s="56"/>
      <c r="UN109" s="56"/>
      <c r="UX109" s="56"/>
      <c r="VH109" s="56"/>
      <c r="VR109" s="56"/>
      <c r="WB109" s="56"/>
      <c r="WL109" s="56"/>
      <c r="WV109" s="56"/>
      <c r="XF109" s="56"/>
      <c r="XP109" s="56"/>
      <c r="XZ109" s="56"/>
      <c r="YJ109" s="56"/>
      <c r="YT109" s="56"/>
      <c r="ZD109" s="56"/>
      <c r="ZN109" s="56"/>
      <c r="ZX109" s="56"/>
      <c r="AAH109" s="56"/>
      <c r="AAR109" s="56"/>
      <c r="ABB109" s="56"/>
      <c r="ABL109" s="56"/>
      <c r="ABV109" s="56"/>
      <c r="ACF109" s="56"/>
      <c r="ACP109" s="56"/>
      <c r="ACZ109" s="56"/>
      <c r="ADJ109" s="56"/>
      <c r="ADT109" s="56"/>
      <c r="AED109" s="56"/>
      <c r="AEN109" s="56"/>
      <c r="AEX109" s="56"/>
      <c r="AFH109" s="56"/>
      <c r="AFR109" s="56"/>
      <c r="AGB109" s="56"/>
      <c r="AGL109" s="56"/>
      <c r="AGV109" s="56"/>
      <c r="AHF109" s="56"/>
      <c r="AHP109" s="56"/>
      <c r="AHZ109" s="56"/>
      <c r="AIJ109" s="56"/>
      <c r="AIT109" s="56"/>
      <c r="AJD109" s="56"/>
      <c r="AJN109" s="56"/>
      <c r="AJX109" s="56"/>
      <c r="AKH109" s="56"/>
      <c r="AKR109" s="56"/>
      <c r="ALB109" s="56"/>
      <c r="ALL109" s="56"/>
      <c r="ALV109" s="56"/>
      <c r="AMF109" s="56"/>
      <c r="AMP109" s="56"/>
      <c r="AMZ109" s="56"/>
      <c r="ANJ109" s="56"/>
      <c r="ANT109" s="56"/>
      <c r="AOD109" s="56"/>
      <c r="AON109" s="56"/>
      <c r="AOX109" s="56"/>
      <c r="APH109" s="56"/>
      <c r="APR109" s="56"/>
      <c r="AQB109" s="56"/>
      <c r="AQL109" s="56"/>
      <c r="AQV109" s="56"/>
      <c r="ARF109" s="56"/>
      <c r="ARP109" s="56"/>
      <c r="ARZ109" s="56"/>
      <c r="ASJ109" s="56"/>
      <c r="AST109" s="56"/>
      <c r="ATD109" s="56"/>
      <c r="ATN109" s="56"/>
      <c r="ATX109" s="56"/>
      <c r="AUH109" s="56"/>
      <c r="AUR109" s="56"/>
      <c r="AVB109" s="56"/>
      <c r="AVL109" s="56"/>
      <c r="AVV109" s="56"/>
      <c r="AWF109" s="56"/>
      <c r="AWP109" s="56"/>
      <c r="AWZ109" s="56"/>
      <c r="AXJ109" s="56"/>
      <c r="AXT109" s="56"/>
      <c r="AYD109" s="56"/>
      <c r="AYN109" s="56"/>
      <c r="AYX109" s="56"/>
      <c r="AZH109" s="56"/>
      <c r="AZR109" s="56"/>
      <c r="BAB109" s="56"/>
      <c r="BAL109" s="56"/>
      <c r="BAV109" s="56"/>
      <c r="BBF109" s="56"/>
      <c r="BBP109" s="56"/>
      <c r="BBZ109" s="56"/>
      <c r="BCJ109" s="56"/>
      <c r="BCT109" s="56"/>
      <c r="BDD109" s="56"/>
      <c r="BDN109" s="56"/>
      <c r="BDX109" s="56"/>
      <c r="BEH109" s="56"/>
      <c r="BER109" s="56"/>
      <c r="BFB109" s="56"/>
      <c r="BFL109" s="56"/>
      <c r="BFV109" s="56"/>
      <c r="BGF109" s="56"/>
      <c r="BGP109" s="56"/>
      <c r="BGZ109" s="56"/>
      <c r="BHJ109" s="56"/>
      <c r="BHT109" s="56"/>
      <c r="BID109" s="56"/>
      <c r="BIN109" s="56"/>
      <c r="BIX109" s="56"/>
      <c r="BJH109" s="56"/>
      <c r="BJR109" s="56"/>
      <c r="BKB109" s="56"/>
      <c r="BKL109" s="56"/>
      <c r="BKV109" s="56"/>
      <c r="BLF109" s="56"/>
      <c r="BLP109" s="56"/>
      <c r="BLZ109" s="56"/>
      <c r="BMJ109" s="56"/>
      <c r="BMT109" s="56"/>
      <c r="BND109" s="56"/>
      <c r="BNN109" s="56"/>
      <c r="BNX109" s="56"/>
      <c r="BOH109" s="56"/>
      <c r="BOR109" s="56"/>
      <c r="BPB109" s="56"/>
      <c r="BPL109" s="56"/>
      <c r="BPV109" s="56"/>
      <c r="BQF109" s="56"/>
      <c r="BQP109" s="56"/>
      <c r="BQZ109" s="56"/>
      <c r="BRJ109" s="56"/>
      <c r="BRT109" s="56"/>
      <c r="BSD109" s="56"/>
      <c r="BSN109" s="56"/>
      <c r="BSX109" s="56"/>
      <c r="BTH109" s="56"/>
      <c r="BTR109" s="56"/>
      <c r="BUB109" s="56"/>
      <c r="BUL109" s="56"/>
      <c r="BUV109" s="56"/>
      <c r="BVF109" s="56"/>
      <c r="BVP109" s="56"/>
      <c r="BVZ109" s="56"/>
      <c r="BWJ109" s="56"/>
      <c r="BWT109" s="56"/>
      <c r="BXD109" s="56"/>
      <c r="BXN109" s="56"/>
      <c r="BXX109" s="56"/>
      <c r="BYH109" s="56"/>
      <c r="BYR109" s="56"/>
      <c r="BZB109" s="56"/>
      <c r="BZL109" s="56"/>
      <c r="BZV109" s="56"/>
      <c r="CAF109" s="56"/>
      <c r="CAP109" s="56"/>
      <c r="CAZ109" s="56"/>
      <c r="CBJ109" s="56"/>
      <c r="CBT109" s="56"/>
      <c r="CCD109" s="56"/>
      <c r="CCN109" s="56"/>
      <c r="CCX109" s="56"/>
      <c r="CDH109" s="56"/>
      <c r="CDR109" s="56"/>
      <c r="CEB109" s="56"/>
      <c r="CEL109" s="56"/>
      <c r="CEV109" s="56"/>
      <c r="CFF109" s="56"/>
      <c r="CFP109" s="56"/>
      <c r="CFZ109" s="56"/>
      <c r="CGJ109" s="56"/>
      <c r="CGT109" s="56"/>
      <c r="CHD109" s="56"/>
      <c r="CHN109" s="56"/>
      <c r="CHX109" s="56"/>
      <c r="CIH109" s="56"/>
      <c r="CIR109" s="56"/>
      <c r="CJB109" s="56"/>
      <c r="CJL109" s="56"/>
      <c r="CJV109" s="56"/>
      <c r="CKF109" s="56"/>
      <c r="CKP109" s="56"/>
      <c r="CKZ109" s="56"/>
      <c r="CLJ109" s="56"/>
      <c r="CLT109" s="56"/>
      <c r="CMD109" s="56"/>
      <c r="CMN109" s="56"/>
      <c r="CMX109" s="56"/>
      <c r="CNH109" s="56"/>
      <c r="CNR109" s="56"/>
      <c r="COB109" s="56"/>
      <c r="COL109" s="56"/>
      <c r="COV109" s="56"/>
      <c r="CPF109" s="56"/>
      <c r="CPP109" s="56"/>
      <c r="CPZ109" s="56"/>
      <c r="CQJ109" s="56"/>
      <c r="CQT109" s="56"/>
      <c r="CRD109" s="56"/>
      <c r="CRN109" s="56"/>
      <c r="CRX109" s="56"/>
      <c r="CSH109" s="56"/>
      <c r="CSR109" s="56"/>
      <c r="CTB109" s="56"/>
      <c r="CTL109" s="56"/>
      <c r="CTV109" s="56"/>
    </row>
    <row r="110" customHeight="1" spans="1:1020 1030:2040 2050:2570">
      <c r="A110" s="57"/>
      <c r="B110" s="58"/>
      <c r="C110" s="59"/>
      <c r="D110" s="59"/>
      <c r="E110" s="52"/>
      <c r="F110" s="53" t="str">
        <f>IFERROR(VLOOKUP(E110,日报!E:G,2,0),"")</f>
        <v/>
      </c>
      <c r="G110" s="59"/>
      <c r="H110" s="54" t="str">
        <f>IFERROR(VLOOKUP(E110,日报!E:H,4,0),"")</f>
        <v/>
      </c>
      <c r="I110" s="54" t="str">
        <f>IFERROR(VLOOKUP(E110,日报!E:G,3,0),"")</f>
        <v/>
      </c>
      <c r="J110" s="59"/>
      <c r="K110" s="55" t="str">
        <f t="shared" si="1"/>
        <v/>
      </c>
    </row>
    <row r="111" customHeight="1" spans="1:1020 1030:2040 2050:2570">
      <c r="A111" s="57"/>
      <c r="B111" s="58"/>
      <c r="C111" s="59"/>
      <c r="D111" s="59"/>
      <c r="E111" s="52"/>
      <c r="F111" s="53" t="str">
        <f>IFERROR(VLOOKUP(E111,日报!E:G,2,0),"")</f>
        <v/>
      </c>
      <c r="G111" s="59"/>
      <c r="H111" s="54" t="str">
        <f>IFERROR(VLOOKUP(E111,日报!E:H,4,0),"")</f>
        <v/>
      </c>
      <c r="I111" s="54" t="str">
        <f>IFERROR(VLOOKUP(E111,日报!E:G,3,0),"")</f>
        <v/>
      </c>
      <c r="J111" s="59"/>
      <c r="K111" s="55" t="str">
        <f t="shared" si="1"/>
        <v/>
      </c>
    </row>
    <row r="112" customHeight="1" spans="1:1020 1030:2040 2050:2570">
      <c r="A112" s="57"/>
      <c r="B112" s="58"/>
      <c r="C112" s="59"/>
      <c r="D112" s="59"/>
      <c r="E112" s="52"/>
      <c r="F112" s="53" t="str">
        <f>IFERROR(VLOOKUP(E112,日报!E:G,2,0),"")</f>
        <v/>
      </c>
      <c r="G112" s="59"/>
      <c r="H112" s="54" t="str">
        <f>IFERROR(VLOOKUP(E112,日报!E:H,4,0),"")</f>
        <v/>
      </c>
      <c r="I112" s="54" t="str">
        <f>IFERROR(VLOOKUP(E112,日报!E:G,3,0),"")</f>
        <v/>
      </c>
      <c r="J112" s="59"/>
      <c r="K112" s="55" t="str">
        <f t="shared" si="1"/>
        <v/>
      </c>
    </row>
    <row r="113" customHeight="1" spans="1:11">
      <c r="A113" s="57"/>
      <c r="B113" s="58"/>
      <c r="C113" s="59"/>
      <c r="D113" s="59"/>
      <c r="E113" s="52"/>
      <c r="F113" s="53" t="str">
        <f>IFERROR(VLOOKUP(E113,日报!E:G,2,0),"")</f>
        <v/>
      </c>
      <c r="G113" s="59"/>
      <c r="H113" s="54" t="str">
        <f>IFERROR(VLOOKUP(E113,日报!E:H,4,0),"")</f>
        <v/>
      </c>
      <c r="I113" s="54" t="str">
        <f>IFERROR(VLOOKUP(E113,日报!E:G,3,0),"")</f>
        <v/>
      </c>
      <c r="J113" s="59"/>
      <c r="K113" s="55" t="str">
        <f t="shared" si="1"/>
        <v/>
      </c>
    </row>
    <row r="114" customHeight="1" spans="1:11">
      <c r="A114" s="57"/>
      <c r="B114" s="58"/>
      <c r="C114" s="59"/>
      <c r="D114" s="59"/>
      <c r="E114" s="52"/>
      <c r="F114" s="53" t="str">
        <f>IFERROR(VLOOKUP(E114,日报!E:G,2,0),"")</f>
        <v/>
      </c>
      <c r="G114" s="59"/>
      <c r="H114" s="54" t="str">
        <f>IFERROR(VLOOKUP(E114,日报!E:H,4,0),"")</f>
        <v/>
      </c>
      <c r="I114" s="54" t="str">
        <f>IFERROR(VLOOKUP(E114,日报!E:G,3,0),"")</f>
        <v/>
      </c>
      <c r="J114" s="59"/>
      <c r="K114" s="55" t="str">
        <f t="shared" si="1"/>
        <v/>
      </c>
    </row>
    <row r="115" customHeight="1" spans="1:11">
      <c r="A115" s="57"/>
      <c r="B115" s="58"/>
      <c r="C115" s="59"/>
      <c r="D115" s="59"/>
      <c r="E115" s="52"/>
      <c r="F115" s="53" t="str">
        <f>IFERROR(VLOOKUP(E115,日报!E:G,2,0),"")</f>
        <v/>
      </c>
      <c r="G115" s="59"/>
      <c r="H115" s="54" t="str">
        <f>IFERROR(VLOOKUP(E115,日报!E:H,4,0),"")</f>
        <v/>
      </c>
      <c r="I115" s="54" t="str">
        <f>IFERROR(VLOOKUP(E115,日报!E:G,3,0),"")</f>
        <v/>
      </c>
      <c r="J115" s="59"/>
      <c r="K115" s="55" t="str">
        <f t="shared" si="1"/>
        <v/>
      </c>
    </row>
    <row r="116" customHeight="1" spans="1:11">
      <c r="A116" s="57"/>
      <c r="B116" s="58"/>
      <c r="C116" s="59"/>
      <c r="D116" s="59"/>
      <c r="E116" s="52"/>
      <c r="F116" s="53" t="str">
        <f>IFERROR(VLOOKUP(E116,日报!E:G,2,0),"")</f>
        <v/>
      </c>
      <c r="G116" s="59"/>
      <c r="H116" s="54" t="str">
        <f>IFERROR(VLOOKUP(E116,日报!E:H,4,0),"")</f>
        <v/>
      </c>
      <c r="I116" s="54" t="str">
        <f>IFERROR(VLOOKUP(E116,日报!E:G,3,0),"")</f>
        <v/>
      </c>
      <c r="J116" s="59"/>
      <c r="K116" s="55" t="str">
        <f t="shared" si="1"/>
        <v/>
      </c>
    </row>
    <row r="117" customHeight="1" spans="1:11">
      <c r="A117" s="57"/>
      <c r="B117" s="58"/>
      <c r="C117" s="59"/>
      <c r="D117" s="59"/>
      <c r="E117" s="52"/>
      <c r="F117" s="53" t="str">
        <f>IFERROR(VLOOKUP(E117,日报!E:G,2,0),"")</f>
        <v/>
      </c>
      <c r="G117" s="59"/>
      <c r="H117" s="54" t="str">
        <f>IFERROR(VLOOKUP(E117,日报!E:H,4,0),"")</f>
        <v/>
      </c>
      <c r="I117" s="54" t="str">
        <f>IFERROR(VLOOKUP(E117,日报!E:G,3,0),"")</f>
        <v/>
      </c>
      <c r="J117" s="59"/>
      <c r="K117" s="55" t="str">
        <f t="shared" si="1"/>
        <v/>
      </c>
    </row>
    <row r="118" customHeight="1" spans="1:11">
      <c r="A118" s="57"/>
      <c r="B118" s="58"/>
      <c r="C118" s="59"/>
      <c r="D118" s="59"/>
      <c r="E118" s="52"/>
      <c r="F118" s="53" t="str">
        <f>IFERROR(VLOOKUP(E118,日报!E:G,2,0),"")</f>
        <v/>
      </c>
      <c r="G118" s="59"/>
      <c r="H118" s="54" t="str">
        <f>IFERROR(VLOOKUP(E118,日报!E:H,4,0),"")</f>
        <v/>
      </c>
      <c r="I118" s="54" t="str">
        <f>IFERROR(VLOOKUP(E118,日报!E:G,3,0),"")</f>
        <v/>
      </c>
      <c r="J118" s="59"/>
      <c r="K118" s="55" t="str">
        <f t="shared" si="1"/>
        <v/>
      </c>
    </row>
    <row r="119" customHeight="1" spans="1:11">
      <c r="A119" s="57"/>
      <c r="B119" s="58"/>
      <c r="C119" s="59"/>
      <c r="D119" s="59"/>
      <c r="E119" s="52"/>
      <c r="F119" s="53" t="str">
        <f>IFERROR(VLOOKUP(E119,日报!E:G,2,0),"")</f>
        <v/>
      </c>
      <c r="G119" s="59"/>
      <c r="H119" s="54" t="str">
        <f>IFERROR(VLOOKUP(E119,日报!E:H,4,0),"")</f>
        <v/>
      </c>
      <c r="I119" s="54" t="str">
        <f>IFERROR(VLOOKUP(E119,日报!E:G,3,0),"")</f>
        <v/>
      </c>
      <c r="J119" s="59"/>
      <c r="K119" s="55" t="str">
        <f t="shared" si="1"/>
        <v/>
      </c>
    </row>
    <row r="120" customHeight="1" spans="1:11">
      <c r="A120" s="57"/>
      <c r="B120" s="58"/>
      <c r="C120" s="59"/>
      <c r="D120" s="59"/>
      <c r="E120" s="52"/>
      <c r="F120" s="53" t="str">
        <f>IFERROR(VLOOKUP(E120,日报!E:G,2,0),"")</f>
        <v/>
      </c>
      <c r="G120" s="59"/>
      <c r="H120" s="54" t="str">
        <f>IFERROR(VLOOKUP(E120,日报!E:H,4,0),"")</f>
        <v/>
      </c>
      <c r="I120" s="54" t="str">
        <f>IFERROR(VLOOKUP(E120,日报!E:G,3,0),"")</f>
        <v/>
      </c>
      <c r="J120" s="59"/>
      <c r="K120" s="55" t="str">
        <f t="shared" si="1"/>
        <v/>
      </c>
    </row>
    <row r="121" customHeight="1" spans="1:11">
      <c r="A121" s="57"/>
      <c r="B121" s="58"/>
      <c r="C121" s="59"/>
      <c r="D121" s="59"/>
      <c r="E121" s="52"/>
      <c r="F121" s="53" t="str">
        <f>IFERROR(VLOOKUP(E121,日报!E:G,2,0),"")</f>
        <v/>
      </c>
      <c r="G121" s="59"/>
      <c r="H121" s="54" t="str">
        <f>IFERROR(VLOOKUP(E121,日报!E:H,4,0),"")</f>
        <v/>
      </c>
      <c r="I121" s="54" t="str">
        <f>IFERROR(VLOOKUP(E121,日报!E:G,3,0),"")</f>
        <v/>
      </c>
      <c r="J121" s="59"/>
      <c r="K121" s="55" t="str">
        <f t="shared" si="1"/>
        <v/>
      </c>
    </row>
    <row r="122" customHeight="1" spans="1:11">
      <c r="A122" s="57"/>
      <c r="B122" s="58"/>
      <c r="C122" s="59"/>
      <c r="D122" s="59"/>
      <c r="E122" s="52"/>
      <c r="F122" s="53" t="str">
        <f>IFERROR(VLOOKUP(E122,日报!E:G,2,0),"")</f>
        <v/>
      </c>
      <c r="G122" s="59"/>
      <c r="H122" s="54" t="str">
        <f>IFERROR(VLOOKUP(E122,日报!E:H,4,0),"")</f>
        <v/>
      </c>
      <c r="I122" s="54" t="str">
        <f>IFERROR(VLOOKUP(E122,日报!E:G,3,0),"")</f>
        <v/>
      </c>
      <c r="J122" s="59"/>
      <c r="K122" s="55" t="str">
        <f t="shared" si="1"/>
        <v/>
      </c>
    </row>
    <row r="123" customHeight="1" spans="1:11">
      <c r="A123" s="57"/>
      <c r="B123" s="58"/>
      <c r="C123" s="59"/>
      <c r="D123" s="59"/>
      <c r="E123" s="52"/>
      <c r="F123" s="53" t="str">
        <f>IFERROR(VLOOKUP(E123,日报!E:G,2,0),"")</f>
        <v/>
      </c>
      <c r="G123" s="59"/>
      <c r="H123" s="54" t="str">
        <f>IFERROR(VLOOKUP(E123,日报!E:H,4,0),"")</f>
        <v/>
      </c>
      <c r="I123" s="54" t="str">
        <f>IFERROR(VLOOKUP(E123,日报!E:G,3,0),"")</f>
        <v/>
      </c>
      <c r="J123" s="59"/>
      <c r="K123" s="55" t="str">
        <f t="shared" si="1"/>
        <v/>
      </c>
    </row>
    <row r="124" customHeight="1" spans="1:11">
      <c r="A124" s="57"/>
      <c r="B124" s="58"/>
      <c r="C124" s="59"/>
      <c r="D124" s="59"/>
      <c r="E124" s="52"/>
      <c r="F124" s="53" t="str">
        <f>IFERROR(VLOOKUP(E124,日报!E:G,2,0),"")</f>
        <v/>
      </c>
      <c r="G124" s="59"/>
      <c r="H124" s="54" t="str">
        <f>IFERROR(VLOOKUP(E124,日报!E:H,4,0),"")</f>
        <v/>
      </c>
      <c r="I124" s="54" t="str">
        <f>IFERROR(VLOOKUP(E124,日报!E:G,3,0),"")</f>
        <v/>
      </c>
      <c r="J124" s="59"/>
      <c r="K124" s="55" t="str">
        <f t="shared" si="1"/>
        <v/>
      </c>
    </row>
    <row r="125" customHeight="1" spans="1:11">
      <c r="A125" s="57"/>
      <c r="B125" s="58"/>
      <c r="C125" s="59"/>
      <c r="D125" s="59"/>
      <c r="E125" s="52"/>
      <c r="F125" s="53" t="str">
        <f>IFERROR(VLOOKUP(E125,日报!E:G,2,0),"")</f>
        <v/>
      </c>
      <c r="G125" s="59"/>
      <c r="H125" s="54" t="str">
        <f>IFERROR(VLOOKUP(E125,日报!E:H,4,0),"")</f>
        <v/>
      </c>
      <c r="I125" s="54" t="str">
        <f>IFERROR(VLOOKUP(E125,日报!E:G,3,0),"")</f>
        <v/>
      </c>
      <c r="J125" s="59"/>
      <c r="K125" s="55" t="str">
        <f t="shared" si="1"/>
        <v/>
      </c>
    </row>
    <row r="126" customHeight="1" spans="1:11">
      <c r="A126" s="57"/>
      <c r="B126" s="58"/>
      <c r="C126" s="59"/>
      <c r="D126" s="59"/>
      <c r="E126" s="52"/>
      <c r="F126" s="53" t="str">
        <f>IFERROR(VLOOKUP(E126,日报!E:G,2,0),"")</f>
        <v/>
      </c>
      <c r="G126" s="59"/>
      <c r="H126" s="54" t="str">
        <f>IFERROR(VLOOKUP(E126,日报!E:H,4,0),"")</f>
        <v/>
      </c>
      <c r="I126" s="54" t="str">
        <f>IFERROR(VLOOKUP(E126,日报!E:G,3,0),"")</f>
        <v/>
      </c>
      <c r="J126" s="59"/>
      <c r="K126" s="55" t="str">
        <f t="shared" si="1"/>
        <v/>
      </c>
    </row>
    <row r="127" customHeight="1" spans="1:11">
      <c r="A127" s="57"/>
      <c r="B127" s="58"/>
      <c r="C127" s="59"/>
      <c r="D127" s="59"/>
      <c r="E127" s="52"/>
      <c r="F127" s="53" t="str">
        <f>IFERROR(VLOOKUP(E127,日报!E:G,2,0),"")</f>
        <v/>
      </c>
      <c r="G127" s="59"/>
      <c r="H127" s="54" t="str">
        <f>IFERROR(VLOOKUP(E127,日报!E:H,4,0),"")</f>
        <v/>
      </c>
      <c r="I127" s="54" t="str">
        <f>IFERROR(VLOOKUP(E127,日报!E:G,3,0),"")</f>
        <v/>
      </c>
      <c r="J127" s="59"/>
      <c r="K127" s="55" t="str">
        <f t="shared" si="1"/>
        <v/>
      </c>
    </row>
    <row r="128" customHeight="1" spans="1:11">
      <c r="A128" s="57"/>
      <c r="B128" s="58"/>
      <c r="C128" s="59"/>
      <c r="D128" s="59"/>
      <c r="E128" s="52"/>
      <c r="F128" s="53" t="str">
        <f>IFERROR(VLOOKUP(E128,日报!E:G,2,0),"")</f>
        <v/>
      </c>
      <c r="G128" s="59"/>
      <c r="H128" s="54" t="str">
        <f>IFERROR(VLOOKUP(E128,日报!E:H,4,0),"")</f>
        <v/>
      </c>
      <c r="I128" s="54" t="str">
        <f>IFERROR(VLOOKUP(E128,日报!E:G,3,0),"")</f>
        <v/>
      </c>
      <c r="J128" s="59"/>
      <c r="K128" s="55" t="str">
        <f t="shared" si="1"/>
        <v/>
      </c>
    </row>
    <row r="129" customHeight="1" spans="1:11">
      <c r="A129" s="57"/>
      <c r="B129" s="58"/>
      <c r="C129" s="59"/>
      <c r="D129" s="59"/>
      <c r="E129" s="52"/>
      <c r="F129" s="53" t="str">
        <f>IFERROR(VLOOKUP(E129,日报!E:G,2,0),"")</f>
        <v/>
      </c>
      <c r="G129" s="59"/>
      <c r="H129" s="54" t="str">
        <f>IFERROR(VLOOKUP(E129,日报!E:H,4,0),"")</f>
        <v/>
      </c>
      <c r="I129" s="54" t="str">
        <f>IFERROR(VLOOKUP(E129,日报!E:G,3,0),"")</f>
        <v/>
      </c>
      <c r="J129" s="59"/>
      <c r="K129" s="55" t="str">
        <f t="shared" si="1"/>
        <v/>
      </c>
    </row>
    <row r="130" customHeight="1" spans="1:11">
      <c r="A130" s="57"/>
      <c r="B130" s="58"/>
      <c r="C130" s="59"/>
      <c r="D130" s="59"/>
      <c r="E130" s="52"/>
      <c r="F130" s="53" t="str">
        <f>IFERROR(VLOOKUP(E130,日报!E:G,2,0),"")</f>
        <v/>
      </c>
      <c r="G130" s="59"/>
      <c r="H130" s="54" t="str">
        <f>IFERROR(VLOOKUP(E130,日报!E:H,4,0),"")</f>
        <v/>
      </c>
      <c r="I130" s="54" t="str">
        <f>IFERROR(VLOOKUP(E130,日报!E:G,3,0),"")</f>
        <v/>
      </c>
      <c r="J130" s="59"/>
      <c r="K130" s="55" t="str">
        <f t="shared" si="1"/>
        <v/>
      </c>
    </row>
    <row r="131" customHeight="1" spans="1:11">
      <c r="A131" s="57"/>
      <c r="B131" s="58"/>
      <c r="C131" s="59"/>
      <c r="D131" s="59"/>
      <c r="E131" s="52"/>
      <c r="F131" s="53" t="str">
        <f>IFERROR(VLOOKUP(E131,日报!E:G,2,0),"")</f>
        <v/>
      </c>
      <c r="G131" s="59"/>
      <c r="H131" s="54" t="str">
        <f>IFERROR(VLOOKUP(E131,日报!E:H,4,0),"")</f>
        <v/>
      </c>
      <c r="I131" s="54" t="str">
        <f>IFERROR(VLOOKUP(E131,日报!E:G,3,0),"")</f>
        <v/>
      </c>
      <c r="J131" s="59"/>
      <c r="K131" s="55" t="str">
        <f t="shared" si="1"/>
        <v/>
      </c>
    </row>
    <row r="132" customHeight="1" spans="1:11">
      <c r="A132" s="57"/>
      <c r="B132" s="58"/>
      <c r="C132" s="59"/>
      <c r="D132" s="59"/>
      <c r="E132" s="52"/>
      <c r="F132" s="53" t="str">
        <f>IFERROR(VLOOKUP(E132,日报!E:G,2,0),"")</f>
        <v/>
      </c>
      <c r="G132" s="59"/>
      <c r="H132" s="54" t="str">
        <f>IFERROR(VLOOKUP(E132,日报!E:H,4,0),"")</f>
        <v/>
      </c>
      <c r="I132" s="54" t="str">
        <f>IFERROR(VLOOKUP(E132,日报!E:G,3,0),"")</f>
        <v/>
      </c>
      <c r="J132" s="59"/>
      <c r="K132" s="55" t="str">
        <f t="shared" si="1"/>
        <v/>
      </c>
    </row>
    <row r="133" customHeight="1" spans="1:11">
      <c r="A133" s="57"/>
      <c r="B133" s="58"/>
      <c r="C133" s="59"/>
      <c r="D133" s="59"/>
      <c r="E133" s="52"/>
      <c r="F133" s="53" t="str">
        <f>IFERROR(VLOOKUP(E133,日报!E:G,2,0),"")</f>
        <v/>
      </c>
      <c r="G133" s="59"/>
      <c r="H133" s="54" t="str">
        <f>IFERROR(VLOOKUP(E133,日报!E:H,4,0),"")</f>
        <v/>
      </c>
      <c r="I133" s="54" t="str">
        <f>IFERROR(VLOOKUP(E133,日报!E:G,3,0),"")</f>
        <v/>
      </c>
      <c r="J133" s="59"/>
      <c r="K133" s="55" t="str">
        <f t="shared" si="1"/>
        <v/>
      </c>
    </row>
    <row r="134" customHeight="1" spans="1:11">
      <c r="A134" s="57"/>
      <c r="B134" s="58"/>
      <c r="C134" s="59"/>
      <c r="D134" s="59"/>
      <c r="E134" s="52"/>
      <c r="F134" s="53" t="str">
        <f>IFERROR(VLOOKUP(E134,日报!E:G,2,0),"")</f>
        <v/>
      </c>
      <c r="G134" s="59"/>
      <c r="H134" s="54" t="str">
        <f>IFERROR(VLOOKUP(E134,日报!E:H,4,0),"")</f>
        <v/>
      </c>
      <c r="I134" s="54" t="str">
        <f>IFERROR(VLOOKUP(E134,日报!E:G,3,0),"")</f>
        <v/>
      </c>
      <c r="J134" s="59"/>
      <c r="K134" s="55" t="str">
        <f t="shared" si="1"/>
        <v/>
      </c>
    </row>
    <row r="135" customHeight="1" spans="1:11">
      <c r="A135" s="57"/>
      <c r="B135" s="58"/>
      <c r="C135" s="59"/>
      <c r="D135" s="59"/>
      <c r="E135" s="52"/>
      <c r="F135" s="53" t="str">
        <f>IFERROR(VLOOKUP(E135,日报!E:G,2,0),"")</f>
        <v/>
      </c>
      <c r="G135" s="59"/>
      <c r="H135" s="54" t="str">
        <f>IFERROR(VLOOKUP(E135,日报!E:H,4,0),"")</f>
        <v/>
      </c>
      <c r="I135" s="54" t="str">
        <f>IFERROR(VLOOKUP(E135,日报!E:G,3,0),"")</f>
        <v/>
      </c>
      <c r="J135" s="59"/>
      <c r="K135" s="55" t="str">
        <f t="shared" si="1"/>
        <v/>
      </c>
    </row>
    <row r="136" customHeight="1" spans="1:11">
      <c r="A136" s="57"/>
      <c r="B136" s="58"/>
      <c r="C136" s="59"/>
      <c r="D136" s="59"/>
      <c r="E136" s="52"/>
      <c r="F136" s="53" t="str">
        <f>IFERROR(VLOOKUP(E136,日报!E:G,2,0),"")</f>
        <v/>
      </c>
      <c r="G136" s="59"/>
      <c r="H136" s="54" t="str">
        <f>IFERROR(VLOOKUP(E136,日报!E:H,4,0),"")</f>
        <v/>
      </c>
      <c r="I136" s="54" t="str">
        <f>IFERROR(VLOOKUP(E136,日报!E:G,3,0),"")</f>
        <v/>
      </c>
      <c r="J136" s="59"/>
      <c r="K136" s="55" t="str">
        <f t="shared" si="1"/>
        <v/>
      </c>
    </row>
    <row r="137" customHeight="1" spans="1:11">
      <c r="A137" s="57"/>
      <c r="B137" s="58"/>
      <c r="C137" s="59"/>
      <c r="D137" s="59"/>
      <c r="E137" s="52"/>
      <c r="F137" s="53" t="str">
        <f>IFERROR(VLOOKUP(E137,日报!E:G,2,0),"")</f>
        <v/>
      </c>
      <c r="G137" s="59"/>
      <c r="H137" s="54" t="str">
        <f>IFERROR(VLOOKUP(E137,日报!E:H,4,0),"")</f>
        <v/>
      </c>
      <c r="I137" s="54" t="str">
        <f>IFERROR(VLOOKUP(E137,日报!E:G,3,0),"")</f>
        <v/>
      </c>
      <c r="J137" s="59"/>
      <c r="K137" s="55" t="str">
        <f t="shared" si="1"/>
        <v/>
      </c>
    </row>
    <row r="138" customHeight="1" spans="1:11">
      <c r="A138" s="57"/>
      <c r="B138" s="58"/>
      <c r="C138" s="59"/>
      <c r="D138" s="59"/>
      <c r="E138" s="52"/>
      <c r="F138" s="53" t="str">
        <f>IFERROR(VLOOKUP(E138,日报!E:G,2,0),"")</f>
        <v/>
      </c>
      <c r="G138" s="59"/>
      <c r="H138" s="54" t="str">
        <f>IFERROR(VLOOKUP(E138,日报!E:H,4,0),"")</f>
        <v/>
      </c>
      <c r="I138" s="54" t="str">
        <f>IFERROR(VLOOKUP(E138,日报!E:G,3,0),"")</f>
        <v/>
      </c>
      <c r="J138" s="59"/>
      <c r="K138" s="55" t="str">
        <f t="shared" si="1"/>
        <v/>
      </c>
    </row>
    <row r="139" customHeight="1" spans="1:11">
      <c r="A139" s="57"/>
      <c r="B139" s="58"/>
      <c r="C139" s="59"/>
      <c r="D139" s="59"/>
      <c r="E139" s="52"/>
      <c r="F139" s="53" t="str">
        <f>IFERROR(VLOOKUP(E139,日报!E:G,2,0),"")</f>
        <v/>
      </c>
      <c r="G139" s="59"/>
      <c r="H139" s="54" t="str">
        <f>IFERROR(VLOOKUP(E139,日报!E:H,4,0),"")</f>
        <v/>
      </c>
      <c r="I139" s="54" t="str">
        <f>IFERROR(VLOOKUP(E139,日报!E:G,3,0),"")</f>
        <v/>
      </c>
      <c r="J139" s="59"/>
      <c r="K139" s="55" t="str">
        <f t="shared" si="1"/>
        <v/>
      </c>
    </row>
    <row r="140" customHeight="1" spans="1:11">
      <c r="A140" s="57"/>
      <c r="B140" s="58"/>
      <c r="C140" s="59"/>
      <c r="D140" s="59"/>
      <c r="E140" s="52"/>
      <c r="F140" s="53" t="str">
        <f>IFERROR(VLOOKUP(E140,日报!E:G,2,0),"")</f>
        <v/>
      </c>
      <c r="G140" s="59"/>
      <c r="H140" s="54" t="str">
        <f>IFERROR(VLOOKUP(E140,日报!E:H,4,0),"")</f>
        <v/>
      </c>
      <c r="I140" s="54" t="str">
        <f>IFERROR(VLOOKUP(E140,日报!E:G,3,0),"")</f>
        <v/>
      </c>
      <c r="J140" s="59"/>
      <c r="K140" s="55" t="str">
        <f t="shared" si="1"/>
        <v/>
      </c>
    </row>
    <row r="141" customHeight="1" spans="1:11">
      <c r="A141" s="57"/>
      <c r="B141" s="58"/>
      <c r="C141" s="59"/>
      <c r="D141" s="59"/>
      <c r="E141" s="52"/>
      <c r="F141" s="53" t="str">
        <f>IFERROR(VLOOKUP(E141,日报!E:G,2,0),"")</f>
        <v/>
      </c>
      <c r="G141" s="59"/>
      <c r="H141" s="54" t="str">
        <f>IFERROR(VLOOKUP(E141,日报!E:H,4,0),"")</f>
        <v/>
      </c>
      <c r="I141" s="54" t="str">
        <f>IFERROR(VLOOKUP(E141,日报!E:G,3,0),"")</f>
        <v/>
      </c>
      <c r="J141" s="59"/>
      <c r="K141" s="55" t="str">
        <f t="shared" si="1"/>
        <v/>
      </c>
    </row>
    <row r="142" customHeight="1" spans="1:11">
      <c r="A142" s="57"/>
      <c r="B142" s="58"/>
      <c r="C142" s="59"/>
      <c r="D142" s="59"/>
      <c r="E142" s="52"/>
      <c r="F142" s="53" t="str">
        <f>IFERROR(VLOOKUP(E142,日报!E:G,2,0),"")</f>
        <v/>
      </c>
      <c r="G142" s="59"/>
      <c r="H142" s="54" t="str">
        <f>IFERROR(VLOOKUP(E142,日报!E:H,4,0),"")</f>
        <v/>
      </c>
      <c r="I142" s="54" t="str">
        <f>IFERROR(VLOOKUP(E142,日报!E:G,3,0),"")</f>
        <v/>
      </c>
      <c r="J142" s="59"/>
      <c r="K142" s="55" t="str">
        <f t="shared" si="1"/>
        <v/>
      </c>
    </row>
    <row r="143" customHeight="1" spans="1:11">
      <c r="A143" s="57"/>
      <c r="B143" s="58"/>
      <c r="C143" s="59"/>
      <c r="D143" s="59"/>
      <c r="E143" s="52"/>
      <c r="F143" s="53" t="str">
        <f>IFERROR(VLOOKUP(E143,日报!E:G,2,0),"")</f>
        <v/>
      </c>
      <c r="G143" s="59"/>
      <c r="H143" s="54" t="str">
        <f>IFERROR(VLOOKUP(E143,日报!E:H,4,0),"")</f>
        <v/>
      </c>
      <c r="I143" s="54" t="str">
        <f>IFERROR(VLOOKUP(E143,日报!E:G,3,0),"")</f>
        <v/>
      </c>
      <c r="J143" s="59"/>
      <c r="K143" s="55" t="str">
        <f t="shared" si="1"/>
        <v/>
      </c>
    </row>
    <row r="144" customHeight="1" spans="1:11">
      <c r="A144" s="57"/>
      <c r="B144" s="58"/>
      <c r="C144" s="59"/>
      <c r="D144" s="59"/>
      <c r="E144" s="52"/>
      <c r="F144" s="53" t="str">
        <f>IFERROR(VLOOKUP(E144,日报!E:G,2,0),"")</f>
        <v/>
      </c>
      <c r="G144" s="59"/>
      <c r="H144" s="54" t="str">
        <f>IFERROR(VLOOKUP(E144,日报!E:H,4,0),"")</f>
        <v/>
      </c>
      <c r="I144" s="54" t="str">
        <f>IFERROR(VLOOKUP(E144,日报!E:G,3,0),"")</f>
        <v/>
      </c>
      <c r="J144" s="59"/>
      <c r="K144" s="55" t="str">
        <f t="shared" si="1"/>
        <v/>
      </c>
    </row>
    <row r="145" customHeight="1" spans="1:11">
      <c r="A145" s="57"/>
      <c r="B145" s="58"/>
      <c r="C145" s="59"/>
      <c r="D145" s="59"/>
      <c r="E145" s="52"/>
      <c r="F145" s="53" t="str">
        <f>IFERROR(VLOOKUP(E145,日报!E:G,2,0),"")</f>
        <v/>
      </c>
      <c r="G145" s="59"/>
      <c r="H145" s="54" t="str">
        <f>IFERROR(VLOOKUP(E145,日报!E:H,4,0),"")</f>
        <v/>
      </c>
      <c r="I145" s="54" t="str">
        <f>IFERROR(VLOOKUP(E145,日报!E:G,3,0),"")</f>
        <v/>
      </c>
      <c r="J145" s="59"/>
      <c r="K145" s="55" t="str">
        <f t="shared" si="1"/>
        <v/>
      </c>
    </row>
    <row r="146" customHeight="1" spans="1:11">
      <c r="A146" s="57"/>
      <c r="B146" s="58"/>
      <c r="C146" s="59"/>
      <c r="D146" s="59"/>
      <c r="E146" s="52"/>
      <c r="F146" s="53" t="str">
        <f>IFERROR(VLOOKUP(E146,日报!E:G,2,0),"")</f>
        <v/>
      </c>
      <c r="G146" s="59"/>
      <c r="H146" s="54" t="str">
        <f>IFERROR(VLOOKUP(E146,日报!E:H,4,0),"")</f>
        <v/>
      </c>
      <c r="I146" s="54" t="str">
        <f>IFERROR(VLOOKUP(E146,日报!E:G,3,0),"")</f>
        <v/>
      </c>
      <c r="J146" s="59"/>
      <c r="K146" s="55" t="str">
        <f t="shared" si="1"/>
        <v/>
      </c>
    </row>
    <row r="147" customHeight="1" spans="1:11">
      <c r="A147" s="57"/>
      <c r="B147" s="58"/>
      <c r="C147" s="59"/>
      <c r="D147" s="59"/>
      <c r="E147" s="52"/>
      <c r="F147" s="53" t="str">
        <f>IFERROR(VLOOKUP(E147,日报!E:G,2,0),"")</f>
        <v/>
      </c>
      <c r="G147" s="59"/>
      <c r="H147" s="54" t="str">
        <f>IFERROR(VLOOKUP(E147,日报!E:H,4,0),"")</f>
        <v/>
      </c>
      <c r="I147" s="54" t="str">
        <f>IFERROR(VLOOKUP(E147,日报!E:G,3,0),"")</f>
        <v/>
      </c>
      <c r="J147" s="59"/>
      <c r="K147" s="55" t="str">
        <f t="shared" si="1"/>
        <v/>
      </c>
    </row>
    <row r="148" customHeight="1" spans="1:11">
      <c r="A148" s="57"/>
      <c r="B148" s="58"/>
      <c r="C148" s="59"/>
      <c r="D148" s="59"/>
      <c r="E148" s="52"/>
      <c r="F148" s="53" t="str">
        <f>IFERROR(VLOOKUP(E148,日报!E:G,2,0),"")</f>
        <v/>
      </c>
      <c r="G148" s="59"/>
      <c r="H148" s="54" t="str">
        <f>IFERROR(VLOOKUP(E148,日报!E:H,4,0),"")</f>
        <v/>
      </c>
      <c r="I148" s="54" t="str">
        <f>IFERROR(VLOOKUP(E148,日报!E:G,3,0),"")</f>
        <v/>
      </c>
      <c r="J148" s="59"/>
      <c r="K148" s="55" t="str">
        <f t="shared" ref="K148:K189" si="2">IFERROR(G148/I148,"")</f>
        <v/>
      </c>
    </row>
    <row r="149" customHeight="1" spans="1:11">
      <c r="A149" s="57"/>
      <c r="B149" s="58"/>
      <c r="C149" s="59"/>
      <c r="D149" s="59"/>
      <c r="E149" s="52"/>
      <c r="F149" s="53" t="str">
        <f>IFERROR(VLOOKUP(E149,日报!E:G,2,0),"")</f>
        <v/>
      </c>
      <c r="G149" s="59"/>
      <c r="H149" s="54" t="str">
        <f>IFERROR(VLOOKUP(E149,日报!E:H,4,0),"")</f>
        <v/>
      </c>
      <c r="I149" s="54" t="str">
        <f>IFERROR(VLOOKUP(E149,日报!E:G,3,0),"")</f>
        <v/>
      </c>
      <c r="J149" s="59"/>
      <c r="K149" s="55" t="str">
        <f t="shared" si="2"/>
        <v/>
      </c>
    </row>
    <row r="150" customHeight="1" spans="1:11">
      <c r="A150" s="57"/>
      <c r="B150" s="58"/>
      <c r="C150" s="59"/>
      <c r="D150" s="59"/>
      <c r="E150" s="52"/>
      <c r="F150" s="53" t="str">
        <f>IFERROR(VLOOKUP(E150,日报!E:G,2,0),"")</f>
        <v/>
      </c>
      <c r="G150" s="59"/>
      <c r="H150" s="54" t="str">
        <f>IFERROR(VLOOKUP(E150,日报!E:H,4,0),"")</f>
        <v/>
      </c>
      <c r="I150" s="54" t="str">
        <f>IFERROR(VLOOKUP(E150,日报!E:G,3,0),"")</f>
        <v/>
      </c>
      <c r="J150" s="59"/>
      <c r="K150" s="55" t="str">
        <f t="shared" si="2"/>
        <v/>
      </c>
    </row>
    <row r="151" customHeight="1" spans="1:11">
      <c r="A151" s="57"/>
      <c r="B151" s="58"/>
      <c r="C151" s="59"/>
      <c r="D151" s="59"/>
      <c r="E151" s="52"/>
      <c r="F151" s="53" t="str">
        <f>IFERROR(VLOOKUP(E151,日报!E:G,2,0),"")</f>
        <v/>
      </c>
      <c r="G151" s="59"/>
      <c r="H151" s="54" t="str">
        <f>IFERROR(VLOOKUP(E151,日报!E:H,4,0),"")</f>
        <v/>
      </c>
      <c r="I151" s="54" t="str">
        <f>IFERROR(VLOOKUP(E151,日报!E:G,3,0),"")</f>
        <v/>
      </c>
      <c r="J151" s="59"/>
      <c r="K151" s="55" t="str">
        <f t="shared" si="2"/>
        <v/>
      </c>
    </row>
    <row r="152" customHeight="1" spans="1:11">
      <c r="A152" s="57"/>
      <c r="B152" s="58"/>
      <c r="C152" s="59"/>
      <c r="D152" s="59"/>
      <c r="E152" s="52"/>
      <c r="F152" s="53" t="str">
        <f>IFERROR(VLOOKUP(E152,日报!E:G,2,0),"")</f>
        <v/>
      </c>
      <c r="G152" s="59"/>
      <c r="H152" s="54" t="str">
        <f>IFERROR(VLOOKUP(E152,日报!E:H,4,0),"")</f>
        <v/>
      </c>
      <c r="I152" s="54" t="str">
        <f>IFERROR(VLOOKUP(E152,日报!E:G,3,0),"")</f>
        <v/>
      </c>
      <c r="J152" s="59"/>
      <c r="K152" s="55" t="str">
        <f t="shared" si="2"/>
        <v/>
      </c>
    </row>
    <row r="153" customHeight="1" spans="1:11">
      <c r="A153" s="57"/>
      <c r="B153" s="58"/>
      <c r="C153" s="59"/>
      <c r="D153" s="59"/>
      <c r="E153" s="52"/>
      <c r="F153" s="53" t="str">
        <f>IFERROR(VLOOKUP(E153,日报!E:G,2,0),"")</f>
        <v/>
      </c>
      <c r="G153" s="59"/>
      <c r="H153" s="54" t="str">
        <f>IFERROR(VLOOKUP(E153,日报!E:H,4,0),"")</f>
        <v/>
      </c>
      <c r="I153" s="54" t="str">
        <f>IFERROR(VLOOKUP(E153,日报!E:G,3,0),"")</f>
        <v/>
      </c>
      <c r="J153" s="59"/>
      <c r="K153" s="55" t="str">
        <f t="shared" si="2"/>
        <v/>
      </c>
    </row>
    <row r="154" customHeight="1" spans="1:11">
      <c r="A154" s="57"/>
      <c r="B154" s="58"/>
      <c r="C154" s="59"/>
      <c r="D154" s="59"/>
      <c r="E154" s="52"/>
      <c r="F154" s="53" t="str">
        <f>IFERROR(VLOOKUP(E154,日报!E:G,2,0),"")</f>
        <v/>
      </c>
      <c r="G154" s="59"/>
      <c r="H154" s="54" t="str">
        <f>IFERROR(VLOOKUP(E154,日报!E:H,4,0),"")</f>
        <v/>
      </c>
      <c r="I154" s="54" t="str">
        <f>IFERROR(VLOOKUP(E154,日报!E:G,3,0),"")</f>
        <v/>
      </c>
      <c r="J154" s="59"/>
      <c r="K154" s="55" t="str">
        <f t="shared" si="2"/>
        <v/>
      </c>
    </row>
    <row r="155" customHeight="1" spans="1:11">
      <c r="A155" s="57"/>
      <c r="B155" s="58"/>
      <c r="C155" s="59"/>
      <c r="D155" s="59"/>
      <c r="E155" s="52"/>
      <c r="F155" s="53" t="str">
        <f>IFERROR(VLOOKUP(E155,日报!E:G,2,0),"")</f>
        <v/>
      </c>
      <c r="G155" s="59"/>
      <c r="H155" s="54" t="str">
        <f>IFERROR(VLOOKUP(E155,日报!E:H,4,0),"")</f>
        <v/>
      </c>
      <c r="I155" s="54" t="str">
        <f>IFERROR(VLOOKUP(E155,日报!E:G,3,0),"")</f>
        <v/>
      </c>
      <c r="J155" s="59"/>
      <c r="K155" s="55" t="str">
        <f t="shared" si="2"/>
        <v/>
      </c>
    </row>
    <row r="156" customHeight="1" spans="1:11">
      <c r="A156" s="57"/>
      <c r="B156" s="58"/>
      <c r="C156" s="59"/>
      <c r="D156" s="59"/>
      <c r="E156" s="52"/>
      <c r="F156" s="53" t="str">
        <f>IFERROR(VLOOKUP(E156,日报!E:G,2,0),"")</f>
        <v/>
      </c>
      <c r="G156" s="59"/>
      <c r="H156" s="54" t="str">
        <f>IFERROR(VLOOKUP(E156,日报!E:H,4,0),"")</f>
        <v/>
      </c>
      <c r="I156" s="54" t="str">
        <f>IFERROR(VLOOKUP(E156,日报!E:G,3,0),"")</f>
        <v/>
      </c>
      <c r="J156" s="59"/>
      <c r="K156" s="55" t="str">
        <f t="shared" si="2"/>
        <v/>
      </c>
    </row>
    <row r="157" customHeight="1" spans="1:11">
      <c r="A157" s="57"/>
      <c r="B157" s="58"/>
      <c r="C157" s="59"/>
      <c r="D157" s="59"/>
      <c r="E157" s="52"/>
      <c r="F157" s="53" t="str">
        <f>IFERROR(VLOOKUP(E157,日报!E:G,2,0),"")</f>
        <v/>
      </c>
      <c r="G157" s="59"/>
      <c r="H157" s="54" t="str">
        <f>IFERROR(VLOOKUP(E157,日报!E:H,4,0),"")</f>
        <v/>
      </c>
      <c r="I157" s="54" t="str">
        <f>IFERROR(VLOOKUP(E157,日报!E:G,3,0),"")</f>
        <v/>
      </c>
      <c r="J157" s="59"/>
      <c r="K157" s="55" t="str">
        <f t="shared" si="2"/>
        <v/>
      </c>
    </row>
    <row r="158" customHeight="1" spans="1:11">
      <c r="A158" s="57"/>
      <c r="B158" s="58"/>
      <c r="C158" s="59"/>
      <c r="D158" s="59"/>
      <c r="E158" s="52"/>
      <c r="F158" s="53" t="str">
        <f>IFERROR(VLOOKUP(E158,日报!E:G,2,0),"")</f>
        <v/>
      </c>
      <c r="G158" s="59"/>
      <c r="H158" s="54" t="str">
        <f>IFERROR(VLOOKUP(E158,日报!E:H,4,0),"")</f>
        <v/>
      </c>
      <c r="I158" s="54" t="str">
        <f>IFERROR(VLOOKUP(E158,日报!E:G,3,0),"")</f>
        <v/>
      </c>
      <c r="J158" s="59"/>
      <c r="K158" s="55" t="str">
        <f t="shared" si="2"/>
        <v/>
      </c>
    </row>
    <row r="159" customHeight="1" spans="1:11">
      <c r="A159" s="57"/>
      <c r="B159" s="58"/>
      <c r="C159" s="59"/>
      <c r="D159" s="59"/>
      <c r="E159" s="52"/>
      <c r="F159" s="53" t="str">
        <f>IFERROR(VLOOKUP(E159,日报!E:G,2,0),"")</f>
        <v/>
      </c>
      <c r="G159" s="59"/>
      <c r="H159" s="54" t="str">
        <f>IFERROR(VLOOKUP(E159,日报!E:H,4,0),"")</f>
        <v/>
      </c>
      <c r="I159" s="54" t="str">
        <f>IFERROR(VLOOKUP(E159,日报!E:G,3,0),"")</f>
        <v/>
      </c>
      <c r="J159" s="59"/>
      <c r="K159" s="55" t="str">
        <f t="shared" si="2"/>
        <v/>
      </c>
    </row>
    <row r="160" customHeight="1" spans="1:11">
      <c r="A160" s="57"/>
      <c r="B160" s="58"/>
      <c r="C160" s="59"/>
      <c r="D160" s="59"/>
      <c r="E160" s="52"/>
      <c r="F160" s="53" t="str">
        <f>IFERROR(VLOOKUP(E160,日报!E:G,2,0),"")</f>
        <v/>
      </c>
      <c r="G160" s="59"/>
      <c r="H160" s="54" t="str">
        <f>IFERROR(VLOOKUP(E160,日报!E:H,4,0),"")</f>
        <v/>
      </c>
      <c r="I160" s="54" t="str">
        <f>IFERROR(VLOOKUP(E160,日报!E:G,3,0),"")</f>
        <v/>
      </c>
      <c r="J160" s="59"/>
      <c r="K160" s="55" t="str">
        <f t="shared" si="2"/>
        <v/>
      </c>
    </row>
    <row r="161" customHeight="1" spans="1:11">
      <c r="A161" s="57"/>
      <c r="B161" s="58"/>
      <c r="C161" s="59"/>
      <c r="D161" s="59"/>
      <c r="E161" s="52"/>
      <c r="F161" s="53" t="str">
        <f>IFERROR(VLOOKUP(E161,日报!E:G,2,0),"")</f>
        <v/>
      </c>
      <c r="G161" s="59"/>
      <c r="H161" s="54" t="str">
        <f>IFERROR(VLOOKUP(E161,日报!E:H,4,0),"")</f>
        <v/>
      </c>
      <c r="I161" s="54" t="str">
        <f>IFERROR(VLOOKUP(E161,日报!E:G,3,0),"")</f>
        <v/>
      </c>
      <c r="J161" s="59"/>
      <c r="K161" s="55" t="str">
        <f t="shared" si="2"/>
        <v/>
      </c>
    </row>
    <row r="162" customHeight="1" spans="1:11">
      <c r="A162" s="57"/>
      <c r="B162" s="58"/>
      <c r="C162" s="59"/>
      <c r="D162" s="59"/>
      <c r="E162" s="52"/>
      <c r="F162" s="53" t="str">
        <f>IFERROR(VLOOKUP(E162,日报!E:G,2,0),"")</f>
        <v/>
      </c>
      <c r="G162" s="59"/>
      <c r="H162" s="54" t="str">
        <f>IFERROR(VLOOKUP(E162,日报!E:H,4,0),"")</f>
        <v/>
      </c>
      <c r="I162" s="54" t="str">
        <f>IFERROR(VLOOKUP(E162,日报!E:G,3,0),"")</f>
        <v/>
      </c>
      <c r="J162" s="59"/>
      <c r="K162" s="55" t="str">
        <f t="shared" si="2"/>
        <v/>
      </c>
    </row>
    <row r="163" customHeight="1" spans="1:11">
      <c r="A163" s="57"/>
      <c r="B163" s="58"/>
      <c r="C163" s="59"/>
      <c r="D163" s="59"/>
      <c r="E163" s="52"/>
      <c r="F163" s="53" t="str">
        <f>IFERROR(VLOOKUP(E163,日报!E:G,2,0),"")</f>
        <v/>
      </c>
      <c r="G163" s="59"/>
      <c r="H163" s="54" t="str">
        <f>IFERROR(VLOOKUP(E163,日报!E:H,4,0),"")</f>
        <v/>
      </c>
      <c r="I163" s="54" t="str">
        <f>IFERROR(VLOOKUP(E163,日报!E:G,3,0),"")</f>
        <v/>
      </c>
      <c r="J163" s="59"/>
      <c r="K163" s="55" t="str">
        <f t="shared" si="2"/>
        <v/>
      </c>
    </row>
    <row r="164" customHeight="1" spans="1:11">
      <c r="A164" s="57"/>
      <c r="B164" s="58"/>
      <c r="C164" s="59"/>
      <c r="D164" s="59"/>
      <c r="E164" s="52"/>
      <c r="F164" s="53" t="str">
        <f>IFERROR(VLOOKUP(E164,日报!E:G,2,0),"")</f>
        <v/>
      </c>
      <c r="G164" s="59"/>
      <c r="H164" s="54" t="str">
        <f>IFERROR(VLOOKUP(E164,日报!E:H,4,0),"")</f>
        <v/>
      </c>
      <c r="I164" s="54" t="str">
        <f>IFERROR(VLOOKUP(E164,日报!E:G,3,0),"")</f>
        <v/>
      </c>
      <c r="J164" s="59"/>
      <c r="K164" s="55" t="str">
        <f t="shared" si="2"/>
        <v/>
      </c>
    </row>
    <row r="165" customHeight="1" spans="1:11">
      <c r="A165" s="57"/>
      <c r="B165" s="58"/>
      <c r="C165" s="59"/>
      <c r="D165" s="59"/>
      <c r="E165" s="52"/>
      <c r="F165" s="53" t="str">
        <f>IFERROR(VLOOKUP(E165,日报!E:G,2,0),"")</f>
        <v/>
      </c>
      <c r="G165" s="59"/>
      <c r="H165" s="54" t="str">
        <f>IFERROR(VLOOKUP(E165,日报!E:H,4,0),"")</f>
        <v/>
      </c>
      <c r="I165" s="54" t="str">
        <f>IFERROR(VLOOKUP(E165,日报!E:G,3,0),"")</f>
        <v/>
      </c>
      <c r="J165" s="59"/>
      <c r="K165" s="55" t="str">
        <f t="shared" si="2"/>
        <v/>
      </c>
    </row>
    <row r="166" customHeight="1" spans="1:11">
      <c r="A166" s="57"/>
      <c r="B166" s="58"/>
      <c r="C166" s="59"/>
      <c r="D166" s="59"/>
      <c r="E166" s="52"/>
      <c r="F166" s="53" t="str">
        <f>IFERROR(VLOOKUP(E166,日报!E:G,2,0),"")</f>
        <v/>
      </c>
      <c r="G166" s="59"/>
      <c r="H166" s="54" t="str">
        <f>IFERROR(VLOOKUP(E166,日报!E:H,4,0),"")</f>
        <v/>
      </c>
      <c r="I166" s="54" t="str">
        <f>IFERROR(VLOOKUP(E166,日报!E:G,3,0),"")</f>
        <v/>
      </c>
      <c r="J166" s="59"/>
      <c r="K166" s="55" t="str">
        <f t="shared" si="2"/>
        <v/>
      </c>
    </row>
    <row r="167" customHeight="1" spans="1:11">
      <c r="A167" s="57"/>
      <c r="B167" s="58"/>
      <c r="C167" s="59"/>
      <c r="D167" s="59"/>
      <c r="E167" s="52"/>
      <c r="F167" s="53" t="str">
        <f>IFERROR(VLOOKUP(E167,日报!E:G,2,0),"")</f>
        <v/>
      </c>
      <c r="G167" s="59"/>
      <c r="H167" s="54" t="str">
        <f>IFERROR(VLOOKUP(E167,日报!E:H,4,0),"")</f>
        <v/>
      </c>
      <c r="I167" s="54" t="str">
        <f>IFERROR(VLOOKUP(E167,日报!E:G,3,0),"")</f>
        <v/>
      </c>
      <c r="J167" s="59"/>
      <c r="K167" s="55" t="str">
        <f t="shared" si="2"/>
        <v/>
      </c>
    </row>
    <row r="168" customHeight="1" spans="1:11">
      <c r="A168" s="57"/>
      <c r="B168" s="58"/>
      <c r="C168" s="59"/>
      <c r="D168" s="59"/>
      <c r="E168" s="52"/>
      <c r="F168" s="53" t="str">
        <f>IFERROR(VLOOKUP(E168,日报!E:G,2,0),"")</f>
        <v/>
      </c>
      <c r="G168" s="59"/>
      <c r="H168" s="54" t="str">
        <f>IFERROR(VLOOKUP(E168,日报!E:H,4,0),"")</f>
        <v/>
      </c>
      <c r="I168" s="54" t="str">
        <f>IFERROR(VLOOKUP(E168,日报!E:G,3,0),"")</f>
        <v/>
      </c>
      <c r="J168" s="59"/>
      <c r="K168" s="55" t="str">
        <f t="shared" si="2"/>
        <v/>
      </c>
    </row>
    <row r="169" customHeight="1" spans="1:11">
      <c r="A169" s="57"/>
      <c r="B169" s="58"/>
      <c r="C169" s="59"/>
      <c r="D169" s="59"/>
      <c r="E169" s="52"/>
      <c r="F169" s="53" t="str">
        <f>IFERROR(VLOOKUP(E169,日报!E:G,2,0),"")</f>
        <v/>
      </c>
      <c r="G169" s="59"/>
      <c r="H169" s="54" t="str">
        <f>IFERROR(VLOOKUP(E169,日报!E:H,4,0),"")</f>
        <v/>
      </c>
      <c r="I169" s="54" t="str">
        <f>IFERROR(VLOOKUP(E169,日报!E:G,3,0),"")</f>
        <v/>
      </c>
      <c r="J169" s="59"/>
      <c r="K169" s="55" t="str">
        <f t="shared" si="2"/>
        <v/>
      </c>
    </row>
    <row r="170" customHeight="1" spans="1:11">
      <c r="A170" s="57"/>
      <c r="B170" s="58"/>
      <c r="C170" s="59"/>
      <c r="D170" s="59"/>
      <c r="E170" s="52"/>
      <c r="F170" s="53" t="str">
        <f>IFERROR(VLOOKUP(E170,日报!E:G,2,0),"")</f>
        <v/>
      </c>
      <c r="G170" s="59"/>
      <c r="H170" s="54" t="str">
        <f>IFERROR(VLOOKUP(E170,日报!E:H,4,0),"")</f>
        <v/>
      </c>
      <c r="I170" s="54" t="str">
        <f>IFERROR(VLOOKUP(E170,日报!E:G,3,0),"")</f>
        <v/>
      </c>
      <c r="J170" s="59"/>
      <c r="K170" s="55" t="str">
        <f t="shared" si="2"/>
        <v/>
      </c>
    </row>
    <row r="171" customHeight="1" spans="1:11">
      <c r="A171" s="57"/>
      <c r="B171" s="58"/>
      <c r="C171" s="59"/>
      <c r="D171" s="59"/>
      <c r="E171" s="52"/>
      <c r="F171" s="53" t="str">
        <f>IFERROR(VLOOKUP(E171,日报!E:G,2,0),"")</f>
        <v/>
      </c>
      <c r="G171" s="59"/>
      <c r="H171" s="54" t="str">
        <f>IFERROR(VLOOKUP(E171,日报!E:H,4,0),"")</f>
        <v/>
      </c>
      <c r="I171" s="54" t="str">
        <f>IFERROR(VLOOKUP(E171,日报!E:G,3,0),"")</f>
        <v/>
      </c>
      <c r="J171" s="59"/>
      <c r="K171" s="55" t="str">
        <f t="shared" si="2"/>
        <v/>
      </c>
    </row>
    <row r="172" customHeight="1" spans="1:11">
      <c r="A172" s="57"/>
      <c r="B172" s="58"/>
      <c r="C172" s="59"/>
      <c r="D172" s="59"/>
      <c r="E172" s="52"/>
      <c r="F172" s="53" t="str">
        <f>IFERROR(VLOOKUP(E172,日报!E:G,2,0),"")</f>
        <v/>
      </c>
      <c r="G172" s="59"/>
      <c r="H172" s="54" t="str">
        <f>IFERROR(VLOOKUP(E172,日报!E:H,4,0),"")</f>
        <v/>
      </c>
      <c r="I172" s="54" t="str">
        <f>IFERROR(VLOOKUP(E172,日报!E:G,3,0),"")</f>
        <v/>
      </c>
      <c r="J172" s="59"/>
      <c r="K172" s="55" t="str">
        <f t="shared" si="2"/>
        <v/>
      </c>
    </row>
    <row r="173" customHeight="1" spans="1:11">
      <c r="A173" s="57"/>
      <c r="B173" s="58"/>
      <c r="C173" s="59"/>
      <c r="D173" s="59"/>
      <c r="E173" s="52"/>
      <c r="F173" s="53" t="str">
        <f>IFERROR(VLOOKUP(E173,日报!E:G,2,0),"")</f>
        <v/>
      </c>
      <c r="G173" s="59"/>
      <c r="H173" s="54" t="str">
        <f>IFERROR(VLOOKUP(E173,日报!E:H,4,0),"")</f>
        <v/>
      </c>
      <c r="I173" s="54" t="str">
        <f>IFERROR(VLOOKUP(E173,日报!E:G,3,0),"")</f>
        <v/>
      </c>
      <c r="J173" s="59"/>
      <c r="K173" s="55" t="str">
        <f t="shared" si="2"/>
        <v/>
      </c>
    </row>
    <row r="174" customHeight="1" spans="1:11">
      <c r="A174" s="57"/>
      <c r="B174" s="58"/>
      <c r="C174" s="59"/>
      <c r="D174" s="59"/>
      <c r="E174" s="52"/>
      <c r="F174" s="53" t="str">
        <f>IFERROR(VLOOKUP(E174,日报!E:G,2,0),"")</f>
        <v/>
      </c>
      <c r="G174" s="59"/>
      <c r="H174" s="54" t="str">
        <f>IFERROR(VLOOKUP(E174,日报!E:H,4,0),"")</f>
        <v/>
      </c>
      <c r="I174" s="54" t="str">
        <f>IFERROR(VLOOKUP(E174,日报!E:G,3,0),"")</f>
        <v/>
      </c>
      <c r="J174" s="59"/>
      <c r="K174" s="55" t="str">
        <f t="shared" si="2"/>
        <v/>
      </c>
    </row>
    <row r="175" customHeight="1" spans="1:11">
      <c r="A175" s="57"/>
      <c r="B175" s="58"/>
      <c r="C175" s="59"/>
      <c r="D175" s="59"/>
      <c r="E175" s="52"/>
      <c r="F175" s="53" t="str">
        <f>IFERROR(VLOOKUP(E175,日报!E:G,2,0),"")</f>
        <v/>
      </c>
      <c r="G175" s="59"/>
      <c r="H175" s="54" t="str">
        <f>IFERROR(VLOOKUP(E175,日报!E:H,4,0),"")</f>
        <v/>
      </c>
      <c r="I175" s="54" t="str">
        <f>IFERROR(VLOOKUP(E175,日报!E:G,3,0),"")</f>
        <v/>
      </c>
      <c r="J175" s="59"/>
      <c r="K175" s="55" t="str">
        <f t="shared" si="2"/>
        <v/>
      </c>
    </row>
    <row r="176" customHeight="1" spans="1:11">
      <c r="A176" s="57"/>
      <c r="B176" s="58"/>
      <c r="C176" s="59"/>
      <c r="D176" s="59"/>
      <c r="E176" s="52"/>
      <c r="F176" s="53" t="str">
        <f>IFERROR(VLOOKUP(E176,日报!E:G,2,0),"")</f>
        <v/>
      </c>
      <c r="G176" s="59"/>
      <c r="H176" s="54" t="str">
        <f>IFERROR(VLOOKUP(E176,日报!E:H,4,0),"")</f>
        <v/>
      </c>
      <c r="I176" s="54" t="str">
        <f>IFERROR(VLOOKUP(E176,日报!E:G,3,0),"")</f>
        <v/>
      </c>
      <c r="J176" s="59"/>
      <c r="K176" s="55" t="str">
        <f t="shared" si="2"/>
        <v/>
      </c>
    </row>
    <row r="177" customHeight="1" spans="1:11">
      <c r="A177" s="57"/>
      <c r="B177" s="58"/>
      <c r="C177" s="59"/>
      <c r="D177" s="59"/>
      <c r="E177" s="52"/>
      <c r="F177" s="53" t="str">
        <f>IFERROR(VLOOKUP(E177,日报!E:G,2,0),"")</f>
        <v/>
      </c>
      <c r="G177" s="59"/>
      <c r="H177" s="54" t="str">
        <f>IFERROR(VLOOKUP(E177,日报!E:H,4,0),"")</f>
        <v/>
      </c>
      <c r="I177" s="54" t="str">
        <f>IFERROR(VLOOKUP(E177,日报!E:G,3,0),"")</f>
        <v/>
      </c>
      <c r="J177" s="59"/>
      <c r="K177" s="55" t="str">
        <f t="shared" si="2"/>
        <v/>
      </c>
    </row>
    <row r="178" customHeight="1" spans="1:11">
      <c r="A178" s="57"/>
      <c r="B178" s="58"/>
      <c r="C178" s="59"/>
      <c r="D178" s="59"/>
      <c r="E178" s="52"/>
      <c r="F178" s="53" t="str">
        <f>IFERROR(VLOOKUP(E178,日报!E:G,2,0),"")</f>
        <v/>
      </c>
      <c r="G178" s="59"/>
      <c r="H178" s="54" t="str">
        <f>IFERROR(VLOOKUP(E178,日报!E:H,4,0),"")</f>
        <v/>
      </c>
      <c r="I178" s="54" t="str">
        <f>IFERROR(VLOOKUP(E178,日报!E:G,3,0),"")</f>
        <v/>
      </c>
      <c r="J178" s="59"/>
      <c r="K178" s="55" t="str">
        <f t="shared" si="2"/>
        <v/>
      </c>
    </row>
    <row r="179" customHeight="1" spans="1:11">
      <c r="A179" s="57"/>
      <c r="B179" s="58"/>
      <c r="C179" s="59"/>
      <c r="D179" s="59"/>
      <c r="E179" s="52"/>
      <c r="F179" s="53" t="str">
        <f>IFERROR(VLOOKUP(E179,日报!E:G,2,0),"")</f>
        <v/>
      </c>
      <c r="G179" s="59"/>
      <c r="H179" s="54" t="str">
        <f>IFERROR(VLOOKUP(E179,日报!E:H,4,0),"")</f>
        <v/>
      </c>
      <c r="I179" s="54" t="str">
        <f>IFERROR(VLOOKUP(E179,日报!E:G,3,0),"")</f>
        <v/>
      </c>
      <c r="J179" s="59"/>
      <c r="K179" s="55" t="str">
        <f t="shared" si="2"/>
        <v/>
      </c>
    </row>
    <row r="180" customHeight="1" spans="1:11">
      <c r="A180" s="57"/>
      <c r="B180" s="58"/>
      <c r="C180" s="59"/>
      <c r="D180" s="59"/>
      <c r="E180" s="52"/>
      <c r="F180" s="53" t="str">
        <f>IFERROR(VLOOKUP(E180,日报!E:G,2,0),"")</f>
        <v/>
      </c>
      <c r="G180" s="59"/>
      <c r="H180" s="54" t="str">
        <f>IFERROR(VLOOKUP(E180,日报!E:H,4,0),"")</f>
        <v/>
      </c>
      <c r="I180" s="54" t="str">
        <f>IFERROR(VLOOKUP(E180,日报!E:G,3,0),"")</f>
        <v/>
      </c>
      <c r="J180" s="59"/>
      <c r="K180" s="55" t="str">
        <f t="shared" si="2"/>
        <v/>
      </c>
    </row>
    <row r="181" customHeight="1" spans="1:11">
      <c r="A181" s="57"/>
      <c r="B181" s="58"/>
      <c r="C181" s="59"/>
      <c r="D181" s="59"/>
      <c r="E181" s="52"/>
      <c r="F181" s="53" t="str">
        <f>IFERROR(VLOOKUP(E181,日报!E:G,2,0),"")</f>
        <v/>
      </c>
      <c r="G181" s="59"/>
      <c r="H181" s="54" t="str">
        <f>IFERROR(VLOOKUP(E181,日报!E:H,4,0),"")</f>
        <v/>
      </c>
      <c r="I181" s="54" t="str">
        <f>IFERROR(VLOOKUP(E181,日报!E:G,3,0),"")</f>
        <v/>
      </c>
      <c r="J181" s="59"/>
      <c r="K181" s="55" t="str">
        <f t="shared" si="2"/>
        <v/>
      </c>
    </row>
    <row r="182" customHeight="1" spans="1:11">
      <c r="A182" s="57"/>
      <c r="B182" s="58"/>
      <c r="C182" s="59"/>
      <c r="D182" s="59"/>
      <c r="E182" s="52"/>
      <c r="F182" s="53" t="str">
        <f>IFERROR(VLOOKUP(E182,日报!E:G,2,0),"")</f>
        <v/>
      </c>
      <c r="G182" s="59"/>
      <c r="H182" s="54" t="str">
        <f>IFERROR(VLOOKUP(E182,日报!E:H,4,0),"")</f>
        <v/>
      </c>
      <c r="I182" s="54" t="str">
        <f>IFERROR(VLOOKUP(E182,日报!E:G,3,0),"")</f>
        <v/>
      </c>
      <c r="J182" s="59"/>
      <c r="K182" s="55" t="str">
        <f t="shared" si="2"/>
        <v/>
      </c>
    </row>
    <row r="183" customHeight="1" spans="1:11">
      <c r="A183" s="57"/>
      <c r="B183" s="58"/>
      <c r="C183" s="59"/>
      <c r="D183" s="59"/>
      <c r="E183" s="52"/>
      <c r="F183" s="53" t="str">
        <f>IFERROR(VLOOKUP(E183,日报!E:G,2,0),"")</f>
        <v/>
      </c>
      <c r="G183" s="59"/>
      <c r="H183" s="54" t="str">
        <f>IFERROR(VLOOKUP(E183,日报!E:H,4,0),"")</f>
        <v/>
      </c>
      <c r="I183" s="54" t="str">
        <f>IFERROR(VLOOKUP(E183,日报!E:G,3,0),"")</f>
        <v/>
      </c>
      <c r="J183" s="59"/>
      <c r="K183" s="55" t="str">
        <f t="shared" si="2"/>
        <v/>
      </c>
    </row>
    <row r="184" customHeight="1" spans="1:11">
      <c r="A184" s="57"/>
      <c r="B184" s="58"/>
      <c r="C184" s="59"/>
      <c r="D184" s="59"/>
      <c r="E184" s="52"/>
      <c r="F184" s="53" t="str">
        <f>IFERROR(VLOOKUP(E184,日报!E:G,2,0),"")</f>
        <v/>
      </c>
      <c r="G184" s="59"/>
      <c r="H184" s="54" t="str">
        <f>IFERROR(VLOOKUP(E184,日报!E:H,4,0),"")</f>
        <v/>
      </c>
      <c r="I184" s="54" t="str">
        <f>IFERROR(VLOOKUP(E184,日报!E:G,3,0),"")</f>
        <v/>
      </c>
      <c r="J184" s="59"/>
      <c r="K184" s="55" t="str">
        <f t="shared" si="2"/>
        <v/>
      </c>
    </row>
    <row r="185" customHeight="1" spans="1:11">
      <c r="A185" s="57"/>
      <c r="B185" s="58"/>
      <c r="C185" s="59"/>
      <c r="D185" s="59"/>
      <c r="E185" s="52"/>
      <c r="F185" s="53" t="str">
        <f>IFERROR(VLOOKUP(E185,日报!E:G,2,0),"")</f>
        <v/>
      </c>
      <c r="G185" s="59"/>
      <c r="H185" s="54" t="str">
        <f>IFERROR(VLOOKUP(E185,日报!E:H,4,0),"")</f>
        <v/>
      </c>
      <c r="I185" s="54" t="str">
        <f>IFERROR(VLOOKUP(E185,日报!E:G,3,0),"")</f>
        <v/>
      </c>
      <c r="J185" s="59"/>
      <c r="K185" s="55" t="str">
        <f t="shared" si="2"/>
        <v/>
      </c>
    </row>
    <row r="186" customHeight="1" spans="1:11">
      <c r="A186" s="57"/>
      <c r="B186" s="58"/>
      <c r="C186" s="59"/>
      <c r="D186" s="59"/>
      <c r="E186" s="52"/>
      <c r="F186" s="53" t="str">
        <f>IFERROR(VLOOKUP(E186,日报!E:G,2,0),"")</f>
        <v/>
      </c>
      <c r="G186" s="59"/>
      <c r="H186" s="54" t="str">
        <f>IFERROR(VLOOKUP(E186,日报!E:H,4,0),"")</f>
        <v/>
      </c>
      <c r="I186" s="54" t="str">
        <f>IFERROR(VLOOKUP(E186,日报!E:G,3,0),"")</f>
        <v/>
      </c>
      <c r="J186" s="59"/>
      <c r="K186" s="55" t="str">
        <f t="shared" si="2"/>
        <v/>
      </c>
    </row>
    <row r="187" customHeight="1" spans="1:11">
      <c r="A187" s="57"/>
      <c r="B187" s="58"/>
      <c r="C187" s="59"/>
      <c r="D187" s="59"/>
      <c r="E187" s="52"/>
      <c r="F187" s="53" t="str">
        <f>IFERROR(VLOOKUP(E187,日报!E:G,2,0),"")</f>
        <v/>
      </c>
      <c r="G187" s="59"/>
      <c r="H187" s="54" t="str">
        <f>IFERROR(VLOOKUP(E187,日报!E:H,4,0),"")</f>
        <v/>
      </c>
      <c r="I187" s="54" t="str">
        <f>IFERROR(VLOOKUP(E187,日报!E:G,3,0),"")</f>
        <v/>
      </c>
      <c r="J187" s="59"/>
      <c r="K187" s="55" t="str">
        <f t="shared" si="2"/>
        <v/>
      </c>
    </row>
    <row r="188" customHeight="1" spans="1:11">
      <c r="A188" s="57"/>
      <c r="B188" s="58"/>
      <c r="C188" s="59"/>
      <c r="D188" s="59"/>
      <c r="E188" s="52"/>
      <c r="F188" s="53" t="str">
        <f>IFERROR(VLOOKUP(E188,日报!E:G,2,0),"")</f>
        <v/>
      </c>
      <c r="G188" s="59"/>
      <c r="H188" s="54" t="str">
        <f>IFERROR(VLOOKUP(E188,日报!E:H,4,0),"")</f>
        <v/>
      </c>
      <c r="I188" s="54" t="str">
        <f>IFERROR(VLOOKUP(E188,日报!E:G,3,0),"")</f>
        <v/>
      </c>
      <c r="J188" s="59"/>
      <c r="K188" s="55" t="str">
        <f t="shared" si="2"/>
        <v/>
      </c>
    </row>
    <row r="189" customHeight="1" spans="1:11">
      <c r="A189" s="57"/>
      <c r="B189" s="58"/>
      <c r="C189" s="59"/>
      <c r="D189" s="59"/>
      <c r="E189" s="52"/>
      <c r="F189" s="53" t="str">
        <f>IFERROR(VLOOKUP(E189,日报!E:G,2,0),"")</f>
        <v/>
      </c>
      <c r="G189" s="59"/>
      <c r="H189" s="54" t="str">
        <f>IFERROR(VLOOKUP(E189,日报!E:H,4,0),"")</f>
        <v/>
      </c>
      <c r="I189" s="54" t="str">
        <f>IFERROR(VLOOKUP(E189,日报!E:G,3,0),"")</f>
        <v/>
      </c>
      <c r="J189" s="59"/>
      <c r="K189" s="55" t="str">
        <f t="shared" si="2"/>
        <v/>
      </c>
    </row>
  </sheetData>
  <autoFilter xmlns:etc="http://www.wps.cn/officeDocument/2017/etCustomData" ref="A1:XFC189" etc:filterBottomFollowUsedRange="0">
    <extLst/>
  </autoFilter>
  <sortState ref="A2:K11842">
    <sortCondition ref="A2:A11842"/>
    <sortCondition ref="D2:D11842"/>
  </sortState>
  <conditionalFormatting sqref="E2">
    <cfRule type="duplicateValues" dxfId="3" priority="2"/>
  </conditionalFormatting>
  <conditionalFormatting sqref="E3">
    <cfRule type="duplicateValues" dxfId="3" priority="1"/>
  </conditionalFormatting>
  <conditionalFormatting sqref="E4">
    <cfRule type="duplicateValues" dxfId="3" priority="14"/>
  </conditionalFormatting>
  <conditionalFormatting sqref="E5">
    <cfRule type="duplicateValues" dxfId="3" priority="10"/>
  </conditionalFormatting>
  <conditionalFormatting sqref="E6">
    <cfRule type="duplicateValues" dxfId="3" priority="8"/>
  </conditionalFormatting>
  <conditionalFormatting sqref="E7">
    <cfRule type="duplicateValues" dxfId="3" priority="4"/>
  </conditionalFormatting>
  <conditionalFormatting sqref="E8">
    <cfRule type="duplicateValues" dxfId="3" priority="3"/>
  </conditionalFormatting>
  <conditionalFormatting sqref="E9">
    <cfRule type="duplicateValues" dxfId="3" priority="5"/>
  </conditionalFormatting>
  <dataValidations count="1">
    <dataValidation type="list" allowBlank="1" showInputMessage="1" showErrorMessage="1" sqref="E9:E189">
      <formula1>日报!$E:$E</formula1>
    </dataValidation>
  </dataValidations>
  <pageMargins left="0.699912516150888" right="0.699912516150888" top="0.74990626395218" bottom="0.74990626395218" header="0.299962510274151" footer="0.29996251027415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workbookViewId="0">
      <selection activeCell="A24" sqref="A24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40</v>
      </c>
      <c r="B1" s="33" t="s">
        <v>23</v>
      </c>
      <c r="C1" s="32" t="s">
        <v>3</v>
      </c>
      <c r="D1" s="34" t="s">
        <v>41</v>
      </c>
      <c r="E1" s="41" t="s">
        <v>6</v>
      </c>
      <c r="F1" s="34" t="s">
        <v>42</v>
      </c>
      <c r="G1" s="34" t="s">
        <v>43</v>
      </c>
      <c r="H1" s="34" t="s">
        <v>29</v>
      </c>
      <c r="I1" s="36" t="s">
        <v>44</v>
      </c>
      <c r="J1" s="36" t="s">
        <v>45</v>
      </c>
    </row>
    <row r="2" ht="17.4" spans="1:10">
      <c r="B2" s="37"/>
      <c r="C2" s="37"/>
      <c r="D2" s="38"/>
      <c r="E2" s="40" t="str">
        <f>IFERROR(VLOOKUP(D2,基础数据!E:F,2,0),"")</f>
        <v/>
      </c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  <row r="35" spans="5:5">
      <c r="E35" s="40" t="str">
        <f>IFERROR(VLOOKUP(D35,基础数据!E:F,2,0),"")</f>
        <v/>
      </c>
    </row>
    <row r="36" spans="5:5">
      <c r="E36" s="40" t="str">
        <f>IFERROR(VLOOKUP(D36,基础数据!E:F,2,0),"")</f>
        <v/>
      </c>
    </row>
    <row r="37" spans="5:5">
      <c r="E37" s="40" t="str">
        <f>IFERROR(VLOOKUP(D37,基础数据!E:F,2,0),"")</f>
        <v/>
      </c>
    </row>
    <row r="38" spans="5:5">
      <c r="E38" s="40" t="str">
        <f>IFERROR(VLOOKUP(D38,基础数据!E:F,2,0),"")</f>
        <v/>
      </c>
    </row>
    <row r="39" spans="5:5">
      <c r="E39" s="40" t="str">
        <f>IFERROR(VLOOKUP(D39,基础数据!E:F,2,0),"")</f>
        <v/>
      </c>
    </row>
    <row r="40" spans="5:5">
      <c r="E40" s="40" t="str">
        <f>IFERROR(VLOOKUP(D40,基础数据!E:F,2,0),"")</f>
        <v/>
      </c>
    </row>
    <row r="41" spans="5:5">
      <c r="E41" s="40" t="str">
        <f>IFERROR(VLOOKUP(D41,基础数据!E:F,2,0),"")</f>
        <v/>
      </c>
    </row>
    <row r="42" spans="5:5">
      <c r="E42" s="40" t="str">
        <f>IFERROR(VLOOKUP(D42,基础数据!E:F,2,0),"")</f>
        <v/>
      </c>
    </row>
    <row r="43" spans="5:5">
      <c r="E43" s="40" t="str">
        <f>IFERROR(VLOOKUP(D43,基础数据!E:F,2,0),"")</f>
        <v/>
      </c>
    </row>
    <row r="44" spans="5:5">
      <c r="E44" s="40" t="str">
        <f>IFERROR(VLOOKUP(D44,基础数据!E:F,2,0),"")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workbookViewId="0">
      <selection activeCell="A24" sqref="A24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4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40</v>
      </c>
      <c r="B1" s="33" t="s">
        <v>23</v>
      </c>
      <c r="C1" s="32" t="s">
        <v>3</v>
      </c>
      <c r="D1" s="34" t="s">
        <v>41</v>
      </c>
      <c r="E1" s="41" t="s">
        <v>6</v>
      </c>
      <c r="F1" s="34" t="s">
        <v>42</v>
      </c>
      <c r="G1" s="34" t="s">
        <v>43</v>
      </c>
      <c r="H1" s="34" t="s">
        <v>29</v>
      </c>
      <c r="I1" s="36" t="s">
        <v>44</v>
      </c>
      <c r="J1" s="36" t="s">
        <v>45</v>
      </c>
    </row>
    <row r="2" ht="17.4" spans="1:10">
      <c r="B2" s="37"/>
      <c r="C2" s="37"/>
      <c r="D2" s="38"/>
      <c r="E2" s="40" t="str">
        <f>IFERROR(VLOOKUP(D2,基础数据!E:F,2,0),"")</f>
        <v/>
      </c>
    </row>
    <row r="3" ht="17.4" spans="1:10">
      <c r="B3" s="37"/>
      <c r="C3" s="37"/>
      <c r="D3" s="38"/>
      <c r="E3" s="40" t="str">
        <f>IFERROR(VLOOKUP(D3,基础数据!E:F,2,0),"")</f>
        <v/>
      </c>
    </row>
    <row r="4" spans="1:10">
      <c r="B4" s="39"/>
      <c r="E4" s="40" t="str">
        <f>IFERROR(VLOOKUP(D4,基础数据!E:F,2,0),"")</f>
        <v/>
      </c>
    </row>
    <row r="5" spans="1:10">
      <c r="B5" s="39"/>
      <c r="E5" s="40" t="str">
        <f>IFERROR(VLOOKUP(D5,基础数据!E:F,2,0),"")</f>
        <v/>
      </c>
    </row>
    <row r="6" spans="1:10">
      <c r="B6" s="39"/>
      <c r="E6" s="40" t="str">
        <f>IFERROR(VLOOKUP(D6,基础数据!E:F,2,0),"")</f>
        <v/>
      </c>
    </row>
    <row r="7" spans="1:10">
      <c r="B7" s="39"/>
      <c r="E7" s="40" t="str">
        <f>IFERROR(VLOOKUP(D7,基础数据!E:F,2,0),"")</f>
        <v/>
      </c>
    </row>
    <row r="8" spans="1:10">
      <c r="B8" s="39"/>
      <c r="E8" s="40" t="str">
        <f>IFERROR(VLOOKUP(D8,基础数据!E:F,2,0),"")</f>
        <v/>
      </c>
    </row>
    <row r="9" spans="1:10">
      <c r="B9" s="39"/>
      <c r="E9" s="40" t="str">
        <f>IFERROR(VLOOKUP(D9,基础数据!E:F,2,0),"")</f>
        <v/>
      </c>
    </row>
    <row r="10" spans="1:10">
      <c r="B10" s="39"/>
      <c r="E10" s="40" t="str">
        <f>IFERROR(VLOOKUP(D10,基础数据!E:F,2,0),"")</f>
        <v/>
      </c>
    </row>
    <row r="11" spans="1:10">
      <c r="B11" s="39"/>
      <c r="E11" s="40" t="str">
        <f>IFERROR(VLOOKUP(D11,基础数据!E:F,2,0),"")</f>
        <v/>
      </c>
    </row>
    <row r="12" spans="1:10">
      <c r="B12" s="39"/>
      <c r="E12" s="40" t="str">
        <f>IFERROR(VLOOKUP(D12,基础数据!E:F,2,0),"")</f>
        <v/>
      </c>
    </row>
    <row r="13" spans="1:10">
      <c r="B13" s="39"/>
      <c r="E13" s="40" t="str">
        <f>IFERROR(VLOOKUP(D13,基础数据!E:F,2,0),"")</f>
        <v/>
      </c>
    </row>
    <row r="14" spans="1:10">
      <c r="B14" s="39"/>
      <c r="E14" s="40" t="str">
        <f>IFERROR(VLOOKUP(D14,基础数据!E:F,2,0),"")</f>
        <v/>
      </c>
    </row>
    <row r="15" spans="1:10">
      <c r="B15" s="39"/>
      <c r="E15" s="40" t="str">
        <f>IFERROR(VLOOKUP(D15,基础数据!E:F,2,0),"")</f>
        <v/>
      </c>
    </row>
    <row r="16" spans="1:10">
      <c r="E16" s="40" t="str">
        <f>IFERROR(VLOOKUP(D16,基础数据!E:F,2,0),"")</f>
        <v/>
      </c>
    </row>
    <row r="17" spans="5:5">
      <c r="E17" s="40" t="str">
        <f>IFERROR(VLOOKUP(D17,基础数据!E:F,2,0),"")</f>
        <v/>
      </c>
    </row>
    <row r="18" spans="5:5">
      <c r="E18" s="40" t="str">
        <f>IFERROR(VLOOKUP(D18,基础数据!E:F,2,0),"")</f>
        <v/>
      </c>
    </row>
    <row r="19" spans="5:5">
      <c r="E19" s="40" t="str">
        <f>IFERROR(VLOOKUP(D19,基础数据!E:F,2,0),"")</f>
        <v/>
      </c>
    </row>
    <row r="20" spans="5:5">
      <c r="E20" s="40" t="str">
        <f>IFERROR(VLOOKUP(D20,基础数据!E:F,2,0),"")</f>
        <v/>
      </c>
    </row>
    <row r="21" spans="5:5">
      <c r="E21" s="40" t="str">
        <f>IFERROR(VLOOKUP(D21,基础数据!E:F,2,0),"")</f>
        <v/>
      </c>
    </row>
    <row r="22" spans="5:5">
      <c r="E22" s="40" t="str">
        <f>IFERROR(VLOOKUP(D22,基础数据!E:F,2,0),"")</f>
        <v/>
      </c>
    </row>
    <row r="23" spans="5:5">
      <c r="E23" s="40" t="str">
        <f>IFERROR(VLOOKUP(D23,基础数据!E:F,2,0),"")</f>
        <v/>
      </c>
    </row>
    <row r="24" spans="5:5">
      <c r="E24" s="40" t="str">
        <f>IFERROR(VLOOKUP(D24,基础数据!E:F,2,0),"")</f>
        <v/>
      </c>
    </row>
    <row r="25" spans="5:5">
      <c r="E25" s="40" t="str">
        <f>IFERROR(VLOOKUP(D25,基础数据!E:F,2,0),"")</f>
        <v/>
      </c>
    </row>
    <row r="26" spans="5:5">
      <c r="E26" s="40" t="str">
        <f>IFERROR(VLOOKUP(D26,基础数据!E:F,2,0),"")</f>
        <v/>
      </c>
    </row>
    <row r="27" spans="5:5">
      <c r="E27" s="40" t="str">
        <f>IFERROR(VLOOKUP(D27,基础数据!E:F,2,0),"")</f>
        <v/>
      </c>
    </row>
    <row r="28" spans="5:5">
      <c r="E28" s="40" t="str">
        <f>IFERROR(VLOOKUP(D28,基础数据!E:F,2,0),"")</f>
        <v/>
      </c>
    </row>
    <row r="29" spans="5:5">
      <c r="E29" s="40" t="str">
        <f>IFERROR(VLOOKUP(D29,基础数据!E:F,2,0),"")</f>
        <v/>
      </c>
    </row>
    <row r="30" spans="5:5">
      <c r="E30" s="40" t="str">
        <f>IFERROR(VLOOKUP(D30,基础数据!E:F,2,0),"")</f>
        <v/>
      </c>
    </row>
    <row r="31" spans="5:5">
      <c r="E31" s="40" t="str">
        <f>IFERROR(VLOOKUP(D31,基础数据!E:F,2,0),"")</f>
        <v/>
      </c>
    </row>
    <row r="32" spans="5:5">
      <c r="E32" s="40" t="str">
        <f>IFERROR(VLOOKUP(D32,基础数据!E:F,2,0),"")</f>
        <v/>
      </c>
    </row>
    <row r="33" spans="5:5">
      <c r="E33" s="40" t="str">
        <f>IFERROR(VLOOKUP(D33,基础数据!E:F,2,0),"")</f>
        <v/>
      </c>
    </row>
    <row r="34" spans="5:5">
      <c r="E34" s="40" t="str">
        <f>IFERROR(VLOOKUP(D34,基础数据!E:F,2,0),"")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A24" sqref="A24"/>
    </sheetView>
  </sheetViews>
  <sheetFormatPr defaultColWidth="15" defaultRowHeight="15.6"/>
  <cols>
    <col min="1" max="1" width="11.7777777777778" style="27" customWidth="1"/>
    <col min="2" max="2" width="11" style="28" customWidth="1"/>
    <col min="3" max="3" width="36.5555555555556" style="27" customWidth="1"/>
    <col min="4" max="4" width="20" style="29" customWidth="1"/>
    <col min="5" max="5" width="44.5555555555556" style="30" customWidth="1"/>
    <col min="6" max="6" width="20.2222222222222" style="29" customWidth="1"/>
    <col min="7" max="7" width="10.7777777777778" style="29" customWidth="1"/>
    <col min="8" max="8" width="29.7777777777778" style="29" customWidth="1"/>
    <col min="9" max="9" width="23.8888888888889" style="31" customWidth="1"/>
    <col min="10" max="10" width="29.2222222222222" style="31" customWidth="1"/>
    <col min="11" max="16377" width="15" style="31" customWidth="1"/>
    <col min="16378" max="16384" width="15" style="31"/>
  </cols>
  <sheetData>
    <row r="1" s="26" customFormat="1" ht="14.4" spans="1:10">
      <c r="A1" s="32" t="s">
        <v>40</v>
      </c>
      <c r="B1" s="33" t="s">
        <v>23</v>
      </c>
      <c r="C1" s="32" t="s">
        <v>3</v>
      </c>
      <c r="D1" s="34" t="s">
        <v>41</v>
      </c>
      <c r="E1" s="35" t="s">
        <v>6</v>
      </c>
      <c r="F1" s="34" t="s">
        <v>42</v>
      </c>
      <c r="G1" s="34" t="s">
        <v>43</v>
      </c>
      <c r="H1" s="34" t="s">
        <v>29</v>
      </c>
      <c r="I1" s="36" t="s">
        <v>44</v>
      </c>
      <c r="J1" s="36" t="s">
        <v>45</v>
      </c>
    </row>
    <row r="2" ht="17.4" spans="1:10">
      <c r="B2" s="37"/>
      <c r="C2" s="37"/>
      <c r="D2" s="38"/>
      <c r="E2" s="30" t="str">
        <f>IFERROR(VLOOKUP(D2,基础数据!E:F,2,0),"")</f>
        <v/>
      </c>
    </row>
    <row r="3" ht="17.4" spans="1:10">
      <c r="B3" s="37"/>
      <c r="C3" s="37"/>
      <c r="D3" s="38"/>
      <c r="E3" s="30" t="str">
        <f>IFERROR(VLOOKUP(D3,基础数据!E:F,2,0),"")</f>
        <v/>
      </c>
    </row>
    <row r="4" spans="1:10">
      <c r="B4" s="39"/>
      <c r="E4" s="30" t="str">
        <f>IFERROR(VLOOKUP(D4,基础数据!E:F,2,0),"")</f>
        <v/>
      </c>
    </row>
    <row r="5" spans="1:10">
      <c r="B5" s="39"/>
      <c r="E5" s="30" t="str">
        <f>IFERROR(VLOOKUP(D5,基础数据!E:F,2,0),"")</f>
        <v/>
      </c>
    </row>
    <row r="6" spans="1:10">
      <c r="B6" s="39"/>
      <c r="E6" s="30" t="str">
        <f>IFERROR(VLOOKUP(D6,基础数据!E:F,2,0),"")</f>
        <v/>
      </c>
    </row>
    <row r="7" spans="1:10">
      <c r="B7" s="39"/>
      <c r="E7" s="30" t="str">
        <f>IFERROR(VLOOKUP(D7,基础数据!E:F,2,0),"")</f>
        <v/>
      </c>
    </row>
    <row r="8" spans="1:10">
      <c r="B8" s="39"/>
      <c r="E8" s="30" t="str">
        <f>IFERROR(VLOOKUP(D8,基础数据!E:F,2,0),"")</f>
        <v/>
      </c>
    </row>
    <row r="9" spans="1:10">
      <c r="B9" s="39"/>
      <c r="E9" s="30" t="str">
        <f>IFERROR(VLOOKUP(D9,基础数据!E:F,2,0),"")</f>
        <v/>
      </c>
    </row>
    <row r="10" spans="1:10">
      <c r="B10" s="39"/>
      <c r="E10" s="30" t="str">
        <f>IFERROR(VLOOKUP(D10,基础数据!E:F,2,0),"")</f>
        <v/>
      </c>
    </row>
    <row r="11" spans="1:10">
      <c r="B11" s="39"/>
      <c r="E11" s="30" t="str">
        <f>IFERROR(VLOOKUP(D11,基础数据!E:F,2,0),"")</f>
        <v/>
      </c>
    </row>
    <row r="12" spans="1:10">
      <c r="B12" s="39"/>
      <c r="E12" s="30" t="str">
        <f>IFERROR(VLOOKUP(D12,基础数据!E:F,2,0),"")</f>
        <v/>
      </c>
    </row>
    <row r="13" spans="1:10">
      <c r="B13" s="39"/>
      <c r="E13" s="30" t="str">
        <f>IFERROR(VLOOKUP(D13,基础数据!E:F,2,0),"")</f>
        <v/>
      </c>
    </row>
    <row r="14" spans="1:10">
      <c r="B14" s="39"/>
      <c r="E14" s="30" t="str">
        <f>IFERROR(VLOOKUP(D14,基础数据!E:F,2,0),"")</f>
        <v/>
      </c>
    </row>
    <row r="15" spans="1:10">
      <c r="E15" s="30" t="str">
        <f>IFERROR(VLOOKUP(D15,基础数据!E:F,2,0),"")</f>
        <v/>
      </c>
    </row>
    <row r="16" spans="1:10">
      <c r="E16" s="30" t="str">
        <f>IFERROR(VLOOKUP(D16,基础数据!E:F,2,0),"")</f>
        <v/>
      </c>
    </row>
    <row r="17" spans="5:5">
      <c r="E17" s="30" t="str">
        <f>IFERROR(VLOOKUP(D17,基础数据!E:F,2,0),"")</f>
        <v/>
      </c>
    </row>
    <row r="18" spans="5:5">
      <c r="E18" s="30" t="str">
        <f>IFERROR(VLOOKUP(D18,基础数据!E:F,2,0),"")</f>
        <v/>
      </c>
    </row>
    <row r="19" spans="5:5">
      <c r="E19" s="30" t="str">
        <f>IFERROR(VLOOKUP(D19,基础数据!E:F,2,0),"")</f>
        <v/>
      </c>
    </row>
    <row r="20" spans="5:5">
      <c r="E20" s="30" t="str">
        <f>IFERROR(VLOOKUP(D20,基础数据!E:F,2,0),"")</f>
        <v/>
      </c>
    </row>
    <row r="21" spans="5:5">
      <c r="E21" s="30" t="str">
        <f>IFERROR(VLOOKUP(D21,基础数据!E:F,2,0),"")</f>
        <v/>
      </c>
    </row>
    <row r="22" spans="5:5">
      <c r="E22" s="30" t="str">
        <f>IFERROR(VLOOKUP(D22,基础数据!E:F,2,0),"")</f>
        <v/>
      </c>
    </row>
    <row r="23" spans="5:5">
      <c r="E23" s="30" t="str">
        <f>IFERROR(VLOOKUP(D23,基础数据!E:F,2,0),"")</f>
        <v/>
      </c>
    </row>
    <row r="24" spans="5:5">
      <c r="E24" s="30" t="str">
        <f>IFERROR(VLOOKUP(D24,基础数据!E:F,2,0),"")</f>
        <v/>
      </c>
    </row>
    <row r="25" spans="5:5">
      <c r="E25" s="30" t="str">
        <f>IFERROR(VLOOKUP(D25,基础数据!E:F,2,0),"")</f>
        <v/>
      </c>
    </row>
  </sheetData>
  <conditionalFormatting sqref="D2:D3">
    <cfRule type="duplicateValues" dxfId="3" priority="1"/>
  </conditionalFormatting>
  <pageMargins left="0.7" right="0.7" top="0.75" bottom="0.75" header="0.3" footer="0.3"/>
  <pageSetup paperSize="26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E3" sqref="E3"/>
    </sheetView>
  </sheetViews>
  <sheetFormatPr defaultColWidth="8.66666666666667" defaultRowHeight="17.4"/>
  <cols>
    <col min="1" max="1" width="6.11111111111111" customWidth="1"/>
    <col min="2" max="2" width="16.2222222222222" customWidth="1"/>
    <col min="3" max="3" width="39.7777777777778" customWidth="1"/>
    <col min="4" max="4" width="13.6666666666667" customWidth="1"/>
    <col min="5" max="5" width="31.2222222222222" customWidth="1"/>
    <col min="6" max="6" width="37.5555555555556" style="2" customWidth="1"/>
    <col min="7" max="7" width="8.66666666666667" style="3"/>
    <col min="8" max="8" width="13.6666666666667" customWidth="1"/>
    <col min="9" max="9" width="14.6666666666667" customWidth="1"/>
  </cols>
  <sheetData>
    <row r="1" ht="14.4" spans="1:9">
      <c r="A1" s="4" t="s">
        <v>1</v>
      </c>
      <c r="B1" s="4" t="s">
        <v>2</v>
      </c>
      <c r="C1" s="4" t="s">
        <v>3</v>
      </c>
      <c r="D1" s="5" t="s">
        <v>4</v>
      </c>
      <c r="E1" s="4" t="s">
        <v>5</v>
      </c>
      <c r="F1" s="6" t="s">
        <v>6</v>
      </c>
      <c r="G1" s="6" t="s">
        <v>7</v>
      </c>
      <c r="H1" s="5" t="s">
        <v>8</v>
      </c>
      <c r="I1" s="5" t="s">
        <v>46</v>
      </c>
    </row>
    <row r="2" ht="42" customHeight="1" spans="1:9">
      <c r="A2" s="4"/>
      <c r="B2" s="4"/>
      <c r="C2" s="4"/>
      <c r="D2" s="7"/>
      <c r="E2" s="4"/>
      <c r="F2" s="6"/>
      <c r="G2" s="6"/>
      <c r="H2" s="7"/>
      <c r="I2" s="7"/>
    </row>
    <row r="3" s="1" customFormat="1" ht="19.95" customHeight="1" spans="1:9">
      <c r="A3" s="8">
        <f t="shared" ref="A3:A12" si="0">ROW()-2</f>
        <v>1</v>
      </c>
      <c r="B3" s="9" t="s">
        <v>31</v>
      </c>
      <c r="C3" s="10" t="s">
        <v>32</v>
      </c>
      <c r="D3" s="11"/>
      <c r="E3" s="12" t="s">
        <v>34</v>
      </c>
      <c r="F3" s="12" t="s">
        <v>47</v>
      </c>
      <c r="G3" s="13">
        <v>84</v>
      </c>
      <c r="H3" s="10" t="s">
        <v>48</v>
      </c>
      <c r="I3" s="14" t="s">
        <v>49</v>
      </c>
    </row>
    <row r="4" s="1" customFormat="1" ht="19.95" customHeight="1" spans="1:9">
      <c r="A4" s="8">
        <f t="shared" si="0"/>
        <v>2</v>
      </c>
      <c r="B4" s="9"/>
      <c r="C4" s="10"/>
      <c r="D4" s="11"/>
      <c r="E4" s="12"/>
      <c r="F4" s="12"/>
      <c r="G4" s="13"/>
      <c r="H4" s="10"/>
      <c r="I4" s="15"/>
    </row>
    <row r="5" s="1" customFormat="1" ht="19.95" customHeight="1" spans="1:9">
      <c r="A5" s="8">
        <f t="shared" si="0"/>
        <v>3</v>
      </c>
      <c r="B5" s="9"/>
      <c r="C5" s="10"/>
      <c r="D5" s="11"/>
      <c r="E5" s="12"/>
      <c r="F5" s="12"/>
      <c r="G5" s="13"/>
      <c r="H5" s="10"/>
      <c r="I5" s="15"/>
    </row>
    <row r="6" s="1" customFormat="1" ht="19.95" customHeight="1" spans="1:9">
      <c r="A6" s="8">
        <f t="shared" si="0"/>
        <v>4</v>
      </c>
      <c r="B6" s="9"/>
      <c r="C6" s="10"/>
      <c r="D6" s="11"/>
      <c r="E6" s="12"/>
      <c r="F6" s="12"/>
      <c r="G6" s="13"/>
      <c r="H6" s="10"/>
      <c r="I6" s="15"/>
    </row>
    <row r="7" s="1" customFormat="1" ht="19.95" customHeight="1" spans="1:9">
      <c r="A7" s="8">
        <f t="shared" si="0"/>
        <v>5</v>
      </c>
      <c r="B7" s="16"/>
      <c r="C7" s="17"/>
      <c r="D7" s="18"/>
      <c r="E7" s="19"/>
      <c r="F7" s="20"/>
      <c r="G7" s="8"/>
      <c r="H7" s="17"/>
      <c r="I7" s="15"/>
    </row>
    <row r="8" s="1" customFormat="1" ht="22.05" customHeight="1" spans="1:9">
      <c r="A8" s="8">
        <f t="shared" si="0"/>
        <v>6</v>
      </c>
      <c r="B8" s="16"/>
      <c r="C8" s="17"/>
      <c r="D8" s="21"/>
      <c r="E8" s="8"/>
      <c r="F8" s="8"/>
      <c r="G8" s="8"/>
      <c r="H8" s="17"/>
      <c r="I8" s="15"/>
    </row>
    <row r="9" s="1" customFormat="1" ht="22.05" customHeight="1" spans="1:9">
      <c r="A9" s="8">
        <f t="shared" si="0"/>
        <v>7</v>
      </c>
      <c r="B9" s="16"/>
      <c r="C9" s="17"/>
      <c r="D9" s="21"/>
      <c r="E9" s="8"/>
      <c r="F9" s="8"/>
      <c r="G9" s="8"/>
      <c r="H9" s="17"/>
      <c r="I9" s="15"/>
    </row>
    <row r="10" s="1" customFormat="1" ht="22.05" customHeight="1" spans="1:9">
      <c r="A10" s="8">
        <f t="shared" si="0"/>
        <v>8</v>
      </c>
      <c r="B10" s="16"/>
      <c r="C10" s="17"/>
      <c r="D10" s="21"/>
      <c r="E10" s="8"/>
      <c r="F10" s="22"/>
      <c r="G10" s="22"/>
      <c r="H10" s="17"/>
      <c r="I10" s="15"/>
    </row>
    <row r="11" s="1" customFormat="1" ht="22.05" customHeight="1" spans="1:9">
      <c r="A11" s="8">
        <f t="shared" si="0"/>
        <v>9</v>
      </c>
      <c r="B11" s="16"/>
      <c r="C11" s="17"/>
      <c r="D11" s="21"/>
      <c r="E11" s="21"/>
      <c r="F11" s="22"/>
      <c r="G11" s="22"/>
      <c r="H11" s="17"/>
      <c r="I11" s="15"/>
    </row>
    <row r="12" s="1" customFormat="1" ht="22.05" customHeight="1" spans="1:9">
      <c r="A12" s="8">
        <f t="shared" si="0"/>
        <v>10</v>
      </c>
      <c r="B12" s="16"/>
      <c r="C12" s="17"/>
      <c r="D12" s="21"/>
      <c r="E12" s="21"/>
      <c r="F12" s="22"/>
      <c r="G12" s="22"/>
      <c r="H12" s="17"/>
      <c r="I12" s="15"/>
    </row>
    <row r="13" spans="1:9">
      <c r="A13" s="23"/>
      <c r="B13" s="23"/>
      <c r="C13" s="23"/>
      <c r="D13" s="23"/>
      <c r="E13" s="23"/>
      <c r="F13" s="24"/>
      <c r="G13" s="25"/>
      <c r="H13" s="23"/>
    </row>
    <row r="14" spans="1:9">
      <c r="A14" s="23"/>
      <c r="B14" s="23"/>
      <c r="C14" s="23"/>
      <c r="D14" s="23"/>
      <c r="E14" s="23"/>
      <c r="F14" s="24"/>
      <c r="G14" s="25"/>
      <c r="H14" s="23"/>
    </row>
    <row r="15" spans="1:9">
      <c r="A15" s="23"/>
      <c r="B15" s="23"/>
      <c r="C15" s="23"/>
      <c r="D15" s="23"/>
      <c r="E15" s="23"/>
      <c r="F15" s="24"/>
      <c r="G15" s="25"/>
      <c r="H15" s="23"/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conditionalFormatting sqref="E3">
    <cfRule type="duplicateValues" dxfId="3" priority="14"/>
  </conditionalFormatting>
  <conditionalFormatting sqref="E4">
    <cfRule type="duplicateValues" dxfId="3" priority="12"/>
  </conditionalFormatting>
  <conditionalFormatting sqref="E5">
    <cfRule type="duplicateValues" dxfId="3" priority="10"/>
  </conditionalFormatting>
  <conditionalFormatting sqref="E6">
    <cfRule type="duplicateValues" dxfId="3" priority="9"/>
  </conditionalFormatting>
  <conditionalFormatting sqref="E7">
    <cfRule type="duplicateValues" dxfId="3" priority="7"/>
  </conditionalFormatting>
  <conditionalFormatting sqref="E8">
    <cfRule type="duplicateValues" dxfId="3" priority="6"/>
  </conditionalFormatting>
  <conditionalFormatting sqref="E9">
    <cfRule type="duplicateValues" dxfId="3" priority="4"/>
  </conditionalFormatting>
  <conditionalFormatting sqref="E10">
    <cfRule type="duplicateValues" dxfId="3" priority="2"/>
  </conditionalFormatting>
  <conditionalFormatting sqref="E1:E2 D1">
    <cfRule type="duplicateValues" dxfId="2" priority="20"/>
  </conditionalFormatting>
  <pageMargins left="0.75" right="0.75" top="1" bottom="1" header="0.5" footer="0.5"/>
  <pageSetup paperSize="26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日报</vt:lpstr>
      <vt:lpstr>合格品入货记录</vt:lpstr>
      <vt:lpstr>合格品出库记录</vt:lpstr>
      <vt:lpstr>零跑退回</vt:lpstr>
      <vt:lpstr>退回供应商</vt:lpstr>
      <vt:lpstr>库内不良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屈魔人</cp:lastModifiedBy>
  <cp:revision>0</cp:revision>
  <dcterms:created xsi:type="dcterms:W3CDTF">2006-09-13T11:21:00Z</dcterms:created>
  <cp:lastPrinted>2022-04-02T09:22:00Z</cp:lastPrinted>
  <dcterms:modified xsi:type="dcterms:W3CDTF">2026-05-13T09:48:05Z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83687BD04D6D4D82AC7FE59A9120AEA7_13</vt:lpwstr>
  </property>
  <property fmtid="{D5CDD505-2E9C-101B-9397-08002B2CF9AE}" pid="4" name="commondata">
    <vt:lpwstr>eyJoZGlkIjoiY2IwZjljM2VjMDI3MDEzY2YyZTI1ZjM5NDk2YzU4OGMifQ==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